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854" documentId="8_{FFF5661D-D548-493C-B837-0D721489715B}" xr6:coauthVersionLast="47" xr6:coauthVersionMax="47" xr10:uidLastSave="{6C1E164B-C244-4807-9DBF-9A55CD221324}"/>
  <bookViews>
    <workbookView xWindow="-108" yWindow="-108" windowWidth="23256" windowHeight="12576" tabRatio="789" activeTab="1"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トラン実績連携!$A$2:$AX$257</definedName>
    <definedName name="_xlnm._FilterDatabase" localSheetId="3" hidden="1">差分マスタ連携!$A$1:$Z$365</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X256" i="67"/>
  <c r="W256" i="67"/>
  <c r="V256" i="67"/>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302" i="66"/>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W364" i="66"/>
  <c r="V364"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4" i="66" s="1"/>
  <c r="C363" i="66" s="1"/>
  <c r="Y362" i="66"/>
  <c r="A362" i="64"/>
  <c r="A360" i="64" l="1"/>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S404" i="64" s="1"/>
  <c r="R402" i="64"/>
  <c r="Q402" i="64"/>
  <c r="P402" i="64"/>
  <c r="O402" i="64"/>
  <c r="O404" i="64" s="1"/>
  <c r="N402" i="64"/>
  <c r="M402" i="64"/>
  <c r="L402" i="64"/>
  <c r="K402" i="64"/>
  <c r="K404" i="64" s="1"/>
  <c r="J402" i="64"/>
  <c r="I402" i="64"/>
  <c r="H403" i="64"/>
  <c r="H402" i="64"/>
  <c r="H405" i="64"/>
  <c r="N404" i="64" l="1"/>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<sst xmlns="http://schemas.openxmlformats.org/spreadsheetml/2006/main" count="4995" uniqueCount="1126">
  <si>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</si>
  <si>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</si>
  <si>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</si>
  <si>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</si>
  <si>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</si>
  <si>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</si>
  <si>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</si>
  <si>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</si>
  <si>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</si>
  <si>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</si>
  <si>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</si>
  <si>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</si>
  <si>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</si>
  <si>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</si>
  <si>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</si>
  <si>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</si>
  <si>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</si>
  <si>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</si>
  <si>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</si>
  <si>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</si>
  <si>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</si>
  <si>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</si>
  <si>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</si>
  <si>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</si>
  <si>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</si>
  <si>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</si>
  <si>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</si>
  <si>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</si>
  <si>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</si>
  <si>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</si>
  <si>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</si>
  <si>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</si>
  <si>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</si>
  <si>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</si>
  <si>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</si>
  <si>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</si>
  <si>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</si>
  <si>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</si>
  <si>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</si>
  <si>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</si>
  <si>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</si>
  <si>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</si>
  <si>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</si>
  <si>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</si>
  <si>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</si>
  <si>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</si>
  <si>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</si>
  <si>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</si>
  <si>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</si>
  <si>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</si>
  <si>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</si>
  <si>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</si>
  <si>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</si>
  <si>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</si>
  <si>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</si>
  <si>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</si>
  <si>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</si>
  <si>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</si>
  <si>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</si>
  <si>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</si>
  <si>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</si>
  <si>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</si>
  <si>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</si>
  <si>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</si>
  <si>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</si>
  <si>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</si>
  <si>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</si>
  <si>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</si>
  <si>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</si>
  <si>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</si>
  <si>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</si>
  <si>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</si>
  <si>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</si>
  <si>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</si>
  <si>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</si>
  <si>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</si>
  <si>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</si>
  <si>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</si>
  <si>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</si>
  <si>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</si>
  <si>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</si>
  <si>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</si>
  <si>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</si>
  <si>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</si>
  <si>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</si>
  <si>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</si>
  <si>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</si>
  <si>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</si>
  <si>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</si>
  <si>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</si>
  <si>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</si>
  <si>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</si>
  <si>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</si>
  <si>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</si>
  <si>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</si>
  <si>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</si>
  <si>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</si>
  <si>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</si>
  <si>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</si>
  <si>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</si>
  <si>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</si>
  <si>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</si>
  <si>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</si>
  <si>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</si>
  <si>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</si>
  <si>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</si>
  <si>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</si>
  <si>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</si>
  <si>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</si>
  <si>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</si>
  <si>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</si>
  <si>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</si>
  <si>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</si>
  <si>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</si>
  <si>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</si>
  <si>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</si>
  <si>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</si>
  <si>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</si>
  <si>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</si>
  <si>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</si>
  <si>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</si>
  <si>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</si>
  <si>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</si>
  <si>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</si>
  <si>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</si>
  <si>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</si>
  <si>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</si>
  <si>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</si>
  <si>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</si>
  <si>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</si>
  <si>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</si>
  <si>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</si>
  <si>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</si>
  <si>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</si>
  <si>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</si>
  <si>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</si>
  <si>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</si>
  <si>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</si>
  <si>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</si>
  <si>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</si>
  <si>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</si>
  <si>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</si>
  <si>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</si>
  <si>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</si>
  <si>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</si>
  <si>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</si>
  <si>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</si>
  <si>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</si>
  <si>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</si>
  <si>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</si>
  <si>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</si>
  <si>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</si>
  <si>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</si>
  <si>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</si>
  <si>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</si>
  <si>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</si>
  <si>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</si>
  <si>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</si>
  <si>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</si>
  <si>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</si>
  <si>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</si>
  <si>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</si>
  <si>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</si>
  <si>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</si>
  <si>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</si>
  <si>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</si>
  <si>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</si>
  <si>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</si>
  <si>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</si>
  <si>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</si>
  <si>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</si>
  <si>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</si>
  <si>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</si>
  <si>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</si>
  <si>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</si>
  <si>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</si>
  <si>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</si>
  <si>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</si>
  <si>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</si>
  <si>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</si>
  <si>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</si>
  <si>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</si>
  <si>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</si>
  <si>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</si>
  <si>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</si>
  <si>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</si>
  <si>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</si>
  <si>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</si>
  <si>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</si>
  <si>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</si>
  <si>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</si>
  <si>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</si>
  <si>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</si>
  <si>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</si>
  <si>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</si>
  <si>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</si>
  <si>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</si>
  <si>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</si>
  <si>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</si>
  <si>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</si>
  <si>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</si>
  <si>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</si>
  <si>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</si>
  <si>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</si>
  <si>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</si>
  <si>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</si>
  <si>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</si>
  <si>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</si>
  <si>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</si>
  <si>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</si>
  <si>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</si>
  <si>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</si>
  <si>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</si>
  <si>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</si>
  <si>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</si>
  <si>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</si>
  <si>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</si>
  <si>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</si>
  <si>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</si>
  <si>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</si>
  <si>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</si>
  <si>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</si>
  <si>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</si>
  <si>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</si>
  <si>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</si>
  <si>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</si>
  <si>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</si>
  <si>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</si>
  <si>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</si>
  <si>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</si>
  <si>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</si>
  <si>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</si>
  <si>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</si>
  <si>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</si>
  <si>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</si>
  <si>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</si>
  <si>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</si>
  <si>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</si>
  <si>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</si>
  <si>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</si>
  <si>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</si>
  <si>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</si>
  <si>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</si>
  <si>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</si>
  <si>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</si>
  <si>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</si>
  <si>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</si>
  <si>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</si>
  <si>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</si>
  <si>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</si>
  <si>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</si>
  <si>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</si>
  <si>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</si>
  <si>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</si>
  <si>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</si>
  <si>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</si>
  <si>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</si>
  <si>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</si>
  <si>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</si>
  <si>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</si>
  <si>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</si>
  <si>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</si>
  <si>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</si>
  <si>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</si>
  <si>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</si>
  <si>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</si>
  <si>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</si>
  <si>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</si>
  <si>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</si>
  <si>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</si>
  <si>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</si>
  <si>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</si>
  <si>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</si>
  <si>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</si>
  <si>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</si>
  <si>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</si>
  <si>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</si>
  <si>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</si>
  <si>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</si>
  <si>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</si>
  <si>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</si>
  <si>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</si>
  <si>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</si>
  <si>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</si>
  <si>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</si>
  <si>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</si>
  <si>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</si>
  <si>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</si>
  <si>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</si>
  <si>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</si>
  <si>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</si>
  <si>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</si>
  <si>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</si>
  <si>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</si>
  <si>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</si>
  <si>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</si>
  <si>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</si>
  <si>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</si>
  <si>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</si>
  <si>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</si>
  <si>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</si>
  <si>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</si>
  <si>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</si>
  <si>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</si>
  <si>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</si>
  <si>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</si>
  <si>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</si>
  <si>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</si>
  <si>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</si>
  <si>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</si>
  <si>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</si>
  <si>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</si>
  <si>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</si>
  <si>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</si>
  <si>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</si>
  <si>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</si>
  <si>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</si>
  <si>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</si>
  <si>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</si>
  <si>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</si>
  <si>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</si>
  <si>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</si>
  <si>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</si>
  <si>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</si>
  <si>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</si>
  <si>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</si>
  <si>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</si>
  <si>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</si>
  <si>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</si>
  <si>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</si>
  <si>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</si>
  <si>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</si>
  <si>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</si>
  <si>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</si>
  <si>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</si>
  <si>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</si>
  <si>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</si>
  <si>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</si>
  <si>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</si>
  <si>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</si>
  <si>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</si>
  <si>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</si>
  <si>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</si>
  <si>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</si>
  <si>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</si>
  <si>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</si>
  <si>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</si>
  <si>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</si>
  <si>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</si>
  <si>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</si>
  <si>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</si>
  <si>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</si>
  <si>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</si>
  <si>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</si>
  <si>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</si>
  <si>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</si>
  <si>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</si>
  <si>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</si>
  <si>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</si>
  <si>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</si>
  <si>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</si>
  <si>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</si>
  <si>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</si>
  <si>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</si>
  <si>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</si>
  <si>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</si>
  <si>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</si>
  <si>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</si>
  <si>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</si>
  <si>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</si>
  <si>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</si>
  <si>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</si>
  <si>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</si>
  <si>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</si>
  <si>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</si>
  <si>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</si>
  <si>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</si>
  <si>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</si>
  <si>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</si>
  <si>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</si>
  <si>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</si>
  <si>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</si>
  <si>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</si>
  <si>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</si>
  <si>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</si>
  <si>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</si>
  <si>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</si>
  <si>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</si>
  <si>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</si>
  <si>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</si>
  <si>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</si>
  <si>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</si>
  <si>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</si>
  <si>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</si>
  <si>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</si>
  <si>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</si>
  <si>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</si>
  <si>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</si>
  <si>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</si>
  <si>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</si>
  <si>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</si>
  <si>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</si>
  <si>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</si>
  <si>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</si>
  <si>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</si>
  <si>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</si>
  <si>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</si>
  <si>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</si>
  <si>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</si>
  <si>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</si>
  <si>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</si>
  <si>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</si>
  <si>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</si>
  <si>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</si>
  <si>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</si>
  <si>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</si>
  <si>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</si>
  <si>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</si>
  <si>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</si>
  <si>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</si>
  <si>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</si>
  <si>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</si>
  <si>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</si>
  <si>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</si>
  <si>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</si>
  <si>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</si>
  <si>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</si>
  <si>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</si>
  <si>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</si>
  <si>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</si>
  <si>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</si>
  <si>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</si>
  <si>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</si>
  <si>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</si>
  <si>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</si>
  <si>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</si>
  <si>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</si>
  <si>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</si>
  <si>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</si>
  <si>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</si>
  <si>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</si>
  <si>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</si>
  <si>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</si>
  <si>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</si>
  <si>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</si>
  <si>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</si>
  <si>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</si>
  <si>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</si>
  <si>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</si>
  <si>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</si>
  <si>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</si>
  <si>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</si>
  <si>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</si>
  <si>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</si>
  <si>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</si>
  <si>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</si>
  <si>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</si>
  <si>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</si>
  <si>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</si>
  <si>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</si>
  <si>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</si>
  <si>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</si>
  <si>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</si>
  <si>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</si>
  <si>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</si>
  <si>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</si>
  <si>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</si>
  <si>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</si>
  <si>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</si>
  <si>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</si>
  <si>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</si>
  <si>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</si>
  <si>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</si>
  <si>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</si>
  <si>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</si>
  <si>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</si>
  <si>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</si>
  <si>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</si>
  <si>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</si>
  <si>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</si>
  <si>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</si>
  <si>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</si>
  <si>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</si>
  <si>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</si>
  <si>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</si>
  <si>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</si>
  <si>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</si>
  <si>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</si>
  <si>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</si>
  <si>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</si>
  <si>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</si>
  <si>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</si>
  <si>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</si>
  <si>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</si>
  <si>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</si>
  <si>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</si>
  <si>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</si>
  <si>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</si>
  <si>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</si>
  <si>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</si>
  <si>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</si>
  <si>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</si>
  <si>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</si>
  <si>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</si>
  <si>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</si>
  <si>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</si>
  <si>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</si>
  <si>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</si>
  <si>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</si>
  <si>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</si>
  <si>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</si>
  <si>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</si>
  <si>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</si>
  <si>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</si>
  <si>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</si>
  <si>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</si>
  <si>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</si>
  <si>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</si>
  <si>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</si>
  <si>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</si>
  <si>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</si>
  <si>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</si>
  <si>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</si>
  <si>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</si>
  <si>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</si>
  <si>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</si>
  <si>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</si>
  <si>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</si>
  <si>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</si>
  <si>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</si>
  <si>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</si>
  <si>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</si>
  <si>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</si>
  <si>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</si>
  <si>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</si>
  <si>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</si>
  <si>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</si>
  <si>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</si>
  <si>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</si>
  <si>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</si>
  <si>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</si>
  <si>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</si>
  <si>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</si>
  <si>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</si>
  <si>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</si>
  <si>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</si>
  <si>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</si>
  <si>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</si>
  <si>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</si>
  <si>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</si>
  <si>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</si>
  <si>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</si>
  <si>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</si>
  <si>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</si>
  <si>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</si>
  <si>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</si>
  <si>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</si>
  <si>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</si>
  <si>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</si>
  <si>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</si>
  <si>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</si>
  <si>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</si>
  <si>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</si>
  <si>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</si>
  <si>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</si>
  <si>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</si>
  <si>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</si>
  <si>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</si>
  <si>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</si>
  <si>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</si>
  <si>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</si>
  <si>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</si>
  <si>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</si>
  <si>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</si>
  <si>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</si>
  <si>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</si>
  <si>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</si>
  <si>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</si>
  <si>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</si>
  <si>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</si>
  <si>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</si>
  <si>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</si>
  <si>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</si>
  <si>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</si>
  <si>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</si>
  <si>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</si>
  <si>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</si>
  <si>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</si>
  <si>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</si>
  <si>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</si>
  <si>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</si>
  <si>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</si>
  <si>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</si>
  <si>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</si>
  <si>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</si>
  <si>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</si>
  <si>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</si>
  <si>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</si>
  <si>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</si>
  <si>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</si>
  <si>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</si>
  <si>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</si>
  <si>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</si>
  <si>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</si>
  <si>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</si>
  <si>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</si>
  <si>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</si>
  <si>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</si>
  <si>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</si>
  <si>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</si>
  <si>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</si>
  <si>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</si>
  <si>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</si>
  <si>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</si>
  <si>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プロセス名:GSFD_BF_FIND.exe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</si>
  <si>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</si>
  <si>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</si>
  <si>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</si>
  <si>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</si>
  <si>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</si>
  <si>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</si>
  <si>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</si>
  <si>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</si>
  <si>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</si>
  <si>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</si>
  <si>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</si>
  <si>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</si>
  <si>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</si>
  <si>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</si>
  <si>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</si>
  <si>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</si>
  <si>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</si>
  <si>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</si>
  <si>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</si>
  <si>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</si>
  <si>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</si>
  <si>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</si>
  <si>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</si>
  <si>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</si>
  <si>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</si>
  <si>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</si>
  <si>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</si>
  <si>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</si>
  <si>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</si>
  <si>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</si>
  <si>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</si>
  <si>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</si>
  <si>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</si>
  <si>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</si>
  <si>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</si>
  <si>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</si>
  <si>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</si>
  <si>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</si>
  <si>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</si>
  <si>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</si>
  <si>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</si>
  <si>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</si>
  <si>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</si>
  <si>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</si>
  <si>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</si>
  <si>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</si>
  <si>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</si>
  <si>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</si>
  <si>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</si>
  <si>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</si>
  <si>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</si>
  <si>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</si>
  <si>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</si>
  <si>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</si>
  <si>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</si>
  <si>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</si>
  <si>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</si>
  <si>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</si>
  <si>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</si>
  <si>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</si>
  <si>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</si>
  <si>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</si>
  <si>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</si>
  <si>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</si>
  <si>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</si>
  <si>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</si>
  <si>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</si>
  <si>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</si>
  <si>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</si>
  <si>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</si>
  <si>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</si>
  <si>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</si>
  <si>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</si>
  <si>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</si>
  <si>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</si>
  <si>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</si>
  <si>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</si>
  <si>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</si>
  <si>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</si>
  <si>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</si>
  <si>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</si>
  <si>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</si>
  <si>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</si>
  <si>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</si>
  <si>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</si>
  <si>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</si>
  <si>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</si>
  <si>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</si>
  <si>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</si>
  <si>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</si>
  <si>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</si>
  <si>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</si>
  <si>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</si>
  <si>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</si>
  <si>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</si>
  <si>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</si>
  <si>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</si>
  <si>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</si>
  <si>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</si>
  <si>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</si>
  <si>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</si>
  <si>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</si>
  <si>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</si>
  <si>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</si>
  <si>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</si>
  <si>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</si>
  <si>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</si>
  <si>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</si>
  <si>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</si>
  <si>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</si>
  <si>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</si>
  <si>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</si>
  <si>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</si>
  <si>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</si>
  <si>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</si>
  <si>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</si>
  <si>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</si>
  <si>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</si>
  <si>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</si>
  <si>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</si>
  <si>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</si>
  <si>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</si>
  <si>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</si>
  <si>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</si>
  <si>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</si>
  <si>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</si>
  <si>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</si>
  <si>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</si>
  <si>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</si>
  <si>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</si>
  <si>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</si>
  <si>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</si>
  <si>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</si>
  <si>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</si>
  <si>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</si>
  <si>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</si>
  <si>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</si>
  <si>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</si>
  <si>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</si>
  <si>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</si>
  <si>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</si>
  <si>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</si>
  <si>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</si>
  <si>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</si>
  <si>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</si>
  <si>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</si>
  <si>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</si>
  <si>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</si>
  <si>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</si>
  <si>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</si>
  <si>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</si>
  <si>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</si>
  <si>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</si>
  <si>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</si>
  <si>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</si>
  <si>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</si>
  <si>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</si>
  <si>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</si>
  <si>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</si>
  <si>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</si>
  <si>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</si>
  <si>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</si>
  <si>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</si>
  <si>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</si>
  <si>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</si>
  <si>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</si>
  <si>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</si>
  <si>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</si>
  <si>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</si>
  <si>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</si>
  <si>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</si>
  <si>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</si>
  <si>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</si>
  <si>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</si>
  <si>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</si>
  <si>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</si>
  <si>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</si>
  <si>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</si>
  <si>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</si>
  <si>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</si>
  <si>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</si>
  <si>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</si>
  <si>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</si>
  <si>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</si>
  <si>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</si>
  <si>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</si>
  <si>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</si>
  <si>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</si>
  <si>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</si>
  <si>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</si>
  <si>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</si>
  <si>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</si>
  <si>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</si>
  <si>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</si>
  <si>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</si>
  <si>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</si>
  <si>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</si>
  <si>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</si>
  <si>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</si>
  <si>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</si>
  <si>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</si>
  <si>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</si>
  <si>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</si>
  <si>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</si>
  <si>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</si>
  <si>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</si>
  <si>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</si>
  <si>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</si>
  <si>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</si>
  <si>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</si>
  <si>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</si>
  <si>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</si>
  <si>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</si>
  <si>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</si>
  <si>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</si>
  <si>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</si>
  <si>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</si>
  <si>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</si>
  <si>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</si>
  <si>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</si>
  <si>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</si>
  <si>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</si>
  <si>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</si>
  <si>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</si>
  <si>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</si>
  <si>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</si>
  <si>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</si>
  <si>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</si>
  <si>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</si>
  <si>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</si>
  <si>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</si>
  <si>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</si>
  <si>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</si>
  <si>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</si>
  <si>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</si>
  <si>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</si>
  <si>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</si>
  <si>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</si>
  <si>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</si>
  <si>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</si>
  <si>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</si>
  <si>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</si>
  <si>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</si>
  <si>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</si>
  <si>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</si>
  <si>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</si>
  <si>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</si>
  <si>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</si>
  <si>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</si>
  <si>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</si>
  <si>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</si>
  <si>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</si>
  <si>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</si>
  <si>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</si>
  <si>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</si>
  <si>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</si>
  <si>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</si>
  <si>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</si>
  <si>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</si>
  <si>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</si>
  <si>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</si>
  <si>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</si>
  <si>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</si>
  <si>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</si>
  <si>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</si>
  <si>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</si>
  <si>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</si>
  <si>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</si>
  <si>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</si>
  <si>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</si>
  <si>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</si>
  <si>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</si>
  <si>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</si>
  <si>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</si>
  <si>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</si>
  <si>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</si>
  <si>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</si>
  <si>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</si>
  <si>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</si>
  <si>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</si>
  <si>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</si>
  <si>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</si>
  <si>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</si>
  <si>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</si>
  <si>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</si>
  <si>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</si>
  <si>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</si>
  <si>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</si>
  <si>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</si>
  <si>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</si>
  <si>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</si>
  <si>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</si>
  <si>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</si>
  <si>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</si>
  <si>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</si>
  <si>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</si>
  <si>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</si>
  <si>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</si>
  <si>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</si>
  <si>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</si>
  <si>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</si>
  <si>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</si>
  <si>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</si>
  <si>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</si>
  <si>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</si>
  <si>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</si>
  <si>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</si>
  <si>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</si>
  <si>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</si>
  <si>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</si>
  <si>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</si>
  <si>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</si>
  <si>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</si>
  <si>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</si>
  <si>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</si>
  <si>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</si>
  <si>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</si>
  <si>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</si>
  <si>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</si>
  <si>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</si>
  <si>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</si>
  <si>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</si>
  <si>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</si>
  <si>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</si>
  <si>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</si>
  <si>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</si>
  <si>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</si>
  <si>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GSFD_PNT_TRANS_HEADER</t>
  </si>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</sst>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5"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51">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7" borderId="49" xfId="14" applyNumberFormat="1" applyFont="1" applyFill="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6</xdr:col>
      <xdr:colOff>334386</xdr:colOff>
      <xdr:row>327</xdr:row>
      <xdr:rowOff>8965</xdr:rowOff>
    </xdr:from>
    <xdr:to>
      <xdr:col>11</xdr:col>
      <xdr:colOff>75304</xdr:colOff>
      <xdr:row>346</xdr:row>
      <xdr:rowOff>63201</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9083939" y="5486400"/>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4" t="s">
        <v>0</v>
      </c>
    </row>
    <row r="4" spans="2:5" x14ac:dyDescent="0.25">
      <c r="B4" s="254" t="s">
        <v>1</v>
      </c>
    </row>
    <row r="5" spans="2:5" x14ac:dyDescent="0.25">
      <c r="B5" s="253" t="s">
        <v>2</v>
      </c>
      <c r="C5" s="254" t="s">
        <v>3</v>
      </c>
    </row>
    <row r="6" spans="2:5" x14ac:dyDescent="0.25">
      <c r="B6" s="253" t="s">
        <v>4</v>
      </c>
      <c r="C6" s="253" t="s">
        <v>2</v>
      </c>
      <c r="D6" s="254" t="s">
        <v>5</v>
      </c>
    </row>
    <row r="7" spans="2:5" x14ac:dyDescent="0.25">
      <c r="B7" s="253" t="s">
        <v>4</v>
      </c>
      <c r="C7" s="253" t="s">
        <v>4</v>
      </c>
      <c r="D7" s="253" t="s">
        <v>2</v>
      </c>
      <c r="E7" s="254" t="s">
        <v>6</v>
      </c>
    </row>
    <row r="8" spans="2:5" x14ac:dyDescent="0.25">
      <c r="B8" s="253" t="s">
        <v>4</v>
      </c>
      <c r="C8" s="253" t="s">
        <v>4</v>
      </c>
      <c r="D8" s="253" t="s">
        <v>2</v>
      </c>
      <c r="E8" s="254" t="s">
        <v>7</v>
      </c>
    </row>
    <row r="9" spans="2:5" x14ac:dyDescent="0.25">
      <c r="B9" s="253" t="s">
        <v>4</v>
      </c>
      <c r="C9" s="253" t="s">
        <v>2</v>
      </c>
      <c r="D9" s="254" t="s">
        <v>8</v>
      </c>
    </row>
    <row r="10" spans="2:5" x14ac:dyDescent="0.25">
      <c r="B10" s="253" t="s">
        <v>4</v>
      </c>
      <c r="C10" s="253" t="s">
        <v>2</v>
      </c>
      <c r="D10" s="254" t="s">
        <v>9</v>
      </c>
    </row>
    <row r="11" spans="2:5" x14ac:dyDescent="0.25">
      <c r="B11" s="253" t="s">
        <v>4</v>
      </c>
      <c r="C11" s="253" t="s">
        <v>2</v>
      </c>
      <c r="D11" s="254" t="s">
        <v>10</v>
      </c>
    </row>
    <row r="12" spans="2:5" x14ac:dyDescent="0.25">
      <c r="B12" s="253" t="s">
        <v>4</v>
      </c>
      <c r="C12" s="253"/>
      <c r="D12" s="254"/>
    </row>
    <row r="13" spans="2:5" x14ac:dyDescent="0.25">
      <c r="B13" s="253" t="s">
        <v>2</v>
      </c>
      <c r="C13" s="254" t="s">
        <v>11</v>
      </c>
    </row>
    <row r="14" spans="2:5" x14ac:dyDescent="0.25">
      <c r="B14" s="253" t="s">
        <v>4</v>
      </c>
      <c r="C14" s="253" t="s">
        <v>2</v>
      </c>
      <c r="D14" s="254" t="s">
        <v>5</v>
      </c>
    </row>
    <row r="15" spans="2:5" x14ac:dyDescent="0.25">
      <c r="B15" s="253" t="s">
        <v>4</v>
      </c>
      <c r="C15" s="253" t="s">
        <v>4</v>
      </c>
      <c r="D15" s="253" t="s">
        <v>2</v>
      </c>
      <c r="E15" s="254" t="s">
        <v>6</v>
      </c>
    </row>
    <row r="16" spans="2:5" x14ac:dyDescent="0.25">
      <c r="B16" s="253" t="s">
        <v>4</v>
      </c>
      <c r="C16" s="253" t="s">
        <v>4</v>
      </c>
      <c r="D16" s="253" t="s">
        <v>2</v>
      </c>
      <c r="E16" s="254" t="s">
        <v>7</v>
      </c>
    </row>
    <row r="17" spans="2:5" x14ac:dyDescent="0.25">
      <c r="B17" s="253" t="s">
        <v>4</v>
      </c>
      <c r="C17" s="253" t="s">
        <v>2</v>
      </c>
      <c r="D17" s="254" t="s">
        <v>8</v>
      </c>
    </row>
    <row r="18" spans="2:5" x14ac:dyDescent="0.25">
      <c r="B18" s="253" t="s">
        <v>4</v>
      </c>
      <c r="C18" s="253" t="s">
        <v>2</v>
      </c>
      <c r="D18" s="254" t="s">
        <v>9</v>
      </c>
    </row>
    <row r="19" spans="2:5" x14ac:dyDescent="0.25">
      <c r="B19" s="253" t="s">
        <v>4</v>
      </c>
      <c r="C19" s="253" t="s">
        <v>2</v>
      </c>
      <c r="D19" s="254" t="s">
        <v>10</v>
      </c>
    </row>
    <row r="20" spans="2:5" x14ac:dyDescent="0.25">
      <c r="B20" s="253" t="s">
        <v>4</v>
      </c>
      <c r="C20" s="253"/>
      <c r="D20" s="254"/>
    </row>
    <row r="21" spans="2:5" x14ac:dyDescent="0.25">
      <c r="B21" s="253" t="s">
        <v>2</v>
      </c>
      <c r="C21" s="254" t="s">
        <v>12</v>
      </c>
    </row>
    <row r="22" spans="2:5" x14ac:dyDescent="0.25">
      <c r="C22" s="253" t="s">
        <v>2</v>
      </c>
      <c r="D22" s="254" t="s">
        <v>5</v>
      </c>
    </row>
    <row r="23" spans="2:5" x14ac:dyDescent="0.25">
      <c r="B23" s="253"/>
      <c r="C23" s="253" t="s">
        <v>4</v>
      </c>
      <c r="D23" s="253" t="s">
        <v>2</v>
      </c>
      <c r="E23" s="254" t="s">
        <v>6</v>
      </c>
    </row>
    <row r="24" spans="2:5" x14ac:dyDescent="0.25">
      <c r="B24" s="253"/>
      <c r="C24" s="253" t="s">
        <v>4</v>
      </c>
      <c r="D24" s="253" t="s">
        <v>2</v>
      </c>
      <c r="E24" s="254" t="s">
        <v>7</v>
      </c>
    </row>
    <row r="25" spans="2:5" x14ac:dyDescent="0.25">
      <c r="C25" s="253" t="s">
        <v>2</v>
      </c>
      <c r="D25" s="254" t="s">
        <v>8</v>
      </c>
    </row>
    <row r="26" spans="2:5" x14ac:dyDescent="0.25">
      <c r="C26" s="253" t="s">
        <v>2</v>
      </c>
      <c r="D26" s="254" t="s">
        <v>9</v>
      </c>
    </row>
    <row r="27" spans="2:5" x14ac:dyDescent="0.25">
      <c r="C27" s="253" t="s">
        <v>2</v>
      </c>
      <c r="D27" s="254" t="s">
        <v>10</v>
      </c>
    </row>
    <row r="29" spans="2:5" x14ac:dyDescent="0.25">
      <c r="B29" s="254" t="s">
        <v>13</v>
      </c>
    </row>
    <row r="31" spans="2:5" x14ac:dyDescent="0.25">
      <c r="B31" s="254" t="s">
        <v>14</v>
      </c>
      <c r="E31" s="235">
        <f>全件マスタ連携!$C$405</f>
        <v>399</v>
      </c>
    </row>
    <row r="32" spans="2:5" x14ac:dyDescent="0.25">
      <c r="B32" s="254" t="s">
        <v>15</v>
      </c>
      <c r="E32" s="235">
        <f>差分マスタ連携!$C$365</f>
        <v>359</v>
      </c>
    </row>
    <row r="33" spans="2:5" x14ac:dyDescent="0.25">
      <c r="B33" s="254" t="s">
        <v>16</v>
      </c>
      <c r="E33" s="235">
        <f>トラン実績連携!$C$257</f>
        <v>251</v>
      </c>
    </row>
    <row r="34" spans="2:5" x14ac:dyDescent="0.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tabSelected="1"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299" t="s">
        <v>19</v>
      </c>
      <c r="D7" s="300"/>
      <c r="E7" s="300"/>
      <c r="F7" s="300"/>
      <c r="G7" s="300"/>
      <c r="H7" s="300"/>
      <c r="I7" s="300"/>
      <c r="J7" s="300"/>
      <c r="K7" s="301"/>
    </row>
    <row r="8" spans="3:11" ht="15" customHeight="1" x14ac:dyDescent="0.3">
      <c r="C8" s="172"/>
      <c r="D8" s="173"/>
      <c r="E8" s="173"/>
      <c r="F8" s="173"/>
      <c r="G8" s="173"/>
      <c r="H8" s="173"/>
      <c r="I8" s="173"/>
      <c r="J8" s="173"/>
      <c r="K8" s="174"/>
    </row>
    <row r="9" spans="3:11" ht="35.4" x14ac:dyDescent="0.65">
      <c r="C9" s="296" t="s">
        <v>20</v>
      </c>
      <c r="D9" s="297"/>
      <c r="E9" s="297"/>
      <c r="F9" s="297"/>
      <c r="G9" s="297"/>
      <c r="H9" s="297"/>
      <c r="I9" s="297"/>
      <c r="J9" s="297"/>
      <c r="K9" s="298"/>
    </row>
    <row r="10" spans="3:11" ht="35.4" x14ac:dyDescent="0.65">
      <c r="C10" s="296" t="s">
        <v>21</v>
      </c>
      <c r="D10" s="297"/>
      <c r="E10" s="297"/>
      <c r="F10" s="297"/>
      <c r="G10" s="297"/>
      <c r="H10" s="297"/>
      <c r="I10" s="297"/>
      <c r="J10" s="297"/>
      <c r="K10" s="298"/>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02" t="s">
        <v>22</v>
      </c>
      <c r="F18" s="302"/>
      <c r="G18" s="302"/>
      <c r="H18" s="302"/>
      <c r="I18" s="302"/>
    </row>
    <row r="19" spans="3:9" ht="15" customHeight="1" x14ac:dyDescent="0.3"/>
    <row r="20" spans="3:9" ht="15" customHeight="1" x14ac:dyDescent="0.3"/>
    <row r="21" spans="3:9" ht="18.600000000000001" x14ac:dyDescent="0.35">
      <c r="C21" s="166"/>
      <c r="F21" s="303" t="s">
        <v>23</v>
      </c>
      <c r="G21" s="303"/>
      <c r="H21" s="303"/>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zoomScale="85" zoomScaleNormal="85" zoomScaleSheetLayoutView="100" workbookViewId="0">
      <pane ySplit="2" topLeftCell="A3" activePane="bottomLeft" state="frozen"/>
      <selection activeCell="D6" sqref="D6"/>
      <selection pane="bottomLeft" activeCell="Y5" sqref="Y5"/>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06" t="s">
        <v>24</v>
      </c>
      <c r="B1" s="308" t="s">
        <v>25</v>
      </c>
      <c r="C1" s="310" t="s">
        <v>26</v>
      </c>
      <c r="D1" s="310" t="s">
        <v>27</v>
      </c>
      <c r="E1" s="310" t="s">
        <v>28</v>
      </c>
      <c r="F1" s="312" t="s">
        <v>29</v>
      </c>
      <c r="G1" s="315" t="s">
        <v>30</v>
      </c>
      <c r="H1" s="314" t="s">
        <v>31</v>
      </c>
      <c r="I1" s="314"/>
      <c r="J1" s="314"/>
      <c r="K1" s="317"/>
      <c r="L1" s="318" t="s">
        <v>32</v>
      </c>
      <c r="M1" s="319"/>
      <c r="N1" s="319"/>
      <c r="O1" s="320"/>
      <c r="P1" s="320"/>
      <c r="Q1" s="320"/>
      <c r="R1" s="320"/>
      <c r="S1" s="320"/>
      <c r="T1" s="321" t="s">
        <v>1101</v>
      </c>
      <c r="U1" s="314" t="s">
        <v>33</v>
      </c>
      <c r="V1" s="314"/>
      <c r="W1" s="314"/>
      <c r="X1" s="304" t="s">
        <v>34</v>
      </c>
      <c r="Y1" s="304" t="s">
        <v>35</v>
      </c>
    </row>
    <row r="2" spans="1:26" s="237" customFormat="1" ht="22.8" x14ac:dyDescent="0.15">
      <c r="A2" s="307"/>
      <c r="B2" s="309"/>
      <c r="C2" s="311"/>
      <c r="D2" s="311"/>
      <c r="E2" s="311"/>
      <c r="F2" s="313"/>
      <c r="G2" s="316"/>
      <c r="H2" s="223" t="s">
        <v>36</v>
      </c>
      <c r="I2" s="224" t="s">
        <v>37</v>
      </c>
      <c r="J2" s="225" t="s">
        <v>38</v>
      </c>
      <c r="K2" s="225" t="s">
        <v>39</v>
      </c>
      <c r="L2" s="226" t="s">
        <v>36</v>
      </c>
      <c r="M2" s="225" t="s">
        <v>40</v>
      </c>
      <c r="N2" s="225" t="s">
        <v>41</v>
      </c>
      <c r="O2" s="225" t="s">
        <v>42</v>
      </c>
      <c r="P2" s="225" t="s">
        <v>43</v>
      </c>
      <c r="Q2" s="225" t="s">
        <v>44</v>
      </c>
      <c r="R2" s="225" t="s">
        <v>45</v>
      </c>
      <c r="S2" s="225" t="s">
        <v>46</v>
      </c>
      <c r="T2" s="316"/>
      <c r="U2" s="223" t="s">
        <v>47</v>
      </c>
      <c r="V2" s="224" t="s">
        <v>48</v>
      </c>
      <c r="W2" s="225" t="s">
        <v>49</v>
      </c>
      <c r="X2" s="305"/>
      <c r="Y2" s="305"/>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v>45663</v>
      </c>
      <c r="W4" s="183">
        <v>45665</v>
      </c>
      <c r="X4" s="184"/>
      <c r="Y4" s="185" t="s">
        <v>1120</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v>45665</v>
      </c>
      <c r="V5" s="182"/>
      <c r="W5" s="183"/>
      <c r="X5" s="184"/>
      <c r="Y5" s="185" t="s">
        <v>1113</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5">
        <v>45298</v>
      </c>
      <c r="U6" s="181">
        <v>45665</v>
      </c>
      <c r="V6" s="182"/>
      <c r="W6" s="183"/>
      <c r="X6" s="184"/>
      <c r="Y6" s="185" t="s">
        <v>1114</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5">
        <v>45298</v>
      </c>
      <c r="U7" s="181">
        <v>45665</v>
      </c>
      <c r="V7" s="182"/>
      <c r="W7" s="183"/>
      <c r="X7" s="184"/>
      <c r="Y7" s="185" t="s">
        <v>1115</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5">
        <v>45298</v>
      </c>
      <c r="U8" s="181">
        <v>45665</v>
      </c>
      <c r="V8" s="182"/>
      <c r="W8" s="183"/>
      <c r="X8" s="184"/>
      <c r="Y8" s="185" t="s">
        <v>1116</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5">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5">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5">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5">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v>45665</v>
      </c>
      <c r="W13" s="183">
        <v>45666</v>
      </c>
      <c r="X13" s="184"/>
      <c r="Y13" s="185" t="s">
        <v>1121</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5">
        <v>45298</v>
      </c>
      <c r="U14" s="181"/>
      <c r="V14" s="182">
        <v>45665</v>
      </c>
      <c r="W14" s="183">
        <v>45666</v>
      </c>
      <c r="X14" s="184"/>
      <c r="Y14" s="185" t="s">
        <v>1122</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5">
        <v>45298</v>
      </c>
      <c r="U15" s="270">
        <v>45666</v>
      </c>
      <c r="V15" s="182"/>
      <c r="W15" s="183"/>
      <c r="X15" s="184"/>
      <c r="Y15" s="185" t="s">
        <v>1123</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5">
        <v>45298</v>
      </c>
      <c r="U16" s="270">
        <v>45666</v>
      </c>
      <c r="V16" s="182"/>
      <c r="W16" s="183"/>
      <c r="X16" s="184"/>
      <c r="Y16" s="185" t="s">
        <v>1124</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5">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5">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5">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5">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5">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5">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5">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5">
        <v>45298</v>
      </c>
      <c r="U24" s="181">
        <v>45666</v>
      </c>
      <c r="V24" s="182"/>
      <c r="W24" s="183"/>
      <c r="X24" s="184"/>
      <c r="Y24" s="185" t="s">
        <v>1106</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5">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5">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5">
        <v>45298</v>
      </c>
      <c r="U27" s="270">
        <v>45664</v>
      </c>
      <c r="V27" s="182"/>
      <c r="W27" s="183"/>
      <c r="X27" s="184"/>
      <c r="Y27" s="185" t="s">
        <v>1107</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5">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5">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5">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5">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5">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5">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5">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5">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5">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5">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5">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5">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5">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5">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5">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5">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5">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5">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5">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5">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5">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5">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5">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5">
        <v>45298</v>
      </c>
      <c r="U51" s="268"/>
      <c r="V51" s="182"/>
      <c r="W51" s="183"/>
      <c r="X51" s="184"/>
      <c r="Y51" s="229" t="s">
        <v>139</v>
      </c>
      <c r="Z51" s="256"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5">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5">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5">
        <v>45298</v>
      </c>
      <c r="U54" s="270">
        <v>45664</v>
      </c>
      <c r="V54" s="182"/>
      <c r="W54" s="183"/>
      <c r="X54" s="184"/>
      <c r="Y54" s="185" t="s">
        <v>1110</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5">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5">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5">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5">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5">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5">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5">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5">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5">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5">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5">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5">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5">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5">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5">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5">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5">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5">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5">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5">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5">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5">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5">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5">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5">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5">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5">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5">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5">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5">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5">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5">
        <v>45298</v>
      </c>
      <c r="U86" s="268"/>
      <c r="V86" s="182"/>
      <c r="W86" s="183"/>
      <c r="X86" s="184"/>
      <c r="Y86" s="229" t="s">
        <v>1108</v>
      </c>
      <c r="Z86" s="256"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5">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5">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5">
        <v>45298</v>
      </c>
      <c r="U89" s="270">
        <v>45664</v>
      </c>
      <c r="V89" s="182"/>
      <c r="W89" s="183"/>
      <c r="X89" s="184"/>
      <c r="Y89" s="185" t="s">
        <v>1110</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5">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5">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5">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5">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5">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5">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5">
        <v>45298</v>
      </c>
      <c r="U96" s="270">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5">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5">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5">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5">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5">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5">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5">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5">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5">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5">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5">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5">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5">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5">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5">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5">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5">
        <v>45298</v>
      </c>
      <c r="U113" s="268"/>
      <c r="V113" s="182"/>
      <c r="W113" s="183"/>
      <c r="X113" s="184"/>
      <c r="Y113" s="229" t="s">
        <v>1109</v>
      </c>
      <c r="Z113" s="256"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5">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5">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5">
        <v>45298</v>
      </c>
      <c r="U116" s="268"/>
      <c r="V116" s="182"/>
      <c r="W116" s="183"/>
      <c r="X116" s="184"/>
      <c r="Y116" s="185" t="s">
        <v>1110</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5">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5">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5">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5">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5">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5">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5">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5">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5">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5">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5">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5">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5">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5">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5">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5">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5">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5">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5">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5">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5">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5">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5">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5">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5">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5">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5">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5">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5">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5">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5">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5">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5">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5">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5">
        <v>45298</v>
      </c>
      <c r="U151" s="268"/>
      <c r="V151" s="182"/>
      <c r="W151" s="183"/>
      <c r="X151" s="184"/>
      <c r="Y151" s="229" t="s">
        <v>1109</v>
      </c>
      <c r="Z151" s="256"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5">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5">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5">
        <v>45298</v>
      </c>
      <c r="U154" s="270">
        <v>45664</v>
      </c>
      <c r="V154" s="182"/>
      <c r="W154" s="183"/>
      <c r="X154" s="184"/>
      <c r="Y154" s="185" t="s">
        <v>1110</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5">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5">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5">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5">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5">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5">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5">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5">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5">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5">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5">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5">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5">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5">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5">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5">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5">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5">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5">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5">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5">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5">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5">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5">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5">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5">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5">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5">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5">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5">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5">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5">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5">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5">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5">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5">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5">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5">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5">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5">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5">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5">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5">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5">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5">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5">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5">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5">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5">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5">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5">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5">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5">
        <v>45299</v>
      </c>
      <c r="U207" s="269">
        <v>45663</v>
      </c>
      <c r="V207" s="182"/>
      <c r="W207" s="183"/>
      <c r="X207" s="184"/>
      <c r="Y207" s="229" t="s">
        <v>1109</v>
      </c>
      <c r="Z207" s="256"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5">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5">
        <v>45299</v>
      </c>
      <c r="U209" s="181">
        <v>45664</v>
      </c>
      <c r="V209" s="182"/>
      <c r="W209" s="183"/>
      <c r="X209" s="184"/>
      <c r="Y209" s="185" t="s">
        <v>113</v>
      </c>
      <c r="AB209" s="257"/>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5">
        <v>45299</v>
      </c>
      <c r="U210" s="181">
        <v>45666</v>
      </c>
      <c r="V210" s="182"/>
      <c r="W210" s="183"/>
      <c r="X210" s="184"/>
      <c r="Y210" s="185" t="s">
        <v>1110</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5">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5">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5">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5">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5">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5">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5">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5">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5">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5">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5">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5">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5">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5">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5">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5">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5">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5">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5">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5">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5">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5">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5">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5">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5">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5">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5">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5">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5">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5">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5">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5">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5">
        <v>45299</v>
      </c>
      <c r="U243" s="269">
        <v>45663</v>
      </c>
      <c r="V243" s="182"/>
      <c r="W243" s="183"/>
      <c r="X243" s="184"/>
      <c r="Y243" s="229" t="s">
        <v>1089</v>
      </c>
      <c r="AB243" s="266" t="s">
        <v>1103</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5">
        <v>45299</v>
      </c>
      <c r="U244" s="181">
        <v>45664</v>
      </c>
      <c r="V244" s="182"/>
      <c r="W244" s="183"/>
      <c r="X244" s="184"/>
      <c r="Y244" s="185" t="s">
        <v>1112</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5">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5">
        <v>45299</v>
      </c>
      <c r="U246" s="181">
        <v>45666</v>
      </c>
      <c r="V246" s="182"/>
      <c r="W246" s="183"/>
      <c r="X246" s="184"/>
      <c r="Y246" s="185" t="s">
        <v>1110</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5">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5">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5">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5">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5">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5">
        <v>45299</v>
      </c>
      <c r="U252" s="269">
        <v>45663</v>
      </c>
      <c r="V252" s="182"/>
      <c r="W252" s="183"/>
      <c r="X252" s="184"/>
      <c r="Y252" s="229" t="s">
        <v>1090</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5">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5">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5">
        <v>45299</v>
      </c>
      <c r="U255" s="181">
        <v>45666</v>
      </c>
      <c r="V255" s="182"/>
      <c r="W255" s="183"/>
      <c r="X255" s="184"/>
      <c r="Y255" s="185" t="s">
        <v>1110</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5">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5">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5">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5">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5">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5">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5">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5">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5">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5">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5">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5">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5">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5">
        <v>45299</v>
      </c>
      <c r="U269" s="181">
        <v>45664</v>
      </c>
      <c r="V269" s="182"/>
      <c r="W269" s="183"/>
      <c r="X269" s="184"/>
      <c r="Y269" s="185" t="s">
        <v>1110</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5">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5">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5">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5">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5">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5">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5">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5">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5">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5">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5">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5">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5">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5">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5">
        <v>45299</v>
      </c>
      <c r="U284" s="181">
        <v>45663</v>
      </c>
      <c r="V284" s="182"/>
      <c r="W284" s="183"/>
      <c r="X284" s="184"/>
      <c r="Y284" s="229" t="s">
        <v>1091</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5">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5">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5">
        <v>45299</v>
      </c>
      <c r="U287" s="181">
        <v>45664</v>
      </c>
      <c r="V287" s="182"/>
      <c r="W287" s="183"/>
      <c r="X287" s="184"/>
      <c r="Y287" s="185" t="s">
        <v>1110</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5">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5">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5">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5">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5">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5">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5">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5">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5">
        <v>45299</v>
      </c>
      <c r="U296" s="181">
        <v>45663</v>
      </c>
      <c r="V296" s="182"/>
      <c r="W296" s="183"/>
      <c r="X296" s="184"/>
      <c r="Y296" s="229" t="s">
        <v>1092</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5">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5">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5">
        <v>45299</v>
      </c>
      <c r="U299" s="181">
        <v>45664</v>
      </c>
      <c r="V299" s="182"/>
      <c r="W299" s="183"/>
      <c r="X299" s="184"/>
      <c r="Y299" s="185" t="s">
        <v>1110</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5">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5">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5">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5">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5">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5">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5">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5">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5">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5">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5">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5">
        <v>45299</v>
      </c>
      <c r="U311" s="181">
        <v>45665</v>
      </c>
      <c r="V311" s="182"/>
      <c r="W311" s="183"/>
      <c r="X311" s="184"/>
      <c r="Y311" s="229" t="s">
        <v>292</v>
      </c>
      <c r="AB311" s="266" t="s">
        <v>1104</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5">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5">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5">
        <v>45299</v>
      </c>
      <c r="U314" s="181">
        <v>45665</v>
      </c>
      <c r="V314" s="182"/>
      <c r="W314" s="183"/>
      <c r="X314" s="184"/>
      <c r="Y314" s="185" t="s">
        <v>1110</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5">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5">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5">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5">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5">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5">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5">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5">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5">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5">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5">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5">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5">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5">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5">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5">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5">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5">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5">
        <v>45299</v>
      </c>
      <c r="U333" s="181">
        <v>45663</v>
      </c>
      <c r="V333" s="182"/>
      <c r="W333" s="183"/>
      <c r="X333" s="184"/>
      <c r="Y333" s="229" t="s">
        <v>1088</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5">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5">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5">
        <v>45299</v>
      </c>
      <c r="U336" s="181">
        <v>45664</v>
      </c>
      <c r="V336" s="182"/>
      <c r="W336" s="183"/>
      <c r="X336" s="184"/>
      <c r="Y336" s="185" t="s">
        <v>1110</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5">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5">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5">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5">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5">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5">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5">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5">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5">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5">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5">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5">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5">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5">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5">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5">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5">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5">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5">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5">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5">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5">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5">
        <v>45328</v>
      </c>
      <c r="U359" s="181"/>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5">
        <v>45328</v>
      </c>
      <c r="U360" s="181"/>
      <c r="V360" s="182"/>
      <c r="W360" s="183"/>
      <c r="X360" s="184"/>
      <c r="Y360" s="185" t="s">
        <v>75</v>
      </c>
    </row>
    <row r="361" spans="1:25" ht="11.4" x14ac:dyDescent="0.15">
      <c r="A361" s="175">
        <f t="shared" si="16"/>
        <v>359</v>
      </c>
      <c r="B361" s="176" t="s">
        <v>330</v>
      </c>
      <c r="C361" s="176" t="s">
        <v>331</v>
      </c>
      <c r="D361" s="176" t="s">
        <v>51</v>
      </c>
      <c r="E361" s="186" t="s">
        <v>332</v>
      </c>
      <c r="F361" s="233" t="s">
        <v>1086</v>
      </c>
      <c r="G361" s="228" t="s">
        <v>333</v>
      </c>
      <c r="H361" s="177"/>
      <c r="I361" s="178"/>
      <c r="J361" s="178"/>
      <c r="K361" s="179"/>
      <c r="L361" s="177"/>
      <c r="M361" s="180" t="s">
        <v>56</v>
      </c>
      <c r="N361" s="178"/>
      <c r="O361" s="180"/>
      <c r="P361" s="180"/>
      <c r="Q361" s="180"/>
      <c r="R361" s="180"/>
      <c r="S361" s="179"/>
      <c r="T361" s="265">
        <v>45305</v>
      </c>
      <c r="U361" s="181"/>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5">
        <v>45305</v>
      </c>
      <c r="U362" s="181"/>
      <c r="V362" s="182"/>
      <c r="W362" s="183"/>
      <c r="X362" s="184"/>
      <c r="Y362" s="185" t="s">
        <v>337</v>
      </c>
    </row>
    <row r="363" spans="1:25" ht="11.4" x14ac:dyDescent="0.15">
      <c r="A363" s="175">
        <f t="shared" si="16"/>
        <v>361</v>
      </c>
      <c r="B363" s="176"/>
      <c r="C363" s="176"/>
      <c r="D363" s="176" t="s">
        <v>338</v>
      </c>
      <c r="E363" s="186" t="s">
        <v>332</v>
      </c>
      <c r="F363" s="233" t="s">
        <v>1086</v>
      </c>
      <c r="G363" s="228" t="s">
        <v>333</v>
      </c>
      <c r="H363" s="177"/>
      <c r="I363" s="178"/>
      <c r="J363" s="178"/>
      <c r="K363" s="179"/>
      <c r="L363" s="177"/>
      <c r="M363" s="180" t="s">
        <v>56</v>
      </c>
      <c r="N363" s="178"/>
      <c r="O363" s="180"/>
      <c r="P363" s="180"/>
      <c r="Q363" s="180"/>
      <c r="R363" s="180"/>
      <c r="S363" s="179"/>
      <c r="T363" s="265">
        <v>45305</v>
      </c>
      <c r="U363" s="181"/>
      <c r="V363" s="182"/>
      <c r="W363" s="183"/>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5">
        <v>45305</v>
      </c>
      <c r="U364" s="181"/>
      <c r="V364" s="182"/>
      <c r="W364" s="183"/>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5">
        <v>45305</v>
      </c>
      <c r="U365" s="181"/>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5">
        <v>45305</v>
      </c>
      <c r="U366" s="181"/>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5">
        <v>45305</v>
      </c>
      <c r="U367" s="181"/>
      <c r="V367" s="182"/>
      <c r="W367" s="183"/>
      <c r="X367" s="184"/>
      <c r="Y367" s="185" t="s">
        <v>62</v>
      </c>
    </row>
    <row r="368" spans="1:25" ht="11.4" x14ac:dyDescent="0.15">
      <c r="A368" s="175">
        <f t="shared" si="16"/>
        <v>366</v>
      </c>
      <c r="B368" s="176"/>
      <c r="C368" s="176"/>
      <c r="D368" s="176" t="s">
        <v>345</v>
      </c>
      <c r="E368" s="186" t="s">
        <v>332</v>
      </c>
      <c r="F368" s="233" t="s">
        <v>1086</v>
      </c>
      <c r="G368" s="228" t="s">
        <v>342</v>
      </c>
      <c r="H368" s="177"/>
      <c r="I368" s="178"/>
      <c r="J368" s="178"/>
      <c r="K368" s="179"/>
      <c r="L368" s="177"/>
      <c r="M368" s="180" t="s">
        <v>56</v>
      </c>
      <c r="N368" s="178"/>
      <c r="O368" s="180"/>
      <c r="P368" s="180"/>
      <c r="Q368" s="180"/>
      <c r="R368" s="180"/>
      <c r="S368" s="179"/>
      <c r="T368" s="265">
        <v>45305</v>
      </c>
      <c r="U368" s="181"/>
      <c r="V368" s="182"/>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5">
        <v>45305</v>
      </c>
      <c r="U369" s="181"/>
      <c r="V369" s="182"/>
      <c r="W369" s="183"/>
      <c r="X369" s="184"/>
      <c r="Y369" s="185" t="s">
        <v>62</v>
      </c>
    </row>
    <row r="370" spans="1:25" ht="11.4" x14ac:dyDescent="0.15">
      <c r="A370" s="175">
        <f t="shared" si="16"/>
        <v>368</v>
      </c>
      <c r="B370" s="176"/>
      <c r="C370" s="176"/>
      <c r="D370" s="176" t="s">
        <v>83</v>
      </c>
      <c r="E370" s="186" t="s">
        <v>332</v>
      </c>
      <c r="F370" s="233" t="s">
        <v>1086</v>
      </c>
      <c r="G370" s="228" t="s">
        <v>333</v>
      </c>
      <c r="H370" s="177"/>
      <c r="I370" s="178"/>
      <c r="J370" s="178"/>
      <c r="K370" s="179"/>
      <c r="L370" s="177"/>
      <c r="M370" s="180" t="s">
        <v>56</v>
      </c>
      <c r="N370" s="178"/>
      <c r="O370" s="180"/>
      <c r="P370" s="180"/>
      <c r="Q370" s="180"/>
      <c r="R370" s="180"/>
      <c r="S370" s="179"/>
      <c r="T370" s="265">
        <v>45305</v>
      </c>
      <c r="U370" s="181"/>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5">
        <v>45305</v>
      </c>
      <c r="U371" s="181"/>
      <c r="V371" s="182"/>
      <c r="W371" s="183"/>
      <c r="X371" s="184"/>
      <c r="Y371" s="185" t="s">
        <v>348</v>
      </c>
    </row>
    <row r="372" spans="1:25" ht="11.4" x14ac:dyDescent="0.15">
      <c r="A372" s="175">
        <f t="shared" si="16"/>
        <v>370</v>
      </c>
      <c r="B372" s="176"/>
      <c r="C372" s="176"/>
      <c r="D372" s="176" t="s">
        <v>349</v>
      </c>
      <c r="E372" s="186" t="s">
        <v>332</v>
      </c>
      <c r="F372" s="186" t="s">
        <v>1087</v>
      </c>
      <c r="G372" s="228" t="s">
        <v>342</v>
      </c>
      <c r="H372" s="177"/>
      <c r="I372" s="178"/>
      <c r="J372" s="178"/>
      <c r="K372" s="179"/>
      <c r="L372" s="177"/>
      <c r="M372" s="180" t="s">
        <v>56</v>
      </c>
      <c r="N372" s="178"/>
      <c r="O372" s="180"/>
      <c r="P372" s="180"/>
      <c r="Q372" s="180"/>
      <c r="R372" s="180"/>
      <c r="S372" s="179"/>
      <c r="T372" s="265">
        <v>45305</v>
      </c>
      <c r="U372" s="181"/>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5">
        <v>45305</v>
      </c>
      <c r="U373" s="181"/>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5">
        <v>45305</v>
      </c>
      <c r="U374" s="181"/>
      <c r="V374" s="182"/>
      <c r="W374" s="183"/>
      <c r="X374" s="184"/>
      <c r="Y374" s="185" t="s">
        <v>348</v>
      </c>
    </row>
    <row r="375" spans="1:25" ht="11.4" x14ac:dyDescent="0.15">
      <c r="A375" s="175">
        <f t="shared" si="16"/>
        <v>373</v>
      </c>
      <c r="B375" s="176"/>
      <c r="C375" s="176"/>
      <c r="D375" s="176" t="s">
        <v>350</v>
      </c>
      <c r="E375" s="186" t="s">
        <v>332</v>
      </c>
      <c r="F375" s="233" t="s">
        <v>1086</v>
      </c>
      <c r="G375" s="228" t="s">
        <v>342</v>
      </c>
      <c r="H375" s="177"/>
      <c r="I375" s="178"/>
      <c r="J375" s="178"/>
      <c r="K375" s="179"/>
      <c r="L375" s="177"/>
      <c r="M375" s="180" t="s">
        <v>56</v>
      </c>
      <c r="N375" s="178"/>
      <c r="O375" s="180"/>
      <c r="P375" s="180"/>
      <c r="Q375" s="180"/>
      <c r="R375" s="180"/>
      <c r="S375" s="179"/>
      <c r="T375" s="265">
        <v>45305</v>
      </c>
      <c r="U375" s="181"/>
      <c r="V375" s="182"/>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5">
        <v>45305</v>
      </c>
      <c r="U376" s="181"/>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5">
        <v>45305</v>
      </c>
      <c r="U377" s="181"/>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5">
        <v>45305</v>
      </c>
      <c r="U378" s="181"/>
      <c r="V378" s="182"/>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5">
        <v>45305</v>
      </c>
      <c r="U379" s="181"/>
      <c r="V379" s="182"/>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5">
        <v>45305</v>
      </c>
      <c r="U380" s="181"/>
      <c r="V380" s="182"/>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5">
        <v>45305</v>
      </c>
      <c r="U381" s="181"/>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5">
        <v>45305</v>
      </c>
      <c r="U382" s="181"/>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5">
        <v>45305</v>
      </c>
      <c r="U383" s="181"/>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5">
        <v>45301</v>
      </c>
      <c r="U384" s="181"/>
      <c r="V384" s="182"/>
      <c r="W384" s="183"/>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5">
        <v>45301</v>
      </c>
      <c r="U385" s="181"/>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5">
        <v>45301</v>
      </c>
      <c r="U386" s="181"/>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5">
        <v>45301</v>
      </c>
      <c r="U387" s="181"/>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5">
        <v>45301</v>
      </c>
      <c r="U388" s="181"/>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5">
        <v>45301</v>
      </c>
      <c r="U389" s="181"/>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5">
        <v>45301</v>
      </c>
      <c r="U390" s="181"/>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5">
        <v>45301</v>
      </c>
      <c r="U391" s="181"/>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5">
        <v>45301</v>
      </c>
      <c r="U392" s="181"/>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5">
        <v>45301</v>
      </c>
      <c r="U393" s="181"/>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5">
        <v>45301</v>
      </c>
      <c r="U394" s="181"/>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5">
        <v>45301</v>
      </c>
      <c r="U395" s="181"/>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5">
        <v>45301</v>
      </c>
      <c r="U396" s="181"/>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5">
        <v>45301</v>
      </c>
      <c r="U397" s="181"/>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5">
        <v>45301</v>
      </c>
      <c r="U398" s="181"/>
      <c r="V398" s="182"/>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5">
        <v>45301</v>
      </c>
      <c r="U399" s="181"/>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5">
        <v>45305</v>
      </c>
      <c r="U400" s="181"/>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5">
        <v>45301</v>
      </c>
      <c r="U401" s="181"/>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22" t="s">
        <v>17</v>
      </c>
      <c r="V402" s="322"/>
      <c r="W402" s="323"/>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24"/>
      <c r="V403" s="324"/>
      <c r="W403" s="325"/>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26">
        <f>COUNTA(U3:U401)</f>
        <v>348</v>
      </c>
      <c r="V404" s="328">
        <f>COUNTA(V3:V401)</f>
        <v>3</v>
      </c>
      <c r="W404" s="330">
        <f>COUNTA(W3:W401)</f>
        <v>3</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27"/>
      <c r="V405" s="329"/>
      <c r="W405" s="331"/>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Z365"/>
  <sheetViews>
    <sheetView zoomScale="85" zoomScaleNormal="85" zoomScaleSheetLayoutView="100" workbookViewId="0">
      <pane ySplit="2" topLeftCell="A3" activePane="bottomLeft" state="frozen"/>
      <selection activeCell="D6" sqref="D6"/>
      <selection pane="bottomLeft" sqref="A1:A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bestFit="1" customWidth="1" outlineLevel="1"/>
    <col min="21" max="21" width="9.375" style="160" bestFit="1" customWidth="1" outlineLevel="1"/>
    <col min="22" max="22" width="7" style="160" bestFit="1" customWidth="1" outlineLevel="1"/>
    <col min="23" max="23" width="5.875" style="160"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06" t="s">
        <v>24</v>
      </c>
      <c r="B1" s="308" t="s">
        <v>25</v>
      </c>
      <c r="C1" s="310" t="s">
        <v>26</v>
      </c>
      <c r="D1" s="310" t="s">
        <v>27</v>
      </c>
      <c r="E1" s="310" t="s">
        <v>28</v>
      </c>
      <c r="F1" s="312" t="s">
        <v>29</v>
      </c>
      <c r="G1" s="315" t="s">
        <v>30</v>
      </c>
      <c r="H1" s="314" t="s">
        <v>31</v>
      </c>
      <c r="I1" s="314"/>
      <c r="J1" s="314"/>
      <c r="K1" s="317"/>
      <c r="L1" s="318" t="s">
        <v>32</v>
      </c>
      <c r="M1" s="319"/>
      <c r="N1" s="319"/>
      <c r="O1" s="320"/>
      <c r="P1" s="320"/>
      <c r="Q1" s="320"/>
      <c r="R1" s="320"/>
      <c r="S1" s="320"/>
      <c r="T1" s="304" t="s">
        <v>1101</v>
      </c>
      <c r="U1" s="314" t="s">
        <v>33</v>
      </c>
      <c r="V1" s="314"/>
      <c r="W1" s="314"/>
      <c r="X1" s="304" t="s">
        <v>34</v>
      </c>
      <c r="Y1" s="304" t="s">
        <v>35</v>
      </c>
      <c r="Z1" s="237"/>
    </row>
    <row r="2" spans="1:26" s="239" customFormat="1" ht="22.8" x14ac:dyDescent="0.15">
      <c r="A2" s="307"/>
      <c r="B2" s="309"/>
      <c r="C2" s="311"/>
      <c r="D2" s="311"/>
      <c r="E2" s="311"/>
      <c r="F2" s="313"/>
      <c r="G2" s="316"/>
      <c r="H2" s="223" t="s">
        <v>36</v>
      </c>
      <c r="I2" s="224" t="s">
        <v>37</v>
      </c>
      <c r="J2" s="225" t="s">
        <v>38</v>
      </c>
      <c r="K2" s="225" t="s">
        <v>39</v>
      </c>
      <c r="L2" s="226" t="s">
        <v>36</v>
      </c>
      <c r="M2" s="225" t="s">
        <v>40</v>
      </c>
      <c r="N2" s="225" t="s">
        <v>41</v>
      </c>
      <c r="O2" s="225" t="s">
        <v>42</v>
      </c>
      <c r="P2" s="225" t="s">
        <v>43</v>
      </c>
      <c r="Q2" s="225" t="s">
        <v>44</v>
      </c>
      <c r="R2" s="225" t="s">
        <v>45</v>
      </c>
      <c r="S2" s="225" t="s">
        <v>46</v>
      </c>
      <c r="T2" s="316"/>
      <c r="U2" s="223" t="s">
        <v>47</v>
      </c>
      <c r="V2" s="224" t="s">
        <v>48</v>
      </c>
      <c r="W2" s="225" t="s">
        <v>49</v>
      </c>
      <c r="X2" s="305"/>
      <c r="Y2" s="305"/>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7">
        <v>45666</v>
      </c>
      <c r="U3" s="271">
        <v>45666</v>
      </c>
      <c r="V3" s="273"/>
      <c r="W3" s="274"/>
      <c r="X3" s="184"/>
      <c r="Y3" s="185" t="s">
        <v>423</v>
      </c>
      <c r="Z3" s="256" t="s">
        <v>1119</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7">
        <v>45666</v>
      </c>
      <c r="U4" s="271">
        <v>45666</v>
      </c>
      <c r="V4" s="273"/>
      <c r="W4" s="274"/>
      <c r="X4" s="184"/>
      <c r="Y4" s="185" t="s">
        <v>425</v>
      </c>
      <c r="Z4" s="256" t="s">
        <v>1119</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7">
        <v>45666</v>
      </c>
      <c r="U5" s="271">
        <v>45666</v>
      </c>
      <c r="V5" s="273"/>
      <c r="W5" s="274"/>
      <c r="X5" s="184"/>
      <c r="Y5" s="185" t="s">
        <v>427</v>
      </c>
      <c r="Z5" s="256" t="s">
        <v>1119</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7">
        <v>45666</v>
      </c>
      <c r="U6" s="271">
        <v>45666</v>
      </c>
      <c r="V6" s="273"/>
      <c r="W6" s="274"/>
      <c r="X6" s="184"/>
      <c r="Y6" s="185" t="s">
        <v>427</v>
      </c>
      <c r="Z6" s="256" t="s">
        <v>1119</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7">
        <v>45663</v>
      </c>
      <c r="U7" s="271">
        <v>45663</v>
      </c>
      <c r="V7" s="273"/>
      <c r="W7" s="274"/>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7">
        <v>45663</v>
      </c>
      <c r="U8" s="271">
        <v>45663</v>
      </c>
      <c r="V8" s="273"/>
      <c r="W8" s="274"/>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7">
        <v>45663</v>
      </c>
      <c r="U9" s="271">
        <v>45663</v>
      </c>
      <c r="V9" s="273"/>
      <c r="W9" s="274"/>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7">
        <v>45663</v>
      </c>
      <c r="U10" s="275"/>
      <c r="V10" s="273">
        <v>45665</v>
      </c>
      <c r="W10" s="274"/>
      <c r="X10" s="184"/>
      <c r="Y10" s="185" t="s">
        <v>435</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7">
        <v>45663</v>
      </c>
      <c r="U11" s="275">
        <v>45663</v>
      </c>
      <c r="V11" s="273"/>
      <c r="W11" s="274"/>
      <c r="X11" s="184"/>
      <c r="Y11" s="185" t="s">
        <v>435</v>
      </c>
    </row>
    <row r="12" spans="1:26" ht="11.4" x14ac:dyDescent="0.15">
      <c r="A12" s="175">
        <f t="shared" si="1"/>
        <v>10</v>
      </c>
      <c r="B12" s="176"/>
      <c r="C12" s="176"/>
      <c r="D12" s="176"/>
      <c r="E12" s="176"/>
      <c r="F12" s="186" t="s">
        <v>440</v>
      </c>
      <c r="G12" s="227" t="s">
        <v>55</v>
      </c>
      <c r="H12" s="177"/>
      <c r="I12" s="178"/>
      <c r="J12" s="178"/>
      <c r="K12" s="179"/>
      <c r="L12" s="177"/>
      <c r="M12" s="178"/>
      <c r="N12" s="178"/>
      <c r="O12" s="180"/>
      <c r="P12" s="180" t="s">
        <v>56</v>
      </c>
      <c r="Q12" s="180"/>
      <c r="R12" s="180"/>
      <c r="S12" s="180"/>
      <c r="T12" s="267">
        <v>45663</v>
      </c>
      <c r="U12" s="275"/>
      <c r="V12" s="273">
        <v>45665</v>
      </c>
      <c r="W12" s="274"/>
      <c r="X12" s="184"/>
      <c r="Y12" s="185" t="s">
        <v>435</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7">
        <v>45664</v>
      </c>
      <c r="U13" s="271">
        <v>45664</v>
      </c>
      <c r="V13" s="273"/>
      <c r="W13" s="274"/>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7">
        <v>45664</v>
      </c>
      <c r="U14" s="271">
        <v>45664</v>
      </c>
      <c r="V14" s="273"/>
      <c r="W14" s="274"/>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7">
        <v>45664</v>
      </c>
      <c r="U15" s="271">
        <v>45664</v>
      </c>
      <c r="V15" s="273"/>
      <c r="W15" s="274"/>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7">
        <v>45664</v>
      </c>
      <c r="U16" s="271">
        <v>45664</v>
      </c>
      <c r="V16" s="273"/>
      <c r="W16" s="274"/>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7">
        <v>45664</v>
      </c>
      <c r="U17" s="271">
        <v>45664</v>
      </c>
      <c r="V17" s="273"/>
      <c r="W17" s="274"/>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7">
        <v>45664</v>
      </c>
      <c r="U18" s="271">
        <v>45664</v>
      </c>
      <c r="V18" s="273"/>
      <c r="W18" s="274"/>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7">
        <v>45664</v>
      </c>
      <c r="U19" s="271">
        <v>45664</v>
      </c>
      <c r="V19" s="273"/>
      <c r="W19" s="274"/>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7">
        <v>45664</v>
      </c>
      <c r="U20" s="271">
        <v>45664</v>
      </c>
      <c r="V20" s="273"/>
      <c r="W20" s="274"/>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7">
        <v>45664</v>
      </c>
      <c r="U21" s="271">
        <v>45664</v>
      </c>
      <c r="V21" s="273"/>
      <c r="W21" s="274"/>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7">
        <v>45666</v>
      </c>
      <c r="U22" s="271">
        <v>45666</v>
      </c>
      <c r="V22" s="273"/>
      <c r="W22" s="274"/>
      <c r="X22" s="184"/>
      <c r="Y22" s="185" t="s">
        <v>435</v>
      </c>
      <c r="Z22" s="256" t="s">
        <v>1119</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7">
        <v>45665</v>
      </c>
      <c r="U23" s="271">
        <v>45665</v>
      </c>
      <c r="V23" s="273"/>
      <c r="W23" s="274"/>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7">
        <v>45665</v>
      </c>
      <c r="U24" s="271">
        <v>45665</v>
      </c>
      <c r="V24" s="273"/>
      <c r="W24" s="274"/>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7">
        <v>45665</v>
      </c>
      <c r="U25" s="271">
        <v>45665</v>
      </c>
      <c r="V25" s="273"/>
      <c r="W25" s="274"/>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7">
        <v>45665</v>
      </c>
      <c r="U26" s="271">
        <v>45665</v>
      </c>
      <c r="V26" s="273"/>
      <c r="W26" s="274"/>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7">
        <v>45665</v>
      </c>
      <c r="U27" s="271">
        <v>45665</v>
      </c>
      <c r="V27" s="273"/>
      <c r="W27" s="274"/>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7">
        <v>45665</v>
      </c>
      <c r="U28" s="271">
        <v>45665</v>
      </c>
      <c r="V28" s="273"/>
      <c r="W28" s="274"/>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7">
        <v>45665</v>
      </c>
      <c r="U29" s="271">
        <v>45665</v>
      </c>
      <c r="V29" s="273"/>
      <c r="W29" s="274"/>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7">
        <v>45665</v>
      </c>
      <c r="U30" s="271">
        <v>45665</v>
      </c>
      <c r="V30" s="273"/>
      <c r="W30" s="274"/>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7">
        <v>45665</v>
      </c>
      <c r="U31" s="271">
        <v>45665</v>
      </c>
      <c r="V31" s="273"/>
      <c r="W31" s="274"/>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7">
        <v>45665</v>
      </c>
      <c r="U32" s="271">
        <v>45665</v>
      </c>
      <c r="V32" s="273"/>
      <c r="W32" s="274"/>
      <c r="X32" s="184"/>
      <c r="Y32" s="185" t="s">
        <v>435</v>
      </c>
    </row>
    <row r="33" spans="1:26"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7">
        <v>45665</v>
      </c>
      <c r="U33" s="271">
        <v>45665</v>
      </c>
      <c r="V33" s="273"/>
      <c r="W33" s="274"/>
      <c r="X33" s="184"/>
      <c r="Y33" s="185" t="s">
        <v>435</v>
      </c>
    </row>
    <row r="34" spans="1:26"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7">
        <v>45665</v>
      </c>
      <c r="U34" s="271">
        <v>45665</v>
      </c>
      <c r="V34" s="278"/>
      <c r="W34" s="274"/>
      <c r="X34" s="184"/>
      <c r="Y34" s="185" t="s">
        <v>435</v>
      </c>
    </row>
    <row r="35" spans="1:26"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7">
        <v>45663</v>
      </c>
      <c r="U35" s="276"/>
      <c r="V35" s="279">
        <v>45663</v>
      </c>
      <c r="W35" s="277"/>
      <c r="X35" s="184"/>
      <c r="Y35" s="185" t="s">
        <v>1117</v>
      </c>
    </row>
    <row r="36" spans="1:26"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7">
        <v>45665</v>
      </c>
      <c r="U36" s="271"/>
      <c r="V36" s="273">
        <v>45665</v>
      </c>
      <c r="W36" s="274"/>
      <c r="X36" s="184"/>
      <c r="Y36" s="185" t="s">
        <v>468</v>
      </c>
    </row>
    <row r="37" spans="1:26"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7">
        <v>45665</v>
      </c>
      <c r="U37" s="271"/>
      <c r="V37" s="273">
        <v>45665</v>
      </c>
      <c r="W37" s="274"/>
      <c r="X37" s="184"/>
      <c r="Y37" s="185" t="s">
        <v>469</v>
      </c>
    </row>
    <row r="38" spans="1:26"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7">
        <v>45665</v>
      </c>
      <c r="U38" s="271"/>
      <c r="V38" s="273">
        <v>45665</v>
      </c>
      <c r="W38" s="274"/>
      <c r="X38" s="184"/>
      <c r="Y38" s="185" t="s">
        <v>470</v>
      </c>
    </row>
    <row r="39" spans="1:26"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7">
        <v>45665</v>
      </c>
      <c r="U39" s="271"/>
      <c r="V39" s="273">
        <v>45665</v>
      </c>
      <c r="W39" s="274"/>
      <c r="X39" s="184"/>
      <c r="Y39" s="185" t="s">
        <v>471</v>
      </c>
    </row>
    <row r="40" spans="1:26"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7">
        <v>45663</v>
      </c>
      <c r="U40" s="271">
        <v>45663</v>
      </c>
      <c r="V40" s="273"/>
      <c r="W40" s="274"/>
      <c r="X40" s="184"/>
      <c r="Y40" s="185" t="s">
        <v>472</v>
      </c>
    </row>
    <row r="41" spans="1:26" ht="11.4" x14ac:dyDescent="0.15">
      <c r="A41" s="175">
        <f t="shared" si="2"/>
        <v>39</v>
      </c>
      <c r="B41" s="176"/>
      <c r="C41" s="176"/>
      <c r="D41" s="176" t="s">
        <v>63</v>
      </c>
      <c r="E41" s="176" t="s">
        <v>473</v>
      </c>
      <c r="F41" s="186"/>
      <c r="G41" s="227" t="s">
        <v>64</v>
      </c>
      <c r="H41" s="177"/>
      <c r="I41" s="178"/>
      <c r="J41" s="178"/>
      <c r="K41" s="179"/>
      <c r="L41" s="177"/>
      <c r="M41" s="178"/>
      <c r="N41" s="178"/>
      <c r="O41" s="180"/>
      <c r="P41" s="180"/>
      <c r="Q41" s="180"/>
      <c r="R41" s="180" t="s">
        <v>61</v>
      </c>
      <c r="S41" s="180"/>
      <c r="T41" s="267">
        <v>45663</v>
      </c>
      <c r="U41" s="272"/>
      <c r="V41" s="273"/>
      <c r="W41" s="274"/>
      <c r="X41" s="184"/>
      <c r="Y41" s="185" t="s">
        <v>474</v>
      </c>
    </row>
    <row r="42" spans="1:26" ht="11.4" x14ac:dyDescent="0.15">
      <c r="A42" s="175">
        <f t="shared" si="2"/>
        <v>40</v>
      </c>
      <c r="B42" s="176"/>
      <c r="C42" s="176"/>
      <c r="D42" s="176"/>
      <c r="E42" s="176" t="s">
        <v>475</v>
      </c>
      <c r="F42" s="186"/>
      <c r="G42" s="227" t="s">
        <v>64</v>
      </c>
      <c r="H42" s="177"/>
      <c r="I42" s="178"/>
      <c r="J42" s="178"/>
      <c r="K42" s="179"/>
      <c r="L42" s="177"/>
      <c r="M42" s="178"/>
      <c r="N42" s="178"/>
      <c r="O42" s="180"/>
      <c r="P42" s="180"/>
      <c r="Q42" s="180"/>
      <c r="R42" s="180" t="s">
        <v>61</v>
      </c>
      <c r="S42" s="180"/>
      <c r="T42" s="267">
        <v>45663</v>
      </c>
      <c r="U42" s="272"/>
      <c r="V42" s="273"/>
      <c r="W42" s="274"/>
      <c r="X42" s="184"/>
      <c r="Y42" s="185" t="s">
        <v>476</v>
      </c>
    </row>
    <row r="43" spans="1:26" ht="11.4" x14ac:dyDescent="0.15">
      <c r="A43" s="175">
        <f t="shared" si="2"/>
        <v>41</v>
      </c>
      <c r="B43" s="176"/>
      <c r="C43" s="176"/>
      <c r="D43" s="176"/>
      <c r="E43" s="176" t="s">
        <v>431</v>
      </c>
      <c r="F43" s="186"/>
      <c r="G43" s="227" t="s">
        <v>64</v>
      </c>
      <c r="H43" s="177"/>
      <c r="I43" s="178"/>
      <c r="J43" s="178"/>
      <c r="K43" s="179"/>
      <c r="L43" s="177"/>
      <c r="M43" s="178"/>
      <c r="N43" s="178"/>
      <c r="O43" s="180"/>
      <c r="P43" s="180"/>
      <c r="Q43" s="180"/>
      <c r="R43" s="180" t="s">
        <v>61</v>
      </c>
      <c r="S43" s="180"/>
      <c r="T43" s="267">
        <v>45663</v>
      </c>
      <c r="U43" s="272"/>
      <c r="V43" s="273"/>
      <c r="W43" s="274"/>
      <c r="X43" s="184"/>
      <c r="Y43" s="185" t="s">
        <v>477</v>
      </c>
      <c r="Z43" s="236" t="s">
        <v>65</v>
      </c>
    </row>
    <row r="44" spans="1:26" ht="11.4" x14ac:dyDescent="0.15">
      <c r="A44" s="175">
        <f t="shared" si="2"/>
        <v>42</v>
      </c>
      <c r="B44" s="176"/>
      <c r="C44" s="176"/>
      <c r="D44" s="176"/>
      <c r="E44" s="176" t="s">
        <v>66</v>
      </c>
      <c r="F44" s="186"/>
      <c r="G44" s="227" t="s">
        <v>64</v>
      </c>
      <c r="H44" s="177"/>
      <c r="I44" s="178"/>
      <c r="J44" s="178"/>
      <c r="K44" s="179"/>
      <c r="L44" s="177"/>
      <c r="M44" s="178"/>
      <c r="N44" s="178"/>
      <c r="O44" s="180"/>
      <c r="P44" s="180"/>
      <c r="Q44" s="180"/>
      <c r="R44" s="180" t="s">
        <v>61</v>
      </c>
      <c r="S44" s="180"/>
      <c r="T44" s="267">
        <v>45663</v>
      </c>
      <c r="U44" s="272"/>
      <c r="V44" s="273"/>
      <c r="W44" s="274"/>
      <c r="X44" s="184"/>
      <c r="Y44" s="185" t="s">
        <v>67</v>
      </c>
      <c r="Z44" s="236" t="s">
        <v>65</v>
      </c>
    </row>
    <row r="45" spans="1:26"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7">
        <v>45663</v>
      </c>
      <c r="U45" s="275">
        <v>45666</v>
      </c>
      <c r="V45" s="273"/>
      <c r="W45" s="274"/>
      <c r="X45" s="184"/>
      <c r="Y45" s="185" t="s">
        <v>69</v>
      </c>
    </row>
    <row r="46" spans="1:26" ht="11.4" x14ac:dyDescent="0.15">
      <c r="A46" s="175">
        <f t="shared" si="2"/>
        <v>44</v>
      </c>
      <c r="B46" s="176"/>
      <c r="C46" s="176"/>
      <c r="D46" s="176" t="s">
        <v>72</v>
      </c>
      <c r="E46" s="176" t="s">
        <v>73</v>
      </c>
      <c r="F46" s="186"/>
      <c r="G46" s="227" t="s">
        <v>64</v>
      </c>
      <c r="H46" s="177"/>
      <c r="I46" s="178"/>
      <c r="J46" s="178"/>
      <c r="K46" s="179"/>
      <c r="L46" s="177"/>
      <c r="M46" s="178"/>
      <c r="N46" s="178"/>
      <c r="O46" s="180"/>
      <c r="P46" s="180"/>
      <c r="Q46" s="180"/>
      <c r="R46" s="180" t="s">
        <v>61</v>
      </c>
      <c r="S46" s="180"/>
      <c r="T46" s="267">
        <v>45663</v>
      </c>
      <c r="U46" s="272"/>
      <c r="V46" s="273"/>
      <c r="W46" s="274"/>
      <c r="X46" s="184"/>
      <c r="Y46" s="185" t="s">
        <v>71</v>
      </c>
    </row>
    <row r="47" spans="1:26"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7">
        <v>45663</v>
      </c>
      <c r="U47" s="271">
        <v>45663</v>
      </c>
      <c r="V47" s="273"/>
      <c r="W47" s="274"/>
      <c r="X47" s="184"/>
      <c r="Y47" s="185" t="s">
        <v>478</v>
      </c>
    </row>
    <row r="48" spans="1:26"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7">
        <v>45666</v>
      </c>
      <c r="U48" s="271"/>
      <c r="V48" s="273">
        <v>45666</v>
      </c>
      <c r="W48" s="274"/>
      <c r="X48" s="184"/>
      <c r="Y48" s="185" t="s">
        <v>480</v>
      </c>
    </row>
    <row r="49" spans="1:25"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7">
        <v>45666</v>
      </c>
      <c r="U49" s="271">
        <v>45666</v>
      </c>
      <c r="V49" s="273"/>
      <c r="W49" s="274"/>
      <c r="X49" s="184"/>
      <c r="Y49" s="185" t="s">
        <v>482</v>
      </c>
    </row>
    <row r="50" spans="1:25"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7">
        <v>45666</v>
      </c>
      <c r="U50" s="271">
        <v>45666</v>
      </c>
      <c r="V50" s="273"/>
      <c r="W50" s="274"/>
      <c r="X50" s="184"/>
      <c r="Y50" s="185" t="s">
        <v>484</v>
      </c>
    </row>
    <row r="51" spans="1:25"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7">
        <v>45663</v>
      </c>
      <c r="U51" s="271">
        <v>45663</v>
      </c>
      <c r="V51" s="273"/>
      <c r="W51" s="274"/>
      <c r="X51" s="184"/>
      <c r="Y51" s="185" t="s">
        <v>485</v>
      </c>
    </row>
    <row r="52" spans="1:25"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7">
        <v>45663</v>
      </c>
      <c r="U52" s="271">
        <v>45663</v>
      </c>
      <c r="V52" s="273"/>
      <c r="W52" s="274"/>
      <c r="X52" s="184"/>
      <c r="Y52" s="185" t="s">
        <v>485</v>
      </c>
    </row>
    <row r="53" spans="1:25"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7">
        <v>45663</v>
      </c>
      <c r="U53" s="275">
        <v>45663</v>
      </c>
      <c r="V53" s="273"/>
      <c r="W53" s="274"/>
      <c r="X53" s="184"/>
      <c r="Y53" s="185" t="s">
        <v>485</v>
      </c>
    </row>
    <row r="54" spans="1:25"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7">
        <v>45663</v>
      </c>
      <c r="U54" s="275"/>
      <c r="V54" s="273">
        <v>45665</v>
      </c>
      <c r="W54" s="274"/>
      <c r="X54" s="184"/>
      <c r="Y54" s="185" t="s">
        <v>485</v>
      </c>
    </row>
    <row r="55" spans="1:25"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7">
        <v>45663</v>
      </c>
      <c r="U55" s="275">
        <v>45663</v>
      </c>
      <c r="V55" s="273"/>
      <c r="W55" s="274"/>
      <c r="X55" s="184"/>
      <c r="Y55" s="185" t="s">
        <v>485</v>
      </c>
    </row>
    <row r="56" spans="1:25" ht="11.4" x14ac:dyDescent="0.15">
      <c r="A56" s="175">
        <f t="shared" si="2"/>
        <v>54</v>
      </c>
      <c r="B56" s="176"/>
      <c r="C56" s="176"/>
      <c r="D56" s="176"/>
      <c r="E56" s="176"/>
      <c r="F56" s="186" t="s">
        <v>440</v>
      </c>
      <c r="G56" s="227" t="s">
        <v>55</v>
      </c>
      <c r="H56" s="177"/>
      <c r="I56" s="178"/>
      <c r="J56" s="178"/>
      <c r="K56" s="179"/>
      <c r="L56" s="177"/>
      <c r="M56" s="178"/>
      <c r="N56" s="178"/>
      <c r="O56" s="180"/>
      <c r="P56" s="180" t="s">
        <v>56</v>
      </c>
      <c r="Q56" s="180"/>
      <c r="R56" s="180"/>
      <c r="S56" s="180"/>
      <c r="T56" s="267">
        <v>45663</v>
      </c>
      <c r="U56" s="275"/>
      <c r="V56" s="273">
        <v>45665</v>
      </c>
      <c r="W56" s="274"/>
      <c r="X56" s="184"/>
      <c r="Y56" s="185" t="s">
        <v>485</v>
      </c>
    </row>
    <row r="57" spans="1:25"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7">
        <v>45666</v>
      </c>
      <c r="U57" s="271"/>
      <c r="V57" s="273">
        <v>45666</v>
      </c>
      <c r="W57" s="274"/>
      <c r="X57" s="184"/>
      <c r="Y57" s="185" t="s">
        <v>485</v>
      </c>
    </row>
    <row r="58" spans="1:25"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7">
        <v>45666</v>
      </c>
      <c r="U58" s="271"/>
      <c r="V58" s="273">
        <v>45666</v>
      </c>
      <c r="W58" s="274"/>
      <c r="X58" s="184"/>
      <c r="Y58" s="185" t="s">
        <v>485</v>
      </c>
    </row>
    <row r="59" spans="1:25"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7">
        <v>45666</v>
      </c>
      <c r="U59" s="271"/>
      <c r="V59" s="273">
        <v>45666</v>
      </c>
      <c r="W59" s="274"/>
      <c r="X59" s="184"/>
      <c r="Y59" s="185" t="s">
        <v>1111</v>
      </c>
    </row>
    <row r="60" spans="1:25" ht="11.4" x14ac:dyDescent="0.15">
      <c r="A60" s="280">
        <f t="shared" si="2"/>
        <v>58</v>
      </c>
      <c r="B60" s="281"/>
      <c r="C60" s="281"/>
      <c r="D60" s="281"/>
      <c r="E60" s="281"/>
      <c r="F60" s="282" t="s">
        <v>489</v>
      </c>
      <c r="G60" s="283" t="s">
        <v>55</v>
      </c>
      <c r="H60" s="284"/>
      <c r="I60" s="285"/>
      <c r="J60" s="285"/>
      <c r="K60" s="286"/>
      <c r="L60" s="284"/>
      <c r="M60" s="285"/>
      <c r="N60" s="285"/>
      <c r="O60" s="287"/>
      <c r="P60" s="287" t="s">
        <v>56</v>
      </c>
      <c r="Q60" s="287"/>
      <c r="R60" s="287"/>
      <c r="S60" s="287"/>
      <c r="T60" s="288"/>
      <c r="U60" s="289"/>
      <c r="V60" s="290"/>
      <c r="W60" s="291"/>
      <c r="X60" s="292"/>
      <c r="Y60" s="293" t="s">
        <v>485</v>
      </c>
    </row>
    <row r="61" spans="1:25" ht="11.4" x14ac:dyDescent="0.15">
      <c r="A61" s="280">
        <f t="shared" si="2"/>
        <v>59</v>
      </c>
      <c r="B61" s="281"/>
      <c r="C61" s="281"/>
      <c r="D61" s="281"/>
      <c r="E61" s="281"/>
      <c r="F61" s="282" t="s">
        <v>490</v>
      </c>
      <c r="G61" s="283" t="s">
        <v>55</v>
      </c>
      <c r="H61" s="284"/>
      <c r="I61" s="285"/>
      <c r="J61" s="285"/>
      <c r="K61" s="286"/>
      <c r="L61" s="284"/>
      <c r="M61" s="285"/>
      <c r="N61" s="285"/>
      <c r="O61" s="287"/>
      <c r="P61" s="287" t="s">
        <v>56</v>
      </c>
      <c r="Q61" s="287"/>
      <c r="R61" s="287"/>
      <c r="S61" s="287"/>
      <c r="T61" s="288"/>
      <c r="U61" s="289"/>
      <c r="V61" s="290"/>
      <c r="W61" s="291"/>
      <c r="X61" s="292"/>
      <c r="Y61" s="293" t="s">
        <v>485</v>
      </c>
    </row>
    <row r="62" spans="1:25" ht="11.4" x14ac:dyDescent="0.15">
      <c r="A62" s="280">
        <f t="shared" si="2"/>
        <v>60</v>
      </c>
      <c r="B62" s="281"/>
      <c r="C62" s="281"/>
      <c r="D62" s="281"/>
      <c r="E62" s="281"/>
      <c r="F62" s="282" t="s">
        <v>491</v>
      </c>
      <c r="G62" s="283" t="s">
        <v>55</v>
      </c>
      <c r="H62" s="284"/>
      <c r="I62" s="285"/>
      <c r="J62" s="285"/>
      <c r="K62" s="286"/>
      <c r="L62" s="284"/>
      <c r="M62" s="285"/>
      <c r="N62" s="285"/>
      <c r="O62" s="287"/>
      <c r="P62" s="287" t="s">
        <v>56</v>
      </c>
      <c r="Q62" s="287"/>
      <c r="R62" s="287"/>
      <c r="S62" s="287"/>
      <c r="T62" s="288"/>
      <c r="U62" s="289"/>
      <c r="V62" s="290"/>
      <c r="W62" s="291"/>
      <c r="X62" s="292"/>
      <c r="Y62" s="293" t="s">
        <v>485</v>
      </c>
    </row>
    <row r="63" spans="1:25"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7">
        <v>45664</v>
      </c>
      <c r="U63" s="271">
        <v>45664</v>
      </c>
      <c r="V63" s="273"/>
      <c r="W63" s="274"/>
      <c r="X63" s="184"/>
      <c r="Y63" s="185" t="s">
        <v>485</v>
      </c>
    </row>
    <row r="64" spans="1:25"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7">
        <v>45664</v>
      </c>
      <c r="U64" s="271">
        <v>45664</v>
      </c>
      <c r="V64" s="273"/>
      <c r="W64" s="274"/>
      <c r="X64" s="184"/>
      <c r="Y64" s="185" t="s">
        <v>485</v>
      </c>
    </row>
    <row r="65" spans="1:25"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7">
        <v>45664</v>
      </c>
      <c r="U65" s="271">
        <v>45664</v>
      </c>
      <c r="V65" s="273"/>
      <c r="W65" s="274"/>
      <c r="X65" s="184"/>
      <c r="Y65" s="185" t="s">
        <v>485</v>
      </c>
    </row>
    <row r="66" spans="1:25"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7">
        <v>45664</v>
      </c>
      <c r="U66" s="271">
        <v>45664</v>
      </c>
      <c r="V66" s="273"/>
      <c r="W66" s="274"/>
      <c r="X66" s="184"/>
      <c r="Y66" s="185" t="s">
        <v>485</v>
      </c>
    </row>
    <row r="67" spans="1:25"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7">
        <v>45664</v>
      </c>
      <c r="U67" s="271">
        <v>45664</v>
      </c>
      <c r="V67" s="273"/>
      <c r="W67" s="274"/>
      <c r="X67" s="184"/>
      <c r="Y67" s="185" t="s">
        <v>485</v>
      </c>
    </row>
    <row r="68" spans="1:25"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7">
        <v>45664</v>
      </c>
      <c r="U68" s="271">
        <v>45664</v>
      </c>
      <c r="V68" s="273"/>
      <c r="W68" s="274"/>
      <c r="X68" s="184"/>
      <c r="Y68" s="185" t="s">
        <v>485</v>
      </c>
    </row>
    <row r="69" spans="1:25"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7">
        <v>45664</v>
      </c>
      <c r="U69" s="271">
        <v>45664</v>
      </c>
      <c r="V69" s="273"/>
      <c r="W69" s="274"/>
      <c r="X69" s="184"/>
      <c r="Y69" s="185" t="s">
        <v>485</v>
      </c>
    </row>
    <row r="70" spans="1:25"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7">
        <v>45664</v>
      </c>
      <c r="U70" s="271">
        <v>45664</v>
      </c>
      <c r="V70" s="273"/>
      <c r="W70" s="274"/>
      <c r="X70" s="184"/>
      <c r="Y70" s="185" t="s">
        <v>485</v>
      </c>
    </row>
    <row r="71" spans="1:25"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7">
        <v>45664</v>
      </c>
      <c r="U71" s="271">
        <v>45664</v>
      </c>
      <c r="V71" s="273"/>
      <c r="W71" s="274"/>
      <c r="X71" s="184"/>
      <c r="Y71" s="185" t="s">
        <v>485</v>
      </c>
    </row>
    <row r="72" spans="1:25"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7">
        <v>45666</v>
      </c>
      <c r="U72" s="271">
        <v>45666</v>
      </c>
      <c r="V72" s="273"/>
      <c r="W72" s="274"/>
      <c r="X72" s="184"/>
      <c r="Y72" s="185" t="s">
        <v>485</v>
      </c>
    </row>
    <row r="73" spans="1:25"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7">
        <v>45666</v>
      </c>
      <c r="U73" s="271">
        <v>45666</v>
      </c>
      <c r="V73" s="273"/>
      <c r="W73" s="274"/>
      <c r="X73" s="184"/>
      <c r="Y73" s="185" t="s">
        <v>485</v>
      </c>
    </row>
    <row r="74" spans="1:25" ht="11.4" x14ac:dyDescent="0.15">
      <c r="A74" s="175">
        <f t="shared" si="2"/>
        <v>72</v>
      </c>
      <c r="B74" s="176"/>
      <c r="C74" s="176"/>
      <c r="D74" s="176"/>
      <c r="E74" s="176"/>
      <c r="F74" s="186" t="s">
        <v>496</v>
      </c>
      <c r="G74" s="227" t="s">
        <v>55</v>
      </c>
      <c r="H74" s="177"/>
      <c r="I74" s="178"/>
      <c r="J74" s="178"/>
      <c r="K74" s="179"/>
      <c r="L74" s="177"/>
      <c r="M74" s="178"/>
      <c r="N74" s="178"/>
      <c r="O74" s="180"/>
      <c r="P74" s="180" t="s">
        <v>56</v>
      </c>
      <c r="Q74" s="180"/>
      <c r="R74" s="180"/>
      <c r="S74" s="180"/>
      <c r="T74" s="267">
        <v>45666</v>
      </c>
      <c r="U74" s="272"/>
      <c r="V74" s="273"/>
      <c r="W74" s="274"/>
      <c r="X74" s="184"/>
      <c r="Y74" s="185" t="s">
        <v>485</v>
      </c>
    </row>
    <row r="75" spans="1:25"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7">
        <v>45665</v>
      </c>
      <c r="U75" s="271">
        <v>45665</v>
      </c>
      <c r="V75" s="273"/>
      <c r="W75" s="274"/>
      <c r="X75" s="184"/>
      <c r="Y75" s="185" t="s">
        <v>485</v>
      </c>
    </row>
    <row r="76" spans="1:25"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7">
        <v>45665</v>
      </c>
      <c r="U76" s="271">
        <v>45665</v>
      </c>
      <c r="V76" s="273"/>
      <c r="W76" s="274"/>
      <c r="X76" s="184"/>
      <c r="Y76" s="185" t="s">
        <v>485</v>
      </c>
    </row>
    <row r="77" spans="1:25"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7">
        <v>45665</v>
      </c>
      <c r="U77" s="271">
        <v>45665</v>
      </c>
      <c r="V77" s="273"/>
      <c r="W77" s="274"/>
      <c r="X77" s="184"/>
      <c r="Y77" s="185" t="s">
        <v>485</v>
      </c>
    </row>
    <row r="78" spans="1:25"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7">
        <v>45665</v>
      </c>
      <c r="U78" s="271">
        <v>45665</v>
      </c>
      <c r="V78" s="273"/>
      <c r="W78" s="274"/>
      <c r="X78" s="184"/>
      <c r="Y78" s="185" t="s">
        <v>485</v>
      </c>
    </row>
    <row r="79" spans="1:25"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7">
        <v>45665</v>
      </c>
      <c r="U79" s="271">
        <v>45665</v>
      </c>
      <c r="V79" s="273"/>
      <c r="W79" s="274"/>
      <c r="X79" s="184"/>
      <c r="Y79" s="185" t="s">
        <v>485</v>
      </c>
    </row>
    <row r="80" spans="1:25"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7">
        <v>45665</v>
      </c>
      <c r="U80" s="271">
        <v>45665</v>
      </c>
      <c r="V80" s="273"/>
      <c r="W80" s="274"/>
      <c r="X80" s="184"/>
      <c r="Y80" s="185" t="s">
        <v>485</v>
      </c>
    </row>
    <row r="81" spans="1:26"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7">
        <v>45663</v>
      </c>
      <c r="U81" s="271">
        <v>45663</v>
      </c>
      <c r="V81" s="273"/>
      <c r="W81" s="274"/>
      <c r="X81" s="184"/>
      <c r="Y81" s="185" t="s">
        <v>500</v>
      </c>
    </row>
    <row r="82" spans="1:26" ht="11.4" x14ac:dyDescent="0.15">
      <c r="A82" s="175">
        <f t="shared" si="2"/>
        <v>80</v>
      </c>
      <c r="B82" s="176"/>
      <c r="C82" s="176"/>
      <c r="D82" s="176" t="s">
        <v>63</v>
      </c>
      <c r="E82" s="176" t="s">
        <v>501</v>
      </c>
      <c r="F82" s="186"/>
      <c r="G82" s="227" t="s">
        <v>64</v>
      </c>
      <c r="H82" s="177"/>
      <c r="I82" s="178"/>
      <c r="J82" s="178"/>
      <c r="K82" s="179"/>
      <c r="L82" s="177"/>
      <c r="M82" s="178"/>
      <c r="N82" s="178"/>
      <c r="O82" s="180"/>
      <c r="P82" s="180"/>
      <c r="Q82" s="180"/>
      <c r="R82" s="180" t="s">
        <v>61</v>
      </c>
      <c r="S82" s="180"/>
      <c r="T82" s="267">
        <v>45663</v>
      </c>
      <c r="U82" s="272"/>
      <c r="V82" s="273"/>
      <c r="W82" s="274"/>
      <c r="X82" s="184"/>
      <c r="Y82" s="185" t="s">
        <v>87</v>
      </c>
      <c r="Z82" s="236" t="s">
        <v>65</v>
      </c>
    </row>
    <row r="83" spans="1:26"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7">
        <v>45663</v>
      </c>
      <c r="U83" s="271">
        <v>45663</v>
      </c>
      <c r="V83" s="273"/>
      <c r="W83" s="274"/>
      <c r="X83" s="184"/>
      <c r="Y83" s="185" t="s">
        <v>69</v>
      </c>
    </row>
    <row r="84" spans="1:26" ht="11.4" x14ac:dyDescent="0.15">
      <c r="A84" s="175">
        <f t="shared" si="2"/>
        <v>82</v>
      </c>
      <c r="B84" s="176"/>
      <c r="C84" s="176"/>
      <c r="D84" s="176"/>
      <c r="E84" s="176" t="s">
        <v>70</v>
      </c>
      <c r="F84" s="186"/>
      <c r="G84" s="227" t="s">
        <v>64</v>
      </c>
      <c r="H84" s="177"/>
      <c r="I84" s="178"/>
      <c r="J84" s="178"/>
      <c r="K84" s="179"/>
      <c r="L84" s="177"/>
      <c r="M84" s="178"/>
      <c r="N84" s="178"/>
      <c r="O84" s="180"/>
      <c r="P84" s="180"/>
      <c r="Q84" s="180"/>
      <c r="R84" s="180" t="s">
        <v>61</v>
      </c>
      <c r="S84" s="180"/>
      <c r="T84" s="267">
        <v>45663</v>
      </c>
      <c r="U84" s="272"/>
      <c r="V84" s="273"/>
      <c r="W84" s="274"/>
      <c r="X84" s="184"/>
      <c r="Y84" s="185" t="s">
        <v>71</v>
      </c>
    </row>
    <row r="85" spans="1:26"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7">
        <v>45666</v>
      </c>
      <c r="U85" s="271">
        <v>45666</v>
      </c>
      <c r="V85" s="273"/>
      <c r="W85" s="274"/>
      <c r="X85" s="184"/>
      <c r="Y85" s="185" t="s">
        <v>478</v>
      </c>
    </row>
    <row r="86" spans="1:26"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7">
        <v>45666</v>
      </c>
      <c r="U86" s="271">
        <v>45666</v>
      </c>
      <c r="V86" s="273"/>
      <c r="W86" s="274"/>
      <c r="X86" s="184"/>
      <c r="Y86" s="185" t="s">
        <v>482</v>
      </c>
    </row>
    <row r="87" spans="1:26"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7">
        <v>45666</v>
      </c>
      <c r="U87" s="271">
        <v>45666</v>
      </c>
      <c r="V87" s="273"/>
      <c r="W87" s="274"/>
      <c r="X87" s="184"/>
      <c r="Y87" s="185" t="s">
        <v>502</v>
      </c>
    </row>
    <row r="88" spans="1:26"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7">
        <v>45665</v>
      </c>
      <c r="U88" s="271">
        <v>45665</v>
      </c>
      <c r="V88" s="273"/>
      <c r="W88" s="274"/>
      <c r="X88" s="184"/>
      <c r="Y88" s="230" t="s">
        <v>104</v>
      </c>
    </row>
    <row r="89" spans="1:26"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7">
        <v>45663</v>
      </c>
      <c r="U89" s="271">
        <v>45663</v>
      </c>
      <c r="V89" s="273"/>
      <c r="W89" s="274"/>
      <c r="X89" s="184"/>
      <c r="Y89" s="185" t="s">
        <v>1118</v>
      </c>
    </row>
    <row r="90" spans="1:26"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7">
        <v>45663</v>
      </c>
      <c r="U90" s="271">
        <v>45663</v>
      </c>
      <c r="V90" s="273"/>
      <c r="W90" s="274"/>
      <c r="X90" s="184"/>
      <c r="Y90" s="185" t="s">
        <v>113</v>
      </c>
    </row>
    <row r="91" spans="1:26"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7">
        <v>45663</v>
      </c>
      <c r="U91" s="271">
        <v>45663</v>
      </c>
      <c r="V91" s="273"/>
      <c r="W91" s="274"/>
      <c r="X91" s="184"/>
      <c r="Y91" s="185" t="s">
        <v>114</v>
      </c>
    </row>
    <row r="92" spans="1:26"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7">
        <v>45663</v>
      </c>
      <c r="U92" s="271">
        <v>45663</v>
      </c>
      <c r="V92" s="273"/>
      <c r="W92" s="274"/>
      <c r="X92" s="184"/>
      <c r="Y92" s="185" t="s">
        <v>115</v>
      </c>
    </row>
    <row r="93" spans="1:26"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7">
        <v>45663</v>
      </c>
      <c r="U93" s="271">
        <v>45663</v>
      </c>
      <c r="V93" s="273"/>
      <c r="W93" s="274"/>
      <c r="X93" s="184"/>
      <c r="Y93" s="185" t="s">
        <v>116</v>
      </c>
    </row>
    <row r="94" spans="1:26"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7">
        <v>45663</v>
      </c>
      <c r="U94" s="271">
        <v>45663</v>
      </c>
      <c r="V94" s="273"/>
      <c r="W94" s="274"/>
      <c r="X94" s="184"/>
      <c r="Y94" s="185" t="s">
        <v>117</v>
      </c>
    </row>
    <row r="95" spans="1:26"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7">
        <v>45663</v>
      </c>
      <c r="U95" s="271">
        <v>45663</v>
      </c>
      <c r="V95" s="273"/>
      <c r="W95" s="274"/>
      <c r="X95" s="184"/>
      <c r="Y95" s="185" t="str">
        <f>"項目名:"&amp;Z95</f>
        <v>項目名:処理区分、値:A(登録)</v>
      </c>
      <c r="Z95" s="236" t="s">
        <v>508</v>
      </c>
    </row>
    <row r="96" spans="1:26"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7">
        <v>45663</v>
      </c>
      <c r="U96" s="271">
        <v>45663</v>
      </c>
      <c r="V96" s="273"/>
      <c r="W96" s="274"/>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7">
        <v>45663</v>
      </c>
      <c r="U97" s="271">
        <v>45663</v>
      </c>
      <c r="V97" s="273"/>
      <c r="W97" s="274"/>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7">
        <v>45663</v>
      </c>
      <c r="U98" s="271">
        <v>45663</v>
      </c>
      <c r="V98" s="273"/>
      <c r="W98" s="274"/>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7">
        <v>45663</v>
      </c>
      <c r="U99" s="271">
        <v>45663</v>
      </c>
      <c r="V99" s="273"/>
      <c r="W99" s="274"/>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7">
        <v>45663</v>
      </c>
      <c r="U100" s="271">
        <v>45663</v>
      </c>
      <c r="V100" s="273"/>
      <c r="W100" s="274"/>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7">
        <v>45663</v>
      </c>
      <c r="U101" s="271">
        <v>45663</v>
      </c>
      <c r="V101" s="273"/>
      <c r="W101" s="274"/>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7">
        <v>45663</v>
      </c>
      <c r="U102" s="271">
        <v>45663</v>
      </c>
      <c r="V102" s="273"/>
      <c r="W102" s="274"/>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7">
        <v>45663</v>
      </c>
      <c r="U103" s="271">
        <v>45663</v>
      </c>
      <c r="V103" s="273"/>
      <c r="W103" s="274"/>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7">
        <v>45663</v>
      </c>
      <c r="U104" s="271">
        <v>45663</v>
      </c>
      <c r="V104" s="273"/>
      <c r="W104" s="274"/>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7">
        <v>45663</v>
      </c>
      <c r="U105" s="271">
        <v>45663</v>
      </c>
      <c r="V105" s="273"/>
      <c r="W105" s="274"/>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7">
        <v>45663</v>
      </c>
      <c r="U106" s="271">
        <v>45663</v>
      </c>
      <c r="V106" s="273"/>
      <c r="W106" s="274"/>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7">
        <v>45663</v>
      </c>
      <c r="U107" s="275">
        <v>45665</v>
      </c>
      <c r="V107" s="273"/>
      <c r="W107" s="274"/>
      <c r="X107" s="184"/>
      <c r="Y107" s="185" t="str">
        <f>"項目名:"&amp;Z107</f>
        <v>項目名:ＶＦＤ表示名称</v>
      </c>
      <c r="Z107" s="236" t="s">
        <v>1105</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7">
        <v>45663</v>
      </c>
      <c r="U108" s="271">
        <v>45663</v>
      </c>
      <c r="V108" s="273"/>
      <c r="W108" s="274"/>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7">
        <v>45663</v>
      </c>
      <c r="U109" s="271">
        <v>45663</v>
      </c>
      <c r="V109" s="273"/>
      <c r="W109" s="274"/>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7">
        <v>45663</v>
      </c>
      <c r="U110" s="271">
        <v>45663</v>
      </c>
      <c r="V110" s="273"/>
      <c r="W110" s="274"/>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7">
        <v>45663</v>
      </c>
      <c r="U111" s="271">
        <v>45663</v>
      </c>
      <c r="V111" s="273"/>
      <c r="W111" s="274"/>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7">
        <v>45663</v>
      </c>
      <c r="U112" s="271">
        <v>45663</v>
      </c>
      <c r="V112" s="273"/>
      <c r="W112" s="274"/>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7">
        <v>45663</v>
      </c>
      <c r="U113" s="271">
        <v>45663</v>
      </c>
      <c r="V113" s="273"/>
      <c r="W113" s="274"/>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7">
        <v>45663</v>
      </c>
      <c r="U114" s="271">
        <v>45663</v>
      </c>
      <c r="V114" s="273"/>
      <c r="W114" s="274"/>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7">
        <v>45663</v>
      </c>
      <c r="U115" s="271">
        <v>45663</v>
      </c>
      <c r="V115" s="273"/>
      <c r="W115" s="274"/>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7">
        <v>45663</v>
      </c>
      <c r="U116" s="271">
        <v>45663</v>
      </c>
      <c r="V116" s="273"/>
      <c r="W116" s="274"/>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7">
        <v>45663</v>
      </c>
      <c r="U117" s="271">
        <v>45663</v>
      </c>
      <c r="V117" s="273"/>
      <c r="W117" s="274"/>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7">
        <v>45663</v>
      </c>
      <c r="U118" s="271">
        <v>45663</v>
      </c>
      <c r="V118" s="273"/>
      <c r="W118" s="274"/>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7">
        <v>45663</v>
      </c>
      <c r="U119" s="271">
        <v>45663</v>
      </c>
      <c r="V119" s="273"/>
      <c r="W119" s="274"/>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7">
        <v>45663</v>
      </c>
      <c r="U120" s="271">
        <v>45663</v>
      </c>
      <c r="V120" s="273"/>
      <c r="W120" s="274"/>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7">
        <v>45663</v>
      </c>
      <c r="U121" s="271">
        <v>45663</v>
      </c>
      <c r="V121" s="273"/>
      <c r="W121" s="274"/>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7">
        <v>45663</v>
      </c>
      <c r="U122" s="271">
        <v>45663</v>
      </c>
      <c r="V122" s="273"/>
      <c r="W122" s="274"/>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7">
        <v>45663</v>
      </c>
      <c r="U123" s="271">
        <v>45663</v>
      </c>
      <c r="V123" s="273"/>
      <c r="W123" s="274"/>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7">
        <v>45663</v>
      </c>
      <c r="U124" s="271">
        <v>45663</v>
      </c>
      <c r="V124" s="273"/>
      <c r="W124" s="274"/>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7">
        <v>45664</v>
      </c>
      <c r="U125" s="271">
        <v>45664</v>
      </c>
      <c r="V125" s="273"/>
      <c r="W125" s="274"/>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7">
        <v>45664</v>
      </c>
      <c r="U126" s="271">
        <v>45664</v>
      </c>
      <c r="V126" s="273"/>
      <c r="W126" s="274"/>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7">
        <v>45664</v>
      </c>
      <c r="U127" s="271">
        <v>45664</v>
      </c>
      <c r="V127" s="273"/>
      <c r="W127" s="274"/>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7">
        <v>45664</v>
      </c>
      <c r="U128" s="271">
        <v>45664</v>
      </c>
      <c r="V128" s="273"/>
      <c r="W128" s="274"/>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7">
        <v>45664</v>
      </c>
      <c r="U129" s="271">
        <v>45664</v>
      </c>
      <c r="V129" s="273"/>
      <c r="W129" s="274"/>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7">
        <v>45664</v>
      </c>
      <c r="U130" s="271">
        <v>45664</v>
      </c>
      <c r="V130" s="273"/>
      <c r="W130" s="274"/>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7">
        <v>45664</v>
      </c>
      <c r="U131" s="271">
        <v>45664</v>
      </c>
      <c r="V131" s="273"/>
      <c r="W131" s="274"/>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7">
        <v>45664</v>
      </c>
      <c r="U132" s="271">
        <v>45664</v>
      </c>
      <c r="V132" s="273"/>
      <c r="W132" s="274"/>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7">
        <v>45664</v>
      </c>
      <c r="U133" s="271">
        <v>45664</v>
      </c>
      <c r="V133" s="273"/>
      <c r="W133" s="274"/>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7">
        <v>45664</v>
      </c>
      <c r="U134" s="271">
        <v>45664</v>
      </c>
      <c r="V134" s="273"/>
      <c r="W134" s="274"/>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7">
        <v>45664</v>
      </c>
      <c r="U135" s="271">
        <v>45664</v>
      </c>
      <c r="V135" s="273"/>
      <c r="W135" s="274"/>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7">
        <v>45664</v>
      </c>
      <c r="U136" s="271">
        <v>45664</v>
      </c>
      <c r="V136" s="273"/>
      <c r="W136" s="274"/>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7">
        <v>45664</v>
      </c>
      <c r="U137" s="271">
        <v>45664</v>
      </c>
      <c r="V137" s="273"/>
      <c r="W137" s="274"/>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7">
        <v>45664</v>
      </c>
      <c r="U138" s="271">
        <v>45664</v>
      </c>
      <c r="V138" s="273"/>
      <c r="W138" s="274"/>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7">
        <v>45664</v>
      </c>
      <c r="U139" s="271">
        <v>45664</v>
      </c>
      <c r="V139" s="273"/>
      <c r="W139" s="274"/>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7">
        <v>45664</v>
      </c>
      <c r="U140" s="271">
        <v>45664</v>
      </c>
      <c r="V140" s="273"/>
      <c r="W140" s="274"/>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7">
        <v>45664</v>
      </c>
      <c r="U141" s="271">
        <v>45664</v>
      </c>
      <c r="V141" s="273"/>
      <c r="W141" s="274"/>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7">
        <v>45664</v>
      </c>
      <c r="U142" s="271">
        <v>45664</v>
      </c>
      <c r="V142" s="273"/>
      <c r="W142" s="274"/>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7">
        <v>45664</v>
      </c>
      <c r="U143" s="271">
        <v>45664</v>
      </c>
      <c r="V143" s="273"/>
      <c r="W143" s="274"/>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7">
        <v>45664</v>
      </c>
      <c r="U144" s="271">
        <v>45664</v>
      </c>
      <c r="V144" s="273"/>
      <c r="W144" s="274"/>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7">
        <v>45664</v>
      </c>
      <c r="U145" s="271">
        <v>45664</v>
      </c>
      <c r="V145" s="273"/>
      <c r="W145" s="274"/>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7">
        <v>45664</v>
      </c>
      <c r="U146" s="271">
        <v>45664</v>
      </c>
      <c r="V146" s="273"/>
      <c r="W146" s="274"/>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7">
        <v>45664</v>
      </c>
      <c r="U147" s="271">
        <v>45664</v>
      </c>
      <c r="V147" s="273"/>
      <c r="W147" s="274"/>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7">
        <v>45664</v>
      </c>
      <c r="U148" s="271">
        <v>45664</v>
      </c>
      <c r="V148" s="273"/>
      <c r="W148" s="274"/>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7">
        <v>45664</v>
      </c>
      <c r="U149" s="271">
        <v>45664</v>
      </c>
      <c r="V149" s="273"/>
      <c r="W149" s="274"/>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7">
        <v>45664</v>
      </c>
      <c r="U150" s="271">
        <v>45664</v>
      </c>
      <c r="V150" s="273"/>
      <c r="W150" s="274"/>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7">
        <v>45664</v>
      </c>
      <c r="U151" s="271">
        <v>45664</v>
      </c>
      <c r="V151" s="273"/>
      <c r="W151" s="274"/>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7">
        <v>45664</v>
      </c>
      <c r="U152" s="271">
        <v>45664</v>
      </c>
      <c r="V152" s="273"/>
      <c r="W152" s="274"/>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7">
        <v>45664</v>
      </c>
      <c r="U153" s="271">
        <v>45664</v>
      </c>
      <c r="V153" s="273"/>
      <c r="W153" s="274"/>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7">
        <v>45664</v>
      </c>
      <c r="U154" s="271">
        <v>45664</v>
      </c>
      <c r="V154" s="273"/>
      <c r="W154" s="274"/>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7">
        <v>45664</v>
      </c>
      <c r="U155" s="271">
        <v>45664</v>
      </c>
      <c r="V155" s="273"/>
      <c r="W155" s="274"/>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7">
        <v>45664</v>
      </c>
      <c r="U156" s="271">
        <v>45664</v>
      </c>
      <c r="V156" s="273"/>
      <c r="W156" s="274"/>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7">
        <v>45664</v>
      </c>
      <c r="U157" s="271">
        <v>45664</v>
      </c>
      <c r="V157" s="273"/>
      <c r="W157" s="274"/>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7">
        <v>45664</v>
      </c>
      <c r="U158" s="271">
        <v>45664</v>
      </c>
      <c r="V158" s="273"/>
      <c r="W158" s="274"/>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7">
        <v>45664</v>
      </c>
      <c r="U159" s="271">
        <v>45664</v>
      </c>
      <c r="V159" s="273"/>
      <c r="W159" s="274"/>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7">
        <v>45664</v>
      </c>
      <c r="U160" s="271">
        <v>45664</v>
      </c>
      <c r="V160" s="273"/>
      <c r="W160" s="274"/>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7">
        <v>45664</v>
      </c>
      <c r="U161" s="271">
        <v>45664</v>
      </c>
      <c r="V161" s="273"/>
      <c r="W161" s="274"/>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7">
        <v>45664</v>
      </c>
      <c r="U162" s="271">
        <v>45664</v>
      </c>
      <c r="V162" s="273"/>
      <c r="W162" s="274"/>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7">
        <v>45664</v>
      </c>
      <c r="U163" s="271">
        <v>45664</v>
      </c>
      <c r="V163" s="273"/>
      <c r="W163" s="274"/>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7">
        <v>45664</v>
      </c>
      <c r="U164" s="271">
        <v>45664</v>
      </c>
      <c r="V164" s="273"/>
      <c r="W164" s="274"/>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7">
        <v>45664</v>
      </c>
      <c r="U165" s="271">
        <v>45664</v>
      </c>
      <c r="V165" s="273"/>
      <c r="W165" s="274"/>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7">
        <v>45664</v>
      </c>
      <c r="U166" s="271">
        <v>45664</v>
      </c>
      <c r="V166" s="273"/>
      <c r="W166" s="274"/>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7">
        <v>45664</v>
      </c>
      <c r="U167" s="271">
        <v>45664</v>
      </c>
      <c r="V167" s="273"/>
      <c r="W167" s="274"/>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7">
        <v>45664</v>
      </c>
      <c r="U168" s="271">
        <v>45664</v>
      </c>
      <c r="V168" s="273"/>
      <c r="W168" s="274"/>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7">
        <v>45664</v>
      </c>
      <c r="U169" s="271">
        <v>45664</v>
      </c>
      <c r="V169" s="273"/>
      <c r="W169" s="274"/>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7">
        <v>45664</v>
      </c>
      <c r="U170" s="271">
        <v>45664</v>
      </c>
      <c r="V170" s="273"/>
      <c r="W170" s="274"/>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7">
        <v>45664</v>
      </c>
      <c r="U171" s="271">
        <v>45664</v>
      </c>
      <c r="V171" s="273"/>
      <c r="W171" s="274"/>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7">
        <v>45664</v>
      </c>
      <c r="U172" s="271">
        <v>45664</v>
      </c>
      <c r="V172" s="273"/>
      <c r="W172" s="274"/>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7">
        <v>45664</v>
      </c>
      <c r="U173" s="271">
        <v>45664</v>
      </c>
      <c r="V173" s="273"/>
      <c r="W173" s="274"/>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7">
        <v>45664</v>
      </c>
      <c r="U174" s="271">
        <v>45664</v>
      </c>
      <c r="V174" s="273"/>
      <c r="W174" s="274"/>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7">
        <v>45664</v>
      </c>
      <c r="U175" s="271">
        <v>45664</v>
      </c>
      <c r="V175" s="273"/>
      <c r="W175" s="274"/>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7">
        <v>45664</v>
      </c>
      <c r="U176" s="271">
        <v>45664</v>
      </c>
      <c r="V176" s="273"/>
      <c r="W176" s="274"/>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7">
        <v>45664</v>
      </c>
      <c r="U177" s="271">
        <v>45664</v>
      </c>
      <c r="V177" s="273"/>
      <c r="W177" s="274"/>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7">
        <v>45664</v>
      </c>
      <c r="U178" s="271">
        <v>45664</v>
      </c>
      <c r="V178" s="273"/>
      <c r="W178" s="274"/>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7">
        <v>45664</v>
      </c>
      <c r="U179" s="271">
        <v>45664</v>
      </c>
      <c r="V179" s="273"/>
      <c r="W179" s="274"/>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7">
        <v>45664</v>
      </c>
      <c r="U180" s="271">
        <v>45664</v>
      </c>
      <c r="V180" s="273"/>
      <c r="W180" s="274"/>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7">
        <v>45664</v>
      </c>
      <c r="U181" s="271">
        <v>45664</v>
      </c>
      <c r="V181" s="273"/>
      <c r="W181" s="274"/>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7">
        <v>45664</v>
      </c>
      <c r="U182" s="271">
        <v>45664</v>
      </c>
      <c r="V182" s="273"/>
      <c r="W182" s="274"/>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7">
        <v>45664</v>
      </c>
      <c r="U183" s="271">
        <v>45664</v>
      </c>
      <c r="V183" s="273"/>
      <c r="W183" s="274"/>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7">
        <v>45664</v>
      </c>
      <c r="U184" s="271">
        <v>45664</v>
      </c>
      <c r="V184" s="273"/>
      <c r="W184" s="274"/>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7">
        <v>45664</v>
      </c>
      <c r="U185" s="271">
        <v>45664</v>
      </c>
      <c r="V185" s="273"/>
      <c r="W185" s="274"/>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7">
        <v>45664</v>
      </c>
      <c r="U186" s="271">
        <v>45664</v>
      </c>
      <c r="V186" s="273"/>
      <c r="W186" s="274"/>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7">
        <v>45664</v>
      </c>
      <c r="U187" s="271">
        <v>45664</v>
      </c>
      <c r="V187" s="273"/>
      <c r="W187" s="274"/>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7">
        <v>45664</v>
      </c>
      <c r="U188" s="271">
        <v>45664</v>
      </c>
      <c r="V188" s="273"/>
      <c r="W188" s="274"/>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7">
        <v>45664</v>
      </c>
      <c r="U189" s="272"/>
      <c r="V189" s="273"/>
      <c r="W189" s="274"/>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7">
        <v>45664</v>
      </c>
      <c r="U190" s="271">
        <v>45664</v>
      </c>
      <c r="V190" s="273"/>
      <c r="W190" s="274"/>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7">
        <v>45664</v>
      </c>
      <c r="U191" s="271">
        <v>45664</v>
      </c>
      <c r="V191" s="273"/>
      <c r="W191" s="274"/>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7">
        <v>45665</v>
      </c>
      <c r="U192" s="271">
        <v>45665</v>
      </c>
      <c r="V192" s="273"/>
      <c r="W192" s="274"/>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7">
        <v>45665</v>
      </c>
      <c r="U193" s="271">
        <v>45665</v>
      </c>
      <c r="V193" s="273"/>
      <c r="W193" s="274"/>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7">
        <v>45665</v>
      </c>
      <c r="U194" s="271">
        <v>45665</v>
      </c>
      <c r="V194" s="273"/>
      <c r="W194" s="274"/>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7">
        <v>45665</v>
      </c>
      <c r="U195" s="271">
        <v>45665</v>
      </c>
      <c r="V195" s="273"/>
      <c r="W195" s="274"/>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7">
        <v>45665</v>
      </c>
      <c r="U196" s="271">
        <v>45665</v>
      </c>
      <c r="V196" s="273"/>
      <c r="W196" s="274"/>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7">
        <v>45665</v>
      </c>
      <c r="U197" s="271">
        <v>45665</v>
      </c>
      <c r="V197" s="273"/>
      <c r="W197" s="274"/>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7">
        <v>45665</v>
      </c>
      <c r="U198" s="271">
        <v>45665</v>
      </c>
      <c r="V198" s="273"/>
      <c r="W198" s="274"/>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7">
        <v>45665</v>
      </c>
      <c r="U199" s="271">
        <v>45665</v>
      </c>
      <c r="V199" s="273"/>
      <c r="W199" s="274"/>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7">
        <v>45665</v>
      </c>
      <c r="U200" s="271">
        <v>45665</v>
      </c>
      <c r="V200" s="273"/>
      <c r="W200" s="274"/>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7">
        <v>45665</v>
      </c>
      <c r="U201" s="271">
        <v>45665</v>
      </c>
      <c r="V201" s="273"/>
      <c r="W201" s="274"/>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7">
        <v>45665</v>
      </c>
      <c r="U202" s="271">
        <v>45665</v>
      </c>
      <c r="V202" s="273"/>
      <c r="W202" s="274"/>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7">
        <v>45665</v>
      </c>
      <c r="U203" s="271">
        <v>45665</v>
      </c>
      <c r="V203" s="273"/>
      <c r="W203" s="274"/>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7">
        <v>45665</v>
      </c>
      <c r="U204" s="271">
        <v>45665</v>
      </c>
      <c r="V204" s="273"/>
      <c r="W204" s="274"/>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7">
        <v>45665</v>
      </c>
      <c r="U205" s="271">
        <v>45665</v>
      </c>
      <c r="V205" s="273"/>
      <c r="W205" s="274"/>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7">
        <v>45665</v>
      </c>
      <c r="U206" s="271">
        <v>45665</v>
      </c>
      <c r="V206" s="273"/>
      <c r="W206" s="274"/>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7">
        <v>45665</v>
      </c>
      <c r="U207" s="271">
        <v>45665</v>
      </c>
      <c r="V207" s="273"/>
      <c r="W207" s="274"/>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7">
        <v>45665</v>
      </c>
      <c r="U208" s="271">
        <v>45665</v>
      </c>
      <c r="V208" s="273"/>
      <c r="W208" s="274"/>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7">
        <v>45665</v>
      </c>
      <c r="U209" s="271">
        <v>45665</v>
      </c>
      <c r="V209" s="273"/>
      <c r="W209" s="274"/>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7">
        <v>45665</v>
      </c>
      <c r="U210" s="271">
        <v>45665</v>
      </c>
      <c r="V210" s="273"/>
      <c r="W210" s="274"/>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7">
        <v>45665</v>
      </c>
      <c r="U211" s="271">
        <v>45665</v>
      </c>
      <c r="V211" s="273"/>
      <c r="W211" s="274"/>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7">
        <v>45665</v>
      </c>
      <c r="U212" s="271">
        <v>45665</v>
      </c>
      <c r="V212" s="273"/>
      <c r="W212" s="274"/>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7">
        <v>45665</v>
      </c>
      <c r="U213" s="271">
        <v>45665</v>
      </c>
      <c r="V213" s="273"/>
      <c r="W213" s="274"/>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7">
        <v>45665</v>
      </c>
      <c r="U214" s="271">
        <v>45665</v>
      </c>
      <c r="V214" s="273"/>
      <c r="W214" s="274"/>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7">
        <v>45665</v>
      </c>
      <c r="U215" s="271">
        <v>45665</v>
      </c>
      <c r="V215" s="273"/>
      <c r="W215" s="274"/>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7">
        <v>45665</v>
      </c>
      <c r="U216" s="271">
        <v>45665</v>
      </c>
      <c r="V216" s="273"/>
      <c r="W216" s="274"/>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7">
        <v>45665</v>
      </c>
      <c r="U217" s="271">
        <v>45665</v>
      </c>
      <c r="V217" s="273"/>
      <c r="W217" s="274"/>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7">
        <v>45665</v>
      </c>
      <c r="U218" s="271">
        <v>45665</v>
      </c>
      <c r="V218" s="273"/>
      <c r="W218" s="274"/>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7">
        <v>45665</v>
      </c>
      <c r="U219" s="271">
        <v>45665</v>
      </c>
      <c r="V219" s="273"/>
      <c r="W219" s="274"/>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7">
        <v>45665</v>
      </c>
      <c r="U220" s="271">
        <v>45665</v>
      </c>
      <c r="V220" s="273"/>
      <c r="W220" s="274"/>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7">
        <v>45665</v>
      </c>
      <c r="U221" s="271">
        <v>45665</v>
      </c>
      <c r="V221" s="273"/>
      <c r="W221" s="274"/>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7">
        <v>45665</v>
      </c>
      <c r="U222" s="271">
        <v>45665</v>
      </c>
      <c r="V222" s="273"/>
      <c r="W222" s="274"/>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7">
        <v>45665</v>
      </c>
      <c r="U223" s="271">
        <v>45665</v>
      </c>
      <c r="V223" s="273"/>
      <c r="W223" s="274"/>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7">
        <v>45665</v>
      </c>
      <c r="U224" s="271">
        <v>45665</v>
      </c>
      <c r="V224" s="273"/>
      <c r="W224" s="274"/>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7">
        <v>45665</v>
      </c>
      <c r="U225" s="271">
        <v>45665</v>
      </c>
      <c r="V225" s="273"/>
      <c r="W225" s="274"/>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7">
        <v>45665</v>
      </c>
      <c r="U226" s="271">
        <v>45665</v>
      </c>
      <c r="V226" s="273"/>
      <c r="W226" s="274"/>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7">
        <v>45665</v>
      </c>
      <c r="U227" s="271">
        <v>45665</v>
      </c>
      <c r="V227" s="273"/>
      <c r="W227" s="274"/>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7">
        <v>45665</v>
      </c>
      <c r="U228" s="271">
        <v>45665</v>
      </c>
      <c r="V228" s="273"/>
      <c r="W228" s="274"/>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7">
        <v>45665</v>
      </c>
      <c r="U229" s="271">
        <v>45665</v>
      </c>
      <c r="V229" s="273"/>
      <c r="W229" s="274"/>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7">
        <v>45665</v>
      </c>
      <c r="U230" s="271">
        <v>45665</v>
      </c>
      <c r="V230" s="273"/>
      <c r="W230" s="274"/>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7">
        <v>45665</v>
      </c>
      <c r="U231" s="271">
        <v>45665</v>
      </c>
      <c r="V231" s="273"/>
      <c r="W231" s="274"/>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7">
        <v>45665</v>
      </c>
      <c r="U232" s="271">
        <v>45665</v>
      </c>
      <c r="V232" s="273"/>
      <c r="W232" s="274"/>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7">
        <v>45665</v>
      </c>
      <c r="U233" s="271">
        <v>45665</v>
      </c>
      <c r="V233" s="273"/>
      <c r="W233" s="274"/>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7">
        <v>45665</v>
      </c>
      <c r="U234" s="271">
        <v>45665</v>
      </c>
      <c r="V234" s="273"/>
      <c r="W234" s="274"/>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7">
        <v>45665</v>
      </c>
      <c r="U235" s="271">
        <v>45665</v>
      </c>
      <c r="V235" s="273"/>
      <c r="W235" s="274"/>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7">
        <v>45665</v>
      </c>
      <c r="U236" s="271">
        <v>45665</v>
      </c>
      <c r="V236" s="273"/>
      <c r="W236" s="274"/>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7">
        <v>45665</v>
      </c>
      <c r="U237" s="271">
        <v>45665</v>
      </c>
      <c r="V237" s="273"/>
      <c r="W237" s="274"/>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7">
        <v>45665</v>
      </c>
      <c r="U238" s="271">
        <v>45665</v>
      </c>
      <c r="V238" s="273"/>
      <c r="W238" s="274"/>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7">
        <v>45665</v>
      </c>
      <c r="U239" s="271">
        <v>45665</v>
      </c>
      <c r="V239" s="273"/>
      <c r="W239" s="274"/>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7">
        <v>45665</v>
      </c>
      <c r="U240" s="271">
        <v>45665</v>
      </c>
      <c r="V240" s="273"/>
      <c r="W240" s="274"/>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7">
        <v>45665</v>
      </c>
      <c r="U241" s="271">
        <v>45665</v>
      </c>
      <c r="V241" s="273"/>
      <c r="W241" s="274"/>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7">
        <v>45665</v>
      </c>
      <c r="U242" s="271">
        <v>45665</v>
      </c>
      <c r="V242" s="273"/>
      <c r="W242" s="274"/>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7">
        <v>45665</v>
      </c>
      <c r="U243" s="271">
        <v>45665</v>
      </c>
      <c r="V243" s="273"/>
      <c r="W243" s="274"/>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7">
        <v>45665</v>
      </c>
      <c r="U244" s="271">
        <v>45665</v>
      </c>
      <c r="V244" s="273"/>
      <c r="W244" s="274"/>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7">
        <v>45665</v>
      </c>
      <c r="U245" s="271">
        <v>45665</v>
      </c>
      <c r="V245" s="273"/>
      <c r="W245" s="274"/>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7">
        <v>45665</v>
      </c>
      <c r="U246" s="272"/>
      <c r="V246" s="273"/>
      <c r="W246" s="274"/>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7">
        <v>45665</v>
      </c>
      <c r="U247" s="271">
        <v>45665</v>
      </c>
      <c r="V247" s="273"/>
      <c r="W247" s="274"/>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7">
        <v>45665</v>
      </c>
      <c r="U248" s="271">
        <v>45665</v>
      </c>
      <c r="V248" s="273"/>
      <c r="W248" s="274"/>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7">
        <v>45665</v>
      </c>
      <c r="U249" s="271">
        <v>45665</v>
      </c>
      <c r="V249" s="273"/>
      <c r="W249" s="274"/>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7">
        <v>45665</v>
      </c>
      <c r="U250" s="271">
        <v>45665</v>
      </c>
      <c r="V250" s="273"/>
      <c r="W250" s="274"/>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7">
        <v>45665</v>
      </c>
      <c r="U251" s="271">
        <v>45665</v>
      </c>
      <c r="V251" s="273"/>
      <c r="W251" s="274"/>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7">
        <v>45665</v>
      </c>
      <c r="U252" s="271">
        <v>45665</v>
      </c>
      <c r="V252" s="273"/>
      <c r="W252" s="274"/>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7">
        <v>45665</v>
      </c>
      <c r="U253" s="271">
        <v>45665</v>
      </c>
      <c r="V253" s="273"/>
      <c r="W253" s="274"/>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7">
        <v>45665</v>
      </c>
      <c r="U254" s="271">
        <v>45665</v>
      </c>
      <c r="V254" s="273"/>
      <c r="W254" s="274"/>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7">
        <v>45665</v>
      </c>
      <c r="U255" s="271">
        <v>45665</v>
      </c>
      <c r="V255" s="273"/>
      <c r="W255" s="274"/>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7">
        <v>45665</v>
      </c>
      <c r="U256" s="271">
        <v>45665</v>
      </c>
      <c r="V256" s="273"/>
      <c r="W256" s="274"/>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7">
        <v>45665</v>
      </c>
      <c r="U257" s="271">
        <v>45665</v>
      </c>
      <c r="V257" s="273"/>
      <c r="W257" s="274"/>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7">
        <v>45665</v>
      </c>
      <c r="U258" s="271">
        <v>45665</v>
      </c>
      <c r="V258" s="273"/>
      <c r="W258" s="274"/>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7">
        <v>45665</v>
      </c>
      <c r="U259" s="271">
        <v>45665</v>
      </c>
      <c r="V259" s="273"/>
      <c r="W259" s="274"/>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7">
        <v>45665</v>
      </c>
      <c r="U260" s="271">
        <v>45665</v>
      </c>
      <c r="V260" s="273"/>
      <c r="W260" s="274"/>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7">
        <v>45665</v>
      </c>
      <c r="U261" s="271">
        <v>45665</v>
      </c>
      <c r="V261" s="273"/>
      <c r="W261" s="274"/>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7">
        <v>45665</v>
      </c>
      <c r="U262" s="271">
        <v>45665</v>
      </c>
      <c r="V262" s="273"/>
      <c r="W262" s="274"/>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7">
        <v>45665</v>
      </c>
      <c r="U263" s="271">
        <v>45665</v>
      </c>
      <c r="V263" s="273"/>
      <c r="W263" s="274"/>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7">
        <v>45665</v>
      </c>
      <c r="U264" s="271">
        <v>45665</v>
      </c>
      <c r="V264" s="273"/>
      <c r="W264" s="274"/>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7">
        <v>45665</v>
      </c>
      <c r="U265" s="271">
        <v>45665</v>
      </c>
      <c r="V265" s="273"/>
      <c r="W265" s="274"/>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7">
        <v>45665</v>
      </c>
      <c r="U266" s="271">
        <v>45665</v>
      </c>
      <c r="V266" s="273"/>
      <c r="W266" s="274"/>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7">
        <v>45665</v>
      </c>
      <c r="U267" s="271">
        <v>45665</v>
      </c>
      <c r="V267" s="273"/>
      <c r="W267" s="274"/>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7">
        <v>45665</v>
      </c>
      <c r="U268" s="271">
        <v>45665</v>
      </c>
      <c r="V268" s="273"/>
      <c r="W268" s="274"/>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7">
        <v>45665</v>
      </c>
      <c r="U269" s="271">
        <v>45665</v>
      </c>
      <c r="V269" s="273"/>
      <c r="W269" s="274"/>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7">
        <v>45665</v>
      </c>
      <c r="U270" s="271">
        <v>45665</v>
      </c>
      <c r="V270" s="273"/>
      <c r="W270" s="274"/>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7">
        <v>45665</v>
      </c>
      <c r="U271" s="271">
        <v>45665</v>
      </c>
      <c r="V271" s="273"/>
      <c r="W271" s="274"/>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7">
        <v>45665</v>
      </c>
      <c r="U272" s="271">
        <v>45665</v>
      </c>
      <c r="V272" s="273"/>
      <c r="W272" s="274"/>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7">
        <v>45665</v>
      </c>
      <c r="U273" s="271">
        <v>45665</v>
      </c>
      <c r="V273" s="273"/>
      <c r="W273" s="274"/>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7">
        <v>45665</v>
      </c>
      <c r="U274" s="271">
        <v>45665</v>
      </c>
      <c r="V274" s="273"/>
      <c r="W274" s="274"/>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7">
        <v>45665</v>
      </c>
      <c r="U275" s="271">
        <v>45665</v>
      </c>
      <c r="V275" s="273"/>
      <c r="W275" s="274"/>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7">
        <v>45665</v>
      </c>
      <c r="U276" s="271">
        <v>45665</v>
      </c>
      <c r="V276" s="273"/>
      <c r="W276" s="274"/>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7">
        <v>45665</v>
      </c>
      <c r="U277" s="271">
        <v>45665</v>
      </c>
      <c r="V277" s="273"/>
      <c r="W277" s="274"/>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7">
        <v>45665</v>
      </c>
      <c r="U278" s="271">
        <v>45665</v>
      </c>
      <c r="V278" s="273"/>
      <c r="W278" s="274"/>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7">
        <v>45665</v>
      </c>
      <c r="U279" s="271">
        <v>45665</v>
      </c>
      <c r="V279" s="273"/>
      <c r="W279" s="274"/>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7">
        <v>45665</v>
      </c>
      <c r="U280" s="271">
        <v>45665</v>
      </c>
      <c r="V280" s="273"/>
      <c r="W280" s="274"/>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7">
        <v>45665</v>
      </c>
      <c r="U281" s="271">
        <v>45665</v>
      </c>
      <c r="V281" s="273"/>
      <c r="W281" s="274"/>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7">
        <v>45665</v>
      </c>
      <c r="U282" s="271">
        <v>45665</v>
      </c>
      <c r="V282" s="273"/>
      <c r="W282" s="274"/>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7">
        <v>45665</v>
      </c>
      <c r="U283" s="272"/>
      <c r="V283" s="273"/>
      <c r="W283" s="274"/>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7">
        <v>45665</v>
      </c>
      <c r="U284" s="271">
        <v>45665</v>
      </c>
      <c r="V284" s="273"/>
      <c r="W284" s="274"/>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7">
        <v>45665</v>
      </c>
      <c r="U285" s="271">
        <v>45665</v>
      </c>
      <c r="V285" s="273"/>
      <c r="W285" s="274"/>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7">
        <v>45666</v>
      </c>
      <c r="U286" s="271">
        <v>45666</v>
      </c>
      <c r="V286" s="273"/>
      <c r="W286" s="274"/>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7">
        <v>45666</v>
      </c>
      <c r="U287" s="271">
        <v>45666</v>
      </c>
      <c r="V287" s="273"/>
      <c r="W287" s="274"/>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7">
        <v>45666</v>
      </c>
      <c r="U288" s="271">
        <v>45666</v>
      </c>
      <c r="V288" s="273"/>
      <c r="W288" s="274"/>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7">
        <v>45666</v>
      </c>
      <c r="U289" s="271">
        <v>45666</v>
      </c>
      <c r="V289" s="273"/>
      <c r="W289" s="274"/>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7">
        <v>45666</v>
      </c>
      <c r="U290" s="271">
        <v>45666</v>
      </c>
      <c r="V290" s="273"/>
      <c r="W290" s="274"/>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7">
        <v>45666</v>
      </c>
      <c r="U291" s="271">
        <v>45666</v>
      </c>
      <c r="V291" s="273"/>
      <c r="W291" s="274"/>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7">
        <v>45666</v>
      </c>
      <c r="U292" s="271">
        <v>45666</v>
      </c>
      <c r="V292" s="273"/>
      <c r="W292" s="274"/>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7">
        <v>45666</v>
      </c>
      <c r="U293" s="271">
        <v>45666</v>
      </c>
      <c r="V293" s="273"/>
      <c r="W293" s="274"/>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7">
        <v>45666</v>
      </c>
      <c r="U294" s="271">
        <v>45666</v>
      </c>
      <c r="V294" s="273"/>
      <c r="W294" s="274"/>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7">
        <v>45666</v>
      </c>
      <c r="U295" s="271">
        <v>45666</v>
      </c>
      <c r="V295" s="273"/>
      <c r="W295" s="274"/>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7">
        <v>45666</v>
      </c>
      <c r="U296" s="271">
        <v>45666</v>
      </c>
      <c r="V296" s="273"/>
      <c r="W296" s="274"/>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7">
        <v>45666</v>
      </c>
      <c r="U297" s="271">
        <v>45666</v>
      </c>
      <c r="V297" s="273"/>
      <c r="W297" s="274"/>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7">
        <v>45666</v>
      </c>
      <c r="U298" s="271">
        <v>45666</v>
      </c>
      <c r="V298" s="273"/>
      <c r="W298" s="274"/>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7">
        <v>45666</v>
      </c>
      <c r="U299" s="271">
        <v>45666</v>
      </c>
      <c r="V299" s="273"/>
      <c r="W299" s="274"/>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7">
        <v>45666</v>
      </c>
      <c r="U300" s="271">
        <v>45666</v>
      </c>
      <c r="V300" s="273"/>
      <c r="W300" s="274"/>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7">
        <v>45666</v>
      </c>
      <c r="U301" s="271">
        <v>45666</v>
      </c>
      <c r="V301" s="273"/>
      <c r="W301" s="274"/>
      <c r="X301" s="184"/>
      <c r="Y301" s="230"/>
    </row>
    <row r="302" spans="1:26" ht="11.4" x14ac:dyDescent="0.15">
      <c r="A302" s="175">
        <f t="shared" ref="A302:A361" si="11">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7">
        <v>45667</v>
      </c>
      <c r="U302" s="271"/>
      <c r="V302" s="273"/>
      <c r="W302" s="274"/>
      <c r="X302" s="184"/>
      <c r="Y302" s="185" t="s">
        <v>472</v>
      </c>
    </row>
    <row r="303" spans="1:26" ht="11.4" x14ac:dyDescent="0.15">
      <c r="A303" s="175">
        <f t="shared" si="11"/>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7">
        <v>45667</v>
      </c>
      <c r="U303" s="271"/>
      <c r="V303" s="273"/>
      <c r="W303" s="274"/>
      <c r="X303" s="184"/>
      <c r="Y303" s="185" t="s">
        <v>556</v>
      </c>
    </row>
    <row r="304" spans="1:26" s="236" customFormat="1" ht="11.4" x14ac:dyDescent="0.15">
      <c r="A304" s="175">
        <f t="shared" ref="A304:A335" si="12">ROW()-2</f>
        <v>302</v>
      </c>
      <c r="B304" s="176" t="s">
        <v>330</v>
      </c>
      <c r="C304" s="176" t="s">
        <v>331</v>
      </c>
      <c r="D304" s="176" t="s">
        <v>557</v>
      </c>
      <c r="E304" s="186" t="s">
        <v>332</v>
      </c>
      <c r="F304" s="233" t="s">
        <v>1093</v>
      </c>
      <c r="G304" s="228" t="s">
        <v>558</v>
      </c>
      <c r="H304" s="177"/>
      <c r="I304" s="178"/>
      <c r="J304" s="178"/>
      <c r="K304" s="179"/>
      <c r="L304" s="177"/>
      <c r="M304" s="180" t="s">
        <v>56</v>
      </c>
      <c r="N304" s="178"/>
      <c r="O304" s="180"/>
      <c r="P304" s="180"/>
      <c r="Q304" s="180"/>
      <c r="R304" s="180"/>
      <c r="S304" s="180"/>
      <c r="T304" s="267">
        <v>45667</v>
      </c>
      <c r="U304" s="271"/>
      <c r="V304" s="273"/>
      <c r="W304" s="274"/>
      <c r="X304" s="184"/>
      <c r="Y304" s="185" t="s">
        <v>334</v>
      </c>
    </row>
    <row r="305" spans="1:25"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7">
        <v>45667</v>
      </c>
      <c r="U305" s="271"/>
      <c r="V305" s="273"/>
      <c r="W305" s="274"/>
      <c r="X305" s="184"/>
      <c r="Y305" s="229" t="s">
        <v>1097</v>
      </c>
    </row>
    <row r="306" spans="1:25"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7">
        <v>45667</v>
      </c>
      <c r="U306" s="271"/>
      <c r="V306" s="273"/>
      <c r="W306" s="274"/>
      <c r="X306" s="184"/>
      <c r="Y306" s="185" t="s">
        <v>562</v>
      </c>
    </row>
    <row r="307" spans="1:25" s="236" customFormat="1" ht="11.4" x14ac:dyDescent="0.15">
      <c r="A307" s="175">
        <f t="shared" si="12"/>
        <v>305</v>
      </c>
      <c r="B307" s="176"/>
      <c r="C307" s="176" t="s">
        <v>563</v>
      </c>
      <c r="D307" s="176" t="s">
        <v>564</v>
      </c>
      <c r="E307" s="186" t="s">
        <v>332</v>
      </c>
      <c r="F307" s="233" t="s">
        <v>1093</v>
      </c>
      <c r="G307" s="228" t="s">
        <v>565</v>
      </c>
      <c r="H307" s="177"/>
      <c r="I307" s="178"/>
      <c r="J307" s="178"/>
      <c r="K307" s="179"/>
      <c r="L307" s="177"/>
      <c r="M307" s="180" t="s">
        <v>56</v>
      </c>
      <c r="N307" s="178"/>
      <c r="O307" s="180"/>
      <c r="P307" s="180"/>
      <c r="Q307" s="180"/>
      <c r="R307" s="180"/>
      <c r="S307" s="180"/>
      <c r="T307" s="267">
        <v>45667</v>
      </c>
      <c r="U307" s="271"/>
      <c r="V307" s="273"/>
      <c r="W307" s="274"/>
      <c r="X307" s="184"/>
      <c r="Y307" s="185" t="s">
        <v>334</v>
      </c>
    </row>
    <row r="308" spans="1:25" s="236" customFormat="1" ht="11.4" x14ac:dyDescent="0.15">
      <c r="A308" s="175">
        <f t="shared" si="12"/>
        <v>306</v>
      </c>
      <c r="B308" s="176"/>
      <c r="C308" s="176"/>
      <c r="D308" s="176"/>
      <c r="E308" s="186" t="s">
        <v>559</v>
      </c>
      <c r="F308" s="233"/>
      <c r="G308" s="228" t="s">
        <v>560</v>
      </c>
      <c r="H308" s="177"/>
      <c r="I308" s="178"/>
      <c r="J308" s="178"/>
      <c r="K308" s="179"/>
      <c r="L308" s="177"/>
      <c r="M308" s="178"/>
      <c r="N308" s="178"/>
      <c r="O308" s="180"/>
      <c r="P308" s="180"/>
      <c r="Q308" s="180"/>
      <c r="R308" s="180" t="s">
        <v>56</v>
      </c>
      <c r="S308" s="180"/>
      <c r="T308" s="267">
        <v>45667</v>
      </c>
      <c r="U308" s="271"/>
      <c r="V308" s="273"/>
      <c r="W308" s="274"/>
      <c r="X308" s="184"/>
      <c r="Y308" s="229" t="s">
        <v>1097</v>
      </c>
    </row>
    <row r="309" spans="1:25" s="236" customFormat="1" ht="11.4" x14ac:dyDescent="0.15">
      <c r="A309" s="175">
        <f t="shared" si="12"/>
        <v>307</v>
      </c>
      <c r="B309" s="176"/>
      <c r="C309" s="176"/>
      <c r="D309" s="176"/>
      <c r="E309" s="186" t="s">
        <v>566</v>
      </c>
      <c r="F309" s="233"/>
      <c r="G309" s="228" t="s">
        <v>336</v>
      </c>
      <c r="H309" s="177"/>
      <c r="I309" s="178"/>
      <c r="J309" s="178"/>
      <c r="K309" s="179"/>
      <c r="L309" s="177"/>
      <c r="M309" s="178"/>
      <c r="N309" s="178"/>
      <c r="O309" s="180"/>
      <c r="P309" s="180"/>
      <c r="Q309" s="180"/>
      <c r="R309" s="180" t="s">
        <v>56</v>
      </c>
      <c r="S309" s="180"/>
      <c r="T309" s="267">
        <v>45667</v>
      </c>
      <c r="U309" s="271"/>
      <c r="V309" s="273"/>
      <c r="W309" s="274"/>
      <c r="X309" s="184"/>
      <c r="Y309" s="185" t="s">
        <v>567</v>
      </c>
    </row>
    <row r="310" spans="1:25" s="236" customFormat="1" ht="11.4" x14ac:dyDescent="0.15">
      <c r="A310" s="175">
        <f t="shared" si="12"/>
        <v>308</v>
      </c>
      <c r="B310" s="176"/>
      <c r="C310" s="176" t="s">
        <v>568</v>
      </c>
      <c r="D310" s="176" t="s">
        <v>569</v>
      </c>
      <c r="E310" s="186" t="s">
        <v>559</v>
      </c>
      <c r="F310" s="233" t="s">
        <v>1094</v>
      </c>
      <c r="G310" s="228" t="s">
        <v>560</v>
      </c>
      <c r="H310" s="177"/>
      <c r="I310" s="178"/>
      <c r="J310" s="178"/>
      <c r="K310" s="179"/>
      <c r="L310" s="177"/>
      <c r="M310" s="180"/>
      <c r="N310" s="178"/>
      <c r="O310" s="180"/>
      <c r="P310" s="180"/>
      <c r="Q310" s="180"/>
      <c r="R310" s="180" t="s">
        <v>56</v>
      </c>
      <c r="S310" s="180"/>
      <c r="T310" s="267">
        <v>45667</v>
      </c>
      <c r="U310" s="271"/>
      <c r="V310" s="273"/>
      <c r="W310" s="274"/>
      <c r="X310" s="184"/>
      <c r="Y310" s="229" t="s">
        <v>1097</v>
      </c>
    </row>
    <row r="311" spans="1:25"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7">
        <v>45667</v>
      </c>
      <c r="U311" s="271"/>
      <c r="V311" s="273"/>
      <c r="W311" s="274"/>
      <c r="X311" s="184"/>
      <c r="Y311" s="185" t="s">
        <v>472</v>
      </c>
    </row>
    <row r="312" spans="1:25" s="236" customFormat="1" ht="11.4" x14ac:dyDescent="0.15">
      <c r="A312" s="175">
        <f t="shared" si="12"/>
        <v>310</v>
      </c>
      <c r="B312" s="176"/>
      <c r="C312" s="176"/>
      <c r="D312" s="176" t="s">
        <v>571</v>
      </c>
      <c r="E312" s="186" t="s">
        <v>559</v>
      </c>
      <c r="F312" s="233" t="s">
        <v>1096</v>
      </c>
      <c r="G312" s="228" t="s">
        <v>560</v>
      </c>
      <c r="H312" s="177"/>
      <c r="I312" s="178"/>
      <c r="J312" s="178"/>
      <c r="K312" s="179"/>
      <c r="L312" s="177"/>
      <c r="M312" s="180"/>
      <c r="N312" s="178"/>
      <c r="O312" s="180"/>
      <c r="P312" s="180"/>
      <c r="Q312" s="180"/>
      <c r="R312" s="180" t="s">
        <v>56</v>
      </c>
      <c r="S312" s="180"/>
      <c r="T312" s="267">
        <v>45667</v>
      </c>
      <c r="U312" s="271"/>
      <c r="V312" s="273"/>
      <c r="W312" s="274"/>
      <c r="X312" s="184"/>
      <c r="Y312" s="229" t="s">
        <v>1097</v>
      </c>
    </row>
    <row r="313" spans="1:25" s="236" customFormat="1" ht="11.4" x14ac:dyDescent="0.15">
      <c r="A313" s="175">
        <f t="shared" si="12"/>
        <v>311</v>
      </c>
      <c r="B313" s="176"/>
      <c r="C313" s="176"/>
      <c r="D313" s="176"/>
      <c r="E313" s="186" t="s">
        <v>572</v>
      </c>
      <c r="F313" s="233"/>
      <c r="G313" s="228" t="s">
        <v>336</v>
      </c>
      <c r="H313" s="177"/>
      <c r="I313" s="178"/>
      <c r="J313" s="178"/>
      <c r="K313" s="179"/>
      <c r="L313" s="177"/>
      <c r="M313" s="180"/>
      <c r="N313" s="178"/>
      <c r="O313" s="180"/>
      <c r="P313" s="180"/>
      <c r="Q313" s="180"/>
      <c r="R313" s="180" t="s">
        <v>56</v>
      </c>
      <c r="S313" s="180"/>
      <c r="T313" s="267">
        <v>45667</v>
      </c>
      <c r="U313" s="271"/>
      <c r="V313" s="273"/>
      <c r="W313" s="274"/>
      <c r="X313" s="184"/>
      <c r="Y313" s="185" t="s">
        <v>472</v>
      </c>
    </row>
    <row r="314" spans="1:25" s="236" customFormat="1" ht="11.4" x14ac:dyDescent="0.15">
      <c r="A314" s="175">
        <f t="shared" si="12"/>
        <v>312</v>
      </c>
      <c r="B314" s="176"/>
      <c r="C314" s="176"/>
      <c r="D314" s="176" t="s">
        <v>573</v>
      </c>
      <c r="E314" s="186" t="s">
        <v>559</v>
      </c>
      <c r="F314" s="233" t="s">
        <v>1095</v>
      </c>
      <c r="G314" s="228" t="s">
        <v>560</v>
      </c>
      <c r="H314" s="177"/>
      <c r="I314" s="178"/>
      <c r="J314" s="178"/>
      <c r="K314" s="179"/>
      <c r="L314" s="177"/>
      <c r="M314" s="180"/>
      <c r="N314" s="178"/>
      <c r="O314" s="180"/>
      <c r="P314" s="180"/>
      <c r="Q314" s="180"/>
      <c r="R314" s="180" t="s">
        <v>56</v>
      </c>
      <c r="S314" s="180"/>
      <c r="T314" s="267">
        <v>45667</v>
      </c>
      <c r="U314" s="271"/>
      <c r="V314" s="273"/>
      <c r="W314" s="274"/>
      <c r="X314" s="184"/>
      <c r="Y314" s="229" t="s">
        <v>1097</v>
      </c>
    </row>
    <row r="315" spans="1:25"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267">
        <v>45667</v>
      </c>
      <c r="U315" s="271"/>
      <c r="V315" s="273"/>
      <c r="W315" s="274"/>
      <c r="X315" s="184"/>
      <c r="Y315" s="185" t="s">
        <v>472</v>
      </c>
    </row>
    <row r="316" spans="1:25" s="236" customFormat="1" ht="11.4" x14ac:dyDescent="0.15">
      <c r="A316" s="175">
        <f t="shared" si="12"/>
        <v>314</v>
      </c>
      <c r="B316" s="176"/>
      <c r="C316" s="176"/>
      <c r="D316" s="176" t="s">
        <v>431</v>
      </c>
      <c r="E316" s="186" t="s">
        <v>559</v>
      </c>
      <c r="F316" s="233" t="s">
        <v>1086</v>
      </c>
      <c r="G316" s="228" t="s">
        <v>560</v>
      </c>
      <c r="H316" s="177"/>
      <c r="I316" s="178"/>
      <c r="J316" s="178"/>
      <c r="K316" s="179"/>
      <c r="L316" s="177"/>
      <c r="M316" s="180"/>
      <c r="N316" s="178"/>
      <c r="O316" s="180"/>
      <c r="P316" s="180"/>
      <c r="Q316" s="180"/>
      <c r="R316" s="180" t="s">
        <v>56</v>
      </c>
      <c r="S316" s="180"/>
      <c r="T316" s="267">
        <v>45667</v>
      </c>
      <c r="U316" s="271"/>
      <c r="V316" s="273"/>
      <c r="W316" s="274"/>
      <c r="X316" s="184"/>
      <c r="Y316" s="229" t="s">
        <v>1097</v>
      </c>
    </row>
    <row r="317" spans="1:25"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7">
        <v>45667</v>
      </c>
      <c r="U317" s="271"/>
      <c r="V317" s="273"/>
      <c r="W317" s="274"/>
      <c r="X317" s="184"/>
      <c r="Y317" s="185" t="s">
        <v>472</v>
      </c>
    </row>
    <row r="318" spans="1:25" s="236" customFormat="1" ht="11.4" x14ac:dyDescent="0.15">
      <c r="A318" s="175">
        <f t="shared" si="12"/>
        <v>316</v>
      </c>
      <c r="B318" s="176"/>
      <c r="C318" s="176"/>
      <c r="D318" s="176" t="s">
        <v>575</v>
      </c>
      <c r="E318" s="186" t="s">
        <v>559</v>
      </c>
      <c r="F318" s="233" t="s">
        <v>1086</v>
      </c>
      <c r="G318" s="228" t="s">
        <v>560</v>
      </c>
      <c r="H318" s="177"/>
      <c r="I318" s="178"/>
      <c r="J318" s="178"/>
      <c r="K318" s="179"/>
      <c r="L318" s="177"/>
      <c r="M318" s="180"/>
      <c r="N318" s="178"/>
      <c r="O318" s="180"/>
      <c r="P318" s="180"/>
      <c r="Q318" s="180"/>
      <c r="R318" s="180" t="s">
        <v>56</v>
      </c>
      <c r="S318" s="180"/>
      <c r="T318" s="267">
        <v>45667</v>
      </c>
      <c r="U318" s="271"/>
      <c r="V318" s="273"/>
      <c r="W318" s="274"/>
      <c r="X318" s="184"/>
      <c r="Y318" s="229" t="s">
        <v>1097</v>
      </c>
    </row>
    <row r="319" spans="1:25"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7">
        <v>45667</v>
      </c>
      <c r="U319" s="271"/>
      <c r="V319" s="273"/>
      <c r="W319" s="274"/>
      <c r="X319" s="184"/>
      <c r="Y319" s="185" t="s">
        <v>472</v>
      </c>
    </row>
    <row r="320" spans="1:25"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7">
        <v>45667</v>
      </c>
      <c r="U320" s="271"/>
      <c r="V320" s="273"/>
      <c r="W320" s="274"/>
      <c r="X320" s="184"/>
      <c r="Y320" s="229" t="s">
        <v>1097</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7">
        <v>45667</v>
      </c>
      <c r="U321" s="271"/>
      <c r="V321" s="273"/>
      <c r="W321" s="274"/>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7">
        <v>45667</v>
      </c>
      <c r="U322" s="271"/>
      <c r="V322" s="273"/>
      <c r="W322" s="274"/>
      <c r="X322" s="184"/>
      <c r="Y322" s="185" t="s">
        <v>472</v>
      </c>
    </row>
    <row r="323" spans="1:25" s="236" customFormat="1" ht="11.4" x14ac:dyDescent="0.15">
      <c r="A323" s="175">
        <f t="shared" si="12"/>
        <v>321</v>
      </c>
      <c r="B323" s="176"/>
      <c r="C323" s="176"/>
      <c r="D323" s="176" t="s">
        <v>579</v>
      </c>
      <c r="E323" s="186" t="s">
        <v>559</v>
      </c>
      <c r="F323" s="233" t="s">
        <v>1086</v>
      </c>
      <c r="G323" s="228" t="s">
        <v>560</v>
      </c>
      <c r="H323" s="177"/>
      <c r="I323" s="178"/>
      <c r="J323" s="178"/>
      <c r="K323" s="179"/>
      <c r="L323" s="177"/>
      <c r="M323" s="180"/>
      <c r="N323" s="178"/>
      <c r="O323" s="180"/>
      <c r="P323" s="180"/>
      <c r="Q323" s="180"/>
      <c r="R323" s="180" t="s">
        <v>56</v>
      </c>
      <c r="S323" s="180"/>
      <c r="T323" s="267">
        <v>45667</v>
      </c>
      <c r="U323" s="271"/>
      <c r="V323" s="273"/>
      <c r="W323" s="274"/>
      <c r="X323" s="184"/>
      <c r="Y323" s="229" t="s">
        <v>1097</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7">
        <v>45667</v>
      </c>
      <c r="U324" s="271"/>
      <c r="V324" s="273"/>
      <c r="W324" s="274"/>
      <c r="X324" s="184"/>
      <c r="Y324" s="185" t="s">
        <v>472</v>
      </c>
    </row>
    <row r="325" spans="1:25" s="236" customFormat="1" ht="11.4" x14ac:dyDescent="0.15">
      <c r="A325" s="175">
        <f t="shared" si="12"/>
        <v>323</v>
      </c>
      <c r="B325" s="176"/>
      <c r="C325" s="176"/>
      <c r="D325" s="176" t="s">
        <v>83</v>
      </c>
      <c r="E325" s="186" t="s">
        <v>559</v>
      </c>
      <c r="F325" s="233" t="s">
        <v>1086</v>
      </c>
      <c r="G325" s="228" t="s">
        <v>560</v>
      </c>
      <c r="H325" s="177"/>
      <c r="I325" s="178"/>
      <c r="J325" s="178"/>
      <c r="K325" s="179"/>
      <c r="L325" s="177"/>
      <c r="M325" s="178"/>
      <c r="N325" s="178"/>
      <c r="O325" s="180"/>
      <c r="P325" s="180"/>
      <c r="Q325" s="180"/>
      <c r="R325" s="180" t="s">
        <v>56</v>
      </c>
      <c r="S325" s="180"/>
      <c r="T325" s="267">
        <v>45667</v>
      </c>
      <c r="U325" s="271"/>
      <c r="V325" s="273"/>
      <c r="W325" s="274"/>
      <c r="X325" s="184"/>
      <c r="Y325" s="229" t="s">
        <v>1097</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7">
        <v>45667</v>
      </c>
      <c r="U326" s="271"/>
      <c r="V326" s="273"/>
      <c r="W326" s="274"/>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7">
        <v>45667</v>
      </c>
      <c r="U327" s="271"/>
      <c r="V327" s="273"/>
      <c r="W327" s="274"/>
      <c r="X327" s="184"/>
      <c r="Y327" s="229" t="s">
        <v>1097</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7">
        <v>45667</v>
      </c>
      <c r="U328" s="271"/>
      <c r="V328" s="273"/>
      <c r="W328" s="274"/>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7">
        <v>45667</v>
      </c>
      <c r="U329" s="271"/>
      <c r="V329" s="273"/>
      <c r="W329" s="274"/>
      <c r="X329" s="184"/>
      <c r="Y329" s="185" t="s">
        <v>500</v>
      </c>
    </row>
    <row r="330" spans="1:25" s="236" customFormat="1" ht="11.4" x14ac:dyDescent="0.15">
      <c r="A330" s="175">
        <f t="shared" si="12"/>
        <v>328</v>
      </c>
      <c r="B330" s="176"/>
      <c r="C330" s="176"/>
      <c r="D330" s="176" t="s">
        <v>350</v>
      </c>
      <c r="E330" s="186" t="s">
        <v>559</v>
      </c>
      <c r="F330" s="233" t="s">
        <v>1086</v>
      </c>
      <c r="G330" s="228" t="s">
        <v>560</v>
      </c>
      <c r="H330" s="177"/>
      <c r="I330" s="178"/>
      <c r="J330" s="178"/>
      <c r="K330" s="179"/>
      <c r="L330" s="177"/>
      <c r="M330" s="180"/>
      <c r="N330" s="178"/>
      <c r="O330" s="180"/>
      <c r="P330" s="180"/>
      <c r="Q330" s="180"/>
      <c r="R330" s="180" t="s">
        <v>56</v>
      </c>
      <c r="S330" s="180"/>
      <c r="T330" s="267">
        <v>45667</v>
      </c>
      <c r="U330" s="271"/>
      <c r="V330" s="273"/>
      <c r="W330" s="274"/>
      <c r="X330" s="184"/>
      <c r="Y330" s="229" t="s">
        <v>1097</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7">
        <v>45667</v>
      </c>
      <c r="U331" s="271"/>
      <c r="V331" s="273"/>
      <c r="W331" s="274"/>
      <c r="X331" s="184"/>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56</v>
      </c>
      <c r="P332" s="180"/>
      <c r="Q332" s="180"/>
      <c r="R332" s="180"/>
      <c r="S332" s="180"/>
      <c r="T332" s="267">
        <v>45667</v>
      </c>
      <c r="U332" s="271"/>
      <c r="V332" s="273"/>
      <c r="W332" s="274"/>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7">
        <v>45667</v>
      </c>
      <c r="U333" s="271"/>
      <c r="V333" s="273"/>
      <c r="W333" s="274"/>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7">
        <v>45667</v>
      </c>
      <c r="U334" s="271"/>
      <c r="V334" s="273"/>
      <c r="W334" s="274"/>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7">
        <v>45667</v>
      </c>
      <c r="U335" s="271"/>
      <c r="V335" s="273"/>
      <c r="W335" s="274"/>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267">
        <v>45667</v>
      </c>
      <c r="U336" s="271"/>
      <c r="V336" s="273"/>
      <c r="W336" s="274"/>
      <c r="X336" s="184"/>
      <c r="Y336" s="185" t="s">
        <v>584</v>
      </c>
    </row>
    <row r="337" spans="1:25"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267">
        <v>45667</v>
      </c>
      <c r="U337" s="271"/>
      <c r="V337" s="273"/>
      <c r="W337" s="274"/>
      <c r="X337" s="184"/>
      <c r="Y337" s="185" t="s">
        <v>584</v>
      </c>
    </row>
    <row r="338" spans="1:25"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7">
        <v>45667</v>
      </c>
      <c r="U338" s="271"/>
      <c r="V338" s="273"/>
      <c r="W338" s="274"/>
      <c r="X338" s="184"/>
      <c r="Y338" s="185" t="s">
        <v>588</v>
      </c>
    </row>
    <row r="339" spans="1:25"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7">
        <v>45667</v>
      </c>
      <c r="U339" s="271"/>
      <c r="V339" s="273"/>
      <c r="W339" s="274"/>
      <c r="X339" s="184"/>
      <c r="Y339" s="185" t="s">
        <v>588</v>
      </c>
    </row>
    <row r="340" spans="1:25"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7">
        <v>45667</v>
      </c>
      <c r="U340" s="271"/>
      <c r="V340" s="273"/>
      <c r="W340" s="274"/>
      <c r="X340" s="184"/>
      <c r="Y340" s="185" t="s">
        <v>588</v>
      </c>
    </row>
    <row r="341" spans="1:25"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7">
        <v>45667</v>
      </c>
      <c r="U341" s="271"/>
      <c r="V341" s="273"/>
      <c r="W341" s="274"/>
      <c r="X341" s="184"/>
      <c r="Y341" s="185" t="s">
        <v>588</v>
      </c>
    </row>
    <row r="342" spans="1:25"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7">
        <v>45667</v>
      </c>
      <c r="U342" s="271"/>
      <c r="V342" s="273"/>
      <c r="W342" s="274"/>
      <c r="X342" s="184"/>
      <c r="Y342" s="185" t="s">
        <v>588</v>
      </c>
    </row>
    <row r="343" spans="1:25"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7">
        <v>45667</v>
      </c>
      <c r="U343" s="294"/>
      <c r="V343" s="273"/>
      <c r="W343" s="274"/>
      <c r="X343" s="184"/>
      <c r="Y343" s="185" t="s">
        <v>588</v>
      </c>
    </row>
    <row r="344" spans="1:25"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7">
        <v>45667</v>
      </c>
      <c r="U344" s="294"/>
      <c r="V344" s="273"/>
      <c r="W344" s="274"/>
      <c r="X344" s="184"/>
      <c r="Y344" s="185" t="s">
        <v>588</v>
      </c>
    </row>
    <row r="345" spans="1:25"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7">
        <v>45667</v>
      </c>
      <c r="U345" s="294"/>
      <c r="V345" s="273"/>
      <c r="W345" s="274"/>
      <c r="X345" s="184"/>
      <c r="Y345" s="185" t="s">
        <v>591</v>
      </c>
    </row>
    <row r="346" spans="1:25"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7">
        <v>45667</v>
      </c>
      <c r="U346" s="294"/>
      <c r="V346" s="273"/>
      <c r="W346" s="274"/>
      <c r="X346" s="184"/>
      <c r="Y346" s="230" t="s">
        <v>104</v>
      </c>
    </row>
    <row r="347" spans="1:25" s="236" customFormat="1" ht="11.4" x14ac:dyDescent="0.15">
      <c r="A347" s="175">
        <f t="shared" si="11"/>
        <v>345</v>
      </c>
      <c r="B347" s="176"/>
      <c r="C347" s="176"/>
      <c r="D347" s="186"/>
      <c r="E347" s="186" t="s">
        <v>401</v>
      </c>
      <c r="F347" s="186" t="s">
        <v>409</v>
      </c>
      <c r="G347" s="228" t="s">
        <v>403</v>
      </c>
      <c r="H347" s="177"/>
      <c r="I347" s="178"/>
      <c r="J347" s="178"/>
      <c r="K347" s="179"/>
      <c r="L347" s="177"/>
      <c r="M347" s="180" t="s">
        <v>56</v>
      </c>
      <c r="N347" s="178"/>
      <c r="O347" s="180"/>
      <c r="P347" s="180"/>
      <c r="Q347" s="180"/>
      <c r="R347" s="180"/>
      <c r="S347" s="180"/>
      <c r="T347" s="267">
        <v>45667</v>
      </c>
      <c r="U347" s="294"/>
      <c r="V347" s="273"/>
      <c r="W347" s="274"/>
      <c r="X347" s="184"/>
      <c r="Y347" s="185" t="s">
        <v>592</v>
      </c>
    </row>
    <row r="348" spans="1:25"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5">
        <v>45666</v>
      </c>
      <c r="U348" s="294">
        <v>45666</v>
      </c>
      <c r="V348" s="273"/>
      <c r="W348" s="274"/>
      <c r="X348" s="184"/>
      <c r="Y348" s="185" t="s">
        <v>598</v>
      </c>
    </row>
    <row r="349" spans="1:25"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5">
        <v>45666</v>
      </c>
      <c r="U349" s="294">
        <v>45666</v>
      </c>
      <c r="V349" s="273"/>
      <c r="W349" s="274"/>
      <c r="X349" s="184"/>
      <c r="Y349" s="185" t="s">
        <v>600</v>
      </c>
    </row>
    <row r="350" spans="1:25"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5">
        <v>45666</v>
      </c>
      <c r="U350" s="294">
        <v>45666</v>
      </c>
      <c r="V350" s="273"/>
      <c r="W350" s="274"/>
      <c r="X350" s="184"/>
      <c r="Y350" s="185" t="s">
        <v>598</v>
      </c>
    </row>
    <row r="351" spans="1:25"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5">
        <v>45666</v>
      </c>
      <c r="U351" s="294">
        <v>45666</v>
      </c>
      <c r="V351" s="273"/>
      <c r="W351" s="274"/>
      <c r="X351" s="184"/>
      <c r="Y351" s="229" t="s">
        <v>1125</v>
      </c>
    </row>
    <row r="352" spans="1:25"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5">
        <v>45666</v>
      </c>
      <c r="U352" s="294">
        <v>45666</v>
      </c>
      <c r="V352" s="273"/>
      <c r="W352" s="274"/>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5">
        <v>45666</v>
      </c>
      <c r="U353" s="294">
        <v>45666</v>
      </c>
      <c r="V353" s="273"/>
      <c r="W353" s="274"/>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5">
        <v>45666</v>
      </c>
      <c r="U354" s="294">
        <v>45666</v>
      </c>
      <c r="V354" s="273"/>
      <c r="W354" s="274"/>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7">
        <v>45667</v>
      </c>
      <c r="U355" s="294"/>
      <c r="V355" s="273"/>
      <c r="W355" s="274"/>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7">
        <v>45667</v>
      </c>
      <c r="U356" s="271"/>
      <c r="V356" s="273"/>
      <c r="W356" s="274"/>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7">
        <v>45667</v>
      </c>
      <c r="U357" s="271"/>
      <c r="V357" s="273"/>
      <c r="W357" s="274"/>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7">
        <v>45667</v>
      </c>
      <c r="U358" s="271"/>
      <c r="V358" s="273"/>
      <c r="W358" s="274"/>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7">
        <v>45667</v>
      </c>
      <c r="U359" s="271"/>
      <c r="V359" s="273"/>
      <c r="W359" s="274"/>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7">
        <v>45667</v>
      </c>
      <c r="U360" s="271"/>
      <c r="V360" s="273"/>
      <c r="W360" s="274"/>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7">
        <v>45667</v>
      </c>
      <c r="U361" s="271"/>
      <c r="V361" s="273"/>
      <c r="W361" s="274"/>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22" t="s">
        <v>17</v>
      </c>
      <c r="V362" s="322"/>
      <c r="W362" s="323"/>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24"/>
      <c r="V363" s="324"/>
      <c r="W363" s="325"/>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26">
        <f>COUNTA(U3:U361)</f>
        <v>279</v>
      </c>
      <c r="V364" s="328">
        <f>COUNTA(V98:V361)</f>
        <v>0</v>
      </c>
      <c r="W364" s="330">
        <f>COUNTA(W98:W361)</f>
        <v>0</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27"/>
      <c r="V365" s="329"/>
      <c r="W365" s="331"/>
      <c r="X365" s="221" t="s">
        <v>411</v>
      </c>
      <c r="Y365" s="222">
        <f t="shared" si="15"/>
        <v>359</v>
      </c>
      <c r="Z365" s="238"/>
    </row>
  </sheetData>
  <autoFilter ref="A1:Z365"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zoomScale="85" zoomScaleNormal="85" zoomScaleSheetLayoutView="85" workbookViewId="0">
      <pane ySplit="2" topLeftCell="A149" activePane="bottomLeft" state="frozen"/>
      <selection activeCell="E7" sqref="E7"/>
      <selection pane="bottomLeft" sqref="A1:A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9.75" style="159" customWidth="1"/>
    <col min="8" max="8" width="89.625" style="159" customWidth="1"/>
    <col min="9" max="20" width="4.5" style="160" customWidth="1" outlineLevel="1"/>
    <col min="21" max="21" width="7.75" style="160" bestFit="1" customWidth="1" outlineLevel="1"/>
    <col min="22" max="24" width="5.875" style="160" customWidth="1" outlineLevel="1"/>
    <col min="25" max="25" width="7.5" style="160" customWidth="1" outlineLevel="1"/>
    <col min="26" max="26" width="77.875" style="159" customWidth="1"/>
    <col min="27" max="16384" width="9.375" style="236"/>
  </cols>
  <sheetData>
    <row r="1" spans="1:27" s="237" customFormat="1" ht="13.5" customHeight="1" x14ac:dyDescent="0.15">
      <c r="A1" s="306" t="s">
        <v>24</v>
      </c>
      <c r="B1" s="308" t="s">
        <v>25</v>
      </c>
      <c r="C1" s="310" t="s">
        <v>26</v>
      </c>
      <c r="D1" s="310" t="s">
        <v>27</v>
      </c>
      <c r="E1" s="310" t="s">
        <v>28</v>
      </c>
      <c r="F1" s="312" t="s">
        <v>29</v>
      </c>
      <c r="G1" s="332" t="s">
        <v>1100</v>
      </c>
      <c r="H1" s="315" t="s">
        <v>30</v>
      </c>
      <c r="I1" s="314" t="s">
        <v>31</v>
      </c>
      <c r="J1" s="314"/>
      <c r="K1" s="314"/>
      <c r="L1" s="317"/>
      <c r="M1" s="318" t="s">
        <v>32</v>
      </c>
      <c r="N1" s="319"/>
      <c r="O1" s="319"/>
      <c r="P1" s="320"/>
      <c r="Q1" s="320"/>
      <c r="R1" s="320"/>
      <c r="S1" s="320"/>
      <c r="T1" s="320"/>
      <c r="U1" s="304" t="s">
        <v>1102</v>
      </c>
      <c r="V1" s="314" t="s">
        <v>33</v>
      </c>
      <c r="W1" s="314"/>
      <c r="X1" s="314"/>
      <c r="Y1" s="304" t="s">
        <v>34</v>
      </c>
      <c r="Z1" s="304" t="s">
        <v>35</v>
      </c>
    </row>
    <row r="2" spans="1:27" s="237" customFormat="1" ht="22.8" x14ac:dyDescent="0.15">
      <c r="A2" s="307"/>
      <c r="B2" s="309"/>
      <c r="C2" s="311"/>
      <c r="D2" s="311"/>
      <c r="E2" s="311"/>
      <c r="F2" s="313"/>
      <c r="G2" s="313"/>
      <c r="H2" s="316"/>
      <c r="I2" s="223" t="s">
        <v>36</v>
      </c>
      <c r="J2" s="224" t="s">
        <v>37</v>
      </c>
      <c r="K2" s="225" t="s">
        <v>38</v>
      </c>
      <c r="L2" s="225" t="s">
        <v>39</v>
      </c>
      <c r="M2" s="226" t="s">
        <v>36</v>
      </c>
      <c r="N2" s="225" t="s">
        <v>40</v>
      </c>
      <c r="O2" s="225" t="s">
        <v>41</v>
      </c>
      <c r="P2" s="225" t="s">
        <v>42</v>
      </c>
      <c r="Q2" s="225" t="s">
        <v>43</v>
      </c>
      <c r="R2" s="225" t="s">
        <v>44</v>
      </c>
      <c r="S2" s="225" t="s">
        <v>45</v>
      </c>
      <c r="T2" s="225" t="s">
        <v>46</v>
      </c>
      <c r="U2" s="316"/>
      <c r="V2" s="223" t="s">
        <v>47</v>
      </c>
      <c r="W2" s="224" t="s">
        <v>48</v>
      </c>
      <c r="X2" s="225" t="s">
        <v>49</v>
      </c>
      <c r="Y2" s="305"/>
      <c r="Z2" s="305"/>
    </row>
    <row r="3" spans="1:27" ht="11.4" x14ac:dyDescent="0.15">
      <c r="A3" s="175">
        <f t="shared" ref="A3:A6" si="0">ROW()-2</f>
        <v>1</v>
      </c>
      <c r="B3" s="176" t="s">
        <v>50</v>
      </c>
      <c r="C3" s="176" t="s">
        <v>418</v>
      </c>
      <c r="D3" s="176" t="s">
        <v>419</v>
      </c>
      <c r="E3" s="176" t="s">
        <v>612</v>
      </c>
      <c r="F3" s="186" t="s">
        <v>421</v>
      </c>
      <c r="G3" s="258"/>
      <c r="H3" s="227" t="s">
        <v>422</v>
      </c>
      <c r="I3" s="177"/>
      <c r="J3" s="178"/>
      <c r="K3" s="178"/>
      <c r="L3" s="179"/>
      <c r="M3" s="177"/>
      <c r="N3" s="178"/>
      <c r="O3" s="178"/>
      <c r="P3" s="180"/>
      <c r="Q3" s="180" t="s">
        <v>61</v>
      </c>
      <c r="R3" s="180"/>
      <c r="S3" s="180"/>
      <c r="T3" s="180"/>
      <c r="U3" s="184"/>
      <c r="V3" s="181"/>
      <c r="W3" s="182"/>
      <c r="X3" s="183"/>
      <c r="Y3" s="184"/>
      <c r="Z3" s="185" t="s">
        <v>613</v>
      </c>
    </row>
    <row r="4" spans="1:27" ht="11.4" x14ac:dyDescent="0.15">
      <c r="A4" s="175">
        <f t="shared" si="0"/>
        <v>2</v>
      </c>
      <c r="B4" s="176" t="s">
        <v>58</v>
      </c>
      <c r="C4" s="176"/>
      <c r="D4" s="176"/>
      <c r="E4" s="176" t="s">
        <v>426</v>
      </c>
      <c r="F4" s="186"/>
      <c r="G4" s="258"/>
      <c r="H4" s="227" t="s">
        <v>422</v>
      </c>
      <c r="I4" s="177"/>
      <c r="J4" s="178"/>
      <c r="K4" s="178"/>
      <c r="L4" s="179"/>
      <c r="M4" s="177"/>
      <c r="N4" s="178"/>
      <c r="O4" s="178"/>
      <c r="P4" s="180"/>
      <c r="Q4" s="180" t="s">
        <v>61</v>
      </c>
      <c r="R4" s="180"/>
      <c r="S4" s="180"/>
      <c r="T4" s="180"/>
      <c r="U4" s="184"/>
      <c r="V4" s="181"/>
      <c r="W4" s="182"/>
      <c r="X4" s="183"/>
      <c r="Y4" s="184"/>
      <c r="Z4" s="185" t="s">
        <v>614</v>
      </c>
    </row>
    <row r="5" spans="1:27" ht="11.4" x14ac:dyDescent="0.15">
      <c r="A5" s="175">
        <f t="shared" si="0"/>
        <v>3</v>
      </c>
      <c r="B5" s="176"/>
      <c r="C5" s="176"/>
      <c r="D5" s="176" t="s">
        <v>428</v>
      </c>
      <c r="E5" s="176" t="s">
        <v>615</v>
      </c>
      <c r="F5" s="186" t="s">
        <v>429</v>
      </c>
      <c r="G5" s="258"/>
      <c r="H5" s="227" t="s">
        <v>430</v>
      </c>
      <c r="I5" s="177"/>
      <c r="J5" s="178"/>
      <c r="K5" s="178"/>
      <c r="L5" s="179"/>
      <c r="M5" s="177"/>
      <c r="N5" s="178"/>
      <c r="O5" s="178"/>
      <c r="P5" s="180"/>
      <c r="Q5" s="180" t="s">
        <v>61</v>
      </c>
      <c r="R5" s="180"/>
      <c r="S5" s="180"/>
      <c r="T5" s="180"/>
      <c r="U5" s="184"/>
      <c r="V5" s="181"/>
      <c r="W5" s="182"/>
      <c r="X5" s="183"/>
      <c r="Y5" s="184"/>
      <c r="Z5" s="185" t="s">
        <v>616</v>
      </c>
    </row>
    <row r="6" spans="1:27" ht="11.4" x14ac:dyDescent="0.15">
      <c r="A6" s="175">
        <f t="shared" si="0"/>
        <v>4</v>
      </c>
      <c r="B6" s="176"/>
      <c r="C6" s="176"/>
      <c r="D6" s="176"/>
      <c r="E6" s="176" t="s">
        <v>426</v>
      </c>
      <c r="F6" s="186"/>
      <c r="G6" s="258"/>
      <c r="H6" s="227" t="s">
        <v>430</v>
      </c>
      <c r="I6" s="177"/>
      <c r="J6" s="178"/>
      <c r="K6" s="178"/>
      <c r="L6" s="179"/>
      <c r="M6" s="177"/>
      <c r="N6" s="178"/>
      <c r="O6" s="178"/>
      <c r="P6" s="180"/>
      <c r="Q6" s="180" t="s">
        <v>61</v>
      </c>
      <c r="R6" s="180"/>
      <c r="S6" s="180"/>
      <c r="T6" s="180"/>
      <c r="U6" s="184"/>
      <c r="V6" s="181"/>
      <c r="W6" s="182"/>
      <c r="X6" s="183"/>
      <c r="Y6" s="184"/>
      <c r="Z6" s="185" t="s">
        <v>614</v>
      </c>
    </row>
    <row r="7" spans="1:27" ht="11.4" x14ac:dyDescent="0.15">
      <c r="A7" s="175">
        <f>ROW()-2</f>
        <v>5</v>
      </c>
      <c r="B7" s="176"/>
      <c r="C7" s="176" t="s">
        <v>617</v>
      </c>
      <c r="D7" s="176" t="s">
        <v>618</v>
      </c>
      <c r="E7" s="176" t="s">
        <v>619</v>
      </c>
      <c r="F7" s="186" t="s">
        <v>620</v>
      </c>
      <c r="G7" s="258" t="s">
        <v>56</v>
      </c>
      <c r="H7" s="227" t="s">
        <v>621</v>
      </c>
      <c r="I7" s="177"/>
      <c r="J7" s="178"/>
      <c r="K7" s="178"/>
      <c r="L7" s="179"/>
      <c r="M7" s="177"/>
      <c r="N7" s="178"/>
      <c r="O7" s="178"/>
      <c r="P7" s="180"/>
      <c r="Q7" s="180" t="s">
        <v>56</v>
      </c>
      <c r="R7" s="180"/>
      <c r="S7" s="180"/>
      <c r="T7" s="180"/>
      <c r="U7" s="184"/>
      <c r="V7" s="181"/>
      <c r="W7" s="182"/>
      <c r="X7" s="183"/>
      <c r="Y7" s="184"/>
      <c r="Z7" s="185" t="s">
        <v>622</v>
      </c>
    </row>
    <row r="8" spans="1:27" ht="11.4" x14ac:dyDescent="0.15">
      <c r="A8" s="175">
        <f t="shared" ref="A8:A221" si="1">ROW()-2</f>
        <v>6</v>
      </c>
      <c r="B8" s="176"/>
      <c r="C8" s="176"/>
      <c r="D8" s="176" t="s">
        <v>59</v>
      </c>
      <c r="E8" s="176" t="s">
        <v>623</v>
      </c>
      <c r="F8" s="186"/>
      <c r="G8" s="258"/>
      <c r="H8" s="227" t="s">
        <v>624</v>
      </c>
      <c r="I8" s="177"/>
      <c r="J8" s="178"/>
      <c r="K8" s="178"/>
      <c r="L8" s="179"/>
      <c r="M8" s="177"/>
      <c r="N8" s="178"/>
      <c r="O8" s="178"/>
      <c r="P8" s="180"/>
      <c r="Q8" s="180"/>
      <c r="R8" s="180"/>
      <c r="S8" s="180" t="s">
        <v>61</v>
      </c>
      <c r="T8" s="180"/>
      <c r="U8" s="184"/>
      <c r="V8" s="181"/>
      <c r="W8" s="182"/>
      <c r="X8" s="183"/>
      <c r="Y8" s="184"/>
      <c r="Z8" s="185" t="s">
        <v>625</v>
      </c>
    </row>
    <row r="9" spans="1:27" ht="11.4" x14ac:dyDescent="0.15">
      <c r="A9" s="175">
        <f t="shared" si="1"/>
        <v>7</v>
      </c>
      <c r="B9" s="176"/>
      <c r="C9" s="176"/>
      <c r="D9" s="176" t="s">
        <v>63</v>
      </c>
      <c r="E9" s="176" t="s">
        <v>626</v>
      </c>
      <c r="F9" s="186"/>
      <c r="G9" s="258"/>
      <c r="H9" s="227" t="s">
        <v>64</v>
      </c>
      <c r="I9" s="177"/>
      <c r="J9" s="178"/>
      <c r="K9" s="178"/>
      <c r="L9" s="179"/>
      <c r="M9" s="177"/>
      <c r="N9" s="178"/>
      <c r="O9" s="178"/>
      <c r="P9" s="180"/>
      <c r="Q9" s="180"/>
      <c r="R9" s="180"/>
      <c r="S9" s="180" t="s">
        <v>61</v>
      </c>
      <c r="T9" s="180"/>
      <c r="U9" s="184"/>
      <c r="V9" s="181"/>
      <c r="W9" s="182"/>
      <c r="X9" s="183"/>
      <c r="Y9" s="184"/>
      <c r="Z9" s="185" t="s">
        <v>627</v>
      </c>
    </row>
    <row r="10" spans="1:27" ht="11.4" x14ac:dyDescent="0.15">
      <c r="A10" s="175">
        <f t="shared" si="1"/>
        <v>8</v>
      </c>
      <c r="B10" s="176"/>
      <c r="C10" s="176"/>
      <c r="D10" s="176"/>
      <c r="E10" s="176" t="s">
        <v>628</v>
      </c>
      <c r="F10" s="186"/>
      <c r="G10" s="258"/>
      <c r="H10" s="227" t="s">
        <v>64</v>
      </c>
      <c r="I10" s="177"/>
      <c r="J10" s="178"/>
      <c r="K10" s="178"/>
      <c r="L10" s="179"/>
      <c r="M10" s="177"/>
      <c r="N10" s="178"/>
      <c r="O10" s="178"/>
      <c r="P10" s="180"/>
      <c r="Q10" s="180"/>
      <c r="R10" s="180"/>
      <c r="S10" s="180" t="s">
        <v>61</v>
      </c>
      <c r="T10" s="180"/>
      <c r="U10" s="184"/>
      <c r="V10" s="181"/>
      <c r="W10" s="182"/>
      <c r="X10" s="183"/>
      <c r="Y10" s="184"/>
      <c r="Z10" s="185" t="s">
        <v>629</v>
      </c>
    </row>
    <row r="11" spans="1:27" ht="11.4" x14ac:dyDescent="0.15">
      <c r="A11" s="175">
        <f t="shared" si="1"/>
        <v>9</v>
      </c>
      <c r="B11" s="176"/>
      <c r="C11" s="176"/>
      <c r="D11" s="176"/>
      <c r="E11" s="176" t="s">
        <v>630</v>
      </c>
      <c r="F11" s="186"/>
      <c r="G11" s="258"/>
      <c r="H11" s="227" t="s">
        <v>64</v>
      </c>
      <c r="I11" s="177"/>
      <c r="J11" s="178"/>
      <c r="K11" s="178"/>
      <c r="L11" s="179"/>
      <c r="M11" s="177"/>
      <c r="N11" s="178"/>
      <c r="O11" s="178"/>
      <c r="P11" s="180"/>
      <c r="Q11" s="180"/>
      <c r="R11" s="180"/>
      <c r="S11" s="180" t="s">
        <v>61</v>
      </c>
      <c r="T11" s="180"/>
      <c r="U11" s="184"/>
      <c r="V11" s="181"/>
      <c r="W11" s="182"/>
      <c r="X11" s="183"/>
      <c r="Y11" s="184"/>
      <c r="Z11" s="185" t="s">
        <v>631</v>
      </c>
    </row>
    <row r="12" spans="1:27" ht="11.4" x14ac:dyDescent="0.15">
      <c r="A12" s="175">
        <f t="shared" si="1"/>
        <v>10</v>
      </c>
      <c r="B12" s="176"/>
      <c r="C12" s="176"/>
      <c r="D12" s="176"/>
      <c r="E12" s="176" t="s">
        <v>632</v>
      </c>
      <c r="F12" s="186"/>
      <c r="G12" s="258"/>
      <c r="H12" s="227" t="s">
        <v>64</v>
      </c>
      <c r="I12" s="177"/>
      <c r="J12" s="178"/>
      <c r="K12" s="178"/>
      <c r="L12" s="179"/>
      <c r="M12" s="177"/>
      <c r="N12" s="178"/>
      <c r="O12" s="178"/>
      <c r="P12" s="180"/>
      <c r="Q12" s="180"/>
      <c r="R12" s="180"/>
      <c r="S12" s="180" t="s">
        <v>61</v>
      </c>
      <c r="T12" s="180"/>
      <c r="U12" s="184"/>
      <c r="V12" s="181"/>
      <c r="W12" s="182"/>
      <c r="X12" s="183"/>
      <c r="Y12" s="184"/>
      <c r="Z12" s="185" t="s">
        <v>633</v>
      </c>
      <c r="AA12" s="236" t="s">
        <v>65</v>
      </c>
    </row>
    <row r="13" spans="1:27" ht="11.4" x14ac:dyDescent="0.15">
      <c r="A13" s="175">
        <f t="shared" si="1"/>
        <v>11</v>
      </c>
      <c r="B13" s="176"/>
      <c r="C13" s="176"/>
      <c r="D13" s="176"/>
      <c r="E13" s="176" t="s">
        <v>634</v>
      </c>
      <c r="F13" s="186"/>
      <c r="G13" s="258"/>
      <c r="H13" s="227" t="s">
        <v>64</v>
      </c>
      <c r="I13" s="177"/>
      <c r="J13" s="178"/>
      <c r="K13" s="178"/>
      <c r="L13" s="179"/>
      <c r="M13" s="177"/>
      <c r="N13" s="178"/>
      <c r="O13" s="178"/>
      <c r="P13" s="180"/>
      <c r="Q13" s="180"/>
      <c r="R13" s="180"/>
      <c r="S13" s="180" t="s">
        <v>61</v>
      </c>
      <c r="T13" s="180"/>
      <c r="U13" s="184"/>
      <c r="V13" s="181"/>
      <c r="W13" s="182"/>
      <c r="X13" s="183"/>
      <c r="Y13" s="184"/>
      <c r="Z13" s="185" t="s">
        <v>635</v>
      </c>
      <c r="AA13" s="236" t="s">
        <v>65</v>
      </c>
    </row>
    <row r="14" spans="1:27" ht="11.4" x14ac:dyDescent="0.15">
      <c r="A14" s="175">
        <f t="shared" si="1"/>
        <v>12</v>
      </c>
      <c r="B14" s="176"/>
      <c r="C14" s="176"/>
      <c r="D14" s="176" t="s">
        <v>72</v>
      </c>
      <c r="E14" s="176" t="s">
        <v>73</v>
      </c>
      <c r="F14" s="186"/>
      <c r="G14" s="258"/>
      <c r="H14" s="227" t="s">
        <v>74</v>
      </c>
      <c r="I14" s="177"/>
      <c r="J14" s="178"/>
      <c r="K14" s="178"/>
      <c r="L14" s="179"/>
      <c r="M14" s="177"/>
      <c r="N14" s="178"/>
      <c r="O14" s="178"/>
      <c r="P14" s="180" t="s">
        <v>56</v>
      </c>
      <c r="Q14" s="180"/>
      <c r="R14" s="180"/>
      <c r="S14" s="180"/>
      <c r="T14" s="180"/>
      <c r="U14" s="184"/>
      <c r="V14" s="181"/>
      <c r="W14" s="182"/>
      <c r="X14" s="183"/>
      <c r="Y14" s="184"/>
      <c r="Z14" s="185" t="s">
        <v>636</v>
      </c>
    </row>
    <row r="15" spans="1:27" ht="11.4" x14ac:dyDescent="0.15">
      <c r="A15" s="175">
        <f t="shared" si="1"/>
        <v>13</v>
      </c>
      <c r="B15" s="176"/>
      <c r="C15" s="176"/>
      <c r="D15" s="176"/>
      <c r="E15" s="176" t="s">
        <v>76</v>
      </c>
      <c r="F15" s="186" t="s">
        <v>637</v>
      </c>
      <c r="G15" s="258" t="s">
        <v>56</v>
      </c>
      <c r="H15" s="227" t="s">
        <v>78</v>
      </c>
      <c r="I15" s="177"/>
      <c r="J15" s="178"/>
      <c r="K15" s="178"/>
      <c r="L15" s="179"/>
      <c r="M15" s="177"/>
      <c r="N15" s="178"/>
      <c r="O15" s="178"/>
      <c r="P15" s="180" t="s">
        <v>56</v>
      </c>
      <c r="Q15" s="180"/>
      <c r="R15" s="180"/>
      <c r="S15" s="180"/>
      <c r="T15" s="180"/>
      <c r="U15" s="184"/>
      <c r="V15" s="181"/>
      <c r="W15" s="182"/>
      <c r="X15" s="183"/>
      <c r="Y15" s="184"/>
      <c r="Z15" s="185" t="s">
        <v>638</v>
      </c>
    </row>
    <row r="16" spans="1:27" ht="11.4" x14ac:dyDescent="0.15">
      <c r="A16" s="175">
        <f t="shared" si="1"/>
        <v>14</v>
      </c>
      <c r="B16" s="176"/>
      <c r="C16" s="176"/>
      <c r="D16" s="176"/>
      <c r="E16" s="176"/>
      <c r="F16" s="186" t="s">
        <v>639</v>
      </c>
      <c r="G16" s="258" t="s">
        <v>56</v>
      </c>
      <c r="H16" s="227" t="s">
        <v>81</v>
      </c>
      <c r="I16" s="177"/>
      <c r="J16" s="178"/>
      <c r="K16" s="178"/>
      <c r="L16" s="179"/>
      <c r="M16" s="177"/>
      <c r="N16" s="178"/>
      <c r="O16" s="178"/>
      <c r="P16" s="180" t="s">
        <v>56</v>
      </c>
      <c r="Q16" s="180"/>
      <c r="R16" s="180"/>
      <c r="S16" s="180"/>
      <c r="T16" s="180"/>
      <c r="U16" s="184"/>
      <c r="V16" s="181"/>
      <c r="W16" s="182"/>
      <c r="X16" s="183"/>
      <c r="Y16" s="184"/>
      <c r="Z16" s="185" t="s">
        <v>640</v>
      </c>
    </row>
    <row r="17" spans="1:27" ht="11.4" x14ac:dyDescent="0.15">
      <c r="A17" s="175">
        <f t="shared" si="1"/>
        <v>15</v>
      </c>
      <c r="B17" s="176"/>
      <c r="C17" s="176" t="s">
        <v>641</v>
      </c>
      <c r="D17" s="176" t="s">
        <v>618</v>
      </c>
      <c r="E17" s="176" t="s">
        <v>619</v>
      </c>
      <c r="F17" s="186" t="s">
        <v>620</v>
      </c>
      <c r="G17" s="258" t="s">
        <v>56</v>
      </c>
      <c r="H17" s="227" t="s">
        <v>621</v>
      </c>
      <c r="I17" s="177"/>
      <c r="J17" s="178"/>
      <c r="K17" s="178"/>
      <c r="L17" s="179"/>
      <c r="M17" s="177"/>
      <c r="N17" s="178"/>
      <c r="O17" s="178"/>
      <c r="P17" s="180"/>
      <c r="Q17" s="180" t="s">
        <v>56</v>
      </c>
      <c r="R17" s="180"/>
      <c r="S17" s="180"/>
      <c r="T17" s="180"/>
      <c r="U17" s="184"/>
      <c r="V17" s="181"/>
      <c r="W17" s="182"/>
      <c r="X17" s="183"/>
      <c r="Y17" s="184"/>
      <c r="Z17" s="185" t="s">
        <v>642</v>
      </c>
    </row>
    <row r="18" spans="1:27" ht="11.4" x14ac:dyDescent="0.15">
      <c r="A18" s="175">
        <f t="shared" si="1"/>
        <v>16</v>
      </c>
      <c r="B18" s="176"/>
      <c r="C18" s="176"/>
      <c r="D18" s="176" t="s">
        <v>59</v>
      </c>
      <c r="E18" s="176" t="s">
        <v>623</v>
      </c>
      <c r="F18" s="186"/>
      <c r="G18" s="258"/>
      <c r="H18" s="227" t="s">
        <v>624</v>
      </c>
      <c r="I18" s="177"/>
      <c r="J18" s="178"/>
      <c r="K18" s="178"/>
      <c r="L18" s="179"/>
      <c r="M18" s="177"/>
      <c r="N18" s="178"/>
      <c r="O18" s="178"/>
      <c r="P18" s="180"/>
      <c r="Q18" s="180"/>
      <c r="R18" s="180"/>
      <c r="S18" s="180" t="s">
        <v>61</v>
      </c>
      <c r="T18" s="180"/>
      <c r="U18" s="184"/>
      <c r="V18" s="181"/>
      <c r="W18" s="182"/>
      <c r="X18" s="183"/>
      <c r="Y18" s="184"/>
      <c r="Z18" s="185" t="s">
        <v>643</v>
      </c>
    </row>
    <row r="19" spans="1:27" ht="11.4" x14ac:dyDescent="0.15">
      <c r="A19" s="175">
        <f t="shared" si="1"/>
        <v>17</v>
      </c>
      <c r="B19" s="176"/>
      <c r="C19" s="176"/>
      <c r="D19" s="176" t="s">
        <v>63</v>
      </c>
      <c r="E19" s="176" t="s">
        <v>644</v>
      </c>
      <c r="F19" s="186"/>
      <c r="G19" s="258"/>
      <c r="H19" s="227" t="s">
        <v>64</v>
      </c>
      <c r="I19" s="177"/>
      <c r="J19" s="178"/>
      <c r="K19" s="178"/>
      <c r="L19" s="179"/>
      <c r="M19" s="177"/>
      <c r="N19" s="178"/>
      <c r="O19" s="178"/>
      <c r="P19" s="180"/>
      <c r="Q19" s="180"/>
      <c r="R19" s="180"/>
      <c r="S19" s="180" t="s">
        <v>61</v>
      </c>
      <c r="T19" s="180"/>
      <c r="U19" s="184"/>
      <c r="V19" s="181"/>
      <c r="W19" s="182"/>
      <c r="X19" s="183"/>
      <c r="Y19" s="184"/>
      <c r="Z19" s="185" t="s">
        <v>645</v>
      </c>
      <c r="AA19" s="236" t="s">
        <v>65</v>
      </c>
    </row>
    <row r="20" spans="1:27" ht="11.4" x14ac:dyDescent="0.15">
      <c r="A20" s="175">
        <f t="shared" si="1"/>
        <v>18</v>
      </c>
      <c r="B20" s="176"/>
      <c r="C20" s="176"/>
      <c r="D20" s="176"/>
      <c r="E20" s="176" t="s">
        <v>630</v>
      </c>
      <c r="F20" s="186"/>
      <c r="G20" s="258"/>
      <c r="H20" s="227" t="s">
        <v>64</v>
      </c>
      <c r="I20" s="177"/>
      <c r="J20" s="178"/>
      <c r="K20" s="178"/>
      <c r="L20" s="179"/>
      <c r="M20" s="177"/>
      <c r="N20" s="178"/>
      <c r="O20" s="178"/>
      <c r="P20" s="180"/>
      <c r="Q20" s="180"/>
      <c r="R20" s="180"/>
      <c r="S20" s="180" t="s">
        <v>61</v>
      </c>
      <c r="T20" s="180"/>
      <c r="U20" s="184"/>
      <c r="V20" s="181"/>
      <c r="W20" s="182"/>
      <c r="X20" s="183"/>
      <c r="Y20" s="184"/>
      <c r="Z20" s="185" t="s">
        <v>646</v>
      </c>
    </row>
    <row r="21" spans="1:27" ht="11.4" x14ac:dyDescent="0.15">
      <c r="A21" s="175">
        <f t="shared" si="1"/>
        <v>19</v>
      </c>
      <c r="B21" s="176"/>
      <c r="C21" s="176"/>
      <c r="D21" s="176" t="s">
        <v>72</v>
      </c>
      <c r="E21" s="176" t="s">
        <v>73</v>
      </c>
      <c r="F21" s="186"/>
      <c r="G21" s="258"/>
      <c r="H21" s="227" t="s">
        <v>74</v>
      </c>
      <c r="I21" s="177"/>
      <c r="J21" s="178"/>
      <c r="K21" s="178"/>
      <c r="L21" s="179"/>
      <c r="M21" s="177"/>
      <c r="N21" s="178"/>
      <c r="O21" s="178"/>
      <c r="P21" s="180" t="s">
        <v>56</v>
      </c>
      <c r="Q21" s="180"/>
      <c r="R21" s="180"/>
      <c r="S21" s="180"/>
      <c r="T21" s="180"/>
      <c r="U21" s="184"/>
      <c r="V21" s="181"/>
      <c r="W21" s="182"/>
      <c r="X21" s="183"/>
      <c r="Y21" s="184"/>
      <c r="Z21" s="185" t="s">
        <v>636</v>
      </c>
    </row>
    <row r="22" spans="1:27" ht="11.4" x14ac:dyDescent="0.15">
      <c r="A22" s="175">
        <f t="shared" si="1"/>
        <v>20</v>
      </c>
      <c r="B22" s="176"/>
      <c r="C22" s="176"/>
      <c r="D22" s="176"/>
      <c r="E22" s="176" t="s">
        <v>76</v>
      </c>
      <c r="F22" s="186" t="s">
        <v>637</v>
      </c>
      <c r="G22" s="258" t="s">
        <v>56</v>
      </c>
      <c r="H22" s="227" t="s">
        <v>90</v>
      </c>
      <c r="I22" s="177"/>
      <c r="J22" s="178"/>
      <c r="K22" s="178"/>
      <c r="L22" s="179"/>
      <c r="M22" s="177"/>
      <c r="N22" s="178"/>
      <c r="O22" s="178"/>
      <c r="P22" s="180" t="s">
        <v>56</v>
      </c>
      <c r="Q22" s="180"/>
      <c r="R22" s="180"/>
      <c r="S22" s="180"/>
      <c r="T22" s="180"/>
      <c r="U22" s="184"/>
      <c r="V22" s="181"/>
      <c r="W22" s="182"/>
      <c r="X22" s="183"/>
      <c r="Y22" s="184"/>
      <c r="Z22" s="185" t="s">
        <v>638</v>
      </c>
    </row>
    <row r="23" spans="1:27" ht="11.4" x14ac:dyDescent="0.15">
      <c r="A23" s="175">
        <f t="shared" si="1"/>
        <v>21</v>
      </c>
      <c r="B23" s="176"/>
      <c r="C23" s="176"/>
      <c r="D23" s="176"/>
      <c r="E23" s="176"/>
      <c r="F23" s="186" t="s">
        <v>639</v>
      </c>
      <c r="G23" s="258" t="s">
        <v>56</v>
      </c>
      <c r="H23" s="227" t="s">
        <v>91</v>
      </c>
      <c r="I23" s="177"/>
      <c r="J23" s="178"/>
      <c r="K23" s="178"/>
      <c r="L23" s="179"/>
      <c r="M23" s="177"/>
      <c r="N23" s="178"/>
      <c r="O23" s="178"/>
      <c r="P23" s="180" t="s">
        <v>56</v>
      </c>
      <c r="Q23" s="180"/>
      <c r="R23" s="180"/>
      <c r="S23" s="180"/>
      <c r="T23" s="180"/>
      <c r="U23" s="184"/>
      <c r="V23" s="181"/>
      <c r="W23" s="182"/>
      <c r="X23" s="183"/>
      <c r="Y23" s="184"/>
      <c r="Z23" s="185" t="s">
        <v>640</v>
      </c>
    </row>
    <row r="24" spans="1:27" ht="11.4" x14ac:dyDescent="0.15">
      <c r="A24" s="175">
        <f t="shared" si="1"/>
        <v>22</v>
      </c>
      <c r="B24" s="176"/>
      <c r="C24" s="176" t="s">
        <v>647</v>
      </c>
      <c r="D24" s="176" t="s">
        <v>648</v>
      </c>
      <c r="E24" s="176" t="s">
        <v>649</v>
      </c>
      <c r="F24" s="186" t="s">
        <v>650</v>
      </c>
      <c r="G24" s="258" t="s">
        <v>56</v>
      </c>
      <c r="H24" s="227" t="s">
        <v>651</v>
      </c>
      <c r="I24" s="177"/>
      <c r="J24" s="178"/>
      <c r="K24" s="178"/>
      <c r="L24" s="179"/>
      <c r="M24" s="177"/>
      <c r="N24" s="178"/>
      <c r="O24" s="178"/>
      <c r="P24" s="180"/>
      <c r="Q24" s="180" t="s">
        <v>61</v>
      </c>
      <c r="R24" s="180"/>
      <c r="S24" s="180"/>
      <c r="T24" s="180"/>
      <c r="U24" s="184"/>
      <c r="V24" s="181"/>
      <c r="W24" s="182"/>
      <c r="X24" s="183"/>
      <c r="Y24" s="184"/>
      <c r="Z24" s="185" t="s">
        <v>652</v>
      </c>
      <c r="AA24" s="236" t="s">
        <v>649</v>
      </c>
    </row>
    <row r="25" spans="1:27" ht="11.4" x14ac:dyDescent="0.15">
      <c r="A25" s="175">
        <f t="shared" si="1"/>
        <v>23</v>
      </c>
      <c r="B25" s="176"/>
      <c r="C25" s="176"/>
      <c r="D25" s="176"/>
      <c r="E25" s="176" t="s">
        <v>653</v>
      </c>
      <c r="F25" s="186"/>
      <c r="G25" s="258"/>
      <c r="H25" s="227" t="s">
        <v>651</v>
      </c>
      <c r="I25" s="177"/>
      <c r="J25" s="178"/>
      <c r="K25" s="178"/>
      <c r="L25" s="179"/>
      <c r="M25" s="177"/>
      <c r="N25" s="178"/>
      <c r="O25" s="178"/>
      <c r="P25" s="180"/>
      <c r="Q25" s="180" t="s">
        <v>61</v>
      </c>
      <c r="R25" s="180"/>
      <c r="S25" s="180"/>
      <c r="T25" s="180"/>
      <c r="U25" s="184"/>
      <c r="V25" s="181"/>
      <c r="W25" s="182"/>
      <c r="X25" s="183"/>
      <c r="Y25" s="184"/>
      <c r="Z25" s="185" t="s">
        <v>654</v>
      </c>
      <c r="AA25" s="236" t="s">
        <v>653</v>
      </c>
    </row>
    <row r="26" spans="1:27" ht="11.4" x14ac:dyDescent="0.15">
      <c r="A26" s="175">
        <f t="shared" si="1"/>
        <v>24</v>
      </c>
      <c r="B26" s="176"/>
      <c r="C26" s="176"/>
      <c r="D26" s="176"/>
      <c r="E26" s="176" t="s">
        <v>655</v>
      </c>
      <c r="F26" s="186"/>
      <c r="G26" s="258"/>
      <c r="H26" s="227" t="s">
        <v>651</v>
      </c>
      <c r="I26" s="177"/>
      <c r="J26" s="178"/>
      <c r="K26" s="178"/>
      <c r="L26" s="179"/>
      <c r="M26" s="177"/>
      <c r="N26" s="178"/>
      <c r="O26" s="178"/>
      <c r="P26" s="180"/>
      <c r="Q26" s="180" t="s">
        <v>61</v>
      </c>
      <c r="R26" s="180"/>
      <c r="S26" s="180"/>
      <c r="T26" s="180"/>
      <c r="U26" s="184"/>
      <c r="V26" s="181"/>
      <c r="W26" s="182"/>
      <c r="X26" s="183"/>
      <c r="Y26" s="184"/>
      <c r="Z26" s="185" t="s">
        <v>656</v>
      </c>
      <c r="AA26" s="236" t="s">
        <v>655</v>
      </c>
    </row>
    <row r="27" spans="1:27" ht="11.4" x14ac:dyDescent="0.15">
      <c r="A27" s="175">
        <f t="shared" si="1"/>
        <v>25</v>
      </c>
      <c r="B27" s="176"/>
      <c r="C27" s="176"/>
      <c r="D27" s="176"/>
      <c r="E27" s="176" t="s">
        <v>657</v>
      </c>
      <c r="F27" s="186"/>
      <c r="G27" s="258"/>
      <c r="H27" s="227" t="s">
        <v>651</v>
      </c>
      <c r="I27" s="177"/>
      <c r="J27" s="178"/>
      <c r="K27" s="178"/>
      <c r="L27" s="179"/>
      <c r="M27" s="177"/>
      <c r="N27" s="178"/>
      <c r="O27" s="178"/>
      <c r="P27" s="180"/>
      <c r="Q27" s="180" t="s">
        <v>61</v>
      </c>
      <c r="R27" s="180"/>
      <c r="S27" s="180"/>
      <c r="T27" s="180"/>
      <c r="U27" s="184"/>
      <c r="V27" s="181"/>
      <c r="W27" s="182"/>
      <c r="X27" s="183"/>
      <c r="Y27" s="184"/>
      <c r="Z27" s="185" t="s">
        <v>658</v>
      </c>
      <c r="AA27" s="236" t="s">
        <v>657</v>
      </c>
    </row>
    <row r="28" spans="1:27" ht="11.4" x14ac:dyDescent="0.15">
      <c r="A28" s="175">
        <f t="shared" si="1"/>
        <v>26</v>
      </c>
      <c r="B28" s="176"/>
      <c r="C28" s="176"/>
      <c r="D28" s="176"/>
      <c r="E28" s="176" t="s">
        <v>659</v>
      </c>
      <c r="F28" s="186"/>
      <c r="G28" s="258"/>
      <c r="H28" s="227" t="s">
        <v>651</v>
      </c>
      <c r="I28" s="177"/>
      <c r="J28" s="178"/>
      <c r="K28" s="178"/>
      <c r="L28" s="179"/>
      <c r="M28" s="177"/>
      <c r="N28" s="178"/>
      <c r="O28" s="178"/>
      <c r="P28" s="180"/>
      <c r="Q28" s="180" t="s">
        <v>61</v>
      </c>
      <c r="R28" s="180"/>
      <c r="S28" s="180"/>
      <c r="T28" s="180"/>
      <c r="U28" s="184"/>
      <c r="V28" s="181"/>
      <c r="W28" s="182"/>
      <c r="X28" s="183"/>
      <c r="Y28" s="184"/>
      <c r="Z28" s="185" t="s">
        <v>660</v>
      </c>
      <c r="AA28" s="236" t="s">
        <v>659</v>
      </c>
    </row>
    <row r="29" spans="1:27" ht="11.4" x14ac:dyDescent="0.15">
      <c r="A29" s="175">
        <f t="shared" si="1"/>
        <v>27</v>
      </c>
      <c r="B29" s="176"/>
      <c r="C29" s="176"/>
      <c r="D29" s="176"/>
      <c r="E29" s="176" t="s">
        <v>661</v>
      </c>
      <c r="F29" s="186"/>
      <c r="G29" s="258"/>
      <c r="H29" s="227" t="s">
        <v>651</v>
      </c>
      <c r="I29" s="177"/>
      <c r="J29" s="178"/>
      <c r="K29" s="178"/>
      <c r="L29" s="179"/>
      <c r="M29" s="177"/>
      <c r="N29" s="178"/>
      <c r="O29" s="178"/>
      <c r="P29" s="180"/>
      <c r="Q29" s="180" t="s">
        <v>61</v>
      </c>
      <c r="R29" s="180"/>
      <c r="S29" s="180"/>
      <c r="T29" s="180"/>
      <c r="U29" s="184"/>
      <c r="V29" s="181"/>
      <c r="W29" s="182"/>
      <c r="X29" s="183"/>
      <c r="Y29" s="184"/>
      <c r="Z29" s="185" t="s">
        <v>662</v>
      </c>
      <c r="AA29" s="236" t="s">
        <v>661</v>
      </c>
    </row>
    <row r="30" spans="1:27" ht="11.4" x14ac:dyDescent="0.15">
      <c r="A30" s="175">
        <f t="shared" si="1"/>
        <v>28</v>
      </c>
      <c r="B30" s="176"/>
      <c r="C30" s="176"/>
      <c r="D30" s="176"/>
      <c r="E30" s="176" t="s">
        <v>663</v>
      </c>
      <c r="F30" s="186"/>
      <c r="G30" s="258"/>
      <c r="H30" s="227" t="s">
        <v>651</v>
      </c>
      <c r="I30" s="177"/>
      <c r="J30" s="178"/>
      <c r="K30" s="178"/>
      <c r="L30" s="179"/>
      <c r="M30" s="177"/>
      <c r="N30" s="178"/>
      <c r="O30" s="178"/>
      <c r="P30" s="180"/>
      <c r="Q30" s="180" t="s">
        <v>61</v>
      </c>
      <c r="R30" s="180"/>
      <c r="S30" s="180"/>
      <c r="T30" s="180"/>
      <c r="U30" s="184"/>
      <c r="V30" s="181"/>
      <c r="W30" s="182"/>
      <c r="X30" s="183"/>
      <c r="Y30" s="184"/>
      <c r="Z30" s="185" t="s">
        <v>664</v>
      </c>
      <c r="AA30" s="236" t="s">
        <v>663</v>
      </c>
    </row>
    <row r="31" spans="1:27" ht="11.4" x14ac:dyDescent="0.15">
      <c r="A31" s="175">
        <f t="shared" si="1"/>
        <v>29</v>
      </c>
      <c r="B31" s="176"/>
      <c r="C31" s="176"/>
      <c r="D31" s="176"/>
      <c r="E31" s="176" t="s">
        <v>665</v>
      </c>
      <c r="F31" s="186"/>
      <c r="G31" s="258"/>
      <c r="H31" s="227" t="s">
        <v>651</v>
      </c>
      <c r="I31" s="177"/>
      <c r="J31" s="178"/>
      <c r="K31" s="178"/>
      <c r="L31" s="179"/>
      <c r="M31" s="177"/>
      <c r="N31" s="178"/>
      <c r="O31" s="178"/>
      <c r="P31" s="180"/>
      <c r="Q31" s="180" t="s">
        <v>61</v>
      </c>
      <c r="R31" s="180"/>
      <c r="S31" s="180"/>
      <c r="T31" s="180"/>
      <c r="U31" s="184"/>
      <c r="V31" s="181"/>
      <c r="W31" s="182"/>
      <c r="X31" s="183"/>
      <c r="Y31" s="184"/>
      <c r="Z31" s="185" t="s">
        <v>666</v>
      </c>
      <c r="AA31" s="236" t="s">
        <v>665</v>
      </c>
    </row>
    <row r="32" spans="1:27" ht="11.4" x14ac:dyDescent="0.15">
      <c r="A32" s="175">
        <f t="shared" si="1"/>
        <v>30</v>
      </c>
      <c r="B32" s="176"/>
      <c r="C32" s="176"/>
      <c r="D32" s="176"/>
      <c r="E32" s="176" t="s">
        <v>667</v>
      </c>
      <c r="F32" s="186"/>
      <c r="G32" s="258"/>
      <c r="H32" s="227" t="s">
        <v>651</v>
      </c>
      <c r="I32" s="177"/>
      <c r="J32" s="178"/>
      <c r="K32" s="178"/>
      <c r="L32" s="179"/>
      <c r="M32" s="177"/>
      <c r="N32" s="178"/>
      <c r="O32" s="178"/>
      <c r="P32" s="180"/>
      <c r="Q32" s="180" t="s">
        <v>61</v>
      </c>
      <c r="R32" s="180"/>
      <c r="S32" s="180"/>
      <c r="T32" s="180"/>
      <c r="U32" s="184"/>
      <c r="V32" s="181"/>
      <c r="W32" s="182"/>
      <c r="X32" s="183"/>
      <c r="Y32" s="184"/>
      <c r="Z32" s="185" t="s">
        <v>668</v>
      </c>
      <c r="AA32" s="236" t="s">
        <v>667</v>
      </c>
    </row>
    <row r="33" spans="1:27" ht="11.4" x14ac:dyDescent="0.15">
      <c r="A33" s="175">
        <f t="shared" si="1"/>
        <v>31</v>
      </c>
      <c r="B33" s="176"/>
      <c r="C33" s="176"/>
      <c r="D33" s="176"/>
      <c r="E33" s="176" t="s">
        <v>669</v>
      </c>
      <c r="F33" s="186"/>
      <c r="G33" s="258"/>
      <c r="H33" s="227" t="s">
        <v>651</v>
      </c>
      <c r="I33" s="177"/>
      <c r="J33" s="178"/>
      <c r="K33" s="178"/>
      <c r="L33" s="179"/>
      <c r="M33" s="177"/>
      <c r="N33" s="178"/>
      <c r="O33" s="178"/>
      <c r="P33" s="180"/>
      <c r="Q33" s="180" t="s">
        <v>61</v>
      </c>
      <c r="R33" s="180"/>
      <c r="S33" s="180"/>
      <c r="T33" s="180"/>
      <c r="U33" s="184"/>
      <c r="V33" s="181"/>
      <c r="W33" s="182"/>
      <c r="X33" s="183"/>
      <c r="Y33" s="184"/>
      <c r="Z33" s="185" t="s">
        <v>670</v>
      </c>
      <c r="AA33" s="236" t="s">
        <v>669</v>
      </c>
    </row>
    <row r="34" spans="1:27" ht="11.4" x14ac:dyDescent="0.15">
      <c r="A34" s="175">
        <f t="shared" si="1"/>
        <v>32</v>
      </c>
      <c r="B34" s="176"/>
      <c r="C34" s="176"/>
      <c r="D34" s="176"/>
      <c r="E34" s="176" t="s">
        <v>395</v>
      </c>
      <c r="F34" s="186"/>
      <c r="G34" s="258"/>
      <c r="H34" s="227" t="s">
        <v>651</v>
      </c>
      <c r="I34" s="177"/>
      <c r="J34" s="178"/>
      <c r="K34" s="178"/>
      <c r="L34" s="179"/>
      <c r="M34" s="177"/>
      <c r="N34" s="178"/>
      <c r="O34" s="178"/>
      <c r="P34" s="180"/>
      <c r="Q34" s="180" t="s">
        <v>61</v>
      </c>
      <c r="R34" s="180"/>
      <c r="S34" s="180"/>
      <c r="T34" s="180"/>
      <c r="U34" s="184"/>
      <c r="V34" s="181"/>
      <c r="W34" s="182"/>
      <c r="X34" s="183"/>
      <c r="Y34" s="184"/>
      <c r="Z34" s="185" t="s">
        <v>671</v>
      </c>
      <c r="AA34" s="236" t="s">
        <v>395</v>
      </c>
    </row>
    <row r="35" spans="1:27" ht="11.4" x14ac:dyDescent="0.15">
      <c r="A35" s="175">
        <f t="shared" si="1"/>
        <v>33</v>
      </c>
      <c r="B35" s="176"/>
      <c r="C35" s="176"/>
      <c r="D35" s="176" t="s">
        <v>307</v>
      </c>
      <c r="E35" s="176" t="s">
        <v>672</v>
      </c>
      <c r="F35" s="186"/>
      <c r="G35" s="258"/>
      <c r="H35" s="227" t="s">
        <v>673</v>
      </c>
      <c r="I35" s="177"/>
      <c r="J35" s="178"/>
      <c r="K35" s="178"/>
      <c r="L35" s="179"/>
      <c r="M35" s="177"/>
      <c r="N35" s="178"/>
      <c r="O35" s="178"/>
      <c r="P35" s="180"/>
      <c r="Q35" s="180"/>
      <c r="R35" s="180"/>
      <c r="S35" s="180"/>
      <c r="T35" s="180" t="s">
        <v>61</v>
      </c>
      <c r="U35" s="184"/>
      <c r="V35" s="181"/>
      <c r="W35" s="182"/>
      <c r="X35" s="183"/>
      <c r="Y35" s="184"/>
      <c r="Z35" s="185" t="s">
        <v>642</v>
      </c>
    </row>
    <row r="36" spans="1:27" ht="11.4" x14ac:dyDescent="0.15">
      <c r="A36" s="175">
        <f t="shared" si="1"/>
        <v>34</v>
      </c>
      <c r="B36" s="176"/>
      <c r="C36" s="176" t="s">
        <v>105</v>
      </c>
      <c r="D36" s="176" t="s">
        <v>674</v>
      </c>
      <c r="E36" s="176" t="s">
        <v>675</v>
      </c>
      <c r="F36" s="186" t="s">
        <v>676</v>
      </c>
      <c r="G36" s="258"/>
      <c r="H36" s="227" t="s">
        <v>677</v>
      </c>
      <c r="I36" s="177"/>
      <c r="J36" s="178"/>
      <c r="K36" s="178"/>
      <c r="L36" s="179"/>
      <c r="M36" s="177"/>
      <c r="N36" s="178"/>
      <c r="O36" s="178"/>
      <c r="P36" s="180"/>
      <c r="Q36" s="180"/>
      <c r="R36" s="180" t="s">
        <v>61</v>
      </c>
      <c r="S36" s="180"/>
      <c r="T36" s="180"/>
      <c r="U36" s="184"/>
      <c r="V36" s="181"/>
      <c r="W36" s="182"/>
      <c r="X36" s="183"/>
      <c r="Y36" s="184"/>
      <c r="Z36" s="185" t="s">
        <v>678</v>
      </c>
    </row>
    <row r="37" spans="1:27" ht="11.4" x14ac:dyDescent="0.15">
      <c r="A37" s="175">
        <f t="shared" si="1"/>
        <v>35</v>
      </c>
      <c r="B37" s="176"/>
      <c r="C37" s="176"/>
      <c r="D37" s="176"/>
      <c r="E37" s="176" t="s">
        <v>679</v>
      </c>
      <c r="F37" s="186"/>
      <c r="G37" s="258"/>
      <c r="H37" s="227" t="s">
        <v>677</v>
      </c>
      <c r="I37" s="177"/>
      <c r="J37" s="178"/>
      <c r="K37" s="178"/>
      <c r="L37" s="179"/>
      <c r="M37" s="177"/>
      <c r="N37" s="178"/>
      <c r="O37" s="178"/>
      <c r="P37" s="180"/>
      <c r="Q37" s="180"/>
      <c r="R37" s="180" t="s">
        <v>61</v>
      </c>
      <c r="S37" s="180"/>
      <c r="T37" s="180"/>
      <c r="U37" s="184"/>
      <c r="V37" s="181"/>
      <c r="W37" s="182"/>
      <c r="X37" s="183"/>
      <c r="Y37" s="184"/>
      <c r="Z37" s="185" t="s">
        <v>678</v>
      </c>
    </row>
    <row r="38" spans="1:27" ht="11.4" x14ac:dyDescent="0.15">
      <c r="A38" s="175">
        <f t="shared" si="1"/>
        <v>36</v>
      </c>
      <c r="B38" s="176"/>
      <c r="C38" s="176"/>
      <c r="D38" s="176"/>
      <c r="E38" s="176" t="s">
        <v>680</v>
      </c>
      <c r="F38" s="186"/>
      <c r="G38" s="258"/>
      <c r="H38" s="227" t="s">
        <v>677</v>
      </c>
      <c r="I38" s="177"/>
      <c r="J38" s="178"/>
      <c r="K38" s="178"/>
      <c r="L38" s="179"/>
      <c r="M38" s="177"/>
      <c r="N38" s="178"/>
      <c r="O38" s="178"/>
      <c r="P38" s="180"/>
      <c r="Q38" s="180"/>
      <c r="R38" s="180" t="s">
        <v>61</v>
      </c>
      <c r="S38" s="180"/>
      <c r="T38" s="180"/>
      <c r="U38" s="184"/>
      <c r="V38" s="181"/>
      <c r="W38" s="182"/>
      <c r="X38" s="183"/>
      <c r="Y38" s="184"/>
      <c r="Z38" s="185" t="s">
        <v>678</v>
      </c>
    </row>
    <row r="39" spans="1:27" ht="11.4" x14ac:dyDescent="0.15">
      <c r="A39" s="175">
        <f t="shared" si="1"/>
        <v>37</v>
      </c>
      <c r="B39" s="176"/>
      <c r="C39" s="176"/>
      <c r="D39" s="176"/>
      <c r="E39" s="176" t="s">
        <v>681</v>
      </c>
      <c r="F39" s="186"/>
      <c r="G39" s="258"/>
      <c r="H39" s="227" t="s">
        <v>677</v>
      </c>
      <c r="I39" s="177"/>
      <c r="J39" s="178"/>
      <c r="K39" s="178"/>
      <c r="L39" s="179"/>
      <c r="M39" s="177"/>
      <c r="N39" s="178"/>
      <c r="O39" s="178"/>
      <c r="P39" s="180"/>
      <c r="Q39" s="180"/>
      <c r="R39" s="180" t="s">
        <v>61</v>
      </c>
      <c r="S39" s="180"/>
      <c r="T39" s="180"/>
      <c r="U39" s="184"/>
      <c r="V39" s="181"/>
      <c r="W39" s="182"/>
      <c r="X39" s="183"/>
      <c r="Y39" s="184"/>
      <c r="Z39" s="185" t="s">
        <v>678</v>
      </c>
    </row>
    <row r="40" spans="1:27" ht="11.4" x14ac:dyDescent="0.15">
      <c r="A40" s="175">
        <f t="shared" si="1"/>
        <v>38</v>
      </c>
      <c r="B40" s="176"/>
      <c r="C40" s="176"/>
      <c r="D40" s="176"/>
      <c r="E40" s="176" t="s">
        <v>682</v>
      </c>
      <c r="F40" s="186"/>
      <c r="G40" s="258"/>
      <c r="H40" s="227" t="s">
        <v>677</v>
      </c>
      <c r="I40" s="177"/>
      <c r="J40" s="178"/>
      <c r="K40" s="178"/>
      <c r="L40" s="179"/>
      <c r="M40" s="177"/>
      <c r="N40" s="178"/>
      <c r="O40" s="178"/>
      <c r="P40" s="180"/>
      <c r="Q40" s="180"/>
      <c r="R40" s="180" t="s">
        <v>61</v>
      </c>
      <c r="S40" s="180"/>
      <c r="T40" s="180"/>
      <c r="U40" s="184"/>
      <c r="V40" s="181"/>
      <c r="W40" s="182"/>
      <c r="X40" s="183"/>
      <c r="Y40" s="184"/>
      <c r="Z40" s="185" t="s">
        <v>678</v>
      </c>
    </row>
    <row r="41" spans="1:27" ht="11.4" x14ac:dyDescent="0.15">
      <c r="A41" s="175">
        <f t="shared" si="1"/>
        <v>39</v>
      </c>
      <c r="B41" s="176"/>
      <c r="C41" s="176"/>
      <c r="D41" s="176"/>
      <c r="E41" s="176" t="s">
        <v>683</v>
      </c>
      <c r="F41" s="186"/>
      <c r="G41" s="258"/>
      <c r="H41" s="227" t="s">
        <v>677</v>
      </c>
      <c r="I41" s="177"/>
      <c r="J41" s="178"/>
      <c r="K41" s="178"/>
      <c r="L41" s="179"/>
      <c r="M41" s="177"/>
      <c r="N41" s="178"/>
      <c r="O41" s="178"/>
      <c r="P41" s="180"/>
      <c r="Q41" s="180"/>
      <c r="R41" s="180" t="s">
        <v>61</v>
      </c>
      <c r="S41" s="180"/>
      <c r="T41" s="180"/>
      <c r="U41" s="184"/>
      <c r="V41" s="181"/>
      <c r="W41" s="182"/>
      <c r="X41" s="183"/>
      <c r="Y41" s="184"/>
      <c r="Z41" s="185" t="s">
        <v>678</v>
      </c>
    </row>
    <row r="42" spans="1:27" ht="11.4" x14ac:dyDescent="0.15">
      <c r="A42" s="175">
        <f t="shared" si="1"/>
        <v>40</v>
      </c>
      <c r="B42" s="176"/>
      <c r="C42" s="176"/>
      <c r="D42" s="176"/>
      <c r="E42" s="176" t="s">
        <v>684</v>
      </c>
      <c r="F42" s="186"/>
      <c r="G42" s="258"/>
      <c r="H42" s="227" t="s">
        <v>677</v>
      </c>
      <c r="I42" s="177"/>
      <c r="J42" s="178"/>
      <c r="K42" s="178"/>
      <c r="L42" s="179"/>
      <c r="M42" s="177"/>
      <c r="N42" s="178"/>
      <c r="O42" s="178"/>
      <c r="P42" s="180"/>
      <c r="Q42" s="180"/>
      <c r="R42" s="180" t="s">
        <v>61</v>
      </c>
      <c r="S42" s="180"/>
      <c r="T42" s="180"/>
      <c r="U42" s="184"/>
      <c r="V42" s="181"/>
      <c r="W42" s="182"/>
      <c r="X42" s="183"/>
      <c r="Y42" s="184"/>
      <c r="Z42" s="185" t="s">
        <v>678</v>
      </c>
    </row>
    <row r="43" spans="1:27" ht="11.4" x14ac:dyDescent="0.15">
      <c r="A43" s="175">
        <f t="shared" si="1"/>
        <v>41</v>
      </c>
      <c r="B43" s="176"/>
      <c r="C43" s="176"/>
      <c r="D43" s="176" t="s">
        <v>685</v>
      </c>
      <c r="E43" s="176" t="s">
        <v>686</v>
      </c>
      <c r="F43" s="186"/>
      <c r="G43" s="258"/>
      <c r="H43" s="227" t="s">
        <v>677</v>
      </c>
      <c r="I43" s="177"/>
      <c r="J43" s="178"/>
      <c r="K43" s="178"/>
      <c r="L43" s="179"/>
      <c r="M43" s="177"/>
      <c r="N43" s="178"/>
      <c r="O43" s="178"/>
      <c r="P43" s="180"/>
      <c r="Q43" s="180"/>
      <c r="R43" s="180" t="s">
        <v>61</v>
      </c>
      <c r="S43" s="180"/>
      <c r="T43" s="180"/>
      <c r="U43" s="184"/>
      <c r="V43" s="181"/>
      <c r="W43" s="182"/>
      <c r="X43" s="183"/>
      <c r="Y43" s="184"/>
      <c r="Z43" s="185" t="s">
        <v>678</v>
      </c>
    </row>
    <row r="44" spans="1:27" ht="11.4" x14ac:dyDescent="0.15">
      <c r="A44" s="175">
        <f t="shared" si="1"/>
        <v>42</v>
      </c>
      <c r="B44" s="176"/>
      <c r="C44" s="176"/>
      <c r="D44" s="176"/>
      <c r="E44" s="176" t="s">
        <v>687</v>
      </c>
      <c r="F44" s="186"/>
      <c r="G44" s="258"/>
      <c r="H44" s="227" t="s">
        <v>677</v>
      </c>
      <c r="I44" s="177"/>
      <c r="J44" s="178"/>
      <c r="K44" s="178"/>
      <c r="L44" s="179"/>
      <c r="M44" s="177"/>
      <c r="N44" s="178"/>
      <c r="O44" s="178"/>
      <c r="P44" s="180"/>
      <c r="Q44" s="180"/>
      <c r="R44" s="180" t="s">
        <v>61</v>
      </c>
      <c r="S44" s="180"/>
      <c r="T44" s="180"/>
      <c r="U44" s="184"/>
      <c r="V44" s="181"/>
      <c r="W44" s="182"/>
      <c r="X44" s="183"/>
      <c r="Y44" s="184"/>
      <c r="Z44" s="185" t="s">
        <v>678</v>
      </c>
    </row>
    <row r="45" spans="1:27" ht="11.4" x14ac:dyDescent="0.15">
      <c r="A45" s="175">
        <f t="shared" si="1"/>
        <v>43</v>
      </c>
      <c r="B45" s="176"/>
      <c r="C45" s="176"/>
      <c r="D45" s="176"/>
      <c r="E45" s="176" t="s">
        <v>688</v>
      </c>
      <c r="F45" s="186"/>
      <c r="G45" s="258"/>
      <c r="H45" s="227" t="s">
        <v>677</v>
      </c>
      <c r="I45" s="177"/>
      <c r="J45" s="178"/>
      <c r="K45" s="178"/>
      <c r="L45" s="179"/>
      <c r="M45" s="177"/>
      <c r="N45" s="178"/>
      <c r="O45" s="178"/>
      <c r="P45" s="180"/>
      <c r="Q45" s="180"/>
      <c r="R45" s="180" t="s">
        <v>61</v>
      </c>
      <c r="S45" s="180"/>
      <c r="T45" s="180"/>
      <c r="U45" s="184"/>
      <c r="V45" s="181"/>
      <c r="W45" s="182"/>
      <c r="X45" s="183"/>
      <c r="Y45" s="184"/>
      <c r="Z45" s="185" t="s">
        <v>678</v>
      </c>
    </row>
    <row r="46" spans="1:27" ht="11.4" x14ac:dyDescent="0.15">
      <c r="A46" s="175">
        <f t="shared" si="1"/>
        <v>44</v>
      </c>
      <c r="B46" s="176"/>
      <c r="C46" s="176"/>
      <c r="D46" s="176"/>
      <c r="E46" s="176" t="s">
        <v>689</v>
      </c>
      <c r="F46" s="186"/>
      <c r="G46" s="258"/>
      <c r="H46" s="227" t="s">
        <v>677</v>
      </c>
      <c r="I46" s="177"/>
      <c r="J46" s="178"/>
      <c r="K46" s="178"/>
      <c r="L46" s="179"/>
      <c r="M46" s="177"/>
      <c r="N46" s="178"/>
      <c r="O46" s="178"/>
      <c r="P46" s="180"/>
      <c r="Q46" s="180"/>
      <c r="R46" s="180" t="s">
        <v>61</v>
      </c>
      <c r="S46" s="180"/>
      <c r="T46" s="180"/>
      <c r="U46" s="184"/>
      <c r="V46" s="181"/>
      <c r="W46" s="182"/>
      <c r="X46" s="183"/>
      <c r="Y46" s="184"/>
      <c r="Z46" s="185" t="s">
        <v>678</v>
      </c>
    </row>
    <row r="47" spans="1:27" ht="11.4" x14ac:dyDescent="0.15">
      <c r="A47" s="175">
        <f t="shared" si="1"/>
        <v>45</v>
      </c>
      <c r="B47" s="176"/>
      <c r="C47" s="176"/>
      <c r="D47" s="176" t="s">
        <v>690</v>
      </c>
      <c r="E47" s="176" t="s">
        <v>691</v>
      </c>
      <c r="F47" s="186"/>
      <c r="G47" s="258"/>
      <c r="H47" s="227" t="s">
        <v>677</v>
      </c>
      <c r="I47" s="177"/>
      <c r="J47" s="178"/>
      <c r="K47" s="178"/>
      <c r="L47" s="179"/>
      <c r="M47" s="177"/>
      <c r="N47" s="178"/>
      <c r="O47" s="178"/>
      <c r="P47" s="180"/>
      <c r="Q47" s="180"/>
      <c r="R47" s="180" t="s">
        <v>61</v>
      </c>
      <c r="S47" s="180"/>
      <c r="T47" s="180"/>
      <c r="U47" s="184"/>
      <c r="V47" s="181"/>
      <c r="W47" s="182"/>
      <c r="X47" s="183"/>
      <c r="Y47" s="184"/>
      <c r="Z47" s="185" t="s">
        <v>678</v>
      </c>
    </row>
    <row r="48" spans="1:27" ht="11.4" x14ac:dyDescent="0.15">
      <c r="A48" s="175">
        <f t="shared" si="1"/>
        <v>46</v>
      </c>
      <c r="B48" s="176"/>
      <c r="C48" s="176"/>
      <c r="D48" s="176"/>
      <c r="E48" s="176" t="s">
        <v>692</v>
      </c>
      <c r="F48" s="186"/>
      <c r="G48" s="258"/>
      <c r="H48" s="227" t="s">
        <v>677</v>
      </c>
      <c r="I48" s="177"/>
      <c r="J48" s="178"/>
      <c r="K48" s="178"/>
      <c r="L48" s="179"/>
      <c r="M48" s="177"/>
      <c r="N48" s="178"/>
      <c r="O48" s="178"/>
      <c r="P48" s="180"/>
      <c r="Q48" s="180"/>
      <c r="R48" s="180" t="s">
        <v>61</v>
      </c>
      <c r="S48" s="180"/>
      <c r="T48" s="180"/>
      <c r="U48" s="184"/>
      <c r="V48" s="181"/>
      <c r="W48" s="182"/>
      <c r="X48" s="183"/>
      <c r="Y48" s="184"/>
      <c r="Z48" s="185" t="s">
        <v>678</v>
      </c>
    </row>
    <row r="49" spans="1:26" ht="11.4" x14ac:dyDescent="0.15">
      <c r="A49" s="175">
        <f t="shared" si="1"/>
        <v>47</v>
      </c>
      <c r="B49" s="176"/>
      <c r="C49" s="176"/>
      <c r="D49" s="176"/>
      <c r="E49" s="176" t="s">
        <v>693</v>
      </c>
      <c r="F49" s="186"/>
      <c r="G49" s="258"/>
      <c r="H49" s="227" t="s">
        <v>677</v>
      </c>
      <c r="I49" s="177"/>
      <c r="J49" s="178"/>
      <c r="K49" s="178"/>
      <c r="L49" s="179"/>
      <c r="M49" s="177"/>
      <c r="N49" s="178"/>
      <c r="O49" s="178"/>
      <c r="P49" s="180"/>
      <c r="Q49" s="180"/>
      <c r="R49" s="180" t="s">
        <v>61</v>
      </c>
      <c r="S49" s="180"/>
      <c r="T49" s="180"/>
      <c r="U49" s="184"/>
      <c r="V49" s="181"/>
      <c r="W49" s="182"/>
      <c r="X49" s="183"/>
      <c r="Y49" s="184"/>
      <c r="Z49" s="185" t="s">
        <v>678</v>
      </c>
    </row>
    <row r="50" spans="1:26" ht="11.4" x14ac:dyDescent="0.15">
      <c r="A50" s="175">
        <f t="shared" si="1"/>
        <v>48</v>
      </c>
      <c r="B50" s="176"/>
      <c r="C50" s="176"/>
      <c r="D50" s="176"/>
      <c r="E50" s="176" t="s">
        <v>694</v>
      </c>
      <c r="F50" s="186"/>
      <c r="G50" s="258"/>
      <c r="H50" s="227" t="s">
        <v>677</v>
      </c>
      <c r="I50" s="177"/>
      <c r="J50" s="178"/>
      <c r="K50" s="178"/>
      <c r="L50" s="179"/>
      <c r="M50" s="177"/>
      <c r="N50" s="178"/>
      <c r="O50" s="178"/>
      <c r="P50" s="180"/>
      <c r="Q50" s="180"/>
      <c r="R50" s="180" t="s">
        <v>61</v>
      </c>
      <c r="S50" s="180"/>
      <c r="T50" s="180"/>
      <c r="U50" s="184"/>
      <c r="V50" s="181"/>
      <c r="W50" s="182"/>
      <c r="X50" s="183"/>
      <c r="Y50" s="184"/>
      <c r="Z50" s="185" t="s">
        <v>678</v>
      </c>
    </row>
    <row r="51" spans="1:26" ht="11.4" x14ac:dyDescent="0.15">
      <c r="A51" s="175">
        <f t="shared" si="1"/>
        <v>49</v>
      </c>
      <c r="B51" s="176"/>
      <c r="C51" s="176"/>
      <c r="D51" s="176"/>
      <c r="E51" s="176" t="s">
        <v>695</v>
      </c>
      <c r="F51" s="186"/>
      <c r="G51" s="258"/>
      <c r="H51" s="227" t="s">
        <v>677</v>
      </c>
      <c r="I51" s="177"/>
      <c r="J51" s="178"/>
      <c r="K51" s="178"/>
      <c r="L51" s="179"/>
      <c r="M51" s="177"/>
      <c r="N51" s="178"/>
      <c r="O51" s="178"/>
      <c r="P51" s="180"/>
      <c r="Q51" s="180"/>
      <c r="R51" s="180" t="s">
        <v>61</v>
      </c>
      <c r="S51" s="180"/>
      <c r="T51" s="180"/>
      <c r="U51" s="184"/>
      <c r="V51" s="181"/>
      <c r="W51" s="182"/>
      <c r="X51" s="183"/>
      <c r="Y51" s="184"/>
      <c r="Z51" s="185" t="s">
        <v>678</v>
      </c>
    </row>
    <row r="52" spans="1:26" ht="11.4" x14ac:dyDescent="0.15">
      <c r="A52" s="175">
        <f t="shared" si="1"/>
        <v>50</v>
      </c>
      <c r="B52" s="176"/>
      <c r="C52" s="176"/>
      <c r="D52" s="176"/>
      <c r="E52" s="176" t="s">
        <v>696</v>
      </c>
      <c r="F52" s="186"/>
      <c r="G52" s="258"/>
      <c r="H52" s="227" t="s">
        <v>677</v>
      </c>
      <c r="I52" s="177"/>
      <c r="J52" s="178"/>
      <c r="K52" s="178"/>
      <c r="L52" s="179"/>
      <c r="M52" s="177"/>
      <c r="N52" s="178"/>
      <c r="O52" s="178"/>
      <c r="P52" s="180"/>
      <c r="Q52" s="180"/>
      <c r="R52" s="180" t="s">
        <v>61</v>
      </c>
      <c r="S52" s="180"/>
      <c r="T52" s="180"/>
      <c r="U52" s="184"/>
      <c r="V52" s="181"/>
      <c r="W52" s="182"/>
      <c r="X52" s="183"/>
      <c r="Y52" s="184"/>
      <c r="Z52" s="185" t="s">
        <v>678</v>
      </c>
    </row>
    <row r="53" spans="1:26" ht="11.4" x14ac:dyDescent="0.15">
      <c r="A53" s="175">
        <f t="shared" si="1"/>
        <v>51</v>
      </c>
      <c r="B53" s="176"/>
      <c r="C53" s="176"/>
      <c r="D53" s="176"/>
      <c r="E53" s="176" t="s">
        <v>697</v>
      </c>
      <c r="F53" s="186"/>
      <c r="G53" s="258"/>
      <c r="H53" s="227" t="s">
        <v>677</v>
      </c>
      <c r="I53" s="177"/>
      <c r="J53" s="178"/>
      <c r="K53" s="178"/>
      <c r="L53" s="179"/>
      <c r="M53" s="177"/>
      <c r="N53" s="178"/>
      <c r="O53" s="178"/>
      <c r="P53" s="180"/>
      <c r="Q53" s="180"/>
      <c r="R53" s="180" t="s">
        <v>61</v>
      </c>
      <c r="S53" s="180"/>
      <c r="T53" s="180"/>
      <c r="U53" s="184"/>
      <c r="V53" s="181"/>
      <c r="W53" s="182"/>
      <c r="X53" s="183"/>
      <c r="Y53" s="184"/>
      <c r="Z53" s="185" t="s">
        <v>678</v>
      </c>
    </row>
    <row r="54" spans="1:26" ht="11.4" x14ac:dyDescent="0.15">
      <c r="A54" s="175">
        <f t="shared" si="1"/>
        <v>52</v>
      </c>
      <c r="B54" s="176"/>
      <c r="C54" s="176"/>
      <c r="D54" s="176"/>
      <c r="E54" s="176" t="s">
        <v>698</v>
      </c>
      <c r="F54" s="186"/>
      <c r="G54" s="258"/>
      <c r="H54" s="227" t="s">
        <v>677</v>
      </c>
      <c r="I54" s="177"/>
      <c r="J54" s="178"/>
      <c r="K54" s="178"/>
      <c r="L54" s="179"/>
      <c r="M54" s="177"/>
      <c r="N54" s="178"/>
      <c r="O54" s="178"/>
      <c r="P54" s="180"/>
      <c r="Q54" s="180"/>
      <c r="R54" s="180" t="s">
        <v>61</v>
      </c>
      <c r="S54" s="180"/>
      <c r="T54" s="180"/>
      <c r="U54" s="184"/>
      <c r="V54" s="181"/>
      <c r="W54" s="182"/>
      <c r="X54" s="183"/>
      <c r="Y54" s="184"/>
      <c r="Z54" s="185" t="s">
        <v>678</v>
      </c>
    </row>
    <row r="55" spans="1:26" ht="11.4" x14ac:dyDescent="0.15">
      <c r="A55" s="175">
        <f t="shared" si="1"/>
        <v>53</v>
      </c>
      <c r="B55" s="176"/>
      <c r="C55" s="176"/>
      <c r="D55" s="176"/>
      <c r="E55" s="176" t="s">
        <v>699</v>
      </c>
      <c r="F55" s="186"/>
      <c r="G55" s="258"/>
      <c r="H55" s="227" t="s">
        <v>677</v>
      </c>
      <c r="I55" s="177"/>
      <c r="J55" s="178"/>
      <c r="K55" s="178"/>
      <c r="L55" s="179"/>
      <c r="M55" s="177"/>
      <c r="N55" s="178"/>
      <c r="O55" s="178"/>
      <c r="P55" s="180"/>
      <c r="Q55" s="180"/>
      <c r="R55" s="180" t="s">
        <v>61</v>
      </c>
      <c r="S55" s="180"/>
      <c r="T55" s="180"/>
      <c r="U55" s="184"/>
      <c r="V55" s="181"/>
      <c r="W55" s="182"/>
      <c r="X55" s="183"/>
      <c r="Y55" s="184"/>
      <c r="Z55" s="185" t="s">
        <v>678</v>
      </c>
    </row>
    <row r="56" spans="1:26" ht="11.4" x14ac:dyDescent="0.15">
      <c r="A56" s="175">
        <f t="shared" si="1"/>
        <v>54</v>
      </c>
      <c r="B56" s="176"/>
      <c r="C56" s="176"/>
      <c r="D56" s="176"/>
      <c r="E56" s="176" t="s">
        <v>700</v>
      </c>
      <c r="F56" s="186"/>
      <c r="G56" s="258"/>
      <c r="H56" s="227" t="s">
        <v>677</v>
      </c>
      <c r="I56" s="177"/>
      <c r="J56" s="178"/>
      <c r="K56" s="178"/>
      <c r="L56" s="179"/>
      <c r="M56" s="177"/>
      <c r="N56" s="178"/>
      <c r="O56" s="178"/>
      <c r="P56" s="180"/>
      <c r="Q56" s="180"/>
      <c r="R56" s="180" t="s">
        <v>61</v>
      </c>
      <c r="S56" s="180"/>
      <c r="T56" s="180"/>
      <c r="U56" s="184"/>
      <c r="V56" s="181"/>
      <c r="W56" s="182"/>
      <c r="X56" s="183"/>
      <c r="Y56" s="184"/>
      <c r="Z56" s="185" t="s">
        <v>678</v>
      </c>
    </row>
    <row r="57" spans="1:26" ht="11.4" x14ac:dyDescent="0.15">
      <c r="A57" s="175">
        <f t="shared" si="1"/>
        <v>55</v>
      </c>
      <c r="B57" s="176"/>
      <c r="C57" s="176"/>
      <c r="D57" s="176"/>
      <c r="E57" s="176" t="s">
        <v>701</v>
      </c>
      <c r="F57" s="186"/>
      <c r="G57" s="258"/>
      <c r="H57" s="227" t="s">
        <v>677</v>
      </c>
      <c r="I57" s="177"/>
      <c r="J57" s="178"/>
      <c r="K57" s="178"/>
      <c r="L57" s="179"/>
      <c r="M57" s="177"/>
      <c r="N57" s="178"/>
      <c r="O57" s="178"/>
      <c r="P57" s="180"/>
      <c r="Q57" s="180"/>
      <c r="R57" s="180" t="s">
        <v>61</v>
      </c>
      <c r="S57" s="180"/>
      <c r="T57" s="180"/>
      <c r="U57" s="184"/>
      <c r="V57" s="181"/>
      <c r="W57" s="182"/>
      <c r="X57" s="183"/>
      <c r="Y57" s="184"/>
      <c r="Z57" s="185" t="s">
        <v>678</v>
      </c>
    </row>
    <row r="58" spans="1:26" ht="11.4" x14ac:dyDescent="0.15">
      <c r="A58" s="175">
        <f t="shared" si="1"/>
        <v>56</v>
      </c>
      <c r="B58" s="176"/>
      <c r="C58" s="176"/>
      <c r="D58" s="176"/>
      <c r="E58" s="176" t="s">
        <v>702</v>
      </c>
      <c r="F58" s="186"/>
      <c r="G58" s="258"/>
      <c r="H58" s="227" t="s">
        <v>677</v>
      </c>
      <c r="I58" s="177"/>
      <c r="J58" s="178"/>
      <c r="K58" s="178"/>
      <c r="L58" s="179"/>
      <c r="M58" s="177"/>
      <c r="N58" s="178"/>
      <c r="O58" s="178"/>
      <c r="P58" s="180"/>
      <c r="Q58" s="180"/>
      <c r="R58" s="180" t="s">
        <v>61</v>
      </c>
      <c r="S58" s="180"/>
      <c r="T58" s="180"/>
      <c r="U58" s="184"/>
      <c r="V58" s="181"/>
      <c r="W58" s="182"/>
      <c r="X58" s="183"/>
      <c r="Y58" s="184"/>
      <c r="Z58" s="185" t="s">
        <v>678</v>
      </c>
    </row>
    <row r="59" spans="1:26" ht="11.4" x14ac:dyDescent="0.15">
      <c r="A59" s="175">
        <f t="shared" si="1"/>
        <v>57</v>
      </c>
      <c r="B59" s="176"/>
      <c r="C59" s="176"/>
      <c r="D59" s="176"/>
      <c r="E59" s="176" t="s">
        <v>703</v>
      </c>
      <c r="F59" s="186"/>
      <c r="G59" s="258"/>
      <c r="H59" s="227" t="s">
        <v>677</v>
      </c>
      <c r="I59" s="177"/>
      <c r="J59" s="178"/>
      <c r="K59" s="178"/>
      <c r="L59" s="179"/>
      <c r="M59" s="177"/>
      <c r="N59" s="178"/>
      <c r="O59" s="178"/>
      <c r="P59" s="180"/>
      <c r="Q59" s="180"/>
      <c r="R59" s="180" t="s">
        <v>61</v>
      </c>
      <c r="S59" s="180"/>
      <c r="T59" s="180"/>
      <c r="U59" s="184"/>
      <c r="V59" s="181"/>
      <c r="W59" s="182"/>
      <c r="X59" s="183"/>
      <c r="Y59" s="184"/>
      <c r="Z59" s="185" t="s">
        <v>678</v>
      </c>
    </row>
    <row r="60" spans="1:26" ht="11.4" x14ac:dyDescent="0.15">
      <c r="A60" s="175">
        <f t="shared" si="1"/>
        <v>58</v>
      </c>
      <c r="B60" s="176"/>
      <c r="C60" s="176"/>
      <c r="D60" s="176" t="s">
        <v>704</v>
      </c>
      <c r="E60" s="176" t="s">
        <v>705</v>
      </c>
      <c r="F60" s="186"/>
      <c r="G60" s="258"/>
      <c r="H60" s="227" t="s">
        <v>677</v>
      </c>
      <c r="I60" s="177"/>
      <c r="J60" s="178"/>
      <c r="K60" s="178"/>
      <c r="L60" s="179"/>
      <c r="M60" s="177"/>
      <c r="N60" s="178"/>
      <c r="O60" s="178"/>
      <c r="P60" s="180"/>
      <c r="Q60" s="180"/>
      <c r="R60" s="180" t="s">
        <v>61</v>
      </c>
      <c r="S60" s="180"/>
      <c r="T60" s="180"/>
      <c r="U60" s="184"/>
      <c r="V60" s="181"/>
      <c r="W60" s="182"/>
      <c r="X60" s="183"/>
      <c r="Y60" s="184"/>
      <c r="Z60" s="185" t="s">
        <v>678</v>
      </c>
    </row>
    <row r="61" spans="1:26" ht="11.4" x14ac:dyDescent="0.15">
      <c r="A61" s="175">
        <f t="shared" si="1"/>
        <v>59</v>
      </c>
      <c r="B61" s="176"/>
      <c r="C61" s="176"/>
      <c r="D61" s="176"/>
      <c r="E61" s="176" t="s">
        <v>706</v>
      </c>
      <c r="F61" s="186"/>
      <c r="G61" s="258"/>
      <c r="H61" s="227" t="s">
        <v>677</v>
      </c>
      <c r="I61" s="177"/>
      <c r="J61" s="178"/>
      <c r="K61" s="178"/>
      <c r="L61" s="179"/>
      <c r="M61" s="177"/>
      <c r="N61" s="178"/>
      <c r="O61" s="178"/>
      <c r="P61" s="180"/>
      <c r="Q61" s="180"/>
      <c r="R61" s="180" t="s">
        <v>61</v>
      </c>
      <c r="S61" s="180"/>
      <c r="T61" s="180"/>
      <c r="U61" s="184"/>
      <c r="V61" s="181"/>
      <c r="W61" s="182"/>
      <c r="X61" s="183"/>
      <c r="Y61" s="184"/>
      <c r="Z61" s="185" t="s">
        <v>678</v>
      </c>
    </row>
    <row r="62" spans="1:26" ht="11.4" x14ac:dyDescent="0.15">
      <c r="A62" s="175">
        <f t="shared" si="1"/>
        <v>60</v>
      </c>
      <c r="B62" s="176"/>
      <c r="C62" s="176"/>
      <c r="D62" s="176"/>
      <c r="E62" s="176" t="s">
        <v>707</v>
      </c>
      <c r="F62" s="186"/>
      <c r="G62" s="258"/>
      <c r="H62" s="227" t="s">
        <v>677</v>
      </c>
      <c r="I62" s="177"/>
      <c r="J62" s="178"/>
      <c r="K62" s="178"/>
      <c r="L62" s="179"/>
      <c r="M62" s="177"/>
      <c r="N62" s="178"/>
      <c r="O62" s="178"/>
      <c r="P62" s="180"/>
      <c r="Q62" s="180"/>
      <c r="R62" s="180" t="s">
        <v>61</v>
      </c>
      <c r="S62" s="180"/>
      <c r="T62" s="180"/>
      <c r="U62" s="184"/>
      <c r="V62" s="181"/>
      <c r="W62" s="182"/>
      <c r="X62" s="183"/>
      <c r="Y62" s="184"/>
      <c r="Z62" s="185" t="s">
        <v>678</v>
      </c>
    </row>
    <row r="63" spans="1:26" ht="11.4" x14ac:dyDescent="0.15">
      <c r="A63" s="175">
        <f t="shared" si="1"/>
        <v>61</v>
      </c>
      <c r="B63" s="176"/>
      <c r="C63" s="176"/>
      <c r="D63" s="176"/>
      <c r="E63" s="176" t="s">
        <v>708</v>
      </c>
      <c r="F63" s="186"/>
      <c r="G63" s="258"/>
      <c r="H63" s="227" t="s">
        <v>677</v>
      </c>
      <c r="I63" s="177"/>
      <c r="J63" s="178"/>
      <c r="K63" s="178"/>
      <c r="L63" s="179"/>
      <c r="M63" s="177"/>
      <c r="N63" s="178"/>
      <c r="O63" s="178"/>
      <c r="P63" s="180"/>
      <c r="Q63" s="180"/>
      <c r="R63" s="180" t="s">
        <v>61</v>
      </c>
      <c r="S63" s="180"/>
      <c r="T63" s="180"/>
      <c r="U63" s="184"/>
      <c r="V63" s="181"/>
      <c r="W63" s="182"/>
      <c r="X63" s="183"/>
      <c r="Y63" s="184"/>
      <c r="Z63" s="185" t="s">
        <v>678</v>
      </c>
    </row>
    <row r="64" spans="1:26" ht="11.4" x14ac:dyDescent="0.15">
      <c r="A64" s="175">
        <f t="shared" si="1"/>
        <v>62</v>
      </c>
      <c r="B64" s="176"/>
      <c r="C64" s="176"/>
      <c r="D64" s="176" t="s">
        <v>709</v>
      </c>
      <c r="E64" s="176" t="s">
        <v>710</v>
      </c>
      <c r="F64" s="186"/>
      <c r="G64" s="258"/>
      <c r="H64" s="227" t="s">
        <v>677</v>
      </c>
      <c r="I64" s="177"/>
      <c r="J64" s="178"/>
      <c r="K64" s="178"/>
      <c r="L64" s="179"/>
      <c r="M64" s="177"/>
      <c r="N64" s="178"/>
      <c r="O64" s="178"/>
      <c r="P64" s="180"/>
      <c r="Q64" s="180"/>
      <c r="R64" s="180" t="s">
        <v>61</v>
      </c>
      <c r="S64" s="180"/>
      <c r="T64" s="180"/>
      <c r="U64" s="184"/>
      <c r="V64" s="181"/>
      <c r="W64" s="182"/>
      <c r="X64" s="183"/>
      <c r="Y64" s="184"/>
      <c r="Z64" s="185" t="s">
        <v>678</v>
      </c>
    </row>
    <row r="65" spans="1:26" ht="11.4" x14ac:dyDescent="0.15">
      <c r="A65" s="175">
        <f t="shared" si="1"/>
        <v>63</v>
      </c>
      <c r="B65" s="176"/>
      <c r="C65" s="176"/>
      <c r="D65" s="176"/>
      <c r="E65" s="176" t="s">
        <v>711</v>
      </c>
      <c r="F65" s="186"/>
      <c r="G65" s="258"/>
      <c r="H65" s="227" t="s">
        <v>677</v>
      </c>
      <c r="I65" s="177"/>
      <c r="J65" s="178"/>
      <c r="K65" s="178"/>
      <c r="L65" s="179"/>
      <c r="M65" s="177"/>
      <c r="N65" s="178"/>
      <c r="O65" s="178"/>
      <c r="P65" s="180"/>
      <c r="Q65" s="180"/>
      <c r="R65" s="180" t="s">
        <v>61</v>
      </c>
      <c r="S65" s="180"/>
      <c r="T65" s="180"/>
      <c r="U65" s="184"/>
      <c r="V65" s="181"/>
      <c r="W65" s="182"/>
      <c r="X65" s="183"/>
      <c r="Y65" s="184"/>
      <c r="Z65" s="185" t="s">
        <v>678</v>
      </c>
    </row>
    <row r="66" spans="1:26" ht="11.4" x14ac:dyDescent="0.15">
      <c r="A66" s="175">
        <f t="shared" si="1"/>
        <v>64</v>
      </c>
      <c r="B66" s="176"/>
      <c r="C66" s="176"/>
      <c r="D66" s="176"/>
      <c r="E66" s="176" t="s">
        <v>712</v>
      </c>
      <c r="F66" s="186"/>
      <c r="G66" s="258"/>
      <c r="H66" s="227" t="s">
        <v>677</v>
      </c>
      <c r="I66" s="177"/>
      <c r="J66" s="178"/>
      <c r="K66" s="178"/>
      <c r="L66" s="179"/>
      <c r="M66" s="177"/>
      <c r="N66" s="178"/>
      <c r="O66" s="178"/>
      <c r="P66" s="180"/>
      <c r="Q66" s="180"/>
      <c r="R66" s="180" t="s">
        <v>61</v>
      </c>
      <c r="S66" s="180"/>
      <c r="T66" s="180"/>
      <c r="U66" s="184"/>
      <c r="V66" s="181"/>
      <c r="W66" s="182"/>
      <c r="X66" s="183"/>
      <c r="Y66" s="184"/>
      <c r="Z66" s="185" t="s">
        <v>678</v>
      </c>
    </row>
    <row r="67" spans="1:26" ht="11.4" x14ac:dyDescent="0.15">
      <c r="A67" s="175">
        <f t="shared" si="1"/>
        <v>65</v>
      </c>
      <c r="B67" s="176"/>
      <c r="C67" s="176"/>
      <c r="D67" s="176"/>
      <c r="E67" s="176" t="s">
        <v>713</v>
      </c>
      <c r="F67" s="186"/>
      <c r="G67" s="258"/>
      <c r="H67" s="227" t="s">
        <v>677</v>
      </c>
      <c r="I67" s="177"/>
      <c r="J67" s="178"/>
      <c r="K67" s="178"/>
      <c r="L67" s="179"/>
      <c r="M67" s="177"/>
      <c r="N67" s="178"/>
      <c r="O67" s="178"/>
      <c r="P67" s="180"/>
      <c r="Q67" s="180"/>
      <c r="R67" s="180" t="s">
        <v>61</v>
      </c>
      <c r="S67" s="180"/>
      <c r="T67" s="180"/>
      <c r="U67" s="184"/>
      <c r="V67" s="181"/>
      <c r="W67" s="182"/>
      <c r="X67" s="183"/>
      <c r="Y67" s="184"/>
      <c r="Z67" s="185" t="s">
        <v>678</v>
      </c>
    </row>
    <row r="68" spans="1:26" ht="11.4" x14ac:dyDescent="0.15">
      <c r="A68" s="175">
        <f t="shared" si="1"/>
        <v>66</v>
      </c>
      <c r="B68" s="176"/>
      <c r="C68" s="176"/>
      <c r="D68" s="176"/>
      <c r="E68" s="176" t="s">
        <v>714</v>
      </c>
      <c r="F68" s="186"/>
      <c r="G68" s="258"/>
      <c r="H68" s="227" t="s">
        <v>677</v>
      </c>
      <c r="I68" s="177"/>
      <c r="J68" s="178"/>
      <c r="K68" s="178"/>
      <c r="L68" s="179"/>
      <c r="M68" s="177"/>
      <c r="N68" s="178"/>
      <c r="O68" s="178"/>
      <c r="P68" s="180"/>
      <c r="Q68" s="180"/>
      <c r="R68" s="180" t="s">
        <v>61</v>
      </c>
      <c r="S68" s="180"/>
      <c r="T68" s="180"/>
      <c r="U68" s="184"/>
      <c r="V68" s="181"/>
      <c r="W68" s="182"/>
      <c r="X68" s="183"/>
      <c r="Y68" s="184"/>
      <c r="Z68" s="185" t="s">
        <v>678</v>
      </c>
    </row>
    <row r="69" spans="1:26" ht="11.4" x14ac:dyDescent="0.15">
      <c r="A69" s="175">
        <f t="shared" si="1"/>
        <v>67</v>
      </c>
      <c r="B69" s="176"/>
      <c r="C69" s="176"/>
      <c r="D69" s="176"/>
      <c r="E69" s="176" t="s">
        <v>715</v>
      </c>
      <c r="F69" s="186"/>
      <c r="G69" s="258"/>
      <c r="H69" s="227" t="s">
        <v>677</v>
      </c>
      <c r="I69" s="177"/>
      <c r="J69" s="178"/>
      <c r="K69" s="178"/>
      <c r="L69" s="179"/>
      <c r="M69" s="177"/>
      <c r="N69" s="178"/>
      <c r="O69" s="178"/>
      <c r="P69" s="180"/>
      <c r="Q69" s="180"/>
      <c r="R69" s="180" t="s">
        <v>61</v>
      </c>
      <c r="S69" s="180"/>
      <c r="T69" s="180"/>
      <c r="U69" s="184"/>
      <c r="V69" s="181"/>
      <c r="W69" s="182"/>
      <c r="X69" s="183"/>
      <c r="Y69" s="184"/>
      <c r="Z69" s="185" t="s">
        <v>678</v>
      </c>
    </row>
    <row r="70" spans="1:26" ht="11.4" x14ac:dyDescent="0.15">
      <c r="A70" s="175">
        <f t="shared" si="1"/>
        <v>68</v>
      </c>
      <c r="B70" s="176"/>
      <c r="C70" s="176"/>
      <c r="D70" s="176"/>
      <c r="E70" s="176" t="s">
        <v>716</v>
      </c>
      <c r="F70" s="186"/>
      <c r="G70" s="258"/>
      <c r="H70" s="227" t="s">
        <v>677</v>
      </c>
      <c r="I70" s="177"/>
      <c r="J70" s="178"/>
      <c r="K70" s="178"/>
      <c r="L70" s="179"/>
      <c r="M70" s="177"/>
      <c r="N70" s="178"/>
      <c r="O70" s="178"/>
      <c r="P70" s="180"/>
      <c r="Q70" s="180"/>
      <c r="R70" s="180" t="s">
        <v>61</v>
      </c>
      <c r="S70" s="180"/>
      <c r="T70" s="180"/>
      <c r="U70" s="184"/>
      <c r="V70" s="181"/>
      <c r="W70" s="182"/>
      <c r="X70" s="183"/>
      <c r="Y70" s="184"/>
      <c r="Z70" s="185" t="s">
        <v>678</v>
      </c>
    </row>
    <row r="71" spans="1:26" ht="11.4" x14ac:dyDescent="0.15">
      <c r="A71" s="175">
        <f t="shared" si="1"/>
        <v>69</v>
      </c>
      <c r="B71" s="176"/>
      <c r="C71" s="176"/>
      <c r="D71" s="176"/>
      <c r="E71" s="176" t="s">
        <v>717</v>
      </c>
      <c r="F71" s="186"/>
      <c r="G71" s="258"/>
      <c r="H71" s="227" t="s">
        <v>677</v>
      </c>
      <c r="I71" s="177"/>
      <c r="J71" s="178"/>
      <c r="K71" s="178"/>
      <c r="L71" s="179"/>
      <c r="M71" s="177"/>
      <c r="N71" s="178"/>
      <c r="O71" s="178"/>
      <c r="P71" s="180"/>
      <c r="Q71" s="180"/>
      <c r="R71" s="180" t="s">
        <v>61</v>
      </c>
      <c r="S71" s="180"/>
      <c r="T71" s="180"/>
      <c r="U71" s="184"/>
      <c r="V71" s="181"/>
      <c r="W71" s="182"/>
      <c r="X71" s="183"/>
      <c r="Y71" s="184"/>
      <c r="Z71" s="185" t="s">
        <v>678</v>
      </c>
    </row>
    <row r="72" spans="1:26" ht="11.4" x14ac:dyDescent="0.15">
      <c r="A72" s="175">
        <f t="shared" si="1"/>
        <v>70</v>
      </c>
      <c r="B72" s="176"/>
      <c r="C72" s="176"/>
      <c r="D72" s="176"/>
      <c r="E72" s="176" t="s">
        <v>718</v>
      </c>
      <c r="F72" s="186"/>
      <c r="G72" s="258"/>
      <c r="H72" s="227" t="s">
        <v>677</v>
      </c>
      <c r="I72" s="177"/>
      <c r="J72" s="178"/>
      <c r="K72" s="178"/>
      <c r="L72" s="179"/>
      <c r="M72" s="177"/>
      <c r="N72" s="178"/>
      <c r="O72" s="178"/>
      <c r="P72" s="180"/>
      <c r="Q72" s="180"/>
      <c r="R72" s="180" t="s">
        <v>61</v>
      </c>
      <c r="S72" s="180"/>
      <c r="T72" s="180"/>
      <c r="U72" s="184"/>
      <c r="V72" s="181"/>
      <c r="W72" s="182"/>
      <c r="X72" s="183"/>
      <c r="Y72" s="184"/>
      <c r="Z72" s="185" t="s">
        <v>678</v>
      </c>
    </row>
    <row r="73" spans="1:26" ht="11.4" x14ac:dyDescent="0.15">
      <c r="A73" s="175">
        <f t="shared" si="1"/>
        <v>71</v>
      </c>
      <c r="B73" s="176"/>
      <c r="C73" s="176"/>
      <c r="D73" s="176"/>
      <c r="E73" s="176" t="s">
        <v>719</v>
      </c>
      <c r="F73" s="186"/>
      <c r="G73" s="258"/>
      <c r="H73" s="227" t="s">
        <v>677</v>
      </c>
      <c r="I73" s="177"/>
      <c r="J73" s="178"/>
      <c r="K73" s="178"/>
      <c r="L73" s="179"/>
      <c r="M73" s="177"/>
      <c r="N73" s="178"/>
      <c r="O73" s="178"/>
      <c r="P73" s="180"/>
      <c r="Q73" s="180"/>
      <c r="R73" s="180" t="s">
        <v>61</v>
      </c>
      <c r="S73" s="180"/>
      <c r="T73" s="180"/>
      <c r="U73" s="184"/>
      <c r="V73" s="181"/>
      <c r="W73" s="182"/>
      <c r="X73" s="183"/>
      <c r="Y73" s="184"/>
      <c r="Z73" s="185" t="s">
        <v>678</v>
      </c>
    </row>
    <row r="74" spans="1:26" ht="11.4" x14ac:dyDescent="0.15">
      <c r="A74" s="175">
        <f t="shared" si="1"/>
        <v>72</v>
      </c>
      <c r="B74" s="176"/>
      <c r="C74" s="176"/>
      <c r="D74" s="176"/>
      <c r="E74" s="176" t="s">
        <v>720</v>
      </c>
      <c r="F74" s="186"/>
      <c r="G74" s="258"/>
      <c r="H74" s="227" t="s">
        <v>677</v>
      </c>
      <c r="I74" s="177"/>
      <c r="J74" s="178"/>
      <c r="K74" s="178"/>
      <c r="L74" s="179"/>
      <c r="M74" s="177"/>
      <c r="N74" s="178"/>
      <c r="O74" s="178"/>
      <c r="P74" s="180"/>
      <c r="Q74" s="180"/>
      <c r="R74" s="180" t="s">
        <v>61</v>
      </c>
      <c r="S74" s="180"/>
      <c r="T74" s="180"/>
      <c r="U74" s="184"/>
      <c r="V74" s="181"/>
      <c r="W74" s="182"/>
      <c r="X74" s="183"/>
      <c r="Y74" s="184"/>
      <c r="Z74" s="185" t="s">
        <v>678</v>
      </c>
    </row>
    <row r="75" spans="1:26" ht="11.4" x14ac:dyDescent="0.15">
      <c r="A75" s="175">
        <f t="shared" si="1"/>
        <v>73</v>
      </c>
      <c r="B75" s="176"/>
      <c r="C75" s="176"/>
      <c r="D75" s="176"/>
      <c r="E75" s="176" t="s">
        <v>721</v>
      </c>
      <c r="F75" s="186"/>
      <c r="G75" s="258"/>
      <c r="H75" s="227" t="s">
        <v>677</v>
      </c>
      <c r="I75" s="177"/>
      <c r="J75" s="178"/>
      <c r="K75" s="178"/>
      <c r="L75" s="179"/>
      <c r="M75" s="177"/>
      <c r="N75" s="178"/>
      <c r="O75" s="178"/>
      <c r="P75" s="180"/>
      <c r="Q75" s="180"/>
      <c r="R75" s="180" t="s">
        <v>61</v>
      </c>
      <c r="S75" s="180"/>
      <c r="T75" s="180"/>
      <c r="U75" s="184"/>
      <c r="V75" s="181"/>
      <c r="W75" s="182"/>
      <c r="X75" s="183"/>
      <c r="Y75" s="184"/>
      <c r="Z75" s="185" t="s">
        <v>678</v>
      </c>
    </row>
    <row r="76" spans="1:26" ht="11.4" x14ac:dyDescent="0.15">
      <c r="A76" s="175">
        <f t="shared" si="1"/>
        <v>74</v>
      </c>
      <c r="B76" s="176"/>
      <c r="C76" s="176"/>
      <c r="D76" s="176"/>
      <c r="E76" s="176" t="s">
        <v>722</v>
      </c>
      <c r="F76" s="186"/>
      <c r="G76" s="258"/>
      <c r="H76" s="227" t="s">
        <v>677</v>
      </c>
      <c r="I76" s="177"/>
      <c r="J76" s="178"/>
      <c r="K76" s="178"/>
      <c r="L76" s="179"/>
      <c r="M76" s="177"/>
      <c r="N76" s="178"/>
      <c r="O76" s="178"/>
      <c r="P76" s="180"/>
      <c r="Q76" s="180"/>
      <c r="R76" s="180" t="s">
        <v>61</v>
      </c>
      <c r="S76" s="180"/>
      <c r="T76" s="180"/>
      <c r="U76" s="184"/>
      <c r="V76" s="181"/>
      <c r="W76" s="182"/>
      <c r="X76" s="183"/>
      <c r="Y76" s="184"/>
      <c r="Z76" s="185" t="s">
        <v>678</v>
      </c>
    </row>
    <row r="77" spans="1:26" ht="11.4" x14ac:dyDescent="0.15">
      <c r="A77" s="175">
        <f t="shared" si="1"/>
        <v>75</v>
      </c>
      <c r="B77" s="176"/>
      <c r="C77" s="176"/>
      <c r="D77" s="176" t="s">
        <v>723</v>
      </c>
      <c r="E77" s="176" t="s">
        <v>724</v>
      </c>
      <c r="F77" s="186"/>
      <c r="G77" s="258"/>
      <c r="H77" s="227" t="s">
        <v>677</v>
      </c>
      <c r="I77" s="177"/>
      <c r="J77" s="178"/>
      <c r="K77" s="178"/>
      <c r="L77" s="179"/>
      <c r="M77" s="177"/>
      <c r="N77" s="178"/>
      <c r="O77" s="178"/>
      <c r="P77" s="180"/>
      <c r="Q77" s="180"/>
      <c r="R77" s="180" t="s">
        <v>61</v>
      </c>
      <c r="S77" s="180"/>
      <c r="T77" s="180"/>
      <c r="U77" s="184"/>
      <c r="V77" s="181"/>
      <c r="W77" s="182"/>
      <c r="X77" s="183"/>
      <c r="Y77" s="184"/>
      <c r="Z77" s="185" t="s">
        <v>678</v>
      </c>
    </row>
    <row r="78" spans="1:26" ht="11.4" x14ac:dyDescent="0.15">
      <c r="A78" s="175">
        <f t="shared" si="1"/>
        <v>76</v>
      </c>
      <c r="B78" s="176"/>
      <c r="C78" s="176"/>
      <c r="D78" s="176"/>
      <c r="E78" s="176" t="s">
        <v>725</v>
      </c>
      <c r="F78" s="186"/>
      <c r="G78" s="258"/>
      <c r="H78" s="227" t="s">
        <v>677</v>
      </c>
      <c r="I78" s="177"/>
      <c r="J78" s="178"/>
      <c r="K78" s="178"/>
      <c r="L78" s="179"/>
      <c r="M78" s="177"/>
      <c r="N78" s="178"/>
      <c r="O78" s="178"/>
      <c r="P78" s="180"/>
      <c r="Q78" s="180"/>
      <c r="R78" s="180" t="s">
        <v>61</v>
      </c>
      <c r="S78" s="180"/>
      <c r="T78" s="180"/>
      <c r="U78" s="184"/>
      <c r="V78" s="181"/>
      <c r="W78" s="182"/>
      <c r="X78" s="183"/>
      <c r="Y78" s="184"/>
      <c r="Z78" s="185" t="s">
        <v>678</v>
      </c>
    </row>
    <row r="79" spans="1:26" ht="11.4" x14ac:dyDescent="0.15">
      <c r="A79" s="175">
        <f t="shared" si="1"/>
        <v>77</v>
      </c>
      <c r="B79" s="176"/>
      <c r="C79" s="176"/>
      <c r="D79" s="176"/>
      <c r="E79" s="176" t="s">
        <v>726</v>
      </c>
      <c r="F79" s="186"/>
      <c r="G79" s="258"/>
      <c r="H79" s="227" t="s">
        <v>677</v>
      </c>
      <c r="I79" s="177"/>
      <c r="J79" s="178"/>
      <c r="K79" s="178"/>
      <c r="L79" s="179"/>
      <c r="M79" s="177"/>
      <c r="N79" s="178"/>
      <c r="O79" s="178"/>
      <c r="P79" s="180"/>
      <c r="Q79" s="180"/>
      <c r="R79" s="180" t="s">
        <v>61</v>
      </c>
      <c r="S79" s="180"/>
      <c r="T79" s="180"/>
      <c r="U79" s="184"/>
      <c r="V79" s="181"/>
      <c r="W79" s="182"/>
      <c r="X79" s="183"/>
      <c r="Y79" s="184"/>
      <c r="Z79" s="185" t="s">
        <v>678</v>
      </c>
    </row>
    <row r="80" spans="1:26" ht="11.4" x14ac:dyDescent="0.15">
      <c r="A80" s="175">
        <f t="shared" si="1"/>
        <v>78</v>
      </c>
      <c r="B80" s="176"/>
      <c r="C80" s="176"/>
      <c r="D80" s="176"/>
      <c r="E80" s="176" t="s">
        <v>727</v>
      </c>
      <c r="F80" s="186"/>
      <c r="G80" s="258"/>
      <c r="H80" s="227" t="s">
        <v>677</v>
      </c>
      <c r="I80" s="177"/>
      <c r="J80" s="178"/>
      <c r="K80" s="178"/>
      <c r="L80" s="179"/>
      <c r="M80" s="177"/>
      <c r="N80" s="178"/>
      <c r="O80" s="178"/>
      <c r="P80" s="180"/>
      <c r="Q80" s="180"/>
      <c r="R80" s="180" t="s">
        <v>61</v>
      </c>
      <c r="S80" s="180"/>
      <c r="T80" s="180"/>
      <c r="U80" s="184"/>
      <c r="V80" s="181"/>
      <c r="W80" s="182"/>
      <c r="X80" s="183"/>
      <c r="Y80" s="184"/>
      <c r="Z80" s="185" t="s">
        <v>678</v>
      </c>
    </row>
    <row r="81" spans="1:26" ht="11.4" x14ac:dyDescent="0.15">
      <c r="A81" s="175">
        <f t="shared" si="1"/>
        <v>79</v>
      </c>
      <c r="B81" s="176"/>
      <c r="C81" s="176"/>
      <c r="D81" s="176"/>
      <c r="E81" s="176" t="s">
        <v>728</v>
      </c>
      <c r="F81" s="186"/>
      <c r="G81" s="258"/>
      <c r="H81" s="227" t="s">
        <v>677</v>
      </c>
      <c r="I81" s="177"/>
      <c r="J81" s="178"/>
      <c r="K81" s="178"/>
      <c r="L81" s="179"/>
      <c r="M81" s="177"/>
      <c r="N81" s="178"/>
      <c r="O81" s="178"/>
      <c r="P81" s="180"/>
      <c r="Q81" s="180"/>
      <c r="R81" s="180" t="s">
        <v>61</v>
      </c>
      <c r="S81" s="180"/>
      <c r="T81" s="180"/>
      <c r="U81" s="184"/>
      <c r="V81" s="181"/>
      <c r="W81" s="182"/>
      <c r="X81" s="183"/>
      <c r="Y81" s="184"/>
      <c r="Z81" s="185" t="s">
        <v>678</v>
      </c>
    </row>
    <row r="82" spans="1:26" ht="11.4" x14ac:dyDescent="0.15">
      <c r="A82" s="175">
        <f t="shared" si="1"/>
        <v>80</v>
      </c>
      <c r="B82" s="176"/>
      <c r="C82" s="176"/>
      <c r="D82" s="176"/>
      <c r="E82" s="176" t="s">
        <v>729</v>
      </c>
      <c r="F82" s="186"/>
      <c r="G82" s="258"/>
      <c r="H82" s="227" t="s">
        <v>677</v>
      </c>
      <c r="I82" s="177"/>
      <c r="J82" s="178"/>
      <c r="K82" s="178"/>
      <c r="L82" s="179"/>
      <c r="M82" s="177"/>
      <c r="N82" s="178"/>
      <c r="O82" s="178"/>
      <c r="P82" s="180"/>
      <c r="Q82" s="180"/>
      <c r="R82" s="180" t="s">
        <v>61</v>
      </c>
      <c r="S82" s="180"/>
      <c r="T82" s="180"/>
      <c r="U82" s="184"/>
      <c r="V82" s="181"/>
      <c r="W82" s="182"/>
      <c r="X82" s="183"/>
      <c r="Y82" s="184"/>
      <c r="Z82" s="185" t="s">
        <v>678</v>
      </c>
    </row>
    <row r="83" spans="1:26" ht="11.4" x14ac:dyDescent="0.15">
      <c r="A83" s="175">
        <f t="shared" si="1"/>
        <v>81</v>
      </c>
      <c r="B83" s="176"/>
      <c r="C83" s="176"/>
      <c r="D83" s="176"/>
      <c r="E83" s="176" t="s">
        <v>730</v>
      </c>
      <c r="F83" s="186"/>
      <c r="G83" s="258"/>
      <c r="H83" s="227" t="s">
        <v>677</v>
      </c>
      <c r="I83" s="177"/>
      <c r="J83" s="178"/>
      <c r="K83" s="178"/>
      <c r="L83" s="179"/>
      <c r="M83" s="177"/>
      <c r="N83" s="178"/>
      <c r="O83" s="178"/>
      <c r="P83" s="180"/>
      <c r="Q83" s="180"/>
      <c r="R83" s="180" t="s">
        <v>61</v>
      </c>
      <c r="S83" s="180"/>
      <c r="T83" s="180"/>
      <c r="U83" s="184"/>
      <c r="V83" s="181"/>
      <c r="W83" s="182"/>
      <c r="X83" s="183"/>
      <c r="Y83" s="184"/>
      <c r="Z83" s="185" t="s">
        <v>678</v>
      </c>
    </row>
    <row r="84" spans="1:26" ht="11.4" x14ac:dyDescent="0.15">
      <c r="A84" s="175">
        <f t="shared" si="1"/>
        <v>82</v>
      </c>
      <c r="B84" s="176"/>
      <c r="C84" s="176"/>
      <c r="D84" s="176"/>
      <c r="E84" s="176" t="s">
        <v>731</v>
      </c>
      <c r="F84" s="186"/>
      <c r="G84" s="258"/>
      <c r="H84" s="227" t="s">
        <v>677</v>
      </c>
      <c r="I84" s="177"/>
      <c r="J84" s="178"/>
      <c r="K84" s="178"/>
      <c r="L84" s="179"/>
      <c r="M84" s="177"/>
      <c r="N84" s="178"/>
      <c r="O84" s="178"/>
      <c r="P84" s="180"/>
      <c r="Q84" s="180"/>
      <c r="R84" s="180" t="s">
        <v>61</v>
      </c>
      <c r="S84" s="180"/>
      <c r="T84" s="180"/>
      <c r="U84" s="184"/>
      <c r="V84" s="181"/>
      <c r="W84" s="182"/>
      <c r="X84" s="183"/>
      <c r="Y84" s="184"/>
      <c r="Z84" s="185" t="s">
        <v>678</v>
      </c>
    </row>
    <row r="85" spans="1:26" ht="11.4" x14ac:dyDescent="0.15">
      <c r="A85" s="175">
        <f t="shared" si="1"/>
        <v>83</v>
      </c>
      <c r="B85" s="176"/>
      <c r="C85" s="176"/>
      <c r="D85" s="176"/>
      <c r="E85" s="176" t="s">
        <v>732</v>
      </c>
      <c r="F85" s="186"/>
      <c r="G85" s="258"/>
      <c r="H85" s="227" t="s">
        <v>677</v>
      </c>
      <c r="I85" s="177"/>
      <c r="J85" s="178"/>
      <c r="K85" s="178"/>
      <c r="L85" s="179"/>
      <c r="M85" s="177"/>
      <c r="N85" s="178"/>
      <c r="O85" s="178"/>
      <c r="P85" s="180"/>
      <c r="Q85" s="180"/>
      <c r="R85" s="180" t="s">
        <v>61</v>
      </c>
      <c r="S85" s="180"/>
      <c r="T85" s="180"/>
      <c r="U85" s="184"/>
      <c r="V85" s="181"/>
      <c r="W85" s="182"/>
      <c r="X85" s="183"/>
      <c r="Y85" s="184"/>
      <c r="Z85" s="185" t="s">
        <v>678</v>
      </c>
    </row>
    <row r="86" spans="1:26" ht="11.4" x14ac:dyDescent="0.15">
      <c r="A86" s="175">
        <f t="shared" si="1"/>
        <v>84</v>
      </c>
      <c r="B86" s="176"/>
      <c r="C86" s="176"/>
      <c r="D86" s="176"/>
      <c r="E86" s="176" t="s">
        <v>733</v>
      </c>
      <c r="F86" s="186"/>
      <c r="G86" s="258"/>
      <c r="H86" s="227" t="s">
        <v>677</v>
      </c>
      <c r="I86" s="177"/>
      <c r="J86" s="178"/>
      <c r="K86" s="178"/>
      <c r="L86" s="179"/>
      <c r="M86" s="177"/>
      <c r="N86" s="178"/>
      <c r="O86" s="178"/>
      <c r="P86" s="180"/>
      <c r="Q86" s="180"/>
      <c r="R86" s="180" t="s">
        <v>61</v>
      </c>
      <c r="S86" s="180"/>
      <c r="T86" s="180"/>
      <c r="U86" s="184"/>
      <c r="V86" s="181"/>
      <c r="W86" s="182"/>
      <c r="X86" s="183"/>
      <c r="Y86" s="184"/>
      <c r="Z86" s="185" t="s">
        <v>678</v>
      </c>
    </row>
    <row r="87" spans="1:26" ht="11.4" x14ac:dyDescent="0.15">
      <c r="A87" s="175">
        <f t="shared" si="1"/>
        <v>85</v>
      </c>
      <c r="B87" s="176"/>
      <c r="C87" s="176"/>
      <c r="D87" s="176"/>
      <c r="E87" s="176" t="s">
        <v>734</v>
      </c>
      <c r="F87" s="186"/>
      <c r="G87" s="258"/>
      <c r="H87" s="227" t="s">
        <v>677</v>
      </c>
      <c r="I87" s="177"/>
      <c r="J87" s="178"/>
      <c r="K87" s="178"/>
      <c r="L87" s="179"/>
      <c r="M87" s="177"/>
      <c r="N87" s="178"/>
      <c r="O87" s="178"/>
      <c r="P87" s="180"/>
      <c r="Q87" s="180"/>
      <c r="R87" s="180" t="s">
        <v>61</v>
      </c>
      <c r="S87" s="180"/>
      <c r="T87" s="180"/>
      <c r="U87" s="184"/>
      <c r="V87" s="181"/>
      <c r="W87" s="182"/>
      <c r="X87" s="183"/>
      <c r="Y87" s="184"/>
      <c r="Z87" s="185" t="s">
        <v>678</v>
      </c>
    </row>
    <row r="88" spans="1:26" ht="11.4" x14ac:dyDescent="0.15">
      <c r="A88" s="175">
        <f t="shared" si="1"/>
        <v>86</v>
      </c>
      <c r="B88" s="176"/>
      <c r="C88" s="176"/>
      <c r="D88" s="176"/>
      <c r="E88" s="176" t="s">
        <v>735</v>
      </c>
      <c r="F88" s="186"/>
      <c r="G88" s="258"/>
      <c r="H88" s="227" t="s">
        <v>677</v>
      </c>
      <c r="I88" s="177"/>
      <c r="J88" s="178"/>
      <c r="K88" s="178"/>
      <c r="L88" s="179"/>
      <c r="M88" s="177"/>
      <c r="N88" s="178"/>
      <c r="O88" s="178"/>
      <c r="P88" s="180"/>
      <c r="Q88" s="180"/>
      <c r="R88" s="180" t="s">
        <v>61</v>
      </c>
      <c r="S88" s="180"/>
      <c r="T88" s="180"/>
      <c r="U88" s="184"/>
      <c r="V88" s="181"/>
      <c r="W88" s="182"/>
      <c r="X88" s="183"/>
      <c r="Y88" s="184"/>
      <c r="Z88" s="185" t="s">
        <v>678</v>
      </c>
    </row>
    <row r="89" spans="1:26" ht="11.4" x14ac:dyDescent="0.15">
      <c r="A89" s="175">
        <f t="shared" si="1"/>
        <v>87</v>
      </c>
      <c r="B89" s="176"/>
      <c r="C89" s="176"/>
      <c r="D89" s="176"/>
      <c r="E89" s="176" t="s">
        <v>736</v>
      </c>
      <c r="F89" s="186"/>
      <c r="G89" s="258"/>
      <c r="H89" s="227" t="s">
        <v>677</v>
      </c>
      <c r="I89" s="177"/>
      <c r="J89" s="178"/>
      <c r="K89" s="178"/>
      <c r="L89" s="179"/>
      <c r="M89" s="177"/>
      <c r="N89" s="178"/>
      <c r="O89" s="178"/>
      <c r="P89" s="180"/>
      <c r="Q89" s="180"/>
      <c r="R89" s="180" t="s">
        <v>61</v>
      </c>
      <c r="S89" s="180"/>
      <c r="T89" s="180"/>
      <c r="U89" s="184"/>
      <c r="V89" s="181"/>
      <c r="W89" s="182"/>
      <c r="X89" s="183"/>
      <c r="Y89" s="184"/>
      <c r="Z89" s="185" t="s">
        <v>678</v>
      </c>
    </row>
    <row r="90" spans="1:26" ht="11.4" x14ac:dyDescent="0.15">
      <c r="A90" s="175">
        <f t="shared" si="1"/>
        <v>88</v>
      </c>
      <c r="B90" s="176"/>
      <c r="C90" s="176"/>
      <c r="D90" s="176"/>
      <c r="E90" s="176" t="s">
        <v>737</v>
      </c>
      <c r="F90" s="186"/>
      <c r="G90" s="258"/>
      <c r="H90" s="227" t="s">
        <v>677</v>
      </c>
      <c r="I90" s="177"/>
      <c r="J90" s="178"/>
      <c r="K90" s="178"/>
      <c r="L90" s="179"/>
      <c r="M90" s="177"/>
      <c r="N90" s="178"/>
      <c r="O90" s="178"/>
      <c r="P90" s="180"/>
      <c r="Q90" s="180"/>
      <c r="R90" s="180" t="s">
        <v>61</v>
      </c>
      <c r="S90" s="180"/>
      <c r="T90" s="180"/>
      <c r="U90" s="184"/>
      <c r="V90" s="181"/>
      <c r="W90" s="182"/>
      <c r="X90" s="183"/>
      <c r="Y90" s="184"/>
      <c r="Z90" s="185" t="s">
        <v>678</v>
      </c>
    </row>
    <row r="91" spans="1:26" ht="11.4" x14ac:dyDescent="0.15">
      <c r="A91" s="175">
        <f t="shared" si="1"/>
        <v>89</v>
      </c>
      <c r="B91" s="176"/>
      <c r="C91" s="176"/>
      <c r="D91" s="176"/>
      <c r="E91" s="176" t="s">
        <v>738</v>
      </c>
      <c r="F91" s="186"/>
      <c r="G91" s="258"/>
      <c r="H91" s="227" t="s">
        <v>677</v>
      </c>
      <c r="I91" s="177"/>
      <c r="J91" s="178"/>
      <c r="K91" s="178"/>
      <c r="L91" s="179"/>
      <c r="M91" s="177"/>
      <c r="N91" s="178"/>
      <c r="O91" s="178"/>
      <c r="P91" s="180"/>
      <c r="Q91" s="180"/>
      <c r="R91" s="180" t="s">
        <v>61</v>
      </c>
      <c r="S91" s="180"/>
      <c r="T91" s="180"/>
      <c r="U91" s="184"/>
      <c r="V91" s="181"/>
      <c r="W91" s="182"/>
      <c r="X91" s="183"/>
      <c r="Y91" s="184"/>
      <c r="Z91" s="185" t="s">
        <v>678</v>
      </c>
    </row>
    <row r="92" spans="1:26" ht="11.4" x14ac:dyDescent="0.15">
      <c r="A92" s="175">
        <f t="shared" si="1"/>
        <v>90</v>
      </c>
      <c r="B92" s="176"/>
      <c r="C92" s="176"/>
      <c r="D92" s="176"/>
      <c r="E92" s="176" t="s">
        <v>739</v>
      </c>
      <c r="F92" s="186"/>
      <c r="G92" s="258"/>
      <c r="H92" s="227" t="s">
        <v>677</v>
      </c>
      <c r="I92" s="177"/>
      <c r="J92" s="178"/>
      <c r="K92" s="178"/>
      <c r="L92" s="179"/>
      <c r="M92" s="177"/>
      <c r="N92" s="178"/>
      <c r="O92" s="178"/>
      <c r="P92" s="180"/>
      <c r="Q92" s="180"/>
      <c r="R92" s="180" t="s">
        <v>61</v>
      </c>
      <c r="S92" s="180"/>
      <c r="T92" s="180"/>
      <c r="U92" s="184"/>
      <c r="V92" s="181"/>
      <c r="W92" s="182"/>
      <c r="X92" s="183"/>
      <c r="Y92" s="184"/>
      <c r="Z92" s="185" t="s">
        <v>678</v>
      </c>
    </row>
    <row r="93" spans="1:26" ht="11.4" x14ac:dyDescent="0.15">
      <c r="A93" s="175">
        <f t="shared" si="1"/>
        <v>91</v>
      </c>
      <c r="B93" s="176"/>
      <c r="C93" s="176"/>
      <c r="D93" s="176"/>
      <c r="E93" s="176" t="s">
        <v>740</v>
      </c>
      <c r="F93" s="186"/>
      <c r="G93" s="258"/>
      <c r="H93" s="227" t="s">
        <v>677</v>
      </c>
      <c r="I93" s="177"/>
      <c r="J93" s="178"/>
      <c r="K93" s="178"/>
      <c r="L93" s="179"/>
      <c r="M93" s="177"/>
      <c r="N93" s="178"/>
      <c r="O93" s="178"/>
      <c r="P93" s="180"/>
      <c r="Q93" s="180"/>
      <c r="R93" s="180" t="s">
        <v>61</v>
      </c>
      <c r="S93" s="180"/>
      <c r="T93" s="180"/>
      <c r="U93" s="184"/>
      <c r="V93" s="181"/>
      <c r="W93" s="182"/>
      <c r="X93" s="183"/>
      <c r="Y93" s="184"/>
      <c r="Z93" s="185" t="s">
        <v>678</v>
      </c>
    </row>
    <row r="94" spans="1:26" ht="11.4" x14ac:dyDescent="0.15">
      <c r="A94" s="175">
        <f t="shared" si="1"/>
        <v>92</v>
      </c>
      <c r="B94" s="176"/>
      <c r="C94" s="176"/>
      <c r="D94" s="176"/>
      <c r="E94" s="176" t="s">
        <v>741</v>
      </c>
      <c r="F94" s="186"/>
      <c r="G94" s="258"/>
      <c r="H94" s="227" t="s">
        <v>677</v>
      </c>
      <c r="I94" s="177"/>
      <c r="J94" s="178"/>
      <c r="K94" s="178"/>
      <c r="L94" s="179"/>
      <c r="M94" s="177"/>
      <c r="N94" s="178"/>
      <c r="O94" s="178"/>
      <c r="P94" s="180"/>
      <c r="Q94" s="180"/>
      <c r="R94" s="180" t="s">
        <v>61</v>
      </c>
      <c r="S94" s="180"/>
      <c r="T94" s="180"/>
      <c r="U94" s="184"/>
      <c r="V94" s="181"/>
      <c r="W94" s="182"/>
      <c r="X94" s="183"/>
      <c r="Y94" s="184"/>
      <c r="Z94" s="185" t="s">
        <v>678</v>
      </c>
    </row>
    <row r="95" spans="1:26" ht="11.4" x14ac:dyDescent="0.15">
      <c r="A95" s="175">
        <f t="shared" si="1"/>
        <v>93</v>
      </c>
      <c r="B95" s="176"/>
      <c r="C95" s="176"/>
      <c r="D95" s="176"/>
      <c r="E95" s="176" t="s">
        <v>742</v>
      </c>
      <c r="F95" s="186"/>
      <c r="G95" s="258"/>
      <c r="H95" s="227" t="s">
        <v>677</v>
      </c>
      <c r="I95" s="177"/>
      <c r="J95" s="178"/>
      <c r="K95" s="178"/>
      <c r="L95" s="179"/>
      <c r="M95" s="177"/>
      <c r="N95" s="178"/>
      <c r="O95" s="178"/>
      <c r="P95" s="180"/>
      <c r="Q95" s="180"/>
      <c r="R95" s="180" t="s">
        <v>61</v>
      </c>
      <c r="S95" s="180"/>
      <c r="T95" s="180"/>
      <c r="U95" s="184"/>
      <c r="V95" s="181"/>
      <c r="W95" s="182"/>
      <c r="X95" s="183"/>
      <c r="Y95" s="184"/>
      <c r="Z95" s="185" t="s">
        <v>678</v>
      </c>
    </row>
    <row r="96" spans="1:26" ht="11.4" x14ac:dyDescent="0.15">
      <c r="A96" s="175">
        <f t="shared" si="1"/>
        <v>94</v>
      </c>
      <c r="B96" s="176"/>
      <c r="C96" s="176"/>
      <c r="D96" s="176"/>
      <c r="E96" s="176" t="s">
        <v>743</v>
      </c>
      <c r="F96" s="186"/>
      <c r="G96" s="258"/>
      <c r="H96" s="227" t="s">
        <v>677</v>
      </c>
      <c r="I96" s="177"/>
      <c r="J96" s="178"/>
      <c r="K96" s="178"/>
      <c r="L96" s="179"/>
      <c r="M96" s="177"/>
      <c r="N96" s="178"/>
      <c r="O96" s="178"/>
      <c r="P96" s="180"/>
      <c r="Q96" s="180"/>
      <c r="R96" s="180" t="s">
        <v>61</v>
      </c>
      <c r="S96" s="180"/>
      <c r="T96" s="180"/>
      <c r="U96" s="184"/>
      <c r="V96" s="181"/>
      <c r="W96" s="182"/>
      <c r="X96" s="183"/>
      <c r="Y96" s="184"/>
      <c r="Z96" s="185" t="s">
        <v>678</v>
      </c>
    </row>
    <row r="97" spans="1:26" ht="11.4" x14ac:dyDescent="0.15">
      <c r="A97" s="175">
        <f t="shared" si="1"/>
        <v>95</v>
      </c>
      <c r="B97" s="176"/>
      <c r="C97" s="176"/>
      <c r="D97" s="176"/>
      <c r="E97" s="176" t="s">
        <v>744</v>
      </c>
      <c r="F97" s="186"/>
      <c r="G97" s="258"/>
      <c r="H97" s="227" t="s">
        <v>677</v>
      </c>
      <c r="I97" s="177"/>
      <c r="J97" s="178"/>
      <c r="K97" s="178"/>
      <c r="L97" s="179"/>
      <c r="M97" s="177"/>
      <c r="N97" s="178"/>
      <c r="O97" s="178"/>
      <c r="P97" s="180"/>
      <c r="Q97" s="180"/>
      <c r="R97" s="180" t="s">
        <v>61</v>
      </c>
      <c r="S97" s="180"/>
      <c r="T97" s="180"/>
      <c r="U97" s="184"/>
      <c r="V97" s="181"/>
      <c r="W97" s="182"/>
      <c r="X97" s="183"/>
      <c r="Y97" s="184"/>
      <c r="Z97" s="185" t="s">
        <v>678</v>
      </c>
    </row>
    <row r="98" spans="1:26" ht="11.4" x14ac:dyDescent="0.15">
      <c r="A98" s="175">
        <f t="shared" si="1"/>
        <v>96</v>
      </c>
      <c r="B98" s="176"/>
      <c r="C98" s="176"/>
      <c r="D98" s="176"/>
      <c r="E98" s="176" t="s">
        <v>745</v>
      </c>
      <c r="F98" s="186"/>
      <c r="G98" s="258"/>
      <c r="H98" s="227" t="s">
        <v>677</v>
      </c>
      <c r="I98" s="177"/>
      <c r="J98" s="178"/>
      <c r="K98" s="178"/>
      <c r="L98" s="179"/>
      <c r="M98" s="177"/>
      <c r="N98" s="178"/>
      <c r="O98" s="178"/>
      <c r="P98" s="180"/>
      <c r="Q98" s="180"/>
      <c r="R98" s="180" t="s">
        <v>61</v>
      </c>
      <c r="S98" s="180"/>
      <c r="T98" s="180"/>
      <c r="U98" s="184"/>
      <c r="V98" s="181"/>
      <c r="W98" s="182"/>
      <c r="X98" s="183"/>
      <c r="Y98" s="184"/>
      <c r="Z98" s="185" t="s">
        <v>678</v>
      </c>
    </row>
    <row r="99" spans="1:26" ht="11.4" x14ac:dyDescent="0.15">
      <c r="A99" s="175">
        <f t="shared" si="1"/>
        <v>97</v>
      </c>
      <c r="B99" s="176"/>
      <c r="C99" s="176"/>
      <c r="D99" s="176"/>
      <c r="E99" s="176" t="s">
        <v>746</v>
      </c>
      <c r="F99" s="186"/>
      <c r="G99" s="258"/>
      <c r="H99" s="227" t="s">
        <v>677</v>
      </c>
      <c r="I99" s="177"/>
      <c r="J99" s="178"/>
      <c r="K99" s="178"/>
      <c r="L99" s="179"/>
      <c r="M99" s="177"/>
      <c r="N99" s="178"/>
      <c r="O99" s="178"/>
      <c r="P99" s="180"/>
      <c r="Q99" s="180"/>
      <c r="R99" s="180" t="s">
        <v>61</v>
      </c>
      <c r="S99" s="180"/>
      <c r="T99" s="180"/>
      <c r="U99" s="184"/>
      <c r="V99" s="181"/>
      <c r="W99" s="182"/>
      <c r="X99" s="183"/>
      <c r="Y99" s="184"/>
      <c r="Z99" s="185" t="s">
        <v>678</v>
      </c>
    </row>
    <row r="100" spans="1:26" ht="11.4" x14ac:dyDescent="0.15">
      <c r="A100" s="175">
        <f t="shared" si="1"/>
        <v>98</v>
      </c>
      <c r="B100" s="176"/>
      <c r="C100" s="176"/>
      <c r="D100" s="176"/>
      <c r="E100" s="176" t="s">
        <v>747</v>
      </c>
      <c r="F100" s="186"/>
      <c r="G100" s="258"/>
      <c r="H100" s="227" t="s">
        <v>677</v>
      </c>
      <c r="I100" s="177"/>
      <c r="J100" s="178"/>
      <c r="K100" s="178"/>
      <c r="L100" s="179"/>
      <c r="M100" s="177"/>
      <c r="N100" s="178"/>
      <c r="O100" s="178"/>
      <c r="P100" s="180"/>
      <c r="Q100" s="180"/>
      <c r="R100" s="180" t="s">
        <v>61</v>
      </c>
      <c r="S100" s="180"/>
      <c r="T100" s="180"/>
      <c r="U100" s="184"/>
      <c r="V100" s="181"/>
      <c r="W100" s="182"/>
      <c r="X100" s="183"/>
      <c r="Y100" s="184"/>
      <c r="Z100" s="185" t="s">
        <v>678</v>
      </c>
    </row>
    <row r="101" spans="1:26" ht="11.4" x14ac:dyDescent="0.15">
      <c r="A101" s="175">
        <f t="shared" si="1"/>
        <v>99</v>
      </c>
      <c r="B101" s="176"/>
      <c r="C101" s="176"/>
      <c r="D101" s="176"/>
      <c r="E101" s="176" t="s">
        <v>748</v>
      </c>
      <c r="F101" s="186"/>
      <c r="G101" s="258"/>
      <c r="H101" s="227" t="s">
        <v>677</v>
      </c>
      <c r="I101" s="177"/>
      <c r="J101" s="178"/>
      <c r="K101" s="178"/>
      <c r="L101" s="179"/>
      <c r="M101" s="177"/>
      <c r="N101" s="178"/>
      <c r="O101" s="178"/>
      <c r="P101" s="180"/>
      <c r="Q101" s="180"/>
      <c r="R101" s="180" t="s">
        <v>61</v>
      </c>
      <c r="S101" s="180"/>
      <c r="T101" s="180"/>
      <c r="U101" s="184"/>
      <c r="V101" s="181"/>
      <c r="W101" s="182"/>
      <c r="X101" s="183"/>
      <c r="Y101" s="184"/>
      <c r="Z101" s="185" t="s">
        <v>678</v>
      </c>
    </row>
    <row r="102" spans="1:26" ht="11.4" x14ac:dyDescent="0.15">
      <c r="A102" s="175">
        <f t="shared" si="1"/>
        <v>100</v>
      </c>
      <c r="B102" s="176"/>
      <c r="C102" s="176"/>
      <c r="D102" s="176"/>
      <c r="E102" s="176" t="s">
        <v>749</v>
      </c>
      <c r="F102" s="186"/>
      <c r="G102" s="258"/>
      <c r="H102" s="227" t="s">
        <v>677</v>
      </c>
      <c r="I102" s="177"/>
      <c r="J102" s="178"/>
      <c r="K102" s="178"/>
      <c r="L102" s="179"/>
      <c r="M102" s="177"/>
      <c r="N102" s="178"/>
      <c r="O102" s="178"/>
      <c r="P102" s="180"/>
      <c r="Q102" s="180"/>
      <c r="R102" s="180" t="s">
        <v>61</v>
      </c>
      <c r="S102" s="180"/>
      <c r="T102" s="180"/>
      <c r="U102" s="184"/>
      <c r="V102" s="181"/>
      <c r="W102" s="182"/>
      <c r="X102" s="183"/>
      <c r="Y102" s="184"/>
      <c r="Z102" s="185" t="s">
        <v>678</v>
      </c>
    </row>
    <row r="103" spans="1:26" ht="11.4" x14ac:dyDescent="0.15">
      <c r="A103" s="175">
        <f t="shared" si="1"/>
        <v>101</v>
      </c>
      <c r="B103" s="176"/>
      <c r="C103" s="176"/>
      <c r="D103" s="176"/>
      <c r="E103" s="176" t="s">
        <v>750</v>
      </c>
      <c r="F103" s="186"/>
      <c r="G103" s="258"/>
      <c r="H103" s="227" t="s">
        <v>677</v>
      </c>
      <c r="I103" s="177"/>
      <c r="J103" s="178"/>
      <c r="K103" s="178"/>
      <c r="L103" s="179"/>
      <c r="M103" s="177"/>
      <c r="N103" s="178"/>
      <c r="O103" s="178"/>
      <c r="P103" s="180"/>
      <c r="Q103" s="180"/>
      <c r="R103" s="180" t="s">
        <v>61</v>
      </c>
      <c r="S103" s="180"/>
      <c r="T103" s="180"/>
      <c r="U103" s="184"/>
      <c r="V103" s="181"/>
      <c r="W103" s="182"/>
      <c r="X103" s="183"/>
      <c r="Y103" s="184"/>
      <c r="Z103" s="185" t="s">
        <v>678</v>
      </c>
    </row>
    <row r="104" spans="1:26" ht="11.4" x14ac:dyDescent="0.15">
      <c r="A104" s="175">
        <f t="shared" si="1"/>
        <v>102</v>
      </c>
      <c r="B104" s="176"/>
      <c r="C104" s="176"/>
      <c r="D104" s="176"/>
      <c r="E104" s="176" t="s">
        <v>751</v>
      </c>
      <c r="F104" s="186"/>
      <c r="G104" s="258"/>
      <c r="H104" s="227" t="s">
        <v>677</v>
      </c>
      <c r="I104" s="177"/>
      <c r="J104" s="178"/>
      <c r="K104" s="178"/>
      <c r="L104" s="179"/>
      <c r="M104" s="177"/>
      <c r="N104" s="178"/>
      <c r="O104" s="178"/>
      <c r="P104" s="180"/>
      <c r="Q104" s="180"/>
      <c r="R104" s="180" t="s">
        <v>61</v>
      </c>
      <c r="S104" s="180"/>
      <c r="T104" s="180"/>
      <c r="U104" s="184"/>
      <c r="V104" s="181"/>
      <c r="W104" s="182"/>
      <c r="X104" s="183"/>
      <c r="Y104" s="184"/>
      <c r="Z104" s="185" t="s">
        <v>678</v>
      </c>
    </row>
    <row r="105" spans="1:26" ht="11.4" x14ac:dyDescent="0.15">
      <c r="A105" s="175">
        <f t="shared" si="1"/>
        <v>103</v>
      </c>
      <c r="B105" s="176"/>
      <c r="C105" s="176" t="s">
        <v>752</v>
      </c>
      <c r="D105" s="176" t="s">
        <v>674</v>
      </c>
      <c r="E105" s="176" t="s">
        <v>675</v>
      </c>
      <c r="F105" s="186" t="s">
        <v>676</v>
      </c>
      <c r="G105" s="258"/>
      <c r="H105" s="227" t="s">
        <v>677</v>
      </c>
      <c r="I105" s="177"/>
      <c r="J105" s="178"/>
      <c r="K105" s="178"/>
      <c r="L105" s="179"/>
      <c r="M105" s="177"/>
      <c r="N105" s="178"/>
      <c r="O105" s="178"/>
      <c r="P105" s="180"/>
      <c r="Q105" s="180"/>
      <c r="R105" s="180" t="s">
        <v>61</v>
      </c>
      <c r="S105" s="180"/>
      <c r="T105" s="180"/>
      <c r="U105" s="184"/>
      <c r="V105" s="181"/>
      <c r="W105" s="182"/>
      <c r="X105" s="183"/>
      <c r="Y105" s="184"/>
      <c r="Z105" s="185" t="s">
        <v>678</v>
      </c>
    </row>
    <row r="106" spans="1:26" ht="11.4" x14ac:dyDescent="0.15">
      <c r="A106" s="175">
        <f t="shared" si="1"/>
        <v>104</v>
      </c>
      <c r="B106" s="176"/>
      <c r="C106" s="176"/>
      <c r="D106" s="176"/>
      <c r="E106" s="176" t="s">
        <v>679</v>
      </c>
      <c r="F106" s="186"/>
      <c r="G106" s="258"/>
      <c r="H106" s="227" t="s">
        <v>677</v>
      </c>
      <c r="I106" s="177"/>
      <c r="J106" s="178"/>
      <c r="K106" s="178"/>
      <c r="L106" s="179"/>
      <c r="M106" s="177"/>
      <c r="N106" s="178"/>
      <c r="O106" s="178"/>
      <c r="P106" s="180"/>
      <c r="Q106" s="180"/>
      <c r="R106" s="180" t="s">
        <v>61</v>
      </c>
      <c r="S106" s="180"/>
      <c r="T106" s="180"/>
      <c r="U106" s="184"/>
      <c r="V106" s="181"/>
      <c r="W106" s="182"/>
      <c r="X106" s="183"/>
      <c r="Y106" s="184"/>
      <c r="Z106" s="185" t="s">
        <v>678</v>
      </c>
    </row>
    <row r="107" spans="1:26" ht="11.4" x14ac:dyDescent="0.15">
      <c r="A107" s="175">
        <f t="shared" si="1"/>
        <v>105</v>
      </c>
      <c r="B107" s="176"/>
      <c r="C107" s="176"/>
      <c r="D107" s="176"/>
      <c r="E107" s="176" t="s">
        <v>680</v>
      </c>
      <c r="F107" s="186"/>
      <c r="G107" s="258"/>
      <c r="H107" s="227" t="s">
        <v>677</v>
      </c>
      <c r="I107" s="177"/>
      <c r="J107" s="178"/>
      <c r="K107" s="178"/>
      <c r="L107" s="179"/>
      <c r="M107" s="177"/>
      <c r="N107" s="178"/>
      <c r="O107" s="178"/>
      <c r="P107" s="180"/>
      <c r="Q107" s="180"/>
      <c r="R107" s="180" t="s">
        <v>61</v>
      </c>
      <c r="S107" s="180"/>
      <c r="T107" s="180"/>
      <c r="U107" s="184"/>
      <c r="V107" s="181"/>
      <c r="W107" s="182"/>
      <c r="X107" s="183"/>
      <c r="Y107" s="184"/>
      <c r="Z107" s="185" t="s">
        <v>678</v>
      </c>
    </row>
    <row r="108" spans="1:26" ht="11.4" x14ac:dyDescent="0.15">
      <c r="A108" s="175">
        <f t="shared" si="1"/>
        <v>106</v>
      </c>
      <c r="B108" s="176"/>
      <c r="C108" s="176"/>
      <c r="D108" s="176"/>
      <c r="E108" s="176" t="s">
        <v>681</v>
      </c>
      <c r="F108" s="186"/>
      <c r="G108" s="258"/>
      <c r="H108" s="227" t="s">
        <v>677</v>
      </c>
      <c r="I108" s="177"/>
      <c r="J108" s="178"/>
      <c r="K108" s="178"/>
      <c r="L108" s="179"/>
      <c r="M108" s="177"/>
      <c r="N108" s="178"/>
      <c r="O108" s="178"/>
      <c r="P108" s="180"/>
      <c r="Q108" s="180"/>
      <c r="R108" s="180" t="s">
        <v>61</v>
      </c>
      <c r="S108" s="180"/>
      <c r="T108" s="180"/>
      <c r="U108" s="184"/>
      <c r="V108" s="181"/>
      <c r="W108" s="182"/>
      <c r="X108" s="183"/>
      <c r="Y108" s="184"/>
      <c r="Z108" s="185" t="s">
        <v>678</v>
      </c>
    </row>
    <row r="109" spans="1:26" ht="11.4" x14ac:dyDescent="0.15">
      <c r="A109" s="175">
        <f t="shared" si="1"/>
        <v>107</v>
      </c>
      <c r="B109" s="176"/>
      <c r="C109" s="176"/>
      <c r="D109" s="176"/>
      <c r="E109" s="176" t="s">
        <v>682</v>
      </c>
      <c r="F109" s="186"/>
      <c r="G109" s="258"/>
      <c r="H109" s="227" t="s">
        <v>677</v>
      </c>
      <c r="I109" s="177"/>
      <c r="J109" s="178"/>
      <c r="K109" s="178"/>
      <c r="L109" s="179"/>
      <c r="M109" s="177"/>
      <c r="N109" s="178"/>
      <c r="O109" s="178"/>
      <c r="P109" s="180"/>
      <c r="Q109" s="180"/>
      <c r="R109" s="180" t="s">
        <v>61</v>
      </c>
      <c r="S109" s="180"/>
      <c r="T109" s="180"/>
      <c r="U109" s="184"/>
      <c r="V109" s="181"/>
      <c r="W109" s="182"/>
      <c r="X109" s="183"/>
      <c r="Y109" s="184"/>
      <c r="Z109" s="185" t="s">
        <v>678</v>
      </c>
    </row>
    <row r="110" spans="1:26" ht="11.4" x14ac:dyDescent="0.15">
      <c r="A110" s="175">
        <f t="shared" si="1"/>
        <v>108</v>
      </c>
      <c r="B110" s="176"/>
      <c r="C110" s="176"/>
      <c r="D110" s="176"/>
      <c r="E110" s="176" t="s">
        <v>683</v>
      </c>
      <c r="F110" s="186"/>
      <c r="G110" s="258"/>
      <c r="H110" s="227" t="s">
        <v>677</v>
      </c>
      <c r="I110" s="177"/>
      <c r="J110" s="178"/>
      <c r="K110" s="178"/>
      <c r="L110" s="179"/>
      <c r="M110" s="177"/>
      <c r="N110" s="178"/>
      <c r="O110" s="178"/>
      <c r="P110" s="180"/>
      <c r="Q110" s="180"/>
      <c r="R110" s="180" t="s">
        <v>61</v>
      </c>
      <c r="S110" s="180"/>
      <c r="T110" s="180"/>
      <c r="U110" s="184"/>
      <c r="V110" s="181"/>
      <c r="W110" s="182"/>
      <c r="X110" s="183"/>
      <c r="Y110" s="184"/>
      <c r="Z110" s="185" t="s">
        <v>678</v>
      </c>
    </row>
    <row r="111" spans="1:26" ht="11.4" x14ac:dyDescent="0.15">
      <c r="A111" s="175">
        <f t="shared" si="1"/>
        <v>109</v>
      </c>
      <c r="B111" s="176"/>
      <c r="C111" s="176"/>
      <c r="D111" s="176"/>
      <c r="E111" s="176" t="s">
        <v>684</v>
      </c>
      <c r="F111" s="186"/>
      <c r="G111" s="258"/>
      <c r="H111" s="227" t="s">
        <v>677</v>
      </c>
      <c r="I111" s="177"/>
      <c r="J111" s="178"/>
      <c r="K111" s="178"/>
      <c r="L111" s="179"/>
      <c r="M111" s="177"/>
      <c r="N111" s="178"/>
      <c r="O111" s="178"/>
      <c r="P111" s="180"/>
      <c r="Q111" s="180"/>
      <c r="R111" s="180" t="s">
        <v>61</v>
      </c>
      <c r="S111" s="180"/>
      <c r="T111" s="180"/>
      <c r="U111" s="184"/>
      <c r="V111" s="181"/>
      <c r="W111" s="182"/>
      <c r="X111" s="183"/>
      <c r="Y111" s="184"/>
      <c r="Z111" s="185" t="s">
        <v>678</v>
      </c>
    </row>
    <row r="112" spans="1:26" ht="11.4" x14ac:dyDescent="0.15">
      <c r="A112" s="175">
        <f t="shared" si="1"/>
        <v>110</v>
      </c>
      <c r="B112" s="176"/>
      <c r="C112" s="176"/>
      <c r="D112" s="176" t="s">
        <v>685</v>
      </c>
      <c r="E112" s="176" t="s">
        <v>686</v>
      </c>
      <c r="F112" s="186"/>
      <c r="G112" s="258"/>
      <c r="H112" s="227" t="s">
        <v>677</v>
      </c>
      <c r="I112" s="177"/>
      <c r="J112" s="178"/>
      <c r="K112" s="178"/>
      <c r="L112" s="179"/>
      <c r="M112" s="177"/>
      <c r="N112" s="178"/>
      <c r="O112" s="178"/>
      <c r="P112" s="180"/>
      <c r="Q112" s="180"/>
      <c r="R112" s="180" t="s">
        <v>61</v>
      </c>
      <c r="S112" s="180"/>
      <c r="T112" s="180"/>
      <c r="U112" s="184"/>
      <c r="V112" s="181"/>
      <c r="W112" s="182"/>
      <c r="X112" s="183"/>
      <c r="Y112" s="184"/>
      <c r="Z112" s="185" t="s">
        <v>678</v>
      </c>
    </row>
    <row r="113" spans="1:26" ht="11.4" x14ac:dyDescent="0.15">
      <c r="A113" s="175">
        <f t="shared" si="1"/>
        <v>111</v>
      </c>
      <c r="B113" s="176"/>
      <c r="C113" s="176"/>
      <c r="D113" s="176"/>
      <c r="E113" s="176" t="s">
        <v>687</v>
      </c>
      <c r="F113" s="186"/>
      <c r="G113" s="258"/>
      <c r="H113" s="227" t="s">
        <v>677</v>
      </c>
      <c r="I113" s="177"/>
      <c r="J113" s="178"/>
      <c r="K113" s="178"/>
      <c r="L113" s="179"/>
      <c r="M113" s="177"/>
      <c r="N113" s="178"/>
      <c r="O113" s="178"/>
      <c r="P113" s="180"/>
      <c r="Q113" s="180"/>
      <c r="R113" s="180" t="s">
        <v>61</v>
      </c>
      <c r="S113" s="180"/>
      <c r="T113" s="180"/>
      <c r="U113" s="184"/>
      <c r="V113" s="181"/>
      <c r="W113" s="182"/>
      <c r="X113" s="183"/>
      <c r="Y113" s="184"/>
      <c r="Z113" s="185" t="s">
        <v>678</v>
      </c>
    </row>
    <row r="114" spans="1:26" ht="11.4" x14ac:dyDescent="0.15">
      <c r="A114" s="175">
        <f t="shared" si="1"/>
        <v>112</v>
      </c>
      <c r="B114" s="176"/>
      <c r="C114" s="176"/>
      <c r="D114" s="176"/>
      <c r="E114" s="176" t="s">
        <v>688</v>
      </c>
      <c r="F114" s="186"/>
      <c r="G114" s="258"/>
      <c r="H114" s="227" t="s">
        <v>677</v>
      </c>
      <c r="I114" s="177"/>
      <c r="J114" s="178"/>
      <c r="K114" s="178"/>
      <c r="L114" s="179"/>
      <c r="M114" s="177"/>
      <c r="N114" s="178"/>
      <c r="O114" s="178"/>
      <c r="P114" s="180"/>
      <c r="Q114" s="180"/>
      <c r="R114" s="180" t="s">
        <v>61</v>
      </c>
      <c r="S114" s="180"/>
      <c r="T114" s="180"/>
      <c r="U114" s="184"/>
      <c r="V114" s="181"/>
      <c r="W114" s="182"/>
      <c r="X114" s="183"/>
      <c r="Y114" s="184"/>
      <c r="Z114" s="185" t="s">
        <v>678</v>
      </c>
    </row>
    <row r="115" spans="1:26" ht="11.4" x14ac:dyDescent="0.15">
      <c r="A115" s="175">
        <f t="shared" si="1"/>
        <v>113</v>
      </c>
      <c r="B115" s="176"/>
      <c r="C115" s="176"/>
      <c r="D115" s="176"/>
      <c r="E115" s="176" t="s">
        <v>689</v>
      </c>
      <c r="F115" s="186"/>
      <c r="G115" s="258"/>
      <c r="H115" s="227" t="s">
        <v>677</v>
      </c>
      <c r="I115" s="177"/>
      <c r="J115" s="178"/>
      <c r="K115" s="178"/>
      <c r="L115" s="179"/>
      <c r="M115" s="177"/>
      <c r="N115" s="178"/>
      <c r="O115" s="178"/>
      <c r="P115" s="180"/>
      <c r="Q115" s="180"/>
      <c r="R115" s="180" t="s">
        <v>61</v>
      </c>
      <c r="S115" s="180"/>
      <c r="T115" s="180"/>
      <c r="U115" s="184"/>
      <c r="V115" s="181"/>
      <c r="W115" s="182"/>
      <c r="X115" s="183"/>
      <c r="Y115" s="184"/>
      <c r="Z115" s="185" t="s">
        <v>678</v>
      </c>
    </row>
    <row r="116" spans="1:26" ht="11.4" x14ac:dyDescent="0.15">
      <c r="A116" s="175">
        <f t="shared" si="1"/>
        <v>114</v>
      </c>
      <c r="B116" s="176"/>
      <c r="C116" s="176"/>
      <c r="D116" s="176" t="s">
        <v>690</v>
      </c>
      <c r="E116" s="176" t="s">
        <v>691</v>
      </c>
      <c r="F116" s="186"/>
      <c r="G116" s="258"/>
      <c r="H116" s="227" t="s">
        <v>677</v>
      </c>
      <c r="I116" s="177"/>
      <c r="J116" s="178"/>
      <c r="K116" s="178"/>
      <c r="L116" s="179"/>
      <c r="M116" s="177"/>
      <c r="N116" s="178"/>
      <c r="O116" s="178"/>
      <c r="P116" s="180"/>
      <c r="Q116" s="180"/>
      <c r="R116" s="180" t="s">
        <v>61</v>
      </c>
      <c r="S116" s="180"/>
      <c r="T116" s="180"/>
      <c r="U116" s="184"/>
      <c r="V116" s="181"/>
      <c r="W116" s="182"/>
      <c r="X116" s="183"/>
      <c r="Y116" s="184"/>
      <c r="Z116" s="185" t="s">
        <v>678</v>
      </c>
    </row>
    <row r="117" spans="1:26" ht="11.4" x14ac:dyDescent="0.15">
      <c r="A117" s="175">
        <f t="shared" si="1"/>
        <v>115</v>
      </c>
      <c r="B117" s="176"/>
      <c r="C117" s="176"/>
      <c r="D117" s="176"/>
      <c r="E117" s="176" t="s">
        <v>692</v>
      </c>
      <c r="F117" s="186"/>
      <c r="G117" s="258"/>
      <c r="H117" s="227" t="s">
        <v>677</v>
      </c>
      <c r="I117" s="177"/>
      <c r="J117" s="178"/>
      <c r="K117" s="178"/>
      <c r="L117" s="179"/>
      <c r="M117" s="177"/>
      <c r="N117" s="178"/>
      <c r="O117" s="178"/>
      <c r="P117" s="180"/>
      <c r="Q117" s="180"/>
      <c r="R117" s="180" t="s">
        <v>61</v>
      </c>
      <c r="S117" s="180"/>
      <c r="T117" s="180"/>
      <c r="U117" s="184"/>
      <c r="V117" s="181"/>
      <c r="W117" s="182"/>
      <c r="X117" s="183"/>
      <c r="Y117" s="184"/>
      <c r="Z117" s="185" t="s">
        <v>678</v>
      </c>
    </row>
    <row r="118" spans="1:26" ht="11.4" x14ac:dyDescent="0.15">
      <c r="A118" s="175">
        <f t="shared" si="1"/>
        <v>116</v>
      </c>
      <c r="B118" s="176"/>
      <c r="C118" s="176"/>
      <c r="D118" s="176"/>
      <c r="E118" s="176" t="s">
        <v>693</v>
      </c>
      <c r="F118" s="186"/>
      <c r="G118" s="258"/>
      <c r="H118" s="227" t="s">
        <v>677</v>
      </c>
      <c r="I118" s="177"/>
      <c r="J118" s="178"/>
      <c r="K118" s="178"/>
      <c r="L118" s="179"/>
      <c r="M118" s="177"/>
      <c r="N118" s="178"/>
      <c r="O118" s="178"/>
      <c r="P118" s="180"/>
      <c r="Q118" s="180"/>
      <c r="R118" s="180" t="s">
        <v>61</v>
      </c>
      <c r="S118" s="180"/>
      <c r="T118" s="180"/>
      <c r="U118" s="184"/>
      <c r="V118" s="181"/>
      <c r="W118" s="182"/>
      <c r="X118" s="183"/>
      <c r="Y118" s="184"/>
      <c r="Z118" s="185" t="s">
        <v>678</v>
      </c>
    </row>
    <row r="119" spans="1:26" ht="11.4" x14ac:dyDescent="0.15">
      <c r="A119" s="175">
        <f t="shared" si="1"/>
        <v>117</v>
      </c>
      <c r="B119" s="176"/>
      <c r="C119" s="176"/>
      <c r="D119" s="176"/>
      <c r="E119" s="176" t="s">
        <v>694</v>
      </c>
      <c r="F119" s="186"/>
      <c r="G119" s="258"/>
      <c r="H119" s="227" t="s">
        <v>677</v>
      </c>
      <c r="I119" s="177"/>
      <c r="J119" s="178"/>
      <c r="K119" s="178"/>
      <c r="L119" s="179"/>
      <c r="M119" s="177"/>
      <c r="N119" s="178"/>
      <c r="O119" s="178"/>
      <c r="P119" s="180"/>
      <c r="Q119" s="180"/>
      <c r="R119" s="180" t="s">
        <v>61</v>
      </c>
      <c r="S119" s="180"/>
      <c r="T119" s="180"/>
      <c r="U119" s="184"/>
      <c r="V119" s="181"/>
      <c r="W119" s="182"/>
      <c r="X119" s="183"/>
      <c r="Y119" s="184"/>
      <c r="Z119" s="185" t="s">
        <v>678</v>
      </c>
    </row>
    <row r="120" spans="1:26" ht="11.4" x14ac:dyDescent="0.15">
      <c r="A120" s="175">
        <f t="shared" si="1"/>
        <v>118</v>
      </c>
      <c r="B120" s="176"/>
      <c r="C120" s="176"/>
      <c r="D120" s="176"/>
      <c r="E120" s="176" t="s">
        <v>695</v>
      </c>
      <c r="F120" s="186"/>
      <c r="G120" s="258"/>
      <c r="H120" s="227" t="s">
        <v>677</v>
      </c>
      <c r="I120" s="177"/>
      <c r="J120" s="178"/>
      <c r="K120" s="178"/>
      <c r="L120" s="179"/>
      <c r="M120" s="177"/>
      <c r="N120" s="178"/>
      <c r="O120" s="178"/>
      <c r="P120" s="180"/>
      <c r="Q120" s="180"/>
      <c r="R120" s="180" t="s">
        <v>61</v>
      </c>
      <c r="S120" s="180"/>
      <c r="T120" s="180"/>
      <c r="U120" s="184"/>
      <c r="V120" s="181"/>
      <c r="W120" s="182"/>
      <c r="X120" s="183"/>
      <c r="Y120" s="184"/>
      <c r="Z120" s="185" t="s">
        <v>678</v>
      </c>
    </row>
    <row r="121" spans="1:26" ht="11.4" x14ac:dyDescent="0.15">
      <c r="A121" s="175">
        <f t="shared" si="1"/>
        <v>119</v>
      </c>
      <c r="B121" s="176"/>
      <c r="C121" s="176"/>
      <c r="D121" s="176"/>
      <c r="E121" s="176" t="s">
        <v>696</v>
      </c>
      <c r="F121" s="186"/>
      <c r="G121" s="258"/>
      <c r="H121" s="227" t="s">
        <v>677</v>
      </c>
      <c r="I121" s="177"/>
      <c r="J121" s="178"/>
      <c r="K121" s="178"/>
      <c r="L121" s="179"/>
      <c r="M121" s="177"/>
      <c r="N121" s="178"/>
      <c r="O121" s="178"/>
      <c r="P121" s="180"/>
      <c r="Q121" s="180"/>
      <c r="R121" s="180" t="s">
        <v>61</v>
      </c>
      <c r="S121" s="180"/>
      <c r="T121" s="180"/>
      <c r="U121" s="184"/>
      <c r="V121" s="181"/>
      <c r="W121" s="182"/>
      <c r="X121" s="183"/>
      <c r="Y121" s="184"/>
      <c r="Z121" s="185" t="s">
        <v>678</v>
      </c>
    </row>
    <row r="122" spans="1:26" ht="11.4" x14ac:dyDescent="0.15">
      <c r="A122" s="175">
        <f t="shared" si="1"/>
        <v>120</v>
      </c>
      <c r="B122" s="176"/>
      <c r="C122" s="176"/>
      <c r="D122" s="176"/>
      <c r="E122" s="176" t="s">
        <v>697</v>
      </c>
      <c r="F122" s="186"/>
      <c r="G122" s="258"/>
      <c r="H122" s="227" t="s">
        <v>677</v>
      </c>
      <c r="I122" s="177"/>
      <c r="J122" s="178"/>
      <c r="K122" s="178"/>
      <c r="L122" s="179"/>
      <c r="M122" s="177"/>
      <c r="N122" s="178"/>
      <c r="O122" s="178"/>
      <c r="P122" s="180"/>
      <c r="Q122" s="180"/>
      <c r="R122" s="180" t="s">
        <v>61</v>
      </c>
      <c r="S122" s="180"/>
      <c r="T122" s="180"/>
      <c r="U122" s="184"/>
      <c r="V122" s="181"/>
      <c r="W122" s="182"/>
      <c r="X122" s="183"/>
      <c r="Y122" s="184"/>
      <c r="Z122" s="185" t="s">
        <v>678</v>
      </c>
    </row>
    <row r="123" spans="1:26" ht="11.4" x14ac:dyDescent="0.15">
      <c r="A123" s="175">
        <f t="shared" si="1"/>
        <v>121</v>
      </c>
      <c r="B123" s="176"/>
      <c r="C123" s="176"/>
      <c r="D123" s="176"/>
      <c r="E123" s="176" t="s">
        <v>698</v>
      </c>
      <c r="F123" s="186"/>
      <c r="G123" s="258"/>
      <c r="H123" s="227" t="s">
        <v>677</v>
      </c>
      <c r="I123" s="177"/>
      <c r="J123" s="178"/>
      <c r="K123" s="178"/>
      <c r="L123" s="179"/>
      <c r="M123" s="177"/>
      <c r="N123" s="178"/>
      <c r="O123" s="178"/>
      <c r="P123" s="180"/>
      <c r="Q123" s="180"/>
      <c r="R123" s="180" t="s">
        <v>61</v>
      </c>
      <c r="S123" s="180"/>
      <c r="T123" s="180"/>
      <c r="U123" s="184"/>
      <c r="V123" s="181"/>
      <c r="W123" s="182"/>
      <c r="X123" s="183"/>
      <c r="Y123" s="184"/>
      <c r="Z123" s="185" t="s">
        <v>678</v>
      </c>
    </row>
    <row r="124" spans="1:26" ht="11.4" x14ac:dyDescent="0.15">
      <c r="A124" s="175">
        <f t="shared" si="1"/>
        <v>122</v>
      </c>
      <c r="B124" s="176"/>
      <c r="C124" s="176"/>
      <c r="D124" s="176"/>
      <c r="E124" s="176" t="s">
        <v>699</v>
      </c>
      <c r="F124" s="186"/>
      <c r="G124" s="258"/>
      <c r="H124" s="227" t="s">
        <v>677</v>
      </c>
      <c r="I124" s="177"/>
      <c r="J124" s="178"/>
      <c r="K124" s="178"/>
      <c r="L124" s="179"/>
      <c r="M124" s="177"/>
      <c r="N124" s="178"/>
      <c r="O124" s="178"/>
      <c r="P124" s="180"/>
      <c r="Q124" s="180"/>
      <c r="R124" s="180" t="s">
        <v>61</v>
      </c>
      <c r="S124" s="180"/>
      <c r="T124" s="180"/>
      <c r="U124" s="184"/>
      <c r="V124" s="181"/>
      <c r="W124" s="182"/>
      <c r="X124" s="183"/>
      <c r="Y124" s="184"/>
      <c r="Z124" s="185" t="s">
        <v>678</v>
      </c>
    </row>
    <row r="125" spans="1:26" ht="11.4" x14ac:dyDescent="0.15">
      <c r="A125" s="175">
        <f t="shared" si="1"/>
        <v>123</v>
      </c>
      <c r="B125" s="176"/>
      <c r="C125" s="176"/>
      <c r="D125" s="176"/>
      <c r="E125" s="176" t="s">
        <v>700</v>
      </c>
      <c r="F125" s="186"/>
      <c r="G125" s="258"/>
      <c r="H125" s="227" t="s">
        <v>677</v>
      </c>
      <c r="I125" s="177"/>
      <c r="J125" s="178"/>
      <c r="K125" s="178"/>
      <c r="L125" s="179"/>
      <c r="M125" s="177"/>
      <c r="N125" s="178"/>
      <c r="O125" s="178"/>
      <c r="P125" s="180"/>
      <c r="Q125" s="180"/>
      <c r="R125" s="180" t="s">
        <v>61</v>
      </c>
      <c r="S125" s="180"/>
      <c r="T125" s="180"/>
      <c r="U125" s="184"/>
      <c r="V125" s="181"/>
      <c r="W125" s="182"/>
      <c r="X125" s="183"/>
      <c r="Y125" s="184"/>
      <c r="Z125" s="185" t="s">
        <v>678</v>
      </c>
    </row>
    <row r="126" spans="1:26" ht="11.4" x14ac:dyDescent="0.15">
      <c r="A126" s="175">
        <f t="shared" si="1"/>
        <v>124</v>
      </c>
      <c r="B126" s="176"/>
      <c r="C126" s="176"/>
      <c r="D126" s="176"/>
      <c r="E126" s="176" t="s">
        <v>701</v>
      </c>
      <c r="F126" s="186"/>
      <c r="G126" s="258"/>
      <c r="H126" s="227" t="s">
        <v>677</v>
      </c>
      <c r="I126" s="177"/>
      <c r="J126" s="178"/>
      <c r="K126" s="178"/>
      <c r="L126" s="179"/>
      <c r="M126" s="177"/>
      <c r="N126" s="178"/>
      <c r="O126" s="178"/>
      <c r="P126" s="180"/>
      <c r="Q126" s="180"/>
      <c r="R126" s="180" t="s">
        <v>61</v>
      </c>
      <c r="S126" s="180"/>
      <c r="T126" s="180"/>
      <c r="U126" s="184"/>
      <c r="V126" s="181"/>
      <c r="W126" s="182"/>
      <c r="X126" s="183"/>
      <c r="Y126" s="184"/>
      <c r="Z126" s="185" t="s">
        <v>678</v>
      </c>
    </row>
    <row r="127" spans="1:26" ht="11.4" x14ac:dyDescent="0.15">
      <c r="A127" s="175">
        <f t="shared" si="1"/>
        <v>125</v>
      </c>
      <c r="B127" s="176"/>
      <c r="C127" s="176"/>
      <c r="D127" s="176"/>
      <c r="E127" s="176" t="s">
        <v>702</v>
      </c>
      <c r="F127" s="186"/>
      <c r="G127" s="258"/>
      <c r="H127" s="227" t="s">
        <v>677</v>
      </c>
      <c r="I127" s="177"/>
      <c r="J127" s="178"/>
      <c r="K127" s="178"/>
      <c r="L127" s="179"/>
      <c r="M127" s="177"/>
      <c r="N127" s="178"/>
      <c r="O127" s="178"/>
      <c r="P127" s="180"/>
      <c r="Q127" s="180"/>
      <c r="R127" s="180" t="s">
        <v>61</v>
      </c>
      <c r="S127" s="180"/>
      <c r="T127" s="180"/>
      <c r="U127" s="184"/>
      <c r="V127" s="181"/>
      <c r="W127" s="182"/>
      <c r="X127" s="183"/>
      <c r="Y127" s="184"/>
      <c r="Z127" s="185" t="s">
        <v>678</v>
      </c>
    </row>
    <row r="128" spans="1:26" ht="11.4" x14ac:dyDescent="0.15">
      <c r="A128" s="175">
        <f t="shared" si="1"/>
        <v>126</v>
      </c>
      <c r="B128" s="176"/>
      <c r="C128" s="176"/>
      <c r="D128" s="176"/>
      <c r="E128" s="176" t="s">
        <v>703</v>
      </c>
      <c r="F128" s="186"/>
      <c r="G128" s="258"/>
      <c r="H128" s="227" t="s">
        <v>677</v>
      </c>
      <c r="I128" s="177"/>
      <c r="J128" s="178"/>
      <c r="K128" s="178"/>
      <c r="L128" s="179"/>
      <c r="M128" s="177"/>
      <c r="N128" s="178"/>
      <c r="O128" s="178"/>
      <c r="P128" s="180"/>
      <c r="Q128" s="180"/>
      <c r="R128" s="180" t="s">
        <v>61</v>
      </c>
      <c r="S128" s="180"/>
      <c r="T128" s="180"/>
      <c r="U128" s="184"/>
      <c r="V128" s="181"/>
      <c r="W128" s="182"/>
      <c r="X128" s="183"/>
      <c r="Y128" s="184"/>
      <c r="Z128" s="185" t="s">
        <v>678</v>
      </c>
    </row>
    <row r="129" spans="1:26" ht="11.4" x14ac:dyDescent="0.15">
      <c r="A129" s="175">
        <f t="shared" si="1"/>
        <v>127</v>
      </c>
      <c r="B129" s="176"/>
      <c r="C129" s="176"/>
      <c r="D129" s="176" t="s">
        <v>704</v>
      </c>
      <c r="E129" s="176" t="s">
        <v>705</v>
      </c>
      <c r="F129" s="186"/>
      <c r="G129" s="258"/>
      <c r="H129" s="227" t="s">
        <v>677</v>
      </c>
      <c r="I129" s="177"/>
      <c r="J129" s="178"/>
      <c r="K129" s="178"/>
      <c r="L129" s="179"/>
      <c r="M129" s="177"/>
      <c r="N129" s="178"/>
      <c r="O129" s="178"/>
      <c r="P129" s="180"/>
      <c r="Q129" s="180"/>
      <c r="R129" s="180" t="s">
        <v>61</v>
      </c>
      <c r="S129" s="180"/>
      <c r="T129" s="180"/>
      <c r="U129" s="184"/>
      <c r="V129" s="181"/>
      <c r="W129" s="182"/>
      <c r="X129" s="183"/>
      <c r="Y129" s="184"/>
      <c r="Z129" s="185" t="s">
        <v>678</v>
      </c>
    </row>
    <row r="130" spans="1:26" ht="11.4" x14ac:dyDescent="0.15">
      <c r="A130" s="175">
        <f t="shared" si="1"/>
        <v>128</v>
      </c>
      <c r="B130" s="176"/>
      <c r="C130" s="176"/>
      <c r="D130" s="176"/>
      <c r="E130" s="176" t="s">
        <v>706</v>
      </c>
      <c r="F130" s="186"/>
      <c r="G130" s="258"/>
      <c r="H130" s="227" t="s">
        <v>677</v>
      </c>
      <c r="I130" s="177"/>
      <c r="J130" s="178"/>
      <c r="K130" s="178"/>
      <c r="L130" s="179"/>
      <c r="M130" s="177"/>
      <c r="N130" s="178"/>
      <c r="O130" s="178"/>
      <c r="P130" s="180"/>
      <c r="Q130" s="180"/>
      <c r="R130" s="180" t="s">
        <v>61</v>
      </c>
      <c r="S130" s="180"/>
      <c r="T130" s="180"/>
      <c r="U130" s="184"/>
      <c r="V130" s="181"/>
      <c r="W130" s="182"/>
      <c r="X130" s="183"/>
      <c r="Y130" s="184"/>
      <c r="Z130" s="185" t="s">
        <v>678</v>
      </c>
    </row>
    <row r="131" spans="1:26" ht="11.4" x14ac:dyDescent="0.15">
      <c r="A131" s="175">
        <f t="shared" si="1"/>
        <v>129</v>
      </c>
      <c r="B131" s="176"/>
      <c r="C131" s="176"/>
      <c r="D131" s="176"/>
      <c r="E131" s="176" t="s">
        <v>707</v>
      </c>
      <c r="F131" s="186"/>
      <c r="G131" s="258"/>
      <c r="H131" s="227" t="s">
        <v>677</v>
      </c>
      <c r="I131" s="177"/>
      <c r="J131" s="178"/>
      <c r="K131" s="178"/>
      <c r="L131" s="179"/>
      <c r="M131" s="177"/>
      <c r="N131" s="178"/>
      <c r="O131" s="178"/>
      <c r="P131" s="180"/>
      <c r="Q131" s="180"/>
      <c r="R131" s="180" t="s">
        <v>61</v>
      </c>
      <c r="S131" s="180"/>
      <c r="T131" s="180"/>
      <c r="U131" s="184"/>
      <c r="V131" s="181"/>
      <c r="W131" s="182"/>
      <c r="X131" s="183"/>
      <c r="Y131" s="184"/>
      <c r="Z131" s="185" t="s">
        <v>678</v>
      </c>
    </row>
    <row r="132" spans="1:26" ht="11.4" x14ac:dyDescent="0.15">
      <c r="A132" s="175">
        <f t="shared" si="1"/>
        <v>130</v>
      </c>
      <c r="B132" s="176"/>
      <c r="C132" s="176"/>
      <c r="D132" s="176"/>
      <c r="E132" s="176" t="s">
        <v>708</v>
      </c>
      <c r="F132" s="186"/>
      <c r="G132" s="258"/>
      <c r="H132" s="227" t="s">
        <v>677</v>
      </c>
      <c r="I132" s="177"/>
      <c r="J132" s="178"/>
      <c r="K132" s="178"/>
      <c r="L132" s="179"/>
      <c r="M132" s="177"/>
      <c r="N132" s="178"/>
      <c r="O132" s="178"/>
      <c r="P132" s="180"/>
      <c r="Q132" s="180"/>
      <c r="R132" s="180" t="s">
        <v>61</v>
      </c>
      <c r="S132" s="180"/>
      <c r="T132" s="180"/>
      <c r="U132" s="184"/>
      <c r="V132" s="181"/>
      <c r="W132" s="182"/>
      <c r="X132" s="183"/>
      <c r="Y132" s="184"/>
      <c r="Z132" s="185" t="s">
        <v>678</v>
      </c>
    </row>
    <row r="133" spans="1:26" ht="11.4" x14ac:dyDescent="0.15">
      <c r="A133" s="175">
        <f t="shared" si="1"/>
        <v>131</v>
      </c>
      <c r="B133" s="176"/>
      <c r="C133" s="176"/>
      <c r="D133" s="176" t="s">
        <v>709</v>
      </c>
      <c r="E133" s="176" t="s">
        <v>710</v>
      </c>
      <c r="F133" s="186"/>
      <c r="G133" s="258"/>
      <c r="H133" s="227" t="s">
        <v>677</v>
      </c>
      <c r="I133" s="177"/>
      <c r="J133" s="178"/>
      <c r="K133" s="178"/>
      <c r="L133" s="179"/>
      <c r="M133" s="177"/>
      <c r="N133" s="178"/>
      <c r="O133" s="178"/>
      <c r="P133" s="180"/>
      <c r="Q133" s="180"/>
      <c r="R133" s="180" t="s">
        <v>61</v>
      </c>
      <c r="S133" s="180"/>
      <c r="T133" s="180"/>
      <c r="U133" s="184"/>
      <c r="V133" s="181"/>
      <c r="W133" s="182"/>
      <c r="X133" s="183"/>
      <c r="Y133" s="184"/>
      <c r="Z133" s="185" t="s">
        <v>678</v>
      </c>
    </row>
    <row r="134" spans="1:26" ht="11.4" x14ac:dyDescent="0.15">
      <c r="A134" s="175">
        <f t="shared" si="1"/>
        <v>132</v>
      </c>
      <c r="B134" s="176"/>
      <c r="C134" s="176"/>
      <c r="D134" s="176"/>
      <c r="E134" s="176" t="s">
        <v>711</v>
      </c>
      <c r="F134" s="186"/>
      <c r="G134" s="258"/>
      <c r="H134" s="227" t="s">
        <v>677</v>
      </c>
      <c r="I134" s="177"/>
      <c r="J134" s="178"/>
      <c r="K134" s="178"/>
      <c r="L134" s="179"/>
      <c r="M134" s="177"/>
      <c r="N134" s="178"/>
      <c r="O134" s="178"/>
      <c r="P134" s="180"/>
      <c r="Q134" s="180"/>
      <c r="R134" s="180" t="s">
        <v>61</v>
      </c>
      <c r="S134" s="180"/>
      <c r="T134" s="180"/>
      <c r="U134" s="184"/>
      <c r="V134" s="181"/>
      <c r="W134" s="182"/>
      <c r="X134" s="183"/>
      <c r="Y134" s="184"/>
      <c r="Z134" s="185" t="s">
        <v>678</v>
      </c>
    </row>
    <row r="135" spans="1:26" ht="11.4" x14ac:dyDescent="0.15">
      <c r="A135" s="175">
        <f t="shared" si="1"/>
        <v>133</v>
      </c>
      <c r="B135" s="176"/>
      <c r="C135" s="176"/>
      <c r="D135" s="176"/>
      <c r="E135" s="176" t="s">
        <v>712</v>
      </c>
      <c r="F135" s="186"/>
      <c r="G135" s="258"/>
      <c r="H135" s="227" t="s">
        <v>677</v>
      </c>
      <c r="I135" s="177"/>
      <c r="J135" s="178"/>
      <c r="K135" s="178"/>
      <c r="L135" s="179"/>
      <c r="M135" s="177"/>
      <c r="N135" s="178"/>
      <c r="O135" s="178"/>
      <c r="P135" s="180"/>
      <c r="Q135" s="180"/>
      <c r="R135" s="180" t="s">
        <v>61</v>
      </c>
      <c r="S135" s="180"/>
      <c r="T135" s="180"/>
      <c r="U135" s="184"/>
      <c r="V135" s="181"/>
      <c r="W135" s="182"/>
      <c r="X135" s="183"/>
      <c r="Y135" s="184"/>
      <c r="Z135" s="185" t="s">
        <v>678</v>
      </c>
    </row>
    <row r="136" spans="1:26" ht="11.4" x14ac:dyDescent="0.15">
      <c r="A136" s="175">
        <f t="shared" si="1"/>
        <v>134</v>
      </c>
      <c r="B136" s="176"/>
      <c r="C136" s="176"/>
      <c r="D136" s="176"/>
      <c r="E136" s="176" t="s">
        <v>713</v>
      </c>
      <c r="F136" s="186"/>
      <c r="G136" s="258"/>
      <c r="H136" s="227" t="s">
        <v>677</v>
      </c>
      <c r="I136" s="177"/>
      <c r="J136" s="178"/>
      <c r="K136" s="178"/>
      <c r="L136" s="179"/>
      <c r="M136" s="177"/>
      <c r="N136" s="178"/>
      <c r="O136" s="178"/>
      <c r="P136" s="180"/>
      <c r="Q136" s="180"/>
      <c r="R136" s="180" t="s">
        <v>61</v>
      </c>
      <c r="S136" s="180"/>
      <c r="T136" s="180"/>
      <c r="U136" s="184"/>
      <c r="V136" s="181"/>
      <c r="W136" s="182"/>
      <c r="X136" s="183"/>
      <c r="Y136" s="184"/>
      <c r="Z136" s="185" t="s">
        <v>678</v>
      </c>
    </row>
    <row r="137" spans="1:26" ht="11.4" x14ac:dyDescent="0.15">
      <c r="A137" s="175">
        <f t="shared" si="1"/>
        <v>135</v>
      </c>
      <c r="B137" s="176"/>
      <c r="C137" s="176"/>
      <c r="D137" s="176"/>
      <c r="E137" s="176" t="s">
        <v>714</v>
      </c>
      <c r="F137" s="186"/>
      <c r="G137" s="258"/>
      <c r="H137" s="227" t="s">
        <v>677</v>
      </c>
      <c r="I137" s="177"/>
      <c r="J137" s="178"/>
      <c r="K137" s="178"/>
      <c r="L137" s="179"/>
      <c r="M137" s="177"/>
      <c r="N137" s="178"/>
      <c r="O137" s="178"/>
      <c r="P137" s="180"/>
      <c r="Q137" s="180"/>
      <c r="R137" s="180" t="s">
        <v>61</v>
      </c>
      <c r="S137" s="180"/>
      <c r="T137" s="180"/>
      <c r="U137" s="184"/>
      <c r="V137" s="181"/>
      <c r="W137" s="182"/>
      <c r="X137" s="183"/>
      <c r="Y137" s="184"/>
      <c r="Z137" s="185" t="s">
        <v>678</v>
      </c>
    </row>
    <row r="138" spans="1:26" ht="11.4" x14ac:dyDescent="0.15">
      <c r="A138" s="175">
        <f t="shared" si="1"/>
        <v>136</v>
      </c>
      <c r="B138" s="176"/>
      <c r="C138" s="176"/>
      <c r="D138" s="176"/>
      <c r="E138" s="176" t="s">
        <v>715</v>
      </c>
      <c r="F138" s="186"/>
      <c r="G138" s="258"/>
      <c r="H138" s="227" t="s">
        <v>677</v>
      </c>
      <c r="I138" s="177"/>
      <c r="J138" s="178"/>
      <c r="K138" s="178"/>
      <c r="L138" s="179"/>
      <c r="M138" s="177"/>
      <c r="N138" s="178"/>
      <c r="O138" s="178"/>
      <c r="P138" s="180"/>
      <c r="Q138" s="180"/>
      <c r="R138" s="180" t="s">
        <v>61</v>
      </c>
      <c r="S138" s="180"/>
      <c r="T138" s="180"/>
      <c r="U138" s="184"/>
      <c r="V138" s="181"/>
      <c r="W138" s="182"/>
      <c r="X138" s="183"/>
      <c r="Y138" s="184"/>
      <c r="Z138" s="185" t="s">
        <v>678</v>
      </c>
    </row>
    <row r="139" spans="1:26" ht="11.4" x14ac:dyDescent="0.15">
      <c r="A139" s="175">
        <f t="shared" si="1"/>
        <v>137</v>
      </c>
      <c r="B139" s="176"/>
      <c r="C139" s="176"/>
      <c r="D139" s="176"/>
      <c r="E139" s="176" t="s">
        <v>716</v>
      </c>
      <c r="F139" s="186"/>
      <c r="G139" s="258"/>
      <c r="H139" s="227" t="s">
        <v>677</v>
      </c>
      <c r="I139" s="177"/>
      <c r="J139" s="178"/>
      <c r="K139" s="178"/>
      <c r="L139" s="179"/>
      <c r="M139" s="177"/>
      <c r="N139" s="178"/>
      <c r="O139" s="178"/>
      <c r="P139" s="180"/>
      <c r="Q139" s="180"/>
      <c r="R139" s="180" t="s">
        <v>61</v>
      </c>
      <c r="S139" s="180"/>
      <c r="T139" s="180"/>
      <c r="U139" s="184"/>
      <c r="V139" s="181"/>
      <c r="W139" s="182"/>
      <c r="X139" s="183"/>
      <c r="Y139" s="184"/>
      <c r="Z139" s="185" t="s">
        <v>678</v>
      </c>
    </row>
    <row r="140" spans="1:26" ht="11.4" x14ac:dyDescent="0.15">
      <c r="A140" s="175">
        <f t="shared" si="1"/>
        <v>138</v>
      </c>
      <c r="B140" s="176"/>
      <c r="C140" s="176"/>
      <c r="D140" s="176"/>
      <c r="E140" s="176" t="s">
        <v>717</v>
      </c>
      <c r="F140" s="186"/>
      <c r="G140" s="258"/>
      <c r="H140" s="227" t="s">
        <v>677</v>
      </c>
      <c r="I140" s="177"/>
      <c r="J140" s="178"/>
      <c r="K140" s="178"/>
      <c r="L140" s="179"/>
      <c r="M140" s="177"/>
      <c r="N140" s="178"/>
      <c r="O140" s="178"/>
      <c r="P140" s="180"/>
      <c r="Q140" s="180"/>
      <c r="R140" s="180" t="s">
        <v>61</v>
      </c>
      <c r="S140" s="180"/>
      <c r="T140" s="180"/>
      <c r="U140" s="184"/>
      <c r="V140" s="181"/>
      <c r="W140" s="182"/>
      <c r="X140" s="183"/>
      <c r="Y140" s="184"/>
      <c r="Z140" s="185" t="s">
        <v>678</v>
      </c>
    </row>
    <row r="141" spans="1:26" ht="11.4" x14ac:dyDescent="0.15">
      <c r="A141" s="175">
        <f t="shared" si="1"/>
        <v>139</v>
      </c>
      <c r="B141" s="176"/>
      <c r="C141" s="176"/>
      <c r="D141" s="176"/>
      <c r="E141" s="176" t="s">
        <v>718</v>
      </c>
      <c r="F141" s="186"/>
      <c r="G141" s="258"/>
      <c r="H141" s="227" t="s">
        <v>677</v>
      </c>
      <c r="I141" s="177"/>
      <c r="J141" s="178"/>
      <c r="K141" s="178"/>
      <c r="L141" s="179"/>
      <c r="M141" s="177"/>
      <c r="N141" s="178"/>
      <c r="O141" s="178"/>
      <c r="P141" s="180"/>
      <c r="Q141" s="180"/>
      <c r="R141" s="180" t="s">
        <v>61</v>
      </c>
      <c r="S141" s="180"/>
      <c r="T141" s="180"/>
      <c r="U141" s="184"/>
      <c r="V141" s="181"/>
      <c r="W141" s="182"/>
      <c r="X141" s="183"/>
      <c r="Y141" s="184"/>
      <c r="Z141" s="185" t="s">
        <v>678</v>
      </c>
    </row>
    <row r="142" spans="1:26" ht="11.4" x14ac:dyDescent="0.15">
      <c r="A142" s="175">
        <f t="shared" si="1"/>
        <v>140</v>
      </c>
      <c r="B142" s="176"/>
      <c r="C142" s="176"/>
      <c r="D142" s="176"/>
      <c r="E142" s="176" t="s">
        <v>719</v>
      </c>
      <c r="F142" s="186"/>
      <c r="G142" s="258"/>
      <c r="H142" s="227" t="s">
        <v>677</v>
      </c>
      <c r="I142" s="177"/>
      <c r="J142" s="178"/>
      <c r="K142" s="178"/>
      <c r="L142" s="179"/>
      <c r="M142" s="177"/>
      <c r="N142" s="178"/>
      <c r="O142" s="178"/>
      <c r="P142" s="180"/>
      <c r="Q142" s="180"/>
      <c r="R142" s="180" t="s">
        <v>61</v>
      </c>
      <c r="S142" s="180"/>
      <c r="T142" s="180"/>
      <c r="U142" s="184"/>
      <c r="V142" s="181"/>
      <c r="W142" s="182"/>
      <c r="X142" s="183"/>
      <c r="Y142" s="184"/>
      <c r="Z142" s="185" t="s">
        <v>678</v>
      </c>
    </row>
    <row r="143" spans="1:26" ht="11.4" x14ac:dyDescent="0.15">
      <c r="A143" s="175">
        <f t="shared" si="1"/>
        <v>141</v>
      </c>
      <c r="B143" s="176"/>
      <c r="C143" s="176"/>
      <c r="D143" s="176"/>
      <c r="E143" s="176" t="s">
        <v>720</v>
      </c>
      <c r="F143" s="186"/>
      <c r="G143" s="258"/>
      <c r="H143" s="227" t="s">
        <v>677</v>
      </c>
      <c r="I143" s="177"/>
      <c r="J143" s="178"/>
      <c r="K143" s="178"/>
      <c r="L143" s="179"/>
      <c r="M143" s="177"/>
      <c r="N143" s="178"/>
      <c r="O143" s="178"/>
      <c r="P143" s="180"/>
      <c r="Q143" s="180"/>
      <c r="R143" s="180" t="s">
        <v>61</v>
      </c>
      <c r="S143" s="180"/>
      <c r="T143" s="180"/>
      <c r="U143" s="184"/>
      <c r="V143" s="181"/>
      <c r="W143" s="182"/>
      <c r="X143" s="183"/>
      <c r="Y143" s="184"/>
      <c r="Z143" s="185" t="s">
        <v>678</v>
      </c>
    </row>
    <row r="144" spans="1:26" ht="11.4" x14ac:dyDescent="0.15">
      <c r="A144" s="175">
        <f t="shared" si="1"/>
        <v>142</v>
      </c>
      <c r="B144" s="176"/>
      <c r="C144" s="176"/>
      <c r="D144" s="176"/>
      <c r="E144" s="176" t="s">
        <v>721</v>
      </c>
      <c r="F144" s="186"/>
      <c r="G144" s="258"/>
      <c r="H144" s="227" t="s">
        <v>677</v>
      </c>
      <c r="I144" s="177"/>
      <c r="J144" s="178"/>
      <c r="K144" s="178"/>
      <c r="L144" s="179"/>
      <c r="M144" s="177"/>
      <c r="N144" s="178"/>
      <c r="O144" s="178"/>
      <c r="P144" s="180"/>
      <c r="Q144" s="180"/>
      <c r="R144" s="180" t="s">
        <v>61</v>
      </c>
      <c r="S144" s="180"/>
      <c r="T144" s="180"/>
      <c r="U144" s="184"/>
      <c r="V144" s="181"/>
      <c r="W144" s="182"/>
      <c r="X144" s="183"/>
      <c r="Y144" s="184"/>
      <c r="Z144" s="185" t="s">
        <v>678</v>
      </c>
    </row>
    <row r="145" spans="1:26" ht="11.4" x14ac:dyDescent="0.15">
      <c r="A145" s="175">
        <f t="shared" si="1"/>
        <v>143</v>
      </c>
      <c r="B145" s="176"/>
      <c r="C145" s="176"/>
      <c r="D145" s="176"/>
      <c r="E145" s="176" t="s">
        <v>722</v>
      </c>
      <c r="F145" s="186"/>
      <c r="G145" s="258"/>
      <c r="H145" s="227" t="s">
        <v>677</v>
      </c>
      <c r="I145" s="177"/>
      <c r="J145" s="178"/>
      <c r="K145" s="178"/>
      <c r="L145" s="179"/>
      <c r="M145" s="177"/>
      <c r="N145" s="178"/>
      <c r="O145" s="178"/>
      <c r="P145" s="180"/>
      <c r="Q145" s="180"/>
      <c r="R145" s="180" t="s">
        <v>61</v>
      </c>
      <c r="S145" s="180"/>
      <c r="T145" s="180"/>
      <c r="U145" s="184"/>
      <c r="V145" s="181"/>
      <c r="W145" s="182"/>
      <c r="X145" s="183"/>
      <c r="Y145" s="184"/>
      <c r="Z145" s="185" t="s">
        <v>678</v>
      </c>
    </row>
    <row r="146" spans="1:26" ht="11.4" x14ac:dyDescent="0.15">
      <c r="A146" s="175">
        <f t="shared" si="1"/>
        <v>144</v>
      </c>
      <c r="B146" s="176"/>
      <c r="C146" s="176"/>
      <c r="D146" s="176" t="s">
        <v>723</v>
      </c>
      <c r="E146" s="176" t="s">
        <v>724</v>
      </c>
      <c r="F146" s="186"/>
      <c r="G146" s="258"/>
      <c r="H146" s="227" t="s">
        <v>677</v>
      </c>
      <c r="I146" s="177"/>
      <c r="J146" s="178"/>
      <c r="K146" s="178"/>
      <c r="L146" s="179"/>
      <c r="M146" s="177"/>
      <c r="N146" s="178"/>
      <c r="O146" s="178"/>
      <c r="P146" s="180"/>
      <c r="Q146" s="180"/>
      <c r="R146" s="180" t="s">
        <v>61</v>
      </c>
      <c r="S146" s="180"/>
      <c r="T146" s="180"/>
      <c r="U146" s="184"/>
      <c r="V146" s="181"/>
      <c r="W146" s="182"/>
      <c r="X146" s="183"/>
      <c r="Y146" s="184"/>
      <c r="Z146" s="185" t="s">
        <v>678</v>
      </c>
    </row>
    <row r="147" spans="1:26" ht="11.4" x14ac:dyDescent="0.15">
      <c r="A147" s="175">
        <f t="shared" si="1"/>
        <v>145</v>
      </c>
      <c r="B147" s="176"/>
      <c r="C147" s="176"/>
      <c r="D147" s="176"/>
      <c r="E147" s="176" t="s">
        <v>725</v>
      </c>
      <c r="F147" s="186"/>
      <c r="G147" s="258"/>
      <c r="H147" s="227" t="s">
        <v>677</v>
      </c>
      <c r="I147" s="177"/>
      <c r="J147" s="178"/>
      <c r="K147" s="178"/>
      <c r="L147" s="179"/>
      <c r="M147" s="177"/>
      <c r="N147" s="178"/>
      <c r="O147" s="178"/>
      <c r="P147" s="180"/>
      <c r="Q147" s="180"/>
      <c r="R147" s="180" t="s">
        <v>61</v>
      </c>
      <c r="S147" s="180"/>
      <c r="T147" s="180"/>
      <c r="U147" s="184"/>
      <c r="V147" s="181"/>
      <c r="W147" s="182"/>
      <c r="X147" s="183"/>
      <c r="Y147" s="184"/>
      <c r="Z147" s="185" t="s">
        <v>678</v>
      </c>
    </row>
    <row r="148" spans="1:26" ht="11.4" x14ac:dyDescent="0.15">
      <c r="A148" s="175">
        <f t="shared" si="1"/>
        <v>146</v>
      </c>
      <c r="B148" s="176"/>
      <c r="C148" s="176"/>
      <c r="D148" s="176"/>
      <c r="E148" s="176" t="s">
        <v>726</v>
      </c>
      <c r="F148" s="186"/>
      <c r="G148" s="258"/>
      <c r="H148" s="227" t="s">
        <v>677</v>
      </c>
      <c r="I148" s="177"/>
      <c r="J148" s="178"/>
      <c r="K148" s="178"/>
      <c r="L148" s="179"/>
      <c r="M148" s="177"/>
      <c r="N148" s="178"/>
      <c r="O148" s="178"/>
      <c r="P148" s="180"/>
      <c r="Q148" s="180"/>
      <c r="R148" s="180" t="s">
        <v>61</v>
      </c>
      <c r="S148" s="180"/>
      <c r="T148" s="180"/>
      <c r="U148" s="184"/>
      <c r="V148" s="181"/>
      <c r="W148" s="182"/>
      <c r="X148" s="183"/>
      <c r="Y148" s="184"/>
      <c r="Z148" s="185" t="s">
        <v>678</v>
      </c>
    </row>
    <row r="149" spans="1:26" ht="11.4" x14ac:dyDescent="0.15">
      <c r="A149" s="175">
        <f t="shared" si="1"/>
        <v>147</v>
      </c>
      <c r="B149" s="176"/>
      <c r="C149" s="176"/>
      <c r="D149" s="176"/>
      <c r="E149" s="176" t="s">
        <v>727</v>
      </c>
      <c r="F149" s="186"/>
      <c r="G149" s="258"/>
      <c r="H149" s="227" t="s">
        <v>677</v>
      </c>
      <c r="I149" s="177"/>
      <c r="J149" s="178"/>
      <c r="K149" s="178"/>
      <c r="L149" s="179"/>
      <c r="M149" s="177"/>
      <c r="N149" s="178"/>
      <c r="O149" s="178"/>
      <c r="P149" s="180"/>
      <c r="Q149" s="180"/>
      <c r="R149" s="180" t="s">
        <v>61</v>
      </c>
      <c r="S149" s="180"/>
      <c r="T149" s="180"/>
      <c r="U149" s="184"/>
      <c r="V149" s="181"/>
      <c r="W149" s="182"/>
      <c r="X149" s="183"/>
      <c r="Y149" s="184"/>
      <c r="Z149" s="185" t="s">
        <v>678</v>
      </c>
    </row>
    <row r="150" spans="1:26" ht="11.4" x14ac:dyDescent="0.15">
      <c r="A150" s="175">
        <f t="shared" si="1"/>
        <v>148</v>
      </c>
      <c r="B150" s="176"/>
      <c r="C150" s="176"/>
      <c r="D150" s="176"/>
      <c r="E150" s="176" t="s">
        <v>728</v>
      </c>
      <c r="F150" s="186"/>
      <c r="G150" s="258"/>
      <c r="H150" s="227" t="s">
        <v>677</v>
      </c>
      <c r="I150" s="177"/>
      <c r="J150" s="178"/>
      <c r="K150" s="178"/>
      <c r="L150" s="179"/>
      <c r="M150" s="177"/>
      <c r="N150" s="178"/>
      <c r="O150" s="178"/>
      <c r="P150" s="180"/>
      <c r="Q150" s="180"/>
      <c r="R150" s="180" t="s">
        <v>61</v>
      </c>
      <c r="S150" s="180"/>
      <c r="T150" s="180"/>
      <c r="U150" s="184"/>
      <c r="V150" s="181"/>
      <c r="W150" s="182"/>
      <c r="X150" s="183"/>
      <c r="Y150" s="184"/>
      <c r="Z150" s="185" t="s">
        <v>678</v>
      </c>
    </row>
    <row r="151" spans="1:26" ht="11.4" x14ac:dyDescent="0.15">
      <c r="A151" s="175">
        <f t="shared" si="1"/>
        <v>149</v>
      </c>
      <c r="B151" s="176"/>
      <c r="C151" s="176"/>
      <c r="D151" s="176"/>
      <c r="E151" s="176" t="s">
        <v>729</v>
      </c>
      <c r="F151" s="186"/>
      <c r="G151" s="258"/>
      <c r="H151" s="227" t="s">
        <v>677</v>
      </c>
      <c r="I151" s="177"/>
      <c r="J151" s="178"/>
      <c r="K151" s="178"/>
      <c r="L151" s="179"/>
      <c r="M151" s="177"/>
      <c r="N151" s="178"/>
      <c r="O151" s="178"/>
      <c r="P151" s="180"/>
      <c r="Q151" s="180"/>
      <c r="R151" s="180" t="s">
        <v>61</v>
      </c>
      <c r="S151" s="180"/>
      <c r="T151" s="180"/>
      <c r="U151" s="184"/>
      <c r="V151" s="181"/>
      <c r="W151" s="182"/>
      <c r="X151" s="183"/>
      <c r="Y151" s="184"/>
      <c r="Z151" s="185" t="s">
        <v>678</v>
      </c>
    </row>
    <row r="152" spans="1:26" ht="11.4" x14ac:dyDescent="0.15">
      <c r="A152" s="175">
        <f t="shared" si="1"/>
        <v>150</v>
      </c>
      <c r="B152" s="176"/>
      <c r="C152" s="176"/>
      <c r="D152" s="176"/>
      <c r="E152" s="176" t="s">
        <v>730</v>
      </c>
      <c r="F152" s="186"/>
      <c r="G152" s="258"/>
      <c r="H152" s="227" t="s">
        <v>677</v>
      </c>
      <c r="I152" s="177"/>
      <c r="J152" s="178"/>
      <c r="K152" s="178"/>
      <c r="L152" s="179"/>
      <c r="M152" s="177"/>
      <c r="N152" s="178"/>
      <c r="O152" s="178"/>
      <c r="P152" s="180"/>
      <c r="Q152" s="180"/>
      <c r="R152" s="180" t="s">
        <v>61</v>
      </c>
      <c r="S152" s="180"/>
      <c r="T152" s="180"/>
      <c r="U152" s="184"/>
      <c r="V152" s="181"/>
      <c r="W152" s="182"/>
      <c r="X152" s="183"/>
      <c r="Y152" s="184"/>
      <c r="Z152" s="185" t="s">
        <v>678</v>
      </c>
    </row>
    <row r="153" spans="1:26" ht="11.4" x14ac:dyDescent="0.15">
      <c r="A153" s="175">
        <f t="shared" si="1"/>
        <v>151</v>
      </c>
      <c r="B153" s="176"/>
      <c r="C153" s="176"/>
      <c r="D153" s="176"/>
      <c r="E153" s="176" t="s">
        <v>731</v>
      </c>
      <c r="F153" s="186"/>
      <c r="G153" s="258"/>
      <c r="H153" s="227" t="s">
        <v>677</v>
      </c>
      <c r="I153" s="177"/>
      <c r="J153" s="178"/>
      <c r="K153" s="178"/>
      <c r="L153" s="179"/>
      <c r="M153" s="177"/>
      <c r="N153" s="178"/>
      <c r="O153" s="178"/>
      <c r="P153" s="180"/>
      <c r="Q153" s="180"/>
      <c r="R153" s="180" t="s">
        <v>61</v>
      </c>
      <c r="S153" s="180"/>
      <c r="T153" s="180"/>
      <c r="U153" s="184"/>
      <c r="V153" s="181"/>
      <c r="W153" s="182"/>
      <c r="X153" s="183"/>
      <c r="Y153" s="184"/>
      <c r="Z153" s="185" t="s">
        <v>678</v>
      </c>
    </row>
    <row r="154" spans="1:26" ht="11.4" x14ac:dyDescent="0.15">
      <c r="A154" s="175">
        <f t="shared" si="1"/>
        <v>152</v>
      </c>
      <c r="B154" s="176"/>
      <c r="C154" s="176"/>
      <c r="D154" s="176"/>
      <c r="E154" s="176" t="s">
        <v>732</v>
      </c>
      <c r="F154" s="186"/>
      <c r="G154" s="258"/>
      <c r="H154" s="227" t="s">
        <v>677</v>
      </c>
      <c r="I154" s="177"/>
      <c r="J154" s="178"/>
      <c r="K154" s="178"/>
      <c r="L154" s="179"/>
      <c r="M154" s="177"/>
      <c r="N154" s="178"/>
      <c r="O154" s="178"/>
      <c r="P154" s="180"/>
      <c r="Q154" s="180"/>
      <c r="R154" s="180" t="s">
        <v>61</v>
      </c>
      <c r="S154" s="180"/>
      <c r="T154" s="180"/>
      <c r="U154" s="184"/>
      <c r="V154" s="181"/>
      <c r="W154" s="182"/>
      <c r="X154" s="183"/>
      <c r="Y154" s="184"/>
      <c r="Z154" s="185" t="s">
        <v>678</v>
      </c>
    </row>
    <row r="155" spans="1:26" ht="11.4" x14ac:dyDescent="0.15">
      <c r="A155" s="175">
        <f t="shared" si="1"/>
        <v>153</v>
      </c>
      <c r="B155" s="176"/>
      <c r="C155" s="176"/>
      <c r="D155" s="176"/>
      <c r="E155" s="176" t="s">
        <v>733</v>
      </c>
      <c r="F155" s="186"/>
      <c r="G155" s="258"/>
      <c r="H155" s="227" t="s">
        <v>677</v>
      </c>
      <c r="I155" s="177"/>
      <c r="J155" s="178"/>
      <c r="K155" s="178"/>
      <c r="L155" s="179"/>
      <c r="M155" s="177"/>
      <c r="N155" s="178"/>
      <c r="O155" s="178"/>
      <c r="P155" s="180"/>
      <c r="Q155" s="180"/>
      <c r="R155" s="180" t="s">
        <v>61</v>
      </c>
      <c r="S155" s="180"/>
      <c r="T155" s="180"/>
      <c r="U155" s="184"/>
      <c r="V155" s="181"/>
      <c r="W155" s="182"/>
      <c r="X155" s="183"/>
      <c r="Y155" s="184"/>
      <c r="Z155" s="185" t="s">
        <v>678</v>
      </c>
    </row>
    <row r="156" spans="1:26" ht="11.4" x14ac:dyDescent="0.15">
      <c r="A156" s="175">
        <f t="shared" si="1"/>
        <v>154</v>
      </c>
      <c r="B156" s="176"/>
      <c r="C156" s="176"/>
      <c r="D156" s="176"/>
      <c r="E156" s="176" t="s">
        <v>734</v>
      </c>
      <c r="F156" s="186"/>
      <c r="G156" s="258"/>
      <c r="H156" s="227" t="s">
        <v>677</v>
      </c>
      <c r="I156" s="177"/>
      <c r="J156" s="178"/>
      <c r="K156" s="178"/>
      <c r="L156" s="179"/>
      <c r="M156" s="177"/>
      <c r="N156" s="178"/>
      <c r="O156" s="178"/>
      <c r="P156" s="180"/>
      <c r="Q156" s="180"/>
      <c r="R156" s="180" t="s">
        <v>61</v>
      </c>
      <c r="S156" s="180"/>
      <c r="T156" s="180"/>
      <c r="U156" s="184"/>
      <c r="V156" s="181"/>
      <c r="W156" s="182"/>
      <c r="X156" s="183"/>
      <c r="Y156" s="184"/>
      <c r="Z156" s="185" t="s">
        <v>678</v>
      </c>
    </row>
    <row r="157" spans="1:26" ht="11.4" x14ac:dyDescent="0.15">
      <c r="A157" s="175">
        <f t="shared" si="1"/>
        <v>155</v>
      </c>
      <c r="B157" s="176"/>
      <c r="C157" s="176"/>
      <c r="D157" s="176"/>
      <c r="E157" s="176" t="s">
        <v>735</v>
      </c>
      <c r="F157" s="186"/>
      <c r="G157" s="258"/>
      <c r="H157" s="227" t="s">
        <v>677</v>
      </c>
      <c r="I157" s="177"/>
      <c r="J157" s="178"/>
      <c r="K157" s="178"/>
      <c r="L157" s="179"/>
      <c r="M157" s="177"/>
      <c r="N157" s="178"/>
      <c r="O157" s="178"/>
      <c r="P157" s="180"/>
      <c r="Q157" s="180"/>
      <c r="R157" s="180" t="s">
        <v>61</v>
      </c>
      <c r="S157" s="180"/>
      <c r="T157" s="180"/>
      <c r="U157" s="184"/>
      <c r="V157" s="181"/>
      <c r="W157" s="182"/>
      <c r="X157" s="183"/>
      <c r="Y157" s="184"/>
      <c r="Z157" s="185" t="s">
        <v>678</v>
      </c>
    </row>
    <row r="158" spans="1:26" ht="11.4" x14ac:dyDescent="0.15">
      <c r="A158" s="175">
        <f t="shared" si="1"/>
        <v>156</v>
      </c>
      <c r="B158" s="176"/>
      <c r="C158" s="176"/>
      <c r="D158" s="176"/>
      <c r="E158" s="176" t="s">
        <v>736</v>
      </c>
      <c r="F158" s="186"/>
      <c r="G158" s="258"/>
      <c r="H158" s="227" t="s">
        <v>677</v>
      </c>
      <c r="I158" s="177"/>
      <c r="J158" s="178"/>
      <c r="K158" s="178"/>
      <c r="L158" s="179"/>
      <c r="M158" s="177"/>
      <c r="N158" s="178"/>
      <c r="O158" s="178"/>
      <c r="P158" s="180"/>
      <c r="Q158" s="180"/>
      <c r="R158" s="180" t="s">
        <v>61</v>
      </c>
      <c r="S158" s="180"/>
      <c r="T158" s="180"/>
      <c r="U158" s="184"/>
      <c r="V158" s="181"/>
      <c r="W158" s="182"/>
      <c r="X158" s="183"/>
      <c r="Y158" s="184"/>
      <c r="Z158" s="185" t="s">
        <v>678</v>
      </c>
    </row>
    <row r="159" spans="1:26" ht="11.4" x14ac:dyDescent="0.15">
      <c r="A159" s="175">
        <f t="shared" si="1"/>
        <v>157</v>
      </c>
      <c r="B159" s="176"/>
      <c r="C159" s="176"/>
      <c r="D159" s="176"/>
      <c r="E159" s="176" t="s">
        <v>737</v>
      </c>
      <c r="F159" s="186"/>
      <c r="G159" s="258"/>
      <c r="H159" s="227" t="s">
        <v>677</v>
      </c>
      <c r="I159" s="177"/>
      <c r="J159" s="178"/>
      <c r="K159" s="178"/>
      <c r="L159" s="179"/>
      <c r="M159" s="177"/>
      <c r="N159" s="178"/>
      <c r="O159" s="178"/>
      <c r="P159" s="180"/>
      <c r="Q159" s="180"/>
      <c r="R159" s="180" t="s">
        <v>61</v>
      </c>
      <c r="S159" s="180"/>
      <c r="T159" s="180"/>
      <c r="U159" s="184"/>
      <c r="V159" s="181"/>
      <c r="W159" s="182"/>
      <c r="X159" s="183"/>
      <c r="Y159" s="184"/>
      <c r="Z159" s="185" t="s">
        <v>678</v>
      </c>
    </row>
    <row r="160" spans="1:26" ht="11.4" x14ac:dyDescent="0.15">
      <c r="A160" s="175">
        <f t="shared" si="1"/>
        <v>158</v>
      </c>
      <c r="B160" s="176"/>
      <c r="C160" s="176"/>
      <c r="D160" s="176"/>
      <c r="E160" s="176" t="s">
        <v>738</v>
      </c>
      <c r="F160" s="186"/>
      <c r="G160" s="258"/>
      <c r="H160" s="227" t="s">
        <v>677</v>
      </c>
      <c r="I160" s="177"/>
      <c r="J160" s="178"/>
      <c r="K160" s="178"/>
      <c r="L160" s="179"/>
      <c r="M160" s="177"/>
      <c r="N160" s="178"/>
      <c r="O160" s="178"/>
      <c r="P160" s="180"/>
      <c r="Q160" s="180"/>
      <c r="R160" s="180" t="s">
        <v>61</v>
      </c>
      <c r="S160" s="180"/>
      <c r="T160" s="180"/>
      <c r="U160" s="184"/>
      <c r="V160" s="181"/>
      <c r="W160" s="182"/>
      <c r="X160" s="183"/>
      <c r="Y160" s="184"/>
      <c r="Z160" s="185" t="s">
        <v>678</v>
      </c>
    </row>
    <row r="161" spans="1:26" ht="11.4" x14ac:dyDescent="0.15">
      <c r="A161" s="175">
        <f t="shared" si="1"/>
        <v>159</v>
      </c>
      <c r="B161" s="176"/>
      <c r="C161" s="176"/>
      <c r="D161" s="176"/>
      <c r="E161" s="176" t="s">
        <v>739</v>
      </c>
      <c r="F161" s="186"/>
      <c r="G161" s="258"/>
      <c r="H161" s="227" t="s">
        <v>677</v>
      </c>
      <c r="I161" s="177"/>
      <c r="J161" s="178"/>
      <c r="K161" s="178"/>
      <c r="L161" s="179"/>
      <c r="M161" s="177"/>
      <c r="N161" s="178"/>
      <c r="O161" s="178"/>
      <c r="P161" s="180"/>
      <c r="Q161" s="180"/>
      <c r="R161" s="180" t="s">
        <v>61</v>
      </c>
      <c r="S161" s="180"/>
      <c r="T161" s="180"/>
      <c r="U161" s="184"/>
      <c r="V161" s="181"/>
      <c r="W161" s="182"/>
      <c r="X161" s="183"/>
      <c r="Y161" s="184"/>
      <c r="Z161" s="185" t="s">
        <v>678</v>
      </c>
    </row>
    <row r="162" spans="1:26" ht="11.4" x14ac:dyDescent="0.15">
      <c r="A162" s="175">
        <f t="shared" si="1"/>
        <v>160</v>
      </c>
      <c r="B162" s="176"/>
      <c r="C162" s="176"/>
      <c r="D162" s="176"/>
      <c r="E162" s="176" t="s">
        <v>740</v>
      </c>
      <c r="F162" s="186"/>
      <c r="G162" s="258"/>
      <c r="H162" s="227" t="s">
        <v>677</v>
      </c>
      <c r="I162" s="177"/>
      <c r="J162" s="178"/>
      <c r="K162" s="178"/>
      <c r="L162" s="179"/>
      <c r="M162" s="177"/>
      <c r="N162" s="178"/>
      <c r="O162" s="178"/>
      <c r="P162" s="180"/>
      <c r="Q162" s="180"/>
      <c r="R162" s="180" t="s">
        <v>61</v>
      </c>
      <c r="S162" s="180"/>
      <c r="T162" s="180"/>
      <c r="U162" s="184"/>
      <c r="V162" s="181"/>
      <c r="W162" s="182"/>
      <c r="X162" s="183"/>
      <c r="Y162" s="184"/>
      <c r="Z162" s="185" t="s">
        <v>678</v>
      </c>
    </row>
    <row r="163" spans="1:26" ht="11.4" x14ac:dyDescent="0.15">
      <c r="A163" s="175">
        <f t="shared" si="1"/>
        <v>161</v>
      </c>
      <c r="B163" s="176"/>
      <c r="C163" s="176"/>
      <c r="D163" s="176"/>
      <c r="E163" s="176" t="s">
        <v>741</v>
      </c>
      <c r="F163" s="186"/>
      <c r="G163" s="258"/>
      <c r="H163" s="227" t="s">
        <v>677</v>
      </c>
      <c r="I163" s="177"/>
      <c r="J163" s="178"/>
      <c r="K163" s="178"/>
      <c r="L163" s="179"/>
      <c r="M163" s="177"/>
      <c r="N163" s="178"/>
      <c r="O163" s="178"/>
      <c r="P163" s="180"/>
      <c r="Q163" s="180"/>
      <c r="R163" s="180" t="s">
        <v>61</v>
      </c>
      <c r="S163" s="180"/>
      <c r="T163" s="180"/>
      <c r="U163" s="184"/>
      <c r="V163" s="181"/>
      <c r="W163" s="182"/>
      <c r="X163" s="183"/>
      <c r="Y163" s="184"/>
      <c r="Z163" s="185" t="s">
        <v>678</v>
      </c>
    </row>
    <row r="164" spans="1:26" ht="11.4" x14ac:dyDescent="0.15">
      <c r="A164" s="175">
        <f t="shared" si="1"/>
        <v>162</v>
      </c>
      <c r="B164" s="176"/>
      <c r="C164" s="176"/>
      <c r="D164" s="176"/>
      <c r="E164" s="176" t="s">
        <v>742</v>
      </c>
      <c r="F164" s="186"/>
      <c r="G164" s="258"/>
      <c r="H164" s="227" t="s">
        <v>677</v>
      </c>
      <c r="I164" s="177"/>
      <c r="J164" s="178"/>
      <c r="K164" s="178"/>
      <c r="L164" s="179"/>
      <c r="M164" s="177"/>
      <c r="N164" s="178"/>
      <c r="O164" s="178"/>
      <c r="P164" s="180"/>
      <c r="Q164" s="180"/>
      <c r="R164" s="180" t="s">
        <v>61</v>
      </c>
      <c r="S164" s="180"/>
      <c r="T164" s="180"/>
      <c r="U164" s="184"/>
      <c r="V164" s="181"/>
      <c r="W164" s="182"/>
      <c r="X164" s="183"/>
      <c r="Y164" s="184"/>
      <c r="Z164" s="185" t="s">
        <v>678</v>
      </c>
    </row>
    <row r="165" spans="1:26" ht="11.4" x14ac:dyDescent="0.15">
      <c r="A165" s="175">
        <f t="shared" si="1"/>
        <v>163</v>
      </c>
      <c r="B165" s="176"/>
      <c r="C165" s="176"/>
      <c r="D165" s="176"/>
      <c r="E165" s="176" t="s">
        <v>743</v>
      </c>
      <c r="F165" s="186"/>
      <c r="G165" s="258"/>
      <c r="H165" s="227" t="s">
        <v>677</v>
      </c>
      <c r="I165" s="177"/>
      <c r="J165" s="178"/>
      <c r="K165" s="178"/>
      <c r="L165" s="179"/>
      <c r="M165" s="177"/>
      <c r="N165" s="178"/>
      <c r="O165" s="178"/>
      <c r="P165" s="180"/>
      <c r="Q165" s="180"/>
      <c r="R165" s="180" t="s">
        <v>61</v>
      </c>
      <c r="S165" s="180"/>
      <c r="T165" s="180"/>
      <c r="U165" s="184"/>
      <c r="V165" s="181"/>
      <c r="W165" s="182"/>
      <c r="X165" s="183"/>
      <c r="Y165" s="184"/>
      <c r="Z165" s="185" t="s">
        <v>678</v>
      </c>
    </row>
    <row r="166" spans="1:26" ht="11.4" x14ac:dyDescent="0.15">
      <c r="A166" s="175">
        <f t="shared" si="1"/>
        <v>164</v>
      </c>
      <c r="B166" s="176"/>
      <c r="C166" s="176"/>
      <c r="D166" s="176"/>
      <c r="E166" s="176" t="s">
        <v>744</v>
      </c>
      <c r="F166" s="186"/>
      <c r="G166" s="258"/>
      <c r="H166" s="227" t="s">
        <v>753</v>
      </c>
      <c r="I166" s="177"/>
      <c r="J166" s="178"/>
      <c r="K166" s="178"/>
      <c r="L166" s="179"/>
      <c r="M166" s="177"/>
      <c r="N166" s="178"/>
      <c r="O166" s="178"/>
      <c r="P166" s="180"/>
      <c r="Q166" s="180"/>
      <c r="R166" s="180" t="s">
        <v>61</v>
      </c>
      <c r="S166" s="180"/>
      <c r="T166" s="180"/>
      <c r="U166" s="184"/>
      <c r="V166" s="181"/>
      <c r="W166" s="182"/>
      <c r="X166" s="183"/>
      <c r="Y166" s="184"/>
      <c r="Z166" s="185" t="s">
        <v>678</v>
      </c>
    </row>
    <row r="167" spans="1:26" ht="11.4" x14ac:dyDescent="0.15">
      <c r="A167" s="175">
        <f t="shared" si="1"/>
        <v>165</v>
      </c>
      <c r="B167" s="176"/>
      <c r="C167" s="176"/>
      <c r="D167" s="176"/>
      <c r="E167" s="176" t="s">
        <v>745</v>
      </c>
      <c r="F167" s="186"/>
      <c r="G167" s="258"/>
      <c r="H167" s="227" t="s">
        <v>753</v>
      </c>
      <c r="I167" s="177"/>
      <c r="J167" s="178"/>
      <c r="K167" s="178"/>
      <c r="L167" s="179"/>
      <c r="M167" s="177"/>
      <c r="N167" s="178"/>
      <c r="O167" s="178"/>
      <c r="P167" s="180"/>
      <c r="Q167" s="180"/>
      <c r="R167" s="180" t="s">
        <v>61</v>
      </c>
      <c r="S167" s="180"/>
      <c r="T167" s="180"/>
      <c r="U167" s="184"/>
      <c r="V167" s="181"/>
      <c r="W167" s="182"/>
      <c r="X167" s="183"/>
      <c r="Y167" s="184"/>
      <c r="Z167" s="185" t="s">
        <v>678</v>
      </c>
    </row>
    <row r="168" spans="1:26" ht="11.4" x14ac:dyDescent="0.15">
      <c r="A168" s="175">
        <f t="shared" si="1"/>
        <v>166</v>
      </c>
      <c r="B168" s="176"/>
      <c r="C168" s="176"/>
      <c r="D168" s="176"/>
      <c r="E168" s="176" t="s">
        <v>746</v>
      </c>
      <c r="F168" s="186"/>
      <c r="G168" s="258"/>
      <c r="H168" s="227" t="s">
        <v>753</v>
      </c>
      <c r="I168" s="177"/>
      <c r="J168" s="178"/>
      <c r="K168" s="178"/>
      <c r="L168" s="179"/>
      <c r="M168" s="177"/>
      <c r="N168" s="178"/>
      <c r="O168" s="178"/>
      <c r="P168" s="180"/>
      <c r="Q168" s="180"/>
      <c r="R168" s="180" t="s">
        <v>61</v>
      </c>
      <c r="S168" s="180"/>
      <c r="T168" s="180"/>
      <c r="U168" s="184"/>
      <c r="V168" s="181"/>
      <c r="W168" s="182"/>
      <c r="X168" s="183"/>
      <c r="Y168" s="184"/>
      <c r="Z168" s="185" t="s">
        <v>678</v>
      </c>
    </row>
    <row r="169" spans="1:26" ht="11.4" x14ac:dyDescent="0.15">
      <c r="A169" s="175">
        <f t="shared" si="1"/>
        <v>167</v>
      </c>
      <c r="B169" s="176"/>
      <c r="C169" s="176"/>
      <c r="D169" s="176"/>
      <c r="E169" s="176" t="s">
        <v>747</v>
      </c>
      <c r="F169" s="186"/>
      <c r="G169" s="258"/>
      <c r="H169" s="227" t="s">
        <v>753</v>
      </c>
      <c r="I169" s="177"/>
      <c r="J169" s="178"/>
      <c r="K169" s="178"/>
      <c r="L169" s="179"/>
      <c r="M169" s="177"/>
      <c r="N169" s="178"/>
      <c r="O169" s="178"/>
      <c r="P169" s="180"/>
      <c r="Q169" s="180"/>
      <c r="R169" s="180" t="s">
        <v>61</v>
      </c>
      <c r="S169" s="180"/>
      <c r="T169" s="180"/>
      <c r="U169" s="184"/>
      <c r="V169" s="181"/>
      <c r="W169" s="182"/>
      <c r="X169" s="183"/>
      <c r="Y169" s="184"/>
      <c r="Z169" s="185" t="s">
        <v>678</v>
      </c>
    </row>
    <row r="170" spans="1:26" ht="11.4" x14ac:dyDescent="0.15">
      <c r="A170" s="175">
        <f t="shared" si="1"/>
        <v>168</v>
      </c>
      <c r="B170" s="176"/>
      <c r="C170" s="176"/>
      <c r="D170" s="176"/>
      <c r="E170" s="176" t="s">
        <v>748</v>
      </c>
      <c r="F170" s="186"/>
      <c r="G170" s="258"/>
      <c r="H170" s="227" t="s">
        <v>753</v>
      </c>
      <c r="I170" s="177"/>
      <c r="J170" s="178"/>
      <c r="K170" s="178"/>
      <c r="L170" s="179"/>
      <c r="M170" s="177"/>
      <c r="N170" s="178"/>
      <c r="O170" s="178"/>
      <c r="P170" s="180"/>
      <c r="Q170" s="180"/>
      <c r="R170" s="180" t="s">
        <v>61</v>
      </c>
      <c r="S170" s="180"/>
      <c r="T170" s="180"/>
      <c r="U170" s="184"/>
      <c r="V170" s="181"/>
      <c r="W170" s="182"/>
      <c r="X170" s="183"/>
      <c r="Y170" s="184"/>
      <c r="Z170" s="185" t="s">
        <v>678</v>
      </c>
    </row>
    <row r="171" spans="1:26" ht="11.4" x14ac:dyDescent="0.15">
      <c r="A171" s="175">
        <f t="shared" si="1"/>
        <v>169</v>
      </c>
      <c r="B171" s="176"/>
      <c r="C171" s="176"/>
      <c r="D171" s="176"/>
      <c r="E171" s="176" t="s">
        <v>749</v>
      </c>
      <c r="F171" s="186"/>
      <c r="G171" s="258"/>
      <c r="H171" s="227" t="s">
        <v>753</v>
      </c>
      <c r="I171" s="177"/>
      <c r="J171" s="178"/>
      <c r="K171" s="178"/>
      <c r="L171" s="179"/>
      <c r="M171" s="177"/>
      <c r="N171" s="178"/>
      <c r="O171" s="178"/>
      <c r="P171" s="180"/>
      <c r="Q171" s="180"/>
      <c r="R171" s="180" t="s">
        <v>61</v>
      </c>
      <c r="S171" s="180"/>
      <c r="T171" s="180"/>
      <c r="U171" s="184"/>
      <c r="V171" s="181"/>
      <c r="W171" s="182"/>
      <c r="X171" s="183"/>
      <c r="Y171" s="184"/>
      <c r="Z171" s="185" t="s">
        <v>678</v>
      </c>
    </row>
    <row r="172" spans="1:26" ht="11.4" x14ac:dyDescent="0.15">
      <c r="A172" s="175">
        <f t="shared" si="1"/>
        <v>170</v>
      </c>
      <c r="B172" s="176"/>
      <c r="C172" s="176"/>
      <c r="D172" s="176"/>
      <c r="E172" s="176" t="s">
        <v>750</v>
      </c>
      <c r="F172" s="186"/>
      <c r="G172" s="258"/>
      <c r="H172" s="227" t="s">
        <v>753</v>
      </c>
      <c r="I172" s="177"/>
      <c r="J172" s="178"/>
      <c r="K172" s="178"/>
      <c r="L172" s="179"/>
      <c r="M172" s="177"/>
      <c r="N172" s="178"/>
      <c r="O172" s="178"/>
      <c r="P172" s="180"/>
      <c r="Q172" s="180"/>
      <c r="R172" s="180" t="s">
        <v>61</v>
      </c>
      <c r="S172" s="180"/>
      <c r="T172" s="180"/>
      <c r="U172" s="184"/>
      <c r="V172" s="181"/>
      <c r="W172" s="182"/>
      <c r="X172" s="183"/>
      <c r="Y172" s="184"/>
      <c r="Z172" s="185" t="s">
        <v>678</v>
      </c>
    </row>
    <row r="173" spans="1:26" ht="11.4" x14ac:dyDescent="0.15">
      <c r="A173" s="175">
        <f t="shared" si="1"/>
        <v>171</v>
      </c>
      <c r="B173" s="176"/>
      <c r="C173" s="176"/>
      <c r="D173" s="176"/>
      <c r="E173" s="176" t="s">
        <v>751</v>
      </c>
      <c r="F173" s="186"/>
      <c r="G173" s="258"/>
      <c r="H173" s="227" t="s">
        <v>753</v>
      </c>
      <c r="I173" s="177"/>
      <c r="J173" s="178"/>
      <c r="K173" s="178"/>
      <c r="L173" s="179"/>
      <c r="M173" s="177"/>
      <c r="N173" s="178"/>
      <c r="O173" s="178"/>
      <c r="P173" s="180"/>
      <c r="Q173" s="180"/>
      <c r="R173" s="180" t="s">
        <v>61</v>
      </c>
      <c r="S173" s="180"/>
      <c r="T173" s="180"/>
      <c r="U173" s="184"/>
      <c r="V173" s="181"/>
      <c r="W173" s="182"/>
      <c r="X173" s="183"/>
      <c r="Y173" s="184"/>
      <c r="Z173" s="185" t="s">
        <v>678</v>
      </c>
    </row>
    <row r="174" spans="1:26" ht="11.4" x14ac:dyDescent="0.15">
      <c r="A174" s="175">
        <f t="shared" si="1"/>
        <v>172</v>
      </c>
      <c r="B174" s="176"/>
      <c r="C174" s="176" t="s">
        <v>754</v>
      </c>
      <c r="D174" s="176" t="s">
        <v>755</v>
      </c>
      <c r="E174" s="176" t="s">
        <v>756</v>
      </c>
      <c r="F174" s="186" t="s">
        <v>620</v>
      </c>
      <c r="G174" s="258" t="s">
        <v>56</v>
      </c>
      <c r="H174" s="227" t="s">
        <v>757</v>
      </c>
      <c r="I174" s="177"/>
      <c r="J174" s="178"/>
      <c r="K174" s="178"/>
      <c r="L174" s="179"/>
      <c r="M174" s="177"/>
      <c r="N174" s="178"/>
      <c r="O174" s="178"/>
      <c r="P174" s="180"/>
      <c r="Q174" s="180"/>
      <c r="R174" s="180"/>
      <c r="S174" s="180"/>
      <c r="T174" s="180" t="s">
        <v>61</v>
      </c>
      <c r="U174" s="184"/>
      <c r="V174" s="181"/>
      <c r="W174" s="182"/>
      <c r="X174" s="183"/>
      <c r="Y174" s="184"/>
      <c r="Z174" s="185" t="s">
        <v>592</v>
      </c>
    </row>
    <row r="175" spans="1:26" ht="11.4" x14ac:dyDescent="0.15">
      <c r="A175" s="175">
        <f t="shared" si="1"/>
        <v>173</v>
      </c>
      <c r="B175" s="176"/>
      <c r="C175" s="176"/>
      <c r="D175" s="176"/>
      <c r="E175" s="176" t="s">
        <v>758</v>
      </c>
      <c r="F175" s="186"/>
      <c r="G175" s="258"/>
      <c r="H175" s="227" t="s">
        <v>759</v>
      </c>
      <c r="I175" s="177"/>
      <c r="J175" s="178"/>
      <c r="K175" s="178"/>
      <c r="L175" s="179"/>
      <c r="M175" s="177"/>
      <c r="N175" s="178"/>
      <c r="O175" s="178"/>
      <c r="P175" s="180"/>
      <c r="Q175" s="180"/>
      <c r="R175" s="180"/>
      <c r="S175" s="180"/>
      <c r="T175" s="180" t="s">
        <v>61</v>
      </c>
      <c r="U175" s="184"/>
      <c r="V175" s="181"/>
      <c r="W175" s="182"/>
      <c r="X175" s="183"/>
      <c r="Y175" s="184"/>
      <c r="Z175" s="185" t="s">
        <v>592</v>
      </c>
    </row>
    <row r="176" spans="1:26" ht="11.4" x14ac:dyDescent="0.15">
      <c r="A176" s="175">
        <f t="shared" si="1"/>
        <v>174</v>
      </c>
      <c r="B176" s="176"/>
      <c r="C176" s="176"/>
      <c r="D176" s="176"/>
      <c r="E176" s="176" t="s">
        <v>760</v>
      </c>
      <c r="F176" s="186"/>
      <c r="G176" s="258"/>
      <c r="H176" s="227" t="s">
        <v>761</v>
      </c>
      <c r="I176" s="177"/>
      <c r="J176" s="178"/>
      <c r="K176" s="178"/>
      <c r="L176" s="179"/>
      <c r="M176" s="177"/>
      <c r="N176" s="178"/>
      <c r="O176" s="178"/>
      <c r="P176" s="180"/>
      <c r="Q176" s="180"/>
      <c r="R176" s="180"/>
      <c r="S176" s="180"/>
      <c r="T176" s="180" t="s">
        <v>61</v>
      </c>
      <c r="U176" s="184"/>
      <c r="V176" s="181"/>
      <c r="W176" s="182"/>
      <c r="X176" s="183"/>
      <c r="Y176" s="184"/>
      <c r="Z176" s="185" t="s">
        <v>592</v>
      </c>
    </row>
    <row r="177" spans="1:26" ht="11.4" x14ac:dyDescent="0.15">
      <c r="A177" s="175">
        <f t="shared" si="1"/>
        <v>175</v>
      </c>
      <c r="B177" s="176"/>
      <c r="C177" s="176"/>
      <c r="D177" s="176"/>
      <c r="E177" s="176" t="s">
        <v>762</v>
      </c>
      <c r="F177" s="186"/>
      <c r="G177" s="258"/>
      <c r="H177" s="227" t="s">
        <v>763</v>
      </c>
      <c r="I177" s="177"/>
      <c r="J177" s="178"/>
      <c r="K177" s="178"/>
      <c r="L177" s="179"/>
      <c r="M177" s="177"/>
      <c r="N177" s="178"/>
      <c r="O177" s="178"/>
      <c r="P177" s="180"/>
      <c r="Q177" s="180"/>
      <c r="R177" s="180"/>
      <c r="S177" s="180"/>
      <c r="T177" s="180" t="s">
        <v>61</v>
      </c>
      <c r="U177" s="184"/>
      <c r="V177" s="181"/>
      <c r="W177" s="182"/>
      <c r="X177" s="183"/>
      <c r="Y177" s="184"/>
      <c r="Z177" s="185" t="s">
        <v>592</v>
      </c>
    </row>
    <row r="178" spans="1:26" ht="11.4" x14ac:dyDescent="0.15">
      <c r="A178" s="175">
        <f t="shared" si="1"/>
        <v>176</v>
      </c>
      <c r="B178" s="176"/>
      <c r="C178" s="176"/>
      <c r="D178" s="176"/>
      <c r="E178" s="176" t="s">
        <v>764</v>
      </c>
      <c r="F178" s="186"/>
      <c r="G178" s="258"/>
      <c r="H178" s="227" t="s">
        <v>765</v>
      </c>
      <c r="I178" s="177"/>
      <c r="J178" s="178"/>
      <c r="K178" s="178"/>
      <c r="L178" s="179"/>
      <c r="M178" s="177"/>
      <c r="N178" s="178"/>
      <c r="O178" s="178"/>
      <c r="P178" s="180"/>
      <c r="Q178" s="180"/>
      <c r="R178" s="180"/>
      <c r="S178" s="180"/>
      <c r="T178" s="180" t="s">
        <v>61</v>
      </c>
      <c r="U178" s="184"/>
      <c r="V178" s="181"/>
      <c r="W178" s="182"/>
      <c r="X178" s="183"/>
      <c r="Y178" s="184"/>
      <c r="Z178" s="185" t="s">
        <v>592</v>
      </c>
    </row>
    <row r="179" spans="1:26" ht="11.4" x14ac:dyDescent="0.15">
      <c r="A179" s="175">
        <f t="shared" si="1"/>
        <v>177</v>
      </c>
      <c r="B179" s="176"/>
      <c r="C179" s="176"/>
      <c r="D179" s="176" t="s">
        <v>766</v>
      </c>
      <c r="E179" s="176" t="s">
        <v>767</v>
      </c>
      <c r="F179" s="186"/>
      <c r="G179" s="258"/>
      <c r="H179" s="227" t="s">
        <v>768</v>
      </c>
      <c r="I179" s="177"/>
      <c r="J179" s="178"/>
      <c r="K179" s="178"/>
      <c r="L179" s="179"/>
      <c r="M179" s="177"/>
      <c r="N179" s="178"/>
      <c r="O179" s="178"/>
      <c r="P179" s="180"/>
      <c r="Q179" s="180"/>
      <c r="R179" s="180"/>
      <c r="S179" s="180"/>
      <c r="T179" s="180" t="s">
        <v>61</v>
      </c>
      <c r="U179" s="184"/>
      <c r="V179" s="181"/>
      <c r="W179" s="182"/>
      <c r="X179" s="183"/>
      <c r="Y179" s="184"/>
      <c r="Z179" s="185" t="s">
        <v>592</v>
      </c>
    </row>
    <row r="180" spans="1:26" ht="11.4" x14ac:dyDescent="0.15">
      <c r="A180" s="175">
        <f t="shared" si="1"/>
        <v>178</v>
      </c>
      <c r="B180" s="176"/>
      <c r="C180" s="176"/>
      <c r="D180" s="176"/>
      <c r="E180" s="176" t="s">
        <v>769</v>
      </c>
      <c r="F180" s="186"/>
      <c r="G180" s="258"/>
      <c r="H180" s="227" t="s">
        <v>770</v>
      </c>
      <c r="I180" s="177"/>
      <c r="J180" s="178"/>
      <c r="K180" s="178"/>
      <c r="L180" s="179"/>
      <c r="M180" s="177"/>
      <c r="N180" s="178"/>
      <c r="O180" s="178"/>
      <c r="P180" s="180"/>
      <c r="Q180" s="180"/>
      <c r="R180" s="180"/>
      <c r="S180" s="180"/>
      <c r="T180" s="180" t="s">
        <v>61</v>
      </c>
      <c r="U180" s="184"/>
      <c r="V180" s="181"/>
      <c r="W180" s="182"/>
      <c r="X180" s="183"/>
      <c r="Y180" s="184"/>
      <c r="Z180" s="185" t="s">
        <v>592</v>
      </c>
    </row>
    <row r="181" spans="1:26" ht="11.4" x14ac:dyDescent="0.15">
      <c r="A181" s="175">
        <f t="shared" si="1"/>
        <v>179</v>
      </c>
      <c r="B181" s="176"/>
      <c r="C181" s="176"/>
      <c r="D181" s="176"/>
      <c r="E181" s="176" t="s">
        <v>771</v>
      </c>
      <c r="F181" s="186"/>
      <c r="G181" s="258"/>
      <c r="H181" s="227" t="s">
        <v>772</v>
      </c>
      <c r="I181" s="177"/>
      <c r="J181" s="178"/>
      <c r="K181" s="178"/>
      <c r="L181" s="179"/>
      <c r="M181" s="177"/>
      <c r="N181" s="178"/>
      <c r="O181" s="178"/>
      <c r="P181" s="180"/>
      <c r="Q181" s="180"/>
      <c r="R181" s="180"/>
      <c r="S181" s="180"/>
      <c r="T181" s="180" t="s">
        <v>61</v>
      </c>
      <c r="U181" s="184"/>
      <c r="V181" s="181"/>
      <c r="W181" s="182"/>
      <c r="X181" s="183"/>
      <c r="Y181" s="184"/>
      <c r="Z181" s="185" t="s">
        <v>592</v>
      </c>
    </row>
    <row r="182" spans="1:26" ht="11.4" x14ac:dyDescent="0.15">
      <c r="A182" s="175">
        <f t="shared" si="1"/>
        <v>180</v>
      </c>
      <c r="B182" s="176"/>
      <c r="C182" s="176"/>
      <c r="D182" s="176"/>
      <c r="E182" s="176" t="s">
        <v>773</v>
      </c>
      <c r="F182" s="186"/>
      <c r="G182" s="258"/>
      <c r="H182" s="227" t="s">
        <v>774</v>
      </c>
      <c r="I182" s="177"/>
      <c r="J182" s="178"/>
      <c r="K182" s="178"/>
      <c r="L182" s="179"/>
      <c r="M182" s="177"/>
      <c r="N182" s="178"/>
      <c r="O182" s="178"/>
      <c r="P182" s="180"/>
      <c r="Q182" s="180"/>
      <c r="R182" s="180"/>
      <c r="S182" s="180"/>
      <c r="T182" s="180" t="s">
        <v>61</v>
      </c>
      <c r="U182" s="184"/>
      <c r="V182" s="181"/>
      <c r="W182" s="182"/>
      <c r="X182" s="183"/>
      <c r="Y182" s="184"/>
      <c r="Z182" s="185" t="s">
        <v>592</v>
      </c>
    </row>
    <row r="183" spans="1:26" ht="11.4" x14ac:dyDescent="0.15">
      <c r="A183" s="175">
        <f t="shared" si="1"/>
        <v>181</v>
      </c>
      <c r="B183" s="176"/>
      <c r="C183" s="176"/>
      <c r="D183" s="176" t="s">
        <v>775</v>
      </c>
      <c r="E183" s="176" t="s">
        <v>776</v>
      </c>
      <c r="F183" s="186"/>
      <c r="G183" s="258"/>
      <c r="H183" s="227" t="s">
        <v>777</v>
      </c>
      <c r="I183" s="177"/>
      <c r="J183" s="178"/>
      <c r="K183" s="178"/>
      <c r="L183" s="179"/>
      <c r="M183" s="177"/>
      <c r="N183" s="178"/>
      <c r="O183" s="178"/>
      <c r="P183" s="180"/>
      <c r="Q183" s="180"/>
      <c r="R183" s="180"/>
      <c r="S183" s="180"/>
      <c r="T183" s="180" t="s">
        <v>61</v>
      </c>
      <c r="U183" s="184"/>
      <c r="V183" s="181"/>
      <c r="W183" s="182"/>
      <c r="X183" s="183"/>
      <c r="Y183" s="184"/>
      <c r="Z183" s="185" t="s">
        <v>592</v>
      </c>
    </row>
    <row r="184" spans="1:26" ht="11.4" x14ac:dyDescent="0.15">
      <c r="A184" s="175">
        <f t="shared" si="1"/>
        <v>182</v>
      </c>
      <c r="B184" s="176"/>
      <c r="C184" s="176"/>
      <c r="D184" s="176"/>
      <c r="E184" s="176" t="s">
        <v>778</v>
      </c>
      <c r="F184" s="186"/>
      <c r="G184" s="258"/>
      <c r="H184" s="227" t="s">
        <v>779</v>
      </c>
      <c r="I184" s="177"/>
      <c r="J184" s="178"/>
      <c r="K184" s="178"/>
      <c r="L184" s="179"/>
      <c r="M184" s="177"/>
      <c r="N184" s="178"/>
      <c r="O184" s="178"/>
      <c r="P184" s="180"/>
      <c r="Q184" s="180"/>
      <c r="R184" s="180"/>
      <c r="S184" s="180"/>
      <c r="T184" s="180" t="s">
        <v>61</v>
      </c>
      <c r="U184" s="184"/>
      <c r="V184" s="181"/>
      <c r="W184" s="182"/>
      <c r="X184" s="183"/>
      <c r="Y184" s="184"/>
      <c r="Z184" s="185" t="s">
        <v>592</v>
      </c>
    </row>
    <row r="185" spans="1:26" ht="11.4" x14ac:dyDescent="0.15">
      <c r="A185" s="175">
        <f t="shared" si="1"/>
        <v>183</v>
      </c>
      <c r="B185" s="176"/>
      <c r="C185" s="176"/>
      <c r="D185" s="176"/>
      <c r="E185" s="176" t="s">
        <v>780</v>
      </c>
      <c r="F185" s="186"/>
      <c r="G185" s="258"/>
      <c r="H185" s="227" t="s">
        <v>759</v>
      </c>
      <c r="I185" s="177"/>
      <c r="J185" s="178"/>
      <c r="K185" s="178"/>
      <c r="L185" s="179"/>
      <c r="M185" s="177"/>
      <c r="N185" s="178"/>
      <c r="O185" s="178"/>
      <c r="P185" s="180"/>
      <c r="Q185" s="180"/>
      <c r="R185" s="180"/>
      <c r="S185" s="180"/>
      <c r="T185" s="180" t="s">
        <v>61</v>
      </c>
      <c r="U185" s="184"/>
      <c r="V185" s="181"/>
      <c r="W185" s="182"/>
      <c r="X185" s="183"/>
      <c r="Y185" s="184"/>
      <c r="Z185" s="185" t="s">
        <v>592</v>
      </c>
    </row>
    <row r="186" spans="1:26" ht="11.4" x14ac:dyDescent="0.15">
      <c r="A186" s="175">
        <f t="shared" si="1"/>
        <v>184</v>
      </c>
      <c r="B186" s="176"/>
      <c r="C186" s="176"/>
      <c r="D186" s="176"/>
      <c r="E186" s="176" t="s">
        <v>781</v>
      </c>
      <c r="F186" s="186"/>
      <c r="G186" s="258"/>
      <c r="H186" s="227" t="s">
        <v>782</v>
      </c>
      <c r="I186" s="177"/>
      <c r="J186" s="178"/>
      <c r="K186" s="178"/>
      <c r="L186" s="179"/>
      <c r="M186" s="177"/>
      <c r="N186" s="178"/>
      <c r="O186" s="178"/>
      <c r="P186" s="180"/>
      <c r="Q186" s="180"/>
      <c r="R186" s="180"/>
      <c r="S186" s="180"/>
      <c r="T186" s="180" t="s">
        <v>61</v>
      </c>
      <c r="U186" s="184"/>
      <c r="V186" s="181"/>
      <c r="W186" s="182"/>
      <c r="X186" s="183"/>
      <c r="Y186" s="184"/>
      <c r="Z186" s="185" t="s">
        <v>592</v>
      </c>
    </row>
    <row r="187" spans="1:26" ht="11.4" x14ac:dyDescent="0.15">
      <c r="A187" s="175">
        <f t="shared" si="1"/>
        <v>185</v>
      </c>
      <c r="B187" s="176"/>
      <c r="C187" s="176"/>
      <c r="D187" s="176"/>
      <c r="E187" s="176" t="s">
        <v>783</v>
      </c>
      <c r="F187" s="186"/>
      <c r="G187" s="258"/>
      <c r="H187" s="227" t="s">
        <v>772</v>
      </c>
      <c r="I187" s="177"/>
      <c r="J187" s="178"/>
      <c r="K187" s="178"/>
      <c r="L187" s="179"/>
      <c r="M187" s="177"/>
      <c r="N187" s="178"/>
      <c r="O187" s="178"/>
      <c r="P187" s="180"/>
      <c r="Q187" s="180"/>
      <c r="R187" s="180"/>
      <c r="S187" s="180"/>
      <c r="T187" s="180" t="s">
        <v>61</v>
      </c>
      <c r="U187" s="184"/>
      <c r="V187" s="181"/>
      <c r="W187" s="182"/>
      <c r="X187" s="183"/>
      <c r="Y187" s="184"/>
      <c r="Z187" s="185" t="s">
        <v>592</v>
      </c>
    </row>
    <row r="188" spans="1:26" ht="11.4" x14ac:dyDescent="0.15">
      <c r="A188" s="175">
        <f t="shared" si="1"/>
        <v>186</v>
      </c>
      <c r="B188" s="176"/>
      <c r="C188" s="176"/>
      <c r="D188" s="176"/>
      <c r="E188" s="176" t="s">
        <v>784</v>
      </c>
      <c r="F188" s="186"/>
      <c r="G188" s="258"/>
      <c r="H188" s="227" t="s">
        <v>785</v>
      </c>
      <c r="I188" s="177"/>
      <c r="J188" s="178"/>
      <c r="K188" s="178"/>
      <c r="L188" s="179"/>
      <c r="M188" s="177"/>
      <c r="N188" s="178"/>
      <c r="O188" s="178"/>
      <c r="P188" s="180"/>
      <c r="Q188" s="180"/>
      <c r="R188" s="180"/>
      <c r="S188" s="180"/>
      <c r="T188" s="180" t="s">
        <v>61</v>
      </c>
      <c r="U188" s="184"/>
      <c r="V188" s="181"/>
      <c r="W188" s="182"/>
      <c r="X188" s="183"/>
      <c r="Y188" s="184"/>
      <c r="Z188" s="185" t="s">
        <v>592</v>
      </c>
    </row>
    <row r="189" spans="1:26" ht="11.4" x14ac:dyDescent="0.15">
      <c r="A189" s="175">
        <f t="shared" si="1"/>
        <v>187</v>
      </c>
      <c r="B189" s="176"/>
      <c r="C189" s="176"/>
      <c r="D189" s="176"/>
      <c r="E189" s="176" t="s">
        <v>786</v>
      </c>
      <c r="F189" s="186"/>
      <c r="G189" s="258"/>
      <c r="H189" s="227" t="s">
        <v>787</v>
      </c>
      <c r="I189" s="177"/>
      <c r="J189" s="178"/>
      <c r="K189" s="178"/>
      <c r="L189" s="179"/>
      <c r="M189" s="177"/>
      <c r="N189" s="178"/>
      <c r="O189" s="178"/>
      <c r="P189" s="180"/>
      <c r="Q189" s="180"/>
      <c r="R189" s="180"/>
      <c r="S189" s="180"/>
      <c r="T189" s="180" t="s">
        <v>61</v>
      </c>
      <c r="U189" s="184"/>
      <c r="V189" s="181"/>
      <c r="W189" s="182"/>
      <c r="X189" s="183"/>
      <c r="Y189" s="184"/>
      <c r="Z189" s="185" t="s">
        <v>592</v>
      </c>
    </row>
    <row r="190" spans="1:26" ht="11.4" x14ac:dyDescent="0.15">
      <c r="A190" s="175">
        <f t="shared" si="1"/>
        <v>188</v>
      </c>
      <c r="B190" s="176"/>
      <c r="C190" s="176"/>
      <c r="D190" s="176" t="s">
        <v>788</v>
      </c>
      <c r="E190" s="176" t="s">
        <v>789</v>
      </c>
      <c r="F190" s="186"/>
      <c r="G190" s="258"/>
      <c r="H190" s="227" t="s">
        <v>790</v>
      </c>
      <c r="I190" s="177"/>
      <c r="J190" s="178"/>
      <c r="K190" s="178"/>
      <c r="L190" s="179"/>
      <c r="M190" s="177"/>
      <c r="N190" s="178"/>
      <c r="O190" s="178"/>
      <c r="P190" s="180"/>
      <c r="Q190" s="180"/>
      <c r="R190" s="180"/>
      <c r="S190" s="180"/>
      <c r="T190" s="180" t="s">
        <v>61</v>
      </c>
      <c r="U190" s="184"/>
      <c r="V190" s="181"/>
      <c r="W190" s="182"/>
      <c r="X190" s="183"/>
      <c r="Y190" s="184"/>
      <c r="Z190" s="185" t="s">
        <v>592</v>
      </c>
    </row>
    <row r="191" spans="1:26" ht="11.4" x14ac:dyDescent="0.15">
      <c r="A191" s="175">
        <f t="shared" si="1"/>
        <v>189</v>
      </c>
      <c r="B191" s="176"/>
      <c r="C191" s="176"/>
      <c r="D191" s="176"/>
      <c r="E191" s="176" t="s">
        <v>791</v>
      </c>
      <c r="F191" s="186"/>
      <c r="G191" s="258"/>
      <c r="H191" s="227" t="s">
        <v>792</v>
      </c>
      <c r="I191" s="177"/>
      <c r="J191" s="178"/>
      <c r="K191" s="178"/>
      <c r="L191" s="179"/>
      <c r="M191" s="177"/>
      <c r="N191" s="178"/>
      <c r="O191" s="178"/>
      <c r="P191" s="180"/>
      <c r="Q191" s="180"/>
      <c r="R191" s="180"/>
      <c r="S191" s="180"/>
      <c r="T191" s="180" t="s">
        <v>61</v>
      </c>
      <c r="U191" s="184"/>
      <c r="V191" s="181"/>
      <c r="W191" s="182"/>
      <c r="X191" s="183"/>
      <c r="Y191" s="184"/>
      <c r="Z191" s="185" t="s">
        <v>592</v>
      </c>
    </row>
    <row r="192" spans="1:26" ht="11.4" x14ac:dyDescent="0.15">
      <c r="A192" s="175">
        <f t="shared" si="1"/>
        <v>190</v>
      </c>
      <c r="B192" s="176"/>
      <c r="C192" s="176"/>
      <c r="D192" s="176"/>
      <c r="E192" s="176" t="s">
        <v>793</v>
      </c>
      <c r="F192" s="186"/>
      <c r="G192" s="258"/>
      <c r="H192" s="227" t="s">
        <v>794</v>
      </c>
      <c r="I192" s="177"/>
      <c r="J192" s="178"/>
      <c r="K192" s="178"/>
      <c r="L192" s="179"/>
      <c r="M192" s="177"/>
      <c r="N192" s="178"/>
      <c r="O192" s="178"/>
      <c r="P192" s="180"/>
      <c r="Q192" s="180"/>
      <c r="R192" s="180"/>
      <c r="S192" s="180"/>
      <c r="T192" s="180" t="s">
        <v>61</v>
      </c>
      <c r="U192" s="184"/>
      <c r="V192" s="181"/>
      <c r="W192" s="182"/>
      <c r="X192" s="183"/>
      <c r="Y192" s="184"/>
      <c r="Z192" s="185" t="s">
        <v>592</v>
      </c>
    </row>
    <row r="193" spans="1:26" ht="11.4" x14ac:dyDescent="0.15">
      <c r="A193" s="175">
        <f t="shared" si="1"/>
        <v>191</v>
      </c>
      <c r="B193" s="176"/>
      <c r="C193" s="176"/>
      <c r="D193" s="176"/>
      <c r="E193" s="176" t="s">
        <v>795</v>
      </c>
      <c r="F193" s="186"/>
      <c r="G193" s="258"/>
      <c r="H193" s="227" t="s">
        <v>796</v>
      </c>
      <c r="I193" s="177"/>
      <c r="J193" s="178"/>
      <c r="K193" s="178"/>
      <c r="L193" s="179"/>
      <c r="M193" s="177"/>
      <c r="N193" s="178"/>
      <c r="O193" s="178"/>
      <c r="P193" s="180"/>
      <c r="Q193" s="180"/>
      <c r="R193" s="180"/>
      <c r="S193" s="180"/>
      <c r="T193" s="180" t="s">
        <v>61</v>
      </c>
      <c r="U193" s="184"/>
      <c r="V193" s="181"/>
      <c r="W193" s="182"/>
      <c r="X193" s="183"/>
      <c r="Y193" s="184"/>
      <c r="Z193" s="185" t="s">
        <v>592</v>
      </c>
    </row>
    <row r="194" spans="1:26" ht="11.4" x14ac:dyDescent="0.15">
      <c r="A194" s="175">
        <f t="shared" si="1"/>
        <v>192</v>
      </c>
      <c r="B194" s="176"/>
      <c r="C194" s="176"/>
      <c r="D194" s="176" t="s">
        <v>797</v>
      </c>
      <c r="E194" s="176" t="s">
        <v>798</v>
      </c>
      <c r="F194" s="186"/>
      <c r="G194" s="258"/>
      <c r="H194" s="227" t="s">
        <v>799</v>
      </c>
      <c r="I194" s="177"/>
      <c r="J194" s="178"/>
      <c r="K194" s="178"/>
      <c r="L194" s="179"/>
      <c r="M194" s="177"/>
      <c r="N194" s="178"/>
      <c r="O194" s="178"/>
      <c r="P194" s="180"/>
      <c r="Q194" s="180"/>
      <c r="R194" s="180"/>
      <c r="S194" s="180"/>
      <c r="T194" s="180" t="s">
        <v>61</v>
      </c>
      <c r="U194" s="184"/>
      <c r="V194" s="181"/>
      <c r="W194" s="182"/>
      <c r="X194" s="183"/>
      <c r="Y194" s="184"/>
      <c r="Z194" s="185" t="s">
        <v>592</v>
      </c>
    </row>
    <row r="195" spans="1:26" ht="11.4" x14ac:dyDescent="0.15">
      <c r="A195" s="175">
        <f t="shared" si="1"/>
        <v>193</v>
      </c>
      <c r="B195" s="176"/>
      <c r="C195" s="176"/>
      <c r="D195" s="176"/>
      <c r="E195" s="176" t="s">
        <v>800</v>
      </c>
      <c r="F195" s="186"/>
      <c r="G195" s="258"/>
      <c r="H195" s="227" t="s">
        <v>801</v>
      </c>
      <c r="I195" s="177"/>
      <c r="J195" s="178"/>
      <c r="K195" s="178"/>
      <c r="L195" s="179"/>
      <c r="M195" s="177"/>
      <c r="N195" s="178"/>
      <c r="O195" s="178"/>
      <c r="P195" s="180"/>
      <c r="Q195" s="180"/>
      <c r="R195" s="180"/>
      <c r="S195" s="180"/>
      <c r="T195" s="180" t="s">
        <v>61</v>
      </c>
      <c r="U195" s="184"/>
      <c r="V195" s="181"/>
      <c r="W195" s="182"/>
      <c r="X195" s="183"/>
      <c r="Y195" s="184"/>
      <c r="Z195" s="185" t="s">
        <v>592</v>
      </c>
    </row>
    <row r="196" spans="1:26" ht="11.4" x14ac:dyDescent="0.15">
      <c r="A196" s="175">
        <f t="shared" si="1"/>
        <v>194</v>
      </c>
      <c r="B196" s="176"/>
      <c r="C196" s="176"/>
      <c r="D196" s="176"/>
      <c r="E196" s="176" t="s">
        <v>802</v>
      </c>
      <c r="F196" s="186"/>
      <c r="G196" s="258"/>
      <c r="H196" s="227" t="s">
        <v>803</v>
      </c>
      <c r="I196" s="177"/>
      <c r="J196" s="178"/>
      <c r="K196" s="178"/>
      <c r="L196" s="179"/>
      <c r="M196" s="177"/>
      <c r="N196" s="178"/>
      <c r="O196" s="178"/>
      <c r="P196" s="180"/>
      <c r="Q196" s="180"/>
      <c r="R196" s="180"/>
      <c r="S196" s="180"/>
      <c r="T196" s="180" t="s">
        <v>61</v>
      </c>
      <c r="U196" s="184"/>
      <c r="V196" s="181"/>
      <c r="W196" s="182"/>
      <c r="X196" s="183"/>
      <c r="Y196" s="184"/>
      <c r="Z196" s="185" t="s">
        <v>592</v>
      </c>
    </row>
    <row r="197" spans="1:26" ht="11.4" x14ac:dyDescent="0.15">
      <c r="A197" s="175">
        <f t="shared" si="1"/>
        <v>195</v>
      </c>
      <c r="B197" s="176"/>
      <c r="C197" s="176"/>
      <c r="D197" s="176"/>
      <c r="E197" s="176" t="s">
        <v>804</v>
      </c>
      <c r="F197" s="186"/>
      <c r="G197" s="258"/>
      <c r="H197" s="227" t="s">
        <v>805</v>
      </c>
      <c r="I197" s="177"/>
      <c r="J197" s="178"/>
      <c r="K197" s="178"/>
      <c r="L197" s="179"/>
      <c r="M197" s="177"/>
      <c r="N197" s="178"/>
      <c r="O197" s="178"/>
      <c r="P197" s="180"/>
      <c r="Q197" s="180"/>
      <c r="R197" s="180"/>
      <c r="S197" s="180"/>
      <c r="T197" s="180" t="s">
        <v>61</v>
      </c>
      <c r="U197" s="184"/>
      <c r="V197" s="181"/>
      <c r="W197" s="182"/>
      <c r="X197" s="183"/>
      <c r="Y197" s="184"/>
      <c r="Z197" s="185" t="s">
        <v>592</v>
      </c>
    </row>
    <row r="198" spans="1:26" ht="11.4" x14ac:dyDescent="0.15">
      <c r="A198" s="175">
        <f t="shared" si="1"/>
        <v>196</v>
      </c>
      <c r="B198" s="176"/>
      <c r="C198" s="176"/>
      <c r="D198" s="176"/>
      <c r="E198" s="176" t="s">
        <v>806</v>
      </c>
      <c r="F198" s="186"/>
      <c r="G198" s="258"/>
      <c r="H198" s="227" t="s">
        <v>801</v>
      </c>
      <c r="I198" s="177"/>
      <c r="J198" s="178"/>
      <c r="K198" s="178"/>
      <c r="L198" s="179"/>
      <c r="M198" s="177"/>
      <c r="N198" s="178"/>
      <c r="O198" s="178"/>
      <c r="P198" s="180"/>
      <c r="Q198" s="180"/>
      <c r="R198" s="180"/>
      <c r="S198" s="180"/>
      <c r="T198" s="180" t="s">
        <v>61</v>
      </c>
      <c r="U198" s="184"/>
      <c r="V198" s="181"/>
      <c r="W198" s="182"/>
      <c r="X198" s="183"/>
      <c r="Y198" s="184"/>
      <c r="Z198" s="185" t="s">
        <v>592</v>
      </c>
    </row>
    <row r="199" spans="1:26" ht="11.4" x14ac:dyDescent="0.15">
      <c r="A199" s="175">
        <f t="shared" si="1"/>
        <v>197</v>
      </c>
      <c r="B199" s="176"/>
      <c r="C199" s="176"/>
      <c r="D199" s="176"/>
      <c r="E199" s="176" t="s">
        <v>807</v>
      </c>
      <c r="F199" s="186"/>
      <c r="G199" s="258"/>
      <c r="H199" s="227" t="s">
        <v>808</v>
      </c>
      <c r="I199" s="177"/>
      <c r="J199" s="178"/>
      <c r="K199" s="178"/>
      <c r="L199" s="179"/>
      <c r="M199" s="177"/>
      <c r="N199" s="178"/>
      <c r="O199" s="178"/>
      <c r="P199" s="180"/>
      <c r="Q199" s="180"/>
      <c r="R199" s="180"/>
      <c r="S199" s="180"/>
      <c r="T199" s="180" t="s">
        <v>61</v>
      </c>
      <c r="U199" s="184"/>
      <c r="V199" s="181"/>
      <c r="W199" s="182"/>
      <c r="X199" s="183"/>
      <c r="Y199" s="184"/>
      <c r="Z199" s="185" t="s">
        <v>592</v>
      </c>
    </row>
    <row r="200" spans="1:26" ht="11.4" x14ac:dyDescent="0.15">
      <c r="A200" s="175">
        <f t="shared" si="1"/>
        <v>198</v>
      </c>
      <c r="B200" s="176"/>
      <c r="C200" s="176"/>
      <c r="D200" s="176"/>
      <c r="E200" s="176" t="s">
        <v>809</v>
      </c>
      <c r="F200" s="186"/>
      <c r="G200" s="258"/>
      <c r="H200" s="227" t="s">
        <v>810</v>
      </c>
      <c r="I200" s="177"/>
      <c r="J200" s="178"/>
      <c r="K200" s="178"/>
      <c r="L200" s="179"/>
      <c r="M200" s="177"/>
      <c r="N200" s="178"/>
      <c r="O200" s="178"/>
      <c r="P200" s="180"/>
      <c r="Q200" s="180"/>
      <c r="R200" s="180"/>
      <c r="S200" s="180"/>
      <c r="T200" s="180" t="s">
        <v>61</v>
      </c>
      <c r="U200" s="184"/>
      <c r="V200" s="181"/>
      <c r="W200" s="182"/>
      <c r="X200" s="183"/>
      <c r="Y200" s="184"/>
      <c r="Z200" s="185" t="s">
        <v>592</v>
      </c>
    </row>
    <row r="201" spans="1:26" ht="11.4" x14ac:dyDescent="0.15">
      <c r="A201" s="175">
        <f t="shared" si="1"/>
        <v>199</v>
      </c>
      <c r="B201" s="176"/>
      <c r="C201" s="176"/>
      <c r="D201" s="176" t="s">
        <v>811</v>
      </c>
      <c r="E201" s="176" t="s">
        <v>812</v>
      </c>
      <c r="F201" s="186"/>
      <c r="G201" s="258"/>
      <c r="H201" s="227" t="s">
        <v>813</v>
      </c>
      <c r="I201" s="177"/>
      <c r="J201" s="178"/>
      <c r="K201" s="178"/>
      <c r="L201" s="179"/>
      <c r="M201" s="177"/>
      <c r="N201" s="178"/>
      <c r="O201" s="178"/>
      <c r="P201" s="180"/>
      <c r="Q201" s="180"/>
      <c r="R201" s="180"/>
      <c r="S201" s="180"/>
      <c r="T201" s="180" t="s">
        <v>61</v>
      </c>
      <c r="U201" s="184"/>
      <c r="V201" s="181"/>
      <c r="W201" s="182"/>
      <c r="X201" s="183"/>
      <c r="Y201" s="184"/>
      <c r="Z201" s="185" t="s">
        <v>592</v>
      </c>
    </row>
    <row r="202" spans="1:26" ht="11.4" x14ac:dyDescent="0.15">
      <c r="A202" s="175">
        <f t="shared" si="1"/>
        <v>200</v>
      </c>
      <c r="B202" s="176"/>
      <c r="C202" s="176"/>
      <c r="D202" s="176"/>
      <c r="E202" s="176" t="s">
        <v>814</v>
      </c>
      <c r="F202" s="186"/>
      <c r="G202" s="258"/>
      <c r="H202" s="227" t="s">
        <v>815</v>
      </c>
      <c r="I202" s="177"/>
      <c r="J202" s="178"/>
      <c r="K202" s="178"/>
      <c r="L202" s="179"/>
      <c r="M202" s="177"/>
      <c r="N202" s="178"/>
      <c r="O202" s="178"/>
      <c r="P202" s="180"/>
      <c r="Q202" s="180"/>
      <c r="R202" s="180"/>
      <c r="S202" s="180"/>
      <c r="T202" s="180" t="s">
        <v>61</v>
      </c>
      <c r="U202" s="184"/>
      <c r="V202" s="181"/>
      <c r="W202" s="182"/>
      <c r="X202" s="183"/>
      <c r="Y202" s="184"/>
      <c r="Z202" s="185" t="s">
        <v>592</v>
      </c>
    </row>
    <row r="203" spans="1:26" ht="11.4" x14ac:dyDescent="0.15">
      <c r="A203" s="175">
        <f t="shared" si="1"/>
        <v>201</v>
      </c>
      <c r="B203" s="176"/>
      <c r="C203" s="176"/>
      <c r="D203" s="176" t="s">
        <v>816</v>
      </c>
      <c r="E203" s="176" t="s">
        <v>817</v>
      </c>
      <c r="F203" s="186"/>
      <c r="G203" s="258"/>
      <c r="H203" s="227" t="s">
        <v>818</v>
      </c>
      <c r="I203" s="177"/>
      <c r="J203" s="178"/>
      <c r="K203" s="178"/>
      <c r="L203" s="179"/>
      <c r="M203" s="177"/>
      <c r="N203" s="178"/>
      <c r="O203" s="178"/>
      <c r="P203" s="180"/>
      <c r="Q203" s="180"/>
      <c r="R203" s="180"/>
      <c r="S203" s="180"/>
      <c r="T203" s="180" t="s">
        <v>61</v>
      </c>
      <c r="U203" s="184"/>
      <c r="V203" s="181"/>
      <c r="W203" s="182"/>
      <c r="X203" s="183"/>
      <c r="Y203" s="184"/>
      <c r="Z203" s="185" t="s">
        <v>592</v>
      </c>
    </row>
    <row r="204" spans="1:26" ht="11.4" x14ac:dyDescent="0.15">
      <c r="A204" s="175">
        <f t="shared" si="1"/>
        <v>202</v>
      </c>
      <c r="B204" s="176"/>
      <c r="C204" s="176"/>
      <c r="D204" s="176"/>
      <c r="E204" s="176" t="s">
        <v>819</v>
      </c>
      <c r="F204" s="186"/>
      <c r="G204" s="258"/>
      <c r="H204" s="227" t="s">
        <v>818</v>
      </c>
      <c r="I204" s="177"/>
      <c r="J204" s="178"/>
      <c r="K204" s="178"/>
      <c r="L204" s="179"/>
      <c r="M204" s="177"/>
      <c r="N204" s="178"/>
      <c r="O204" s="178"/>
      <c r="P204" s="180"/>
      <c r="Q204" s="180"/>
      <c r="R204" s="180"/>
      <c r="S204" s="180"/>
      <c r="T204" s="180" t="s">
        <v>61</v>
      </c>
      <c r="U204" s="184"/>
      <c r="V204" s="181"/>
      <c r="W204" s="182"/>
      <c r="X204" s="183"/>
      <c r="Y204" s="184"/>
      <c r="Z204" s="185" t="s">
        <v>592</v>
      </c>
    </row>
    <row r="205" spans="1:26" ht="11.4" x14ac:dyDescent="0.15">
      <c r="A205" s="175">
        <f t="shared" si="1"/>
        <v>203</v>
      </c>
      <c r="B205" s="176"/>
      <c r="C205" s="176"/>
      <c r="D205" s="176"/>
      <c r="E205" s="176" t="s">
        <v>820</v>
      </c>
      <c r="F205" s="186"/>
      <c r="G205" s="258"/>
      <c r="H205" s="227" t="s">
        <v>821</v>
      </c>
      <c r="I205" s="177"/>
      <c r="J205" s="178"/>
      <c r="K205" s="178"/>
      <c r="L205" s="179"/>
      <c r="M205" s="177"/>
      <c r="N205" s="178"/>
      <c r="O205" s="178"/>
      <c r="P205" s="180"/>
      <c r="Q205" s="180"/>
      <c r="R205" s="180"/>
      <c r="S205" s="180"/>
      <c r="T205" s="180" t="s">
        <v>61</v>
      </c>
      <c r="U205" s="184"/>
      <c r="V205" s="181"/>
      <c r="W205" s="182"/>
      <c r="X205" s="183"/>
      <c r="Y205" s="184"/>
      <c r="Z205" s="185" t="s">
        <v>592</v>
      </c>
    </row>
    <row r="206" spans="1:26" ht="11.4" x14ac:dyDescent="0.15">
      <c r="A206" s="175">
        <f t="shared" si="1"/>
        <v>204</v>
      </c>
      <c r="B206" s="176"/>
      <c r="C206" s="176"/>
      <c r="D206" s="176"/>
      <c r="E206" s="176" t="s">
        <v>822</v>
      </c>
      <c r="F206" s="186" t="s">
        <v>823</v>
      </c>
      <c r="G206" s="258" t="s">
        <v>56</v>
      </c>
      <c r="H206" s="227" t="s">
        <v>824</v>
      </c>
      <c r="I206" s="177"/>
      <c r="J206" s="178"/>
      <c r="K206" s="178"/>
      <c r="L206" s="179"/>
      <c r="M206" s="177"/>
      <c r="N206" s="178"/>
      <c r="O206" s="178"/>
      <c r="P206" s="180"/>
      <c r="Q206" s="180"/>
      <c r="R206" s="180"/>
      <c r="S206" s="180"/>
      <c r="T206" s="180" t="s">
        <v>61</v>
      </c>
      <c r="U206" s="184"/>
      <c r="V206" s="181"/>
      <c r="W206" s="182"/>
      <c r="X206" s="183"/>
      <c r="Y206" s="184"/>
      <c r="Z206" s="185" t="s">
        <v>592</v>
      </c>
    </row>
    <row r="207" spans="1:26" ht="11.4" x14ac:dyDescent="0.15">
      <c r="A207" s="175">
        <f t="shared" si="1"/>
        <v>205</v>
      </c>
      <c r="B207" s="176"/>
      <c r="C207" s="176"/>
      <c r="D207" s="176"/>
      <c r="E207" s="176" t="s">
        <v>825</v>
      </c>
      <c r="F207" s="186"/>
      <c r="G207" s="258"/>
      <c r="H207" s="227" t="s">
        <v>826</v>
      </c>
      <c r="I207" s="177"/>
      <c r="J207" s="178"/>
      <c r="K207" s="178"/>
      <c r="L207" s="179"/>
      <c r="M207" s="177"/>
      <c r="N207" s="178"/>
      <c r="O207" s="178"/>
      <c r="P207" s="180"/>
      <c r="Q207" s="180"/>
      <c r="R207" s="180"/>
      <c r="S207" s="180"/>
      <c r="T207" s="180" t="s">
        <v>61</v>
      </c>
      <c r="U207" s="184"/>
      <c r="V207" s="181"/>
      <c r="W207" s="182"/>
      <c r="X207" s="183"/>
      <c r="Y207" s="184"/>
      <c r="Z207" s="185" t="s">
        <v>592</v>
      </c>
    </row>
    <row r="208" spans="1:26" ht="11.4" x14ac:dyDescent="0.15">
      <c r="A208" s="175">
        <f t="shared" si="1"/>
        <v>206</v>
      </c>
      <c r="B208" s="176"/>
      <c r="C208" s="176"/>
      <c r="D208" s="176"/>
      <c r="E208" s="176" t="s">
        <v>827</v>
      </c>
      <c r="F208" s="186"/>
      <c r="G208" s="258"/>
      <c r="H208" s="227" t="s">
        <v>828</v>
      </c>
      <c r="I208" s="177"/>
      <c r="J208" s="178"/>
      <c r="K208" s="178"/>
      <c r="L208" s="179"/>
      <c r="M208" s="177"/>
      <c r="N208" s="178"/>
      <c r="O208" s="178"/>
      <c r="P208" s="180"/>
      <c r="Q208" s="180"/>
      <c r="R208" s="180"/>
      <c r="S208" s="180"/>
      <c r="T208" s="180" t="s">
        <v>61</v>
      </c>
      <c r="U208" s="184"/>
      <c r="V208" s="181"/>
      <c r="W208" s="182"/>
      <c r="X208" s="183"/>
      <c r="Y208" s="184"/>
      <c r="Z208" s="185" t="s">
        <v>592</v>
      </c>
    </row>
    <row r="209" spans="1:26" ht="11.4" x14ac:dyDescent="0.15">
      <c r="A209" s="175">
        <f t="shared" si="1"/>
        <v>207</v>
      </c>
      <c r="B209" s="176"/>
      <c r="C209" s="176"/>
      <c r="D209" s="176"/>
      <c r="E209" s="176" t="s">
        <v>829</v>
      </c>
      <c r="F209" s="186"/>
      <c r="G209" s="258"/>
      <c r="H209" s="227" t="s">
        <v>830</v>
      </c>
      <c r="I209" s="177"/>
      <c r="J209" s="178"/>
      <c r="K209" s="178"/>
      <c r="L209" s="179"/>
      <c r="M209" s="177"/>
      <c r="N209" s="178"/>
      <c r="O209" s="178"/>
      <c r="P209" s="180"/>
      <c r="Q209" s="180"/>
      <c r="R209" s="180"/>
      <c r="S209" s="180"/>
      <c r="T209" s="180" t="s">
        <v>61</v>
      </c>
      <c r="U209" s="184"/>
      <c r="V209" s="181"/>
      <c r="W209" s="182"/>
      <c r="X209" s="183"/>
      <c r="Y209" s="184"/>
      <c r="Z209" s="185" t="s">
        <v>592</v>
      </c>
    </row>
    <row r="210" spans="1:26" ht="11.4" x14ac:dyDescent="0.15">
      <c r="A210" s="175">
        <f t="shared" si="1"/>
        <v>208</v>
      </c>
      <c r="B210" s="176"/>
      <c r="C210" s="176"/>
      <c r="D210" s="176"/>
      <c r="E210" s="176" t="s">
        <v>831</v>
      </c>
      <c r="F210" s="186"/>
      <c r="G210" s="258"/>
      <c r="H210" s="227" t="s">
        <v>832</v>
      </c>
      <c r="I210" s="177"/>
      <c r="J210" s="178"/>
      <c r="K210" s="178"/>
      <c r="L210" s="179"/>
      <c r="M210" s="177"/>
      <c r="N210" s="178"/>
      <c r="O210" s="178"/>
      <c r="P210" s="180"/>
      <c r="Q210" s="180"/>
      <c r="R210" s="180"/>
      <c r="S210" s="180"/>
      <c r="T210" s="180" t="s">
        <v>61</v>
      </c>
      <c r="U210" s="184"/>
      <c r="V210" s="181"/>
      <c r="W210" s="182"/>
      <c r="X210" s="183"/>
      <c r="Y210" s="184"/>
      <c r="Z210" s="185" t="s">
        <v>592</v>
      </c>
    </row>
    <row r="211" spans="1:26" ht="11.4" x14ac:dyDescent="0.15">
      <c r="A211" s="175">
        <f t="shared" si="1"/>
        <v>209</v>
      </c>
      <c r="B211" s="176"/>
      <c r="C211" s="176"/>
      <c r="D211" s="176"/>
      <c r="E211" s="176" t="s">
        <v>833</v>
      </c>
      <c r="F211" s="186"/>
      <c r="G211" s="258"/>
      <c r="H211" s="227" t="s">
        <v>834</v>
      </c>
      <c r="I211" s="177"/>
      <c r="J211" s="178"/>
      <c r="K211" s="178"/>
      <c r="L211" s="179"/>
      <c r="M211" s="177"/>
      <c r="N211" s="178"/>
      <c r="O211" s="178"/>
      <c r="P211" s="180"/>
      <c r="Q211" s="180"/>
      <c r="R211" s="180"/>
      <c r="S211" s="180"/>
      <c r="T211" s="180" t="s">
        <v>61</v>
      </c>
      <c r="U211" s="184"/>
      <c r="V211" s="181"/>
      <c r="W211" s="182"/>
      <c r="X211" s="183"/>
      <c r="Y211" s="184"/>
      <c r="Z211" s="185" t="s">
        <v>592</v>
      </c>
    </row>
    <row r="212" spans="1:26" ht="11.4" x14ac:dyDescent="0.15">
      <c r="A212" s="175">
        <f t="shared" si="1"/>
        <v>210</v>
      </c>
      <c r="B212" s="176"/>
      <c r="C212" s="176"/>
      <c r="D212" s="176"/>
      <c r="E212" s="176" t="s">
        <v>835</v>
      </c>
      <c r="F212" s="186"/>
      <c r="G212" s="258"/>
      <c r="H212" s="227" t="s">
        <v>836</v>
      </c>
      <c r="I212" s="177"/>
      <c r="J212" s="178"/>
      <c r="K212" s="178"/>
      <c r="L212" s="179"/>
      <c r="M212" s="177"/>
      <c r="N212" s="178"/>
      <c r="O212" s="178"/>
      <c r="P212" s="180"/>
      <c r="Q212" s="180"/>
      <c r="R212" s="180"/>
      <c r="S212" s="180"/>
      <c r="T212" s="180" t="s">
        <v>61</v>
      </c>
      <c r="U212" s="184"/>
      <c r="V212" s="181"/>
      <c r="W212" s="182"/>
      <c r="X212" s="183"/>
      <c r="Y212" s="184"/>
      <c r="Z212" s="185" t="s">
        <v>592</v>
      </c>
    </row>
    <row r="213" spans="1:26" ht="11.4" x14ac:dyDescent="0.15">
      <c r="A213" s="175">
        <f t="shared" si="1"/>
        <v>211</v>
      </c>
      <c r="B213" s="176"/>
      <c r="C213" s="176"/>
      <c r="D213" s="176"/>
      <c r="E213" s="176" t="s">
        <v>837</v>
      </c>
      <c r="F213" s="186"/>
      <c r="G213" s="258"/>
      <c r="H213" s="227" t="s">
        <v>838</v>
      </c>
      <c r="I213" s="177"/>
      <c r="J213" s="178"/>
      <c r="K213" s="178"/>
      <c r="L213" s="179"/>
      <c r="M213" s="177"/>
      <c r="N213" s="178"/>
      <c r="O213" s="178"/>
      <c r="P213" s="180"/>
      <c r="Q213" s="180"/>
      <c r="R213" s="180"/>
      <c r="S213" s="180"/>
      <c r="T213" s="180" t="s">
        <v>61</v>
      </c>
      <c r="U213" s="184"/>
      <c r="V213" s="181"/>
      <c r="W213" s="182"/>
      <c r="X213" s="183"/>
      <c r="Y213" s="184"/>
      <c r="Z213" s="185" t="s">
        <v>592</v>
      </c>
    </row>
    <row r="214" spans="1:26" ht="11.4" x14ac:dyDescent="0.15">
      <c r="A214" s="175">
        <f t="shared" si="1"/>
        <v>212</v>
      </c>
      <c r="B214" s="176"/>
      <c r="C214" s="176"/>
      <c r="D214" s="176"/>
      <c r="E214" s="176" t="s">
        <v>839</v>
      </c>
      <c r="F214" s="186"/>
      <c r="G214" s="258"/>
      <c r="H214" s="227" t="s">
        <v>840</v>
      </c>
      <c r="I214" s="177"/>
      <c r="J214" s="178"/>
      <c r="K214" s="178"/>
      <c r="L214" s="179"/>
      <c r="M214" s="177"/>
      <c r="N214" s="178"/>
      <c r="O214" s="178"/>
      <c r="P214" s="180"/>
      <c r="Q214" s="180"/>
      <c r="R214" s="180"/>
      <c r="S214" s="180"/>
      <c r="T214" s="180" t="s">
        <v>61</v>
      </c>
      <c r="U214" s="184"/>
      <c r="V214" s="181"/>
      <c r="W214" s="182"/>
      <c r="X214" s="183"/>
      <c r="Y214" s="184"/>
      <c r="Z214" s="185" t="s">
        <v>592</v>
      </c>
    </row>
    <row r="215" spans="1:26" ht="11.4" x14ac:dyDescent="0.15">
      <c r="A215" s="175">
        <f t="shared" si="1"/>
        <v>213</v>
      </c>
      <c r="B215" s="176"/>
      <c r="C215" s="176"/>
      <c r="D215" s="176"/>
      <c r="E215" s="176" t="s">
        <v>841</v>
      </c>
      <c r="F215" s="186"/>
      <c r="G215" s="258"/>
      <c r="H215" s="227" t="s">
        <v>834</v>
      </c>
      <c r="I215" s="177"/>
      <c r="J215" s="178"/>
      <c r="K215" s="178"/>
      <c r="L215" s="179"/>
      <c r="M215" s="177"/>
      <c r="N215" s="178"/>
      <c r="O215" s="178"/>
      <c r="P215" s="180"/>
      <c r="Q215" s="180"/>
      <c r="R215" s="180"/>
      <c r="S215" s="180"/>
      <c r="T215" s="180" t="s">
        <v>61</v>
      </c>
      <c r="U215" s="184"/>
      <c r="V215" s="181"/>
      <c r="W215" s="182"/>
      <c r="X215" s="183"/>
      <c r="Y215" s="184"/>
      <c r="Z215" s="185" t="s">
        <v>592</v>
      </c>
    </row>
    <row r="216" spans="1:26" ht="11.4" x14ac:dyDescent="0.15">
      <c r="A216" s="175">
        <f t="shared" si="1"/>
        <v>214</v>
      </c>
      <c r="B216" s="176"/>
      <c r="C216" s="176"/>
      <c r="D216" s="176"/>
      <c r="E216" s="176" t="s">
        <v>842</v>
      </c>
      <c r="F216" s="186"/>
      <c r="G216" s="258"/>
      <c r="H216" s="227" t="s">
        <v>834</v>
      </c>
      <c r="I216" s="177"/>
      <c r="J216" s="178"/>
      <c r="K216" s="178"/>
      <c r="L216" s="179"/>
      <c r="M216" s="177"/>
      <c r="N216" s="178"/>
      <c r="O216" s="178"/>
      <c r="P216" s="180"/>
      <c r="Q216" s="180"/>
      <c r="R216" s="180"/>
      <c r="S216" s="180"/>
      <c r="T216" s="180" t="s">
        <v>61</v>
      </c>
      <c r="U216" s="184"/>
      <c r="V216" s="181"/>
      <c r="W216" s="182"/>
      <c r="X216" s="183"/>
      <c r="Y216" s="184"/>
      <c r="Z216" s="185" t="s">
        <v>592</v>
      </c>
    </row>
    <row r="217" spans="1:26" ht="11.4" x14ac:dyDescent="0.15">
      <c r="A217" s="175">
        <f t="shared" si="1"/>
        <v>215</v>
      </c>
      <c r="B217" s="176"/>
      <c r="C217" s="176"/>
      <c r="D217" s="176"/>
      <c r="E217" s="176" t="s">
        <v>843</v>
      </c>
      <c r="F217" s="186"/>
      <c r="G217" s="258"/>
      <c r="H217" s="227" t="s">
        <v>818</v>
      </c>
      <c r="I217" s="177"/>
      <c r="J217" s="178"/>
      <c r="K217" s="178"/>
      <c r="L217" s="179"/>
      <c r="M217" s="177"/>
      <c r="N217" s="178"/>
      <c r="O217" s="178"/>
      <c r="P217" s="180"/>
      <c r="Q217" s="180"/>
      <c r="R217" s="180"/>
      <c r="S217" s="180"/>
      <c r="T217" s="180" t="s">
        <v>61</v>
      </c>
      <c r="U217" s="184"/>
      <c r="V217" s="181"/>
      <c r="W217" s="182"/>
      <c r="X217" s="183"/>
      <c r="Y217" s="184"/>
      <c r="Z217" s="185" t="s">
        <v>592</v>
      </c>
    </row>
    <row r="218" spans="1:26" ht="11.4" x14ac:dyDescent="0.15">
      <c r="A218" s="175">
        <f t="shared" si="1"/>
        <v>216</v>
      </c>
      <c r="B218" s="176"/>
      <c r="C218" s="176"/>
      <c r="D218" s="176"/>
      <c r="E218" s="176" t="s">
        <v>844</v>
      </c>
      <c r="F218" s="186"/>
      <c r="G218" s="258"/>
      <c r="H218" s="227" t="s">
        <v>818</v>
      </c>
      <c r="I218" s="177"/>
      <c r="J218" s="178"/>
      <c r="K218" s="178"/>
      <c r="L218" s="179"/>
      <c r="M218" s="177"/>
      <c r="N218" s="178"/>
      <c r="O218" s="178"/>
      <c r="P218" s="180"/>
      <c r="Q218" s="180"/>
      <c r="R218" s="180"/>
      <c r="S218" s="180"/>
      <c r="T218" s="180" t="s">
        <v>61</v>
      </c>
      <c r="U218" s="184"/>
      <c r="V218" s="181"/>
      <c r="W218" s="182"/>
      <c r="X218" s="183"/>
      <c r="Y218" s="184"/>
      <c r="Z218" s="185" t="s">
        <v>592</v>
      </c>
    </row>
    <row r="219" spans="1:26" ht="11.4" x14ac:dyDescent="0.15">
      <c r="A219" s="175">
        <f t="shared" si="1"/>
        <v>217</v>
      </c>
      <c r="B219" s="176"/>
      <c r="C219" s="176"/>
      <c r="D219" s="176"/>
      <c r="E219" s="176" t="s">
        <v>845</v>
      </c>
      <c r="F219" s="186"/>
      <c r="G219" s="258"/>
      <c r="H219" s="227" t="s">
        <v>818</v>
      </c>
      <c r="I219" s="177"/>
      <c r="J219" s="178"/>
      <c r="K219" s="178"/>
      <c r="L219" s="179"/>
      <c r="M219" s="177"/>
      <c r="N219" s="178"/>
      <c r="O219" s="178"/>
      <c r="P219" s="180"/>
      <c r="Q219" s="180"/>
      <c r="R219" s="180"/>
      <c r="S219" s="180"/>
      <c r="T219" s="180" t="s">
        <v>61</v>
      </c>
      <c r="U219" s="184"/>
      <c r="V219" s="181"/>
      <c r="W219" s="182"/>
      <c r="X219" s="183"/>
      <c r="Y219" s="184"/>
      <c r="Z219" s="185" t="s">
        <v>592</v>
      </c>
    </row>
    <row r="220" spans="1:26" ht="11.4" x14ac:dyDescent="0.15">
      <c r="A220" s="175">
        <f t="shared" si="1"/>
        <v>218</v>
      </c>
      <c r="B220" s="176"/>
      <c r="C220" s="176"/>
      <c r="D220" s="176"/>
      <c r="E220" s="176" t="s">
        <v>846</v>
      </c>
      <c r="F220" s="186"/>
      <c r="G220" s="258"/>
      <c r="H220" s="227" t="s">
        <v>818</v>
      </c>
      <c r="I220" s="177"/>
      <c r="J220" s="178"/>
      <c r="K220" s="178"/>
      <c r="L220" s="179"/>
      <c r="M220" s="177"/>
      <c r="N220" s="178"/>
      <c r="O220" s="178"/>
      <c r="P220" s="180"/>
      <c r="Q220" s="180"/>
      <c r="R220" s="180"/>
      <c r="S220" s="180"/>
      <c r="T220" s="180" t="s">
        <v>61</v>
      </c>
      <c r="U220" s="184"/>
      <c r="V220" s="181"/>
      <c r="W220" s="182"/>
      <c r="X220" s="183"/>
      <c r="Y220" s="184"/>
      <c r="Z220" s="185" t="s">
        <v>592</v>
      </c>
    </row>
    <row r="221" spans="1:26" ht="11.4" x14ac:dyDescent="0.15">
      <c r="A221" s="175">
        <f t="shared" si="1"/>
        <v>219</v>
      </c>
      <c r="B221" s="176"/>
      <c r="C221" s="176" t="s">
        <v>847</v>
      </c>
      <c r="D221" s="176" t="s">
        <v>848</v>
      </c>
      <c r="E221" s="176" t="s">
        <v>849</v>
      </c>
      <c r="F221" s="186" t="s">
        <v>850</v>
      </c>
      <c r="G221" s="258"/>
      <c r="H221" s="227" t="s">
        <v>851</v>
      </c>
      <c r="I221" s="177"/>
      <c r="J221" s="178"/>
      <c r="K221" s="178"/>
      <c r="L221" s="179"/>
      <c r="M221" s="177"/>
      <c r="N221" s="178" t="s">
        <v>61</v>
      </c>
      <c r="O221" s="178"/>
      <c r="P221" s="180"/>
      <c r="Q221" s="180"/>
      <c r="R221" s="180"/>
      <c r="S221" s="180"/>
      <c r="T221" s="180"/>
      <c r="U221" s="184"/>
      <c r="V221" s="181"/>
      <c r="W221" s="182"/>
      <c r="X221" s="183"/>
      <c r="Y221" s="184"/>
      <c r="Z221" s="230" t="s">
        <v>592</v>
      </c>
    </row>
    <row r="222" spans="1:26" ht="11.4" x14ac:dyDescent="0.15">
      <c r="A222" s="175">
        <f t="shared" ref="A222:A226" si="2">ROW()-2</f>
        <v>220</v>
      </c>
      <c r="B222" s="176"/>
      <c r="C222" s="176"/>
      <c r="D222" s="176"/>
      <c r="E222" s="176" t="s">
        <v>852</v>
      </c>
      <c r="F222" s="186" t="s">
        <v>853</v>
      </c>
      <c r="G222" s="258"/>
      <c r="H222" s="227" t="s">
        <v>854</v>
      </c>
      <c r="I222" s="177"/>
      <c r="J222" s="178" t="s">
        <v>61</v>
      </c>
      <c r="K222" s="178"/>
      <c r="L222" s="179"/>
      <c r="M222" s="177"/>
      <c r="N222" s="178"/>
      <c r="O222" s="178"/>
      <c r="P222" s="180"/>
      <c r="Q222" s="180"/>
      <c r="R222" s="180"/>
      <c r="S222" s="180"/>
      <c r="T222" s="180"/>
      <c r="U222" s="184"/>
      <c r="V222" s="181"/>
      <c r="W222" s="182"/>
      <c r="X222" s="183"/>
      <c r="Y222" s="184"/>
      <c r="Z222" s="230" t="s">
        <v>855</v>
      </c>
    </row>
    <row r="223" spans="1:26" ht="11.4" x14ac:dyDescent="0.15">
      <c r="A223" s="175">
        <f t="shared" si="2"/>
        <v>221</v>
      </c>
      <c r="B223" s="176"/>
      <c r="C223" s="176"/>
      <c r="D223" s="176"/>
      <c r="E223" s="176" t="s">
        <v>856</v>
      </c>
      <c r="F223" s="186" t="s">
        <v>857</v>
      </c>
      <c r="G223" s="258"/>
      <c r="H223" s="227" t="s">
        <v>854</v>
      </c>
      <c r="I223" s="177"/>
      <c r="J223" s="178" t="s">
        <v>61</v>
      </c>
      <c r="K223" s="178"/>
      <c r="L223" s="179"/>
      <c r="M223" s="177"/>
      <c r="N223" s="178"/>
      <c r="O223" s="178"/>
      <c r="P223" s="180"/>
      <c r="Q223" s="180"/>
      <c r="R223" s="180"/>
      <c r="S223" s="180"/>
      <c r="T223" s="180"/>
      <c r="U223" s="184"/>
      <c r="V223" s="181"/>
      <c r="W223" s="182"/>
      <c r="X223" s="183"/>
      <c r="Y223" s="184"/>
      <c r="Z223" s="230" t="s">
        <v>855</v>
      </c>
    </row>
    <row r="224" spans="1:26" ht="11.4" x14ac:dyDescent="0.15">
      <c r="A224" s="175">
        <f t="shared" si="2"/>
        <v>222</v>
      </c>
      <c r="B224" s="176"/>
      <c r="C224" s="176"/>
      <c r="D224" s="176"/>
      <c r="E224" s="176" t="s">
        <v>858</v>
      </c>
      <c r="F224" s="186" t="s">
        <v>859</v>
      </c>
      <c r="G224" s="258"/>
      <c r="H224" s="227" t="s">
        <v>854</v>
      </c>
      <c r="I224" s="177"/>
      <c r="J224" s="178" t="s">
        <v>61</v>
      </c>
      <c r="K224" s="178"/>
      <c r="L224" s="179"/>
      <c r="M224" s="177"/>
      <c r="N224" s="178"/>
      <c r="O224" s="178"/>
      <c r="P224" s="180"/>
      <c r="Q224" s="180"/>
      <c r="R224" s="180"/>
      <c r="S224" s="180"/>
      <c r="T224" s="180"/>
      <c r="U224" s="184"/>
      <c r="V224" s="181"/>
      <c r="W224" s="182"/>
      <c r="X224" s="183"/>
      <c r="Y224" s="184"/>
      <c r="Z224" s="230" t="s">
        <v>855</v>
      </c>
    </row>
    <row r="225" spans="1:26" ht="11.4" x14ac:dyDescent="0.15">
      <c r="A225" s="175">
        <f t="shared" si="2"/>
        <v>223</v>
      </c>
      <c r="B225" s="176"/>
      <c r="C225" s="176"/>
      <c r="D225" s="176"/>
      <c r="E225" s="176" t="s">
        <v>860</v>
      </c>
      <c r="F225" s="186" t="s">
        <v>861</v>
      </c>
      <c r="G225" s="258"/>
      <c r="H225" s="227" t="s">
        <v>854</v>
      </c>
      <c r="I225" s="177"/>
      <c r="J225" s="178" t="s">
        <v>61</v>
      </c>
      <c r="K225" s="178"/>
      <c r="L225" s="179"/>
      <c r="M225" s="177"/>
      <c r="N225" s="178"/>
      <c r="O225" s="178"/>
      <c r="P225" s="180"/>
      <c r="Q225" s="180"/>
      <c r="R225" s="180"/>
      <c r="S225" s="180"/>
      <c r="T225" s="180"/>
      <c r="U225" s="184"/>
      <c r="V225" s="181"/>
      <c r="W225" s="182"/>
      <c r="X225" s="183"/>
      <c r="Y225" s="184"/>
      <c r="Z225" s="230" t="s">
        <v>855</v>
      </c>
    </row>
    <row r="226" spans="1:26" ht="11.4" x14ac:dyDescent="0.15">
      <c r="A226" s="175">
        <f t="shared" si="2"/>
        <v>224</v>
      </c>
      <c r="B226" s="176"/>
      <c r="C226" s="176"/>
      <c r="D226" s="176"/>
      <c r="E226" s="176"/>
      <c r="F226" s="186" t="s">
        <v>862</v>
      </c>
      <c r="G226" s="258"/>
      <c r="H226" s="227" t="s">
        <v>863</v>
      </c>
      <c r="I226" s="177"/>
      <c r="J226" s="178"/>
      <c r="K226" s="178"/>
      <c r="L226" s="179"/>
      <c r="M226" s="177"/>
      <c r="N226" s="178" t="s">
        <v>61</v>
      </c>
      <c r="O226" s="178"/>
      <c r="P226" s="178"/>
      <c r="Q226" s="180"/>
      <c r="R226" s="180"/>
      <c r="S226" s="180"/>
      <c r="T226" s="180"/>
      <c r="U226" s="184"/>
      <c r="V226" s="181"/>
      <c r="W226" s="182"/>
      <c r="X226" s="183"/>
      <c r="Y226" s="184"/>
      <c r="Z226" s="230" t="s">
        <v>592</v>
      </c>
    </row>
    <row r="227" spans="1:26" ht="11.4" x14ac:dyDescent="0.15">
      <c r="A227" s="175">
        <f t="shared" ref="A227:A253" si="3">ROW()-2</f>
        <v>225</v>
      </c>
      <c r="B227" s="176" t="s">
        <v>50</v>
      </c>
      <c r="C227" s="176" t="s">
        <v>325</v>
      </c>
      <c r="D227" s="176" t="s">
        <v>325</v>
      </c>
      <c r="E227" s="176" t="s">
        <v>326</v>
      </c>
      <c r="F227" s="186" t="s">
        <v>54</v>
      </c>
      <c r="G227" s="258"/>
      <c r="H227" s="227" t="s">
        <v>327</v>
      </c>
      <c r="I227" s="177"/>
      <c r="J227" s="178"/>
      <c r="K227" s="178"/>
      <c r="L227" s="179"/>
      <c r="M227" s="177"/>
      <c r="N227" s="178"/>
      <c r="O227" s="178"/>
      <c r="P227" s="180"/>
      <c r="Q227" s="180"/>
      <c r="R227" s="180"/>
      <c r="S227" s="180" t="s">
        <v>61</v>
      </c>
      <c r="T227" s="180"/>
      <c r="U227" s="184"/>
      <c r="V227" s="181"/>
      <c r="W227" s="182"/>
      <c r="X227" s="183"/>
      <c r="Y227" s="184"/>
      <c r="Z227" s="185" t="s">
        <v>472</v>
      </c>
    </row>
    <row r="228" spans="1:26" ht="11.4" x14ac:dyDescent="0.15">
      <c r="A228" s="175">
        <f t="shared" si="3"/>
        <v>226</v>
      </c>
      <c r="B228" s="176" t="s">
        <v>328</v>
      </c>
      <c r="C228" s="176"/>
      <c r="D228" s="176"/>
      <c r="E228" s="176" t="s">
        <v>72</v>
      </c>
      <c r="F228" s="186"/>
      <c r="G228" s="258"/>
      <c r="H228" s="227" t="s">
        <v>329</v>
      </c>
      <c r="I228" s="177"/>
      <c r="J228" s="178"/>
      <c r="K228" s="178"/>
      <c r="L228" s="179"/>
      <c r="M228" s="177"/>
      <c r="N228" s="178"/>
      <c r="O228" s="178"/>
      <c r="P228" s="180" t="s">
        <v>56</v>
      </c>
      <c r="Q228" s="180"/>
      <c r="R228" s="180"/>
      <c r="S228" s="180"/>
      <c r="T228" s="180"/>
      <c r="U228" s="184"/>
      <c r="V228" s="181"/>
      <c r="W228" s="182"/>
      <c r="X228" s="183"/>
      <c r="Y228" s="184"/>
      <c r="Z228" s="185" t="s">
        <v>556</v>
      </c>
    </row>
    <row r="229" spans="1:26" ht="11.4" x14ac:dyDescent="0.15">
      <c r="A229" s="175">
        <f t="shared" si="3"/>
        <v>227</v>
      </c>
      <c r="B229" s="176" t="s">
        <v>330</v>
      </c>
      <c r="C229" s="176" t="s">
        <v>331</v>
      </c>
      <c r="D229" s="176" t="s">
        <v>557</v>
      </c>
      <c r="E229" s="186" t="s">
        <v>332</v>
      </c>
      <c r="F229" s="233" t="s">
        <v>1093</v>
      </c>
      <c r="G229" s="259"/>
      <c r="H229" s="228" t="s">
        <v>1098</v>
      </c>
      <c r="I229" s="177"/>
      <c r="J229" s="178"/>
      <c r="K229" s="178"/>
      <c r="L229" s="179"/>
      <c r="M229" s="177"/>
      <c r="N229" s="180" t="s">
        <v>56</v>
      </c>
      <c r="O229" s="178"/>
      <c r="P229" s="180"/>
      <c r="Q229" s="180"/>
      <c r="R229" s="180"/>
      <c r="S229" s="180"/>
      <c r="T229" s="180"/>
      <c r="U229" s="184"/>
      <c r="V229" s="181"/>
      <c r="W229" s="182"/>
      <c r="X229" s="183"/>
      <c r="Y229" s="184"/>
      <c r="Z229" s="185" t="s">
        <v>334</v>
      </c>
    </row>
    <row r="230" spans="1:26" ht="11.4" x14ac:dyDescent="0.15">
      <c r="A230" s="175">
        <f t="shared" si="3"/>
        <v>228</v>
      </c>
      <c r="B230" s="176"/>
      <c r="C230" s="176"/>
      <c r="D230" s="176"/>
      <c r="E230" s="186" t="s">
        <v>559</v>
      </c>
      <c r="F230" s="233"/>
      <c r="G230" s="259"/>
      <c r="H230" s="228" t="s">
        <v>560</v>
      </c>
      <c r="I230" s="177"/>
      <c r="J230" s="178"/>
      <c r="K230" s="178"/>
      <c r="L230" s="179"/>
      <c r="M230" s="177"/>
      <c r="N230" s="178"/>
      <c r="O230" s="178"/>
      <c r="P230" s="180"/>
      <c r="Q230" s="180"/>
      <c r="R230" s="180"/>
      <c r="S230" s="180" t="s">
        <v>56</v>
      </c>
      <c r="T230" s="180"/>
      <c r="U230" s="184"/>
      <c r="V230" s="181"/>
      <c r="W230" s="182"/>
      <c r="X230" s="183"/>
      <c r="Y230" s="184"/>
      <c r="Z230" s="229" t="s">
        <v>1097</v>
      </c>
    </row>
    <row r="231" spans="1:26" ht="11.4" x14ac:dyDescent="0.15">
      <c r="A231" s="175">
        <f t="shared" si="3"/>
        <v>229</v>
      </c>
      <c r="B231" s="176"/>
      <c r="C231" s="176"/>
      <c r="D231" s="176"/>
      <c r="E231" s="176" t="s">
        <v>561</v>
      </c>
      <c r="F231" s="233"/>
      <c r="G231" s="259"/>
      <c r="H231" s="228" t="s">
        <v>336</v>
      </c>
      <c r="I231" s="177"/>
      <c r="J231" s="178"/>
      <c r="K231" s="178"/>
      <c r="L231" s="179"/>
      <c r="M231" s="177"/>
      <c r="N231" s="178"/>
      <c r="O231" s="178"/>
      <c r="P231" s="180"/>
      <c r="Q231" s="180"/>
      <c r="R231" s="180"/>
      <c r="S231" s="180" t="s">
        <v>56</v>
      </c>
      <c r="T231" s="180"/>
      <c r="U231" s="184"/>
      <c r="V231" s="181"/>
      <c r="W231" s="182"/>
      <c r="X231" s="183"/>
      <c r="Y231" s="184"/>
      <c r="Z231" s="185" t="s">
        <v>562</v>
      </c>
    </row>
    <row r="232" spans="1:26" ht="11.4" x14ac:dyDescent="0.15">
      <c r="A232" s="175">
        <f t="shared" si="3"/>
        <v>230</v>
      </c>
      <c r="B232" s="176"/>
      <c r="C232" s="176" t="s">
        <v>563</v>
      </c>
      <c r="D232" s="176" t="s">
        <v>564</v>
      </c>
      <c r="E232" s="186" t="s">
        <v>332</v>
      </c>
      <c r="F232" s="233" t="s">
        <v>1093</v>
      </c>
      <c r="G232" s="259"/>
      <c r="H232" s="228" t="s">
        <v>1099</v>
      </c>
      <c r="I232" s="177"/>
      <c r="J232" s="178"/>
      <c r="K232" s="178"/>
      <c r="L232" s="179"/>
      <c r="M232" s="177"/>
      <c r="N232" s="180" t="s">
        <v>56</v>
      </c>
      <c r="O232" s="178"/>
      <c r="P232" s="180"/>
      <c r="Q232" s="180"/>
      <c r="R232" s="180"/>
      <c r="S232" s="180"/>
      <c r="T232" s="180"/>
      <c r="U232" s="184"/>
      <c r="V232" s="181"/>
      <c r="W232" s="182"/>
      <c r="X232" s="183"/>
      <c r="Y232" s="184"/>
      <c r="Z232" s="185" t="s">
        <v>334</v>
      </c>
    </row>
    <row r="233" spans="1:26" ht="11.4" x14ac:dyDescent="0.15">
      <c r="A233" s="175">
        <f t="shared" si="3"/>
        <v>231</v>
      </c>
      <c r="B233" s="176"/>
      <c r="C233" s="176"/>
      <c r="D233" s="176"/>
      <c r="E233" s="186" t="s">
        <v>559</v>
      </c>
      <c r="F233" s="233"/>
      <c r="G233" s="259"/>
      <c r="H233" s="228" t="s">
        <v>560</v>
      </c>
      <c r="I233" s="177"/>
      <c r="J233" s="178"/>
      <c r="K233" s="178"/>
      <c r="L233" s="179"/>
      <c r="M233" s="177"/>
      <c r="N233" s="178"/>
      <c r="O233" s="178"/>
      <c r="P233" s="180"/>
      <c r="Q233" s="180"/>
      <c r="R233" s="180"/>
      <c r="S233" s="180" t="s">
        <v>56</v>
      </c>
      <c r="T233" s="180"/>
      <c r="U233" s="184"/>
      <c r="V233" s="181"/>
      <c r="W233" s="182"/>
      <c r="X233" s="183"/>
      <c r="Y233" s="184"/>
      <c r="Z233" s="229" t="s">
        <v>1097</v>
      </c>
    </row>
    <row r="234" spans="1:26" ht="11.4" x14ac:dyDescent="0.15">
      <c r="A234" s="175">
        <f t="shared" si="3"/>
        <v>232</v>
      </c>
      <c r="B234" s="176"/>
      <c r="C234" s="176"/>
      <c r="D234" s="176"/>
      <c r="E234" s="186" t="s">
        <v>566</v>
      </c>
      <c r="F234" s="233"/>
      <c r="G234" s="259"/>
      <c r="H234" s="228" t="s">
        <v>336</v>
      </c>
      <c r="I234" s="177"/>
      <c r="J234" s="178"/>
      <c r="K234" s="178"/>
      <c r="L234" s="179"/>
      <c r="M234" s="177"/>
      <c r="N234" s="178"/>
      <c r="O234" s="178"/>
      <c r="P234" s="180"/>
      <c r="Q234" s="180"/>
      <c r="R234" s="180"/>
      <c r="S234" s="180" t="s">
        <v>56</v>
      </c>
      <c r="T234" s="180"/>
      <c r="U234" s="184"/>
      <c r="V234" s="181"/>
      <c r="W234" s="182"/>
      <c r="X234" s="183"/>
      <c r="Y234" s="184"/>
      <c r="Z234" s="185" t="s">
        <v>567</v>
      </c>
    </row>
    <row r="235" spans="1:26" ht="11.4" x14ac:dyDescent="0.15">
      <c r="A235" s="175">
        <f t="shared" si="3"/>
        <v>233</v>
      </c>
      <c r="B235" s="176"/>
      <c r="C235" s="176" t="s">
        <v>864</v>
      </c>
      <c r="D235" s="186" t="s">
        <v>865</v>
      </c>
      <c r="E235" s="186" t="s">
        <v>866</v>
      </c>
      <c r="F235" s="186" t="s">
        <v>577</v>
      </c>
      <c r="G235" s="260"/>
      <c r="H235" s="228" t="s">
        <v>867</v>
      </c>
      <c r="I235" s="177"/>
      <c r="J235" s="178"/>
      <c r="K235" s="178"/>
      <c r="L235" s="179"/>
      <c r="M235" s="177"/>
      <c r="N235" s="180"/>
      <c r="O235" s="178"/>
      <c r="P235" s="180"/>
      <c r="Q235" s="180"/>
      <c r="R235" s="180"/>
      <c r="S235" s="180" t="s">
        <v>56</v>
      </c>
      <c r="T235" s="180"/>
      <c r="U235" s="184"/>
      <c r="V235" s="181"/>
      <c r="W235" s="182"/>
      <c r="X235" s="183"/>
      <c r="Y235" s="184"/>
      <c r="Z235" s="185" t="s">
        <v>472</v>
      </c>
    </row>
    <row r="236" spans="1:26" ht="11.4" x14ac:dyDescent="0.15">
      <c r="A236" s="175">
        <f t="shared" si="3"/>
        <v>234</v>
      </c>
      <c r="B236" s="176"/>
      <c r="C236" s="176"/>
      <c r="D236" s="186"/>
      <c r="E236" s="186"/>
      <c r="F236" s="186"/>
      <c r="G236" s="260"/>
      <c r="H236" s="228" t="s">
        <v>868</v>
      </c>
      <c r="I236" s="177"/>
      <c r="J236" s="178"/>
      <c r="K236" s="178"/>
      <c r="L236" s="179"/>
      <c r="M236" s="177"/>
      <c r="N236" s="180"/>
      <c r="O236" s="178"/>
      <c r="P236" s="180"/>
      <c r="Q236" s="180"/>
      <c r="R236" s="180"/>
      <c r="S236" s="180" t="s">
        <v>61</v>
      </c>
      <c r="T236" s="180"/>
      <c r="U236" s="184"/>
      <c r="V236" s="181"/>
      <c r="W236" s="182"/>
      <c r="X236" s="183"/>
      <c r="Y236" s="184"/>
      <c r="Z236" s="229" t="s">
        <v>1097</v>
      </c>
    </row>
    <row r="237" spans="1:26" ht="11.4" x14ac:dyDescent="0.15">
      <c r="A237" s="175">
        <f t="shared" si="3"/>
        <v>235</v>
      </c>
      <c r="B237" s="176"/>
      <c r="C237" s="176"/>
      <c r="D237" s="186"/>
      <c r="E237" s="186"/>
      <c r="F237" s="186" t="s">
        <v>869</v>
      </c>
      <c r="G237" s="260"/>
      <c r="H237" s="228" t="s">
        <v>870</v>
      </c>
      <c r="I237" s="177"/>
      <c r="J237" s="178"/>
      <c r="K237" s="178"/>
      <c r="L237" s="179"/>
      <c r="M237" s="177"/>
      <c r="N237" s="178"/>
      <c r="O237" s="178"/>
      <c r="P237" s="180"/>
      <c r="Q237" s="180"/>
      <c r="R237" s="180"/>
      <c r="S237" s="180"/>
      <c r="T237" s="180" t="s">
        <v>61</v>
      </c>
      <c r="U237" s="184"/>
      <c r="V237" s="181"/>
      <c r="W237" s="182"/>
      <c r="X237" s="183"/>
      <c r="Y237" s="184"/>
      <c r="Z237" s="230" t="s">
        <v>871</v>
      </c>
    </row>
    <row r="238" spans="1:26" ht="11.4" x14ac:dyDescent="0.15">
      <c r="A238" s="175">
        <f t="shared" si="3"/>
        <v>236</v>
      </c>
      <c r="B238" s="176"/>
      <c r="C238" s="176"/>
      <c r="D238" s="176"/>
      <c r="E238" s="186" t="s">
        <v>872</v>
      </c>
      <c r="F238" s="186" t="s">
        <v>873</v>
      </c>
      <c r="G238" s="260"/>
      <c r="H238" s="228" t="s">
        <v>874</v>
      </c>
      <c r="I238" s="177"/>
      <c r="J238" s="178"/>
      <c r="K238" s="178"/>
      <c r="L238" s="179"/>
      <c r="M238" s="177"/>
      <c r="N238" s="178"/>
      <c r="O238" s="178"/>
      <c r="P238" s="180"/>
      <c r="Q238" s="180"/>
      <c r="R238" s="180"/>
      <c r="S238" s="180" t="s">
        <v>61</v>
      </c>
      <c r="T238" s="180"/>
      <c r="U238" s="184"/>
      <c r="V238" s="181"/>
      <c r="W238" s="182"/>
      <c r="X238" s="183"/>
      <c r="Y238" s="184"/>
      <c r="Z238" s="229" t="s">
        <v>1097</v>
      </c>
    </row>
    <row r="239" spans="1:26" ht="11.4" x14ac:dyDescent="0.15">
      <c r="A239" s="175">
        <f t="shared" si="3"/>
        <v>237</v>
      </c>
      <c r="B239" s="176"/>
      <c r="C239" s="176"/>
      <c r="D239" s="186" t="s">
        <v>875</v>
      </c>
      <c r="E239" s="186" t="s">
        <v>876</v>
      </c>
      <c r="F239" s="186" t="s">
        <v>877</v>
      </c>
      <c r="G239" s="260"/>
      <c r="H239" s="228" t="s">
        <v>868</v>
      </c>
      <c r="I239" s="177"/>
      <c r="J239" s="178"/>
      <c r="K239" s="178"/>
      <c r="L239" s="179"/>
      <c r="M239" s="177"/>
      <c r="N239" s="178"/>
      <c r="O239" s="178"/>
      <c r="P239" s="180"/>
      <c r="Q239" s="180"/>
      <c r="R239" s="180"/>
      <c r="S239" s="180" t="s">
        <v>61</v>
      </c>
      <c r="T239" s="180"/>
      <c r="U239" s="184"/>
      <c r="V239" s="181"/>
      <c r="W239" s="182"/>
      <c r="X239" s="183"/>
      <c r="Y239" s="184"/>
      <c r="Z239" s="229" t="s">
        <v>1097</v>
      </c>
    </row>
    <row r="240" spans="1:26" ht="11.4" x14ac:dyDescent="0.15">
      <c r="A240" s="175">
        <f t="shared" si="3"/>
        <v>238</v>
      </c>
      <c r="B240" s="176"/>
      <c r="C240" s="176"/>
      <c r="D240" s="186"/>
      <c r="E240" s="186"/>
      <c r="F240" s="186" t="s">
        <v>878</v>
      </c>
      <c r="G240" s="260"/>
      <c r="H240" s="228" t="s">
        <v>874</v>
      </c>
      <c r="I240" s="177"/>
      <c r="J240" s="178"/>
      <c r="K240" s="178"/>
      <c r="L240" s="179"/>
      <c r="M240" s="177"/>
      <c r="N240" s="178"/>
      <c r="O240" s="178"/>
      <c r="P240" s="180"/>
      <c r="Q240" s="180"/>
      <c r="R240" s="180"/>
      <c r="S240" s="180" t="s">
        <v>61</v>
      </c>
      <c r="T240" s="180"/>
      <c r="U240" s="184"/>
      <c r="V240" s="181"/>
      <c r="W240" s="182"/>
      <c r="X240" s="183"/>
      <c r="Y240" s="184"/>
      <c r="Z240" s="229" t="s">
        <v>1097</v>
      </c>
    </row>
    <row r="241" spans="1:27" ht="11.4" x14ac:dyDescent="0.15">
      <c r="A241" s="175">
        <f t="shared" si="3"/>
        <v>239</v>
      </c>
      <c r="B241" s="176"/>
      <c r="C241" s="176" t="s">
        <v>879</v>
      </c>
      <c r="D241" s="186" t="s">
        <v>880</v>
      </c>
      <c r="E241" s="186" t="s">
        <v>881</v>
      </c>
      <c r="F241" s="186" t="s">
        <v>882</v>
      </c>
      <c r="G241" s="260"/>
      <c r="H241" s="228" t="s">
        <v>883</v>
      </c>
      <c r="I241" s="177"/>
      <c r="J241" s="178"/>
      <c r="K241" s="178"/>
      <c r="L241" s="179"/>
      <c r="M241" s="177"/>
      <c r="N241" s="178"/>
      <c r="O241" s="178"/>
      <c r="P241" s="180"/>
      <c r="Q241" s="180"/>
      <c r="R241" s="180"/>
      <c r="S241" s="180" t="s">
        <v>61</v>
      </c>
      <c r="T241" s="180"/>
      <c r="U241" s="184"/>
      <c r="V241" s="181"/>
      <c r="W241" s="182"/>
      <c r="X241" s="183"/>
      <c r="Y241" s="184"/>
      <c r="Z241" s="230" t="s">
        <v>884</v>
      </c>
    </row>
    <row r="242" spans="1:27" ht="11.4" x14ac:dyDescent="0.15">
      <c r="A242" s="175">
        <f t="shared" si="3"/>
        <v>240</v>
      </c>
      <c r="B242" s="176"/>
      <c r="C242" s="176"/>
      <c r="D242" s="186"/>
      <c r="E242" s="186"/>
      <c r="F242" s="186"/>
      <c r="G242" s="260"/>
      <c r="H242" s="228" t="s">
        <v>336</v>
      </c>
      <c r="I242" s="177"/>
      <c r="J242" s="178"/>
      <c r="K242" s="178"/>
      <c r="L242" s="179"/>
      <c r="M242" s="177"/>
      <c r="N242" s="178"/>
      <c r="O242" s="178"/>
      <c r="P242" s="180"/>
      <c r="Q242" s="180"/>
      <c r="R242" s="180"/>
      <c r="S242" s="180" t="s">
        <v>56</v>
      </c>
      <c r="T242" s="180"/>
      <c r="U242" s="184"/>
      <c r="V242" s="181"/>
      <c r="W242" s="182"/>
      <c r="X242" s="183"/>
      <c r="Y242" s="184"/>
      <c r="Z242" s="185" t="s">
        <v>885</v>
      </c>
    </row>
    <row r="243" spans="1:27" ht="11.4" x14ac:dyDescent="0.15">
      <c r="A243" s="175">
        <f t="shared" si="3"/>
        <v>241</v>
      </c>
      <c r="B243" s="176"/>
      <c r="C243" s="176"/>
      <c r="D243" s="186"/>
      <c r="E243" s="186"/>
      <c r="F243" s="186" t="s">
        <v>886</v>
      </c>
      <c r="G243" s="260"/>
      <c r="H243" s="228" t="s">
        <v>887</v>
      </c>
      <c r="I243" s="177"/>
      <c r="J243" s="178"/>
      <c r="K243" s="178"/>
      <c r="L243" s="179"/>
      <c r="M243" s="177"/>
      <c r="N243" s="178"/>
      <c r="O243" s="178"/>
      <c r="P243" s="180"/>
      <c r="Q243" s="180"/>
      <c r="R243" s="180"/>
      <c r="S243" s="180"/>
      <c r="T243" s="180" t="s">
        <v>56</v>
      </c>
      <c r="U243" s="184"/>
      <c r="V243" s="181"/>
      <c r="W243" s="182"/>
      <c r="X243" s="183"/>
      <c r="Y243" s="184"/>
      <c r="Z243" s="229"/>
    </row>
    <row r="244" spans="1:27" ht="11.4" x14ac:dyDescent="0.15">
      <c r="A244" s="175">
        <f t="shared" si="3"/>
        <v>242</v>
      </c>
      <c r="B244" s="176"/>
      <c r="C244" s="176"/>
      <c r="D244" s="186"/>
      <c r="E244" s="186" t="s">
        <v>888</v>
      </c>
      <c r="F244" s="186" t="s">
        <v>889</v>
      </c>
      <c r="G244" s="260"/>
      <c r="H244" s="228" t="s">
        <v>890</v>
      </c>
      <c r="I244" s="177"/>
      <c r="J244" s="178"/>
      <c r="K244" s="178"/>
      <c r="L244" s="179"/>
      <c r="M244" s="177"/>
      <c r="N244" s="180"/>
      <c r="O244" s="178"/>
      <c r="P244" s="180"/>
      <c r="Q244" s="180"/>
      <c r="R244" s="180"/>
      <c r="S244" s="180" t="s">
        <v>56</v>
      </c>
      <c r="T244" s="180"/>
      <c r="U244" s="184"/>
      <c r="V244" s="181"/>
      <c r="W244" s="182"/>
      <c r="X244" s="183"/>
      <c r="Y244" s="184"/>
      <c r="Z244" s="185" t="s">
        <v>885</v>
      </c>
    </row>
    <row r="245" spans="1:27" ht="11.4" x14ac:dyDescent="0.15">
      <c r="A245" s="175">
        <f t="shared" si="3"/>
        <v>243</v>
      </c>
      <c r="B245" s="176"/>
      <c r="C245" s="176"/>
      <c r="D245" s="186"/>
      <c r="E245" s="186" t="s">
        <v>891</v>
      </c>
      <c r="F245" s="186" t="s">
        <v>892</v>
      </c>
      <c r="G245" s="260"/>
      <c r="H245" s="255" t="s">
        <v>893</v>
      </c>
      <c r="I245" s="177"/>
      <c r="J245" s="178"/>
      <c r="K245" s="178"/>
      <c r="L245" s="179"/>
      <c r="M245" s="177"/>
      <c r="N245" s="180"/>
      <c r="O245" s="178"/>
      <c r="P245" s="180"/>
      <c r="Q245" s="180"/>
      <c r="R245" s="180"/>
      <c r="S245" s="180"/>
      <c r="T245" s="180" t="s">
        <v>56</v>
      </c>
      <c r="U245" s="184"/>
      <c r="V245" s="181"/>
      <c r="W245" s="182"/>
      <c r="X245" s="183"/>
      <c r="Y245" s="184"/>
      <c r="Z245" s="185"/>
    </row>
    <row r="246" spans="1:27" s="240" customFormat="1" ht="11.4" x14ac:dyDescent="0.15">
      <c r="A246" s="175">
        <f t="shared" si="3"/>
        <v>244</v>
      </c>
      <c r="B246" s="187" t="s">
        <v>10</v>
      </c>
      <c r="C246" s="187" t="s">
        <v>593</v>
      </c>
      <c r="D246" s="186" t="s">
        <v>894</v>
      </c>
      <c r="E246" s="186" t="s">
        <v>595</v>
      </c>
      <c r="F246" s="186" t="s">
        <v>596</v>
      </c>
      <c r="G246" s="260"/>
      <c r="H246" s="228" t="s">
        <v>597</v>
      </c>
      <c r="I246" s="177"/>
      <c r="J246" s="178"/>
      <c r="K246" s="178"/>
      <c r="L246" s="179"/>
      <c r="M246" s="177" t="s">
        <v>61</v>
      </c>
      <c r="N246" s="178"/>
      <c r="O246" s="178"/>
      <c r="P246" s="180"/>
      <c r="Q246" s="180"/>
      <c r="R246" s="180"/>
      <c r="S246" s="180"/>
      <c r="T246" s="180"/>
      <c r="U246" s="184"/>
      <c r="V246" s="181"/>
      <c r="W246" s="182"/>
      <c r="X246" s="183"/>
      <c r="Y246" s="184"/>
      <c r="Z246" s="185" t="s">
        <v>895</v>
      </c>
      <c r="AA246" s="236"/>
    </row>
    <row r="247" spans="1:27" s="240" customFormat="1" ht="11.4" x14ac:dyDescent="0.15">
      <c r="A247" s="175">
        <f t="shared" si="3"/>
        <v>245</v>
      </c>
      <c r="B247" s="176"/>
      <c r="C247" s="176"/>
      <c r="D247" s="186"/>
      <c r="E247" s="186"/>
      <c r="F247" s="186"/>
      <c r="G247" s="260"/>
      <c r="H247" s="228" t="s">
        <v>896</v>
      </c>
      <c r="I247" s="177"/>
      <c r="J247" s="178"/>
      <c r="K247" s="178"/>
      <c r="L247" s="179"/>
      <c r="M247" s="160"/>
      <c r="N247" s="178"/>
      <c r="O247" s="178"/>
      <c r="P247" s="180" t="s">
        <v>56</v>
      </c>
      <c r="Q247" s="180"/>
      <c r="R247" s="180"/>
      <c r="S247" s="180"/>
      <c r="T247" s="180"/>
      <c r="U247" s="184"/>
      <c r="V247" s="181"/>
      <c r="W247" s="182"/>
      <c r="X247" s="183"/>
      <c r="Y247" s="184"/>
      <c r="Z247" s="185" t="s">
        <v>897</v>
      </c>
      <c r="AA247" s="236"/>
    </row>
    <row r="248" spans="1:27" ht="11.4" x14ac:dyDescent="0.15">
      <c r="A248" s="175">
        <f t="shared" si="3"/>
        <v>246</v>
      </c>
      <c r="B248" s="176"/>
      <c r="C248" s="176"/>
      <c r="D248" s="176"/>
      <c r="E248" s="176" t="s">
        <v>619</v>
      </c>
      <c r="F248" s="186" t="s">
        <v>898</v>
      </c>
      <c r="G248" s="258"/>
      <c r="H248" s="227" t="s">
        <v>899</v>
      </c>
      <c r="I248" s="177"/>
      <c r="J248" s="178"/>
      <c r="K248" s="178"/>
      <c r="L248" s="179"/>
      <c r="M248" s="177"/>
      <c r="N248" s="178"/>
      <c r="O248" s="178"/>
      <c r="P248" s="180"/>
      <c r="Q248" s="180" t="s">
        <v>56</v>
      </c>
      <c r="R248" s="180"/>
      <c r="S248" s="180"/>
      <c r="T248" s="180"/>
      <c r="U248" s="184"/>
      <c r="V248" s="181"/>
      <c r="W248" s="182"/>
      <c r="X248" s="183"/>
      <c r="Y248" s="184"/>
      <c r="Z248" s="185" t="s">
        <v>642</v>
      </c>
    </row>
    <row r="249" spans="1:27" s="240" customFormat="1" ht="11.4" x14ac:dyDescent="0.15">
      <c r="A249" s="175">
        <f t="shared" si="3"/>
        <v>247</v>
      </c>
      <c r="B249" s="176"/>
      <c r="C249" s="176"/>
      <c r="D249" s="186"/>
      <c r="E249" s="176" t="s">
        <v>601</v>
      </c>
      <c r="F249" s="186" t="s">
        <v>602</v>
      </c>
      <c r="G249" s="260"/>
      <c r="H249" s="228" t="s">
        <v>597</v>
      </c>
      <c r="I249" s="177"/>
      <c r="J249" s="178"/>
      <c r="K249" s="178"/>
      <c r="L249" s="179"/>
      <c r="M249" s="177" t="s">
        <v>61</v>
      </c>
      <c r="N249" s="178"/>
      <c r="O249" s="178"/>
      <c r="P249" s="180"/>
      <c r="Q249" s="180"/>
      <c r="R249" s="180"/>
      <c r="S249" s="180"/>
      <c r="T249" s="180"/>
      <c r="U249" s="184"/>
      <c r="V249" s="181"/>
      <c r="W249" s="182"/>
      <c r="X249" s="183"/>
      <c r="Y249" s="184"/>
      <c r="Z249" s="185" t="s">
        <v>895</v>
      </c>
      <c r="AA249" s="236"/>
    </row>
    <row r="250" spans="1:27" s="240" customFormat="1" ht="12" customHeight="1" x14ac:dyDescent="0.15">
      <c r="A250" s="175">
        <f t="shared" si="3"/>
        <v>248</v>
      </c>
      <c r="B250" s="176"/>
      <c r="C250" s="187"/>
      <c r="D250" s="186"/>
      <c r="E250" s="186"/>
      <c r="F250" s="186"/>
      <c r="G250" s="260"/>
      <c r="H250" s="228" t="s">
        <v>900</v>
      </c>
      <c r="I250" s="177"/>
      <c r="J250" s="178"/>
      <c r="K250" s="178"/>
      <c r="L250" s="179"/>
      <c r="M250" s="177"/>
      <c r="N250" s="178"/>
      <c r="O250" s="178"/>
      <c r="P250" s="180" t="s">
        <v>56</v>
      </c>
      <c r="Q250" s="180"/>
      <c r="R250" s="180"/>
      <c r="S250" s="180"/>
      <c r="T250" s="180"/>
      <c r="U250" s="184"/>
      <c r="V250" s="181"/>
      <c r="W250" s="182"/>
      <c r="X250" s="183"/>
      <c r="Y250" s="184"/>
      <c r="Z250" s="185" t="s">
        <v>897</v>
      </c>
      <c r="AA250" s="236"/>
    </row>
    <row r="251" spans="1:27" ht="11.4" x14ac:dyDescent="0.15">
      <c r="A251" s="175">
        <f t="shared" si="3"/>
        <v>249</v>
      </c>
      <c r="B251" s="176"/>
      <c r="C251" s="176"/>
      <c r="D251" s="176"/>
      <c r="E251" s="176" t="s">
        <v>619</v>
      </c>
      <c r="F251" s="186" t="s">
        <v>898</v>
      </c>
      <c r="G251" s="258"/>
      <c r="H251" s="227" t="s">
        <v>621</v>
      </c>
      <c r="I251" s="177"/>
      <c r="J251" s="178"/>
      <c r="K251" s="178"/>
      <c r="L251" s="179"/>
      <c r="M251" s="177"/>
      <c r="N251" s="178"/>
      <c r="O251" s="178"/>
      <c r="P251" s="180"/>
      <c r="Q251" s="180" t="s">
        <v>56</v>
      </c>
      <c r="R251" s="180"/>
      <c r="S251" s="180"/>
      <c r="T251" s="180"/>
      <c r="U251" s="184"/>
      <c r="V251" s="181"/>
      <c r="W251" s="182"/>
      <c r="X251" s="183"/>
      <c r="Y251" s="184"/>
      <c r="Z251" s="185" t="s">
        <v>642</v>
      </c>
    </row>
    <row r="252" spans="1:27" s="240" customFormat="1" ht="11.4" x14ac:dyDescent="0.15">
      <c r="A252" s="175">
        <f t="shared" si="3"/>
        <v>250</v>
      </c>
      <c r="B252" s="176"/>
      <c r="C252" s="187"/>
      <c r="D252" s="186"/>
      <c r="E252" s="186" t="s">
        <v>401</v>
      </c>
      <c r="F252" s="186" t="s">
        <v>606</v>
      </c>
      <c r="G252" s="260"/>
      <c r="H252" s="228" t="s">
        <v>403</v>
      </c>
      <c r="I252" s="177"/>
      <c r="J252" s="178"/>
      <c r="K252" s="178"/>
      <c r="L252" s="179"/>
      <c r="M252" s="177"/>
      <c r="N252" s="180" t="s">
        <v>56</v>
      </c>
      <c r="O252" s="178"/>
      <c r="P252" s="180"/>
      <c r="Q252" s="180"/>
      <c r="R252" s="180"/>
      <c r="S252" s="180"/>
      <c r="T252" s="180"/>
      <c r="U252" s="184"/>
      <c r="V252" s="181"/>
      <c r="W252" s="182"/>
      <c r="X252" s="183"/>
      <c r="Y252" s="184"/>
      <c r="Z252" s="185" t="s">
        <v>592</v>
      </c>
      <c r="AA252" s="236"/>
    </row>
    <row r="253" spans="1:27" s="240" customFormat="1" ht="11.4" x14ac:dyDescent="0.15">
      <c r="A253" s="175">
        <f t="shared" si="3"/>
        <v>251</v>
      </c>
      <c r="B253" s="176"/>
      <c r="C253" s="187"/>
      <c r="D253" s="186"/>
      <c r="E253" s="186"/>
      <c r="F253" s="186" t="s">
        <v>373</v>
      </c>
      <c r="G253" s="260"/>
      <c r="H253" s="228" t="s">
        <v>403</v>
      </c>
      <c r="I253" s="177"/>
      <c r="J253" s="178"/>
      <c r="K253" s="178"/>
      <c r="L253" s="179"/>
      <c r="M253" s="177"/>
      <c r="N253" s="180" t="s">
        <v>56</v>
      </c>
      <c r="O253" s="178"/>
      <c r="P253" s="180"/>
      <c r="Q253" s="180"/>
      <c r="R253" s="180"/>
      <c r="S253" s="180"/>
      <c r="T253" s="180"/>
      <c r="U253" s="184"/>
      <c r="V253" s="181"/>
      <c r="W253" s="182"/>
      <c r="X253" s="183"/>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22" t="s">
        <v>17</v>
      </c>
      <c r="W254" s="322"/>
      <c r="X254" s="323"/>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24"/>
      <c r="W255" s="324"/>
      <c r="X255" s="325"/>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26">
        <f>COUNTA(V227:V253)</f>
        <v>0</v>
      </c>
      <c r="W256" s="328">
        <f>COUNTA(W227:W253)</f>
        <v>0</v>
      </c>
      <c r="X256" s="330">
        <f>COUNTA(X227:X253)</f>
        <v>0</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27"/>
      <c r="W257" s="329"/>
      <c r="X257" s="331"/>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R18" workbookViewId="0">
      <selection activeCell="S19" sqref="S19"/>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5" width="17.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901</v>
      </c>
    </row>
    <row r="4" spans="2:33" x14ac:dyDescent="0.25">
      <c r="B4" s="235" t="s">
        <v>902</v>
      </c>
      <c r="E4" s="235" t="s">
        <v>903</v>
      </c>
      <c r="J4" s="235" t="s">
        <v>904</v>
      </c>
      <c r="N4" s="235" t="s">
        <v>905</v>
      </c>
      <c r="S4" s="235" t="s">
        <v>906</v>
      </c>
      <c r="X4" s="235" t="s">
        <v>907</v>
      </c>
      <c r="AC4" s="235" t="s">
        <v>908</v>
      </c>
    </row>
    <row r="6" spans="2:33" ht="13.2" thickBot="1" x14ac:dyDescent="0.3">
      <c r="B6" s="247" t="s">
        <v>909</v>
      </c>
      <c r="C6" s="248" t="s">
        <v>910</v>
      </c>
      <c r="E6" s="247" t="s">
        <v>911</v>
      </c>
      <c r="F6" s="249" t="s">
        <v>912</v>
      </c>
      <c r="G6" s="249" t="s">
        <v>913</v>
      </c>
      <c r="H6" s="248" t="s">
        <v>35</v>
      </c>
      <c r="J6" s="247" t="s">
        <v>911</v>
      </c>
      <c r="K6" s="249" t="s">
        <v>913</v>
      </c>
      <c r="L6" s="248" t="s">
        <v>35</v>
      </c>
      <c r="N6" s="247" t="s">
        <v>911</v>
      </c>
      <c r="O6" s="249" t="s">
        <v>914</v>
      </c>
      <c r="P6" s="249" t="s">
        <v>913</v>
      </c>
      <c r="Q6" s="248" t="s">
        <v>35</v>
      </c>
      <c r="S6" s="247" t="s">
        <v>911</v>
      </c>
      <c r="T6" s="249" t="s">
        <v>914</v>
      </c>
      <c r="U6" s="249" t="s">
        <v>913</v>
      </c>
      <c r="V6" s="248" t="s">
        <v>35</v>
      </c>
      <c r="X6" s="247" t="s">
        <v>911</v>
      </c>
      <c r="Y6" s="249" t="s">
        <v>914</v>
      </c>
      <c r="Z6" s="249" t="s">
        <v>913</v>
      </c>
      <c r="AA6" s="248" t="s">
        <v>35</v>
      </c>
      <c r="AC6" s="247" t="s">
        <v>911</v>
      </c>
      <c r="AD6" s="249" t="s">
        <v>915</v>
      </c>
      <c r="AE6" s="249" t="s">
        <v>916</v>
      </c>
      <c r="AF6" s="249" t="s">
        <v>913</v>
      </c>
      <c r="AG6" s="248" t="s">
        <v>35</v>
      </c>
    </row>
    <row r="7" spans="2:33" ht="13.2" thickTop="1" x14ac:dyDescent="0.25">
      <c r="B7" s="242" t="s">
        <v>756</v>
      </c>
      <c r="C7" s="243" t="s">
        <v>917</v>
      </c>
      <c r="E7" s="242" t="s">
        <v>675</v>
      </c>
      <c r="F7" s="235" t="s">
        <v>56</v>
      </c>
      <c r="G7" s="235" t="s">
        <v>918</v>
      </c>
      <c r="H7" s="243"/>
      <c r="J7" s="242" t="s">
        <v>686</v>
      </c>
      <c r="K7" s="235" t="s">
        <v>919</v>
      </c>
      <c r="L7" s="243"/>
      <c r="N7" s="242" t="s">
        <v>691</v>
      </c>
      <c r="P7" s="235" t="s">
        <v>919</v>
      </c>
      <c r="Q7" s="243"/>
      <c r="S7" s="242" t="s">
        <v>920</v>
      </c>
      <c r="T7" s="235" t="s">
        <v>921</v>
      </c>
      <c r="U7" s="235" t="s">
        <v>922</v>
      </c>
      <c r="V7" s="243"/>
      <c r="X7" s="242" t="s">
        <v>923</v>
      </c>
      <c r="Z7" s="235" t="s">
        <v>924</v>
      </c>
      <c r="AA7" s="243"/>
      <c r="AC7" s="242" t="s">
        <v>925</v>
      </c>
      <c r="AE7" s="235" t="s">
        <v>61</v>
      </c>
      <c r="AF7" s="235" t="s">
        <v>926</v>
      </c>
      <c r="AG7" s="243"/>
    </row>
    <row r="8" spans="2:33" x14ac:dyDescent="0.25">
      <c r="B8" s="242" t="s">
        <v>758</v>
      </c>
      <c r="C8" s="243" t="s">
        <v>927</v>
      </c>
      <c r="E8" s="242" t="s">
        <v>679</v>
      </c>
      <c r="F8" s="235" t="s">
        <v>61</v>
      </c>
      <c r="G8" s="235" t="s">
        <v>926</v>
      </c>
      <c r="H8" s="243"/>
      <c r="J8" s="242"/>
      <c r="K8" s="235" t="s">
        <v>928</v>
      </c>
      <c r="L8" s="243"/>
      <c r="N8" s="251" t="s">
        <v>929</v>
      </c>
      <c r="O8" s="235" t="s">
        <v>930</v>
      </c>
      <c r="P8" s="235" t="s">
        <v>919</v>
      </c>
      <c r="Q8" s="243"/>
      <c r="S8" s="242"/>
      <c r="U8" s="235" t="s">
        <v>931</v>
      </c>
      <c r="V8" s="243"/>
      <c r="X8" s="242" t="s">
        <v>932</v>
      </c>
      <c r="Z8" s="235" t="s">
        <v>933</v>
      </c>
      <c r="AA8" s="243"/>
      <c r="AC8" s="242"/>
      <c r="AF8" s="235" t="s">
        <v>931</v>
      </c>
      <c r="AG8" s="243"/>
    </row>
    <row r="9" spans="2:33" x14ac:dyDescent="0.25">
      <c r="B9" s="242" t="s">
        <v>760</v>
      </c>
      <c r="C9" s="243" t="s">
        <v>934</v>
      </c>
      <c r="E9" s="242"/>
      <c r="G9" s="235" t="s">
        <v>935</v>
      </c>
      <c r="H9" s="243"/>
      <c r="J9" s="242"/>
      <c r="K9" s="235" t="s">
        <v>936</v>
      </c>
      <c r="L9" s="243" t="s">
        <v>937</v>
      </c>
      <c r="N9" s="251" t="s">
        <v>929</v>
      </c>
      <c r="O9" s="235" t="s">
        <v>938</v>
      </c>
      <c r="P9" s="235" t="s">
        <v>919</v>
      </c>
      <c r="Q9" s="243"/>
      <c r="S9" s="242"/>
      <c r="U9" s="235" t="s">
        <v>933</v>
      </c>
      <c r="V9" s="243"/>
      <c r="X9" s="242" t="s">
        <v>939</v>
      </c>
      <c r="Y9" s="235" t="s">
        <v>940</v>
      </c>
      <c r="Z9" s="235" t="s">
        <v>933</v>
      </c>
      <c r="AA9" s="243" t="s">
        <v>941</v>
      </c>
      <c r="AC9" s="242"/>
      <c r="AF9" s="235" t="s">
        <v>942</v>
      </c>
      <c r="AG9" s="243"/>
    </row>
    <row r="10" spans="2:33" x14ac:dyDescent="0.25">
      <c r="B10" s="242" t="s">
        <v>762</v>
      </c>
      <c r="C10" s="243" t="s">
        <v>943</v>
      </c>
      <c r="E10" s="242"/>
      <c r="G10" s="235" t="s">
        <v>944</v>
      </c>
      <c r="H10" s="243"/>
      <c r="J10" s="242" t="s">
        <v>687</v>
      </c>
      <c r="K10" s="235" t="s">
        <v>931</v>
      </c>
      <c r="L10" s="243"/>
      <c r="N10" s="242" t="s">
        <v>694</v>
      </c>
      <c r="P10" s="235" t="s">
        <v>919</v>
      </c>
      <c r="Q10" s="243"/>
      <c r="S10" s="242"/>
      <c r="U10" s="235" t="s">
        <v>945</v>
      </c>
      <c r="V10" s="243"/>
      <c r="X10" s="242" t="s">
        <v>939</v>
      </c>
      <c r="Y10" s="235" t="s">
        <v>946</v>
      </c>
      <c r="Z10" s="235" t="s">
        <v>933</v>
      </c>
      <c r="AA10" s="243" t="s">
        <v>941</v>
      </c>
      <c r="AC10" s="242" t="s">
        <v>947</v>
      </c>
      <c r="AD10" s="235" t="s">
        <v>948</v>
      </c>
      <c r="AE10" s="235" t="s">
        <v>61</v>
      </c>
      <c r="AF10" s="235" t="s">
        <v>926</v>
      </c>
      <c r="AG10" s="243"/>
    </row>
    <row r="11" spans="2:33" x14ac:dyDescent="0.25">
      <c r="B11" s="242" t="s">
        <v>764</v>
      </c>
      <c r="C11" s="243" t="s">
        <v>949</v>
      </c>
      <c r="E11" s="242" t="s">
        <v>680</v>
      </c>
      <c r="F11" s="235" t="s">
        <v>61</v>
      </c>
      <c r="G11" s="235" t="s">
        <v>926</v>
      </c>
      <c r="H11" s="243"/>
      <c r="J11" s="242"/>
      <c r="K11" s="235" t="s">
        <v>928</v>
      </c>
      <c r="L11" s="243"/>
      <c r="N11" s="251" t="s">
        <v>950</v>
      </c>
      <c r="O11" s="235" t="s">
        <v>951</v>
      </c>
      <c r="P11" s="235" t="s">
        <v>919</v>
      </c>
      <c r="Q11" s="243"/>
      <c r="S11" s="242" t="s">
        <v>920</v>
      </c>
      <c r="T11" s="235" t="s">
        <v>952</v>
      </c>
      <c r="U11" s="235" t="s">
        <v>945</v>
      </c>
      <c r="V11" s="243"/>
      <c r="X11" s="242" t="s">
        <v>953</v>
      </c>
      <c r="Y11" s="235" t="s">
        <v>954</v>
      </c>
      <c r="Z11" s="235" t="s">
        <v>933</v>
      </c>
      <c r="AA11" s="243"/>
      <c r="AC11" s="242"/>
      <c r="AF11" s="235" t="s">
        <v>955</v>
      </c>
      <c r="AG11" s="243"/>
    </row>
    <row r="12" spans="2:33" x14ac:dyDescent="0.25">
      <c r="B12" s="242" t="s">
        <v>767</v>
      </c>
      <c r="C12" s="243" t="s">
        <v>956</v>
      </c>
      <c r="E12" s="242"/>
      <c r="G12" s="235" t="s">
        <v>935</v>
      </c>
      <c r="H12" s="243"/>
      <c r="J12" s="242"/>
      <c r="K12" s="235" t="s">
        <v>936</v>
      </c>
      <c r="L12" s="243" t="s">
        <v>937</v>
      </c>
      <c r="N12" s="242" t="s">
        <v>696</v>
      </c>
      <c r="P12" s="235" t="s">
        <v>919</v>
      </c>
      <c r="Q12" s="243"/>
      <c r="S12" s="242"/>
      <c r="U12" s="235" t="s">
        <v>931</v>
      </c>
      <c r="V12" s="243"/>
      <c r="X12" s="242" t="s">
        <v>953</v>
      </c>
      <c r="Y12" s="235" t="s">
        <v>957</v>
      </c>
      <c r="Z12" s="235" t="s">
        <v>933</v>
      </c>
      <c r="AA12" s="243"/>
      <c r="AC12" s="242" t="s">
        <v>947</v>
      </c>
      <c r="AD12" s="235" t="s">
        <v>958</v>
      </c>
      <c r="AE12" s="235" t="s">
        <v>61</v>
      </c>
      <c r="AF12" s="235" t="s">
        <v>926</v>
      </c>
      <c r="AG12" s="243"/>
    </row>
    <row r="13" spans="2:33" x14ac:dyDescent="0.25">
      <c r="B13" s="242" t="s">
        <v>769</v>
      </c>
      <c r="C13" s="243" t="s">
        <v>959</v>
      </c>
      <c r="E13" s="242"/>
      <c r="G13" s="235" t="s">
        <v>944</v>
      </c>
      <c r="H13" s="243"/>
      <c r="J13" s="242" t="s">
        <v>688</v>
      </c>
      <c r="K13" s="235" t="s">
        <v>931</v>
      </c>
      <c r="L13" s="243"/>
      <c r="N13" s="242" t="s">
        <v>697</v>
      </c>
      <c r="P13" s="235" t="s">
        <v>919</v>
      </c>
      <c r="Q13" s="243"/>
      <c r="S13" s="242"/>
      <c r="U13" s="235" t="s">
        <v>933</v>
      </c>
      <c r="V13" s="243"/>
      <c r="X13" s="242" t="s">
        <v>960</v>
      </c>
      <c r="Y13" s="235" t="s">
        <v>961</v>
      </c>
      <c r="Z13" s="235" t="s">
        <v>933</v>
      </c>
      <c r="AA13" s="243"/>
      <c r="AC13" s="242"/>
      <c r="AF13" s="235" t="s">
        <v>955</v>
      </c>
      <c r="AG13" s="243"/>
    </row>
    <row r="14" spans="2:33" x14ac:dyDescent="0.25">
      <c r="B14" s="242" t="s">
        <v>771</v>
      </c>
      <c r="C14" s="243" t="s">
        <v>962</v>
      </c>
      <c r="E14" s="242" t="s">
        <v>681</v>
      </c>
      <c r="F14" s="235" t="s">
        <v>61</v>
      </c>
      <c r="G14" s="235" t="s">
        <v>926</v>
      </c>
      <c r="H14" s="243"/>
      <c r="J14" s="242"/>
      <c r="K14" s="235" t="s">
        <v>928</v>
      </c>
      <c r="L14" s="243"/>
      <c r="N14" s="242" t="s">
        <v>963</v>
      </c>
      <c r="O14" s="235" t="s">
        <v>964</v>
      </c>
      <c r="P14" s="235" t="s">
        <v>919</v>
      </c>
      <c r="Q14" s="243"/>
      <c r="S14" s="242"/>
      <c r="U14" s="235" t="s">
        <v>945</v>
      </c>
      <c r="V14" s="243"/>
      <c r="X14" s="242" t="s">
        <v>960</v>
      </c>
      <c r="Y14" s="235" t="s">
        <v>965</v>
      </c>
      <c r="Z14" s="235" t="s">
        <v>933</v>
      </c>
      <c r="AA14" s="243"/>
      <c r="AC14" s="242" t="s">
        <v>947</v>
      </c>
      <c r="AD14" s="235" t="s">
        <v>966</v>
      </c>
      <c r="AE14" s="235" t="s">
        <v>61</v>
      </c>
      <c r="AF14" s="235" t="s">
        <v>926</v>
      </c>
      <c r="AG14" s="243"/>
    </row>
    <row r="15" spans="2:33" x14ac:dyDescent="0.25">
      <c r="B15" s="242" t="s">
        <v>773</v>
      </c>
      <c r="C15" s="243" t="s">
        <v>967</v>
      </c>
      <c r="E15" s="242"/>
      <c r="G15" s="235" t="s">
        <v>968</v>
      </c>
      <c r="H15" s="243"/>
      <c r="J15" s="242" t="s">
        <v>689</v>
      </c>
      <c r="K15" s="235" t="s">
        <v>919</v>
      </c>
      <c r="L15" s="243"/>
      <c r="N15" s="242" t="s">
        <v>963</v>
      </c>
      <c r="O15" s="235" t="s">
        <v>969</v>
      </c>
      <c r="P15" s="235" t="s">
        <v>919</v>
      </c>
      <c r="Q15" s="243"/>
      <c r="S15" s="242" t="s">
        <v>707</v>
      </c>
      <c r="U15" s="235" t="s">
        <v>945</v>
      </c>
      <c r="V15" s="243"/>
      <c r="X15" s="242" t="s">
        <v>960</v>
      </c>
      <c r="Y15" s="235" t="s">
        <v>970</v>
      </c>
      <c r="Z15" s="235" t="s">
        <v>592</v>
      </c>
      <c r="AA15" s="243"/>
      <c r="AC15" s="242"/>
      <c r="AF15" s="235" t="s">
        <v>955</v>
      </c>
      <c r="AG15" s="243"/>
    </row>
    <row r="16" spans="2:33" x14ac:dyDescent="0.25">
      <c r="B16" s="242" t="s">
        <v>776</v>
      </c>
      <c r="C16" s="243" t="s">
        <v>971</v>
      </c>
      <c r="E16" s="242" t="s">
        <v>682</v>
      </c>
      <c r="F16" s="235" t="s">
        <v>61</v>
      </c>
      <c r="G16" s="235" t="s">
        <v>926</v>
      </c>
      <c r="H16" s="243"/>
      <c r="J16" s="245"/>
      <c r="K16" s="250" t="s">
        <v>972</v>
      </c>
      <c r="L16" s="246"/>
      <c r="N16" s="242" t="s">
        <v>700</v>
      </c>
      <c r="P16" s="235" t="s">
        <v>919</v>
      </c>
      <c r="Q16" s="243"/>
      <c r="S16" s="245" t="s">
        <v>708</v>
      </c>
      <c r="T16" s="250"/>
      <c r="U16" s="250" t="s">
        <v>973</v>
      </c>
      <c r="V16" s="246"/>
      <c r="X16" s="242" t="s">
        <v>974</v>
      </c>
      <c r="Y16" s="235" t="s">
        <v>975</v>
      </c>
      <c r="Z16" s="235" t="s">
        <v>933</v>
      </c>
      <c r="AA16" s="243"/>
      <c r="AC16" s="242" t="s">
        <v>976</v>
      </c>
      <c r="AD16" s="235" t="s">
        <v>977</v>
      </c>
      <c r="AE16" s="235" t="s">
        <v>61</v>
      </c>
      <c r="AF16" s="235" t="s">
        <v>926</v>
      </c>
      <c r="AG16" s="243"/>
    </row>
    <row r="17" spans="2:33" x14ac:dyDescent="0.25">
      <c r="B17" s="242" t="s">
        <v>778</v>
      </c>
      <c r="C17" s="243" t="s">
        <v>978</v>
      </c>
      <c r="E17" s="242"/>
      <c r="G17" s="252" t="s">
        <v>979</v>
      </c>
      <c r="H17" s="243" t="s">
        <v>980</v>
      </c>
      <c r="N17" s="242" t="s">
        <v>701</v>
      </c>
      <c r="P17" s="235" t="s">
        <v>919</v>
      </c>
      <c r="Q17" s="243"/>
      <c r="X17" s="242" t="s">
        <v>981</v>
      </c>
      <c r="Y17" s="235" t="s">
        <v>982</v>
      </c>
      <c r="Z17" s="235" t="s">
        <v>933</v>
      </c>
      <c r="AA17" s="243"/>
      <c r="AC17" s="242"/>
      <c r="AF17" s="235" t="s">
        <v>955</v>
      </c>
      <c r="AG17" s="243"/>
    </row>
    <row r="18" spans="2:33" x14ac:dyDescent="0.25">
      <c r="B18" s="244" t="s">
        <v>780</v>
      </c>
      <c r="C18" s="243"/>
      <c r="E18" s="242" t="s">
        <v>683</v>
      </c>
      <c r="F18" s="235" t="s">
        <v>61</v>
      </c>
      <c r="G18" s="235" t="s">
        <v>926</v>
      </c>
      <c r="H18" s="243"/>
      <c r="N18" s="242" t="s">
        <v>983</v>
      </c>
      <c r="P18" s="235" t="s">
        <v>919</v>
      </c>
      <c r="Q18" s="243"/>
      <c r="X18" s="242" t="s">
        <v>984</v>
      </c>
      <c r="Z18" s="235" t="s">
        <v>933</v>
      </c>
      <c r="AA18" s="243"/>
      <c r="AC18" s="242" t="s">
        <v>976</v>
      </c>
      <c r="AD18" s="235" t="s">
        <v>985</v>
      </c>
      <c r="AE18" s="235" t="s">
        <v>61</v>
      </c>
      <c r="AF18" s="235" t="s">
        <v>926</v>
      </c>
      <c r="AG18" s="243"/>
    </row>
    <row r="19" spans="2:33" x14ac:dyDescent="0.25">
      <c r="B19" s="242" t="s">
        <v>781</v>
      </c>
      <c r="C19" s="243" t="s">
        <v>986</v>
      </c>
      <c r="E19" s="242"/>
      <c r="G19" s="235" t="s">
        <v>968</v>
      </c>
      <c r="H19" s="243"/>
      <c r="N19" s="245" t="s">
        <v>987</v>
      </c>
      <c r="O19" s="250"/>
      <c r="P19" s="250" t="s">
        <v>919</v>
      </c>
      <c r="Q19" s="246"/>
      <c r="X19" s="242" t="s">
        <v>988</v>
      </c>
      <c r="Z19" s="235" t="s">
        <v>933</v>
      </c>
      <c r="AA19" s="243"/>
      <c r="AC19" s="242"/>
      <c r="AF19" s="235" t="s">
        <v>955</v>
      </c>
      <c r="AG19" s="243"/>
    </row>
    <row r="20" spans="2:33" x14ac:dyDescent="0.25">
      <c r="B20" s="242" t="s">
        <v>783</v>
      </c>
      <c r="C20" s="243" t="s">
        <v>962</v>
      </c>
      <c r="E20" s="242" t="s">
        <v>684</v>
      </c>
      <c r="F20" s="235" t="s">
        <v>61</v>
      </c>
      <c r="G20" s="235" t="s">
        <v>926</v>
      </c>
      <c r="H20" s="243"/>
      <c r="X20" s="245"/>
      <c r="Y20" s="250"/>
      <c r="Z20" s="250" t="s">
        <v>931</v>
      </c>
      <c r="AA20" s="246"/>
      <c r="AC20" s="242" t="s">
        <v>976</v>
      </c>
      <c r="AD20" s="235" t="s">
        <v>989</v>
      </c>
      <c r="AE20" s="235" t="s">
        <v>61</v>
      </c>
      <c r="AF20" s="235" t="s">
        <v>926</v>
      </c>
      <c r="AG20" s="243"/>
    </row>
    <row r="21" spans="2:33" x14ac:dyDescent="0.25">
      <c r="B21" s="242" t="s">
        <v>784</v>
      </c>
      <c r="C21" s="243" t="s">
        <v>990</v>
      </c>
      <c r="E21" s="242" t="s">
        <v>991</v>
      </c>
      <c r="F21" s="235" t="s">
        <v>61</v>
      </c>
      <c r="G21" s="235" t="s">
        <v>926</v>
      </c>
      <c r="H21" s="243"/>
      <c r="AC21" s="242"/>
      <c r="AF21" s="235" t="s">
        <v>955</v>
      </c>
      <c r="AG21" s="243"/>
    </row>
    <row r="22" spans="2:33" x14ac:dyDescent="0.25">
      <c r="B22" s="242" t="s">
        <v>786</v>
      </c>
      <c r="C22" s="243" t="s">
        <v>992</v>
      </c>
      <c r="E22" s="242"/>
      <c r="G22" s="235" t="s">
        <v>919</v>
      </c>
      <c r="H22" s="243"/>
      <c r="AC22" s="242" t="s">
        <v>976</v>
      </c>
      <c r="AD22" s="235" t="s">
        <v>993</v>
      </c>
      <c r="AE22" s="235" t="s">
        <v>61</v>
      </c>
      <c r="AF22" s="235" t="s">
        <v>926</v>
      </c>
      <c r="AG22" s="243"/>
    </row>
    <row r="23" spans="2:33" x14ac:dyDescent="0.25">
      <c r="B23" s="242" t="s">
        <v>789</v>
      </c>
      <c r="C23" s="243" t="s">
        <v>994</v>
      </c>
      <c r="E23" s="242"/>
      <c r="G23" s="235" t="s">
        <v>936</v>
      </c>
      <c r="H23" s="243"/>
      <c r="AC23" s="242"/>
      <c r="AF23" s="235" t="s">
        <v>955</v>
      </c>
      <c r="AG23" s="243"/>
    </row>
    <row r="24" spans="2:33" x14ac:dyDescent="0.25">
      <c r="B24" s="242" t="s">
        <v>791</v>
      </c>
      <c r="C24" s="243" t="s">
        <v>995</v>
      </c>
      <c r="E24" s="242" t="s">
        <v>996</v>
      </c>
      <c r="F24" s="235" t="s">
        <v>997</v>
      </c>
      <c r="G24" s="235" t="s">
        <v>918</v>
      </c>
      <c r="H24" s="243"/>
      <c r="AC24" s="242" t="s">
        <v>976</v>
      </c>
      <c r="AD24" s="235" t="s">
        <v>998</v>
      </c>
      <c r="AE24" s="235" t="s">
        <v>61</v>
      </c>
      <c r="AF24" s="235" t="s">
        <v>926</v>
      </c>
      <c r="AG24" s="243"/>
    </row>
    <row r="25" spans="2:33" x14ac:dyDescent="0.25">
      <c r="B25" s="242" t="s">
        <v>793</v>
      </c>
      <c r="C25" s="243" t="s">
        <v>999</v>
      </c>
      <c r="E25" s="242" t="s">
        <v>1000</v>
      </c>
      <c r="F25" s="235" t="s">
        <v>997</v>
      </c>
      <c r="G25" s="235" t="s">
        <v>918</v>
      </c>
      <c r="H25" s="243"/>
      <c r="AC25" s="242"/>
      <c r="AF25" s="235" t="s">
        <v>955</v>
      </c>
      <c r="AG25" s="243"/>
    </row>
    <row r="26" spans="2:33" x14ac:dyDescent="0.25">
      <c r="B26" s="242" t="s">
        <v>795</v>
      </c>
      <c r="C26" s="243" t="s">
        <v>1001</v>
      </c>
      <c r="E26" s="245" t="s">
        <v>1002</v>
      </c>
      <c r="F26" s="250" t="s">
        <v>997</v>
      </c>
      <c r="G26" s="250" t="s">
        <v>918</v>
      </c>
      <c r="H26" s="246"/>
      <c r="AC26" s="242" t="s">
        <v>1003</v>
      </c>
      <c r="AD26" s="235" t="s">
        <v>1004</v>
      </c>
      <c r="AE26" s="235" t="s">
        <v>61</v>
      </c>
      <c r="AF26" s="235" t="s">
        <v>955</v>
      </c>
      <c r="AG26" s="243"/>
    </row>
    <row r="27" spans="2:33" x14ac:dyDescent="0.25">
      <c r="B27" s="242" t="s">
        <v>798</v>
      </c>
      <c r="C27" s="243" t="s">
        <v>1005</v>
      </c>
      <c r="AC27" s="242"/>
      <c r="AF27" s="235" t="s">
        <v>1006</v>
      </c>
      <c r="AG27" s="243"/>
    </row>
    <row r="28" spans="2:33" x14ac:dyDescent="0.25">
      <c r="B28" s="242" t="s">
        <v>800</v>
      </c>
      <c r="C28" s="243" t="s">
        <v>1007</v>
      </c>
      <c r="AC28" s="242" t="s">
        <v>1003</v>
      </c>
      <c r="AD28" s="235" t="s">
        <v>1008</v>
      </c>
      <c r="AE28" s="235" t="s">
        <v>61</v>
      </c>
      <c r="AF28" s="235" t="s">
        <v>955</v>
      </c>
      <c r="AG28" s="243" t="s">
        <v>1009</v>
      </c>
    </row>
    <row r="29" spans="2:33" x14ac:dyDescent="0.25">
      <c r="B29" s="242" t="s">
        <v>802</v>
      </c>
      <c r="C29" s="243" t="s">
        <v>1010</v>
      </c>
      <c r="AC29" s="242"/>
      <c r="AF29" s="235" t="s">
        <v>1006</v>
      </c>
      <c r="AG29" s="243"/>
    </row>
    <row r="30" spans="2:33" x14ac:dyDescent="0.25">
      <c r="B30" s="242" t="s">
        <v>804</v>
      </c>
      <c r="C30" s="243" t="s">
        <v>1011</v>
      </c>
      <c r="AC30" s="242" t="s">
        <v>1003</v>
      </c>
      <c r="AD30" s="235" t="s">
        <v>947</v>
      </c>
      <c r="AE30" s="235" t="s">
        <v>61</v>
      </c>
      <c r="AF30" s="235" t="s">
        <v>955</v>
      </c>
      <c r="AG30" s="243" t="s">
        <v>1009</v>
      </c>
    </row>
    <row r="31" spans="2:33" x14ac:dyDescent="0.25">
      <c r="B31" s="242" t="s">
        <v>806</v>
      </c>
      <c r="C31" s="243" t="s">
        <v>1007</v>
      </c>
      <c r="AC31" s="242"/>
      <c r="AF31" s="235" t="s">
        <v>1006</v>
      </c>
      <c r="AG31" s="243"/>
    </row>
    <row r="32" spans="2:33" x14ac:dyDescent="0.25">
      <c r="B32" s="242" t="s">
        <v>807</v>
      </c>
      <c r="C32" s="243" t="s">
        <v>1012</v>
      </c>
      <c r="AC32" s="242" t="s">
        <v>1003</v>
      </c>
      <c r="AD32" s="235" t="s">
        <v>1013</v>
      </c>
      <c r="AE32" s="235" t="s">
        <v>61</v>
      </c>
      <c r="AF32" s="235" t="s">
        <v>955</v>
      </c>
      <c r="AG32" s="243" t="s">
        <v>1009</v>
      </c>
    </row>
    <row r="33" spans="2:33" x14ac:dyDescent="0.25">
      <c r="B33" s="245" t="s">
        <v>809</v>
      </c>
      <c r="C33" s="246" t="s">
        <v>1014</v>
      </c>
      <c r="AC33" s="242"/>
      <c r="AF33" s="235" t="s">
        <v>1006</v>
      </c>
      <c r="AG33" s="243"/>
    </row>
    <row r="34" spans="2:33" x14ac:dyDescent="0.25">
      <c r="AC34" s="242" t="s">
        <v>1003</v>
      </c>
      <c r="AD34" s="235" t="s">
        <v>998</v>
      </c>
      <c r="AE34" s="235" t="s">
        <v>61</v>
      </c>
      <c r="AF34" s="235" t="s">
        <v>955</v>
      </c>
      <c r="AG34" s="243" t="s">
        <v>1009</v>
      </c>
    </row>
    <row r="35" spans="2:33" x14ac:dyDescent="0.25">
      <c r="AC35" s="242"/>
      <c r="AF35" s="235" t="s">
        <v>1006</v>
      </c>
      <c r="AG35" s="243"/>
    </row>
    <row r="36" spans="2:33" x14ac:dyDescent="0.25">
      <c r="AC36" s="242" t="s">
        <v>1015</v>
      </c>
      <c r="AD36" s="235" t="s">
        <v>1016</v>
      </c>
      <c r="AE36" s="235" t="s">
        <v>61</v>
      </c>
      <c r="AF36" s="235" t="s">
        <v>935</v>
      </c>
      <c r="AG36" s="243"/>
    </row>
    <row r="37" spans="2:33" x14ac:dyDescent="0.25">
      <c r="AC37" s="242" t="s">
        <v>1015</v>
      </c>
      <c r="AD37" s="235" t="s">
        <v>1017</v>
      </c>
      <c r="AE37" s="235" t="s">
        <v>61</v>
      </c>
      <c r="AF37" s="235" t="s">
        <v>935</v>
      </c>
      <c r="AG37" s="243"/>
    </row>
    <row r="38" spans="2:33" x14ac:dyDescent="0.25">
      <c r="AC38" s="242" t="s">
        <v>1015</v>
      </c>
      <c r="AD38" s="235" t="s">
        <v>1018</v>
      </c>
      <c r="AE38" s="235" t="s">
        <v>61</v>
      </c>
      <c r="AF38" s="235" t="s">
        <v>935</v>
      </c>
      <c r="AG38" s="243"/>
    </row>
    <row r="39" spans="2:33" x14ac:dyDescent="0.25">
      <c r="AC39" s="242" t="s">
        <v>1015</v>
      </c>
      <c r="AD39" s="235" t="s">
        <v>1019</v>
      </c>
      <c r="AE39" s="235" t="s">
        <v>61</v>
      </c>
      <c r="AF39" s="235" t="s">
        <v>935</v>
      </c>
      <c r="AG39" s="243"/>
    </row>
    <row r="40" spans="2:33" x14ac:dyDescent="0.25">
      <c r="AC40" s="242" t="s">
        <v>1020</v>
      </c>
      <c r="AE40" s="235" t="s">
        <v>61</v>
      </c>
      <c r="AF40" s="235" t="s">
        <v>918</v>
      </c>
      <c r="AG40" s="243"/>
    </row>
    <row r="41" spans="2:33" x14ac:dyDescent="0.25">
      <c r="AC41" s="242" t="s">
        <v>1021</v>
      </c>
      <c r="AE41" s="235" t="s">
        <v>61</v>
      </c>
      <c r="AF41" s="235" t="s">
        <v>935</v>
      </c>
      <c r="AG41" s="243"/>
    </row>
    <row r="42" spans="2:33" x14ac:dyDescent="0.25">
      <c r="AC42" s="242" t="s">
        <v>1022</v>
      </c>
      <c r="AD42" s="235" t="s">
        <v>1023</v>
      </c>
      <c r="AE42" s="235" t="s">
        <v>997</v>
      </c>
      <c r="AF42" s="235" t="s">
        <v>935</v>
      </c>
      <c r="AG42" s="243"/>
    </row>
    <row r="43" spans="2:33" x14ac:dyDescent="0.25">
      <c r="AC43" s="242" t="s">
        <v>1022</v>
      </c>
      <c r="AD43" s="235" t="s">
        <v>1024</v>
      </c>
      <c r="AE43" s="235" t="s">
        <v>997</v>
      </c>
      <c r="AF43" s="235" t="s">
        <v>935</v>
      </c>
      <c r="AG43" s="243"/>
    </row>
    <row r="44" spans="2:33" x14ac:dyDescent="0.25">
      <c r="AC44" s="242" t="s">
        <v>1022</v>
      </c>
      <c r="AD44" s="235" t="s">
        <v>1025</v>
      </c>
      <c r="AE44" s="235" t="s">
        <v>997</v>
      </c>
      <c r="AF44" s="235" t="s">
        <v>935</v>
      </c>
      <c r="AG44" s="243"/>
    </row>
    <row r="45" spans="2:33" x14ac:dyDescent="0.25">
      <c r="AC45" s="242" t="s">
        <v>1022</v>
      </c>
      <c r="AD45" s="235" t="s">
        <v>1026</v>
      </c>
      <c r="AE45" s="235" t="s">
        <v>997</v>
      </c>
      <c r="AF45" s="235" t="s">
        <v>935</v>
      </c>
      <c r="AG45" s="243"/>
    </row>
    <row r="46" spans="2:33" x14ac:dyDescent="0.25">
      <c r="AC46" s="242" t="s">
        <v>1022</v>
      </c>
      <c r="AD46" s="235" t="s">
        <v>1027</v>
      </c>
      <c r="AE46" s="235" t="s">
        <v>997</v>
      </c>
      <c r="AF46" s="235" t="s">
        <v>935</v>
      </c>
      <c r="AG46" s="243"/>
    </row>
    <row r="47" spans="2:33" x14ac:dyDescent="0.25">
      <c r="AC47" s="242" t="s">
        <v>1028</v>
      </c>
      <c r="AD47" s="235" t="s">
        <v>1029</v>
      </c>
      <c r="AE47" s="235" t="s">
        <v>997</v>
      </c>
      <c r="AF47" s="235" t="s">
        <v>935</v>
      </c>
      <c r="AG47" s="243"/>
    </row>
    <row r="48" spans="2:33" x14ac:dyDescent="0.25">
      <c r="AC48" s="242" t="s">
        <v>1028</v>
      </c>
      <c r="AD48" s="235" t="s">
        <v>1030</v>
      </c>
      <c r="AE48" s="235" t="s">
        <v>997</v>
      </c>
      <c r="AF48" s="235" t="s">
        <v>935</v>
      </c>
      <c r="AG48" s="243"/>
    </row>
    <row r="49" spans="29:33" x14ac:dyDescent="0.25">
      <c r="AC49" s="245" t="s">
        <v>1031</v>
      </c>
      <c r="AD49" s="250" t="s">
        <v>1029</v>
      </c>
      <c r="AE49" s="250" t="s">
        <v>997</v>
      </c>
      <c r="AF49" s="250" t="s">
        <v>935</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41" t="s">
        <v>31</v>
      </c>
      <c r="H1" s="342"/>
      <c r="I1" s="342"/>
      <c r="J1" s="342"/>
      <c r="K1" s="342"/>
      <c r="L1" s="342"/>
      <c r="M1" s="342"/>
      <c r="N1" s="342"/>
      <c r="O1" s="343" t="s">
        <v>1032</v>
      </c>
      <c r="P1" s="343"/>
      <c r="Q1" s="343"/>
      <c r="R1" s="343"/>
      <c r="S1" s="346" t="s">
        <v>33</v>
      </c>
      <c r="T1" s="346"/>
      <c r="U1" s="346"/>
      <c r="V1" s="347"/>
      <c r="W1" s="54"/>
      <c r="X1" s="348" t="s">
        <v>1033</v>
      </c>
      <c r="Y1" s="333" t="s">
        <v>1034</v>
      </c>
      <c r="AB1" s="1" t="s">
        <v>1035</v>
      </c>
    </row>
    <row r="2" spans="1:28" s="1" customFormat="1" ht="13.5" customHeight="1" x14ac:dyDescent="0.15">
      <c r="A2" s="61"/>
      <c r="B2" s="64"/>
      <c r="C2" s="64"/>
      <c r="D2" s="64"/>
      <c r="E2" s="64"/>
      <c r="F2" s="67"/>
      <c r="G2" s="336" t="s">
        <v>1036</v>
      </c>
      <c r="H2" s="337"/>
      <c r="I2" s="337"/>
      <c r="J2" s="337"/>
      <c r="K2" s="336"/>
      <c r="L2" s="337"/>
      <c r="M2" s="337"/>
      <c r="N2" s="337"/>
      <c r="O2" s="344"/>
      <c r="P2" s="344"/>
      <c r="Q2" s="344"/>
      <c r="R2" s="344"/>
      <c r="S2" s="338" t="s">
        <v>1037</v>
      </c>
      <c r="T2" s="339"/>
      <c r="U2" s="339"/>
      <c r="V2" s="68"/>
      <c r="W2" s="69"/>
      <c r="X2" s="349"/>
      <c r="Y2" s="334"/>
      <c r="Z2" s="1" t="s">
        <v>1036</v>
      </c>
      <c r="AA2" s="1" t="s">
        <v>1038</v>
      </c>
      <c r="AB2" s="1" t="s">
        <v>1039</v>
      </c>
    </row>
    <row r="3" spans="1:28" s="1" customFormat="1" ht="15" customHeight="1" x14ac:dyDescent="0.15">
      <c r="A3" s="35"/>
      <c r="B3" s="84" t="s">
        <v>1040</v>
      </c>
      <c r="C3" s="59"/>
      <c r="D3" s="59"/>
      <c r="E3" s="59"/>
      <c r="F3" s="36"/>
      <c r="G3" s="340" t="s">
        <v>1038</v>
      </c>
      <c r="H3" s="340"/>
      <c r="I3" s="340"/>
      <c r="J3" s="340"/>
      <c r="K3" s="340" t="s">
        <v>1041</v>
      </c>
      <c r="L3" s="340"/>
      <c r="M3" s="340"/>
      <c r="N3" s="340"/>
      <c r="O3" s="344"/>
      <c r="P3" s="344"/>
      <c r="Q3" s="344"/>
      <c r="R3" s="344"/>
      <c r="S3" s="62"/>
      <c r="T3" s="63"/>
      <c r="U3" s="63"/>
      <c r="V3" s="37"/>
      <c r="W3" s="2"/>
      <c r="X3" s="349"/>
      <c r="Y3" s="334"/>
      <c r="Z3" s="1" t="s">
        <v>1042</v>
      </c>
      <c r="AA3" s="1" t="s">
        <v>1041</v>
      </c>
      <c r="AB3" s="1" t="s">
        <v>1043</v>
      </c>
    </row>
    <row r="4" spans="1:28" s="1" customFormat="1" ht="15" customHeight="1" x14ac:dyDescent="0.15">
      <c r="A4" s="45"/>
      <c r="B4" s="39"/>
      <c r="C4" s="56"/>
      <c r="D4" s="56"/>
      <c r="E4" s="89"/>
      <c r="F4" s="40"/>
      <c r="G4" s="340" t="s">
        <v>1035</v>
      </c>
      <c r="H4" s="340"/>
      <c r="I4" s="340"/>
      <c r="J4" s="340"/>
      <c r="K4" s="340"/>
      <c r="L4" s="340"/>
      <c r="M4" s="340"/>
      <c r="N4" s="340"/>
      <c r="O4" s="345"/>
      <c r="P4" s="345"/>
      <c r="Q4" s="345"/>
      <c r="R4" s="345"/>
      <c r="S4" s="65"/>
      <c r="T4" s="66"/>
      <c r="U4" s="66"/>
      <c r="V4" s="37"/>
      <c r="W4" s="2" t="s">
        <v>1044</v>
      </c>
      <c r="X4" s="349"/>
      <c r="Y4" s="334"/>
      <c r="Z4" s="1" t="s">
        <v>1045</v>
      </c>
      <c r="AB4" s="1" t="s">
        <v>1046</v>
      </c>
    </row>
    <row r="5" spans="1:28" s="1" customFormat="1" ht="22.5" customHeight="1" x14ac:dyDescent="0.15">
      <c r="A5" s="46" t="s">
        <v>24</v>
      </c>
      <c r="B5" s="47" t="s">
        <v>1047</v>
      </c>
      <c r="C5" s="38" t="s">
        <v>1048</v>
      </c>
      <c r="D5" s="38" t="s">
        <v>29</v>
      </c>
      <c r="E5" s="38" t="s">
        <v>1049</v>
      </c>
      <c r="F5" s="55" t="s">
        <v>1050</v>
      </c>
      <c r="G5" s="3" t="s">
        <v>1051</v>
      </c>
      <c r="H5" s="8" t="s">
        <v>37</v>
      </c>
      <c r="I5" s="4" t="s">
        <v>38</v>
      </c>
      <c r="J5" s="4" t="s">
        <v>39</v>
      </c>
      <c r="K5" s="3" t="s">
        <v>1051</v>
      </c>
      <c r="L5" s="8" t="s">
        <v>37</v>
      </c>
      <c r="M5" s="4" t="s">
        <v>38</v>
      </c>
      <c r="N5" s="4" t="s">
        <v>39</v>
      </c>
      <c r="O5" s="3" t="s">
        <v>1051</v>
      </c>
      <c r="P5" s="4" t="s">
        <v>40</v>
      </c>
      <c r="Q5" s="4" t="s">
        <v>41</v>
      </c>
      <c r="R5" s="4" t="s">
        <v>46</v>
      </c>
      <c r="S5" s="3" t="s">
        <v>47</v>
      </c>
      <c r="T5" s="8" t="s">
        <v>48</v>
      </c>
      <c r="U5" s="4" t="s">
        <v>49</v>
      </c>
      <c r="V5" s="41" t="s">
        <v>34</v>
      </c>
      <c r="W5" s="5"/>
      <c r="X5" s="350"/>
      <c r="Y5" s="335"/>
      <c r="Z5" s="1" t="s">
        <v>1052</v>
      </c>
      <c r="AB5" s="1" t="s">
        <v>1053</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1054</v>
      </c>
      <c r="C7" s="118" t="s">
        <v>1055</v>
      </c>
      <c r="D7" s="118" t="s">
        <v>1056</v>
      </c>
      <c r="E7" s="119" t="s">
        <v>1057</v>
      </c>
      <c r="F7" s="120" t="s">
        <v>1058</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1059</v>
      </c>
      <c r="E8" s="119" t="s">
        <v>1057</v>
      </c>
      <c r="F8" s="120" t="s">
        <v>1058</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1060</v>
      </c>
      <c r="E9" s="119" t="s">
        <v>1057</v>
      </c>
      <c r="F9" s="120" t="s">
        <v>1058</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1061</v>
      </c>
      <c r="E10" s="119" t="s">
        <v>1057</v>
      </c>
      <c r="F10" s="120" t="s">
        <v>1058</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1062</v>
      </c>
      <c r="E11" s="119" t="s">
        <v>1057</v>
      </c>
      <c r="F11" s="120" t="s">
        <v>1058</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1063</v>
      </c>
      <c r="E12" s="119" t="s">
        <v>1057</v>
      </c>
      <c r="F12" s="120" t="s">
        <v>1058</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1064</v>
      </c>
      <c r="E13" s="119" t="s">
        <v>1057</v>
      </c>
      <c r="F13" s="120" t="s">
        <v>1058</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1065</v>
      </c>
      <c r="E14" s="119" t="s">
        <v>1057</v>
      </c>
      <c r="F14" s="120" t="s">
        <v>1058</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1066</v>
      </c>
      <c r="D15" s="118" t="s">
        <v>1056</v>
      </c>
      <c r="E15" s="119" t="s">
        <v>1057</v>
      </c>
      <c r="F15" s="120" t="s">
        <v>1058</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1059</v>
      </c>
      <c r="E16" s="119" t="s">
        <v>1057</v>
      </c>
      <c r="F16" s="120" t="s">
        <v>1058</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1060</v>
      </c>
      <c r="E17" s="119" t="s">
        <v>1057</v>
      </c>
      <c r="F17" s="120" t="s">
        <v>1058</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1061</v>
      </c>
      <c r="E18" s="119" t="s">
        <v>1057</v>
      </c>
      <c r="F18" s="120" t="s">
        <v>1058</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1062</v>
      </c>
      <c r="E19" s="119" t="s">
        <v>1057</v>
      </c>
      <c r="F19" s="120" t="s">
        <v>1058</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1063</v>
      </c>
      <c r="E20" s="119" t="s">
        <v>1057</v>
      </c>
      <c r="F20" s="120" t="s">
        <v>1058</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1064</v>
      </c>
      <c r="E21" s="119" t="s">
        <v>1057</v>
      </c>
      <c r="F21" s="120" t="s">
        <v>1058</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1065</v>
      </c>
      <c r="E22" s="119" t="s">
        <v>1057</v>
      </c>
      <c r="F22" s="120" t="s">
        <v>1058</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1067</v>
      </c>
      <c r="D23" s="118" t="s">
        <v>1056</v>
      </c>
      <c r="E23" s="119" t="s">
        <v>1057</v>
      </c>
      <c r="F23" s="120" t="s">
        <v>1058</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1059</v>
      </c>
      <c r="E24" s="119" t="s">
        <v>1057</v>
      </c>
      <c r="F24" s="120" t="s">
        <v>1058</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1060</v>
      </c>
      <c r="E25" s="119" t="s">
        <v>1057</v>
      </c>
      <c r="F25" s="120" t="s">
        <v>1058</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1061</v>
      </c>
      <c r="E26" s="119" t="s">
        <v>1057</v>
      </c>
      <c r="F26" s="120" t="s">
        <v>1058</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1062</v>
      </c>
      <c r="E27" s="119" t="s">
        <v>1057</v>
      </c>
      <c r="F27" s="120" t="s">
        <v>1058</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1063</v>
      </c>
      <c r="E28" s="119" t="s">
        <v>1057</v>
      </c>
      <c r="F28" s="120" t="s">
        <v>1058</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1064</v>
      </c>
      <c r="E29" s="119" t="s">
        <v>1057</v>
      </c>
      <c r="F29" s="120" t="s">
        <v>1058</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1065</v>
      </c>
      <c r="E30" s="119" t="s">
        <v>1057</v>
      </c>
      <c r="F30" s="120" t="s">
        <v>1058</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1068</v>
      </c>
      <c r="D31" s="118" t="s">
        <v>1056</v>
      </c>
      <c r="E31" s="119" t="s">
        <v>1057</v>
      </c>
      <c r="F31" s="120" t="s">
        <v>1058</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1059</v>
      </c>
      <c r="E32" s="119" t="s">
        <v>1057</v>
      </c>
      <c r="F32" s="120" t="s">
        <v>1058</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1060</v>
      </c>
      <c r="E33" s="119" t="s">
        <v>1057</v>
      </c>
      <c r="F33" s="120" t="s">
        <v>1058</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1061</v>
      </c>
      <c r="E34" s="119" t="s">
        <v>1057</v>
      </c>
      <c r="F34" s="120" t="s">
        <v>1058</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1062</v>
      </c>
      <c r="E35" s="119" t="s">
        <v>1057</v>
      </c>
      <c r="F35" s="120" t="s">
        <v>1058</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1063</v>
      </c>
      <c r="E36" s="119" t="s">
        <v>1057</v>
      </c>
      <c r="F36" s="120" t="s">
        <v>1058</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1064</v>
      </c>
      <c r="E37" s="119" t="s">
        <v>1057</v>
      </c>
      <c r="F37" s="120" t="s">
        <v>1058</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1065</v>
      </c>
      <c r="E38" s="119" t="s">
        <v>1057</v>
      </c>
      <c r="F38" s="120" t="s">
        <v>1058</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1069</v>
      </c>
      <c r="D39" s="118" t="s">
        <v>1056</v>
      </c>
      <c r="E39" s="119" t="s">
        <v>1057</v>
      </c>
      <c r="F39" s="120" t="s">
        <v>1058</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1059</v>
      </c>
      <c r="E40" s="119" t="s">
        <v>1057</v>
      </c>
      <c r="F40" s="120" t="s">
        <v>1058</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1060</v>
      </c>
      <c r="E41" s="119" t="s">
        <v>1057</v>
      </c>
      <c r="F41" s="120" t="s">
        <v>1058</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1061</v>
      </c>
      <c r="E42" s="119" t="s">
        <v>1057</v>
      </c>
      <c r="F42" s="120" t="s">
        <v>1058</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1062</v>
      </c>
      <c r="E43" s="119" t="s">
        <v>1057</v>
      </c>
      <c r="F43" s="120" t="s">
        <v>1058</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1063</v>
      </c>
      <c r="E44" s="119" t="s">
        <v>1057</v>
      </c>
      <c r="F44" s="120" t="s">
        <v>1058</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1064</v>
      </c>
      <c r="E45" s="119" t="s">
        <v>1057</v>
      </c>
      <c r="F45" s="120" t="s">
        <v>1058</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1065</v>
      </c>
      <c r="E46" s="119" t="s">
        <v>1057</v>
      </c>
      <c r="F46" s="120" t="s">
        <v>1058</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1070</v>
      </c>
      <c r="C47" s="129" t="s">
        <v>1055</v>
      </c>
      <c r="D47" s="129" t="s">
        <v>1056</v>
      </c>
      <c r="E47" s="130" t="s">
        <v>1057</v>
      </c>
      <c r="F47" s="131" t="s">
        <v>1058</v>
      </c>
      <c r="G47" s="141"/>
      <c r="H47" s="143"/>
      <c r="I47" s="143"/>
      <c r="J47" s="144"/>
      <c r="K47" s="141"/>
      <c r="L47" s="143"/>
      <c r="M47" s="143"/>
      <c r="N47" s="144"/>
      <c r="O47" s="141"/>
      <c r="P47" s="143"/>
      <c r="Q47" s="143"/>
      <c r="R47" s="71" t="s">
        <v>1071</v>
      </c>
      <c r="S47" s="72" t="s">
        <v>1072</v>
      </c>
      <c r="T47" s="146"/>
      <c r="U47" s="146"/>
      <c r="V47" s="147"/>
      <c r="W47" s="140"/>
      <c r="X47" s="141"/>
      <c r="Y47" s="141"/>
    </row>
    <row r="48" spans="1:25" s="142" customFormat="1" x14ac:dyDescent="0.15">
      <c r="A48" s="128">
        <f t="shared" si="0"/>
        <v>42</v>
      </c>
      <c r="B48" s="129"/>
      <c r="C48" s="129"/>
      <c r="D48" s="129" t="s">
        <v>1059</v>
      </c>
      <c r="E48" s="130" t="s">
        <v>1057</v>
      </c>
      <c r="F48" s="131" t="s">
        <v>1058</v>
      </c>
      <c r="G48" s="141"/>
      <c r="H48" s="143"/>
      <c r="I48" s="143"/>
      <c r="J48" s="144"/>
      <c r="K48" s="141"/>
      <c r="L48" s="143"/>
      <c r="M48" s="143"/>
      <c r="N48" s="144"/>
      <c r="O48" s="141"/>
      <c r="P48" s="143"/>
      <c r="Q48" s="143"/>
      <c r="R48" s="71" t="s">
        <v>1071</v>
      </c>
      <c r="S48" s="72" t="s">
        <v>1072</v>
      </c>
      <c r="T48" s="146"/>
      <c r="U48" s="146"/>
      <c r="V48" s="147"/>
      <c r="W48" s="140"/>
      <c r="X48" s="141"/>
      <c r="Y48" s="141"/>
    </row>
    <row r="49" spans="1:25" s="142" customFormat="1" x14ac:dyDescent="0.15">
      <c r="A49" s="128">
        <f t="shared" si="0"/>
        <v>43</v>
      </c>
      <c r="B49" s="129"/>
      <c r="C49" s="129"/>
      <c r="D49" s="132" t="s">
        <v>1060</v>
      </c>
      <c r="E49" s="130" t="s">
        <v>1057</v>
      </c>
      <c r="F49" s="131" t="s">
        <v>1058</v>
      </c>
      <c r="G49" s="141"/>
      <c r="H49" s="143"/>
      <c r="I49" s="143"/>
      <c r="J49" s="144"/>
      <c r="K49" s="141"/>
      <c r="L49" s="143"/>
      <c r="M49" s="143"/>
      <c r="N49" s="144"/>
      <c r="O49" s="141"/>
      <c r="P49" s="143"/>
      <c r="Q49" s="143"/>
      <c r="R49" s="71" t="s">
        <v>1071</v>
      </c>
      <c r="S49" s="72" t="s">
        <v>1072</v>
      </c>
      <c r="T49" s="146"/>
      <c r="U49" s="146"/>
      <c r="V49" s="147"/>
      <c r="W49" s="140"/>
      <c r="X49" s="141"/>
      <c r="Y49" s="141"/>
    </row>
    <row r="50" spans="1:25" s="142" customFormat="1" x14ac:dyDescent="0.15">
      <c r="A50" s="128">
        <f t="shared" si="0"/>
        <v>44</v>
      </c>
      <c r="B50" s="129"/>
      <c r="C50" s="129"/>
      <c r="D50" s="132" t="s">
        <v>1061</v>
      </c>
      <c r="E50" s="130" t="s">
        <v>1057</v>
      </c>
      <c r="F50" s="131" t="s">
        <v>1058</v>
      </c>
      <c r="G50" s="141"/>
      <c r="H50" s="143"/>
      <c r="I50" s="143"/>
      <c r="J50" s="144"/>
      <c r="K50" s="141"/>
      <c r="L50" s="143"/>
      <c r="M50" s="143"/>
      <c r="N50" s="144"/>
      <c r="O50" s="141"/>
      <c r="P50" s="143"/>
      <c r="Q50" s="143"/>
      <c r="R50" s="71" t="s">
        <v>1071</v>
      </c>
      <c r="S50" s="72" t="s">
        <v>1072</v>
      </c>
      <c r="T50" s="146"/>
      <c r="U50" s="146"/>
      <c r="V50" s="147"/>
      <c r="W50" s="140"/>
      <c r="X50" s="141"/>
      <c r="Y50" s="141"/>
    </row>
    <row r="51" spans="1:25" s="142" customFormat="1" x14ac:dyDescent="0.15">
      <c r="A51" s="128">
        <f t="shared" si="0"/>
        <v>45</v>
      </c>
      <c r="B51" s="129"/>
      <c r="C51" s="129"/>
      <c r="D51" s="132" t="s">
        <v>1062</v>
      </c>
      <c r="E51" s="130" t="s">
        <v>1057</v>
      </c>
      <c r="F51" s="131" t="s">
        <v>1058</v>
      </c>
      <c r="G51" s="141"/>
      <c r="H51" s="143"/>
      <c r="I51" s="143"/>
      <c r="J51" s="144"/>
      <c r="K51" s="141"/>
      <c r="L51" s="143"/>
      <c r="M51" s="143"/>
      <c r="N51" s="144"/>
      <c r="O51" s="141"/>
      <c r="P51" s="143"/>
      <c r="Q51" s="143"/>
      <c r="R51" s="71" t="s">
        <v>1071</v>
      </c>
      <c r="S51" s="72" t="s">
        <v>1072</v>
      </c>
      <c r="T51" s="146"/>
      <c r="U51" s="146"/>
      <c r="V51" s="147"/>
      <c r="W51" s="140"/>
      <c r="X51" s="141"/>
      <c r="Y51" s="141"/>
    </row>
    <row r="52" spans="1:25" s="142" customFormat="1" ht="10.5" customHeight="1" x14ac:dyDescent="0.15">
      <c r="A52" s="128">
        <f t="shared" si="0"/>
        <v>46</v>
      </c>
      <c r="B52" s="129"/>
      <c r="C52" s="129"/>
      <c r="D52" s="132" t="s">
        <v>1063</v>
      </c>
      <c r="E52" s="130" t="s">
        <v>1057</v>
      </c>
      <c r="F52" s="131" t="s">
        <v>1058</v>
      </c>
      <c r="G52" s="141"/>
      <c r="H52" s="143"/>
      <c r="I52" s="143"/>
      <c r="J52" s="144"/>
      <c r="K52" s="141"/>
      <c r="L52" s="143"/>
      <c r="M52" s="143"/>
      <c r="N52" s="144"/>
      <c r="O52" s="141"/>
      <c r="P52" s="143"/>
      <c r="Q52" s="143"/>
      <c r="R52" s="71" t="s">
        <v>1071</v>
      </c>
      <c r="S52" s="72" t="s">
        <v>1072</v>
      </c>
      <c r="T52" s="146"/>
      <c r="U52" s="146"/>
      <c r="V52" s="147"/>
      <c r="W52" s="140"/>
      <c r="X52" s="141"/>
      <c r="Y52" s="141"/>
    </row>
    <row r="53" spans="1:25" s="142" customFormat="1" x14ac:dyDescent="0.15">
      <c r="A53" s="128">
        <f t="shared" si="0"/>
        <v>47</v>
      </c>
      <c r="B53" s="129"/>
      <c r="C53" s="129"/>
      <c r="D53" s="158" t="s">
        <v>1064</v>
      </c>
      <c r="E53" s="149" t="s">
        <v>1057</v>
      </c>
      <c r="F53" s="150" t="s">
        <v>1058</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1065</v>
      </c>
      <c r="E54" s="130" t="s">
        <v>1057</v>
      </c>
      <c r="F54" s="131" t="s">
        <v>1058</v>
      </c>
      <c r="G54" s="141"/>
      <c r="H54" s="143"/>
      <c r="I54" s="143"/>
      <c r="J54" s="144"/>
      <c r="K54" s="141"/>
      <c r="L54" s="143"/>
      <c r="M54" s="143"/>
      <c r="N54" s="144"/>
      <c r="O54" s="141"/>
      <c r="P54" s="143"/>
      <c r="Q54" s="143"/>
      <c r="R54" s="71" t="s">
        <v>1071</v>
      </c>
      <c r="S54" s="72" t="s">
        <v>1072</v>
      </c>
      <c r="T54" s="146"/>
      <c r="U54" s="146"/>
      <c r="V54" s="147"/>
      <c r="W54" s="140"/>
      <c r="X54" s="141"/>
      <c r="Y54" s="141"/>
    </row>
    <row r="55" spans="1:25" s="142" customFormat="1" ht="18" x14ac:dyDescent="0.15">
      <c r="A55" s="128">
        <f t="shared" si="0"/>
        <v>49</v>
      </c>
      <c r="B55" s="129"/>
      <c r="C55" s="148" t="s">
        <v>1066</v>
      </c>
      <c r="D55" s="148" t="s">
        <v>1056</v>
      </c>
      <c r="E55" s="149" t="s">
        <v>1057</v>
      </c>
      <c r="F55" s="150" t="s">
        <v>1058</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1059</v>
      </c>
      <c r="E56" s="149" t="s">
        <v>1057</v>
      </c>
      <c r="F56" s="150" t="s">
        <v>1058</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1060</v>
      </c>
      <c r="E57" s="149" t="s">
        <v>1057</v>
      </c>
      <c r="F57" s="150" t="s">
        <v>1058</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1061</v>
      </c>
      <c r="E58" s="149" t="s">
        <v>1057</v>
      </c>
      <c r="F58" s="150" t="s">
        <v>1058</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1062</v>
      </c>
      <c r="E59" s="149" t="s">
        <v>1057</v>
      </c>
      <c r="F59" s="150" t="s">
        <v>1058</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1063</v>
      </c>
      <c r="E60" s="149" t="s">
        <v>1057</v>
      </c>
      <c r="F60" s="150" t="s">
        <v>1058</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1064</v>
      </c>
      <c r="E61" s="149" t="s">
        <v>1057</v>
      </c>
      <c r="F61" s="150" t="s">
        <v>1058</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1065</v>
      </c>
      <c r="E62" s="149" t="s">
        <v>1057</v>
      </c>
      <c r="F62" s="150" t="s">
        <v>1058</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1067</v>
      </c>
      <c r="D63" s="129" t="s">
        <v>1056</v>
      </c>
      <c r="E63" s="130" t="s">
        <v>1057</v>
      </c>
      <c r="F63" s="131" t="s">
        <v>1058</v>
      </c>
      <c r="G63" s="141"/>
      <c r="H63" s="143"/>
      <c r="I63" s="143"/>
      <c r="J63" s="144"/>
      <c r="K63" s="141"/>
      <c r="L63" s="143"/>
      <c r="M63" s="143"/>
      <c r="N63" s="144"/>
      <c r="O63" s="141"/>
      <c r="P63" s="143"/>
      <c r="Q63" s="143"/>
      <c r="R63" s="144" t="s">
        <v>1073</v>
      </c>
      <c r="S63" s="145" t="s">
        <v>1074</v>
      </c>
      <c r="T63" s="146"/>
      <c r="U63" s="146"/>
      <c r="V63" s="147"/>
      <c r="W63" s="140"/>
      <c r="X63" s="141"/>
      <c r="Y63" s="141"/>
    </row>
    <row r="64" spans="1:25" s="142" customFormat="1" x14ac:dyDescent="0.15">
      <c r="A64" s="128">
        <f t="shared" si="0"/>
        <v>58</v>
      </c>
      <c r="B64" s="129"/>
      <c r="C64" s="129"/>
      <c r="D64" s="129" t="s">
        <v>1059</v>
      </c>
      <c r="E64" s="130" t="s">
        <v>1057</v>
      </c>
      <c r="F64" s="131" t="s">
        <v>1058</v>
      </c>
      <c r="G64" s="141"/>
      <c r="H64" s="143"/>
      <c r="I64" s="143"/>
      <c r="J64" s="144"/>
      <c r="K64" s="141"/>
      <c r="L64" s="143"/>
      <c r="M64" s="143"/>
      <c r="N64" s="144"/>
      <c r="O64" s="141"/>
      <c r="P64" s="143"/>
      <c r="Q64" s="143"/>
      <c r="R64" s="144" t="s">
        <v>1073</v>
      </c>
      <c r="S64" s="145" t="s">
        <v>1074</v>
      </c>
      <c r="T64" s="146"/>
      <c r="U64" s="146"/>
      <c r="V64" s="147"/>
      <c r="W64" s="140"/>
      <c r="X64" s="141"/>
      <c r="Y64" s="141"/>
    </row>
    <row r="65" spans="1:25" s="142" customFormat="1" x14ac:dyDescent="0.15">
      <c r="A65" s="128">
        <f t="shared" si="0"/>
        <v>59</v>
      </c>
      <c r="B65" s="129"/>
      <c r="C65" s="129"/>
      <c r="D65" s="132" t="s">
        <v>1060</v>
      </c>
      <c r="E65" s="130" t="s">
        <v>1057</v>
      </c>
      <c r="F65" s="131" t="s">
        <v>1058</v>
      </c>
      <c r="G65" s="141"/>
      <c r="H65" s="143"/>
      <c r="I65" s="143"/>
      <c r="J65" s="144"/>
      <c r="K65" s="141"/>
      <c r="L65" s="143"/>
      <c r="M65" s="143"/>
      <c r="N65" s="144"/>
      <c r="O65" s="141"/>
      <c r="P65" s="143"/>
      <c r="Q65" s="143"/>
      <c r="R65" s="144" t="s">
        <v>1073</v>
      </c>
      <c r="S65" s="145" t="s">
        <v>1074</v>
      </c>
      <c r="T65" s="146"/>
      <c r="U65" s="146"/>
      <c r="V65" s="147"/>
      <c r="W65" s="140"/>
      <c r="X65" s="141"/>
      <c r="Y65" s="141"/>
    </row>
    <row r="66" spans="1:25" s="142" customFormat="1" x14ac:dyDescent="0.15">
      <c r="A66" s="128">
        <f t="shared" si="0"/>
        <v>60</v>
      </c>
      <c r="B66" s="129"/>
      <c r="C66" s="129"/>
      <c r="D66" s="132" t="s">
        <v>1061</v>
      </c>
      <c r="E66" s="130" t="s">
        <v>1057</v>
      </c>
      <c r="F66" s="131" t="s">
        <v>1058</v>
      </c>
      <c r="G66" s="141"/>
      <c r="H66" s="143"/>
      <c r="I66" s="143"/>
      <c r="J66" s="144"/>
      <c r="K66" s="141"/>
      <c r="L66" s="143"/>
      <c r="M66" s="143"/>
      <c r="N66" s="144"/>
      <c r="O66" s="141"/>
      <c r="P66" s="143"/>
      <c r="Q66" s="143"/>
      <c r="R66" s="144" t="s">
        <v>1073</v>
      </c>
      <c r="S66" s="145" t="s">
        <v>1074</v>
      </c>
      <c r="T66" s="146"/>
      <c r="U66" s="146"/>
      <c r="V66" s="147"/>
      <c r="W66" s="140"/>
      <c r="X66" s="141"/>
      <c r="Y66" s="141"/>
    </row>
    <row r="67" spans="1:25" s="142" customFormat="1" x14ac:dyDescent="0.15">
      <c r="A67" s="128">
        <f t="shared" si="0"/>
        <v>61</v>
      </c>
      <c r="B67" s="133"/>
      <c r="C67" s="133"/>
      <c r="D67" s="132" t="s">
        <v>1062</v>
      </c>
      <c r="E67" s="130" t="s">
        <v>1057</v>
      </c>
      <c r="F67" s="131" t="s">
        <v>1058</v>
      </c>
      <c r="G67" s="141"/>
      <c r="H67" s="143"/>
      <c r="I67" s="143"/>
      <c r="J67" s="144"/>
      <c r="K67" s="141"/>
      <c r="L67" s="143"/>
      <c r="M67" s="143"/>
      <c r="N67" s="144"/>
      <c r="O67" s="141"/>
      <c r="P67" s="143"/>
      <c r="Q67" s="143"/>
      <c r="R67" s="144" t="s">
        <v>1073</v>
      </c>
      <c r="S67" s="145" t="s">
        <v>1074</v>
      </c>
      <c r="T67" s="146"/>
      <c r="U67" s="146"/>
      <c r="V67" s="147"/>
      <c r="W67" s="140"/>
      <c r="X67" s="141"/>
      <c r="Y67" s="141"/>
    </row>
    <row r="68" spans="1:25" s="142" customFormat="1" ht="10.5" customHeight="1" x14ac:dyDescent="0.15">
      <c r="A68" s="128">
        <f t="shared" si="0"/>
        <v>62</v>
      </c>
      <c r="B68" s="133"/>
      <c r="C68" s="133"/>
      <c r="D68" s="132" t="s">
        <v>1063</v>
      </c>
      <c r="E68" s="130" t="s">
        <v>1057</v>
      </c>
      <c r="F68" s="131" t="s">
        <v>1058</v>
      </c>
      <c r="G68" s="141"/>
      <c r="H68" s="143"/>
      <c r="I68" s="143"/>
      <c r="J68" s="144"/>
      <c r="K68" s="141"/>
      <c r="L68" s="143"/>
      <c r="M68" s="143"/>
      <c r="N68" s="144"/>
      <c r="O68" s="141"/>
      <c r="P68" s="143"/>
      <c r="Q68" s="143"/>
      <c r="R68" s="144" t="s">
        <v>1073</v>
      </c>
      <c r="S68" s="145" t="s">
        <v>1074</v>
      </c>
      <c r="T68" s="146"/>
      <c r="U68" s="146"/>
      <c r="V68" s="147"/>
      <c r="W68" s="140"/>
      <c r="X68" s="141"/>
      <c r="Y68" s="141"/>
    </row>
    <row r="69" spans="1:25" s="142" customFormat="1" x14ac:dyDescent="0.15">
      <c r="A69" s="128">
        <f t="shared" si="0"/>
        <v>63</v>
      </c>
      <c r="B69" s="133"/>
      <c r="C69" s="133"/>
      <c r="D69" s="158" t="s">
        <v>1064</v>
      </c>
      <c r="E69" s="149" t="s">
        <v>1057</v>
      </c>
      <c r="F69" s="150" t="s">
        <v>1058</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1065</v>
      </c>
      <c r="E70" s="130" t="s">
        <v>1057</v>
      </c>
      <c r="F70" s="131" t="s">
        <v>1058</v>
      </c>
      <c r="G70" s="141"/>
      <c r="H70" s="143"/>
      <c r="I70" s="143"/>
      <c r="J70" s="144"/>
      <c r="K70" s="141"/>
      <c r="L70" s="143"/>
      <c r="M70" s="143"/>
      <c r="N70" s="144"/>
      <c r="O70" s="141"/>
      <c r="P70" s="143"/>
      <c r="Q70" s="143"/>
      <c r="R70" s="144" t="s">
        <v>1073</v>
      </c>
      <c r="S70" s="145" t="s">
        <v>1074</v>
      </c>
      <c r="T70" s="146"/>
      <c r="U70" s="146"/>
      <c r="V70" s="147"/>
      <c r="W70" s="140"/>
      <c r="X70" s="141"/>
      <c r="Y70" s="141"/>
    </row>
    <row r="71" spans="1:25" s="142" customFormat="1" ht="18" x14ac:dyDescent="0.15">
      <c r="A71" s="128">
        <f t="shared" si="0"/>
        <v>65</v>
      </c>
      <c r="B71" s="133"/>
      <c r="C71" s="129" t="s">
        <v>1068</v>
      </c>
      <c r="D71" s="129" t="s">
        <v>1056</v>
      </c>
      <c r="E71" s="130" t="s">
        <v>1057</v>
      </c>
      <c r="F71" s="131" t="s">
        <v>1058</v>
      </c>
      <c r="G71" s="141"/>
      <c r="H71" s="143"/>
      <c r="I71" s="143"/>
      <c r="J71" s="144"/>
      <c r="K71" s="141"/>
      <c r="L71" s="143"/>
      <c r="M71" s="143"/>
      <c r="N71" s="144"/>
      <c r="O71" s="141"/>
      <c r="P71" s="143"/>
      <c r="Q71" s="143"/>
      <c r="R71" s="71" t="s">
        <v>1073</v>
      </c>
      <c r="S71" s="145" t="s">
        <v>1074</v>
      </c>
      <c r="T71" s="146"/>
      <c r="U71" s="146"/>
      <c r="V71" s="147"/>
      <c r="W71" s="140"/>
      <c r="X71" s="141"/>
      <c r="Y71" s="141"/>
    </row>
    <row r="72" spans="1:25" s="142" customFormat="1" x14ac:dyDescent="0.15">
      <c r="A72" s="128">
        <f t="shared" si="0"/>
        <v>66</v>
      </c>
      <c r="B72" s="133"/>
      <c r="C72" s="129"/>
      <c r="D72" s="129" t="s">
        <v>1059</v>
      </c>
      <c r="E72" s="130" t="s">
        <v>1057</v>
      </c>
      <c r="F72" s="131" t="s">
        <v>1058</v>
      </c>
      <c r="G72" s="141"/>
      <c r="H72" s="143"/>
      <c r="I72" s="143"/>
      <c r="J72" s="144"/>
      <c r="K72" s="141"/>
      <c r="L72" s="143"/>
      <c r="M72" s="143"/>
      <c r="N72" s="144"/>
      <c r="O72" s="141"/>
      <c r="P72" s="143"/>
      <c r="Q72" s="143"/>
      <c r="R72" s="71" t="s">
        <v>1073</v>
      </c>
      <c r="S72" s="145" t="s">
        <v>1074</v>
      </c>
      <c r="T72" s="146"/>
      <c r="U72" s="146"/>
      <c r="V72" s="147"/>
      <c r="W72" s="140"/>
      <c r="X72" s="141"/>
      <c r="Y72" s="141"/>
    </row>
    <row r="73" spans="1:25" s="142" customFormat="1" x14ac:dyDescent="0.15">
      <c r="A73" s="128">
        <f t="shared" si="0"/>
        <v>67</v>
      </c>
      <c r="B73" s="129"/>
      <c r="C73" s="129"/>
      <c r="D73" s="132" t="s">
        <v>1060</v>
      </c>
      <c r="E73" s="130" t="s">
        <v>1057</v>
      </c>
      <c r="F73" s="131" t="s">
        <v>1058</v>
      </c>
      <c r="G73" s="141"/>
      <c r="H73" s="143"/>
      <c r="I73" s="143"/>
      <c r="J73" s="144"/>
      <c r="K73" s="141"/>
      <c r="L73" s="143"/>
      <c r="M73" s="143"/>
      <c r="N73" s="144"/>
      <c r="O73" s="141"/>
      <c r="P73" s="143"/>
      <c r="Q73" s="143"/>
      <c r="R73" s="71" t="s">
        <v>1073</v>
      </c>
      <c r="S73" s="145" t="s">
        <v>1074</v>
      </c>
      <c r="T73" s="146"/>
      <c r="U73" s="146"/>
      <c r="V73" s="147"/>
      <c r="W73" s="140"/>
      <c r="X73" s="141"/>
      <c r="Y73" s="141"/>
    </row>
    <row r="74" spans="1:25" s="142" customFormat="1" x14ac:dyDescent="0.15">
      <c r="A74" s="128">
        <f t="shared" si="0"/>
        <v>68</v>
      </c>
      <c r="B74" s="129"/>
      <c r="C74" s="129"/>
      <c r="D74" s="132" t="s">
        <v>1061</v>
      </c>
      <c r="E74" s="130" t="s">
        <v>1057</v>
      </c>
      <c r="F74" s="131" t="s">
        <v>1058</v>
      </c>
      <c r="G74" s="141"/>
      <c r="H74" s="143"/>
      <c r="I74" s="143"/>
      <c r="J74" s="144"/>
      <c r="K74" s="141"/>
      <c r="L74" s="143"/>
      <c r="M74" s="143"/>
      <c r="N74" s="144"/>
      <c r="O74" s="141"/>
      <c r="P74" s="143"/>
      <c r="Q74" s="143"/>
      <c r="R74" s="71" t="s">
        <v>1073</v>
      </c>
      <c r="S74" s="145" t="s">
        <v>1074</v>
      </c>
      <c r="T74" s="146"/>
      <c r="U74" s="146"/>
      <c r="V74" s="147"/>
      <c r="W74" s="140"/>
      <c r="X74" s="141"/>
      <c r="Y74" s="141"/>
    </row>
    <row r="75" spans="1:25" s="142" customFormat="1" x14ac:dyDescent="0.15">
      <c r="A75" s="128">
        <f t="shared" si="0"/>
        <v>69</v>
      </c>
      <c r="B75" s="129"/>
      <c r="C75" s="133"/>
      <c r="D75" s="132" t="s">
        <v>1062</v>
      </c>
      <c r="E75" s="130" t="s">
        <v>1057</v>
      </c>
      <c r="F75" s="131" t="s">
        <v>1058</v>
      </c>
      <c r="G75" s="141"/>
      <c r="H75" s="143"/>
      <c r="I75" s="143"/>
      <c r="J75" s="144"/>
      <c r="K75" s="141"/>
      <c r="L75" s="143"/>
      <c r="M75" s="143"/>
      <c r="N75" s="144"/>
      <c r="O75" s="141"/>
      <c r="P75" s="143"/>
      <c r="Q75" s="143"/>
      <c r="R75" s="71" t="s">
        <v>1073</v>
      </c>
      <c r="S75" s="145" t="s">
        <v>1074</v>
      </c>
      <c r="T75" s="146"/>
      <c r="U75" s="146"/>
      <c r="V75" s="147"/>
      <c r="W75" s="140"/>
      <c r="X75" s="141"/>
      <c r="Y75" s="141"/>
    </row>
    <row r="76" spans="1:25" s="142" customFormat="1" ht="11.25" customHeight="1" x14ac:dyDescent="0.15">
      <c r="A76" s="128">
        <f t="shared" si="0"/>
        <v>70</v>
      </c>
      <c r="B76" s="129"/>
      <c r="C76" s="133"/>
      <c r="D76" s="132" t="s">
        <v>1063</v>
      </c>
      <c r="E76" s="130" t="s">
        <v>1057</v>
      </c>
      <c r="F76" s="131" t="s">
        <v>1058</v>
      </c>
      <c r="G76" s="141"/>
      <c r="H76" s="143"/>
      <c r="I76" s="143"/>
      <c r="J76" s="144"/>
      <c r="K76" s="141"/>
      <c r="L76" s="143"/>
      <c r="M76" s="143"/>
      <c r="N76" s="144"/>
      <c r="O76" s="141"/>
      <c r="P76" s="143"/>
      <c r="Q76" s="143"/>
      <c r="R76" s="71" t="s">
        <v>1073</v>
      </c>
      <c r="S76" s="145" t="s">
        <v>1074</v>
      </c>
      <c r="T76" s="146"/>
      <c r="U76" s="146"/>
      <c r="V76" s="147"/>
      <c r="W76" s="140"/>
      <c r="X76" s="141"/>
      <c r="Y76" s="141"/>
    </row>
    <row r="77" spans="1:25" s="142" customFormat="1" x14ac:dyDescent="0.15">
      <c r="A77" s="128">
        <f t="shared" si="0"/>
        <v>71</v>
      </c>
      <c r="B77" s="129"/>
      <c r="C77" s="133"/>
      <c r="D77" s="158" t="s">
        <v>1064</v>
      </c>
      <c r="E77" s="149" t="s">
        <v>1057</v>
      </c>
      <c r="F77" s="150" t="s">
        <v>1058</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1065</v>
      </c>
      <c r="E78" s="130" t="s">
        <v>1057</v>
      </c>
      <c r="F78" s="131" t="s">
        <v>1058</v>
      </c>
      <c r="G78" s="141"/>
      <c r="H78" s="143"/>
      <c r="I78" s="143"/>
      <c r="J78" s="144"/>
      <c r="K78" s="141"/>
      <c r="L78" s="143"/>
      <c r="M78" s="143"/>
      <c r="N78" s="144"/>
      <c r="O78" s="141"/>
      <c r="P78" s="143"/>
      <c r="Q78" s="143"/>
      <c r="R78" s="71" t="s">
        <v>1073</v>
      </c>
      <c r="S78" s="145" t="s">
        <v>1074</v>
      </c>
      <c r="T78" s="146"/>
      <c r="U78" s="146"/>
      <c r="V78" s="147"/>
      <c r="W78" s="140"/>
      <c r="X78" s="141"/>
      <c r="Y78" s="141"/>
    </row>
    <row r="79" spans="1:25" s="142" customFormat="1" ht="18" x14ac:dyDescent="0.15">
      <c r="A79" s="128">
        <f t="shared" si="0"/>
        <v>73</v>
      </c>
      <c r="B79" s="129"/>
      <c r="C79" s="129" t="s">
        <v>1069</v>
      </c>
      <c r="D79" s="129" t="s">
        <v>1056</v>
      </c>
      <c r="E79" s="130" t="s">
        <v>1057</v>
      </c>
      <c r="F79" s="131" t="s">
        <v>1058</v>
      </c>
      <c r="G79" s="141"/>
      <c r="H79" s="143"/>
      <c r="I79" s="143"/>
      <c r="J79" s="144"/>
      <c r="K79" s="141"/>
      <c r="L79" s="143"/>
      <c r="M79" s="143"/>
      <c r="N79" s="144"/>
      <c r="O79" s="141"/>
      <c r="P79" s="143"/>
      <c r="Q79" s="143"/>
      <c r="R79" s="71" t="s">
        <v>1073</v>
      </c>
      <c r="S79" s="145" t="s">
        <v>1074</v>
      </c>
      <c r="T79" s="146"/>
      <c r="U79" s="146"/>
      <c r="V79" s="147"/>
      <c r="W79" s="140"/>
      <c r="X79" s="141"/>
      <c r="Y79" s="141"/>
    </row>
    <row r="80" spans="1:25" s="142" customFormat="1" x14ac:dyDescent="0.15">
      <c r="A80" s="128">
        <f t="shared" si="0"/>
        <v>74</v>
      </c>
      <c r="B80" s="129"/>
      <c r="C80" s="129"/>
      <c r="D80" s="129" t="s">
        <v>1059</v>
      </c>
      <c r="E80" s="130" t="s">
        <v>1057</v>
      </c>
      <c r="F80" s="131" t="s">
        <v>1058</v>
      </c>
      <c r="G80" s="141"/>
      <c r="H80" s="143"/>
      <c r="I80" s="143"/>
      <c r="J80" s="144"/>
      <c r="K80" s="141"/>
      <c r="L80" s="143"/>
      <c r="M80" s="143"/>
      <c r="N80" s="144"/>
      <c r="O80" s="141"/>
      <c r="P80" s="143"/>
      <c r="Q80" s="143"/>
      <c r="R80" s="71" t="s">
        <v>1073</v>
      </c>
      <c r="S80" s="145" t="s">
        <v>1074</v>
      </c>
      <c r="T80" s="146"/>
      <c r="U80" s="146"/>
      <c r="V80" s="147"/>
      <c r="W80" s="140"/>
      <c r="X80" s="141"/>
      <c r="Y80" s="141"/>
    </row>
    <row r="81" spans="1:25" s="142" customFormat="1" x14ac:dyDescent="0.15">
      <c r="A81" s="128">
        <f t="shared" si="0"/>
        <v>75</v>
      </c>
      <c r="B81" s="129"/>
      <c r="C81" s="129"/>
      <c r="D81" s="132" t="s">
        <v>1060</v>
      </c>
      <c r="E81" s="130" t="s">
        <v>1057</v>
      </c>
      <c r="F81" s="131" t="s">
        <v>1058</v>
      </c>
      <c r="G81" s="141"/>
      <c r="H81" s="143"/>
      <c r="I81" s="143"/>
      <c r="J81" s="144"/>
      <c r="K81" s="141"/>
      <c r="L81" s="143"/>
      <c r="M81" s="143"/>
      <c r="N81" s="144"/>
      <c r="O81" s="141"/>
      <c r="P81" s="143"/>
      <c r="Q81" s="143"/>
      <c r="R81" s="71" t="s">
        <v>1073</v>
      </c>
      <c r="S81" s="145" t="s">
        <v>1074</v>
      </c>
      <c r="T81" s="146"/>
      <c r="U81" s="146"/>
      <c r="V81" s="147"/>
      <c r="W81" s="140"/>
      <c r="X81" s="141"/>
      <c r="Y81" s="141"/>
    </row>
    <row r="82" spans="1:25" s="142" customFormat="1" x14ac:dyDescent="0.15">
      <c r="A82" s="128">
        <f t="shared" si="0"/>
        <v>76</v>
      </c>
      <c r="B82" s="129"/>
      <c r="C82" s="129"/>
      <c r="D82" s="132" t="s">
        <v>1061</v>
      </c>
      <c r="E82" s="130" t="s">
        <v>1057</v>
      </c>
      <c r="F82" s="131" t="s">
        <v>1058</v>
      </c>
      <c r="G82" s="141"/>
      <c r="H82" s="143"/>
      <c r="I82" s="143"/>
      <c r="J82" s="144"/>
      <c r="K82" s="141"/>
      <c r="L82" s="143"/>
      <c r="M82" s="143"/>
      <c r="N82" s="144"/>
      <c r="O82" s="141"/>
      <c r="P82" s="143"/>
      <c r="Q82" s="143"/>
      <c r="R82" s="71" t="s">
        <v>1073</v>
      </c>
      <c r="S82" s="145" t="s">
        <v>1074</v>
      </c>
      <c r="T82" s="146"/>
      <c r="U82" s="146"/>
      <c r="V82" s="147"/>
      <c r="W82" s="140"/>
      <c r="X82" s="141"/>
      <c r="Y82" s="141"/>
    </row>
    <row r="83" spans="1:25" s="142" customFormat="1" x14ac:dyDescent="0.15">
      <c r="A83" s="128">
        <f t="shared" si="0"/>
        <v>77</v>
      </c>
      <c r="B83" s="129"/>
      <c r="C83" s="133"/>
      <c r="D83" s="132" t="s">
        <v>1062</v>
      </c>
      <c r="E83" s="130" t="s">
        <v>1057</v>
      </c>
      <c r="F83" s="131" t="s">
        <v>1058</v>
      </c>
      <c r="G83" s="141"/>
      <c r="H83" s="143"/>
      <c r="I83" s="143"/>
      <c r="J83" s="144"/>
      <c r="K83" s="141"/>
      <c r="L83" s="143"/>
      <c r="M83" s="143"/>
      <c r="N83" s="144"/>
      <c r="O83" s="141"/>
      <c r="P83" s="143"/>
      <c r="Q83" s="143"/>
      <c r="R83" s="71" t="s">
        <v>1073</v>
      </c>
      <c r="S83" s="145" t="s">
        <v>1074</v>
      </c>
      <c r="T83" s="146"/>
      <c r="U83" s="146"/>
      <c r="V83" s="147"/>
      <c r="W83" s="140"/>
      <c r="X83" s="141"/>
      <c r="Y83" s="141"/>
    </row>
    <row r="84" spans="1:25" s="142" customFormat="1" ht="10.5" customHeight="1" x14ac:dyDescent="0.15">
      <c r="A84" s="128">
        <f t="shared" si="0"/>
        <v>78</v>
      </c>
      <c r="B84" s="129"/>
      <c r="C84" s="133"/>
      <c r="D84" s="132" t="s">
        <v>1063</v>
      </c>
      <c r="E84" s="130" t="s">
        <v>1057</v>
      </c>
      <c r="F84" s="131" t="s">
        <v>1058</v>
      </c>
      <c r="G84" s="141"/>
      <c r="H84" s="143"/>
      <c r="I84" s="143"/>
      <c r="J84" s="144"/>
      <c r="K84" s="141"/>
      <c r="L84" s="143"/>
      <c r="M84" s="143"/>
      <c r="N84" s="144"/>
      <c r="O84" s="141"/>
      <c r="P84" s="143"/>
      <c r="Q84" s="143"/>
      <c r="R84" s="71" t="s">
        <v>1073</v>
      </c>
      <c r="S84" s="145" t="s">
        <v>1074</v>
      </c>
      <c r="T84" s="146"/>
      <c r="U84" s="146"/>
      <c r="V84" s="147"/>
      <c r="W84" s="140"/>
      <c r="X84" s="141"/>
      <c r="Y84" s="141"/>
    </row>
    <row r="85" spans="1:25" s="142" customFormat="1" x14ac:dyDescent="0.15">
      <c r="A85" s="128">
        <f t="shared" si="0"/>
        <v>79</v>
      </c>
      <c r="B85" s="129"/>
      <c r="C85" s="133"/>
      <c r="D85" s="158" t="s">
        <v>1064</v>
      </c>
      <c r="E85" s="149" t="s">
        <v>1057</v>
      </c>
      <c r="F85" s="150" t="s">
        <v>1058</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1065</v>
      </c>
      <c r="E86" s="130" t="s">
        <v>1057</v>
      </c>
      <c r="F86" s="131" t="s">
        <v>1058</v>
      </c>
      <c r="G86" s="141"/>
      <c r="H86" s="143"/>
      <c r="I86" s="143"/>
      <c r="J86" s="144"/>
      <c r="K86" s="141"/>
      <c r="L86" s="143"/>
      <c r="M86" s="143"/>
      <c r="N86" s="144"/>
      <c r="O86" s="141"/>
      <c r="P86" s="143"/>
      <c r="Q86" s="143"/>
      <c r="R86" s="71" t="s">
        <v>1073</v>
      </c>
      <c r="S86" s="145" t="s">
        <v>1074</v>
      </c>
      <c r="T86" s="146"/>
      <c r="U86" s="146"/>
      <c r="V86" s="147"/>
      <c r="W86" s="140"/>
      <c r="X86" s="141"/>
      <c r="Y86" s="141"/>
    </row>
    <row r="87" spans="1:25" ht="18" x14ac:dyDescent="0.15">
      <c r="A87" s="86">
        <f t="shared" si="0"/>
        <v>81</v>
      </c>
      <c r="B87" s="57" t="s">
        <v>1075</v>
      </c>
      <c r="C87" s="57" t="s">
        <v>1055</v>
      </c>
      <c r="D87" s="57" t="s">
        <v>1056</v>
      </c>
      <c r="E87" s="90" t="s">
        <v>1057</v>
      </c>
      <c r="F87" s="75" t="s">
        <v>1076</v>
      </c>
      <c r="G87" s="88"/>
      <c r="H87" s="70"/>
      <c r="I87" s="70"/>
      <c r="J87" s="71"/>
      <c r="K87" s="88"/>
      <c r="L87" s="70"/>
      <c r="M87" s="70"/>
      <c r="N87" s="71"/>
      <c r="O87" s="88"/>
      <c r="P87" s="70"/>
      <c r="Q87" s="70"/>
      <c r="R87" s="71" t="s">
        <v>1071</v>
      </c>
      <c r="S87" s="72" t="s">
        <v>1072</v>
      </c>
      <c r="T87" s="73"/>
      <c r="U87" s="73"/>
      <c r="V87" s="74"/>
      <c r="W87" s="87"/>
      <c r="X87" s="85"/>
      <c r="Y87" s="85"/>
    </row>
    <row r="88" spans="1:25" ht="18" x14ac:dyDescent="0.15">
      <c r="A88" s="86">
        <f t="shared" si="0"/>
        <v>82</v>
      </c>
      <c r="B88" s="57"/>
      <c r="C88" s="57"/>
      <c r="D88" s="57" t="s">
        <v>1059</v>
      </c>
      <c r="E88" s="90" t="s">
        <v>1057</v>
      </c>
      <c r="F88" s="75" t="s">
        <v>1076</v>
      </c>
      <c r="G88" s="88"/>
      <c r="H88" s="70"/>
      <c r="I88" s="70"/>
      <c r="J88" s="71"/>
      <c r="K88" s="88"/>
      <c r="L88" s="70"/>
      <c r="M88" s="70"/>
      <c r="N88" s="71"/>
      <c r="O88" s="88"/>
      <c r="P88" s="70"/>
      <c r="Q88" s="70"/>
      <c r="R88" s="71" t="s">
        <v>1071</v>
      </c>
      <c r="S88" s="72" t="s">
        <v>1074</v>
      </c>
      <c r="T88" s="73"/>
      <c r="U88" s="73"/>
      <c r="V88" s="74"/>
      <c r="W88" s="87"/>
      <c r="X88" s="85"/>
      <c r="Y88" s="85"/>
    </row>
    <row r="89" spans="1:25" ht="18" x14ac:dyDescent="0.15">
      <c r="A89" s="86">
        <f t="shared" si="0"/>
        <v>83</v>
      </c>
      <c r="B89" s="57"/>
      <c r="C89" s="57"/>
      <c r="D89" s="91" t="s">
        <v>1060</v>
      </c>
      <c r="E89" s="90" t="s">
        <v>1057</v>
      </c>
      <c r="F89" s="75" t="s">
        <v>1076</v>
      </c>
      <c r="G89" s="88"/>
      <c r="H89" s="70"/>
      <c r="I89" s="70"/>
      <c r="J89" s="71"/>
      <c r="K89" s="88"/>
      <c r="L89" s="70"/>
      <c r="M89" s="70"/>
      <c r="N89" s="71"/>
      <c r="O89" s="88"/>
      <c r="P89" s="70"/>
      <c r="Q89" s="70"/>
      <c r="R89" s="71" t="s">
        <v>1071</v>
      </c>
      <c r="S89" s="72" t="s">
        <v>1074</v>
      </c>
      <c r="T89" s="73"/>
      <c r="U89" s="73"/>
      <c r="V89" s="74"/>
      <c r="W89" s="87"/>
      <c r="X89" s="85"/>
      <c r="Y89" s="85"/>
    </row>
    <row r="90" spans="1:25" x14ac:dyDescent="0.15">
      <c r="A90" s="86">
        <f t="shared" si="0"/>
        <v>84</v>
      </c>
      <c r="B90" s="57"/>
      <c r="C90" s="57"/>
      <c r="D90" s="91" t="s">
        <v>1061</v>
      </c>
      <c r="E90" s="90" t="s">
        <v>1057</v>
      </c>
      <c r="F90" s="75" t="s">
        <v>1077</v>
      </c>
      <c r="G90" s="88"/>
      <c r="H90" s="70"/>
      <c r="I90" s="70"/>
      <c r="J90" s="71"/>
      <c r="K90" s="88"/>
      <c r="L90" s="70"/>
      <c r="M90" s="70"/>
      <c r="N90" s="71"/>
      <c r="O90" s="88"/>
      <c r="P90" s="70"/>
      <c r="Q90" s="70"/>
      <c r="R90" s="71" t="s">
        <v>1071</v>
      </c>
      <c r="S90" s="72" t="s">
        <v>1074</v>
      </c>
      <c r="T90" s="73"/>
      <c r="U90" s="73"/>
      <c r="V90" s="74"/>
      <c r="W90" s="87"/>
      <c r="X90" s="85"/>
      <c r="Y90" s="85"/>
    </row>
    <row r="91" spans="1:25" ht="18" x14ac:dyDescent="0.15">
      <c r="A91" s="86">
        <f t="shared" si="0"/>
        <v>85</v>
      </c>
      <c r="B91" s="57"/>
      <c r="C91" s="57"/>
      <c r="D91" s="91" t="s">
        <v>1062</v>
      </c>
      <c r="E91" s="90" t="s">
        <v>1057</v>
      </c>
      <c r="F91" s="75" t="s">
        <v>1076</v>
      </c>
      <c r="G91" s="88"/>
      <c r="H91" s="70"/>
      <c r="I91" s="70"/>
      <c r="J91" s="71"/>
      <c r="K91" s="88"/>
      <c r="L91" s="70"/>
      <c r="M91" s="70"/>
      <c r="N91" s="71"/>
      <c r="O91" s="88"/>
      <c r="P91" s="70"/>
      <c r="Q91" s="70"/>
      <c r="R91" s="71" t="s">
        <v>1071</v>
      </c>
      <c r="S91" s="72" t="s">
        <v>1074</v>
      </c>
      <c r="T91" s="73"/>
      <c r="U91" s="73"/>
      <c r="V91" s="74"/>
      <c r="W91" s="87"/>
      <c r="X91" s="85"/>
      <c r="Y91" s="85"/>
    </row>
    <row r="92" spans="1:25" ht="18" x14ac:dyDescent="0.15">
      <c r="A92" s="86">
        <f t="shared" si="0"/>
        <v>86</v>
      </c>
      <c r="B92" s="57"/>
      <c r="C92" s="57"/>
      <c r="D92" s="91" t="s">
        <v>1063</v>
      </c>
      <c r="E92" s="90" t="s">
        <v>1057</v>
      </c>
      <c r="F92" s="75" t="s">
        <v>1076</v>
      </c>
      <c r="G92" s="88"/>
      <c r="H92" s="70"/>
      <c r="I92" s="70"/>
      <c r="J92" s="71"/>
      <c r="K92" s="88"/>
      <c r="L92" s="70"/>
      <c r="M92" s="70"/>
      <c r="N92" s="71"/>
      <c r="O92" s="88"/>
      <c r="P92" s="70"/>
      <c r="Q92" s="70"/>
      <c r="R92" s="71" t="s">
        <v>1071</v>
      </c>
      <c r="S92" s="72" t="s">
        <v>1074</v>
      </c>
      <c r="T92" s="73"/>
      <c r="U92" s="73"/>
      <c r="V92" s="74"/>
      <c r="W92" s="87"/>
      <c r="X92" s="85"/>
      <c r="Y92" s="85"/>
    </row>
    <row r="93" spans="1:25" ht="18" x14ac:dyDescent="0.15">
      <c r="A93" s="86">
        <f t="shared" si="0"/>
        <v>87</v>
      </c>
      <c r="B93" s="57"/>
      <c r="C93" s="57"/>
      <c r="D93" s="127" t="s">
        <v>1064</v>
      </c>
      <c r="E93" s="119" t="s">
        <v>1057</v>
      </c>
      <c r="F93" s="120" t="s">
        <v>1076</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1065</v>
      </c>
      <c r="E94" s="90" t="s">
        <v>1057</v>
      </c>
      <c r="F94" s="75" t="s">
        <v>1077</v>
      </c>
      <c r="G94" s="88"/>
      <c r="H94" s="70"/>
      <c r="I94" s="70"/>
      <c r="J94" s="71"/>
      <c r="K94" s="88"/>
      <c r="L94" s="70"/>
      <c r="M94" s="70"/>
      <c r="N94" s="71"/>
      <c r="O94" s="88"/>
      <c r="P94" s="70"/>
      <c r="Q94" s="70"/>
      <c r="R94" s="71" t="s">
        <v>1071</v>
      </c>
      <c r="S94" s="72" t="s">
        <v>1074</v>
      </c>
      <c r="T94" s="73"/>
      <c r="U94" s="73"/>
      <c r="V94" s="74"/>
      <c r="W94" s="87"/>
      <c r="X94" s="85"/>
      <c r="Y94" s="85"/>
    </row>
    <row r="95" spans="1:25" ht="18" x14ac:dyDescent="0.15">
      <c r="A95" s="86">
        <f t="shared" si="0"/>
        <v>89</v>
      </c>
      <c r="B95" s="57"/>
      <c r="C95" s="118" t="s">
        <v>1066</v>
      </c>
      <c r="D95" s="118" t="s">
        <v>1056</v>
      </c>
      <c r="E95" s="119" t="s">
        <v>1057</v>
      </c>
      <c r="F95" s="120" t="s">
        <v>1078</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1059</v>
      </c>
      <c r="E96" s="119" t="s">
        <v>1057</v>
      </c>
      <c r="F96" s="120" t="s">
        <v>1078</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1060</v>
      </c>
      <c r="E97" s="119" t="s">
        <v>1057</v>
      </c>
      <c r="F97" s="120" t="s">
        <v>1078</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1061</v>
      </c>
      <c r="E98" s="119" t="s">
        <v>1057</v>
      </c>
      <c r="F98" s="120" t="s">
        <v>1077</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1062</v>
      </c>
      <c r="E99" s="119" t="s">
        <v>1057</v>
      </c>
      <c r="F99" s="120" t="s">
        <v>1078</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1063</v>
      </c>
      <c r="E100" s="119" t="s">
        <v>1057</v>
      </c>
      <c r="F100" s="120" t="s">
        <v>1078</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1064</v>
      </c>
      <c r="E101" s="119" t="s">
        <v>1057</v>
      </c>
      <c r="F101" s="120" t="s">
        <v>1078</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1065</v>
      </c>
      <c r="E102" s="119" t="s">
        <v>1057</v>
      </c>
      <c r="F102" s="120" t="s">
        <v>1077</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1067</v>
      </c>
      <c r="D103" s="57" t="s">
        <v>1056</v>
      </c>
      <c r="E103" s="90" t="s">
        <v>1057</v>
      </c>
      <c r="F103" s="75" t="s">
        <v>1079</v>
      </c>
      <c r="G103" s="88"/>
      <c r="H103" s="70"/>
      <c r="I103" s="70"/>
      <c r="J103" s="71"/>
      <c r="K103" s="88"/>
      <c r="L103" s="70"/>
      <c r="M103" s="70"/>
      <c r="N103" s="71"/>
      <c r="O103" s="88"/>
      <c r="P103" s="70"/>
      <c r="Q103" s="70"/>
      <c r="R103" s="71" t="s">
        <v>1071</v>
      </c>
      <c r="S103" s="72" t="s">
        <v>1074</v>
      </c>
      <c r="T103" s="73"/>
      <c r="U103" s="73"/>
      <c r="V103" s="74"/>
      <c r="W103" s="87"/>
      <c r="X103" s="85"/>
      <c r="Y103" s="85"/>
    </row>
    <row r="104" spans="1:25" ht="18" x14ac:dyDescent="0.15">
      <c r="A104" s="86">
        <f t="shared" si="0"/>
        <v>98</v>
      </c>
      <c r="B104" s="57"/>
      <c r="C104" s="57"/>
      <c r="D104" s="57" t="s">
        <v>1059</v>
      </c>
      <c r="E104" s="90" t="s">
        <v>1057</v>
      </c>
      <c r="F104" s="75" t="s">
        <v>1079</v>
      </c>
      <c r="G104" s="88"/>
      <c r="H104" s="70"/>
      <c r="I104" s="70"/>
      <c r="J104" s="71"/>
      <c r="K104" s="88"/>
      <c r="L104" s="70"/>
      <c r="M104" s="70"/>
      <c r="N104" s="71"/>
      <c r="O104" s="88"/>
      <c r="P104" s="70"/>
      <c r="Q104" s="70"/>
      <c r="R104" s="71" t="s">
        <v>1071</v>
      </c>
      <c r="S104" s="72" t="s">
        <v>1074</v>
      </c>
      <c r="T104" s="73"/>
      <c r="U104" s="73"/>
      <c r="V104" s="74"/>
      <c r="W104" s="87"/>
      <c r="X104" s="85"/>
      <c r="Y104" s="85"/>
    </row>
    <row r="105" spans="1:25" ht="18" x14ac:dyDescent="0.15">
      <c r="A105" s="86">
        <f t="shared" si="0"/>
        <v>99</v>
      </c>
      <c r="B105" s="57"/>
      <c r="C105" s="57"/>
      <c r="D105" s="91" t="s">
        <v>1060</v>
      </c>
      <c r="E105" s="90" t="s">
        <v>1057</v>
      </c>
      <c r="F105" s="75" t="s">
        <v>1079</v>
      </c>
      <c r="G105" s="88"/>
      <c r="H105" s="70"/>
      <c r="I105" s="70"/>
      <c r="J105" s="71"/>
      <c r="K105" s="88"/>
      <c r="L105" s="70"/>
      <c r="M105" s="70"/>
      <c r="N105" s="71"/>
      <c r="O105" s="88"/>
      <c r="P105" s="70"/>
      <c r="Q105" s="70"/>
      <c r="R105" s="71" t="s">
        <v>1071</v>
      </c>
      <c r="S105" s="72" t="s">
        <v>1074</v>
      </c>
      <c r="T105" s="73"/>
      <c r="U105" s="73"/>
      <c r="V105" s="74"/>
      <c r="W105" s="87"/>
      <c r="X105" s="85"/>
      <c r="Y105" s="85"/>
    </row>
    <row r="106" spans="1:25" x14ac:dyDescent="0.15">
      <c r="A106" s="86">
        <f t="shared" si="0"/>
        <v>100</v>
      </c>
      <c r="B106" s="57"/>
      <c r="C106" s="57"/>
      <c r="D106" s="91" t="s">
        <v>1061</v>
      </c>
      <c r="E106" s="90" t="s">
        <v>1057</v>
      </c>
      <c r="F106" s="75" t="s">
        <v>1077</v>
      </c>
      <c r="G106" s="88"/>
      <c r="H106" s="70"/>
      <c r="I106" s="70"/>
      <c r="J106" s="71"/>
      <c r="K106" s="88"/>
      <c r="L106" s="70"/>
      <c r="M106" s="70"/>
      <c r="N106" s="71"/>
      <c r="O106" s="88"/>
      <c r="P106" s="70"/>
      <c r="Q106" s="70"/>
      <c r="R106" s="71" t="s">
        <v>1071</v>
      </c>
      <c r="S106" s="72" t="s">
        <v>1074</v>
      </c>
      <c r="T106" s="73"/>
      <c r="U106" s="73"/>
      <c r="V106" s="74"/>
      <c r="W106" s="87"/>
      <c r="X106" s="85"/>
      <c r="Y106" s="85"/>
    </row>
    <row r="107" spans="1:25" ht="18" x14ac:dyDescent="0.15">
      <c r="A107" s="86">
        <f t="shared" si="0"/>
        <v>101</v>
      </c>
      <c r="B107" s="58"/>
      <c r="C107" s="58"/>
      <c r="D107" s="91" t="s">
        <v>1062</v>
      </c>
      <c r="E107" s="90" t="s">
        <v>1057</v>
      </c>
      <c r="F107" s="75" t="s">
        <v>1079</v>
      </c>
      <c r="G107" s="88"/>
      <c r="H107" s="70"/>
      <c r="I107" s="70"/>
      <c r="J107" s="71"/>
      <c r="K107" s="88"/>
      <c r="L107" s="70"/>
      <c r="M107" s="70"/>
      <c r="N107" s="71"/>
      <c r="O107" s="88"/>
      <c r="P107" s="70"/>
      <c r="Q107" s="70"/>
      <c r="R107" s="71" t="s">
        <v>1071</v>
      </c>
      <c r="S107" s="72" t="s">
        <v>1074</v>
      </c>
      <c r="T107" s="73"/>
      <c r="U107" s="73"/>
      <c r="V107" s="74"/>
      <c r="W107" s="87"/>
      <c r="X107" s="85"/>
      <c r="Y107" s="85"/>
    </row>
    <row r="108" spans="1:25" ht="18" x14ac:dyDescent="0.15">
      <c r="A108" s="86">
        <f t="shared" si="0"/>
        <v>102</v>
      </c>
      <c r="B108" s="58"/>
      <c r="C108" s="58"/>
      <c r="D108" s="91" t="s">
        <v>1063</v>
      </c>
      <c r="E108" s="90" t="s">
        <v>1057</v>
      </c>
      <c r="F108" s="75" t="s">
        <v>1079</v>
      </c>
      <c r="G108" s="88"/>
      <c r="H108" s="70"/>
      <c r="I108" s="70"/>
      <c r="J108" s="71"/>
      <c r="K108" s="88"/>
      <c r="L108" s="70"/>
      <c r="M108" s="70"/>
      <c r="N108" s="71"/>
      <c r="O108" s="88"/>
      <c r="P108" s="70"/>
      <c r="Q108" s="70"/>
      <c r="R108" s="71" t="s">
        <v>1071</v>
      </c>
      <c r="S108" s="72" t="s">
        <v>1074</v>
      </c>
      <c r="T108" s="73"/>
      <c r="U108" s="73"/>
      <c r="V108" s="74"/>
      <c r="W108" s="87"/>
      <c r="X108" s="85"/>
      <c r="Y108" s="85"/>
    </row>
    <row r="109" spans="1:25" ht="18" x14ac:dyDescent="0.15">
      <c r="A109" s="86">
        <f t="shared" si="0"/>
        <v>103</v>
      </c>
      <c r="B109" s="58"/>
      <c r="C109" s="58"/>
      <c r="D109" s="127" t="s">
        <v>1064</v>
      </c>
      <c r="E109" s="119" t="s">
        <v>1057</v>
      </c>
      <c r="F109" s="120" t="s">
        <v>1079</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1065</v>
      </c>
      <c r="E110" s="90" t="s">
        <v>1057</v>
      </c>
      <c r="F110" s="75" t="s">
        <v>1077</v>
      </c>
      <c r="G110" s="88"/>
      <c r="H110" s="70"/>
      <c r="I110" s="70"/>
      <c r="J110" s="71"/>
      <c r="K110" s="88"/>
      <c r="L110" s="70"/>
      <c r="M110" s="70"/>
      <c r="N110" s="71"/>
      <c r="O110" s="88"/>
      <c r="P110" s="70"/>
      <c r="Q110" s="70"/>
      <c r="R110" s="71" t="s">
        <v>1071</v>
      </c>
      <c r="S110" s="72" t="s">
        <v>1074</v>
      </c>
      <c r="T110" s="73"/>
      <c r="U110" s="73"/>
      <c r="V110" s="74"/>
      <c r="W110" s="87"/>
      <c r="X110" s="85"/>
      <c r="Y110" s="85"/>
    </row>
    <row r="111" spans="1:25" ht="18" x14ac:dyDescent="0.15">
      <c r="A111" s="86">
        <f t="shared" si="0"/>
        <v>105</v>
      </c>
      <c r="B111" s="58"/>
      <c r="C111" s="57" t="s">
        <v>1068</v>
      </c>
      <c r="D111" s="57" t="s">
        <v>1056</v>
      </c>
      <c r="E111" s="90" t="s">
        <v>1057</v>
      </c>
      <c r="F111" s="75" t="s">
        <v>1080</v>
      </c>
      <c r="G111" s="88"/>
      <c r="H111" s="70"/>
      <c r="I111" s="70"/>
      <c r="J111" s="71"/>
      <c r="K111" s="88"/>
      <c r="L111" s="70"/>
      <c r="M111" s="70"/>
      <c r="N111" s="71"/>
      <c r="O111" s="88"/>
      <c r="P111" s="70"/>
      <c r="Q111" s="70"/>
      <c r="R111" s="71" t="s">
        <v>1071</v>
      </c>
      <c r="S111" s="72" t="s">
        <v>1074</v>
      </c>
      <c r="T111" s="73"/>
      <c r="U111" s="73"/>
      <c r="V111" s="74"/>
      <c r="W111" s="87"/>
      <c r="X111" s="85"/>
      <c r="Y111" s="85"/>
    </row>
    <row r="112" spans="1:25" ht="18" x14ac:dyDescent="0.15">
      <c r="A112" s="86">
        <f t="shared" si="0"/>
        <v>106</v>
      </c>
      <c r="B112" s="58"/>
      <c r="C112" s="57"/>
      <c r="D112" s="57" t="s">
        <v>1059</v>
      </c>
      <c r="E112" s="90" t="s">
        <v>1057</v>
      </c>
      <c r="F112" s="75" t="s">
        <v>1080</v>
      </c>
      <c r="G112" s="88"/>
      <c r="H112" s="70"/>
      <c r="I112" s="70"/>
      <c r="J112" s="71"/>
      <c r="K112" s="88"/>
      <c r="L112" s="70"/>
      <c r="M112" s="70"/>
      <c r="N112" s="71"/>
      <c r="O112" s="88"/>
      <c r="P112" s="70"/>
      <c r="Q112" s="70"/>
      <c r="R112" s="71" t="s">
        <v>1071</v>
      </c>
      <c r="S112" s="72" t="s">
        <v>1074</v>
      </c>
      <c r="T112" s="73"/>
      <c r="U112" s="73"/>
      <c r="V112" s="74"/>
      <c r="W112" s="87"/>
      <c r="X112" s="85"/>
      <c r="Y112" s="85"/>
    </row>
    <row r="113" spans="1:25" ht="18" x14ac:dyDescent="0.15">
      <c r="A113" s="86">
        <f t="shared" si="0"/>
        <v>107</v>
      </c>
      <c r="B113" s="57"/>
      <c r="C113" s="57"/>
      <c r="D113" s="91" t="s">
        <v>1060</v>
      </c>
      <c r="E113" s="90" t="s">
        <v>1057</v>
      </c>
      <c r="F113" s="75" t="s">
        <v>1080</v>
      </c>
      <c r="G113" s="88"/>
      <c r="H113" s="70"/>
      <c r="I113" s="70"/>
      <c r="J113" s="71"/>
      <c r="K113" s="88"/>
      <c r="L113" s="70"/>
      <c r="M113" s="70"/>
      <c r="N113" s="71"/>
      <c r="O113" s="88"/>
      <c r="P113" s="70"/>
      <c r="Q113" s="70"/>
      <c r="R113" s="71" t="s">
        <v>1071</v>
      </c>
      <c r="S113" s="72" t="s">
        <v>1074</v>
      </c>
      <c r="T113" s="73"/>
      <c r="U113" s="73"/>
      <c r="V113" s="74"/>
      <c r="W113" s="87"/>
      <c r="X113" s="85"/>
      <c r="Y113" s="85"/>
    </row>
    <row r="114" spans="1:25" x14ac:dyDescent="0.15">
      <c r="A114" s="86">
        <f t="shared" si="0"/>
        <v>108</v>
      </c>
      <c r="B114" s="57"/>
      <c r="C114" s="57"/>
      <c r="D114" s="91" t="s">
        <v>1061</v>
      </c>
      <c r="E114" s="90" t="s">
        <v>1057</v>
      </c>
      <c r="F114" s="75" t="s">
        <v>1077</v>
      </c>
      <c r="G114" s="88"/>
      <c r="H114" s="70"/>
      <c r="I114" s="70"/>
      <c r="J114" s="71"/>
      <c r="K114" s="88"/>
      <c r="L114" s="70"/>
      <c r="M114" s="70"/>
      <c r="N114" s="71"/>
      <c r="O114" s="88"/>
      <c r="P114" s="70"/>
      <c r="Q114" s="70"/>
      <c r="R114" s="71" t="s">
        <v>1071</v>
      </c>
      <c r="S114" s="72" t="s">
        <v>1074</v>
      </c>
      <c r="T114" s="73"/>
      <c r="U114" s="73"/>
      <c r="V114" s="74"/>
      <c r="W114" s="87"/>
      <c r="X114" s="85"/>
      <c r="Y114" s="85"/>
    </row>
    <row r="115" spans="1:25" ht="18" x14ac:dyDescent="0.15">
      <c r="A115" s="86">
        <f t="shared" si="0"/>
        <v>109</v>
      </c>
      <c r="B115" s="57"/>
      <c r="C115" s="58"/>
      <c r="D115" s="91" t="s">
        <v>1062</v>
      </c>
      <c r="E115" s="90" t="s">
        <v>1057</v>
      </c>
      <c r="F115" s="75" t="s">
        <v>1080</v>
      </c>
      <c r="G115" s="88"/>
      <c r="H115" s="70"/>
      <c r="I115" s="70"/>
      <c r="J115" s="71"/>
      <c r="K115" s="88"/>
      <c r="L115" s="70"/>
      <c r="M115" s="70"/>
      <c r="N115" s="71"/>
      <c r="O115" s="88"/>
      <c r="P115" s="70"/>
      <c r="Q115" s="70"/>
      <c r="R115" s="71" t="s">
        <v>1071</v>
      </c>
      <c r="S115" s="72" t="s">
        <v>1074</v>
      </c>
      <c r="T115" s="73"/>
      <c r="U115" s="73"/>
      <c r="V115" s="74"/>
      <c r="W115" s="87"/>
      <c r="X115" s="85"/>
      <c r="Y115" s="85"/>
    </row>
    <row r="116" spans="1:25" ht="18" x14ac:dyDescent="0.15">
      <c r="A116" s="86">
        <f t="shared" si="0"/>
        <v>110</v>
      </c>
      <c r="B116" s="57"/>
      <c r="C116" s="58"/>
      <c r="D116" s="91" t="s">
        <v>1063</v>
      </c>
      <c r="E116" s="90" t="s">
        <v>1057</v>
      </c>
      <c r="F116" s="75" t="s">
        <v>1080</v>
      </c>
      <c r="G116" s="88"/>
      <c r="H116" s="70"/>
      <c r="I116" s="70"/>
      <c r="J116" s="71"/>
      <c r="K116" s="88"/>
      <c r="L116" s="70"/>
      <c r="M116" s="70"/>
      <c r="N116" s="71"/>
      <c r="O116" s="88"/>
      <c r="P116" s="70"/>
      <c r="Q116" s="70"/>
      <c r="R116" s="71" t="s">
        <v>1071</v>
      </c>
      <c r="S116" s="72" t="s">
        <v>1074</v>
      </c>
      <c r="T116" s="73"/>
      <c r="U116" s="73"/>
      <c r="V116" s="74"/>
      <c r="W116" s="87"/>
      <c r="X116" s="85"/>
      <c r="Y116" s="85"/>
    </row>
    <row r="117" spans="1:25" ht="18" x14ac:dyDescent="0.15">
      <c r="A117" s="86">
        <f t="shared" si="0"/>
        <v>111</v>
      </c>
      <c r="B117" s="57"/>
      <c r="C117" s="58"/>
      <c r="D117" s="127" t="s">
        <v>1064</v>
      </c>
      <c r="E117" s="119" t="s">
        <v>1057</v>
      </c>
      <c r="F117" s="120" t="s">
        <v>1080</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1065</v>
      </c>
      <c r="E118" s="90" t="s">
        <v>1057</v>
      </c>
      <c r="F118" s="75" t="s">
        <v>1077</v>
      </c>
      <c r="G118" s="88"/>
      <c r="H118" s="70"/>
      <c r="I118" s="70"/>
      <c r="J118" s="71"/>
      <c r="K118" s="88"/>
      <c r="L118" s="70"/>
      <c r="M118" s="70"/>
      <c r="N118" s="71"/>
      <c r="O118" s="88"/>
      <c r="P118" s="70"/>
      <c r="Q118" s="70"/>
      <c r="R118" s="71" t="s">
        <v>1071</v>
      </c>
      <c r="S118" s="72" t="s">
        <v>1074</v>
      </c>
      <c r="T118" s="73"/>
      <c r="U118" s="73"/>
      <c r="V118" s="74"/>
      <c r="W118" s="87"/>
      <c r="X118" s="85"/>
      <c r="Y118" s="85"/>
    </row>
    <row r="119" spans="1:25" ht="18" x14ac:dyDescent="0.15">
      <c r="A119" s="86">
        <f t="shared" si="0"/>
        <v>113</v>
      </c>
      <c r="B119" s="57"/>
      <c r="C119" s="57" t="s">
        <v>1069</v>
      </c>
      <c r="D119" s="57" t="s">
        <v>1056</v>
      </c>
      <c r="E119" s="90" t="s">
        <v>1057</v>
      </c>
      <c r="F119" s="75" t="s">
        <v>1081</v>
      </c>
      <c r="G119" s="88"/>
      <c r="H119" s="70"/>
      <c r="I119" s="70"/>
      <c r="J119" s="71"/>
      <c r="K119" s="88"/>
      <c r="L119" s="70"/>
      <c r="M119" s="70"/>
      <c r="N119" s="71"/>
      <c r="O119" s="88"/>
      <c r="P119" s="70"/>
      <c r="Q119" s="70"/>
      <c r="R119" s="71" t="s">
        <v>1071</v>
      </c>
      <c r="S119" s="72" t="s">
        <v>1074</v>
      </c>
      <c r="T119" s="73"/>
      <c r="U119" s="73"/>
      <c r="V119" s="74"/>
      <c r="W119" s="87"/>
      <c r="X119" s="85"/>
      <c r="Y119" s="85"/>
    </row>
    <row r="120" spans="1:25" ht="18" x14ac:dyDescent="0.15">
      <c r="A120" s="86">
        <f t="shared" si="0"/>
        <v>114</v>
      </c>
      <c r="B120" s="57"/>
      <c r="C120" s="57"/>
      <c r="D120" s="57" t="s">
        <v>1059</v>
      </c>
      <c r="E120" s="90" t="s">
        <v>1057</v>
      </c>
      <c r="F120" s="75" t="s">
        <v>1081</v>
      </c>
      <c r="G120" s="88"/>
      <c r="H120" s="70"/>
      <c r="I120" s="70"/>
      <c r="J120" s="71"/>
      <c r="K120" s="88"/>
      <c r="L120" s="70"/>
      <c r="M120" s="70"/>
      <c r="N120" s="71"/>
      <c r="O120" s="88"/>
      <c r="P120" s="70"/>
      <c r="Q120" s="70"/>
      <c r="R120" s="71" t="s">
        <v>1071</v>
      </c>
      <c r="S120" s="72" t="s">
        <v>1074</v>
      </c>
      <c r="T120" s="73"/>
      <c r="U120" s="73"/>
      <c r="V120" s="74"/>
      <c r="W120" s="87"/>
      <c r="X120" s="85"/>
      <c r="Y120" s="85"/>
    </row>
    <row r="121" spans="1:25" ht="18" x14ac:dyDescent="0.15">
      <c r="A121" s="86">
        <f t="shared" si="0"/>
        <v>115</v>
      </c>
      <c r="B121" s="57"/>
      <c r="C121" s="57"/>
      <c r="D121" s="91" t="s">
        <v>1060</v>
      </c>
      <c r="E121" s="90" t="s">
        <v>1057</v>
      </c>
      <c r="F121" s="75" t="s">
        <v>1081</v>
      </c>
      <c r="G121" s="88"/>
      <c r="H121" s="70"/>
      <c r="I121" s="70"/>
      <c r="J121" s="71"/>
      <c r="K121" s="88"/>
      <c r="L121" s="70"/>
      <c r="M121" s="70"/>
      <c r="N121" s="71"/>
      <c r="O121" s="88"/>
      <c r="P121" s="70"/>
      <c r="Q121" s="70"/>
      <c r="R121" s="71" t="s">
        <v>1071</v>
      </c>
      <c r="S121" s="72" t="s">
        <v>1074</v>
      </c>
      <c r="T121" s="73"/>
      <c r="U121" s="73"/>
      <c r="V121" s="74"/>
      <c r="W121" s="87"/>
      <c r="X121" s="85"/>
      <c r="Y121" s="85"/>
    </row>
    <row r="122" spans="1:25" x14ac:dyDescent="0.15">
      <c r="A122" s="86">
        <f t="shared" si="0"/>
        <v>116</v>
      </c>
      <c r="B122" s="57"/>
      <c r="C122" s="57"/>
      <c r="D122" s="91" t="s">
        <v>1061</v>
      </c>
      <c r="E122" s="90" t="s">
        <v>1057</v>
      </c>
      <c r="F122" s="75" t="s">
        <v>1077</v>
      </c>
      <c r="G122" s="88"/>
      <c r="H122" s="70"/>
      <c r="I122" s="70"/>
      <c r="J122" s="71"/>
      <c r="K122" s="88"/>
      <c r="L122" s="70"/>
      <c r="M122" s="70"/>
      <c r="N122" s="71"/>
      <c r="O122" s="88"/>
      <c r="P122" s="70"/>
      <c r="Q122" s="70"/>
      <c r="R122" s="71" t="s">
        <v>1071</v>
      </c>
      <c r="S122" s="72" t="s">
        <v>1074</v>
      </c>
      <c r="T122" s="73"/>
      <c r="U122" s="73"/>
      <c r="V122" s="74"/>
      <c r="W122" s="87"/>
      <c r="X122" s="85"/>
      <c r="Y122" s="85"/>
    </row>
    <row r="123" spans="1:25" ht="18" x14ac:dyDescent="0.15">
      <c r="A123" s="86">
        <f t="shared" si="0"/>
        <v>117</v>
      </c>
      <c r="B123" s="57"/>
      <c r="C123" s="58"/>
      <c r="D123" s="91" t="s">
        <v>1062</v>
      </c>
      <c r="E123" s="90" t="s">
        <v>1057</v>
      </c>
      <c r="F123" s="75" t="s">
        <v>1081</v>
      </c>
      <c r="G123" s="88"/>
      <c r="H123" s="70"/>
      <c r="I123" s="70"/>
      <c r="J123" s="71"/>
      <c r="K123" s="88"/>
      <c r="L123" s="70"/>
      <c r="M123" s="70"/>
      <c r="N123" s="71"/>
      <c r="O123" s="88"/>
      <c r="P123" s="70"/>
      <c r="Q123" s="70"/>
      <c r="R123" s="71" t="s">
        <v>1071</v>
      </c>
      <c r="S123" s="72" t="s">
        <v>1074</v>
      </c>
      <c r="T123" s="73"/>
      <c r="U123" s="73"/>
      <c r="V123" s="74"/>
      <c r="W123" s="87"/>
      <c r="X123" s="85"/>
      <c r="Y123" s="85"/>
    </row>
    <row r="124" spans="1:25" ht="18" x14ac:dyDescent="0.15">
      <c r="A124" s="86">
        <f t="shared" si="0"/>
        <v>118</v>
      </c>
      <c r="B124" s="57"/>
      <c r="C124" s="58"/>
      <c r="D124" s="91" t="s">
        <v>1063</v>
      </c>
      <c r="E124" s="90" t="s">
        <v>1057</v>
      </c>
      <c r="F124" s="75" t="s">
        <v>1081</v>
      </c>
      <c r="G124" s="88"/>
      <c r="H124" s="70"/>
      <c r="I124" s="70"/>
      <c r="J124" s="71"/>
      <c r="K124" s="88"/>
      <c r="L124" s="70"/>
      <c r="M124" s="70"/>
      <c r="N124" s="71"/>
      <c r="O124" s="88"/>
      <c r="P124" s="70"/>
      <c r="Q124" s="70"/>
      <c r="R124" s="71" t="s">
        <v>1071</v>
      </c>
      <c r="S124" s="72" t="s">
        <v>1074</v>
      </c>
      <c r="T124" s="73"/>
      <c r="U124" s="73"/>
      <c r="V124" s="74"/>
      <c r="W124" s="87"/>
      <c r="X124" s="85"/>
      <c r="Y124" s="85"/>
    </row>
    <row r="125" spans="1:25" ht="18" x14ac:dyDescent="0.15">
      <c r="A125" s="86">
        <f t="shared" si="0"/>
        <v>119</v>
      </c>
      <c r="B125" s="57"/>
      <c r="C125" s="58"/>
      <c r="D125" s="127" t="s">
        <v>1064</v>
      </c>
      <c r="E125" s="119" t="s">
        <v>1057</v>
      </c>
      <c r="F125" s="120" t="s">
        <v>1081</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1065</v>
      </c>
      <c r="E126" s="90" t="s">
        <v>1057</v>
      </c>
      <c r="F126" s="75" t="s">
        <v>1077</v>
      </c>
      <c r="G126" s="88"/>
      <c r="H126" s="70"/>
      <c r="I126" s="70"/>
      <c r="J126" s="71"/>
      <c r="K126" s="88"/>
      <c r="L126" s="70"/>
      <c r="M126" s="70"/>
      <c r="N126" s="71"/>
      <c r="O126" s="88"/>
      <c r="P126" s="70"/>
      <c r="Q126" s="70"/>
      <c r="R126" s="71" t="s">
        <v>1071</v>
      </c>
      <c r="S126" s="72" t="s">
        <v>1074</v>
      </c>
      <c r="T126" s="73"/>
      <c r="U126" s="73"/>
      <c r="V126" s="74"/>
      <c r="W126" s="87"/>
      <c r="X126" s="85"/>
      <c r="Y126" s="85"/>
    </row>
    <row r="127" spans="1:25" s="142" customFormat="1" ht="18" x14ac:dyDescent="0.15">
      <c r="A127" s="128">
        <f t="shared" si="0"/>
        <v>121</v>
      </c>
      <c r="B127" s="133" t="s">
        <v>1082</v>
      </c>
      <c r="C127" s="129" t="s">
        <v>1068</v>
      </c>
      <c r="D127" s="129" t="s">
        <v>1056</v>
      </c>
      <c r="E127" s="130" t="s">
        <v>1057</v>
      </c>
      <c r="F127" s="131" t="s">
        <v>1080</v>
      </c>
      <c r="G127" s="134"/>
      <c r="H127" s="135"/>
      <c r="I127" s="135"/>
      <c r="J127" s="136"/>
      <c r="K127" s="134"/>
      <c r="L127" s="135"/>
      <c r="M127" s="135"/>
      <c r="N127" s="136"/>
      <c r="O127" s="134"/>
      <c r="P127" s="135"/>
      <c r="Q127" s="135"/>
      <c r="R127" s="71" t="s">
        <v>1071</v>
      </c>
      <c r="S127" s="137" t="s">
        <v>1074</v>
      </c>
      <c r="T127" s="138"/>
      <c r="U127" s="138"/>
      <c r="V127" s="139"/>
      <c r="W127" s="140"/>
      <c r="X127" s="141"/>
      <c r="Y127" s="141"/>
    </row>
    <row r="128" spans="1:25" s="142" customFormat="1" ht="18" x14ac:dyDescent="0.15">
      <c r="A128" s="128">
        <f t="shared" si="0"/>
        <v>122</v>
      </c>
      <c r="B128" s="133"/>
      <c r="C128" s="129"/>
      <c r="D128" s="129" t="s">
        <v>1059</v>
      </c>
      <c r="E128" s="130" t="s">
        <v>1057</v>
      </c>
      <c r="F128" s="131" t="s">
        <v>1080</v>
      </c>
      <c r="G128" s="134"/>
      <c r="H128" s="135"/>
      <c r="I128" s="135"/>
      <c r="J128" s="136"/>
      <c r="K128" s="134"/>
      <c r="L128" s="135"/>
      <c r="M128" s="135"/>
      <c r="N128" s="136"/>
      <c r="O128" s="134"/>
      <c r="P128" s="135"/>
      <c r="Q128" s="135"/>
      <c r="R128" s="71" t="s">
        <v>1071</v>
      </c>
      <c r="S128" s="137" t="s">
        <v>1074</v>
      </c>
      <c r="T128" s="138"/>
      <c r="U128" s="138"/>
      <c r="V128" s="139"/>
      <c r="W128" s="140"/>
      <c r="X128" s="141"/>
      <c r="Y128" s="141"/>
    </row>
    <row r="129" spans="1:25" s="142" customFormat="1" ht="18" x14ac:dyDescent="0.15">
      <c r="A129" s="128">
        <f t="shared" si="0"/>
        <v>123</v>
      </c>
      <c r="B129" s="129"/>
      <c r="C129" s="129"/>
      <c r="D129" s="132" t="s">
        <v>1060</v>
      </c>
      <c r="E129" s="130" t="s">
        <v>1057</v>
      </c>
      <c r="F129" s="131" t="s">
        <v>1080</v>
      </c>
      <c r="G129" s="134"/>
      <c r="H129" s="135"/>
      <c r="I129" s="135"/>
      <c r="J129" s="136"/>
      <c r="K129" s="134"/>
      <c r="L129" s="135"/>
      <c r="M129" s="135"/>
      <c r="N129" s="136"/>
      <c r="O129" s="134"/>
      <c r="P129" s="135"/>
      <c r="Q129" s="135"/>
      <c r="R129" s="71" t="s">
        <v>1071</v>
      </c>
      <c r="S129" s="137" t="s">
        <v>1074</v>
      </c>
      <c r="T129" s="138"/>
      <c r="U129" s="138"/>
      <c r="V129" s="139"/>
      <c r="W129" s="140"/>
      <c r="X129" s="141"/>
      <c r="Y129" s="141"/>
    </row>
    <row r="130" spans="1:25" s="142" customFormat="1" x14ac:dyDescent="0.15">
      <c r="A130" s="128">
        <f t="shared" si="0"/>
        <v>124</v>
      </c>
      <c r="B130" s="129"/>
      <c r="C130" s="129"/>
      <c r="D130" s="132" t="s">
        <v>1061</v>
      </c>
      <c r="E130" s="130" t="s">
        <v>1057</v>
      </c>
      <c r="F130" s="131" t="s">
        <v>1077</v>
      </c>
      <c r="G130" s="134"/>
      <c r="H130" s="135"/>
      <c r="I130" s="135"/>
      <c r="J130" s="136"/>
      <c r="K130" s="134"/>
      <c r="L130" s="135"/>
      <c r="M130" s="135"/>
      <c r="N130" s="136"/>
      <c r="O130" s="134"/>
      <c r="P130" s="135"/>
      <c r="Q130" s="135"/>
      <c r="R130" s="71" t="s">
        <v>1071</v>
      </c>
      <c r="S130" s="137" t="s">
        <v>1074</v>
      </c>
      <c r="T130" s="138"/>
      <c r="U130" s="138"/>
      <c r="V130" s="139"/>
      <c r="W130" s="140"/>
      <c r="X130" s="141"/>
      <c r="Y130" s="141"/>
    </row>
    <row r="131" spans="1:25" s="142" customFormat="1" ht="18" x14ac:dyDescent="0.15">
      <c r="A131" s="128">
        <f t="shared" si="0"/>
        <v>125</v>
      </c>
      <c r="B131" s="129"/>
      <c r="C131" s="133"/>
      <c r="D131" s="132" t="s">
        <v>1062</v>
      </c>
      <c r="E131" s="130" t="s">
        <v>1057</v>
      </c>
      <c r="F131" s="131" t="s">
        <v>1080</v>
      </c>
      <c r="G131" s="134"/>
      <c r="H131" s="135"/>
      <c r="I131" s="135"/>
      <c r="J131" s="136"/>
      <c r="K131" s="134"/>
      <c r="L131" s="135"/>
      <c r="M131" s="135"/>
      <c r="N131" s="136"/>
      <c r="O131" s="134"/>
      <c r="P131" s="135"/>
      <c r="Q131" s="135"/>
      <c r="R131" s="71" t="s">
        <v>1071</v>
      </c>
      <c r="S131" s="137" t="s">
        <v>1074</v>
      </c>
      <c r="T131" s="138"/>
      <c r="U131" s="138"/>
      <c r="V131" s="139"/>
      <c r="W131" s="140"/>
      <c r="X131" s="141"/>
      <c r="Y131" s="141"/>
    </row>
    <row r="132" spans="1:25" s="142" customFormat="1" ht="18" x14ac:dyDescent="0.15">
      <c r="A132" s="128">
        <f t="shared" si="0"/>
        <v>126</v>
      </c>
      <c r="B132" s="129"/>
      <c r="C132" s="133"/>
      <c r="D132" s="132" t="s">
        <v>1063</v>
      </c>
      <c r="E132" s="130" t="s">
        <v>1057</v>
      </c>
      <c r="F132" s="131" t="s">
        <v>1080</v>
      </c>
      <c r="G132" s="134"/>
      <c r="H132" s="135"/>
      <c r="I132" s="135"/>
      <c r="J132" s="136"/>
      <c r="K132" s="134"/>
      <c r="L132" s="135"/>
      <c r="M132" s="135"/>
      <c r="N132" s="136"/>
      <c r="O132" s="134"/>
      <c r="P132" s="135"/>
      <c r="Q132" s="135"/>
      <c r="R132" s="71" t="s">
        <v>1071</v>
      </c>
      <c r="S132" s="137" t="s">
        <v>1074</v>
      </c>
      <c r="T132" s="138"/>
      <c r="U132" s="138"/>
      <c r="V132" s="139"/>
      <c r="W132" s="140"/>
      <c r="X132" s="141"/>
      <c r="Y132" s="141"/>
    </row>
    <row r="133" spans="1:25" s="142" customFormat="1" ht="18" x14ac:dyDescent="0.15">
      <c r="A133" s="128">
        <f t="shared" si="0"/>
        <v>127</v>
      </c>
      <c r="B133" s="129"/>
      <c r="C133" s="133"/>
      <c r="D133" s="158" t="s">
        <v>1064</v>
      </c>
      <c r="E133" s="149" t="s">
        <v>1057</v>
      </c>
      <c r="F133" s="150" t="s">
        <v>1080</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1065</v>
      </c>
      <c r="E134" s="130" t="s">
        <v>1057</v>
      </c>
      <c r="F134" s="131" t="s">
        <v>1077</v>
      </c>
      <c r="G134" s="134"/>
      <c r="H134" s="135"/>
      <c r="I134" s="135"/>
      <c r="J134" s="136"/>
      <c r="K134" s="134"/>
      <c r="L134" s="135"/>
      <c r="M134" s="135"/>
      <c r="N134" s="136"/>
      <c r="O134" s="134"/>
      <c r="P134" s="135"/>
      <c r="Q134" s="135"/>
      <c r="R134" s="71" t="s">
        <v>1071</v>
      </c>
      <c r="S134" s="137" t="s">
        <v>1074</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1083</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1084</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1085</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1A985-4E3A-417E-9A69-802E3198C712}">
  <ds:schemaRefs>
    <ds:schemaRef ds:uri="cc94ae7b-2025-4ffb-bd04-1297cd213e7a"/>
    <ds:schemaRef ds:uri="http://purl.org/dc/terms/"/>
    <ds:schemaRef ds:uri="http://purl.org/dc/elements/1.1/"/>
    <ds:schemaRef ds:uri="http://purl.org/dc/dcmitype/"/>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925fb8bf-6124-4564-9086-bab0bf327637"/>
    <ds:schemaRef ds:uri="http://schemas.microsoft.com/office/2006/metadata/properties"/>
  </ds:schemaRefs>
</ds:datastoreItem>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36C75B6C-0F33-4DE8-8F83-A1957ED5D1D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2025-01-10T00:11:52Z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