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4.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codeName="ThisWorkbook"/>
  <mc:AlternateContent xmlns:mc="http://schemas.openxmlformats.org/markup-compatibility/2006">
    <mc:Choice Requires="x15">
      <x15ac:absPath xmlns:x15ac="http://schemas.microsoft.com/office/spreadsheetml/2010/11/ac" url="C:\Fujitsu\作業フォルダ\01_案件\01_ignicaPOS連携\02_作業\20250107_ST進捗報告\"/>
    </mc:Choice>
  </mc:AlternateContent>
  <xr:revisionPtr revIDLastSave="0" documentId="13_ncr:1_{013724A4-C095-4CCF-94E5-DB817C7895AD}" xr6:coauthVersionLast="47" xr6:coauthVersionMax="47" xr10:uidLastSave="{00000000-0000-0000-0000-000000000000}"/>
  <bookViews>
    <workbookView xWindow="-108" yWindow="-108" windowWidth="23256" windowHeight="12576" tabRatio="789" activeTab="4" xr2:uid="{00000000-000D-0000-FFFF-FFFF00000000}"/>
  </bookViews>
  <sheets>
    <sheet name="集計" sheetId="69" r:id="rId1"/>
    <sheet name="ST仕様書表紙" sheetId="16" r:id="rId2"/>
    <sheet name="全件マスタ連携" sheetId="64" r:id="rId3"/>
    <sheet name="差分マスタ連携" sheetId="66" r:id="rId4"/>
    <sheet name="トラン実績連携" sheetId="67" r:id="rId5"/>
    <sheet name="パターン" sheetId="68" r:id="rId6"/>
    <sheet name="サンプル_会計精算部門" sheetId="59" r:id="rId7"/>
  </sheets>
  <definedNames>
    <definedName name="_xlnm._FilterDatabase" localSheetId="6" hidden="1">サンプル_会計精算部門!$F$1:$F$142</definedName>
    <definedName name="_xlnm._FilterDatabase" localSheetId="4" hidden="1">トラン実績連携!$A$1:$Z$257</definedName>
    <definedName name="_xlnm._FilterDatabase" localSheetId="3" hidden="1">差分マスタ連携!$A$1:$Y$2</definedName>
    <definedName name="_xlnm._FilterDatabase" localSheetId="2" hidden="1">全件マスタ連携!$A$2:$AB$405</definedName>
    <definedName name="HTML_CodePage" hidden="1">932</definedName>
    <definedName name="HTML_Control" localSheetId="6" hidden="1">{"'表紙'!$A$1:$W$39"}</definedName>
    <definedName name="HTML_Control" localSheetId="4" hidden="1">{"'表紙'!$A$1:$W$39"}</definedName>
    <definedName name="HTML_Control" localSheetId="3" hidden="1">{"'表紙'!$A$1:$W$39"}</definedName>
    <definedName name="HTML_Control" localSheetId="2" hidden="1">{"'表紙'!$A$1:$W$39"}</definedName>
    <definedName name="HTML_Control" hidden="1">{"'表紙'!$A$1:$W$39"}</definedName>
    <definedName name="HTML_Description" hidden="1">""</definedName>
    <definedName name="HTML_Email" hidden="1">""</definedName>
    <definedName name="HTML_Header" hidden="1">"表紙"</definedName>
    <definedName name="HTML_LastUpdate" hidden="1">"99/05/04"</definedName>
    <definedName name="HTML_LineAfter" hidden="1">FALSE</definedName>
    <definedName name="HTML_LineBefore" hidden="1">FALSE</definedName>
    <definedName name="HTML_Name" hidden="1">"Toyo"</definedName>
    <definedName name="HTML_OBDlg2" hidden="1">TRUE</definedName>
    <definedName name="HTML_OBDlg4" hidden="1">TRUE</definedName>
    <definedName name="HTML_OS" hidden="1">0</definedName>
    <definedName name="HTML_PathFile" hidden="1">"C:\temp\MyHTML.htm"</definedName>
    <definedName name="HTML_Title" hidden="1">"見積検討会"</definedName>
    <definedName name="_xlnm.Print_Area" localSheetId="1">ST仕様書表紙!$A$1:$M$24</definedName>
    <definedName name="_xlnm.Print_Area" localSheetId="6">サンプル_会計精算部門!$A$1:$Y$142</definedName>
    <definedName name="_xlnm.Print_Area" localSheetId="4">トラン実績連携!$A$1:$Z$257</definedName>
    <definedName name="_xlnm.Print_Area" localSheetId="3">差分マスタ連携!$A$1:$Y$365</definedName>
    <definedName name="_xlnm.Print_Area" localSheetId="2">全件マスタ連携!$A$1:$Y$405</definedName>
    <definedName name="あ" localSheetId="6" hidden="1">{"'表紙'!$A$1:$W$39"}</definedName>
    <definedName name="あ" localSheetId="4" hidden="1">{"'表紙'!$A$1:$W$39"}</definedName>
    <definedName name="あ" localSheetId="3" hidden="1">{"'表紙'!$A$1:$W$39"}</definedName>
    <definedName name="あ" localSheetId="2" hidden="1">{"'表紙'!$A$1:$W$39"}</definedName>
    <definedName name="あ" hidden="1">{"'表紙'!$A$1:$W$39"}</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56" i="67" l="1"/>
  <c r="W364" i="66"/>
  <c r="W256" i="67"/>
  <c r="V256" i="67"/>
  <c r="A302" i="66" l="1"/>
  <c r="V364" i="66" l="1"/>
  <c r="Q405" i="64" l="1"/>
  <c r="W404" i="64"/>
  <c r="V404" i="64"/>
  <c r="U404" i="64"/>
  <c r="Y173" i="66"/>
  <c r="U364" i="66"/>
  <c r="Y205" i="64"/>
  <c r="Y107" i="66"/>
  <c r="S365" i="66"/>
  <c r="R365" i="66"/>
  <c r="Q365" i="66"/>
  <c r="P365" i="66"/>
  <c r="O365" i="66"/>
  <c r="N365" i="66"/>
  <c r="M365" i="66"/>
  <c r="S363" i="66"/>
  <c r="R363" i="66"/>
  <c r="Q363" i="66"/>
  <c r="P363" i="66"/>
  <c r="O363" i="66"/>
  <c r="N363" i="66"/>
  <c r="M363" i="66"/>
  <c r="S362" i="66"/>
  <c r="R362" i="66"/>
  <c r="Q362" i="66"/>
  <c r="P362" i="66"/>
  <c r="O362" i="66"/>
  <c r="N362" i="66"/>
  <c r="M362" i="66"/>
  <c r="L365" i="66"/>
  <c r="L363" i="66"/>
  <c r="L362" i="66"/>
  <c r="Q364" i="66" l="1"/>
  <c r="O364" i="66"/>
  <c r="L364" i="66"/>
  <c r="S364" i="66"/>
  <c r="M364" i="66"/>
  <c r="R364" i="66"/>
  <c r="N364" i="66"/>
  <c r="P364" i="66"/>
  <c r="Y31" i="64"/>
  <c r="Y32" i="64"/>
  <c r="Y33" i="64"/>
  <c r="Y34" i="64"/>
  <c r="Y35" i="64"/>
  <c r="Y36" i="64"/>
  <c r="Y37" i="64"/>
  <c r="Y38" i="64"/>
  <c r="Y39" i="64"/>
  <c r="Y40" i="64"/>
  <c r="Y41" i="64"/>
  <c r="Y42" i="64"/>
  <c r="Y43" i="64"/>
  <c r="Y44" i="64"/>
  <c r="Y45" i="64"/>
  <c r="Y46" i="64"/>
  <c r="Y47" i="64"/>
  <c r="Y48" i="64"/>
  <c r="Y49" i="64"/>
  <c r="Y50" i="64"/>
  <c r="Y58" i="64"/>
  <c r="Y59" i="64"/>
  <c r="Y60" i="64"/>
  <c r="Y61" i="64"/>
  <c r="Y62" i="64"/>
  <c r="Y63" i="64"/>
  <c r="Y64" i="64"/>
  <c r="Y65" i="64"/>
  <c r="Y66" i="64"/>
  <c r="Y67" i="64"/>
  <c r="Y68" i="64"/>
  <c r="Y69" i="64"/>
  <c r="Y70" i="64"/>
  <c r="Y71" i="64"/>
  <c r="Y72" i="64"/>
  <c r="Y73" i="64"/>
  <c r="Y74" i="64"/>
  <c r="Y75" i="64"/>
  <c r="Y76" i="64"/>
  <c r="Y77" i="64"/>
  <c r="Y78" i="64"/>
  <c r="Y79" i="64"/>
  <c r="Y80" i="64"/>
  <c r="Y81" i="64"/>
  <c r="Y82" i="64"/>
  <c r="Y83" i="64"/>
  <c r="Y84" i="64"/>
  <c r="Y85" i="64"/>
  <c r="Y93" i="64"/>
  <c r="Y94" i="64"/>
  <c r="Y95" i="64"/>
  <c r="Y96" i="64"/>
  <c r="Y97" i="64"/>
  <c r="Y98" i="64"/>
  <c r="Y99" i="64"/>
  <c r="Y100" i="64"/>
  <c r="Y101" i="64"/>
  <c r="Y102" i="64"/>
  <c r="Y103" i="64"/>
  <c r="Y104" i="64"/>
  <c r="Y105" i="64"/>
  <c r="Y106" i="64"/>
  <c r="Y107" i="64"/>
  <c r="Y108" i="64"/>
  <c r="Y109" i="64"/>
  <c r="Y110" i="64"/>
  <c r="Y111" i="64"/>
  <c r="Y112" i="64"/>
  <c r="Y120" i="64"/>
  <c r="Y121" i="64"/>
  <c r="Y122" i="64"/>
  <c r="Y123" i="64"/>
  <c r="Y124" i="64"/>
  <c r="Y125" i="64"/>
  <c r="Y126" i="64"/>
  <c r="Y127" i="64"/>
  <c r="Y128" i="64"/>
  <c r="Y129" i="64"/>
  <c r="Y130" i="64"/>
  <c r="Y131" i="64"/>
  <c r="Y132" i="64"/>
  <c r="Y133" i="64"/>
  <c r="Y134" i="64"/>
  <c r="Y135" i="64"/>
  <c r="Y136" i="64"/>
  <c r="Y137" i="64"/>
  <c r="Y138" i="64"/>
  <c r="Y139" i="64"/>
  <c r="Y140" i="64"/>
  <c r="Y141" i="64"/>
  <c r="Y142" i="64"/>
  <c r="Y143" i="64"/>
  <c r="Y144" i="64"/>
  <c r="Y145" i="64"/>
  <c r="Y146" i="64"/>
  <c r="Y147" i="64"/>
  <c r="Y148" i="64"/>
  <c r="Y149" i="64"/>
  <c r="Y150" i="64"/>
  <c r="Y158" i="64"/>
  <c r="Y159" i="64"/>
  <c r="Y160" i="64"/>
  <c r="Y161" i="64"/>
  <c r="Y162" i="64"/>
  <c r="Y163" i="64"/>
  <c r="Y164" i="64"/>
  <c r="Y165" i="64"/>
  <c r="Y166" i="64"/>
  <c r="Y167" i="64"/>
  <c r="Y168" i="64"/>
  <c r="Y169" i="64"/>
  <c r="Y170" i="64"/>
  <c r="Y171" i="64"/>
  <c r="Y172" i="64"/>
  <c r="Y173" i="64"/>
  <c r="Y174" i="64"/>
  <c r="Y175" i="64"/>
  <c r="Y176" i="64"/>
  <c r="Y177" i="64"/>
  <c r="Y178" i="64"/>
  <c r="Y179" i="64"/>
  <c r="Y180" i="64"/>
  <c r="Y181" i="64"/>
  <c r="Y182" i="64"/>
  <c r="Y183" i="64"/>
  <c r="Y184" i="64"/>
  <c r="Y185" i="64"/>
  <c r="Y186" i="64"/>
  <c r="Y187" i="64"/>
  <c r="Y188" i="64"/>
  <c r="Y189" i="64"/>
  <c r="Y190" i="64"/>
  <c r="Y191" i="64"/>
  <c r="Y192" i="64"/>
  <c r="Y193" i="64"/>
  <c r="Y194" i="64"/>
  <c r="Y195" i="64"/>
  <c r="Y196" i="64"/>
  <c r="Y197" i="64"/>
  <c r="Y198" i="64"/>
  <c r="Y199" i="64"/>
  <c r="Y200" i="64"/>
  <c r="Y201" i="64"/>
  <c r="Y202" i="64"/>
  <c r="Y203" i="64"/>
  <c r="Y204" i="64"/>
  <c r="Y206" i="64"/>
  <c r="Y214" i="64"/>
  <c r="Y215" i="64"/>
  <c r="Y216" i="64"/>
  <c r="Y217" i="64"/>
  <c r="Y218" i="64"/>
  <c r="Y219" i="64"/>
  <c r="Y220" i="64"/>
  <c r="Y221" i="64"/>
  <c r="Y222" i="64"/>
  <c r="Y223" i="64"/>
  <c r="Y224" i="64"/>
  <c r="Y225" i="64"/>
  <c r="Y226" i="64"/>
  <c r="Y227" i="64"/>
  <c r="Y228" i="64"/>
  <c r="Y229" i="64"/>
  <c r="Y230" i="64"/>
  <c r="Y231" i="64"/>
  <c r="Y232" i="64"/>
  <c r="Y233" i="64"/>
  <c r="Y234" i="64"/>
  <c r="Y235" i="64"/>
  <c r="Y236" i="64"/>
  <c r="Y237" i="64"/>
  <c r="Y238" i="64"/>
  <c r="Y239" i="64"/>
  <c r="Y240" i="64"/>
  <c r="Y241" i="64"/>
  <c r="Y242" i="64"/>
  <c r="Y250" i="64"/>
  <c r="Y251" i="64"/>
  <c r="Y259" i="64"/>
  <c r="Y260" i="64"/>
  <c r="Y261" i="64"/>
  <c r="Y262" i="64"/>
  <c r="Y263" i="64"/>
  <c r="Y264" i="64"/>
  <c r="Y265" i="64"/>
  <c r="Y273" i="64"/>
  <c r="Y274" i="64"/>
  <c r="Y275" i="64"/>
  <c r="Y276" i="64"/>
  <c r="Y277" i="64"/>
  <c r="Y278" i="64"/>
  <c r="Y279" i="64"/>
  <c r="Y280" i="64"/>
  <c r="Y281" i="64"/>
  <c r="Y282" i="64"/>
  <c r="Y283" i="64"/>
  <c r="Y291" i="64"/>
  <c r="Y292" i="64"/>
  <c r="Y293" i="64"/>
  <c r="Y294" i="64"/>
  <c r="Y295" i="64"/>
  <c r="Y303" i="64"/>
  <c r="Y304" i="64"/>
  <c r="Y305" i="64"/>
  <c r="Y306" i="64"/>
  <c r="Y307" i="64"/>
  <c r="Y308" i="64"/>
  <c r="Y309" i="64"/>
  <c r="Y310" i="64"/>
  <c r="Y318" i="64"/>
  <c r="Y319" i="64"/>
  <c r="Y320" i="64"/>
  <c r="Y321" i="64"/>
  <c r="Y322" i="64"/>
  <c r="Y323" i="64"/>
  <c r="Y324" i="64"/>
  <c r="Y325" i="64"/>
  <c r="Y326" i="64"/>
  <c r="Y327" i="64"/>
  <c r="Y328" i="64"/>
  <c r="Y329" i="64"/>
  <c r="Y330" i="64"/>
  <c r="Y331" i="64"/>
  <c r="Y332" i="64"/>
  <c r="Y340" i="64"/>
  <c r="Y341" i="64"/>
  <c r="Y342" i="64"/>
  <c r="Y343" i="64"/>
  <c r="Y344" i="64"/>
  <c r="A31" i="66" l="1"/>
  <c r="A30" i="66"/>
  <c r="A29" i="66"/>
  <c r="A25" i="66"/>
  <c r="A24" i="66"/>
  <c r="A23" i="66"/>
  <c r="A225" i="67" l="1"/>
  <c r="A223" i="67"/>
  <c r="A243" i="67" l="1"/>
  <c r="A240" i="67"/>
  <c r="A241" i="67"/>
  <c r="A242" i="67"/>
  <c r="A235" i="67"/>
  <c r="A239" i="67"/>
  <c r="A301" i="66" l="1"/>
  <c r="A300" i="66"/>
  <c r="A224" i="67"/>
  <c r="A226" i="67"/>
  <c r="A234" i="67"/>
  <c r="A233" i="67"/>
  <c r="A232" i="67"/>
  <c r="A231" i="67"/>
  <c r="A230" i="67"/>
  <c r="A229" i="67"/>
  <c r="A221" i="67"/>
  <c r="A222" i="67"/>
  <c r="A381" i="64"/>
  <c r="A382" i="64"/>
  <c r="A383" i="64"/>
  <c r="A384" i="64"/>
  <c r="A313" i="66"/>
  <c r="A311" i="66"/>
  <c r="A316" i="66"/>
  <c r="A318" i="66"/>
  <c r="A319" i="66"/>
  <c r="A317" i="66"/>
  <c r="A310" i="66"/>
  <c r="A312" i="66"/>
  <c r="A314" i="66"/>
  <c r="A315" i="66"/>
  <c r="A320" i="66"/>
  <c r="A321" i="66"/>
  <c r="A322" i="66"/>
  <c r="A335" i="66" l="1"/>
  <c r="A334" i="66"/>
  <c r="A333" i="66"/>
  <c r="A332" i="66"/>
  <c r="A331" i="66"/>
  <c r="A330" i="66"/>
  <c r="A329" i="66"/>
  <c r="A328" i="66"/>
  <c r="A327" i="66"/>
  <c r="A326" i="66"/>
  <c r="A325" i="66"/>
  <c r="A324" i="66"/>
  <c r="A323" i="66"/>
  <c r="A309" i="66"/>
  <c r="A308" i="66"/>
  <c r="A307" i="66"/>
  <c r="A306" i="66"/>
  <c r="A305" i="66"/>
  <c r="A304" i="66"/>
  <c r="A378" i="64"/>
  <c r="A379" i="64"/>
  <c r="A380" i="64"/>
  <c r="A377" i="64"/>
  <c r="A374" i="64"/>
  <c r="A367" i="64"/>
  <c r="A376" i="64" l="1"/>
  <c r="A369" i="64"/>
  <c r="A359" i="66" l="1"/>
  <c r="A352" i="66"/>
  <c r="A251" i="67"/>
  <c r="A248" i="67"/>
  <c r="A253" i="67" l="1"/>
  <c r="A252" i="67"/>
  <c r="A250" i="67"/>
  <c r="A249" i="67"/>
  <c r="A247" i="67"/>
  <c r="A246" i="67"/>
  <c r="A349" i="66"/>
  <c r="A350" i="66"/>
  <c r="A351" i="66"/>
  <c r="A353" i="66"/>
  <c r="A354" i="66"/>
  <c r="A355" i="66"/>
  <c r="A356" i="66"/>
  <c r="A357" i="66"/>
  <c r="A358" i="66"/>
  <c r="A360" i="66"/>
  <c r="A347" i="66" l="1"/>
  <c r="A346" i="66"/>
  <c r="A345" i="66"/>
  <c r="A344" i="66"/>
  <c r="A343" i="66"/>
  <c r="A342" i="66"/>
  <c r="A341" i="66"/>
  <c r="A340" i="66"/>
  <c r="A339" i="66"/>
  <c r="A338" i="66"/>
  <c r="A398" i="64"/>
  <c r="A399" i="64"/>
  <c r="A386" i="64"/>
  <c r="A387" i="64"/>
  <c r="A388" i="64"/>
  <c r="A389" i="64"/>
  <c r="A390" i="64"/>
  <c r="A391" i="64"/>
  <c r="A392" i="64"/>
  <c r="A393" i="64"/>
  <c r="A394" i="64"/>
  <c r="A395" i="64"/>
  <c r="A396" i="64"/>
  <c r="A397" i="64"/>
  <c r="A173" i="67" l="1"/>
  <c r="A172" i="67"/>
  <c r="A171" i="67"/>
  <c r="A170" i="67"/>
  <c r="A169" i="67"/>
  <c r="A168" i="67"/>
  <c r="A167" i="67"/>
  <c r="A166" i="67"/>
  <c r="A165" i="67"/>
  <c r="A164" i="67"/>
  <c r="A163" i="67"/>
  <c r="A162" i="67"/>
  <c r="A161" i="67"/>
  <c r="A160" i="67"/>
  <c r="A159" i="67"/>
  <c r="A158" i="67"/>
  <c r="A157" i="67"/>
  <c r="A156" i="67"/>
  <c r="A155" i="67"/>
  <c r="A154" i="67"/>
  <c r="A153" i="67"/>
  <c r="A152" i="67"/>
  <c r="A151" i="67"/>
  <c r="A150" i="67"/>
  <c r="A149" i="67"/>
  <c r="A148" i="67"/>
  <c r="A147" i="67"/>
  <c r="A146" i="67"/>
  <c r="A145" i="67"/>
  <c r="A144" i="67"/>
  <c r="A143" i="67"/>
  <c r="A142" i="67"/>
  <c r="A141" i="67"/>
  <c r="A140" i="67"/>
  <c r="A139" i="67"/>
  <c r="A138" i="67"/>
  <c r="A137" i="67"/>
  <c r="A136" i="67"/>
  <c r="A135" i="67"/>
  <c r="A134" i="67"/>
  <c r="A133" i="67"/>
  <c r="A132" i="67"/>
  <c r="A131" i="67"/>
  <c r="A130" i="67"/>
  <c r="A129" i="67"/>
  <c r="A128" i="67"/>
  <c r="A127" i="67"/>
  <c r="A126" i="67"/>
  <c r="A125" i="67"/>
  <c r="A124" i="67"/>
  <c r="A123" i="67"/>
  <c r="A122" i="67"/>
  <c r="A121" i="67"/>
  <c r="A120" i="67"/>
  <c r="A119" i="67"/>
  <c r="A118" i="67"/>
  <c r="A117" i="67"/>
  <c r="A116" i="67"/>
  <c r="A115" i="67"/>
  <c r="A114" i="67"/>
  <c r="A113" i="67"/>
  <c r="A112" i="67"/>
  <c r="A111" i="67"/>
  <c r="A110" i="67"/>
  <c r="A109" i="67"/>
  <c r="A108" i="67"/>
  <c r="A107" i="67"/>
  <c r="A106" i="67"/>
  <c r="A105" i="67"/>
  <c r="Q257" i="67"/>
  <c r="P257" i="67"/>
  <c r="O257" i="67"/>
  <c r="N257" i="67"/>
  <c r="M257" i="67"/>
  <c r="L257" i="67"/>
  <c r="K257" i="67"/>
  <c r="J257" i="67"/>
  <c r="I257" i="67"/>
  <c r="Q255" i="67"/>
  <c r="P255" i="67"/>
  <c r="O255" i="67"/>
  <c r="N255" i="67"/>
  <c r="M255" i="67"/>
  <c r="L255" i="67"/>
  <c r="K255" i="67"/>
  <c r="J255" i="67"/>
  <c r="I255" i="67"/>
  <c r="Q254" i="67"/>
  <c r="P254" i="67"/>
  <c r="O254" i="67"/>
  <c r="N254" i="67"/>
  <c r="N256" i="67" s="1"/>
  <c r="M254" i="67"/>
  <c r="L254" i="67"/>
  <c r="L256" i="67" s="1"/>
  <c r="K254" i="67"/>
  <c r="J254" i="67"/>
  <c r="I254" i="67"/>
  <c r="I256" i="67" s="1"/>
  <c r="T257" i="67"/>
  <c r="S257" i="67"/>
  <c r="T255" i="67"/>
  <c r="S255" i="67"/>
  <c r="T254" i="67"/>
  <c r="S254" i="67"/>
  <c r="R257" i="67"/>
  <c r="R255" i="67"/>
  <c r="R254" i="67"/>
  <c r="A87" i="67"/>
  <c r="A88" i="67"/>
  <c r="A89" i="67"/>
  <c r="A90" i="67"/>
  <c r="A91" i="67"/>
  <c r="A92" i="67"/>
  <c r="A93" i="67"/>
  <c r="A94" i="67"/>
  <c r="A95" i="67"/>
  <c r="A96" i="67"/>
  <c r="A97" i="67"/>
  <c r="A98" i="67"/>
  <c r="A99" i="67"/>
  <c r="A100" i="67"/>
  <c r="A101" i="67"/>
  <c r="A102" i="67"/>
  <c r="A103" i="67"/>
  <c r="A104" i="67"/>
  <c r="A52" i="67"/>
  <c r="A53" i="67"/>
  <c r="A54" i="67"/>
  <c r="A55" i="67"/>
  <c r="A56" i="67"/>
  <c r="A57" i="67"/>
  <c r="A58" i="67"/>
  <c r="A59" i="67"/>
  <c r="A60" i="67"/>
  <c r="A61" i="67"/>
  <c r="A62" i="67"/>
  <c r="A63" i="67"/>
  <c r="A64" i="67"/>
  <c r="A65" i="67"/>
  <c r="A66" i="67"/>
  <c r="A67" i="67"/>
  <c r="A68" i="67"/>
  <c r="A69" i="67"/>
  <c r="A70" i="67"/>
  <c r="A71" i="67"/>
  <c r="A72" i="67"/>
  <c r="A73" i="67"/>
  <c r="A74" i="67"/>
  <c r="A75" i="67"/>
  <c r="A76" i="67"/>
  <c r="A77" i="67"/>
  <c r="A78" i="67"/>
  <c r="A79" i="67"/>
  <c r="A80" i="67"/>
  <c r="A81" i="67"/>
  <c r="A82" i="67"/>
  <c r="A83" i="67"/>
  <c r="A84" i="67"/>
  <c r="A85" i="67"/>
  <c r="A86" i="67"/>
  <c r="J256" i="67" l="1"/>
  <c r="K256" i="67"/>
  <c r="P256" i="67"/>
  <c r="Q256" i="67"/>
  <c r="S256" i="67"/>
  <c r="T256" i="67"/>
  <c r="M256" i="67"/>
  <c r="O256" i="67"/>
  <c r="A38" i="67"/>
  <c r="A39" i="67"/>
  <c r="A40" i="67"/>
  <c r="A41" i="67"/>
  <c r="A35" i="67" l="1"/>
  <c r="A36" i="67"/>
  <c r="A42" i="67"/>
  <c r="A43" i="67"/>
  <c r="A44" i="67"/>
  <c r="A45" i="67"/>
  <c r="A46" i="67"/>
  <c r="A47" i="67"/>
  <c r="A48" i="67"/>
  <c r="A49" i="67"/>
  <c r="A50" i="67"/>
  <c r="A51" i="67"/>
  <c r="A210" i="67" l="1"/>
  <c r="A211" i="67"/>
  <c r="A212" i="67"/>
  <c r="A213" i="67"/>
  <c r="A214" i="67"/>
  <c r="A215" i="67"/>
  <c r="A216" i="67"/>
  <c r="A217" i="67"/>
  <c r="A218" i="67"/>
  <c r="A219" i="67"/>
  <c r="A220" i="67"/>
  <c r="A208" i="67"/>
  <c r="A209" i="67"/>
  <c r="Y285" i="66" l="1"/>
  <c r="A285" i="66"/>
  <c r="Y284" i="66"/>
  <c r="A284" i="66"/>
  <c r="Y283" i="66"/>
  <c r="A283" i="66"/>
  <c r="Y282" i="66"/>
  <c r="A282" i="66"/>
  <c r="Y281" i="66"/>
  <c r="A281" i="66"/>
  <c r="Y280" i="66"/>
  <c r="A280" i="66"/>
  <c r="Y279" i="66"/>
  <c r="A279" i="66"/>
  <c r="Y278" i="66"/>
  <c r="A278" i="66"/>
  <c r="Y277" i="66"/>
  <c r="A277" i="66"/>
  <c r="Y276" i="66"/>
  <c r="A276" i="66"/>
  <c r="Y275" i="66"/>
  <c r="A275" i="66"/>
  <c r="Y274" i="66"/>
  <c r="A274" i="66"/>
  <c r="Y273" i="66"/>
  <c r="A273" i="66"/>
  <c r="Y272" i="66"/>
  <c r="A272" i="66"/>
  <c r="Y271" i="66"/>
  <c r="A271" i="66"/>
  <c r="Y270" i="66"/>
  <c r="A270" i="66"/>
  <c r="Y269" i="66"/>
  <c r="A269" i="66"/>
  <c r="Y268" i="66"/>
  <c r="A268" i="66"/>
  <c r="Y267" i="66"/>
  <c r="A267" i="66"/>
  <c r="Y266" i="66"/>
  <c r="A266" i="66"/>
  <c r="Y265" i="66"/>
  <c r="A265" i="66"/>
  <c r="Y264" i="66"/>
  <c r="A264" i="66"/>
  <c r="Y263" i="66"/>
  <c r="A263" i="66"/>
  <c r="Y262" i="66"/>
  <c r="A262" i="66"/>
  <c r="Y261" i="66"/>
  <c r="A261" i="66"/>
  <c r="Y260" i="66"/>
  <c r="A260" i="66"/>
  <c r="Y259" i="66"/>
  <c r="A259" i="66"/>
  <c r="Y258" i="66"/>
  <c r="A258" i="66"/>
  <c r="Y248" i="66"/>
  <c r="A248" i="66"/>
  <c r="Y247" i="66"/>
  <c r="A247" i="66"/>
  <c r="Y246" i="66"/>
  <c r="A246" i="66"/>
  <c r="Y245" i="66"/>
  <c r="A245" i="66"/>
  <c r="Y244" i="66"/>
  <c r="A244" i="66"/>
  <c r="Y243" i="66"/>
  <c r="A243" i="66"/>
  <c r="Y242" i="66"/>
  <c r="A242" i="66"/>
  <c r="Y241" i="66"/>
  <c r="A241" i="66"/>
  <c r="Y240" i="66"/>
  <c r="A240" i="66"/>
  <c r="Y239" i="66"/>
  <c r="A239" i="66"/>
  <c r="Y238" i="66"/>
  <c r="A238" i="66"/>
  <c r="Y237" i="66"/>
  <c r="A237" i="66"/>
  <c r="Y236" i="66"/>
  <c r="A236" i="66"/>
  <c r="Y235" i="66"/>
  <c r="A235" i="66"/>
  <c r="Y234" i="66"/>
  <c r="A234" i="66"/>
  <c r="Y233" i="66"/>
  <c r="A233" i="66"/>
  <c r="Y232" i="66"/>
  <c r="A232" i="66"/>
  <c r="Y231" i="66"/>
  <c r="A231" i="66"/>
  <c r="Y230" i="66"/>
  <c r="A230" i="66"/>
  <c r="Y229" i="66"/>
  <c r="A229" i="66"/>
  <c r="Y228" i="66"/>
  <c r="A228" i="66"/>
  <c r="Y227" i="66"/>
  <c r="A227" i="66"/>
  <c r="Y226" i="66"/>
  <c r="A226" i="66"/>
  <c r="Y225" i="66"/>
  <c r="A225" i="66"/>
  <c r="Y224" i="66"/>
  <c r="A224" i="66"/>
  <c r="Y223" i="66"/>
  <c r="A223" i="66"/>
  <c r="Y222" i="66"/>
  <c r="A222" i="66"/>
  <c r="Y221" i="66"/>
  <c r="A221" i="66"/>
  <c r="Y220" i="66"/>
  <c r="A220" i="66"/>
  <c r="Y219" i="66"/>
  <c r="A219" i="66"/>
  <c r="Y218" i="66"/>
  <c r="A218" i="66"/>
  <c r="Y217" i="66"/>
  <c r="A217" i="66"/>
  <c r="Y216" i="66"/>
  <c r="A216" i="66"/>
  <c r="Y215" i="66"/>
  <c r="A215" i="66"/>
  <c r="Y214" i="66"/>
  <c r="A214" i="66"/>
  <c r="Y213" i="66"/>
  <c r="A213" i="66"/>
  <c r="Y212" i="66"/>
  <c r="A212" i="66"/>
  <c r="Y211" i="66"/>
  <c r="A211" i="66"/>
  <c r="Y210" i="66"/>
  <c r="A210" i="66"/>
  <c r="Y209" i="66"/>
  <c r="A209" i="66"/>
  <c r="Y208" i="66"/>
  <c r="A208" i="66"/>
  <c r="Y207" i="66"/>
  <c r="A207" i="66"/>
  <c r="Y206" i="66"/>
  <c r="A206" i="66"/>
  <c r="Y205" i="66"/>
  <c r="A205" i="66"/>
  <c r="Y204" i="66"/>
  <c r="A204" i="66"/>
  <c r="Y203" i="66"/>
  <c r="A203" i="66"/>
  <c r="Y202" i="66"/>
  <c r="A202" i="66"/>
  <c r="Y201" i="66"/>
  <c r="A201" i="66"/>
  <c r="Y191" i="66"/>
  <c r="A191" i="66"/>
  <c r="Y190" i="66"/>
  <c r="A190" i="66"/>
  <c r="Y189" i="66"/>
  <c r="A189" i="66"/>
  <c r="Y188" i="66"/>
  <c r="A188" i="66"/>
  <c r="Y187" i="66"/>
  <c r="A187" i="66"/>
  <c r="Y186" i="66"/>
  <c r="A186" i="66"/>
  <c r="Y185" i="66"/>
  <c r="A185" i="66"/>
  <c r="Y184" i="66"/>
  <c r="A184" i="66"/>
  <c r="Y183" i="66"/>
  <c r="A183" i="66"/>
  <c r="Y182" i="66"/>
  <c r="A182" i="66"/>
  <c r="Y181" i="66"/>
  <c r="A181" i="66"/>
  <c r="Y180" i="66"/>
  <c r="A180" i="66"/>
  <c r="Y179" i="66"/>
  <c r="A179" i="66"/>
  <c r="Y178" i="66"/>
  <c r="A178" i="66"/>
  <c r="Y177" i="66"/>
  <c r="A177" i="66"/>
  <c r="Y176" i="66"/>
  <c r="A176" i="66"/>
  <c r="Y175" i="66"/>
  <c r="A175" i="66"/>
  <c r="Y174" i="66"/>
  <c r="A174" i="66"/>
  <c r="A173" i="66"/>
  <c r="Y172" i="66"/>
  <c r="A172" i="66"/>
  <c r="Y171" i="66"/>
  <c r="A171" i="66"/>
  <c r="Y170" i="66"/>
  <c r="A170" i="66"/>
  <c r="Y169" i="66"/>
  <c r="A169" i="66"/>
  <c r="Y168" i="66"/>
  <c r="A168" i="66"/>
  <c r="Y167" i="66"/>
  <c r="A167" i="66"/>
  <c r="Y166" i="66"/>
  <c r="A166" i="66"/>
  <c r="Y165" i="66"/>
  <c r="A165" i="66"/>
  <c r="Y164" i="66"/>
  <c r="A164" i="66"/>
  <c r="Y163" i="66"/>
  <c r="A163" i="66"/>
  <c r="Y162" i="66"/>
  <c r="A162" i="66"/>
  <c r="Y152" i="66"/>
  <c r="A152" i="66"/>
  <c r="Y151" i="66"/>
  <c r="A151" i="66"/>
  <c r="Y150" i="66"/>
  <c r="A150" i="66"/>
  <c r="Y149" i="66"/>
  <c r="A149" i="66"/>
  <c r="Y148" i="66"/>
  <c r="A148" i="66"/>
  <c r="Y147" i="66"/>
  <c r="A147" i="66"/>
  <c r="Y146" i="66"/>
  <c r="A146" i="66"/>
  <c r="Y145" i="66"/>
  <c r="A145" i="66"/>
  <c r="Y144" i="66"/>
  <c r="A144" i="66"/>
  <c r="Y143" i="66"/>
  <c r="A143" i="66"/>
  <c r="Y142" i="66"/>
  <c r="A142" i="66"/>
  <c r="Y141" i="66"/>
  <c r="A141" i="66"/>
  <c r="Y140" i="66"/>
  <c r="A140" i="66"/>
  <c r="Y139" i="66"/>
  <c r="A139" i="66"/>
  <c r="Y138" i="66"/>
  <c r="A138" i="66"/>
  <c r="Y137" i="66"/>
  <c r="A137" i="66"/>
  <c r="Y136" i="66"/>
  <c r="A136" i="66"/>
  <c r="Y135" i="66"/>
  <c r="A135" i="66"/>
  <c r="Y134" i="66"/>
  <c r="A134" i="66"/>
  <c r="Y124" i="66"/>
  <c r="A124" i="66"/>
  <c r="Y123" i="66"/>
  <c r="A123" i="66"/>
  <c r="Y122" i="66"/>
  <c r="A122" i="66"/>
  <c r="Y121" i="66"/>
  <c r="A121" i="66"/>
  <c r="Y120" i="66"/>
  <c r="A120" i="66"/>
  <c r="Y119" i="66"/>
  <c r="A119" i="66"/>
  <c r="Y118" i="66"/>
  <c r="A118" i="66"/>
  <c r="Y117" i="66"/>
  <c r="A117" i="66"/>
  <c r="Y116" i="66"/>
  <c r="A116" i="66"/>
  <c r="Y115" i="66"/>
  <c r="A115" i="66"/>
  <c r="Y114" i="66"/>
  <c r="A114" i="66"/>
  <c r="Y113" i="66"/>
  <c r="A113" i="66"/>
  <c r="Y112" i="66"/>
  <c r="A112" i="66"/>
  <c r="Y111" i="66"/>
  <c r="A111" i="66"/>
  <c r="Y110" i="66"/>
  <c r="A110" i="66"/>
  <c r="Y109" i="66"/>
  <c r="A109" i="66"/>
  <c r="Y108" i="66"/>
  <c r="A108" i="66"/>
  <c r="A107" i="66"/>
  <c r="Y106" i="66"/>
  <c r="A106" i="66"/>
  <c r="Y105" i="66"/>
  <c r="A105" i="66"/>
  <c r="Y104" i="66"/>
  <c r="A104" i="66"/>
  <c r="Y103" i="66"/>
  <c r="A103" i="66"/>
  <c r="Y102" i="66"/>
  <c r="A102" i="66"/>
  <c r="Y101" i="66"/>
  <c r="A101" i="66"/>
  <c r="Y100" i="66"/>
  <c r="A100" i="66"/>
  <c r="Y99" i="66"/>
  <c r="A99" i="66"/>
  <c r="Y98" i="66"/>
  <c r="A98" i="66"/>
  <c r="Y294" i="66"/>
  <c r="Y293" i="66"/>
  <c r="Y292" i="66"/>
  <c r="Y291" i="66"/>
  <c r="Y290" i="66"/>
  <c r="Y289" i="66"/>
  <c r="Y287" i="66"/>
  <c r="Y286" i="66"/>
  <c r="Y257" i="66"/>
  <c r="Y256" i="66"/>
  <c r="Y255" i="66"/>
  <c r="Y200" i="66"/>
  <c r="Y199" i="66"/>
  <c r="Y198" i="66"/>
  <c r="Y161" i="66"/>
  <c r="Y160" i="66"/>
  <c r="Y159" i="66"/>
  <c r="Y133" i="66"/>
  <c r="Y132" i="66"/>
  <c r="Y131" i="66"/>
  <c r="Y97" i="66"/>
  <c r="Y96" i="66"/>
  <c r="Y95" i="66"/>
  <c r="A343" i="64"/>
  <c r="A342" i="64"/>
  <c r="A341" i="64"/>
  <c r="A331" i="64"/>
  <c r="A330" i="64"/>
  <c r="A329" i="64"/>
  <c r="A328" i="64"/>
  <c r="A327" i="64"/>
  <c r="A326" i="64"/>
  <c r="A325" i="64"/>
  <c r="A324" i="64"/>
  <c r="A323" i="64"/>
  <c r="A322" i="64"/>
  <c r="A321" i="64"/>
  <c r="A320" i="64"/>
  <c r="A319" i="64"/>
  <c r="A309" i="64" l="1"/>
  <c r="A308" i="64"/>
  <c r="A307" i="64"/>
  <c r="A306" i="64"/>
  <c r="A305" i="64"/>
  <c r="A304" i="64"/>
  <c r="A294" i="64"/>
  <c r="A293" i="64"/>
  <c r="A292" i="64"/>
  <c r="A282" i="64"/>
  <c r="A281" i="64"/>
  <c r="A280" i="64"/>
  <c r="A279" i="64"/>
  <c r="A278" i="64"/>
  <c r="A277" i="64"/>
  <c r="A276" i="64"/>
  <c r="A275" i="64"/>
  <c r="A274" i="64"/>
  <c r="A264" i="64"/>
  <c r="A263" i="64"/>
  <c r="A262" i="64"/>
  <c r="A261" i="64"/>
  <c r="A260" i="64"/>
  <c r="A241" i="64"/>
  <c r="A240" i="64"/>
  <c r="A239" i="64"/>
  <c r="A238" i="64"/>
  <c r="A237" i="64"/>
  <c r="A236" i="64"/>
  <c r="A235" i="64"/>
  <c r="A234" i="64"/>
  <c r="A233" i="64"/>
  <c r="A232" i="64"/>
  <c r="A231" i="64"/>
  <c r="A230" i="64"/>
  <c r="A229" i="64"/>
  <c r="A228" i="64"/>
  <c r="A227" i="64"/>
  <c r="A226" i="64"/>
  <c r="A225" i="64"/>
  <c r="A224" i="64"/>
  <c r="A223" i="64"/>
  <c r="A222" i="64"/>
  <c r="A221" i="64"/>
  <c r="A220" i="64"/>
  <c r="A219" i="64"/>
  <c r="A218" i="64"/>
  <c r="A217" i="64"/>
  <c r="A216" i="64"/>
  <c r="A215" i="64"/>
  <c r="A205" i="64"/>
  <c r="A204" i="64"/>
  <c r="A203" i="64"/>
  <c r="A202" i="64"/>
  <c r="A201" i="64"/>
  <c r="A200" i="64"/>
  <c r="A199" i="64"/>
  <c r="A198" i="64"/>
  <c r="A197" i="64"/>
  <c r="A196" i="64"/>
  <c r="A195" i="64"/>
  <c r="A194" i="64"/>
  <c r="A193" i="64"/>
  <c r="A192" i="64"/>
  <c r="A191" i="64"/>
  <c r="A190" i="64"/>
  <c r="A189" i="64"/>
  <c r="A188" i="64"/>
  <c r="A187" i="64"/>
  <c r="A186" i="64"/>
  <c r="A185" i="64"/>
  <c r="A184" i="64"/>
  <c r="A183" i="64"/>
  <c r="A182" i="64"/>
  <c r="A181" i="64"/>
  <c r="A180" i="64"/>
  <c r="A179" i="64"/>
  <c r="A178" i="64"/>
  <c r="A177" i="64"/>
  <c r="A176" i="64"/>
  <c r="A175" i="64"/>
  <c r="A174" i="64"/>
  <c r="A173" i="64"/>
  <c r="A172" i="64"/>
  <c r="A171" i="64"/>
  <c r="A170" i="64"/>
  <c r="A169" i="64"/>
  <c r="A168" i="64"/>
  <c r="A167" i="64"/>
  <c r="A166" i="64"/>
  <c r="A165" i="64"/>
  <c r="A164" i="64"/>
  <c r="A163" i="64"/>
  <c r="A162" i="64"/>
  <c r="A161" i="64"/>
  <c r="A160" i="64"/>
  <c r="A159" i="64"/>
  <c r="A149" i="64"/>
  <c r="A148" i="64"/>
  <c r="A147" i="64"/>
  <c r="A146" i="64"/>
  <c r="A145" i="64"/>
  <c r="A144" i="64"/>
  <c r="A143" i="64"/>
  <c r="A142" i="64"/>
  <c r="A141" i="64"/>
  <c r="A140" i="64"/>
  <c r="A139" i="64"/>
  <c r="A138" i="64"/>
  <c r="A137" i="64"/>
  <c r="A136" i="64"/>
  <c r="A135" i="64"/>
  <c r="A134" i="64"/>
  <c r="A133" i="64"/>
  <c r="A132" i="64"/>
  <c r="A131" i="64"/>
  <c r="A130" i="64"/>
  <c r="A129" i="64"/>
  <c r="A128" i="64"/>
  <c r="A127" i="64"/>
  <c r="A126" i="64"/>
  <c r="A125" i="64"/>
  <c r="A124" i="64"/>
  <c r="A123" i="64"/>
  <c r="A122" i="64"/>
  <c r="A121" i="64"/>
  <c r="A110" i="64"/>
  <c r="A111" i="64"/>
  <c r="A109" i="64"/>
  <c r="A108" i="64"/>
  <c r="A107" i="64"/>
  <c r="A106" i="64"/>
  <c r="A105" i="64"/>
  <c r="A104" i="64"/>
  <c r="A103" i="64"/>
  <c r="A102" i="64"/>
  <c r="A101" i="64"/>
  <c r="A100" i="64"/>
  <c r="A99" i="64"/>
  <c r="A98" i="64"/>
  <c r="A97" i="64"/>
  <c r="A96" i="64"/>
  <c r="A95" i="64"/>
  <c r="A94" i="64"/>
  <c r="A84" i="64"/>
  <c r="A83" i="64"/>
  <c r="A82" i="64"/>
  <c r="A81" i="64"/>
  <c r="A80" i="64"/>
  <c r="A79" i="64"/>
  <c r="A78" i="64"/>
  <c r="A77" i="64"/>
  <c r="A76" i="64"/>
  <c r="A75" i="64"/>
  <c r="A74" i="64"/>
  <c r="A73" i="64"/>
  <c r="A72" i="64"/>
  <c r="A71" i="64"/>
  <c r="A70" i="64"/>
  <c r="A69" i="64"/>
  <c r="A68" i="64"/>
  <c r="A67" i="64"/>
  <c r="A66" i="64"/>
  <c r="A65" i="64"/>
  <c r="A64" i="64"/>
  <c r="A63" i="64"/>
  <c r="A62" i="64"/>
  <c r="A61" i="64"/>
  <c r="A60" i="64"/>
  <c r="A59" i="64"/>
  <c r="A344" i="64"/>
  <c r="A332" i="64"/>
  <c r="A310" i="64"/>
  <c r="A295" i="64"/>
  <c r="A283" i="64"/>
  <c r="A265" i="64"/>
  <c r="A251" i="64"/>
  <c r="A242" i="64"/>
  <c r="A206" i="64"/>
  <c r="A150" i="64"/>
  <c r="A112" i="64"/>
  <c r="A85" i="64"/>
  <c r="A340" i="64"/>
  <c r="A318" i="64"/>
  <c r="A303" i="64"/>
  <c r="A291" i="64"/>
  <c r="A273" i="64"/>
  <c r="A259" i="64"/>
  <c r="A250" i="64"/>
  <c r="A214" i="64"/>
  <c r="A158" i="64"/>
  <c r="A120" i="64"/>
  <c r="A93" i="64"/>
  <c r="A58" i="64"/>
  <c r="A49" i="64"/>
  <c r="A32" i="64"/>
  <c r="A33" i="64"/>
  <c r="A34" i="64"/>
  <c r="A35" i="64"/>
  <c r="A36" i="64"/>
  <c r="A37" i="64"/>
  <c r="A38" i="64"/>
  <c r="A39" i="64"/>
  <c r="A40" i="64"/>
  <c r="A41" i="64"/>
  <c r="A42" i="64"/>
  <c r="A43" i="64"/>
  <c r="A44" i="64"/>
  <c r="A45" i="64"/>
  <c r="A46" i="64"/>
  <c r="A47" i="64"/>
  <c r="A48" i="64"/>
  <c r="A50" i="64"/>
  <c r="A25" i="64"/>
  <c r="A26" i="64"/>
  <c r="A27" i="64"/>
  <c r="A28" i="64"/>
  <c r="A29" i="64"/>
  <c r="A30" i="64"/>
  <c r="A31" i="64"/>
  <c r="A197" i="67" l="1"/>
  <c r="A198" i="67"/>
  <c r="A199" i="67"/>
  <c r="A200" i="67"/>
  <c r="A201" i="67"/>
  <c r="A202" i="67"/>
  <c r="A203" i="67"/>
  <c r="A204" i="67"/>
  <c r="A205" i="67"/>
  <c r="A206" i="67"/>
  <c r="A207" i="67"/>
  <c r="A174" i="67"/>
  <c r="A175" i="67"/>
  <c r="A176" i="67"/>
  <c r="A177" i="67"/>
  <c r="A178" i="67"/>
  <c r="A179" i="67"/>
  <c r="A180" i="67"/>
  <c r="A181" i="67"/>
  <c r="A182" i="67"/>
  <c r="A183" i="67"/>
  <c r="A184" i="67"/>
  <c r="A185" i="67"/>
  <c r="A186" i="67"/>
  <c r="A187" i="67"/>
  <c r="A188" i="67"/>
  <c r="A189" i="67"/>
  <c r="A190" i="67"/>
  <c r="A191" i="67"/>
  <c r="A192" i="67"/>
  <c r="A193" i="67"/>
  <c r="A194" i="67"/>
  <c r="A195" i="67"/>
  <c r="A196" i="67"/>
  <c r="A227" i="67"/>
  <c r="A228" i="67"/>
  <c r="A236" i="67"/>
  <c r="A237" i="67"/>
  <c r="A238" i="67"/>
  <c r="A244" i="67"/>
  <c r="A245" i="67"/>
  <c r="A21" i="67"/>
  <c r="A22" i="67"/>
  <c r="A23" i="67"/>
  <c r="A17" i="67"/>
  <c r="A18" i="67"/>
  <c r="A19" i="67"/>
  <c r="A20" i="67"/>
  <c r="A24" i="67"/>
  <c r="A25" i="67"/>
  <c r="A26" i="67"/>
  <c r="A27" i="67"/>
  <c r="A11" i="67"/>
  <c r="A16" i="67" l="1"/>
  <c r="A15" i="67"/>
  <c r="A14" i="67"/>
  <c r="A13" i="67"/>
  <c r="A12" i="67"/>
  <c r="A10" i="67"/>
  <c r="A9" i="67"/>
  <c r="A8" i="67"/>
  <c r="A31" i="67"/>
  <c r="A32" i="67"/>
  <c r="A33" i="67"/>
  <c r="A34" i="67"/>
  <c r="A37" i="67"/>
  <c r="A28" i="67"/>
  <c r="A29" i="67"/>
  <c r="A30" i="67"/>
  <c r="A5" i="67" l="1"/>
  <c r="Z257" i="67"/>
  <c r="C257" i="67" s="1"/>
  <c r="E33" i="69" s="1"/>
  <c r="Z255" i="67"/>
  <c r="R256" i="67"/>
  <c r="A7" i="67"/>
  <c r="A6" i="67"/>
  <c r="A4" i="67"/>
  <c r="A3" i="67"/>
  <c r="Z256" i="67" l="1"/>
  <c r="C255" i="67" s="1"/>
  <c r="Z254" i="67"/>
  <c r="A361" i="64"/>
  <c r="A82" i="66"/>
  <c r="A6" i="66"/>
  <c r="A5" i="66"/>
  <c r="A4" i="66"/>
  <c r="A3" i="66"/>
  <c r="A95" i="66"/>
  <c r="A96" i="66"/>
  <c r="A97" i="66"/>
  <c r="A293" i="66"/>
  <c r="A286" i="66" l="1"/>
  <c r="A287" i="66"/>
  <c r="A288" i="66"/>
  <c r="A289" i="66"/>
  <c r="A290" i="66"/>
  <c r="A291" i="66"/>
  <c r="A292" i="66"/>
  <c r="A294" i="66"/>
  <c r="A35" i="66"/>
  <c r="A36" i="66"/>
  <c r="A303" i="66" l="1"/>
  <c r="A132" i="66" l="1"/>
  <c r="A133" i="66"/>
  <c r="A125" i="66"/>
  <c r="A126" i="66"/>
  <c r="A127" i="66"/>
  <c r="A128" i="66"/>
  <c r="A129" i="66"/>
  <c r="A130" i="66"/>
  <c r="A159" i="66"/>
  <c r="A160" i="66"/>
  <c r="A161" i="66"/>
  <c r="A153" i="66"/>
  <c r="A154" i="66"/>
  <c r="A155" i="66"/>
  <c r="A156" i="66"/>
  <c r="A157" i="66"/>
  <c r="A158" i="66"/>
  <c r="A198" i="66"/>
  <c r="A199" i="66"/>
  <c r="A200" i="66"/>
  <c r="A192" i="66"/>
  <c r="A193" i="66"/>
  <c r="A194" i="66"/>
  <c r="A195" i="66"/>
  <c r="A196" i="66"/>
  <c r="A197" i="66"/>
  <c r="A255" i="66"/>
  <c r="A256" i="66"/>
  <c r="A257" i="66"/>
  <c r="A249" i="66"/>
  <c r="A250" i="66"/>
  <c r="A251" i="66"/>
  <c r="A252" i="66"/>
  <c r="A253" i="66"/>
  <c r="A254" i="66"/>
  <c r="A85" i="66"/>
  <c r="A86" i="66"/>
  <c r="A87" i="66"/>
  <c r="A84" i="66"/>
  <c r="A83" i="66"/>
  <c r="A81" i="66"/>
  <c r="A298" i="66"/>
  <c r="A299" i="66"/>
  <c r="A88" i="66"/>
  <c r="A58" i="66"/>
  <c r="A59" i="66"/>
  <c r="A60" i="66"/>
  <c r="A61" i="66"/>
  <c r="A62" i="66"/>
  <c r="A63" i="66"/>
  <c r="A64" i="66"/>
  <c r="A65" i="66"/>
  <c r="A66" i="66"/>
  <c r="A67" i="66"/>
  <c r="A68" i="66"/>
  <c r="A69" i="66"/>
  <c r="A70" i="66"/>
  <c r="A71" i="66"/>
  <c r="A72" i="66"/>
  <c r="A73" i="66"/>
  <c r="A74" i="66"/>
  <c r="A75" i="66"/>
  <c r="A76" i="66"/>
  <c r="A77" i="66"/>
  <c r="A78" i="66"/>
  <c r="A79" i="66"/>
  <c r="A80" i="66"/>
  <c r="A295" i="66"/>
  <c r="A296" i="66"/>
  <c r="A297" i="66"/>
  <c r="A57" i="66"/>
  <c r="A56" i="66"/>
  <c r="A48" i="66"/>
  <c r="A39" i="66"/>
  <c r="A38" i="66"/>
  <c r="A37" i="66"/>
  <c r="A40" i="66"/>
  <c r="A50" i="66"/>
  <c r="A49" i="66"/>
  <c r="A53" i="66"/>
  <c r="A52" i="66"/>
  <c r="A51" i="66"/>
  <c r="A47" i="66"/>
  <c r="A46" i="66"/>
  <c r="A45" i="66"/>
  <c r="A44" i="66"/>
  <c r="A43" i="66"/>
  <c r="A42" i="66"/>
  <c r="A17" i="66"/>
  <c r="A18" i="66"/>
  <c r="A19" i="66"/>
  <c r="A20" i="66"/>
  <c r="A21" i="66"/>
  <c r="A22" i="66"/>
  <c r="A26" i="66"/>
  <c r="A27" i="66"/>
  <c r="A8" i="66"/>
  <c r="A9" i="66"/>
  <c r="A10" i="66"/>
  <c r="A11" i="66"/>
  <c r="A12" i="66"/>
  <c r="A13" i="66"/>
  <c r="A55" i="66" l="1"/>
  <c r="A54" i="66"/>
  <c r="A41" i="66"/>
  <c r="A34" i="66"/>
  <c r="A33" i="66"/>
  <c r="A32" i="66"/>
  <c r="A28" i="66"/>
  <c r="A16" i="66"/>
  <c r="A14" i="66" l="1"/>
  <c r="A15" i="66"/>
  <c r="K365" i="66" l="1"/>
  <c r="J365" i="66"/>
  <c r="I365" i="66"/>
  <c r="H365" i="66"/>
  <c r="K363" i="66"/>
  <c r="J363" i="66"/>
  <c r="I363" i="66"/>
  <c r="H363" i="66"/>
  <c r="K362" i="66"/>
  <c r="J362" i="66"/>
  <c r="I362" i="66"/>
  <c r="H362" i="66"/>
  <c r="A361" i="66"/>
  <c r="A348" i="66"/>
  <c r="A337" i="66"/>
  <c r="A336" i="66"/>
  <c r="A131" i="66"/>
  <c r="A94" i="66"/>
  <c r="A93" i="66"/>
  <c r="A92" i="66"/>
  <c r="A91" i="66"/>
  <c r="A90" i="66"/>
  <c r="A89" i="66"/>
  <c r="A7" i="66"/>
  <c r="A363" i="64"/>
  <c r="A364" i="64"/>
  <c r="A365" i="64"/>
  <c r="A366" i="64"/>
  <c r="A368" i="64"/>
  <c r="A373" i="64"/>
  <c r="A372" i="64"/>
  <c r="A371" i="64"/>
  <c r="A370" i="64"/>
  <c r="A375" i="64"/>
  <c r="I364" i="66" l="1"/>
  <c r="J364" i="66"/>
  <c r="K364" i="66"/>
  <c r="Y365" i="66"/>
  <c r="C365" i="66" s="1"/>
  <c r="E32" i="69" s="1"/>
  <c r="Y363" i="66"/>
  <c r="H364" i="66"/>
  <c r="Y362" i="66"/>
  <c r="A362" i="64"/>
  <c r="Y364" i="66" l="1"/>
  <c r="C363" i="66" s="1"/>
  <c r="A360" i="64"/>
  <c r="A4" i="64"/>
  <c r="A5" i="64"/>
  <c r="A6" i="64"/>
  <c r="A7" i="64"/>
  <c r="S405" i="64"/>
  <c r="R405" i="64"/>
  <c r="P405" i="64"/>
  <c r="O405" i="64"/>
  <c r="N405" i="64"/>
  <c r="M405" i="64"/>
  <c r="L405" i="64"/>
  <c r="K405" i="64"/>
  <c r="J405" i="64"/>
  <c r="I405" i="64"/>
  <c r="S403" i="64"/>
  <c r="R403" i="64"/>
  <c r="Q403" i="64"/>
  <c r="P403" i="64"/>
  <c r="O403" i="64"/>
  <c r="N403" i="64"/>
  <c r="M403" i="64"/>
  <c r="L403" i="64"/>
  <c r="K403" i="64"/>
  <c r="J403" i="64"/>
  <c r="I403" i="64"/>
  <c r="S402" i="64"/>
  <c r="R402" i="64"/>
  <c r="Q402" i="64"/>
  <c r="P402" i="64"/>
  <c r="O402" i="64"/>
  <c r="O404" i="64" s="1"/>
  <c r="N402" i="64"/>
  <c r="M402" i="64"/>
  <c r="L402" i="64"/>
  <c r="K402" i="64"/>
  <c r="J402" i="64"/>
  <c r="I402" i="64"/>
  <c r="H403" i="64"/>
  <c r="H402" i="64"/>
  <c r="H405" i="64"/>
  <c r="S404" i="64" l="1"/>
  <c r="K404" i="64"/>
  <c r="N404" i="64"/>
  <c r="M404" i="64"/>
  <c r="Y405" i="64"/>
  <c r="L404" i="64"/>
  <c r="P404" i="64"/>
  <c r="Q404" i="64"/>
  <c r="I404" i="64"/>
  <c r="J404" i="64"/>
  <c r="R404" i="64"/>
  <c r="Y402" i="64"/>
  <c r="Y403" i="64"/>
  <c r="A19" i="64"/>
  <c r="A18" i="64"/>
  <c r="A17" i="64"/>
  <c r="A11" i="64"/>
  <c r="A9" i="64"/>
  <c r="A10" i="64"/>
  <c r="A16" i="64"/>
  <c r="A15" i="64"/>
  <c r="A14" i="64"/>
  <c r="A317" i="64" l="1"/>
  <c r="A316" i="64"/>
  <c r="A315" i="64"/>
  <c r="A314" i="64"/>
  <c r="A313" i="64"/>
  <c r="A312" i="64"/>
  <c r="A302" i="64"/>
  <c r="A301" i="64"/>
  <c r="A300" i="64"/>
  <c r="A299" i="64"/>
  <c r="A298" i="64"/>
  <c r="A297" i="64"/>
  <c r="A290" i="64"/>
  <c r="A289" i="64"/>
  <c r="A288" i="64"/>
  <c r="A287" i="64"/>
  <c r="A286" i="64"/>
  <c r="A285" i="64"/>
  <c r="A272" i="64"/>
  <c r="A271" i="64"/>
  <c r="A270" i="64"/>
  <c r="A269" i="64"/>
  <c r="A268" i="64"/>
  <c r="A267" i="64"/>
  <c r="A339" i="64"/>
  <c r="A338" i="64"/>
  <c r="A337" i="64"/>
  <c r="A336" i="64"/>
  <c r="A335" i="64"/>
  <c r="A334" i="64"/>
  <c r="A213" i="64"/>
  <c r="A212" i="64"/>
  <c r="A211" i="64"/>
  <c r="A210" i="64"/>
  <c r="A209" i="64"/>
  <c r="A208" i="64"/>
  <c r="A258" i="64"/>
  <c r="A257" i="64"/>
  <c r="A256" i="64"/>
  <c r="A255" i="64"/>
  <c r="A254" i="64"/>
  <c r="A253" i="64"/>
  <c r="A249" i="64"/>
  <c r="A248" i="64"/>
  <c r="A247" i="64"/>
  <c r="A246" i="64"/>
  <c r="A245" i="64"/>
  <c r="A244" i="64"/>
  <c r="A157" i="64"/>
  <c r="A156" i="64"/>
  <c r="A155" i="64"/>
  <c r="A154" i="64"/>
  <c r="A153" i="64"/>
  <c r="A152" i="64"/>
  <c r="A119" i="64"/>
  <c r="A118" i="64"/>
  <c r="A117" i="64"/>
  <c r="A116" i="64"/>
  <c r="A115" i="64"/>
  <c r="A114" i="64"/>
  <c r="A92" i="64"/>
  <c r="A91" i="64"/>
  <c r="A90" i="64"/>
  <c r="A89" i="64"/>
  <c r="A88" i="64"/>
  <c r="A87" i="64"/>
  <c r="A57" i="64"/>
  <c r="A56" i="64"/>
  <c r="A55" i="64"/>
  <c r="A54" i="64"/>
  <c r="A53" i="64"/>
  <c r="A52" i="64"/>
  <c r="A8" i="64"/>
  <c r="A358" i="64"/>
  <c r="A357" i="64"/>
  <c r="A356" i="64"/>
  <c r="A355" i="64"/>
  <c r="A354" i="64"/>
  <c r="A353" i="64"/>
  <c r="A352" i="64"/>
  <c r="A351" i="64"/>
  <c r="A350" i="64"/>
  <c r="A349" i="64"/>
  <c r="A348" i="64"/>
  <c r="A347" i="64"/>
  <c r="A346" i="64"/>
  <c r="A21" i="64"/>
  <c r="A22" i="64"/>
  <c r="A23" i="64"/>
  <c r="A24" i="64"/>
  <c r="A12" i="64" l="1"/>
  <c r="A13" i="64"/>
  <c r="A345" i="64"/>
  <c r="A20" i="64"/>
  <c r="A51" i="64"/>
  <c r="A86" i="64"/>
  <c r="A113" i="64"/>
  <c r="A151" i="64"/>
  <c r="A243" i="64"/>
  <c r="A252" i="64"/>
  <c r="A207" i="64"/>
  <c r="A333" i="64"/>
  <c r="A266" i="64"/>
  <c r="A3" i="64" l="1"/>
  <c r="A401" i="64" l="1"/>
  <c r="A400" i="64"/>
  <c r="A385" i="64"/>
  <c r="A359" i="64"/>
  <c r="A311" i="64"/>
  <c r="A296" i="64"/>
  <c r="A284" i="64"/>
  <c r="C405" i="64" l="1"/>
  <c r="E31" i="69" s="1"/>
  <c r="E34" i="69" s="1"/>
  <c r="A134" i="59"/>
  <c r="A133" i="59"/>
  <c r="A132" i="59"/>
  <c r="A131" i="59"/>
  <c r="A130" i="59"/>
  <c r="A129" i="59"/>
  <c r="A128" i="59"/>
  <c r="A127" i="59"/>
  <c r="A86" i="59"/>
  <c r="A85" i="59"/>
  <c r="A84" i="59"/>
  <c r="A83" i="59"/>
  <c r="A82" i="59"/>
  <c r="A81" i="59"/>
  <c r="A80" i="59"/>
  <c r="A79" i="59"/>
  <c r="A78" i="59"/>
  <c r="A77" i="59"/>
  <c r="A76" i="59"/>
  <c r="A75" i="59"/>
  <c r="A74" i="59"/>
  <c r="A73" i="59"/>
  <c r="A72" i="59"/>
  <c r="A71" i="59"/>
  <c r="A70" i="59"/>
  <c r="A69" i="59"/>
  <c r="A68" i="59"/>
  <c r="A67" i="59"/>
  <c r="A66" i="59"/>
  <c r="A65" i="59"/>
  <c r="A64" i="59"/>
  <c r="A63" i="59"/>
  <c r="A62" i="59"/>
  <c r="A61" i="59"/>
  <c r="A60" i="59"/>
  <c r="A59" i="59"/>
  <c r="A58" i="59"/>
  <c r="A57" i="59"/>
  <c r="A56" i="59"/>
  <c r="A55" i="59"/>
  <c r="A54" i="59"/>
  <c r="A53" i="59"/>
  <c r="A52" i="59"/>
  <c r="A51" i="59"/>
  <c r="A50" i="59"/>
  <c r="A49" i="59"/>
  <c r="A48" i="59"/>
  <c r="A47" i="59"/>
  <c r="AA161" i="59"/>
  <c r="U142" i="59"/>
  <c r="T142" i="59"/>
  <c r="S142" i="59"/>
  <c r="R140" i="59"/>
  <c r="Q140" i="59"/>
  <c r="P140" i="59"/>
  <c r="O140" i="59"/>
  <c r="N140" i="59"/>
  <c r="M140" i="59"/>
  <c r="L140" i="59"/>
  <c r="K140" i="59"/>
  <c r="J140" i="59"/>
  <c r="I140" i="59"/>
  <c r="H140" i="59"/>
  <c r="G140" i="59"/>
  <c r="R139" i="59"/>
  <c r="Q139" i="59"/>
  <c r="Q141" i="59"/>
  <c r="Q142" i="59"/>
  <c r="P139" i="59"/>
  <c r="P141" i="59" s="1"/>
  <c r="P142" i="59" s="1"/>
  <c r="O139" i="59"/>
  <c r="O141" i="59"/>
  <c r="O142" i="59"/>
  <c r="N139" i="59"/>
  <c r="N141" i="59"/>
  <c r="N142" i="59"/>
  <c r="M139" i="59"/>
  <c r="M141" i="59"/>
  <c r="M142" i="59"/>
  <c r="L139" i="59"/>
  <c r="L141" i="59"/>
  <c r="L142" i="59"/>
  <c r="K139" i="59"/>
  <c r="K141" i="59"/>
  <c r="K142" i="59"/>
  <c r="J139" i="59"/>
  <c r="J141" i="59"/>
  <c r="J142" i="59"/>
  <c r="I139" i="59"/>
  <c r="I141" i="59"/>
  <c r="I142" i="59"/>
  <c r="H139" i="59"/>
  <c r="H141" i="59"/>
  <c r="H142" i="59"/>
  <c r="G139" i="59"/>
  <c r="G141" i="59" s="1"/>
  <c r="G142" i="59" s="1"/>
  <c r="A138" i="59"/>
  <c r="A137" i="59"/>
  <c r="A136" i="59"/>
  <c r="A135" i="59"/>
  <c r="A126" i="59"/>
  <c r="A125" i="59"/>
  <c r="A124" i="59"/>
  <c r="A123" i="59"/>
  <c r="A122" i="59"/>
  <c r="A121" i="59"/>
  <c r="A120" i="59"/>
  <c r="A119" i="59"/>
  <c r="A118" i="59"/>
  <c r="A117" i="59"/>
  <c r="A116" i="59"/>
  <c r="A115" i="59"/>
  <c r="A114" i="59"/>
  <c r="A113" i="59"/>
  <c r="A112" i="59"/>
  <c r="A111" i="59"/>
  <c r="A110" i="59"/>
  <c r="A109" i="59"/>
  <c r="A108" i="59"/>
  <c r="A107" i="59"/>
  <c r="A106" i="59"/>
  <c r="A105" i="59"/>
  <c r="A104" i="59"/>
  <c r="A103" i="59"/>
  <c r="A102" i="59"/>
  <c r="A101" i="59"/>
  <c r="A100" i="59"/>
  <c r="A99" i="59"/>
  <c r="A98" i="59"/>
  <c r="A97" i="59"/>
  <c r="A96" i="59"/>
  <c r="A95" i="59"/>
  <c r="A94" i="59"/>
  <c r="A93" i="59"/>
  <c r="A92" i="59"/>
  <c r="A91" i="59"/>
  <c r="A90" i="59"/>
  <c r="A89" i="59"/>
  <c r="A88" i="59"/>
  <c r="A87" i="59"/>
  <c r="A46" i="59"/>
  <c r="A45" i="59"/>
  <c r="A44" i="59"/>
  <c r="A43" i="59"/>
  <c r="A42" i="59"/>
  <c r="A41" i="59"/>
  <c r="A40" i="59"/>
  <c r="A39" i="59"/>
  <c r="A38" i="59"/>
  <c r="A37" i="59"/>
  <c r="A36" i="59"/>
  <c r="A35" i="59"/>
  <c r="A34" i="59"/>
  <c r="A33" i="59"/>
  <c r="A32" i="59"/>
  <c r="A31" i="59"/>
  <c r="A30" i="59"/>
  <c r="A29" i="59"/>
  <c r="A28" i="59"/>
  <c r="A27" i="59"/>
  <c r="A26" i="59"/>
  <c r="A25" i="59"/>
  <c r="A24" i="59"/>
  <c r="A23" i="59"/>
  <c r="A22" i="59"/>
  <c r="A21" i="59"/>
  <c r="A20" i="59"/>
  <c r="A19" i="59"/>
  <c r="A18" i="59"/>
  <c r="A17" i="59"/>
  <c r="A16" i="59"/>
  <c r="A15" i="59"/>
  <c r="A14" i="59"/>
  <c r="A13" i="59"/>
  <c r="A12" i="59"/>
  <c r="A11" i="59"/>
  <c r="A10" i="59"/>
  <c r="A9" i="59"/>
  <c r="A8" i="59"/>
  <c r="A7" i="59"/>
  <c r="R141" i="59"/>
  <c r="W141" i="59"/>
  <c r="W140" i="59"/>
  <c r="R142" i="59"/>
  <c r="W142" i="59"/>
  <c r="W139" i="59"/>
  <c r="H404" i="64" l="1"/>
  <c r="Y404" i="64" l="1"/>
  <c r="C403" i="6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tc={A86F5573-5090-4E2C-8240-C9CF4D2CA287}</author>
    <author>tc={9D2D2C04-0FD0-470A-AA61-93711B6EB0B0}</author>
  </authors>
  <commentList>
    <comment ref="V3" authorId="0" shapeId="0" xr:uid="{A86F5573-5090-4E2C-8240-C9CF4D2CA287}">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BF_LOG.log
Sub Main ｱﾌﾟﾘｹｰｼｮﾝ起動？</t>
      </text>
    </comment>
    <comment ref="V5" authorId="1" shapeId="0" xr:uid="{9D2D2C04-0FD0-470A-AA61-93711B6EB0B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BF_LOG.log
Sub Main ｱﾌﾟﾘｹｰｼｮﾝ起動？</t>
      </text>
    </comment>
  </commentList>
</comments>
</file>

<file path=xl/sharedStrings.xml><?xml version="1.0" encoding="utf-8"?>
<sst xmlns="http://schemas.openxmlformats.org/spreadsheetml/2006/main" count="5007" uniqueCount="1136">
  <si>
    <t>■全体構成</t>
    <phoneticPr fontId="15"/>
  </si>
  <si>
    <t>機能テスト仕様書</t>
  </si>
  <si>
    <t>L</t>
    <phoneticPr fontId="15"/>
  </si>
  <si>
    <t>全件マスタ連携シート</t>
    <phoneticPr fontId="15"/>
  </si>
  <si>
    <t>｜</t>
    <phoneticPr fontId="15"/>
  </si>
  <si>
    <t>正常系(設定値1)</t>
    <rPh sb="0" eb="3">
      <t>セイジョウケイ</t>
    </rPh>
    <rPh sb="4" eb="6">
      <t>セッテイ</t>
    </rPh>
    <rPh sb="6" eb="7">
      <t>アタイ</t>
    </rPh>
    <phoneticPr fontId="15"/>
  </si>
  <si>
    <t>処理系</t>
    <rPh sb="0" eb="2">
      <t>ショリ</t>
    </rPh>
    <rPh sb="2" eb="3">
      <t>ケイ</t>
    </rPh>
    <phoneticPr fontId="15"/>
  </si>
  <si>
    <t>データチェック系</t>
    <rPh sb="7" eb="8">
      <t>ケイ</t>
    </rPh>
    <phoneticPr fontId="15"/>
  </si>
  <si>
    <t>正常系(設定値0)</t>
    <rPh sb="0" eb="3">
      <t>セイジョウケイ</t>
    </rPh>
    <rPh sb="4" eb="6">
      <t>セッテイ</t>
    </rPh>
    <rPh sb="6" eb="7">
      <t>アタイ</t>
    </rPh>
    <phoneticPr fontId="15"/>
  </si>
  <si>
    <t>異常系</t>
    <rPh sb="0" eb="3">
      <t>イジョウケイ</t>
    </rPh>
    <phoneticPr fontId="15"/>
  </si>
  <si>
    <t>リカバリ系</t>
    <rPh sb="4" eb="5">
      <t>ケイ</t>
    </rPh>
    <phoneticPr fontId="15"/>
  </si>
  <si>
    <t>差分マスタ連携シート</t>
    <phoneticPr fontId="15"/>
  </si>
  <si>
    <t>トラン実績連携シート</t>
    <phoneticPr fontId="15"/>
  </si>
  <si>
    <t>■件数</t>
    <rPh sb="1" eb="3">
      <t>ケンスウ</t>
    </rPh>
    <phoneticPr fontId="15"/>
  </si>
  <si>
    <t>全件マスタ連携</t>
    <phoneticPr fontId="15"/>
  </si>
  <si>
    <t>差分マスタ連携</t>
    <phoneticPr fontId="15"/>
  </si>
  <si>
    <t>トラン実績連携</t>
    <phoneticPr fontId="15"/>
  </si>
  <si>
    <t>合計</t>
    <rPh sb="0" eb="2">
      <t>ゴウケイ</t>
    </rPh>
    <phoneticPr fontId="15"/>
  </si>
  <si>
    <t>いなげや様</t>
    <rPh sb="4" eb="5">
      <t>サマ</t>
    </rPh>
    <phoneticPr fontId="7"/>
  </si>
  <si>
    <t>ignicaPOS連携対応</t>
    <rPh sb="11" eb="13">
      <t>タイオウ</t>
    </rPh>
    <phoneticPr fontId="7"/>
  </si>
  <si>
    <t>ST仕様書兼完了報告書</t>
    <phoneticPr fontId="7"/>
  </si>
  <si>
    <t>機能テスト</t>
    <rPh sb="0" eb="2">
      <t>キノウ</t>
    </rPh>
    <phoneticPr fontId="7"/>
  </si>
  <si>
    <t>第0.1版　2024年9月18日</t>
    <rPh sb="4" eb="5">
      <t>バン</t>
    </rPh>
    <rPh sb="12" eb="13">
      <t>ガツ</t>
    </rPh>
    <phoneticPr fontId="7"/>
  </si>
  <si>
    <t>富士通株式会社</t>
    <rPh sb="3" eb="5">
      <t>カブシキ</t>
    </rPh>
    <rPh sb="5" eb="7">
      <t>カイシャ</t>
    </rPh>
    <phoneticPr fontId="7"/>
  </si>
  <si>
    <t>No.</t>
    <phoneticPr fontId="4"/>
  </si>
  <si>
    <t>分類1</t>
    <rPh sb="0" eb="2">
      <t>ブンルイ</t>
    </rPh>
    <phoneticPr fontId="4"/>
  </si>
  <si>
    <t>分類2</t>
    <rPh sb="0" eb="2">
      <t>ブンルイ</t>
    </rPh>
    <phoneticPr fontId="4"/>
  </si>
  <si>
    <t>分類3</t>
    <rPh sb="0" eb="2">
      <t>ブンルイ</t>
    </rPh>
    <phoneticPr fontId="4"/>
  </si>
  <si>
    <t>分類4</t>
    <rPh sb="0" eb="2">
      <t>ブンルイ</t>
    </rPh>
    <phoneticPr fontId="4"/>
  </si>
  <si>
    <t>操作/設定</t>
    <rPh sb="0" eb="2">
      <t>ソウサ</t>
    </rPh>
    <rPh sb="3" eb="5">
      <t>セッテイ</t>
    </rPh>
    <phoneticPr fontId="4"/>
  </si>
  <si>
    <t>結果</t>
    <phoneticPr fontId="15"/>
  </si>
  <si>
    <t>POS</t>
    <phoneticPr fontId="4"/>
  </si>
  <si>
    <t>SSV</t>
    <phoneticPr fontId="4"/>
  </si>
  <si>
    <t>テスト結果</t>
    <rPh sb="3" eb="5">
      <t>ケッカ</t>
    </rPh>
    <phoneticPr fontId="4"/>
  </si>
  <si>
    <t>担当</t>
  </si>
  <si>
    <t>備考</t>
    <rPh sb="0" eb="2">
      <t>ビコウ</t>
    </rPh>
    <phoneticPr fontId="15"/>
  </si>
  <si>
    <t>操作</t>
    <rPh sb="0" eb="2">
      <t>ソウサ</t>
    </rPh>
    <phoneticPr fontId="15"/>
  </si>
  <si>
    <t>画面</t>
    <rPh sb="0" eb="2">
      <t>ガメン</t>
    </rPh>
    <phoneticPr fontId="4"/>
  </si>
  <si>
    <t>印字</t>
    <phoneticPr fontId="4"/>
  </si>
  <si>
    <t>演算</t>
    <phoneticPr fontId="4"/>
  </si>
  <si>
    <t>画面</t>
  </si>
  <si>
    <t>印字</t>
  </si>
  <si>
    <t>ﾌｧｲﾙ</t>
    <phoneticPr fontId="15"/>
  </si>
  <si>
    <t>名称</t>
    <rPh sb="0" eb="2">
      <t>メイショウ</t>
    </rPh>
    <phoneticPr fontId="15"/>
  </si>
  <si>
    <t>ﾚｲ
ｱｳﾄ</t>
    <phoneticPr fontId="15"/>
  </si>
  <si>
    <t>ﾛｸﾞ</t>
    <phoneticPr fontId="15"/>
  </si>
  <si>
    <t>集計</t>
    <rPh sb="0" eb="2">
      <t>シュウケイ</t>
    </rPh>
    <phoneticPr fontId="4"/>
  </si>
  <si>
    <t>OK</t>
  </si>
  <si>
    <t>NG</t>
  </si>
  <si>
    <t>再確認</t>
    <phoneticPr fontId="4"/>
  </si>
  <si>
    <t>正常系</t>
    <rPh sb="0" eb="3">
      <t>セイジョウケイ</t>
    </rPh>
    <phoneticPr fontId="15"/>
  </si>
  <si>
    <t>全件一括データファイル作成処理</t>
    <rPh sb="0" eb="2">
      <t>ゼンケン</t>
    </rPh>
    <rPh sb="2" eb="4">
      <t>イッカツ</t>
    </rPh>
    <rPh sb="11" eb="13">
      <t>サクセイ</t>
    </rPh>
    <rPh sb="13" eb="15">
      <t>ショリ</t>
    </rPh>
    <phoneticPr fontId="15"/>
  </si>
  <si>
    <t>ファイル作成</t>
    <rPh sb="4" eb="6">
      <t>サクセイ</t>
    </rPh>
    <phoneticPr fontId="15"/>
  </si>
  <si>
    <t>全件一括データ</t>
    <rPh sb="0" eb="4">
      <t>ゼンケンイッカツ</t>
    </rPh>
    <phoneticPr fontId="15"/>
  </si>
  <si>
    <t>SSV開局処理を実施</t>
    <rPh sb="8" eb="10">
      <t>ジッシ</t>
    </rPh>
    <phoneticPr fontId="15"/>
  </si>
  <si>
    <t>送信ファイル一覧の名称でファイル作成されていること</t>
    <rPh sb="9" eb="11">
      <t>メイショウ</t>
    </rPh>
    <rPh sb="16" eb="18">
      <t>サクセイ</t>
    </rPh>
    <phoneticPr fontId="15"/>
  </si>
  <si>
    <t>〇</t>
    <phoneticPr fontId="15"/>
  </si>
  <si>
    <t>ファイル名:[店舗コード(3桁)]＋"_IG_ALLMST_"+[作成日時(yyyymmddhhmmss)]+".zip"</t>
    <rPh sb="4" eb="5">
      <t>メイ</t>
    </rPh>
    <phoneticPr fontId="15"/>
  </si>
  <si>
    <t>(設定値:1)</t>
    <phoneticPr fontId="15"/>
  </si>
  <si>
    <t>ログファイル作成</t>
    <rPh sb="6" eb="8">
      <t>サクセイ</t>
    </rPh>
    <phoneticPr fontId="15"/>
  </si>
  <si>
    <t>送信結果ログファイルが作成されていること</t>
    <rPh sb="0" eb="4">
      <t>ソウシンケッカ</t>
    </rPh>
    <rPh sb="11" eb="13">
      <t>サクセイ</t>
    </rPh>
    <phoneticPr fontId="15"/>
  </si>
  <si>
    <t>〇</t>
  </si>
  <si>
    <t>ファイル名:C:\CTKY\LOG\IG_ALLMST_ZIP_SFTP.log</t>
    <rPh sb="4" eb="5">
      <t>メイ</t>
    </rPh>
    <phoneticPr fontId="15"/>
  </si>
  <si>
    <t>ログファイル記載</t>
    <rPh sb="6" eb="8">
      <t>キサイ</t>
    </rPh>
    <phoneticPr fontId="15"/>
  </si>
  <si>
    <t>ログファイル内で処理結果の開始/終了時間が記載されていること</t>
    <rPh sb="6" eb="7">
      <t>ナイ</t>
    </rPh>
    <rPh sb="8" eb="12">
      <t>ショリケッカ</t>
    </rPh>
    <rPh sb="13" eb="15">
      <t>カイシ</t>
    </rPh>
    <rPh sb="16" eb="18">
      <t>シュウリョウ</t>
    </rPh>
    <rPh sb="18" eb="20">
      <t>ジカン</t>
    </rPh>
    <rPh sb="21" eb="23">
      <t>キサイ</t>
    </rPh>
    <phoneticPr fontId="15"/>
  </si>
  <si>
    <t>当該ログに処理が無い場合は、開閉局ログを確認する。(C:\GSTR\RAFT\log\runlog.log)</t>
    <rPh sb="0" eb="2">
      <t>トウガイ</t>
    </rPh>
    <rPh sb="5" eb="7">
      <t>ショリ</t>
    </rPh>
    <rPh sb="14" eb="17">
      <t>カイヘイキョク</t>
    </rPh>
    <rPh sb="20" eb="22">
      <t>カクニン</t>
    </rPh>
    <phoneticPr fontId="15"/>
  </si>
  <si>
    <t>ファイル圧縮処理</t>
    <phoneticPr fontId="15"/>
  </si>
  <si>
    <t>対象処理:ファイル圧縮処理</t>
    <rPh sb="0" eb="2">
      <t>タイショウ</t>
    </rPh>
    <rPh sb="2" eb="4">
      <t>ショリ</t>
    </rPh>
    <rPh sb="9" eb="13">
      <t>アッシュクショリ</t>
    </rPh>
    <phoneticPr fontId="15"/>
  </si>
  <si>
    <t>SFTP送信処理</t>
    <phoneticPr fontId="15"/>
  </si>
  <si>
    <t>対象処理:SFTP送信処理</t>
    <rPh sb="0" eb="2">
      <t>タイショウ</t>
    </rPh>
    <rPh sb="2" eb="4">
      <t>ショリ</t>
    </rPh>
    <rPh sb="9" eb="11">
      <t>ソウシン</t>
    </rPh>
    <rPh sb="11" eb="13">
      <t>ショリ</t>
    </rPh>
    <phoneticPr fontId="15"/>
  </si>
  <si>
    <t>送信ファイルバックアップ処理</t>
    <phoneticPr fontId="15"/>
  </si>
  <si>
    <t>対象処理:送信ファイルバックアップ処理</t>
    <rPh sb="0" eb="2">
      <t>タイショウ</t>
    </rPh>
    <rPh sb="2" eb="4">
      <t>ショリ</t>
    </rPh>
    <rPh sb="5" eb="7">
      <t>ソウシン</t>
    </rPh>
    <rPh sb="17" eb="19">
      <t>ショリ</t>
    </rPh>
    <phoneticPr fontId="15"/>
  </si>
  <si>
    <t>バックアップ</t>
    <phoneticPr fontId="15"/>
  </si>
  <si>
    <t>当日分</t>
    <rPh sb="0" eb="3">
      <t>トウジツブン</t>
    </rPh>
    <phoneticPr fontId="15"/>
  </si>
  <si>
    <t>当日分送信バックアップフォルダにファイルがバックアップされていること</t>
    <rPh sb="2" eb="3">
      <t>ブン</t>
    </rPh>
    <phoneticPr fontId="15"/>
  </si>
  <si>
    <t>当日分バックアップフォルダ:E:\CTKY\DATA\BACKUP\IG_ALL_SEND\Today\</t>
    <rPh sb="0" eb="2">
      <t>トウジツ</t>
    </rPh>
    <rPh sb="2" eb="3">
      <t>ブン</t>
    </rPh>
    <phoneticPr fontId="15"/>
  </si>
  <si>
    <t>過去分</t>
    <rPh sb="0" eb="3">
      <t>カコブン</t>
    </rPh>
    <phoneticPr fontId="15"/>
  </si>
  <si>
    <t>SSV開局処理を実施(8回以上)</t>
    <rPh sb="8" eb="10">
      <t>ジッシ</t>
    </rPh>
    <rPh sb="12" eb="13">
      <t>カイ</t>
    </rPh>
    <rPh sb="13" eb="15">
      <t>イジョウ</t>
    </rPh>
    <phoneticPr fontId="15"/>
  </si>
  <si>
    <t>過去分送信バックアップフォルダが作成され、ファイルがバックアップされていること(6世代以降の削除確認)</t>
    <rPh sb="0" eb="3">
      <t>カコブン</t>
    </rPh>
    <rPh sb="16" eb="18">
      <t>サクセイ</t>
    </rPh>
    <rPh sb="41" eb="43">
      <t>セダイ</t>
    </rPh>
    <rPh sb="43" eb="45">
      <t>イコウ</t>
    </rPh>
    <rPh sb="46" eb="50">
      <t>サクジョカクニン</t>
    </rPh>
    <phoneticPr fontId="15"/>
  </si>
  <si>
    <t>過去分バックアップフォルダ:E:\CTKY\DATA\BACKUP\IG_ALL_SEND\(1~6)_DayBefore\</t>
    <rPh sb="0" eb="3">
      <t>カコブン</t>
    </rPh>
    <phoneticPr fontId="15"/>
  </si>
  <si>
    <t>SSV開局処理を実施(12回以上)</t>
    <rPh sb="8" eb="10">
      <t>ジッシ</t>
    </rPh>
    <rPh sb="13" eb="14">
      <t>カイ</t>
    </rPh>
    <rPh sb="14" eb="16">
      <t>イジョウ</t>
    </rPh>
    <phoneticPr fontId="15"/>
  </si>
  <si>
    <t>過去分送信結果ログファイルがリネーム/削除されていること(10世代以降の削除確認)</t>
    <rPh sb="0" eb="3">
      <t>カコブン</t>
    </rPh>
    <rPh sb="19" eb="21">
      <t>サクジョ</t>
    </rPh>
    <rPh sb="31" eb="33">
      <t>セダイ</t>
    </rPh>
    <rPh sb="33" eb="35">
      <t>イコウ</t>
    </rPh>
    <rPh sb="36" eb="40">
      <t>サクジョカクニン</t>
    </rPh>
    <phoneticPr fontId="15"/>
  </si>
  <si>
    <t>過去分ログフォルダ:C:\CTKY\LOG\IG_ALLMST_ZIP_SFTP.log.(001~010)</t>
    <rPh sb="0" eb="3">
      <t>カコブン</t>
    </rPh>
    <phoneticPr fontId="15"/>
  </si>
  <si>
    <t>ENDファイル作成処理</t>
    <rPh sb="7" eb="9">
      <t>サクセイ</t>
    </rPh>
    <rPh sb="9" eb="11">
      <t>ショリ</t>
    </rPh>
    <phoneticPr fontId="15"/>
  </si>
  <si>
    <t>送信ファイル一覧の名称でファイル作成されていること</t>
    <rPh sb="16" eb="18">
      <t>サクセイ</t>
    </rPh>
    <phoneticPr fontId="15"/>
  </si>
  <si>
    <t>ファイル名:[店舗コード(3桁)]＋"_IG_ALLMST_"+[作成日時(yyyymmddhhmmss)]+".zip.END"</t>
    <phoneticPr fontId="15"/>
  </si>
  <si>
    <t>ENDファイル作成処理ログ</t>
    <rPh sb="7" eb="9">
      <t>サクセイ</t>
    </rPh>
    <rPh sb="9" eb="11">
      <t>ショリ</t>
    </rPh>
    <phoneticPr fontId="15"/>
  </si>
  <si>
    <t>対象処理:ENDファイル作成処理</t>
    <rPh sb="0" eb="2">
      <t>タイショウ</t>
    </rPh>
    <rPh sb="2" eb="4">
      <t>ショリ</t>
    </rPh>
    <rPh sb="12" eb="14">
      <t>サクセイ</t>
    </rPh>
    <rPh sb="14" eb="16">
      <t>ショリ</t>
    </rPh>
    <phoneticPr fontId="15"/>
  </si>
  <si>
    <t>SFTP送信処理ログ</t>
    <phoneticPr fontId="15"/>
  </si>
  <si>
    <t>送信ファイルバックアップ処理ログ</t>
    <phoneticPr fontId="15"/>
  </si>
  <si>
    <t>過去分送信バックアップフォルダにファイルがバックアップされていること(6世代以降の削除確認)</t>
    <rPh sb="0" eb="3">
      <t>カコブン</t>
    </rPh>
    <rPh sb="36" eb="38">
      <t>セダイ</t>
    </rPh>
    <phoneticPr fontId="15"/>
  </si>
  <si>
    <t>過去分送信結果ログファイルがバックアップされていること(10世代以降の削除確認)</t>
    <rPh sb="0" eb="3">
      <t>カコブン</t>
    </rPh>
    <rPh sb="30" eb="32">
      <t>セダイ</t>
    </rPh>
    <phoneticPr fontId="15"/>
  </si>
  <si>
    <t>過去分ログフォルダ:C:\CTKY\LOG\IG_ALLMST_END_SFTP.log.(001~010)</t>
    <rPh sb="0" eb="3">
      <t>カコブン</t>
    </rPh>
    <phoneticPr fontId="15"/>
  </si>
  <si>
    <t>SFTP送信処理</t>
    <rPh sb="4" eb="6">
      <t>ソウシン</t>
    </rPh>
    <rPh sb="6" eb="8">
      <t>ショリ</t>
    </rPh>
    <phoneticPr fontId="15"/>
  </si>
  <si>
    <t>SFTP情報</t>
    <rPh sb="4" eb="6">
      <t>ジョウホウ</t>
    </rPh>
    <phoneticPr fontId="15"/>
  </si>
  <si>
    <t>iniファイル</t>
    <phoneticPr fontId="15"/>
  </si>
  <si>
    <t>iniファイルの情報を確認</t>
    <rPh sb="8" eb="10">
      <t>ジョウホウ</t>
    </rPh>
    <rPh sb="11" eb="13">
      <t>カクニン</t>
    </rPh>
    <phoneticPr fontId="15"/>
  </si>
  <si>
    <t>iniファイルに記載されているホスト名がSFTP通信仕様と一致していること</t>
    <rPh sb="8" eb="10">
      <t>キサイ</t>
    </rPh>
    <rPh sb="18" eb="19">
      <t>メイ</t>
    </rPh>
    <rPh sb="29" eb="31">
      <t>イッチ</t>
    </rPh>
    <phoneticPr fontId="15"/>
  </si>
  <si>
    <t>開発環境仕様:ホスト名(ec2-35-77-173-176.ap-northeast-1.compute.amazonaws.com)</t>
    <rPh sb="3" eb="4">
      <t>メイ</t>
    </rPh>
    <phoneticPr fontId="15"/>
  </si>
  <si>
    <t>iniファイルに記載されているポート番号がSFTP通信仕様と一致していること</t>
    <rPh sb="18" eb="20">
      <t>バンゴウ</t>
    </rPh>
    <phoneticPr fontId="15"/>
  </si>
  <si>
    <t>開発環境仕様:ポート番号(22)</t>
    <phoneticPr fontId="15"/>
  </si>
  <si>
    <t>iniファイルに記載されているユーザ名がSFTP通信仕様と一致していること</t>
    <rPh sb="18" eb="19">
      <t>メイ</t>
    </rPh>
    <phoneticPr fontId="15"/>
  </si>
  <si>
    <t>開発環境仕様:ユーザ名(ec2-user)</t>
    <phoneticPr fontId="15"/>
  </si>
  <si>
    <t>全件一括データ/ENDファイルがignica変換サーバの該当店舗番号フォルダへ送信されていること</t>
    <rPh sb="22" eb="24">
      <t>ヘンカン</t>
    </rPh>
    <rPh sb="28" eb="34">
      <t>ガイトウテンポバンゴウ</t>
    </rPh>
    <rPh sb="39" eb="41">
      <t>ソウシン</t>
    </rPh>
    <phoneticPr fontId="15"/>
  </si>
  <si>
    <t>VTI社へファイル受信確認</t>
    <rPh sb="9" eb="11">
      <t>ジュシン</t>
    </rPh>
    <rPh sb="11" eb="13">
      <t>カクニン</t>
    </rPh>
    <phoneticPr fontId="15"/>
  </si>
  <si>
    <t>データチェック</t>
    <phoneticPr fontId="15"/>
  </si>
  <si>
    <t>全件一括データファイル</t>
    <rPh sb="0" eb="4">
      <t>ゼンケンイッカツ</t>
    </rPh>
    <phoneticPr fontId="15"/>
  </si>
  <si>
    <t>商品階層マスタ</t>
    <phoneticPr fontId="15"/>
  </si>
  <si>
    <t>SSV開局処理にて全件一括データファイル作成</t>
    <rPh sb="3" eb="7">
      <t>カイキョクショリ</t>
    </rPh>
    <rPh sb="9" eb="11">
      <t>ゼンケン</t>
    </rPh>
    <rPh sb="11" eb="13">
      <t>イッカツ</t>
    </rPh>
    <rPh sb="20" eb="22">
      <t>サクセイ</t>
    </rPh>
    <phoneticPr fontId="15"/>
  </si>
  <si>
    <t>レコード件数がDBの情報と一致していること</t>
    <rPh sb="4" eb="6">
      <t>ケンスウ</t>
    </rPh>
    <rPh sb="5" eb="6">
      <t>スウ</t>
    </rPh>
    <rPh sb="10" eb="12">
      <t>ジョウホウ</t>
    </rPh>
    <rPh sb="13" eb="15">
      <t>イッチ</t>
    </rPh>
    <phoneticPr fontId="15"/>
  </si>
  <si>
    <t>ファイル詳細に記載のファイル名となっていること</t>
    <rPh sb="14" eb="15">
      <t>メイ</t>
    </rPh>
    <phoneticPr fontId="15"/>
  </si>
  <si>
    <t>ファイル名:IG_MDSEMS_yyyymmddhhmmss.CSV</t>
    <rPh sb="4" eb="5">
      <t>メイ</t>
    </rPh>
    <phoneticPr fontId="15"/>
  </si>
  <si>
    <t>ファイル詳細に記載のファイル形式となっていること</t>
    <phoneticPr fontId="15"/>
  </si>
  <si>
    <t>ファイル形式:データ形式(CSV)</t>
    <rPh sb="4" eb="6">
      <t>ケイシキ</t>
    </rPh>
    <rPh sb="10" eb="12">
      <t>ケイシキ</t>
    </rPh>
    <phoneticPr fontId="15"/>
  </si>
  <si>
    <t>ファイル形式:文字コード(Shift_JIS)</t>
    <rPh sb="4" eb="6">
      <t>ケイシキ</t>
    </rPh>
    <phoneticPr fontId="15"/>
  </si>
  <si>
    <t>ファイル形式:改行コード(CRLF)</t>
    <rPh sb="4" eb="6">
      <t>ケイシキ</t>
    </rPh>
    <phoneticPr fontId="15"/>
  </si>
  <si>
    <t>ファイル形式:タイトル行出力(無)</t>
    <rPh sb="4" eb="6">
      <t>ケイシキ</t>
    </rPh>
    <rPh sb="15" eb="16">
      <t>ム</t>
    </rPh>
    <phoneticPr fontId="15"/>
  </si>
  <si>
    <t>ファイル形式:文字列の引用符(無)</t>
    <rPh sb="4" eb="6">
      <t>ケイシキ</t>
    </rPh>
    <rPh sb="15" eb="16">
      <t>ム</t>
    </rPh>
    <phoneticPr fontId="15"/>
  </si>
  <si>
    <t>ファイルレイアウト仕様の通りにデータ作成されていること(PK重複がない、必須項目の有無、項目長一致しているか、備考記載の形式か)</t>
    <phoneticPr fontId="15"/>
  </si>
  <si>
    <t>商品階層コード１</t>
    <rPh sb="0" eb="2">
      <t>ショウヒン</t>
    </rPh>
    <rPh sb="2" eb="4">
      <t>カイソウ</t>
    </rPh>
    <phoneticPr fontId="2"/>
  </si>
  <si>
    <t>桁数</t>
  </si>
  <si>
    <t>レポート名１</t>
  </si>
  <si>
    <t>レシート名１</t>
  </si>
  <si>
    <t>商品階層コード２</t>
    <rPh sb="0" eb="2">
      <t>ショウヒン</t>
    </rPh>
    <rPh sb="2" eb="4">
      <t>カイソウ</t>
    </rPh>
    <phoneticPr fontId="2"/>
  </si>
  <si>
    <t>レポート名２</t>
  </si>
  <si>
    <t>レシート名２</t>
  </si>
  <si>
    <t>商品階層コード３</t>
    <rPh sb="0" eb="2">
      <t>ショウヒン</t>
    </rPh>
    <rPh sb="2" eb="4">
      <t>カイソウ</t>
    </rPh>
    <phoneticPr fontId="2"/>
  </si>
  <si>
    <t>レポート名３</t>
  </si>
  <si>
    <t>レシート名３</t>
  </si>
  <si>
    <t>手打ち部門レベル</t>
    <rPh sb="0" eb="2">
      <t>テウ</t>
    </rPh>
    <rPh sb="3" eb="5">
      <t>ブモン</t>
    </rPh>
    <phoneticPr fontId="2"/>
  </si>
  <si>
    <t>税種別コード</t>
    <rPh sb="0" eb="1">
      <t>ゼイ</t>
    </rPh>
    <rPh sb="1" eb="3">
      <t>シュベツ</t>
    </rPh>
    <phoneticPr fontId="8"/>
  </si>
  <si>
    <t>単価最大金額</t>
    <rPh sb="0" eb="2">
      <t>タンカ</t>
    </rPh>
    <rPh sb="2" eb="4">
      <t>サイダイ</t>
    </rPh>
    <rPh sb="4" eb="6">
      <t>キンガク</t>
    </rPh>
    <phoneticPr fontId="8"/>
  </si>
  <si>
    <t>マニュアル値引除外</t>
    <rPh sb="5" eb="7">
      <t>ネビ</t>
    </rPh>
    <rPh sb="7" eb="9">
      <t>ジョガイ</t>
    </rPh>
    <phoneticPr fontId="8"/>
  </si>
  <si>
    <t>マニュアル小計値引除外</t>
    <rPh sb="5" eb="7">
      <t>ショウケイ</t>
    </rPh>
    <rPh sb="7" eb="9">
      <t>ネビ</t>
    </rPh>
    <rPh sb="9" eb="11">
      <t>ジョガイ</t>
    </rPh>
    <phoneticPr fontId="8"/>
  </si>
  <si>
    <t>商品／非商品識別コード</t>
    <rPh sb="0" eb="2">
      <t>ショウヒン</t>
    </rPh>
    <rPh sb="3" eb="4">
      <t>ヒ</t>
    </rPh>
    <rPh sb="4" eb="6">
      <t>ショウヒン</t>
    </rPh>
    <rPh sb="6" eb="8">
      <t>シキベツ</t>
    </rPh>
    <phoneticPr fontId="8"/>
  </si>
  <si>
    <t>販売制限フラグ</t>
    <rPh sb="0" eb="2">
      <t>ハンバイ</t>
    </rPh>
    <rPh sb="2" eb="4">
      <t>セイゲン</t>
    </rPh>
    <phoneticPr fontId="8"/>
  </si>
  <si>
    <t>ファイルレイアウト仕様の通りにデータ作成されていること(未使用項目や空白固定項目の確認)</t>
    <rPh sb="28" eb="31">
      <t>ミシヨウ</t>
    </rPh>
    <rPh sb="31" eb="33">
      <t>コウモク</t>
    </rPh>
    <rPh sb="34" eb="36">
      <t>クウハク</t>
    </rPh>
    <rPh sb="36" eb="38">
      <t>コテイ</t>
    </rPh>
    <rPh sb="38" eb="40">
      <t>コウモク</t>
    </rPh>
    <rPh sb="41" eb="43">
      <t>カクニン</t>
    </rPh>
    <phoneticPr fontId="15"/>
  </si>
  <si>
    <t>未使用項目や空白固定項目</t>
    <rPh sb="0" eb="1">
      <t>ミ</t>
    </rPh>
    <rPh sb="1" eb="3">
      <t>シヨウ</t>
    </rPh>
    <rPh sb="3" eb="5">
      <t>コウモク</t>
    </rPh>
    <rPh sb="6" eb="8">
      <t>クウハク</t>
    </rPh>
    <rPh sb="8" eb="10">
      <t>コテイ</t>
    </rPh>
    <rPh sb="10" eb="12">
      <t>コウモク</t>
    </rPh>
    <phoneticPr fontId="8"/>
  </si>
  <si>
    <t>商品マスタ</t>
  </si>
  <si>
    <t>ITEM_XREFテーブルのレコード件数と出力ファイルのレコード件数を比較する</t>
    <phoneticPr fontId="15"/>
  </si>
  <si>
    <t>抽出条件 = SCAN_TYPE(2,3,4,5,100,101)</t>
    <rPh sb="0" eb="4">
      <t>チュウシュツジョウケン</t>
    </rPh>
    <phoneticPr fontId="15"/>
  </si>
  <si>
    <t>ファイル名:IG_PLUM_yyyymmddhhmmss.CSV</t>
    <rPh sb="4" eb="5">
      <t>メイ</t>
    </rPh>
    <phoneticPr fontId="15"/>
  </si>
  <si>
    <t>処理区分</t>
  </si>
  <si>
    <t>自社商品コード</t>
    <rPh sb="0" eb="2">
      <t>ジシャ</t>
    </rPh>
    <rPh sb="2" eb="4">
      <t>ショウヒン</t>
    </rPh>
    <phoneticPr fontId="2"/>
  </si>
  <si>
    <t>店舗コード</t>
  </si>
  <si>
    <t>税種別コード</t>
  </si>
  <si>
    <t>単品名称</t>
  </si>
  <si>
    <t>レシート記述名</t>
  </si>
  <si>
    <t>商品／非商品識別コード</t>
  </si>
  <si>
    <t>売価</t>
  </si>
  <si>
    <t>単位原価</t>
  </si>
  <si>
    <t>原価率フラグ</t>
    <rPh sb="0" eb="2">
      <t>ゲンカ</t>
    </rPh>
    <rPh sb="2" eb="3">
      <t>リツ</t>
    </rPh>
    <phoneticPr fontId="1"/>
  </si>
  <si>
    <t>ＶＦＤ表示名称</t>
  </si>
  <si>
    <t>オペレータによる金額入力</t>
  </si>
  <si>
    <t>販売単位価格</t>
  </si>
  <si>
    <t>返品価格</t>
  </si>
  <si>
    <t>商品分類１</t>
  </si>
  <si>
    <t>商品分類２</t>
  </si>
  <si>
    <t>商品分類３</t>
  </si>
  <si>
    <t>単品値引除外</t>
  </si>
  <si>
    <t>小計マニュアル値引除外</t>
  </si>
  <si>
    <t>会員価格方式</t>
  </si>
  <si>
    <t>仕入数</t>
  </si>
  <si>
    <t>在庫数</t>
  </si>
  <si>
    <t>定価</t>
  </si>
  <si>
    <t>スキャンコード</t>
  </si>
  <si>
    <t>ＰＬＵタイプ</t>
  </si>
  <si>
    <t>内部商品分類番号</t>
    <rPh sb="0" eb="2">
      <t>ナイブ</t>
    </rPh>
    <phoneticPr fontId="3"/>
  </si>
  <si>
    <t>作成日</t>
  </si>
  <si>
    <t>企画マスタ</t>
  </si>
  <si>
    <t>抽出条件 = STR_ID(該当店舗) and LOGICAL_DEL_FG(0)</t>
    <rPh sb="0" eb="4">
      <t>チュウシュツジョウケン</t>
    </rPh>
    <rPh sb="14" eb="18">
      <t>ガイトウテンポ</t>
    </rPh>
    <phoneticPr fontId="15"/>
  </si>
  <si>
    <t>ファイル名:IG_EVENTM_yyyymmddhhmmss.CSV</t>
    <rPh sb="4" eb="5">
      <t>メイ</t>
    </rPh>
    <phoneticPr fontId="15"/>
  </si>
  <si>
    <t>企画No.</t>
  </si>
  <si>
    <t>企画名</t>
  </si>
  <si>
    <t>企画開始日</t>
  </si>
  <si>
    <t>企画終了日</t>
  </si>
  <si>
    <t>企画予算</t>
  </si>
  <si>
    <t>企画削除日数</t>
  </si>
  <si>
    <t>企画優先区分</t>
  </si>
  <si>
    <t>タイムサービスフラグ</t>
  </si>
  <si>
    <t>月曜日除外フラグ</t>
  </si>
  <si>
    <t>火曜日除外フラグ</t>
  </si>
  <si>
    <t>水曜日除外フラグ</t>
  </si>
  <si>
    <t>木曜日除外フラグ</t>
  </si>
  <si>
    <t>金曜日除外フラグ</t>
  </si>
  <si>
    <t>土曜日除外フラグ</t>
  </si>
  <si>
    <t>日曜日除外フラグ</t>
  </si>
  <si>
    <t>内部イベントコード</t>
    <rPh sb="0" eb="2">
      <t>ナイブ</t>
    </rPh>
    <phoneticPr fontId="2"/>
  </si>
  <si>
    <t>特売マスタ</t>
  </si>
  <si>
    <t>抽出条件 = STR_ID(該当店舗) and LOGICAL_DEL_FG(0) and DISC_CLSS_ID (91110,91111,91120,91121,91140,91141)</t>
    <rPh sb="0" eb="4">
      <t>チュウシュツジョウケン</t>
    </rPh>
    <rPh sb="14" eb="18">
      <t>ガイトウテンポ</t>
    </rPh>
    <phoneticPr fontId="15"/>
  </si>
  <si>
    <t>ファイル名:IG_DISCOUNTM_yyyymmddhhmmss.CSV</t>
    <rPh sb="4" eb="5">
      <t>メイ</t>
    </rPh>
    <phoneticPr fontId="15"/>
  </si>
  <si>
    <t>会員フラグ</t>
  </si>
  <si>
    <t>特売開始日</t>
  </si>
  <si>
    <t>特売終了日</t>
  </si>
  <si>
    <t>特売削除日数</t>
  </si>
  <si>
    <t>特売優先区分</t>
  </si>
  <si>
    <t>特売保留フラグ</t>
  </si>
  <si>
    <t>特売原価</t>
  </si>
  <si>
    <t>割引タイプ</t>
  </si>
  <si>
    <t>特売価格</t>
  </si>
  <si>
    <t>特売開始時間</t>
  </si>
  <si>
    <t>特売終了時間</t>
  </si>
  <si>
    <t>ＡＵＸコード</t>
  </si>
  <si>
    <t>内部ディスカウントクラスID</t>
    <rPh sb="0" eb="2">
      <t>ナイブ</t>
    </rPh>
    <phoneticPr fontId="2"/>
  </si>
  <si>
    <t>内部ディスカウントID</t>
    <rPh sb="0" eb="2">
      <t>ナイブ</t>
    </rPh>
    <phoneticPr fontId="2"/>
  </si>
  <si>
    <t>緊急登録日時</t>
    <rPh sb="0" eb="2">
      <t>キンキュウ</t>
    </rPh>
    <rPh sb="2" eb="4">
      <t>トウロク</t>
    </rPh>
    <rPh sb="4" eb="6">
      <t>ニチジ</t>
    </rPh>
    <phoneticPr fontId="2"/>
  </si>
  <si>
    <t>組合せマスタ</t>
  </si>
  <si>
    <t>抽出条件 = STR_ID(該当店舗) and LOGICAL_DEL_FG(0) and DISC_CLSS_ID (91315,91316)</t>
    <rPh sb="0" eb="4">
      <t>チュウシュツジョウケン</t>
    </rPh>
    <rPh sb="14" eb="18">
      <t>ガイトウテンポ</t>
    </rPh>
    <phoneticPr fontId="15"/>
  </si>
  <si>
    <t>ファイル名:IG_BUNDLEM_yyyymmddhhmmss.CSV</t>
    <rPh sb="4" eb="5">
      <t>メイ</t>
    </rPh>
    <phoneticPr fontId="15"/>
  </si>
  <si>
    <t>組合せ開始日</t>
  </si>
  <si>
    <t>組合せ終了日</t>
  </si>
  <si>
    <t>企画区分</t>
  </si>
  <si>
    <t>組合せ自動削除日数</t>
  </si>
  <si>
    <t>組合せ優先区分</t>
  </si>
  <si>
    <t>組合せ保留フラグ</t>
  </si>
  <si>
    <t>組合せ開始時間</t>
  </si>
  <si>
    <t>組合せ終了時間</t>
  </si>
  <si>
    <t>成立数量１</t>
  </si>
  <si>
    <t>成立価格１</t>
  </si>
  <si>
    <t>成立数量２</t>
  </si>
  <si>
    <t>成立価格２</t>
  </si>
  <si>
    <t>成立数量３</t>
  </si>
  <si>
    <t>成立価格３</t>
  </si>
  <si>
    <t>成立数量４</t>
  </si>
  <si>
    <t>成立価格４</t>
  </si>
  <si>
    <t>成立数量５</t>
  </si>
  <si>
    <t>成立価格５</t>
  </si>
  <si>
    <t>成立数量６</t>
  </si>
  <si>
    <t>成立価格６</t>
  </si>
  <si>
    <t>成立数量７</t>
  </si>
  <si>
    <t>成立価格７</t>
  </si>
  <si>
    <t>成立数量８</t>
  </si>
  <si>
    <t>成立価格８</t>
  </si>
  <si>
    <t>成立数量９</t>
  </si>
  <si>
    <t>成立価格９</t>
  </si>
  <si>
    <t>成立数量１０</t>
  </si>
  <si>
    <t>成立価格１０</t>
  </si>
  <si>
    <t>数量</t>
  </si>
  <si>
    <t>商品階層自動値引きマスタ</t>
  </si>
  <si>
    <t>抽出条件 = STR_ID(該当店舗) and LOGICAL_DEL_FG(0) and DISC_CLSS_ID (91323,91324,91325,91326)</t>
    <rPh sb="0" eb="4">
      <t>チュウシュツジョウケン</t>
    </rPh>
    <rPh sb="14" eb="18">
      <t>ガイトウテンポ</t>
    </rPh>
    <phoneticPr fontId="15"/>
  </si>
  <si>
    <t>ファイル名:IG_AUTODISC_yyyymmddhhmmss.CSV</t>
    <rPh sb="4" eb="5">
      <t>メイ</t>
    </rPh>
    <phoneticPr fontId="15"/>
  </si>
  <si>
    <t>処理区分</t>
    <rPh sb="0" eb="2">
      <t>ショリ</t>
    </rPh>
    <rPh sb="2" eb="4">
      <t>クブン</t>
    </rPh>
    <phoneticPr fontId="3"/>
  </si>
  <si>
    <t>開始日</t>
    <rPh sb="0" eb="3">
      <t>カイシビ</t>
    </rPh>
    <phoneticPr fontId="3"/>
  </si>
  <si>
    <t>終了日</t>
    <rPh sb="0" eb="3">
      <t>シュウリョウビ</t>
    </rPh>
    <phoneticPr fontId="3"/>
  </si>
  <si>
    <t>終了後自動削除日</t>
    <rPh sb="0" eb="3">
      <t>シュウリョウゴ</t>
    </rPh>
    <rPh sb="3" eb="5">
      <t>ジドウ</t>
    </rPh>
    <rPh sb="5" eb="8">
      <t>サクジョビ</t>
    </rPh>
    <phoneticPr fontId="3"/>
  </si>
  <si>
    <t>分類コード</t>
    <rPh sb="0" eb="2">
      <t>ブンルイ</t>
    </rPh>
    <phoneticPr fontId="3"/>
  </si>
  <si>
    <t>ディスカウント方法</t>
  </si>
  <si>
    <t>保留指示フラグ</t>
    <rPh sb="0" eb="2">
      <t>ホリュウ</t>
    </rPh>
    <rPh sb="2" eb="4">
      <t>シジ</t>
    </rPh>
    <phoneticPr fontId="3"/>
  </si>
  <si>
    <t>ディスカウント値</t>
    <rPh sb="7" eb="8">
      <t>チ</t>
    </rPh>
    <phoneticPr fontId="3"/>
  </si>
  <si>
    <t>商品階層コード・レベル１</t>
  </si>
  <si>
    <t>商品階層コード・レベル２</t>
  </si>
  <si>
    <t>商品階層コード・レベル３</t>
  </si>
  <si>
    <t>自動値引対象最低金額</t>
  </si>
  <si>
    <t>開始時間</t>
    <rPh sb="0" eb="4">
      <t>カイシジカン</t>
    </rPh>
    <phoneticPr fontId="3"/>
  </si>
  <si>
    <t>終了時間</t>
    <rPh sb="0" eb="2">
      <t>シュウリョウ</t>
    </rPh>
    <rPh sb="2" eb="4">
      <t>ジカン</t>
    </rPh>
    <phoneticPr fontId="3"/>
  </si>
  <si>
    <t>期間フラグ</t>
    <rPh sb="0" eb="2">
      <t>キカン</t>
    </rPh>
    <phoneticPr fontId="3"/>
  </si>
  <si>
    <t>さんにち割データ</t>
  </si>
  <si>
    <t>年月日</t>
  </si>
  <si>
    <t>営業日マスタ</t>
  </si>
  <si>
    <t>ファイル名:IG_CALENDAR_yyyymmddhhmmss.CSV</t>
    <rPh sb="4" eb="5">
      <t>メイ</t>
    </rPh>
    <phoneticPr fontId="15"/>
  </si>
  <si>
    <t>店舗番号</t>
    <rPh sb="0" eb="2">
      <t>テンポ</t>
    </rPh>
    <rPh sb="2" eb="4">
      <t>バンゴウ</t>
    </rPh>
    <phoneticPr fontId="3"/>
  </si>
  <si>
    <t>年</t>
    <rPh sb="0" eb="1">
      <t>ネン</t>
    </rPh>
    <phoneticPr fontId="3"/>
  </si>
  <si>
    <t>月</t>
    <rPh sb="0" eb="1">
      <t>ツキ</t>
    </rPh>
    <phoneticPr fontId="3"/>
  </si>
  <si>
    <t>日</t>
    <rPh sb="0" eb="1">
      <t>ヒ</t>
    </rPh>
    <phoneticPr fontId="3"/>
  </si>
  <si>
    <t>曜日</t>
    <rPh sb="0" eb="2">
      <t>ヨウビ</t>
    </rPh>
    <phoneticPr fontId="3"/>
  </si>
  <si>
    <t>運用情報</t>
    <rPh sb="0" eb="2">
      <t>ウンヨウ</t>
    </rPh>
    <rPh sb="2" eb="4">
      <t>ジョウホウ</t>
    </rPh>
    <phoneticPr fontId="3"/>
  </si>
  <si>
    <t>担当者マスタ</t>
  </si>
  <si>
    <t>EMPLOYEEテーブルのレコード件数と出力ファイルのレコード件数を比較する</t>
    <phoneticPr fontId="15"/>
  </si>
  <si>
    <t>ファイル名:IG_EMPLOYEE_yyyymmddhhmmss.CSV</t>
    <rPh sb="4" eb="5">
      <t>メイ</t>
    </rPh>
    <phoneticPr fontId="15"/>
  </si>
  <si>
    <t>店舗番号</t>
  </si>
  <si>
    <t>従業員コード</t>
    <rPh sb="0" eb="3">
      <t>ジュウギョウイン</t>
    </rPh>
    <phoneticPr fontId="3"/>
  </si>
  <si>
    <t>名前(姓名の姓)</t>
  </si>
  <si>
    <t>名前(姓名の名)</t>
  </si>
  <si>
    <t>担当者コード</t>
    <rPh sb="0" eb="3">
      <t>タントウシャ</t>
    </rPh>
    <phoneticPr fontId="3"/>
  </si>
  <si>
    <t>採用日</t>
  </si>
  <si>
    <t>退職日</t>
  </si>
  <si>
    <t>セキュリティレベル</t>
  </si>
  <si>
    <t>入出金マスタ</t>
  </si>
  <si>
    <t>ファイル名:IG_INC_EXP_ACCT_yyyymmddhhmmss.datCSV</t>
    <rPh sb="4" eb="5">
      <t>メイ</t>
    </rPh>
    <phoneticPr fontId="15"/>
  </si>
  <si>
    <t>入出金種別</t>
    <rPh sb="0" eb="3">
      <t>ニュウシュッキン</t>
    </rPh>
    <rPh sb="3" eb="5">
      <t>シュベツ</t>
    </rPh>
    <phoneticPr fontId="7"/>
  </si>
  <si>
    <t>入出金名称</t>
    <rPh sb="0" eb="3">
      <t>ニュウシュッキン</t>
    </rPh>
    <rPh sb="3" eb="5">
      <t>メイショウ</t>
    </rPh>
    <phoneticPr fontId="7"/>
  </si>
  <si>
    <t>入出金区分</t>
    <rPh sb="0" eb="3">
      <t>ニュウシュッキン</t>
    </rPh>
    <rPh sb="3" eb="5">
      <t>クブン</t>
    </rPh>
    <phoneticPr fontId="7"/>
  </si>
  <si>
    <t>入出金ｶﾅ名称</t>
    <rPh sb="0" eb="3">
      <t>ニュウシュッキン</t>
    </rPh>
    <rPh sb="5" eb="7">
      <t>メイショウ</t>
    </rPh>
    <phoneticPr fontId="26"/>
  </si>
  <si>
    <t>現外設定マスタ</t>
  </si>
  <si>
    <t>ファイル名:IG_TENDER_yyyymmddhhmmss.datCSV</t>
    <rPh sb="4" eb="5">
      <t>メイ</t>
    </rPh>
    <phoneticPr fontId="15"/>
  </si>
  <si>
    <t>支払種別コード</t>
    <rPh sb="0" eb="2">
      <t>シハライ</t>
    </rPh>
    <rPh sb="2" eb="4">
      <t>シュベツ</t>
    </rPh>
    <phoneticPr fontId="7"/>
  </si>
  <si>
    <t>支払許可</t>
    <rPh sb="2" eb="4">
      <t>キョカ</t>
    </rPh>
    <phoneticPr fontId="1"/>
  </si>
  <si>
    <t>支払受取の最高額</t>
    <rPh sb="5" eb="7">
      <t>サイコウ</t>
    </rPh>
    <phoneticPr fontId="1"/>
  </si>
  <si>
    <t>支払名称</t>
    <rPh sb="0" eb="2">
      <t>シハライ</t>
    </rPh>
    <rPh sb="2" eb="4">
      <t>メイショウ</t>
    </rPh>
    <phoneticPr fontId="7"/>
  </si>
  <si>
    <t>券類種別</t>
    <rPh sb="0" eb="1">
      <t>ケン</t>
    </rPh>
    <rPh sb="1" eb="2">
      <t>ルイ</t>
    </rPh>
    <rPh sb="2" eb="4">
      <t>シュベツ</t>
    </rPh>
    <phoneticPr fontId="7"/>
  </si>
  <si>
    <t>支払ｶﾅ名称</t>
    <rPh sb="0" eb="2">
      <t>シハライ</t>
    </rPh>
    <rPh sb="4" eb="6">
      <t>メイショウ</t>
    </rPh>
    <phoneticPr fontId="7"/>
  </si>
  <si>
    <t>緊急登録マスタ</t>
  </si>
  <si>
    <t>PLU_NOT_FOUNDテーブルのレコード件数と出力ファイルのレコード件数を比較する</t>
    <phoneticPr fontId="15"/>
  </si>
  <si>
    <t>ファイル名:IG_PLU_NOT_FOUND_yyyymmddhhmmss.CSV</t>
    <rPh sb="4" eb="5">
      <t>メイ</t>
    </rPh>
    <phoneticPr fontId="15"/>
  </si>
  <si>
    <t>販売部門ID</t>
  </si>
  <si>
    <t>従業員ID</t>
  </si>
  <si>
    <t>緊急登録日時</t>
    <rPh sb="0" eb="2">
      <t>キンキュウ</t>
    </rPh>
    <rPh sb="2" eb="4">
      <t>トウロク</t>
    </rPh>
    <rPh sb="4" eb="6">
      <t>ニチジ</t>
    </rPh>
    <phoneticPr fontId="1"/>
  </si>
  <si>
    <t>商品名称</t>
    <rPh sb="0" eb="2">
      <t>ショウヒン</t>
    </rPh>
    <rPh sb="2" eb="4">
      <t>メイショウ</t>
    </rPh>
    <phoneticPr fontId="1"/>
  </si>
  <si>
    <t>単価</t>
  </si>
  <si>
    <t>取引通番</t>
  </si>
  <si>
    <t>取引明細番号</t>
  </si>
  <si>
    <t>POS番号</t>
    <rPh sb="3" eb="5">
      <t>バンゴウ</t>
    </rPh>
    <phoneticPr fontId="1"/>
  </si>
  <si>
    <t>商品券バーコードマスタ</t>
  </si>
  <si>
    <t>ファイル名:IG_GIFT_CERT_BARCODE_yyyymmddhhmmss.datCSV</t>
    <rPh sb="4" eb="5">
      <t>メイ</t>
    </rPh>
    <phoneticPr fontId="15"/>
  </si>
  <si>
    <t>現外種別コード</t>
    <rPh sb="0" eb="2">
      <t>ゲンガイ</t>
    </rPh>
    <rPh sb="2" eb="4">
      <t>シュベツ</t>
    </rPh>
    <phoneticPr fontId="3"/>
  </si>
  <si>
    <t>現外名称</t>
    <rPh sb="0" eb="2">
      <t>ゲンガイ</t>
    </rPh>
    <rPh sb="2" eb="4">
      <t>メイショウ</t>
    </rPh>
    <phoneticPr fontId="3"/>
  </si>
  <si>
    <t>金額</t>
    <rPh sb="0" eb="2">
      <t>キンガク</t>
    </rPh>
    <phoneticPr fontId="3"/>
  </si>
  <si>
    <t>ENDファイル</t>
    <phoneticPr fontId="15"/>
  </si>
  <si>
    <t>サイズ/レコード件数</t>
    <rPh sb="8" eb="10">
      <t>ケンスウ</t>
    </rPh>
    <phoneticPr fontId="15"/>
  </si>
  <si>
    <t>全件一括データファイルのサイズと一致していること</t>
    <phoneticPr fontId="15"/>
  </si>
  <si>
    <t>対象ファイルID:IG_ALLMST</t>
    <rPh sb="0" eb="2">
      <t>タイショウ</t>
    </rPh>
    <phoneticPr fontId="15"/>
  </si>
  <si>
    <t>全件一括データファイル内の対応するデータファイルのレコード件数と一致していること</t>
    <rPh sb="11" eb="12">
      <t>ナイ</t>
    </rPh>
    <rPh sb="29" eb="31">
      <t>ケンスウ</t>
    </rPh>
    <phoneticPr fontId="15"/>
  </si>
  <si>
    <t>対象ファイルID:IG_MDSEMS</t>
    <phoneticPr fontId="15"/>
  </si>
  <si>
    <t>対象ファイルID:IG_PLUM</t>
    <phoneticPr fontId="15"/>
  </si>
  <si>
    <t>対象ファイルID:IG_EVENTM</t>
    <phoneticPr fontId="15"/>
  </si>
  <si>
    <t>対象ファイルID:IG_DISCOUNTM</t>
    <phoneticPr fontId="15"/>
  </si>
  <si>
    <t>対象ファイルID:IG_BUNDLEM</t>
    <phoneticPr fontId="15"/>
  </si>
  <si>
    <t>対象ファイルID:IG_AUTODISC</t>
    <phoneticPr fontId="15"/>
  </si>
  <si>
    <t>対象ファイルID:IG_FIRST_DAY</t>
    <phoneticPr fontId="15"/>
  </si>
  <si>
    <t>対象ファイルID:IG_CALENDAR</t>
    <phoneticPr fontId="15"/>
  </si>
  <si>
    <t>対象ファイルID:IG_EMPLOYEE</t>
    <phoneticPr fontId="15"/>
  </si>
  <si>
    <t>対象ファイルID:IG_INC_EXP_ACCT</t>
    <phoneticPr fontId="15"/>
  </si>
  <si>
    <t>対象ファイルID:IG_TENDER</t>
    <phoneticPr fontId="15"/>
  </si>
  <si>
    <t>対象ファイルID:IG_PLU_NOT_FOUND</t>
    <phoneticPr fontId="15"/>
  </si>
  <si>
    <t>対象ファイルID:IG_GIFT_CERT_BARCODE</t>
    <phoneticPr fontId="15"/>
  </si>
  <si>
    <t>設定値0確認</t>
    <rPh sb="0" eb="2">
      <t>セッテイ</t>
    </rPh>
    <rPh sb="2" eb="3">
      <t>アタイ</t>
    </rPh>
    <rPh sb="4" eb="6">
      <t>カクニン</t>
    </rPh>
    <phoneticPr fontId="15"/>
  </si>
  <si>
    <t>ログファイル</t>
    <phoneticPr fontId="15"/>
  </si>
  <si>
    <r>
      <t>送信結果ログファイルが作成されて</t>
    </r>
    <r>
      <rPr>
        <sz val="8"/>
        <color rgb="FFFF0000"/>
        <rFont val="Meiryo UI"/>
        <family val="3"/>
        <charset val="128"/>
      </rPr>
      <t>ない</t>
    </r>
    <r>
      <rPr>
        <sz val="8"/>
        <color theme="1"/>
        <rFont val="Meiryo UI"/>
        <family val="3"/>
        <charset val="128"/>
      </rPr>
      <t>こと(設定値判断で動作しないこと)</t>
    </r>
    <rPh sb="0" eb="4">
      <t>ソウシンケッカ</t>
    </rPh>
    <rPh sb="11" eb="13">
      <t>サクセイ</t>
    </rPh>
    <rPh sb="21" eb="24">
      <t>セッテイアタイ</t>
    </rPh>
    <rPh sb="24" eb="26">
      <t>ハンダン</t>
    </rPh>
    <rPh sb="27" eb="29">
      <t>ドウサ</t>
    </rPh>
    <phoneticPr fontId="15"/>
  </si>
  <si>
    <t>(設定値:0)</t>
    <phoneticPr fontId="15"/>
  </si>
  <si>
    <r>
      <t>当日分送信バックアップフォルダにファイルがバックアップされて</t>
    </r>
    <r>
      <rPr>
        <sz val="8"/>
        <color rgb="FFFF0000"/>
        <rFont val="Meiryo UI"/>
        <family val="3"/>
        <charset val="128"/>
      </rPr>
      <t>ない</t>
    </r>
    <r>
      <rPr>
        <sz val="8"/>
        <color theme="1"/>
        <rFont val="Meiryo UI"/>
        <family val="3"/>
        <charset val="128"/>
      </rPr>
      <t>こと</t>
    </r>
    <rPh sb="2" eb="3">
      <t>ブン</t>
    </rPh>
    <phoneticPr fontId="15"/>
  </si>
  <si>
    <t>異常系</t>
    <rPh sb="0" eb="2">
      <t>イジョウ</t>
    </rPh>
    <rPh sb="2" eb="3">
      <t>ケイ</t>
    </rPh>
    <phoneticPr fontId="15"/>
  </si>
  <si>
    <t>開店処理</t>
    <rPh sb="0" eb="2">
      <t>カイテン</t>
    </rPh>
    <rPh sb="2" eb="4">
      <t>ショリ</t>
    </rPh>
    <phoneticPr fontId="15"/>
  </si>
  <si>
    <t>開閉店ステータス</t>
    <rPh sb="0" eb="3">
      <t>カイヘイテン</t>
    </rPh>
    <phoneticPr fontId="15"/>
  </si>
  <si>
    <t>開閉店状況照会で[ignica連携マスタ全件抽出]が異常となっていること</t>
    <rPh sb="0" eb="7">
      <t>カイヘイテンジョウキョウショウカイ</t>
    </rPh>
    <rPh sb="26" eb="28">
      <t>イジョウ</t>
    </rPh>
    <phoneticPr fontId="15"/>
  </si>
  <si>
    <t>SSVから[店舗]&gt;[運用]&gt;[開閉店状況照会(詳細)]</t>
    <phoneticPr fontId="15"/>
  </si>
  <si>
    <t>全件一括データファイル作成処理ログ</t>
    <phoneticPr fontId="15"/>
  </si>
  <si>
    <t>ログファイルにエラー原因が出力されていること</t>
    <rPh sb="10" eb="12">
      <t>ゲンイン</t>
    </rPh>
    <rPh sb="13" eb="15">
      <t>シュツリョク</t>
    </rPh>
    <phoneticPr fontId="15"/>
  </si>
  <si>
    <t>ファイル名:C:\CTKY\LOG\IG_ALLMST_ZIP_SFTP.log</t>
    <phoneticPr fontId="15"/>
  </si>
  <si>
    <t>全件一括データファイル圧縮処理</t>
    <rPh sb="13" eb="15">
      <t>ショリ</t>
    </rPh>
    <phoneticPr fontId="15"/>
  </si>
  <si>
    <t>ファイル圧縮処理ログ</t>
    <phoneticPr fontId="15"/>
  </si>
  <si>
    <t>全件一括データファイル送信処理</t>
    <rPh sb="13" eb="15">
      <t>ショリ</t>
    </rPh>
    <phoneticPr fontId="15"/>
  </si>
  <si>
    <t>ignica変換サーバのiniファイル情報を書き換える</t>
    <rPh sb="6" eb="8">
      <t>ヘンカン</t>
    </rPh>
    <rPh sb="19" eb="21">
      <t>ジョウホウ</t>
    </rPh>
    <rPh sb="22" eb="23">
      <t>カ</t>
    </rPh>
    <rPh sb="24" eb="25">
      <t>カ</t>
    </rPh>
    <phoneticPr fontId="15"/>
  </si>
  <si>
    <t>開閉店状況照会で[ignica連携マスタ全件送信]が異常となっていること</t>
    <phoneticPr fontId="15"/>
  </si>
  <si>
    <t>リトライ</t>
    <phoneticPr fontId="15"/>
  </si>
  <si>
    <t>3回リトライ実施されていること</t>
    <rPh sb="1" eb="2">
      <t>カイ</t>
    </rPh>
    <rPh sb="6" eb="8">
      <t>ジッシ</t>
    </rPh>
    <phoneticPr fontId="15"/>
  </si>
  <si>
    <t>全件一括データファイルbkup処理</t>
    <rPh sb="15" eb="17">
      <t>ショリ</t>
    </rPh>
    <phoneticPr fontId="15"/>
  </si>
  <si>
    <t>バックアップ処理ログ</t>
    <phoneticPr fontId="15"/>
  </si>
  <si>
    <t>ENDファイル作成処理ログ</t>
    <phoneticPr fontId="15"/>
  </si>
  <si>
    <t>ファイル名:C:\CTKY\LOG\IG_ALLMST_END_SFTP.log</t>
    <rPh sb="4" eb="5">
      <t>メイ</t>
    </rPh>
    <phoneticPr fontId="15"/>
  </si>
  <si>
    <t>ENDファイル送信</t>
    <phoneticPr fontId="15"/>
  </si>
  <si>
    <t>ENDファイルバックアップ処理</t>
    <rPh sb="13" eb="15">
      <t>ショリ</t>
    </rPh>
    <phoneticPr fontId="15"/>
  </si>
  <si>
    <t>送信ファイル</t>
    <rPh sb="0" eb="2">
      <t>ソウシン</t>
    </rPh>
    <phoneticPr fontId="15"/>
  </si>
  <si>
    <t>ファイル不整合</t>
    <phoneticPr fontId="15"/>
  </si>
  <si>
    <t>ファイルサイズ</t>
    <phoneticPr fontId="15"/>
  </si>
  <si>
    <t>ファイルサイズを書き換え送信(リカバリバッチで実施)</t>
    <rPh sb="8" eb="9">
      <t>カ</t>
    </rPh>
    <rPh sb="10" eb="11">
      <t>カ</t>
    </rPh>
    <rPh sb="12" eb="14">
      <t>ソウシン</t>
    </rPh>
    <rPh sb="23" eb="25">
      <t>ジッシ</t>
    </rPh>
    <phoneticPr fontId="15"/>
  </si>
  <si>
    <t>ignica側で受信異常が発生したと判断できること</t>
    <rPh sb="6" eb="7">
      <t>ガワ</t>
    </rPh>
    <phoneticPr fontId="15"/>
  </si>
  <si>
    <t>レコード数</t>
    <rPh sb="4" eb="5">
      <t>スウ</t>
    </rPh>
    <phoneticPr fontId="15"/>
  </si>
  <si>
    <t>レコード数を書き換え送信(リカバリバッチで実施)</t>
    <rPh sb="4" eb="5">
      <t>スウ</t>
    </rPh>
    <rPh sb="6" eb="7">
      <t>カ</t>
    </rPh>
    <rPh sb="8" eb="9">
      <t>カ</t>
    </rPh>
    <rPh sb="10" eb="12">
      <t>ソウシン</t>
    </rPh>
    <rPh sb="21" eb="23">
      <t>ジッシ</t>
    </rPh>
    <phoneticPr fontId="15"/>
  </si>
  <si>
    <t>ファイル欠落</t>
    <rPh sb="4" eb="6">
      <t>ケツラク</t>
    </rPh>
    <phoneticPr fontId="15"/>
  </si>
  <si>
    <t>ファイルを削除し送信(リカバリバッチで実施)</t>
    <rPh sb="5" eb="7">
      <t>サクジョ</t>
    </rPh>
    <rPh sb="8" eb="10">
      <t>ソウシン</t>
    </rPh>
    <rPh sb="19" eb="21">
      <t>ジッシ</t>
    </rPh>
    <phoneticPr fontId="15"/>
  </si>
  <si>
    <t>ファイルプラス</t>
    <phoneticPr fontId="15"/>
  </si>
  <si>
    <t>ファイルを追加し送信(リカバリバッチで実施)</t>
    <rPh sb="5" eb="7">
      <t>ツイカ</t>
    </rPh>
    <rPh sb="8" eb="10">
      <t>ソウシン</t>
    </rPh>
    <rPh sb="19" eb="21">
      <t>ジッシ</t>
    </rPh>
    <phoneticPr fontId="15"/>
  </si>
  <si>
    <t>ignicaチェック</t>
    <phoneticPr fontId="15"/>
  </si>
  <si>
    <t>未登録商品の特売単品</t>
    <phoneticPr fontId="15"/>
  </si>
  <si>
    <t>未登録商品がある特売単品の企画マスタ連携</t>
    <rPh sb="13" eb="15">
      <t>キカク</t>
    </rPh>
    <rPh sb="18" eb="20">
      <t>レンケイ</t>
    </rPh>
    <phoneticPr fontId="15"/>
  </si>
  <si>
    <t>該当商品の特売単品が、未登録の商品として企画に登録されないこと</t>
    <rPh sb="0" eb="2">
      <t>ガイトウ</t>
    </rPh>
    <rPh sb="2" eb="4">
      <t>ショウヒン</t>
    </rPh>
    <rPh sb="5" eb="9">
      <t>トクバイタンピン</t>
    </rPh>
    <rPh sb="20" eb="22">
      <t>キカク</t>
    </rPh>
    <rPh sb="23" eb="25">
      <t>トウロク</t>
    </rPh>
    <phoneticPr fontId="15"/>
  </si>
  <si>
    <t>VTI社へファイル動作確認依頼</t>
    <rPh sb="9" eb="15">
      <t>ドウサカクニンイライ</t>
    </rPh>
    <phoneticPr fontId="15"/>
  </si>
  <si>
    <t>翌日該当商品の商品マスタ連携</t>
    <rPh sb="0" eb="2">
      <t>ヨクジツ</t>
    </rPh>
    <rPh sb="2" eb="4">
      <t>ガイトウ</t>
    </rPh>
    <rPh sb="4" eb="6">
      <t>ショウヒン</t>
    </rPh>
    <rPh sb="7" eb="9">
      <t>ショウヒン</t>
    </rPh>
    <rPh sb="12" eb="14">
      <t>レンケイ</t>
    </rPh>
    <phoneticPr fontId="15"/>
  </si>
  <si>
    <t>該当商品の特売単品が機能しないこと</t>
    <rPh sb="10" eb="12">
      <t>キノウ</t>
    </rPh>
    <phoneticPr fontId="15"/>
  </si>
  <si>
    <t>新規商品の商品マスタと同時に特売単品の企画マスタ連携</t>
    <rPh sb="5" eb="7">
      <t>ショウヒン</t>
    </rPh>
    <rPh sb="19" eb="21">
      <t>キカク</t>
    </rPh>
    <rPh sb="24" eb="26">
      <t>レンケイ</t>
    </rPh>
    <phoneticPr fontId="15"/>
  </si>
  <si>
    <t>該当商品の特売単品が機能すること</t>
    <rPh sb="10" eb="12">
      <t>キノウ</t>
    </rPh>
    <phoneticPr fontId="15"/>
  </si>
  <si>
    <t>全件データ再作成バッチ</t>
    <phoneticPr fontId="15"/>
  </si>
  <si>
    <t>全種別</t>
    <rPh sb="0" eb="1">
      <t>ゼン</t>
    </rPh>
    <rPh sb="1" eb="3">
      <t>シュベツ</t>
    </rPh>
    <phoneticPr fontId="15"/>
  </si>
  <si>
    <t>パラメタ指定なしでバッチ実行</t>
    <rPh sb="4" eb="6">
      <t>シテイ</t>
    </rPh>
    <rPh sb="12" eb="14">
      <t>ジッコウ</t>
    </rPh>
    <phoneticPr fontId="15"/>
  </si>
  <si>
    <t>正常に作成されたファイルと比較し、差異がないこと</t>
    <rPh sb="0" eb="2">
      <t>セイジョウ</t>
    </rPh>
    <rPh sb="3" eb="5">
      <t>サクセイ</t>
    </rPh>
    <rPh sb="13" eb="15">
      <t>ヒカク</t>
    </rPh>
    <rPh sb="17" eb="19">
      <t>サイ</t>
    </rPh>
    <phoneticPr fontId="15"/>
  </si>
  <si>
    <t>バッチ名:C:\GSFD\BIN\IG_RCVR_MST_MK_ALLDATA.bat</t>
    <rPh sb="3" eb="4">
      <t>メイ</t>
    </rPh>
    <phoneticPr fontId="15"/>
  </si>
  <si>
    <t>商品階層マスタ</t>
  </si>
  <si>
    <t>パラメタ"1"指定でバッチ実行</t>
  </si>
  <si>
    <t>商品マスタ</t>
    <rPh sb="0" eb="2">
      <t>ショウヒン</t>
    </rPh>
    <phoneticPr fontId="8"/>
  </si>
  <si>
    <t>パラメタ"2"指定でバッチ実行</t>
  </si>
  <si>
    <t>パラメタ"3"指定でバッチ実行</t>
  </si>
  <si>
    <t>特売マスタ</t>
    <rPh sb="0" eb="2">
      <t>トクバイ</t>
    </rPh>
    <phoneticPr fontId="8"/>
  </si>
  <si>
    <t>パラメタ"4"指定でバッチ実行</t>
  </si>
  <si>
    <t>組合せマスタ</t>
    <rPh sb="0" eb="2">
      <t>クミアワ</t>
    </rPh>
    <phoneticPr fontId="8"/>
  </si>
  <si>
    <t>パラメタ"5"指定でバッチ実行</t>
  </si>
  <si>
    <t>商品階層自動値引きマスタ</t>
    <rPh sb="0" eb="2">
      <t>ショウヒン</t>
    </rPh>
    <rPh sb="2" eb="4">
      <t>カイソウ</t>
    </rPh>
    <rPh sb="4" eb="6">
      <t>ジドウ</t>
    </rPh>
    <rPh sb="6" eb="8">
      <t>ネビ</t>
    </rPh>
    <phoneticPr fontId="8"/>
  </si>
  <si>
    <t>パラメタ"6"指定でバッチ実行</t>
  </si>
  <si>
    <t>さんにち割データ</t>
    <rPh sb="4" eb="5">
      <t>ワリ</t>
    </rPh>
    <phoneticPr fontId="8"/>
  </si>
  <si>
    <t>パラメタ"7"指定でバッチ実行</t>
  </si>
  <si>
    <t>営業日マスタ</t>
    <rPh sb="0" eb="3">
      <t>エイギョウビ</t>
    </rPh>
    <phoneticPr fontId="8"/>
  </si>
  <si>
    <t>パラメタ"8"指定でバッチ実行</t>
  </si>
  <si>
    <t>担当者マスタ</t>
    <rPh sb="0" eb="3">
      <t>タントウシャ</t>
    </rPh>
    <phoneticPr fontId="8"/>
  </si>
  <si>
    <t>パラメタ"9"指定でバッチ実行</t>
  </si>
  <si>
    <t>入出金マスタ</t>
    <rPh sb="0" eb="3">
      <t>ニュウシュッキン</t>
    </rPh>
    <phoneticPr fontId="8"/>
  </si>
  <si>
    <t>パラメタ"10"指定でバッチ実行</t>
  </si>
  <si>
    <t>現外設定マスタ</t>
    <rPh sb="0" eb="2">
      <t>ゲンガイ</t>
    </rPh>
    <rPh sb="2" eb="4">
      <t>セッテイ</t>
    </rPh>
    <phoneticPr fontId="8"/>
  </si>
  <si>
    <t>パラメタ"11"指定でバッチ実行</t>
  </si>
  <si>
    <t>緊急登録マスタ</t>
    <rPh sb="0" eb="4">
      <t>キンキュウトウロク</t>
    </rPh>
    <phoneticPr fontId="8"/>
  </si>
  <si>
    <t>パラメタ"12"指定でバッチ実行</t>
  </si>
  <si>
    <t>商品券バーコードマスタ</t>
    <rPh sb="0" eb="3">
      <t>ショウヒンケン</t>
    </rPh>
    <phoneticPr fontId="8"/>
  </si>
  <si>
    <t>パラメタ"13"指定でバッチ実行</t>
  </si>
  <si>
    <t>パラメータ異常</t>
    <rPh sb="5" eb="7">
      <t>イジョウ</t>
    </rPh>
    <phoneticPr fontId="15"/>
  </si>
  <si>
    <t>上記以外のパラメータでバッチ実行</t>
    <rPh sb="0" eb="4">
      <t>ジョウキイガイ</t>
    </rPh>
    <rPh sb="14" eb="16">
      <t>ジッコウ</t>
    </rPh>
    <phoneticPr fontId="15"/>
  </si>
  <si>
    <t>パラメタ異常が表示され、任意のキー押下でバッチが終了すること</t>
    <phoneticPr fontId="15"/>
  </si>
  <si>
    <t>SFTP送信</t>
    <rPh sb="4" eb="6">
      <t>ソウシン</t>
    </rPh>
    <phoneticPr fontId="15"/>
  </si>
  <si>
    <t>全件データ再送信バッチ</t>
    <phoneticPr fontId="15"/>
  </si>
  <si>
    <t>送信正常終了し、ファイルバックアップされること</t>
    <rPh sb="0" eb="2">
      <t>ソウシン</t>
    </rPh>
    <rPh sb="2" eb="4">
      <t>セイジョウ</t>
    </rPh>
    <rPh sb="4" eb="6">
      <t>シュウリョウ</t>
    </rPh>
    <phoneticPr fontId="15"/>
  </si>
  <si>
    <t>バッチ名:C:\GSFD\BIN\IG_RCVR_MST_SFTP_ALLDATA.bat</t>
    <rPh sb="3" eb="4">
      <t>メイ</t>
    </rPh>
    <phoneticPr fontId="15"/>
  </si>
  <si>
    <t>ignica変換サーバの該当店舗番号フォルダへ送信されていること</t>
    <phoneticPr fontId="15"/>
  </si>
  <si>
    <t>パラメタ指定ありでバッチ実行</t>
    <rPh sb="4" eb="6">
      <t>シテイ</t>
    </rPh>
    <rPh sb="12" eb="14">
      <t>ジッコウ</t>
    </rPh>
    <phoneticPr fontId="15"/>
  </si>
  <si>
    <t>OK数(●)：</t>
    <phoneticPr fontId="4"/>
  </si>
  <si>
    <t>計：</t>
    <rPh sb="0" eb="1">
      <t>ケイ</t>
    </rPh>
    <phoneticPr fontId="15"/>
  </si>
  <si>
    <t>消化テスト項目数：</t>
    <phoneticPr fontId="15"/>
  </si>
  <si>
    <t>NG数(×)：</t>
    <phoneticPr fontId="15"/>
  </si>
  <si>
    <t xml:space="preserve"> </t>
  </si>
  <si>
    <t>消化項目数：</t>
  </si>
  <si>
    <t>全テスト項目数：</t>
    <phoneticPr fontId="15"/>
  </si>
  <si>
    <t>全項目数：</t>
  </si>
  <si>
    <t>常駐プログラム処理</t>
    <rPh sb="0" eb="2">
      <t>ジョウチュウ</t>
    </rPh>
    <rPh sb="7" eb="9">
      <t>ショリ</t>
    </rPh>
    <phoneticPr fontId="15"/>
  </si>
  <si>
    <t>開局処理</t>
    <rPh sb="0" eb="2">
      <t>カイキョク</t>
    </rPh>
    <rPh sb="2" eb="4">
      <t>ショリ</t>
    </rPh>
    <phoneticPr fontId="15"/>
  </si>
  <si>
    <t>マスタ更新履歴監視処理</t>
    <rPh sb="3" eb="7">
      <t>コウシンリレキ</t>
    </rPh>
    <rPh sb="7" eb="9">
      <t>カンシ</t>
    </rPh>
    <rPh sb="9" eb="11">
      <t>ショリ</t>
    </rPh>
    <phoneticPr fontId="15"/>
  </si>
  <si>
    <t>SSV開局処理を実施</t>
    <phoneticPr fontId="15"/>
  </si>
  <si>
    <t>プロセスが起動していること</t>
    <rPh sb="5" eb="7">
      <t>キドウ</t>
    </rPh>
    <phoneticPr fontId="15"/>
  </si>
  <si>
    <t>プロセス名:GSFD_IG_Comp.exe</t>
    <rPh sb="4" eb="5">
      <t>メイ</t>
    </rPh>
    <phoneticPr fontId="15"/>
  </si>
  <si>
    <t>SFTP送信処理</t>
    <rPh sb="4" eb="8">
      <t>ソウシンショリ</t>
    </rPh>
    <phoneticPr fontId="15"/>
  </si>
  <si>
    <t>プロセス名:GSFD_IG_SEND.exe</t>
    <rPh sb="4" eb="5">
      <t>メイ</t>
    </rPh>
    <phoneticPr fontId="15"/>
  </si>
  <si>
    <t>常駐プログラム監視処理</t>
    <rPh sb="0" eb="2">
      <t>ジョウチュウ</t>
    </rPh>
    <rPh sb="7" eb="9">
      <t>カンシ</t>
    </rPh>
    <rPh sb="9" eb="11">
      <t>ショリ</t>
    </rPh>
    <phoneticPr fontId="15"/>
  </si>
  <si>
    <t>プロセス名:GSFD_IG_Find.exe</t>
    <phoneticPr fontId="15"/>
  </si>
  <si>
    <t>閉局処理</t>
    <rPh sb="0" eb="2">
      <t>ヘイキョク</t>
    </rPh>
    <rPh sb="2" eb="4">
      <t>ショリ</t>
    </rPh>
    <phoneticPr fontId="15"/>
  </si>
  <si>
    <t>SSV閉局処理を実施</t>
    <rPh sb="3" eb="5">
      <t>ヘイキョク</t>
    </rPh>
    <phoneticPr fontId="15"/>
  </si>
  <si>
    <t>プロセスが終了していること</t>
    <rPh sb="5" eb="7">
      <t>シュウリョウ</t>
    </rPh>
    <phoneticPr fontId="15"/>
  </si>
  <si>
    <t>差分データファイル作成処理</t>
    <rPh sb="0" eb="2">
      <t>サブン</t>
    </rPh>
    <rPh sb="9" eb="11">
      <t>サクセイ</t>
    </rPh>
    <rPh sb="11" eb="13">
      <t>ショリ</t>
    </rPh>
    <phoneticPr fontId="15"/>
  </si>
  <si>
    <t>ファイル作成</t>
    <phoneticPr fontId="15"/>
  </si>
  <si>
    <t>商品マスタ</t>
    <rPh sb="0" eb="2">
      <t>ショウヒン</t>
    </rPh>
    <phoneticPr fontId="15"/>
  </si>
  <si>
    <t>単品設定画面で新規データ作成</t>
    <rPh sb="12" eb="14">
      <t>サクセイ</t>
    </rPh>
    <phoneticPr fontId="8"/>
  </si>
  <si>
    <t>ファイル名:[店舗コード 3桁]＋"_IG_MNTMST_"+[作成日時 yyyymmddhhmmss]+".zip"</t>
    <rPh sb="4" eb="5">
      <t>メイ</t>
    </rPh>
    <phoneticPr fontId="15"/>
  </si>
  <si>
    <t>単品設定画面で更新データ作成</t>
    <rPh sb="7" eb="9">
      <t>コウシン</t>
    </rPh>
    <phoneticPr fontId="15"/>
  </si>
  <si>
    <t>単品設定画面で削除データ作成</t>
    <rPh sb="12" eb="14">
      <t>サクセイ</t>
    </rPh>
    <phoneticPr fontId="15"/>
  </si>
  <si>
    <t>青果売変設定画面で新規データ作成</t>
    <rPh sb="0" eb="1">
      <t>アオ</t>
    </rPh>
    <rPh sb="9" eb="11">
      <t>シンキ</t>
    </rPh>
    <rPh sb="14" eb="16">
      <t>サクセイ</t>
    </rPh>
    <phoneticPr fontId="8"/>
  </si>
  <si>
    <t>青果売変設定画面で更新データ作成</t>
    <rPh sb="0" eb="1">
      <t>アオ</t>
    </rPh>
    <rPh sb="9" eb="11">
      <t>コウシン</t>
    </rPh>
    <rPh sb="14" eb="16">
      <t>サクセイ</t>
    </rPh>
    <phoneticPr fontId="8"/>
  </si>
  <si>
    <t>青果売変設定画面で削除データ作成</t>
    <rPh sb="0" eb="1">
      <t>アオ</t>
    </rPh>
    <rPh sb="9" eb="11">
      <t>サクジョ</t>
    </rPh>
    <rPh sb="14" eb="16">
      <t>サクセイ</t>
    </rPh>
    <phoneticPr fontId="8"/>
  </si>
  <si>
    <t>企画マスタ</t>
    <rPh sb="0" eb="2">
      <t>キカク</t>
    </rPh>
    <phoneticPr fontId="15"/>
  </si>
  <si>
    <t>山積・企画設定画面で新規データ作成</t>
    <rPh sb="0" eb="2">
      <t>ヤマヅ</t>
    </rPh>
    <phoneticPr fontId="15"/>
  </si>
  <si>
    <t>山積・企画設定画面で更新データ作成</t>
    <rPh sb="10" eb="12">
      <t>コウシン</t>
    </rPh>
    <phoneticPr fontId="15"/>
  </si>
  <si>
    <t>山積・企画設定画面で削除データ作成</t>
    <rPh sb="10" eb="12">
      <t>サクジョ</t>
    </rPh>
    <phoneticPr fontId="15"/>
  </si>
  <si>
    <t>特売マスタ</t>
    <rPh sb="0" eb="2">
      <t>トクバイ</t>
    </rPh>
    <phoneticPr fontId="15"/>
  </si>
  <si>
    <t>山積・企画設定画面(特売単品)で新規データ作成</t>
    <rPh sb="0" eb="2">
      <t>ヤマヅ</t>
    </rPh>
    <phoneticPr fontId="8"/>
  </si>
  <si>
    <t>単品設定画面(マークダウン)で新規データ作成</t>
    <rPh sb="0" eb="2">
      <t>タンピン</t>
    </rPh>
    <rPh sb="2" eb="4">
      <t>セッテイ</t>
    </rPh>
    <rPh sb="4" eb="6">
      <t>ガメン</t>
    </rPh>
    <rPh sb="15" eb="17">
      <t>シンキ</t>
    </rPh>
    <rPh sb="20" eb="22">
      <t>サクセイ</t>
    </rPh>
    <phoneticPr fontId="8"/>
  </si>
  <si>
    <t>単品設定画面(マークダウン)で更新データ作成</t>
    <rPh sb="0" eb="2">
      <t>タンピン</t>
    </rPh>
    <rPh sb="2" eb="4">
      <t>セッテイ</t>
    </rPh>
    <rPh sb="4" eb="6">
      <t>ガメン</t>
    </rPh>
    <rPh sb="15" eb="17">
      <t>コウシン</t>
    </rPh>
    <rPh sb="20" eb="22">
      <t>サクセイ</t>
    </rPh>
    <phoneticPr fontId="8"/>
  </si>
  <si>
    <t>単品設定画面(マークダウン)で削除データ作成</t>
    <rPh sb="0" eb="2">
      <t>タンピン</t>
    </rPh>
    <rPh sb="2" eb="4">
      <t>セッテイ</t>
    </rPh>
    <rPh sb="4" eb="6">
      <t>ガメン</t>
    </rPh>
    <rPh sb="15" eb="17">
      <t>サクジョ</t>
    </rPh>
    <rPh sb="20" eb="22">
      <t>サクセイ</t>
    </rPh>
    <phoneticPr fontId="8"/>
  </si>
  <si>
    <r>
      <t>PDAの売価変更で更新データ作成</t>
    </r>
    <r>
      <rPr>
        <sz val="8"/>
        <color rgb="FFFF0000"/>
        <rFont val="Meiryo UI"/>
        <family val="3"/>
        <charset val="128"/>
      </rPr>
      <t>(OTテストで確認する)</t>
    </r>
    <rPh sb="4" eb="6">
      <t>バイカ</t>
    </rPh>
    <rPh sb="6" eb="8">
      <t>ヘンコウ</t>
    </rPh>
    <rPh sb="9" eb="11">
      <t>コウシン</t>
    </rPh>
    <rPh sb="14" eb="16">
      <t>サクセイ</t>
    </rPh>
    <rPh sb="23" eb="25">
      <t>カクニン</t>
    </rPh>
    <phoneticPr fontId="8"/>
  </si>
  <si>
    <t>組合せマスタ</t>
    <rPh sb="0" eb="1">
      <t>ク</t>
    </rPh>
    <rPh sb="1" eb="2">
      <t>ア</t>
    </rPh>
    <phoneticPr fontId="15"/>
  </si>
  <si>
    <t>山積・企画設定画面(組合せグループ)でバンドル新規データ作成</t>
    <rPh sb="0" eb="2">
      <t>ヤマヅ</t>
    </rPh>
    <phoneticPr fontId="8"/>
  </si>
  <si>
    <t>山積・企画設定画面(組合せグループ)でバンドル更新データ作成</t>
    <rPh sb="0" eb="2">
      <t>ヤマヅ</t>
    </rPh>
    <rPh sb="23" eb="25">
      <t>コウシン</t>
    </rPh>
    <phoneticPr fontId="8"/>
  </si>
  <si>
    <t>山積・企画設定画面(組合せグループ)でバンドル削除データ作成</t>
    <rPh sb="0" eb="2">
      <t>ヤマヅ</t>
    </rPh>
    <rPh sb="23" eb="25">
      <t>サクジョ</t>
    </rPh>
    <phoneticPr fontId="8"/>
  </si>
  <si>
    <t>山積・企画設定画面(組合せグループ)でミックス新規データ作成</t>
    <rPh sb="0" eb="2">
      <t>ヤマヅ</t>
    </rPh>
    <phoneticPr fontId="8"/>
  </si>
  <si>
    <t>山積・企画設定画面(組合せグループ)でミックス更新データ作成</t>
    <rPh sb="0" eb="2">
      <t>ヤマヅ</t>
    </rPh>
    <rPh sb="23" eb="25">
      <t>コウシン</t>
    </rPh>
    <phoneticPr fontId="8"/>
  </si>
  <si>
    <t>山積・企画設定画面(組合せグループ)でミックス削除データ作成</t>
    <rPh sb="0" eb="2">
      <t>ヤマヅ</t>
    </rPh>
    <rPh sb="23" eb="25">
      <t>サクジョ</t>
    </rPh>
    <phoneticPr fontId="8"/>
  </si>
  <si>
    <t>山積・企画設定画面(組合せグループ)でペアマッチ新規データ作成</t>
    <rPh sb="0" eb="2">
      <t>ヤマヅ</t>
    </rPh>
    <phoneticPr fontId="8"/>
  </si>
  <si>
    <r>
      <t>送信ファイル一覧の名称でファイル作成されて</t>
    </r>
    <r>
      <rPr>
        <sz val="8"/>
        <color rgb="FFFF0000"/>
        <rFont val="Meiryo UI"/>
        <family val="3"/>
        <charset val="128"/>
      </rPr>
      <t>いない</t>
    </r>
    <r>
      <rPr>
        <sz val="8"/>
        <color theme="1"/>
        <rFont val="Meiryo UI"/>
        <family val="3"/>
        <charset val="128"/>
      </rPr>
      <t>こと</t>
    </r>
    <rPh sb="9" eb="11">
      <t>メイショウ</t>
    </rPh>
    <rPh sb="16" eb="18">
      <t>サクセイ</t>
    </rPh>
    <phoneticPr fontId="15"/>
  </si>
  <si>
    <t>山積・企画設定画面(組合せグループ)でペアマッチ更新データ作成</t>
    <rPh sb="0" eb="2">
      <t>ヤマヅ</t>
    </rPh>
    <rPh sb="24" eb="26">
      <t>コウシン</t>
    </rPh>
    <phoneticPr fontId="8"/>
  </si>
  <si>
    <t>山積・企画設定画面(組合せグループ)でペアマッチ削除データ作成</t>
    <rPh sb="0" eb="2">
      <t>ヤマヅ</t>
    </rPh>
    <rPh sb="24" eb="26">
      <t>サクジョ</t>
    </rPh>
    <phoneticPr fontId="8"/>
  </si>
  <si>
    <t>自動値引きマスタ</t>
    <rPh sb="0" eb="4">
      <t>ジドウネビ</t>
    </rPh>
    <phoneticPr fontId="15"/>
  </si>
  <si>
    <t>自動値引設定画面で新規データ作成</t>
    <phoneticPr fontId="15"/>
  </si>
  <si>
    <t>自動値引設定画面で更新データ作成</t>
    <rPh sb="9" eb="11">
      <t>コウシン</t>
    </rPh>
    <phoneticPr fontId="15"/>
  </si>
  <si>
    <t>自動値引設定画面で削除データ作成</t>
    <rPh sb="9" eb="11">
      <t>サクジョ</t>
    </rPh>
    <phoneticPr fontId="15"/>
  </si>
  <si>
    <t>各差分データ作成系の処理を実施</t>
    <rPh sb="13" eb="15">
      <t>ジッシ</t>
    </rPh>
    <phoneticPr fontId="15"/>
  </si>
  <si>
    <t>マスタ更新履歴ログファイルが作成されていること</t>
    <rPh sb="3" eb="5">
      <t>コウシン</t>
    </rPh>
    <rPh sb="5" eb="7">
      <t>リレキ</t>
    </rPh>
    <rPh sb="14" eb="16">
      <t>サクセイ</t>
    </rPh>
    <phoneticPr fontId="15"/>
  </si>
  <si>
    <t>ファイル名:E:\CTKY\DATA\BACKUP\IG_MNT_HST\Today\IG_MNTHIST_EVENTM.DAT</t>
  </si>
  <si>
    <t>ファイル名:E:\CTKY\DATA\BACKUP\IG_MNT_HST\Today\IG_MNTHIST_DISCOUNTM.DAT</t>
  </si>
  <si>
    <t>ファイル名:E:\CTKY\DATA\BACKUP\IG_MNT_HST\Today\IG_MNTHIST_BUNDLEM.DAT</t>
  </si>
  <si>
    <t>ファイル名:E:\CTKY\DATA\BACKUP\IG_MNT_HST\Today\IG_MNTHIST_AUTODISC.DAT</t>
  </si>
  <si>
    <t>ファイル名:C:\CTKY\LOG\IG_MNTMST_ZIP_SFTP.log</t>
    <rPh sb="4" eb="5">
      <t>メイ</t>
    </rPh>
    <phoneticPr fontId="15"/>
  </si>
  <si>
    <t>マスタ更新履歴作成処理</t>
    <rPh sb="3" eb="5">
      <t>コウシン</t>
    </rPh>
    <rPh sb="5" eb="7">
      <t>リレキ</t>
    </rPh>
    <rPh sb="7" eb="9">
      <t>サクセイ</t>
    </rPh>
    <rPh sb="9" eb="11">
      <t>ショリ</t>
    </rPh>
    <phoneticPr fontId="15"/>
  </si>
  <si>
    <t>対象処理:マスタ更新履歴作成処理ログ</t>
    <rPh sb="0" eb="4">
      <t>タイショウショリ</t>
    </rPh>
    <phoneticPr fontId="15"/>
  </si>
  <si>
    <t>マスタ更新履歴監視処理</t>
    <phoneticPr fontId="15"/>
  </si>
  <si>
    <t>対象処理:マスタ更新履歴監視処理ログ</t>
    <rPh sb="0" eb="2">
      <t>タイショウ</t>
    </rPh>
    <rPh sb="2" eb="4">
      <t>ショリ</t>
    </rPh>
    <rPh sb="12" eb="14">
      <t>カンシ</t>
    </rPh>
    <phoneticPr fontId="15"/>
  </si>
  <si>
    <t>対象処理:差分データファイル作成処理</t>
    <rPh sb="0" eb="4">
      <t>タイショウショリ</t>
    </rPh>
    <rPh sb="5" eb="7">
      <t>サブン</t>
    </rPh>
    <rPh sb="14" eb="18">
      <t>サクセイショリ</t>
    </rPh>
    <phoneticPr fontId="15"/>
  </si>
  <si>
    <t>当日分バックアップフォルダ:E:\CTKY\DATA\BACKUP\IG_MNT_SEND\Today\</t>
  </si>
  <si>
    <t>各差分データ作成系の処理を1回以上、8日間実施</t>
    <rPh sb="0" eb="1">
      <t>カク</t>
    </rPh>
    <rPh sb="1" eb="3">
      <t>サブン</t>
    </rPh>
    <rPh sb="6" eb="8">
      <t>サクセイ</t>
    </rPh>
    <rPh sb="8" eb="9">
      <t>ケイ</t>
    </rPh>
    <rPh sb="10" eb="12">
      <t>ショリ</t>
    </rPh>
    <rPh sb="14" eb="17">
      <t>カイイジョウ</t>
    </rPh>
    <rPh sb="19" eb="21">
      <t>ニチカン</t>
    </rPh>
    <rPh sb="21" eb="23">
      <t>ジッシ</t>
    </rPh>
    <phoneticPr fontId="15"/>
  </si>
  <si>
    <t>過去分バックアップフォルダ:E:\CTKY\DATA\BACKUP\IG_MNT_HIST\(1~6)_DayBefore\</t>
    <rPh sb="0" eb="3">
      <t>カコブン</t>
    </rPh>
    <phoneticPr fontId="15"/>
  </si>
  <si>
    <t>各差分データ作成系の処理を1回以上、8日間実施</t>
    <rPh sb="1" eb="3">
      <t>サブン</t>
    </rPh>
    <rPh sb="6" eb="8">
      <t>サクセイ</t>
    </rPh>
    <rPh sb="8" eb="9">
      <t>ケイ</t>
    </rPh>
    <rPh sb="10" eb="12">
      <t>ショリ</t>
    </rPh>
    <rPh sb="14" eb="17">
      <t>カイイジョウ</t>
    </rPh>
    <rPh sb="19" eb="21">
      <t>ニチカン</t>
    </rPh>
    <rPh sb="21" eb="23">
      <t>ジッシ</t>
    </rPh>
    <phoneticPr fontId="15"/>
  </si>
  <si>
    <t>過去分バックアップフォルダ:E:\CTKY\DATA\BACKUP\IG_MNT_SEND\(1~6)_DayBefore\</t>
    <rPh sb="0" eb="3">
      <t>カコブン</t>
    </rPh>
    <phoneticPr fontId="15"/>
  </si>
  <si>
    <t>各差分データ作成系の処理を1回以上、12日間実施</t>
    <rPh sb="1" eb="3">
      <t>サブン</t>
    </rPh>
    <rPh sb="6" eb="8">
      <t>サクセイ</t>
    </rPh>
    <rPh sb="8" eb="9">
      <t>ケイ</t>
    </rPh>
    <rPh sb="10" eb="12">
      <t>ショリ</t>
    </rPh>
    <rPh sb="14" eb="17">
      <t>カイイジョウ</t>
    </rPh>
    <rPh sb="20" eb="22">
      <t>ニチカン</t>
    </rPh>
    <rPh sb="22" eb="24">
      <t>ジッシ</t>
    </rPh>
    <phoneticPr fontId="15"/>
  </si>
  <si>
    <t>過去分ログフォルダ:C:\CTKY\LOG\IG_MNTMST_ZIP_SFTP.log.(001~010)</t>
    <rPh sb="0" eb="3">
      <t>カコブン</t>
    </rPh>
    <phoneticPr fontId="15"/>
  </si>
  <si>
    <t>ファイル名:[店舗コード 3桁]＋"_IG_MNTMST_"+[作成日時 yyyymmddhhmmss]+".zip.END"</t>
    <rPh sb="4" eb="5">
      <t>メイ</t>
    </rPh>
    <phoneticPr fontId="15"/>
  </si>
  <si>
    <t>青果・単品グループ設定画面で新規データ作成</t>
    <rPh sb="0" eb="2">
      <t>セイカ</t>
    </rPh>
    <rPh sb="3" eb="5">
      <t>タンピン</t>
    </rPh>
    <rPh sb="9" eb="11">
      <t>セッテイ</t>
    </rPh>
    <rPh sb="11" eb="13">
      <t>ガメン</t>
    </rPh>
    <rPh sb="14" eb="16">
      <t>シンキ</t>
    </rPh>
    <rPh sb="19" eb="21">
      <t>サクセイ</t>
    </rPh>
    <phoneticPr fontId="8"/>
  </si>
  <si>
    <t>青果・単品グループ設定画面で更新データ作成</t>
    <rPh sb="0" eb="2">
      <t>セイカ</t>
    </rPh>
    <rPh sb="3" eb="5">
      <t>タンピン</t>
    </rPh>
    <rPh sb="9" eb="11">
      <t>セッテイ</t>
    </rPh>
    <rPh sb="11" eb="13">
      <t>ガメン</t>
    </rPh>
    <rPh sb="14" eb="16">
      <t>コウシン</t>
    </rPh>
    <rPh sb="19" eb="21">
      <t>サクセイ</t>
    </rPh>
    <phoneticPr fontId="8"/>
  </si>
  <si>
    <t>青果・単品グループ設定画面で削除データ作成</t>
    <rPh sb="0" eb="2">
      <t>セイカ</t>
    </rPh>
    <rPh sb="3" eb="5">
      <t>タンピン</t>
    </rPh>
    <rPh sb="9" eb="11">
      <t>セッテイ</t>
    </rPh>
    <rPh sb="11" eb="13">
      <t>ガメン</t>
    </rPh>
    <rPh sb="14" eb="16">
      <t>サクジョ</t>
    </rPh>
    <rPh sb="19" eb="21">
      <t>サクセイ</t>
    </rPh>
    <phoneticPr fontId="8"/>
  </si>
  <si>
    <t>PDAの売価変更で新規データ作成</t>
    <rPh sb="9" eb="11">
      <t>シンキ</t>
    </rPh>
    <rPh sb="14" eb="16">
      <t>サクセイ</t>
    </rPh>
    <phoneticPr fontId="15"/>
  </si>
  <si>
    <t>PDAの売価変更で更新データ作成</t>
    <rPh sb="9" eb="11">
      <t>コウシン</t>
    </rPh>
    <rPh sb="14" eb="16">
      <t>サクセイ</t>
    </rPh>
    <phoneticPr fontId="15"/>
  </si>
  <si>
    <t>PDAの売価変更で削除データ作成</t>
    <rPh sb="9" eb="11">
      <t>サクジョ</t>
    </rPh>
    <rPh sb="14" eb="16">
      <t>サクセイ</t>
    </rPh>
    <phoneticPr fontId="15"/>
  </si>
  <si>
    <t>山積・企画設定画面(特売単品)で更新データ作成</t>
    <rPh sb="0" eb="2">
      <t>ヤマヅ</t>
    </rPh>
    <rPh sb="16" eb="18">
      <t>コウシン</t>
    </rPh>
    <phoneticPr fontId="8"/>
  </si>
  <si>
    <t>山積・企画設定画面(特売単品)で削除データ作成</t>
    <rPh sb="0" eb="2">
      <t>ヤマヅ</t>
    </rPh>
    <rPh sb="16" eb="18">
      <t>サクジョ</t>
    </rPh>
    <phoneticPr fontId="8"/>
  </si>
  <si>
    <t>PDAの値下で新規データ作成</t>
    <rPh sb="4" eb="6">
      <t>ネサ</t>
    </rPh>
    <rPh sb="7" eb="9">
      <t>シンキ</t>
    </rPh>
    <rPh sb="12" eb="14">
      <t>サクセイ</t>
    </rPh>
    <phoneticPr fontId="15"/>
  </si>
  <si>
    <t>PDAの値下で更新データ作成</t>
    <rPh sb="7" eb="9">
      <t>コウシン</t>
    </rPh>
    <rPh sb="12" eb="14">
      <t>サクセイ</t>
    </rPh>
    <phoneticPr fontId="15"/>
  </si>
  <si>
    <t>PDAの値下で削除データ作成</t>
    <rPh sb="7" eb="9">
      <t>サクジョ</t>
    </rPh>
    <rPh sb="12" eb="14">
      <t>サクセイ</t>
    </rPh>
    <phoneticPr fontId="15"/>
  </si>
  <si>
    <t>山積・企画設定画面(組合せグループ/組合せ単品)で新規データ作成</t>
    <rPh sb="0" eb="2">
      <t>ヤマヅ</t>
    </rPh>
    <phoneticPr fontId="8"/>
  </si>
  <si>
    <t>山積・企画設定画面(組合せグループ/組合せ単品)で更新データ作成</t>
    <rPh sb="0" eb="2">
      <t>ヤマヅ</t>
    </rPh>
    <rPh sb="25" eb="27">
      <t>コウシン</t>
    </rPh>
    <phoneticPr fontId="8"/>
  </si>
  <si>
    <t>山積・企画設定画面(組合せグループ/組合せ単品)で削除データ作成</t>
    <rPh sb="0" eb="2">
      <t>ヤマヅ</t>
    </rPh>
    <rPh sb="25" eb="27">
      <t>サクジョ</t>
    </rPh>
    <phoneticPr fontId="8"/>
  </si>
  <si>
    <t>ファイル名:C:\CTKY\LOG\IG_MNTMST_END_SFTP.log</t>
    <rPh sb="4" eb="5">
      <t>メイ</t>
    </rPh>
    <phoneticPr fontId="15"/>
  </si>
  <si>
    <t>ENDファイル作成処理</t>
    <rPh sb="7" eb="9">
      <t>サクセイ</t>
    </rPh>
    <phoneticPr fontId="15"/>
  </si>
  <si>
    <t>過去分ログフォルダ:C:\CTKY\LOG\IG_MNTMST_END_SFTP.log.(001~010)</t>
    <rPh sb="0" eb="3">
      <t>カコブン</t>
    </rPh>
    <phoneticPr fontId="15"/>
  </si>
  <si>
    <t>差分データ/ENDファイルがignica変換サーバの該当店舗番号フォルダへ送信されていること</t>
    <rPh sb="0" eb="2">
      <t>サブン</t>
    </rPh>
    <rPh sb="20" eb="22">
      <t>ヘンカン</t>
    </rPh>
    <rPh sb="26" eb="32">
      <t>ガイトウテンポバンゴウ</t>
    </rPh>
    <rPh sb="37" eb="39">
      <t>ソウシン</t>
    </rPh>
    <phoneticPr fontId="15"/>
  </si>
  <si>
    <t>差分データファイル</t>
    <rPh sb="0" eb="2">
      <t>サブン</t>
    </rPh>
    <phoneticPr fontId="15"/>
  </si>
  <si>
    <t>商品マスタメンテ系の処理を実施</t>
  </si>
  <si>
    <t>商品マスタ新規データ作成処理を実施</t>
  </si>
  <si>
    <t>ファイルレイアウト仕様の通りにデータ作成されていること(新規)</t>
    <rPh sb="28" eb="30">
      <t>シンキ</t>
    </rPh>
    <phoneticPr fontId="15"/>
  </si>
  <si>
    <t>処理区分、値:A(登録)</t>
    <rPh sb="5" eb="6">
      <t>アタイ</t>
    </rPh>
    <phoneticPr fontId="15"/>
  </si>
  <si>
    <t>商品マスタ更新データ作成処理を実施</t>
  </si>
  <si>
    <t>ファイルレイアウト仕様の通りにデータ作成されていること(更新)</t>
    <rPh sb="28" eb="30">
      <t>コウシン</t>
    </rPh>
    <phoneticPr fontId="15"/>
  </si>
  <si>
    <t>処理区分、値:U(更新)</t>
    <rPh sb="5" eb="6">
      <t>アタイ</t>
    </rPh>
    <rPh sb="9" eb="11">
      <t>コウシン</t>
    </rPh>
    <phoneticPr fontId="15"/>
  </si>
  <si>
    <t>商品マスタ削除データ作成処理を実施</t>
  </si>
  <si>
    <t>ファイルレイアウト仕様の通りにデータ作成されていること(削除)</t>
    <rPh sb="28" eb="30">
      <t>サクジョ</t>
    </rPh>
    <phoneticPr fontId="15"/>
  </si>
  <si>
    <t>処理区分、値:D(削除)</t>
    <rPh sb="5" eb="6">
      <t>アタイ</t>
    </rPh>
    <rPh sb="9" eb="11">
      <t>サクジョ</t>
    </rPh>
    <phoneticPr fontId="15"/>
  </si>
  <si>
    <t>新規、更新、削除でそれぞれ確認</t>
    <rPh sb="0" eb="2">
      <t>シンキ</t>
    </rPh>
    <rPh sb="3" eb="5">
      <t>コウシン</t>
    </rPh>
    <rPh sb="6" eb="8">
      <t>サクジョ</t>
    </rPh>
    <rPh sb="13" eb="15">
      <t>カクニン</t>
    </rPh>
    <phoneticPr fontId="15"/>
  </si>
  <si>
    <t>企画マスタメンテ系の処理を実施</t>
  </si>
  <si>
    <t>ファイル名:IG_MNT_EVENTM_yyyymmddhhmmss.CSV</t>
    <rPh sb="4" eb="5">
      <t>メイ</t>
    </rPh>
    <phoneticPr fontId="15"/>
  </si>
  <si>
    <t>企画マスタ新規データ作成処理を実施</t>
  </si>
  <si>
    <t>企画マスタ更新データ作成処理を実施</t>
  </si>
  <si>
    <t>企画マスタ削除データ作成処理を実施</t>
  </si>
  <si>
    <t>特売マスタメンテ系の処理を実施</t>
  </si>
  <si>
    <t>ファイル名:IG_MNT_DISCOUNTM_yyyymmddhhmmss.CSV</t>
    <rPh sb="4" eb="5">
      <t>メイ</t>
    </rPh>
    <phoneticPr fontId="15"/>
  </si>
  <si>
    <t>特売マスタ新規データ作成処理を実施</t>
  </si>
  <si>
    <t>特売マスタ更新データ作成処理を実施</t>
  </si>
  <si>
    <t>特売マスタ削除データ作成処理を実施</t>
  </si>
  <si>
    <t>組合せマスタメンテ系の処理を実施</t>
  </si>
  <si>
    <t>ファイル名:IG_MNT_BUNDLEM_yyyymmddhhmmss.CSV</t>
    <rPh sb="4" eb="5">
      <t>メイ</t>
    </rPh>
    <phoneticPr fontId="15"/>
  </si>
  <si>
    <t>組合せマスタ新規データ作成処理を実施</t>
  </si>
  <si>
    <t>組合せマスタ更新データ作成処理を実施</t>
  </si>
  <si>
    <t>組合せマスタ削除データ作成処理を実施</t>
  </si>
  <si>
    <t>商品階層自動値引きマスタメンテ系の処理を実施</t>
  </si>
  <si>
    <t>ファイル名:IG_MNT_AUTODISC_yyyymmddhhmmss.CSV</t>
    <rPh sb="4" eb="5">
      <t>メイ</t>
    </rPh>
    <phoneticPr fontId="15"/>
  </si>
  <si>
    <t>商品階層自動値引きマスタ新規データ作成処理を実施</t>
  </si>
  <si>
    <t>新規データが作成されていること</t>
    <rPh sb="0" eb="2">
      <t>シンキ</t>
    </rPh>
    <phoneticPr fontId="15"/>
  </si>
  <si>
    <t>商品階層自動値引きマスタ更新データ作成処理を実施</t>
  </si>
  <si>
    <t>更新データが作成されていること</t>
    <rPh sb="0" eb="2">
      <t>コウシン</t>
    </rPh>
    <phoneticPr fontId="15"/>
  </si>
  <si>
    <t>商品階層自動値引きマスタ削除データ作成処理を実施</t>
  </si>
  <si>
    <t>削除データが作成されていること</t>
    <rPh sb="0" eb="2">
      <t>サクジョ</t>
    </rPh>
    <phoneticPr fontId="15"/>
  </si>
  <si>
    <t>複数回データ登録</t>
    <rPh sb="0" eb="3">
      <t>フクスウカイ</t>
    </rPh>
    <rPh sb="6" eb="8">
      <t>トウロク</t>
    </rPh>
    <phoneticPr fontId="15"/>
  </si>
  <si>
    <t>新規データ作成</t>
    <rPh sb="0" eb="2">
      <t>シンキ</t>
    </rPh>
    <rPh sb="5" eb="7">
      <t>サクセイ</t>
    </rPh>
    <phoneticPr fontId="15"/>
  </si>
  <si>
    <t>マスタ更新履歴監視処理前の最終更新が新規となるようデータ登録</t>
    <rPh sb="11" eb="12">
      <t>マエ</t>
    </rPh>
    <rPh sb="13" eb="15">
      <t>サイシュウ</t>
    </rPh>
    <rPh sb="15" eb="17">
      <t>コウシン</t>
    </rPh>
    <rPh sb="18" eb="20">
      <t>シンキ</t>
    </rPh>
    <rPh sb="28" eb="30">
      <t>トウロク</t>
    </rPh>
    <phoneticPr fontId="15"/>
  </si>
  <si>
    <t>マスタ更新履歴監視処理前の最終更新が更新となるようデータ登録</t>
    <rPh sb="11" eb="12">
      <t>マエ</t>
    </rPh>
    <rPh sb="13" eb="15">
      <t>サイシュウ</t>
    </rPh>
    <rPh sb="15" eb="17">
      <t>コウシン</t>
    </rPh>
    <rPh sb="18" eb="20">
      <t>コウシン</t>
    </rPh>
    <rPh sb="28" eb="30">
      <t>トウロク</t>
    </rPh>
    <phoneticPr fontId="15"/>
  </si>
  <si>
    <t>マスタ更新履歴監視処理前の最終更新が削除となるようデータ登録</t>
    <rPh sb="11" eb="12">
      <t>マエ</t>
    </rPh>
    <rPh sb="13" eb="15">
      <t>サイシュウ</t>
    </rPh>
    <rPh sb="15" eb="17">
      <t>コウシン</t>
    </rPh>
    <rPh sb="18" eb="20">
      <t>サクジョ</t>
    </rPh>
    <rPh sb="28" eb="30">
      <t>トウロク</t>
    </rPh>
    <phoneticPr fontId="15"/>
  </si>
  <si>
    <t>データ作成されないこと</t>
    <rPh sb="3" eb="5">
      <t>サクセイ</t>
    </rPh>
    <phoneticPr fontId="15"/>
  </si>
  <si>
    <t>レコードがないこと</t>
    <phoneticPr fontId="15"/>
  </si>
  <si>
    <t>更新データ作成</t>
    <rPh sb="0" eb="2">
      <t>コウシン</t>
    </rPh>
    <phoneticPr fontId="15"/>
  </si>
  <si>
    <t>削除データ作成</t>
    <rPh sb="0" eb="2">
      <t>サクジョ</t>
    </rPh>
    <phoneticPr fontId="15"/>
  </si>
  <si>
    <t>差分データファイル内の対応するデータファイルのレコード件数と一致していること</t>
    <rPh sb="0" eb="2">
      <t>サブン</t>
    </rPh>
    <rPh sb="9" eb="10">
      <t>ナイ</t>
    </rPh>
    <rPh sb="27" eb="29">
      <t>ケンスウ</t>
    </rPh>
    <phoneticPr fontId="15"/>
  </si>
  <si>
    <t>未実装機能確認</t>
    <rPh sb="0" eb="7">
      <t>ミジッソウキノウカクニン</t>
    </rPh>
    <phoneticPr fontId="15"/>
  </si>
  <si>
    <t>差分マスタ連携対象外</t>
    <rPh sb="0" eb="2">
      <t>サブン</t>
    </rPh>
    <rPh sb="5" eb="7">
      <t>レンケイ</t>
    </rPh>
    <rPh sb="7" eb="10">
      <t>タイショウガイ</t>
    </rPh>
    <phoneticPr fontId="15"/>
  </si>
  <si>
    <t>担当者マスタ</t>
    <rPh sb="0" eb="3">
      <t>タントウシャ</t>
    </rPh>
    <phoneticPr fontId="15"/>
  </si>
  <si>
    <t>POSサーバから担当者の権限を変更する</t>
    <rPh sb="8" eb="11">
      <t>タントウシャ</t>
    </rPh>
    <rPh sb="12" eb="14">
      <t>ケンゲン</t>
    </rPh>
    <rPh sb="15" eb="17">
      <t>ヘンコウ</t>
    </rPh>
    <phoneticPr fontId="15"/>
  </si>
  <si>
    <t>データが差分連携されないこと</t>
    <rPh sb="4" eb="8">
      <t>サブンレンケイ</t>
    </rPh>
    <phoneticPr fontId="15"/>
  </si>
  <si>
    <t>緊急登録</t>
    <rPh sb="0" eb="4">
      <t>キンキュウトウロク</t>
    </rPh>
    <phoneticPr fontId="15"/>
  </si>
  <si>
    <t>POSで緊急登録を実施する</t>
    <rPh sb="4" eb="8">
      <t>キンキュウトウロク</t>
    </rPh>
    <rPh sb="9" eb="11">
      <t>ジッシ</t>
    </rPh>
    <phoneticPr fontId="15"/>
  </si>
  <si>
    <t>当日分バックアップフォルダ:E:\CTKY\DATA\BACKUP\IG_MNT_SEND\Today\</t>
    <rPh sb="0" eb="2">
      <t>トウジツ</t>
    </rPh>
    <rPh sb="2" eb="3">
      <t>ブン</t>
    </rPh>
    <phoneticPr fontId="15"/>
  </si>
  <si>
    <t>常駐プログラム開始処理</t>
    <rPh sb="0" eb="2">
      <t>ジョウチュウ</t>
    </rPh>
    <rPh sb="7" eb="9">
      <t>カイシ</t>
    </rPh>
    <rPh sb="9" eb="11">
      <t>ショリ</t>
    </rPh>
    <phoneticPr fontId="15"/>
  </si>
  <si>
    <t>開閉店状況照会で[ignica連携差分データ常駐PG起動]が異常となっていること</t>
    <rPh sb="0" eb="7">
      <t>カイヘイテンジョウキョウショウカイ</t>
    </rPh>
    <rPh sb="30" eb="32">
      <t>イジョウ</t>
    </rPh>
    <phoneticPr fontId="15"/>
  </si>
  <si>
    <t>イベントログ</t>
    <phoneticPr fontId="15"/>
  </si>
  <si>
    <t>Centric Manager上でエラーのイベントログが出力されること</t>
    <rPh sb="15" eb="16">
      <t>ジョウ</t>
    </rPh>
    <rPh sb="28" eb="30">
      <t>シュツリョク</t>
    </rPh>
    <phoneticPr fontId="15"/>
  </si>
  <si>
    <t>常駐プログラム開始処理ログ</t>
    <phoneticPr fontId="15"/>
  </si>
  <si>
    <t>ファイル名:C:\GSTR\RAFT\log\runlog.log</t>
    <phoneticPr fontId="15"/>
  </si>
  <si>
    <t>閉店処理</t>
    <rPh sb="0" eb="4">
      <t>ヘイテンショリ</t>
    </rPh>
    <phoneticPr fontId="15"/>
  </si>
  <si>
    <t>常駐プログラム終了処理</t>
    <rPh sb="7" eb="9">
      <t>シュウリョウ</t>
    </rPh>
    <phoneticPr fontId="15"/>
  </si>
  <si>
    <t>開閉店状況照会で[ignica連携差分データ常駐PG終了]が異常となっていること</t>
    <rPh sb="0" eb="7">
      <t>カイヘイテンジョウキョウショウカイ</t>
    </rPh>
    <rPh sb="30" eb="32">
      <t>イジョウ</t>
    </rPh>
    <phoneticPr fontId="15"/>
  </si>
  <si>
    <t>常駐プログラム終了処理ログ</t>
    <phoneticPr fontId="15"/>
  </si>
  <si>
    <t>ファイル名:C:\GSTR\RAFT\log\runlog.log</t>
    <rPh sb="4" eb="5">
      <t>メイ</t>
    </rPh>
    <phoneticPr fontId="15"/>
  </si>
  <si>
    <t>差分連携ファイル処理</t>
    <phoneticPr fontId="15"/>
  </si>
  <si>
    <t>常駐プログラム監視処理</t>
  </si>
  <si>
    <t>常駐プログラム監視処理ログ</t>
    <rPh sb="7" eb="9">
      <t>カンシ</t>
    </rPh>
    <phoneticPr fontId="15"/>
  </si>
  <si>
    <t>マスタ更新履歴作成処理</t>
    <phoneticPr fontId="15"/>
  </si>
  <si>
    <t>マスタ更新履歴作成処理ログ</t>
    <phoneticPr fontId="15"/>
  </si>
  <si>
    <t>マスタ更新履歴監視処理</t>
  </si>
  <si>
    <t>マスタ更新履歴監視処理ログ</t>
    <rPh sb="7" eb="9">
      <t>カンシ</t>
    </rPh>
    <phoneticPr fontId="15"/>
  </si>
  <si>
    <t>差分データファイル圧縮処理</t>
    <rPh sb="11" eb="13">
      <t>ショリ</t>
    </rPh>
    <phoneticPr fontId="15"/>
  </si>
  <si>
    <t>差分データファイル送信処理</t>
    <rPh sb="11" eb="13">
      <t>ショリ</t>
    </rPh>
    <phoneticPr fontId="15"/>
  </si>
  <si>
    <t>ignica変換サーバのiniファイル情報を書き換える</t>
    <phoneticPr fontId="15"/>
  </si>
  <si>
    <t>5回リトライ実施されていること</t>
    <rPh sb="1" eb="2">
      <t>カイ</t>
    </rPh>
    <rPh sb="6" eb="8">
      <t>ジッシ</t>
    </rPh>
    <phoneticPr fontId="15"/>
  </si>
  <si>
    <t>差分データファイルバックアップ処理</t>
    <rPh sb="15" eb="17">
      <t>ショリ</t>
    </rPh>
    <phoneticPr fontId="15"/>
  </si>
  <si>
    <t>開閉店処理中更新</t>
    <phoneticPr fontId="15"/>
  </si>
  <si>
    <t>開店処理</t>
    <rPh sb="0" eb="4">
      <t>カイテンショリ</t>
    </rPh>
    <phoneticPr fontId="15"/>
  </si>
  <si>
    <t>開店処理の全件データ作成前に差分データが作成される処理を実施</t>
    <rPh sb="0" eb="2">
      <t>カイテン</t>
    </rPh>
    <rPh sb="2" eb="4">
      <t>ショリ</t>
    </rPh>
    <rPh sb="5" eb="7">
      <t>ゼンケン</t>
    </rPh>
    <rPh sb="10" eb="12">
      <t>サクセイ</t>
    </rPh>
    <rPh sb="12" eb="13">
      <t>マエ</t>
    </rPh>
    <rPh sb="28" eb="30">
      <t>ジッシ</t>
    </rPh>
    <phoneticPr fontId="15"/>
  </si>
  <si>
    <t>差分連携ではなく、全件一括データとして連携されること</t>
    <rPh sb="0" eb="4">
      <t>サブンレンケイ</t>
    </rPh>
    <rPh sb="9" eb="11">
      <t>ゼンケン</t>
    </rPh>
    <rPh sb="11" eb="13">
      <t>イッカツ</t>
    </rPh>
    <rPh sb="19" eb="21">
      <t>レンケイ</t>
    </rPh>
    <phoneticPr fontId="15"/>
  </si>
  <si>
    <t>該当の更新箇所と、全件一括データの内容を比較</t>
    <rPh sb="0" eb="2">
      <t>ガイトウ</t>
    </rPh>
    <rPh sb="3" eb="5">
      <t>コウシン</t>
    </rPh>
    <rPh sb="5" eb="7">
      <t>カショ</t>
    </rPh>
    <rPh sb="9" eb="13">
      <t>ゼンケンイッカツ</t>
    </rPh>
    <rPh sb="17" eb="19">
      <t>ナイヨウ</t>
    </rPh>
    <rPh sb="20" eb="22">
      <t>ヒカク</t>
    </rPh>
    <phoneticPr fontId="15"/>
  </si>
  <si>
    <t>閉店処理中に差分データが作成される処理を実施</t>
    <rPh sb="0" eb="2">
      <t>ヘイテン</t>
    </rPh>
    <rPh sb="2" eb="4">
      <t>ショリ</t>
    </rPh>
    <rPh sb="4" eb="5">
      <t>チュウ</t>
    </rPh>
    <rPh sb="6" eb="8">
      <t>サブン</t>
    </rPh>
    <rPh sb="20" eb="22">
      <t>ジッシ</t>
    </rPh>
    <phoneticPr fontId="15"/>
  </si>
  <si>
    <t>差分データ再作成バッチ</t>
    <phoneticPr fontId="15"/>
  </si>
  <si>
    <t>マスタ空更新したレコードが抽出され、ファイル作成されていること</t>
    <rPh sb="3" eb="4">
      <t>カラ</t>
    </rPh>
    <rPh sb="4" eb="6">
      <t>コウシン</t>
    </rPh>
    <rPh sb="13" eb="15">
      <t>チュウシュツ</t>
    </rPh>
    <rPh sb="22" eb="24">
      <t>サクセイ</t>
    </rPh>
    <phoneticPr fontId="15"/>
  </si>
  <si>
    <t>バッチ名:C:\GSFD\BIN\IG_RCVR_MST_MK_MNTDATA.bat</t>
    <rPh sb="3" eb="4">
      <t>メイ</t>
    </rPh>
    <phoneticPr fontId="15"/>
  </si>
  <si>
    <t>企画マスタ</t>
    <phoneticPr fontId="8"/>
  </si>
  <si>
    <t>差分データ再送信バッチ</t>
    <rPh sb="6" eb="8">
      <t>ソウシン</t>
    </rPh>
    <phoneticPr fontId="15"/>
  </si>
  <si>
    <t>バッチ名:C:\GSFD\BIN\IG_RCVR_MST_SFTP_MNTDATA.bat</t>
    <rPh sb="3" eb="4">
      <t>メイ</t>
    </rPh>
    <phoneticPr fontId="15"/>
  </si>
  <si>
    <t>ー</t>
    <phoneticPr fontId="15"/>
  </si>
  <si>
    <t>常駐プログラム</t>
    <rPh sb="0" eb="2">
      <t>ジョウチュウ</t>
    </rPh>
    <phoneticPr fontId="15"/>
  </si>
  <si>
    <t>マスタ更新履歴監視停止再開バッチ</t>
    <phoneticPr fontId="15"/>
  </si>
  <si>
    <t>停止(STOPファイル作成)</t>
    <phoneticPr fontId="15"/>
  </si>
  <si>
    <t>パラメタ"1"指定でバッチ実行</t>
    <phoneticPr fontId="15"/>
  </si>
  <si>
    <t>処理が正常終了すること</t>
    <rPh sb="0" eb="2">
      <t>ショリ</t>
    </rPh>
    <rPh sb="3" eb="7">
      <t>セイジョウシュウリョウ</t>
    </rPh>
    <phoneticPr fontId="15"/>
  </si>
  <si>
    <t>バッチ名:C:\GSFD\BIN\IG_RCVR_MST_STOP_MK_MNTDATA.bat</t>
    <rPh sb="3" eb="4">
      <t>メイ</t>
    </rPh>
    <phoneticPr fontId="15"/>
  </si>
  <si>
    <t>マスタ更新監視STOPファイルが作成されていること</t>
    <rPh sb="16" eb="18">
      <t>サクセイ</t>
    </rPh>
    <phoneticPr fontId="15"/>
  </si>
  <si>
    <t>ファイル名:C:\GSFD\BIN\GSFD_IG_MONI_STOP.cmd</t>
    <phoneticPr fontId="15"/>
  </si>
  <si>
    <t>再開(STOPファイル削除)</t>
    <phoneticPr fontId="15"/>
  </si>
  <si>
    <t>パラメタ"0"指定でバッチ実行</t>
    <phoneticPr fontId="15"/>
  </si>
  <si>
    <t>マスタ更新監視STOPファイルが削除されていること</t>
    <rPh sb="16" eb="18">
      <t>サクジョ</t>
    </rPh>
    <phoneticPr fontId="15"/>
  </si>
  <si>
    <t>各設定画面で新規データ作成</t>
    <rPh sb="0" eb="1">
      <t>カク</t>
    </rPh>
    <rPh sb="11" eb="13">
      <t>サクセイ</t>
    </rPh>
    <phoneticPr fontId="8"/>
  </si>
  <si>
    <t>送信ファイル一覧の名称でファイル作成されていないこと</t>
    <rPh sb="9" eb="11">
      <t>メイショウ</t>
    </rPh>
    <rPh sb="16" eb="18">
      <t>サクセイ</t>
    </rPh>
    <phoneticPr fontId="15"/>
  </si>
  <si>
    <t>上記以外のパラメータでバッチ実行</t>
    <phoneticPr fontId="15"/>
  </si>
  <si>
    <t>SFTP送信監視停止/再開バッチ</t>
    <phoneticPr fontId="15"/>
  </si>
  <si>
    <t>バッチ名:C:\GSFD\BIN\IG_RCVR_MST_STOP_SFTP_MNTDATA.bat</t>
    <rPh sb="3" eb="4">
      <t>メイ</t>
    </rPh>
    <phoneticPr fontId="15"/>
  </si>
  <si>
    <t>SFTP送信監視STOPファイルが作成されていること</t>
    <rPh sb="17" eb="19">
      <t>サクセイ</t>
    </rPh>
    <phoneticPr fontId="15"/>
  </si>
  <si>
    <t>ファイル名:C:\GSFD\BIN\GSFD_IG_TRAN_STOP.cmd</t>
    <phoneticPr fontId="15"/>
  </si>
  <si>
    <t>SFTP送信監視STOPファイルが削除されていること</t>
    <rPh sb="17" eb="19">
      <t>サクジョ</t>
    </rPh>
    <phoneticPr fontId="15"/>
  </si>
  <si>
    <t>SFTP受信処理</t>
  </si>
  <si>
    <t>プロセス名:GSFD_IG_DL_LOG.exe</t>
    <rPh sb="4" eb="5">
      <t>メイ</t>
    </rPh>
    <phoneticPr fontId="15"/>
  </si>
  <si>
    <t>SFTP受信処理</t>
    <phoneticPr fontId="15"/>
  </si>
  <si>
    <t>プロセス名:GSFD_IG_DL_LOG.exe</t>
    <phoneticPr fontId="15"/>
  </si>
  <si>
    <t>実績データファイル受信処理</t>
    <rPh sb="9" eb="11">
      <t>ジュシン</t>
    </rPh>
    <rPh sb="11" eb="13">
      <t>ショリ</t>
    </rPh>
    <phoneticPr fontId="15"/>
  </si>
  <si>
    <t>ファイル受信</t>
    <rPh sb="4" eb="6">
      <t>ジュシン</t>
    </rPh>
    <phoneticPr fontId="15"/>
  </si>
  <si>
    <t>実績データファイル</t>
    <rPh sb="0" eb="2">
      <t>ジッセキ</t>
    </rPh>
    <phoneticPr fontId="15"/>
  </si>
  <si>
    <t>ignicaPOSで取引後、トラン実績データ受信</t>
    <rPh sb="10" eb="12">
      <t>トリヒキ</t>
    </rPh>
    <rPh sb="12" eb="13">
      <t>ゴ</t>
    </rPh>
    <rPh sb="17" eb="19">
      <t>ジッセキ</t>
    </rPh>
    <rPh sb="22" eb="24">
      <t>ジュシン</t>
    </rPh>
    <phoneticPr fontId="15"/>
  </si>
  <si>
    <t>受信ファイル一覧の名称でファイル作成されていること</t>
    <rPh sb="0" eb="2">
      <t>ジュシン</t>
    </rPh>
    <rPh sb="9" eb="11">
      <t>メイショウ</t>
    </rPh>
    <rPh sb="16" eb="18">
      <t>サクセイ</t>
    </rPh>
    <phoneticPr fontId="15"/>
  </si>
  <si>
    <t>ファイル名:[店舗コード(3桁)]＋"_"＋[POS番号(4桁)]＋"_TRN_"＋[取引ログファイル通番(9桁)]＋".zip"</t>
    <rPh sb="4" eb="5">
      <t>メイ</t>
    </rPh>
    <phoneticPr fontId="15"/>
  </si>
  <si>
    <t>実績データ</t>
    <rPh sb="0" eb="2">
      <t>ジッセキ</t>
    </rPh>
    <phoneticPr fontId="15"/>
  </si>
  <si>
    <t>受信結果ログファイルが作成されていること</t>
    <rPh sb="0" eb="2">
      <t>ジュシン</t>
    </rPh>
    <rPh sb="2" eb="4">
      <t>ケッカ</t>
    </rPh>
    <rPh sb="11" eb="13">
      <t>サクセイ</t>
    </rPh>
    <phoneticPr fontId="15"/>
  </si>
  <si>
    <t>ファイル名:E:\CTKY\BF\LOG\GSFD_BF_ZIPRCVFTP.log</t>
    <rPh sb="4" eb="5">
      <t>メイ</t>
    </rPh>
    <phoneticPr fontId="15"/>
  </si>
  <si>
    <t>SFTP受信処理</t>
    <rPh sb="4" eb="6">
      <t>ジュシン</t>
    </rPh>
    <rPh sb="6" eb="8">
      <t>ショリ</t>
    </rPh>
    <phoneticPr fontId="15"/>
  </si>
  <si>
    <t>対象処理:SFTP受信処理</t>
    <rPh sb="0" eb="4">
      <t>タイショウショリ</t>
    </rPh>
    <rPh sb="9" eb="11">
      <t>ジュシン</t>
    </rPh>
    <rPh sb="11" eb="13">
      <t>ショリ</t>
    </rPh>
    <phoneticPr fontId="15"/>
  </si>
  <si>
    <t>ファイル解凍処理</t>
    <rPh sb="4" eb="6">
      <t>カイトウ</t>
    </rPh>
    <phoneticPr fontId="15"/>
  </si>
  <si>
    <t>対象処理:ファイル解凍処理</t>
    <rPh sb="9" eb="11">
      <t>カイトウ</t>
    </rPh>
    <phoneticPr fontId="15"/>
  </si>
  <si>
    <t>受信ファイルバックアップ処理</t>
    <rPh sb="0" eb="2">
      <t>ジュシン</t>
    </rPh>
    <rPh sb="12" eb="14">
      <t>ショリ</t>
    </rPh>
    <phoneticPr fontId="15"/>
  </si>
  <si>
    <t>対象処理:受信ファイルバックアップ処理</t>
    <rPh sb="5" eb="7">
      <t>ジュシン</t>
    </rPh>
    <rPh sb="17" eb="19">
      <t>ショリ</t>
    </rPh>
    <phoneticPr fontId="15"/>
  </si>
  <si>
    <t>実績取込処理</t>
    <phoneticPr fontId="15"/>
  </si>
  <si>
    <t>対象処理:実績取込処理</t>
    <phoneticPr fontId="15"/>
  </si>
  <si>
    <t>実績更新処理</t>
    <phoneticPr fontId="15"/>
  </si>
  <si>
    <t>対象処理:実績更新処理</t>
    <phoneticPr fontId="15"/>
  </si>
  <si>
    <t>当日分バックアップフォルダ:E:\CTKY\DATA\BF\DATA_RCV_BACKUP\Today\</t>
    <rPh sb="0" eb="2">
      <t>トウジツ</t>
    </rPh>
    <rPh sb="2" eb="3">
      <t>ブン</t>
    </rPh>
    <phoneticPr fontId="15"/>
  </si>
  <si>
    <t>ignicaPOS取引を1回以上、8日間実施</t>
    <rPh sb="9" eb="11">
      <t>トリヒキ</t>
    </rPh>
    <phoneticPr fontId="15"/>
  </si>
  <si>
    <t>過去分バックアップフォルダ:E:\CTKY\DATA\BF\DATA_RCV_BACKUP\(1~6)_DayBefore\</t>
    <rPh sb="0" eb="3">
      <t>カコブン</t>
    </rPh>
    <phoneticPr fontId="15"/>
  </si>
  <si>
    <t>ignicaPOS取引を1回以上、12日間実施</t>
    <phoneticPr fontId="15"/>
  </si>
  <si>
    <t>過去分ログフォルダ:E:\CTKY\BF\LOG\GSFD_BF_ZIPRCVFTP.log.(001~010)</t>
    <rPh sb="0" eb="3">
      <t>カコブン</t>
    </rPh>
    <phoneticPr fontId="15"/>
  </si>
  <si>
    <t>実績データENDファイル受信処理</t>
    <rPh sb="12" eb="14">
      <t>ジュシン</t>
    </rPh>
    <rPh sb="14" eb="16">
      <t>ショリ</t>
    </rPh>
    <phoneticPr fontId="15"/>
  </si>
  <si>
    <t>ファイル名:[店舗コード(3桁)]＋"_"＋[POS番号(4桁)]＋"_TRN_"＋[取引ログファイル通番(9桁)]＋".zip.END"</t>
    <phoneticPr fontId="15"/>
  </si>
  <si>
    <t>ファイル名:E:\CTKY\BF\LOG\GSFD_BF_ENDRCVFTP.log</t>
    <rPh sb="4" eb="5">
      <t>メイ</t>
    </rPh>
    <phoneticPr fontId="15"/>
  </si>
  <si>
    <t>ENDファイル受信処理ログ</t>
    <rPh sb="7" eb="9">
      <t>ジュシン</t>
    </rPh>
    <rPh sb="9" eb="11">
      <t>ショリ</t>
    </rPh>
    <phoneticPr fontId="15"/>
  </si>
  <si>
    <t>対象処理:ENDファイル受信処理</t>
    <rPh sb="0" eb="2">
      <t>タイショウ</t>
    </rPh>
    <rPh sb="2" eb="4">
      <t>ショリ</t>
    </rPh>
    <rPh sb="12" eb="14">
      <t>ジュシン</t>
    </rPh>
    <rPh sb="14" eb="16">
      <t>ショリ</t>
    </rPh>
    <phoneticPr fontId="15"/>
  </si>
  <si>
    <t>対象処理:受信ファイルバックアップ処理</t>
    <rPh sb="0" eb="2">
      <t>タイショウ</t>
    </rPh>
    <rPh sb="2" eb="4">
      <t>ショリ</t>
    </rPh>
    <rPh sb="5" eb="7">
      <t>ジュシン</t>
    </rPh>
    <rPh sb="17" eb="19">
      <t>ショリ</t>
    </rPh>
    <phoneticPr fontId="15"/>
  </si>
  <si>
    <t>ファイルチェック</t>
    <phoneticPr fontId="15"/>
  </si>
  <si>
    <t>トラン実績データファイル</t>
    <rPh sb="3" eb="5">
      <t>ジッセキ</t>
    </rPh>
    <phoneticPr fontId="15"/>
  </si>
  <si>
    <t>取引情報</t>
    <rPh sb="0" eb="2">
      <t>トリヒキ</t>
    </rPh>
    <rPh sb="2" eb="4">
      <t>ジョウホウ</t>
    </rPh>
    <phoneticPr fontId="14"/>
  </si>
  <si>
    <t>ignicaPOSで操作後、各トラン実績データ受信</t>
    <rPh sb="10" eb="12">
      <t>ソウサ</t>
    </rPh>
    <rPh sb="12" eb="13">
      <t>ゴ</t>
    </rPh>
    <rPh sb="14" eb="15">
      <t>カク</t>
    </rPh>
    <rPh sb="18" eb="20">
      <t>ジッセキ</t>
    </rPh>
    <rPh sb="23" eb="25">
      <t>ジュシン</t>
    </rPh>
    <phoneticPr fontId="15"/>
  </si>
  <si>
    <t>ファイル詳細に記載のファイル名があること</t>
    <rPh sb="14" eb="15">
      <t>メイ</t>
    </rPh>
    <phoneticPr fontId="15"/>
  </si>
  <si>
    <t>ファイル名:TRANS_HEADER.tsv</t>
    <rPh sb="4" eb="5">
      <t>メイ</t>
    </rPh>
    <phoneticPr fontId="15"/>
  </si>
  <si>
    <t>取引明細のリンク情報</t>
  </si>
  <si>
    <t>フォルダ名:LN_LINK.tsv</t>
  </si>
  <si>
    <t>商品明細情報</t>
  </si>
  <si>
    <t>フォルダ名:LN_DETAIL.tsv</t>
  </si>
  <si>
    <t>値引情報</t>
  </si>
  <si>
    <t>フォルダ名:LN_DISCOUNT.tsv</t>
  </si>
  <si>
    <t>取引の税情報</t>
  </si>
  <si>
    <t>フォルダ名:TRANSACTION_TAX.tsv</t>
  </si>
  <si>
    <t>取引の支払情報</t>
  </si>
  <si>
    <t>フォルダ名:TRANSACTION_TENDER.tsv</t>
  </si>
  <si>
    <t>現外支払情報</t>
  </si>
  <si>
    <t>フォルダ名:GIFT_CERT_TENDER.tsv</t>
  </si>
  <si>
    <t>ポイント情報</t>
    <rPh sb="4" eb="6">
      <t>ジョウホウ</t>
    </rPh>
    <phoneticPr fontId="4"/>
  </si>
  <si>
    <t>フォルダ名:GSFD_PNT_TRANS_HEADER.tsv</t>
  </si>
  <si>
    <t>支払情報</t>
  </si>
  <si>
    <t>フォルダ名:MANUAL_PRICE</t>
  </si>
  <si>
    <t>入出金情報</t>
  </si>
  <si>
    <t>フォルダ名:GL_TRAN</t>
  </si>
  <si>
    <t>フォルダ名:LOAN_PICKUP</t>
  </si>
  <si>
    <t>サイズ</t>
    <phoneticPr fontId="14"/>
  </si>
  <si>
    <t>トラン実績データファイル内のサイズ数と一致していること</t>
    <rPh sb="3" eb="5">
      <t>ジッセキ</t>
    </rPh>
    <rPh sb="12" eb="13">
      <t>ナイ</t>
    </rPh>
    <rPh sb="17" eb="18">
      <t>スウ</t>
    </rPh>
    <phoneticPr fontId="15"/>
  </si>
  <si>
    <t>機能パターン</t>
    <rPh sb="0" eb="2">
      <t>キノウ</t>
    </rPh>
    <phoneticPr fontId="15"/>
  </si>
  <si>
    <t>開局</t>
    <rPh sb="0" eb="2">
      <t>カイキョク</t>
    </rPh>
    <phoneticPr fontId="15"/>
  </si>
  <si>
    <t>各トラン実績データ受信後、データ取込</t>
    <rPh sb="11" eb="12">
      <t>ゴ</t>
    </rPh>
    <rPh sb="16" eb="18">
      <t>トリコミ</t>
    </rPh>
    <phoneticPr fontId="15"/>
  </si>
  <si>
    <t>テーブル内にレイアウト形式のレコードが生成されること</t>
    <rPh sb="11" eb="13">
      <t>ケイシキ</t>
    </rPh>
    <phoneticPr fontId="15"/>
  </si>
  <si>
    <t>確認項目はパターン資料参照</t>
    <rPh sb="0" eb="4">
      <t>カクニンコウモク</t>
    </rPh>
    <rPh sb="9" eb="13">
      <t>シリョウサンショウ</t>
    </rPh>
    <phoneticPr fontId="15"/>
  </si>
  <si>
    <t>入金</t>
    <rPh sb="0" eb="2">
      <t>ニュウキン</t>
    </rPh>
    <phoneticPr fontId="15"/>
  </si>
  <si>
    <t>出金</t>
    <rPh sb="0" eb="2">
      <t>シュッキン</t>
    </rPh>
    <phoneticPr fontId="15"/>
  </si>
  <si>
    <t>釣銭準備金</t>
    <rPh sb="0" eb="5">
      <t>ツリセンジュンビキン</t>
    </rPh>
    <phoneticPr fontId="15"/>
  </si>
  <si>
    <t>釣銭補充</t>
    <rPh sb="0" eb="4">
      <t>ツリセンホジュウ</t>
    </rPh>
    <phoneticPr fontId="15"/>
  </si>
  <si>
    <t>中間回収</t>
    <rPh sb="0" eb="4">
      <t>チュウカンカイシュウ</t>
    </rPh>
    <phoneticPr fontId="15"/>
  </si>
  <si>
    <t>精算</t>
    <rPh sb="0" eb="2">
      <t>セイサン</t>
    </rPh>
    <phoneticPr fontId="15"/>
  </si>
  <si>
    <t>税パターン</t>
    <rPh sb="0" eb="1">
      <t>ゼイ</t>
    </rPh>
    <phoneticPr fontId="15"/>
  </si>
  <si>
    <t>外税8%</t>
    <rPh sb="0" eb="2">
      <t>ソトゼイ</t>
    </rPh>
    <phoneticPr fontId="15"/>
  </si>
  <si>
    <t>外税10%</t>
    <rPh sb="0" eb="2">
      <t>ソトゼイ</t>
    </rPh>
    <phoneticPr fontId="15"/>
  </si>
  <si>
    <t>内税</t>
    <rPh sb="0" eb="2">
      <t>ウチゼイ</t>
    </rPh>
    <phoneticPr fontId="15"/>
  </si>
  <si>
    <t>非課税</t>
    <rPh sb="0" eb="3">
      <t>ヒカゼイ</t>
    </rPh>
    <phoneticPr fontId="1"/>
  </si>
  <si>
    <t>商品パターン</t>
    <rPh sb="0" eb="2">
      <t>ショウヒン</t>
    </rPh>
    <phoneticPr fontId="15"/>
  </si>
  <si>
    <t>JAN13</t>
  </si>
  <si>
    <t>JAN13(0埋め5桁)</t>
  </si>
  <si>
    <t>JAN13(0埋め6桁)</t>
  </si>
  <si>
    <t>JAN8</t>
  </si>
  <si>
    <t>JAN8(0埋め7桁)</t>
  </si>
  <si>
    <t>NON-PLU</t>
  </si>
  <si>
    <t>UPC-A</t>
  </si>
  <si>
    <t>UPC-A(0埋め10桁)</t>
  </si>
  <si>
    <t>UPC-A(0埋め11桁)</t>
  </si>
  <si>
    <t>UPC-E</t>
  </si>
  <si>
    <t>インストア</t>
  </si>
  <si>
    <t>書籍</t>
  </si>
  <si>
    <t>新雑誌</t>
  </si>
  <si>
    <t>売価変更パターン</t>
    <rPh sb="0" eb="4">
      <t>バイカヘンコウ</t>
    </rPh>
    <phoneticPr fontId="15"/>
  </si>
  <si>
    <t>売価変更(値上げ)</t>
    <rPh sb="0" eb="4">
      <t>バイカヘンコウ</t>
    </rPh>
    <phoneticPr fontId="15"/>
  </si>
  <si>
    <t>売価変更(値下げ)</t>
    <rPh sb="0" eb="4">
      <t>バイカヘンコウ</t>
    </rPh>
    <phoneticPr fontId="15"/>
  </si>
  <si>
    <t>部門登録</t>
    <rPh sb="0" eb="4">
      <t>ブモントウロク</t>
    </rPh>
    <phoneticPr fontId="15"/>
  </si>
  <si>
    <t>価格手入力</t>
    <rPh sb="0" eb="5">
      <t>カカクテニュウリョク</t>
    </rPh>
    <phoneticPr fontId="15"/>
  </si>
  <si>
    <t>値引パターン</t>
    <phoneticPr fontId="15"/>
  </si>
  <si>
    <t>マニュアル値引</t>
  </si>
  <si>
    <t>マニュアル割引</t>
  </si>
  <si>
    <t>バーコード値引(1段バーコード値引)</t>
  </si>
  <si>
    <t>バーコード値引(2段バーコード値引)</t>
  </si>
  <si>
    <t>特売(期間)</t>
  </si>
  <si>
    <t>特売(タイムサービス)</t>
  </si>
  <si>
    <t>組合せ値引(バンドル)</t>
  </si>
  <si>
    <t>組合せ値引(ミックス)</t>
  </si>
  <si>
    <t>組合せ値引(ペア)</t>
  </si>
  <si>
    <t>自動値引(商品階層自動値引)</t>
  </si>
  <si>
    <t>自動小計値引(さんにち割)</t>
  </si>
  <si>
    <t>自動小計値引除外</t>
  </si>
  <si>
    <t>マークダウン</t>
  </si>
  <si>
    <t>支払パターン</t>
    <phoneticPr fontId="15"/>
  </si>
  <si>
    <t>ing・fanポイント利用</t>
  </si>
  <si>
    <t>クレジット(他社クレ)</t>
  </si>
  <si>
    <t>クレジット(Vクレ)</t>
  </si>
  <si>
    <t>クレジット(MS)</t>
  </si>
  <si>
    <t>コード決済(PayPay)</t>
  </si>
  <si>
    <t>コード決済(d払い)</t>
  </si>
  <si>
    <t>コード決済(auPay)</t>
  </si>
  <si>
    <t>コード決済(メルペイ)</t>
  </si>
  <si>
    <t>コード決済(AEON Pay)</t>
  </si>
  <si>
    <t>現外コード(楽天ペイ)</t>
  </si>
  <si>
    <t>現外コード(ignicaポイント)</t>
  </si>
  <si>
    <t>現外コード(クレジット)</t>
  </si>
  <si>
    <t>現外コード(PayPay)</t>
  </si>
  <si>
    <t>現外コード(AEON Pay)</t>
  </si>
  <si>
    <t>現外券バーコード(USMHご優待券)</t>
  </si>
  <si>
    <t>現外券バーコード(マルエツ商品券)</t>
  </si>
  <si>
    <t>現外券バーコード(カスミ商品券)</t>
  </si>
  <si>
    <t>現外券バーコード(全商品券)</t>
  </si>
  <si>
    <t>カタリナクーポン</t>
  </si>
  <si>
    <t>現金</t>
  </si>
  <si>
    <t>ignica個別(雨の日クーポン)</t>
  </si>
  <si>
    <t>ignica個別(子育てクーポン)</t>
  </si>
  <si>
    <t>ignica個別(シニアの日クーポン)</t>
  </si>
  <si>
    <t>ignica個別(Vポイント)</t>
  </si>
  <si>
    <t>ignica個別(デビット(みんなの銀行))</t>
    <phoneticPr fontId="15"/>
  </si>
  <si>
    <t>Scan&amp;Go(ignicaポイント登録)</t>
  </si>
  <si>
    <t>Scan&amp;Go(代金引換)</t>
  </si>
  <si>
    <t>Online Delivery(ignicaポイント登録)</t>
    <phoneticPr fontId="15"/>
  </si>
  <si>
    <t>データチェック(取引中止)</t>
    <rPh sb="8" eb="12">
      <t>トリヒキチュウシ</t>
    </rPh>
    <phoneticPr fontId="15"/>
  </si>
  <si>
    <r>
      <t>テーブル内にレイアウト形式のレコードが生成</t>
    </r>
    <r>
      <rPr>
        <sz val="8"/>
        <color rgb="FFFF0000"/>
        <rFont val="Meiryo UI"/>
        <family val="3"/>
        <charset val="128"/>
      </rPr>
      <t>されない</t>
    </r>
    <r>
      <rPr>
        <sz val="8"/>
        <color theme="1"/>
        <rFont val="Meiryo UI"/>
        <family val="3"/>
        <charset val="128"/>
      </rPr>
      <t>こと</t>
    </r>
    <rPh sb="11" eb="13">
      <t>ケイシキ</t>
    </rPh>
    <phoneticPr fontId="15"/>
  </si>
  <si>
    <t>レポート機能</t>
    <rPh sb="4" eb="6">
      <t>キノウ</t>
    </rPh>
    <phoneticPr fontId="15"/>
  </si>
  <si>
    <t>速報</t>
    <phoneticPr fontId="15"/>
  </si>
  <si>
    <t>商品階層別速報</t>
    <rPh sb="0" eb="2">
      <t>ショウヒン</t>
    </rPh>
    <rPh sb="2" eb="4">
      <t>カイソウ</t>
    </rPh>
    <rPh sb="4" eb="5">
      <t>ベツ</t>
    </rPh>
    <rPh sb="5" eb="7">
      <t>ソクホウ</t>
    </rPh>
    <phoneticPr fontId="8"/>
  </si>
  <si>
    <t>ignicaPOSでの取引が、各商品階層ごとで集計されていること</t>
    <phoneticPr fontId="15"/>
  </si>
  <si>
    <t>担当者別速報</t>
    <rPh sb="0" eb="3">
      <t>タントウシャ</t>
    </rPh>
    <rPh sb="3" eb="4">
      <t>ベツ</t>
    </rPh>
    <rPh sb="4" eb="6">
      <t>ソクホウ</t>
    </rPh>
    <phoneticPr fontId="8"/>
  </si>
  <si>
    <t>ignicaPOSでの取引が、各担当者ごとで集計されていること</t>
    <phoneticPr fontId="15"/>
  </si>
  <si>
    <t>取引別速報</t>
    <rPh sb="0" eb="3">
      <t>トリヒキベツ</t>
    </rPh>
    <rPh sb="3" eb="5">
      <t>ソクホウ</t>
    </rPh>
    <phoneticPr fontId="8"/>
  </si>
  <si>
    <t>ignicaPOSでの取引が、各支払ごとで集計されていること</t>
    <phoneticPr fontId="15"/>
  </si>
  <si>
    <t>POS別速報</t>
    <rPh sb="3" eb="4">
      <t>ベツ</t>
    </rPh>
    <rPh sb="4" eb="6">
      <t>ソクホウ</t>
    </rPh>
    <phoneticPr fontId="8"/>
  </si>
  <si>
    <t>ignicaPOSでの取引が、各POSごとで集計されていること</t>
    <phoneticPr fontId="15"/>
  </si>
  <si>
    <t>単品別速報</t>
    <rPh sb="0" eb="2">
      <t>タンピン</t>
    </rPh>
    <rPh sb="2" eb="3">
      <t>ベツ</t>
    </rPh>
    <rPh sb="3" eb="5">
      <t>ソクホウ</t>
    </rPh>
    <phoneticPr fontId="8"/>
  </si>
  <si>
    <t>ignicaPOSでの取引が、各単品ごとで集計されていること</t>
    <phoneticPr fontId="15"/>
  </si>
  <si>
    <t>時間帯別速報</t>
    <phoneticPr fontId="15"/>
  </si>
  <si>
    <t>商品階層別時間帯別速報</t>
    <rPh sb="0" eb="2">
      <t>ショウヒン</t>
    </rPh>
    <rPh sb="2" eb="5">
      <t>カイソウベツ</t>
    </rPh>
    <rPh sb="5" eb="7">
      <t>ジカン</t>
    </rPh>
    <rPh sb="7" eb="9">
      <t>タイベツ</t>
    </rPh>
    <rPh sb="9" eb="11">
      <t>ソクホウ</t>
    </rPh>
    <phoneticPr fontId="8"/>
  </si>
  <si>
    <t>ignicaPOSでの取引が、各商品階層かつ、時間帯ごとで集計されていること</t>
    <phoneticPr fontId="15"/>
  </si>
  <si>
    <t>担当者別時間帯別速報</t>
    <rPh sb="0" eb="3">
      <t>タントウシャ</t>
    </rPh>
    <rPh sb="3" eb="4">
      <t>ベツ</t>
    </rPh>
    <rPh sb="4" eb="6">
      <t>ジカン</t>
    </rPh>
    <rPh sb="6" eb="8">
      <t>タイベツ</t>
    </rPh>
    <rPh sb="8" eb="10">
      <t>ソクホウ</t>
    </rPh>
    <phoneticPr fontId="8"/>
  </si>
  <si>
    <t>ignicaPOSでの取引が、各担当者かつ、時間帯ごとで集計されていること</t>
    <phoneticPr fontId="15"/>
  </si>
  <si>
    <t>POS別時間帯別速報</t>
    <rPh sb="3" eb="4">
      <t>ベツ</t>
    </rPh>
    <rPh sb="4" eb="6">
      <t>ジカン</t>
    </rPh>
    <rPh sb="6" eb="7">
      <t>タイ</t>
    </rPh>
    <rPh sb="7" eb="10">
      <t>ベツソクホウ</t>
    </rPh>
    <phoneticPr fontId="8"/>
  </si>
  <si>
    <t>ignicaPOSでの取引が、各POSかつ、時間帯ごとで集計されていること</t>
    <phoneticPr fontId="15"/>
  </si>
  <si>
    <t>単品別時間帯別速報</t>
    <rPh sb="0" eb="2">
      <t>タンピン</t>
    </rPh>
    <rPh sb="2" eb="3">
      <t>ベツ</t>
    </rPh>
    <rPh sb="3" eb="9">
      <t>ジカンタイベツソクホウ</t>
    </rPh>
    <phoneticPr fontId="8"/>
  </si>
  <si>
    <t>ignicaPOSでの取引が、各単品かつ、時間帯ごとで集計されていること</t>
    <phoneticPr fontId="15"/>
  </si>
  <si>
    <t>日報</t>
    <phoneticPr fontId="15"/>
  </si>
  <si>
    <t>商品階層別日報</t>
    <rPh sb="0" eb="4">
      <t>ショウヒンカイソウ</t>
    </rPh>
    <rPh sb="4" eb="5">
      <t>ベツ</t>
    </rPh>
    <rPh sb="5" eb="7">
      <t>ニッポウ</t>
    </rPh>
    <phoneticPr fontId="8"/>
  </si>
  <si>
    <t>ignicaPOSでの取引が、各商品階層かつ、日ごとで集計されていること</t>
    <phoneticPr fontId="15"/>
  </si>
  <si>
    <t>担当者別日報</t>
    <rPh sb="0" eb="3">
      <t>タントウシャ</t>
    </rPh>
    <rPh sb="3" eb="4">
      <t>ベツ</t>
    </rPh>
    <rPh sb="4" eb="6">
      <t>ニッポウ</t>
    </rPh>
    <phoneticPr fontId="8"/>
  </si>
  <si>
    <t>ignicaPOSでの取引が、各担当者かつ、日ごとで集計されていること</t>
    <phoneticPr fontId="15"/>
  </si>
  <si>
    <t>担当者別管理表</t>
    <rPh sb="0" eb="4">
      <t>タントウシャベツ</t>
    </rPh>
    <rPh sb="4" eb="7">
      <t>カンリヒョウ</t>
    </rPh>
    <phoneticPr fontId="8"/>
  </si>
  <si>
    <t>取引別日報</t>
    <rPh sb="0" eb="3">
      <t>トリヒキベツ</t>
    </rPh>
    <rPh sb="3" eb="5">
      <t>ニッポウ</t>
    </rPh>
    <phoneticPr fontId="8"/>
  </si>
  <si>
    <t>ignicaPOSでの取引が、各支払かつ、日ごとで集計されていること</t>
    <phoneticPr fontId="15"/>
  </si>
  <si>
    <t>POS別日報</t>
    <rPh sb="3" eb="4">
      <t>ベツ</t>
    </rPh>
    <rPh sb="4" eb="6">
      <t>ニッポウ</t>
    </rPh>
    <phoneticPr fontId="8"/>
  </si>
  <si>
    <t>単品別日報</t>
    <rPh sb="0" eb="2">
      <t>タンピン</t>
    </rPh>
    <rPh sb="2" eb="3">
      <t>ベツ</t>
    </rPh>
    <rPh sb="3" eb="5">
      <t>ニッポウ</t>
    </rPh>
    <phoneticPr fontId="8"/>
  </si>
  <si>
    <t>ignicaPOSでの取引が、各単品かつ、時間帯ごとで集計されていること</t>
  </si>
  <si>
    <t>企画別単品別日報</t>
    <rPh sb="0" eb="3">
      <t>キカクベツ</t>
    </rPh>
    <rPh sb="3" eb="6">
      <t>タンピンベツ</t>
    </rPh>
    <rPh sb="6" eb="8">
      <t>ニッポウ</t>
    </rPh>
    <phoneticPr fontId="8"/>
  </si>
  <si>
    <t>ignicaPOSでの取引が、各企画かつ、各単品かつ、日ごとで集計されていること</t>
  </si>
  <si>
    <t>時間帯別日報</t>
    <phoneticPr fontId="15"/>
  </si>
  <si>
    <t>商品階層別時間帯別日報</t>
    <rPh sb="0" eb="5">
      <t>ショウヒンカイソウベツ</t>
    </rPh>
    <rPh sb="5" eb="8">
      <t>ジカンタイ</t>
    </rPh>
    <rPh sb="8" eb="9">
      <t>ベツ</t>
    </rPh>
    <rPh sb="9" eb="11">
      <t>ニッポウ</t>
    </rPh>
    <phoneticPr fontId="8"/>
  </si>
  <si>
    <t>ignicaPOSでの取引が、各商品階層かつ、時間帯ごとかつ、日ごとで集計されていること</t>
  </si>
  <si>
    <t>担当者別時間帯別日報</t>
    <rPh sb="0" eb="4">
      <t>タントウシャベツ</t>
    </rPh>
    <rPh sb="4" eb="7">
      <t>ジカンタイ</t>
    </rPh>
    <rPh sb="7" eb="8">
      <t>ベツ</t>
    </rPh>
    <rPh sb="8" eb="10">
      <t>ニッポウ</t>
    </rPh>
    <phoneticPr fontId="8"/>
  </si>
  <si>
    <t>ignicaPOSでの取引が、各担当者かつ、時間帯ごとかつ、日ごとで集計されていること</t>
  </si>
  <si>
    <t>POS別時間帯別日報</t>
    <rPh sb="3" eb="4">
      <t>ベツ</t>
    </rPh>
    <rPh sb="4" eb="10">
      <t>ジカンタイベツニッポウ</t>
    </rPh>
    <phoneticPr fontId="8"/>
  </si>
  <si>
    <t>ignicaPOSでの取引が、各POSかつ、時間帯ごとかつ、日ごとで集計されていること</t>
  </si>
  <si>
    <t>単品別時間帯別日報</t>
    <rPh sb="0" eb="3">
      <t>タンピンベツ</t>
    </rPh>
    <rPh sb="3" eb="9">
      <t>ジカンタイベツニッポウ</t>
    </rPh>
    <phoneticPr fontId="8"/>
  </si>
  <si>
    <t>ignicaPOSでの取引が、各P単品かつ、時間帯ごとかつ、日ごとで集計されていること</t>
  </si>
  <si>
    <t>月報</t>
  </si>
  <si>
    <t>商品階層別月報</t>
    <rPh sb="0" eb="5">
      <t>ショウヒンカイソウベツ</t>
    </rPh>
    <rPh sb="5" eb="7">
      <t>ゲッポウ</t>
    </rPh>
    <phoneticPr fontId="8"/>
  </si>
  <si>
    <t>ignicaPOSでの取引が、各商品階層かつ、月ごとで集計されていること</t>
  </si>
  <si>
    <t>商品階層別日別月報</t>
    <rPh sb="0" eb="5">
      <t>ショウヒンカイソウベツ</t>
    </rPh>
    <rPh sb="5" eb="7">
      <t>ヒベツ</t>
    </rPh>
    <rPh sb="7" eb="9">
      <t>ゲッポウ</t>
    </rPh>
    <phoneticPr fontId="8"/>
  </si>
  <si>
    <r>
      <t>ignicaPOSでの取引が、</t>
    </r>
    <r>
      <rPr>
        <sz val="8"/>
        <color rgb="FFFF0000"/>
        <rFont val="Meiryo UI"/>
        <family val="3"/>
        <charset val="128"/>
      </rPr>
      <t>???</t>
    </r>
    <r>
      <rPr>
        <sz val="8"/>
        <color theme="1"/>
        <rFont val="Meiryo UI"/>
        <family val="3"/>
        <charset val="128"/>
      </rPr>
      <t>で集計されていること</t>
    </r>
    <phoneticPr fontId="15"/>
  </si>
  <si>
    <t>担当者別月報</t>
    <rPh sb="0" eb="4">
      <t>タントウシャベツ</t>
    </rPh>
    <rPh sb="4" eb="6">
      <t>ゲッポウ</t>
    </rPh>
    <phoneticPr fontId="8"/>
  </si>
  <si>
    <t>ignicaPOSでの取引が、各担当者かつ、月ごとで集計されていること</t>
  </si>
  <si>
    <t>取引別月報</t>
    <rPh sb="0" eb="3">
      <t>トリヒキベツ</t>
    </rPh>
    <rPh sb="3" eb="5">
      <t>ゲッポウ</t>
    </rPh>
    <phoneticPr fontId="8"/>
  </si>
  <si>
    <t>ignicaPOSでの取引が、各取引かつ、月ごとで集計されていること</t>
  </si>
  <si>
    <t>取引別日別月報</t>
    <rPh sb="0" eb="3">
      <t>トリヒキベツ</t>
    </rPh>
    <rPh sb="3" eb="5">
      <t>ヒベツ</t>
    </rPh>
    <rPh sb="5" eb="7">
      <t>ゲッポウ</t>
    </rPh>
    <phoneticPr fontId="8"/>
  </si>
  <si>
    <t>POS別月報</t>
    <rPh sb="3" eb="4">
      <t>ベツ</t>
    </rPh>
    <rPh sb="4" eb="6">
      <t>ゲッポウ</t>
    </rPh>
    <phoneticPr fontId="8"/>
  </si>
  <si>
    <t>ignicaPOSでの取引が、各POSかつ、月ごとで集計されていること</t>
  </si>
  <si>
    <t>単品別月報</t>
    <rPh sb="0" eb="2">
      <t>タンピン</t>
    </rPh>
    <rPh sb="2" eb="3">
      <t>ベツ</t>
    </rPh>
    <rPh sb="3" eb="5">
      <t>ゲッポウ</t>
    </rPh>
    <phoneticPr fontId="8"/>
  </si>
  <si>
    <t>ignicaPOSでの取引が、各単品かつ、月ごとで集計されていること</t>
  </si>
  <si>
    <t>部門実績レポート</t>
    <phoneticPr fontId="15"/>
  </si>
  <si>
    <t>部門実績フラッシュ</t>
    <phoneticPr fontId="15"/>
  </si>
  <si>
    <t>ignicaPOSでの取引が、各部門かつ、日ごとで集計されていること</t>
    <rPh sb="16" eb="18">
      <t>ブモン</t>
    </rPh>
    <rPh sb="21" eb="22">
      <t>ヒ</t>
    </rPh>
    <phoneticPr fontId="15"/>
  </si>
  <si>
    <t>部門実績時間帯レポート</t>
    <phoneticPr fontId="15"/>
  </si>
  <si>
    <t>ignicaPOSでの取引が、各部門かつ、時間帯ごとで集計されていること</t>
    <rPh sb="16" eb="18">
      <t>ブモン</t>
    </rPh>
    <rPh sb="21" eb="24">
      <t>ジカンタイ</t>
    </rPh>
    <phoneticPr fontId="15"/>
  </si>
  <si>
    <t>POS稼働状況</t>
    <rPh sb="3" eb="5">
      <t>カドウ</t>
    </rPh>
    <rPh sb="5" eb="7">
      <t>ジョウキョウ</t>
    </rPh>
    <phoneticPr fontId="15"/>
  </si>
  <si>
    <t>装置名称</t>
    <rPh sb="0" eb="2">
      <t>ソウチ</t>
    </rPh>
    <rPh sb="2" eb="4">
      <t>メイショウ</t>
    </rPh>
    <phoneticPr fontId="8"/>
  </si>
  <si>
    <t>店舗階層設定に定義した名称となっていること</t>
    <rPh sb="0" eb="2">
      <t>テンポ</t>
    </rPh>
    <rPh sb="2" eb="4">
      <t>カイソウ</t>
    </rPh>
    <rPh sb="4" eb="6">
      <t>セッテイ</t>
    </rPh>
    <rPh sb="7" eb="9">
      <t>テイギ</t>
    </rPh>
    <rPh sb="11" eb="13">
      <t>メイショウ</t>
    </rPh>
    <phoneticPr fontId="8"/>
  </si>
  <si>
    <t>POS Grp</t>
  </si>
  <si>
    <t>オペレータ名</t>
    <rPh sb="5" eb="6">
      <t>メイ</t>
    </rPh>
    <phoneticPr fontId="8"/>
  </si>
  <si>
    <t>開局トラン、精算トランの従業員IDに紐づく名称となっていること</t>
    <rPh sb="0" eb="2">
      <t>カイキョク</t>
    </rPh>
    <rPh sb="6" eb="8">
      <t>セイサン</t>
    </rPh>
    <rPh sb="12" eb="15">
      <t>ジュウギョウイン</t>
    </rPh>
    <rPh sb="18" eb="19">
      <t>ヒモ</t>
    </rPh>
    <rPh sb="21" eb="23">
      <t>メイショウ</t>
    </rPh>
    <phoneticPr fontId="8"/>
  </si>
  <si>
    <t>POS状態</t>
    <rPh sb="3" eb="5">
      <t>ジョウタイ</t>
    </rPh>
    <phoneticPr fontId="8"/>
  </si>
  <si>
    <t>ignicaPOSで未開局、開局、精算を実施</t>
    <rPh sb="10" eb="11">
      <t>ミ</t>
    </rPh>
    <rPh sb="11" eb="13">
      <t>カイキョク</t>
    </rPh>
    <rPh sb="14" eb="16">
      <t>カイキョク</t>
    </rPh>
    <rPh sb="17" eb="19">
      <t>セイサン</t>
    </rPh>
    <rPh sb="20" eb="22">
      <t>ジッシ</t>
    </rPh>
    <phoneticPr fontId="15"/>
  </si>
  <si>
    <t>未稼働、稼働中、精算済のステータスとなること</t>
    <rPh sb="0" eb="3">
      <t>ミカドウ</t>
    </rPh>
    <rPh sb="4" eb="7">
      <t>カドウチュウ</t>
    </rPh>
    <rPh sb="8" eb="11">
      <t>セイサンズ</t>
    </rPh>
    <phoneticPr fontId="15"/>
  </si>
  <si>
    <t>POS業務モード</t>
    <rPh sb="3" eb="5">
      <t>ギョウム</t>
    </rPh>
    <phoneticPr fontId="8"/>
  </si>
  <si>
    <r>
      <t>オンライン時は通常、</t>
    </r>
    <r>
      <rPr>
        <sz val="8"/>
        <color rgb="FFFF0000"/>
        <rFont val="Meiryo UI"/>
        <family val="3"/>
        <charset val="128"/>
      </rPr>
      <t>以外は空白?</t>
    </r>
    <r>
      <rPr>
        <sz val="8"/>
        <color theme="1"/>
        <rFont val="Meiryo UI"/>
        <family val="3"/>
        <charset val="128"/>
      </rPr>
      <t>となっていること</t>
    </r>
    <phoneticPr fontId="15"/>
  </si>
  <si>
    <t>LAN回線モード</t>
    <rPh sb="3" eb="5">
      <t>カイセン</t>
    </rPh>
    <phoneticPr fontId="8"/>
  </si>
  <si>
    <t>オフラインとなっていること</t>
    <phoneticPr fontId="15"/>
  </si>
  <si>
    <t>取引通番抜け</t>
    <rPh sb="0" eb="2">
      <t>トリヒキ</t>
    </rPh>
    <rPh sb="2" eb="4">
      <t>ツウバン</t>
    </rPh>
    <rPh sb="4" eb="5">
      <t>ヌ</t>
    </rPh>
    <phoneticPr fontId="8"/>
  </si>
  <si>
    <t>正常時は抜けなし表示、通番抜けの場合は、抜けあり表示となっていること</t>
    <rPh sb="0" eb="3">
      <t>セイジョウジ</t>
    </rPh>
    <rPh sb="4" eb="5">
      <t>ヌ</t>
    </rPh>
    <rPh sb="8" eb="10">
      <t>ヒョウジ</t>
    </rPh>
    <rPh sb="11" eb="14">
      <t>ツウバンヌ</t>
    </rPh>
    <rPh sb="16" eb="18">
      <t>バアイ</t>
    </rPh>
    <rPh sb="20" eb="21">
      <t>ヌ</t>
    </rPh>
    <rPh sb="24" eb="26">
      <t>ヒョウジ</t>
    </rPh>
    <phoneticPr fontId="15"/>
  </si>
  <si>
    <t>前回開局日時</t>
    <rPh sb="0" eb="2">
      <t>ゼンカイ</t>
    </rPh>
    <rPh sb="2" eb="4">
      <t>カイキョク</t>
    </rPh>
    <rPh sb="4" eb="6">
      <t>ニチジ</t>
    </rPh>
    <phoneticPr fontId="8"/>
  </si>
  <si>
    <t>開局の日時となっていること</t>
    <phoneticPr fontId="15"/>
  </si>
  <si>
    <t>前回閉局日時</t>
    <rPh sb="0" eb="2">
      <t>ゼンカイ</t>
    </rPh>
    <rPh sb="2" eb="4">
      <t>ヘイキョク</t>
    </rPh>
    <rPh sb="4" eb="6">
      <t>ニチジ</t>
    </rPh>
    <phoneticPr fontId="8"/>
  </si>
  <si>
    <t>空白となっていること</t>
    <rPh sb="0" eb="2">
      <t>クウハク</t>
    </rPh>
    <phoneticPr fontId="15"/>
  </si>
  <si>
    <t>前回精算日時</t>
    <rPh sb="0" eb="2">
      <t>ゼンカイ</t>
    </rPh>
    <rPh sb="2" eb="4">
      <t>セイサン</t>
    </rPh>
    <rPh sb="4" eb="6">
      <t>ニチジ</t>
    </rPh>
    <phoneticPr fontId="8"/>
  </si>
  <si>
    <t>精算の日時となっていること</t>
    <phoneticPr fontId="15"/>
  </si>
  <si>
    <t>精算通番</t>
    <rPh sb="0" eb="2">
      <t>セイサン</t>
    </rPh>
    <rPh sb="2" eb="4">
      <t>ツウバン</t>
    </rPh>
    <phoneticPr fontId="8"/>
  </si>
  <si>
    <t>精算時のの取引番号となっていること</t>
    <rPh sb="2" eb="3">
      <t>ジ</t>
    </rPh>
    <phoneticPr fontId="15"/>
  </si>
  <si>
    <t>精算回数</t>
    <rPh sb="0" eb="2">
      <t>セイサン</t>
    </rPh>
    <rPh sb="2" eb="4">
      <t>カイスウ</t>
    </rPh>
    <phoneticPr fontId="8"/>
  </si>
  <si>
    <t>精算の回数となっていること</t>
    <phoneticPr fontId="15"/>
  </si>
  <si>
    <t>ソフト V/L</t>
  </si>
  <si>
    <t>IPアドレス</t>
  </si>
  <si>
    <t>店舗名称</t>
    <rPh sb="0" eb="2">
      <t>テンポ</t>
    </rPh>
    <rPh sb="2" eb="4">
      <t>メイショウ</t>
    </rPh>
    <phoneticPr fontId="8"/>
  </si>
  <si>
    <t>店舗階層レベル名称</t>
    <rPh sb="0" eb="2">
      <t>テンポ</t>
    </rPh>
    <rPh sb="2" eb="4">
      <t>カイソウ</t>
    </rPh>
    <rPh sb="7" eb="9">
      <t>メイショウ</t>
    </rPh>
    <phoneticPr fontId="8"/>
  </si>
  <si>
    <t>フロア階層レベル名称</t>
    <rPh sb="3" eb="5">
      <t>カイソウ</t>
    </rPh>
    <rPh sb="8" eb="10">
      <t>メイショウ</t>
    </rPh>
    <phoneticPr fontId="8"/>
  </si>
  <si>
    <t>売場階層レベル名称</t>
    <rPh sb="0" eb="2">
      <t>ウリバ</t>
    </rPh>
    <rPh sb="2" eb="4">
      <t>カイソウ</t>
    </rPh>
    <rPh sb="7" eb="9">
      <t>メイショウ</t>
    </rPh>
    <phoneticPr fontId="8"/>
  </si>
  <si>
    <t>未実装機能の確認</t>
    <rPh sb="0" eb="1">
      <t>ミ</t>
    </rPh>
    <rPh sb="1" eb="3">
      <t>ジッソウ</t>
    </rPh>
    <rPh sb="3" eb="5">
      <t>キノウ</t>
    </rPh>
    <rPh sb="6" eb="8">
      <t>カクニン</t>
    </rPh>
    <phoneticPr fontId="15"/>
  </si>
  <si>
    <t>ignicaレシート</t>
    <phoneticPr fontId="15"/>
  </si>
  <si>
    <t>電子ジャーナル</t>
    <rPh sb="0" eb="2">
      <t>デンシ</t>
    </rPh>
    <phoneticPr fontId="15"/>
  </si>
  <si>
    <t>電子ジャーナル照会を実施</t>
    <rPh sb="0" eb="2">
      <t>デンシ</t>
    </rPh>
    <rPh sb="7" eb="9">
      <t>ショウカイ</t>
    </rPh>
    <rPh sb="10" eb="12">
      <t>ジッシ</t>
    </rPh>
    <phoneticPr fontId="15"/>
  </si>
  <si>
    <t>ignicaPOS売上のレシートがないこと</t>
    <rPh sb="9" eb="11">
      <t>ウリアゲ</t>
    </rPh>
    <phoneticPr fontId="15"/>
  </si>
  <si>
    <t>通番取消(コロン区切り)</t>
    <rPh sb="0" eb="4">
      <t>ツウバントリケシ</t>
    </rPh>
    <rPh sb="8" eb="10">
      <t>クギ</t>
    </rPh>
    <phoneticPr fontId="15"/>
  </si>
  <si>
    <t>システム設定をコロン区切りにし、ignicaPOS売上を富士通POSで通番取消</t>
    <rPh sb="4" eb="6">
      <t>セッテイ</t>
    </rPh>
    <rPh sb="10" eb="12">
      <t>クギ</t>
    </rPh>
    <rPh sb="25" eb="27">
      <t>ウリアゲ</t>
    </rPh>
    <rPh sb="35" eb="39">
      <t>ツウバントリケシ</t>
    </rPh>
    <phoneticPr fontId="15"/>
  </si>
  <si>
    <t>エラーポップアップが表示されること</t>
    <rPh sb="10" eb="12">
      <t>ヒョウジ</t>
    </rPh>
    <phoneticPr fontId="15"/>
  </si>
  <si>
    <t>VTI社へレシート連携依頼</t>
    <rPh sb="9" eb="11">
      <t>レンケイ</t>
    </rPh>
    <rPh sb="11" eb="13">
      <t>イライ</t>
    </rPh>
    <phoneticPr fontId="15"/>
  </si>
  <si>
    <t>通番取消(カンマ区切り)</t>
    <rPh sb="0" eb="4">
      <t>ツウバントリケシ</t>
    </rPh>
    <rPh sb="8" eb="10">
      <t>クギ</t>
    </rPh>
    <phoneticPr fontId="15"/>
  </si>
  <si>
    <t>システム設定をカンマ区切りにし、ignicaPOS売上を富士通POSで通番取消</t>
    <rPh sb="25" eb="27">
      <t>ウリアゲ</t>
    </rPh>
    <rPh sb="35" eb="39">
      <t>ツウバントリケシ</t>
    </rPh>
    <phoneticPr fontId="15"/>
  </si>
  <si>
    <t>通番修正(コロン区切り)</t>
    <rPh sb="0" eb="4">
      <t>ツウバンシュウセイ</t>
    </rPh>
    <phoneticPr fontId="15"/>
  </si>
  <si>
    <t>システム設定をコロン区切りにし、ignicaPOS売上を富士通POSで通番修正</t>
    <rPh sb="25" eb="27">
      <t>ウリアゲ</t>
    </rPh>
    <rPh sb="35" eb="37">
      <t>ツウバン</t>
    </rPh>
    <rPh sb="37" eb="39">
      <t>シュウセイ</t>
    </rPh>
    <phoneticPr fontId="15"/>
  </si>
  <si>
    <t>通番修正(カンマ区切り)</t>
    <rPh sb="0" eb="4">
      <t>ツウバンシュウセイ</t>
    </rPh>
    <phoneticPr fontId="15"/>
  </si>
  <si>
    <t>システム設定をカンマ区切りにし、ignicaPOS売上を富士通POSで通番修正</t>
    <rPh sb="25" eb="27">
      <t>ウリアゲ</t>
    </rPh>
    <rPh sb="35" eb="37">
      <t>ツウバン</t>
    </rPh>
    <rPh sb="37" eb="39">
      <t>シュウセイ</t>
    </rPh>
    <phoneticPr fontId="15"/>
  </si>
  <si>
    <t>ignicaPOS売上を富士通POSでレジマイナス</t>
    <rPh sb="9" eb="11">
      <t>ウリアゲ</t>
    </rPh>
    <rPh sb="12" eb="15">
      <t>フジツウ</t>
    </rPh>
    <phoneticPr fontId="15"/>
  </si>
  <si>
    <t>時間帯速報で売上とマイナス金額が一致すること</t>
    <rPh sb="3" eb="5">
      <t>ソクホウ</t>
    </rPh>
    <rPh sb="13" eb="15">
      <t>キンガク</t>
    </rPh>
    <phoneticPr fontId="15"/>
  </si>
  <si>
    <t>SFTP受信</t>
    <rPh sb="4" eb="6">
      <t>ジュシン</t>
    </rPh>
    <phoneticPr fontId="15"/>
  </si>
  <si>
    <t>接続エラー</t>
    <rPh sb="0" eb="2">
      <t>セツゾク</t>
    </rPh>
    <phoneticPr fontId="15"/>
  </si>
  <si>
    <t>エラー回数許容内</t>
    <rPh sb="3" eb="5">
      <t>カイスウ</t>
    </rPh>
    <rPh sb="5" eb="7">
      <t>キョヨウ</t>
    </rPh>
    <rPh sb="7" eb="8">
      <t>ナイ</t>
    </rPh>
    <phoneticPr fontId="15"/>
  </si>
  <si>
    <t>1回のSFTP受信内でリトライが3回われること(リトライ間隔初期値5秒)</t>
    <phoneticPr fontId="15"/>
  </si>
  <si>
    <t>エラー許容範囲内(初期値:12回)であれば、エラーのイベントログが出力されるが、ヘルプ検知しないこと</t>
    <rPh sb="3" eb="8">
      <t>キョヨウハンイナイ</t>
    </rPh>
    <rPh sb="9" eb="12">
      <t>ショキチ</t>
    </rPh>
    <rPh sb="15" eb="16">
      <t>カイ</t>
    </rPh>
    <rPh sb="43" eb="45">
      <t>ケンチ</t>
    </rPh>
    <phoneticPr fontId="15"/>
  </si>
  <si>
    <t>受信エラー発生後、エラー許容回数オーバー前に元のiniファイル情報へ戻す</t>
    <rPh sb="5" eb="7">
      <t>ハッセイ</t>
    </rPh>
    <rPh sb="12" eb="14">
      <t>キョヨウ</t>
    </rPh>
    <rPh sb="14" eb="16">
      <t>カイスウ</t>
    </rPh>
    <rPh sb="20" eb="21">
      <t>マエ</t>
    </rPh>
    <rPh sb="31" eb="33">
      <t>ジョウホウ</t>
    </rPh>
    <phoneticPr fontId="15"/>
  </si>
  <si>
    <t>ignica変換サーバに蓄積していた実績データがすべて取込できること</t>
    <rPh sb="6" eb="8">
      <t>ヘンカン</t>
    </rPh>
    <rPh sb="12" eb="14">
      <t>チクセキ</t>
    </rPh>
    <rPh sb="18" eb="20">
      <t>ジッセキ</t>
    </rPh>
    <rPh sb="27" eb="29">
      <t>トリコミ</t>
    </rPh>
    <phoneticPr fontId="15"/>
  </si>
  <si>
    <t>VTI社へ取引内容連携依頼</t>
    <rPh sb="5" eb="7">
      <t>トリヒキ</t>
    </rPh>
    <rPh sb="7" eb="9">
      <t>ナイヨウ</t>
    </rPh>
    <rPh sb="9" eb="11">
      <t>レンケイ</t>
    </rPh>
    <rPh sb="11" eb="13">
      <t>イライ</t>
    </rPh>
    <phoneticPr fontId="15"/>
  </si>
  <si>
    <t>エラー回数許容オーバー</t>
    <rPh sb="3" eb="5">
      <t>カイスウ</t>
    </rPh>
    <rPh sb="5" eb="7">
      <t>キョヨウ</t>
    </rPh>
    <phoneticPr fontId="15"/>
  </si>
  <si>
    <t>ignica変換サーバのiniファイル情報を書き換えた後、エラー許容回数オーバー</t>
    <rPh sb="27" eb="28">
      <t>アト</t>
    </rPh>
    <rPh sb="32" eb="34">
      <t>キョヨウ</t>
    </rPh>
    <rPh sb="34" eb="36">
      <t>カイスウ</t>
    </rPh>
    <phoneticPr fontId="15"/>
  </si>
  <si>
    <t>エラーのイベントログが出力されヘルプ検知できること</t>
    <rPh sb="18" eb="20">
      <t>ケンチ</t>
    </rPh>
    <phoneticPr fontId="15"/>
  </si>
  <si>
    <t>受信異常</t>
    <rPh sb="0" eb="4">
      <t>ジュシンイジョウ</t>
    </rPh>
    <phoneticPr fontId="15"/>
  </si>
  <si>
    <t>ENDファイルのサイズ異常</t>
    <rPh sb="11" eb="13">
      <t>イジョウ</t>
    </rPh>
    <phoneticPr fontId="15"/>
  </si>
  <si>
    <t>実績データENDファイル内のサイズを書き換える</t>
    <rPh sb="0" eb="2">
      <t>ジッセキ</t>
    </rPh>
    <rPh sb="12" eb="13">
      <t>ナイ</t>
    </rPh>
    <rPh sb="18" eb="19">
      <t>カ</t>
    </rPh>
    <rPh sb="20" eb="21">
      <t>カ</t>
    </rPh>
    <phoneticPr fontId="15"/>
  </si>
  <si>
    <t>上記受信を繰り返した後、エラー許容回数オーバー</t>
    <rPh sb="0" eb="2">
      <t>ジョウキ</t>
    </rPh>
    <rPh sb="2" eb="4">
      <t>ジュシン</t>
    </rPh>
    <rPh sb="5" eb="6">
      <t>ク</t>
    </rPh>
    <rPh sb="7" eb="8">
      <t>カエ</t>
    </rPh>
    <rPh sb="10" eb="11">
      <t>アト</t>
    </rPh>
    <rPh sb="15" eb="17">
      <t>キョヨウ</t>
    </rPh>
    <rPh sb="17" eb="19">
      <t>カイスウ</t>
    </rPh>
    <phoneticPr fontId="15"/>
  </si>
  <si>
    <t>取込異常</t>
    <rPh sb="2" eb="4">
      <t>イジョウ</t>
    </rPh>
    <phoneticPr fontId="15"/>
  </si>
  <si>
    <t>取込エラー</t>
    <rPh sb="0" eb="2">
      <t>トリコミ</t>
    </rPh>
    <phoneticPr fontId="15"/>
  </si>
  <si>
    <t>再連携</t>
    <rPh sb="0" eb="3">
      <t>サイレンケイ</t>
    </rPh>
    <phoneticPr fontId="15"/>
  </si>
  <si>
    <t>実績データの値を書き換えを行った後(VTI社)、データ受信</t>
    <rPh sb="0" eb="2">
      <t>ジッセキ</t>
    </rPh>
    <rPh sb="6" eb="7">
      <t>アタイ</t>
    </rPh>
    <rPh sb="8" eb="9">
      <t>カ</t>
    </rPh>
    <rPh sb="10" eb="11">
      <t>カ</t>
    </rPh>
    <rPh sb="13" eb="14">
      <t>オコナ</t>
    </rPh>
    <rPh sb="16" eb="17">
      <t>アト</t>
    </rPh>
    <rPh sb="27" eb="29">
      <t>ジュシン</t>
    </rPh>
    <phoneticPr fontId="15"/>
  </si>
  <si>
    <t>実績データの取り込みに失敗すること</t>
    <rPh sb="0" eb="2">
      <t>ジッセキ</t>
    </rPh>
    <rPh sb="6" eb="7">
      <t>ト</t>
    </rPh>
    <rPh sb="8" eb="9">
      <t>コ</t>
    </rPh>
    <rPh sb="11" eb="13">
      <t>シッパイ</t>
    </rPh>
    <phoneticPr fontId="15"/>
  </si>
  <si>
    <t>VTI社へ取引連携依頼</t>
    <rPh sb="5" eb="7">
      <t>トリヒキ</t>
    </rPh>
    <rPh sb="7" eb="9">
      <t>レンケイ</t>
    </rPh>
    <rPh sb="9" eb="11">
      <t>イライ</t>
    </rPh>
    <phoneticPr fontId="15"/>
  </si>
  <si>
    <t>ファイル名:E:\CTKY\BF\LOG\GSFD_BF_ZIPRCVFTP.log</t>
    <phoneticPr fontId="15"/>
  </si>
  <si>
    <t>実績データの値を元に戻した後(VTI社)、データ受信</t>
    <rPh sb="0" eb="2">
      <t>ジッセキ</t>
    </rPh>
    <rPh sb="6" eb="7">
      <t>アタイ</t>
    </rPh>
    <rPh sb="8" eb="9">
      <t>モト</t>
    </rPh>
    <rPh sb="10" eb="11">
      <t>モド</t>
    </rPh>
    <rPh sb="13" eb="14">
      <t>アト</t>
    </rPh>
    <rPh sb="24" eb="26">
      <t>ジュシン</t>
    </rPh>
    <phoneticPr fontId="15"/>
  </si>
  <si>
    <t>実績データの取り込みが出来ること</t>
    <rPh sb="0" eb="2">
      <t>ジッセキ</t>
    </rPh>
    <rPh sb="6" eb="7">
      <t>ト</t>
    </rPh>
    <rPh sb="8" eb="9">
      <t>コ</t>
    </rPh>
    <rPh sb="11" eb="13">
      <t>デキ</t>
    </rPh>
    <phoneticPr fontId="15"/>
  </si>
  <si>
    <t>キー重複エラー</t>
    <rPh sb="2" eb="4">
      <t>チョウフク</t>
    </rPh>
    <phoneticPr fontId="15"/>
  </si>
  <si>
    <t>POSサーバで取込したデータを再度受信</t>
    <rPh sb="7" eb="9">
      <t>トリコミ</t>
    </rPh>
    <rPh sb="15" eb="17">
      <t>サイド</t>
    </rPh>
    <rPh sb="17" eb="19">
      <t>ジュシン</t>
    </rPh>
    <phoneticPr fontId="15"/>
  </si>
  <si>
    <t>キー重複エラーでデータ取込が失敗すること</t>
    <rPh sb="2" eb="4">
      <t>チョウフク</t>
    </rPh>
    <rPh sb="11" eb="13">
      <t>トリコミ</t>
    </rPh>
    <rPh sb="14" eb="16">
      <t>シッパイ</t>
    </rPh>
    <phoneticPr fontId="15"/>
  </si>
  <si>
    <t>翌営業日取込</t>
    <phoneticPr fontId="15"/>
  </si>
  <si>
    <t>SFTP受信停止時にignica売上、そのまま閉店し、翌日取込</t>
    <rPh sb="4" eb="6">
      <t>ジュシン</t>
    </rPh>
    <rPh sb="6" eb="8">
      <t>テイシ</t>
    </rPh>
    <rPh sb="8" eb="9">
      <t>ジ</t>
    </rPh>
    <rPh sb="16" eb="18">
      <t>ウリアゲ</t>
    </rPh>
    <rPh sb="23" eb="25">
      <t>ヘイテン</t>
    </rPh>
    <rPh sb="27" eb="29">
      <t>ヨクジツ</t>
    </rPh>
    <rPh sb="29" eb="31">
      <t>トリコミ</t>
    </rPh>
    <phoneticPr fontId="15"/>
  </si>
  <si>
    <t>当日分と翌日分データが取り込めること(日別日報等で取り込み確認)</t>
    <phoneticPr fontId="15"/>
  </si>
  <si>
    <t>SFTP受信監視停止/再開バッチ</t>
    <phoneticPr fontId="15"/>
  </si>
  <si>
    <t>バッチ名:C:\GSFD\BIN\IG_RCVR_TRN_STOP_SFTP_TRNDATA.bat</t>
    <rPh sb="3" eb="4">
      <t>メイ</t>
    </rPh>
    <phoneticPr fontId="15"/>
  </si>
  <si>
    <t>SFTP受信監視STOPファイルが作成されていること</t>
    <rPh sb="17" eb="19">
      <t>サクセイ</t>
    </rPh>
    <phoneticPr fontId="15"/>
  </si>
  <si>
    <t>ファイル名:C:\GSFD\BIN\GSFDTranLogPause.cmd</t>
    <phoneticPr fontId="15"/>
  </si>
  <si>
    <t>ignicaPOSで取引後、トラン実績データ作成</t>
    <rPh sb="10" eb="12">
      <t>トリヒキ</t>
    </rPh>
    <rPh sb="12" eb="13">
      <t>ゴ</t>
    </rPh>
    <rPh sb="17" eb="19">
      <t>ジッセキ</t>
    </rPh>
    <rPh sb="22" eb="24">
      <t>サクセイ</t>
    </rPh>
    <phoneticPr fontId="15"/>
  </si>
  <si>
    <t>受信ファイル一覧の名称でファイル作成されていないこと</t>
    <rPh sb="0" eb="2">
      <t>ジュシン</t>
    </rPh>
    <rPh sb="9" eb="11">
      <t>メイショウ</t>
    </rPh>
    <rPh sb="16" eb="18">
      <t>サクセイ</t>
    </rPh>
    <phoneticPr fontId="15"/>
  </si>
  <si>
    <t>SFTP受信監視STOPファイルが削除されていること</t>
    <rPh sb="17" eb="19">
      <t>サクジョ</t>
    </rPh>
    <phoneticPr fontId="15"/>
  </si>
  <si>
    <t>必要な取引パターン</t>
    <rPh sb="0" eb="2">
      <t>ヒツヨウ</t>
    </rPh>
    <rPh sb="3" eb="5">
      <t>トリヒキ</t>
    </rPh>
    <phoneticPr fontId="15"/>
  </si>
  <si>
    <t>■レポート機能</t>
    <rPh sb="5" eb="7">
      <t>キノウ</t>
    </rPh>
    <phoneticPr fontId="15"/>
  </si>
  <si>
    <t>■機能パターン</t>
    <rPh sb="1" eb="3">
      <t>キノウ</t>
    </rPh>
    <phoneticPr fontId="15"/>
  </si>
  <si>
    <t>■税パターン</t>
    <rPh sb="1" eb="2">
      <t>ゼイ</t>
    </rPh>
    <phoneticPr fontId="15"/>
  </si>
  <si>
    <t>■商品パターン</t>
    <phoneticPr fontId="15"/>
  </si>
  <si>
    <t>■売価変更パターン</t>
    <phoneticPr fontId="15"/>
  </si>
  <si>
    <t>■値引パターン</t>
    <phoneticPr fontId="15"/>
  </si>
  <si>
    <t>■支払パターン</t>
    <rPh sb="1" eb="3">
      <t>シハライ</t>
    </rPh>
    <phoneticPr fontId="15"/>
  </si>
  <si>
    <t>機能名称</t>
    <rPh sb="0" eb="2">
      <t>キノウ</t>
    </rPh>
    <rPh sb="2" eb="4">
      <t>メイショウ</t>
    </rPh>
    <phoneticPr fontId="15"/>
  </si>
  <si>
    <t>説明</t>
    <rPh sb="0" eb="2">
      <t>セツメイ</t>
    </rPh>
    <phoneticPr fontId="15"/>
  </si>
  <si>
    <t>パターン</t>
    <phoneticPr fontId="15"/>
  </si>
  <si>
    <t>連携</t>
    <rPh sb="0" eb="2">
      <t>レンケイ</t>
    </rPh>
    <phoneticPr fontId="15"/>
  </si>
  <si>
    <t>テーブル</t>
    <phoneticPr fontId="15"/>
  </si>
  <si>
    <t>付属情報</t>
    <rPh sb="0" eb="2">
      <t>フゾク</t>
    </rPh>
    <rPh sb="2" eb="4">
      <t>ジョウホウ</t>
    </rPh>
    <phoneticPr fontId="15"/>
  </si>
  <si>
    <t>支払</t>
    <rPh sb="0" eb="2">
      <t>シハライ</t>
    </rPh>
    <phoneticPr fontId="15"/>
  </si>
  <si>
    <t>集計</t>
    <rPh sb="0" eb="2">
      <t>シュウケイ</t>
    </rPh>
    <phoneticPr fontId="15"/>
  </si>
  <si>
    <t>各商品階層での取引</t>
    <rPh sb="0" eb="1">
      <t>カク</t>
    </rPh>
    <rPh sb="1" eb="5">
      <t>ショウヒンカイソウ</t>
    </rPh>
    <rPh sb="7" eb="9">
      <t>トリヒキ</t>
    </rPh>
    <phoneticPr fontId="15"/>
  </si>
  <si>
    <t>TRANS_HEADER</t>
    <phoneticPr fontId="15"/>
  </si>
  <si>
    <t>LN_DETAIL</t>
    <phoneticPr fontId="15"/>
  </si>
  <si>
    <t>売価変更</t>
    <rPh sb="0" eb="4">
      <t>バイカヘンコウ</t>
    </rPh>
    <phoneticPr fontId="15"/>
  </si>
  <si>
    <t>値上げ</t>
    <rPh sb="0" eb="2">
      <t>ネア</t>
    </rPh>
    <phoneticPr fontId="15"/>
  </si>
  <si>
    <t>LN_LINK</t>
  </si>
  <si>
    <t>マニュアル値引</t>
    <phoneticPr fontId="15"/>
  </si>
  <si>
    <t>LN_DISCOUNT</t>
    <phoneticPr fontId="15"/>
  </si>
  <si>
    <t>ing・fanポイント利用</t>
    <rPh sb="11" eb="13">
      <t>リヨウ</t>
    </rPh>
    <phoneticPr fontId="8"/>
  </si>
  <si>
    <t>TRANS_HEADER</t>
  </si>
  <si>
    <t>各担当者での取引</t>
    <rPh sb="0" eb="1">
      <t>カク</t>
    </rPh>
    <rPh sb="1" eb="4">
      <t>タントウシャ</t>
    </rPh>
    <rPh sb="6" eb="8">
      <t>トリヒキ</t>
    </rPh>
    <phoneticPr fontId="15"/>
  </si>
  <si>
    <t>TRANSACTION_TAX</t>
  </si>
  <si>
    <t>JAN13</t>
    <phoneticPr fontId="15"/>
  </si>
  <si>
    <t>0埋め5桁</t>
  </si>
  <si>
    <t>LN_DETAIL</t>
  </si>
  <si>
    <t>マニュアル割引</t>
    <rPh sb="5" eb="7">
      <t>ワリビキ</t>
    </rPh>
    <phoneticPr fontId="15"/>
  </si>
  <si>
    <t>LN_DISCOUNT</t>
  </si>
  <si>
    <t>各支払での取引</t>
    <rPh sb="0" eb="1">
      <t>カク</t>
    </rPh>
    <rPh sb="1" eb="3">
      <t>シハライ</t>
    </rPh>
    <rPh sb="5" eb="7">
      <t>トリヒキ</t>
    </rPh>
    <phoneticPr fontId="15"/>
  </si>
  <si>
    <t>TRANSACTION_TENDER</t>
  </si>
  <si>
    <t>GSFD_PNT_TRANS_HEADER</t>
    <phoneticPr fontId="15"/>
  </si>
  <si>
    <t>ポイント登録時の金額確認</t>
    <rPh sb="4" eb="6">
      <t>トウロク</t>
    </rPh>
    <rPh sb="6" eb="7">
      <t>ジ</t>
    </rPh>
    <rPh sb="8" eb="12">
      <t>キンガクカクニン</t>
    </rPh>
    <phoneticPr fontId="15"/>
  </si>
  <si>
    <t>0埋め6桁</t>
    <phoneticPr fontId="15"/>
  </si>
  <si>
    <t>バーコード値引</t>
    <phoneticPr fontId="15"/>
  </si>
  <si>
    <t>1段バーコード値引</t>
    <phoneticPr fontId="15"/>
  </si>
  <si>
    <t>要確認</t>
    <rPh sb="0" eb="3">
      <t>ヨウカクニン</t>
    </rPh>
    <phoneticPr fontId="15"/>
  </si>
  <si>
    <t>GSFD_PNT_TRANS_HEADER</t>
  </si>
  <si>
    <t>各POSでの取引</t>
    <rPh sb="0" eb="1">
      <t>カク</t>
    </rPh>
    <rPh sb="6" eb="8">
      <t>トリヒキ</t>
    </rPh>
    <phoneticPr fontId="15"/>
  </si>
  <si>
    <t>GL_TRAN</t>
  </si>
  <si>
    <t>MANUAL_PRICE</t>
    <phoneticPr fontId="15"/>
  </si>
  <si>
    <t>2段バーコード値引</t>
    <phoneticPr fontId="15"/>
  </si>
  <si>
    <t>クレジット</t>
    <phoneticPr fontId="15"/>
  </si>
  <si>
    <t>他社クレ</t>
    <rPh sb="0" eb="2">
      <t>タシャ</t>
    </rPh>
    <phoneticPr fontId="15"/>
  </si>
  <si>
    <t>各単品での取引</t>
    <rPh sb="0" eb="1">
      <t>カク</t>
    </rPh>
    <rPh sb="5" eb="7">
      <t>トリヒキ</t>
    </rPh>
    <phoneticPr fontId="15"/>
  </si>
  <si>
    <t>JAN8</t>
    <phoneticPr fontId="15"/>
  </si>
  <si>
    <t>0埋め7桁</t>
    <phoneticPr fontId="15"/>
  </si>
  <si>
    <t>値下げ</t>
    <rPh sb="0" eb="2">
      <t>ネサ</t>
    </rPh>
    <phoneticPr fontId="15"/>
  </si>
  <si>
    <t>特売</t>
    <phoneticPr fontId="15"/>
  </si>
  <si>
    <t>期間</t>
    <phoneticPr fontId="15"/>
  </si>
  <si>
    <t>TRANSACTION_TENDER</t>
    <phoneticPr fontId="15"/>
  </si>
  <si>
    <t>各商品階層かつ、時間帯ごとでの取引</t>
    <rPh sb="0" eb="1">
      <t>カク</t>
    </rPh>
    <rPh sb="1" eb="3">
      <t>ショウヒン</t>
    </rPh>
    <rPh sb="3" eb="5">
      <t>カイソウ</t>
    </rPh>
    <rPh sb="8" eb="11">
      <t>ジカンタイ</t>
    </rPh>
    <rPh sb="15" eb="17">
      <t>トリヒキ</t>
    </rPh>
    <phoneticPr fontId="15"/>
  </si>
  <si>
    <t>タイムサービス</t>
    <phoneticPr fontId="15"/>
  </si>
  <si>
    <t>Vクレ</t>
    <phoneticPr fontId="15"/>
  </si>
  <si>
    <t>各担当者かつ、時間帯ごとでの取引</t>
    <rPh sb="0" eb="1">
      <t>カク</t>
    </rPh>
    <rPh sb="1" eb="4">
      <t>タントウシャ</t>
    </rPh>
    <rPh sb="14" eb="16">
      <t>トリヒキ</t>
    </rPh>
    <phoneticPr fontId="15"/>
  </si>
  <si>
    <t>組合せ値引</t>
    <phoneticPr fontId="15"/>
  </si>
  <si>
    <t>バンドル</t>
    <phoneticPr fontId="15"/>
  </si>
  <si>
    <t>各POSかつ、時間帯ごとでの取引</t>
    <rPh sb="0" eb="1">
      <t>カク</t>
    </rPh>
    <rPh sb="14" eb="16">
      <t>トリヒキ</t>
    </rPh>
    <phoneticPr fontId="15"/>
  </si>
  <si>
    <t>UPC-A</t>
    <phoneticPr fontId="15"/>
  </si>
  <si>
    <t>0埋め10桁</t>
    <phoneticPr fontId="15"/>
  </si>
  <si>
    <t>ミックス</t>
    <phoneticPr fontId="15"/>
  </si>
  <si>
    <t>MS</t>
    <phoneticPr fontId="15"/>
  </si>
  <si>
    <t>各単品かつ、時間帯ごとでの取引</t>
    <rPh sb="0" eb="1">
      <t>カク</t>
    </rPh>
    <rPh sb="1" eb="3">
      <t>タンピン</t>
    </rPh>
    <rPh sb="13" eb="15">
      <t>トリヒキ</t>
    </rPh>
    <phoneticPr fontId="15"/>
  </si>
  <si>
    <t>LOAN_PICKUP</t>
  </si>
  <si>
    <t>0埋め11桁</t>
    <phoneticPr fontId="15"/>
  </si>
  <si>
    <t>ペア</t>
    <phoneticPr fontId="15"/>
  </si>
  <si>
    <t>各商品階層かつ、日ごとでの取引</t>
    <rPh sb="0" eb="1">
      <t>カク</t>
    </rPh>
    <rPh sb="1" eb="3">
      <t>ショウヒン</t>
    </rPh>
    <rPh sb="3" eb="5">
      <t>カイソウ</t>
    </rPh>
    <rPh sb="8" eb="9">
      <t>ヒ</t>
    </rPh>
    <rPh sb="13" eb="15">
      <t>トリヒキ</t>
    </rPh>
    <phoneticPr fontId="15"/>
  </si>
  <si>
    <t>TRANSACTION_TAX</t>
    <phoneticPr fontId="15"/>
  </si>
  <si>
    <t>MANUAL_PRICE</t>
  </si>
  <si>
    <t>自動値引</t>
    <phoneticPr fontId="15"/>
  </si>
  <si>
    <t>商品階層自動値引</t>
    <phoneticPr fontId="15"/>
  </si>
  <si>
    <t>コード決済</t>
    <rPh sb="3" eb="5">
      <t>ケッサイ</t>
    </rPh>
    <phoneticPr fontId="8"/>
  </si>
  <si>
    <t>PayPay</t>
  </si>
  <si>
    <t>各担当者かつ、日ごとでの取引</t>
    <rPh sb="0" eb="1">
      <t>カク</t>
    </rPh>
    <rPh sb="1" eb="4">
      <t>タントウシャ</t>
    </rPh>
    <rPh sb="12" eb="14">
      <t>トリヒキ</t>
    </rPh>
    <phoneticPr fontId="15"/>
  </si>
  <si>
    <t>LOAN_PICKUP</t>
    <phoneticPr fontId="15"/>
  </si>
  <si>
    <t>作成するか要確認</t>
    <rPh sb="0" eb="2">
      <t>サクセイ</t>
    </rPh>
    <rPh sb="5" eb="6">
      <t>ヨウ</t>
    </rPh>
    <rPh sb="6" eb="8">
      <t>カクニン</t>
    </rPh>
    <phoneticPr fontId="15"/>
  </si>
  <si>
    <t>自動小計値引</t>
    <phoneticPr fontId="15"/>
  </si>
  <si>
    <t>さんにち割</t>
    <phoneticPr fontId="15"/>
  </si>
  <si>
    <t>書籍</t>
    <rPh sb="0" eb="2">
      <t>ショセキ</t>
    </rPh>
    <phoneticPr fontId="1"/>
  </si>
  <si>
    <t>自動小計値引除外</t>
    <rPh sb="6" eb="8">
      <t>ジョガイ</t>
    </rPh>
    <phoneticPr fontId="15"/>
  </si>
  <si>
    <t>d払い</t>
    <rPh sb="1" eb="2">
      <t>ハラ</t>
    </rPh>
    <phoneticPr fontId="8"/>
  </si>
  <si>
    <t>各支払かつ、日ごとでの取引</t>
    <rPh sb="0" eb="1">
      <t>カク</t>
    </rPh>
    <rPh sb="1" eb="3">
      <t>シハライ</t>
    </rPh>
    <rPh sb="11" eb="13">
      <t>トリヒキ</t>
    </rPh>
    <phoneticPr fontId="15"/>
  </si>
  <si>
    <t>新雑誌</t>
    <rPh sb="0" eb="2">
      <t>シンザッシ</t>
    </rPh>
    <phoneticPr fontId="1"/>
  </si>
  <si>
    <t>マークダウン</t>
    <phoneticPr fontId="15"/>
  </si>
  <si>
    <t>auPay</t>
  </si>
  <si>
    <t>各単品かつ、時間帯ごとでの取引</t>
    <rPh sb="0" eb="1">
      <t>カク</t>
    </rPh>
    <rPh sb="13" eb="15">
      <t>トリヒキ</t>
    </rPh>
    <phoneticPr fontId="15"/>
  </si>
  <si>
    <t>ing・fanポイント登録</t>
    <phoneticPr fontId="15"/>
  </si>
  <si>
    <t>各企画かつ、各単品かつ、日ごとでの取引</t>
    <rPh sb="1" eb="3">
      <t>キカク</t>
    </rPh>
    <rPh sb="6" eb="7">
      <t>カク</t>
    </rPh>
    <rPh sb="7" eb="9">
      <t>タンピン</t>
    </rPh>
    <rPh sb="12" eb="13">
      <t>ヒ</t>
    </rPh>
    <phoneticPr fontId="15"/>
  </si>
  <si>
    <t>メルペイ</t>
  </si>
  <si>
    <t>各商品階層かつ、時間帯ごとかつ、日ごとでの取引</t>
    <rPh sb="0" eb="1">
      <t>カク</t>
    </rPh>
    <rPh sb="1" eb="3">
      <t>ショウヒン</t>
    </rPh>
    <rPh sb="3" eb="5">
      <t>カイソウ</t>
    </rPh>
    <rPh sb="8" eb="11">
      <t>ジカンタイ</t>
    </rPh>
    <rPh sb="21" eb="23">
      <t>トリヒキ</t>
    </rPh>
    <phoneticPr fontId="15"/>
  </si>
  <si>
    <t>各担当者かつ、時間帯ごとかつ、日ごとでの取引</t>
    <rPh sb="0" eb="1">
      <t>カク</t>
    </rPh>
    <rPh sb="1" eb="4">
      <t>タントウシャ</t>
    </rPh>
    <phoneticPr fontId="15"/>
  </si>
  <si>
    <t>練習モード</t>
    <phoneticPr fontId="15"/>
  </si>
  <si>
    <t>×</t>
    <phoneticPr fontId="15"/>
  </si>
  <si>
    <t>AEON Pay</t>
  </si>
  <si>
    <t>各POSかつ、時間帯ごとかつ、日ごとでの取引</t>
    <rPh sb="0" eb="1">
      <t>カク</t>
    </rPh>
    <rPh sb="20" eb="22">
      <t>トリヒキ</t>
    </rPh>
    <phoneticPr fontId="15"/>
  </si>
  <si>
    <t>訂正明細</t>
    <phoneticPr fontId="15"/>
  </si>
  <si>
    <t>各P単品かつ、時間帯ごとかつ、日ごとでの取引</t>
    <rPh sb="0" eb="1">
      <t>カク</t>
    </rPh>
    <rPh sb="2" eb="4">
      <t>タンピン</t>
    </rPh>
    <rPh sb="20" eb="22">
      <t>トリヒキ</t>
    </rPh>
    <phoneticPr fontId="15"/>
  </si>
  <si>
    <t>返品</t>
    <phoneticPr fontId="15"/>
  </si>
  <si>
    <t>現外コード</t>
    <rPh sb="0" eb="2">
      <t>ゲンガイ</t>
    </rPh>
    <phoneticPr fontId="8"/>
  </si>
  <si>
    <t>楽天ペイ</t>
    <phoneticPr fontId="15"/>
  </si>
  <si>
    <t>各商品階層かつ、月ごとでの取引</t>
    <rPh sb="0" eb="1">
      <t>カク</t>
    </rPh>
    <rPh sb="1" eb="3">
      <t>ショウヒン</t>
    </rPh>
    <rPh sb="3" eb="5">
      <t>カイソウ</t>
    </rPh>
    <rPh sb="8" eb="9">
      <t>ツキ</t>
    </rPh>
    <rPh sb="13" eb="15">
      <t>トリヒキ</t>
    </rPh>
    <phoneticPr fontId="15"/>
  </si>
  <si>
    <t>GIFT_CERT_TENDER</t>
    <phoneticPr fontId="15"/>
  </si>
  <si>
    <t>???</t>
    <phoneticPr fontId="15"/>
  </si>
  <si>
    <t>ignicaポイント</t>
    <phoneticPr fontId="15"/>
  </si>
  <si>
    <t>Scan&amp;Go、Online Delivery</t>
    <phoneticPr fontId="15"/>
  </si>
  <si>
    <t>各担当者かつ、月ごとでの取引</t>
    <rPh sb="0" eb="1">
      <t>カク</t>
    </rPh>
    <rPh sb="1" eb="4">
      <t>タントウシャ</t>
    </rPh>
    <rPh sb="7" eb="8">
      <t>ツキ</t>
    </rPh>
    <rPh sb="12" eb="14">
      <t>トリヒキ</t>
    </rPh>
    <phoneticPr fontId="15"/>
  </si>
  <si>
    <t>各取引かつ、月ごとでの取引</t>
    <rPh sb="0" eb="1">
      <t>カク</t>
    </rPh>
    <rPh sb="1" eb="3">
      <t>トリヒキ</t>
    </rPh>
    <rPh sb="6" eb="7">
      <t>ツキ</t>
    </rPh>
    <rPh sb="11" eb="13">
      <t>トリヒキ</t>
    </rPh>
    <phoneticPr fontId="15"/>
  </si>
  <si>
    <t>各POSかつ、月ごとでの取引</t>
    <rPh sb="0" eb="1">
      <t>カク</t>
    </rPh>
    <rPh sb="7" eb="8">
      <t>ツキ</t>
    </rPh>
    <rPh sb="12" eb="14">
      <t>トリヒキ</t>
    </rPh>
    <phoneticPr fontId="15"/>
  </si>
  <si>
    <t>PayPay</t>
    <phoneticPr fontId="15"/>
  </si>
  <si>
    <t>各単品かつ、月ごとでの取引</t>
    <rPh sb="0" eb="1">
      <t>カク</t>
    </rPh>
    <rPh sb="1" eb="3">
      <t>タンピン</t>
    </rPh>
    <rPh sb="6" eb="7">
      <t>ツキ</t>
    </rPh>
    <rPh sb="11" eb="13">
      <t>トリヒキ</t>
    </rPh>
    <phoneticPr fontId="15"/>
  </si>
  <si>
    <t>現外券バーコード</t>
    <rPh sb="0" eb="2">
      <t>ゲンガイ</t>
    </rPh>
    <rPh sb="2" eb="3">
      <t>ケン</t>
    </rPh>
    <phoneticPr fontId="8"/>
  </si>
  <si>
    <t>USMHご優待券</t>
    <phoneticPr fontId="1"/>
  </si>
  <si>
    <t>マルエツ商品券</t>
    <rPh sb="4" eb="7">
      <t>ショウヒンケン</t>
    </rPh>
    <phoneticPr fontId="1"/>
  </si>
  <si>
    <t>カスミ商品券</t>
    <rPh sb="3" eb="6">
      <t>ショウヒンケン</t>
    </rPh>
    <phoneticPr fontId="1"/>
  </si>
  <si>
    <t>全商品券</t>
    <rPh sb="0" eb="4">
      <t>ゼンショウヒンケン</t>
    </rPh>
    <phoneticPr fontId="15"/>
  </si>
  <si>
    <t>カタリナクーポン</t>
    <phoneticPr fontId="15"/>
  </si>
  <si>
    <t>現金</t>
    <phoneticPr fontId="15"/>
  </si>
  <si>
    <t>ignica個別</t>
    <rPh sb="6" eb="8">
      <t>コベツ</t>
    </rPh>
    <phoneticPr fontId="15"/>
  </si>
  <si>
    <t>雨の日クーポン</t>
    <phoneticPr fontId="15"/>
  </si>
  <si>
    <t>子育てクーポン</t>
    <phoneticPr fontId="15"/>
  </si>
  <si>
    <t>シニアの日クーポン</t>
    <phoneticPr fontId="15"/>
  </si>
  <si>
    <t>Vポイント</t>
    <phoneticPr fontId="15"/>
  </si>
  <si>
    <t>デビット(みんなの銀行)</t>
    <rPh sb="9" eb="11">
      <t>ギンコウ</t>
    </rPh>
    <phoneticPr fontId="8"/>
  </si>
  <si>
    <t>Scan&amp;Go</t>
    <phoneticPr fontId="15"/>
  </si>
  <si>
    <t>ignicaポイント登録</t>
    <rPh sb="10" eb="12">
      <t>トウロク</t>
    </rPh>
    <phoneticPr fontId="15"/>
  </si>
  <si>
    <t>代金引換</t>
    <phoneticPr fontId="15"/>
  </si>
  <si>
    <t>Online Delivery</t>
    <phoneticPr fontId="15"/>
  </si>
  <si>
    <t>HSV</t>
    <phoneticPr fontId="4"/>
  </si>
  <si>
    <t>レビュアー</t>
    <phoneticPr fontId="4"/>
  </si>
  <si>
    <t>結果レビュアー</t>
    <rPh sb="0" eb="2">
      <t>ケッカ</t>
    </rPh>
    <phoneticPr fontId="4"/>
  </si>
  <si>
    <t>売上</t>
    <rPh sb="0" eb="2">
      <t>ウリアゲ</t>
    </rPh>
    <phoneticPr fontId="4"/>
  </si>
  <si>
    <t>通常</t>
    <rPh sb="0" eb="2">
      <t>ツウジョウ</t>
    </rPh>
    <phoneticPr fontId="4"/>
  </si>
  <si>
    <t>日付</t>
  </si>
  <si>
    <t>一人制</t>
    <rPh sb="0" eb="3">
      <t>イチニンセイ</t>
    </rPh>
    <phoneticPr fontId="4"/>
  </si>
  <si>
    <t>返品</t>
    <rPh sb="0" eb="2">
      <t>ヘンピン</t>
    </rPh>
    <phoneticPr fontId="4"/>
  </si>
  <si>
    <t>会計精算部門</t>
    <phoneticPr fontId="15"/>
  </si>
  <si>
    <t>二人制</t>
    <rPh sb="0" eb="3">
      <t>ニニンセイ</t>
    </rPh>
    <phoneticPr fontId="4"/>
  </si>
  <si>
    <t>練習</t>
    <rPh sb="0" eb="2">
      <t>レンシュウ</t>
    </rPh>
    <phoneticPr fontId="4"/>
  </si>
  <si>
    <t>取消</t>
    <rPh sb="0" eb="2">
      <t>トリケシ</t>
    </rPh>
    <phoneticPr fontId="4"/>
  </si>
  <si>
    <t>備考</t>
  </si>
  <si>
    <t>廃棄（通常）</t>
    <rPh sb="0" eb="2">
      <t>ハイキ</t>
    </rPh>
    <rPh sb="3" eb="5">
      <t>ツウジョウ</t>
    </rPh>
    <phoneticPr fontId="4"/>
  </si>
  <si>
    <t>返品取消</t>
    <rPh sb="0" eb="2">
      <t>ヘンピン</t>
    </rPh>
    <rPh sb="2" eb="4">
      <t>トリケシ</t>
    </rPh>
    <phoneticPr fontId="4"/>
  </si>
  <si>
    <t>大分類</t>
    <rPh sb="0" eb="3">
      <t>ダイブンルイ</t>
    </rPh>
    <phoneticPr fontId="4"/>
  </si>
  <si>
    <t>中分類</t>
    <rPh sb="0" eb="3">
      <t>チュウブンルイ</t>
    </rPh>
    <phoneticPr fontId="4"/>
  </si>
  <si>
    <t>確認項目</t>
    <rPh sb="0" eb="2">
      <t>カクニン</t>
    </rPh>
    <rPh sb="2" eb="4">
      <t>コウモク</t>
    </rPh>
    <phoneticPr fontId="4"/>
  </si>
  <si>
    <t>結果</t>
  </si>
  <si>
    <t>SEQ</t>
  </si>
  <si>
    <t>廃棄（練習）</t>
    <rPh sb="0" eb="2">
      <t>ハイキ</t>
    </rPh>
    <rPh sb="3" eb="5">
      <t>レンシュウ</t>
    </rPh>
    <phoneticPr fontId="4"/>
  </si>
  <si>
    <t>通番修正</t>
    <rPh sb="0" eb="1">
      <t>ツウ</t>
    </rPh>
    <rPh sb="1" eb="2">
      <t>バン</t>
    </rPh>
    <rPh sb="2" eb="4">
      <t>シュウセイ</t>
    </rPh>
    <phoneticPr fontId="4"/>
  </si>
  <si>
    <t>軽減税率施行前
（OPT:362043010 = 0）
税コード変換前</t>
    <rPh sb="0" eb="2">
      <t>ケイゲン</t>
    </rPh>
    <rPh sb="2" eb="4">
      <t>ゼイリツ</t>
    </rPh>
    <rPh sb="4" eb="6">
      <t>シコウ</t>
    </rPh>
    <rPh sb="6" eb="7">
      <t>マエ</t>
    </rPh>
    <rPh sb="28" eb="29">
      <t>ゼイ</t>
    </rPh>
    <rPh sb="32" eb="34">
      <t>ヘンカン</t>
    </rPh>
    <rPh sb="34" eb="35">
      <t>マエ</t>
    </rPh>
    <phoneticPr fontId="15"/>
  </si>
  <si>
    <t>税区分コード：１
（外税８％取引）</t>
    <rPh sb="0" eb="3">
      <t>ゼイクブン</t>
    </rPh>
    <rPh sb="10" eb="12">
      <t>ソトゼイ</t>
    </rPh>
    <rPh sb="14" eb="16">
      <t>トリヒキ</t>
    </rPh>
    <phoneticPr fontId="15"/>
  </si>
  <si>
    <t>通常売上（１件）</t>
    <rPh sb="0" eb="2">
      <t>ツウジョウ</t>
    </rPh>
    <rPh sb="2" eb="4">
      <t>ウリアゲ</t>
    </rPh>
    <rPh sb="6" eb="7">
      <t>ケン</t>
    </rPh>
    <phoneticPr fontId="15"/>
  </si>
  <si>
    <t>会計精算部門データの集計</t>
    <rPh sb="10" eb="12">
      <t>シュウケイ</t>
    </rPh>
    <phoneticPr fontId="15"/>
  </si>
  <si>
    <t>税コード１～８の金額・数量が全て０</t>
    <rPh sb="0" eb="1">
      <t>ゼイ</t>
    </rPh>
    <rPh sb="8" eb="10">
      <t>キンガク</t>
    </rPh>
    <rPh sb="11" eb="13">
      <t>スウリョウ</t>
    </rPh>
    <rPh sb="14" eb="15">
      <t>スベ</t>
    </rPh>
    <phoneticPr fontId="15"/>
  </si>
  <si>
    <t>通常売上（複数件）</t>
    <rPh sb="0" eb="2">
      <t>ツウジョウ</t>
    </rPh>
    <rPh sb="2" eb="4">
      <t>ウリアゲ</t>
    </rPh>
    <rPh sb="5" eb="7">
      <t>フクスウ</t>
    </rPh>
    <rPh sb="7" eb="8">
      <t>ケン</t>
    </rPh>
    <phoneticPr fontId="15"/>
  </si>
  <si>
    <t>通番修正（一部取消）</t>
    <rPh sb="0" eb="4">
      <t>ツウバンシュウセイ</t>
    </rPh>
    <rPh sb="5" eb="7">
      <t>イチブ</t>
    </rPh>
    <rPh sb="7" eb="9">
      <t>トリケシ</t>
    </rPh>
    <phoneticPr fontId="15"/>
  </si>
  <si>
    <t>通番修正（全部取消）</t>
    <rPh sb="0" eb="4">
      <t>ツウバンシュウセイ</t>
    </rPh>
    <rPh sb="5" eb="7">
      <t>ゼンブ</t>
    </rPh>
    <rPh sb="7" eb="9">
      <t>トリケシ</t>
    </rPh>
    <phoneticPr fontId="15"/>
  </si>
  <si>
    <t>レジマイナス（１件）</t>
    <rPh sb="8" eb="9">
      <t>ケン</t>
    </rPh>
    <phoneticPr fontId="15"/>
  </si>
  <si>
    <t>レジマイナス（複数件）</t>
    <rPh sb="7" eb="9">
      <t>フクスウ</t>
    </rPh>
    <rPh sb="9" eb="10">
      <t>ケン</t>
    </rPh>
    <phoneticPr fontId="15"/>
  </si>
  <si>
    <t>通番取消（一部取消）</t>
    <rPh sb="0" eb="2">
      <t>ツウバン</t>
    </rPh>
    <rPh sb="2" eb="4">
      <t>トリケシ</t>
    </rPh>
    <rPh sb="5" eb="7">
      <t>イチブ</t>
    </rPh>
    <rPh sb="7" eb="9">
      <t>トリケシ</t>
    </rPh>
    <phoneticPr fontId="15"/>
  </si>
  <si>
    <t>通番取消（全部取消）</t>
    <rPh sb="0" eb="2">
      <t>ツウバン</t>
    </rPh>
    <rPh sb="2" eb="4">
      <t>トリケシ</t>
    </rPh>
    <rPh sb="5" eb="7">
      <t>ゼンブ</t>
    </rPh>
    <rPh sb="7" eb="9">
      <t>トリケシ</t>
    </rPh>
    <phoneticPr fontId="15"/>
  </si>
  <si>
    <t>税区分コード：２
（内税８％取引）</t>
    <rPh sb="0" eb="3">
      <t>ゼイクブン</t>
    </rPh>
    <rPh sb="10" eb="12">
      <t>ウチゼイ</t>
    </rPh>
    <rPh sb="14" eb="16">
      <t>トリヒキ</t>
    </rPh>
    <phoneticPr fontId="15"/>
  </si>
  <si>
    <t>税区分コード：３
（非課税取引）</t>
    <rPh sb="0" eb="3">
      <t>ゼイクブン</t>
    </rPh>
    <rPh sb="10" eb="13">
      <t>ヒカゼイ</t>
    </rPh>
    <rPh sb="13" eb="15">
      <t>トリヒキ</t>
    </rPh>
    <phoneticPr fontId="15"/>
  </si>
  <si>
    <t>税区分コード：４
（外税１０％取引）</t>
    <rPh sb="0" eb="3">
      <t>ゼイクブン</t>
    </rPh>
    <rPh sb="10" eb="12">
      <t>ソトゼイ</t>
    </rPh>
    <rPh sb="15" eb="17">
      <t>トリヒキ</t>
    </rPh>
    <phoneticPr fontId="15"/>
  </si>
  <si>
    <t>税区分コード：５
（内税１０％取引）</t>
    <rPh sb="0" eb="3">
      <t>ゼイクブン</t>
    </rPh>
    <rPh sb="10" eb="12">
      <t>ウチゼイ</t>
    </rPh>
    <rPh sb="15" eb="17">
      <t>トリヒキ</t>
    </rPh>
    <phoneticPr fontId="15"/>
  </si>
  <si>
    <t>軽減税率施行前
（OPT:362043010 = 0）
税コード変換後</t>
    <rPh sb="0" eb="2">
      <t>ケイゲン</t>
    </rPh>
    <rPh sb="2" eb="4">
      <t>ゼイリツ</t>
    </rPh>
    <rPh sb="4" eb="6">
      <t>シコウ</t>
    </rPh>
    <rPh sb="6" eb="7">
      <t>マエ</t>
    </rPh>
    <rPh sb="28" eb="29">
      <t>ゼイ</t>
    </rPh>
    <rPh sb="32" eb="34">
      <t>ヘンカン</t>
    </rPh>
    <rPh sb="34" eb="35">
      <t>ゴ</t>
    </rPh>
    <phoneticPr fontId="15"/>
  </si>
  <si>
    <t>●</t>
    <phoneticPr fontId="15"/>
  </si>
  <si>
    <t>✔</t>
    <phoneticPr fontId="15"/>
  </si>
  <si>
    <t>●</t>
  </si>
  <si>
    <t>✔</t>
  </si>
  <si>
    <t>軽減税率施行後
（OPT:362043010 = 1）</t>
    <rPh sb="0" eb="2">
      <t>ケイゲン</t>
    </rPh>
    <rPh sb="2" eb="4">
      <t>ゼイリツ</t>
    </rPh>
    <rPh sb="4" eb="6">
      <t>シコウ</t>
    </rPh>
    <rPh sb="6" eb="7">
      <t>ゴ</t>
    </rPh>
    <phoneticPr fontId="15"/>
  </si>
  <si>
    <t>該当取引の金額・件数が税コード１情報として集計されていること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</si>
  <si>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該当取引の税情報が集計されていないこと</t>
    <rPh sb="0" eb="2">
      <t>ガイトウ</t>
    </rPh>
    <rPh sb="2" eb="4">
      <t>トリヒキ</t>
    </rPh>
    <rPh sb="5" eb="6">
      <t>ゼイ</t>
    </rPh>
    <rPh sb="6" eb="8">
      <t>ジョウホウ</t>
    </rPh>
    <rPh sb="9" eb="11">
      <t>シュウケイ</t>
    </rPh>
    <phoneticPr fontId="15"/>
  </si>
  <si>
    <t>該当取引の金額・件数が税コード２情報として集計されていること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</si>
  <si>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該当取引の金額・件数が税コード３情報として集計されていること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</si>
  <si>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該当取引の金額・件数が税コード４情報として集計されていること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</si>
  <si>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該当取引の金額・件数が税コード５情報として集計されていること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</si>
  <si>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イートイン変更により外税８％から１０％に変更</t>
    <rPh sb="5" eb="7">
      <t>ヘンコウ</t>
    </rPh>
    <rPh sb="10" eb="12">
      <t>ソトゼイ</t>
    </rPh>
    <rPh sb="20" eb="22">
      <t>ヘンコウ</t>
    </rPh>
    <phoneticPr fontId="15"/>
  </si>
  <si>
    <t>ＯＫ数（●）：</t>
    <phoneticPr fontId="4"/>
  </si>
  <si>
    <t>ＮＧ数（×）：</t>
  </si>
  <si>
    <t>全項目数</t>
    <rPh sb="0" eb="1">
      <t>ゼン</t>
    </rPh>
    <rPh sb="1" eb="4">
      <t>コウモクスウ</t>
    </rPh>
    <phoneticPr fontId="15"/>
  </si>
  <si>
    <t>サクラエディタファイルを開くorダミーファイルでドライブ空き容量を枯渇させる</t>
    <rPh sb="12" eb="13">
      <t>ヒラ</t>
    </rPh>
    <rPh sb="28" eb="29">
      <t>ア</t>
    </rPh>
    <rPh sb="30" eb="32">
      <t>ヨウリョウ</t>
    </rPh>
    <rPh sb="33" eb="35">
      <t>コカツ</t>
    </rPh>
    <phoneticPr fontId="15"/>
  </si>
  <si>
    <t>ignica変換サーバのiniファイル情報を書き換えるor常駐PGを停止させる</t>
    <rPh sb="6" eb="8">
      <t>ヘンカン</t>
    </rPh>
    <rPh sb="19" eb="21">
      <t>ジョウホウ</t>
    </rPh>
    <rPh sb="22" eb="23">
      <t>カ</t>
    </rPh>
    <rPh sb="24" eb="25">
      <t>カ</t>
    </rPh>
    <rPh sb="29" eb="31">
      <t>ジョウチュウ</t>
    </rPh>
    <rPh sb="34" eb="36">
      <t>テイシ</t>
    </rPh>
    <phoneticPr fontId="15"/>
  </si>
  <si>
    <t>GSFD_GIFT_CERT_BARCODEテーブルのレコード件数と出力ファイルのレコード件数を比較する</t>
    <phoneticPr fontId="15"/>
  </si>
  <si>
    <t>C:\CTKY\DATA\CTKY_FIRST_DAY.MSTのレコード件数と出力ファイルのレコード件数を比較する</t>
    <phoneticPr fontId="15"/>
  </si>
  <si>
    <t>GSFD_CALENDARテーブルのレコード件数と出力ファイルのレコード件数を比較する</t>
    <phoneticPr fontId="15"/>
  </si>
  <si>
    <t>INC_EXP_ACCTテーブルのレコード件数と出力ファイルのレコード件数を比較する</t>
    <phoneticPr fontId="15"/>
  </si>
  <si>
    <t>TENDERテーブルのレコード件数と出力ファイルのレコード件数を比較する</t>
    <phoneticPr fontId="15"/>
  </si>
  <si>
    <t>exeを一時的に削除やリネームする</t>
    <rPh sb="4" eb="6">
      <t>イチジ</t>
    </rPh>
    <rPh sb="6" eb="7">
      <t>テキ</t>
    </rPh>
    <rPh sb="8" eb="10">
      <t>サクジョ</t>
    </rPh>
    <phoneticPr fontId="15"/>
  </si>
  <si>
    <t>exeを一時的に削除やリネームした上でプロセス終了する</t>
    <rPh sb="4" eb="6">
      <t>イチジ</t>
    </rPh>
    <rPh sb="6" eb="7">
      <t>テキ</t>
    </rPh>
    <rPh sb="8" eb="10">
      <t>サクジョ</t>
    </rPh>
    <rPh sb="17" eb="18">
      <t>ウエ</t>
    </rPh>
    <rPh sb="23" eb="25">
      <t>シュウリョウ</t>
    </rPh>
    <phoneticPr fontId="15"/>
  </si>
  <si>
    <t>SQLServerを一時的に停止(他機能へ影響する可能性あり)</t>
    <rPh sb="10" eb="12">
      <t>イチジ</t>
    </rPh>
    <rPh sb="12" eb="13">
      <t>テキ</t>
    </rPh>
    <rPh sb="14" eb="16">
      <t>テイシ</t>
    </rPh>
    <rPh sb="17" eb="18">
      <t>ホカ</t>
    </rPh>
    <rPh sb="18" eb="20">
      <t>キノウ</t>
    </rPh>
    <rPh sb="21" eb="23">
      <t>エイキョウ</t>
    </rPh>
    <rPh sb="25" eb="27">
      <t>カノウ</t>
    </rPh>
    <rPh sb="27" eb="28">
      <t>セイ</t>
    </rPh>
    <phoneticPr fontId="15"/>
  </si>
  <si>
    <t>仕込みが必要なため、STで確認は難しい、ITのエビデンスを受領？</t>
    <rPh sb="0" eb="2">
      <t>シコ</t>
    </rPh>
    <rPh sb="4" eb="6">
      <t>ヒツヨウ</t>
    </rPh>
    <rPh sb="13" eb="15">
      <t>カクニン</t>
    </rPh>
    <rPh sb="16" eb="17">
      <t>ムズカ</t>
    </rPh>
    <rPh sb="29" eb="31">
      <t>ジュリョウ</t>
    </rPh>
    <phoneticPr fontId="15"/>
  </si>
  <si>
    <t>別途打合せ実施し、監視する内容等を決定する</t>
  </si>
  <si>
    <r>
      <t>開閉店状況照会で[</t>
    </r>
    <r>
      <rPr>
        <sz val="8"/>
        <color rgb="FFFF0000"/>
        <rFont val="Meiryo UI"/>
        <family val="3"/>
        <charset val="128"/>
      </rPr>
      <t>ignica連携差分データ連携用常駐プログラム起動処理</t>
    </r>
    <r>
      <rPr>
        <sz val="8"/>
        <color theme="1"/>
        <rFont val="Meiryo UI"/>
        <family val="3"/>
        <charset val="128"/>
      </rPr>
      <t>]が異常となっていること</t>
    </r>
    <rPh sb="0" eb="7">
      <t>カイヘイテンジョウキョウショウカイ</t>
    </rPh>
    <rPh sb="38" eb="40">
      <t>イジョウ</t>
    </rPh>
    <phoneticPr fontId="15"/>
  </si>
  <si>
    <r>
      <t>開閉店状況照会で[</t>
    </r>
    <r>
      <rPr>
        <sz val="8"/>
        <color rgb="FFFF0000"/>
        <rFont val="Meiryo UI"/>
        <family val="3"/>
        <charset val="128"/>
      </rPr>
      <t>ignica連携差分データ連携用常駐プログラム終了処理　</t>
    </r>
    <r>
      <rPr>
        <sz val="8"/>
        <color theme="1"/>
        <rFont val="Meiryo UI"/>
        <family val="3"/>
        <charset val="128"/>
      </rPr>
      <t>]が異常となっていること</t>
    </r>
    <rPh sb="0" eb="7">
      <t>カイヘイテンジョウキョウショウカイ</t>
    </rPh>
    <rPh sb="39" eb="41">
      <t>イジョウ</t>
    </rPh>
    <phoneticPr fontId="15"/>
  </si>
  <si>
    <t>Ignica
打鍵
有無</t>
    <rPh sb="7" eb="9">
      <t>ダケン</t>
    </rPh>
    <rPh sb="10" eb="12">
      <t>ウム</t>
    </rPh>
    <phoneticPr fontId="4"/>
  </si>
  <si>
    <t>テスト
予定日</t>
    <rPh sb="4" eb="7">
      <t>ヨテイビ</t>
    </rPh>
    <phoneticPr fontId="15"/>
  </si>
  <si>
    <t>テスト
予定日</t>
    <rPh sb="4" eb="7">
      <t>ヨテイビ</t>
    </rPh>
    <phoneticPr fontId="15"/>
  </si>
  <si>
    <t>※1/6に1/7のさんにち割を設定。1/8にOUTPUTを確認する</t>
    <rPh sb="13" eb="14">
      <t>ワリ</t>
    </rPh>
    <rPh sb="15" eb="17">
      <t>セッテイ</t>
    </rPh>
    <rPh sb="29" eb="31">
      <t>カクニン</t>
    </rPh>
    <phoneticPr fontId="15"/>
  </si>
  <si>
    <t>※1/7にPOSで緊急登録を実施。1/8にOUTPUTを確認する</t>
    <rPh sb="9" eb="11">
      <t>キンキュウ</t>
    </rPh>
    <rPh sb="11" eb="13">
      <t>トウロク</t>
    </rPh>
    <rPh sb="14" eb="16">
      <t>ジッシ</t>
    </rPh>
    <rPh sb="28" eb="30">
      <t>カクニン</t>
    </rPh>
    <phoneticPr fontId="15"/>
  </si>
  <si>
    <t>ＶＦＤ表示名称</t>
    <phoneticPr fontId="15"/>
  </si>
  <si>
    <r>
      <t xml:space="preserve">MERCHANDISEテーブルのレコード件数と出力ファイルのレコード件数を比較する
</t>
    </r>
    <r>
      <rPr>
        <sz val="8"/>
        <color rgb="FFFF0000"/>
        <rFont val="Meiryo UI"/>
        <family val="3"/>
        <charset val="128"/>
      </rPr>
      <t>SS仕様書を参照して確認を行う</t>
    </r>
    <rPh sb="44" eb="47">
      <t>シヨウショ</t>
    </rPh>
    <rPh sb="48" eb="50">
      <t>サンショウ</t>
    </rPh>
    <rPh sb="52" eb="54">
      <t>カクニン</t>
    </rPh>
    <rPh sb="55" eb="56">
      <t>オコナ</t>
    </rPh>
    <phoneticPr fontId="15"/>
  </si>
  <si>
    <r>
      <t xml:space="preserve">ファイル形式:文字コード(Shift_JIS)
</t>
    </r>
    <r>
      <rPr>
        <sz val="8"/>
        <color rgb="FFFF0000"/>
        <rFont val="Meiryo UI"/>
        <family val="3"/>
        <charset val="128"/>
      </rPr>
      <t>SAKURAエディター等で確認を行う</t>
    </r>
    <rPh sb="4" eb="6">
      <t>ケイシキ</t>
    </rPh>
    <rPh sb="35" eb="36">
      <t>トウ</t>
    </rPh>
    <rPh sb="37" eb="39">
      <t>カクニン</t>
    </rPh>
    <rPh sb="40" eb="41">
      <t>オコナ</t>
    </rPh>
    <phoneticPr fontId="15"/>
  </si>
  <si>
    <t>GSFD_EVENT_CSTテーブルのレコード件数と出力ファイルのレコード件数を比較する
SS仕様書を参照して確認を行う</t>
    <phoneticPr fontId="15"/>
  </si>
  <si>
    <t>GSFD_EVENT_CSTテーブルの該当レコード件数と出力ファイルのレコード件数を比較する
SS仕様書を参照して確認を行う</t>
    <rPh sb="19" eb="21">
      <t>ガイトウ</t>
    </rPh>
    <rPh sb="25" eb="27">
      <t>ケンスウ</t>
    </rPh>
    <rPh sb="28" eb="30">
      <t>シュツリョク</t>
    </rPh>
    <rPh sb="39" eb="41">
      <t>ケンスウ</t>
    </rPh>
    <rPh sb="42" eb="44">
      <t>ヒカク</t>
    </rPh>
    <phoneticPr fontId="15"/>
  </si>
  <si>
    <r>
      <t xml:space="preserve">ファイル形式:文字コード(Shift_JIS)
</t>
    </r>
    <r>
      <rPr>
        <sz val="8"/>
        <color rgb="FFFF0000"/>
        <rFont val="Meiryo UI"/>
        <family val="3"/>
        <charset val="128"/>
      </rPr>
      <t>SAKURAエディター等で確認を行う</t>
    </r>
    <rPh sb="4" eb="6">
      <t>ケイシキ</t>
    </rPh>
    <phoneticPr fontId="15"/>
  </si>
  <si>
    <t>ファイル名:[店舗コード 3桁]＋"_IG_MNTMST_"+[作成日時 yyyymmddhhmmss]+".zip.END"</t>
  </si>
  <si>
    <t>ファイル名:IG_FIRST_DAY_yyyymmddhhmmss.CSV</t>
    <rPh sb="4" eb="5">
      <t>メイ</t>
    </rPh>
    <phoneticPr fontId="15"/>
  </si>
  <si>
    <r>
      <t>対象処理:全件一括データファイル作成処理　</t>
    </r>
    <r>
      <rPr>
        <sz val="8"/>
        <color rgb="FFFF0000"/>
        <rFont val="Meiryo UI"/>
        <family val="3"/>
        <charset val="128"/>
      </rPr>
      <t>ファイル名: C:\CTKY\LOG\IG_MST_MK_ALL.log</t>
    </r>
    <rPh sb="0" eb="4">
      <t>タイショウショリ</t>
    </rPh>
    <rPh sb="5" eb="7">
      <t>ゼンケン</t>
    </rPh>
    <rPh sb="7" eb="9">
      <t>イッカツ</t>
    </rPh>
    <rPh sb="16" eb="20">
      <t>サクセイショリ</t>
    </rPh>
    <phoneticPr fontId="15"/>
  </si>
  <si>
    <r>
      <t>対象処理:ファイル圧縮処理　</t>
    </r>
    <r>
      <rPr>
        <sz val="8"/>
        <color rgb="FFFF0000"/>
        <rFont val="Meiryo UI"/>
        <family val="3"/>
        <charset val="128"/>
      </rPr>
      <t>ファイル名: C:\CTKY\LOG\IG_MST_COMPMKEND_ALL.log</t>
    </r>
    <rPh sb="0" eb="2">
      <t>タイショウ</t>
    </rPh>
    <rPh sb="2" eb="4">
      <t>ショリ</t>
    </rPh>
    <rPh sb="9" eb="13">
      <t>アッシュクショリ</t>
    </rPh>
    <phoneticPr fontId="15"/>
  </si>
  <si>
    <r>
      <t>対象処理:SFTP送信処理　</t>
    </r>
    <r>
      <rPr>
        <sz val="8"/>
        <color rgb="FFFF0000"/>
        <rFont val="Meiryo UI"/>
        <family val="3"/>
        <charset val="128"/>
      </rPr>
      <t>ファイル名: C:\CTKY\LOG\IG_MST_SEND_ALL.log</t>
    </r>
    <rPh sb="0" eb="2">
      <t>タイショウ</t>
    </rPh>
    <rPh sb="2" eb="4">
      <t>ショリ</t>
    </rPh>
    <rPh sb="9" eb="11">
      <t>ソウシン</t>
    </rPh>
    <rPh sb="11" eb="13">
      <t>ショリ</t>
    </rPh>
    <phoneticPr fontId="15"/>
  </si>
  <si>
    <r>
      <t xml:space="preserve">対象処理:送信ファイルバックアップ処理　ファイル名: </t>
    </r>
    <r>
      <rPr>
        <sz val="8"/>
        <color rgb="FFFF0000"/>
        <rFont val="Meiryo UI"/>
        <family val="3"/>
        <charset val="128"/>
      </rPr>
      <t>C:\CTKY\LOG\IG_DataBackup_ALL.log</t>
    </r>
    <rPh sb="0" eb="2">
      <t>タイショウ</t>
    </rPh>
    <rPh sb="2" eb="4">
      <t>ショリ</t>
    </rPh>
    <rPh sb="5" eb="7">
      <t>ソウシン</t>
    </rPh>
    <rPh sb="17" eb="19">
      <t>ショリ</t>
    </rPh>
    <phoneticPr fontId="15"/>
  </si>
  <si>
    <t>ファイル名:E:\CTKY\DATA\BACKUP\IG_MNT_HST\Today\IG_MNTHIST_PLUM.DAT</t>
    <phoneticPr fontId="15"/>
  </si>
  <si>
    <t>ファイル名:IG_MNT_PLUM_yyyymmddhhmmss.CSV</t>
    <rPh sb="4" eb="5">
      <t>メイ</t>
    </rPh>
    <phoneticPr fontId="15"/>
  </si>
  <si>
    <t>C:\CTKY\Log\IG_LOG</t>
    <phoneticPr fontId="15"/>
  </si>
  <si>
    <r>
      <t>ファイル名:</t>
    </r>
    <r>
      <rPr>
        <sz val="8"/>
        <color rgb="FFFF0000"/>
        <rFont val="Meiryo UI"/>
        <family val="3"/>
        <charset val="128"/>
      </rPr>
      <t>C:\CTKY\LOG\IG_MST_SEND_ALL.log</t>
    </r>
    <r>
      <rPr>
        <sz val="8"/>
        <color theme="1"/>
        <rFont val="Meiryo UI"/>
        <family val="3"/>
        <charset val="128"/>
      </rPr>
      <t>　</t>
    </r>
    <r>
      <rPr>
        <sz val="8"/>
        <color rgb="FFFF0000"/>
        <rFont val="Meiryo UI"/>
        <family val="3"/>
        <charset val="128"/>
      </rPr>
      <t>★UI設計書修正</t>
    </r>
    <rPh sb="4" eb="5">
      <t>メイ</t>
    </rPh>
    <rPh sb="41" eb="44">
      <t>セッケイショ</t>
    </rPh>
    <rPh sb="44" eb="46">
      <t>シュウセイ</t>
    </rPh>
    <phoneticPr fontId="15"/>
  </si>
  <si>
    <r>
      <t>ログフォルダ:C:\CTKY\LOG\</t>
    </r>
    <r>
      <rPr>
        <strike/>
        <sz val="8"/>
        <color theme="1"/>
        <rFont val="Meiryo UI"/>
        <family val="3"/>
        <charset val="128"/>
      </rPr>
      <t>IG_ALLMST_END_SFTP.log</t>
    </r>
    <r>
      <rPr>
        <sz val="8"/>
        <color theme="1"/>
        <rFont val="Meiryo UI"/>
        <family val="3"/>
        <charset val="128"/>
      </rPr>
      <t xml:space="preserve">
</t>
    </r>
    <r>
      <rPr>
        <sz val="8"/>
        <color rgb="FFFF0000"/>
        <rFont val="Meiryo UI"/>
        <family val="3"/>
        <charset val="128"/>
      </rPr>
      <t>ファイル名: C:\CTKY\LOG\IG_MST_SEND_ALL.log　に含まれる</t>
    </r>
    <r>
      <rPr>
        <sz val="8"/>
        <color theme="1"/>
        <rFont val="Meiryo UI"/>
        <family val="3"/>
        <charset val="128"/>
      </rPr>
      <t>　</t>
    </r>
    <r>
      <rPr>
        <sz val="8"/>
        <color rgb="FFFF0000"/>
        <rFont val="Meiryo UI"/>
        <family val="3"/>
        <charset val="128"/>
      </rPr>
      <t>★UI設計書修正</t>
    </r>
    <rPh sb="82" eb="83">
      <t>フク</t>
    </rPh>
    <rPh sb="90" eb="93">
      <t>セッケイショ</t>
    </rPh>
    <rPh sb="93" eb="95">
      <t>シュウセイ</t>
    </rPh>
    <phoneticPr fontId="15"/>
  </si>
  <si>
    <r>
      <t xml:space="preserve">対象処理:ENDファイル作成処理
</t>
    </r>
    <r>
      <rPr>
        <sz val="8"/>
        <color rgb="FFFF0000"/>
        <rFont val="Meiryo UI"/>
        <family val="3"/>
        <charset val="128"/>
      </rPr>
      <t>ENDファイル作成処理のログが見当たらない</t>
    </r>
    <r>
      <rPr>
        <sz val="8"/>
        <color theme="1"/>
        <rFont val="Meiryo UI"/>
        <family val="3"/>
        <charset val="128"/>
      </rPr>
      <t>　</t>
    </r>
    <r>
      <rPr>
        <sz val="8"/>
        <color rgb="FFFF0000"/>
        <rFont val="Meiryo UI"/>
        <family val="3"/>
        <charset val="128"/>
      </rPr>
      <t>★UI設計書修正</t>
    </r>
    <rPh sb="0" eb="2">
      <t>タイショウ</t>
    </rPh>
    <rPh sb="2" eb="4">
      <t>ショリ</t>
    </rPh>
    <rPh sb="12" eb="14">
      <t>サクセイ</t>
    </rPh>
    <rPh sb="14" eb="16">
      <t>ショリ</t>
    </rPh>
    <rPh sb="24" eb="26">
      <t>サクセイ</t>
    </rPh>
    <rPh sb="26" eb="28">
      <t>ショリ</t>
    </rPh>
    <rPh sb="32" eb="33">
      <t>ミ</t>
    </rPh>
    <rPh sb="33" eb="34">
      <t>ア</t>
    </rPh>
    <phoneticPr fontId="15"/>
  </si>
  <si>
    <r>
      <t>対象処理:SFTP送信処理　</t>
    </r>
    <r>
      <rPr>
        <sz val="8"/>
        <color rgb="FFFF0000"/>
        <rFont val="Meiryo UI"/>
        <family val="3"/>
        <charset val="128"/>
      </rPr>
      <t>★UI設計書修正</t>
    </r>
    <rPh sb="0" eb="2">
      <t>タイショウ</t>
    </rPh>
    <rPh sb="2" eb="4">
      <t>ショリ</t>
    </rPh>
    <rPh sb="9" eb="11">
      <t>ソウシン</t>
    </rPh>
    <rPh sb="11" eb="13">
      <t>ショリ</t>
    </rPh>
    <phoneticPr fontId="15"/>
  </si>
  <si>
    <r>
      <t>対象処理:送信ファイルバックアップ処理　</t>
    </r>
    <r>
      <rPr>
        <sz val="8"/>
        <color rgb="FFFF0000"/>
        <rFont val="Meiryo UI"/>
        <family val="3"/>
        <charset val="128"/>
      </rPr>
      <t>★UI設計書修正</t>
    </r>
    <rPh sb="0" eb="2">
      <t>タイショウ</t>
    </rPh>
    <rPh sb="2" eb="4">
      <t>ショリ</t>
    </rPh>
    <rPh sb="5" eb="7">
      <t>ソウシン</t>
    </rPh>
    <rPh sb="17" eb="19">
      <t>ショリ</t>
    </rPh>
    <phoneticPr fontId="15"/>
  </si>
  <si>
    <t>ファイル名:C:\GSFD\1\USERBIN\GSFD_IG_MONI_STOP.cmd</t>
    <phoneticPr fontId="15"/>
  </si>
  <si>
    <r>
      <t xml:space="preserve">ファイル名:C:\CTKY\LOG\IG_MNTMST_ZIP_SFTP.log </t>
    </r>
    <r>
      <rPr>
        <sz val="8"/>
        <color rgb="FFFF0000"/>
        <rFont val="Meiryo UI"/>
        <family val="3"/>
        <charset val="128"/>
      </rPr>
      <t>C:¥CTKY¥Log¥IG_LOG.log</t>
    </r>
    <rPh sb="4" eb="5">
      <t>メイ</t>
    </rPh>
    <phoneticPr fontId="15"/>
  </si>
  <si>
    <t>PDAの売価変更では商品マスタは作成しない</t>
    <rPh sb="4" eb="8">
      <t>バイカヘンコウ</t>
    </rPh>
    <rPh sb="10" eb="12">
      <t>ショウヒン</t>
    </rPh>
    <rPh sb="16" eb="18">
      <t>サクセイ</t>
    </rPh>
    <phoneticPr fontId="15"/>
  </si>
  <si>
    <t>PDAの売価変更で削除データは作成不可</t>
    <rPh sb="4" eb="8">
      <t>バイカヘンコウ</t>
    </rPh>
    <rPh sb="9" eb="11">
      <t>サクジョ</t>
    </rPh>
    <rPh sb="15" eb="19">
      <t>サクセイフカ</t>
    </rPh>
    <phoneticPr fontId="15"/>
  </si>
  <si>
    <t>当バッチにパラメタ異常時のエラー組込はなし(SS設計書参考)</t>
    <rPh sb="0" eb="1">
      <t>トウ</t>
    </rPh>
    <rPh sb="9" eb="11">
      <t>イジョウ</t>
    </rPh>
    <rPh sb="11" eb="12">
      <t>ジ</t>
    </rPh>
    <rPh sb="16" eb="18">
      <t>クミコミ</t>
    </rPh>
    <rPh sb="24" eb="29">
      <t>セッケイショサンコウ</t>
    </rPh>
    <phoneticPr fontId="15"/>
  </si>
  <si>
    <r>
      <t>過去分ログフォルダ:E:\CTKY\BF\LOG\GSFD_BF_</t>
    </r>
    <r>
      <rPr>
        <sz val="8"/>
        <color rgb="FFFF0000"/>
        <rFont val="Meiryo UI"/>
        <family val="3"/>
        <charset val="128"/>
      </rPr>
      <t>END</t>
    </r>
    <r>
      <rPr>
        <sz val="8"/>
        <color theme="1"/>
        <rFont val="Meiryo UI"/>
        <family val="3"/>
        <charset val="128"/>
      </rPr>
      <t>RCVFTP.log.(001~010)</t>
    </r>
    <rPh sb="0" eb="3">
      <t>カコブン</t>
    </rPh>
    <phoneticPr fontId="15"/>
  </si>
  <si>
    <t>プロセス名:GSFD_IG_TranFind.exe</t>
    <rPh sb="4" eb="5">
      <t>メイ</t>
    </rPh>
    <phoneticPr fontId="15"/>
  </si>
  <si>
    <t>どのログに出力されるか要確認</t>
    <rPh sb="5" eb="7">
      <t>シュツリョク</t>
    </rPh>
    <rPh sb="11" eb="14">
      <t>ヨウカクニン</t>
    </rPh>
    <phoneticPr fontId="15"/>
  </si>
  <si>
    <r>
      <rPr>
        <sz val="8"/>
        <color rgb="FFFF0000"/>
        <rFont val="Meiryo UI"/>
        <family val="3"/>
        <charset val="128"/>
      </rPr>
      <t>どのログに出力されるか要確認</t>
    </r>
    <r>
      <rPr>
        <sz val="8"/>
        <rFont val="Meiryo UI"/>
        <family val="3"/>
        <charset val="128"/>
      </rPr>
      <t>当該ログに処理が無い場合は、開閉局ログを確認する。(C:\GSTR\RAFT\log\runlog.log)</t>
    </r>
    <rPh sb="14" eb="16">
      <t>トウガイ</t>
    </rPh>
    <rPh sb="19" eb="21">
      <t>ショリ</t>
    </rPh>
    <rPh sb="28" eb="31">
      <t>カイヘイキョク</t>
    </rPh>
    <rPh sb="34" eb="36">
      <t>カクニン</t>
    </rPh>
    <phoneticPr fontId="15"/>
  </si>
  <si>
    <t>2025/1/17以降でバックアップを確認</t>
    <rPh sb="9" eb="11">
      <t>イコウ</t>
    </rPh>
    <rPh sb="19" eb="21">
      <t>カクニン</t>
    </rPh>
    <phoneticPr fontId="15"/>
  </si>
  <si>
    <t>青果売変(削除)は予約された青果売変を削除した際の操作であり、削除された予約データは商品マスタにデータ連携されないため確認不要</t>
    <rPh sb="0" eb="4">
      <t>セイカバイヘン</t>
    </rPh>
    <rPh sb="5" eb="7">
      <t>サクジョ</t>
    </rPh>
    <rPh sb="9" eb="11">
      <t>ヨヤク</t>
    </rPh>
    <rPh sb="14" eb="18">
      <t>セイカバイヘン</t>
    </rPh>
    <rPh sb="19" eb="21">
      <t>サクジョ</t>
    </rPh>
    <rPh sb="23" eb="24">
      <t>サイ</t>
    </rPh>
    <rPh sb="25" eb="27">
      <t>ソウサ</t>
    </rPh>
    <rPh sb="31" eb="33">
      <t>サクジョ</t>
    </rPh>
    <rPh sb="36" eb="38">
      <t>ヨヤク</t>
    </rPh>
    <rPh sb="42" eb="44">
      <t>ショウヒン</t>
    </rPh>
    <rPh sb="51" eb="53">
      <t>レンケイ</t>
    </rPh>
    <rPh sb="59" eb="61">
      <t>カクニン</t>
    </rPh>
    <rPh sb="61" eb="63">
      <t>フヨウ</t>
    </rPh>
    <phoneticPr fontId="15"/>
  </si>
  <si>
    <t>青果売変(追加)は全件一括連携のみ。反映日に全件一括連携されることを確認する</t>
    <rPh sb="0" eb="4">
      <t>セイカバイヘン</t>
    </rPh>
    <rPh sb="5" eb="7">
      <t>ツイカ</t>
    </rPh>
    <rPh sb="9" eb="15">
      <t>ゼンケンイッカツレンケイ</t>
    </rPh>
    <rPh sb="18" eb="21">
      <t>ハンエイビ</t>
    </rPh>
    <rPh sb="22" eb="26">
      <t>ゼンケンイッカツ</t>
    </rPh>
    <rPh sb="26" eb="28">
      <t>レンケイ</t>
    </rPh>
    <rPh sb="34" eb="36">
      <t>カクニン</t>
    </rPh>
    <phoneticPr fontId="1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</si>
</sst>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m/d"/>
    <numFmt numFmtId="177" formatCode="#,##0;\-#,##0;&quot;-&quot;"/>
    <numFmt numFmtId="178" formatCode="_(* #,##0.00_);_(* \(#,##0.00\);_(* &quot;-&quot;_);_(@_)"/>
    <numFmt numFmtId="179" formatCode="m&quot;月&quot;d&quot;日&quot;;@"/>
  </numFmts>
  <fonts count="35" x14ac:knownFonts="1">
    <font>
      <sz val="9"/>
      <name val="ＭＳ ゴシック"/>
      <family val="3"/>
      <charset val="128"/>
    </font>
    <font>
      <b/>
      <sz val="9"/>
      <name val="ＭＳ ゴシック"/>
      <family val="3"/>
      <charset val="128"/>
    </font>
    <font>
      <sz val="9"/>
      <name val="ＭＳ ゴシック"/>
      <family val="3"/>
      <charset val="128"/>
    </font>
    <font>
      <sz val="7"/>
      <name val="ＭＳ ゴシック"/>
      <family val="3"/>
      <charset val="128"/>
    </font>
    <font>
      <b/>
      <sz val="7"/>
      <name val="ＭＳ ゴシック"/>
      <family val="3"/>
      <charset val="128"/>
    </font>
    <font>
      <b/>
      <sz val="12"/>
      <name val="Arial"/>
      <family val="2"/>
    </font>
    <font>
      <sz val="11"/>
      <name val="ＭＳ ゴシック"/>
      <family val="3"/>
      <charset val="128"/>
    </font>
    <font>
      <sz val="12"/>
      <name val="ＭＳ ゴシック"/>
      <family val="3"/>
      <charset val="128"/>
    </font>
    <font>
      <sz val="10"/>
      <color indexed="8"/>
      <name val="Arial"/>
      <family val="2"/>
    </font>
    <font>
      <sz val="8"/>
      <name val="Arial"/>
      <family val="2"/>
    </font>
    <font>
      <sz val="11"/>
      <name val="標準ゴシック"/>
      <family val="3"/>
      <charset val="128"/>
    </font>
    <font>
      <sz val="10"/>
      <name val="Arial"/>
      <family val="2"/>
    </font>
    <font>
      <sz val="22"/>
      <name val="ＭＳ 明朝"/>
      <family val="1"/>
      <charset val="128"/>
    </font>
    <font>
      <b/>
      <sz val="10"/>
      <name val="ＭＳ ゴシック"/>
      <family val="3"/>
      <charset val="128"/>
    </font>
    <font>
      <sz val="7"/>
      <color indexed="8"/>
      <name val="ＭＳ ゴシック"/>
      <family val="3"/>
      <charset val="128"/>
    </font>
    <font>
      <sz val="6"/>
      <name val="ＭＳ ゴシック"/>
      <family val="3"/>
      <charset val="128"/>
    </font>
    <font>
      <sz val="11"/>
      <color theme="1"/>
      <name val="ＭＳ Ｐゴシック"/>
      <family val="3"/>
      <charset val="128"/>
      <scheme val="minor"/>
    </font>
    <font>
      <sz val="7"/>
      <color rgb="FFFF0000"/>
      <name val="ＭＳ ゴシック"/>
      <family val="3"/>
      <charset val="128"/>
    </font>
    <font>
      <b/>
      <sz val="8"/>
      <name val="Meiryo UI"/>
      <family val="3"/>
      <charset val="128"/>
    </font>
    <font>
      <sz val="7"/>
      <name val="Meiryo UI"/>
      <family val="3"/>
      <charset val="128"/>
    </font>
    <font>
      <sz val="11"/>
      <name val="Meiryo UI"/>
      <family val="3"/>
      <charset val="128"/>
    </font>
    <font>
      <b/>
      <sz val="14"/>
      <name val="Meiryo UI"/>
      <family val="3"/>
      <charset val="128"/>
    </font>
    <font>
      <b/>
      <sz val="26"/>
      <name val="Meiryo UI"/>
      <family val="3"/>
      <charset val="128"/>
    </font>
    <font>
      <b/>
      <sz val="20"/>
      <name val="Meiryo UI"/>
      <family val="3"/>
      <charset val="128"/>
    </font>
    <font>
      <b/>
      <sz val="16"/>
      <name val="Meiryo UI"/>
      <family val="3"/>
      <charset val="128"/>
    </font>
    <font>
      <sz val="8"/>
      <color theme="1"/>
      <name val="Meiryo UI"/>
      <family val="3"/>
      <charset val="128"/>
    </font>
    <font>
      <b/>
      <sz val="8"/>
      <color indexed="8"/>
      <name val="Meiryo UI"/>
      <family val="3"/>
      <charset val="128"/>
    </font>
    <font>
      <b/>
      <sz val="9"/>
      <name val="Meiryo UI"/>
      <family val="3"/>
      <charset val="128"/>
    </font>
    <font>
      <sz val="8"/>
      <name val="Meiryo UI"/>
      <family val="3"/>
      <charset val="128"/>
    </font>
    <font>
      <sz val="8"/>
      <color rgb="FFFF0000"/>
      <name val="Meiryo UI"/>
      <family val="3"/>
      <charset val="128"/>
    </font>
    <font>
      <sz val="8"/>
      <color rgb="FF0070C0"/>
      <name val="Meiryo UI"/>
      <family val="3"/>
      <charset val="128"/>
    </font>
    <font>
      <sz val="9"/>
      <name val="Meiryo UI"/>
      <family val="3"/>
      <charset val="128"/>
    </font>
    <font>
      <sz val="9"/>
      <color rgb="FFFF0000"/>
      <name val="Meiryo UI"/>
      <family val="3"/>
      <charset val="128"/>
    </font>
    <font>
      <b/>
      <sz val="8"/>
      <color rgb="FFFF0000"/>
      <name val="Meiryo UI"/>
      <family val="3"/>
      <charset val="128"/>
    </font>
    <font>
      <strike/>
      <sz val="8"/>
      <color theme="1"/>
      <name val="Meiryo UI"/>
      <family val="3"/>
      <charset val="128"/>
    </font>
  </fonts>
  <fills count="9">
    <fill>
      <patternFill patternType="none"/>
    </fill>
    <fill>
      <patternFill patternType="gray125"/>
    </fill>
    <fill>
      <patternFill patternType="solid">
        <fgColor indexed="22"/>
        <bgColor indexed="64"/>
      </patternFill>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theme="0" tint="-0.249977111117893"/>
        <bgColor indexed="64"/>
      </patternFill>
    </fill>
    <fill>
      <patternFill patternType="solid">
        <fgColor rgb="FFFFFF00"/>
        <bgColor indexed="64"/>
      </patternFill>
    </fill>
    <fill>
      <patternFill patternType="solid">
        <fgColor theme="4" tint="0.79998168889431442"/>
        <bgColor indexed="64"/>
      </patternFill>
    </fill>
  </fills>
  <borders count="84">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indexed="64"/>
      </left>
      <right/>
      <top/>
      <bottom style="thin">
        <color indexed="64"/>
      </bottom>
      <diagonal/>
    </border>
    <border>
      <left style="hair">
        <color indexed="64"/>
      </left>
      <right/>
      <top/>
      <bottom style="thin">
        <color indexed="64"/>
      </bottom>
      <diagonal/>
    </border>
    <border>
      <left/>
      <right style="thin">
        <color indexed="64"/>
      </right>
      <top/>
      <bottom style="thin">
        <color indexed="64"/>
      </bottom>
      <diagonal/>
    </border>
    <border>
      <left style="hair">
        <color indexed="64"/>
      </left>
      <right style="hair">
        <color indexed="64"/>
      </right>
      <top/>
      <bottom style="thin">
        <color indexed="64"/>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right style="double">
        <color indexed="64"/>
      </right>
      <top/>
      <bottom/>
      <diagonal/>
    </border>
    <border>
      <left style="double">
        <color indexed="64"/>
      </left>
      <right/>
      <top/>
      <bottom/>
      <diagonal/>
    </border>
    <border>
      <left/>
      <right/>
      <top style="thin">
        <color indexed="64"/>
      </top>
      <bottom/>
      <diagonal/>
    </border>
    <border>
      <left style="hair">
        <color indexed="64"/>
      </left>
      <right style="hair">
        <color indexed="64"/>
      </right>
      <top style="thin">
        <color indexed="64"/>
      </top>
      <bottom/>
      <diagonal/>
    </border>
    <border>
      <left style="thin">
        <color indexed="64"/>
      </left>
      <right/>
      <top/>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style="hair">
        <color indexed="64"/>
      </right>
      <top/>
      <bottom/>
      <diagonal/>
    </border>
    <border>
      <left style="hair">
        <color indexed="64"/>
      </left>
      <right style="hair">
        <color indexed="64"/>
      </right>
      <top/>
      <bottom/>
      <diagonal/>
    </border>
    <border>
      <left/>
      <right/>
      <top style="hair">
        <color indexed="64"/>
      </top>
      <bottom/>
      <diagonal/>
    </border>
    <border>
      <left style="thin">
        <color indexed="64"/>
      </left>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style="hair">
        <color indexed="64"/>
      </right>
      <top/>
      <bottom style="thin">
        <color indexed="64"/>
      </bottom>
      <diagonal/>
    </border>
    <border>
      <left style="hair">
        <color indexed="64"/>
      </left>
      <right style="hair">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right style="hair">
        <color indexed="64"/>
      </right>
      <top/>
      <bottom/>
      <diagonal/>
    </border>
    <border>
      <left style="thin">
        <color indexed="64"/>
      </left>
      <right style="hair">
        <color indexed="64"/>
      </right>
      <top style="thin">
        <color indexed="64"/>
      </top>
      <bottom style="hair">
        <color indexed="64"/>
      </bottom>
      <diagonal/>
    </border>
    <border>
      <left style="thin">
        <color indexed="64"/>
      </left>
      <right/>
      <top style="thin">
        <color indexed="64"/>
      </top>
      <bottom/>
      <diagonal/>
    </border>
    <border>
      <left style="thin">
        <color indexed="64"/>
      </left>
      <right/>
      <top/>
      <bottom style="hair">
        <color indexed="64"/>
      </bottom>
      <diagonal/>
    </border>
    <border>
      <left/>
      <right style="thin">
        <color indexed="64"/>
      </right>
      <top/>
      <bottom style="hair">
        <color indexed="64"/>
      </bottom>
      <diagonal/>
    </border>
    <border>
      <left style="hair">
        <color indexed="64"/>
      </left>
      <right style="double">
        <color indexed="64"/>
      </right>
      <top/>
      <bottom/>
      <diagonal/>
    </border>
    <border>
      <left style="hair">
        <color indexed="64"/>
      </left>
      <right style="hair">
        <color indexed="64"/>
      </right>
      <top style="hair">
        <color indexed="64"/>
      </top>
      <bottom/>
      <diagonal/>
    </border>
    <border>
      <left style="hair">
        <color indexed="64"/>
      </left>
      <right/>
      <top style="hair">
        <color indexed="64"/>
      </top>
      <bottom/>
      <diagonal/>
    </border>
    <border>
      <left style="hair">
        <color indexed="64"/>
      </left>
      <right style="double">
        <color indexed="64"/>
      </right>
      <top/>
      <bottom style="thin">
        <color indexed="64"/>
      </bottom>
      <diagonal/>
    </border>
    <border>
      <left style="hair">
        <color indexed="64"/>
      </left>
      <right style="double">
        <color indexed="64"/>
      </right>
      <top style="thin">
        <color indexed="64"/>
      </top>
      <bottom/>
      <diagonal/>
    </border>
    <border>
      <left style="thin">
        <color indexed="64"/>
      </left>
      <right style="hair">
        <color indexed="64"/>
      </right>
      <top style="hair">
        <color indexed="64"/>
      </top>
      <bottom/>
      <diagonal/>
    </border>
    <border>
      <left/>
      <right style="thin">
        <color indexed="64"/>
      </right>
      <top style="thin">
        <color indexed="64"/>
      </top>
      <bottom/>
      <diagonal/>
    </border>
    <border>
      <left style="thin">
        <color indexed="64"/>
      </left>
      <right/>
      <top style="hair">
        <color indexed="64"/>
      </top>
      <bottom/>
      <diagonal/>
    </border>
    <border>
      <left/>
      <right/>
      <top/>
      <bottom style="thin">
        <color indexed="64"/>
      </bottom>
      <diagonal/>
    </border>
    <border>
      <left style="hair">
        <color indexed="64"/>
      </left>
      <right style="thin">
        <color indexed="64"/>
      </right>
      <top/>
      <bottom style="thin">
        <color indexed="64"/>
      </bottom>
      <diagonal/>
    </border>
    <border>
      <left/>
      <right style="hair">
        <color indexed="64"/>
      </right>
      <top style="hair">
        <color indexed="64"/>
      </top>
      <bottom/>
      <diagonal/>
    </border>
    <border>
      <left/>
      <right/>
      <top/>
      <bottom style="hair">
        <color indexed="64"/>
      </bottom>
      <diagonal/>
    </border>
    <border>
      <left style="double">
        <color indexed="64"/>
      </left>
      <right style="thin">
        <color indexed="64"/>
      </right>
      <top style="thin">
        <color indexed="64"/>
      </top>
      <bottom/>
      <diagonal/>
    </border>
    <border>
      <left/>
      <right style="hair">
        <color indexed="64"/>
      </right>
      <top style="hair">
        <color indexed="64"/>
      </top>
      <bottom style="hair">
        <color indexed="64"/>
      </bottom>
      <diagonal/>
    </border>
    <border>
      <left style="hair">
        <color indexed="64"/>
      </left>
      <right style="double">
        <color indexed="64"/>
      </right>
      <top style="hair">
        <color indexed="64"/>
      </top>
      <bottom style="hair">
        <color indexed="64"/>
      </bottom>
      <diagonal/>
    </border>
    <border>
      <left style="double">
        <color indexed="64"/>
      </left>
      <right/>
      <top style="thin">
        <color indexed="64"/>
      </top>
      <bottom/>
      <diagonal/>
    </border>
    <border>
      <left style="double">
        <color indexed="64"/>
      </left>
      <right/>
      <top/>
      <bottom style="thin">
        <color indexed="64"/>
      </bottom>
      <diagonal/>
    </border>
    <border>
      <left style="double">
        <color indexed="64"/>
      </left>
      <right style="thin">
        <color indexed="64"/>
      </right>
      <top style="hair">
        <color indexed="64"/>
      </top>
      <bottom style="hair">
        <color indexed="64"/>
      </bottom>
      <diagonal/>
    </border>
    <border>
      <left style="hair">
        <color indexed="64"/>
      </left>
      <right/>
      <top style="hair">
        <color indexed="64"/>
      </top>
      <bottom style="hair">
        <color indexed="64"/>
      </bottom>
      <diagonal/>
    </border>
    <border>
      <left/>
      <right style="hair">
        <color indexed="64"/>
      </right>
      <top/>
      <bottom style="thin">
        <color indexed="64"/>
      </bottom>
      <diagonal/>
    </border>
    <border>
      <left style="double">
        <color indexed="64"/>
      </left>
      <right style="thin">
        <color indexed="64"/>
      </right>
      <top/>
      <bottom style="thin">
        <color indexed="64"/>
      </bottom>
      <diagonal/>
    </border>
    <border>
      <left style="hair">
        <color indexed="64"/>
      </left>
      <right/>
      <top/>
      <bottom/>
      <diagonal/>
    </border>
    <border>
      <left style="hair">
        <color indexed="64"/>
      </left>
      <right style="thin">
        <color indexed="64"/>
      </right>
      <top/>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thin">
        <color indexed="64"/>
      </left>
      <right style="double">
        <color indexed="64"/>
      </right>
      <top style="thin">
        <color indexed="64"/>
      </top>
      <bottom style="thin">
        <color indexed="64"/>
      </bottom>
      <diagonal/>
    </border>
    <border>
      <left/>
      <right style="hair">
        <color indexed="64"/>
      </right>
      <top style="thin">
        <color indexed="64"/>
      </top>
      <bottom/>
      <diagonal/>
    </border>
    <border>
      <left style="hair">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hair">
        <color indexed="64"/>
      </right>
      <top style="thin">
        <color indexed="64"/>
      </top>
      <bottom/>
      <diagonal/>
    </border>
    <border>
      <left style="thin">
        <color indexed="64"/>
      </left>
      <right style="thin">
        <color indexed="64"/>
      </right>
      <top style="hair">
        <color indexed="64"/>
      </top>
      <bottom style="hair">
        <color indexed="64"/>
      </bottom>
      <diagonal/>
    </border>
    <border>
      <left/>
      <right/>
      <top style="thin">
        <color indexed="64"/>
      </top>
      <bottom style="hair">
        <color indexed="64"/>
      </bottom>
      <diagonal/>
    </border>
    <border>
      <left/>
      <right style="thin">
        <color indexed="64"/>
      </right>
      <top style="hair">
        <color indexed="64"/>
      </top>
      <bottom style="hair">
        <color indexed="64"/>
      </bottom>
      <diagonal/>
    </border>
    <border>
      <left/>
      <right style="thin">
        <color indexed="64"/>
      </right>
      <top style="thin">
        <color indexed="64"/>
      </top>
      <bottom style="hair">
        <color indexed="64"/>
      </bottom>
      <diagonal/>
    </border>
    <border>
      <left style="hair">
        <color indexed="64"/>
      </left>
      <right style="thin">
        <color indexed="64"/>
      </right>
      <top style="hair">
        <color indexed="64"/>
      </top>
      <bottom/>
      <diagonal/>
    </border>
    <border>
      <left style="hair">
        <color indexed="64"/>
      </left>
      <right/>
      <top style="thin">
        <color indexed="64"/>
      </top>
      <bottom style="hair">
        <color indexed="64"/>
      </bottom>
      <diagonal/>
    </border>
    <border>
      <left style="hair">
        <color indexed="64"/>
      </left>
      <right/>
      <top style="hair">
        <color indexed="64"/>
      </top>
      <bottom style="thin">
        <color indexed="64"/>
      </bottom>
      <diagonal/>
    </border>
    <border>
      <left style="hair">
        <color indexed="64"/>
      </left>
      <right/>
      <top style="thin">
        <color indexed="64"/>
      </top>
      <bottom/>
      <diagonal/>
    </border>
    <border>
      <left style="thin">
        <color indexed="64"/>
      </left>
      <right style="thin">
        <color indexed="64"/>
      </right>
      <top style="hair">
        <color indexed="64"/>
      </top>
      <bottom/>
      <diagonal/>
    </border>
    <border>
      <left style="thin">
        <color indexed="64"/>
      </left>
      <right style="thin">
        <color indexed="64"/>
      </right>
      <top/>
      <bottom style="hair">
        <color indexed="64"/>
      </bottom>
      <diagonal/>
    </border>
    <border>
      <left style="thin">
        <color indexed="64"/>
      </left>
      <right/>
      <top style="thin">
        <color indexed="64"/>
      </top>
      <bottom style="double">
        <color indexed="64"/>
      </bottom>
      <diagonal/>
    </border>
    <border>
      <left/>
      <right style="thin">
        <color indexed="64"/>
      </right>
      <top style="thin">
        <color indexed="64"/>
      </top>
      <bottom style="double">
        <color indexed="64"/>
      </bottom>
      <diagonal/>
    </border>
    <border>
      <left/>
      <right/>
      <top style="thin">
        <color indexed="64"/>
      </top>
      <bottom style="double">
        <color indexed="64"/>
      </bottom>
      <diagonal/>
    </border>
    <border>
      <left/>
      <right/>
      <top style="hair">
        <color indexed="64"/>
      </top>
      <bottom style="hair">
        <color indexed="64"/>
      </bottom>
      <diagonal/>
    </border>
  </borders>
  <cellStyleXfs count="15">
    <xf numFmtId="0" fontId="0" fillId="0" borderId="0"/>
    <xf numFmtId="177" fontId="8" fillId="0" borderId="0" applyFill="0" applyBorder="0" applyAlignment="0"/>
    <xf numFmtId="38" fontId="9" fillId="2" borderId="0" applyNumberFormat="0" applyBorder="0" applyAlignment="0" applyProtection="0"/>
    <xf numFmtId="0" fontId="5" fillId="0" borderId="1" applyNumberFormat="0" applyAlignment="0" applyProtection="0">
      <alignment horizontal="left" vertical="center"/>
    </xf>
    <xf numFmtId="0" fontId="5" fillId="0" borderId="2">
      <alignment horizontal="left" vertical="center"/>
    </xf>
    <xf numFmtId="10" fontId="9" fillId="3" borderId="3" applyNumberFormat="0" applyBorder="0" applyAlignment="0" applyProtection="0"/>
    <xf numFmtId="178" fontId="10" fillId="0" borderId="0"/>
    <xf numFmtId="0" fontId="11" fillId="0" borderId="0"/>
    <xf numFmtId="10" fontId="11" fillId="0" borderId="0" applyFont="0" applyFill="0" applyBorder="0" applyAlignment="0" applyProtection="0"/>
    <xf numFmtId="0" fontId="12" fillId="0" borderId="0">
      <alignment vertical="center"/>
    </xf>
    <xf numFmtId="0" fontId="16" fillId="0" borderId="0">
      <alignment vertical="center"/>
    </xf>
    <xf numFmtId="0" fontId="6" fillId="0" borderId="0"/>
    <xf numFmtId="0" fontId="2" fillId="0" borderId="0"/>
    <xf numFmtId="0" fontId="6" fillId="0" borderId="0"/>
    <xf numFmtId="0" fontId="2" fillId="0" borderId="0"/>
  </cellStyleXfs>
  <cellXfs count="359">
    <xf numFmtId="0" fontId="0" fillId="0" borderId="0" xfId="0"/>
    <xf numFmtId="0" fontId="4" fillId="0" borderId="0" xfId="14" applyFont="1" applyAlignment="1">
      <alignment horizontal="center" vertical="top" wrapText="1"/>
    </xf>
    <xf numFmtId="0" fontId="4" fillId="4" borderId="4" xfId="14" applyFont="1" applyFill="1" applyBorder="1" applyAlignment="1">
      <alignment horizontal="center" vertical="top" wrapText="1"/>
    </xf>
    <xf numFmtId="0" fontId="3" fillId="4" borderId="5" xfId="14" applyFont="1" applyFill="1" applyBorder="1" applyAlignment="1">
      <alignment horizontal="center" vertical="top" wrapText="1"/>
    </xf>
    <xf numFmtId="0" fontId="3" fillId="4" borderId="6" xfId="14" applyFont="1" applyFill="1" applyBorder="1" applyAlignment="1">
      <alignment horizontal="center" vertical="top" wrapText="1"/>
    </xf>
    <xf numFmtId="0" fontId="4" fillId="4" borderId="7" xfId="14" applyFont="1" applyFill="1" applyBorder="1" applyAlignment="1">
      <alignment horizontal="center" vertical="top" wrapText="1"/>
    </xf>
    <xf numFmtId="0" fontId="3" fillId="0" borderId="0" xfId="14" applyFont="1" applyAlignment="1">
      <alignment vertical="top" wrapText="1"/>
    </xf>
    <xf numFmtId="0" fontId="3" fillId="0" borderId="0" xfId="14" applyFont="1" applyAlignment="1">
      <alignment horizontal="center" vertical="top" wrapText="1"/>
    </xf>
    <xf numFmtId="0" fontId="3" fillId="4" borderId="8" xfId="14" applyFont="1" applyFill="1" applyBorder="1" applyAlignment="1">
      <alignment horizontal="center" vertical="top" wrapText="1"/>
    </xf>
    <xf numFmtId="0" fontId="3" fillId="4" borderId="14" xfId="12" applyFont="1" applyFill="1" applyBorder="1" applyAlignment="1">
      <alignment vertical="top" wrapText="1"/>
    </xf>
    <xf numFmtId="0" fontId="4" fillId="4" borderId="15" xfId="12" applyFont="1" applyFill="1" applyBorder="1" applyAlignment="1">
      <alignment vertical="top"/>
    </xf>
    <xf numFmtId="0" fontId="3" fillId="0" borderId="0" xfId="12" applyFont="1" applyAlignment="1">
      <alignment vertical="top" wrapText="1"/>
    </xf>
    <xf numFmtId="0" fontId="3" fillId="4" borderId="0" xfId="12" applyFont="1" applyFill="1" applyAlignment="1">
      <alignment vertical="top" wrapText="1"/>
    </xf>
    <xf numFmtId="0" fontId="4" fillId="4" borderId="16" xfId="12" applyFont="1" applyFill="1" applyBorder="1" applyAlignment="1">
      <alignment horizontal="right" vertical="top" wrapText="1"/>
    </xf>
    <xf numFmtId="0" fontId="4" fillId="4" borderId="17" xfId="12" applyFont="1" applyFill="1" applyBorder="1" applyAlignment="1">
      <alignment horizontal="right" vertical="top" wrapText="1"/>
    </xf>
    <xf numFmtId="0" fontId="4" fillId="4" borderId="18" xfId="12" applyFont="1" applyFill="1" applyBorder="1" applyAlignment="1">
      <alignment horizontal="right" vertical="top" wrapText="1"/>
    </xf>
    <xf numFmtId="0" fontId="4" fillId="4" borderId="19" xfId="12" applyFont="1" applyFill="1" applyBorder="1" applyAlignment="1">
      <alignment horizontal="right" vertical="top" wrapText="1"/>
    </xf>
    <xf numFmtId="0" fontId="4" fillId="4" borderId="20" xfId="12" applyFont="1" applyFill="1" applyBorder="1" applyAlignment="1">
      <alignment vertical="top"/>
    </xf>
    <xf numFmtId="0" fontId="4" fillId="4" borderId="21" xfId="12" applyFont="1" applyFill="1" applyBorder="1" applyAlignment="1">
      <alignment vertical="top"/>
    </xf>
    <xf numFmtId="0" fontId="3" fillId="4" borderId="22" xfId="12" applyFont="1" applyFill="1" applyBorder="1" applyAlignment="1">
      <alignment vertical="top" wrapText="1"/>
    </xf>
    <xf numFmtId="0" fontId="4" fillId="4" borderId="23" xfId="12" applyFont="1" applyFill="1" applyBorder="1" applyAlignment="1">
      <alignment horizontal="right" vertical="top" wrapText="1"/>
    </xf>
    <xf numFmtId="0" fontId="4" fillId="4" borderId="5" xfId="12" applyFont="1" applyFill="1" applyBorder="1" applyAlignment="1">
      <alignment horizontal="right" vertical="top" wrapText="1"/>
    </xf>
    <xf numFmtId="0" fontId="4" fillId="4" borderId="24" xfId="12" applyFont="1" applyFill="1" applyBorder="1" applyAlignment="1">
      <alignment horizontal="right" vertical="top" wrapText="1"/>
    </xf>
    <xf numFmtId="0" fontId="4" fillId="4" borderId="25" xfId="12" applyFont="1" applyFill="1" applyBorder="1" applyAlignment="1">
      <alignment horizontal="right" vertical="top" wrapText="1"/>
    </xf>
    <xf numFmtId="0" fontId="4" fillId="4" borderId="26" xfId="12" applyFont="1" applyFill="1" applyBorder="1" applyAlignment="1">
      <alignment horizontal="right" vertical="top" wrapText="1"/>
    </xf>
    <xf numFmtId="0" fontId="4" fillId="4" borderId="27" xfId="12" applyFont="1" applyFill="1" applyBorder="1" applyAlignment="1">
      <alignment vertical="top"/>
    </xf>
    <xf numFmtId="0" fontId="4" fillId="4" borderId="8" xfId="12" applyFont="1" applyFill="1" applyBorder="1" applyAlignment="1">
      <alignment vertical="top"/>
    </xf>
    <xf numFmtId="0" fontId="4" fillId="4" borderId="28" xfId="12" applyFont="1" applyFill="1" applyBorder="1" applyAlignment="1">
      <alignment horizontal="right" vertical="top" wrapText="1"/>
    </xf>
    <xf numFmtId="0" fontId="4" fillId="4" borderId="29" xfId="12" applyFont="1" applyFill="1" applyBorder="1" applyAlignment="1">
      <alignment horizontal="right" vertical="top" wrapText="1"/>
    </xf>
    <xf numFmtId="0" fontId="4" fillId="4" borderId="30" xfId="12" applyFont="1" applyFill="1" applyBorder="1" applyAlignment="1">
      <alignment horizontal="right" vertical="top" wrapText="1"/>
    </xf>
    <xf numFmtId="0" fontId="4" fillId="4" borderId="14" xfId="12" applyFont="1" applyFill="1" applyBorder="1" applyAlignment="1">
      <alignment vertical="top"/>
    </xf>
    <xf numFmtId="0" fontId="4" fillId="4" borderId="31" xfId="12" applyFont="1" applyFill="1" applyBorder="1" applyAlignment="1">
      <alignment vertical="top"/>
    </xf>
    <xf numFmtId="0" fontId="4" fillId="4" borderId="32" xfId="12" applyFont="1" applyFill="1" applyBorder="1" applyAlignment="1">
      <alignment horizontal="right" vertical="top" wrapText="1"/>
    </xf>
    <xf numFmtId="0" fontId="3" fillId="4" borderId="14" xfId="14" applyFont="1" applyFill="1" applyBorder="1" applyAlignment="1">
      <alignment horizontal="centerContinuous" vertical="top" wrapText="1"/>
    </xf>
    <xf numFmtId="0" fontId="3" fillId="4" borderId="33" xfId="14" applyFont="1" applyFill="1" applyBorder="1" applyAlignment="1">
      <alignment horizontal="centerContinuous" vertical="top" wrapText="1"/>
    </xf>
    <xf numFmtId="0" fontId="3" fillId="4" borderId="34" xfId="14" applyFont="1" applyFill="1" applyBorder="1" applyAlignment="1">
      <alignment horizontal="centerContinuous" vertical="top" wrapText="1"/>
    </xf>
    <xf numFmtId="0" fontId="3" fillId="4" borderId="35" xfId="14" applyFont="1" applyFill="1" applyBorder="1" applyAlignment="1">
      <alignment horizontal="centerContinuous" vertical="top" wrapText="1"/>
    </xf>
    <xf numFmtId="0" fontId="3" fillId="4" borderId="36" xfId="14" applyFont="1" applyFill="1" applyBorder="1" applyAlignment="1">
      <alignment vertical="top" wrapText="1"/>
    </xf>
    <xf numFmtId="0" fontId="4" fillId="4" borderId="8" xfId="14" applyFont="1" applyFill="1" applyBorder="1" applyAlignment="1">
      <alignment horizontal="center" vertical="top"/>
    </xf>
    <xf numFmtId="0" fontId="3" fillId="4" borderId="37" xfId="14" applyFont="1" applyFill="1" applyBorder="1" applyAlignment="1">
      <alignment vertical="top" wrapText="1"/>
    </xf>
    <xf numFmtId="0" fontId="3" fillId="4" borderId="38" xfId="14" applyFont="1" applyFill="1" applyBorder="1" applyAlignment="1">
      <alignment vertical="top" wrapText="1"/>
    </xf>
    <xf numFmtId="0" fontId="4" fillId="4" borderId="39" xfId="14" applyFont="1" applyFill="1" applyBorder="1" applyAlignment="1">
      <alignment horizontal="center" vertical="top" wrapText="1"/>
    </xf>
    <xf numFmtId="0" fontId="4" fillId="4" borderId="40" xfId="12" applyFont="1" applyFill="1" applyBorder="1" applyAlignment="1">
      <alignment vertical="top"/>
    </xf>
    <xf numFmtId="0" fontId="4" fillId="4" borderId="36" xfId="12" applyFont="1" applyFill="1" applyBorder="1" applyAlignment="1">
      <alignment vertical="top"/>
    </xf>
    <xf numFmtId="0" fontId="4" fillId="4" borderId="39" xfId="12" applyFont="1" applyFill="1" applyBorder="1" applyAlignment="1">
      <alignment vertical="top"/>
    </xf>
    <xf numFmtId="0" fontId="2" fillId="4" borderId="41" xfId="14" applyFill="1" applyBorder="1"/>
    <xf numFmtId="0" fontId="4" fillId="4" borderId="27" xfId="14" applyFont="1" applyFill="1" applyBorder="1" applyAlignment="1">
      <alignment horizontal="center" vertical="top" wrapText="1"/>
    </xf>
    <xf numFmtId="0" fontId="4" fillId="4" borderId="8" xfId="14" applyFont="1" applyFill="1" applyBorder="1" applyAlignment="1">
      <alignment horizontal="center" vertical="top" wrapText="1"/>
    </xf>
    <xf numFmtId="0" fontId="3" fillId="4" borderId="42" xfId="12" applyFont="1" applyFill="1" applyBorder="1" applyAlignment="1">
      <alignment vertical="top" wrapText="1"/>
    </xf>
    <xf numFmtId="0" fontId="3" fillId="4" borderId="33" xfId="12" applyFont="1" applyFill="1" applyBorder="1" applyAlignment="1">
      <alignment vertical="top" wrapText="1"/>
    </xf>
    <xf numFmtId="0" fontId="3" fillId="4" borderId="34" xfId="12" applyFont="1" applyFill="1" applyBorder="1" applyAlignment="1">
      <alignment vertical="top" wrapText="1"/>
    </xf>
    <xf numFmtId="0" fontId="14" fillId="4" borderId="43" xfId="12" applyFont="1" applyFill="1" applyBorder="1" applyAlignment="1">
      <alignment vertical="top" wrapText="1"/>
    </xf>
    <xf numFmtId="0" fontId="14" fillId="4" borderId="5" xfId="12" applyFont="1" applyFill="1" applyBorder="1" applyAlignment="1">
      <alignment vertical="top" wrapText="1"/>
    </xf>
    <xf numFmtId="0" fontId="3" fillId="4" borderId="44" xfId="12" applyFont="1" applyFill="1" applyBorder="1" applyAlignment="1">
      <alignment vertical="top" wrapText="1"/>
    </xf>
    <xf numFmtId="0" fontId="3" fillId="4" borderId="42" xfId="14" applyFont="1" applyFill="1" applyBorder="1" applyAlignment="1">
      <alignment vertical="top" wrapText="1"/>
    </xf>
    <xf numFmtId="0" fontId="4" fillId="4" borderId="45" xfId="14" applyFont="1" applyFill="1" applyBorder="1" applyAlignment="1">
      <alignment horizontal="center" vertical="top"/>
    </xf>
    <xf numFmtId="0" fontId="3" fillId="4" borderId="46" xfId="14" applyFont="1" applyFill="1" applyBorder="1" applyAlignment="1">
      <alignment vertical="top" wrapText="1"/>
    </xf>
    <xf numFmtId="0" fontId="3" fillId="0" borderId="37" xfId="0" applyFont="1" applyBorder="1" applyAlignment="1">
      <alignment vertical="top" wrapText="1"/>
    </xf>
    <xf numFmtId="0" fontId="3" fillId="0" borderId="18" xfId="0" applyFont="1" applyBorder="1" applyAlignment="1">
      <alignment vertical="top" wrapText="1"/>
    </xf>
    <xf numFmtId="0" fontId="3" fillId="4" borderId="47" xfId="14" applyFont="1" applyFill="1" applyBorder="1" applyAlignment="1">
      <alignment vertical="top" wrapText="1"/>
    </xf>
    <xf numFmtId="0" fontId="3" fillId="4" borderId="14" xfId="14" applyFont="1" applyFill="1" applyBorder="1" applyAlignment="1">
      <alignment vertical="top" wrapText="1"/>
    </xf>
    <xf numFmtId="0" fontId="3" fillId="4" borderId="16" xfId="14" applyFont="1" applyFill="1" applyBorder="1" applyAlignment="1">
      <alignment horizontal="centerContinuous" vertical="top" wrapText="1"/>
    </xf>
    <xf numFmtId="0" fontId="4" fillId="4" borderId="16" xfId="14" applyFont="1" applyFill="1" applyBorder="1" applyAlignment="1">
      <alignment horizontal="center" vertical="top" wrapText="1"/>
    </xf>
    <xf numFmtId="0" fontId="4" fillId="4" borderId="0" xfId="14" applyFont="1" applyFill="1" applyAlignment="1">
      <alignment horizontal="center" vertical="top" wrapText="1"/>
    </xf>
    <xf numFmtId="0" fontId="3" fillId="4" borderId="0" xfId="14" applyFont="1" applyFill="1" applyAlignment="1">
      <alignment vertical="top" wrapText="1"/>
    </xf>
    <xf numFmtId="0" fontId="3" fillId="4" borderId="5" xfId="14" applyFont="1" applyFill="1" applyBorder="1" applyAlignment="1">
      <alignment vertical="top" wrapText="1"/>
    </xf>
    <xf numFmtId="0" fontId="3" fillId="4" borderId="44" xfId="14" applyFont="1" applyFill="1" applyBorder="1" applyAlignment="1">
      <alignment vertical="top" wrapText="1"/>
    </xf>
    <xf numFmtId="0" fontId="3" fillId="4" borderId="0" xfId="14" applyFont="1" applyFill="1" applyAlignment="1">
      <alignment horizontal="centerContinuous" vertical="top" wrapText="1"/>
    </xf>
    <xf numFmtId="0" fontId="13" fillId="4" borderId="40" xfId="14" applyFont="1" applyFill="1" applyBorder="1" applyAlignment="1">
      <alignment horizontal="center" vertical="top" wrapText="1"/>
    </xf>
    <xf numFmtId="0" fontId="3" fillId="4" borderId="48" xfId="14" applyFont="1" applyFill="1" applyBorder="1" applyAlignment="1">
      <alignment vertical="top" wrapText="1"/>
    </xf>
    <xf numFmtId="0" fontId="3" fillId="5" borderId="18" xfId="14" applyFont="1" applyFill="1" applyBorder="1" applyAlignment="1">
      <alignment horizontal="center" vertical="top" wrapText="1"/>
    </xf>
    <xf numFmtId="0" fontId="3" fillId="5" borderId="19" xfId="14" applyFont="1" applyFill="1" applyBorder="1" applyAlignment="1">
      <alignment horizontal="center" vertical="top" wrapText="1"/>
    </xf>
    <xf numFmtId="176" fontId="3" fillId="5" borderId="49" xfId="14" applyNumberFormat="1" applyFont="1" applyFill="1" applyBorder="1" applyAlignment="1">
      <alignment horizontal="center" vertical="top" wrapText="1"/>
    </xf>
    <xf numFmtId="176" fontId="3" fillId="5" borderId="18" xfId="14" applyNumberFormat="1" applyFont="1" applyFill="1" applyBorder="1" applyAlignment="1">
      <alignment horizontal="center" vertical="top" wrapText="1"/>
    </xf>
    <xf numFmtId="0" fontId="3" fillId="5" borderId="50" xfId="14" applyFont="1" applyFill="1" applyBorder="1" applyAlignment="1">
      <alignment horizontal="center" vertical="top" wrapText="1"/>
    </xf>
    <xf numFmtId="0" fontId="3" fillId="0" borderId="19" xfId="0" applyFont="1" applyBorder="1" applyAlignment="1">
      <alignment vertical="top" wrapText="1"/>
    </xf>
    <xf numFmtId="0" fontId="4" fillId="4" borderId="42" xfId="12" applyFont="1" applyFill="1" applyBorder="1" applyAlignment="1">
      <alignment vertical="top"/>
    </xf>
    <xf numFmtId="0" fontId="4" fillId="4" borderId="0" xfId="12" applyFont="1" applyFill="1" applyAlignment="1">
      <alignment vertical="top"/>
    </xf>
    <xf numFmtId="0" fontId="4" fillId="4" borderId="4" xfId="12" applyFont="1" applyFill="1" applyBorder="1" applyAlignment="1">
      <alignment vertical="top"/>
    </xf>
    <xf numFmtId="0" fontId="4" fillId="4" borderId="44" xfId="12" applyFont="1" applyFill="1" applyBorder="1" applyAlignment="1">
      <alignment vertical="top"/>
    </xf>
    <xf numFmtId="0" fontId="4" fillId="4" borderId="7" xfId="12" applyFont="1" applyFill="1" applyBorder="1" applyAlignment="1">
      <alignment vertical="top"/>
    </xf>
    <xf numFmtId="0" fontId="4" fillId="4" borderId="51" xfId="12" applyFont="1" applyFill="1" applyBorder="1" applyAlignment="1">
      <alignment horizontal="left" vertical="top" wrapText="1"/>
    </xf>
    <xf numFmtId="0" fontId="4" fillId="4" borderId="13" xfId="12" applyFont="1" applyFill="1" applyBorder="1" applyAlignment="1">
      <alignment horizontal="left" vertical="top" wrapText="1"/>
    </xf>
    <xf numFmtId="0" fontId="4" fillId="4" borderId="52" xfId="12" applyFont="1" applyFill="1" applyBorder="1" applyAlignment="1">
      <alignment horizontal="left" vertical="top" wrapText="1"/>
    </xf>
    <xf numFmtId="0" fontId="1" fillId="4" borderId="0" xfId="14" applyFont="1" applyFill="1" applyAlignment="1">
      <alignment vertical="top"/>
    </xf>
    <xf numFmtId="0" fontId="3" fillId="0" borderId="49" xfId="14" applyFont="1" applyBorder="1" applyAlignment="1">
      <alignment horizontal="center" vertical="top" wrapText="1"/>
    </xf>
    <xf numFmtId="0" fontId="3" fillId="0" borderId="17" xfId="14" applyFont="1" applyBorder="1" applyAlignment="1">
      <alignment vertical="top" wrapText="1"/>
    </xf>
    <xf numFmtId="0" fontId="3" fillId="5" borderId="53" xfId="14" applyFont="1" applyFill="1" applyBorder="1" applyAlignment="1">
      <alignment horizontal="left" vertical="top" wrapText="1"/>
    </xf>
    <xf numFmtId="0" fontId="3" fillId="5" borderId="49" xfId="14" applyFont="1" applyFill="1" applyBorder="1" applyAlignment="1">
      <alignment horizontal="center" vertical="top" wrapText="1"/>
    </xf>
    <xf numFmtId="0" fontId="3" fillId="4" borderId="22" xfId="14" applyFont="1" applyFill="1" applyBorder="1" applyAlignment="1">
      <alignment vertical="top" wrapText="1"/>
    </xf>
    <xf numFmtId="0" fontId="3" fillId="0" borderId="54" xfId="0" applyFont="1" applyBorder="1" applyAlignment="1">
      <alignment vertical="top" wrapText="1"/>
    </xf>
    <xf numFmtId="0" fontId="3" fillId="0" borderId="38" xfId="0" applyFont="1" applyBorder="1" applyAlignment="1">
      <alignment vertical="top" wrapText="1"/>
    </xf>
    <xf numFmtId="0" fontId="3" fillId="0" borderId="27" xfId="14" applyFont="1" applyBorder="1" applyAlignment="1">
      <alignment vertical="top" wrapText="1"/>
    </xf>
    <xf numFmtId="0" fontId="3" fillId="0" borderId="8" xfId="14" applyFont="1" applyBorder="1" applyAlignment="1">
      <alignment vertical="top" wrapText="1"/>
    </xf>
    <xf numFmtId="0" fontId="3" fillId="0" borderId="8" xfId="0" applyFont="1" applyBorder="1" applyAlignment="1">
      <alignment vertical="top" wrapText="1"/>
    </xf>
    <xf numFmtId="0" fontId="3" fillId="0" borderId="6" xfId="0" applyFont="1" applyBorder="1" applyAlignment="1">
      <alignment vertical="top" wrapText="1"/>
    </xf>
    <xf numFmtId="0" fontId="3" fillId="0" borderId="6" xfId="14" applyFont="1" applyBorder="1" applyAlignment="1">
      <alignment vertical="top" wrapText="1"/>
    </xf>
    <xf numFmtId="0" fontId="3" fillId="0" borderId="45" xfId="14" applyFont="1" applyBorder="1" applyAlignment="1">
      <alignment vertical="top" wrapText="1"/>
    </xf>
    <xf numFmtId="0" fontId="3" fillId="0" borderId="27" xfId="14" applyFont="1" applyBorder="1" applyAlignment="1">
      <alignment horizontal="center" vertical="top" wrapText="1"/>
    </xf>
    <xf numFmtId="0" fontId="3" fillId="0" borderId="8" xfId="14" applyFont="1" applyBorder="1" applyAlignment="1">
      <alignment horizontal="center" vertical="top" wrapText="1"/>
    </xf>
    <xf numFmtId="0" fontId="3" fillId="0" borderId="45" xfId="14" applyFont="1" applyBorder="1" applyAlignment="1">
      <alignment horizontal="center" vertical="top" wrapText="1"/>
    </xf>
    <xf numFmtId="0" fontId="3" fillId="0" borderId="55" xfId="14" applyFont="1" applyBorder="1" applyAlignment="1">
      <alignment horizontal="center" vertical="top" wrapText="1"/>
    </xf>
    <xf numFmtId="176" fontId="3" fillId="0" borderId="55" xfId="14" applyNumberFormat="1" applyFont="1" applyBorder="1" applyAlignment="1">
      <alignment horizontal="center" vertical="top" wrapText="1"/>
    </xf>
    <xf numFmtId="176" fontId="3" fillId="0" borderId="8" xfId="14" applyNumberFormat="1" applyFont="1" applyBorder="1" applyAlignment="1">
      <alignment horizontal="center" vertical="top" wrapText="1"/>
    </xf>
    <xf numFmtId="0" fontId="3" fillId="0" borderId="39" xfId="14" applyFont="1" applyBorder="1" applyAlignment="1">
      <alignment horizontal="center" vertical="top" wrapText="1"/>
    </xf>
    <xf numFmtId="0" fontId="3" fillId="0" borderId="56" xfId="14" applyFont="1" applyBorder="1" applyAlignment="1">
      <alignment horizontal="left" vertical="top" wrapText="1"/>
    </xf>
    <xf numFmtId="0" fontId="4" fillId="6" borderId="20" xfId="14" applyFont="1" applyFill="1" applyBorder="1" applyAlignment="1">
      <alignment horizontal="center" vertical="top" wrapText="1"/>
    </xf>
    <xf numFmtId="0" fontId="4" fillId="6" borderId="21" xfId="14" applyFont="1" applyFill="1" applyBorder="1" applyAlignment="1">
      <alignment horizontal="center" vertical="top" wrapText="1"/>
    </xf>
    <xf numFmtId="0" fontId="4" fillId="6" borderId="21" xfId="14" applyFont="1" applyFill="1" applyBorder="1" applyAlignment="1">
      <alignment horizontal="center" vertical="top"/>
    </xf>
    <xf numFmtId="0" fontId="4" fillId="6" borderId="57" xfId="14" applyFont="1" applyFill="1" applyBorder="1" applyAlignment="1">
      <alignment horizontal="center" vertical="top"/>
    </xf>
    <xf numFmtId="0" fontId="4" fillId="6" borderId="58" xfId="14" applyFont="1" applyFill="1" applyBorder="1" applyAlignment="1">
      <alignment horizontal="center" vertical="top"/>
    </xf>
    <xf numFmtId="0" fontId="3" fillId="6" borderId="0" xfId="14" applyFont="1" applyFill="1" applyAlignment="1">
      <alignment horizontal="center" vertical="top" wrapText="1"/>
    </xf>
    <xf numFmtId="0" fontId="3" fillId="6" borderId="21" xfId="14" applyFont="1" applyFill="1" applyBorder="1" applyAlignment="1">
      <alignment horizontal="center" vertical="top" wrapText="1"/>
    </xf>
    <xf numFmtId="0" fontId="3" fillId="6" borderId="57" xfId="14" applyFont="1" applyFill="1" applyBorder="1" applyAlignment="1">
      <alignment horizontal="center" vertical="top" wrapText="1"/>
    </xf>
    <xf numFmtId="0" fontId="4" fillId="6" borderId="36" xfId="14" applyFont="1" applyFill="1" applyBorder="1" applyAlignment="1">
      <alignment horizontal="center" vertical="top" wrapText="1"/>
    </xf>
    <xf numFmtId="0" fontId="4" fillId="6" borderId="4" xfId="14" applyFont="1" applyFill="1" applyBorder="1" applyAlignment="1">
      <alignment horizontal="center" vertical="top" wrapText="1"/>
    </xf>
    <xf numFmtId="0" fontId="13" fillId="6" borderId="31" xfId="14" applyFont="1" applyFill="1" applyBorder="1" applyAlignment="1">
      <alignment horizontal="center" vertical="center" textRotation="255" shrinkToFit="1"/>
    </xf>
    <xf numFmtId="0" fontId="1" fillId="6" borderId="0" xfId="14" applyFont="1" applyFill="1" applyAlignment="1">
      <alignment horizontal="center" vertical="center" textRotation="255" shrinkToFit="1"/>
    </xf>
    <xf numFmtId="0" fontId="3" fillId="6" borderId="37" xfId="0" applyFont="1" applyFill="1" applyBorder="1" applyAlignment="1">
      <alignment vertical="top" wrapText="1"/>
    </xf>
    <xf numFmtId="0" fontId="3" fillId="6" borderId="54" xfId="0" applyFont="1" applyFill="1" applyBorder="1" applyAlignment="1">
      <alignment vertical="top" wrapText="1"/>
    </xf>
    <xf numFmtId="0" fontId="3" fillId="6" borderId="19" xfId="0" applyFont="1" applyFill="1" applyBorder="1" applyAlignment="1">
      <alignment vertical="top" wrapText="1"/>
    </xf>
    <xf numFmtId="0" fontId="3" fillId="6" borderId="49" xfId="14" applyFont="1" applyFill="1" applyBorder="1" applyAlignment="1">
      <alignment horizontal="center" vertical="top" wrapText="1"/>
    </xf>
    <xf numFmtId="0" fontId="3" fillId="6" borderId="18" xfId="14" applyFont="1" applyFill="1" applyBorder="1" applyAlignment="1">
      <alignment horizontal="center" vertical="top" wrapText="1"/>
    </xf>
    <xf numFmtId="0" fontId="3" fillId="6" borderId="19" xfId="14" applyFont="1" applyFill="1" applyBorder="1" applyAlignment="1">
      <alignment horizontal="center" vertical="top" wrapText="1"/>
    </xf>
    <xf numFmtId="176" fontId="3" fillId="6" borderId="49" xfId="14" applyNumberFormat="1" applyFont="1" applyFill="1" applyBorder="1" applyAlignment="1">
      <alignment horizontal="center" vertical="top" wrapText="1"/>
    </xf>
    <xf numFmtId="176" fontId="3" fillId="6" borderId="18" xfId="14" applyNumberFormat="1" applyFont="1" applyFill="1" applyBorder="1" applyAlignment="1">
      <alignment horizontal="center" vertical="top" wrapText="1"/>
    </xf>
    <xf numFmtId="0" fontId="3" fillId="6" borderId="50" xfId="14" applyFont="1" applyFill="1" applyBorder="1" applyAlignment="1">
      <alignment horizontal="center" vertical="top" wrapText="1"/>
    </xf>
    <xf numFmtId="0" fontId="3" fillId="6" borderId="38" xfId="0" applyFont="1" applyFill="1" applyBorder="1" applyAlignment="1">
      <alignment vertical="top" wrapText="1"/>
    </xf>
    <xf numFmtId="0" fontId="17" fillId="0" borderId="17" xfId="14" applyFont="1" applyBorder="1" applyAlignment="1">
      <alignment vertical="top" wrapText="1"/>
    </xf>
    <xf numFmtId="0" fontId="17" fillId="0" borderId="37" xfId="0" applyFont="1" applyBorder="1" applyAlignment="1">
      <alignment vertical="top" wrapText="1"/>
    </xf>
    <xf numFmtId="0" fontId="17" fillId="0" borderId="54" xfId="0" applyFont="1" applyBorder="1" applyAlignment="1">
      <alignment vertical="top" wrapText="1"/>
    </xf>
    <xf numFmtId="0" fontId="17" fillId="0" borderId="19" xfId="0" applyFont="1" applyBorder="1" applyAlignment="1">
      <alignment vertical="top" wrapText="1"/>
    </xf>
    <xf numFmtId="0" fontId="17" fillId="0" borderId="38" xfId="0" applyFont="1" applyBorder="1" applyAlignment="1">
      <alignment vertical="top" wrapText="1"/>
    </xf>
    <xf numFmtId="0" fontId="17" fillId="0" borderId="18" xfId="0" applyFont="1" applyBorder="1" applyAlignment="1">
      <alignment vertical="top" wrapText="1"/>
    </xf>
    <xf numFmtId="0" fontId="17" fillId="5" borderId="49" xfId="14" applyFont="1" applyFill="1" applyBorder="1" applyAlignment="1">
      <alignment horizontal="center" vertical="top" wrapText="1"/>
    </xf>
    <xf numFmtId="0" fontId="17" fillId="5" borderId="18" xfId="14" applyFont="1" applyFill="1" applyBorder="1" applyAlignment="1">
      <alignment horizontal="center" vertical="top" wrapText="1"/>
    </xf>
    <xf numFmtId="0" fontId="17" fillId="5" borderId="19" xfId="14" applyFont="1" applyFill="1" applyBorder="1" applyAlignment="1">
      <alignment horizontal="center" vertical="top" wrapText="1"/>
    </xf>
    <xf numFmtId="176" fontId="17" fillId="5" borderId="49" xfId="14" applyNumberFormat="1" applyFont="1" applyFill="1" applyBorder="1" applyAlignment="1">
      <alignment horizontal="center" vertical="top" wrapText="1"/>
    </xf>
    <xf numFmtId="176" fontId="17" fillId="5" borderId="18" xfId="14" applyNumberFormat="1" applyFont="1" applyFill="1" applyBorder="1" applyAlignment="1">
      <alignment horizontal="center" vertical="top" wrapText="1"/>
    </xf>
    <xf numFmtId="0" fontId="17" fillId="5" borderId="50" xfId="14" applyFont="1" applyFill="1" applyBorder="1" applyAlignment="1">
      <alignment horizontal="center" vertical="top" wrapText="1"/>
    </xf>
    <xf numFmtId="0" fontId="17" fillId="5" borderId="53" xfId="14" applyFont="1" applyFill="1" applyBorder="1" applyAlignment="1">
      <alignment horizontal="left" vertical="top" wrapText="1"/>
    </xf>
    <xf numFmtId="0" fontId="17" fillId="0" borderId="49" xfId="14" applyFont="1" applyBorder="1" applyAlignment="1">
      <alignment horizontal="center" vertical="top" wrapText="1"/>
    </xf>
    <xf numFmtId="0" fontId="17" fillId="0" borderId="0" xfId="14" applyFont="1" applyAlignment="1">
      <alignment vertical="top" wrapText="1"/>
    </xf>
    <xf numFmtId="0" fontId="17" fillId="0" borderId="18" xfId="14" applyFont="1" applyBorder="1" applyAlignment="1">
      <alignment horizontal="center" vertical="top" wrapText="1"/>
    </xf>
    <xf numFmtId="0" fontId="17" fillId="0" borderId="19" xfId="14" applyFont="1" applyBorder="1" applyAlignment="1">
      <alignment horizontal="center" vertical="top" wrapText="1"/>
    </xf>
    <xf numFmtId="176" fontId="17" fillId="0" borderId="49" xfId="14" applyNumberFormat="1" applyFont="1" applyBorder="1" applyAlignment="1">
      <alignment horizontal="center" vertical="top" wrapText="1"/>
    </xf>
    <xf numFmtId="176" fontId="17" fillId="0" borderId="18" xfId="14" applyNumberFormat="1" applyFont="1" applyBorder="1" applyAlignment="1">
      <alignment horizontal="center" vertical="top" wrapText="1"/>
    </xf>
    <xf numFmtId="0" fontId="17" fillId="0" borderId="50" xfId="14" applyFont="1" applyBorder="1" applyAlignment="1">
      <alignment horizontal="center" vertical="top" wrapText="1"/>
    </xf>
    <xf numFmtId="0" fontId="17" fillId="6" borderId="37" xfId="0" applyFont="1" applyFill="1" applyBorder="1" applyAlignment="1">
      <alignment vertical="top" wrapText="1"/>
    </xf>
    <xf numFmtId="0" fontId="17" fillId="6" borderId="54" xfId="0" applyFont="1" applyFill="1" applyBorder="1" applyAlignment="1">
      <alignment vertical="top" wrapText="1"/>
    </xf>
    <xf numFmtId="0" fontId="17" fillId="6" borderId="19" xfId="0" applyFont="1" applyFill="1" applyBorder="1" applyAlignment="1">
      <alignment vertical="top" wrapText="1"/>
    </xf>
    <xf numFmtId="0" fontId="17" fillId="6" borderId="49" xfId="14" applyFont="1" applyFill="1" applyBorder="1" applyAlignment="1">
      <alignment horizontal="center" vertical="top" wrapText="1"/>
    </xf>
    <xf numFmtId="0" fontId="17" fillId="6" borderId="18" xfId="14" applyFont="1" applyFill="1" applyBorder="1" applyAlignment="1">
      <alignment horizontal="center" vertical="top" wrapText="1"/>
    </xf>
    <xf numFmtId="0" fontId="17" fillId="6" borderId="19" xfId="14" applyFont="1" applyFill="1" applyBorder="1" applyAlignment="1">
      <alignment horizontal="center" vertical="top" wrapText="1"/>
    </xf>
    <xf numFmtId="176" fontId="17" fillId="6" borderId="49" xfId="14" applyNumberFormat="1" applyFont="1" applyFill="1" applyBorder="1" applyAlignment="1">
      <alignment horizontal="center" vertical="top" wrapText="1"/>
    </xf>
    <xf numFmtId="176" fontId="17" fillId="6" borderId="18" xfId="14" applyNumberFormat="1" applyFont="1" applyFill="1" applyBorder="1" applyAlignment="1">
      <alignment horizontal="center" vertical="top" wrapText="1"/>
    </xf>
    <xf numFmtId="0" fontId="17" fillId="6" borderId="50" xfId="14" applyFont="1" applyFill="1" applyBorder="1" applyAlignment="1">
      <alignment horizontal="center" vertical="top" wrapText="1"/>
    </xf>
    <xf numFmtId="0" fontId="3" fillId="6" borderId="18" xfId="0" applyFont="1" applyFill="1" applyBorder="1" applyAlignment="1">
      <alignment vertical="top" wrapText="1"/>
    </xf>
    <xf numFmtId="0" fontId="17" fillId="6" borderId="38" xfId="0" applyFont="1" applyFill="1" applyBorder="1" applyAlignment="1">
      <alignment vertical="top" wrapText="1"/>
    </xf>
    <xf numFmtId="0" fontId="19" fillId="0" borderId="0" xfId="14" applyFont="1" applyAlignment="1">
      <alignment vertical="top" wrapText="1"/>
    </xf>
    <xf numFmtId="0" fontId="19" fillId="0" borderId="0" xfId="14" applyFont="1" applyAlignment="1">
      <alignment horizontal="center" vertical="top" wrapText="1"/>
    </xf>
    <xf numFmtId="0" fontId="20" fillId="0" borderId="0" xfId="11" applyFont="1"/>
    <xf numFmtId="0" fontId="21" fillId="0" borderId="10" xfId="11" applyFont="1" applyBorder="1" applyAlignment="1">
      <alignment horizontal="left"/>
    </xf>
    <xf numFmtId="0" fontId="21" fillId="0" borderId="11" xfId="11" applyFont="1" applyBorder="1" applyAlignment="1">
      <alignment horizontal="left"/>
    </xf>
    <xf numFmtId="0" fontId="20" fillId="0" borderId="13" xfId="11" applyFont="1" applyBorder="1"/>
    <xf numFmtId="0" fontId="20" fillId="0" borderId="12" xfId="11" applyFont="1" applyBorder="1"/>
    <xf numFmtId="0" fontId="21" fillId="0" borderId="0" xfId="13" applyFont="1"/>
    <xf numFmtId="0" fontId="21" fillId="0" borderId="0" xfId="11" applyFont="1" applyAlignment="1">
      <alignment horizontal="center"/>
    </xf>
    <xf numFmtId="0" fontId="24" fillId="0" borderId="9" xfId="11" applyFont="1" applyBorder="1" applyAlignment="1">
      <alignment horizontal="left"/>
    </xf>
    <xf numFmtId="49" fontId="23" fillId="0" borderId="59" xfId="11" applyNumberFormat="1" applyFont="1" applyBorder="1"/>
    <xf numFmtId="0" fontId="23" fillId="0" borderId="60" xfId="11" applyFont="1" applyBorder="1"/>
    <xf numFmtId="0" fontId="23" fillId="0" borderId="61" xfId="11" applyFont="1" applyBorder="1"/>
    <xf numFmtId="0" fontId="22" fillId="0" borderId="13" xfId="11" applyFont="1" applyBorder="1" applyAlignment="1">
      <alignment horizontal="center" vertical="center"/>
    </xf>
    <xf numFmtId="0" fontId="22" fillId="0" borderId="0" xfId="11" applyFont="1" applyAlignment="1">
      <alignment horizontal="center" vertical="center"/>
    </xf>
    <xf numFmtId="0" fontId="22" fillId="0" borderId="12" xfId="11" applyFont="1" applyBorder="1" applyAlignment="1">
      <alignment horizontal="center" vertical="center"/>
    </xf>
    <xf numFmtId="0" fontId="25" fillId="0" borderId="17" xfId="14" applyFont="1" applyBorder="1" applyAlignment="1">
      <alignment vertical="top" wrapText="1"/>
    </xf>
    <xf numFmtId="0" fontId="25" fillId="0" borderId="37" xfId="0" applyFont="1" applyBorder="1" applyAlignment="1">
      <alignment vertical="center" wrapText="1"/>
    </xf>
    <xf numFmtId="0" fontId="25" fillId="0" borderId="49" xfId="14" applyFont="1" applyBorder="1" applyAlignment="1">
      <alignment horizontal="center" vertical="center" wrapText="1"/>
    </xf>
    <xf numFmtId="0" fontId="25" fillId="0" borderId="18" xfId="14" applyFont="1" applyBorder="1" applyAlignment="1">
      <alignment horizontal="center" vertical="center" wrapText="1"/>
    </xf>
    <xf numFmtId="0" fontId="25" fillId="0" borderId="19" xfId="14" applyFont="1" applyBorder="1" applyAlignment="1">
      <alignment horizontal="center" vertical="center" wrapText="1"/>
    </xf>
    <xf numFmtId="0" fontId="25" fillId="0" borderId="54" xfId="14" applyFont="1" applyBorder="1" applyAlignment="1">
      <alignment horizontal="center" vertical="center" wrapText="1"/>
    </xf>
    <xf numFmtId="176" fontId="25" fillId="0" borderId="49" xfId="14" applyNumberFormat="1" applyFont="1" applyBorder="1" applyAlignment="1">
      <alignment horizontal="center" vertical="center" wrapText="1"/>
    </xf>
    <xf numFmtId="176" fontId="25" fillId="0" borderId="18" xfId="14" applyNumberFormat="1" applyFont="1" applyBorder="1" applyAlignment="1">
      <alignment horizontal="center" vertical="center" wrapText="1"/>
    </xf>
    <xf numFmtId="176" fontId="25" fillId="0" borderId="54" xfId="14" applyNumberFormat="1" applyFont="1" applyBorder="1" applyAlignment="1">
      <alignment horizontal="center" vertical="center" wrapText="1"/>
    </xf>
    <xf numFmtId="0" fontId="25" fillId="0" borderId="70" xfId="14" applyFont="1" applyBorder="1" applyAlignment="1">
      <alignment horizontal="center" vertical="center" wrapText="1"/>
    </xf>
    <xf numFmtId="0" fontId="25" fillId="0" borderId="70" xfId="14" applyFont="1" applyBorder="1" applyAlignment="1">
      <alignment horizontal="left" vertical="center" wrapText="1"/>
    </xf>
    <xf numFmtId="0" fontId="25" fillId="0" borderId="38" xfId="0" applyFont="1" applyBorder="1" applyAlignment="1">
      <alignment vertical="center" wrapText="1"/>
    </xf>
    <xf numFmtId="0" fontId="25" fillId="0" borderId="18" xfId="0" applyFont="1" applyBorder="1" applyAlignment="1">
      <alignment vertical="center" wrapText="1"/>
    </xf>
    <xf numFmtId="0" fontId="18" fillId="4" borderId="33" xfId="12" applyFont="1" applyFill="1" applyBorder="1" applyAlignment="1">
      <alignment vertical="top"/>
    </xf>
    <xf numFmtId="0" fontId="18" fillId="4" borderId="14" xfId="12" applyFont="1" applyFill="1" applyBorder="1" applyAlignment="1">
      <alignment vertical="top"/>
    </xf>
    <xf numFmtId="0" fontId="18" fillId="4" borderId="14" xfId="12" applyFont="1" applyFill="1" applyBorder="1"/>
    <xf numFmtId="0" fontId="18" fillId="4" borderId="29" xfId="12" applyFont="1" applyFill="1" applyBorder="1" applyAlignment="1">
      <alignment horizontal="right" vertical="top" wrapText="1"/>
    </xf>
    <xf numFmtId="0" fontId="18" fillId="4" borderId="32" xfId="12" applyFont="1" applyFill="1" applyBorder="1" applyAlignment="1">
      <alignment horizontal="right" wrapText="1"/>
    </xf>
    <xf numFmtId="0" fontId="18" fillId="4" borderId="28" xfId="12" applyFont="1" applyFill="1" applyBorder="1" applyAlignment="1">
      <alignment horizontal="right" wrapText="1"/>
    </xf>
    <xf numFmtId="0" fontId="18" fillId="4" borderId="30" xfId="12" applyFont="1" applyFill="1" applyBorder="1" applyAlignment="1">
      <alignment horizontal="right" wrapText="1"/>
    </xf>
    <xf numFmtId="0" fontId="18" fillId="4" borderId="75" xfId="12" applyFont="1" applyFill="1" applyBorder="1" applyAlignment="1">
      <alignment horizontal="right" wrapText="1"/>
    </xf>
    <xf numFmtId="0" fontId="18" fillId="4" borderId="33" xfId="12" applyFont="1" applyFill="1" applyBorder="1" applyAlignment="1">
      <alignment horizontal="right" vertical="center"/>
    </xf>
    <xf numFmtId="0" fontId="18" fillId="4" borderId="14" xfId="12" applyFont="1" applyFill="1" applyBorder="1" applyAlignment="1">
      <alignment horizontal="left" wrapText="1"/>
    </xf>
    <xf numFmtId="0" fontId="18" fillId="4" borderId="34" xfId="12" applyFont="1" applyFill="1" applyBorder="1" applyAlignment="1">
      <alignment horizontal="left" vertical="center"/>
    </xf>
    <xf numFmtId="0" fontId="18" fillId="4" borderId="0" xfId="12" applyFont="1" applyFill="1" applyAlignment="1">
      <alignment vertical="top"/>
    </xf>
    <xf numFmtId="0" fontId="18" fillId="4" borderId="0" xfId="12" applyFont="1" applyFill="1" applyAlignment="1">
      <alignment horizontal="left"/>
    </xf>
    <xf numFmtId="0" fontId="18" fillId="4" borderId="16" xfId="12" applyFont="1" applyFill="1" applyBorder="1" applyAlignment="1">
      <alignment horizontal="right" vertical="top" wrapText="1"/>
    </xf>
    <xf numFmtId="0" fontId="18" fillId="4" borderId="17" xfId="12" applyFont="1" applyFill="1" applyBorder="1" applyAlignment="1">
      <alignment horizontal="right" wrapText="1"/>
    </xf>
    <xf numFmtId="0" fontId="18" fillId="4" borderId="18" xfId="12" applyFont="1" applyFill="1" applyBorder="1" applyAlignment="1">
      <alignment horizontal="right" wrapText="1"/>
    </xf>
    <xf numFmtId="0" fontId="18" fillId="4" borderId="19" xfId="12" applyFont="1" applyFill="1" applyBorder="1" applyAlignment="1">
      <alignment horizontal="right" wrapText="1"/>
    </xf>
    <xf numFmtId="0" fontId="18" fillId="4" borderId="54" xfId="12" applyFont="1" applyFill="1" applyBorder="1" applyAlignment="1">
      <alignment horizontal="right" wrapText="1"/>
    </xf>
    <xf numFmtId="0" fontId="18" fillId="4" borderId="16" xfId="12" applyFont="1" applyFill="1" applyBorder="1" applyAlignment="1">
      <alignment horizontal="right" vertical="center"/>
    </xf>
    <xf numFmtId="0" fontId="18" fillId="4" borderId="0" xfId="12" applyFont="1" applyFill="1" applyAlignment="1">
      <alignment horizontal="left" wrapText="1"/>
    </xf>
    <xf numFmtId="0" fontId="26" fillId="4" borderId="43" xfId="12" applyFont="1" applyFill="1" applyBorder="1" applyAlignment="1">
      <alignment vertical="top"/>
    </xf>
    <xf numFmtId="0" fontId="18" fillId="4" borderId="22" xfId="12" applyFont="1" applyFill="1" applyBorder="1" applyAlignment="1">
      <alignment vertical="top"/>
    </xf>
    <xf numFmtId="0" fontId="18" fillId="4" borderId="22" xfId="12" applyFont="1" applyFill="1" applyBorder="1" applyAlignment="1">
      <alignment horizontal="left"/>
    </xf>
    <xf numFmtId="0" fontId="18" fillId="4" borderId="23" xfId="12" applyFont="1" applyFill="1" applyBorder="1" applyAlignment="1">
      <alignment horizontal="right" vertical="top" wrapText="1"/>
    </xf>
    <xf numFmtId="0" fontId="18" fillId="4" borderId="16" xfId="12" applyFont="1" applyFill="1" applyBorder="1" applyAlignment="1">
      <alignment horizontal="right" vertical="top"/>
    </xf>
    <xf numFmtId="0" fontId="26" fillId="4" borderId="5" xfId="12" applyFont="1" applyFill="1" applyBorder="1" applyAlignment="1">
      <alignment horizontal="left" vertical="center"/>
    </xf>
    <xf numFmtId="0" fontId="18" fillId="4" borderId="44" xfId="12" applyFont="1" applyFill="1" applyBorder="1" applyAlignment="1">
      <alignment vertical="top"/>
    </xf>
    <xf numFmtId="0" fontId="18" fillId="4" borderId="44" xfId="12" applyFont="1" applyFill="1" applyBorder="1" applyAlignment="1">
      <alignment horizontal="left"/>
    </xf>
    <xf numFmtId="0" fontId="18" fillId="4" borderId="5" xfId="12" applyFont="1" applyFill="1" applyBorder="1" applyAlignment="1">
      <alignment horizontal="right" vertical="top" wrapText="1"/>
    </xf>
    <xf numFmtId="0" fontId="18" fillId="4" borderId="24" xfId="12" applyFont="1" applyFill="1" applyBorder="1" applyAlignment="1">
      <alignment horizontal="right" wrapText="1"/>
    </xf>
    <xf numFmtId="0" fontId="18" fillId="4" borderId="25" xfId="12" applyFont="1" applyFill="1" applyBorder="1" applyAlignment="1">
      <alignment horizontal="right" wrapText="1"/>
    </xf>
    <xf numFmtId="0" fontId="18" fillId="4" borderId="26" xfId="12" applyFont="1" applyFill="1" applyBorder="1" applyAlignment="1">
      <alignment horizontal="right" wrapText="1"/>
    </xf>
    <xf numFmtId="0" fontId="18" fillId="4" borderId="76" xfId="12" applyFont="1" applyFill="1" applyBorder="1" applyAlignment="1">
      <alignment horizontal="right" wrapText="1"/>
    </xf>
    <xf numFmtId="0" fontId="18" fillId="4" borderId="5" xfId="12" applyFont="1" applyFill="1" applyBorder="1" applyAlignment="1">
      <alignment horizontal="right" vertical="top"/>
    </xf>
    <xf numFmtId="0" fontId="18" fillId="4" borderId="44" xfId="12" applyFont="1" applyFill="1" applyBorder="1" applyAlignment="1">
      <alignment horizontal="left" wrapText="1"/>
    </xf>
    <xf numFmtId="0" fontId="28" fillId="4" borderId="44" xfId="14" applyFont="1" applyFill="1" applyBorder="1" applyAlignment="1">
      <alignment horizontal="center" vertical="center" wrapText="1"/>
    </xf>
    <xf numFmtId="0" fontId="28" fillId="4" borderId="8" xfId="14" applyFont="1" applyFill="1" applyBorder="1" applyAlignment="1">
      <alignment horizontal="center" vertical="center" wrapText="1"/>
    </xf>
    <xf numFmtId="0" fontId="28" fillId="4" borderId="6" xfId="14" applyFont="1" applyFill="1" applyBorder="1" applyAlignment="1">
      <alignment horizontal="center" vertical="center" wrapText="1"/>
    </xf>
    <xf numFmtId="0" fontId="28" fillId="4" borderId="5" xfId="14" applyFont="1" applyFill="1" applyBorder="1" applyAlignment="1">
      <alignment horizontal="center" vertical="center" wrapText="1"/>
    </xf>
    <xf numFmtId="0" fontId="25" fillId="7" borderId="79" xfId="0" applyFont="1" applyFill="1" applyBorder="1" applyAlignment="1">
      <alignment vertical="top" wrapText="1"/>
    </xf>
    <xf numFmtId="0" fontId="25" fillId="7" borderId="70" xfId="0" applyFont="1" applyFill="1" applyBorder="1" applyAlignment="1">
      <alignment vertical="top" wrapText="1"/>
    </xf>
    <xf numFmtId="0" fontId="29" fillId="0" borderId="70" xfId="14" applyFont="1" applyBorder="1" applyAlignment="1">
      <alignment horizontal="left" vertical="center" wrapText="1"/>
    </xf>
    <xf numFmtId="0" fontId="30" fillId="0" borderId="70" xfId="14" applyFont="1" applyBorder="1" applyAlignment="1">
      <alignment horizontal="left" vertical="center" wrapText="1"/>
    </xf>
    <xf numFmtId="0" fontId="18" fillId="4" borderId="0" xfId="12" applyFont="1" applyFill="1" applyAlignment="1">
      <alignment horizontal="right"/>
    </xf>
    <xf numFmtId="0" fontId="18" fillId="4" borderId="44" xfId="12" applyFont="1" applyFill="1" applyBorder="1" applyAlignment="1">
      <alignment horizontal="right"/>
    </xf>
    <xf numFmtId="0" fontId="29" fillId="0" borderId="38" xfId="0" applyFont="1" applyBorder="1" applyAlignment="1">
      <alignment vertical="center" wrapText="1"/>
    </xf>
    <xf numFmtId="0" fontId="19" fillId="0" borderId="0" xfId="14" applyFont="1" applyAlignment="1">
      <alignment vertical="top"/>
    </xf>
    <xf numFmtId="0" fontId="31" fillId="0" borderId="0" xfId="0" applyFont="1"/>
    <xf numFmtId="0" fontId="28" fillId="0" borderId="0" xfId="14" applyFont="1" applyAlignment="1">
      <alignment vertical="top"/>
    </xf>
    <xf numFmtId="0" fontId="18" fillId="0" borderId="0" xfId="14" applyFont="1" applyAlignment="1">
      <alignment horizontal="center" vertical="top"/>
    </xf>
    <xf numFmtId="0" fontId="28" fillId="0" borderId="0" xfId="12" applyFont="1" applyAlignment="1">
      <alignment vertical="top"/>
    </xf>
    <xf numFmtId="0" fontId="18" fillId="0" borderId="0" xfId="14" applyFont="1" applyAlignment="1">
      <alignment horizontal="center" vertical="top" wrapText="1"/>
    </xf>
    <xf numFmtId="0" fontId="28" fillId="0" borderId="0" xfId="14" applyFont="1" applyAlignment="1">
      <alignment vertical="top" wrapText="1"/>
    </xf>
    <xf numFmtId="0" fontId="28" fillId="0" borderId="0" xfId="12" applyFont="1" applyAlignment="1">
      <alignment vertical="top" wrapText="1"/>
    </xf>
    <xf numFmtId="0" fontId="31" fillId="0" borderId="16" xfId="0" applyFont="1" applyBorder="1"/>
    <xf numFmtId="0" fontId="31" fillId="0" borderId="4" xfId="0" applyFont="1" applyBorder="1"/>
    <xf numFmtId="0" fontId="32" fillId="0" borderId="16" xfId="0" applyFont="1" applyBorder="1"/>
    <xf numFmtId="0" fontId="31" fillId="0" borderId="5" xfId="0" applyFont="1" applyBorder="1"/>
    <xf numFmtId="0" fontId="31" fillId="0" borderId="7" xfId="0" applyFont="1" applyBorder="1"/>
    <xf numFmtId="0" fontId="31" fillId="8" borderId="80" xfId="0" applyFont="1" applyFill="1" applyBorder="1"/>
    <xf numFmtId="0" fontId="31" fillId="8" borderId="81" xfId="0" applyFont="1" applyFill="1" applyBorder="1"/>
    <xf numFmtId="0" fontId="31" fillId="8" borderId="82" xfId="0" applyFont="1" applyFill="1" applyBorder="1"/>
    <xf numFmtId="0" fontId="31" fillId="0" borderId="44" xfId="0" applyFont="1" applyBorder="1"/>
    <xf numFmtId="0" fontId="31" fillId="0" borderId="16" xfId="0" quotePrefix="1" applyFont="1" applyBorder="1"/>
    <xf numFmtId="0" fontId="32" fillId="7" borderId="0" xfId="0" applyFont="1" applyFill="1"/>
    <xf numFmtId="0" fontId="31" fillId="0" borderId="0" xfId="0" applyFont="1" applyAlignment="1">
      <alignment horizontal="right"/>
    </xf>
    <xf numFmtId="0" fontId="27" fillId="0" borderId="0" xfId="0" applyFont="1"/>
    <xf numFmtId="0" fontId="29" fillId="7" borderId="70" xfId="0" applyFont="1" applyFill="1" applyBorder="1" applyAlignment="1">
      <alignment vertical="top" wrapText="1"/>
    </xf>
    <xf numFmtId="0" fontId="29" fillId="0" borderId="0" xfId="14" applyFont="1" applyAlignment="1">
      <alignment vertical="top"/>
    </xf>
    <xf numFmtId="3" fontId="28" fillId="0" borderId="0" xfId="14" applyNumberFormat="1" applyFont="1" applyAlignment="1">
      <alignment vertical="top"/>
    </xf>
    <xf numFmtId="0" fontId="25" fillId="0" borderId="0" xfId="0" applyFont="1" applyBorder="1" applyAlignment="1">
      <alignment vertical="center" wrapText="1"/>
    </xf>
    <xf numFmtId="0" fontId="29" fillId="0" borderId="22" xfId="0" applyFont="1" applyBorder="1" applyAlignment="1">
      <alignment vertical="center" wrapText="1"/>
    </xf>
    <xf numFmtId="0" fontId="25" fillId="0" borderId="22" xfId="0" applyFont="1" applyBorder="1" applyAlignment="1">
      <alignment vertical="center" wrapText="1"/>
    </xf>
    <xf numFmtId="0" fontId="18" fillId="4" borderId="66" xfId="12" applyFont="1" applyFill="1" applyBorder="1" applyAlignment="1">
      <alignment horizontal="right" wrapText="1"/>
    </xf>
    <xf numFmtId="0" fontId="18" fillId="4" borderId="79" xfId="12" applyFont="1" applyFill="1" applyBorder="1" applyAlignment="1">
      <alignment horizontal="right" wrapText="1"/>
    </xf>
    <xf numFmtId="0" fontId="18" fillId="4" borderId="78" xfId="12" applyFont="1" applyFill="1" applyBorder="1" applyAlignment="1">
      <alignment horizontal="right" wrapText="1"/>
    </xf>
    <xf numFmtId="0" fontId="18" fillId="4" borderId="68" xfId="12" applyFont="1" applyFill="1" applyBorder="1" applyAlignment="1">
      <alignment horizontal="right" wrapText="1"/>
    </xf>
    <xf numFmtId="56" fontId="25" fillId="0" borderId="70" xfId="14" applyNumberFormat="1" applyFont="1" applyBorder="1" applyAlignment="1">
      <alignment horizontal="center" vertical="center" wrapText="1"/>
    </xf>
    <xf numFmtId="0" fontId="33" fillId="0" borderId="0" xfId="14" applyFont="1" applyAlignment="1">
      <alignment vertical="top"/>
    </xf>
    <xf numFmtId="179" fontId="25" fillId="0" borderId="70" xfId="14" applyNumberFormat="1" applyFont="1" applyBorder="1" applyAlignment="1">
      <alignment horizontal="center" vertical="center" wrapText="1"/>
    </xf>
    <xf numFmtId="176" fontId="25" fillId="7" borderId="49" xfId="14" applyNumberFormat="1" applyFont="1" applyFill="1" applyBorder="1" applyAlignment="1">
      <alignment horizontal="center" vertical="center" wrapText="1"/>
    </xf>
    <xf numFmtId="176" fontId="28" fillId="0" borderId="49" xfId="14" applyNumberFormat="1" applyFont="1" applyBorder="1" applyAlignment="1">
      <alignment horizontal="center" vertical="center" wrapText="1"/>
    </xf>
    <xf numFmtId="176" fontId="25" fillId="0" borderId="49" xfId="14" applyNumberFormat="1" applyFont="1" applyFill="1" applyBorder="1" applyAlignment="1">
      <alignment horizontal="center" vertical="center" wrapText="1"/>
    </xf>
    <xf numFmtId="179" fontId="25" fillId="0" borderId="49" xfId="14" applyNumberFormat="1" applyFont="1" applyBorder="1" applyAlignment="1">
      <alignment horizontal="center" vertical="center" wrapText="1"/>
    </xf>
    <xf numFmtId="179" fontId="25" fillId="0" borderId="18" xfId="14" applyNumberFormat="1" applyFont="1" applyBorder="1" applyAlignment="1">
      <alignment horizontal="center" vertical="center" wrapText="1"/>
    </xf>
    <xf numFmtId="179" fontId="25" fillId="0" borderId="54" xfId="14" applyNumberFormat="1" applyFont="1" applyBorder="1" applyAlignment="1">
      <alignment horizontal="center" vertical="center" wrapText="1"/>
    </xf>
    <xf numFmtId="179" fontId="25" fillId="0" borderId="49" xfId="14" applyNumberFormat="1" applyFont="1" applyFill="1" applyBorder="1" applyAlignment="1">
      <alignment horizontal="center" vertical="center" wrapText="1"/>
    </xf>
    <xf numFmtId="179" fontId="25" fillId="0" borderId="83" xfId="14" applyNumberFormat="1" applyFont="1" applyFill="1" applyBorder="1" applyAlignment="1">
      <alignment horizontal="center" vertical="center" wrapText="1"/>
    </xf>
    <xf numFmtId="179" fontId="25" fillId="0" borderId="83" xfId="14" applyNumberFormat="1" applyFont="1" applyBorder="1" applyAlignment="1">
      <alignment horizontal="center" vertical="center" wrapText="1"/>
    </xf>
    <xf numFmtId="179" fontId="25" fillId="0" borderId="37" xfId="14" applyNumberFormat="1" applyFont="1" applyBorder="1" applyAlignment="1">
      <alignment horizontal="center" vertical="center" wrapText="1"/>
    </xf>
    <xf numFmtId="179" fontId="25" fillId="0" borderId="22" xfId="14" applyNumberFormat="1" applyFont="1" applyBorder="1" applyAlignment="1">
      <alignment horizontal="center" vertical="center" wrapText="1"/>
    </xf>
    <xf numFmtId="0" fontId="25" fillId="6" borderId="17" xfId="14" applyFont="1" applyFill="1" applyBorder="1" applyAlignment="1">
      <alignment vertical="top" wrapText="1"/>
    </xf>
    <xf numFmtId="0" fontId="25" fillId="6" borderId="37" xfId="0" applyFont="1" applyFill="1" applyBorder="1" applyAlignment="1">
      <alignment vertical="center" wrapText="1"/>
    </xf>
    <xf numFmtId="0" fontId="25" fillId="6" borderId="38" xfId="0" applyFont="1" applyFill="1" applyBorder="1" applyAlignment="1">
      <alignment vertical="center" wrapText="1"/>
    </xf>
    <xf numFmtId="0" fontId="25" fillId="6" borderId="79" xfId="0" applyFont="1" applyFill="1" applyBorder="1" applyAlignment="1">
      <alignment vertical="top" wrapText="1"/>
    </xf>
    <xf numFmtId="0" fontId="25" fillId="6" borderId="49" xfId="14" applyFont="1" applyFill="1" applyBorder="1" applyAlignment="1">
      <alignment horizontal="center" vertical="center" wrapText="1"/>
    </xf>
    <xf numFmtId="0" fontId="25" fillId="6" borderId="18" xfId="14" applyFont="1" applyFill="1" applyBorder="1" applyAlignment="1">
      <alignment horizontal="center" vertical="center" wrapText="1"/>
    </xf>
    <xf numFmtId="0" fontId="25" fillId="6" borderId="19" xfId="14" applyFont="1" applyFill="1" applyBorder="1" applyAlignment="1">
      <alignment horizontal="center" vertical="center" wrapText="1"/>
    </xf>
    <xf numFmtId="0" fontId="25" fillId="6" borderId="54" xfId="14" applyFont="1" applyFill="1" applyBorder="1" applyAlignment="1">
      <alignment horizontal="center" vertical="center" wrapText="1"/>
    </xf>
    <xf numFmtId="179" fontId="25" fillId="6" borderId="70" xfId="14" applyNumberFormat="1" applyFont="1" applyFill="1" applyBorder="1" applyAlignment="1">
      <alignment horizontal="center" vertical="center" wrapText="1"/>
    </xf>
    <xf numFmtId="179" fontId="25" fillId="6" borderId="49" xfId="14" applyNumberFormat="1" applyFont="1" applyFill="1" applyBorder="1" applyAlignment="1">
      <alignment horizontal="center" vertical="center" wrapText="1"/>
    </xf>
    <xf numFmtId="179" fontId="25" fillId="6" borderId="18" xfId="14" applyNumberFormat="1" applyFont="1" applyFill="1" applyBorder="1" applyAlignment="1">
      <alignment horizontal="center" vertical="center" wrapText="1"/>
    </xf>
    <xf numFmtId="179" fontId="25" fillId="6" borderId="54" xfId="14" applyNumberFormat="1" applyFont="1" applyFill="1" applyBorder="1" applyAlignment="1">
      <alignment horizontal="center" vertical="center" wrapText="1"/>
    </xf>
    <xf numFmtId="0" fontId="25" fillId="6" borderId="70" xfId="14" applyFont="1" applyFill="1" applyBorder="1" applyAlignment="1">
      <alignment horizontal="center" vertical="center" wrapText="1"/>
    </xf>
    <xf numFmtId="0" fontId="25" fillId="6" borderId="70" xfId="14" applyFont="1" applyFill="1" applyBorder="1" applyAlignment="1">
      <alignment horizontal="left" vertical="center" wrapText="1"/>
    </xf>
    <xf numFmtId="179" fontId="25" fillId="0" borderId="17" xfId="14" applyNumberFormat="1" applyFont="1" applyBorder="1" applyAlignment="1">
      <alignment horizontal="center" vertical="center" wrapText="1"/>
    </xf>
    <xf numFmtId="179" fontId="25" fillId="0" borderId="23" xfId="14" applyNumberFormat="1" applyFont="1" applyBorder="1" applyAlignment="1">
      <alignment horizontal="center" vertical="center" wrapText="1"/>
    </xf>
    <xf numFmtId="0" fontId="25" fillId="6" borderId="70" xfId="0" applyFont="1" applyFill="1" applyBorder="1" applyAlignment="1">
      <alignment vertical="top" wrapText="1"/>
    </xf>
    <xf numFmtId="0" fontId="29" fillId="6" borderId="38" xfId="0" applyFont="1" applyFill="1" applyBorder="1" applyAlignment="1">
      <alignment vertical="center" wrapText="1"/>
    </xf>
    <xf numFmtId="0" fontId="29" fillId="6" borderId="70" xfId="14" applyFont="1" applyFill="1" applyBorder="1" applyAlignment="1">
      <alignment horizontal="left" vertical="center" wrapText="1"/>
    </xf>
    <xf numFmtId="179" fontId="25" fillId="0" borderId="18" xfId="14" applyNumberFormat="1" applyFont="1" applyFill="1" applyBorder="1" applyAlignment="1">
      <alignment horizontal="center" vertical="center" wrapText="1"/>
    </xf>
    <xf numFmtId="179" fontId="25" fillId="6" borderId="17" xfId="14" applyNumberFormat="1" applyFont="1" applyFill="1" applyBorder="1" applyAlignment="1">
      <alignment horizontal="center" vertical="center" wrapText="1"/>
    </xf>
    <xf numFmtId="179" fontId="25" fillId="7" borderId="49" xfId="14" applyNumberFormat="1" applyFont="1" applyFill="1" applyBorder="1" applyAlignment="1">
      <alignment horizontal="center" vertical="center" wrapText="1"/>
    </xf>
    <xf numFmtId="179" fontId="25" fillId="7" borderId="70" xfId="14" applyNumberFormat="1" applyFont="1" applyFill="1" applyBorder="1" applyAlignment="1">
      <alignment horizontal="center" vertical="center" wrapText="1"/>
    </xf>
    <xf numFmtId="179" fontId="25" fillId="0" borderId="54" xfId="14" applyNumberFormat="1" applyFont="1" applyFill="1" applyBorder="1" applyAlignment="1">
      <alignment horizontal="center" vertical="center"/>
    </xf>
    <xf numFmtId="0" fontId="22" fillId="0" borderId="13" xfId="11" applyFont="1" applyBorder="1" applyAlignment="1">
      <alignment horizontal="center"/>
    </xf>
    <xf numFmtId="0" fontId="22" fillId="0" borderId="0" xfId="11" applyFont="1" applyAlignment="1">
      <alignment horizontal="center"/>
    </xf>
    <xf numFmtId="0" fontId="22" fillId="0" borderId="12" xfId="11" applyFont="1" applyBorder="1" applyAlignment="1">
      <alignment horizontal="center"/>
    </xf>
    <xf numFmtId="0" fontId="22" fillId="0" borderId="13" xfId="11" applyFont="1" applyBorder="1" applyAlignment="1">
      <alignment horizontal="center" vertical="center"/>
    </xf>
    <xf numFmtId="0" fontId="22" fillId="0" borderId="0" xfId="11" applyFont="1" applyAlignment="1">
      <alignment horizontal="center" vertical="center"/>
    </xf>
    <xf numFmtId="0" fontId="22" fillId="0" borderId="12" xfId="11" applyFont="1" applyBorder="1" applyAlignment="1">
      <alignment horizontal="center" vertical="center"/>
    </xf>
    <xf numFmtId="0" fontId="21" fillId="0" borderId="0" xfId="11" applyFont="1" applyAlignment="1">
      <alignment horizontal="center"/>
    </xf>
    <xf numFmtId="0" fontId="21" fillId="0" borderId="0" xfId="13" applyFont="1" applyAlignment="1">
      <alignment horizontal="center"/>
    </xf>
    <xf numFmtId="0" fontId="27" fillId="4" borderId="66" xfId="14" applyFont="1" applyFill="1" applyBorder="1" applyAlignment="1">
      <alignment horizontal="center" vertical="center" wrapText="1"/>
    </xf>
    <xf numFmtId="0" fontId="27" fillId="4" borderId="68" xfId="14" applyFont="1" applyFill="1" applyBorder="1" applyAlignment="1">
      <alignment horizontal="center" vertical="center" wrapText="1"/>
    </xf>
    <xf numFmtId="0" fontId="27" fillId="4" borderId="69" xfId="14" applyFont="1" applyFill="1" applyBorder="1" applyAlignment="1">
      <alignment horizontal="center" vertical="center" wrapText="1"/>
    </xf>
    <xf numFmtId="0" fontId="27" fillId="4" borderId="27" xfId="14" applyFont="1" applyFill="1" applyBorder="1" applyAlignment="1">
      <alignment horizontal="center" vertical="center" wrapText="1"/>
    </xf>
    <xf numFmtId="0" fontId="27" fillId="4" borderId="15" xfId="14" applyFont="1" applyFill="1" applyBorder="1" applyAlignment="1">
      <alignment horizontal="center" vertical="center" wrapText="1"/>
    </xf>
    <xf numFmtId="0" fontId="27" fillId="4" borderId="8" xfId="14" applyFont="1" applyFill="1" applyBorder="1" applyAlignment="1">
      <alignment horizontal="center" vertical="center" wrapText="1"/>
    </xf>
    <xf numFmtId="0" fontId="27" fillId="4" borderId="15" xfId="14" applyFont="1" applyFill="1" applyBorder="1" applyAlignment="1">
      <alignment horizontal="center" vertical="center"/>
    </xf>
    <xf numFmtId="0" fontId="27" fillId="4" borderId="8" xfId="14" applyFont="1" applyFill="1" applyBorder="1" applyAlignment="1">
      <alignment horizontal="center" vertical="center"/>
    </xf>
    <xf numFmtId="0" fontId="27" fillId="4" borderId="77" xfId="14" applyFont="1" applyFill="1" applyBorder="1" applyAlignment="1">
      <alignment horizontal="center" vertical="center"/>
    </xf>
    <xf numFmtId="0" fontId="27" fillId="4" borderId="6" xfId="14" applyFont="1" applyFill="1" applyBorder="1" applyAlignment="1">
      <alignment horizontal="center" vertical="center"/>
    </xf>
    <xf numFmtId="0" fontId="27" fillId="4" borderId="71" xfId="14" applyFont="1" applyFill="1" applyBorder="1" applyAlignment="1">
      <alignment horizontal="center" vertical="top" wrapText="1"/>
    </xf>
    <xf numFmtId="0" fontId="27" fillId="4" borderId="78" xfId="14" applyFont="1" applyFill="1" applyBorder="1" applyAlignment="1">
      <alignment horizontal="center" vertical="center"/>
    </xf>
    <xf numFmtId="0" fontId="27" fillId="4" borderId="68" xfId="14" applyFont="1" applyFill="1" applyBorder="1" applyAlignment="1">
      <alignment horizontal="center" vertical="center"/>
    </xf>
    <xf numFmtId="0" fontId="27" fillId="4" borderId="73" xfId="14" applyFont="1" applyFill="1" applyBorder="1" applyAlignment="1">
      <alignment horizontal="center" vertical="top" wrapText="1"/>
    </xf>
    <xf numFmtId="0" fontId="27" fillId="4" borderId="72" xfId="14" applyFont="1" applyFill="1" applyBorder="1" applyAlignment="1">
      <alignment horizontal="center" vertical="center"/>
    </xf>
    <xf numFmtId="0" fontId="27" fillId="4" borderId="70" xfId="14" applyFont="1" applyFill="1" applyBorder="1" applyAlignment="1">
      <alignment horizontal="center" vertical="center"/>
    </xf>
    <xf numFmtId="0" fontId="27" fillId="4" borderId="23" xfId="14" applyFont="1" applyFill="1" applyBorder="1" applyAlignment="1">
      <alignment horizontal="center" vertical="center"/>
    </xf>
    <xf numFmtId="0" fontId="27" fillId="4" borderId="67" xfId="14" applyFont="1" applyFill="1" applyBorder="1" applyAlignment="1">
      <alignment horizontal="center" vertical="center" wrapText="1"/>
    </xf>
    <xf numFmtId="0" fontId="18" fillId="4" borderId="14" xfId="12" applyFont="1" applyFill="1" applyBorder="1" applyAlignment="1">
      <alignment horizontal="center" vertical="center"/>
    </xf>
    <xf numFmtId="0" fontId="18" fillId="4" borderId="42" xfId="12" applyFont="1" applyFill="1" applyBorder="1" applyAlignment="1">
      <alignment horizontal="center" vertical="center"/>
    </xf>
    <xf numFmtId="0" fontId="18" fillId="4" borderId="47" xfId="12" applyFont="1" applyFill="1" applyBorder="1" applyAlignment="1">
      <alignment horizontal="center" vertical="center"/>
    </xf>
    <xf numFmtId="0" fontId="18" fillId="4" borderId="35" xfId="12" applyFont="1" applyFill="1" applyBorder="1" applyAlignment="1">
      <alignment horizontal="center" vertical="center"/>
    </xf>
    <xf numFmtId="0" fontId="18" fillId="4" borderId="46" xfId="12" applyFont="1" applyFill="1" applyBorder="1" applyAlignment="1">
      <alignment horizontal="right"/>
    </xf>
    <xf numFmtId="0" fontId="18" fillId="4" borderId="55" xfId="12" applyFont="1" applyFill="1" applyBorder="1" applyAlignment="1">
      <alignment horizontal="right"/>
    </xf>
    <xf numFmtId="0" fontId="18" fillId="4" borderId="37" xfId="12" applyFont="1" applyFill="1" applyBorder="1" applyAlignment="1">
      <alignment horizontal="right"/>
    </xf>
    <xf numFmtId="0" fontId="18" fillId="4" borderId="8" xfId="12" applyFont="1" applyFill="1" applyBorder="1" applyAlignment="1">
      <alignment horizontal="right"/>
    </xf>
    <xf numFmtId="0" fontId="18" fillId="4" borderId="74" xfId="12" applyFont="1" applyFill="1" applyBorder="1" applyAlignment="1">
      <alignment horizontal="right"/>
    </xf>
    <xf numFmtId="0" fontId="18" fillId="4" borderId="45" xfId="12" applyFont="1" applyFill="1" applyBorder="1" applyAlignment="1">
      <alignment horizontal="right"/>
    </xf>
    <xf numFmtId="0" fontId="27" fillId="4" borderId="77" xfId="14" applyFont="1" applyFill="1" applyBorder="1" applyAlignment="1">
      <alignment horizontal="center" vertical="center" wrapText="1"/>
    </xf>
    <xf numFmtId="0" fontId="1" fillId="4" borderId="64" xfId="14" applyFont="1" applyFill="1" applyBorder="1" applyAlignment="1">
      <alignment horizontal="center" vertical="center" textRotation="255" shrinkToFit="1"/>
    </xf>
    <xf numFmtId="0" fontId="1" fillId="4" borderId="58" xfId="14" applyFont="1" applyFill="1" applyBorder="1" applyAlignment="1">
      <alignment horizontal="center" vertical="center" textRotation="255" shrinkToFit="1"/>
    </xf>
    <xf numFmtId="0" fontId="1" fillId="4" borderId="45" xfId="14" applyFont="1" applyFill="1" applyBorder="1" applyAlignment="1">
      <alignment horizontal="center" vertical="center" textRotation="255" shrinkToFit="1"/>
    </xf>
    <xf numFmtId="0" fontId="4" fillId="4" borderId="33" xfId="14" applyFont="1" applyFill="1" applyBorder="1" applyAlignment="1">
      <alignment horizontal="center" vertical="top" wrapText="1"/>
    </xf>
    <xf numFmtId="0" fontId="4" fillId="4" borderId="14" xfId="14" applyFont="1" applyFill="1" applyBorder="1" applyAlignment="1">
      <alignment horizontal="center" vertical="top" wrapText="1"/>
    </xf>
    <xf numFmtId="0" fontId="4" fillId="4" borderId="33" xfId="14" applyFont="1" applyFill="1" applyBorder="1" applyAlignment="1">
      <alignment horizontal="center" vertical="center" wrapText="1"/>
    </xf>
    <xf numFmtId="0" fontId="4" fillId="4" borderId="14" xfId="14" applyFont="1" applyFill="1" applyBorder="1" applyAlignment="1">
      <alignment horizontal="center" vertical="center" wrapText="1"/>
    </xf>
    <xf numFmtId="0" fontId="4" fillId="4" borderId="3" xfId="14" applyFont="1" applyFill="1" applyBorder="1" applyAlignment="1">
      <alignment horizontal="center" vertical="top" wrapText="1"/>
    </xf>
    <xf numFmtId="0" fontId="13" fillId="4" borderId="65" xfId="14" applyFont="1" applyFill="1" applyBorder="1" applyAlignment="1">
      <alignment horizontal="center" vertical="top" wrapText="1"/>
    </xf>
    <xf numFmtId="0" fontId="13" fillId="4" borderId="2" xfId="14" applyFont="1" applyFill="1" applyBorder="1" applyAlignment="1">
      <alignment horizontal="center" vertical="top" wrapText="1"/>
    </xf>
    <xf numFmtId="0" fontId="4" fillId="4" borderId="66" xfId="14" applyFont="1" applyFill="1" applyBorder="1" applyAlignment="1">
      <alignment horizontal="center" vertical="center" wrapText="1"/>
    </xf>
    <xf numFmtId="0" fontId="4" fillId="4" borderId="67" xfId="14" applyFont="1" applyFill="1" applyBorder="1" applyAlignment="1">
      <alignment horizontal="center" vertical="center" wrapText="1"/>
    </xf>
    <xf numFmtId="0" fontId="4" fillId="4" borderId="68" xfId="14" applyFont="1" applyFill="1" applyBorder="1" applyAlignment="1">
      <alignment horizontal="center" vertical="center" wrapText="1"/>
    </xf>
    <xf numFmtId="0" fontId="13" fillId="4" borderId="3" xfId="14" applyFont="1" applyFill="1" applyBorder="1" applyAlignment="1">
      <alignment horizontal="center" vertical="top" wrapText="1"/>
    </xf>
    <xf numFmtId="0" fontId="13" fillId="4" borderId="62" xfId="14" applyFont="1" applyFill="1" applyBorder="1" applyAlignment="1">
      <alignment horizontal="center" vertical="top" wrapText="1"/>
    </xf>
    <xf numFmtId="0" fontId="13" fillId="4" borderId="63" xfId="14" applyFont="1" applyFill="1" applyBorder="1" applyAlignment="1">
      <alignment horizontal="center" vertical="center" textRotation="255" shrinkToFit="1"/>
    </xf>
    <xf numFmtId="0" fontId="13" fillId="4" borderId="31" xfId="14" applyFont="1" applyFill="1" applyBorder="1" applyAlignment="1">
      <alignment horizontal="center" vertical="center" textRotation="255" shrinkToFit="1"/>
    </xf>
    <xf numFmtId="0" fontId="13" fillId="4" borderId="55" xfId="14" applyFont="1" applyFill="1" applyBorder="1" applyAlignment="1">
      <alignment horizontal="center" vertical="center" textRotation="255" shrinkToFit="1"/>
    </xf>
    <xf numFmtId="179" fontId="25" fillId="0" borderId="54" xfId="14" applyNumberFormat="1" applyFont="1" applyFill="1" applyBorder="1" applyAlignment="1">
      <alignment horizontal="center" vertical="center" wrapText="1"/>
    </xf>
  </cellXfs>
  <cellStyles count="15">
    <cellStyle name="Calc Currency (0)" xfId="1" xr:uid="{00000000-0005-0000-0000-000000000000}"/>
    <cellStyle name="Grey" xfId="2" xr:uid="{00000000-0005-0000-0000-000001000000}"/>
    <cellStyle name="Header1" xfId="3" xr:uid="{00000000-0005-0000-0000-000002000000}"/>
    <cellStyle name="Header2" xfId="4" xr:uid="{00000000-0005-0000-0000-000003000000}"/>
    <cellStyle name="Input [yellow]" xfId="5" xr:uid="{00000000-0005-0000-0000-000004000000}"/>
    <cellStyle name="Normal - Style1" xfId="6" xr:uid="{00000000-0005-0000-0000-000005000000}"/>
    <cellStyle name="Normal_#18-Internet" xfId="7" xr:uid="{00000000-0005-0000-0000-000006000000}"/>
    <cellStyle name="Percent [2]" xfId="8" xr:uid="{00000000-0005-0000-0000-000007000000}"/>
    <cellStyle name="センター" xfId="9" xr:uid="{00000000-0005-0000-0000-000008000000}"/>
    <cellStyle name="標準" xfId="0" builtinId="0"/>
    <cellStyle name="標準 3" xfId="10" xr:uid="{00000000-0005-0000-0000-00000A000000}"/>
    <cellStyle name="標準_GSアオキ殿消費税対応ST仕様書兼完了報告書(適用確認)" xfId="11" xr:uid="{00000000-0005-0000-0000-00000B000000}"/>
    <cellStyle name="標準_ST項目書_仮２回目_(S_13 顧客後宣言対応)" xfId="12" xr:uid="{00000000-0005-0000-0000-00000C000000}"/>
    <cellStyle name="標準_ST仕様書兼完了報告書(領収証・掛伝票印字ﾌｫｰﾏｯﾄ変更)" xfId="13" xr:uid="{00000000-0005-0000-0000-00000D000000}"/>
    <cellStyle name="標準_V05L30 Aｺｰﾌﾟ福井殿2次ｴﾝﾊﾝｽ ST項目書" xfId="14" xr:uid="{00000000-0005-0000-0000-00000E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C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drawings/drawing1.xml><?xml version="1.0" encoding="utf-8"?>
<xdr:wsDr xmlns:xdr="http://schemas.openxmlformats.org/drawingml/2006/spreadsheetDrawing" xmlns:a="http://schemas.openxmlformats.org/drawingml/2006/main">
  <xdr:twoCellAnchor>
    <xdr:from>
      <xdr:col>19</xdr:col>
      <xdr:colOff>439271</xdr:colOff>
      <xdr:row>366</xdr:row>
      <xdr:rowOff>116541</xdr:rowOff>
    </xdr:from>
    <xdr:to>
      <xdr:col>21</xdr:col>
      <xdr:colOff>35859</xdr:colOff>
      <xdr:row>383</xdr:row>
      <xdr:rowOff>17929</xdr:rowOff>
    </xdr:to>
    <xdr:sp macro="" textlink="">
      <xdr:nvSpPr>
        <xdr:cNvPr id="10" name="正方形/長方形 1">
          <a:extLst>
            <a:ext uri="{FF2B5EF4-FFF2-40B4-BE49-F238E27FC236}">
              <a16:creationId xmlns:a16="http://schemas.microsoft.com/office/drawing/2014/main" id="{B649E1B8-BE7C-5990-9C60-460638B3B1B2}"/>
            </a:ext>
          </a:extLst>
        </xdr:cNvPr>
        <xdr:cNvSpPr/>
      </xdr:nvSpPr>
      <xdr:spPr>
        <a:xfrm>
          <a:off x="17983200" y="55652894"/>
          <a:ext cx="430306" cy="2339788"/>
        </a:xfrm>
        <a:prstGeom prst="rect">
          <a:avLst/>
        </a:prstGeom>
        <a:noFill/>
        <a:ln w="1905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44822</xdr:colOff>
      <xdr:row>365</xdr:row>
      <xdr:rowOff>17929</xdr:rowOff>
    </xdr:from>
    <xdr:to>
      <xdr:col>24</xdr:col>
      <xdr:colOff>1389529</xdr:colOff>
      <xdr:row>370</xdr:row>
      <xdr:rowOff>8965</xdr:rowOff>
    </xdr:to>
    <xdr:sp macro="" textlink="">
      <xdr:nvSpPr>
        <xdr:cNvPr id="83" name="吹き出し: 折線 2">
          <a:extLst>
            <a:ext uri="{FF2B5EF4-FFF2-40B4-BE49-F238E27FC236}">
              <a16:creationId xmlns:a16="http://schemas.microsoft.com/office/drawing/2014/main" id="{AEF33C62-956A-D25B-58E3-6E9B9C82831B}"/>
            </a:ext>
          </a:extLst>
        </xdr:cNvPr>
        <xdr:cNvSpPr/>
      </xdr:nvSpPr>
      <xdr:spPr>
        <a:xfrm>
          <a:off x="19139646" y="55410847"/>
          <a:ext cx="1801907" cy="708212"/>
        </a:xfrm>
        <a:prstGeom prst="borderCallout2">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異常系テストの</a:t>
          </a:r>
          <a:endParaRPr kumimoji="1" lang="en-US" altLang="ja-JP" sz="1100" b="1">
            <a:solidFill>
              <a:srgbClr val="FF0000"/>
            </a:solidFill>
          </a:endParaRPr>
        </a:p>
        <a:p>
          <a:pPr algn="l"/>
          <a:r>
            <a:rPr kumimoji="1" lang="ja-JP" altLang="en-US" sz="1100" b="1">
              <a:solidFill>
                <a:srgbClr val="FF0000"/>
              </a:solidFill>
            </a:rPr>
            <a:t>実行タイミングを調整要</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388174</xdr:colOff>
      <xdr:row>368</xdr:row>
      <xdr:rowOff>62753</xdr:rowOff>
    </xdr:from>
    <xdr:to>
      <xdr:col>6</xdr:col>
      <xdr:colOff>380103</xdr:colOff>
      <xdr:row>392</xdr:row>
      <xdr:rowOff>45272</xdr:rowOff>
    </xdr:to>
    <xdr:sp macro="" textlink="">
      <xdr:nvSpPr>
        <xdr:cNvPr id="3" name="正方形/長方形 2">
          <a:extLst>
            <a:ext uri="{FF2B5EF4-FFF2-40B4-BE49-F238E27FC236}">
              <a16:creationId xmlns:a16="http://schemas.microsoft.com/office/drawing/2014/main" id="{E0437970-DE52-4511-A90F-BB5A38125366}"/>
            </a:ext>
          </a:extLst>
        </xdr:cNvPr>
        <xdr:cNvSpPr/>
      </xdr:nvSpPr>
      <xdr:spPr>
        <a:xfrm>
          <a:off x="2817609" y="8184777"/>
          <a:ext cx="6312047" cy="277950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異常系</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POS</a:t>
          </a:r>
          <a:r>
            <a:rPr kumimoji="1" lang="ja-JP" altLang="en-US" sz="900">
              <a:latin typeface="Meiryo UI" panose="020B0604030504040204" pitchFamily="50" charset="-128"/>
              <a:ea typeface="Meiryo UI" panose="020B0604030504040204" pitchFamily="50" charset="-128"/>
            </a:rPr>
            <a:t>サーバ開店処理中、閉店処理中、後の更新</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→売変メニュー使えないができるか？</a:t>
          </a:r>
          <a:r>
            <a:rPr kumimoji="1" lang="en-US" altLang="ja-JP" sz="900">
              <a:latin typeface="Meiryo UI" panose="020B0604030504040204" pitchFamily="50" charset="-128"/>
              <a:ea typeface="Meiryo UI" panose="020B0604030504040204" pitchFamily="50" charset="-128"/>
            </a:rPr>
            <a:t>PDA</a:t>
          </a:r>
          <a:r>
            <a:rPr kumimoji="1" lang="ja-JP" altLang="en-US" sz="900">
              <a:latin typeface="Meiryo UI" panose="020B0604030504040204" pitchFamily="50" charset="-128"/>
              <a:ea typeface="Meiryo UI" panose="020B0604030504040204" pitchFamily="50" charset="-128"/>
            </a:rPr>
            <a:t>で実施？</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マスタ更新履歴は、全件一括データ作成が正常に完了した時に未処理分を含めて削除する。</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全件一括データの連携により、それ以前の差分データの連携は不要となるため。</a:t>
          </a:r>
          <a:r>
            <a:rPr kumimoji="1" lang="en-US" altLang="ja-JP" sz="900">
              <a:latin typeface="Meiryo UI" panose="020B0604030504040204" pitchFamily="50" charset="-128"/>
              <a:ea typeface="Meiryo UI" panose="020B0604030504040204" pitchFamily="50" charset="-128"/>
            </a:rPr>
            <a:t>) </a:t>
          </a:r>
        </a:p>
        <a:p>
          <a:pPr algn="l"/>
          <a:r>
            <a:rPr kumimoji="1" lang="ja-JP" altLang="en-US" sz="900">
              <a:latin typeface="Meiryo UI" panose="020B0604030504040204" pitchFamily="50" charset="-128"/>
              <a:ea typeface="Meiryo UI" panose="020B0604030504040204" pitchFamily="50" charset="-128"/>
            </a:rPr>
            <a:t>また、削除前にマスタ更新履歴データを</a:t>
          </a:r>
          <a:r>
            <a:rPr kumimoji="1" lang="en-US" altLang="ja-JP" sz="900">
              <a:latin typeface="Meiryo UI" panose="020B0604030504040204" pitchFamily="50" charset="-128"/>
              <a:ea typeface="Meiryo UI" panose="020B0604030504040204" pitchFamily="50" charset="-128"/>
            </a:rPr>
            <a:t>BCP</a:t>
          </a:r>
          <a:r>
            <a:rPr kumimoji="1" lang="ja-JP" altLang="en-US" sz="900">
              <a:latin typeface="Meiryo UI" panose="020B0604030504040204" pitchFamily="50" charset="-128"/>
              <a:ea typeface="Meiryo UI" panose="020B0604030504040204" pitchFamily="50" charset="-128"/>
            </a:rPr>
            <a:t>アウトしてファイルに退避し、当日分を除いて</a:t>
          </a:r>
          <a:r>
            <a:rPr kumimoji="1" lang="en-US" altLang="ja-JP" sz="900">
              <a:latin typeface="Meiryo UI" panose="020B0604030504040204" pitchFamily="50" charset="-128"/>
              <a:ea typeface="Meiryo UI" panose="020B0604030504040204" pitchFamily="50" charset="-128"/>
            </a:rPr>
            <a:t>6</a:t>
          </a:r>
          <a:r>
            <a:rPr kumimoji="1" lang="ja-JP" altLang="en-US" sz="900">
              <a:latin typeface="Meiryo UI" panose="020B0604030504040204" pitchFamily="50" charset="-128"/>
              <a:ea typeface="Meiryo UI" panose="020B0604030504040204" pitchFamily="50" charset="-128"/>
            </a:rPr>
            <a:t>世代分保持する。</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もし、全件一括データ作成が異常終了した場合はマスタ更新履歴は削除せず、全件一括データのリカバリ時に削除する。</a:t>
          </a:r>
          <a:endParaRPr kumimoji="1" lang="en-US" altLang="ja-JP" sz="900">
            <a:latin typeface="Meiryo UI" panose="020B0604030504040204" pitchFamily="50" charset="-128"/>
            <a:ea typeface="Meiryo UI" panose="020B0604030504040204" pitchFamily="50" charset="-128"/>
          </a:endParaRPr>
        </a:p>
        <a:p>
          <a:pPr algn="l"/>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①POS</a:t>
          </a:r>
          <a:r>
            <a:rPr kumimoji="1" lang="ja-JP" altLang="en-US" sz="900">
              <a:latin typeface="Meiryo UI" panose="020B0604030504040204" pitchFamily="50" charset="-128"/>
              <a:ea typeface="Meiryo UI" panose="020B0604030504040204" pitchFamily="50" charset="-128"/>
            </a:rPr>
            <a:t>サーバの開店処理に組み込んだマスタ連携開局処理で異常が発生した場合</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例：常駐プログラムの起動に失敗した場合等</a:t>
          </a:r>
          <a:r>
            <a:rPr kumimoji="1" lang="en-US" altLang="ja-JP" sz="900">
              <a:latin typeface="Meiryo UI" panose="020B0604030504040204" pitchFamily="50" charset="-128"/>
              <a:ea typeface="Meiryo UI" panose="020B0604030504040204" pitchFamily="50" charset="-128"/>
            </a:rPr>
            <a:t>) </a:t>
          </a:r>
        </a:p>
        <a:p>
          <a:pPr algn="l"/>
          <a:r>
            <a:rPr kumimoji="1" lang="en-US" altLang="ja-JP" sz="900">
              <a:latin typeface="Meiryo UI" panose="020B0604030504040204" pitchFamily="50" charset="-128"/>
              <a:ea typeface="Meiryo UI" panose="020B0604030504040204" pitchFamily="50" charset="-128"/>
            </a:rPr>
            <a:t>②</a:t>
          </a:r>
          <a:r>
            <a:rPr kumimoji="1" lang="ja-JP" altLang="en-US" sz="900">
              <a:latin typeface="Meiryo UI" panose="020B0604030504040204" pitchFamily="50" charset="-128"/>
              <a:ea typeface="Meiryo UI" panose="020B0604030504040204" pitchFamily="50" charset="-128"/>
            </a:rPr>
            <a:t>差分データファイルの作成に失敗した場合 </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③</a:t>
          </a:r>
          <a:r>
            <a:rPr kumimoji="1" lang="en-US" altLang="ja-JP" sz="900">
              <a:latin typeface="Meiryo UI" panose="020B0604030504040204" pitchFamily="50" charset="-128"/>
              <a:ea typeface="Meiryo UI" panose="020B0604030504040204" pitchFamily="50" charset="-128"/>
            </a:rPr>
            <a:t>SFTP</a:t>
          </a:r>
          <a:r>
            <a:rPr kumimoji="1" lang="ja-JP" altLang="en-US" sz="900">
              <a:latin typeface="Meiryo UI" panose="020B0604030504040204" pitchFamily="50" charset="-128"/>
              <a:ea typeface="Meiryo UI" panose="020B0604030504040204" pitchFamily="50" charset="-128"/>
            </a:rPr>
            <a:t>送信エラーが一定回数以上連続して発生した場合</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(ini</a:t>
          </a:r>
          <a:r>
            <a:rPr kumimoji="1" lang="ja-JP" altLang="en-US" sz="900">
              <a:latin typeface="Meiryo UI" panose="020B0604030504040204" pitchFamily="50" charset="-128"/>
              <a:ea typeface="Meiryo UI" panose="020B0604030504040204" pitchFamily="50" charset="-128"/>
            </a:rPr>
            <a:t>ファイルに</a:t>
          </a:r>
          <a:r>
            <a:rPr kumimoji="1" lang="en-US" altLang="ja-JP" sz="900">
              <a:latin typeface="Meiryo UI" panose="020B0604030504040204" pitchFamily="50" charset="-128"/>
              <a:ea typeface="Meiryo UI" panose="020B0604030504040204" pitchFamily="50" charset="-128"/>
            </a:rPr>
            <a:t>SFTP</a:t>
          </a:r>
          <a:r>
            <a:rPr kumimoji="1" lang="ja-JP" altLang="en-US" sz="900">
              <a:latin typeface="Meiryo UI" panose="020B0604030504040204" pitchFamily="50" charset="-128"/>
              <a:ea typeface="Meiryo UI" panose="020B0604030504040204" pitchFamily="50" charset="-128"/>
            </a:rPr>
            <a:t>送信エラー回数を指定</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回数：初期値</a:t>
          </a:r>
          <a:r>
            <a:rPr kumimoji="1" lang="en-US" altLang="ja-JP" sz="900">
              <a:latin typeface="Meiryo UI" panose="020B0604030504040204" pitchFamily="50" charset="-128"/>
              <a:ea typeface="Meiryo UI" panose="020B0604030504040204" pitchFamily="50" charset="-128"/>
            </a:rPr>
            <a:t>5</a:t>
          </a:r>
          <a:r>
            <a:rPr kumimoji="1" lang="ja-JP" altLang="en-US" sz="900">
              <a:latin typeface="Meiryo UI" panose="020B0604030504040204" pitchFamily="50" charset="-128"/>
              <a:ea typeface="Meiryo UI" panose="020B0604030504040204" pitchFamily="50" charset="-128"/>
            </a:rPr>
            <a:t>回</a:t>
          </a:r>
          <a:r>
            <a:rPr kumimoji="1" lang="en-US" altLang="ja-JP" sz="900">
              <a:latin typeface="Meiryo UI" panose="020B0604030504040204" pitchFamily="50" charset="-128"/>
              <a:ea typeface="Meiryo UI" panose="020B0604030504040204" pitchFamily="50" charset="-128"/>
            </a:rPr>
            <a:t>(SFTP</a:t>
          </a:r>
          <a:r>
            <a:rPr kumimoji="1" lang="ja-JP" altLang="en-US" sz="900">
              <a:latin typeface="Meiryo UI" panose="020B0604030504040204" pitchFamily="50" charset="-128"/>
              <a:ea typeface="Meiryo UI" panose="020B0604030504040204" pitchFamily="50" charset="-128"/>
            </a:rPr>
            <a:t>送信間隔 初期値</a:t>
          </a:r>
          <a:r>
            <a:rPr kumimoji="1" lang="en-US" altLang="ja-JP" sz="900">
              <a:latin typeface="Meiryo UI" panose="020B0604030504040204" pitchFamily="50" charset="-128"/>
              <a:ea typeface="Meiryo UI" panose="020B0604030504040204" pitchFamily="50" charset="-128"/>
            </a:rPr>
            <a:t>60</a:t>
          </a:r>
          <a:r>
            <a:rPr kumimoji="1" lang="ja-JP" altLang="en-US" sz="900">
              <a:latin typeface="Meiryo UI" panose="020B0604030504040204" pitchFamily="50" charset="-128"/>
              <a:ea typeface="Meiryo UI" panose="020B0604030504040204" pitchFamily="50" charset="-128"/>
            </a:rPr>
            <a:t>秒</a:t>
          </a:r>
          <a:r>
            <a:rPr kumimoji="1" lang="en-US" altLang="ja-JP" sz="900">
              <a:latin typeface="Meiryo UI" panose="020B0604030504040204" pitchFamily="50" charset="-128"/>
              <a:ea typeface="Meiryo UI" panose="020B0604030504040204" pitchFamily="50" charset="-128"/>
            </a:rPr>
            <a:t>×5</a:t>
          </a:r>
          <a:r>
            <a:rPr kumimoji="1" lang="ja-JP" altLang="en-US" sz="900">
              <a:latin typeface="Meiryo UI" panose="020B0604030504040204" pitchFamily="50" charset="-128"/>
              <a:ea typeface="Meiryo UI" panose="020B0604030504040204" pitchFamily="50" charset="-128"/>
            </a:rPr>
            <a:t>回＝</a:t>
          </a:r>
          <a:r>
            <a:rPr kumimoji="1" lang="en-US" altLang="ja-JP" sz="900">
              <a:latin typeface="Meiryo UI" panose="020B0604030504040204" pitchFamily="50" charset="-128"/>
              <a:ea typeface="Meiryo UI" panose="020B0604030504040204" pitchFamily="50" charset="-128"/>
            </a:rPr>
            <a:t>300</a:t>
          </a:r>
          <a:r>
            <a:rPr kumimoji="1" lang="ja-JP" altLang="en-US" sz="900">
              <a:latin typeface="Meiryo UI" panose="020B0604030504040204" pitchFamily="50" charset="-128"/>
              <a:ea typeface="Meiryo UI" panose="020B0604030504040204" pitchFamily="50" charset="-128"/>
            </a:rPr>
            <a:t>秒</a:t>
          </a:r>
          <a:r>
            <a:rPr kumimoji="1" lang="en-US" altLang="ja-JP" sz="900">
              <a:latin typeface="Meiryo UI" panose="020B0604030504040204" pitchFamily="50" charset="-128"/>
              <a:ea typeface="Meiryo UI" panose="020B0604030504040204" pitchFamily="50" charset="-128"/>
            </a:rPr>
            <a:t>)]) </a:t>
          </a:r>
          <a:r>
            <a:rPr kumimoji="1" lang="ja-JP" altLang="en-US" sz="900">
              <a:latin typeface="Meiryo UI" panose="020B0604030504040204" pitchFamily="50" charset="-128"/>
              <a:ea typeface="Meiryo UI" panose="020B0604030504040204" pitchFamily="50" charset="-128"/>
            </a:rPr>
            <a:t> </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3118414</xdr:colOff>
      <xdr:row>242</xdr:row>
      <xdr:rowOff>59634</xdr:rowOff>
    </xdr:from>
    <xdr:to>
      <xdr:col>7</xdr:col>
      <xdr:colOff>5280992</xdr:colOff>
      <xdr:row>247</xdr:row>
      <xdr:rowOff>43850</xdr:rowOff>
    </xdr:to>
    <xdr:sp macro="" textlink="">
      <xdr:nvSpPr>
        <xdr:cNvPr id="4" name="正方形/長方形 3">
          <a:extLst>
            <a:ext uri="{FF2B5EF4-FFF2-40B4-BE49-F238E27FC236}">
              <a16:creationId xmlns:a16="http://schemas.microsoft.com/office/drawing/2014/main" id="{7365D8EF-9B7E-4A5D-AC82-B3C71F0F333E}"/>
            </a:ext>
          </a:extLst>
        </xdr:cNvPr>
        <xdr:cNvSpPr/>
      </xdr:nvSpPr>
      <xdr:spPr>
        <a:xfrm>
          <a:off x="11897979" y="35502573"/>
          <a:ext cx="2162578" cy="7130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翌営業日合算</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→集計はどうなる？か確認</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→とくし丸とかは翌日売上として合算</a:t>
          </a:r>
        </a:p>
      </xdr:txBody>
    </xdr:sp>
    <xdr:clientData/>
  </xdr:twoCellAnchor>
  <xdr:twoCellAnchor>
    <xdr:from>
      <xdr:col>28</xdr:col>
      <xdr:colOff>0</xdr:colOff>
      <xdr:row>23</xdr:row>
      <xdr:rowOff>0</xdr:rowOff>
    </xdr:from>
    <xdr:to>
      <xdr:col>35</xdr:col>
      <xdr:colOff>250564</xdr:colOff>
      <xdr:row>35</xdr:row>
      <xdr:rowOff>117885</xdr:rowOff>
    </xdr:to>
    <xdr:sp macro="" textlink="">
      <xdr:nvSpPr>
        <xdr:cNvPr id="6" name="正方形/長方形 5">
          <a:extLst>
            <a:ext uri="{FF2B5EF4-FFF2-40B4-BE49-F238E27FC236}">
              <a16:creationId xmlns:a16="http://schemas.microsoft.com/office/drawing/2014/main" id="{3279FE0E-E9B3-43CF-8DCE-69C7DF95707E}"/>
            </a:ext>
          </a:extLst>
        </xdr:cNvPr>
        <xdr:cNvSpPr/>
      </xdr:nvSpPr>
      <xdr:spPr>
        <a:xfrm>
          <a:off x="25283160" y="3497580"/>
          <a:ext cx="4251064" cy="18552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■テストのやり方想定</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例</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入金操作時のトラン実績確認</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①</a:t>
          </a:r>
          <a:r>
            <a:rPr kumimoji="1" lang="en-US" altLang="ja-JP" sz="900">
              <a:latin typeface="Meiryo UI" panose="020B0604030504040204" pitchFamily="50" charset="-128"/>
              <a:ea typeface="Meiryo UI" panose="020B0604030504040204" pitchFamily="50" charset="-128"/>
            </a:rPr>
            <a:t>ignicaPOS</a:t>
          </a:r>
          <a:r>
            <a:rPr kumimoji="1" lang="ja-JP" altLang="en-US" sz="900">
              <a:latin typeface="Meiryo UI" panose="020B0604030504040204" pitchFamily="50" charset="-128"/>
              <a:ea typeface="Meiryo UI" panose="020B0604030504040204" pitchFamily="50" charset="-128"/>
            </a:rPr>
            <a:t>で入金操作</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②定期間隔でトラン実績連携</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③</a:t>
          </a:r>
          <a:r>
            <a:rPr kumimoji="1" lang="en-US" altLang="ja-JP" sz="900">
              <a:latin typeface="Meiryo UI" panose="020B0604030504040204" pitchFamily="50" charset="-128"/>
              <a:ea typeface="Meiryo UI" panose="020B0604030504040204" pitchFamily="50" charset="-128"/>
            </a:rPr>
            <a:t>POS</a:t>
          </a:r>
          <a:r>
            <a:rPr kumimoji="1" lang="ja-JP" altLang="en-US" sz="900">
              <a:latin typeface="Meiryo UI" panose="020B0604030504040204" pitchFamily="50" charset="-128"/>
              <a:ea typeface="Meiryo UI" panose="020B0604030504040204" pitchFamily="50" charset="-128"/>
            </a:rPr>
            <a:t>サーバで取込</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④テーブル抜き出しバッチ実行</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→当日日付の連携対象トランテーブルを、</a:t>
          </a:r>
          <a:r>
            <a:rPr kumimoji="1" lang="en-US" altLang="ja-JP" sz="900">
              <a:latin typeface="Meiryo UI" panose="020B0604030504040204" pitchFamily="50" charset="-128"/>
              <a:ea typeface="Meiryo UI" panose="020B0604030504040204" pitchFamily="50" charset="-128"/>
            </a:rPr>
            <a:t>CSV</a:t>
          </a:r>
          <a:r>
            <a:rPr kumimoji="1" lang="ja-JP" altLang="en-US" sz="900">
              <a:latin typeface="Meiryo UI" panose="020B0604030504040204" pitchFamily="50" charset="-128"/>
              <a:ea typeface="Meiryo UI" panose="020B0604030504040204" pitchFamily="50" charset="-128"/>
            </a:rPr>
            <a:t>形式で抽出するバッチを準備する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⑤更新されたレコードを確認する</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9</xdr:col>
      <xdr:colOff>0</xdr:colOff>
      <xdr:row>19</xdr:row>
      <xdr:rowOff>0</xdr:rowOff>
    </xdr:from>
    <xdr:to>
      <xdr:col>12</xdr:col>
      <xdr:colOff>0</xdr:colOff>
      <xdr:row>42</xdr:row>
      <xdr:rowOff>15240</xdr:rowOff>
    </xdr:to>
    <xdr:sp macro="" textlink="">
      <xdr:nvSpPr>
        <xdr:cNvPr id="2" name="正方形/長方形 1">
          <a:extLst>
            <a:ext uri="{FF2B5EF4-FFF2-40B4-BE49-F238E27FC236}">
              <a16:creationId xmlns:a16="http://schemas.microsoft.com/office/drawing/2014/main" id="{EFDFC8F3-2BB4-49F2-8B08-89FE192A0B16}"/>
            </a:ext>
          </a:extLst>
        </xdr:cNvPr>
        <xdr:cNvSpPr/>
      </xdr:nvSpPr>
      <xdr:spPr>
        <a:xfrm>
          <a:off x="9730740" y="3055620"/>
          <a:ext cx="3924300" cy="36957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■確認方法想定</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例</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外税</a:t>
          </a:r>
          <a:r>
            <a:rPr kumimoji="1" lang="en-US" altLang="ja-JP" sz="900">
              <a:latin typeface="Meiryo UI" panose="020B0604030504040204" pitchFamily="50" charset="-128"/>
              <a:ea typeface="Meiryo UI" panose="020B0604030504040204" pitchFamily="50" charset="-128"/>
            </a:rPr>
            <a:t>10</a:t>
          </a:r>
          <a:r>
            <a:rPr kumimoji="1" lang="ja-JP" altLang="en-US" sz="900">
              <a:latin typeface="Meiryo UI" panose="020B0604030504040204" pitchFamily="50" charset="-128"/>
              <a:ea typeface="Meiryo UI" panose="020B0604030504040204" pitchFamily="50" charset="-128"/>
            </a:rPr>
            <a:t>％商品購入時のトラン実績確認</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①</a:t>
          </a:r>
          <a:r>
            <a:rPr kumimoji="1" lang="en-US" altLang="ja-JP" sz="900">
              <a:latin typeface="Meiryo UI" panose="020B0604030504040204" pitchFamily="50" charset="-128"/>
              <a:ea typeface="Meiryo UI" panose="020B0604030504040204" pitchFamily="50" charset="-128"/>
            </a:rPr>
            <a:t>ignicaPOS</a:t>
          </a:r>
          <a:r>
            <a:rPr kumimoji="1" lang="ja-JP" altLang="en-US" sz="900">
              <a:latin typeface="Meiryo UI" panose="020B0604030504040204" pitchFamily="50" charset="-128"/>
              <a:ea typeface="Meiryo UI" panose="020B0604030504040204" pitchFamily="50" charset="-128"/>
            </a:rPr>
            <a:t>で外税</a:t>
          </a:r>
          <a:r>
            <a:rPr kumimoji="1" lang="en-US" altLang="ja-JP" sz="900">
              <a:latin typeface="Meiryo UI" panose="020B0604030504040204" pitchFamily="50" charset="-128"/>
              <a:ea typeface="Meiryo UI" panose="020B0604030504040204" pitchFamily="50" charset="-128"/>
            </a:rPr>
            <a:t>10%</a:t>
          </a:r>
          <a:r>
            <a:rPr kumimoji="1" lang="ja-JP" altLang="en-US" sz="900">
              <a:latin typeface="Meiryo UI" panose="020B0604030504040204" pitchFamily="50" charset="-128"/>
              <a:ea typeface="Meiryo UI" panose="020B0604030504040204" pitchFamily="50" charset="-128"/>
            </a:rPr>
            <a:t>商品売上</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②定期間隔でトラン実績連携</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③</a:t>
          </a:r>
          <a:r>
            <a:rPr kumimoji="1" lang="en-US" altLang="ja-JP" sz="900">
              <a:latin typeface="Meiryo UI" panose="020B0604030504040204" pitchFamily="50" charset="-128"/>
              <a:ea typeface="Meiryo UI" panose="020B0604030504040204" pitchFamily="50" charset="-128"/>
            </a:rPr>
            <a:t>POS</a:t>
          </a:r>
          <a:r>
            <a:rPr kumimoji="1" lang="ja-JP" altLang="en-US" sz="900">
              <a:latin typeface="Meiryo UI" panose="020B0604030504040204" pitchFamily="50" charset="-128"/>
              <a:ea typeface="Meiryo UI" panose="020B0604030504040204" pitchFamily="50" charset="-128"/>
            </a:rPr>
            <a:t>サーバで取込</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④テーブル抜き出しバッチ実行</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→当日日付の連携対象トランテーブルを、</a:t>
          </a:r>
          <a:r>
            <a:rPr kumimoji="1" lang="en-US" altLang="ja-JP" sz="900">
              <a:latin typeface="Meiryo UI" panose="020B0604030504040204" pitchFamily="50" charset="-128"/>
              <a:ea typeface="Meiryo UI" panose="020B0604030504040204" pitchFamily="50" charset="-128"/>
            </a:rPr>
            <a:t>CSV</a:t>
          </a:r>
          <a:r>
            <a:rPr kumimoji="1" lang="ja-JP" altLang="en-US" sz="900">
              <a:latin typeface="Meiryo UI" panose="020B0604030504040204" pitchFamily="50" charset="-128"/>
              <a:ea typeface="Meiryo UI" panose="020B0604030504040204" pitchFamily="50" charset="-128"/>
            </a:rPr>
            <a:t>形式で抽出するバッチを準備する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⑤更新されたレコードを確認する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LN_DETAIL</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EXT_PRC</a:t>
          </a:r>
          <a:r>
            <a:rPr kumimoji="1" lang="ja-JP" altLang="en-US" sz="900">
              <a:latin typeface="Meiryo UI" panose="020B0604030504040204" pitchFamily="50" charset="-128"/>
              <a:ea typeface="Meiryo UI" panose="020B0604030504040204" pitchFamily="50" charset="-128"/>
            </a:rPr>
            <a:t>が外税抜きの販売合価となっている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GSFD_TAX_TYPE</a:t>
          </a:r>
          <a:r>
            <a:rPr kumimoji="1" lang="ja-JP" altLang="en-US" sz="900">
              <a:latin typeface="Meiryo UI" panose="020B0604030504040204" pitchFamily="50" charset="-128"/>
              <a:ea typeface="Meiryo UI" panose="020B0604030504040204" pitchFamily="50" charset="-128"/>
            </a:rPr>
            <a:t>が</a:t>
          </a:r>
          <a:r>
            <a:rPr kumimoji="1" lang="en-US" altLang="ja-JP" sz="900">
              <a:latin typeface="Meiryo UI" panose="020B0604030504040204" pitchFamily="50" charset="-128"/>
              <a:ea typeface="Meiryo UI" panose="020B0604030504040204" pitchFamily="50" charset="-128"/>
            </a:rPr>
            <a:t>1</a:t>
          </a:r>
          <a:r>
            <a:rPr kumimoji="1" lang="ja-JP" altLang="en-US" sz="900">
              <a:latin typeface="Meiryo UI" panose="020B0604030504040204" pitchFamily="50" charset="-128"/>
              <a:ea typeface="Meiryo UI" panose="020B0604030504040204" pitchFamily="50" charset="-128"/>
            </a:rPr>
            <a:t>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GSFD_TAX_AMT</a:t>
          </a:r>
          <a:r>
            <a:rPr kumimoji="1" lang="ja-JP" altLang="en-US" sz="900">
              <a:latin typeface="Meiryo UI" panose="020B0604030504040204" pitchFamily="50" charset="-128"/>
              <a:ea typeface="Meiryo UI" panose="020B0604030504040204" pitchFamily="50" charset="-128"/>
            </a:rPr>
            <a:t>が外税金額となっている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TRANSACTION_TAX</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TAX_CD</a:t>
          </a:r>
          <a:r>
            <a:rPr kumimoji="1" lang="ja-JP" altLang="en-US" sz="900">
              <a:latin typeface="Meiryo UI" panose="020B0604030504040204" pitchFamily="50" charset="-128"/>
              <a:ea typeface="Meiryo UI" panose="020B0604030504040204" pitchFamily="50" charset="-128"/>
            </a:rPr>
            <a:t>が</a:t>
          </a:r>
          <a:r>
            <a:rPr kumimoji="1" lang="en-US" altLang="ja-JP" sz="900">
              <a:latin typeface="Meiryo UI" panose="020B0604030504040204" pitchFamily="50" charset="-128"/>
              <a:ea typeface="Meiryo UI" panose="020B0604030504040204" pitchFamily="50" charset="-128"/>
            </a:rPr>
            <a:t>1</a:t>
          </a:r>
          <a:r>
            <a:rPr kumimoji="1" lang="ja-JP" altLang="en-US" sz="900">
              <a:latin typeface="Meiryo UI" panose="020B0604030504040204" pitchFamily="50" charset="-128"/>
              <a:ea typeface="Meiryo UI" panose="020B0604030504040204" pitchFamily="50" charset="-128"/>
            </a:rPr>
            <a:t>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TAX_AMT</a:t>
          </a:r>
          <a:r>
            <a:rPr kumimoji="1" lang="ja-JP" altLang="en-US" sz="900">
              <a:latin typeface="Meiryo UI" panose="020B0604030504040204" pitchFamily="50" charset="-128"/>
              <a:ea typeface="Meiryo UI" panose="020B0604030504040204" pitchFamily="50" charset="-128"/>
            </a:rPr>
            <a:t>が外税金額となっている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TAXBLE_AMT</a:t>
          </a:r>
          <a:r>
            <a:rPr kumimoji="1" lang="ja-JP" altLang="en-US" sz="900">
              <a:latin typeface="Meiryo UI" panose="020B0604030504040204" pitchFamily="50" charset="-128"/>
              <a:ea typeface="Meiryo UI" panose="020B0604030504040204" pitchFamily="50" charset="-128"/>
            </a:rPr>
            <a:t>が外税抜きの商品売上額となっている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GSFD_PNT_TRANS_HEADER</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GSTP_SATISFA_OUT_SIDE_TAX</a:t>
          </a:r>
          <a:r>
            <a:rPr kumimoji="1" lang="ja-JP" altLang="en-US" sz="900">
              <a:latin typeface="Meiryo UI" panose="020B0604030504040204" pitchFamily="50" charset="-128"/>
              <a:ea typeface="Meiryo UI" panose="020B0604030504040204" pitchFamily="50" charset="-128"/>
            </a:rPr>
            <a:t>が外税対象金額となっている</a:t>
          </a:r>
          <a:endParaRPr kumimoji="1" lang="en-US" altLang="ja-JP" sz="900">
            <a:latin typeface="Meiryo UI" panose="020B0604030504040204" pitchFamily="50" charset="-128"/>
            <a:ea typeface="Meiryo UI" panose="020B0604030504040204" pitchFamily="50" charset="-128"/>
          </a:endParaRPr>
        </a:p>
      </xdr:txBody>
    </xdr:sp>
    <xdr:clientData/>
  </xdr:twoCellAnchor>
  <xdr:twoCellAnchor>
    <xdr:from>
      <xdr:col>13</xdr:col>
      <xdr:colOff>480060</xdr:colOff>
      <xdr:row>34</xdr:row>
      <xdr:rowOff>15240</xdr:rowOff>
    </xdr:from>
    <xdr:to>
      <xdr:col>22</xdr:col>
      <xdr:colOff>502920</xdr:colOff>
      <xdr:row>42</xdr:row>
      <xdr:rowOff>83820</xdr:rowOff>
    </xdr:to>
    <xdr:sp macro="" textlink="">
      <xdr:nvSpPr>
        <xdr:cNvPr id="3" name="正方形/長方形 2">
          <a:extLst>
            <a:ext uri="{FF2B5EF4-FFF2-40B4-BE49-F238E27FC236}">
              <a16:creationId xmlns:a16="http://schemas.microsoft.com/office/drawing/2014/main" id="{B2E2553F-9684-48FD-BADE-9F7C8E651A80}"/>
            </a:ext>
          </a:extLst>
        </xdr:cNvPr>
        <xdr:cNvSpPr/>
      </xdr:nvSpPr>
      <xdr:spPr>
        <a:xfrm>
          <a:off x="14683740" y="5471160"/>
          <a:ext cx="5699760" cy="13487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■観点</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・売価強制、販売停止、販売証明書、販売確認が機能するか？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・自動値引除外、単品値引除外</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一般、会員、しない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、小計単品値引除外</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一般、会員、しない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・売上除外、非商品が機能するか？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・マークダウン</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円、値引額、割引額</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・価格変更予約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endParaRPr kumimoji="1" lang="en-US" altLang="ja-JP" sz="900">
            <a:latin typeface="Meiryo UI" panose="020B0604030504040204" pitchFamily="50" charset="-128"/>
            <a:ea typeface="Meiryo UI" panose="020B0604030504040204" pitchFamily="50" charset="-128"/>
          </a:endParaRPr>
        </a:p>
      </xdr:txBody>
    </xdr:sp>
    <xdr:clientData/>
  </xdr:twoCellAnchor>
</xdr:wsDr>
</file>

<file path=xl/persons/person.xml><?xml version="1.0" encoding="utf-8"?>
<personList xmlns="http://schemas.microsoft.com/office/spreadsheetml/2018/threadedcomments" xmlns:x="http://schemas.openxmlformats.org/spreadsheetml/2006/main">
  <person displayName="Ozawa, Risako/小澤 りさ子" id="{41BD5B16-CF9A-44EB-BA02-06581BE5D939}" userId="S::ozawa.risako@jp.fujitsu.com::ebb53ee1-363a-4fbf-8f15-beab7dbce0ca" providerId="AD"/>
</personList>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V3" dT="2025-01-14T05:08:41.05" personId="{41BD5B16-CF9A-44EB-BA02-06581BE5D939}" id="{A86F5573-5090-4E2C-8240-C9CF4D2CA287}">
    <text>BF_LOG.log
Sub Main ｱﾌﾟﾘｹｰｼｮﾝ起動？</text>
  </threadedComment>
  <threadedComment ref="V5" dT="2025-01-14T05:09:06.76" personId="{41BD5B16-CF9A-44EB-BA02-06581BE5D939}" id="{9D2D2C04-0FD0-470A-AA61-93711B6EB0B0}">
    <text>BF_LOG.log
Sub Main ｱﾌﾟﾘｹｰｼｮﾝ起動？</text>
  </threadedComment>
</ThreadedComment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4.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A859A-5040-4BB2-89D5-66E13DD09EF8}">
  <dimension ref="B2:E34"/>
  <sheetViews>
    <sheetView topLeftCell="A4" workbookViewId="0">
      <selection activeCell="K29" sqref="K29"/>
    </sheetView>
  </sheetViews>
  <sheetFormatPr defaultColWidth="4.5" defaultRowHeight="12.6" x14ac:dyDescent="0.25"/>
  <cols>
    <col min="1" max="16384" width="4.5" style="235"/>
  </cols>
  <sheetData>
    <row r="2" spans="2:5" x14ac:dyDescent="0.25">
      <c r="B2" s="254" t="s">
        <v>0</v>
      </c>
    </row>
    <row r="4" spans="2:5" x14ac:dyDescent="0.25">
      <c r="B4" s="254" t="s">
        <v>1</v>
      </c>
    </row>
    <row r="5" spans="2:5" x14ac:dyDescent="0.25">
      <c r="B5" s="253" t="s">
        <v>2</v>
      </c>
      <c r="C5" s="254" t="s">
        <v>3</v>
      </c>
    </row>
    <row r="6" spans="2:5" x14ac:dyDescent="0.25">
      <c r="B6" s="253" t="s">
        <v>4</v>
      </c>
      <c r="C6" s="253" t="s">
        <v>2</v>
      </c>
      <c r="D6" s="254" t="s">
        <v>5</v>
      </c>
    </row>
    <row r="7" spans="2:5" x14ac:dyDescent="0.25">
      <c r="B7" s="253" t="s">
        <v>4</v>
      </c>
      <c r="C7" s="253" t="s">
        <v>4</v>
      </c>
      <c r="D7" s="253" t="s">
        <v>2</v>
      </c>
      <c r="E7" s="254" t="s">
        <v>6</v>
      </c>
    </row>
    <row r="8" spans="2:5" x14ac:dyDescent="0.25">
      <c r="B8" s="253" t="s">
        <v>4</v>
      </c>
      <c r="C8" s="253" t="s">
        <v>4</v>
      </c>
      <c r="D8" s="253" t="s">
        <v>2</v>
      </c>
      <c r="E8" s="254" t="s">
        <v>7</v>
      </c>
    </row>
    <row r="9" spans="2:5" x14ac:dyDescent="0.25">
      <c r="B9" s="253" t="s">
        <v>4</v>
      </c>
      <c r="C9" s="253" t="s">
        <v>2</v>
      </c>
      <c r="D9" s="254" t="s">
        <v>8</v>
      </c>
    </row>
    <row r="10" spans="2:5" x14ac:dyDescent="0.25">
      <c r="B10" s="253" t="s">
        <v>4</v>
      </c>
      <c r="C10" s="253" t="s">
        <v>2</v>
      </c>
      <c r="D10" s="254" t="s">
        <v>9</v>
      </c>
    </row>
    <row r="11" spans="2:5" x14ac:dyDescent="0.25">
      <c r="B11" s="253" t="s">
        <v>4</v>
      </c>
      <c r="C11" s="253" t="s">
        <v>2</v>
      </c>
      <c r="D11" s="254" t="s">
        <v>10</v>
      </c>
    </row>
    <row r="12" spans="2:5" x14ac:dyDescent="0.25">
      <c r="B12" s="253" t="s">
        <v>4</v>
      </c>
      <c r="C12" s="253"/>
      <c r="D12" s="254"/>
    </row>
    <row r="13" spans="2:5" x14ac:dyDescent="0.25">
      <c r="B13" s="253" t="s">
        <v>2</v>
      </c>
      <c r="C13" s="254" t="s">
        <v>11</v>
      </c>
    </row>
    <row r="14" spans="2:5" x14ac:dyDescent="0.25">
      <c r="B14" s="253" t="s">
        <v>4</v>
      </c>
      <c r="C14" s="253" t="s">
        <v>2</v>
      </c>
      <c r="D14" s="254" t="s">
        <v>5</v>
      </c>
    </row>
    <row r="15" spans="2:5" x14ac:dyDescent="0.25">
      <c r="B15" s="253" t="s">
        <v>4</v>
      </c>
      <c r="C15" s="253" t="s">
        <v>4</v>
      </c>
      <c r="D15" s="253" t="s">
        <v>2</v>
      </c>
      <c r="E15" s="254" t="s">
        <v>6</v>
      </c>
    </row>
    <row r="16" spans="2:5" x14ac:dyDescent="0.25">
      <c r="B16" s="253" t="s">
        <v>4</v>
      </c>
      <c r="C16" s="253" t="s">
        <v>4</v>
      </c>
      <c r="D16" s="253" t="s">
        <v>2</v>
      </c>
      <c r="E16" s="254" t="s">
        <v>7</v>
      </c>
    </row>
    <row r="17" spans="2:5" x14ac:dyDescent="0.25">
      <c r="B17" s="253" t="s">
        <v>4</v>
      </c>
      <c r="C17" s="253" t="s">
        <v>2</v>
      </c>
      <c r="D17" s="254" t="s">
        <v>8</v>
      </c>
    </row>
    <row r="18" spans="2:5" x14ac:dyDescent="0.25">
      <c r="B18" s="253" t="s">
        <v>4</v>
      </c>
      <c r="C18" s="253" t="s">
        <v>2</v>
      </c>
      <c r="D18" s="254" t="s">
        <v>9</v>
      </c>
    </row>
    <row r="19" spans="2:5" x14ac:dyDescent="0.25">
      <c r="B19" s="253" t="s">
        <v>4</v>
      </c>
      <c r="C19" s="253" t="s">
        <v>2</v>
      </c>
      <c r="D19" s="254" t="s">
        <v>10</v>
      </c>
    </row>
    <row r="20" spans="2:5" x14ac:dyDescent="0.25">
      <c r="B20" s="253" t="s">
        <v>4</v>
      </c>
      <c r="C20" s="253"/>
      <c r="D20" s="254"/>
    </row>
    <row r="21" spans="2:5" x14ac:dyDescent="0.25">
      <c r="B21" s="253" t="s">
        <v>2</v>
      </c>
      <c r="C21" s="254" t="s">
        <v>12</v>
      </c>
    </row>
    <row r="22" spans="2:5" x14ac:dyDescent="0.25">
      <c r="C22" s="253" t="s">
        <v>2</v>
      </c>
      <c r="D22" s="254" t="s">
        <v>5</v>
      </c>
    </row>
    <row r="23" spans="2:5" x14ac:dyDescent="0.25">
      <c r="B23" s="253"/>
      <c r="C23" s="253" t="s">
        <v>4</v>
      </c>
      <c r="D23" s="253" t="s">
        <v>2</v>
      </c>
      <c r="E23" s="254" t="s">
        <v>6</v>
      </c>
    </row>
    <row r="24" spans="2:5" x14ac:dyDescent="0.25">
      <c r="B24" s="253"/>
      <c r="C24" s="253" t="s">
        <v>4</v>
      </c>
      <c r="D24" s="253" t="s">
        <v>2</v>
      </c>
      <c r="E24" s="254" t="s">
        <v>7</v>
      </c>
    </row>
    <row r="25" spans="2:5" x14ac:dyDescent="0.25">
      <c r="C25" s="253" t="s">
        <v>2</v>
      </c>
      <c r="D25" s="254" t="s">
        <v>8</v>
      </c>
    </row>
    <row r="26" spans="2:5" x14ac:dyDescent="0.25">
      <c r="C26" s="253" t="s">
        <v>2</v>
      </c>
      <c r="D26" s="254" t="s">
        <v>9</v>
      </c>
    </row>
    <row r="27" spans="2:5" x14ac:dyDescent="0.25">
      <c r="C27" s="253" t="s">
        <v>2</v>
      </c>
      <c r="D27" s="254" t="s">
        <v>10</v>
      </c>
    </row>
    <row r="29" spans="2:5" x14ac:dyDescent="0.25">
      <c r="B29" s="254" t="s">
        <v>13</v>
      </c>
    </row>
    <row r="31" spans="2:5" x14ac:dyDescent="0.25">
      <c r="B31" s="254" t="s">
        <v>14</v>
      </c>
      <c r="E31" s="235">
        <f>全件マスタ連携!$C$405</f>
        <v>399</v>
      </c>
    </row>
    <row r="32" spans="2:5" x14ac:dyDescent="0.25">
      <c r="B32" s="254" t="s">
        <v>15</v>
      </c>
      <c r="E32" s="235">
        <f>差分マスタ連携!$C$365</f>
        <v>359</v>
      </c>
    </row>
    <row r="33" spans="2:5" x14ac:dyDescent="0.25">
      <c r="B33" s="254" t="s">
        <v>16</v>
      </c>
      <c r="E33" s="235">
        <f>トラン実績連携!$C$257</f>
        <v>251</v>
      </c>
    </row>
    <row r="34" spans="2:5" x14ac:dyDescent="0.25">
      <c r="B34" s="254" t="s">
        <v>17</v>
      </c>
      <c r="E34" s="235" t="str">
        <f>TEXT(SUM(E31:E33),"0000")&amp;"件"</f>
        <v>1009件</v>
      </c>
    </row>
  </sheetData>
  <phoneticPr fontId="15"/>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K24"/>
  <sheetViews>
    <sheetView view="pageBreakPreview" zoomScaleNormal="100" workbookViewId="0"/>
  </sheetViews>
  <sheetFormatPr defaultColWidth="12" defaultRowHeight="15" x14ac:dyDescent="0.3"/>
  <cols>
    <col min="1" max="16384" width="12" style="161"/>
  </cols>
  <sheetData>
    <row r="3" spans="3:11" ht="15.6" thickBot="1" x14ac:dyDescent="0.35"/>
    <row r="4" spans="3:11" ht="23.4" thickTop="1" x14ac:dyDescent="0.45">
      <c r="C4" s="168" t="s">
        <v>18</v>
      </c>
      <c r="D4" s="162"/>
      <c r="E4" s="162"/>
      <c r="F4" s="162"/>
      <c r="G4" s="162"/>
      <c r="H4" s="162"/>
      <c r="I4" s="162"/>
      <c r="J4" s="162"/>
      <c r="K4" s="163"/>
    </row>
    <row r="5" spans="3:11" x14ac:dyDescent="0.3">
      <c r="C5" s="164"/>
      <c r="K5" s="165"/>
    </row>
    <row r="6" spans="3:11" x14ac:dyDescent="0.3">
      <c r="C6" s="164"/>
      <c r="K6" s="165"/>
    </row>
    <row r="7" spans="3:11" ht="35.4" x14ac:dyDescent="0.3">
      <c r="C7" s="306" t="s">
        <v>19</v>
      </c>
      <c r="D7" s="307"/>
      <c r="E7" s="307"/>
      <c r="F7" s="307"/>
      <c r="G7" s="307"/>
      <c r="H7" s="307"/>
      <c r="I7" s="307"/>
      <c r="J7" s="307"/>
      <c r="K7" s="308"/>
    </row>
    <row r="8" spans="3:11" ht="15" customHeight="1" x14ac:dyDescent="0.3">
      <c r="C8" s="172"/>
      <c r="D8" s="173"/>
      <c r="E8" s="173"/>
      <c r="F8" s="173"/>
      <c r="G8" s="173"/>
      <c r="H8" s="173"/>
      <c r="I8" s="173"/>
      <c r="J8" s="173"/>
      <c r="K8" s="174"/>
    </row>
    <row r="9" spans="3:11" ht="35.4" x14ac:dyDescent="0.65">
      <c r="C9" s="303" t="s">
        <v>20</v>
      </c>
      <c r="D9" s="304"/>
      <c r="E9" s="304"/>
      <c r="F9" s="304"/>
      <c r="G9" s="304"/>
      <c r="H9" s="304"/>
      <c r="I9" s="304"/>
      <c r="J9" s="304"/>
      <c r="K9" s="305"/>
    </row>
    <row r="10" spans="3:11" ht="35.4" x14ac:dyDescent="0.65">
      <c r="C10" s="303" t="s">
        <v>21</v>
      </c>
      <c r="D10" s="304"/>
      <c r="E10" s="304"/>
      <c r="F10" s="304"/>
      <c r="G10" s="304"/>
      <c r="H10" s="304"/>
      <c r="I10" s="304"/>
      <c r="J10" s="304"/>
      <c r="K10" s="305"/>
    </row>
    <row r="11" spans="3:11" x14ac:dyDescent="0.3">
      <c r="C11" s="164"/>
      <c r="K11" s="165"/>
    </row>
    <row r="12" spans="3:11" ht="15" customHeight="1" thickBot="1" x14ac:dyDescent="0.55000000000000004">
      <c r="C12" s="169"/>
      <c r="D12" s="170"/>
      <c r="E12" s="170"/>
      <c r="F12" s="170"/>
      <c r="G12" s="170"/>
      <c r="H12" s="170"/>
      <c r="I12" s="170"/>
      <c r="J12" s="170"/>
      <c r="K12" s="171"/>
    </row>
    <row r="13" spans="3:11" ht="15" customHeight="1" thickTop="1" x14ac:dyDescent="0.3"/>
    <row r="14" spans="3:11" ht="15" customHeight="1" x14ac:dyDescent="0.3"/>
    <row r="15" spans="3:11" ht="15" customHeight="1" x14ac:dyDescent="0.3"/>
    <row r="16" spans="3:11" ht="15" customHeight="1" x14ac:dyDescent="0.3"/>
    <row r="17" spans="3:9" ht="15" customHeight="1" x14ac:dyDescent="0.3"/>
    <row r="18" spans="3:9" ht="18.600000000000001" x14ac:dyDescent="0.35">
      <c r="E18" s="309" t="s">
        <v>22</v>
      </c>
      <c r="F18" s="309"/>
      <c r="G18" s="309"/>
      <c r="H18" s="309"/>
      <c r="I18" s="309"/>
    </row>
    <row r="19" spans="3:9" ht="15" customHeight="1" x14ac:dyDescent="0.3"/>
    <row r="20" spans="3:9" ht="15" customHeight="1" x14ac:dyDescent="0.3"/>
    <row r="21" spans="3:9" ht="18.600000000000001" x14ac:dyDescent="0.35">
      <c r="C21" s="166"/>
      <c r="F21" s="310" t="s">
        <v>23</v>
      </c>
      <c r="G21" s="310"/>
      <c r="H21" s="310"/>
    </row>
    <row r="22" spans="3:9" ht="15" customHeight="1" x14ac:dyDescent="0.35">
      <c r="C22" s="166"/>
      <c r="F22" s="167"/>
      <c r="G22" s="167"/>
      <c r="H22" s="167"/>
    </row>
    <row r="23" spans="3:9" ht="15" customHeight="1" x14ac:dyDescent="0.35">
      <c r="C23" s="166"/>
      <c r="F23" s="167"/>
    </row>
    <row r="24" spans="3:9" ht="15" customHeight="1" x14ac:dyDescent="0.3"/>
  </sheetData>
  <mergeCells count="5">
    <mergeCell ref="C9:K9"/>
    <mergeCell ref="C10:K10"/>
    <mergeCell ref="C7:K7"/>
    <mergeCell ref="E18:I18"/>
    <mergeCell ref="F21:H21"/>
  </mergeCells>
  <phoneticPr fontId="7"/>
  <printOptions horizontalCentered="1"/>
  <pageMargins left="0.78740157480314965" right="0.78740157480314965" top="0.98425196850393704" bottom="0.98425196850393704" header="0.51181102362204722" footer="0.51181102362204722"/>
  <pageSetup paperSize="9" firstPageNumber="6" orientation="landscape" r:id="rId1"/>
  <headerFooter alignWithMargins="0">
    <oddFooter>&amp;RAll Rights Reserved Copyright © Fujitsu Ltd.2017</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B430"/>
  <sheetViews>
    <sheetView topLeftCell="F1" zoomScale="85" zoomScaleNormal="85" zoomScaleSheetLayoutView="100" workbookViewId="0">
      <pane ySplit="2" topLeftCell="A3" activePane="bottomLeft" state="frozen"/>
      <selection activeCell="D6" sqref="D6"/>
      <selection pane="bottomLeft" activeCell="Y5" sqref="Y5"/>
    </sheetView>
  </sheetViews>
  <sheetFormatPr defaultColWidth="9.375" defaultRowHeight="9" customHeight="1" outlineLevelCol="1" x14ac:dyDescent="0.15"/>
  <cols>
    <col min="1" max="1" width="5.125" style="159" customWidth="1"/>
    <col min="2" max="2" width="10.125" style="159" customWidth="1"/>
    <col min="3" max="4" width="24.625" style="159" customWidth="1"/>
    <col min="5" max="5" width="27.625" style="159" customWidth="1"/>
    <col min="6" max="6" width="51.5" style="159" customWidth="1"/>
    <col min="7" max="7" width="89.5" style="159" customWidth="1"/>
    <col min="8" max="19" width="4.5" style="160" customWidth="1" outlineLevel="1"/>
    <col min="20" max="20" width="7.75" style="160" bestFit="1" customWidth="1" outlineLevel="1"/>
    <col min="21" max="23" width="5.875" style="160" customWidth="1" outlineLevel="1"/>
    <col min="24" max="24" width="7.5" style="160" customWidth="1" outlineLevel="1"/>
    <col min="25" max="25" width="77.875" style="159" customWidth="1"/>
    <col min="26" max="27" width="9.375" style="236"/>
    <col min="28" max="28" width="28.625" style="236" bestFit="1" customWidth="1"/>
    <col min="29" max="16384" width="9.375" style="236"/>
  </cols>
  <sheetData>
    <row r="1" spans="1:26" s="237" customFormat="1" ht="13.5" customHeight="1" x14ac:dyDescent="0.15">
      <c r="A1" s="313" t="s">
        <v>24</v>
      </c>
      <c r="B1" s="315" t="s">
        <v>25</v>
      </c>
      <c r="C1" s="317" t="s">
        <v>26</v>
      </c>
      <c r="D1" s="317" t="s">
        <v>27</v>
      </c>
      <c r="E1" s="317" t="s">
        <v>28</v>
      </c>
      <c r="F1" s="319" t="s">
        <v>29</v>
      </c>
      <c r="G1" s="322" t="s">
        <v>30</v>
      </c>
      <c r="H1" s="321" t="s">
        <v>31</v>
      </c>
      <c r="I1" s="321"/>
      <c r="J1" s="321"/>
      <c r="K1" s="324"/>
      <c r="L1" s="325" t="s">
        <v>32</v>
      </c>
      <c r="M1" s="326"/>
      <c r="N1" s="326"/>
      <c r="O1" s="327"/>
      <c r="P1" s="327"/>
      <c r="Q1" s="327"/>
      <c r="R1" s="327"/>
      <c r="S1" s="327"/>
      <c r="T1" s="328" t="s">
        <v>1100</v>
      </c>
      <c r="U1" s="321" t="s">
        <v>33</v>
      </c>
      <c r="V1" s="321"/>
      <c r="W1" s="321"/>
      <c r="X1" s="311" t="s">
        <v>34</v>
      </c>
      <c r="Y1" s="311" t="s">
        <v>35</v>
      </c>
    </row>
    <row r="2" spans="1:26" s="237" customFormat="1" ht="22.8" x14ac:dyDescent="0.15">
      <c r="A2" s="314"/>
      <c r="B2" s="316"/>
      <c r="C2" s="318"/>
      <c r="D2" s="318"/>
      <c r="E2" s="318"/>
      <c r="F2" s="320"/>
      <c r="G2" s="323"/>
      <c r="H2" s="223" t="s">
        <v>36</v>
      </c>
      <c r="I2" s="224" t="s">
        <v>37</v>
      </c>
      <c r="J2" s="225" t="s">
        <v>38</v>
      </c>
      <c r="K2" s="225" t="s">
        <v>39</v>
      </c>
      <c r="L2" s="226" t="s">
        <v>36</v>
      </c>
      <c r="M2" s="225" t="s">
        <v>40</v>
      </c>
      <c r="N2" s="225" t="s">
        <v>41</v>
      </c>
      <c r="O2" s="225" t="s">
        <v>42</v>
      </c>
      <c r="P2" s="225" t="s">
        <v>43</v>
      </c>
      <c r="Q2" s="225" t="s">
        <v>44</v>
      </c>
      <c r="R2" s="225" t="s">
        <v>45</v>
      </c>
      <c r="S2" s="225" t="s">
        <v>46</v>
      </c>
      <c r="T2" s="323"/>
      <c r="U2" s="223" t="s">
        <v>47</v>
      </c>
      <c r="V2" s="224" t="s">
        <v>48</v>
      </c>
      <c r="W2" s="225" t="s">
        <v>49</v>
      </c>
      <c r="X2" s="312"/>
      <c r="Y2" s="312"/>
    </row>
    <row r="3" spans="1:26" ht="11.4" x14ac:dyDescent="0.15">
      <c r="A3" s="175">
        <f>ROW()-2</f>
        <v>1</v>
      </c>
      <c r="B3" s="176" t="s">
        <v>50</v>
      </c>
      <c r="C3" s="176" t="s">
        <v>51</v>
      </c>
      <c r="D3" s="176" t="s">
        <v>52</v>
      </c>
      <c r="E3" s="176" t="s">
        <v>53</v>
      </c>
      <c r="F3" s="186" t="s">
        <v>54</v>
      </c>
      <c r="G3" s="227" t="s">
        <v>55</v>
      </c>
      <c r="H3" s="177"/>
      <c r="I3" s="178"/>
      <c r="J3" s="178"/>
      <c r="K3" s="179"/>
      <c r="L3" s="177"/>
      <c r="M3" s="178"/>
      <c r="N3" s="178"/>
      <c r="O3" s="180"/>
      <c r="P3" s="180" t="s">
        <v>56</v>
      </c>
      <c r="Q3" s="180"/>
      <c r="R3" s="180"/>
      <c r="S3" s="179"/>
      <c r="T3" s="265">
        <v>45298</v>
      </c>
      <c r="U3" s="181">
        <v>45663</v>
      </c>
      <c r="V3" s="182"/>
      <c r="W3" s="183"/>
      <c r="X3" s="184"/>
      <c r="Y3" s="185" t="s">
        <v>57</v>
      </c>
    </row>
    <row r="4" spans="1:26" ht="11.4" x14ac:dyDescent="0.15">
      <c r="A4" s="175">
        <f t="shared" ref="A4:A7" si="0">ROW()-2</f>
        <v>2</v>
      </c>
      <c r="B4" s="176" t="s">
        <v>58</v>
      </c>
      <c r="C4" s="176"/>
      <c r="D4" s="176" t="s">
        <v>59</v>
      </c>
      <c r="E4" s="176" t="s">
        <v>53</v>
      </c>
      <c r="F4" s="186"/>
      <c r="G4" s="227" t="s">
        <v>60</v>
      </c>
      <c r="H4" s="177"/>
      <c r="I4" s="178"/>
      <c r="J4" s="178"/>
      <c r="K4" s="179"/>
      <c r="L4" s="177"/>
      <c r="M4" s="178"/>
      <c r="N4" s="178"/>
      <c r="O4" s="180"/>
      <c r="P4" s="180"/>
      <c r="Q4" s="180"/>
      <c r="R4" s="180" t="s">
        <v>61</v>
      </c>
      <c r="S4" s="179"/>
      <c r="T4" s="265">
        <v>45298</v>
      </c>
      <c r="U4" s="181"/>
      <c r="V4" s="182">
        <v>45663</v>
      </c>
      <c r="W4" s="183">
        <v>45665</v>
      </c>
      <c r="X4" s="184"/>
      <c r="Y4" s="185" t="s">
        <v>1119</v>
      </c>
    </row>
    <row r="5" spans="1:26" ht="11.4" x14ac:dyDescent="0.15">
      <c r="A5" s="175">
        <f t="shared" si="0"/>
        <v>3</v>
      </c>
      <c r="B5" s="176"/>
      <c r="C5" s="176"/>
      <c r="D5" s="176" t="s">
        <v>63</v>
      </c>
      <c r="E5" s="176" t="s">
        <v>51</v>
      </c>
      <c r="F5" s="186"/>
      <c r="G5" s="227" t="s">
        <v>64</v>
      </c>
      <c r="H5" s="177"/>
      <c r="I5" s="178"/>
      <c r="J5" s="178"/>
      <c r="K5" s="179"/>
      <c r="L5" s="177"/>
      <c r="M5" s="178"/>
      <c r="N5" s="178"/>
      <c r="O5" s="180"/>
      <c r="P5" s="180"/>
      <c r="Q5" s="180"/>
      <c r="R5" s="180" t="s">
        <v>61</v>
      </c>
      <c r="S5" s="179"/>
      <c r="T5" s="265">
        <v>45298</v>
      </c>
      <c r="U5" s="181">
        <v>45665</v>
      </c>
      <c r="V5" s="182"/>
      <c r="W5" s="183"/>
      <c r="X5" s="184"/>
      <c r="Y5" s="185" t="s">
        <v>1112</v>
      </c>
      <c r="Z5" s="236" t="s">
        <v>65</v>
      </c>
    </row>
    <row r="6" spans="1:26" ht="11.4" x14ac:dyDescent="0.15">
      <c r="A6" s="175">
        <f t="shared" si="0"/>
        <v>4</v>
      </c>
      <c r="B6" s="176"/>
      <c r="C6" s="176"/>
      <c r="D6" s="176"/>
      <c r="E6" s="176" t="s">
        <v>66</v>
      </c>
      <c r="F6" s="186"/>
      <c r="G6" s="227" t="s">
        <v>64</v>
      </c>
      <c r="H6" s="177"/>
      <c r="I6" s="178"/>
      <c r="J6" s="178"/>
      <c r="K6" s="179"/>
      <c r="L6" s="177"/>
      <c r="M6" s="178"/>
      <c r="N6" s="178"/>
      <c r="O6" s="180"/>
      <c r="P6" s="180"/>
      <c r="Q6" s="180"/>
      <c r="R6" s="180" t="s">
        <v>61</v>
      </c>
      <c r="S6" s="179"/>
      <c r="T6" s="265">
        <v>45298</v>
      </c>
      <c r="U6" s="181">
        <v>45665</v>
      </c>
      <c r="V6" s="182"/>
      <c r="W6" s="183"/>
      <c r="X6" s="184"/>
      <c r="Y6" s="185" t="s">
        <v>1113</v>
      </c>
      <c r="Z6" s="236" t="s">
        <v>65</v>
      </c>
    </row>
    <row r="7" spans="1:26" ht="11.4" x14ac:dyDescent="0.15">
      <c r="A7" s="175">
        <f t="shared" si="0"/>
        <v>5</v>
      </c>
      <c r="B7" s="176"/>
      <c r="C7" s="176"/>
      <c r="D7" s="176"/>
      <c r="E7" s="176" t="s">
        <v>68</v>
      </c>
      <c r="F7" s="186"/>
      <c r="G7" s="227" t="s">
        <v>64</v>
      </c>
      <c r="H7" s="177"/>
      <c r="I7" s="178"/>
      <c r="J7" s="178"/>
      <c r="K7" s="179"/>
      <c r="L7" s="177"/>
      <c r="M7" s="178"/>
      <c r="N7" s="178"/>
      <c r="O7" s="180"/>
      <c r="P7" s="180"/>
      <c r="Q7" s="180"/>
      <c r="R7" s="180" t="s">
        <v>61</v>
      </c>
      <c r="S7" s="179"/>
      <c r="T7" s="265">
        <v>45298</v>
      </c>
      <c r="U7" s="181">
        <v>45665</v>
      </c>
      <c r="V7" s="182"/>
      <c r="W7" s="183"/>
      <c r="X7" s="184"/>
      <c r="Y7" s="185" t="s">
        <v>1114</v>
      </c>
    </row>
    <row r="8" spans="1:26" ht="11.4" x14ac:dyDescent="0.15">
      <c r="A8" s="175">
        <f t="shared" ref="A8:A358" si="1">ROW()-2</f>
        <v>6</v>
      </c>
      <c r="B8" s="176"/>
      <c r="C8" s="176"/>
      <c r="D8" s="176"/>
      <c r="E8" s="176" t="s">
        <v>70</v>
      </c>
      <c r="F8" s="186"/>
      <c r="G8" s="227" t="s">
        <v>64</v>
      </c>
      <c r="H8" s="177"/>
      <c r="I8" s="178"/>
      <c r="J8" s="178"/>
      <c r="K8" s="179"/>
      <c r="L8" s="177"/>
      <c r="M8" s="178"/>
      <c r="N8" s="178"/>
      <c r="O8" s="180"/>
      <c r="P8" s="180"/>
      <c r="Q8" s="180"/>
      <c r="R8" s="180" t="s">
        <v>61</v>
      </c>
      <c r="S8" s="179"/>
      <c r="T8" s="265">
        <v>45298</v>
      </c>
      <c r="U8" s="181">
        <v>45665</v>
      </c>
      <c r="V8" s="182"/>
      <c r="W8" s="183"/>
      <c r="X8" s="184"/>
      <c r="Y8" s="185" t="s">
        <v>1115</v>
      </c>
    </row>
    <row r="9" spans="1:26" ht="11.4" x14ac:dyDescent="0.15">
      <c r="A9" s="175">
        <f t="shared" si="1"/>
        <v>7</v>
      </c>
      <c r="B9" s="176"/>
      <c r="C9" s="176"/>
      <c r="D9" s="176" t="s">
        <v>72</v>
      </c>
      <c r="E9" s="176" t="s">
        <v>73</v>
      </c>
      <c r="F9" s="186"/>
      <c r="G9" s="227" t="s">
        <v>74</v>
      </c>
      <c r="H9" s="177"/>
      <c r="I9" s="178"/>
      <c r="J9" s="178"/>
      <c r="K9" s="179"/>
      <c r="L9" s="177"/>
      <c r="M9" s="178"/>
      <c r="N9" s="178"/>
      <c r="O9" s="180" t="s">
        <v>56</v>
      </c>
      <c r="P9" s="180"/>
      <c r="Q9" s="180"/>
      <c r="R9" s="180"/>
      <c r="S9" s="179"/>
      <c r="T9" s="265">
        <v>45298</v>
      </c>
      <c r="U9" s="181">
        <v>45663</v>
      </c>
      <c r="V9" s="182"/>
      <c r="W9" s="183"/>
      <c r="X9" s="184"/>
      <c r="Y9" s="185" t="s">
        <v>75</v>
      </c>
    </row>
    <row r="10" spans="1:26" ht="11.4" x14ac:dyDescent="0.15">
      <c r="A10" s="175">
        <f t="shared" si="1"/>
        <v>8</v>
      </c>
      <c r="B10" s="176"/>
      <c r="C10" s="176"/>
      <c r="D10" s="176"/>
      <c r="E10" s="176" t="s">
        <v>76</v>
      </c>
      <c r="F10" s="186" t="s">
        <v>77</v>
      </c>
      <c r="G10" s="227" t="s">
        <v>78</v>
      </c>
      <c r="H10" s="177"/>
      <c r="I10" s="178"/>
      <c r="J10" s="178"/>
      <c r="K10" s="179"/>
      <c r="L10" s="177"/>
      <c r="M10" s="178"/>
      <c r="N10" s="178"/>
      <c r="O10" s="180" t="s">
        <v>56</v>
      </c>
      <c r="P10" s="180"/>
      <c r="Q10" s="180"/>
      <c r="R10" s="180"/>
      <c r="S10" s="179"/>
      <c r="T10" s="265">
        <v>45298</v>
      </c>
      <c r="U10" s="181">
        <v>45665</v>
      </c>
      <c r="V10" s="182"/>
      <c r="W10" s="183"/>
      <c r="X10" s="184"/>
      <c r="Y10" s="185" t="s">
        <v>79</v>
      </c>
    </row>
    <row r="11" spans="1:26" ht="11.4" x14ac:dyDescent="0.15">
      <c r="A11" s="175">
        <f t="shared" si="1"/>
        <v>9</v>
      </c>
      <c r="B11" s="176"/>
      <c r="C11" s="176"/>
      <c r="D11" s="176"/>
      <c r="E11" s="176"/>
      <c r="F11" s="186" t="s">
        <v>80</v>
      </c>
      <c r="G11" s="227" t="s">
        <v>81</v>
      </c>
      <c r="H11" s="177"/>
      <c r="I11" s="178"/>
      <c r="J11" s="178"/>
      <c r="K11" s="179"/>
      <c r="L11" s="177"/>
      <c r="M11" s="178"/>
      <c r="N11" s="178"/>
      <c r="O11" s="180" t="s">
        <v>56</v>
      </c>
      <c r="P11" s="180"/>
      <c r="Q11" s="180"/>
      <c r="R11" s="180"/>
      <c r="S11" s="179"/>
      <c r="T11" s="265">
        <v>45301</v>
      </c>
      <c r="U11" s="181">
        <v>45665</v>
      </c>
      <c r="V11" s="182"/>
      <c r="W11" s="183"/>
      <c r="X11" s="184"/>
      <c r="Y11" s="185" t="s">
        <v>82</v>
      </c>
    </row>
    <row r="12" spans="1:26" ht="11.4" x14ac:dyDescent="0.15">
      <c r="A12" s="175">
        <f t="shared" si="1"/>
        <v>10</v>
      </c>
      <c r="B12" s="176"/>
      <c r="C12" s="176" t="s">
        <v>83</v>
      </c>
      <c r="D12" s="176" t="s">
        <v>52</v>
      </c>
      <c r="E12" s="176" t="s">
        <v>53</v>
      </c>
      <c r="F12" s="186" t="s">
        <v>54</v>
      </c>
      <c r="G12" s="227" t="s">
        <v>84</v>
      </c>
      <c r="H12" s="177"/>
      <c r="I12" s="178"/>
      <c r="J12" s="178"/>
      <c r="K12" s="179"/>
      <c r="L12" s="177"/>
      <c r="M12" s="178"/>
      <c r="N12" s="178"/>
      <c r="O12" s="180"/>
      <c r="P12" s="180" t="s">
        <v>56</v>
      </c>
      <c r="Q12" s="180"/>
      <c r="R12" s="180"/>
      <c r="S12" s="179"/>
      <c r="T12" s="265">
        <v>45298</v>
      </c>
      <c r="U12" s="181">
        <v>45663</v>
      </c>
      <c r="V12" s="182"/>
      <c r="W12" s="183"/>
      <c r="X12" s="184"/>
      <c r="Y12" s="185" t="s">
        <v>85</v>
      </c>
    </row>
    <row r="13" spans="1:26" ht="22.8" x14ac:dyDescent="0.15">
      <c r="A13" s="175">
        <f t="shared" si="1"/>
        <v>11</v>
      </c>
      <c r="B13" s="176"/>
      <c r="C13" s="176"/>
      <c r="D13" s="176" t="s">
        <v>59</v>
      </c>
      <c r="E13" s="176" t="s">
        <v>53</v>
      </c>
      <c r="F13" s="186"/>
      <c r="G13" s="227" t="s">
        <v>60</v>
      </c>
      <c r="H13" s="177"/>
      <c r="I13" s="178"/>
      <c r="J13" s="178"/>
      <c r="K13" s="179"/>
      <c r="L13" s="177"/>
      <c r="M13" s="178"/>
      <c r="N13" s="178"/>
      <c r="O13" s="180"/>
      <c r="P13" s="180"/>
      <c r="Q13" s="180"/>
      <c r="R13" s="180" t="s">
        <v>61</v>
      </c>
      <c r="S13" s="179"/>
      <c r="T13" s="265">
        <v>45298</v>
      </c>
      <c r="U13" s="181"/>
      <c r="V13" s="182">
        <v>45665</v>
      </c>
      <c r="W13" s="183">
        <v>45666</v>
      </c>
      <c r="X13" s="184"/>
      <c r="Y13" s="185" t="s">
        <v>1120</v>
      </c>
    </row>
    <row r="14" spans="1:26" ht="22.8" x14ac:dyDescent="0.15">
      <c r="A14" s="175">
        <f t="shared" si="1"/>
        <v>12</v>
      </c>
      <c r="B14" s="176"/>
      <c r="C14" s="176"/>
      <c r="D14" s="176" t="s">
        <v>63</v>
      </c>
      <c r="E14" s="176" t="s">
        <v>86</v>
      </c>
      <c r="F14" s="186"/>
      <c r="G14" s="227" t="s">
        <v>64</v>
      </c>
      <c r="H14" s="177"/>
      <c r="I14" s="178"/>
      <c r="J14" s="178"/>
      <c r="K14" s="179"/>
      <c r="L14" s="177"/>
      <c r="M14" s="178"/>
      <c r="N14" s="178"/>
      <c r="O14" s="180"/>
      <c r="P14" s="180"/>
      <c r="Q14" s="180"/>
      <c r="R14" s="180" t="s">
        <v>61</v>
      </c>
      <c r="S14" s="179"/>
      <c r="T14" s="265">
        <v>45298</v>
      </c>
      <c r="U14" s="181"/>
      <c r="V14" s="182">
        <v>45665</v>
      </c>
      <c r="W14" s="183">
        <v>45666</v>
      </c>
      <c r="X14" s="184"/>
      <c r="Y14" s="185" t="s">
        <v>1121</v>
      </c>
      <c r="Z14" s="236" t="s">
        <v>65</v>
      </c>
    </row>
    <row r="15" spans="1:26" ht="11.4" x14ac:dyDescent="0.15">
      <c r="A15" s="175">
        <f t="shared" si="1"/>
        <v>13</v>
      </c>
      <c r="B15" s="176"/>
      <c r="C15" s="176"/>
      <c r="D15" s="176"/>
      <c r="E15" s="176" t="s">
        <v>88</v>
      </c>
      <c r="F15" s="186"/>
      <c r="G15" s="227" t="s">
        <v>64</v>
      </c>
      <c r="H15" s="177"/>
      <c r="I15" s="178"/>
      <c r="J15" s="178"/>
      <c r="K15" s="179"/>
      <c r="L15" s="177"/>
      <c r="M15" s="178"/>
      <c r="N15" s="178"/>
      <c r="O15" s="180"/>
      <c r="P15" s="180"/>
      <c r="Q15" s="180"/>
      <c r="R15" s="180" t="s">
        <v>61</v>
      </c>
      <c r="S15" s="179"/>
      <c r="T15" s="265">
        <v>45298</v>
      </c>
      <c r="U15" s="270">
        <v>45666</v>
      </c>
      <c r="V15" s="182"/>
      <c r="W15" s="183"/>
      <c r="X15" s="184"/>
      <c r="Y15" s="185" t="s">
        <v>1122</v>
      </c>
    </row>
    <row r="16" spans="1:26" ht="11.4" x14ac:dyDescent="0.15">
      <c r="A16" s="175">
        <f t="shared" si="1"/>
        <v>14</v>
      </c>
      <c r="B16" s="176"/>
      <c r="C16" s="176"/>
      <c r="D16" s="176"/>
      <c r="E16" s="176" t="s">
        <v>89</v>
      </c>
      <c r="F16" s="186"/>
      <c r="G16" s="227" t="s">
        <v>64</v>
      </c>
      <c r="H16" s="177"/>
      <c r="I16" s="178"/>
      <c r="J16" s="178"/>
      <c r="K16" s="179"/>
      <c r="L16" s="177"/>
      <c r="M16" s="178"/>
      <c r="N16" s="178"/>
      <c r="O16" s="180"/>
      <c r="P16" s="180"/>
      <c r="Q16" s="180"/>
      <c r="R16" s="180" t="s">
        <v>61</v>
      </c>
      <c r="S16" s="179"/>
      <c r="T16" s="265">
        <v>45298</v>
      </c>
      <c r="U16" s="270">
        <v>45666</v>
      </c>
      <c r="V16" s="182"/>
      <c r="W16" s="183"/>
      <c r="X16" s="184"/>
      <c r="Y16" s="185" t="s">
        <v>1123</v>
      </c>
    </row>
    <row r="17" spans="1:26" ht="11.4" x14ac:dyDescent="0.15">
      <c r="A17" s="175">
        <f t="shared" si="1"/>
        <v>15</v>
      </c>
      <c r="B17" s="176"/>
      <c r="C17" s="176"/>
      <c r="D17" s="176" t="s">
        <v>72</v>
      </c>
      <c r="E17" s="176" t="s">
        <v>73</v>
      </c>
      <c r="F17" s="186"/>
      <c r="G17" s="227" t="s">
        <v>74</v>
      </c>
      <c r="H17" s="177"/>
      <c r="I17" s="178"/>
      <c r="J17" s="178"/>
      <c r="K17" s="179"/>
      <c r="L17" s="177"/>
      <c r="M17" s="178"/>
      <c r="N17" s="178"/>
      <c r="O17" s="180" t="s">
        <v>56</v>
      </c>
      <c r="P17" s="180"/>
      <c r="Q17" s="180"/>
      <c r="R17" s="180"/>
      <c r="S17" s="179"/>
      <c r="T17" s="265">
        <v>45298</v>
      </c>
      <c r="U17" s="181">
        <v>45663</v>
      </c>
      <c r="V17" s="182"/>
      <c r="W17" s="183"/>
      <c r="X17" s="184"/>
      <c r="Y17" s="185" t="s">
        <v>75</v>
      </c>
    </row>
    <row r="18" spans="1:26" ht="11.4" x14ac:dyDescent="0.15">
      <c r="A18" s="175">
        <f t="shared" si="1"/>
        <v>16</v>
      </c>
      <c r="B18" s="176"/>
      <c r="C18" s="176"/>
      <c r="D18" s="176"/>
      <c r="E18" s="176" t="s">
        <v>76</v>
      </c>
      <c r="F18" s="186" t="s">
        <v>77</v>
      </c>
      <c r="G18" s="227" t="s">
        <v>90</v>
      </c>
      <c r="H18" s="177"/>
      <c r="I18" s="178"/>
      <c r="J18" s="178"/>
      <c r="K18" s="179"/>
      <c r="L18" s="177"/>
      <c r="M18" s="178"/>
      <c r="N18" s="178"/>
      <c r="O18" s="180" t="s">
        <v>56</v>
      </c>
      <c r="P18" s="180"/>
      <c r="Q18" s="180"/>
      <c r="R18" s="180"/>
      <c r="S18" s="179"/>
      <c r="T18" s="265">
        <v>45298</v>
      </c>
      <c r="U18" s="181">
        <v>45665</v>
      </c>
      <c r="V18" s="182"/>
      <c r="W18" s="183"/>
      <c r="X18" s="184"/>
      <c r="Y18" s="185" t="s">
        <v>79</v>
      </c>
    </row>
    <row r="19" spans="1:26" ht="11.4" x14ac:dyDescent="0.15">
      <c r="A19" s="175">
        <f t="shared" si="1"/>
        <v>17</v>
      </c>
      <c r="B19" s="176"/>
      <c r="C19" s="176"/>
      <c r="D19" s="176"/>
      <c r="E19" s="176"/>
      <c r="F19" s="186" t="s">
        <v>80</v>
      </c>
      <c r="G19" s="227" t="s">
        <v>91</v>
      </c>
      <c r="H19" s="177"/>
      <c r="I19" s="178"/>
      <c r="J19" s="178"/>
      <c r="K19" s="179"/>
      <c r="L19" s="177"/>
      <c r="M19" s="178"/>
      <c r="N19" s="178"/>
      <c r="O19" s="180" t="s">
        <v>56</v>
      </c>
      <c r="P19" s="180"/>
      <c r="Q19" s="180"/>
      <c r="R19" s="180"/>
      <c r="S19" s="179"/>
      <c r="T19" s="265">
        <v>45301</v>
      </c>
      <c r="U19" s="181">
        <v>45665</v>
      </c>
      <c r="V19" s="182"/>
      <c r="W19" s="183"/>
      <c r="X19" s="184"/>
      <c r="Y19" s="185" t="s">
        <v>92</v>
      </c>
    </row>
    <row r="20" spans="1:26" ht="11.4" x14ac:dyDescent="0.15">
      <c r="A20" s="175">
        <f t="shared" si="1"/>
        <v>18</v>
      </c>
      <c r="B20" s="176"/>
      <c r="C20" s="176" t="s">
        <v>93</v>
      </c>
      <c r="D20" s="176" t="s">
        <v>94</v>
      </c>
      <c r="E20" s="176" t="s">
        <v>95</v>
      </c>
      <c r="F20" s="186" t="s">
        <v>96</v>
      </c>
      <c r="G20" s="227" t="s">
        <v>97</v>
      </c>
      <c r="H20" s="177"/>
      <c r="I20" s="178"/>
      <c r="J20" s="178"/>
      <c r="K20" s="179"/>
      <c r="L20" s="177"/>
      <c r="M20" s="178"/>
      <c r="N20" s="178"/>
      <c r="O20" s="180"/>
      <c r="P20" s="180"/>
      <c r="Q20" s="180" t="s">
        <v>61</v>
      </c>
      <c r="R20" s="180"/>
      <c r="S20" s="179"/>
      <c r="T20" s="265">
        <v>45297</v>
      </c>
      <c r="U20" s="181">
        <v>45663</v>
      </c>
      <c r="V20" s="182"/>
      <c r="W20" s="183"/>
      <c r="X20" s="184"/>
      <c r="Y20" s="185" t="s">
        <v>98</v>
      </c>
    </row>
    <row r="21" spans="1:26" ht="11.4" x14ac:dyDescent="0.15">
      <c r="A21" s="175">
        <f t="shared" si="1"/>
        <v>19</v>
      </c>
      <c r="B21" s="176"/>
      <c r="C21" s="176"/>
      <c r="D21" s="176"/>
      <c r="E21" s="176"/>
      <c r="F21" s="186"/>
      <c r="G21" s="227" t="s">
        <v>99</v>
      </c>
      <c r="H21" s="177"/>
      <c r="I21" s="178"/>
      <c r="J21" s="178"/>
      <c r="K21" s="179"/>
      <c r="L21" s="177"/>
      <c r="M21" s="178"/>
      <c r="N21" s="178"/>
      <c r="O21" s="180"/>
      <c r="P21" s="180"/>
      <c r="Q21" s="180" t="s">
        <v>61</v>
      </c>
      <c r="R21" s="180"/>
      <c r="S21" s="179"/>
      <c r="T21" s="265">
        <v>45297</v>
      </c>
      <c r="U21" s="181">
        <v>45663</v>
      </c>
      <c r="V21" s="182"/>
      <c r="W21" s="183"/>
      <c r="X21" s="184"/>
      <c r="Y21" s="185" t="s">
        <v>100</v>
      </c>
    </row>
    <row r="22" spans="1:26" ht="11.4" x14ac:dyDescent="0.15">
      <c r="A22" s="175">
        <f t="shared" si="1"/>
        <v>20</v>
      </c>
      <c r="B22" s="176"/>
      <c r="C22" s="176"/>
      <c r="D22" s="176"/>
      <c r="E22" s="176"/>
      <c r="F22" s="186"/>
      <c r="G22" s="227" t="s">
        <v>101</v>
      </c>
      <c r="H22" s="177"/>
      <c r="I22" s="178"/>
      <c r="J22" s="178"/>
      <c r="K22" s="179"/>
      <c r="L22" s="177"/>
      <c r="M22" s="178"/>
      <c r="N22" s="178"/>
      <c r="O22" s="180"/>
      <c r="P22" s="180"/>
      <c r="Q22" s="180" t="s">
        <v>61</v>
      </c>
      <c r="R22" s="180"/>
      <c r="S22" s="179"/>
      <c r="T22" s="265">
        <v>45297</v>
      </c>
      <c r="U22" s="181">
        <v>45663</v>
      </c>
      <c r="V22" s="182"/>
      <c r="W22" s="183"/>
      <c r="X22" s="184"/>
      <c r="Y22" s="185" t="s">
        <v>102</v>
      </c>
    </row>
    <row r="23" spans="1:26" ht="11.4" x14ac:dyDescent="0.15">
      <c r="A23" s="175">
        <f t="shared" si="1"/>
        <v>21</v>
      </c>
      <c r="B23" s="176"/>
      <c r="C23" s="176"/>
      <c r="D23" s="176"/>
      <c r="E23" s="176"/>
      <c r="F23" s="186" t="s">
        <v>54</v>
      </c>
      <c r="G23" s="227" t="s">
        <v>103</v>
      </c>
      <c r="H23" s="177"/>
      <c r="I23" s="178"/>
      <c r="J23" s="178"/>
      <c r="K23" s="179"/>
      <c r="L23" s="177"/>
      <c r="M23" s="178"/>
      <c r="N23" s="178"/>
      <c r="O23" s="180" t="s">
        <v>56</v>
      </c>
      <c r="P23" s="180"/>
      <c r="Q23" s="180"/>
      <c r="R23" s="180"/>
      <c r="S23" s="179"/>
      <c r="T23" s="265">
        <v>45298</v>
      </c>
      <c r="U23" s="181">
        <v>45665</v>
      </c>
      <c r="V23" s="182"/>
      <c r="W23" s="183"/>
      <c r="X23" s="184"/>
      <c r="Y23" s="230" t="s">
        <v>104</v>
      </c>
    </row>
    <row r="24" spans="1:26" ht="22.8" x14ac:dyDescent="0.15">
      <c r="A24" s="175">
        <f t="shared" si="1"/>
        <v>22</v>
      </c>
      <c r="B24" s="176"/>
      <c r="C24" s="176" t="s">
        <v>105</v>
      </c>
      <c r="D24" s="176" t="s">
        <v>106</v>
      </c>
      <c r="E24" s="176" t="s">
        <v>107</v>
      </c>
      <c r="F24" s="186" t="s">
        <v>108</v>
      </c>
      <c r="G24" s="227" t="s">
        <v>109</v>
      </c>
      <c r="H24" s="177"/>
      <c r="I24" s="178"/>
      <c r="J24" s="178"/>
      <c r="K24" s="179"/>
      <c r="L24" s="177"/>
      <c r="M24" s="178"/>
      <c r="N24" s="178"/>
      <c r="O24" s="180"/>
      <c r="P24" s="180"/>
      <c r="Q24" s="180"/>
      <c r="R24" s="180"/>
      <c r="S24" s="179" t="s">
        <v>56</v>
      </c>
      <c r="T24" s="265">
        <v>45298</v>
      </c>
      <c r="U24" s="181">
        <v>45666</v>
      </c>
      <c r="V24" s="182"/>
      <c r="W24" s="183"/>
      <c r="X24" s="184"/>
      <c r="Y24" s="185" t="s">
        <v>1105</v>
      </c>
    </row>
    <row r="25" spans="1:26" ht="11.4" x14ac:dyDescent="0.15">
      <c r="A25" s="175">
        <f t="shared" si="1"/>
        <v>23</v>
      </c>
      <c r="B25" s="176"/>
      <c r="C25" s="176"/>
      <c r="D25" s="176"/>
      <c r="E25" s="176"/>
      <c r="F25" s="186"/>
      <c r="G25" s="227" t="s">
        <v>110</v>
      </c>
      <c r="H25" s="177"/>
      <c r="I25" s="178"/>
      <c r="J25" s="178"/>
      <c r="K25" s="179"/>
      <c r="L25" s="177"/>
      <c r="M25" s="178"/>
      <c r="N25" s="178"/>
      <c r="O25" s="180"/>
      <c r="P25" s="180" t="s">
        <v>61</v>
      </c>
      <c r="Q25" s="180"/>
      <c r="R25" s="180"/>
      <c r="S25" s="179"/>
      <c r="T25" s="265">
        <v>45298</v>
      </c>
      <c r="U25" s="181">
        <v>45663</v>
      </c>
      <c r="V25" s="182"/>
      <c r="W25" s="183"/>
      <c r="X25" s="184"/>
      <c r="Y25" s="185" t="s">
        <v>111</v>
      </c>
    </row>
    <row r="26" spans="1:26" ht="11.4" x14ac:dyDescent="0.15">
      <c r="A26" s="175">
        <f t="shared" si="1"/>
        <v>24</v>
      </c>
      <c r="B26" s="176"/>
      <c r="C26" s="176"/>
      <c r="D26" s="176"/>
      <c r="E26" s="176"/>
      <c r="F26" s="186"/>
      <c r="G26" s="227" t="s">
        <v>112</v>
      </c>
      <c r="H26" s="177"/>
      <c r="I26" s="178"/>
      <c r="J26" s="178"/>
      <c r="K26" s="179"/>
      <c r="L26" s="177"/>
      <c r="M26" s="178"/>
      <c r="N26" s="178"/>
      <c r="O26" s="180" t="s">
        <v>61</v>
      </c>
      <c r="P26" s="180"/>
      <c r="Q26" s="180"/>
      <c r="R26" s="180"/>
      <c r="S26" s="179"/>
      <c r="T26" s="265">
        <v>45298</v>
      </c>
      <c r="U26" s="181">
        <v>45663</v>
      </c>
      <c r="V26" s="182"/>
      <c r="W26" s="183"/>
      <c r="X26" s="184"/>
      <c r="Y26" s="185" t="s">
        <v>113</v>
      </c>
    </row>
    <row r="27" spans="1:26" ht="22.8" x14ac:dyDescent="0.15">
      <c r="A27" s="175">
        <f t="shared" si="1"/>
        <v>25</v>
      </c>
      <c r="B27" s="176"/>
      <c r="C27" s="176"/>
      <c r="D27" s="176"/>
      <c r="E27" s="176"/>
      <c r="F27" s="186"/>
      <c r="G27" s="227" t="s">
        <v>112</v>
      </c>
      <c r="H27" s="177"/>
      <c r="I27" s="178"/>
      <c r="J27" s="178"/>
      <c r="K27" s="179"/>
      <c r="L27" s="177"/>
      <c r="M27" s="178"/>
      <c r="N27" s="178"/>
      <c r="O27" s="180" t="s">
        <v>61</v>
      </c>
      <c r="P27" s="180"/>
      <c r="Q27" s="180"/>
      <c r="R27" s="180"/>
      <c r="S27" s="179"/>
      <c r="T27" s="265">
        <v>45298</v>
      </c>
      <c r="U27" s="270">
        <v>45664</v>
      </c>
      <c r="V27" s="182"/>
      <c r="W27" s="183"/>
      <c r="X27" s="184"/>
      <c r="Y27" s="185" t="s">
        <v>1106</v>
      </c>
    </row>
    <row r="28" spans="1:26" ht="11.4" x14ac:dyDescent="0.15">
      <c r="A28" s="175">
        <f t="shared" si="1"/>
        <v>26</v>
      </c>
      <c r="B28" s="176"/>
      <c r="C28" s="176"/>
      <c r="D28" s="176"/>
      <c r="E28" s="176"/>
      <c r="F28" s="186"/>
      <c r="G28" s="227" t="s">
        <v>112</v>
      </c>
      <c r="H28" s="177"/>
      <c r="I28" s="178"/>
      <c r="J28" s="178"/>
      <c r="K28" s="179"/>
      <c r="L28" s="177"/>
      <c r="M28" s="178"/>
      <c r="N28" s="178"/>
      <c r="O28" s="180" t="s">
        <v>61</v>
      </c>
      <c r="P28" s="180"/>
      <c r="Q28" s="180"/>
      <c r="R28" s="180"/>
      <c r="S28" s="179"/>
      <c r="T28" s="265">
        <v>45298</v>
      </c>
      <c r="U28" s="181">
        <v>45663</v>
      </c>
      <c r="V28" s="182"/>
      <c r="W28" s="183"/>
      <c r="X28" s="184"/>
      <c r="Y28" s="185" t="s">
        <v>115</v>
      </c>
    </row>
    <row r="29" spans="1:26" ht="11.4" x14ac:dyDescent="0.15">
      <c r="A29" s="175">
        <f t="shared" si="1"/>
        <v>27</v>
      </c>
      <c r="B29" s="176"/>
      <c r="C29" s="176"/>
      <c r="D29" s="176"/>
      <c r="E29" s="176"/>
      <c r="F29" s="186"/>
      <c r="G29" s="227" t="s">
        <v>112</v>
      </c>
      <c r="H29" s="177"/>
      <c r="I29" s="178"/>
      <c r="J29" s="178"/>
      <c r="K29" s="179"/>
      <c r="L29" s="177"/>
      <c r="M29" s="178"/>
      <c r="N29" s="178"/>
      <c r="O29" s="180" t="s">
        <v>61</v>
      </c>
      <c r="P29" s="180"/>
      <c r="Q29" s="180"/>
      <c r="R29" s="180"/>
      <c r="S29" s="179"/>
      <c r="T29" s="265">
        <v>45298</v>
      </c>
      <c r="U29" s="181">
        <v>45663</v>
      </c>
      <c r="V29" s="182"/>
      <c r="W29" s="183"/>
      <c r="X29" s="184"/>
      <c r="Y29" s="185" t="s">
        <v>116</v>
      </c>
    </row>
    <row r="30" spans="1:26" ht="11.4" x14ac:dyDescent="0.15">
      <c r="A30" s="175">
        <f t="shared" si="1"/>
        <v>28</v>
      </c>
      <c r="B30" s="176"/>
      <c r="C30" s="176"/>
      <c r="D30" s="176"/>
      <c r="E30" s="176"/>
      <c r="F30" s="186"/>
      <c r="G30" s="227" t="s">
        <v>112</v>
      </c>
      <c r="H30" s="177"/>
      <c r="I30" s="178"/>
      <c r="J30" s="178"/>
      <c r="K30" s="179"/>
      <c r="L30" s="177"/>
      <c r="M30" s="178"/>
      <c r="N30" s="178"/>
      <c r="O30" s="180" t="s">
        <v>61</v>
      </c>
      <c r="P30" s="180"/>
      <c r="Q30" s="180"/>
      <c r="R30" s="180"/>
      <c r="S30" s="179"/>
      <c r="T30" s="265">
        <v>45298</v>
      </c>
      <c r="U30" s="181">
        <v>45663</v>
      </c>
      <c r="V30" s="182"/>
      <c r="W30" s="183"/>
      <c r="X30" s="184"/>
      <c r="Y30" s="185" t="s">
        <v>117</v>
      </c>
    </row>
    <row r="31" spans="1:26" ht="11.4" x14ac:dyDescent="0.15">
      <c r="A31" s="175">
        <f t="shared" si="1"/>
        <v>29</v>
      </c>
      <c r="B31" s="176"/>
      <c r="C31" s="176"/>
      <c r="D31" s="176"/>
      <c r="E31" s="176"/>
      <c r="F31" s="186"/>
      <c r="G31" s="227" t="s">
        <v>118</v>
      </c>
      <c r="H31" s="177"/>
      <c r="I31" s="178"/>
      <c r="J31" s="178"/>
      <c r="K31" s="179"/>
      <c r="L31" s="177"/>
      <c r="M31" s="178"/>
      <c r="N31" s="178"/>
      <c r="O31" s="180"/>
      <c r="P31" s="180"/>
      <c r="Q31" s="180" t="s">
        <v>61</v>
      </c>
      <c r="R31" s="180"/>
      <c r="S31" s="179"/>
      <c r="T31" s="265">
        <v>45298</v>
      </c>
      <c r="U31" s="181">
        <v>45663</v>
      </c>
      <c r="V31" s="182"/>
      <c r="W31" s="183"/>
      <c r="X31" s="184"/>
      <c r="Y31" s="185" t="str">
        <f>"項目名:"&amp;Z31</f>
        <v>項目名:商品階層コード１</v>
      </c>
      <c r="Z31" s="236" t="s">
        <v>119</v>
      </c>
    </row>
    <row r="32" spans="1:26" ht="11.4" x14ac:dyDescent="0.15">
      <c r="A32" s="175">
        <f t="shared" si="1"/>
        <v>30</v>
      </c>
      <c r="B32" s="176"/>
      <c r="C32" s="176"/>
      <c r="D32" s="176"/>
      <c r="E32" s="176"/>
      <c r="F32" s="186"/>
      <c r="G32" s="227" t="s">
        <v>118</v>
      </c>
      <c r="H32" s="177"/>
      <c r="I32" s="178"/>
      <c r="J32" s="178"/>
      <c r="K32" s="179"/>
      <c r="L32" s="177"/>
      <c r="M32" s="178"/>
      <c r="N32" s="178"/>
      <c r="O32" s="180"/>
      <c r="P32" s="180"/>
      <c r="Q32" s="180" t="s">
        <v>61</v>
      </c>
      <c r="R32" s="180"/>
      <c r="S32" s="179"/>
      <c r="T32" s="265">
        <v>45298</v>
      </c>
      <c r="U32" s="181">
        <v>45663</v>
      </c>
      <c r="V32" s="182"/>
      <c r="W32" s="183"/>
      <c r="X32" s="184"/>
      <c r="Y32" s="185" t="str">
        <f t="shared" ref="Y32:Y50" si="2">"項目名:"&amp;Z32</f>
        <v>項目名:桁数</v>
      </c>
      <c r="Z32" s="236" t="s">
        <v>120</v>
      </c>
    </row>
    <row r="33" spans="1:26" ht="11.4" x14ac:dyDescent="0.15">
      <c r="A33" s="175">
        <f t="shared" si="1"/>
        <v>31</v>
      </c>
      <c r="B33" s="176"/>
      <c r="C33" s="176"/>
      <c r="D33" s="176"/>
      <c r="E33" s="176"/>
      <c r="F33" s="186"/>
      <c r="G33" s="227" t="s">
        <v>118</v>
      </c>
      <c r="H33" s="177"/>
      <c r="I33" s="178"/>
      <c r="J33" s="178"/>
      <c r="K33" s="179"/>
      <c r="L33" s="177"/>
      <c r="M33" s="178"/>
      <c r="N33" s="178"/>
      <c r="O33" s="180"/>
      <c r="P33" s="180"/>
      <c r="Q33" s="180" t="s">
        <v>61</v>
      </c>
      <c r="R33" s="180"/>
      <c r="S33" s="179"/>
      <c r="T33" s="265">
        <v>45298</v>
      </c>
      <c r="U33" s="181">
        <v>45663</v>
      </c>
      <c r="V33" s="182"/>
      <c r="W33" s="183"/>
      <c r="X33" s="184"/>
      <c r="Y33" s="185" t="str">
        <f t="shared" si="2"/>
        <v>項目名:レポート名１</v>
      </c>
      <c r="Z33" s="236" t="s">
        <v>121</v>
      </c>
    </row>
    <row r="34" spans="1:26" ht="11.4" x14ac:dyDescent="0.15">
      <c r="A34" s="175">
        <f t="shared" si="1"/>
        <v>32</v>
      </c>
      <c r="B34" s="176"/>
      <c r="C34" s="176"/>
      <c r="D34" s="176"/>
      <c r="E34" s="176"/>
      <c r="F34" s="186"/>
      <c r="G34" s="227" t="s">
        <v>118</v>
      </c>
      <c r="H34" s="177"/>
      <c r="I34" s="178"/>
      <c r="J34" s="178"/>
      <c r="K34" s="179"/>
      <c r="L34" s="177"/>
      <c r="M34" s="178"/>
      <c r="N34" s="178"/>
      <c r="O34" s="180"/>
      <c r="P34" s="180"/>
      <c r="Q34" s="180" t="s">
        <v>61</v>
      </c>
      <c r="R34" s="180"/>
      <c r="S34" s="179"/>
      <c r="T34" s="265">
        <v>45298</v>
      </c>
      <c r="U34" s="181">
        <v>45663</v>
      </c>
      <c r="V34" s="182"/>
      <c r="W34" s="183"/>
      <c r="X34" s="184"/>
      <c r="Y34" s="185" t="str">
        <f t="shared" si="2"/>
        <v>項目名:レシート名１</v>
      </c>
      <c r="Z34" s="236" t="s">
        <v>122</v>
      </c>
    </row>
    <row r="35" spans="1:26" ht="11.4" x14ac:dyDescent="0.15">
      <c r="A35" s="175">
        <f t="shared" si="1"/>
        <v>33</v>
      </c>
      <c r="B35" s="176"/>
      <c r="C35" s="176"/>
      <c r="D35" s="176"/>
      <c r="E35" s="176"/>
      <c r="F35" s="186"/>
      <c r="G35" s="227" t="s">
        <v>118</v>
      </c>
      <c r="H35" s="177"/>
      <c r="I35" s="178"/>
      <c r="J35" s="178"/>
      <c r="K35" s="179"/>
      <c r="L35" s="177"/>
      <c r="M35" s="178"/>
      <c r="N35" s="178"/>
      <c r="O35" s="180"/>
      <c r="P35" s="180"/>
      <c r="Q35" s="180" t="s">
        <v>61</v>
      </c>
      <c r="R35" s="180"/>
      <c r="S35" s="179"/>
      <c r="T35" s="265">
        <v>45298</v>
      </c>
      <c r="U35" s="181">
        <v>45663</v>
      </c>
      <c r="V35" s="182"/>
      <c r="W35" s="183"/>
      <c r="X35" s="184"/>
      <c r="Y35" s="185" t="str">
        <f t="shared" si="2"/>
        <v>項目名:商品階層コード２</v>
      </c>
      <c r="Z35" s="236" t="s">
        <v>123</v>
      </c>
    </row>
    <row r="36" spans="1:26" ht="11.4" x14ac:dyDescent="0.15">
      <c r="A36" s="175">
        <f t="shared" si="1"/>
        <v>34</v>
      </c>
      <c r="B36" s="176"/>
      <c r="C36" s="176"/>
      <c r="D36" s="176"/>
      <c r="E36" s="176"/>
      <c r="F36" s="186"/>
      <c r="G36" s="227" t="s">
        <v>118</v>
      </c>
      <c r="H36" s="177"/>
      <c r="I36" s="178"/>
      <c r="J36" s="178"/>
      <c r="K36" s="179"/>
      <c r="L36" s="177"/>
      <c r="M36" s="178"/>
      <c r="N36" s="178"/>
      <c r="O36" s="180"/>
      <c r="P36" s="180"/>
      <c r="Q36" s="180" t="s">
        <v>61</v>
      </c>
      <c r="R36" s="180"/>
      <c r="S36" s="179"/>
      <c r="T36" s="265">
        <v>45298</v>
      </c>
      <c r="U36" s="181">
        <v>45663</v>
      </c>
      <c r="V36" s="182"/>
      <c r="W36" s="183"/>
      <c r="X36" s="184"/>
      <c r="Y36" s="185" t="str">
        <f t="shared" si="2"/>
        <v>項目名:桁数</v>
      </c>
      <c r="Z36" s="236" t="s">
        <v>120</v>
      </c>
    </row>
    <row r="37" spans="1:26" ht="11.4" x14ac:dyDescent="0.15">
      <c r="A37" s="175">
        <f t="shared" si="1"/>
        <v>35</v>
      </c>
      <c r="B37" s="176"/>
      <c r="C37" s="176"/>
      <c r="D37" s="176"/>
      <c r="E37" s="176"/>
      <c r="F37" s="186"/>
      <c r="G37" s="227" t="s">
        <v>118</v>
      </c>
      <c r="H37" s="177"/>
      <c r="I37" s="178"/>
      <c r="J37" s="178"/>
      <c r="K37" s="179"/>
      <c r="L37" s="177"/>
      <c r="M37" s="178"/>
      <c r="N37" s="178"/>
      <c r="O37" s="180"/>
      <c r="P37" s="180"/>
      <c r="Q37" s="180" t="s">
        <v>61</v>
      </c>
      <c r="R37" s="180"/>
      <c r="S37" s="179"/>
      <c r="T37" s="265">
        <v>45298</v>
      </c>
      <c r="U37" s="181">
        <v>45663</v>
      </c>
      <c r="V37" s="182"/>
      <c r="W37" s="183"/>
      <c r="X37" s="184"/>
      <c r="Y37" s="185" t="str">
        <f t="shared" si="2"/>
        <v>項目名:レポート名２</v>
      </c>
      <c r="Z37" s="236" t="s">
        <v>124</v>
      </c>
    </row>
    <row r="38" spans="1:26" ht="11.4" x14ac:dyDescent="0.15">
      <c r="A38" s="175">
        <f t="shared" si="1"/>
        <v>36</v>
      </c>
      <c r="B38" s="176"/>
      <c r="C38" s="176"/>
      <c r="D38" s="176"/>
      <c r="E38" s="176"/>
      <c r="F38" s="186"/>
      <c r="G38" s="227" t="s">
        <v>118</v>
      </c>
      <c r="H38" s="177"/>
      <c r="I38" s="178"/>
      <c r="J38" s="178"/>
      <c r="K38" s="179"/>
      <c r="L38" s="177"/>
      <c r="M38" s="178"/>
      <c r="N38" s="178"/>
      <c r="O38" s="180"/>
      <c r="P38" s="180"/>
      <c r="Q38" s="180" t="s">
        <v>61</v>
      </c>
      <c r="R38" s="180"/>
      <c r="S38" s="179"/>
      <c r="T38" s="265">
        <v>45298</v>
      </c>
      <c r="U38" s="181">
        <v>45663</v>
      </c>
      <c r="V38" s="182"/>
      <c r="W38" s="183"/>
      <c r="X38" s="184"/>
      <c r="Y38" s="185" t="str">
        <f t="shared" si="2"/>
        <v>項目名:レシート名２</v>
      </c>
      <c r="Z38" s="236" t="s">
        <v>125</v>
      </c>
    </row>
    <row r="39" spans="1:26" ht="11.4" x14ac:dyDescent="0.15">
      <c r="A39" s="175">
        <f t="shared" si="1"/>
        <v>37</v>
      </c>
      <c r="B39" s="176"/>
      <c r="C39" s="176"/>
      <c r="D39" s="176"/>
      <c r="E39" s="176"/>
      <c r="F39" s="186"/>
      <c r="G39" s="227" t="s">
        <v>118</v>
      </c>
      <c r="H39" s="177"/>
      <c r="I39" s="178"/>
      <c r="J39" s="178"/>
      <c r="K39" s="179"/>
      <c r="L39" s="177"/>
      <c r="M39" s="178"/>
      <c r="N39" s="178"/>
      <c r="O39" s="180"/>
      <c r="P39" s="180"/>
      <c r="Q39" s="180" t="s">
        <v>61</v>
      </c>
      <c r="R39" s="180"/>
      <c r="S39" s="179"/>
      <c r="T39" s="265">
        <v>45298</v>
      </c>
      <c r="U39" s="181">
        <v>45663</v>
      </c>
      <c r="V39" s="182"/>
      <c r="W39" s="183"/>
      <c r="X39" s="184"/>
      <c r="Y39" s="185" t="str">
        <f t="shared" si="2"/>
        <v>項目名:商品階層コード３</v>
      </c>
      <c r="Z39" s="236" t="s">
        <v>126</v>
      </c>
    </row>
    <row r="40" spans="1:26" ht="11.4" x14ac:dyDescent="0.15">
      <c r="A40" s="175">
        <f t="shared" si="1"/>
        <v>38</v>
      </c>
      <c r="B40" s="176"/>
      <c r="C40" s="176"/>
      <c r="D40" s="176"/>
      <c r="E40" s="176"/>
      <c r="F40" s="186"/>
      <c r="G40" s="227" t="s">
        <v>118</v>
      </c>
      <c r="H40" s="177"/>
      <c r="I40" s="178"/>
      <c r="J40" s="178"/>
      <c r="K40" s="179"/>
      <c r="L40" s="177"/>
      <c r="M40" s="178"/>
      <c r="N40" s="178"/>
      <c r="O40" s="180"/>
      <c r="P40" s="180"/>
      <c r="Q40" s="180" t="s">
        <v>61</v>
      </c>
      <c r="R40" s="180"/>
      <c r="S40" s="179"/>
      <c r="T40" s="265">
        <v>45298</v>
      </c>
      <c r="U40" s="181">
        <v>45663</v>
      </c>
      <c r="V40" s="182"/>
      <c r="W40" s="183"/>
      <c r="X40" s="184"/>
      <c r="Y40" s="185" t="str">
        <f t="shared" si="2"/>
        <v>項目名:桁数</v>
      </c>
      <c r="Z40" s="236" t="s">
        <v>120</v>
      </c>
    </row>
    <row r="41" spans="1:26" ht="11.4" x14ac:dyDescent="0.15">
      <c r="A41" s="175">
        <f t="shared" si="1"/>
        <v>39</v>
      </c>
      <c r="B41" s="176"/>
      <c r="C41" s="176"/>
      <c r="D41" s="176"/>
      <c r="E41" s="176"/>
      <c r="F41" s="186"/>
      <c r="G41" s="227" t="s">
        <v>118</v>
      </c>
      <c r="H41" s="177"/>
      <c r="I41" s="178"/>
      <c r="J41" s="178"/>
      <c r="K41" s="179"/>
      <c r="L41" s="177"/>
      <c r="M41" s="178"/>
      <c r="N41" s="178"/>
      <c r="O41" s="180"/>
      <c r="P41" s="180"/>
      <c r="Q41" s="180" t="s">
        <v>61</v>
      </c>
      <c r="R41" s="180"/>
      <c r="S41" s="179"/>
      <c r="T41" s="265">
        <v>45298</v>
      </c>
      <c r="U41" s="181">
        <v>45663</v>
      </c>
      <c r="V41" s="182"/>
      <c r="W41" s="183"/>
      <c r="X41" s="184"/>
      <c r="Y41" s="185" t="str">
        <f t="shared" si="2"/>
        <v>項目名:レポート名３</v>
      </c>
      <c r="Z41" s="236" t="s">
        <v>127</v>
      </c>
    </row>
    <row r="42" spans="1:26" ht="11.4" x14ac:dyDescent="0.15">
      <c r="A42" s="175">
        <f t="shared" si="1"/>
        <v>40</v>
      </c>
      <c r="B42" s="176"/>
      <c r="C42" s="176"/>
      <c r="D42" s="176"/>
      <c r="E42" s="176"/>
      <c r="F42" s="186"/>
      <c r="G42" s="227" t="s">
        <v>118</v>
      </c>
      <c r="H42" s="177"/>
      <c r="I42" s="178"/>
      <c r="J42" s="178"/>
      <c r="K42" s="179"/>
      <c r="L42" s="177"/>
      <c r="M42" s="178"/>
      <c r="N42" s="178"/>
      <c r="O42" s="180"/>
      <c r="P42" s="180"/>
      <c r="Q42" s="180" t="s">
        <v>61</v>
      </c>
      <c r="R42" s="180"/>
      <c r="S42" s="179"/>
      <c r="T42" s="265">
        <v>45298</v>
      </c>
      <c r="U42" s="181">
        <v>45663</v>
      </c>
      <c r="V42" s="182"/>
      <c r="W42" s="183"/>
      <c r="X42" s="184"/>
      <c r="Y42" s="185" t="str">
        <f t="shared" si="2"/>
        <v>項目名:レシート名３</v>
      </c>
      <c r="Z42" s="236" t="s">
        <v>128</v>
      </c>
    </row>
    <row r="43" spans="1:26" ht="11.4" x14ac:dyDescent="0.15">
      <c r="A43" s="175">
        <f t="shared" si="1"/>
        <v>41</v>
      </c>
      <c r="B43" s="176"/>
      <c r="C43" s="176"/>
      <c r="D43" s="176"/>
      <c r="E43" s="176"/>
      <c r="F43" s="186"/>
      <c r="G43" s="227" t="s">
        <v>118</v>
      </c>
      <c r="H43" s="177"/>
      <c r="I43" s="178"/>
      <c r="J43" s="178"/>
      <c r="K43" s="179"/>
      <c r="L43" s="177"/>
      <c r="M43" s="178"/>
      <c r="N43" s="178"/>
      <c r="O43" s="180"/>
      <c r="P43" s="180"/>
      <c r="Q43" s="180" t="s">
        <v>61</v>
      </c>
      <c r="R43" s="180"/>
      <c r="S43" s="179"/>
      <c r="T43" s="265">
        <v>45298</v>
      </c>
      <c r="U43" s="181">
        <v>45663</v>
      </c>
      <c r="V43" s="182"/>
      <c r="W43" s="183"/>
      <c r="X43" s="184"/>
      <c r="Y43" s="185" t="str">
        <f t="shared" si="2"/>
        <v>項目名:手打ち部門レベル</v>
      </c>
      <c r="Z43" s="236" t="s">
        <v>129</v>
      </c>
    </row>
    <row r="44" spans="1:26" ht="11.4" x14ac:dyDescent="0.15">
      <c r="A44" s="175">
        <f t="shared" si="1"/>
        <v>42</v>
      </c>
      <c r="B44" s="176"/>
      <c r="C44" s="176"/>
      <c r="D44" s="176"/>
      <c r="E44" s="176"/>
      <c r="F44" s="186"/>
      <c r="G44" s="227" t="s">
        <v>118</v>
      </c>
      <c r="H44" s="177"/>
      <c r="I44" s="178"/>
      <c r="J44" s="178"/>
      <c r="K44" s="179"/>
      <c r="L44" s="177"/>
      <c r="M44" s="178"/>
      <c r="N44" s="178"/>
      <c r="O44" s="180"/>
      <c r="P44" s="180"/>
      <c r="Q44" s="180" t="s">
        <v>61</v>
      </c>
      <c r="R44" s="180"/>
      <c r="S44" s="179"/>
      <c r="T44" s="265">
        <v>45298</v>
      </c>
      <c r="U44" s="181">
        <v>45663</v>
      </c>
      <c r="V44" s="182"/>
      <c r="W44" s="183"/>
      <c r="X44" s="184"/>
      <c r="Y44" s="185" t="str">
        <f t="shared" si="2"/>
        <v>項目名:税種別コード</v>
      </c>
      <c r="Z44" s="236" t="s">
        <v>130</v>
      </c>
    </row>
    <row r="45" spans="1:26" ht="11.4" x14ac:dyDescent="0.15">
      <c r="A45" s="175">
        <f t="shared" si="1"/>
        <v>43</v>
      </c>
      <c r="B45" s="176"/>
      <c r="C45" s="176"/>
      <c r="D45" s="176"/>
      <c r="E45" s="176"/>
      <c r="F45" s="186"/>
      <c r="G45" s="227" t="s">
        <v>118</v>
      </c>
      <c r="H45" s="177"/>
      <c r="I45" s="178"/>
      <c r="J45" s="178"/>
      <c r="K45" s="179"/>
      <c r="L45" s="177"/>
      <c r="M45" s="178"/>
      <c r="N45" s="178"/>
      <c r="O45" s="180"/>
      <c r="P45" s="180"/>
      <c r="Q45" s="180" t="s">
        <v>61</v>
      </c>
      <c r="R45" s="180"/>
      <c r="S45" s="179"/>
      <c r="T45" s="265">
        <v>45298</v>
      </c>
      <c r="U45" s="181">
        <v>45663</v>
      </c>
      <c r="V45" s="182"/>
      <c r="W45" s="183"/>
      <c r="X45" s="184"/>
      <c r="Y45" s="185" t="str">
        <f t="shared" si="2"/>
        <v>項目名:単価最大金額</v>
      </c>
      <c r="Z45" s="236" t="s">
        <v>131</v>
      </c>
    </row>
    <row r="46" spans="1:26" ht="11.4" x14ac:dyDescent="0.15">
      <c r="A46" s="175">
        <f t="shared" si="1"/>
        <v>44</v>
      </c>
      <c r="B46" s="176"/>
      <c r="C46" s="176"/>
      <c r="D46" s="176"/>
      <c r="E46" s="176"/>
      <c r="F46" s="186"/>
      <c r="G46" s="227" t="s">
        <v>118</v>
      </c>
      <c r="H46" s="177"/>
      <c r="I46" s="178"/>
      <c r="J46" s="178"/>
      <c r="K46" s="179"/>
      <c r="L46" s="177"/>
      <c r="M46" s="178"/>
      <c r="N46" s="178"/>
      <c r="O46" s="180"/>
      <c r="P46" s="180"/>
      <c r="Q46" s="180" t="s">
        <v>61</v>
      </c>
      <c r="R46" s="180"/>
      <c r="S46" s="179"/>
      <c r="T46" s="265">
        <v>45298</v>
      </c>
      <c r="U46" s="181">
        <v>45663</v>
      </c>
      <c r="V46" s="182"/>
      <c r="W46" s="183"/>
      <c r="X46" s="184"/>
      <c r="Y46" s="185" t="str">
        <f t="shared" si="2"/>
        <v>項目名:マニュアル値引除外</v>
      </c>
      <c r="Z46" s="236" t="s">
        <v>132</v>
      </c>
    </row>
    <row r="47" spans="1:26" ht="11.4" x14ac:dyDescent="0.15">
      <c r="A47" s="175">
        <f t="shared" si="1"/>
        <v>45</v>
      </c>
      <c r="B47" s="176"/>
      <c r="C47" s="176"/>
      <c r="D47" s="176"/>
      <c r="E47" s="176"/>
      <c r="F47" s="186"/>
      <c r="G47" s="227" t="s">
        <v>118</v>
      </c>
      <c r="H47" s="177"/>
      <c r="I47" s="178"/>
      <c r="J47" s="178"/>
      <c r="K47" s="179"/>
      <c r="L47" s="177"/>
      <c r="M47" s="178"/>
      <c r="N47" s="178"/>
      <c r="O47" s="180"/>
      <c r="P47" s="180"/>
      <c r="Q47" s="180" t="s">
        <v>61</v>
      </c>
      <c r="R47" s="180"/>
      <c r="S47" s="179"/>
      <c r="T47" s="265">
        <v>45298</v>
      </c>
      <c r="U47" s="181">
        <v>45663</v>
      </c>
      <c r="V47" s="182"/>
      <c r="W47" s="183"/>
      <c r="X47" s="184"/>
      <c r="Y47" s="185" t="str">
        <f t="shared" si="2"/>
        <v>項目名:マニュアル小計値引除外</v>
      </c>
      <c r="Z47" s="236" t="s">
        <v>133</v>
      </c>
    </row>
    <row r="48" spans="1:26" ht="11.4" x14ac:dyDescent="0.15">
      <c r="A48" s="175">
        <f t="shared" si="1"/>
        <v>46</v>
      </c>
      <c r="B48" s="176"/>
      <c r="C48" s="176"/>
      <c r="D48" s="176"/>
      <c r="E48" s="176"/>
      <c r="F48" s="186"/>
      <c r="G48" s="227" t="s">
        <v>118</v>
      </c>
      <c r="H48" s="177"/>
      <c r="I48" s="178"/>
      <c r="J48" s="178"/>
      <c r="K48" s="179"/>
      <c r="L48" s="177"/>
      <c r="M48" s="178"/>
      <c r="N48" s="178"/>
      <c r="O48" s="180"/>
      <c r="P48" s="180"/>
      <c r="Q48" s="180" t="s">
        <v>61</v>
      </c>
      <c r="R48" s="180"/>
      <c r="S48" s="179"/>
      <c r="T48" s="265">
        <v>45298</v>
      </c>
      <c r="U48" s="181">
        <v>45663</v>
      </c>
      <c r="V48" s="182"/>
      <c r="W48" s="183"/>
      <c r="X48" s="184"/>
      <c r="Y48" s="185" t="str">
        <f t="shared" si="2"/>
        <v>項目名:商品／非商品識別コード</v>
      </c>
      <c r="Z48" s="236" t="s">
        <v>134</v>
      </c>
    </row>
    <row r="49" spans="1:26" ht="11.4" x14ac:dyDescent="0.15">
      <c r="A49" s="175">
        <f t="shared" si="1"/>
        <v>47</v>
      </c>
      <c r="B49" s="176"/>
      <c r="C49" s="176"/>
      <c r="D49" s="176"/>
      <c r="E49" s="176"/>
      <c r="F49" s="186"/>
      <c r="G49" s="227" t="s">
        <v>118</v>
      </c>
      <c r="H49" s="177"/>
      <c r="I49" s="178"/>
      <c r="J49" s="178"/>
      <c r="K49" s="179"/>
      <c r="L49" s="177"/>
      <c r="M49" s="178"/>
      <c r="N49" s="178"/>
      <c r="O49" s="180"/>
      <c r="P49" s="180"/>
      <c r="Q49" s="180" t="s">
        <v>61</v>
      </c>
      <c r="R49" s="180"/>
      <c r="S49" s="179"/>
      <c r="T49" s="265">
        <v>45298</v>
      </c>
      <c r="U49" s="181">
        <v>45663</v>
      </c>
      <c r="V49" s="182"/>
      <c r="W49" s="183"/>
      <c r="X49" s="184"/>
      <c r="Y49" s="185" t="str">
        <f t="shared" si="2"/>
        <v>項目名:販売制限フラグ</v>
      </c>
      <c r="Z49" s="236" t="s">
        <v>135</v>
      </c>
    </row>
    <row r="50" spans="1:26" ht="11.4" x14ac:dyDescent="0.15">
      <c r="A50" s="175">
        <f t="shared" si="1"/>
        <v>48</v>
      </c>
      <c r="B50" s="176"/>
      <c r="C50" s="176"/>
      <c r="D50" s="176"/>
      <c r="E50" s="176"/>
      <c r="F50" s="186"/>
      <c r="G50" s="227" t="s">
        <v>136</v>
      </c>
      <c r="H50" s="177"/>
      <c r="I50" s="178"/>
      <c r="J50" s="178"/>
      <c r="K50" s="179"/>
      <c r="L50" s="177"/>
      <c r="M50" s="178"/>
      <c r="N50" s="178"/>
      <c r="O50" s="180"/>
      <c r="P50" s="180"/>
      <c r="Q50" s="180" t="s">
        <v>61</v>
      </c>
      <c r="R50" s="180"/>
      <c r="S50" s="179"/>
      <c r="T50" s="265">
        <v>45298</v>
      </c>
      <c r="U50" s="181">
        <v>45665</v>
      </c>
      <c r="V50" s="182"/>
      <c r="W50" s="183"/>
      <c r="X50" s="184"/>
      <c r="Y50" s="185" t="str">
        <f t="shared" si="2"/>
        <v>項目名:未使用項目や空白固定項目</v>
      </c>
      <c r="Z50" s="236" t="s">
        <v>137</v>
      </c>
    </row>
    <row r="51" spans="1:26" ht="11.4" x14ac:dyDescent="0.15">
      <c r="A51" s="175">
        <f t="shared" si="1"/>
        <v>49</v>
      </c>
      <c r="B51" s="176"/>
      <c r="C51" s="176"/>
      <c r="D51" s="176"/>
      <c r="E51" s="176" t="s">
        <v>138</v>
      </c>
      <c r="F51" s="186" t="s">
        <v>108</v>
      </c>
      <c r="G51" s="227" t="s">
        <v>109</v>
      </c>
      <c r="H51" s="177"/>
      <c r="I51" s="178"/>
      <c r="J51" s="178"/>
      <c r="K51" s="179"/>
      <c r="L51" s="177"/>
      <c r="M51" s="178"/>
      <c r="N51" s="178"/>
      <c r="O51" s="180"/>
      <c r="P51" s="180"/>
      <c r="Q51" s="180"/>
      <c r="R51" s="180"/>
      <c r="S51" s="179" t="s">
        <v>56</v>
      </c>
      <c r="T51" s="265">
        <v>45298</v>
      </c>
      <c r="U51" s="268"/>
      <c r="V51" s="182"/>
      <c r="W51" s="183"/>
      <c r="X51" s="184"/>
      <c r="Y51" s="229" t="s">
        <v>139</v>
      </c>
      <c r="Z51" s="256" t="s">
        <v>140</v>
      </c>
    </row>
    <row r="52" spans="1:26" ht="11.4" x14ac:dyDescent="0.15">
      <c r="A52" s="175">
        <f t="shared" si="1"/>
        <v>50</v>
      </c>
      <c r="B52" s="176"/>
      <c r="C52" s="176"/>
      <c r="D52" s="176"/>
      <c r="E52" s="176"/>
      <c r="F52" s="186"/>
      <c r="G52" s="227" t="s">
        <v>110</v>
      </c>
      <c r="H52" s="177"/>
      <c r="I52" s="178"/>
      <c r="J52" s="178"/>
      <c r="K52" s="179"/>
      <c r="L52" s="177"/>
      <c r="M52" s="178"/>
      <c r="N52" s="178"/>
      <c r="O52" s="180"/>
      <c r="P52" s="180" t="s">
        <v>61</v>
      </c>
      <c r="Q52" s="180"/>
      <c r="R52" s="180"/>
      <c r="S52" s="179"/>
      <c r="T52" s="265">
        <v>45298</v>
      </c>
      <c r="U52" s="181">
        <v>45663</v>
      </c>
      <c r="V52" s="182"/>
      <c r="W52" s="183"/>
      <c r="X52" s="184"/>
      <c r="Y52" s="185" t="s">
        <v>141</v>
      </c>
    </row>
    <row r="53" spans="1:26" ht="11.4" x14ac:dyDescent="0.15">
      <c r="A53" s="175">
        <f t="shared" si="1"/>
        <v>51</v>
      </c>
      <c r="B53" s="176"/>
      <c r="C53" s="176"/>
      <c r="D53" s="176"/>
      <c r="E53" s="176"/>
      <c r="F53" s="186"/>
      <c r="G53" s="227" t="s">
        <v>112</v>
      </c>
      <c r="H53" s="177"/>
      <c r="I53" s="178"/>
      <c r="J53" s="178"/>
      <c r="K53" s="179"/>
      <c r="L53" s="177"/>
      <c r="M53" s="178"/>
      <c r="N53" s="178"/>
      <c r="O53" s="180" t="s">
        <v>61</v>
      </c>
      <c r="P53" s="180"/>
      <c r="Q53" s="180"/>
      <c r="R53" s="180"/>
      <c r="S53" s="179"/>
      <c r="T53" s="265">
        <v>45298</v>
      </c>
      <c r="U53" s="181">
        <v>45663</v>
      </c>
      <c r="V53" s="182"/>
      <c r="W53" s="183"/>
      <c r="X53" s="184"/>
      <c r="Y53" s="185" t="s">
        <v>113</v>
      </c>
    </row>
    <row r="54" spans="1:26" ht="22.8" x14ac:dyDescent="0.15">
      <c r="A54" s="175">
        <f t="shared" si="1"/>
        <v>52</v>
      </c>
      <c r="B54" s="176"/>
      <c r="C54" s="176"/>
      <c r="D54" s="176"/>
      <c r="E54" s="176"/>
      <c r="F54" s="186"/>
      <c r="G54" s="227" t="s">
        <v>112</v>
      </c>
      <c r="H54" s="177"/>
      <c r="I54" s="178"/>
      <c r="J54" s="178"/>
      <c r="K54" s="179"/>
      <c r="L54" s="177"/>
      <c r="M54" s="178"/>
      <c r="N54" s="178"/>
      <c r="O54" s="180" t="s">
        <v>61</v>
      </c>
      <c r="P54" s="180"/>
      <c r="Q54" s="180"/>
      <c r="R54" s="180"/>
      <c r="S54" s="179"/>
      <c r="T54" s="265">
        <v>45298</v>
      </c>
      <c r="U54" s="270">
        <v>45664</v>
      </c>
      <c r="V54" s="182"/>
      <c r="W54" s="183"/>
      <c r="X54" s="184"/>
      <c r="Y54" s="185" t="s">
        <v>1109</v>
      </c>
    </row>
    <row r="55" spans="1:26" ht="11.4" x14ac:dyDescent="0.15">
      <c r="A55" s="175">
        <f t="shared" si="1"/>
        <v>53</v>
      </c>
      <c r="B55" s="176"/>
      <c r="C55" s="176"/>
      <c r="D55" s="176"/>
      <c r="E55" s="176"/>
      <c r="F55" s="186"/>
      <c r="G55" s="227" t="s">
        <v>112</v>
      </c>
      <c r="H55" s="177"/>
      <c r="I55" s="178"/>
      <c r="J55" s="178"/>
      <c r="K55" s="179"/>
      <c r="L55" s="177"/>
      <c r="M55" s="178"/>
      <c r="N55" s="178"/>
      <c r="O55" s="180" t="s">
        <v>61</v>
      </c>
      <c r="P55" s="180"/>
      <c r="Q55" s="180"/>
      <c r="R55" s="180"/>
      <c r="S55" s="179"/>
      <c r="T55" s="265">
        <v>45298</v>
      </c>
      <c r="U55" s="181">
        <v>45663</v>
      </c>
      <c r="V55" s="182"/>
      <c r="W55" s="183"/>
      <c r="X55" s="184"/>
      <c r="Y55" s="185" t="s">
        <v>115</v>
      </c>
    </row>
    <row r="56" spans="1:26" ht="11.4" x14ac:dyDescent="0.15">
      <c r="A56" s="175">
        <f t="shared" si="1"/>
        <v>54</v>
      </c>
      <c r="B56" s="176"/>
      <c r="C56" s="176"/>
      <c r="D56" s="176"/>
      <c r="E56" s="176"/>
      <c r="F56" s="186"/>
      <c r="G56" s="227" t="s">
        <v>112</v>
      </c>
      <c r="H56" s="177"/>
      <c r="I56" s="178"/>
      <c r="J56" s="178"/>
      <c r="K56" s="179"/>
      <c r="L56" s="177"/>
      <c r="M56" s="178"/>
      <c r="N56" s="178"/>
      <c r="O56" s="180" t="s">
        <v>61</v>
      </c>
      <c r="P56" s="180"/>
      <c r="Q56" s="180"/>
      <c r="R56" s="180"/>
      <c r="S56" s="179"/>
      <c r="T56" s="265">
        <v>45298</v>
      </c>
      <c r="U56" s="181">
        <v>45663</v>
      </c>
      <c r="V56" s="182"/>
      <c r="W56" s="183"/>
      <c r="X56" s="184"/>
      <c r="Y56" s="185" t="s">
        <v>116</v>
      </c>
    </row>
    <row r="57" spans="1:26" ht="11.4" x14ac:dyDescent="0.15">
      <c r="A57" s="175">
        <f t="shared" si="1"/>
        <v>55</v>
      </c>
      <c r="B57" s="176"/>
      <c r="C57" s="176"/>
      <c r="D57" s="176"/>
      <c r="E57" s="176"/>
      <c r="F57" s="186"/>
      <c r="G57" s="227" t="s">
        <v>112</v>
      </c>
      <c r="H57" s="177"/>
      <c r="I57" s="178"/>
      <c r="J57" s="178"/>
      <c r="K57" s="179"/>
      <c r="L57" s="177"/>
      <c r="M57" s="178"/>
      <c r="N57" s="178"/>
      <c r="O57" s="180" t="s">
        <v>61</v>
      </c>
      <c r="P57" s="180"/>
      <c r="Q57" s="180"/>
      <c r="R57" s="180"/>
      <c r="S57" s="179"/>
      <c r="T57" s="265">
        <v>45298</v>
      </c>
      <c r="U57" s="181">
        <v>45663</v>
      </c>
      <c r="V57" s="182"/>
      <c r="W57" s="183"/>
      <c r="X57" s="184"/>
      <c r="Y57" s="185" t="s">
        <v>117</v>
      </c>
    </row>
    <row r="58" spans="1:26" ht="11.4" x14ac:dyDescent="0.15">
      <c r="A58" s="175">
        <f t="shared" si="1"/>
        <v>56</v>
      </c>
      <c r="B58" s="176"/>
      <c r="C58" s="176"/>
      <c r="D58" s="176"/>
      <c r="E58" s="176"/>
      <c r="F58" s="186"/>
      <c r="G58" s="227" t="s">
        <v>118</v>
      </c>
      <c r="H58" s="177"/>
      <c r="I58" s="178"/>
      <c r="J58" s="178"/>
      <c r="K58" s="179"/>
      <c r="L58" s="177"/>
      <c r="M58" s="178"/>
      <c r="N58" s="178"/>
      <c r="O58" s="180"/>
      <c r="P58" s="180"/>
      <c r="Q58" s="180" t="s">
        <v>61</v>
      </c>
      <c r="R58" s="180"/>
      <c r="S58" s="179"/>
      <c r="T58" s="265">
        <v>45298</v>
      </c>
      <c r="U58" s="181">
        <v>45663</v>
      </c>
      <c r="V58" s="182"/>
      <c r="W58" s="183"/>
      <c r="X58" s="184"/>
      <c r="Y58" s="185" t="str">
        <f t="shared" ref="Y58:Y85" si="3">"項目名:"&amp;Z58</f>
        <v>項目名:処理区分</v>
      </c>
      <c r="Z58" s="236" t="s">
        <v>142</v>
      </c>
    </row>
    <row r="59" spans="1:26" ht="11.4" x14ac:dyDescent="0.15">
      <c r="A59" s="175">
        <f t="shared" si="1"/>
        <v>57</v>
      </c>
      <c r="B59" s="176"/>
      <c r="C59" s="176"/>
      <c r="D59" s="176"/>
      <c r="E59" s="176"/>
      <c r="F59" s="186"/>
      <c r="G59" s="227" t="s">
        <v>118</v>
      </c>
      <c r="H59" s="177"/>
      <c r="I59" s="178"/>
      <c r="J59" s="178"/>
      <c r="K59" s="179"/>
      <c r="L59" s="177"/>
      <c r="M59" s="178"/>
      <c r="N59" s="178"/>
      <c r="O59" s="180"/>
      <c r="P59" s="180"/>
      <c r="Q59" s="180" t="s">
        <v>61</v>
      </c>
      <c r="R59" s="180"/>
      <c r="S59" s="179"/>
      <c r="T59" s="265">
        <v>45298</v>
      </c>
      <c r="U59" s="181">
        <v>45663</v>
      </c>
      <c r="V59" s="182"/>
      <c r="W59" s="183"/>
      <c r="X59" s="184"/>
      <c r="Y59" s="185" t="str">
        <f t="shared" si="3"/>
        <v>項目名:自社商品コード</v>
      </c>
      <c r="Z59" s="236" t="s">
        <v>143</v>
      </c>
    </row>
    <row r="60" spans="1:26" ht="11.4" x14ac:dyDescent="0.15">
      <c r="A60" s="175">
        <f t="shared" si="1"/>
        <v>58</v>
      </c>
      <c r="B60" s="176"/>
      <c r="C60" s="176"/>
      <c r="D60" s="176"/>
      <c r="E60" s="176"/>
      <c r="F60" s="186"/>
      <c r="G60" s="227" t="s">
        <v>118</v>
      </c>
      <c r="H60" s="177"/>
      <c r="I60" s="178"/>
      <c r="J60" s="178"/>
      <c r="K60" s="179"/>
      <c r="L60" s="177"/>
      <c r="M60" s="178"/>
      <c r="N60" s="178"/>
      <c r="O60" s="180"/>
      <c r="P60" s="180"/>
      <c r="Q60" s="180" t="s">
        <v>61</v>
      </c>
      <c r="R60" s="180"/>
      <c r="S60" s="179"/>
      <c r="T60" s="265">
        <v>45298</v>
      </c>
      <c r="U60" s="181">
        <v>45663</v>
      </c>
      <c r="V60" s="182"/>
      <c r="W60" s="183"/>
      <c r="X60" s="184"/>
      <c r="Y60" s="185" t="str">
        <f t="shared" si="3"/>
        <v>項目名:店舗コード</v>
      </c>
      <c r="Z60" s="236" t="s">
        <v>144</v>
      </c>
    </row>
    <row r="61" spans="1:26" ht="11.4" x14ac:dyDescent="0.15">
      <c r="A61" s="175">
        <f t="shared" si="1"/>
        <v>59</v>
      </c>
      <c r="B61" s="176"/>
      <c r="C61" s="176"/>
      <c r="D61" s="176"/>
      <c r="E61" s="176"/>
      <c r="F61" s="186"/>
      <c r="G61" s="227" t="s">
        <v>118</v>
      </c>
      <c r="H61" s="177"/>
      <c r="I61" s="178"/>
      <c r="J61" s="178"/>
      <c r="K61" s="179"/>
      <c r="L61" s="177"/>
      <c r="M61" s="178"/>
      <c r="N61" s="178"/>
      <c r="O61" s="180"/>
      <c r="P61" s="180"/>
      <c r="Q61" s="180" t="s">
        <v>61</v>
      </c>
      <c r="R61" s="180"/>
      <c r="S61" s="179"/>
      <c r="T61" s="265">
        <v>45298</v>
      </c>
      <c r="U61" s="181">
        <v>45663</v>
      </c>
      <c r="V61" s="182"/>
      <c r="W61" s="183"/>
      <c r="X61" s="184"/>
      <c r="Y61" s="185" t="str">
        <f t="shared" si="3"/>
        <v>項目名:税種別コード</v>
      </c>
      <c r="Z61" s="236" t="s">
        <v>145</v>
      </c>
    </row>
    <row r="62" spans="1:26" ht="11.4" x14ac:dyDescent="0.15">
      <c r="A62" s="175">
        <f t="shared" si="1"/>
        <v>60</v>
      </c>
      <c r="B62" s="176"/>
      <c r="C62" s="176"/>
      <c r="D62" s="176"/>
      <c r="E62" s="176"/>
      <c r="F62" s="186"/>
      <c r="G62" s="227" t="s">
        <v>118</v>
      </c>
      <c r="H62" s="177"/>
      <c r="I62" s="178"/>
      <c r="J62" s="178"/>
      <c r="K62" s="179"/>
      <c r="L62" s="177"/>
      <c r="M62" s="178"/>
      <c r="N62" s="178"/>
      <c r="O62" s="180"/>
      <c r="P62" s="180"/>
      <c r="Q62" s="180" t="s">
        <v>61</v>
      </c>
      <c r="R62" s="180"/>
      <c r="S62" s="179"/>
      <c r="T62" s="265">
        <v>45298</v>
      </c>
      <c r="U62" s="181">
        <v>45663</v>
      </c>
      <c r="V62" s="182"/>
      <c r="W62" s="183"/>
      <c r="X62" s="184"/>
      <c r="Y62" s="185" t="str">
        <f t="shared" si="3"/>
        <v>項目名:単品名称</v>
      </c>
      <c r="Z62" s="236" t="s">
        <v>146</v>
      </c>
    </row>
    <row r="63" spans="1:26" ht="11.4" x14ac:dyDescent="0.15">
      <c r="A63" s="175">
        <f t="shared" si="1"/>
        <v>61</v>
      </c>
      <c r="B63" s="176"/>
      <c r="C63" s="176"/>
      <c r="D63" s="176"/>
      <c r="E63" s="176"/>
      <c r="F63" s="186"/>
      <c r="G63" s="227" t="s">
        <v>118</v>
      </c>
      <c r="H63" s="177"/>
      <c r="I63" s="178"/>
      <c r="J63" s="178"/>
      <c r="K63" s="179"/>
      <c r="L63" s="177"/>
      <c r="M63" s="178"/>
      <c r="N63" s="178"/>
      <c r="O63" s="180"/>
      <c r="P63" s="180"/>
      <c r="Q63" s="180" t="s">
        <v>61</v>
      </c>
      <c r="R63" s="180"/>
      <c r="S63" s="179"/>
      <c r="T63" s="265">
        <v>45298</v>
      </c>
      <c r="U63" s="181">
        <v>45663</v>
      </c>
      <c r="V63" s="182"/>
      <c r="W63" s="183"/>
      <c r="X63" s="184"/>
      <c r="Y63" s="185" t="str">
        <f t="shared" si="3"/>
        <v>項目名:レシート記述名</v>
      </c>
      <c r="Z63" s="236" t="s">
        <v>147</v>
      </c>
    </row>
    <row r="64" spans="1:26" ht="11.4" x14ac:dyDescent="0.15">
      <c r="A64" s="175">
        <f t="shared" si="1"/>
        <v>62</v>
      </c>
      <c r="B64" s="176"/>
      <c r="C64" s="176"/>
      <c r="D64" s="176"/>
      <c r="E64" s="176"/>
      <c r="F64" s="186"/>
      <c r="G64" s="227" t="s">
        <v>118</v>
      </c>
      <c r="H64" s="177"/>
      <c r="I64" s="178"/>
      <c r="J64" s="178"/>
      <c r="K64" s="179"/>
      <c r="L64" s="177"/>
      <c r="M64" s="178"/>
      <c r="N64" s="178"/>
      <c r="O64" s="180"/>
      <c r="P64" s="180"/>
      <c r="Q64" s="180" t="s">
        <v>61</v>
      </c>
      <c r="R64" s="180"/>
      <c r="S64" s="179"/>
      <c r="T64" s="265">
        <v>45298</v>
      </c>
      <c r="U64" s="181">
        <v>45663</v>
      </c>
      <c r="V64" s="182"/>
      <c r="W64" s="183"/>
      <c r="X64" s="184"/>
      <c r="Y64" s="185" t="str">
        <f t="shared" si="3"/>
        <v>項目名:商品／非商品識別コード</v>
      </c>
      <c r="Z64" s="236" t="s">
        <v>148</v>
      </c>
    </row>
    <row r="65" spans="1:26" ht="11.4" x14ac:dyDescent="0.15">
      <c r="A65" s="175">
        <f t="shared" si="1"/>
        <v>63</v>
      </c>
      <c r="B65" s="176"/>
      <c r="C65" s="176"/>
      <c r="D65" s="176"/>
      <c r="E65" s="176"/>
      <c r="F65" s="186"/>
      <c r="G65" s="227" t="s">
        <v>118</v>
      </c>
      <c r="H65" s="177"/>
      <c r="I65" s="178"/>
      <c r="J65" s="178"/>
      <c r="K65" s="179"/>
      <c r="L65" s="177"/>
      <c r="M65" s="178"/>
      <c r="N65" s="178"/>
      <c r="O65" s="180"/>
      <c r="P65" s="180"/>
      <c r="Q65" s="180" t="s">
        <v>61</v>
      </c>
      <c r="R65" s="180"/>
      <c r="S65" s="179"/>
      <c r="T65" s="265">
        <v>45298</v>
      </c>
      <c r="U65" s="181">
        <v>45663</v>
      </c>
      <c r="V65" s="182"/>
      <c r="W65" s="183"/>
      <c r="X65" s="184"/>
      <c r="Y65" s="185" t="str">
        <f t="shared" si="3"/>
        <v>項目名:売価</v>
      </c>
      <c r="Z65" s="236" t="s">
        <v>149</v>
      </c>
    </row>
    <row r="66" spans="1:26" ht="11.4" x14ac:dyDescent="0.15">
      <c r="A66" s="175">
        <f t="shared" si="1"/>
        <v>64</v>
      </c>
      <c r="B66" s="176"/>
      <c r="C66" s="176"/>
      <c r="D66" s="176"/>
      <c r="E66" s="176"/>
      <c r="F66" s="186"/>
      <c r="G66" s="227" t="s">
        <v>118</v>
      </c>
      <c r="H66" s="177"/>
      <c r="I66" s="178"/>
      <c r="J66" s="178"/>
      <c r="K66" s="179"/>
      <c r="L66" s="177"/>
      <c r="M66" s="178"/>
      <c r="N66" s="178"/>
      <c r="O66" s="180"/>
      <c r="P66" s="180"/>
      <c r="Q66" s="180" t="s">
        <v>61</v>
      </c>
      <c r="R66" s="180"/>
      <c r="S66" s="179"/>
      <c r="T66" s="265">
        <v>45298</v>
      </c>
      <c r="U66" s="181">
        <v>45663</v>
      </c>
      <c r="V66" s="182"/>
      <c r="W66" s="183"/>
      <c r="X66" s="184"/>
      <c r="Y66" s="185" t="str">
        <f t="shared" si="3"/>
        <v>項目名:単位原価</v>
      </c>
      <c r="Z66" s="236" t="s">
        <v>150</v>
      </c>
    </row>
    <row r="67" spans="1:26" ht="11.4" x14ac:dyDescent="0.15">
      <c r="A67" s="175">
        <f t="shared" si="1"/>
        <v>65</v>
      </c>
      <c r="B67" s="176"/>
      <c r="C67" s="176"/>
      <c r="D67" s="176"/>
      <c r="E67" s="176"/>
      <c r="F67" s="186"/>
      <c r="G67" s="227" t="s">
        <v>118</v>
      </c>
      <c r="H67" s="177"/>
      <c r="I67" s="178"/>
      <c r="J67" s="178"/>
      <c r="K67" s="179"/>
      <c r="L67" s="177"/>
      <c r="M67" s="178"/>
      <c r="N67" s="178"/>
      <c r="O67" s="180"/>
      <c r="P67" s="180"/>
      <c r="Q67" s="180" t="s">
        <v>61</v>
      </c>
      <c r="R67" s="180"/>
      <c r="S67" s="179"/>
      <c r="T67" s="265">
        <v>45298</v>
      </c>
      <c r="U67" s="181">
        <v>45663</v>
      </c>
      <c r="V67" s="182"/>
      <c r="W67" s="183"/>
      <c r="X67" s="184"/>
      <c r="Y67" s="185" t="str">
        <f t="shared" si="3"/>
        <v>項目名:原価率フラグ</v>
      </c>
      <c r="Z67" s="236" t="s">
        <v>151</v>
      </c>
    </row>
    <row r="68" spans="1:26" ht="11.4" x14ac:dyDescent="0.15">
      <c r="A68" s="175">
        <f t="shared" si="1"/>
        <v>66</v>
      </c>
      <c r="B68" s="176"/>
      <c r="C68" s="176"/>
      <c r="D68" s="176"/>
      <c r="E68" s="176"/>
      <c r="F68" s="186"/>
      <c r="G68" s="227" t="s">
        <v>118</v>
      </c>
      <c r="H68" s="177"/>
      <c r="I68" s="178"/>
      <c r="J68" s="178"/>
      <c r="K68" s="179"/>
      <c r="L68" s="177"/>
      <c r="M68" s="178"/>
      <c r="N68" s="178"/>
      <c r="O68" s="180"/>
      <c r="P68" s="180"/>
      <c r="Q68" s="180" t="s">
        <v>61</v>
      </c>
      <c r="R68" s="180"/>
      <c r="S68" s="179"/>
      <c r="T68" s="265">
        <v>45298</v>
      </c>
      <c r="U68" s="181">
        <v>45663</v>
      </c>
      <c r="V68" s="182"/>
      <c r="W68" s="183"/>
      <c r="X68" s="184"/>
      <c r="Y68" s="185" t="str">
        <f t="shared" si="3"/>
        <v>項目名:ＶＦＤ表示名称</v>
      </c>
      <c r="Z68" s="236" t="s">
        <v>152</v>
      </c>
    </row>
    <row r="69" spans="1:26" ht="11.4" x14ac:dyDescent="0.15">
      <c r="A69" s="175">
        <f t="shared" si="1"/>
        <v>67</v>
      </c>
      <c r="B69" s="176"/>
      <c r="C69" s="176"/>
      <c r="D69" s="176"/>
      <c r="E69" s="176"/>
      <c r="F69" s="186"/>
      <c r="G69" s="227" t="s">
        <v>118</v>
      </c>
      <c r="H69" s="177"/>
      <c r="I69" s="178"/>
      <c r="J69" s="178"/>
      <c r="K69" s="179"/>
      <c r="L69" s="177"/>
      <c r="M69" s="178"/>
      <c r="N69" s="178"/>
      <c r="O69" s="180"/>
      <c r="P69" s="180"/>
      <c r="Q69" s="180" t="s">
        <v>61</v>
      </c>
      <c r="R69" s="180"/>
      <c r="S69" s="179"/>
      <c r="T69" s="265">
        <v>45298</v>
      </c>
      <c r="U69" s="181">
        <v>45663</v>
      </c>
      <c r="V69" s="182"/>
      <c r="W69" s="183"/>
      <c r="X69" s="184"/>
      <c r="Y69" s="185" t="str">
        <f t="shared" si="3"/>
        <v>項目名:オペレータによる金額入力</v>
      </c>
      <c r="Z69" s="236" t="s">
        <v>153</v>
      </c>
    </row>
    <row r="70" spans="1:26" ht="11.4" x14ac:dyDescent="0.15">
      <c r="A70" s="175">
        <f t="shared" si="1"/>
        <v>68</v>
      </c>
      <c r="B70" s="176"/>
      <c r="C70" s="176"/>
      <c r="D70" s="176"/>
      <c r="E70" s="176"/>
      <c r="F70" s="186"/>
      <c r="G70" s="227" t="s">
        <v>118</v>
      </c>
      <c r="H70" s="177"/>
      <c r="I70" s="178"/>
      <c r="J70" s="178"/>
      <c r="K70" s="179"/>
      <c r="L70" s="177"/>
      <c r="M70" s="178"/>
      <c r="N70" s="178"/>
      <c r="O70" s="180"/>
      <c r="P70" s="180"/>
      <c r="Q70" s="180" t="s">
        <v>61</v>
      </c>
      <c r="R70" s="180"/>
      <c r="S70" s="179"/>
      <c r="T70" s="265">
        <v>45298</v>
      </c>
      <c r="U70" s="181">
        <v>45663</v>
      </c>
      <c r="V70" s="182"/>
      <c r="W70" s="183"/>
      <c r="X70" s="184"/>
      <c r="Y70" s="185" t="str">
        <f t="shared" si="3"/>
        <v>項目名:販売単位価格</v>
      </c>
      <c r="Z70" s="236" t="s">
        <v>154</v>
      </c>
    </row>
    <row r="71" spans="1:26" ht="11.4" x14ac:dyDescent="0.15">
      <c r="A71" s="175">
        <f t="shared" si="1"/>
        <v>69</v>
      </c>
      <c r="B71" s="176"/>
      <c r="C71" s="176"/>
      <c r="D71" s="176"/>
      <c r="E71" s="176"/>
      <c r="F71" s="186"/>
      <c r="G71" s="227" t="s">
        <v>118</v>
      </c>
      <c r="H71" s="177"/>
      <c r="I71" s="178"/>
      <c r="J71" s="178"/>
      <c r="K71" s="179"/>
      <c r="L71" s="177"/>
      <c r="M71" s="178"/>
      <c r="N71" s="178"/>
      <c r="O71" s="180"/>
      <c r="P71" s="180"/>
      <c r="Q71" s="180" t="s">
        <v>61</v>
      </c>
      <c r="R71" s="180"/>
      <c r="S71" s="179"/>
      <c r="T71" s="265">
        <v>45298</v>
      </c>
      <c r="U71" s="181">
        <v>45663</v>
      </c>
      <c r="V71" s="182"/>
      <c r="W71" s="183"/>
      <c r="X71" s="184"/>
      <c r="Y71" s="185" t="str">
        <f t="shared" si="3"/>
        <v>項目名:返品価格</v>
      </c>
      <c r="Z71" s="236" t="s">
        <v>155</v>
      </c>
    </row>
    <row r="72" spans="1:26" ht="11.4" x14ac:dyDescent="0.15">
      <c r="A72" s="175">
        <f t="shared" si="1"/>
        <v>70</v>
      </c>
      <c r="B72" s="176"/>
      <c r="C72" s="176"/>
      <c r="D72" s="176"/>
      <c r="E72" s="176"/>
      <c r="F72" s="186"/>
      <c r="G72" s="227" t="s">
        <v>118</v>
      </c>
      <c r="H72" s="177"/>
      <c r="I72" s="178"/>
      <c r="J72" s="178"/>
      <c r="K72" s="179"/>
      <c r="L72" s="177"/>
      <c r="M72" s="178"/>
      <c r="N72" s="178"/>
      <c r="O72" s="180"/>
      <c r="P72" s="180"/>
      <c r="Q72" s="180" t="s">
        <v>61</v>
      </c>
      <c r="R72" s="180"/>
      <c r="S72" s="179"/>
      <c r="T72" s="265">
        <v>45298</v>
      </c>
      <c r="U72" s="181">
        <v>45663</v>
      </c>
      <c r="V72" s="182"/>
      <c r="W72" s="183"/>
      <c r="X72" s="184"/>
      <c r="Y72" s="185" t="str">
        <f t="shared" si="3"/>
        <v>項目名:商品分類１</v>
      </c>
      <c r="Z72" s="236" t="s">
        <v>156</v>
      </c>
    </row>
    <row r="73" spans="1:26" ht="11.4" x14ac:dyDescent="0.15">
      <c r="A73" s="175">
        <f t="shared" si="1"/>
        <v>71</v>
      </c>
      <c r="B73" s="176"/>
      <c r="C73" s="176"/>
      <c r="D73" s="176"/>
      <c r="E73" s="176"/>
      <c r="F73" s="186"/>
      <c r="G73" s="227" t="s">
        <v>118</v>
      </c>
      <c r="H73" s="177"/>
      <c r="I73" s="178"/>
      <c r="J73" s="178"/>
      <c r="K73" s="179"/>
      <c r="L73" s="177"/>
      <c r="M73" s="178"/>
      <c r="N73" s="178"/>
      <c r="O73" s="180"/>
      <c r="P73" s="180"/>
      <c r="Q73" s="180" t="s">
        <v>61</v>
      </c>
      <c r="R73" s="180"/>
      <c r="S73" s="179"/>
      <c r="T73" s="265">
        <v>45298</v>
      </c>
      <c r="U73" s="181">
        <v>45663</v>
      </c>
      <c r="V73" s="182"/>
      <c r="W73" s="183"/>
      <c r="X73" s="184"/>
      <c r="Y73" s="185" t="str">
        <f t="shared" si="3"/>
        <v>項目名:商品分類２</v>
      </c>
      <c r="Z73" s="236" t="s">
        <v>157</v>
      </c>
    </row>
    <row r="74" spans="1:26" ht="11.4" x14ac:dyDescent="0.15">
      <c r="A74" s="175">
        <f t="shared" si="1"/>
        <v>72</v>
      </c>
      <c r="B74" s="176"/>
      <c r="C74" s="176"/>
      <c r="D74" s="176"/>
      <c r="E74" s="176"/>
      <c r="F74" s="186"/>
      <c r="G74" s="227" t="s">
        <v>118</v>
      </c>
      <c r="H74" s="177"/>
      <c r="I74" s="178"/>
      <c r="J74" s="178"/>
      <c r="K74" s="179"/>
      <c r="L74" s="177"/>
      <c r="M74" s="178"/>
      <c r="N74" s="178"/>
      <c r="O74" s="180"/>
      <c r="P74" s="180"/>
      <c r="Q74" s="180" t="s">
        <v>61</v>
      </c>
      <c r="R74" s="180"/>
      <c r="S74" s="179"/>
      <c r="T74" s="265">
        <v>45298</v>
      </c>
      <c r="U74" s="181">
        <v>45663</v>
      </c>
      <c r="V74" s="182"/>
      <c r="W74" s="183"/>
      <c r="X74" s="184"/>
      <c r="Y74" s="185" t="str">
        <f t="shared" si="3"/>
        <v>項目名:商品分類３</v>
      </c>
      <c r="Z74" s="236" t="s">
        <v>158</v>
      </c>
    </row>
    <row r="75" spans="1:26" ht="11.4" x14ac:dyDescent="0.15">
      <c r="A75" s="175">
        <f t="shared" si="1"/>
        <v>73</v>
      </c>
      <c r="B75" s="176"/>
      <c r="C75" s="176"/>
      <c r="D75" s="176"/>
      <c r="E75" s="176"/>
      <c r="F75" s="186"/>
      <c r="G75" s="227" t="s">
        <v>118</v>
      </c>
      <c r="H75" s="177"/>
      <c r="I75" s="178"/>
      <c r="J75" s="178"/>
      <c r="K75" s="179"/>
      <c r="L75" s="177"/>
      <c r="M75" s="178"/>
      <c r="N75" s="178"/>
      <c r="O75" s="180"/>
      <c r="P75" s="180"/>
      <c r="Q75" s="180" t="s">
        <v>61</v>
      </c>
      <c r="R75" s="180"/>
      <c r="S75" s="179"/>
      <c r="T75" s="265">
        <v>45298</v>
      </c>
      <c r="U75" s="181">
        <v>45663</v>
      </c>
      <c r="V75" s="182"/>
      <c r="W75" s="183"/>
      <c r="X75" s="184"/>
      <c r="Y75" s="185" t="str">
        <f t="shared" si="3"/>
        <v>項目名:単品値引除外</v>
      </c>
      <c r="Z75" s="236" t="s">
        <v>159</v>
      </c>
    </row>
    <row r="76" spans="1:26" ht="11.4" x14ac:dyDescent="0.15">
      <c r="A76" s="175">
        <f t="shared" si="1"/>
        <v>74</v>
      </c>
      <c r="B76" s="176"/>
      <c r="C76" s="176"/>
      <c r="D76" s="176"/>
      <c r="E76" s="176"/>
      <c r="F76" s="186"/>
      <c r="G76" s="227" t="s">
        <v>118</v>
      </c>
      <c r="H76" s="177"/>
      <c r="I76" s="178"/>
      <c r="J76" s="178"/>
      <c r="K76" s="179"/>
      <c r="L76" s="177"/>
      <c r="M76" s="178"/>
      <c r="N76" s="178"/>
      <c r="O76" s="180"/>
      <c r="P76" s="180"/>
      <c r="Q76" s="180" t="s">
        <v>61</v>
      </c>
      <c r="R76" s="180"/>
      <c r="S76" s="179"/>
      <c r="T76" s="265">
        <v>45298</v>
      </c>
      <c r="U76" s="181">
        <v>45663</v>
      </c>
      <c r="V76" s="182"/>
      <c r="W76" s="183"/>
      <c r="X76" s="184"/>
      <c r="Y76" s="185" t="str">
        <f t="shared" si="3"/>
        <v>項目名:小計マニュアル値引除外</v>
      </c>
      <c r="Z76" s="236" t="s">
        <v>160</v>
      </c>
    </row>
    <row r="77" spans="1:26" ht="11.4" x14ac:dyDescent="0.15">
      <c r="A77" s="175">
        <f t="shared" si="1"/>
        <v>75</v>
      </c>
      <c r="B77" s="176"/>
      <c r="C77" s="176"/>
      <c r="D77" s="176"/>
      <c r="E77" s="176"/>
      <c r="F77" s="186"/>
      <c r="G77" s="227" t="s">
        <v>118</v>
      </c>
      <c r="H77" s="177"/>
      <c r="I77" s="178"/>
      <c r="J77" s="178"/>
      <c r="K77" s="179"/>
      <c r="L77" s="177"/>
      <c r="M77" s="178"/>
      <c r="N77" s="178"/>
      <c r="O77" s="180"/>
      <c r="P77" s="180"/>
      <c r="Q77" s="180" t="s">
        <v>61</v>
      </c>
      <c r="R77" s="180"/>
      <c r="S77" s="179"/>
      <c r="T77" s="265">
        <v>45298</v>
      </c>
      <c r="U77" s="181">
        <v>45663</v>
      </c>
      <c r="V77" s="182"/>
      <c r="W77" s="183"/>
      <c r="X77" s="184"/>
      <c r="Y77" s="185" t="str">
        <f t="shared" si="3"/>
        <v>項目名:会員価格方式</v>
      </c>
      <c r="Z77" s="236" t="s">
        <v>161</v>
      </c>
    </row>
    <row r="78" spans="1:26" ht="11.4" x14ac:dyDescent="0.15">
      <c r="A78" s="175">
        <f t="shared" si="1"/>
        <v>76</v>
      </c>
      <c r="B78" s="176"/>
      <c r="C78" s="176"/>
      <c r="D78" s="176"/>
      <c r="E78" s="176"/>
      <c r="F78" s="186"/>
      <c r="G78" s="227" t="s">
        <v>118</v>
      </c>
      <c r="H78" s="177"/>
      <c r="I78" s="178"/>
      <c r="J78" s="178"/>
      <c r="K78" s="179"/>
      <c r="L78" s="177"/>
      <c r="M78" s="178"/>
      <c r="N78" s="178"/>
      <c r="O78" s="180"/>
      <c r="P78" s="180"/>
      <c r="Q78" s="180" t="s">
        <v>61</v>
      </c>
      <c r="R78" s="180"/>
      <c r="S78" s="179"/>
      <c r="T78" s="265">
        <v>45298</v>
      </c>
      <c r="U78" s="181">
        <v>45663</v>
      </c>
      <c r="V78" s="182"/>
      <c r="W78" s="183"/>
      <c r="X78" s="184"/>
      <c r="Y78" s="185" t="str">
        <f t="shared" si="3"/>
        <v>項目名:仕入数</v>
      </c>
      <c r="Z78" s="236" t="s">
        <v>162</v>
      </c>
    </row>
    <row r="79" spans="1:26" ht="11.4" x14ac:dyDescent="0.15">
      <c r="A79" s="175">
        <f t="shared" si="1"/>
        <v>77</v>
      </c>
      <c r="B79" s="176"/>
      <c r="C79" s="176"/>
      <c r="D79" s="176"/>
      <c r="E79" s="176"/>
      <c r="F79" s="186"/>
      <c r="G79" s="227" t="s">
        <v>118</v>
      </c>
      <c r="H79" s="177"/>
      <c r="I79" s="178"/>
      <c r="J79" s="178"/>
      <c r="K79" s="179"/>
      <c r="L79" s="177"/>
      <c r="M79" s="178"/>
      <c r="N79" s="178"/>
      <c r="O79" s="180"/>
      <c r="P79" s="180"/>
      <c r="Q79" s="180" t="s">
        <v>61</v>
      </c>
      <c r="R79" s="180"/>
      <c r="S79" s="179"/>
      <c r="T79" s="265">
        <v>45298</v>
      </c>
      <c r="U79" s="181">
        <v>45663</v>
      </c>
      <c r="V79" s="182"/>
      <c r="W79" s="183"/>
      <c r="X79" s="184"/>
      <c r="Y79" s="185" t="str">
        <f t="shared" si="3"/>
        <v>項目名:在庫数</v>
      </c>
      <c r="Z79" s="236" t="s">
        <v>163</v>
      </c>
    </row>
    <row r="80" spans="1:26" ht="11.4" x14ac:dyDescent="0.15">
      <c r="A80" s="175">
        <f t="shared" si="1"/>
        <v>78</v>
      </c>
      <c r="B80" s="176"/>
      <c r="C80" s="176"/>
      <c r="D80" s="176"/>
      <c r="E80" s="176"/>
      <c r="F80" s="186"/>
      <c r="G80" s="227" t="s">
        <v>118</v>
      </c>
      <c r="H80" s="177"/>
      <c r="I80" s="178"/>
      <c r="J80" s="178"/>
      <c r="K80" s="179"/>
      <c r="L80" s="177"/>
      <c r="M80" s="178"/>
      <c r="N80" s="178"/>
      <c r="O80" s="180"/>
      <c r="P80" s="180"/>
      <c r="Q80" s="180" t="s">
        <v>61</v>
      </c>
      <c r="R80" s="180"/>
      <c r="S80" s="179"/>
      <c r="T80" s="265">
        <v>45298</v>
      </c>
      <c r="U80" s="181">
        <v>45663</v>
      </c>
      <c r="V80" s="182"/>
      <c r="W80" s="183"/>
      <c r="X80" s="184"/>
      <c r="Y80" s="185" t="str">
        <f t="shared" si="3"/>
        <v>項目名:定価</v>
      </c>
      <c r="Z80" s="236" t="s">
        <v>164</v>
      </c>
    </row>
    <row r="81" spans="1:26" ht="11.4" x14ac:dyDescent="0.15">
      <c r="A81" s="175">
        <f t="shared" si="1"/>
        <v>79</v>
      </c>
      <c r="B81" s="176"/>
      <c r="C81" s="176"/>
      <c r="D81" s="176"/>
      <c r="E81" s="176"/>
      <c r="F81" s="186"/>
      <c r="G81" s="227" t="s">
        <v>118</v>
      </c>
      <c r="H81" s="177"/>
      <c r="I81" s="178"/>
      <c r="J81" s="178"/>
      <c r="K81" s="179"/>
      <c r="L81" s="177"/>
      <c r="M81" s="178"/>
      <c r="N81" s="178"/>
      <c r="O81" s="180"/>
      <c r="P81" s="180"/>
      <c r="Q81" s="180" t="s">
        <v>61</v>
      </c>
      <c r="R81" s="180"/>
      <c r="S81" s="179"/>
      <c r="T81" s="265">
        <v>45298</v>
      </c>
      <c r="U81" s="181">
        <v>45663</v>
      </c>
      <c r="V81" s="182"/>
      <c r="W81" s="183"/>
      <c r="X81" s="184"/>
      <c r="Y81" s="185" t="str">
        <f t="shared" si="3"/>
        <v>項目名:スキャンコード</v>
      </c>
      <c r="Z81" s="236" t="s">
        <v>165</v>
      </c>
    </row>
    <row r="82" spans="1:26" ht="11.4" x14ac:dyDescent="0.15">
      <c r="A82" s="175">
        <f t="shared" si="1"/>
        <v>80</v>
      </c>
      <c r="B82" s="176"/>
      <c r="C82" s="176"/>
      <c r="D82" s="176"/>
      <c r="E82" s="176"/>
      <c r="F82" s="186"/>
      <c r="G82" s="227" t="s">
        <v>118</v>
      </c>
      <c r="H82" s="177"/>
      <c r="I82" s="178"/>
      <c r="J82" s="178"/>
      <c r="K82" s="179"/>
      <c r="L82" s="177"/>
      <c r="M82" s="178"/>
      <c r="N82" s="178"/>
      <c r="O82" s="180"/>
      <c r="P82" s="180"/>
      <c r="Q82" s="180" t="s">
        <v>61</v>
      </c>
      <c r="R82" s="180"/>
      <c r="S82" s="179"/>
      <c r="T82" s="265">
        <v>45298</v>
      </c>
      <c r="U82" s="181">
        <v>45663</v>
      </c>
      <c r="V82" s="182"/>
      <c r="W82" s="183"/>
      <c r="X82" s="184"/>
      <c r="Y82" s="185" t="str">
        <f t="shared" si="3"/>
        <v>項目名:ＰＬＵタイプ</v>
      </c>
      <c r="Z82" s="236" t="s">
        <v>166</v>
      </c>
    </row>
    <row r="83" spans="1:26" ht="11.4" x14ac:dyDescent="0.15">
      <c r="A83" s="175">
        <f t="shared" si="1"/>
        <v>81</v>
      </c>
      <c r="B83" s="176"/>
      <c r="C83" s="176"/>
      <c r="D83" s="176"/>
      <c r="E83" s="176"/>
      <c r="F83" s="186"/>
      <c r="G83" s="227" t="s">
        <v>118</v>
      </c>
      <c r="H83" s="177"/>
      <c r="I83" s="178"/>
      <c r="J83" s="178"/>
      <c r="K83" s="179"/>
      <c r="L83" s="177"/>
      <c r="M83" s="178"/>
      <c r="N83" s="178"/>
      <c r="O83" s="180"/>
      <c r="P83" s="180"/>
      <c r="Q83" s="180" t="s">
        <v>61</v>
      </c>
      <c r="R83" s="180"/>
      <c r="S83" s="179"/>
      <c r="T83" s="265">
        <v>45298</v>
      </c>
      <c r="U83" s="181">
        <v>45663</v>
      </c>
      <c r="V83" s="182"/>
      <c r="W83" s="183"/>
      <c r="X83" s="184"/>
      <c r="Y83" s="185" t="str">
        <f t="shared" si="3"/>
        <v>項目名:内部商品分類番号</v>
      </c>
      <c r="Z83" s="236" t="s">
        <v>167</v>
      </c>
    </row>
    <row r="84" spans="1:26" ht="11.4" x14ac:dyDescent="0.15">
      <c r="A84" s="175">
        <f t="shared" si="1"/>
        <v>82</v>
      </c>
      <c r="B84" s="176"/>
      <c r="C84" s="176"/>
      <c r="D84" s="176"/>
      <c r="E84" s="176"/>
      <c r="F84" s="186"/>
      <c r="G84" s="227" t="s">
        <v>118</v>
      </c>
      <c r="H84" s="177"/>
      <c r="I84" s="178"/>
      <c r="J84" s="178"/>
      <c r="K84" s="179"/>
      <c r="L84" s="177"/>
      <c r="M84" s="178"/>
      <c r="N84" s="178"/>
      <c r="O84" s="180"/>
      <c r="P84" s="180"/>
      <c r="Q84" s="180" t="s">
        <v>61</v>
      </c>
      <c r="R84" s="180"/>
      <c r="S84" s="179"/>
      <c r="T84" s="265">
        <v>45298</v>
      </c>
      <c r="U84" s="181">
        <v>45666</v>
      </c>
      <c r="V84" s="182"/>
      <c r="W84" s="183"/>
      <c r="X84" s="184"/>
      <c r="Y84" s="185" t="str">
        <f t="shared" si="3"/>
        <v>項目名:作成日</v>
      </c>
      <c r="Z84" s="236" t="s">
        <v>168</v>
      </c>
    </row>
    <row r="85" spans="1:26" ht="11.4" x14ac:dyDescent="0.15">
      <c r="A85" s="175">
        <f t="shared" si="1"/>
        <v>83</v>
      </c>
      <c r="B85" s="176"/>
      <c r="C85" s="176"/>
      <c r="D85" s="176"/>
      <c r="E85" s="176"/>
      <c r="F85" s="186"/>
      <c r="G85" s="227" t="s">
        <v>136</v>
      </c>
      <c r="H85" s="177"/>
      <c r="I85" s="178"/>
      <c r="J85" s="178"/>
      <c r="K85" s="179"/>
      <c r="L85" s="177"/>
      <c r="M85" s="178"/>
      <c r="N85" s="178"/>
      <c r="O85" s="180"/>
      <c r="P85" s="180"/>
      <c r="Q85" s="180" t="s">
        <v>61</v>
      </c>
      <c r="R85" s="180"/>
      <c r="S85" s="179"/>
      <c r="T85" s="265">
        <v>45298</v>
      </c>
      <c r="U85" s="181">
        <v>45665</v>
      </c>
      <c r="V85" s="182"/>
      <c r="W85" s="183"/>
      <c r="X85" s="184"/>
      <c r="Y85" s="185" t="str">
        <f t="shared" si="3"/>
        <v>項目名:未使用項目や空白固定項目</v>
      </c>
      <c r="Z85" s="236" t="s">
        <v>137</v>
      </c>
    </row>
    <row r="86" spans="1:26" ht="22.8" x14ac:dyDescent="0.15">
      <c r="A86" s="175">
        <f t="shared" si="1"/>
        <v>84</v>
      </c>
      <c r="B86" s="176"/>
      <c r="C86" s="176"/>
      <c r="D86" s="186"/>
      <c r="E86" s="186" t="s">
        <v>169</v>
      </c>
      <c r="F86" s="186" t="s">
        <v>108</v>
      </c>
      <c r="G86" s="227" t="s">
        <v>109</v>
      </c>
      <c r="H86" s="177"/>
      <c r="I86" s="178"/>
      <c r="J86" s="178"/>
      <c r="K86" s="179"/>
      <c r="L86" s="177"/>
      <c r="M86" s="178"/>
      <c r="N86" s="178"/>
      <c r="O86" s="180"/>
      <c r="P86" s="180"/>
      <c r="Q86" s="180"/>
      <c r="R86" s="180"/>
      <c r="S86" s="179" t="s">
        <v>56</v>
      </c>
      <c r="T86" s="265">
        <v>45298</v>
      </c>
      <c r="U86" s="181">
        <v>45667</v>
      </c>
      <c r="V86" s="182"/>
      <c r="W86" s="183"/>
      <c r="X86" s="184"/>
      <c r="Y86" s="229" t="s">
        <v>1107</v>
      </c>
      <c r="Z86" s="256" t="s">
        <v>170</v>
      </c>
    </row>
    <row r="87" spans="1:26" ht="11.4" x14ac:dyDescent="0.15">
      <c r="A87" s="175">
        <f t="shared" si="1"/>
        <v>85</v>
      </c>
      <c r="B87" s="176"/>
      <c r="C87" s="176"/>
      <c r="D87" s="176"/>
      <c r="E87" s="176"/>
      <c r="F87" s="186"/>
      <c r="G87" s="227" t="s">
        <v>110</v>
      </c>
      <c r="H87" s="177"/>
      <c r="I87" s="178"/>
      <c r="J87" s="178"/>
      <c r="K87" s="179"/>
      <c r="L87" s="177"/>
      <c r="M87" s="178"/>
      <c r="N87" s="178"/>
      <c r="O87" s="180"/>
      <c r="P87" s="180" t="s">
        <v>61</v>
      </c>
      <c r="Q87" s="180"/>
      <c r="R87" s="180"/>
      <c r="S87" s="179"/>
      <c r="T87" s="265">
        <v>45298</v>
      </c>
      <c r="U87" s="181">
        <v>45663</v>
      </c>
      <c r="V87" s="182"/>
      <c r="W87" s="183"/>
      <c r="X87" s="184"/>
      <c r="Y87" s="185" t="s">
        <v>171</v>
      </c>
    </row>
    <row r="88" spans="1:26" ht="11.4" x14ac:dyDescent="0.15">
      <c r="A88" s="175">
        <f t="shared" si="1"/>
        <v>86</v>
      </c>
      <c r="B88" s="176"/>
      <c r="C88" s="176"/>
      <c r="D88" s="176"/>
      <c r="E88" s="176"/>
      <c r="F88" s="186"/>
      <c r="G88" s="227" t="s">
        <v>112</v>
      </c>
      <c r="H88" s="177"/>
      <c r="I88" s="178"/>
      <c r="J88" s="178"/>
      <c r="K88" s="179"/>
      <c r="L88" s="177"/>
      <c r="M88" s="178"/>
      <c r="N88" s="178"/>
      <c r="O88" s="180" t="s">
        <v>61</v>
      </c>
      <c r="P88" s="180"/>
      <c r="Q88" s="180"/>
      <c r="R88" s="180"/>
      <c r="S88" s="179"/>
      <c r="T88" s="265">
        <v>45298</v>
      </c>
      <c r="U88" s="181">
        <v>45663</v>
      </c>
      <c r="V88" s="182"/>
      <c r="W88" s="183"/>
      <c r="X88" s="184"/>
      <c r="Y88" s="185" t="s">
        <v>113</v>
      </c>
    </row>
    <row r="89" spans="1:26" ht="22.8" x14ac:dyDescent="0.15">
      <c r="A89" s="175">
        <f t="shared" si="1"/>
        <v>87</v>
      </c>
      <c r="B89" s="176"/>
      <c r="C89" s="176"/>
      <c r="D89" s="176"/>
      <c r="E89" s="176"/>
      <c r="F89" s="186"/>
      <c r="G89" s="227" t="s">
        <v>112</v>
      </c>
      <c r="H89" s="177"/>
      <c r="I89" s="178"/>
      <c r="J89" s="178"/>
      <c r="K89" s="179"/>
      <c r="L89" s="177"/>
      <c r="M89" s="178"/>
      <c r="N89" s="178"/>
      <c r="O89" s="180" t="s">
        <v>61</v>
      </c>
      <c r="P89" s="180"/>
      <c r="Q89" s="180"/>
      <c r="R89" s="180"/>
      <c r="S89" s="179"/>
      <c r="T89" s="265">
        <v>45298</v>
      </c>
      <c r="U89" s="270">
        <v>45664</v>
      </c>
      <c r="V89" s="182"/>
      <c r="W89" s="183"/>
      <c r="X89" s="184"/>
      <c r="Y89" s="185" t="s">
        <v>1109</v>
      </c>
    </row>
    <row r="90" spans="1:26" ht="11.4" x14ac:dyDescent="0.15">
      <c r="A90" s="175">
        <f t="shared" si="1"/>
        <v>88</v>
      </c>
      <c r="B90" s="176"/>
      <c r="C90" s="176"/>
      <c r="D90" s="176"/>
      <c r="E90" s="176"/>
      <c r="F90" s="186"/>
      <c r="G90" s="227" t="s">
        <v>112</v>
      </c>
      <c r="H90" s="177"/>
      <c r="I90" s="178"/>
      <c r="J90" s="178"/>
      <c r="K90" s="179"/>
      <c r="L90" s="177"/>
      <c r="M90" s="178"/>
      <c r="N90" s="178"/>
      <c r="O90" s="180" t="s">
        <v>61</v>
      </c>
      <c r="P90" s="180"/>
      <c r="Q90" s="180"/>
      <c r="R90" s="180"/>
      <c r="S90" s="179"/>
      <c r="T90" s="265">
        <v>45298</v>
      </c>
      <c r="U90" s="181">
        <v>45663</v>
      </c>
      <c r="V90" s="182"/>
      <c r="W90" s="183"/>
      <c r="X90" s="184"/>
      <c r="Y90" s="185" t="s">
        <v>115</v>
      </c>
    </row>
    <row r="91" spans="1:26" ht="11.4" x14ac:dyDescent="0.15">
      <c r="A91" s="175">
        <f t="shared" si="1"/>
        <v>89</v>
      </c>
      <c r="B91" s="176"/>
      <c r="C91" s="176"/>
      <c r="D91" s="176"/>
      <c r="E91" s="176"/>
      <c r="F91" s="186"/>
      <c r="G91" s="227" t="s">
        <v>112</v>
      </c>
      <c r="H91" s="177"/>
      <c r="I91" s="178"/>
      <c r="J91" s="178"/>
      <c r="K91" s="179"/>
      <c r="L91" s="177"/>
      <c r="M91" s="178"/>
      <c r="N91" s="178"/>
      <c r="O91" s="180" t="s">
        <v>61</v>
      </c>
      <c r="P91" s="180"/>
      <c r="Q91" s="180"/>
      <c r="R91" s="180"/>
      <c r="S91" s="179"/>
      <c r="T91" s="265">
        <v>45298</v>
      </c>
      <c r="U91" s="181">
        <v>45663</v>
      </c>
      <c r="V91" s="182"/>
      <c r="W91" s="183"/>
      <c r="X91" s="184"/>
      <c r="Y91" s="185" t="s">
        <v>116</v>
      </c>
    </row>
    <row r="92" spans="1:26" ht="11.4" x14ac:dyDescent="0.15">
      <c r="A92" s="175">
        <f t="shared" si="1"/>
        <v>90</v>
      </c>
      <c r="B92" s="176"/>
      <c r="C92" s="176"/>
      <c r="D92" s="176"/>
      <c r="E92" s="176"/>
      <c r="F92" s="186"/>
      <c r="G92" s="227" t="s">
        <v>112</v>
      </c>
      <c r="H92" s="177"/>
      <c r="I92" s="178"/>
      <c r="J92" s="178"/>
      <c r="K92" s="179"/>
      <c r="L92" s="177"/>
      <c r="M92" s="178"/>
      <c r="N92" s="178"/>
      <c r="O92" s="180" t="s">
        <v>61</v>
      </c>
      <c r="P92" s="180"/>
      <c r="Q92" s="180"/>
      <c r="R92" s="180"/>
      <c r="S92" s="179"/>
      <c r="T92" s="265">
        <v>45298</v>
      </c>
      <c r="U92" s="181">
        <v>45663</v>
      </c>
      <c r="V92" s="182"/>
      <c r="W92" s="183"/>
      <c r="X92" s="184"/>
      <c r="Y92" s="185" t="s">
        <v>117</v>
      </c>
    </row>
    <row r="93" spans="1:26" ht="11.4" x14ac:dyDescent="0.15">
      <c r="A93" s="175">
        <f t="shared" si="1"/>
        <v>91</v>
      </c>
      <c r="B93" s="176"/>
      <c r="C93" s="176"/>
      <c r="D93" s="176"/>
      <c r="E93" s="176"/>
      <c r="F93" s="186"/>
      <c r="G93" s="227" t="s">
        <v>118</v>
      </c>
      <c r="H93" s="177"/>
      <c r="I93" s="178"/>
      <c r="J93" s="178"/>
      <c r="K93" s="179"/>
      <c r="L93" s="177"/>
      <c r="M93" s="178"/>
      <c r="N93" s="178"/>
      <c r="O93" s="180"/>
      <c r="P93" s="180"/>
      <c r="Q93" s="180" t="s">
        <v>61</v>
      </c>
      <c r="R93" s="180"/>
      <c r="S93" s="179"/>
      <c r="T93" s="265">
        <v>45298</v>
      </c>
      <c r="U93" s="181">
        <v>45663</v>
      </c>
      <c r="V93" s="182"/>
      <c r="W93" s="183"/>
      <c r="X93" s="184"/>
      <c r="Y93" s="185" t="str">
        <f t="shared" ref="Y93:Y112" si="4">"項目名:"&amp;Z93</f>
        <v>項目名:処理区分</v>
      </c>
      <c r="Z93" s="236" t="s">
        <v>142</v>
      </c>
    </row>
    <row r="94" spans="1:26" ht="11.4" x14ac:dyDescent="0.15">
      <c r="A94" s="175">
        <f t="shared" si="1"/>
        <v>92</v>
      </c>
      <c r="B94" s="176"/>
      <c r="C94" s="176"/>
      <c r="D94" s="176"/>
      <c r="E94" s="176"/>
      <c r="F94" s="186"/>
      <c r="G94" s="227" t="s">
        <v>118</v>
      </c>
      <c r="H94" s="177"/>
      <c r="I94" s="178"/>
      <c r="J94" s="178"/>
      <c r="K94" s="179"/>
      <c r="L94" s="177"/>
      <c r="M94" s="178"/>
      <c r="N94" s="178"/>
      <c r="O94" s="180"/>
      <c r="P94" s="180"/>
      <c r="Q94" s="180" t="s">
        <v>61</v>
      </c>
      <c r="R94" s="180"/>
      <c r="S94" s="179"/>
      <c r="T94" s="265">
        <v>45298</v>
      </c>
      <c r="U94" s="181">
        <v>45663</v>
      </c>
      <c r="V94" s="182"/>
      <c r="W94" s="183"/>
      <c r="X94" s="184"/>
      <c r="Y94" s="185" t="str">
        <f t="shared" si="4"/>
        <v>項目名:店舗コード</v>
      </c>
      <c r="Z94" s="236" t="s">
        <v>144</v>
      </c>
    </row>
    <row r="95" spans="1:26" ht="11.4" x14ac:dyDescent="0.15">
      <c r="A95" s="175">
        <f t="shared" si="1"/>
        <v>93</v>
      </c>
      <c r="B95" s="176"/>
      <c r="C95" s="176"/>
      <c r="D95" s="176"/>
      <c r="E95" s="176"/>
      <c r="F95" s="186"/>
      <c r="G95" s="227" t="s">
        <v>118</v>
      </c>
      <c r="H95" s="177"/>
      <c r="I95" s="178"/>
      <c r="J95" s="178"/>
      <c r="K95" s="179"/>
      <c r="L95" s="177"/>
      <c r="M95" s="178"/>
      <c r="N95" s="178"/>
      <c r="O95" s="180"/>
      <c r="P95" s="180"/>
      <c r="Q95" s="180" t="s">
        <v>61</v>
      </c>
      <c r="R95" s="180"/>
      <c r="S95" s="179"/>
      <c r="T95" s="265">
        <v>45298</v>
      </c>
      <c r="U95" s="181">
        <v>45663</v>
      </c>
      <c r="V95" s="182"/>
      <c r="W95" s="183"/>
      <c r="X95" s="184"/>
      <c r="Y95" s="185" t="str">
        <f t="shared" si="4"/>
        <v>項目名:企画No.</v>
      </c>
      <c r="Z95" s="236" t="s">
        <v>172</v>
      </c>
    </row>
    <row r="96" spans="1:26" ht="11.4" x14ac:dyDescent="0.15">
      <c r="A96" s="175">
        <f t="shared" si="1"/>
        <v>94</v>
      </c>
      <c r="B96" s="176"/>
      <c r="C96" s="176"/>
      <c r="D96" s="176"/>
      <c r="E96" s="176"/>
      <c r="F96" s="186"/>
      <c r="G96" s="227" t="s">
        <v>118</v>
      </c>
      <c r="H96" s="177"/>
      <c r="I96" s="178"/>
      <c r="J96" s="178"/>
      <c r="K96" s="179"/>
      <c r="L96" s="177"/>
      <c r="M96" s="178"/>
      <c r="N96" s="178"/>
      <c r="O96" s="180"/>
      <c r="P96" s="180"/>
      <c r="Q96" s="180" t="s">
        <v>61</v>
      </c>
      <c r="R96" s="180"/>
      <c r="S96" s="179"/>
      <c r="T96" s="265">
        <v>45298</v>
      </c>
      <c r="U96" s="270">
        <v>45665</v>
      </c>
      <c r="V96" s="182"/>
      <c r="W96" s="183"/>
      <c r="X96" s="184"/>
      <c r="Y96" s="185" t="str">
        <f t="shared" si="4"/>
        <v>項目名:企画名</v>
      </c>
      <c r="Z96" s="236" t="s">
        <v>173</v>
      </c>
    </row>
    <row r="97" spans="1:26" ht="11.4" x14ac:dyDescent="0.15">
      <c r="A97" s="175">
        <f t="shared" si="1"/>
        <v>95</v>
      </c>
      <c r="B97" s="176"/>
      <c r="C97" s="176"/>
      <c r="D97" s="176"/>
      <c r="E97" s="176"/>
      <c r="F97" s="186"/>
      <c r="G97" s="227" t="s">
        <v>118</v>
      </c>
      <c r="H97" s="177"/>
      <c r="I97" s="178"/>
      <c r="J97" s="178"/>
      <c r="K97" s="179"/>
      <c r="L97" s="177"/>
      <c r="M97" s="178"/>
      <c r="N97" s="178"/>
      <c r="O97" s="180"/>
      <c r="P97" s="180"/>
      <c r="Q97" s="180" t="s">
        <v>61</v>
      </c>
      <c r="R97" s="180"/>
      <c r="S97" s="179"/>
      <c r="T97" s="265">
        <v>45298</v>
      </c>
      <c r="U97" s="181">
        <v>45663</v>
      </c>
      <c r="V97" s="182"/>
      <c r="W97" s="183"/>
      <c r="X97" s="184"/>
      <c r="Y97" s="185" t="str">
        <f t="shared" si="4"/>
        <v>項目名:企画開始日</v>
      </c>
      <c r="Z97" s="236" t="s">
        <v>174</v>
      </c>
    </row>
    <row r="98" spans="1:26" ht="11.4" x14ac:dyDescent="0.15">
      <c r="A98" s="175">
        <f t="shared" si="1"/>
        <v>96</v>
      </c>
      <c r="B98" s="176"/>
      <c r="C98" s="176"/>
      <c r="D98" s="176"/>
      <c r="E98" s="176"/>
      <c r="F98" s="186"/>
      <c r="G98" s="227" t="s">
        <v>118</v>
      </c>
      <c r="H98" s="177"/>
      <c r="I98" s="178"/>
      <c r="J98" s="178"/>
      <c r="K98" s="179"/>
      <c r="L98" s="177"/>
      <c r="M98" s="178"/>
      <c r="N98" s="178"/>
      <c r="O98" s="180"/>
      <c r="P98" s="180"/>
      <c r="Q98" s="180" t="s">
        <v>61</v>
      </c>
      <c r="R98" s="180"/>
      <c r="S98" s="179"/>
      <c r="T98" s="265">
        <v>45298</v>
      </c>
      <c r="U98" s="181">
        <v>45663</v>
      </c>
      <c r="V98" s="182"/>
      <c r="W98" s="183"/>
      <c r="X98" s="184"/>
      <c r="Y98" s="185" t="str">
        <f t="shared" si="4"/>
        <v>項目名:企画終了日</v>
      </c>
      <c r="Z98" s="236" t="s">
        <v>175</v>
      </c>
    </row>
    <row r="99" spans="1:26" ht="11.4" x14ac:dyDescent="0.15">
      <c r="A99" s="175">
        <f t="shared" si="1"/>
        <v>97</v>
      </c>
      <c r="B99" s="176"/>
      <c r="C99" s="176"/>
      <c r="D99" s="176"/>
      <c r="E99" s="176"/>
      <c r="F99" s="186"/>
      <c r="G99" s="227" t="s">
        <v>118</v>
      </c>
      <c r="H99" s="177"/>
      <c r="I99" s="178"/>
      <c r="J99" s="178"/>
      <c r="K99" s="179"/>
      <c r="L99" s="177"/>
      <c r="M99" s="178"/>
      <c r="N99" s="178"/>
      <c r="O99" s="180"/>
      <c r="P99" s="180"/>
      <c r="Q99" s="180" t="s">
        <v>61</v>
      </c>
      <c r="R99" s="180"/>
      <c r="S99" s="179"/>
      <c r="T99" s="265">
        <v>45298</v>
      </c>
      <c r="U99" s="181">
        <v>45663</v>
      </c>
      <c r="V99" s="182"/>
      <c r="W99" s="183"/>
      <c r="X99" s="184"/>
      <c r="Y99" s="185" t="str">
        <f t="shared" si="4"/>
        <v>項目名:企画予算</v>
      </c>
      <c r="Z99" s="236" t="s">
        <v>176</v>
      </c>
    </row>
    <row r="100" spans="1:26" ht="11.4" x14ac:dyDescent="0.15">
      <c r="A100" s="175">
        <f t="shared" si="1"/>
        <v>98</v>
      </c>
      <c r="B100" s="176"/>
      <c r="C100" s="176"/>
      <c r="D100" s="176"/>
      <c r="E100" s="176"/>
      <c r="F100" s="186"/>
      <c r="G100" s="227" t="s">
        <v>118</v>
      </c>
      <c r="H100" s="177"/>
      <c r="I100" s="178"/>
      <c r="J100" s="178"/>
      <c r="K100" s="179"/>
      <c r="L100" s="177"/>
      <c r="M100" s="178"/>
      <c r="N100" s="178"/>
      <c r="O100" s="180"/>
      <c r="P100" s="180"/>
      <c r="Q100" s="180" t="s">
        <v>61</v>
      </c>
      <c r="R100" s="180"/>
      <c r="S100" s="179"/>
      <c r="T100" s="265">
        <v>45298</v>
      </c>
      <c r="U100" s="181">
        <v>45663</v>
      </c>
      <c r="V100" s="182"/>
      <c r="W100" s="183"/>
      <c r="X100" s="184"/>
      <c r="Y100" s="185" t="str">
        <f t="shared" si="4"/>
        <v>項目名:企画削除日数</v>
      </c>
      <c r="Z100" s="236" t="s">
        <v>177</v>
      </c>
    </row>
    <row r="101" spans="1:26" ht="11.4" x14ac:dyDescent="0.15">
      <c r="A101" s="175">
        <f t="shared" si="1"/>
        <v>99</v>
      </c>
      <c r="B101" s="176"/>
      <c r="C101" s="176"/>
      <c r="D101" s="176"/>
      <c r="E101" s="176"/>
      <c r="F101" s="186"/>
      <c r="G101" s="227" t="s">
        <v>118</v>
      </c>
      <c r="H101" s="177"/>
      <c r="I101" s="178"/>
      <c r="J101" s="178"/>
      <c r="K101" s="179"/>
      <c r="L101" s="177"/>
      <c r="M101" s="178"/>
      <c r="N101" s="178"/>
      <c r="O101" s="180"/>
      <c r="P101" s="180"/>
      <c r="Q101" s="180" t="s">
        <v>61</v>
      </c>
      <c r="R101" s="180"/>
      <c r="S101" s="179"/>
      <c r="T101" s="265">
        <v>45298</v>
      </c>
      <c r="U101" s="181">
        <v>45663</v>
      </c>
      <c r="V101" s="182"/>
      <c r="W101" s="183"/>
      <c r="X101" s="184"/>
      <c r="Y101" s="185" t="str">
        <f t="shared" si="4"/>
        <v>項目名:企画優先区分</v>
      </c>
      <c r="Z101" s="236" t="s">
        <v>178</v>
      </c>
    </row>
    <row r="102" spans="1:26" ht="11.4" x14ac:dyDescent="0.15">
      <c r="A102" s="175">
        <f t="shared" si="1"/>
        <v>100</v>
      </c>
      <c r="B102" s="176"/>
      <c r="C102" s="176"/>
      <c r="D102" s="176"/>
      <c r="E102" s="176"/>
      <c r="F102" s="186"/>
      <c r="G102" s="227" t="s">
        <v>118</v>
      </c>
      <c r="H102" s="177"/>
      <c r="I102" s="178"/>
      <c r="J102" s="178"/>
      <c r="K102" s="179"/>
      <c r="L102" s="177"/>
      <c r="M102" s="178"/>
      <c r="N102" s="178"/>
      <c r="O102" s="180"/>
      <c r="P102" s="180"/>
      <c r="Q102" s="180" t="s">
        <v>61</v>
      </c>
      <c r="R102" s="180"/>
      <c r="S102" s="179"/>
      <c r="T102" s="265">
        <v>45298</v>
      </c>
      <c r="U102" s="181">
        <v>45663</v>
      </c>
      <c r="V102" s="182"/>
      <c r="W102" s="183"/>
      <c r="X102" s="184"/>
      <c r="Y102" s="185" t="str">
        <f t="shared" si="4"/>
        <v>項目名:タイムサービスフラグ</v>
      </c>
      <c r="Z102" s="236" t="s">
        <v>179</v>
      </c>
    </row>
    <row r="103" spans="1:26" ht="11.4" x14ac:dyDescent="0.15">
      <c r="A103" s="175">
        <f t="shared" si="1"/>
        <v>101</v>
      </c>
      <c r="B103" s="176"/>
      <c r="C103" s="176"/>
      <c r="D103" s="176"/>
      <c r="E103" s="176"/>
      <c r="F103" s="186"/>
      <c r="G103" s="227" t="s">
        <v>118</v>
      </c>
      <c r="H103" s="177"/>
      <c r="I103" s="178"/>
      <c r="J103" s="178"/>
      <c r="K103" s="179"/>
      <c r="L103" s="177"/>
      <c r="M103" s="178"/>
      <c r="N103" s="178"/>
      <c r="O103" s="180"/>
      <c r="P103" s="180"/>
      <c r="Q103" s="180" t="s">
        <v>61</v>
      </c>
      <c r="R103" s="180"/>
      <c r="S103" s="179"/>
      <c r="T103" s="265">
        <v>45298</v>
      </c>
      <c r="U103" s="181">
        <v>45663</v>
      </c>
      <c r="V103" s="182"/>
      <c r="W103" s="183"/>
      <c r="X103" s="184"/>
      <c r="Y103" s="185" t="str">
        <f t="shared" si="4"/>
        <v>項目名:月曜日除外フラグ</v>
      </c>
      <c r="Z103" s="236" t="s">
        <v>180</v>
      </c>
    </row>
    <row r="104" spans="1:26" ht="11.4" x14ac:dyDescent="0.15">
      <c r="A104" s="175">
        <f t="shared" si="1"/>
        <v>102</v>
      </c>
      <c r="B104" s="176"/>
      <c r="C104" s="176"/>
      <c r="D104" s="176"/>
      <c r="E104" s="176"/>
      <c r="F104" s="186"/>
      <c r="G104" s="227" t="s">
        <v>118</v>
      </c>
      <c r="H104" s="177"/>
      <c r="I104" s="178"/>
      <c r="J104" s="178"/>
      <c r="K104" s="179"/>
      <c r="L104" s="177"/>
      <c r="M104" s="178"/>
      <c r="N104" s="178"/>
      <c r="O104" s="180"/>
      <c r="P104" s="180"/>
      <c r="Q104" s="180" t="s">
        <v>61</v>
      </c>
      <c r="R104" s="180"/>
      <c r="S104" s="179"/>
      <c r="T104" s="265">
        <v>45298</v>
      </c>
      <c r="U104" s="181">
        <v>45663</v>
      </c>
      <c r="V104" s="182"/>
      <c r="W104" s="183"/>
      <c r="X104" s="184"/>
      <c r="Y104" s="185" t="str">
        <f t="shared" si="4"/>
        <v>項目名:火曜日除外フラグ</v>
      </c>
      <c r="Z104" s="236" t="s">
        <v>181</v>
      </c>
    </row>
    <row r="105" spans="1:26" ht="11.4" x14ac:dyDescent="0.15">
      <c r="A105" s="175">
        <f t="shared" si="1"/>
        <v>103</v>
      </c>
      <c r="B105" s="176"/>
      <c r="C105" s="176"/>
      <c r="D105" s="176"/>
      <c r="E105" s="176"/>
      <c r="F105" s="186"/>
      <c r="G105" s="227" t="s">
        <v>118</v>
      </c>
      <c r="H105" s="177"/>
      <c r="I105" s="178"/>
      <c r="J105" s="178"/>
      <c r="K105" s="179"/>
      <c r="L105" s="177"/>
      <c r="M105" s="178"/>
      <c r="N105" s="178"/>
      <c r="O105" s="180"/>
      <c r="P105" s="180"/>
      <c r="Q105" s="180" t="s">
        <v>61</v>
      </c>
      <c r="R105" s="180"/>
      <c r="S105" s="179"/>
      <c r="T105" s="265">
        <v>45298</v>
      </c>
      <c r="U105" s="181">
        <v>45663</v>
      </c>
      <c r="V105" s="182"/>
      <c r="W105" s="183"/>
      <c r="X105" s="184"/>
      <c r="Y105" s="185" t="str">
        <f t="shared" si="4"/>
        <v>項目名:水曜日除外フラグ</v>
      </c>
      <c r="Z105" s="236" t="s">
        <v>182</v>
      </c>
    </row>
    <row r="106" spans="1:26" ht="11.4" x14ac:dyDescent="0.15">
      <c r="A106" s="175">
        <f t="shared" si="1"/>
        <v>104</v>
      </c>
      <c r="B106" s="176"/>
      <c r="C106" s="176"/>
      <c r="D106" s="176"/>
      <c r="E106" s="176"/>
      <c r="F106" s="186"/>
      <c r="G106" s="227" t="s">
        <v>118</v>
      </c>
      <c r="H106" s="177"/>
      <c r="I106" s="178"/>
      <c r="J106" s="178"/>
      <c r="K106" s="179"/>
      <c r="L106" s="177"/>
      <c r="M106" s="178"/>
      <c r="N106" s="178"/>
      <c r="O106" s="180"/>
      <c r="P106" s="180"/>
      <c r="Q106" s="180" t="s">
        <v>61</v>
      </c>
      <c r="R106" s="180"/>
      <c r="S106" s="179"/>
      <c r="T106" s="265">
        <v>45298</v>
      </c>
      <c r="U106" s="181">
        <v>45663</v>
      </c>
      <c r="V106" s="182"/>
      <c r="W106" s="183"/>
      <c r="X106" s="184"/>
      <c r="Y106" s="185" t="str">
        <f t="shared" si="4"/>
        <v>項目名:木曜日除外フラグ</v>
      </c>
      <c r="Z106" s="236" t="s">
        <v>183</v>
      </c>
    </row>
    <row r="107" spans="1:26" ht="11.4" x14ac:dyDescent="0.15">
      <c r="A107" s="175">
        <f t="shared" si="1"/>
        <v>105</v>
      </c>
      <c r="B107" s="176"/>
      <c r="C107" s="176"/>
      <c r="D107" s="176"/>
      <c r="E107" s="176"/>
      <c r="F107" s="186"/>
      <c r="G107" s="227" t="s">
        <v>118</v>
      </c>
      <c r="H107" s="177"/>
      <c r="I107" s="178"/>
      <c r="J107" s="178"/>
      <c r="K107" s="179"/>
      <c r="L107" s="177"/>
      <c r="M107" s="178"/>
      <c r="N107" s="178"/>
      <c r="O107" s="180"/>
      <c r="P107" s="180"/>
      <c r="Q107" s="180" t="s">
        <v>61</v>
      </c>
      <c r="R107" s="180"/>
      <c r="S107" s="179"/>
      <c r="T107" s="265">
        <v>45298</v>
      </c>
      <c r="U107" s="181">
        <v>45663</v>
      </c>
      <c r="V107" s="182"/>
      <c r="W107" s="183"/>
      <c r="X107" s="184"/>
      <c r="Y107" s="185" t="str">
        <f t="shared" si="4"/>
        <v>項目名:金曜日除外フラグ</v>
      </c>
      <c r="Z107" s="236" t="s">
        <v>184</v>
      </c>
    </row>
    <row r="108" spans="1:26" ht="11.4" x14ac:dyDescent="0.15">
      <c r="A108" s="175">
        <f t="shared" si="1"/>
        <v>106</v>
      </c>
      <c r="B108" s="176"/>
      <c r="C108" s="176"/>
      <c r="D108" s="176"/>
      <c r="E108" s="176"/>
      <c r="F108" s="186"/>
      <c r="G108" s="227" t="s">
        <v>118</v>
      </c>
      <c r="H108" s="177"/>
      <c r="I108" s="178"/>
      <c r="J108" s="178"/>
      <c r="K108" s="179"/>
      <c r="L108" s="177"/>
      <c r="M108" s="178"/>
      <c r="N108" s="178"/>
      <c r="O108" s="180"/>
      <c r="P108" s="180"/>
      <c r="Q108" s="180" t="s">
        <v>61</v>
      </c>
      <c r="R108" s="180"/>
      <c r="S108" s="179"/>
      <c r="T108" s="265">
        <v>45298</v>
      </c>
      <c r="U108" s="181">
        <v>45663</v>
      </c>
      <c r="V108" s="182"/>
      <c r="W108" s="183"/>
      <c r="X108" s="184"/>
      <c r="Y108" s="185" t="str">
        <f t="shared" si="4"/>
        <v>項目名:土曜日除外フラグ</v>
      </c>
      <c r="Z108" s="236" t="s">
        <v>185</v>
      </c>
    </row>
    <row r="109" spans="1:26" ht="11.4" x14ac:dyDescent="0.15">
      <c r="A109" s="175">
        <f t="shared" si="1"/>
        <v>107</v>
      </c>
      <c r="B109" s="176"/>
      <c r="C109" s="176"/>
      <c r="D109" s="176"/>
      <c r="E109" s="176"/>
      <c r="F109" s="186"/>
      <c r="G109" s="227" t="s">
        <v>118</v>
      </c>
      <c r="H109" s="177"/>
      <c r="I109" s="178"/>
      <c r="J109" s="178"/>
      <c r="K109" s="179"/>
      <c r="L109" s="177"/>
      <c r="M109" s="178"/>
      <c r="N109" s="178"/>
      <c r="O109" s="180"/>
      <c r="P109" s="180"/>
      <c r="Q109" s="180" t="s">
        <v>61</v>
      </c>
      <c r="R109" s="180"/>
      <c r="S109" s="179"/>
      <c r="T109" s="265">
        <v>45298</v>
      </c>
      <c r="U109" s="181">
        <v>45663</v>
      </c>
      <c r="V109" s="182"/>
      <c r="W109" s="183"/>
      <c r="X109" s="184"/>
      <c r="Y109" s="185" t="str">
        <f t="shared" si="4"/>
        <v>項目名:日曜日除外フラグ</v>
      </c>
      <c r="Z109" s="236" t="s">
        <v>186</v>
      </c>
    </row>
    <row r="110" spans="1:26" ht="11.4" x14ac:dyDescent="0.15">
      <c r="A110" s="175">
        <f t="shared" si="1"/>
        <v>108</v>
      </c>
      <c r="B110" s="176"/>
      <c r="C110" s="176"/>
      <c r="D110" s="176"/>
      <c r="E110" s="176"/>
      <c r="F110" s="186"/>
      <c r="G110" s="227" t="s">
        <v>118</v>
      </c>
      <c r="H110" s="177"/>
      <c r="I110" s="178"/>
      <c r="J110" s="178"/>
      <c r="K110" s="179"/>
      <c r="L110" s="177"/>
      <c r="M110" s="178"/>
      <c r="N110" s="178"/>
      <c r="O110" s="180"/>
      <c r="P110" s="180"/>
      <c r="Q110" s="180" t="s">
        <v>61</v>
      </c>
      <c r="R110" s="180"/>
      <c r="S110" s="179"/>
      <c r="T110" s="265">
        <v>45298</v>
      </c>
      <c r="U110" s="181">
        <v>45663</v>
      </c>
      <c r="V110" s="182"/>
      <c r="W110" s="183"/>
      <c r="X110" s="184"/>
      <c r="Y110" s="185" t="str">
        <f t="shared" si="4"/>
        <v>項目名:内部イベントコード</v>
      </c>
      <c r="Z110" s="236" t="s">
        <v>187</v>
      </c>
    </row>
    <row r="111" spans="1:26" ht="11.4" x14ac:dyDescent="0.15">
      <c r="A111" s="175">
        <f t="shared" si="1"/>
        <v>109</v>
      </c>
      <c r="B111" s="176"/>
      <c r="C111" s="176"/>
      <c r="D111" s="176"/>
      <c r="E111" s="176"/>
      <c r="F111" s="186"/>
      <c r="G111" s="227" t="s">
        <v>118</v>
      </c>
      <c r="H111" s="177"/>
      <c r="I111" s="178"/>
      <c r="J111" s="178"/>
      <c r="K111" s="179"/>
      <c r="L111" s="177"/>
      <c r="M111" s="178"/>
      <c r="N111" s="178"/>
      <c r="O111" s="180"/>
      <c r="P111" s="180"/>
      <c r="Q111" s="180" t="s">
        <v>61</v>
      </c>
      <c r="R111" s="180"/>
      <c r="S111" s="179"/>
      <c r="T111" s="265">
        <v>45298</v>
      </c>
      <c r="U111" s="181">
        <v>45666</v>
      </c>
      <c r="V111" s="182"/>
      <c r="W111" s="183"/>
      <c r="X111" s="184"/>
      <c r="Y111" s="185" t="str">
        <f t="shared" si="4"/>
        <v>項目名:作成日</v>
      </c>
      <c r="Z111" s="236" t="s">
        <v>168</v>
      </c>
    </row>
    <row r="112" spans="1:26" ht="11.4" x14ac:dyDescent="0.15">
      <c r="A112" s="175">
        <f t="shared" si="1"/>
        <v>110</v>
      </c>
      <c r="B112" s="176"/>
      <c r="C112" s="176"/>
      <c r="D112" s="176"/>
      <c r="E112" s="176"/>
      <c r="F112" s="186"/>
      <c r="G112" s="227" t="s">
        <v>136</v>
      </c>
      <c r="H112" s="177"/>
      <c r="I112" s="178"/>
      <c r="J112" s="178"/>
      <c r="K112" s="179"/>
      <c r="L112" s="177"/>
      <c r="M112" s="178"/>
      <c r="N112" s="178"/>
      <c r="O112" s="180"/>
      <c r="P112" s="180"/>
      <c r="Q112" s="180" t="s">
        <v>61</v>
      </c>
      <c r="R112" s="180"/>
      <c r="S112" s="179"/>
      <c r="T112" s="265">
        <v>45298</v>
      </c>
      <c r="U112" s="181">
        <v>45665</v>
      </c>
      <c r="V112" s="182"/>
      <c r="W112" s="183"/>
      <c r="X112" s="184"/>
      <c r="Y112" s="185" t="str">
        <f t="shared" si="4"/>
        <v>項目名:未使用項目や空白固定項目</v>
      </c>
      <c r="Z112" s="236" t="s">
        <v>137</v>
      </c>
    </row>
    <row r="113" spans="1:26" ht="22.8" x14ac:dyDescent="0.15">
      <c r="A113" s="175">
        <f t="shared" si="1"/>
        <v>111</v>
      </c>
      <c r="B113" s="176"/>
      <c r="C113" s="176"/>
      <c r="D113" s="186"/>
      <c r="E113" s="186" t="s">
        <v>188</v>
      </c>
      <c r="F113" s="186" t="s">
        <v>108</v>
      </c>
      <c r="G113" s="227" t="s">
        <v>109</v>
      </c>
      <c r="H113" s="177"/>
      <c r="I113" s="178"/>
      <c r="J113" s="178"/>
      <c r="K113" s="179"/>
      <c r="L113" s="177"/>
      <c r="M113" s="178"/>
      <c r="N113" s="178"/>
      <c r="O113" s="180"/>
      <c r="P113" s="180"/>
      <c r="Q113" s="180"/>
      <c r="R113" s="180"/>
      <c r="S113" s="179" t="s">
        <v>56</v>
      </c>
      <c r="T113" s="265">
        <v>45298</v>
      </c>
      <c r="U113" s="181">
        <v>45667</v>
      </c>
      <c r="V113" s="182"/>
      <c r="W113" s="183"/>
      <c r="X113" s="184"/>
      <c r="Y113" s="229" t="s">
        <v>1108</v>
      </c>
      <c r="Z113" s="256" t="s">
        <v>189</v>
      </c>
    </row>
    <row r="114" spans="1:26" ht="11.4" x14ac:dyDescent="0.15">
      <c r="A114" s="175">
        <f t="shared" si="1"/>
        <v>112</v>
      </c>
      <c r="B114" s="176"/>
      <c r="C114" s="176"/>
      <c r="D114" s="176"/>
      <c r="E114" s="176"/>
      <c r="F114" s="186"/>
      <c r="G114" s="227" t="s">
        <v>110</v>
      </c>
      <c r="H114" s="177"/>
      <c r="I114" s="178"/>
      <c r="J114" s="178"/>
      <c r="K114" s="179"/>
      <c r="L114" s="177"/>
      <c r="M114" s="178"/>
      <c r="N114" s="178"/>
      <c r="O114" s="180"/>
      <c r="P114" s="180" t="s">
        <v>61</v>
      </c>
      <c r="Q114" s="180"/>
      <c r="R114" s="180"/>
      <c r="S114" s="179"/>
      <c r="T114" s="265">
        <v>45298</v>
      </c>
      <c r="U114" s="181">
        <v>45663</v>
      </c>
      <c r="V114" s="182"/>
      <c r="W114" s="183"/>
      <c r="X114" s="184"/>
      <c r="Y114" s="185" t="s">
        <v>190</v>
      </c>
    </row>
    <row r="115" spans="1:26" ht="11.4" x14ac:dyDescent="0.15">
      <c r="A115" s="175">
        <f t="shared" si="1"/>
        <v>113</v>
      </c>
      <c r="B115" s="176"/>
      <c r="C115" s="176"/>
      <c r="D115" s="176"/>
      <c r="E115" s="176"/>
      <c r="F115" s="186"/>
      <c r="G115" s="227" t="s">
        <v>112</v>
      </c>
      <c r="H115" s="177"/>
      <c r="I115" s="178"/>
      <c r="J115" s="178"/>
      <c r="K115" s="179"/>
      <c r="L115" s="177"/>
      <c r="M115" s="178"/>
      <c r="N115" s="178"/>
      <c r="O115" s="180" t="s">
        <v>61</v>
      </c>
      <c r="P115" s="180"/>
      <c r="Q115" s="180"/>
      <c r="R115" s="180"/>
      <c r="S115" s="179"/>
      <c r="T115" s="265">
        <v>45298</v>
      </c>
      <c r="U115" s="181">
        <v>45663</v>
      </c>
      <c r="V115" s="182"/>
      <c r="W115" s="183"/>
      <c r="X115" s="184"/>
      <c r="Y115" s="185" t="s">
        <v>113</v>
      </c>
    </row>
    <row r="116" spans="1:26" ht="22.8" x14ac:dyDescent="0.15">
      <c r="A116" s="175">
        <f t="shared" si="1"/>
        <v>114</v>
      </c>
      <c r="B116" s="176"/>
      <c r="C116" s="176"/>
      <c r="D116" s="176"/>
      <c r="E116" s="176"/>
      <c r="F116" s="186"/>
      <c r="G116" s="227" t="s">
        <v>112</v>
      </c>
      <c r="H116" s="177"/>
      <c r="I116" s="178"/>
      <c r="J116" s="178"/>
      <c r="K116" s="179"/>
      <c r="L116" s="177"/>
      <c r="M116" s="178"/>
      <c r="N116" s="178"/>
      <c r="O116" s="180" t="s">
        <v>61</v>
      </c>
      <c r="P116" s="180"/>
      <c r="Q116" s="180"/>
      <c r="R116" s="180"/>
      <c r="S116" s="179"/>
      <c r="T116" s="265">
        <v>45298</v>
      </c>
      <c r="U116" s="181">
        <v>45667</v>
      </c>
      <c r="V116" s="182"/>
      <c r="W116" s="183"/>
      <c r="X116" s="184"/>
      <c r="Y116" s="185" t="s">
        <v>1109</v>
      </c>
    </row>
    <row r="117" spans="1:26" ht="11.4" x14ac:dyDescent="0.15">
      <c r="A117" s="175">
        <f t="shared" si="1"/>
        <v>115</v>
      </c>
      <c r="B117" s="176"/>
      <c r="C117" s="176"/>
      <c r="D117" s="176"/>
      <c r="E117" s="176"/>
      <c r="F117" s="186"/>
      <c r="G117" s="227" t="s">
        <v>112</v>
      </c>
      <c r="H117" s="177"/>
      <c r="I117" s="178"/>
      <c r="J117" s="178"/>
      <c r="K117" s="179"/>
      <c r="L117" s="177"/>
      <c r="M117" s="178"/>
      <c r="N117" s="178"/>
      <c r="O117" s="180" t="s">
        <v>61</v>
      </c>
      <c r="P117" s="180"/>
      <c r="Q117" s="180"/>
      <c r="R117" s="180"/>
      <c r="S117" s="179"/>
      <c r="T117" s="265">
        <v>45298</v>
      </c>
      <c r="U117" s="181">
        <v>45663</v>
      </c>
      <c r="V117" s="182"/>
      <c r="W117" s="183"/>
      <c r="X117" s="184"/>
      <c r="Y117" s="185" t="s">
        <v>115</v>
      </c>
    </row>
    <row r="118" spans="1:26" ht="11.4" x14ac:dyDescent="0.15">
      <c r="A118" s="175">
        <f t="shared" si="1"/>
        <v>116</v>
      </c>
      <c r="B118" s="176"/>
      <c r="C118" s="176"/>
      <c r="D118" s="176"/>
      <c r="E118" s="176"/>
      <c r="F118" s="186"/>
      <c r="G118" s="227" t="s">
        <v>112</v>
      </c>
      <c r="H118" s="177"/>
      <c r="I118" s="178"/>
      <c r="J118" s="178"/>
      <c r="K118" s="179"/>
      <c r="L118" s="177"/>
      <c r="M118" s="178"/>
      <c r="N118" s="178"/>
      <c r="O118" s="180" t="s">
        <v>61</v>
      </c>
      <c r="P118" s="180"/>
      <c r="Q118" s="180"/>
      <c r="R118" s="180"/>
      <c r="S118" s="179"/>
      <c r="T118" s="265">
        <v>45298</v>
      </c>
      <c r="U118" s="181">
        <v>45663</v>
      </c>
      <c r="V118" s="182"/>
      <c r="W118" s="183"/>
      <c r="X118" s="184"/>
      <c r="Y118" s="185" t="s">
        <v>116</v>
      </c>
    </row>
    <row r="119" spans="1:26" ht="11.4" x14ac:dyDescent="0.15">
      <c r="A119" s="175">
        <f t="shared" si="1"/>
        <v>117</v>
      </c>
      <c r="B119" s="176"/>
      <c r="C119" s="176"/>
      <c r="D119" s="176"/>
      <c r="E119" s="176"/>
      <c r="F119" s="186"/>
      <c r="G119" s="227" t="s">
        <v>112</v>
      </c>
      <c r="H119" s="177"/>
      <c r="I119" s="178"/>
      <c r="J119" s="178"/>
      <c r="K119" s="179"/>
      <c r="L119" s="177"/>
      <c r="M119" s="178"/>
      <c r="N119" s="178"/>
      <c r="O119" s="180" t="s">
        <v>61</v>
      </c>
      <c r="P119" s="180"/>
      <c r="Q119" s="180"/>
      <c r="R119" s="180"/>
      <c r="S119" s="179"/>
      <c r="T119" s="265">
        <v>45298</v>
      </c>
      <c r="U119" s="181">
        <v>45663</v>
      </c>
      <c r="V119" s="182"/>
      <c r="W119" s="183"/>
      <c r="X119" s="184"/>
      <c r="Y119" s="185" t="s">
        <v>117</v>
      </c>
    </row>
    <row r="120" spans="1:26" ht="11.4" x14ac:dyDescent="0.15">
      <c r="A120" s="175">
        <f t="shared" si="1"/>
        <v>118</v>
      </c>
      <c r="B120" s="176"/>
      <c r="C120" s="176"/>
      <c r="D120" s="176"/>
      <c r="E120" s="176"/>
      <c r="F120" s="186"/>
      <c r="G120" s="227" t="s">
        <v>118</v>
      </c>
      <c r="H120" s="177"/>
      <c r="I120" s="178"/>
      <c r="J120" s="178"/>
      <c r="K120" s="179"/>
      <c r="L120" s="177"/>
      <c r="M120" s="178"/>
      <c r="N120" s="178"/>
      <c r="O120" s="180"/>
      <c r="P120" s="180"/>
      <c r="Q120" s="180" t="s">
        <v>61</v>
      </c>
      <c r="R120" s="180"/>
      <c r="S120" s="179"/>
      <c r="T120" s="265">
        <v>45298</v>
      </c>
      <c r="U120" s="181">
        <v>45663</v>
      </c>
      <c r="V120" s="182"/>
      <c r="W120" s="183"/>
      <c r="X120" s="184"/>
      <c r="Y120" s="185" t="str">
        <f t="shared" ref="Y120:Y150" si="5">"項目名:"&amp;Z120</f>
        <v>項目名:処理区分</v>
      </c>
      <c r="Z120" s="236" t="s">
        <v>142</v>
      </c>
    </row>
    <row r="121" spans="1:26" ht="11.4" x14ac:dyDescent="0.15">
      <c r="A121" s="175">
        <f t="shared" si="1"/>
        <v>119</v>
      </c>
      <c r="B121" s="176"/>
      <c r="C121" s="176"/>
      <c r="D121" s="176"/>
      <c r="E121" s="176"/>
      <c r="F121" s="186"/>
      <c r="G121" s="227" t="s">
        <v>118</v>
      </c>
      <c r="H121" s="177"/>
      <c r="I121" s="178"/>
      <c r="J121" s="178"/>
      <c r="K121" s="179"/>
      <c r="L121" s="177"/>
      <c r="M121" s="178"/>
      <c r="N121" s="178"/>
      <c r="O121" s="180"/>
      <c r="P121" s="180"/>
      <c r="Q121" s="180" t="s">
        <v>61</v>
      </c>
      <c r="R121" s="180"/>
      <c r="S121" s="179"/>
      <c r="T121" s="265">
        <v>45298</v>
      </c>
      <c r="U121" s="181">
        <v>45663</v>
      </c>
      <c r="V121" s="182"/>
      <c r="W121" s="183"/>
      <c r="X121" s="184"/>
      <c r="Y121" s="185" t="str">
        <f t="shared" si="5"/>
        <v>項目名:店舗コード</v>
      </c>
      <c r="Z121" s="236" t="s">
        <v>144</v>
      </c>
    </row>
    <row r="122" spans="1:26" ht="11.4" x14ac:dyDescent="0.15">
      <c r="A122" s="175">
        <f t="shared" si="1"/>
        <v>120</v>
      </c>
      <c r="B122" s="176"/>
      <c r="C122" s="176"/>
      <c r="D122" s="176"/>
      <c r="E122" s="176"/>
      <c r="F122" s="186"/>
      <c r="G122" s="227" t="s">
        <v>118</v>
      </c>
      <c r="H122" s="177"/>
      <c r="I122" s="178"/>
      <c r="J122" s="178"/>
      <c r="K122" s="179"/>
      <c r="L122" s="177"/>
      <c r="M122" s="178"/>
      <c r="N122" s="178"/>
      <c r="O122" s="180"/>
      <c r="P122" s="180"/>
      <c r="Q122" s="180" t="s">
        <v>61</v>
      </c>
      <c r="R122" s="180"/>
      <c r="S122" s="179"/>
      <c r="T122" s="265">
        <v>45298</v>
      </c>
      <c r="U122" s="181">
        <v>45663</v>
      </c>
      <c r="V122" s="182"/>
      <c r="W122" s="183"/>
      <c r="X122" s="184"/>
      <c r="Y122" s="185" t="str">
        <f t="shared" si="5"/>
        <v>項目名:企画No.</v>
      </c>
      <c r="Z122" s="236" t="s">
        <v>172</v>
      </c>
    </row>
    <row r="123" spans="1:26" ht="11.4" x14ac:dyDescent="0.15">
      <c r="A123" s="175">
        <f t="shared" si="1"/>
        <v>121</v>
      </c>
      <c r="B123" s="176"/>
      <c r="C123" s="176"/>
      <c r="D123" s="176"/>
      <c r="E123" s="176"/>
      <c r="F123" s="186"/>
      <c r="G123" s="227" t="s">
        <v>118</v>
      </c>
      <c r="H123" s="177"/>
      <c r="I123" s="178"/>
      <c r="J123" s="178"/>
      <c r="K123" s="179"/>
      <c r="L123" s="177"/>
      <c r="M123" s="178"/>
      <c r="N123" s="178"/>
      <c r="O123" s="180"/>
      <c r="P123" s="180"/>
      <c r="Q123" s="180" t="s">
        <v>61</v>
      </c>
      <c r="R123" s="180"/>
      <c r="S123" s="179"/>
      <c r="T123" s="265">
        <v>45298</v>
      </c>
      <c r="U123" s="181">
        <v>45663</v>
      </c>
      <c r="V123" s="182"/>
      <c r="W123" s="183"/>
      <c r="X123" s="184"/>
      <c r="Y123" s="185" t="str">
        <f t="shared" si="5"/>
        <v>項目名:会員フラグ</v>
      </c>
      <c r="Z123" s="236" t="s">
        <v>191</v>
      </c>
    </row>
    <row r="124" spans="1:26" ht="11.4" x14ac:dyDescent="0.15">
      <c r="A124" s="175">
        <f t="shared" si="1"/>
        <v>122</v>
      </c>
      <c r="B124" s="176"/>
      <c r="C124" s="176"/>
      <c r="D124" s="176"/>
      <c r="E124" s="176"/>
      <c r="F124" s="186"/>
      <c r="G124" s="227" t="s">
        <v>118</v>
      </c>
      <c r="H124" s="177"/>
      <c r="I124" s="178"/>
      <c r="J124" s="178"/>
      <c r="K124" s="179"/>
      <c r="L124" s="177"/>
      <c r="M124" s="178"/>
      <c r="N124" s="178"/>
      <c r="O124" s="180"/>
      <c r="P124" s="180"/>
      <c r="Q124" s="180" t="s">
        <v>61</v>
      </c>
      <c r="R124" s="180"/>
      <c r="S124" s="179"/>
      <c r="T124" s="265">
        <v>45298</v>
      </c>
      <c r="U124" s="181">
        <v>45663</v>
      </c>
      <c r="V124" s="182"/>
      <c r="W124" s="183"/>
      <c r="X124" s="184"/>
      <c r="Y124" s="185" t="str">
        <f t="shared" si="5"/>
        <v>項目名:自社商品コード</v>
      </c>
      <c r="Z124" s="236" t="s">
        <v>143</v>
      </c>
    </row>
    <row r="125" spans="1:26" ht="11.4" x14ac:dyDescent="0.15">
      <c r="A125" s="175">
        <f t="shared" si="1"/>
        <v>123</v>
      </c>
      <c r="B125" s="176"/>
      <c r="C125" s="176"/>
      <c r="D125" s="176"/>
      <c r="E125" s="176"/>
      <c r="F125" s="186"/>
      <c r="G125" s="227" t="s">
        <v>118</v>
      </c>
      <c r="H125" s="177"/>
      <c r="I125" s="178"/>
      <c r="J125" s="178"/>
      <c r="K125" s="179"/>
      <c r="L125" s="177"/>
      <c r="M125" s="178"/>
      <c r="N125" s="178"/>
      <c r="O125" s="180"/>
      <c r="P125" s="180"/>
      <c r="Q125" s="180" t="s">
        <v>61</v>
      </c>
      <c r="R125" s="180"/>
      <c r="S125" s="179"/>
      <c r="T125" s="265">
        <v>45298</v>
      </c>
      <c r="U125" s="181">
        <v>45663</v>
      </c>
      <c r="V125" s="182"/>
      <c r="W125" s="183"/>
      <c r="X125" s="184"/>
      <c r="Y125" s="185" t="str">
        <f t="shared" si="5"/>
        <v>項目名:特売開始日</v>
      </c>
      <c r="Z125" s="236" t="s">
        <v>192</v>
      </c>
    </row>
    <row r="126" spans="1:26" ht="11.4" x14ac:dyDescent="0.15">
      <c r="A126" s="175">
        <f t="shared" si="1"/>
        <v>124</v>
      </c>
      <c r="B126" s="176"/>
      <c r="C126" s="176"/>
      <c r="D126" s="176"/>
      <c r="E126" s="176"/>
      <c r="F126" s="186"/>
      <c r="G126" s="227" t="s">
        <v>118</v>
      </c>
      <c r="H126" s="177"/>
      <c r="I126" s="178"/>
      <c r="J126" s="178"/>
      <c r="K126" s="179"/>
      <c r="L126" s="177"/>
      <c r="M126" s="178"/>
      <c r="N126" s="178"/>
      <c r="O126" s="180"/>
      <c r="P126" s="180"/>
      <c r="Q126" s="180" t="s">
        <v>61</v>
      </c>
      <c r="R126" s="180"/>
      <c r="S126" s="179"/>
      <c r="T126" s="265">
        <v>45298</v>
      </c>
      <c r="U126" s="181">
        <v>45663</v>
      </c>
      <c r="V126" s="182"/>
      <c r="W126" s="183"/>
      <c r="X126" s="184"/>
      <c r="Y126" s="185" t="str">
        <f t="shared" si="5"/>
        <v>項目名:特売終了日</v>
      </c>
      <c r="Z126" s="236" t="s">
        <v>193</v>
      </c>
    </row>
    <row r="127" spans="1:26" ht="11.4" x14ac:dyDescent="0.15">
      <c r="A127" s="175">
        <f t="shared" si="1"/>
        <v>125</v>
      </c>
      <c r="B127" s="176"/>
      <c r="C127" s="176"/>
      <c r="D127" s="176"/>
      <c r="E127" s="176"/>
      <c r="F127" s="186"/>
      <c r="G127" s="227" t="s">
        <v>118</v>
      </c>
      <c r="H127" s="177"/>
      <c r="I127" s="178"/>
      <c r="J127" s="178"/>
      <c r="K127" s="179"/>
      <c r="L127" s="177"/>
      <c r="M127" s="178"/>
      <c r="N127" s="178"/>
      <c r="O127" s="180"/>
      <c r="P127" s="180"/>
      <c r="Q127" s="180" t="s">
        <v>61</v>
      </c>
      <c r="R127" s="180"/>
      <c r="S127" s="179"/>
      <c r="T127" s="265">
        <v>45298</v>
      </c>
      <c r="U127" s="181">
        <v>45663</v>
      </c>
      <c r="V127" s="182"/>
      <c r="W127" s="183"/>
      <c r="X127" s="184"/>
      <c r="Y127" s="185" t="str">
        <f t="shared" si="5"/>
        <v>項目名:特売削除日数</v>
      </c>
      <c r="Z127" s="236" t="s">
        <v>194</v>
      </c>
    </row>
    <row r="128" spans="1:26" ht="11.4" x14ac:dyDescent="0.15">
      <c r="A128" s="175">
        <f t="shared" si="1"/>
        <v>126</v>
      </c>
      <c r="B128" s="176"/>
      <c r="C128" s="176"/>
      <c r="D128" s="176"/>
      <c r="E128" s="176"/>
      <c r="F128" s="186"/>
      <c r="G128" s="227" t="s">
        <v>118</v>
      </c>
      <c r="H128" s="177"/>
      <c r="I128" s="178"/>
      <c r="J128" s="178"/>
      <c r="K128" s="179"/>
      <c r="L128" s="177"/>
      <c r="M128" s="178"/>
      <c r="N128" s="178"/>
      <c r="O128" s="180"/>
      <c r="P128" s="180"/>
      <c r="Q128" s="180" t="s">
        <v>61</v>
      </c>
      <c r="R128" s="180"/>
      <c r="S128" s="179"/>
      <c r="T128" s="265">
        <v>45298</v>
      </c>
      <c r="U128" s="181">
        <v>45663</v>
      </c>
      <c r="V128" s="182"/>
      <c r="W128" s="183"/>
      <c r="X128" s="184"/>
      <c r="Y128" s="185" t="str">
        <f t="shared" si="5"/>
        <v>項目名:特売優先区分</v>
      </c>
      <c r="Z128" s="236" t="s">
        <v>195</v>
      </c>
    </row>
    <row r="129" spans="1:26" ht="11.4" x14ac:dyDescent="0.15">
      <c r="A129" s="175">
        <f t="shared" si="1"/>
        <v>127</v>
      </c>
      <c r="B129" s="176"/>
      <c r="C129" s="176"/>
      <c r="D129" s="176"/>
      <c r="E129" s="176"/>
      <c r="F129" s="186"/>
      <c r="G129" s="227" t="s">
        <v>118</v>
      </c>
      <c r="H129" s="177"/>
      <c r="I129" s="178"/>
      <c r="J129" s="178"/>
      <c r="K129" s="179"/>
      <c r="L129" s="177"/>
      <c r="M129" s="178"/>
      <c r="N129" s="178"/>
      <c r="O129" s="180"/>
      <c r="P129" s="180"/>
      <c r="Q129" s="180" t="s">
        <v>61</v>
      </c>
      <c r="R129" s="180"/>
      <c r="S129" s="179"/>
      <c r="T129" s="265">
        <v>45298</v>
      </c>
      <c r="U129" s="181">
        <v>45663</v>
      </c>
      <c r="V129" s="182"/>
      <c r="W129" s="183"/>
      <c r="X129" s="184"/>
      <c r="Y129" s="185" t="str">
        <f t="shared" si="5"/>
        <v>項目名:特売保留フラグ</v>
      </c>
      <c r="Z129" s="236" t="s">
        <v>196</v>
      </c>
    </row>
    <row r="130" spans="1:26" ht="11.4" x14ac:dyDescent="0.15">
      <c r="A130" s="175">
        <f t="shared" si="1"/>
        <v>128</v>
      </c>
      <c r="B130" s="176"/>
      <c r="C130" s="176"/>
      <c r="D130" s="176"/>
      <c r="E130" s="176"/>
      <c r="F130" s="186"/>
      <c r="G130" s="227" t="s">
        <v>118</v>
      </c>
      <c r="H130" s="177"/>
      <c r="I130" s="178"/>
      <c r="J130" s="178"/>
      <c r="K130" s="179"/>
      <c r="L130" s="177"/>
      <c r="M130" s="178"/>
      <c r="N130" s="178"/>
      <c r="O130" s="180"/>
      <c r="P130" s="180"/>
      <c r="Q130" s="180" t="s">
        <v>61</v>
      </c>
      <c r="R130" s="180"/>
      <c r="S130" s="179"/>
      <c r="T130" s="265">
        <v>45298</v>
      </c>
      <c r="U130" s="181">
        <v>45663</v>
      </c>
      <c r="V130" s="182"/>
      <c r="W130" s="183"/>
      <c r="X130" s="184"/>
      <c r="Y130" s="185" t="str">
        <f t="shared" si="5"/>
        <v>項目名:タイムサービスフラグ</v>
      </c>
      <c r="Z130" s="236" t="s">
        <v>179</v>
      </c>
    </row>
    <row r="131" spans="1:26" ht="11.4" x14ac:dyDescent="0.15">
      <c r="A131" s="175">
        <f t="shared" si="1"/>
        <v>129</v>
      </c>
      <c r="B131" s="176"/>
      <c r="C131" s="176"/>
      <c r="D131" s="176"/>
      <c r="E131" s="176"/>
      <c r="F131" s="186"/>
      <c r="G131" s="227" t="s">
        <v>118</v>
      </c>
      <c r="H131" s="177"/>
      <c r="I131" s="178"/>
      <c r="J131" s="178"/>
      <c r="K131" s="179"/>
      <c r="L131" s="177"/>
      <c r="M131" s="178"/>
      <c r="N131" s="178"/>
      <c r="O131" s="180"/>
      <c r="P131" s="180"/>
      <c r="Q131" s="180" t="s">
        <v>61</v>
      </c>
      <c r="R131" s="180"/>
      <c r="S131" s="179"/>
      <c r="T131" s="265">
        <v>45298</v>
      </c>
      <c r="U131" s="181">
        <v>45663</v>
      </c>
      <c r="V131" s="182"/>
      <c r="W131" s="183"/>
      <c r="X131" s="184"/>
      <c r="Y131" s="185" t="str">
        <f t="shared" si="5"/>
        <v>項目名:月曜日除外フラグ</v>
      </c>
      <c r="Z131" s="236" t="s">
        <v>180</v>
      </c>
    </row>
    <row r="132" spans="1:26" ht="11.4" x14ac:dyDescent="0.15">
      <c r="A132" s="175">
        <f t="shared" si="1"/>
        <v>130</v>
      </c>
      <c r="B132" s="176"/>
      <c r="C132" s="176"/>
      <c r="D132" s="176"/>
      <c r="E132" s="176"/>
      <c r="F132" s="186"/>
      <c r="G132" s="227" t="s">
        <v>118</v>
      </c>
      <c r="H132" s="177"/>
      <c r="I132" s="178"/>
      <c r="J132" s="178"/>
      <c r="K132" s="179"/>
      <c r="L132" s="177"/>
      <c r="M132" s="178"/>
      <c r="N132" s="178"/>
      <c r="O132" s="180"/>
      <c r="P132" s="180"/>
      <c r="Q132" s="180" t="s">
        <v>61</v>
      </c>
      <c r="R132" s="180"/>
      <c r="S132" s="179"/>
      <c r="T132" s="265">
        <v>45298</v>
      </c>
      <c r="U132" s="181">
        <v>45663</v>
      </c>
      <c r="V132" s="182"/>
      <c r="W132" s="183"/>
      <c r="X132" s="184"/>
      <c r="Y132" s="185" t="str">
        <f t="shared" si="5"/>
        <v>項目名:火曜日除外フラグ</v>
      </c>
      <c r="Z132" s="236" t="s">
        <v>181</v>
      </c>
    </row>
    <row r="133" spans="1:26" ht="11.4" x14ac:dyDescent="0.15">
      <c r="A133" s="175">
        <f t="shared" si="1"/>
        <v>131</v>
      </c>
      <c r="B133" s="176"/>
      <c r="C133" s="176"/>
      <c r="D133" s="176"/>
      <c r="E133" s="176"/>
      <c r="F133" s="186"/>
      <c r="G133" s="227" t="s">
        <v>118</v>
      </c>
      <c r="H133" s="177"/>
      <c r="I133" s="178"/>
      <c r="J133" s="178"/>
      <c r="K133" s="179"/>
      <c r="L133" s="177"/>
      <c r="M133" s="178"/>
      <c r="N133" s="178"/>
      <c r="O133" s="180"/>
      <c r="P133" s="180"/>
      <c r="Q133" s="180" t="s">
        <v>61</v>
      </c>
      <c r="R133" s="180"/>
      <c r="S133" s="179"/>
      <c r="T133" s="265">
        <v>45298</v>
      </c>
      <c r="U133" s="181">
        <v>45663</v>
      </c>
      <c r="V133" s="182"/>
      <c r="W133" s="183"/>
      <c r="X133" s="184"/>
      <c r="Y133" s="185" t="str">
        <f t="shared" si="5"/>
        <v>項目名:水曜日除外フラグ</v>
      </c>
      <c r="Z133" s="236" t="s">
        <v>182</v>
      </c>
    </row>
    <row r="134" spans="1:26" ht="11.4" x14ac:dyDescent="0.15">
      <c r="A134" s="175">
        <f t="shared" si="1"/>
        <v>132</v>
      </c>
      <c r="B134" s="176"/>
      <c r="C134" s="176"/>
      <c r="D134" s="176"/>
      <c r="E134" s="176"/>
      <c r="F134" s="186"/>
      <c r="G134" s="227" t="s">
        <v>118</v>
      </c>
      <c r="H134" s="177"/>
      <c r="I134" s="178"/>
      <c r="J134" s="178"/>
      <c r="K134" s="179"/>
      <c r="L134" s="177"/>
      <c r="M134" s="178"/>
      <c r="N134" s="178"/>
      <c r="O134" s="180"/>
      <c r="P134" s="180"/>
      <c r="Q134" s="180" t="s">
        <v>61</v>
      </c>
      <c r="R134" s="180"/>
      <c r="S134" s="179"/>
      <c r="T134" s="265">
        <v>45298</v>
      </c>
      <c r="U134" s="181">
        <v>45663</v>
      </c>
      <c r="V134" s="182"/>
      <c r="W134" s="183"/>
      <c r="X134" s="184"/>
      <c r="Y134" s="185" t="str">
        <f t="shared" si="5"/>
        <v>項目名:木曜日除外フラグ</v>
      </c>
      <c r="Z134" s="236" t="s">
        <v>183</v>
      </c>
    </row>
    <row r="135" spans="1:26" ht="11.4" x14ac:dyDescent="0.15">
      <c r="A135" s="175">
        <f t="shared" si="1"/>
        <v>133</v>
      </c>
      <c r="B135" s="176"/>
      <c r="C135" s="176"/>
      <c r="D135" s="176"/>
      <c r="E135" s="176"/>
      <c r="F135" s="186"/>
      <c r="G135" s="227" t="s">
        <v>118</v>
      </c>
      <c r="H135" s="177"/>
      <c r="I135" s="178"/>
      <c r="J135" s="178"/>
      <c r="K135" s="179"/>
      <c r="L135" s="177"/>
      <c r="M135" s="178"/>
      <c r="N135" s="178"/>
      <c r="O135" s="180"/>
      <c r="P135" s="180"/>
      <c r="Q135" s="180" t="s">
        <v>61</v>
      </c>
      <c r="R135" s="180"/>
      <c r="S135" s="179"/>
      <c r="T135" s="265">
        <v>45298</v>
      </c>
      <c r="U135" s="181">
        <v>45663</v>
      </c>
      <c r="V135" s="182"/>
      <c r="W135" s="183"/>
      <c r="X135" s="184"/>
      <c r="Y135" s="185" t="str">
        <f t="shared" si="5"/>
        <v>項目名:金曜日除外フラグ</v>
      </c>
      <c r="Z135" s="236" t="s">
        <v>184</v>
      </c>
    </row>
    <row r="136" spans="1:26" ht="11.4" x14ac:dyDescent="0.15">
      <c r="A136" s="175">
        <f t="shared" si="1"/>
        <v>134</v>
      </c>
      <c r="B136" s="176"/>
      <c r="C136" s="176"/>
      <c r="D136" s="176"/>
      <c r="E136" s="176"/>
      <c r="F136" s="186"/>
      <c r="G136" s="227" t="s">
        <v>118</v>
      </c>
      <c r="H136" s="177"/>
      <c r="I136" s="178"/>
      <c r="J136" s="178"/>
      <c r="K136" s="179"/>
      <c r="L136" s="177"/>
      <c r="M136" s="178"/>
      <c r="N136" s="178"/>
      <c r="O136" s="180"/>
      <c r="P136" s="180"/>
      <c r="Q136" s="180" t="s">
        <v>61</v>
      </c>
      <c r="R136" s="180"/>
      <c r="S136" s="179"/>
      <c r="T136" s="265">
        <v>45298</v>
      </c>
      <c r="U136" s="181">
        <v>45663</v>
      </c>
      <c r="V136" s="182"/>
      <c r="W136" s="183"/>
      <c r="X136" s="184"/>
      <c r="Y136" s="185" t="str">
        <f t="shared" si="5"/>
        <v>項目名:土曜日除外フラグ</v>
      </c>
      <c r="Z136" s="236" t="s">
        <v>185</v>
      </c>
    </row>
    <row r="137" spans="1:26" ht="11.4" x14ac:dyDescent="0.15">
      <c r="A137" s="175">
        <f t="shared" si="1"/>
        <v>135</v>
      </c>
      <c r="B137" s="176"/>
      <c r="C137" s="176"/>
      <c r="D137" s="176"/>
      <c r="E137" s="176"/>
      <c r="F137" s="186"/>
      <c r="G137" s="227" t="s">
        <v>118</v>
      </c>
      <c r="H137" s="177"/>
      <c r="I137" s="178"/>
      <c r="J137" s="178"/>
      <c r="K137" s="179"/>
      <c r="L137" s="177"/>
      <c r="M137" s="178"/>
      <c r="N137" s="178"/>
      <c r="O137" s="180"/>
      <c r="P137" s="180"/>
      <c r="Q137" s="180" t="s">
        <v>61</v>
      </c>
      <c r="R137" s="180"/>
      <c r="S137" s="179"/>
      <c r="T137" s="265">
        <v>45298</v>
      </c>
      <c r="U137" s="181">
        <v>45663</v>
      </c>
      <c r="V137" s="182"/>
      <c r="W137" s="183"/>
      <c r="X137" s="184"/>
      <c r="Y137" s="185" t="str">
        <f t="shared" si="5"/>
        <v>項目名:日曜日除外フラグ</v>
      </c>
      <c r="Z137" s="236" t="s">
        <v>186</v>
      </c>
    </row>
    <row r="138" spans="1:26" ht="11.4" x14ac:dyDescent="0.15">
      <c r="A138" s="175">
        <f t="shared" si="1"/>
        <v>136</v>
      </c>
      <c r="B138" s="176"/>
      <c r="C138" s="176"/>
      <c r="D138" s="176"/>
      <c r="E138" s="176"/>
      <c r="F138" s="186"/>
      <c r="G138" s="227" t="s">
        <v>118</v>
      </c>
      <c r="H138" s="177"/>
      <c r="I138" s="178"/>
      <c r="J138" s="178"/>
      <c r="K138" s="179"/>
      <c r="L138" s="177"/>
      <c r="M138" s="178"/>
      <c r="N138" s="178"/>
      <c r="O138" s="180"/>
      <c r="P138" s="180"/>
      <c r="Q138" s="180" t="s">
        <v>61</v>
      </c>
      <c r="R138" s="180"/>
      <c r="S138" s="179"/>
      <c r="T138" s="265">
        <v>45298</v>
      </c>
      <c r="U138" s="181">
        <v>45663</v>
      </c>
      <c r="V138" s="182"/>
      <c r="W138" s="183"/>
      <c r="X138" s="184"/>
      <c r="Y138" s="185" t="str">
        <f t="shared" si="5"/>
        <v>項目名:特売原価</v>
      </c>
      <c r="Z138" s="236" t="s">
        <v>197</v>
      </c>
    </row>
    <row r="139" spans="1:26" ht="11.4" x14ac:dyDescent="0.15">
      <c r="A139" s="175">
        <f t="shared" si="1"/>
        <v>137</v>
      </c>
      <c r="B139" s="176"/>
      <c r="C139" s="176"/>
      <c r="D139" s="176"/>
      <c r="E139" s="176"/>
      <c r="F139" s="186"/>
      <c r="G139" s="227" t="s">
        <v>118</v>
      </c>
      <c r="H139" s="177"/>
      <c r="I139" s="178"/>
      <c r="J139" s="178"/>
      <c r="K139" s="179"/>
      <c r="L139" s="177"/>
      <c r="M139" s="178"/>
      <c r="N139" s="178"/>
      <c r="O139" s="180"/>
      <c r="P139" s="180"/>
      <c r="Q139" s="180" t="s">
        <v>61</v>
      </c>
      <c r="R139" s="180"/>
      <c r="S139" s="179"/>
      <c r="T139" s="265">
        <v>45298</v>
      </c>
      <c r="U139" s="181">
        <v>45663</v>
      </c>
      <c r="V139" s="182"/>
      <c r="W139" s="183"/>
      <c r="X139" s="184"/>
      <c r="Y139" s="185" t="str">
        <f t="shared" si="5"/>
        <v>項目名:割引タイプ</v>
      </c>
      <c r="Z139" s="236" t="s">
        <v>198</v>
      </c>
    </row>
    <row r="140" spans="1:26" ht="11.4" x14ac:dyDescent="0.15">
      <c r="A140" s="175">
        <f t="shared" si="1"/>
        <v>138</v>
      </c>
      <c r="B140" s="176"/>
      <c r="C140" s="176"/>
      <c r="D140" s="176"/>
      <c r="E140" s="176"/>
      <c r="F140" s="186"/>
      <c r="G140" s="227" t="s">
        <v>118</v>
      </c>
      <c r="H140" s="177"/>
      <c r="I140" s="178"/>
      <c r="J140" s="178"/>
      <c r="K140" s="179"/>
      <c r="L140" s="177"/>
      <c r="M140" s="178"/>
      <c r="N140" s="178"/>
      <c r="O140" s="180"/>
      <c r="P140" s="180"/>
      <c r="Q140" s="180" t="s">
        <v>61</v>
      </c>
      <c r="R140" s="180"/>
      <c r="S140" s="179"/>
      <c r="T140" s="265">
        <v>45298</v>
      </c>
      <c r="U140" s="181">
        <v>45663</v>
      </c>
      <c r="V140" s="182"/>
      <c r="W140" s="183"/>
      <c r="X140" s="184"/>
      <c r="Y140" s="185" t="str">
        <f t="shared" si="5"/>
        <v>項目名:特売価格</v>
      </c>
      <c r="Z140" s="236" t="s">
        <v>199</v>
      </c>
    </row>
    <row r="141" spans="1:26" ht="11.4" x14ac:dyDescent="0.15">
      <c r="A141" s="175">
        <f t="shared" si="1"/>
        <v>139</v>
      </c>
      <c r="B141" s="176"/>
      <c r="C141" s="176"/>
      <c r="D141" s="176"/>
      <c r="E141" s="176"/>
      <c r="F141" s="186"/>
      <c r="G141" s="227" t="s">
        <v>118</v>
      </c>
      <c r="H141" s="177"/>
      <c r="I141" s="178"/>
      <c r="J141" s="178"/>
      <c r="K141" s="179"/>
      <c r="L141" s="177"/>
      <c r="M141" s="178"/>
      <c r="N141" s="178"/>
      <c r="O141" s="180"/>
      <c r="P141" s="180"/>
      <c r="Q141" s="180" t="s">
        <v>61</v>
      </c>
      <c r="R141" s="180"/>
      <c r="S141" s="179"/>
      <c r="T141" s="265">
        <v>45298</v>
      </c>
      <c r="U141" s="181">
        <v>45663</v>
      </c>
      <c r="V141" s="182"/>
      <c r="W141" s="183"/>
      <c r="X141" s="184"/>
      <c r="Y141" s="185" t="str">
        <f t="shared" si="5"/>
        <v>項目名:特売開始時間</v>
      </c>
      <c r="Z141" s="236" t="s">
        <v>200</v>
      </c>
    </row>
    <row r="142" spans="1:26" ht="11.4" x14ac:dyDescent="0.15">
      <c r="A142" s="175">
        <f t="shared" si="1"/>
        <v>140</v>
      </c>
      <c r="B142" s="176"/>
      <c r="C142" s="176"/>
      <c r="D142" s="176"/>
      <c r="E142" s="176"/>
      <c r="F142" s="186"/>
      <c r="G142" s="227" t="s">
        <v>118</v>
      </c>
      <c r="H142" s="177"/>
      <c r="I142" s="178"/>
      <c r="J142" s="178"/>
      <c r="K142" s="179"/>
      <c r="L142" s="177"/>
      <c r="M142" s="178"/>
      <c r="N142" s="178"/>
      <c r="O142" s="180"/>
      <c r="P142" s="180"/>
      <c r="Q142" s="180" t="s">
        <v>61</v>
      </c>
      <c r="R142" s="180"/>
      <c r="S142" s="179"/>
      <c r="T142" s="265">
        <v>45298</v>
      </c>
      <c r="U142" s="181">
        <v>45663</v>
      </c>
      <c r="V142" s="182"/>
      <c r="W142" s="183"/>
      <c r="X142" s="184"/>
      <c r="Y142" s="185" t="str">
        <f t="shared" si="5"/>
        <v>項目名:特売終了時間</v>
      </c>
      <c r="Z142" s="236" t="s">
        <v>201</v>
      </c>
    </row>
    <row r="143" spans="1:26" ht="11.4" x14ac:dyDescent="0.15">
      <c r="A143" s="175">
        <f t="shared" si="1"/>
        <v>141</v>
      </c>
      <c r="B143" s="176"/>
      <c r="C143" s="176"/>
      <c r="D143" s="176"/>
      <c r="E143" s="176"/>
      <c r="F143" s="186"/>
      <c r="G143" s="227" t="s">
        <v>118</v>
      </c>
      <c r="H143" s="177"/>
      <c r="I143" s="178"/>
      <c r="J143" s="178"/>
      <c r="K143" s="179"/>
      <c r="L143" s="177"/>
      <c r="M143" s="178"/>
      <c r="N143" s="178"/>
      <c r="O143" s="180"/>
      <c r="P143" s="180"/>
      <c r="Q143" s="180" t="s">
        <v>61</v>
      </c>
      <c r="R143" s="180"/>
      <c r="S143" s="179"/>
      <c r="T143" s="265">
        <v>45298</v>
      </c>
      <c r="U143" s="181">
        <v>45663</v>
      </c>
      <c r="V143" s="182"/>
      <c r="W143" s="183"/>
      <c r="X143" s="184"/>
      <c r="Y143" s="185" t="str">
        <f t="shared" si="5"/>
        <v>項目名:原価率フラグ</v>
      </c>
      <c r="Z143" s="236" t="s">
        <v>151</v>
      </c>
    </row>
    <row r="144" spans="1:26" ht="11.4" x14ac:dyDescent="0.15">
      <c r="A144" s="175">
        <f t="shared" si="1"/>
        <v>142</v>
      </c>
      <c r="B144" s="176"/>
      <c r="C144" s="176"/>
      <c r="D144" s="176"/>
      <c r="E144" s="176"/>
      <c r="F144" s="186"/>
      <c r="G144" s="227" t="s">
        <v>118</v>
      </c>
      <c r="H144" s="177"/>
      <c r="I144" s="178"/>
      <c r="J144" s="178"/>
      <c r="K144" s="179"/>
      <c r="L144" s="177"/>
      <c r="M144" s="178"/>
      <c r="N144" s="178"/>
      <c r="O144" s="180"/>
      <c r="P144" s="180"/>
      <c r="Q144" s="180" t="s">
        <v>61</v>
      </c>
      <c r="R144" s="180"/>
      <c r="S144" s="179"/>
      <c r="T144" s="265">
        <v>45298</v>
      </c>
      <c r="U144" s="181">
        <v>45663</v>
      </c>
      <c r="V144" s="182"/>
      <c r="W144" s="183"/>
      <c r="X144" s="184"/>
      <c r="Y144" s="185" t="str">
        <f t="shared" si="5"/>
        <v>項目名:ＡＵＸコード</v>
      </c>
      <c r="Z144" s="236" t="s">
        <v>202</v>
      </c>
    </row>
    <row r="145" spans="1:26" ht="11.4" x14ac:dyDescent="0.15">
      <c r="A145" s="175">
        <f t="shared" si="1"/>
        <v>143</v>
      </c>
      <c r="B145" s="176"/>
      <c r="C145" s="176"/>
      <c r="D145" s="176"/>
      <c r="E145" s="176"/>
      <c r="F145" s="186"/>
      <c r="G145" s="227" t="s">
        <v>118</v>
      </c>
      <c r="H145" s="177"/>
      <c r="I145" s="178"/>
      <c r="J145" s="178"/>
      <c r="K145" s="179"/>
      <c r="L145" s="177"/>
      <c r="M145" s="178"/>
      <c r="N145" s="178"/>
      <c r="O145" s="180"/>
      <c r="P145" s="180"/>
      <c r="Q145" s="180" t="s">
        <v>61</v>
      </c>
      <c r="R145" s="180"/>
      <c r="S145" s="179"/>
      <c r="T145" s="265">
        <v>45298</v>
      </c>
      <c r="U145" s="181">
        <v>45663</v>
      </c>
      <c r="V145" s="182"/>
      <c r="W145" s="183"/>
      <c r="X145" s="184"/>
      <c r="Y145" s="185" t="str">
        <f t="shared" si="5"/>
        <v>項目名:内部ディスカウントクラスID</v>
      </c>
      <c r="Z145" s="236" t="s">
        <v>203</v>
      </c>
    </row>
    <row r="146" spans="1:26" ht="11.4" x14ac:dyDescent="0.15">
      <c r="A146" s="175">
        <f t="shared" si="1"/>
        <v>144</v>
      </c>
      <c r="B146" s="176"/>
      <c r="C146" s="176"/>
      <c r="D146" s="176"/>
      <c r="E146" s="176"/>
      <c r="F146" s="186"/>
      <c r="G146" s="227" t="s">
        <v>118</v>
      </c>
      <c r="H146" s="177"/>
      <c r="I146" s="178"/>
      <c r="J146" s="178"/>
      <c r="K146" s="179"/>
      <c r="L146" s="177"/>
      <c r="M146" s="178"/>
      <c r="N146" s="178"/>
      <c r="O146" s="180"/>
      <c r="P146" s="180"/>
      <c r="Q146" s="180" t="s">
        <v>61</v>
      </c>
      <c r="R146" s="180"/>
      <c r="S146" s="179"/>
      <c r="T146" s="265">
        <v>45298</v>
      </c>
      <c r="U146" s="181">
        <v>45663</v>
      </c>
      <c r="V146" s="182"/>
      <c r="W146" s="183"/>
      <c r="X146" s="184"/>
      <c r="Y146" s="185" t="str">
        <f t="shared" si="5"/>
        <v>項目名:内部ディスカウントID</v>
      </c>
      <c r="Z146" s="236" t="s">
        <v>204</v>
      </c>
    </row>
    <row r="147" spans="1:26" ht="11.4" x14ac:dyDescent="0.15">
      <c r="A147" s="175">
        <f t="shared" si="1"/>
        <v>145</v>
      </c>
      <c r="B147" s="176"/>
      <c r="C147" s="176"/>
      <c r="D147" s="176"/>
      <c r="E147" s="176"/>
      <c r="F147" s="186"/>
      <c r="G147" s="227" t="s">
        <v>118</v>
      </c>
      <c r="H147" s="177"/>
      <c r="I147" s="178"/>
      <c r="J147" s="178"/>
      <c r="K147" s="179"/>
      <c r="L147" s="177"/>
      <c r="M147" s="178"/>
      <c r="N147" s="178"/>
      <c r="O147" s="180"/>
      <c r="P147" s="180"/>
      <c r="Q147" s="180" t="s">
        <v>61</v>
      </c>
      <c r="R147" s="180"/>
      <c r="S147" s="179"/>
      <c r="T147" s="265">
        <v>45298</v>
      </c>
      <c r="U147" s="181">
        <v>45663</v>
      </c>
      <c r="V147" s="182"/>
      <c r="W147" s="183"/>
      <c r="X147" s="184"/>
      <c r="Y147" s="185" t="str">
        <f t="shared" si="5"/>
        <v>項目名:内部イベントコード</v>
      </c>
      <c r="Z147" s="236" t="s">
        <v>187</v>
      </c>
    </row>
    <row r="148" spans="1:26" ht="11.4" x14ac:dyDescent="0.15">
      <c r="A148" s="175">
        <f t="shared" si="1"/>
        <v>146</v>
      </c>
      <c r="B148" s="176"/>
      <c r="C148" s="176"/>
      <c r="D148" s="176"/>
      <c r="E148" s="176"/>
      <c r="F148" s="186"/>
      <c r="G148" s="227" t="s">
        <v>118</v>
      </c>
      <c r="H148" s="177"/>
      <c r="I148" s="178"/>
      <c r="J148" s="178"/>
      <c r="K148" s="179"/>
      <c r="L148" s="177"/>
      <c r="M148" s="178"/>
      <c r="N148" s="178"/>
      <c r="O148" s="180"/>
      <c r="P148" s="180"/>
      <c r="Q148" s="180" t="s">
        <v>61</v>
      </c>
      <c r="R148" s="180"/>
      <c r="S148" s="179"/>
      <c r="T148" s="265">
        <v>45298</v>
      </c>
      <c r="U148" s="181">
        <v>45663</v>
      </c>
      <c r="V148" s="182"/>
      <c r="W148" s="183"/>
      <c r="X148" s="184"/>
      <c r="Y148" s="185" t="str">
        <f t="shared" si="5"/>
        <v>項目名:緊急登録日時</v>
      </c>
      <c r="Z148" s="236" t="s">
        <v>205</v>
      </c>
    </row>
    <row r="149" spans="1:26" ht="11.4" x14ac:dyDescent="0.15">
      <c r="A149" s="175">
        <f t="shared" si="1"/>
        <v>147</v>
      </c>
      <c r="B149" s="176"/>
      <c r="C149" s="176"/>
      <c r="D149" s="176"/>
      <c r="E149" s="176"/>
      <c r="F149" s="186"/>
      <c r="G149" s="227" t="s">
        <v>118</v>
      </c>
      <c r="H149" s="177"/>
      <c r="I149" s="178"/>
      <c r="J149" s="178"/>
      <c r="K149" s="179"/>
      <c r="L149" s="177"/>
      <c r="M149" s="178"/>
      <c r="N149" s="178"/>
      <c r="O149" s="180"/>
      <c r="P149" s="180"/>
      <c r="Q149" s="180" t="s">
        <v>61</v>
      </c>
      <c r="R149" s="180"/>
      <c r="S149" s="179"/>
      <c r="T149" s="265">
        <v>45298</v>
      </c>
      <c r="U149" s="181">
        <v>45666</v>
      </c>
      <c r="V149" s="182"/>
      <c r="W149" s="183"/>
      <c r="X149" s="184"/>
      <c r="Y149" s="185" t="str">
        <f t="shared" si="5"/>
        <v>項目名:作成日</v>
      </c>
      <c r="Z149" s="236" t="s">
        <v>168</v>
      </c>
    </row>
    <row r="150" spans="1:26" ht="11.4" x14ac:dyDescent="0.15">
      <c r="A150" s="175">
        <f t="shared" si="1"/>
        <v>148</v>
      </c>
      <c r="B150" s="176"/>
      <c r="C150" s="176"/>
      <c r="D150" s="176"/>
      <c r="E150" s="176"/>
      <c r="F150" s="186"/>
      <c r="G150" s="227" t="s">
        <v>136</v>
      </c>
      <c r="H150" s="177"/>
      <c r="I150" s="178"/>
      <c r="J150" s="178"/>
      <c r="K150" s="179"/>
      <c r="L150" s="177"/>
      <c r="M150" s="178"/>
      <c r="N150" s="178"/>
      <c r="O150" s="180"/>
      <c r="P150" s="180"/>
      <c r="Q150" s="180" t="s">
        <v>61</v>
      </c>
      <c r="R150" s="180"/>
      <c r="S150" s="179"/>
      <c r="T150" s="265">
        <v>45298</v>
      </c>
      <c r="U150" s="181">
        <v>45665</v>
      </c>
      <c r="V150" s="182"/>
      <c r="W150" s="183"/>
      <c r="X150" s="184"/>
      <c r="Y150" s="185" t="str">
        <f t="shared" si="5"/>
        <v>項目名:未使用項目や空白固定項目</v>
      </c>
      <c r="Z150" s="236" t="s">
        <v>137</v>
      </c>
    </row>
    <row r="151" spans="1:26" ht="22.8" x14ac:dyDescent="0.15">
      <c r="A151" s="175">
        <f t="shared" si="1"/>
        <v>149</v>
      </c>
      <c r="B151" s="176"/>
      <c r="C151" s="176"/>
      <c r="D151" s="186"/>
      <c r="E151" s="186" t="s">
        <v>206</v>
      </c>
      <c r="F151" s="186" t="s">
        <v>108</v>
      </c>
      <c r="G151" s="227" t="s">
        <v>109</v>
      </c>
      <c r="H151" s="177"/>
      <c r="I151" s="178"/>
      <c r="J151" s="178"/>
      <c r="K151" s="179"/>
      <c r="L151" s="177"/>
      <c r="M151" s="178"/>
      <c r="N151" s="178"/>
      <c r="O151" s="180"/>
      <c r="P151" s="180"/>
      <c r="Q151" s="180"/>
      <c r="R151" s="180"/>
      <c r="S151" s="179" t="s">
        <v>56</v>
      </c>
      <c r="T151" s="265">
        <v>45298</v>
      </c>
      <c r="U151" s="268"/>
      <c r="V151" s="182"/>
      <c r="W151" s="183"/>
      <c r="X151" s="184"/>
      <c r="Y151" s="229" t="s">
        <v>1108</v>
      </c>
      <c r="Z151" s="256" t="s">
        <v>207</v>
      </c>
    </row>
    <row r="152" spans="1:26" ht="11.4" x14ac:dyDescent="0.15">
      <c r="A152" s="175">
        <f t="shared" si="1"/>
        <v>150</v>
      </c>
      <c r="B152" s="176"/>
      <c r="C152" s="176"/>
      <c r="D152" s="176"/>
      <c r="E152" s="176"/>
      <c r="F152" s="186"/>
      <c r="G152" s="227" t="s">
        <v>110</v>
      </c>
      <c r="H152" s="177"/>
      <c r="I152" s="178"/>
      <c r="J152" s="178"/>
      <c r="K152" s="179"/>
      <c r="L152" s="177"/>
      <c r="M152" s="178"/>
      <c r="N152" s="178"/>
      <c r="O152" s="180"/>
      <c r="P152" s="180" t="s">
        <v>61</v>
      </c>
      <c r="Q152" s="180"/>
      <c r="R152" s="180"/>
      <c r="S152" s="179"/>
      <c r="T152" s="265">
        <v>45298</v>
      </c>
      <c r="U152" s="181">
        <v>45663</v>
      </c>
      <c r="V152" s="182"/>
      <c r="W152" s="183"/>
      <c r="X152" s="184"/>
      <c r="Y152" s="185" t="s">
        <v>208</v>
      </c>
    </row>
    <row r="153" spans="1:26" ht="11.4" x14ac:dyDescent="0.15">
      <c r="A153" s="175">
        <f t="shared" si="1"/>
        <v>151</v>
      </c>
      <c r="B153" s="176"/>
      <c r="C153" s="176"/>
      <c r="D153" s="176"/>
      <c r="E153" s="176"/>
      <c r="F153" s="186"/>
      <c r="G153" s="227" t="s">
        <v>112</v>
      </c>
      <c r="H153" s="177"/>
      <c r="I153" s="178"/>
      <c r="J153" s="178"/>
      <c r="K153" s="179"/>
      <c r="L153" s="177"/>
      <c r="M153" s="178"/>
      <c r="N153" s="178"/>
      <c r="O153" s="180" t="s">
        <v>61</v>
      </c>
      <c r="P153" s="180"/>
      <c r="Q153" s="180"/>
      <c r="R153" s="180"/>
      <c r="S153" s="179"/>
      <c r="T153" s="265">
        <v>45298</v>
      </c>
      <c r="U153" s="181">
        <v>45663</v>
      </c>
      <c r="V153" s="182"/>
      <c r="W153" s="183"/>
      <c r="X153" s="184"/>
      <c r="Y153" s="185" t="s">
        <v>113</v>
      </c>
    </row>
    <row r="154" spans="1:26" ht="22.8" x14ac:dyDescent="0.15">
      <c r="A154" s="175">
        <f t="shared" si="1"/>
        <v>152</v>
      </c>
      <c r="B154" s="176"/>
      <c r="C154" s="176"/>
      <c r="D154" s="176"/>
      <c r="E154" s="176"/>
      <c r="F154" s="186"/>
      <c r="G154" s="227" t="s">
        <v>112</v>
      </c>
      <c r="H154" s="177"/>
      <c r="I154" s="178"/>
      <c r="J154" s="178"/>
      <c r="K154" s="179"/>
      <c r="L154" s="177"/>
      <c r="M154" s="178"/>
      <c r="N154" s="178"/>
      <c r="O154" s="180" t="s">
        <v>61</v>
      </c>
      <c r="P154" s="180"/>
      <c r="Q154" s="180"/>
      <c r="R154" s="180"/>
      <c r="S154" s="179"/>
      <c r="T154" s="265">
        <v>45298</v>
      </c>
      <c r="U154" s="270">
        <v>45664</v>
      </c>
      <c r="V154" s="182"/>
      <c r="W154" s="183"/>
      <c r="X154" s="184"/>
      <c r="Y154" s="185" t="s">
        <v>1109</v>
      </c>
    </row>
    <row r="155" spans="1:26" ht="11.4" x14ac:dyDescent="0.15">
      <c r="A155" s="175">
        <f t="shared" si="1"/>
        <v>153</v>
      </c>
      <c r="B155" s="176"/>
      <c r="C155" s="176"/>
      <c r="D155" s="176"/>
      <c r="E155" s="176"/>
      <c r="F155" s="186"/>
      <c r="G155" s="227" t="s">
        <v>112</v>
      </c>
      <c r="H155" s="177"/>
      <c r="I155" s="178"/>
      <c r="J155" s="178"/>
      <c r="K155" s="179"/>
      <c r="L155" s="177"/>
      <c r="M155" s="178"/>
      <c r="N155" s="178"/>
      <c r="O155" s="180" t="s">
        <v>61</v>
      </c>
      <c r="P155" s="180"/>
      <c r="Q155" s="180"/>
      <c r="R155" s="180"/>
      <c r="S155" s="179"/>
      <c r="T155" s="265">
        <v>45298</v>
      </c>
      <c r="U155" s="181">
        <v>45663</v>
      </c>
      <c r="V155" s="182"/>
      <c r="W155" s="183"/>
      <c r="X155" s="184"/>
      <c r="Y155" s="185" t="s">
        <v>115</v>
      </c>
    </row>
    <row r="156" spans="1:26" ht="11.4" x14ac:dyDescent="0.15">
      <c r="A156" s="175">
        <f t="shared" si="1"/>
        <v>154</v>
      </c>
      <c r="B156" s="176"/>
      <c r="C156" s="176"/>
      <c r="D156" s="176"/>
      <c r="E156" s="176"/>
      <c r="F156" s="186"/>
      <c r="G156" s="227" t="s">
        <v>112</v>
      </c>
      <c r="H156" s="177"/>
      <c r="I156" s="178"/>
      <c r="J156" s="178"/>
      <c r="K156" s="179"/>
      <c r="L156" s="177"/>
      <c r="M156" s="178"/>
      <c r="N156" s="178"/>
      <c r="O156" s="180" t="s">
        <v>61</v>
      </c>
      <c r="P156" s="180"/>
      <c r="Q156" s="180"/>
      <c r="R156" s="180"/>
      <c r="S156" s="179"/>
      <c r="T156" s="265">
        <v>45298</v>
      </c>
      <c r="U156" s="181">
        <v>45663</v>
      </c>
      <c r="V156" s="182"/>
      <c r="W156" s="183"/>
      <c r="X156" s="184"/>
      <c r="Y156" s="185" t="s">
        <v>116</v>
      </c>
    </row>
    <row r="157" spans="1:26" ht="11.4" x14ac:dyDescent="0.15">
      <c r="A157" s="175">
        <f t="shared" si="1"/>
        <v>155</v>
      </c>
      <c r="B157" s="176"/>
      <c r="C157" s="176"/>
      <c r="D157" s="176"/>
      <c r="E157" s="176"/>
      <c r="F157" s="186"/>
      <c r="G157" s="227" t="s">
        <v>112</v>
      </c>
      <c r="H157" s="177"/>
      <c r="I157" s="178"/>
      <c r="J157" s="178"/>
      <c r="K157" s="179"/>
      <c r="L157" s="177"/>
      <c r="M157" s="178"/>
      <c r="N157" s="178"/>
      <c r="O157" s="180" t="s">
        <v>61</v>
      </c>
      <c r="P157" s="180"/>
      <c r="Q157" s="180"/>
      <c r="R157" s="180"/>
      <c r="S157" s="179"/>
      <c r="T157" s="265">
        <v>45298</v>
      </c>
      <c r="U157" s="181">
        <v>45663</v>
      </c>
      <c r="V157" s="182"/>
      <c r="W157" s="183"/>
      <c r="X157" s="184"/>
      <c r="Y157" s="185" t="s">
        <v>117</v>
      </c>
    </row>
    <row r="158" spans="1:26" ht="11.4" x14ac:dyDescent="0.15">
      <c r="A158" s="175">
        <f t="shared" si="1"/>
        <v>156</v>
      </c>
      <c r="B158" s="176"/>
      <c r="C158" s="176"/>
      <c r="D158" s="176"/>
      <c r="E158" s="176"/>
      <c r="F158" s="186"/>
      <c r="G158" s="227" t="s">
        <v>118</v>
      </c>
      <c r="H158" s="177"/>
      <c r="I158" s="178"/>
      <c r="J158" s="178"/>
      <c r="K158" s="179"/>
      <c r="L158" s="177"/>
      <c r="M158" s="178"/>
      <c r="N158" s="178"/>
      <c r="O158" s="180"/>
      <c r="P158" s="180"/>
      <c r="Q158" s="180" t="s">
        <v>61</v>
      </c>
      <c r="R158" s="180"/>
      <c r="S158" s="179"/>
      <c r="T158" s="265">
        <v>45298</v>
      </c>
      <c r="U158" s="181">
        <v>45663</v>
      </c>
      <c r="V158" s="182"/>
      <c r="W158" s="183"/>
      <c r="X158" s="184"/>
      <c r="Y158" s="185" t="str">
        <f t="shared" ref="Y158:Y206" si="6">"項目名:"&amp;Z158</f>
        <v>項目名:処理区分</v>
      </c>
      <c r="Z158" s="236" t="s">
        <v>142</v>
      </c>
    </row>
    <row r="159" spans="1:26" ht="11.4" x14ac:dyDescent="0.15">
      <c r="A159" s="175">
        <f t="shared" si="1"/>
        <v>157</v>
      </c>
      <c r="B159" s="176"/>
      <c r="C159" s="176"/>
      <c r="D159" s="176"/>
      <c r="E159" s="176"/>
      <c r="F159" s="186"/>
      <c r="G159" s="227" t="s">
        <v>118</v>
      </c>
      <c r="H159" s="177"/>
      <c r="I159" s="178"/>
      <c r="J159" s="178"/>
      <c r="K159" s="179"/>
      <c r="L159" s="177"/>
      <c r="M159" s="178"/>
      <c r="N159" s="178"/>
      <c r="O159" s="180"/>
      <c r="P159" s="180"/>
      <c r="Q159" s="180" t="s">
        <v>61</v>
      </c>
      <c r="R159" s="180"/>
      <c r="S159" s="179"/>
      <c r="T159" s="265">
        <v>45298</v>
      </c>
      <c r="U159" s="181">
        <v>45663</v>
      </c>
      <c r="V159" s="182"/>
      <c r="W159" s="183"/>
      <c r="X159" s="184"/>
      <c r="Y159" s="185" t="str">
        <f t="shared" si="6"/>
        <v>項目名:店舗コード</v>
      </c>
      <c r="Z159" s="236" t="s">
        <v>144</v>
      </c>
    </row>
    <row r="160" spans="1:26" ht="11.4" x14ac:dyDescent="0.15">
      <c r="A160" s="175">
        <f t="shared" si="1"/>
        <v>158</v>
      </c>
      <c r="B160" s="176"/>
      <c r="C160" s="176"/>
      <c r="D160" s="176"/>
      <c r="E160" s="176"/>
      <c r="F160" s="186"/>
      <c r="G160" s="227" t="s">
        <v>118</v>
      </c>
      <c r="H160" s="177"/>
      <c r="I160" s="178"/>
      <c r="J160" s="178"/>
      <c r="K160" s="179"/>
      <c r="L160" s="177"/>
      <c r="M160" s="178"/>
      <c r="N160" s="178"/>
      <c r="O160" s="180"/>
      <c r="P160" s="180"/>
      <c r="Q160" s="180" t="s">
        <v>61</v>
      </c>
      <c r="R160" s="180"/>
      <c r="S160" s="179"/>
      <c r="T160" s="265">
        <v>45298</v>
      </c>
      <c r="U160" s="181">
        <v>45663</v>
      </c>
      <c r="V160" s="182"/>
      <c r="W160" s="183"/>
      <c r="X160" s="184"/>
      <c r="Y160" s="185" t="str">
        <f t="shared" si="6"/>
        <v>項目名:企画No.</v>
      </c>
      <c r="Z160" s="236" t="s">
        <v>172</v>
      </c>
    </row>
    <row r="161" spans="1:26" ht="11.4" x14ac:dyDescent="0.15">
      <c r="A161" s="175">
        <f t="shared" si="1"/>
        <v>159</v>
      </c>
      <c r="B161" s="176"/>
      <c r="C161" s="176"/>
      <c r="D161" s="176"/>
      <c r="E161" s="176"/>
      <c r="F161" s="186"/>
      <c r="G161" s="227" t="s">
        <v>118</v>
      </c>
      <c r="H161" s="177"/>
      <c r="I161" s="178"/>
      <c r="J161" s="178"/>
      <c r="K161" s="179"/>
      <c r="L161" s="177"/>
      <c r="M161" s="178"/>
      <c r="N161" s="178"/>
      <c r="O161" s="180"/>
      <c r="P161" s="180"/>
      <c r="Q161" s="180" t="s">
        <v>61</v>
      </c>
      <c r="R161" s="180"/>
      <c r="S161" s="179"/>
      <c r="T161" s="265">
        <v>45298</v>
      </c>
      <c r="U161" s="181">
        <v>45663</v>
      </c>
      <c r="V161" s="182"/>
      <c r="W161" s="183"/>
      <c r="X161" s="184"/>
      <c r="Y161" s="185" t="str">
        <f t="shared" si="6"/>
        <v>項目名:企画名</v>
      </c>
      <c r="Z161" s="236" t="s">
        <v>173</v>
      </c>
    </row>
    <row r="162" spans="1:26" ht="11.4" x14ac:dyDescent="0.15">
      <c r="A162" s="175">
        <f t="shared" si="1"/>
        <v>160</v>
      </c>
      <c r="B162" s="176"/>
      <c r="C162" s="176"/>
      <c r="D162" s="176"/>
      <c r="E162" s="176"/>
      <c r="F162" s="186"/>
      <c r="G162" s="227" t="s">
        <v>118</v>
      </c>
      <c r="H162" s="177"/>
      <c r="I162" s="178"/>
      <c r="J162" s="178"/>
      <c r="K162" s="179"/>
      <c r="L162" s="177"/>
      <c r="M162" s="178"/>
      <c r="N162" s="178"/>
      <c r="O162" s="180"/>
      <c r="P162" s="180"/>
      <c r="Q162" s="180" t="s">
        <v>61</v>
      </c>
      <c r="R162" s="180"/>
      <c r="S162" s="179"/>
      <c r="T162" s="265">
        <v>45298</v>
      </c>
      <c r="U162" s="181">
        <v>45663</v>
      </c>
      <c r="V162" s="182"/>
      <c r="W162" s="183"/>
      <c r="X162" s="184"/>
      <c r="Y162" s="185" t="str">
        <f t="shared" si="6"/>
        <v>項目名:会員フラグ</v>
      </c>
      <c r="Z162" s="236" t="s">
        <v>191</v>
      </c>
    </row>
    <row r="163" spans="1:26" ht="11.4" x14ac:dyDescent="0.15">
      <c r="A163" s="175">
        <f t="shared" si="1"/>
        <v>161</v>
      </c>
      <c r="B163" s="176"/>
      <c r="C163" s="176"/>
      <c r="D163" s="176"/>
      <c r="E163" s="176"/>
      <c r="F163" s="186"/>
      <c r="G163" s="227" t="s">
        <v>118</v>
      </c>
      <c r="H163" s="177"/>
      <c r="I163" s="178"/>
      <c r="J163" s="178"/>
      <c r="K163" s="179"/>
      <c r="L163" s="177"/>
      <c r="M163" s="178"/>
      <c r="N163" s="178"/>
      <c r="O163" s="180"/>
      <c r="P163" s="180"/>
      <c r="Q163" s="180" t="s">
        <v>61</v>
      </c>
      <c r="R163" s="180"/>
      <c r="S163" s="179"/>
      <c r="T163" s="265">
        <v>45298</v>
      </c>
      <c r="U163" s="181">
        <v>45663</v>
      </c>
      <c r="V163" s="182"/>
      <c r="W163" s="183"/>
      <c r="X163" s="184"/>
      <c r="Y163" s="185" t="str">
        <f t="shared" si="6"/>
        <v>項目名:自社商品コード</v>
      </c>
      <c r="Z163" s="236" t="s">
        <v>143</v>
      </c>
    </row>
    <row r="164" spans="1:26" ht="11.4" x14ac:dyDescent="0.15">
      <c r="A164" s="175">
        <f t="shared" si="1"/>
        <v>162</v>
      </c>
      <c r="B164" s="176"/>
      <c r="C164" s="176"/>
      <c r="D164" s="176"/>
      <c r="E164" s="176"/>
      <c r="F164" s="186"/>
      <c r="G164" s="227" t="s">
        <v>118</v>
      </c>
      <c r="H164" s="177"/>
      <c r="I164" s="178"/>
      <c r="J164" s="178"/>
      <c r="K164" s="179"/>
      <c r="L164" s="177"/>
      <c r="M164" s="178"/>
      <c r="N164" s="178"/>
      <c r="O164" s="180"/>
      <c r="P164" s="180"/>
      <c r="Q164" s="180" t="s">
        <v>61</v>
      </c>
      <c r="R164" s="180"/>
      <c r="S164" s="179"/>
      <c r="T164" s="265">
        <v>45298</v>
      </c>
      <c r="U164" s="181">
        <v>45663</v>
      </c>
      <c r="V164" s="182"/>
      <c r="W164" s="183"/>
      <c r="X164" s="184"/>
      <c r="Y164" s="185" t="str">
        <f t="shared" si="6"/>
        <v>項目名:組合せ開始日</v>
      </c>
      <c r="Z164" s="236" t="s">
        <v>209</v>
      </c>
    </row>
    <row r="165" spans="1:26" ht="11.4" x14ac:dyDescent="0.15">
      <c r="A165" s="175">
        <f t="shared" si="1"/>
        <v>163</v>
      </c>
      <c r="B165" s="176"/>
      <c r="C165" s="176"/>
      <c r="D165" s="176"/>
      <c r="E165" s="176"/>
      <c r="F165" s="186"/>
      <c r="G165" s="227" t="s">
        <v>118</v>
      </c>
      <c r="H165" s="177"/>
      <c r="I165" s="178"/>
      <c r="J165" s="178"/>
      <c r="K165" s="179"/>
      <c r="L165" s="177"/>
      <c r="M165" s="178"/>
      <c r="N165" s="178"/>
      <c r="O165" s="180"/>
      <c r="P165" s="180"/>
      <c r="Q165" s="180" t="s">
        <v>61</v>
      </c>
      <c r="R165" s="180"/>
      <c r="S165" s="179"/>
      <c r="T165" s="265">
        <v>45298</v>
      </c>
      <c r="U165" s="181">
        <v>45663</v>
      </c>
      <c r="V165" s="182"/>
      <c r="W165" s="183"/>
      <c r="X165" s="184"/>
      <c r="Y165" s="185" t="str">
        <f t="shared" si="6"/>
        <v>項目名:組合せ終了日</v>
      </c>
      <c r="Z165" s="236" t="s">
        <v>210</v>
      </c>
    </row>
    <row r="166" spans="1:26" ht="11.4" x14ac:dyDescent="0.15">
      <c r="A166" s="175">
        <f t="shared" si="1"/>
        <v>164</v>
      </c>
      <c r="B166" s="176"/>
      <c r="C166" s="176"/>
      <c r="D166" s="176"/>
      <c r="E166" s="176"/>
      <c r="F166" s="186"/>
      <c r="G166" s="227" t="s">
        <v>118</v>
      </c>
      <c r="H166" s="177"/>
      <c r="I166" s="178"/>
      <c r="J166" s="178"/>
      <c r="K166" s="179"/>
      <c r="L166" s="177"/>
      <c r="M166" s="178"/>
      <c r="N166" s="178"/>
      <c r="O166" s="180"/>
      <c r="P166" s="180"/>
      <c r="Q166" s="180" t="s">
        <v>61</v>
      </c>
      <c r="R166" s="180"/>
      <c r="S166" s="179"/>
      <c r="T166" s="265">
        <v>45298</v>
      </c>
      <c r="U166" s="181">
        <v>45663</v>
      </c>
      <c r="V166" s="182"/>
      <c r="W166" s="183"/>
      <c r="X166" s="184"/>
      <c r="Y166" s="185" t="str">
        <f t="shared" si="6"/>
        <v>項目名:企画区分</v>
      </c>
      <c r="Z166" s="236" t="s">
        <v>211</v>
      </c>
    </row>
    <row r="167" spans="1:26" ht="11.4" x14ac:dyDescent="0.15">
      <c r="A167" s="175">
        <f t="shared" si="1"/>
        <v>165</v>
      </c>
      <c r="B167" s="176"/>
      <c r="C167" s="176"/>
      <c r="D167" s="176"/>
      <c r="E167" s="176"/>
      <c r="F167" s="186"/>
      <c r="G167" s="227" t="s">
        <v>118</v>
      </c>
      <c r="H167" s="177"/>
      <c r="I167" s="178"/>
      <c r="J167" s="178"/>
      <c r="K167" s="179"/>
      <c r="L167" s="177"/>
      <c r="M167" s="178"/>
      <c r="N167" s="178"/>
      <c r="O167" s="180"/>
      <c r="P167" s="180"/>
      <c r="Q167" s="180" t="s">
        <v>61</v>
      </c>
      <c r="R167" s="180"/>
      <c r="S167" s="179"/>
      <c r="T167" s="265">
        <v>45298</v>
      </c>
      <c r="U167" s="181">
        <v>45663</v>
      </c>
      <c r="V167" s="182"/>
      <c r="W167" s="183"/>
      <c r="X167" s="184"/>
      <c r="Y167" s="185" t="str">
        <f t="shared" si="6"/>
        <v>項目名:組合せ自動削除日数</v>
      </c>
      <c r="Z167" s="236" t="s">
        <v>212</v>
      </c>
    </row>
    <row r="168" spans="1:26" ht="11.4" x14ac:dyDescent="0.15">
      <c r="A168" s="175">
        <f t="shared" si="1"/>
        <v>166</v>
      </c>
      <c r="B168" s="176"/>
      <c r="C168" s="176"/>
      <c r="D168" s="176"/>
      <c r="E168" s="176"/>
      <c r="F168" s="186"/>
      <c r="G168" s="227" t="s">
        <v>118</v>
      </c>
      <c r="H168" s="177"/>
      <c r="I168" s="178"/>
      <c r="J168" s="178"/>
      <c r="K168" s="179"/>
      <c r="L168" s="177"/>
      <c r="M168" s="178"/>
      <c r="N168" s="178"/>
      <c r="O168" s="180"/>
      <c r="P168" s="180"/>
      <c r="Q168" s="180" t="s">
        <v>61</v>
      </c>
      <c r="R168" s="180"/>
      <c r="S168" s="179"/>
      <c r="T168" s="265">
        <v>45298</v>
      </c>
      <c r="U168" s="181">
        <v>45663</v>
      </c>
      <c r="V168" s="182"/>
      <c r="W168" s="183"/>
      <c r="X168" s="184"/>
      <c r="Y168" s="185" t="str">
        <f t="shared" si="6"/>
        <v>項目名:組合せ優先区分</v>
      </c>
      <c r="Z168" s="236" t="s">
        <v>213</v>
      </c>
    </row>
    <row r="169" spans="1:26" ht="11.4" x14ac:dyDescent="0.15">
      <c r="A169" s="175">
        <f t="shared" si="1"/>
        <v>167</v>
      </c>
      <c r="B169" s="176"/>
      <c r="C169" s="176"/>
      <c r="D169" s="176"/>
      <c r="E169" s="176"/>
      <c r="F169" s="186"/>
      <c r="G169" s="227" t="s">
        <v>118</v>
      </c>
      <c r="H169" s="177"/>
      <c r="I169" s="178"/>
      <c r="J169" s="178"/>
      <c r="K169" s="179"/>
      <c r="L169" s="177"/>
      <c r="M169" s="178"/>
      <c r="N169" s="178"/>
      <c r="O169" s="180"/>
      <c r="P169" s="180"/>
      <c r="Q169" s="180" t="s">
        <v>61</v>
      </c>
      <c r="R169" s="180"/>
      <c r="S169" s="179"/>
      <c r="T169" s="265">
        <v>45298</v>
      </c>
      <c r="U169" s="181">
        <v>45663</v>
      </c>
      <c r="V169" s="182"/>
      <c r="W169" s="183"/>
      <c r="X169" s="184"/>
      <c r="Y169" s="185" t="str">
        <f t="shared" si="6"/>
        <v>項目名:組合せ保留フラグ</v>
      </c>
      <c r="Z169" s="236" t="s">
        <v>214</v>
      </c>
    </row>
    <row r="170" spans="1:26" ht="11.4" x14ac:dyDescent="0.15">
      <c r="A170" s="175">
        <f t="shared" si="1"/>
        <v>168</v>
      </c>
      <c r="B170" s="176"/>
      <c r="C170" s="176"/>
      <c r="D170" s="176"/>
      <c r="E170" s="176"/>
      <c r="F170" s="186"/>
      <c r="G170" s="227" t="s">
        <v>118</v>
      </c>
      <c r="H170" s="177"/>
      <c r="I170" s="178"/>
      <c r="J170" s="178"/>
      <c r="K170" s="179"/>
      <c r="L170" s="177"/>
      <c r="M170" s="178"/>
      <c r="N170" s="178"/>
      <c r="O170" s="180"/>
      <c r="P170" s="180"/>
      <c r="Q170" s="180" t="s">
        <v>61</v>
      </c>
      <c r="R170" s="180"/>
      <c r="S170" s="179"/>
      <c r="T170" s="265">
        <v>45298</v>
      </c>
      <c r="U170" s="181">
        <v>45663</v>
      </c>
      <c r="V170" s="182"/>
      <c r="W170" s="183"/>
      <c r="X170" s="184"/>
      <c r="Y170" s="185" t="str">
        <f t="shared" si="6"/>
        <v>項目名:タイムサービスフラグ</v>
      </c>
      <c r="Z170" s="236" t="s">
        <v>179</v>
      </c>
    </row>
    <row r="171" spans="1:26" ht="11.4" x14ac:dyDescent="0.15">
      <c r="A171" s="175">
        <f t="shared" si="1"/>
        <v>169</v>
      </c>
      <c r="B171" s="176"/>
      <c r="C171" s="176"/>
      <c r="D171" s="176"/>
      <c r="E171" s="176"/>
      <c r="F171" s="186"/>
      <c r="G171" s="227" t="s">
        <v>118</v>
      </c>
      <c r="H171" s="177"/>
      <c r="I171" s="178"/>
      <c r="J171" s="178"/>
      <c r="K171" s="179"/>
      <c r="L171" s="177"/>
      <c r="M171" s="178"/>
      <c r="N171" s="178"/>
      <c r="O171" s="180"/>
      <c r="P171" s="180"/>
      <c r="Q171" s="180" t="s">
        <v>61</v>
      </c>
      <c r="R171" s="180"/>
      <c r="S171" s="179"/>
      <c r="T171" s="265">
        <v>45298</v>
      </c>
      <c r="U171" s="181">
        <v>45663</v>
      </c>
      <c r="V171" s="182"/>
      <c r="W171" s="183"/>
      <c r="X171" s="184"/>
      <c r="Y171" s="185" t="str">
        <f t="shared" si="6"/>
        <v>項目名:月曜日除外フラグ</v>
      </c>
      <c r="Z171" s="236" t="s">
        <v>180</v>
      </c>
    </row>
    <row r="172" spans="1:26" ht="11.4" x14ac:dyDescent="0.15">
      <c r="A172" s="175">
        <f t="shared" si="1"/>
        <v>170</v>
      </c>
      <c r="B172" s="176"/>
      <c r="C172" s="176"/>
      <c r="D172" s="176"/>
      <c r="E172" s="176"/>
      <c r="F172" s="186"/>
      <c r="G172" s="227" t="s">
        <v>118</v>
      </c>
      <c r="H172" s="177"/>
      <c r="I172" s="178"/>
      <c r="J172" s="178"/>
      <c r="K172" s="179"/>
      <c r="L172" s="177"/>
      <c r="M172" s="178"/>
      <c r="N172" s="178"/>
      <c r="O172" s="180"/>
      <c r="P172" s="180"/>
      <c r="Q172" s="180" t="s">
        <v>61</v>
      </c>
      <c r="R172" s="180"/>
      <c r="S172" s="179"/>
      <c r="T172" s="265">
        <v>45298</v>
      </c>
      <c r="U172" s="181">
        <v>45663</v>
      </c>
      <c r="V172" s="182"/>
      <c r="W172" s="183"/>
      <c r="X172" s="184"/>
      <c r="Y172" s="185" t="str">
        <f t="shared" si="6"/>
        <v>項目名:火曜日除外フラグ</v>
      </c>
      <c r="Z172" s="236" t="s">
        <v>181</v>
      </c>
    </row>
    <row r="173" spans="1:26" ht="11.4" x14ac:dyDescent="0.15">
      <c r="A173" s="175">
        <f t="shared" si="1"/>
        <v>171</v>
      </c>
      <c r="B173" s="176"/>
      <c r="C173" s="176"/>
      <c r="D173" s="176"/>
      <c r="E173" s="176"/>
      <c r="F173" s="186"/>
      <c r="G173" s="227" t="s">
        <v>118</v>
      </c>
      <c r="H173" s="177"/>
      <c r="I173" s="178"/>
      <c r="J173" s="178"/>
      <c r="K173" s="179"/>
      <c r="L173" s="177"/>
      <c r="M173" s="178"/>
      <c r="N173" s="178"/>
      <c r="O173" s="180"/>
      <c r="P173" s="180"/>
      <c r="Q173" s="180" t="s">
        <v>61</v>
      </c>
      <c r="R173" s="180"/>
      <c r="S173" s="179"/>
      <c r="T173" s="265">
        <v>45298</v>
      </c>
      <c r="U173" s="181">
        <v>45663</v>
      </c>
      <c r="V173" s="182"/>
      <c r="W173" s="183"/>
      <c r="X173" s="184"/>
      <c r="Y173" s="185" t="str">
        <f t="shared" si="6"/>
        <v>項目名:水曜日除外フラグ</v>
      </c>
      <c r="Z173" s="236" t="s">
        <v>182</v>
      </c>
    </row>
    <row r="174" spans="1:26" ht="11.4" x14ac:dyDescent="0.15">
      <c r="A174" s="175">
        <f t="shared" si="1"/>
        <v>172</v>
      </c>
      <c r="B174" s="176"/>
      <c r="C174" s="176"/>
      <c r="D174" s="176"/>
      <c r="E174" s="176"/>
      <c r="F174" s="186"/>
      <c r="G174" s="227" t="s">
        <v>118</v>
      </c>
      <c r="H174" s="177"/>
      <c r="I174" s="178"/>
      <c r="J174" s="178"/>
      <c r="K174" s="179"/>
      <c r="L174" s="177"/>
      <c r="M174" s="178"/>
      <c r="N174" s="178"/>
      <c r="O174" s="180"/>
      <c r="P174" s="180"/>
      <c r="Q174" s="180" t="s">
        <v>61</v>
      </c>
      <c r="R174" s="180"/>
      <c r="S174" s="179"/>
      <c r="T174" s="265">
        <v>45298</v>
      </c>
      <c r="U174" s="181">
        <v>45663</v>
      </c>
      <c r="V174" s="182"/>
      <c r="W174" s="183"/>
      <c r="X174" s="184"/>
      <c r="Y174" s="185" t="str">
        <f t="shared" si="6"/>
        <v>項目名:木曜日除外フラグ</v>
      </c>
      <c r="Z174" s="236" t="s">
        <v>183</v>
      </c>
    </row>
    <row r="175" spans="1:26" ht="11.4" x14ac:dyDescent="0.15">
      <c r="A175" s="175">
        <f t="shared" si="1"/>
        <v>173</v>
      </c>
      <c r="B175" s="176"/>
      <c r="C175" s="176"/>
      <c r="D175" s="176"/>
      <c r="E175" s="176"/>
      <c r="F175" s="186"/>
      <c r="G175" s="227" t="s">
        <v>118</v>
      </c>
      <c r="H175" s="177"/>
      <c r="I175" s="178"/>
      <c r="J175" s="178"/>
      <c r="K175" s="179"/>
      <c r="L175" s="177"/>
      <c r="M175" s="178"/>
      <c r="N175" s="178"/>
      <c r="O175" s="180"/>
      <c r="P175" s="180"/>
      <c r="Q175" s="180" t="s">
        <v>61</v>
      </c>
      <c r="R175" s="180"/>
      <c r="S175" s="179"/>
      <c r="T175" s="265">
        <v>45298</v>
      </c>
      <c r="U175" s="181">
        <v>45663</v>
      </c>
      <c r="V175" s="182"/>
      <c r="W175" s="183"/>
      <c r="X175" s="184"/>
      <c r="Y175" s="185" t="str">
        <f t="shared" si="6"/>
        <v>項目名:金曜日除外フラグ</v>
      </c>
      <c r="Z175" s="236" t="s">
        <v>184</v>
      </c>
    </row>
    <row r="176" spans="1:26" ht="11.4" x14ac:dyDescent="0.15">
      <c r="A176" s="175">
        <f t="shared" si="1"/>
        <v>174</v>
      </c>
      <c r="B176" s="176"/>
      <c r="C176" s="176"/>
      <c r="D176" s="176"/>
      <c r="E176" s="176"/>
      <c r="F176" s="186"/>
      <c r="G176" s="227" t="s">
        <v>118</v>
      </c>
      <c r="H176" s="177"/>
      <c r="I176" s="178"/>
      <c r="J176" s="178"/>
      <c r="K176" s="179"/>
      <c r="L176" s="177"/>
      <c r="M176" s="178"/>
      <c r="N176" s="178"/>
      <c r="O176" s="180"/>
      <c r="P176" s="180"/>
      <c r="Q176" s="180" t="s">
        <v>61</v>
      </c>
      <c r="R176" s="180"/>
      <c r="S176" s="179"/>
      <c r="T176" s="265">
        <v>45298</v>
      </c>
      <c r="U176" s="181">
        <v>45663</v>
      </c>
      <c r="V176" s="182"/>
      <c r="W176" s="183"/>
      <c r="X176" s="184"/>
      <c r="Y176" s="185" t="str">
        <f t="shared" si="6"/>
        <v>項目名:土曜日除外フラグ</v>
      </c>
      <c r="Z176" s="236" t="s">
        <v>185</v>
      </c>
    </row>
    <row r="177" spans="1:26" ht="11.4" x14ac:dyDescent="0.15">
      <c r="A177" s="175">
        <f t="shared" si="1"/>
        <v>175</v>
      </c>
      <c r="B177" s="176"/>
      <c r="C177" s="176"/>
      <c r="D177" s="176"/>
      <c r="E177" s="176"/>
      <c r="F177" s="186"/>
      <c r="G177" s="227" t="s">
        <v>118</v>
      </c>
      <c r="H177" s="177"/>
      <c r="I177" s="178"/>
      <c r="J177" s="178"/>
      <c r="K177" s="179"/>
      <c r="L177" s="177"/>
      <c r="M177" s="178"/>
      <c r="N177" s="178"/>
      <c r="O177" s="180"/>
      <c r="P177" s="180"/>
      <c r="Q177" s="180" t="s">
        <v>61</v>
      </c>
      <c r="R177" s="180"/>
      <c r="S177" s="179"/>
      <c r="T177" s="265">
        <v>45298</v>
      </c>
      <c r="U177" s="181">
        <v>45663</v>
      </c>
      <c r="V177" s="182"/>
      <c r="W177" s="183"/>
      <c r="X177" s="184"/>
      <c r="Y177" s="185" t="str">
        <f t="shared" si="6"/>
        <v>項目名:日曜日除外フラグ</v>
      </c>
      <c r="Z177" s="236" t="s">
        <v>186</v>
      </c>
    </row>
    <row r="178" spans="1:26" ht="11.4" x14ac:dyDescent="0.15">
      <c r="A178" s="175">
        <f t="shared" si="1"/>
        <v>176</v>
      </c>
      <c r="B178" s="176"/>
      <c r="C178" s="176"/>
      <c r="D178" s="176"/>
      <c r="E178" s="176"/>
      <c r="F178" s="186"/>
      <c r="G178" s="227" t="s">
        <v>118</v>
      </c>
      <c r="H178" s="177"/>
      <c r="I178" s="178"/>
      <c r="J178" s="178"/>
      <c r="K178" s="179"/>
      <c r="L178" s="177"/>
      <c r="M178" s="178"/>
      <c r="N178" s="178"/>
      <c r="O178" s="180"/>
      <c r="P178" s="180"/>
      <c r="Q178" s="180" t="s">
        <v>61</v>
      </c>
      <c r="R178" s="180"/>
      <c r="S178" s="179"/>
      <c r="T178" s="265">
        <v>45298</v>
      </c>
      <c r="U178" s="181">
        <v>45663</v>
      </c>
      <c r="V178" s="182"/>
      <c r="W178" s="183"/>
      <c r="X178" s="184"/>
      <c r="Y178" s="185" t="str">
        <f t="shared" si="6"/>
        <v>項目名:組合せ開始時間</v>
      </c>
      <c r="Z178" s="236" t="s">
        <v>215</v>
      </c>
    </row>
    <row r="179" spans="1:26" ht="11.4" x14ac:dyDescent="0.15">
      <c r="A179" s="175">
        <f t="shared" si="1"/>
        <v>177</v>
      </c>
      <c r="B179" s="176"/>
      <c r="C179" s="176"/>
      <c r="D179" s="176"/>
      <c r="E179" s="176"/>
      <c r="F179" s="186"/>
      <c r="G179" s="227" t="s">
        <v>118</v>
      </c>
      <c r="H179" s="177"/>
      <c r="I179" s="178"/>
      <c r="J179" s="178"/>
      <c r="K179" s="179"/>
      <c r="L179" s="177"/>
      <c r="M179" s="178"/>
      <c r="N179" s="178"/>
      <c r="O179" s="180"/>
      <c r="P179" s="180"/>
      <c r="Q179" s="180" t="s">
        <v>61</v>
      </c>
      <c r="R179" s="180"/>
      <c r="S179" s="179"/>
      <c r="T179" s="265">
        <v>45298</v>
      </c>
      <c r="U179" s="181">
        <v>45663</v>
      </c>
      <c r="V179" s="182"/>
      <c r="W179" s="183"/>
      <c r="X179" s="184"/>
      <c r="Y179" s="185" t="str">
        <f t="shared" si="6"/>
        <v>項目名:組合せ終了時間</v>
      </c>
      <c r="Z179" s="236" t="s">
        <v>216</v>
      </c>
    </row>
    <row r="180" spans="1:26" ht="11.4" x14ac:dyDescent="0.15">
      <c r="A180" s="175">
        <f t="shared" si="1"/>
        <v>178</v>
      </c>
      <c r="B180" s="176"/>
      <c r="C180" s="176"/>
      <c r="D180" s="176"/>
      <c r="E180" s="176"/>
      <c r="F180" s="186"/>
      <c r="G180" s="227" t="s">
        <v>118</v>
      </c>
      <c r="H180" s="177"/>
      <c r="I180" s="178"/>
      <c r="J180" s="178"/>
      <c r="K180" s="179"/>
      <c r="L180" s="177"/>
      <c r="M180" s="178"/>
      <c r="N180" s="178"/>
      <c r="O180" s="180"/>
      <c r="P180" s="180"/>
      <c r="Q180" s="180" t="s">
        <v>61</v>
      </c>
      <c r="R180" s="180"/>
      <c r="S180" s="179"/>
      <c r="T180" s="265">
        <v>45298</v>
      </c>
      <c r="U180" s="181">
        <v>45663</v>
      </c>
      <c r="V180" s="182"/>
      <c r="W180" s="183"/>
      <c r="X180" s="184"/>
      <c r="Y180" s="185" t="str">
        <f t="shared" si="6"/>
        <v>項目名:成立数量１</v>
      </c>
      <c r="Z180" s="236" t="s">
        <v>217</v>
      </c>
    </row>
    <row r="181" spans="1:26" ht="11.4" x14ac:dyDescent="0.15">
      <c r="A181" s="175">
        <f t="shared" si="1"/>
        <v>179</v>
      </c>
      <c r="B181" s="176"/>
      <c r="C181" s="176"/>
      <c r="D181" s="176"/>
      <c r="E181" s="176"/>
      <c r="F181" s="186"/>
      <c r="G181" s="227" t="s">
        <v>118</v>
      </c>
      <c r="H181" s="177"/>
      <c r="I181" s="178"/>
      <c r="J181" s="178"/>
      <c r="K181" s="179"/>
      <c r="L181" s="177"/>
      <c r="M181" s="178"/>
      <c r="N181" s="178"/>
      <c r="O181" s="180"/>
      <c r="P181" s="180"/>
      <c r="Q181" s="180" t="s">
        <v>61</v>
      </c>
      <c r="R181" s="180"/>
      <c r="S181" s="179"/>
      <c r="T181" s="265">
        <v>45298</v>
      </c>
      <c r="U181" s="181">
        <v>45663</v>
      </c>
      <c r="V181" s="182"/>
      <c r="W181" s="183"/>
      <c r="X181" s="184"/>
      <c r="Y181" s="185" t="str">
        <f t="shared" si="6"/>
        <v>項目名:成立価格１</v>
      </c>
      <c r="Z181" s="236" t="s">
        <v>218</v>
      </c>
    </row>
    <row r="182" spans="1:26" ht="11.4" x14ac:dyDescent="0.15">
      <c r="A182" s="175">
        <f t="shared" si="1"/>
        <v>180</v>
      </c>
      <c r="B182" s="176"/>
      <c r="C182" s="176"/>
      <c r="D182" s="176"/>
      <c r="E182" s="176"/>
      <c r="F182" s="186"/>
      <c r="G182" s="227" t="s">
        <v>118</v>
      </c>
      <c r="H182" s="177"/>
      <c r="I182" s="178"/>
      <c r="J182" s="178"/>
      <c r="K182" s="179"/>
      <c r="L182" s="177"/>
      <c r="M182" s="178"/>
      <c r="N182" s="178"/>
      <c r="O182" s="180"/>
      <c r="P182" s="180"/>
      <c r="Q182" s="180" t="s">
        <v>61</v>
      </c>
      <c r="R182" s="180"/>
      <c r="S182" s="179"/>
      <c r="T182" s="265">
        <v>45298</v>
      </c>
      <c r="U182" s="181">
        <v>45663</v>
      </c>
      <c r="V182" s="182"/>
      <c r="W182" s="183"/>
      <c r="X182" s="184"/>
      <c r="Y182" s="185" t="str">
        <f t="shared" si="6"/>
        <v>項目名:成立数量２</v>
      </c>
      <c r="Z182" s="236" t="s">
        <v>219</v>
      </c>
    </row>
    <row r="183" spans="1:26" ht="11.4" x14ac:dyDescent="0.15">
      <c r="A183" s="175">
        <f t="shared" si="1"/>
        <v>181</v>
      </c>
      <c r="B183" s="176"/>
      <c r="C183" s="176"/>
      <c r="D183" s="176"/>
      <c r="E183" s="176"/>
      <c r="F183" s="186"/>
      <c r="G183" s="227" t="s">
        <v>118</v>
      </c>
      <c r="H183" s="177"/>
      <c r="I183" s="178"/>
      <c r="J183" s="178"/>
      <c r="K183" s="179"/>
      <c r="L183" s="177"/>
      <c r="M183" s="178"/>
      <c r="N183" s="178"/>
      <c r="O183" s="180"/>
      <c r="P183" s="180"/>
      <c r="Q183" s="180" t="s">
        <v>61</v>
      </c>
      <c r="R183" s="180"/>
      <c r="S183" s="179"/>
      <c r="T183" s="265">
        <v>45298</v>
      </c>
      <c r="U183" s="181">
        <v>45663</v>
      </c>
      <c r="V183" s="182"/>
      <c r="W183" s="183"/>
      <c r="X183" s="184"/>
      <c r="Y183" s="185" t="str">
        <f t="shared" si="6"/>
        <v>項目名:成立価格２</v>
      </c>
      <c r="Z183" s="236" t="s">
        <v>220</v>
      </c>
    </row>
    <row r="184" spans="1:26" ht="11.4" x14ac:dyDescent="0.15">
      <c r="A184" s="175">
        <f t="shared" si="1"/>
        <v>182</v>
      </c>
      <c r="B184" s="176"/>
      <c r="C184" s="176"/>
      <c r="D184" s="176"/>
      <c r="E184" s="176"/>
      <c r="F184" s="186"/>
      <c r="G184" s="227" t="s">
        <v>118</v>
      </c>
      <c r="H184" s="177"/>
      <c r="I184" s="178"/>
      <c r="J184" s="178"/>
      <c r="K184" s="179"/>
      <c r="L184" s="177"/>
      <c r="M184" s="178"/>
      <c r="N184" s="178"/>
      <c r="O184" s="180"/>
      <c r="P184" s="180"/>
      <c r="Q184" s="180" t="s">
        <v>61</v>
      </c>
      <c r="R184" s="180"/>
      <c r="S184" s="179"/>
      <c r="T184" s="265">
        <v>45298</v>
      </c>
      <c r="U184" s="181">
        <v>45663</v>
      </c>
      <c r="V184" s="182"/>
      <c r="W184" s="183"/>
      <c r="X184" s="184"/>
      <c r="Y184" s="185" t="str">
        <f t="shared" si="6"/>
        <v>項目名:成立数量３</v>
      </c>
      <c r="Z184" s="236" t="s">
        <v>221</v>
      </c>
    </row>
    <row r="185" spans="1:26" ht="11.4" x14ac:dyDescent="0.15">
      <c r="A185" s="175">
        <f t="shared" si="1"/>
        <v>183</v>
      </c>
      <c r="B185" s="176"/>
      <c r="C185" s="176"/>
      <c r="D185" s="176"/>
      <c r="E185" s="176"/>
      <c r="F185" s="186"/>
      <c r="G185" s="227" t="s">
        <v>118</v>
      </c>
      <c r="H185" s="177"/>
      <c r="I185" s="178"/>
      <c r="J185" s="178"/>
      <c r="K185" s="179"/>
      <c r="L185" s="177"/>
      <c r="M185" s="178"/>
      <c r="N185" s="178"/>
      <c r="O185" s="180"/>
      <c r="P185" s="180"/>
      <c r="Q185" s="180" t="s">
        <v>61</v>
      </c>
      <c r="R185" s="180"/>
      <c r="S185" s="179"/>
      <c r="T185" s="265">
        <v>45298</v>
      </c>
      <c r="U185" s="181">
        <v>45663</v>
      </c>
      <c r="V185" s="182"/>
      <c r="W185" s="183"/>
      <c r="X185" s="184"/>
      <c r="Y185" s="185" t="str">
        <f t="shared" si="6"/>
        <v>項目名:成立価格３</v>
      </c>
      <c r="Z185" s="236" t="s">
        <v>222</v>
      </c>
    </row>
    <row r="186" spans="1:26" ht="11.4" x14ac:dyDescent="0.15">
      <c r="A186" s="175">
        <f t="shared" si="1"/>
        <v>184</v>
      </c>
      <c r="B186" s="176"/>
      <c r="C186" s="176"/>
      <c r="D186" s="176"/>
      <c r="E186" s="176"/>
      <c r="F186" s="186"/>
      <c r="G186" s="227" t="s">
        <v>118</v>
      </c>
      <c r="H186" s="177"/>
      <c r="I186" s="178"/>
      <c r="J186" s="178"/>
      <c r="K186" s="179"/>
      <c r="L186" s="177"/>
      <c r="M186" s="178"/>
      <c r="N186" s="178"/>
      <c r="O186" s="180"/>
      <c r="P186" s="180"/>
      <c r="Q186" s="180" t="s">
        <v>61</v>
      </c>
      <c r="R186" s="180"/>
      <c r="S186" s="179"/>
      <c r="T186" s="265">
        <v>45298</v>
      </c>
      <c r="U186" s="181">
        <v>45663</v>
      </c>
      <c r="V186" s="182"/>
      <c r="W186" s="183"/>
      <c r="X186" s="184"/>
      <c r="Y186" s="185" t="str">
        <f t="shared" si="6"/>
        <v>項目名:成立数量４</v>
      </c>
      <c r="Z186" s="236" t="s">
        <v>223</v>
      </c>
    </row>
    <row r="187" spans="1:26" ht="11.4" x14ac:dyDescent="0.15">
      <c r="A187" s="175">
        <f t="shared" si="1"/>
        <v>185</v>
      </c>
      <c r="B187" s="176"/>
      <c r="C187" s="176"/>
      <c r="D187" s="176"/>
      <c r="E187" s="176"/>
      <c r="F187" s="186"/>
      <c r="G187" s="227" t="s">
        <v>118</v>
      </c>
      <c r="H187" s="177"/>
      <c r="I187" s="178"/>
      <c r="J187" s="178"/>
      <c r="K187" s="179"/>
      <c r="L187" s="177"/>
      <c r="M187" s="178"/>
      <c r="N187" s="178"/>
      <c r="O187" s="180"/>
      <c r="P187" s="180"/>
      <c r="Q187" s="180" t="s">
        <v>61</v>
      </c>
      <c r="R187" s="180"/>
      <c r="S187" s="179"/>
      <c r="T187" s="265">
        <v>45298</v>
      </c>
      <c r="U187" s="181">
        <v>45663</v>
      </c>
      <c r="V187" s="182"/>
      <c r="W187" s="183"/>
      <c r="X187" s="184"/>
      <c r="Y187" s="185" t="str">
        <f t="shared" si="6"/>
        <v>項目名:成立価格４</v>
      </c>
      <c r="Z187" s="236" t="s">
        <v>224</v>
      </c>
    </row>
    <row r="188" spans="1:26" ht="11.4" x14ac:dyDescent="0.15">
      <c r="A188" s="175">
        <f t="shared" si="1"/>
        <v>186</v>
      </c>
      <c r="B188" s="176"/>
      <c r="C188" s="176"/>
      <c r="D188" s="176"/>
      <c r="E188" s="176"/>
      <c r="F188" s="186"/>
      <c r="G188" s="227" t="s">
        <v>118</v>
      </c>
      <c r="H188" s="177"/>
      <c r="I188" s="178"/>
      <c r="J188" s="178"/>
      <c r="K188" s="179"/>
      <c r="L188" s="177"/>
      <c r="M188" s="178"/>
      <c r="N188" s="178"/>
      <c r="O188" s="180"/>
      <c r="P188" s="180"/>
      <c r="Q188" s="180" t="s">
        <v>61</v>
      </c>
      <c r="R188" s="180"/>
      <c r="S188" s="179"/>
      <c r="T188" s="265">
        <v>45298</v>
      </c>
      <c r="U188" s="181">
        <v>45663</v>
      </c>
      <c r="V188" s="182"/>
      <c r="W188" s="183"/>
      <c r="X188" s="184"/>
      <c r="Y188" s="185" t="str">
        <f t="shared" si="6"/>
        <v>項目名:成立数量５</v>
      </c>
      <c r="Z188" s="236" t="s">
        <v>225</v>
      </c>
    </row>
    <row r="189" spans="1:26" ht="11.4" x14ac:dyDescent="0.15">
      <c r="A189" s="175">
        <f t="shared" si="1"/>
        <v>187</v>
      </c>
      <c r="B189" s="176"/>
      <c r="C189" s="176"/>
      <c r="D189" s="176"/>
      <c r="E189" s="176"/>
      <c r="F189" s="186"/>
      <c r="G189" s="227" t="s">
        <v>118</v>
      </c>
      <c r="H189" s="177"/>
      <c r="I189" s="178"/>
      <c r="J189" s="178"/>
      <c r="K189" s="179"/>
      <c r="L189" s="177"/>
      <c r="M189" s="178"/>
      <c r="N189" s="178"/>
      <c r="O189" s="180"/>
      <c r="P189" s="180"/>
      <c r="Q189" s="180" t="s">
        <v>61</v>
      </c>
      <c r="R189" s="180"/>
      <c r="S189" s="179"/>
      <c r="T189" s="265">
        <v>45298</v>
      </c>
      <c r="U189" s="181">
        <v>45663</v>
      </c>
      <c r="V189" s="182"/>
      <c r="W189" s="183"/>
      <c r="X189" s="184"/>
      <c r="Y189" s="185" t="str">
        <f t="shared" si="6"/>
        <v>項目名:成立価格５</v>
      </c>
      <c r="Z189" s="236" t="s">
        <v>226</v>
      </c>
    </row>
    <row r="190" spans="1:26" ht="11.4" x14ac:dyDescent="0.15">
      <c r="A190" s="175">
        <f t="shared" si="1"/>
        <v>188</v>
      </c>
      <c r="B190" s="176"/>
      <c r="C190" s="176"/>
      <c r="D190" s="176"/>
      <c r="E190" s="176"/>
      <c r="F190" s="186"/>
      <c r="G190" s="227" t="s">
        <v>118</v>
      </c>
      <c r="H190" s="177"/>
      <c r="I190" s="178"/>
      <c r="J190" s="178"/>
      <c r="K190" s="179"/>
      <c r="L190" s="177"/>
      <c r="M190" s="178"/>
      <c r="N190" s="178"/>
      <c r="O190" s="180"/>
      <c r="P190" s="180"/>
      <c r="Q190" s="180" t="s">
        <v>61</v>
      </c>
      <c r="R190" s="180"/>
      <c r="S190" s="179"/>
      <c r="T190" s="265">
        <v>45298</v>
      </c>
      <c r="U190" s="181">
        <v>45663</v>
      </c>
      <c r="V190" s="182"/>
      <c r="W190" s="183"/>
      <c r="X190" s="184"/>
      <c r="Y190" s="185" t="str">
        <f t="shared" si="6"/>
        <v>項目名:成立数量６</v>
      </c>
      <c r="Z190" s="236" t="s">
        <v>227</v>
      </c>
    </row>
    <row r="191" spans="1:26" ht="11.4" x14ac:dyDescent="0.15">
      <c r="A191" s="175">
        <f t="shared" si="1"/>
        <v>189</v>
      </c>
      <c r="B191" s="176"/>
      <c r="C191" s="176"/>
      <c r="D191" s="176"/>
      <c r="E191" s="176"/>
      <c r="F191" s="186"/>
      <c r="G191" s="227" t="s">
        <v>118</v>
      </c>
      <c r="H191" s="177"/>
      <c r="I191" s="178"/>
      <c r="J191" s="178"/>
      <c r="K191" s="179"/>
      <c r="L191" s="177"/>
      <c r="M191" s="178"/>
      <c r="N191" s="178"/>
      <c r="O191" s="180"/>
      <c r="P191" s="180"/>
      <c r="Q191" s="180" t="s">
        <v>61</v>
      </c>
      <c r="R191" s="180"/>
      <c r="S191" s="179"/>
      <c r="T191" s="265">
        <v>45298</v>
      </c>
      <c r="U191" s="181">
        <v>45663</v>
      </c>
      <c r="V191" s="182"/>
      <c r="W191" s="183"/>
      <c r="X191" s="184"/>
      <c r="Y191" s="185" t="str">
        <f t="shared" si="6"/>
        <v>項目名:成立価格６</v>
      </c>
      <c r="Z191" s="236" t="s">
        <v>228</v>
      </c>
    </row>
    <row r="192" spans="1:26" ht="11.4" x14ac:dyDescent="0.15">
      <c r="A192" s="175">
        <f t="shared" si="1"/>
        <v>190</v>
      </c>
      <c r="B192" s="176"/>
      <c r="C192" s="176"/>
      <c r="D192" s="176"/>
      <c r="E192" s="176"/>
      <c r="F192" s="186"/>
      <c r="G192" s="227" t="s">
        <v>118</v>
      </c>
      <c r="H192" s="177"/>
      <c r="I192" s="178"/>
      <c r="J192" s="178"/>
      <c r="K192" s="179"/>
      <c r="L192" s="177"/>
      <c r="M192" s="178"/>
      <c r="N192" s="178"/>
      <c r="O192" s="180"/>
      <c r="P192" s="180"/>
      <c r="Q192" s="180" t="s">
        <v>61</v>
      </c>
      <c r="R192" s="180"/>
      <c r="S192" s="179"/>
      <c r="T192" s="265">
        <v>45298</v>
      </c>
      <c r="U192" s="181">
        <v>45663</v>
      </c>
      <c r="V192" s="182"/>
      <c r="W192" s="183"/>
      <c r="X192" s="184"/>
      <c r="Y192" s="185" t="str">
        <f t="shared" si="6"/>
        <v>項目名:成立数量７</v>
      </c>
      <c r="Z192" s="236" t="s">
        <v>229</v>
      </c>
    </row>
    <row r="193" spans="1:26" ht="11.4" x14ac:dyDescent="0.15">
      <c r="A193" s="175">
        <f t="shared" si="1"/>
        <v>191</v>
      </c>
      <c r="B193" s="176"/>
      <c r="C193" s="176"/>
      <c r="D193" s="176"/>
      <c r="E193" s="176"/>
      <c r="F193" s="186"/>
      <c r="G193" s="227" t="s">
        <v>118</v>
      </c>
      <c r="H193" s="177"/>
      <c r="I193" s="178"/>
      <c r="J193" s="178"/>
      <c r="K193" s="179"/>
      <c r="L193" s="177"/>
      <c r="M193" s="178"/>
      <c r="N193" s="178"/>
      <c r="O193" s="180"/>
      <c r="P193" s="180"/>
      <c r="Q193" s="180" t="s">
        <v>61</v>
      </c>
      <c r="R193" s="180"/>
      <c r="S193" s="179"/>
      <c r="T193" s="265">
        <v>45298</v>
      </c>
      <c r="U193" s="181">
        <v>45663</v>
      </c>
      <c r="V193" s="182"/>
      <c r="W193" s="183"/>
      <c r="X193" s="184"/>
      <c r="Y193" s="185" t="str">
        <f t="shared" si="6"/>
        <v>項目名:成立価格７</v>
      </c>
      <c r="Z193" s="236" t="s">
        <v>230</v>
      </c>
    </row>
    <row r="194" spans="1:26" ht="11.4" x14ac:dyDescent="0.15">
      <c r="A194" s="175">
        <f t="shared" si="1"/>
        <v>192</v>
      </c>
      <c r="B194" s="176"/>
      <c r="C194" s="176"/>
      <c r="D194" s="176"/>
      <c r="E194" s="176"/>
      <c r="F194" s="186"/>
      <c r="G194" s="227" t="s">
        <v>118</v>
      </c>
      <c r="H194" s="177"/>
      <c r="I194" s="178"/>
      <c r="J194" s="178"/>
      <c r="K194" s="179"/>
      <c r="L194" s="177"/>
      <c r="M194" s="178"/>
      <c r="N194" s="178"/>
      <c r="O194" s="180"/>
      <c r="P194" s="180"/>
      <c r="Q194" s="180" t="s">
        <v>61</v>
      </c>
      <c r="R194" s="180"/>
      <c r="S194" s="179"/>
      <c r="T194" s="265">
        <v>45298</v>
      </c>
      <c r="U194" s="181">
        <v>45663</v>
      </c>
      <c r="V194" s="182"/>
      <c r="W194" s="183"/>
      <c r="X194" s="184"/>
      <c r="Y194" s="185" t="str">
        <f t="shared" si="6"/>
        <v>項目名:成立数量８</v>
      </c>
      <c r="Z194" s="236" t="s">
        <v>231</v>
      </c>
    </row>
    <row r="195" spans="1:26" ht="11.4" x14ac:dyDescent="0.15">
      <c r="A195" s="175">
        <f t="shared" si="1"/>
        <v>193</v>
      </c>
      <c r="B195" s="176"/>
      <c r="C195" s="176"/>
      <c r="D195" s="176"/>
      <c r="E195" s="176"/>
      <c r="F195" s="186"/>
      <c r="G195" s="227" t="s">
        <v>118</v>
      </c>
      <c r="H195" s="177"/>
      <c r="I195" s="178"/>
      <c r="J195" s="178"/>
      <c r="K195" s="179"/>
      <c r="L195" s="177"/>
      <c r="M195" s="178"/>
      <c r="N195" s="178"/>
      <c r="O195" s="180"/>
      <c r="P195" s="180"/>
      <c r="Q195" s="180" t="s">
        <v>61</v>
      </c>
      <c r="R195" s="180"/>
      <c r="S195" s="179"/>
      <c r="T195" s="265">
        <v>45298</v>
      </c>
      <c r="U195" s="181">
        <v>45663</v>
      </c>
      <c r="V195" s="182"/>
      <c r="W195" s="183"/>
      <c r="X195" s="184"/>
      <c r="Y195" s="185" t="str">
        <f t="shared" si="6"/>
        <v>項目名:成立価格８</v>
      </c>
      <c r="Z195" s="236" t="s">
        <v>232</v>
      </c>
    </row>
    <row r="196" spans="1:26" ht="11.4" x14ac:dyDescent="0.15">
      <c r="A196" s="175">
        <f t="shared" si="1"/>
        <v>194</v>
      </c>
      <c r="B196" s="176"/>
      <c r="C196" s="176"/>
      <c r="D196" s="176"/>
      <c r="E196" s="176"/>
      <c r="F196" s="186"/>
      <c r="G196" s="227" t="s">
        <v>118</v>
      </c>
      <c r="H196" s="177"/>
      <c r="I196" s="178"/>
      <c r="J196" s="178"/>
      <c r="K196" s="179"/>
      <c r="L196" s="177"/>
      <c r="M196" s="178"/>
      <c r="N196" s="178"/>
      <c r="O196" s="180"/>
      <c r="P196" s="180"/>
      <c r="Q196" s="180" t="s">
        <v>61</v>
      </c>
      <c r="R196" s="180"/>
      <c r="S196" s="179"/>
      <c r="T196" s="265">
        <v>45298</v>
      </c>
      <c r="U196" s="181">
        <v>45663</v>
      </c>
      <c r="V196" s="182"/>
      <c r="W196" s="183"/>
      <c r="X196" s="184"/>
      <c r="Y196" s="185" t="str">
        <f t="shared" si="6"/>
        <v>項目名:成立数量９</v>
      </c>
      <c r="Z196" s="236" t="s">
        <v>233</v>
      </c>
    </row>
    <row r="197" spans="1:26" ht="11.4" x14ac:dyDescent="0.15">
      <c r="A197" s="175">
        <f t="shared" si="1"/>
        <v>195</v>
      </c>
      <c r="B197" s="176"/>
      <c r="C197" s="176"/>
      <c r="D197" s="176"/>
      <c r="E197" s="176"/>
      <c r="F197" s="186"/>
      <c r="G197" s="227" t="s">
        <v>118</v>
      </c>
      <c r="H197" s="177"/>
      <c r="I197" s="178"/>
      <c r="J197" s="178"/>
      <c r="K197" s="179"/>
      <c r="L197" s="177"/>
      <c r="M197" s="178"/>
      <c r="N197" s="178"/>
      <c r="O197" s="180"/>
      <c r="P197" s="180"/>
      <c r="Q197" s="180" t="s">
        <v>61</v>
      </c>
      <c r="R197" s="180"/>
      <c r="S197" s="179"/>
      <c r="T197" s="265">
        <v>45298</v>
      </c>
      <c r="U197" s="181">
        <v>45663</v>
      </c>
      <c r="V197" s="182"/>
      <c r="W197" s="183"/>
      <c r="X197" s="184"/>
      <c r="Y197" s="185" t="str">
        <f t="shared" si="6"/>
        <v>項目名:成立価格９</v>
      </c>
      <c r="Z197" s="236" t="s">
        <v>234</v>
      </c>
    </row>
    <row r="198" spans="1:26" ht="11.4" x14ac:dyDescent="0.15">
      <c r="A198" s="175">
        <f t="shared" si="1"/>
        <v>196</v>
      </c>
      <c r="B198" s="176"/>
      <c r="C198" s="176"/>
      <c r="D198" s="176"/>
      <c r="E198" s="176"/>
      <c r="F198" s="186"/>
      <c r="G198" s="227" t="s">
        <v>118</v>
      </c>
      <c r="H198" s="177"/>
      <c r="I198" s="178"/>
      <c r="J198" s="178"/>
      <c r="K198" s="179"/>
      <c r="L198" s="177"/>
      <c r="M198" s="178"/>
      <c r="N198" s="178"/>
      <c r="O198" s="180"/>
      <c r="P198" s="180"/>
      <c r="Q198" s="180" t="s">
        <v>61</v>
      </c>
      <c r="R198" s="180"/>
      <c r="S198" s="179"/>
      <c r="T198" s="265">
        <v>45298</v>
      </c>
      <c r="U198" s="181">
        <v>45663</v>
      </c>
      <c r="V198" s="182"/>
      <c r="W198" s="183"/>
      <c r="X198" s="184"/>
      <c r="Y198" s="185" t="str">
        <f t="shared" si="6"/>
        <v>項目名:成立数量１０</v>
      </c>
      <c r="Z198" s="236" t="s">
        <v>235</v>
      </c>
    </row>
    <row r="199" spans="1:26" ht="11.4" x14ac:dyDescent="0.15">
      <c r="A199" s="175">
        <f t="shared" si="1"/>
        <v>197</v>
      </c>
      <c r="B199" s="176"/>
      <c r="C199" s="176"/>
      <c r="D199" s="176"/>
      <c r="E199" s="176"/>
      <c r="F199" s="186"/>
      <c r="G199" s="227" t="s">
        <v>118</v>
      </c>
      <c r="H199" s="177"/>
      <c r="I199" s="178"/>
      <c r="J199" s="178"/>
      <c r="K199" s="179"/>
      <c r="L199" s="177"/>
      <c r="M199" s="178"/>
      <c r="N199" s="178"/>
      <c r="O199" s="180"/>
      <c r="P199" s="180"/>
      <c r="Q199" s="180" t="s">
        <v>61</v>
      </c>
      <c r="R199" s="180"/>
      <c r="S199" s="179"/>
      <c r="T199" s="265">
        <v>45298</v>
      </c>
      <c r="U199" s="181">
        <v>45663</v>
      </c>
      <c r="V199" s="182"/>
      <c r="W199" s="183"/>
      <c r="X199" s="184"/>
      <c r="Y199" s="185" t="str">
        <f t="shared" si="6"/>
        <v>項目名:成立価格１０</v>
      </c>
      <c r="Z199" s="236" t="s">
        <v>236</v>
      </c>
    </row>
    <row r="200" spans="1:26" ht="11.4" x14ac:dyDescent="0.15">
      <c r="A200" s="175">
        <f t="shared" si="1"/>
        <v>198</v>
      </c>
      <c r="B200" s="176"/>
      <c r="C200" s="176"/>
      <c r="D200" s="176"/>
      <c r="E200" s="176"/>
      <c r="F200" s="186"/>
      <c r="G200" s="227" t="s">
        <v>118</v>
      </c>
      <c r="H200" s="177"/>
      <c r="I200" s="178"/>
      <c r="J200" s="178"/>
      <c r="K200" s="179"/>
      <c r="L200" s="177"/>
      <c r="M200" s="178"/>
      <c r="N200" s="178"/>
      <c r="O200" s="180"/>
      <c r="P200" s="180"/>
      <c r="Q200" s="180" t="s">
        <v>61</v>
      </c>
      <c r="R200" s="180"/>
      <c r="S200" s="179"/>
      <c r="T200" s="265">
        <v>45298</v>
      </c>
      <c r="U200" s="181">
        <v>45663</v>
      </c>
      <c r="V200" s="182"/>
      <c r="W200" s="183"/>
      <c r="X200" s="184"/>
      <c r="Y200" s="185" t="str">
        <f t="shared" si="6"/>
        <v>項目名:数量</v>
      </c>
      <c r="Z200" s="236" t="s">
        <v>237</v>
      </c>
    </row>
    <row r="201" spans="1:26" ht="11.4" x14ac:dyDescent="0.15">
      <c r="A201" s="175">
        <f t="shared" si="1"/>
        <v>199</v>
      </c>
      <c r="B201" s="176"/>
      <c r="C201" s="176"/>
      <c r="D201" s="176"/>
      <c r="E201" s="176"/>
      <c r="F201" s="186"/>
      <c r="G201" s="227" t="s">
        <v>118</v>
      </c>
      <c r="H201" s="177"/>
      <c r="I201" s="178"/>
      <c r="J201" s="178"/>
      <c r="K201" s="179"/>
      <c r="L201" s="177"/>
      <c r="M201" s="178"/>
      <c r="N201" s="178"/>
      <c r="O201" s="180"/>
      <c r="P201" s="180"/>
      <c r="Q201" s="180" t="s">
        <v>61</v>
      </c>
      <c r="R201" s="180"/>
      <c r="S201" s="179"/>
      <c r="T201" s="265">
        <v>45298</v>
      </c>
      <c r="U201" s="181">
        <v>45663</v>
      </c>
      <c r="V201" s="182"/>
      <c r="W201" s="183"/>
      <c r="X201" s="184"/>
      <c r="Y201" s="185" t="str">
        <f t="shared" si="6"/>
        <v>項目名:内部ディスカウントクラスID</v>
      </c>
      <c r="Z201" s="236" t="s">
        <v>203</v>
      </c>
    </row>
    <row r="202" spans="1:26" ht="11.4" x14ac:dyDescent="0.15">
      <c r="A202" s="175">
        <f t="shared" si="1"/>
        <v>200</v>
      </c>
      <c r="B202" s="176"/>
      <c r="C202" s="176"/>
      <c r="D202" s="176"/>
      <c r="E202" s="176"/>
      <c r="F202" s="186"/>
      <c r="G202" s="227" t="s">
        <v>118</v>
      </c>
      <c r="H202" s="177"/>
      <c r="I202" s="178"/>
      <c r="J202" s="178"/>
      <c r="K202" s="179"/>
      <c r="L202" s="177"/>
      <c r="M202" s="178"/>
      <c r="N202" s="178"/>
      <c r="O202" s="180"/>
      <c r="P202" s="180"/>
      <c r="Q202" s="180" t="s">
        <v>61</v>
      </c>
      <c r="R202" s="180"/>
      <c r="S202" s="179"/>
      <c r="T202" s="265">
        <v>45298</v>
      </c>
      <c r="U202" s="181">
        <v>45663</v>
      </c>
      <c r="V202" s="182"/>
      <c r="W202" s="183"/>
      <c r="X202" s="184"/>
      <c r="Y202" s="185" t="str">
        <f t="shared" si="6"/>
        <v>項目名:内部ディスカウントID</v>
      </c>
      <c r="Z202" s="236" t="s">
        <v>204</v>
      </c>
    </row>
    <row r="203" spans="1:26" ht="11.4" x14ac:dyDescent="0.15">
      <c r="A203" s="175">
        <f t="shared" ref="A203:A205" si="7">ROW()-2</f>
        <v>201</v>
      </c>
      <c r="B203" s="176"/>
      <c r="C203" s="176"/>
      <c r="D203" s="176"/>
      <c r="E203" s="176"/>
      <c r="F203" s="186"/>
      <c r="G203" s="227" t="s">
        <v>118</v>
      </c>
      <c r="H203" s="177"/>
      <c r="I203" s="178"/>
      <c r="J203" s="178"/>
      <c r="K203" s="179"/>
      <c r="L203" s="177"/>
      <c r="M203" s="178"/>
      <c r="N203" s="178"/>
      <c r="O203" s="180"/>
      <c r="P203" s="180"/>
      <c r="Q203" s="180" t="s">
        <v>61</v>
      </c>
      <c r="R203" s="180"/>
      <c r="S203" s="179"/>
      <c r="T203" s="265">
        <v>45298</v>
      </c>
      <c r="U203" s="181">
        <v>45663</v>
      </c>
      <c r="V203" s="182"/>
      <c r="W203" s="183"/>
      <c r="X203" s="184"/>
      <c r="Y203" s="185" t="str">
        <f t="shared" si="6"/>
        <v>項目名:内部イベントコード</v>
      </c>
      <c r="Z203" s="236" t="s">
        <v>187</v>
      </c>
    </row>
    <row r="204" spans="1:26" ht="11.4" x14ac:dyDescent="0.15">
      <c r="A204" s="175">
        <f t="shared" si="7"/>
        <v>202</v>
      </c>
      <c r="B204" s="176"/>
      <c r="C204" s="176"/>
      <c r="D204" s="176"/>
      <c r="E204" s="176"/>
      <c r="F204" s="186"/>
      <c r="G204" s="227" t="s">
        <v>118</v>
      </c>
      <c r="H204" s="177"/>
      <c r="I204" s="178"/>
      <c r="J204" s="178"/>
      <c r="K204" s="179"/>
      <c r="L204" s="177"/>
      <c r="M204" s="178"/>
      <c r="N204" s="178"/>
      <c r="O204" s="180"/>
      <c r="P204" s="180"/>
      <c r="Q204" s="180" t="s">
        <v>61</v>
      </c>
      <c r="R204" s="180"/>
      <c r="S204" s="179"/>
      <c r="T204" s="265">
        <v>45298</v>
      </c>
      <c r="U204" s="181">
        <v>45663</v>
      </c>
      <c r="V204" s="182"/>
      <c r="W204" s="183"/>
      <c r="X204" s="184"/>
      <c r="Y204" s="185" t="str">
        <f t="shared" si="6"/>
        <v>項目名:緊急登録日時</v>
      </c>
      <c r="Z204" s="236" t="s">
        <v>205</v>
      </c>
    </row>
    <row r="205" spans="1:26" ht="11.4" x14ac:dyDescent="0.15">
      <c r="A205" s="175">
        <f t="shared" si="7"/>
        <v>203</v>
      </c>
      <c r="B205" s="176"/>
      <c r="C205" s="176"/>
      <c r="D205" s="176"/>
      <c r="E205" s="176"/>
      <c r="F205" s="186"/>
      <c r="G205" s="227" t="s">
        <v>118</v>
      </c>
      <c r="H205" s="177"/>
      <c r="I205" s="178"/>
      <c r="J205" s="178"/>
      <c r="K205" s="179"/>
      <c r="L205" s="177"/>
      <c r="M205" s="178"/>
      <c r="N205" s="178"/>
      <c r="O205" s="180"/>
      <c r="P205" s="180"/>
      <c r="Q205" s="180" t="s">
        <v>61</v>
      </c>
      <c r="R205" s="180"/>
      <c r="S205" s="179"/>
      <c r="T205" s="265">
        <v>45298</v>
      </c>
      <c r="U205" s="181">
        <v>45666</v>
      </c>
      <c r="V205" s="182"/>
      <c r="W205" s="183"/>
      <c r="X205" s="184"/>
      <c r="Y205" s="185" t="str">
        <f t="shared" si="6"/>
        <v>項目名:作成日</v>
      </c>
      <c r="Z205" s="236" t="s">
        <v>168</v>
      </c>
    </row>
    <row r="206" spans="1:26" ht="11.4" x14ac:dyDescent="0.15">
      <c r="A206" s="175">
        <f t="shared" si="1"/>
        <v>204</v>
      </c>
      <c r="B206" s="176"/>
      <c r="C206" s="176"/>
      <c r="D206" s="176"/>
      <c r="E206" s="176"/>
      <c r="F206" s="186"/>
      <c r="G206" s="227" t="s">
        <v>136</v>
      </c>
      <c r="H206" s="177"/>
      <c r="I206" s="178"/>
      <c r="J206" s="178"/>
      <c r="K206" s="179"/>
      <c r="L206" s="177"/>
      <c r="M206" s="178"/>
      <c r="N206" s="178"/>
      <c r="O206" s="180"/>
      <c r="P206" s="180"/>
      <c r="Q206" s="180" t="s">
        <v>61</v>
      </c>
      <c r="R206" s="180"/>
      <c r="S206" s="179"/>
      <c r="T206" s="265">
        <v>45298</v>
      </c>
      <c r="U206" s="181">
        <v>45665</v>
      </c>
      <c r="V206" s="182"/>
      <c r="W206" s="183"/>
      <c r="X206" s="184"/>
      <c r="Y206" s="185" t="str">
        <f t="shared" si="6"/>
        <v>項目名:未使用項目や空白固定項目</v>
      </c>
      <c r="Z206" s="236" t="s">
        <v>137</v>
      </c>
    </row>
    <row r="207" spans="1:26" ht="22.8" x14ac:dyDescent="0.15">
      <c r="A207" s="175">
        <f t="shared" si="1"/>
        <v>205</v>
      </c>
      <c r="B207" s="176"/>
      <c r="C207" s="176"/>
      <c r="D207" s="186"/>
      <c r="E207" s="186" t="s">
        <v>238</v>
      </c>
      <c r="F207" s="186" t="s">
        <v>108</v>
      </c>
      <c r="G207" s="227" t="s">
        <v>109</v>
      </c>
      <c r="H207" s="177"/>
      <c r="I207" s="178"/>
      <c r="J207" s="178"/>
      <c r="K207" s="179"/>
      <c r="L207" s="177"/>
      <c r="M207" s="178"/>
      <c r="N207" s="178"/>
      <c r="O207" s="180"/>
      <c r="P207" s="180"/>
      <c r="Q207" s="180"/>
      <c r="R207" s="180"/>
      <c r="S207" s="179" t="s">
        <v>56</v>
      </c>
      <c r="T207" s="265">
        <v>45299</v>
      </c>
      <c r="U207" s="269">
        <v>45663</v>
      </c>
      <c r="V207" s="182"/>
      <c r="W207" s="183"/>
      <c r="X207" s="184"/>
      <c r="Y207" s="229" t="s">
        <v>1108</v>
      </c>
      <c r="Z207" s="256" t="s">
        <v>239</v>
      </c>
    </row>
    <row r="208" spans="1:26" ht="11.4" x14ac:dyDescent="0.15">
      <c r="A208" s="175">
        <f t="shared" si="1"/>
        <v>206</v>
      </c>
      <c r="B208" s="176"/>
      <c r="C208" s="176"/>
      <c r="D208" s="176"/>
      <c r="E208" s="176"/>
      <c r="F208" s="186"/>
      <c r="G208" s="227" t="s">
        <v>110</v>
      </c>
      <c r="H208" s="177"/>
      <c r="I208" s="178"/>
      <c r="J208" s="178"/>
      <c r="K208" s="179"/>
      <c r="L208" s="177"/>
      <c r="M208" s="178"/>
      <c r="N208" s="178"/>
      <c r="O208" s="180"/>
      <c r="P208" s="180" t="s">
        <v>61</v>
      </c>
      <c r="Q208" s="180"/>
      <c r="R208" s="180"/>
      <c r="S208" s="179"/>
      <c r="T208" s="265">
        <v>45299</v>
      </c>
      <c r="U208" s="181">
        <v>45664</v>
      </c>
      <c r="V208" s="182"/>
      <c r="W208" s="183"/>
      <c r="X208" s="184"/>
      <c r="Y208" s="185" t="s">
        <v>240</v>
      </c>
    </row>
    <row r="209" spans="1:28" ht="11.4" x14ac:dyDescent="0.15">
      <c r="A209" s="175">
        <f t="shared" si="1"/>
        <v>207</v>
      </c>
      <c r="B209" s="176"/>
      <c r="C209" s="176"/>
      <c r="D209" s="176"/>
      <c r="E209" s="176"/>
      <c r="F209" s="186"/>
      <c r="G209" s="227" t="s">
        <v>112</v>
      </c>
      <c r="H209" s="177"/>
      <c r="I209" s="178"/>
      <c r="J209" s="178"/>
      <c r="K209" s="179"/>
      <c r="L209" s="177"/>
      <c r="M209" s="178"/>
      <c r="N209" s="178"/>
      <c r="O209" s="180" t="s">
        <v>61</v>
      </c>
      <c r="P209" s="180"/>
      <c r="Q209" s="180"/>
      <c r="R209" s="180"/>
      <c r="S209" s="179"/>
      <c r="T209" s="265">
        <v>45299</v>
      </c>
      <c r="U209" s="181">
        <v>45664</v>
      </c>
      <c r="V209" s="182"/>
      <c r="W209" s="183"/>
      <c r="X209" s="184"/>
      <c r="Y209" s="185" t="s">
        <v>113</v>
      </c>
      <c r="AB209" s="257"/>
    </row>
    <row r="210" spans="1:28" ht="22.8" x14ac:dyDescent="0.15">
      <c r="A210" s="175">
        <f t="shared" si="1"/>
        <v>208</v>
      </c>
      <c r="B210" s="176"/>
      <c r="C210" s="176"/>
      <c r="D210" s="176"/>
      <c r="E210" s="176"/>
      <c r="F210" s="186"/>
      <c r="G210" s="227" t="s">
        <v>112</v>
      </c>
      <c r="H210" s="177"/>
      <c r="I210" s="178"/>
      <c r="J210" s="178"/>
      <c r="K210" s="179"/>
      <c r="L210" s="177"/>
      <c r="M210" s="178"/>
      <c r="N210" s="178"/>
      <c r="O210" s="180" t="s">
        <v>61</v>
      </c>
      <c r="P210" s="180"/>
      <c r="Q210" s="180"/>
      <c r="R210" s="180"/>
      <c r="S210" s="179"/>
      <c r="T210" s="265">
        <v>45299</v>
      </c>
      <c r="U210" s="181">
        <v>45666</v>
      </c>
      <c r="V210" s="182"/>
      <c r="W210" s="183"/>
      <c r="X210" s="184"/>
      <c r="Y210" s="185" t="s">
        <v>1109</v>
      </c>
    </row>
    <row r="211" spans="1:28" ht="11.4" x14ac:dyDescent="0.15">
      <c r="A211" s="175">
        <f t="shared" si="1"/>
        <v>209</v>
      </c>
      <c r="B211" s="176"/>
      <c r="C211" s="176"/>
      <c r="D211" s="176"/>
      <c r="E211" s="176"/>
      <c r="F211" s="186"/>
      <c r="G211" s="227" t="s">
        <v>112</v>
      </c>
      <c r="H211" s="177"/>
      <c r="I211" s="178"/>
      <c r="J211" s="178"/>
      <c r="K211" s="179"/>
      <c r="L211" s="177"/>
      <c r="M211" s="178"/>
      <c r="N211" s="178"/>
      <c r="O211" s="180" t="s">
        <v>61</v>
      </c>
      <c r="P211" s="180"/>
      <c r="Q211" s="180"/>
      <c r="R211" s="180"/>
      <c r="S211" s="179"/>
      <c r="T211" s="265">
        <v>45299</v>
      </c>
      <c r="U211" s="181">
        <v>45664</v>
      </c>
      <c r="V211" s="182"/>
      <c r="W211" s="183"/>
      <c r="X211" s="184"/>
      <c r="Y211" s="185" t="s">
        <v>115</v>
      </c>
    </row>
    <row r="212" spans="1:28" ht="11.4" x14ac:dyDescent="0.15">
      <c r="A212" s="175">
        <f t="shared" si="1"/>
        <v>210</v>
      </c>
      <c r="B212" s="176"/>
      <c r="C212" s="176"/>
      <c r="D212" s="176"/>
      <c r="E212" s="176"/>
      <c r="F212" s="186"/>
      <c r="G212" s="227" t="s">
        <v>112</v>
      </c>
      <c r="H212" s="177"/>
      <c r="I212" s="178"/>
      <c r="J212" s="178"/>
      <c r="K212" s="179"/>
      <c r="L212" s="177"/>
      <c r="M212" s="178"/>
      <c r="N212" s="178"/>
      <c r="O212" s="180" t="s">
        <v>61</v>
      </c>
      <c r="P212" s="180"/>
      <c r="Q212" s="180"/>
      <c r="R212" s="180"/>
      <c r="S212" s="179"/>
      <c r="T212" s="265">
        <v>45299</v>
      </c>
      <c r="U212" s="181">
        <v>45664</v>
      </c>
      <c r="V212" s="182"/>
      <c r="W212" s="183"/>
      <c r="X212" s="184"/>
      <c r="Y212" s="185" t="s">
        <v>116</v>
      </c>
    </row>
    <row r="213" spans="1:28" ht="11.4" x14ac:dyDescent="0.15">
      <c r="A213" s="175">
        <f t="shared" si="1"/>
        <v>211</v>
      </c>
      <c r="B213" s="176"/>
      <c r="C213" s="176"/>
      <c r="D213" s="176"/>
      <c r="E213" s="176"/>
      <c r="F213" s="186"/>
      <c r="G213" s="227" t="s">
        <v>112</v>
      </c>
      <c r="H213" s="177"/>
      <c r="I213" s="178"/>
      <c r="J213" s="178"/>
      <c r="K213" s="179"/>
      <c r="L213" s="177"/>
      <c r="M213" s="178"/>
      <c r="N213" s="178"/>
      <c r="O213" s="180" t="s">
        <v>61</v>
      </c>
      <c r="P213" s="180"/>
      <c r="Q213" s="180"/>
      <c r="R213" s="180"/>
      <c r="S213" s="179"/>
      <c r="T213" s="265">
        <v>45299</v>
      </c>
      <c r="U213" s="181">
        <v>45664</v>
      </c>
      <c r="V213" s="182"/>
      <c r="W213" s="183"/>
      <c r="X213" s="184"/>
      <c r="Y213" s="185" t="s">
        <v>117</v>
      </c>
    </row>
    <row r="214" spans="1:28" ht="11.4" x14ac:dyDescent="0.15">
      <c r="A214" s="175">
        <f t="shared" si="1"/>
        <v>212</v>
      </c>
      <c r="B214" s="176"/>
      <c r="C214" s="176"/>
      <c r="D214" s="176"/>
      <c r="E214" s="176"/>
      <c r="F214" s="186"/>
      <c r="G214" s="227" t="s">
        <v>118</v>
      </c>
      <c r="H214" s="177"/>
      <c r="I214" s="178"/>
      <c r="J214" s="178"/>
      <c r="K214" s="179"/>
      <c r="L214" s="177"/>
      <c r="M214" s="178"/>
      <c r="N214" s="178"/>
      <c r="O214" s="180"/>
      <c r="P214" s="180"/>
      <c r="Q214" s="180" t="s">
        <v>61</v>
      </c>
      <c r="R214" s="180"/>
      <c r="S214" s="179"/>
      <c r="T214" s="265">
        <v>45299</v>
      </c>
      <c r="U214" s="181">
        <v>45664</v>
      </c>
      <c r="V214" s="182"/>
      <c r="W214" s="183"/>
      <c r="X214" s="184"/>
      <c r="Y214" s="185" t="str">
        <f t="shared" ref="Y214:Y242" si="8">"項目名:"&amp;Z214</f>
        <v>項目名:処理区分</v>
      </c>
      <c r="Z214" s="236" t="s">
        <v>241</v>
      </c>
    </row>
    <row r="215" spans="1:28" ht="11.4" x14ac:dyDescent="0.15">
      <c r="A215" s="175">
        <f t="shared" ref="A215:A241" si="9">ROW()-2</f>
        <v>213</v>
      </c>
      <c r="B215" s="176"/>
      <c r="C215" s="176"/>
      <c r="D215" s="176"/>
      <c r="E215" s="176"/>
      <c r="F215" s="186"/>
      <c r="G215" s="227" t="s">
        <v>118</v>
      </c>
      <c r="H215" s="177"/>
      <c r="I215" s="178"/>
      <c r="J215" s="178"/>
      <c r="K215" s="179"/>
      <c r="L215" s="177"/>
      <c r="M215" s="178"/>
      <c r="N215" s="178"/>
      <c r="O215" s="180"/>
      <c r="P215" s="180"/>
      <c r="Q215" s="180" t="s">
        <v>61</v>
      </c>
      <c r="R215" s="180"/>
      <c r="S215" s="179"/>
      <c r="T215" s="265">
        <v>45299</v>
      </c>
      <c r="U215" s="181">
        <v>45664</v>
      </c>
      <c r="V215" s="182"/>
      <c r="W215" s="183"/>
      <c r="X215" s="184"/>
      <c r="Y215" s="185" t="str">
        <f t="shared" si="8"/>
        <v>項目名:店舗コード</v>
      </c>
      <c r="Z215" s="236" t="s">
        <v>144</v>
      </c>
    </row>
    <row r="216" spans="1:28" ht="11.4" x14ac:dyDescent="0.15">
      <c r="A216" s="175">
        <f t="shared" si="9"/>
        <v>214</v>
      </c>
      <c r="B216" s="176"/>
      <c r="C216" s="176"/>
      <c r="D216" s="176"/>
      <c r="E216" s="176"/>
      <c r="F216" s="186"/>
      <c r="G216" s="227" t="s">
        <v>118</v>
      </c>
      <c r="H216" s="177"/>
      <c r="I216" s="178"/>
      <c r="J216" s="178"/>
      <c r="K216" s="179"/>
      <c r="L216" s="177"/>
      <c r="M216" s="178"/>
      <c r="N216" s="178"/>
      <c r="O216" s="180"/>
      <c r="P216" s="180"/>
      <c r="Q216" s="180" t="s">
        <v>61</v>
      </c>
      <c r="R216" s="180"/>
      <c r="S216" s="179"/>
      <c r="T216" s="265">
        <v>45299</v>
      </c>
      <c r="U216" s="181">
        <v>45664</v>
      </c>
      <c r="V216" s="182"/>
      <c r="W216" s="183"/>
      <c r="X216" s="184"/>
      <c r="Y216" s="185" t="str">
        <f t="shared" si="8"/>
        <v>項目名:開始日</v>
      </c>
      <c r="Z216" s="236" t="s">
        <v>242</v>
      </c>
    </row>
    <row r="217" spans="1:28" ht="11.4" x14ac:dyDescent="0.15">
      <c r="A217" s="175">
        <f t="shared" si="9"/>
        <v>215</v>
      </c>
      <c r="B217" s="176"/>
      <c r="C217" s="176"/>
      <c r="D217" s="176"/>
      <c r="E217" s="176"/>
      <c r="F217" s="186"/>
      <c r="G217" s="227" t="s">
        <v>118</v>
      </c>
      <c r="H217" s="177"/>
      <c r="I217" s="178"/>
      <c r="J217" s="178"/>
      <c r="K217" s="179"/>
      <c r="L217" s="177"/>
      <c r="M217" s="178"/>
      <c r="N217" s="178"/>
      <c r="O217" s="180"/>
      <c r="P217" s="180"/>
      <c r="Q217" s="180" t="s">
        <v>61</v>
      </c>
      <c r="R217" s="180"/>
      <c r="S217" s="179"/>
      <c r="T217" s="265">
        <v>45299</v>
      </c>
      <c r="U217" s="181">
        <v>45664</v>
      </c>
      <c r="V217" s="182"/>
      <c r="W217" s="183"/>
      <c r="X217" s="184"/>
      <c r="Y217" s="185" t="str">
        <f t="shared" si="8"/>
        <v>項目名:終了日</v>
      </c>
      <c r="Z217" s="236" t="s">
        <v>243</v>
      </c>
    </row>
    <row r="218" spans="1:28" ht="11.4" x14ac:dyDescent="0.15">
      <c r="A218" s="175">
        <f t="shared" si="9"/>
        <v>216</v>
      </c>
      <c r="B218" s="176"/>
      <c r="C218" s="176"/>
      <c r="D218" s="176"/>
      <c r="E218" s="176"/>
      <c r="F218" s="186"/>
      <c r="G218" s="227" t="s">
        <v>118</v>
      </c>
      <c r="H218" s="177"/>
      <c r="I218" s="178"/>
      <c r="J218" s="178"/>
      <c r="K218" s="179"/>
      <c r="L218" s="177"/>
      <c r="M218" s="178"/>
      <c r="N218" s="178"/>
      <c r="O218" s="180"/>
      <c r="P218" s="180"/>
      <c r="Q218" s="180" t="s">
        <v>61</v>
      </c>
      <c r="R218" s="180"/>
      <c r="S218" s="179"/>
      <c r="T218" s="265">
        <v>45299</v>
      </c>
      <c r="U218" s="181">
        <v>45664</v>
      </c>
      <c r="V218" s="182"/>
      <c r="W218" s="183"/>
      <c r="X218" s="184"/>
      <c r="Y218" s="185" t="str">
        <f t="shared" si="8"/>
        <v>項目名:終了後自動削除日</v>
      </c>
      <c r="Z218" s="236" t="s">
        <v>244</v>
      </c>
    </row>
    <row r="219" spans="1:28" ht="11.4" x14ac:dyDescent="0.15">
      <c r="A219" s="175">
        <f t="shared" si="9"/>
        <v>217</v>
      </c>
      <c r="B219" s="176"/>
      <c r="C219" s="176"/>
      <c r="D219" s="176"/>
      <c r="E219" s="176"/>
      <c r="F219" s="186"/>
      <c r="G219" s="227" t="s">
        <v>118</v>
      </c>
      <c r="H219" s="177"/>
      <c r="I219" s="178"/>
      <c r="J219" s="178"/>
      <c r="K219" s="179"/>
      <c r="L219" s="177"/>
      <c r="M219" s="178"/>
      <c r="N219" s="178"/>
      <c r="O219" s="180"/>
      <c r="P219" s="180"/>
      <c r="Q219" s="180" t="s">
        <v>61</v>
      </c>
      <c r="R219" s="180"/>
      <c r="S219" s="179"/>
      <c r="T219" s="265">
        <v>45299</v>
      </c>
      <c r="U219" s="181">
        <v>45664</v>
      </c>
      <c r="V219" s="182"/>
      <c r="W219" s="183"/>
      <c r="X219" s="184"/>
      <c r="Y219" s="185" t="str">
        <f t="shared" si="8"/>
        <v>項目名:内部ディスカウントクラスID</v>
      </c>
      <c r="Z219" s="236" t="s">
        <v>203</v>
      </c>
    </row>
    <row r="220" spans="1:28" ht="11.4" x14ac:dyDescent="0.15">
      <c r="A220" s="175">
        <f t="shared" si="9"/>
        <v>218</v>
      </c>
      <c r="B220" s="176"/>
      <c r="C220" s="176"/>
      <c r="D220" s="176"/>
      <c r="E220" s="176"/>
      <c r="F220" s="186"/>
      <c r="G220" s="227" t="s">
        <v>118</v>
      </c>
      <c r="H220" s="177"/>
      <c r="I220" s="178"/>
      <c r="J220" s="178"/>
      <c r="K220" s="179"/>
      <c r="L220" s="177"/>
      <c r="M220" s="178"/>
      <c r="N220" s="178"/>
      <c r="O220" s="180"/>
      <c r="P220" s="180"/>
      <c r="Q220" s="180" t="s">
        <v>61</v>
      </c>
      <c r="R220" s="180"/>
      <c r="S220" s="179"/>
      <c r="T220" s="265">
        <v>45299</v>
      </c>
      <c r="U220" s="181">
        <v>45664</v>
      </c>
      <c r="V220" s="182"/>
      <c r="W220" s="183"/>
      <c r="X220" s="184"/>
      <c r="Y220" s="185" t="str">
        <f t="shared" si="8"/>
        <v>項目名:分類コード</v>
      </c>
      <c r="Z220" s="236" t="s">
        <v>245</v>
      </c>
    </row>
    <row r="221" spans="1:28" ht="11.4" x14ac:dyDescent="0.15">
      <c r="A221" s="175">
        <f t="shared" si="9"/>
        <v>219</v>
      </c>
      <c r="B221" s="176"/>
      <c r="C221" s="176"/>
      <c r="D221" s="176"/>
      <c r="E221" s="176"/>
      <c r="F221" s="186"/>
      <c r="G221" s="227" t="s">
        <v>118</v>
      </c>
      <c r="H221" s="177"/>
      <c r="I221" s="178"/>
      <c r="J221" s="178"/>
      <c r="K221" s="179"/>
      <c r="L221" s="177"/>
      <c r="M221" s="178"/>
      <c r="N221" s="178"/>
      <c r="O221" s="180"/>
      <c r="P221" s="180"/>
      <c r="Q221" s="180" t="s">
        <v>61</v>
      </c>
      <c r="R221" s="180"/>
      <c r="S221" s="179"/>
      <c r="T221" s="265">
        <v>45299</v>
      </c>
      <c r="U221" s="181">
        <v>45664</v>
      </c>
      <c r="V221" s="182"/>
      <c r="W221" s="183"/>
      <c r="X221" s="184"/>
      <c r="Y221" s="185" t="str">
        <f t="shared" si="8"/>
        <v>項目名:ディスカウント方法</v>
      </c>
      <c r="Z221" s="236" t="s">
        <v>246</v>
      </c>
    </row>
    <row r="222" spans="1:28" ht="11.4" x14ac:dyDescent="0.15">
      <c r="A222" s="175">
        <f t="shared" si="9"/>
        <v>220</v>
      </c>
      <c r="B222" s="176"/>
      <c r="C222" s="176"/>
      <c r="D222" s="176"/>
      <c r="E222" s="176"/>
      <c r="F222" s="186"/>
      <c r="G222" s="227" t="s">
        <v>118</v>
      </c>
      <c r="H222" s="177"/>
      <c r="I222" s="178"/>
      <c r="J222" s="178"/>
      <c r="K222" s="179"/>
      <c r="L222" s="177"/>
      <c r="M222" s="178"/>
      <c r="N222" s="178"/>
      <c r="O222" s="180"/>
      <c r="P222" s="180"/>
      <c r="Q222" s="180" t="s">
        <v>61</v>
      </c>
      <c r="R222" s="180"/>
      <c r="S222" s="179"/>
      <c r="T222" s="265">
        <v>45299</v>
      </c>
      <c r="U222" s="181">
        <v>45664</v>
      </c>
      <c r="V222" s="182"/>
      <c r="W222" s="183"/>
      <c r="X222" s="184"/>
      <c r="Y222" s="185" t="str">
        <f t="shared" si="8"/>
        <v>項目名:保留指示フラグ</v>
      </c>
      <c r="Z222" s="236" t="s">
        <v>247</v>
      </c>
    </row>
    <row r="223" spans="1:28" ht="11.4" x14ac:dyDescent="0.15">
      <c r="A223" s="175">
        <f t="shared" si="9"/>
        <v>221</v>
      </c>
      <c r="B223" s="176"/>
      <c r="C223" s="176"/>
      <c r="D223" s="176"/>
      <c r="E223" s="176"/>
      <c r="F223" s="186"/>
      <c r="G223" s="227" t="s">
        <v>118</v>
      </c>
      <c r="H223" s="177"/>
      <c r="I223" s="178"/>
      <c r="J223" s="178"/>
      <c r="K223" s="179"/>
      <c r="L223" s="177"/>
      <c r="M223" s="178"/>
      <c r="N223" s="178"/>
      <c r="O223" s="180"/>
      <c r="P223" s="180"/>
      <c r="Q223" s="180" t="s">
        <v>61</v>
      </c>
      <c r="R223" s="180"/>
      <c r="S223" s="179"/>
      <c r="T223" s="265">
        <v>45299</v>
      </c>
      <c r="U223" s="181">
        <v>45664</v>
      </c>
      <c r="V223" s="182"/>
      <c r="W223" s="183"/>
      <c r="X223" s="184"/>
      <c r="Y223" s="185" t="str">
        <f t="shared" si="8"/>
        <v>項目名:ディスカウント値</v>
      </c>
      <c r="Z223" s="236" t="s">
        <v>248</v>
      </c>
    </row>
    <row r="224" spans="1:28" ht="11.4" x14ac:dyDescent="0.15">
      <c r="A224" s="175">
        <f t="shared" si="9"/>
        <v>222</v>
      </c>
      <c r="B224" s="176"/>
      <c r="C224" s="176"/>
      <c r="D224" s="176"/>
      <c r="E224" s="176"/>
      <c r="F224" s="186"/>
      <c r="G224" s="227" t="s">
        <v>118</v>
      </c>
      <c r="H224" s="177"/>
      <c r="I224" s="178"/>
      <c r="J224" s="178"/>
      <c r="K224" s="179"/>
      <c r="L224" s="177"/>
      <c r="M224" s="178"/>
      <c r="N224" s="178"/>
      <c r="O224" s="180"/>
      <c r="P224" s="180"/>
      <c r="Q224" s="180" t="s">
        <v>61</v>
      </c>
      <c r="R224" s="180"/>
      <c r="S224" s="179"/>
      <c r="T224" s="265">
        <v>45299</v>
      </c>
      <c r="U224" s="181">
        <v>45664</v>
      </c>
      <c r="V224" s="182"/>
      <c r="W224" s="183"/>
      <c r="X224" s="184"/>
      <c r="Y224" s="185" t="str">
        <f t="shared" si="8"/>
        <v>項目名:商品階層コード・レベル１</v>
      </c>
      <c r="Z224" s="236" t="s">
        <v>249</v>
      </c>
    </row>
    <row r="225" spans="1:26" ht="11.4" x14ac:dyDescent="0.15">
      <c r="A225" s="175">
        <f t="shared" si="9"/>
        <v>223</v>
      </c>
      <c r="B225" s="176"/>
      <c r="C225" s="176"/>
      <c r="D225" s="176"/>
      <c r="E225" s="176"/>
      <c r="F225" s="186"/>
      <c r="G225" s="227" t="s">
        <v>118</v>
      </c>
      <c r="H225" s="177"/>
      <c r="I225" s="178"/>
      <c r="J225" s="178"/>
      <c r="K225" s="179"/>
      <c r="L225" s="177"/>
      <c r="M225" s="178"/>
      <c r="N225" s="178"/>
      <c r="O225" s="180"/>
      <c r="P225" s="180"/>
      <c r="Q225" s="180" t="s">
        <v>61</v>
      </c>
      <c r="R225" s="180"/>
      <c r="S225" s="179"/>
      <c r="T225" s="265">
        <v>45299</v>
      </c>
      <c r="U225" s="181">
        <v>45664</v>
      </c>
      <c r="V225" s="182"/>
      <c r="W225" s="183"/>
      <c r="X225" s="184"/>
      <c r="Y225" s="185" t="str">
        <f t="shared" si="8"/>
        <v>項目名:商品階層コード・レベル２</v>
      </c>
      <c r="Z225" s="236" t="s">
        <v>250</v>
      </c>
    </row>
    <row r="226" spans="1:26" ht="11.4" x14ac:dyDescent="0.15">
      <c r="A226" s="175">
        <f t="shared" si="9"/>
        <v>224</v>
      </c>
      <c r="B226" s="176"/>
      <c r="C226" s="176"/>
      <c r="D226" s="176"/>
      <c r="E226" s="176"/>
      <c r="F226" s="186"/>
      <c r="G226" s="227" t="s">
        <v>118</v>
      </c>
      <c r="H226" s="177"/>
      <c r="I226" s="178"/>
      <c r="J226" s="178"/>
      <c r="K226" s="179"/>
      <c r="L226" s="177"/>
      <c r="M226" s="178"/>
      <c r="N226" s="178"/>
      <c r="O226" s="180"/>
      <c r="P226" s="180"/>
      <c r="Q226" s="180" t="s">
        <v>61</v>
      </c>
      <c r="R226" s="180"/>
      <c r="S226" s="179"/>
      <c r="T226" s="265">
        <v>45299</v>
      </c>
      <c r="U226" s="181">
        <v>45664</v>
      </c>
      <c r="V226" s="182"/>
      <c r="W226" s="183"/>
      <c r="X226" s="184"/>
      <c r="Y226" s="185" t="str">
        <f t="shared" si="8"/>
        <v>項目名:商品階層コード・レベル３</v>
      </c>
      <c r="Z226" s="236" t="s">
        <v>251</v>
      </c>
    </row>
    <row r="227" spans="1:26" ht="11.4" x14ac:dyDescent="0.15">
      <c r="A227" s="175">
        <f t="shared" si="9"/>
        <v>225</v>
      </c>
      <c r="B227" s="176"/>
      <c r="C227" s="176"/>
      <c r="D227" s="176"/>
      <c r="E227" s="176"/>
      <c r="F227" s="186"/>
      <c r="G227" s="227" t="s">
        <v>118</v>
      </c>
      <c r="H227" s="177"/>
      <c r="I227" s="178"/>
      <c r="J227" s="178"/>
      <c r="K227" s="179"/>
      <c r="L227" s="177"/>
      <c r="M227" s="178"/>
      <c r="N227" s="178"/>
      <c r="O227" s="180"/>
      <c r="P227" s="180"/>
      <c r="Q227" s="180" t="s">
        <v>61</v>
      </c>
      <c r="R227" s="180"/>
      <c r="S227" s="179"/>
      <c r="T227" s="265">
        <v>45299</v>
      </c>
      <c r="U227" s="181">
        <v>45664</v>
      </c>
      <c r="V227" s="182"/>
      <c r="W227" s="183"/>
      <c r="X227" s="184"/>
      <c r="Y227" s="185" t="str">
        <f t="shared" si="8"/>
        <v>項目名:自動値引対象最低金額</v>
      </c>
      <c r="Z227" s="236" t="s">
        <v>252</v>
      </c>
    </row>
    <row r="228" spans="1:26" ht="11.4" x14ac:dyDescent="0.15">
      <c r="A228" s="175">
        <f t="shared" si="9"/>
        <v>226</v>
      </c>
      <c r="B228" s="176"/>
      <c r="C228" s="176"/>
      <c r="D228" s="176"/>
      <c r="E228" s="176"/>
      <c r="F228" s="186"/>
      <c r="G228" s="227" t="s">
        <v>118</v>
      </c>
      <c r="H228" s="177"/>
      <c r="I228" s="178"/>
      <c r="J228" s="178"/>
      <c r="K228" s="179"/>
      <c r="L228" s="177"/>
      <c r="M228" s="178"/>
      <c r="N228" s="178"/>
      <c r="O228" s="180"/>
      <c r="P228" s="180"/>
      <c r="Q228" s="180" t="s">
        <v>61</v>
      </c>
      <c r="R228" s="180"/>
      <c r="S228" s="179"/>
      <c r="T228" s="265">
        <v>45299</v>
      </c>
      <c r="U228" s="181">
        <v>45664</v>
      </c>
      <c r="V228" s="182"/>
      <c r="W228" s="183"/>
      <c r="X228" s="184"/>
      <c r="Y228" s="185" t="str">
        <f t="shared" si="8"/>
        <v>項目名:開始時間</v>
      </c>
      <c r="Z228" s="236" t="s">
        <v>253</v>
      </c>
    </row>
    <row r="229" spans="1:26" ht="11.4" x14ac:dyDescent="0.15">
      <c r="A229" s="175">
        <f t="shared" si="9"/>
        <v>227</v>
      </c>
      <c r="B229" s="176"/>
      <c r="C229" s="176"/>
      <c r="D229" s="176"/>
      <c r="E229" s="176"/>
      <c r="F229" s="186"/>
      <c r="G229" s="227" t="s">
        <v>118</v>
      </c>
      <c r="H229" s="177"/>
      <c r="I229" s="178"/>
      <c r="J229" s="178"/>
      <c r="K229" s="179"/>
      <c r="L229" s="177"/>
      <c r="M229" s="178"/>
      <c r="N229" s="178"/>
      <c r="O229" s="180"/>
      <c r="P229" s="180"/>
      <c r="Q229" s="180" t="s">
        <v>61</v>
      </c>
      <c r="R229" s="180"/>
      <c r="S229" s="179"/>
      <c r="T229" s="265">
        <v>45299</v>
      </c>
      <c r="U229" s="181">
        <v>45664</v>
      </c>
      <c r="V229" s="182"/>
      <c r="W229" s="183"/>
      <c r="X229" s="184"/>
      <c r="Y229" s="185" t="str">
        <f t="shared" si="8"/>
        <v>項目名:終了時間</v>
      </c>
      <c r="Z229" s="236" t="s">
        <v>254</v>
      </c>
    </row>
    <row r="230" spans="1:26" ht="11.4" x14ac:dyDescent="0.15">
      <c r="A230" s="175">
        <f t="shared" si="9"/>
        <v>228</v>
      </c>
      <c r="B230" s="176"/>
      <c r="C230" s="176"/>
      <c r="D230" s="176"/>
      <c r="E230" s="176"/>
      <c r="F230" s="186"/>
      <c r="G230" s="227" t="s">
        <v>118</v>
      </c>
      <c r="H230" s="177"/>
      <c r="I230" s="178"/>
      <c r="J230" s="178"/>
      <c r="K230" s="179"/>
      <c r="L230" s="177"/>
      <c r="M230" s="178"/>
      <c r="N230" s="178"/>
      <c r="O230" s="180"/>
      <c r="P230" s="180"/>
      <c r="Q230" s="180" t="s">
        <v>61</v>
      </c>
      <c r="R230" s="180"/>
      <c r="S230" s="179"/>
      <c r="T230" s="265">
        <v>45299</v>
      </c>
      <c r="U230" s="181">
        <v>45664</v>
      </c>
      <c r="V230" s="182"/>
      <c r="W230" s="183"/>
      <c r="X230" s="184"/>
      <c r="Y230" s="185" t="str">
        <f t="shared" si="8"/>
        <v>項目名:期間フラグ</v>
      </c>
      <c r="Z230" s="236" t="s">
        <v>255</v>
      </c>
    </row>
    <row r="231" spans="1:26" ht="11.4" x14ac:dyDescent="0.15">
      <c r="A231" s="175">
        <f t="shared" si="9"/>
        <v>229</v>
      </c>
      <c r="B231" s="176"/>
      <c r="C231" s="176"/>
      <c r="D231" s="176"/>
      <c r="E231" s="176"/>
      <c r="F231" s="186"/>
      <c r="G231" s="227" t="s">
        <v>118</v>
      </c>
      <c r="H231" s="177"/>
      <c r="I231" s="178"/>
      <c r="J231" s="178"/>
      <c r="K231" s="179"/>
      <c r="L231" s="177"/>
      <c r="M231" s="178"/>
      <c r="N231" s="178"/>
      <c r="O231" s="180"/>
      <c r="P231" s="180"/>
      <c r="Q231" s="180" t="s">
        <v>61</v>
      </c>
      <c r="R231" s="180"/>
      <c r="S231" s="179"/>
      <c r="T231" s="265">
        <v>45299</v>
      </c>
      <c r="U231" s="181">
        <v>45664</v>
      </c>
      <c r="V231" s="182"/>
      <c r="W231" s="183"/>
      <c r="X231" s="184"/>
      <c r="Y231" s="185" t="str">
        <f t="shared" si="8"/>
        <v>項目名:月曜日除外フラグ</v>
      </c>
      <c r="Z231" s="236" t="s">
        <v>180</v>
      </c>
    </row>
    <row r="232" spans="1:26" ht="11.4" x14ac:dyDescent="0.15">
      <c r="A232" s="175">
        <f t="shared" si="9"/>
        <v>230</v>
      </c>
      <c r="B232" s="176"/>
      <c r="C232" s="176"/>
      <c r="D232" s="176"/>
      <c r="E232" s="176"/>
      <c r="F232" s="186"/>
      <c r="G232" s="227" t="s">
        <v>118</v>
      </c>
      <c r="H232" s="177"/>
      <c r="I232" s="178"/>
      <c r="J232" s="178"/>
      <c r="K232" s="179"/>
      <c r="L232" s="177"/>
      <c r="M232" s="178"/>
      <c r="N232" s="178"/>
      <c r="O232" s="180"/>
      <c r="P232" s="180"/>
      <c r="Q232" s="180" t="s">
        <v>61</v>
      </c>
      <c r="R232" s="180"/>
      <c r="S232" s="179"/>
      <c r="T232" s="265">
        <v>45299</v>
      </c>
      <c r="U232" s="181">
        <v>45664</v>
      </c>
      <c r="V232" s="182"/>
      <c r="W232" s="183"/>
      <c r="X232" s="184"/>
      <c r="Y232" s="185" t="str">
        <f t="shared" si="8"/>
        <v>項目名:火曜日除外フラグ</v>
      </c>
      <c r="Z232" s="236" t="s">
        <v>181</v>
      </c>
    </row>
    <row r="233" spans="1:26" ht="11.4" x14ac:dyDescent="0.15">
      <c r="A233" s="175">
        <f t="shared" si="9"/>
        <v>231</v>
      </c>
      <c r="B233" s="176"/>
      <c r="C233" s="176"/>
      <c r="D233" s="176"/>
      <c r="E233" s="176"/>
      <c r="F233" s="186"/>
      <c r="G233" s="227" t="s">
        <v>118</v>
      </c>
      <c r="H233" s="177"/>
      <c r="I233" s="178"/>
      <c r="J233" s="178"/>
      <c r="K233" s="179"/>
      <c r="L233" s="177"/>
      <c r="M233" s="178"/>
      <c r="N233" s="178"/>
      <c r="O233" s="180"/>
      <c r="P233" s="180"/>
      <c r="Q233" s="180" t="s">
        <v>61</v>
      </c>
      <c r="R233" s="180"/>
      <c r="S233" s="179"/>
      <c r="T233" s="265">
        <v>45299</v>
      </c>
      <c r="U233" s="181">
        <v>45664</v>
      </c>
      <c r="V233" s="182"/>
      <c r="W233" s="183"/>
      <c r="X233" s="184"/>
      <c r="Y233" s="185" t="str">
        <f t="shared" si="8"/>
        <v>項目名:水曜日除外フラグ</v>
      </c>
      <c r="Z233" s="236" t="s">
        <v>182</v>
      </c>
    </row>
    <row r="234" spans="1:26" ht="11.4" x14ac:dyDescent="0.15">
      <c r="A234" s="175">
        <f t="shared" si="9"/>
        <v>232</v>
      </c>
      <c r="B234" s="176"/>
      <c r="C234" s="176"/>
      <c r="D234" s="176"/>
      <c r="E234" s="176"/>
      <c r="F234" s="186"/>
      <c r="G234" s="227" t="s">
        <v>118</v>
      </c>
      <c r="H234" s="177"/>
      <c r="I234" s="178"/>
      <c r="J234" s="178"/>
      <c r="K234" s="179"/>
      <c r="L234" s="177"/>
      <c r="M234" s="178"/>
      <c r="N234" s="178"/>
      <c r="O234" s="180"/>
      <c r="P234" s="180"/>
      <c r="Q234" s="180" t="s">
        <v>61</v>
      </c>
      <c r="R234" s="180"/>
      <c r="S234" s="179"/>
      <c r="T234" s="265">
        <v>45299</v>
      </c>
      <c r="U234" s="181">
        <v>45664</v>
      </c>
      <c r="V234" s="182"/>
      <c r="W234" s="183"/>
      <c r="X234" s="184"/>
      <c r="Y234" s="185" t="str">
        <f t="shared" si="8"/>
        <v>項目名:木曜日除外フラグ</v>
      </c>
      <c r="Z234" s="236" t="s">
        <v>183</v>
      </c>
    </row>
    <row r="235" spans="1:26" ht="11.4" x14ac:dyDescent="0.15">
      <c r="A235" s="175">
        <f t="shared" si="9"/>
        <v>233</v>
      </c>
      <c r="B235" s="176"/>
      <c r="C235" s="176"/>
      <c r="D235" s="176"/>
      <c r="E235" s="176"/>
      <c r="F235" s="186"/>
      <c r="G235" s="227" t="s">
        <v>118</v>
      </c>
      <c r="H235" s="177"/>
      <c r="I235" s="178"/>
      <c r="J235" s="178"/>
      <c r="K235" s="179"/>
      <c r="L235" s="177"/>
      <c r="M235" s="178"/>
      <c r="N235" s="178"/>
      <c r="O235" s="180"/>
      <c r="P235" s="180"/>
      <c r="Q235" s="180" t="s">
        <v>61</v>
      </c>
      <c r="R235" s="180"/>
      <c r="S235" s="179"/>
      <c r="T235" s="265">
        <v>45299</v>
      </c>
      <c r="U235" s="181">
        <v>45664</v>
      </c>
      <c r="V235" s="182"/>
      <c r="W235" s="183"/>
      <c r="X235" s="184"/>
      <c r="Y235" s="185" t="str">
        <f t="shared" si="8"/>
        <v>項目名:金曜日除外フラグ</v>
      </c>
      <c r="Z235" s="236" t="s">
        <v>184</v>
      </c>
    </row>
    <row r="236" spans="1:26" ht="11.4" x14ac:dyDescent="0.15">
      <c r="A236" s="175">
        <f t="shared" si="9"/>
        <v>234</v>
      </c>
      <c r="B236" s="176"/>
      <c r="C236" s="176"/>
      <c r="D236" s="176"/>
      <c r="E236" s="176"/>
      <c r="F236" s="186"/>
      <c r="G236" s="227" t="s">
        <v>118</v>
      </c>
      <c r="H236" s="177"/>
      <c r="I236" s="178"/>
      <c r="J236" s="178"/>
      <c r="K236" s="179"/>
      <c r="L236" s="177"/>
      <c r="M236" s="178"/>
      <c r="N236" s="178"/>
      <c r="O236" s="180"/>
      <c r="P236" s="180"/>
      <c r="Q236" s="180" t="s">
        <v>61</v>
      </c>
      <c r="R236" s="180"/>
      <c r="S236" s="179"/>
      <c r="T236" s="265">
        <v>45299</v>
      </c>
      <c r="U236" s="181">
        <v>45664</v>
      </c>
      <c r="V236" s="182"/>
      <c r="W236" s="183"/>
      <c r="X236" s="184"/>
      <c r="Y236" s="185" t="str">
        <f t="shared" si="8"/>
        <v>項目名:土曜日除外フラグ</v>
      </c>
      <c r="Z236" s="236" t="s">
        <v>185</v>
      </c>
    </row>
    <row r="237" spans="1:26" ht="11.4" x14ac:dyDescent="0.15">
      <c r="A237" s="175">
        <f t="shared" si="9"/>
        <v>235</v>
      </c>
      <c r="B237" s="176"/>
      <c r="C237" s="176"/>
      <c r="D237" s="176"/>
      <c r="E237" s="176"/>
      <c r="F237" s="186"/>
      <c r="G237" s="227" t="s">
        <v>118</v>
      </c>
      <c r="H237" s="177"/>
      <c r="I237" s="178"/>
      <c r="J237" s="178"/>
      <c r="K237" s="179"/>
      <c r="L237" s="177"/>
      <c r="M237" s="178"/>
      <c r="N237" s="178"/>
      <c r="O237" s="180"/>
      <c r="P237" s="180"/>
      <c r="Q237" s="180" t="s">
        <v>61</v>
      </c>
      <c r="R237" s="180"/>
      <c r="S237" s="179"/>
      <c r="T237" s="265">
        <v>45299</v>
      </c>
      <c r="U237" s="181">
        <v>45664</v>
      </c>
      <c r="V237" s="182"/>
      <c r="W237" s="183"/>
      <c r="X237" s="184"/>
      <c r="Y237" s="185" t="str">
        <f t="shared" si="8"/>
        <v>項目名:日曜日除外フラグ</v>
      </c>
      <c r="Z237" s="236" t="s">
        <v>186</v>
      </c>
    </row>
    <row r="238" spans="1:26" ht="11.4" x14ac:dyDescent="0.15">
      <c r="A238" s="175">
        <f t="shared" si="9"/>
        <v>236</v>
      </c>
      <c r="B238" s="176"/>
      <c r="C238" s="176"/>
      <c r="D238" s="176"/>
      <c r="E238" s="176"/>
      <c r="F238" s="186"/>
      <c r="G238" s="227" t="s">
        <v>118</v>
      </c>
      <c r="H238" s="177"/>
      <c r="I238" s="178"/>
      <c r="J238" s="178"/>
      <c r="K238" s="179"/>
      <c r="L238" s="177"/>
      <c r="M238" s="178"/>
      <c r="N238" s="178"/>
      <c r="O238" s="180"/>
      <c r="P238" s="180"/>
      <c r="Q238" s="180" t="s">
        <v>61</v>
      </c>
      <c r="R238" s="180"/>
      <c r="S238" s="179"/>
      <c r="T238" s="265">
        <v>45299</v>
      </c>
      <c r="U238" s="181">
        <v>45664</v>
      </c>
      <c r="V238" s="182"/>
      <c r="W238" s="183"/>
      <c r="X238" s="184"/>
      <c r="Y238" s="185" t="str">
        <f t="shared" si="8"/>
        <v>項目名:内部ディスカウントID</v>
      </c>
      <c r="Z238" s="236" t="s">
        <v>204</v>
      </c>
    </row>
    <row r="239" spans="1:26" ht="11.4" x14ac:dyDescent="0.15">
      <c r="A239" s="175">
        <f t="shared" si="9"/>
        <v>237</v>
      </c>
      <c r="B239" s="176"/>
      <c r="C239" s="176"/>
      <c r="D239" s="176"/>
      <c r="E239" s="176"/>
      <c r="F239" s="186"/>
      <c r="G239" s="227" t="s">
        <v>118</v>
      </c>
      <c r="H239" s="177"/>
      <c r="I239" s="178"/>
      <c r="J239" s="178"/>
      <c r="K239" s="179"/>
      <c r="L239" s="177"/>
      <c r="M239" s="178"/>
      <c r="N239" s="178"/>
      <c r="O239" s="180"/>
      <c r="P239" s="180"/>
      <c r="Q239" s="180" t="s">
        <v>61</v>
      </c>
      <c r="R239" s="180"/>
      <c r="S239" s="179"/>
      <c r="T239" s="265">
        <v>45299</v>
      </c>
      <c r="U239" s="181">
        <v>45664</v>
      </c>
      <c r="V239" s="182"/>
      <c r="W239" s="183"/>
      <c r="X239" s="184"/>
      <c r="Y239" s="185" t="str">
        <f t="shared" si="8"/>
        <v>項目名:内部商品分類番号</v>
      </c>
      <c r="Z239" s="236" t="s">
        <v>167</v>
      </c>
    </row>
    <row r="240" spans="1:26" ht="11.4" x14ac:dyDescent="0.15">
      <c r="A240" s="175">
        <f t="shared" si="9"/>
        <v>238</v>
      </c>
      <c r="B240" s="176"/>
      <c r="C240" s="176"/>
      <c r="D240" s="176"/>
      <c r="E240" s="176"/>
      <c r="F240" s="186"/>
      <c r="G240" s="227" t="s">
        <v>118</v>
      </c>
      <c r="H240" s="177"/>
      <c r="I240" s="178"/>
      <c r="J240" s="178"/>
      <c r="K240" s="179"/>
      <c r="L240" s="177"/>
      <c r="M240" s="178"/>
      <c r="N240" s="178"/>
      <c r="O240" s="180"/>
      <c r="P240" s="180"/>
      <c r="Q240" s="180" t="s">
        <v>61</v>
      </c>
      <c r="R240" s="180"/>
      <c r="S240" s="179"/>
      <c r="T240" s="265">
        <v>45299</v>
      </c>
      <c r="U240" s="181">
        <v>45664</v>
      </c>
      <c r="V240" s="182"/>
      <c r="W240" s="183"/>
      <c r="X240" s="184"/>
      <c r="Y240" s="185" t="str">
        <f t="shared" si="8"/>
        <v>項目名:緊急登録日時</v>
      </c>
      <c r="Z240" s="236" t="s">
        <v>205</v>
      </c>
    </row>
    <row r="241" spans="1:28" ht="11.4" x14ac:dyDescent="0.15">
      <c r="A241" s="175">
        <f t="shared" si="9"/>
        <v>239</v>
      </c>
      <c r="B241" s="176"/>
      <c r="C241" s="176"/>
      <c r="D241" s="176"/>
      <c r="E241" s="176"/>
      <c r="F241" s="186"/>
      <c r="G241" s="227" t="s">
        <v>118</v>
      </c>
      <c r="H241" s="177"/>
      <c r="I241" s="178"/>
      <c r="J241" s="178"/>
      <c r="K241" s="179"/>
      <c r="L241" s="177"/>
      <c r="M241" s="178"/>
      <c r="N241" s="178"/>
      <c r="O241" s="180"/>
      <c r="P241" s="180"/>
      <c r="Q241" s="180" t="s">
        <v>61</v>
      </c>
      <c r="R241" s="180"/>
      <c r="S241" s="179"/>
      <c r="T241" s="265">
        <v>45299</v>
      </c>
      <c r="U241" s="181">
        <v>45664</v>
      </c>
      <c r="V241" s="182"/>
      <c r="W241" s="183"/>
      <c r="X241" s="184"/>
      <c r="Y241" s="185" t="str">
        <f t="shared" si="8"/>
        <v>項目名:作成日</v>
      </c>
      <c r="Z241" s="236" t="s">
        <v>168</v>
      </c>
    </row>
    <row r="242" spans="1:28" ht="11.4" x14ac:dyDescent="0.15">
      <c r="A242" s="175">
        <f t="shared" si="1"/>
        <v>240</v>
      </c>
      <c r="B242" s="176"/>
      <c r="C242" s="176"/>
      <c r="D242" s="176"/>
      <c r="E242" s="176"/>
      <c r="F242" s="186"/>
      <c r="G242" s="227" t="s">
        <v>136</v>
      </c>
      <c r="H242" s="177"/>
      <c r="I242" s="178"/>
      <c r="J242" s="178"/>
      <c r="K242" s="179"/>
      <c r="L242" s="177"/>
      <c r="M242" s="178"/>
      <c r="N242" s="178"/>
      <c r="O242" s="180"/>
      <c r="P242" s="180"/>
      <c r="Q242" s="180" t="s">
        <v>61</v>
      </c>
      <c r="R242" s="180"/>
      <c r="S242" s="179"/>
      <c r="T242" s="265">
        <v>45299</v>
      </c>
      <c r="U242" s="181">
        <v>45664</v>
      </c>
      <c r="V242" s="182"/>
      <c r="W242" s="183"/>
      <c r="X242" s="184"/>
      <c r="Y242" s="185" t="str">
        <f t="shared" si="8"/>
        <v>項目名:未使用項目や空白固定項目</v>
      </c>
      <c r="Z242" s="236" t="s">
        <v>137</v>
      </c>
    </row>
    <row r="243" spans="1:28" ht="11.4" x14ac:dyDescent="0.15">
      <c r="A243" s="175">
        <f t="shared" si="1"/>
        <v>241</v>
      </c>
      <c r="B243" s="176"/>
      <c r="C243" s="176"/>
      <c r="D243" s="186"/>
      <c r="E243" s="186" t="s">
        <v>256</v>
      </c>
      <c r="F243" s="186" t="s">
        <v>108</v>
      </c>
      <c r="G243" s="227" t="s">
        <v>109</v>
      </c>
      <c r="H243" s="177"/>
      <c r="I243" s="178"/>
      <c r="J243" s="178"/>
      <c r="K243" s="179"/>
      <c r="L243" s="177"/>
      <c r="M243" s="178"/>
      <c r="N243" s="178"/>
      <c r="O243" s="180"/>
      <c r="P243" s="180"/>
      <c r="Q243" s="180"/>
      <c r="R243" s="180"/>
      <c r="S243" s="179" t="s">
        <v>56</v>
      </c>
      <c r="T243" s="265">
        <v>45299</v>
      </c>
      <c r="U243" s="269">
        <v>45663</v>
      </c>
      <c r="V243" s="182"/>
      <c r="W243" s="183"/>
      <c r="X243" s="184"/>
      <c r="Y243" s="229" t="s">
        <v>1088</v>
      </c>
      <c r="AB243" s="266" t="s">
        <v>1102</v>
      </c>
    </row>
    <row r="244" spans="1:28" ht="11.4" x14ac:dyDescent="0.15">
      <c r="A244" s="175">
        <f t="shared" si="1"/>
        <v>242</v>
      </c>
      <c r="B244" s="176"/>
      <c r="C244" s="176"/>
      <c r="D244" s="176"/>
      <c r="E244" s="176"/>
      <c r="F244" s="186"/>
      <c r="G244" s="227" t="s">
        <v>110</v>
      </c>
      <c r="H244" s="177"/>
      <c r="I244" s="178"/>
      <c r="J244" s="178"/>
      <c r="K244" s="179"/>
      <c r="L244" s="177"/>
      <c r="M244" s="178"/>
      <c r="N244" s="178"/>
      <c r="O244" s="180"/>
      <c r="P244" s="180" t="s">
        <v>61</v>
      </c>
      <c r="Q244" s="180"/>
      <c r="R244" s="180"/>
      <c r="S244" s="179"/>
      <c r="T244" s="265">
        <v>45299</v>
      </c>
      <c r="U244" s="181">
        <v>45664</v>
      </c>
      <c r="V244" s="182"/>
      <c r="W244" s="183"/>
      <c r="X244" s="184"/>
      <c r="Y244" s="185" t="s">
        <v>1111</v>
      </c>
    </row>
    <row r="245" spans="1:28" ht="11.4" x14ac:dyDescent="0.15">
      <c r="A245" s="175">
        <f t="shared" si="1"/>
        <v>243</v>
      </c>
      <c r="B245" s="176"/>
      <c r="C245" s="176"/>
      <c r="D245" s="176"/>
      <c r="E245" s="176"/>
      <c r="F245" s="186"/>
      <c r="G245" s="227" t="s">
        <v>112</v>
      </c>
      <c r="H245" s="177"/>
      <c r="I245" s="178"/>
      <c r="J245" s="178"/>
      <c r="K245" s="179"/>
      <c r="L245" s="177"/>
      <c r="M245" s="178"/>
      <c r="N245" s="178"/>
      <c r="O245" s="180" t="s">
        <v>61</v>
      </c>
      <c r="P245" s="180"/>
      <c r="Q245" s="180"/>
      <c r="R245" s="180"/>
      <c r="S245" s="179"/>
      <c r="T245" s="265">
        <v>45299</v>
      </c>
      <c r="U245" s="181">
        <v>45664</v>
      </c>
      <c r="V245" s="182"/>
      <c r="W245" s="183"/>
      <c r="X245" s="184"/>
      <c r="Y245" s="185" t="s">
        <v>113</v>
      </c>
    </row>
    <row r="246" spans="1:28" ht="22.8" x14ac:dyDescent="0.15">
      <c r="A246" s="175">
        <f t="shared" si="1"/>
        <v>244</v>
      </c>
      <c r="B246" s="176"/>
      <c r="C246" s="176"/>
      <c r="D246" s="176"/>
      <c r="E246" s="176"/>
      <c r="F246" s="186"/>
      <c r="G246" s="227" t="s">
        <v>112</v>
      </c>
      <c r="H246" s="177"/>
      <c r="I246" s="178"/>
      <c r="J246" s="178"/>
      <c r="K246" s="179"/>
      <c r="L246" s="177"/>
      <c r="M246" s="178"/>
      <c r="N246" s="178"/>
      <c r="O246" s="180" t="s">
        <v>61</v>
      </c>
      <c r="P246" s="180"/>
      <c r="Q246" s="180"/>
      <c r="R246" s="180"/>
      <c r="S246" s="179"/>
      <c r="T246" s="265">
        <v>45299</v>
      </c>
      <c r="U246" s="181">
        <v>45666</v>
      </c>
      <c r="V246" s="182"/>
      <c r="W246" s="183"/>
      <c r="X246" s="184"/>
      <c r="Y246" s="185" t="s">
        <v>1109</v>
      </c>
    </row>
    <row r="247" spans="1:28" ht="11.4" x14ac:dyDescent="0.15">
      <c r="A247" s="175">
        <f t="shared" si="1"/>
        <v>245</v>
      </c>
      <c r="B247" s="176"/>
      <c r="C247" s="176"/>
      <c r="D247" s="176"/>
      <c r="E247" s="176"/>
      <c r="F247" s="186"/>
      <c r="G247" s="227" t="s">
        <v>112</v>
      </c>
      <c r="H247" s="177"/>
      <c r="I247" s="178"/>
      <c r="J247" s="178"/>
      <c r="K247" s="179"/>
      <c r="L247" s="177"/>
      <c r="M247" s="178"/>
      <c r="N247" s="178"/>
      <c r="O247" s="180" t="s">
        <v>61</v>
      </c>
      <c r="P247" s="180"/>
      <c r="Q247" s="180"/>
      <c r="R247" s="180"/>
      <c r="S247" s="179"/>
      <c r="T247" s="265">
        <v>45299</v>
      </c>
      <c r="U247" s="181">
        <v>45664</v>
      </c>
      <c r="V247" s="182"/>
      <c r="W247" s="183"/>
      <c r="X247" s="184"/>
      <c r="Y247" s="185" t="s">
        <v>115</v>
      </c>
    </row>
    <row r="248" spans="1:28" ht="11.4" x14ac:dyDescent="0.15">
      <c r="A248" s="175">
        <f t="shared" si="1"/>
        <v>246</v>
      </c>
      <c r="B248" s="176"/>
      <c r="C248" s="176"/>
      <c r="D248" s="176"/>
      <c r="E248" s="176"/>
      <c r="F248" s="186"/>
      <c r="G248" s="227" t="s">
        <v>112</v>
      </c>
      <c r="H248" s="177"/>
      <c r="I248" s="178"/>
      <c r="J248" s="178"/>
      <c r="K248" s="179"/>
      <c r="L248" s="177"/>
      <c r="M248" s="178"/>
      <c r="N248" s="178"/>
      <c r="O248" s="180" t="s">
        <v>61</v>
      </c>
      <c r="P248" s="180"/>
      <c r="Q248" s="180"/>
      <c r="R248" s="180"/>
      <c r="S248" s="179"/>
      <c r="T248" s="265">
        <v>45299</v>
      </c>
      <c r="U248" s="181">
        <v>45664</v>
      </c>
      <c r="V248" s="182"/>
      <c r="W248" s="183"/>
      <c r="X248" s="184"/>
      <c r="Y248" s="185" t="s">
        <v>116</v>
      </c>
    </row>
    <row r="249" spans="1:28" ht="11.4" x14ac:dyDescent="0.15">
      <c r="A249" s="175">
        <f t="shared" si="1"/>
        <v>247</v>
      </c>
      <c r="B249" s="176"/>
      <c r="C249" s="176"/>
      <c r="D249" s="176"/>
      <c r="E249" s="176"/>
      <c r="F249" s="186"/>
      <c r="G249" s="227" t="s">
        <v>112</v>
      </c>
      <c r="H249" s="177"/>
      <c r="I249" s="178"/>
      <c r="J249" s="178"/>
      <c r="K249" s="179"/>
      <c r="L249" s="177"/>
      <c r="M249" s="178"/>
      <c r="N249" s="178"/>
      <c r="O249" s="180" t="s">
        <v>61</v>
      </c>
      <c r="P249" s="180"/>
      <c r="Q249" s="180"/>
      <c r="R249" s="180"/>
      <c r="S249" s="179"/>
      <c r="T249" s="265">
        <v>45299</v>
      </c>
      <c r="U249" s="181">
        <v>45664</v>
      </c>
      <c r="V249" s="182"/>
      <c r="W249" s="183"/>
      <c r="X249" s="184"/>
      <c r="Y249" s="185" t="s">
        <v>117</v>
      </c>
    </row>
    <row r="250" spans="1:28" ht="11.4" x14ac:dyDescent="0.15">
      <c r="A250" s="175">
        <f t="shared" si="1"/>
        <v>248</v>
      </c>
      <c r="B250" s="176"/>
      <c r="C250" s="176"/>
      <c r="D250" s="176"/>
      <c r="E250" s="176"/>
      <c r="F250" s="186"/>
      <c r="G250" s="227" t="s">
        <v>118</v>
      </c>
      <c r="H250" s="177"/>
      <c r="I250" s="178"/>
      <c r="J250" s="178"/>
      <c r="K250" s="179"/>
      <c r="L250" s="177"/>
      <c r="M250" s="178"/>
      <c r="N250" s="178"/>
      <c r="O250" s="180"/>
      <c r="P250" s="180"/>
      <c r="Q250" s="180" t="s">
        <v>61</v>
      </c>
      <c r="R250" s="180"/>
      <c r="S250" s="179"/>
      <c r="T250" s="265">
        <v>45299</v>
      </c>
      <c r="U250" s="181">
        <v>45664</v>
      </c>
      <c r="V250" s="182"/>
      <c r="W250" s="183"/>
      <c r="X250" s="184"/>
      <c r="Y250" s="185" t="str">
        <f t="shared" ref="Y250:Y251" si="10">"項目名:"&amp;Z250</f>
        <v>項目名:年月日</v>
      </c>
      <c r="Z250" s="236" t="s">
        <v>257</v>
      </c>
    </row>
    <row r="251" spans="1:28" ht="11.4" x14ac:dyDescent="0.15">
      <c r="A251" s="175">
        <f t="shared" si="1"/>
        <v>249</v>
      </c>
      <c r="B251" s="176"/>
      <c r="C251" s="176"/>
      <c r="D251" s="176"/>
      <c r="E251" s="176"/>
      <c r="F251" s="186"/>
      <c r="G251" s="227" t="s">
        <v>136</v>
      </c>
      <c r="H251" s="177"/>
      <c r="I251" s="178"/>
      <c r="J251" s="178"/>
      <c r="K251" s="179"/>
      <c r="L251" s="177"/>
      <c r="M251" s="178"/>
      <c r="N251" s="178"/>
      <c r="O251" s="180"/>
      <c r="P251" s="180"/>
      <c r="Q251" s="180" t="s">
        <v>61</v>
      </c>
      <c r="R251" s="180"/>
      <c r="S251" s="179"/>
      <c r="T251" s="265">
        <v>45299</v>
      </c>
      <c r="U251" s="181">
        <v>45664</v>
      </c>
      <c r="V251" s="182"/>
      <c r="W251" s="183"/>
      <c r="X251" s="184"/>
      <c r="Y251" s="185" t="str">
        <f t="shared" si="10"/>
        <v>項目名:未使用項目や空白固定項目</v>
      </c>
      <c r="Z251" s="236" t="s">
        <v>137</v>
      </c>
    </row>
    <row r="252" spans="1:28" ht="11.4" x14ac:dyDescent="0.15">
      <c r="A252" s="175">
        <f t="shared" si="1"/>
        <v>250</v>
      </c>
      <c r="B252" s="176"/>
      <c r="C252" s="176"/>
      <c r="D252" s="186"/>
      <c r="E252" s="186" t="s">
        <v>258</v>
      </c>
      <c r="F252" s="186" t="s">
        <v>108</v>
      </c>
      <c r="G252" s="227" t="s">
        <v>109</v>
      </c>
      <c r="H252" s="177"/>
      <c r="I252" s="178"/>
      <c r="J252" s="178"/>
      <c r="K252" s="179"/>
      <c r="L252" s="177"/>
      <c r="M252" s="178"/>
      <c r="N252" s="178"/>
      <c r="O252" s="180"/>
      <c r="P252" s="180"/>
      <c r="Q252" s="180"/>
      <c r="R252" s="180"/>
      <c r="S252" s="179" t="s">
        <v>56</v>
      </c>
      <c r="T252" s="265">
        <v>45299</v>
      </c>
      <c r="U252" s="269">
        <v>45663</v>
      </c>
      <c r="V252" s="182"/>
      <c r="W252" s="183"/>
      <c r="X252" s="184"/>
      <c r="Y252" s="229" t="s">
        <v>1089</v>
      </c>
    </row>
    <row r="253" spans="1:28" ht="11.4" x14ac:dyDescent="0.15">
      <c r="A253" s="175">
        <f t="shared" si="1"/>
        <v>251</v>
      </c>
      <c r="B253" s="176"/>
      <c r="C253" s="176"/>
      <c r="D253" s="176"/>
      <c r="E253" s="176"/>
      <c r="F253" s="186"/>
      <c r="G253" s="227" t="s">
        <v>110</v>
      </c>
      <c r="H253" s="177"/>
      <c r="I253" s="178"/>
      <c r="J253" s="178"/>
      <c r="K253" s="179"/>
      <c r="L253" s="177"/>
      <c r="M253" s="178"/>
      <c r="N253" s="178"/>
      <c r="O253" s="180"/>
      <c r="P253" s="180" t="s">
        <v>61</v>
      </c>
      <c r="Q253" s="180"/>
      <c r="R253" s="180"/>
      <c r="S253" s="179"/>
      <c r="T253" s="265">
        <v>45299</v>
      </c>
      <c r="U253" s="181">
        <v>45664</v>
      </c>
      <c r="V253" s="182"/>
      <c r="W253" s="183"/>
      <c r="X253" s="184"/>
      <c r="Y253" s="185" t="s">
        <v>259</v>
      </c>
    </row>
    <row r="254" spans="1:28" ht="11.4" x14ac:dyDescent="0.15">
      <c r="A254" s="175">
        <f t="shared" si="1"/>
        <v>252</v>
      </c>
      <c r="B254" s="176"/>
      <c r="C254" s="176"/>
      <c r="D254" s="176"/>
      <c r="E254" s="176"/>
      <c r="F254" s="186"/>
      <c r="G254" s="227" t="s">
        <v>112</v>
      </c>
      <c r="H254" s="177"/>
      <c r="I254" s="178"/>
      <c r="J254" s="178"/>
      <c r="K254" s="179"/>
      <c r="L254" s="177"/>
      <c r="M254" s="178"/>
      <c r="N254" s="178"/>
      <c r="O254" s="180" t="s">
        <v>61</v>
      </c>
      <c r="P254" s="180"/>
      <c r="Q254" s="180"/>
      <c r="R254" s="180"/>
      <c r="S254" s="179"/>
      <c r="T254" s="265">
        <v>45299</v>
      </c>
      <c r="U254" s="181">
        <v>45664</v>
      </c>
      <c r="V254" s="182"/>
      <c r="W254" s="183"/>
      <c r="X254" s="184"/>
      <c r="Y254" s="185" t="s">
        <v>113</v>
      </c>
    </row>
    <row r="255" spans="1:28" ht="22.8" x14ac:dyDescent="0.15">
      <c r="A255" s="175">
        <f t="shared" si="1"/>
        <v>253</v>
      </c>
      <c r="B255" s="176"/>
      <c r="C255" s="176"/>
      <c r="D255" s="176"/>
      <c r="E255" s="176"/>
      <c r="F255" s="186"/>
      <c r="G255" s="227" t="s">
        <v>112</v>
      </c>
      <c r="H255" s="177"/>
      <c r="I255" s="178"/>
      <c r="J255" s="178"/>
      <c r="K255" s="179"/>
      <c r="L255" s="177"/>
      <c r="M255" s="178"/>
      <c r="N255" s="178"/>
      <c r="O255" s="180" t="s">
        <v>61</v>
      </c>
      <c r="P255" s="180"/>
      <c r="Q255" s="180"/>
      <c r="R255" s="180"/>
      <c r="S255" s="179"/>
      <c r="T255" s="265">
        <v>45299</v>
      </c>
      <c r="U255" s="181">
        <v>45666</v>
      </c>
      <c r="V255" s="182"/>
      <c r="W255" s="183"/>
      <c r="X255" s="184"/>
      <c r="Y255" s="185" t="s">
        <v>1109</v>
      </c>
    </row>
    <row r="256" spans="1:28" ht="11.4" x14ac:dyDescent="0.15">
      <c r="A256" s="175">
        <f t="shared" si="1"/>
        <v>254</v>
      </c>
      <c r="B256" s="176"/>
      <c r="C256" s="176"/>
      <c r="D256" s="176"/>
      <c r="E256" s="176"/>
      <c r="F256" s="186"/>
      <c r="G256" s="227" t="s">
        <v>112</v>
      </c>
      <c r="H256" s="177"/>
      <c r="I256" s="178"/>
      <c r="J256" s="178"/>
      <c r="K256" s="179"/>
      <c r="L256" s="177"/>
      <c r="M256" s="178"/>
      <c r="N256" s="178"/>
      <c r="O256" s="180" t="s">
        <v>61</v>
      </c>
      <c r="P256" s="180"/>
      <c r="Q256" s="180"/>
      <c r="R256" s="180"/>
      <c r="S256" s="179"/>
      <c r="T256" s="265">
        <v>45299</v>
      </c>
      <c r="U256" s="181">
        <v>45664</v>
      </c>
      <c r="V256" s="182"/>
      <c r="W256" s="183"/>
      <c r="X256" s="184"/>
      <c r="Y256" s="185" t="s">
        <v>115</v>
      </c>
    </row>
    <row r="257" spans="1:26" ht="11.4" x14ac:dyDescent="0.15">
      <c r="A257" s="175">
        <f t="shared" si="1"/>
        <v>255</v>
      </c>
      <c r="B257" s="176"/>
      <c r="C257" s="176"/>
      <c r="D257" s="176"/>
      <c r="E257" s="176"/>
      <c r="F257" s="186"/>
      <c r="G257" s="227" t="s">
        <v>112</v>
      </c>
      <c r="H257" s="177"/>
      <c r="I257" s="178"/>
      <c r="J257" s="178"/>
      <c r="K257" s="179"/>
      <c r="L257" s="177"/>
      <c r="M257" s="178"/>
      <c r="N257" s="178"/>
      <c r="O257" s="180" t="s">
        <v>61</v>
      </c>
      <c r="P257" s="180"/>
      <c r="Q257" s="180"/>
      <c r="R257" s="180"/>
      <c r="S257" s="179"/>
      <c r="T257" s="265">
        <v>45299</v>
      </c>
      <c r="U257" s="181">
        <v>45664</v>
      </c>
      <c r="V257" s="182"/>
      <c r="W257" s="183"/>
      <c r="X257" s="184"/>
      <c r="Y257" s="185" t="s">
        <v>116</v>
      </c>
    </row>
    <row r="258" spans="1:26" ht="11.4" x14ac:dyDescent="0.15">
      <c r="A258" s="175">
        <f t="shared" si="1"/>
        <v>256</v>
      </c>
      <c r="B258" s="176"/>
      <c r="C258" s="176"/>
      <c r="D258" s="176"/>
      <c r="E258" s="176"/>
      <c r="F258" s="186"/>
      <c r="G258" s="227" t="s">
        <v>112</v>
      </c>
      <c r="H258" s="177"/>
      <c r="I258" s="178"/>
      <c r="J258" s="178"/>
      <c r="K258" s="179"/>
      <c r="L258" s="177"/>
      <c r="M258" s="178"/>
      <c r="N258" s="178"/>
      <c r="O258" s="180" t="s">
        <v>61</v>
      </c>
      <c r="P258" s="180"/>
      <c r="Q258" s="180"/>
      <c r="R258" s="180"/>
      <c r="S258" s="179"/>
      <c r="T258" s="265">
        <v>45299</v>
      </c>
      <c r="U258" s="181">
        <v>45664</v>
      </c>
      <c r="V258" s="182"/>
      <c r="W258" s="183"/>
      <c r="X258" s="184"/>
      <c r="Y258" s="185" t="s">
        <v>117</v>
      </c>
    </row>
    <row r="259" spans="1:26" ht="11.4" x14ac:dyDescent="0.15">
      <c r="A259" s="175">
        <f t="shared" si="1"/>
        <v>257</v>
      </c>
      <c r="B259" s="176"/>
      <c r="C259" s="176"/>
      <c r="D259" s="176"/>
      <c r="E259" s="176"/>
      <c r="F259" s="186"/>
      <c r="G259" s="227" t="s">
        <v>118</v>
      </c>
      <c r="H259" s="177"/>
      <c r="I259" s="178"/>
      <c r="J259" s="178"/>
      <c r="K259" s="179"/>
      <c r="L259" s="177"/>
      <c r="M259" s="178"/>
      <c r="N259" s="178"/>
      <c r="O259" s="180"/>
      <c r="P259" s="180"/>
      <c r="Q259" s="180" t="s">
        <v>61</v>
      </c>
      <c r="R259" s="180"/>
      <c r="S259" s="179"/>
      <c r="T259" s="265">
        <v>45299</v>
      </c>
      <c r="U259" s="181">
        <v>45664</v>
      </c>
      <c r="V259" s="182"/>
      <c r="W259" s="183"/>
      <c r="X259" s="184"/>
      <c r="Y259" s="185" t="str">
        <f t="shared" ref="Y259:Y265" si="11">"項目名:"&amp;Z259</f>
        <v>項目名:店舗番号</v>
      </c>
      <c r="Z259" s="236" t="s">
        <v>260</v>
      </c>
    </row>
    <row r="260" spans="1:26" ht="11.4" x14ac:dyDescent="0.15">
      <c r="A260" s="175">
        <f t="shared" ref="A260:A264" si="12">ROW()-2</f>
        <v>258</v>
      </c>
      <c r="B260" s="176"/>
      <c r="C260" s="176"/>
      <c r="D260" s="176"/>
      <c r="E260" s="176"/>
      <c r="F260" s="186"/>
      <c r="G260" s="227" t="s">
        <v>118</v>
      </c>
      <c r="H260" s="177"/>
      <c r="I260" s="178"/>
      <c r="J260" s="178"/>
      <c r="K260" s="179"/>
      <c r="L260" s="177"/>
      <c r="M260" s="178"/>
      <c r="N260" s="178"/>
      <c r="O260" s="180"/>
      <c r="P260" s="180"/>
      <c r="Q260" s="180" t="s">
        <v>61</v>
      </c>
      <c r="R260" s="180"/>
      <c r="S260" s="179"/>
      <c r="T260" s="265">
        <v>45299</v>
      </c>
      <c r="U260" s="181">
        <v>45664</v>
      </c>
      <c r="V260" s="182"/>
      <c r="W260" s="183"/>
      <c r="X260" s="184"/>
      <c r="Y260" s="185" t="str">
        <f t="shared" si="11"/>
        <v>項目名:年</v>
      </c>
      <c r="Z260" s="236" t="s">
        <v>261</v>
      </c>
    </row>
    <row r="261" spans="1:26" ht="11.4" x14ac:dyDescent="0.15">
      <c r="A261" s="175">
        <f t="shared" si="12"/>
        <v>259</v>
      </c>
      <c r="B261" s="176"/>
      <c r="C261" s="176"/>
      <c r="D261" s="176"/>
      <c r="E261" s="176"/>
      <c r="F261" s="186"/>
      <c r="G261" s="227" t="s">
        <v>118</v>
      </c>
      <c r="H261" s="177"/>
      <c r="I261" s="178"/>
      <c r="J261" s="178"/>
      <c r="K261" s="179"/>
      <c r="L261" s="177"/>
      <c r="M261" s="178"/>
      <c r="N261" s="178"/>
      <c r="O261" s="180"/>
      <c r="P261" s="180"/>
      <c r="Q261" s="180" t="s">
        <v>61</v>
      </c>
      <c r="R261" s="180"/>
      <c r="S261" s="179"/>
      <c r="T261" s="265">
        <v>45299</v>
      </c>
      <c r="U261" s="181">
        <v>45664</v>
      </c>
      <c r="V261" s="182"/>
      <c r="W261" s="183"/>
      <c r="X261" s="184"/>
      <c r="Y261" s="185" t="str">
        <f t="shared" si="11"/>
        <v>項目名:月</v>
      </c>
      <c r="Z261" s="236" t="s">
        <v>262</v>
      </c>
    </row>
    <row r="262" spans="1:26" ht="11.4" x14ac:dyDescent="0.15">
      <c r="A262" s="175">
        <f t="shared" si="12"/>
        <v>260</v>
      </c>
      <c r="B262" s="176"/>
      <c r="C262" s="176"/>
      <c r="D262" s="176"/>
      <c r="E262" s="176"/>
      <c r="F262" s="186"/>
      <c r="G262" s="227" t="s">
        <v>118</v>
      </c>
      <c r="H262" s="177"/>
      <c r="I262" s="178"/>
      <c r="J262" s="178"/>
      <c r="K262" s="179"/>
      <c r="L262" s="177"/>
      <c r="M262" s="178"/>
      <c r="N262" s="178"/>
      <c r="O262" s="180"/>
      <c r="P262" s="180"/>
      <c r="Q262" s="180" t="s">
        <v>61</v>
      </c>
      <c r="R262" s="180"/>
      <c r="S262" s="179"/>
      <c r="T262" s="265">
        <v>45299</v>
      </c>
      <c r="U262" s="181">
        <v>45664</v>
      </c>
      <c r="V262" s="182"/>
      <c r="W262" s="183"/>
      <c r="X262" s="184"/>
      <c r="Y262" s="185" t="str">
        <f t="shared" si="11"/>
        <v>項目名:日</v>
      </c>
      <c r="Z262" s="236" t="s">
        <v>263</v>
      </c>
    </row>
    <row r="263" spans="1:26" ht="11.4" x14ac:dyDescent="0.15">
      <c r="A263" s="175">
        <f t="shared" si="12"/>
        <v>261</v>
      </c>
      <c r="B263" s="176"/>
      <c r="C263" s="176"/>
      <c r="D263" s="176"/>
      <c r="E263" s="176"/>
      <c r="F263" s="186"/>
      <c r="G263" s="227" t="s">
        <v>118</v>
      </c>
      <c r="H263" s="177"/>
      <c r="I263" s="178"/>
      <c r="J263" s="178"/>
      <c r="K263" s="179"/>
      <c r="L263" s="177"/>
      <c r="M263" s="178"/>
      <c r="N263" s="178"/>
      <c r="O263" s="180"/>
      <c r="P263" s="180"/>
      <c r="Q263" s="180" t="s">
        <v>61</v>
      </c>
      <c r="R263" s="180"/>
      <c r="S263" s="179"/>
      <c r="T263" s="265">
        <v>45299</v>
      </c>
      <c r="U263" s="181">
        <v>45664</v>
      </c>
      <c r="V263" s="182"/>
      <c r="W263" s="183"/>
      <c r="X263" s="184"/>
      <c r="Y263" s="185" t="str">
        <f t="shared" si="11"/>
        <v>項目名:曜日</v>
      </c>
      <c r="Z263" s="236" t="s">
        <v>264</v>
      </c>
    </row>
    <row r="264" spans="1:26" ht="11.4" x14ac:dyDescent="0.15">
      <c r="A264" s="175">
        <f t="shared" si="12"/>
        <v>262</v>
      </c>
      <c r="B264" s="176"/>
      <c r="C264" s="176"/>
      <c r="D264" s="176"/>
      <c r="E264" s="176"/>
      <c r="F264" s="186"/>
      <c r="G264" s="227" t="s">
        <v>118</v>
      </c>
      <c r="H264" s="177"/>
      <c r="I264" s="178"/>
      <c r="J264" s="178"/>
      <c r="K264" s="179"/>
      <c r="L264" s="177"/>
      <c r="M264" s="178"/>
      <c r="N264" s="178"/>
      <c r="O264" s="180"/>
      <c r="P264" s="180"/>
      <c r="Q264" s="180" t="s">
        <v>61</v>
      </c>
      <c r="R264" s="180"/>
      <c r="S264" s="179"/>
      <c r="T264" s="265">
        <v>45299</v>
      </c>
      <c r="U264" s="181">
        <v>45664</v>
      </c>
      <c r="V264" s="182"/>
      <c r="W264" s="183"/>
      <c r="X264" s="184"/>
      <c r="Y264" s="185" t="str">
        <f t="shared" si="11"/>
        <v>項目名:運用情報</v>
      </c>
      <c r="Z264" s="236" t="s">
        <v>265</v>
      </c>
    </row>
    <row r="265" spans="1:26" ht="11.4" x14ac:dyDescent="0.15">
      <c r="A265" s="175">
        <f t="shared" si="1"/>
        <v>263</v>
      </c>
      <c r="B265" s="176"/>
      <c r="C265" s="176"/>
      <c r="D265" s="176"/>
      <c r="E265" s="176"/>
      <c r="F265" s="186"/>
      <c r="G265" s="227" t="s">
        <v>136</v>
      </c>
      <c r="H265" s="177"/>
      <c r="I265" s="178"/>
      <c r="J265" s="178"/>
      <c r="K265" s="179"/>
      <c r="L265" s="177"/>
      <c r="M265" s="178"/>
      <c r="N265" s="178"/>
      <c r="O265" s="180"/>
      <c r="P265" s="180"/>
      <c r="Q265" s="180" t="s">
        <v>61</v>
      </c>
      <c r="R265" s="180"/>
      <c r="S265" s="179"/>
      <c r="T265" s="265">
        <v>45299</v>
      </c>
      <c r="U265" s="181">
        <v>45665</v>
      </c>
      <c r="V265" s="182"/>
      <c r="W265" s="183"/>
      <c r="X265" s="184"/>
      <c r="Y265" s="185" t="str">
        <f t="shared" si="11"/>
        <v>項目名:未使用項目や空白固定項目</v>
      </c>
      <c r="Z265" s="236" t="s">
        <v>137</v>
      </c>
    </row>
    <row r="266" spans="1:26" ht="11.4" x14ac:dyDescent="0.15">
      <c r="A266" s="175">
        <f t="shared" si="1"/>
        <v>264</v>
      </c>
      <c r="B266" s="176"/>
      <c r="C266" s="176"/>
      <c r="D266" s="176"/>
      <c r="E266" s="176" t="s">
        <v>266</v>
      </c>
      <c r="F266" s="186" t="s">
        <v>108</v>
      </c>
      <c r="G266" s="227" t="s">
        <v>109</v>
      </c>
      <c r="H266" s="177"/>
      <c r="I266" s="178"/>
      <c r="J266" s="178"/>
      <c r="K266" s="179"/>
      <c r="L266" s="177"/>
      <c r="M266" s="178"/>
      <c r="N266" s="178"/>
      <c r="O266" s="180"/>
      <c r="P266" s="180"/>
      <c r="Q266" s="180"/>
      <c r="R266" s="180"/>
      <c r="S266" s="179" t="s">
        <v>56</v>
      </c>
      <c r="T266" s="265">
        <v>45299</v>
      </c>
      <c r="U266" s="181">
        <v>45666</v>
      </c>
      <c r="V266" s="182"/>
      <c r="W266" s="183"/>
      <c r="X266" s="184"/>
      <c r="Y266" s="229" t="s">
        <v>267</v>
      </c>
    </row>
    <row r="267" spans="1:26" ht="11.4" x14ac:dyDescent="0.15">
      <c r="A267" s="175">
        <f t="shared" ref="A267:A272" si="13">ROW()-2</f>
        <v>265</v>
      </c>
      <c r="B267" s="176"/>
      <c r="C267" s="176"/>
      <c r="D267" s="176"/>
      <c r="E267" s="176"/>
      <c r="F267" s="186"/>
      <c r="G267" s="227" t="s">
        <v>110</v>
      </c>
      <c r="H267" s="177"/>
      <c r="I267" s="178"/>
      <c r="J267" s="178"/>
      <c r="K267" s="179"/>
      <c r="L267" s="177"/>
      <c r="M267" s="178"/>
      <c r="N267" s="178"/>
      <c r="O267" s="180"/>
      <c r="P267" s="180" t="s">
        <v>61</v>
      </c>
      <c r="Q267" s="180"/>
      <c r="R267" s="180"/>
      <c r="S267" s="179"/>
      <c r="T267" s="265">
        <v>45299</v>
      </c>
      <c r="U267" s="181">
        <v>45664</v>
      </c>
      <c r="V267" s="182"/>
      <c r="W267" s="183"/>
      <c r="X267" s="184"/>
      <c r="Y267" s="185" t="s">
        <v>268</v>
      </c>
    </row>
    <row r="268" spans="1:26" ht="11.4" x14ac:dyDescent="0.15">
      <c r="A268" s="175">
        <f t="shared" si="13"/>
        <v>266</v>
      </c>
      <c r="B268" s="176"/>
      <c r="C268" s="176"/>
      <c r="D268" s="176"/>
      <c r="E268" s="176"/>
      <c r="F268" s="186"/>
      <c r="G268" s="227" t="s">
        <v>112</v>
      </c>
      <c r="H268" s="177"/>
      <c r="I268" s="178"/>
      <c r="J268" s="178"/>
      <c r="K268" s="179"/>
      <c r="L268" s="177"/>
      <c r="M268" s="178"/>
      <c r="N268" s="178"/>
      <c r="O268" s="180" t="s">
        <v>61</v>
      </c>
      <c r="P268" s="180"/>
      <c r="Q268" s="180"/>
      <c r="R268" s="180"/>
      <c r="S268" s="179"/>
      <c r="T268" s="265">
        <v>45299</v>
      </c>
      <c r="U268" s="181">
        <v>45664</v>
      </c>
      <c r="V268" s="182"/>
      <c r="W268" s="183"/>
      <c r="X268" s="184"/>
      <c r="Y268" s="185" t="s">
        <v>113</v>
      </c>
    </row>
    <row r="269" spans="1:26" ht="22.8" x14ac:dyDescent="0.15">
      <c r="A269" s="175">
        <f t="shared" si="13"/>
        <v>267</v>
      </c>
      <c r="B269" s="176"/>
      <c r="C269" s="176"/>
      <c r="D269" s="176"/>
      <c r="E269" s="176"/>
      <c r="F269" s="186"/>
      <c r="G269" s="227" t="s">
        <v>112</v>
      </c>
      <c r="H269" s="177"/>
      <c r="I269" s="178"/>
      <c r="J269" s="178"/>
      <c r="K269" s="179"/>
      <c r="L269" s="177"/>
      <c r="M269" s="178"/>
      <c r="N269" s="178"/>
      <c r="O269" s="180" t="s">
        <v>61</v>
      </c>
      <c r="P269" s="180"/>
      <c r="Q269" s="180"/>
      <c r="R269" s="180"/>
      <c r="S269" s="179"/>
      <c r="T269" s="265">
        <v>45299</v>
      </c>
      <c r="U269" s="181">
        <v>45664</v>
      </c>
      <c r="V269" s="182"/>
      <c r="W269" s="183"/>
      <c r="X269" s="184"/>
      <c r="Y269" s="185" t="s">
        <v>1109</v>
      </c>
    </row>
    <row r="270" spans="1:26" ht="11.4" x14ac:dyDescent="0.15">
      <c r="A270" s="175">
        <f t="shared" si="13"/>
        <v>268</v>
      </c>
      <c r="B270" s="176"/>
      <c r="C270" s="176"/>
      <c r="D270" s="176"/>
      <c r="E270" s="176"/>
      <c r="F270" s="186"/>
      <c r="G270" s="227" t="s">
        <v>112</v>
      </c>
      <c r="H270" s="177"/>
      <c r="I270" s="178"/>
      <c r="J270" s="178"/>
      <c r="K270" s="179"/>
      <c r="L270" s="177"/>
      <c r="M270" s="178"/>
      <c r="N270" s="178"/>
      <c r="O270" s="180" t="s">
        <v>61</v>
      </c>
      <c r="P270" s="180"/>
      <c r="Q270" s="180"/>
      <c r="R270" s="180"/>
      <c r="S270" s="179"/>
      <c r="T270" s="265">
        <v>45299</v>
      </c>
      <c r="U270" s="181">
        <v>45664</v>
      </c>
      <c r="V270" s="182"/>
      <c r="W270" s="183"/>
      <c r="X270" s="184"/>
      <c r="Y270" s="185" t="s">
        <v>115</v>
      </c>
    </row>
    <row r="271" spans="1:26" ht="11.4" x14ac:dyDescent="0.15">
      <c r="A271" s="175">
        <f t="shared" si="13"/>
        <v>269</v>
      </c>
      <c r="B271" s="176"/>
      <c r="C271" s="176"/>
      <c r="D271" s="176"/>
      <c r="E271" s="176"/>
      <c r="F271" s="186"/>
      <c r="G271" s="227" t="s">
        <v>112</v>
      </c>
      <c r="H271" s="177"/>
      <c r="I271" s="178"/>
      <c r="J271" s="178"/>
      <c r="K271" s="179"/>
      <c r="L271" s="177"/>
      <c r="M271" s="178"/>
      <c r="N271" s="178"/>
      <c r="O271" s="180" t="s">
        <v>61</v>
      </c>
      <c r="P271" s="180"/>
      <c r="Q271" s="180"/>
      <c r="R271" s="180"/>
      <c r="S271" s="179"/>
      <c r="T271" s="265">
        <v>45299</v>
      </c>
      <c r="U271" s="181">
        <v>45664</v>
      </c>
      <c r="V271" s="182"/>
      <c r="W271" s="183"/>
      <c r="X271" s="184"/>
      <c r="Y271" s="185" t="s">
        <v>116</v>
      </c>
    </row>
    <row r="272" spans="1:26" ht="11.4" x14ac:dyDescent="0.15">
      <c r="A272" s="175">
        <f t="shared" si="13"/>
        <v>270</v>
      </c>
      <c r="B272" s="176"/>
      <c r="C272" s="176"/>
      <c r="D272" s="176"/>
      <c r="E272" s="176"/>
      <c r="F272" s="186"/>
      <c r="G272" s="227" t="s">
        <v>112</v>
      </c>
      <c r="H272" s="177"/>
      <c r="I272" s="178"/>
      <c r="J272" s="178"/>
      <c r="K272" s="179"/>
      <c r="L272" s="177"/>
      <c r="M272" s="178"/>
      <c r="N272" s="178"/>
      <c r="O272" s="180" t="s">
        <v>61</v>
      </c>
      <c r="P272" s="180"/>
      <c r="Q272" s="180"/>
      <c r="R272" s="180"/>
      <c r="S272" s="179"/>
      <c r="T272" s="265">
        <v>45299</v>
      </c>
      <c r="U272" s="181">
        <v>45664</v>
      </c>
      <c r="V272" s="182"/>
      <c r="W272" s="183"/>
      <c r="X272" s="184"/>
      <c r="Y272" s="185" t="s">
        <v>117</v>
      </c>
    </row>
    <row r="273" spans="1:26" ht="11.4" x14ac:dyDescent="0.15">
      <c r="A273" s="175">
        <f t="shared" si="1"/>
        <v>271</v>
      </c>
      <c r="B273" s="176"/>
      <c r="C273" s="176"/>
      <c r="D273" s="176"/>
      <c r="E273" s="176"/>
      <c r="F273" s="186"/>
      <c r="G273" s="227" t="s">
        <v>118</v>
      </c>
      <c r="H273" s="177"/>
      <c r="I273" s="178"/>
      <c r="J273" s="178"/>
      <c r="K273" s="179"/>
      <c r="L273" s="177"/>
      <c r="M273" s="178"/>
      <c r="N273" s="178"/>
      <c r="O273" s="180"/>
      <c r="P273" s="180"/>
      <c r="Q273" s="180" t="s">
        <v>61</v>
      </c>
      <c r="R273" s="180"/>
      <c r="S273" s="179"/>
      <c r="T273" s="265">
        <v>45299</v>
      </c>
      <c r="U273" s="181">
        <v>45664</v>
      </c>
      <c r="V273" s="182"/>
      <c r="W273" s="183"/>
      <c r="X273" s="184"/>
      <c r="Y273" s="185" t="str">
        <f t="shared" ref="Y273:Y283" si="14">"項目名:"&amp;Z273</f>
        <v>項目名:処理区分</v>
      </c>
      <c r="Z273" s="236" t="s">
        <v>241</v>
      </c>
    </row>
    <row r="274" spans="1:26" ht="11.4" x14ac:dyDescent="0.15">
      <c r="A274" s="175">
        <f t="shared" ref="A274:A282" si="15">ROW()-2</f>
        <v>272</v>
      </c>
      <c r="B274" s="176"/>
      <c r="C274" s="176"/>
      <c r="D274" s="176"/>
      <c r="E274" s="176"/>
      <c r="F274" s="186"/>
      <c r="G274" s="227" t="s">
        <v>118</v>
      </c>
      <c r="H274" s="177"/>
      <c r="I274" s="178"/>
      <c r="J274" s="178"/>
      <c r="K274" s="179"/>
      <c r="L274" s="177"/>
      <c r="M274" s="178"/>
      <c r="N274" s="178"/>
      <c r="O274" s="180"/>
      <c r="P274" s="180"/>
      <c r="Q274" s="180" t="s">
        <v>61</v>
      </c>
      <c r="R274" s="180"/>
      <c r="S274" s="179"/>
      <c r="T274" s="265">
        <v>45299</v>
      </c>
      <c r="U274" s="181">
        <v>45664</v>
      </c>
      <c r="V274" s="182"/>
      <c r="W274" s="183"/>
      <c r="X274" s="184"/>
      <c r="Y274" s="185" t="str">
        <f t="shared" si="14"/>
        <v>項目名:店舗番号</v>
      </c>
      <c r="Z274" s="236" t="s">
        <v>269</v>
      </c>
    </row>
    <row r="275" spans="1:26" ht="11.4" x14ac:dyDescent="0.15">
      <c r="A275" s="175">
        <f t="shared" si="15"/>
        <v>273</v>
      </c>
      <c r="B275" s="176"/>
      <c r="C275" s="176"/>
      <c r="D275" s="176"/>
      <c r="E275" s="176"/>
      <c r="F275" s="186"/>
      <c r="G275" s="227" t="s">
        <v>118</v>
      </c>
      <c r="H275" s="177"/>
      <c r="I275" s="178"/>
      <c r="J275" s="178"/>
      <c r="K275" s="179"/>
      <c r="L275" s="177"/>
      <c r="M275" s="178"/>
      <c r="N275" s="178"/>
      <c r="O275" s="180"/>
      <c r="P275" s="180"/>
      <c r="Q275" s="180" t="s">
        <v>61</v>
      </c>
      <c r="R275" s="180"/>
      <c r="S275" s="179"/>
      <c r="T275" s="265">
        <v>45299</v>
      </c>
      <c r="U275" s="181">
        <v>45664</v>
      </c>
      <c r="V275" s="182"/>
      <c r="W275" s="183"/>
      <c r="X275" s="184"/>
      <c r="Y275" s="185" t="str">
        <f t="shared" si="14"/>
        <v>項目名:従業員コード</v>
      </c>
      <c r="Z275" s="236" t="s">
        <v>270</v>
      </c>
    </row>
    <row r="276" spans="1:26" ht="11.4" x14ac:dyDescent="0.15">
      <c r="A276" s="175">
        <f t="shared" si="15"/>
        <v>274</v>
      </c>
      <c r="B276" s="176"/>
      <c r="C276" s="176"/>
      <c r="D276" s="176"/>
      <c r="E276" s="176"/>
      <c r="F276" s="186"/>
      <c r="G276" s="227" t="s">
        <v>118</v>
      </c>
      <c r="H276" s="177"/>
      <c r="I276" s="178"/>
      <c r="J276" s="178"/>
      <c r="K276" s="179"/>
      <c r="L276" s="177"/>
      <c r="M276" s="178"/>
      <c r="N276" s="178"/>
      <c r="O276" s="180"/>
      <c r="P276" s="180"/>
      <c r="Q276" s="180" t="s">
        <v>61</v>
      </c>
      <c r="R276" s="180"/>
      <c r="S276" s="179"/>
      <c r="T276" s="265">
        <v>45299</v>
      </c>
      <c r="U276" s="181">
        <v>45664</v>
      </c>
      <c r="V276" s="182"/>
      <c r="W276" s="183"/>
      <c r="X276" s="184"/>
      <c r="Y276" s="185" t="str">
        <f t="shared" si="14"/>
        <v>項目名:名前(姓名の姓)</v>
      </c>
      <c r="Z276" s="236" t="s">
        <v>271</v>
      </c>
    </row>
    <row r="277" spans="1:26" ht="11.4" x14ac:dyDescent="0.15">
      <c r="A277" s="175">
        <f t="shared" si="15"/>
        <v>275</v>
      </c>
      <c r="B277" s="176"/>
      <c r="C277" s="176"/>
      <c r="D277" s="176"/>
      <c r="E277" s="176"/>
      <c r="F277" s="186"/>
      <c r="G277" s="227" t="s">
        <v>118</v>
      </c>
      <c r="H277" s="177"/>
      <c r="I277" s="178"/>
      <c r="J277" s="178"/>
      <c r="K277" s="179"/>
      <c r="L277" s="177"/>
      <c r="M277" s="178"/>
      <c r="N277" s="178"/>
      <c r="O277" s="180"/>
      <c r="P277" s="180"/>
      <c r="Q277" s="180" t="s">
        <v>61</v>
      </c>
      <c r="R277" s="180"/>
      <c r="S277" s="179"/>
      <c r="T277" s="265">
        <v>45299</v>
      </c>
      <c r="U277" s="181">
        <v>45664</v>
      </c>
      <c r="V277" s="182"/>
      <c r="W277" s="183"/>
      <c r="X277" s="184"/>
      <c r="Y277" s="185" t="str">
        <f t="shared" si="14"/>
        <v>項目名:名前(姓名の名)</v>
      </c>
      <c r="Z277" s="236" t="s">
        <v>272</v>
      </c>
    </row>
    <row r="278" spans="1:26" ht="11.4" x14ac:dyDescent="0.15">
      <c r="A278" s="175">
        <f t="shared" si="15"/>
        <v>276</v>
      </c>
      <c r="B278" s="176"/>
      <c r="C278" s="176"/>
      <c r="D278" s="176"/>
      <c r="E278" s="176"/>
      <c r="F278" s="186"/>
      <c r="G278" s="227" t="s">
        <v>118</v>
      </c>
      <c r="H278" s="177"/>
      <c r="I278" s="178"/>
      <c r="J278" s="178"/>
      <c r="K278" s="179"/>
      <c r="L278" s="177"/>
      <c r="M278" s="178"/>
      <c r="N278" s="178"/>
      <c r="O278" s="180"/>
      <c r="P278" s="180"/>
      <c r="Q278" s="180" t="s">
        <v>61</v>
      </c>
      <c r="R278" s="180"/>
      <c r="S278" s="179"/>
      <c r="T278" s="265">
        <v>45299</v>
      </c>
      <c r="U278" s="181">
        <v>45664</v>
      </c>
      <c r="V278" s="182"/>
      <c r="W278" s="183"/>
      <c r="X278" s="184"/>
      <c r="Y278" s="185" t="str">
        <f t="shared" si="14"/>
        <v>項目名:担当者コード</v>
      </c>
      <c r="Z278" s="236" t="s">
        <v>273</v>
      </c>
    </row>
    <row r="279" spans="1:26" ht="11.4" x14ac:dyDescent="0.15">
      <c r="A279" s="175">
        <f t="shared" si="15"/>
        <v>277</v>
      </c>
      <c r="B279" s="176"/>
      <c r="C279" s="176"/>
      <c r="D279" s="176"/>
      <c r="E279" s="176"/>
      <c r="F279" s="186"/>
      <c r="G279" s="227" t="s">
        <v>118</v>
      </c>
      <c r="H279" s="177"/>
      <c r="I279" s="178"/>
      <c r="J279" s="178"/>
      <c r="K279" s="179"/>
      <c r="L279" s="177"/>
      <c r="M279" s="178"/>
      <c r="N279" s="178"/>
      <c r="O279" s="180"/>
      <c r="P279" s="180"/>
      <c r="Q279" s="180" t="s">
        <v>61</v>
      </c>
      <c r="R279" s="180"/>
      <c r="S279" s="179"/>
      <c r="T279" s="265">
        <v>45299</v>
      </c>
      <c r="U279" s="181">
        <v>45664</v>
      </c>
      <c r="V279" s="182"/>
      <c r="W279" s="183"/>
      <c r="X279" s="184"/>
      <c r="Y279" s="185" t="str">
        <f t="shared" si="14"/>
        <v>項目名:採用日</v>
      </c>
      <c r="Z279" s="236" t="s">
        <v>274</v>
      </c>
    </row>
    <row r="280" spans="1:26" ht="11.4" x14ac:dyDescent="0.15">
      <c r="A280" s="175">
        <f t="shared" si="15"/>
        <v>278</v>
      </c>
      <c r="B280" s="176"/>
      <c r="C280" s="176"/>
      <c r="D280" s="176"/>
      <c r="E280" s="176"/>
      <c r="F280" s="186"/>
      <c r="G280" s="227" t="s">
        <v>118</v>
      </c>
      <c r="H280" s="177"/>
      <c r="I280" s="178"/>
      <c r="J280" s="178"/>
      <c r="K280" s="179"/>
      <c r="L280" s="177"/>
      <c r="M280" s="178"/>
      <c r="N280" s="178"/>
      <c r="O280" s="180"/>
      <c r="P280" s="180"/>
      <c r="Q280" s="180" t="s">
        <v>61</v>
      </c>
      <c r="R280" s="180"/>
      <c r="S280" s="179"/>
      <c r="T280" s="265">
        <v>45299</v>
      </c>
      <c r="U280" s="181">
        <v>45664</v>
      </c>
      <c r="V280" s="182"/>
      <c r="W280" s="183"/>
      <c r="X280" s="184"/>
      <c r="Y280" s="185" t="str">
        <f t="shared" si="14"/>
        <v>項目名:退職日</v>
      </c>
      <c r="Z280" s="236" t="s">
        <v>275</v>
      </c>
    </row>
    <row r="281" spans="1:26" ht="11.4" x14ac:dyDescent="0.15">
      <c r="A281" s="175">
        <f t="shared" si="15"/>
        <v>279</v>
      </c>
      <c r="B281" s="176"/>
      <c r="C281" s="176"/>
      <c r="D281" s="176"/>
      <c r="E281" s="176"/>
      <c r="F281" s="186"/>
      <c r="G281" s="227" t="s">
        <v>118</v>
      </c>
      <c r="H281" s="177"/>
      <c r="I281" s="178"/>
      <c r="J281" s="178"/>
      <c r="K281" s="179"/>
      <c r="L281" s="177"/>
      <c r="M281" s="178"/>
      <c r="N281" s="178"/>
      <c r="O281" s="180"/>
      <c r="P281" s="180"/>
      <c r="Q281" s="180" t="s">
        <v>61</v>
      </c>
      <c r="R281" s="180"/>
      <c r="S281" s="179"/>
      <c r="T281" s="265">
        <v>45299</v>
      </c>
      <c r="U281" s="181">
        <v>45664</v>
      </c>
      <c r="V281" s="182"/>
      <c r="W281" s="183"/>
      <c r="X281" s="184"/>
      <c r="Y281" s="185" t="str">
        <f t="shared" si="14"/>
        <v>項目名:セキュリティレベル</v>
      </c>
      <c r="Z281" s="236" t="s">
        <v>276</v>
      </c>
    </row>
    <row r="282" spans="1:26" ht="11.4" x14ac:dyDescent="0.15">
      <c r="A282" s="175">
        <f t="shared" si="15"/>
        <v>280</v>
      </c>
      <c r="B282" s="176"/>
      <c r="C282" s="176"/>
      <c r="D282" s="176"/>
      <c r="E282" s="176"/>
      <c r="F282" s="186"/>
      <c r="G282" s="227" t="s">
        <v>118</v>
      </c>
      <c r="H282" s="177"/>
      <c r="I282" s="178"/>
      <c r="J282" s="178"/>
      <c r="K282" s="179"/>
      <c r="L282" s="177"/>
      <c r="M282" s="178"/>
      <c r="N282" s="178"/>
      <c r="O282" s="180"/>
      <c r="P282" s="180"/>
      <c r="Q282" s="180" t="s">
        <v>61</v>
      </c>
      <c r="R282" s="180"/>
      <c r="S282" s="179"/>
      <c r="T282" s="265">
        <v>45299</v>
      </c>
      <c r="U282" s="181">
        <v>45664</v>
      </c>
      <c r="V282" s="182"/>
      <c r="W282" s="183"/>
      <c r="X282" s="184"/>
      <c r="Y282" s="185" t="str">
        <f t="shared" si="14"/>
        <v>項目名:作成日</v>
      </c>
      <c r="Z282" s="236" t="s">
        <v>168</v>
      </c>
    </row>
    <row r="283" spans="1:26" ht="11.4" x14ac:dyDescent="0.15">
      <c r="A283" s="175">
        <f t="shared" si="1"/>
        <v>281</v>
      </c>
      <c r="B283" s="176"/>
      <c r="C283" s="176"/>
      <c r="D283" s="176"/>
      <c r="E283" s="176"/>
      <c r="F283" s="186"/>
      <c r="G283" s="227" t="s">
        <v>136</v>
      </c>
      <c r="H283" s="177"/>
      <c r="I283" s="178"/>
      <c r="J283" s="178"/>
      <c r="K283" s="179"/>
      <c r="L283" s="177"/>
      <c r="M283" s="178"/>
      <c r="N283" s="178"/>
      <c r="O283" s="180"/>
      <c r="P283" s="180"/>
      <c r="Q283" s="180" t="s">
        <v>61</v>
      </c>
      <c r="R283" s="180"/>
      <c r="S283" s="179"/>
      <c r="T283" s="265">
        <v>45299</v>
      </c>
      <c r="U283" s="181">
        <v>45664</v>
      </c>
      <c r="V283" s="182"/>
      <c r="W283" s="183"/>
      <c r="X283" s="184"/>
      <c r="Y283" s="185" t="str">
        <f t="shared" si="14"/>
        <v>項目名:未使用項目や空白固定項目</v>
      </c>
      <c r="Z283" s="236" t="s">
        <v>137</v>
      </c>
    </row>
    <row r="284" spans="1:26" ht="11.4" x14ac:dyDescent="0.15">
      <c r="A284" s="175">
        <f t="shared" ref="A284:A401" si="16">ROW()-2</f>
        <v>282</v>
      </c>
      <c r="B284" s="176"/>
      <c r="C284" s="176"/>
      <c r="D284" s="186"/>
      <c r="E284" s="186" t="s">
        <v>277</v>
      </c>
      <c r="F284" s="186" t="s">
        <v>108</v>
      </c>
      <c r="G284" s="227" t="s">
        <v>109</v>
      </c>
      <c r="H284" s="177"/>
      <c r="I284" s="178"/>
      <c r="J284" s="178"/>
      <c r="K284" s="179"/>
      <c r="L284" s="177"/>
      <c r="M284" s="178"/>
      <c r="N284" s="178"/>
      <c r="O284" s="180"/>
      <c r="P284" s="180"/>
      <c r="Q284" s="180"/>
      <c r="R284" s="180"/>
      <c r="S284" s="179" t="s">
        <v>56</v>
      </c>
      <c r="T284" s="265">
        <v>45299</v>
      </c>
      <c r="U284" s="181">
        <v>45663</v>
      </c>
      <c r="V284" s="182"/>
      <c r="W284" s="183"/>
      <c r="X284" s="184"/>
      <c r="Y284" s="229" t="s">
        <v>1090</v>
      </c>
    </row>
    <row r="285" spans="1:26" ht="11.4" x14ac:dyDescent="0.15">
      <c r="A285" s="175">
        <f t="shared" si="16"/>
        <v>283</v>
      </c>
      <c r="B285" s="176"/>
      <c r="C285" s="176"/>
      <c r="D285" s="176"/>
      <c r="E285" s="176"/>
      <c r="F285" s="186"/>
      <c r="G285" s="227" t="s">
        <v>110</v>
      </c>
      <c r="H285" s="177"/>
      <c r="I285" s="178"/>
      <c r="J285" s="178"/>
      <c r="K285" s="179"/>
      <c r="L285" s="177"/>
      <c r="M285" s="178"/>
      <c r="N285" s="178"/>
      <c r="O285" s="180"/>
      <c r="P285" s="180" t="s">
        <v>61</v>
      </c>
      <c r="Q285" s="180"/>
      <c r="R285" s="180"/>
      <c r="S285" s="179"/>
      <c r="T285" s="265">
        <v>45299</v>
      </c>
      <c r="U285" s="181">
        <v>45664</v>
      </c>
      <c r="V285" s="182"/>
      <c r="W285" s="183"/>
      <c r="X285" s="184"/>
      <c r="Y285" s="185" t="s">
        <v>278</v>
      </c>
    </row>
    <row r="286" spans="1:26" ht="11.4" x14ac:dyDescent="0.15">
      <c r="A286" s="175">
        <f t="shared" si="16"/>
        <v>284</v>
      </c>
      <c r="B286" s="176"/>
      <c r="C286" s="176"/>
      <c r="D286" s="176"/>
      <c r="E286" s="176"/>
      <c r="F286" s="186"/>
      <c r="G286" s="227" t="s">
        <v>112</v>
      </c>
      <c r="H286" s="177"/>
      <c r="I286" s="178"/>
      <c r="J286" s="178"/>
      <c r="K286" s="179"/>
      <c r="L286" s="177"/>
      <c r="M286" s="178"/>
      <c r="N286" s="178"/>
      <c r="O286" s="180" t="s">
        <v>61</v>
      </c>
      <c r="P286" s="180"/>
      <c r="Q286" s="180"/>
      <c r="R286" s="180"/>
      <c r="S286" s="179"/>
      <c r="T286" s="265">
        <v>45299</v>
      </c>
      <c r="U286" s="181">
        <v>45664</v>
      </c>
      <c r="V286" s="182"/>
      <c r="W286" s="183"/>
      <c r="X286" s="184"/>
      <c r="Y286" s="185" t="s">
        <v>113</v>
      </c>
    </row>
    <row r="287" spans="1:26" ht="22.8" x14ac:dyDescent="0.15">
      <c r="A287" s="175">
        <f t="shared" si="16"/>
        <v>285</v>
      </c>
      <c r="B287" s="176"/>
      <c r="C287" s="176"/>
      <c r="D287" s="176"/>
      <c r="E287" s="176"/>
      <c r="F287" s="186"/>
      <c r="G287" s="227" t="s">
        <v>112</v>
      </c>
      <c r="H287" s="177"/>
      <c r="I287" s="178"/>
      <c r="J287" s="178"/>
      <c r="K287" s="179"/>
      <c r="L287" s="177"/>
      <c r="M287" s="178"/>
      <c r="N287" s="178"/>
      <c r="O287" s="180" t="s">
        <v>61</v>
      </c>
      <c r="P287" s="180"/>
      <c r="Q287" s="180"/>
      <c r="R287" s="180"/>
      <c r="S287" s="179"/>
      <c r="T287" s="265">
        <v>45299</v>
      </c>
      <c r="U287" s="181">
        <v>45664</v>
      </c>
      <c r="V287" s="182"/>
      <c r="W287" s="183"/>
      <c r="X287" s="184"/>
      <c r="Y287" s="185" t="s">
        <v>1109</v>
      </c>
    </row>
    <row r="288" spans="1:26" ht="11.4" x14ac:dyDescent="0.15">
      <c r="A288" s="175">
        <f t="shared" si="16"/>
        <v>286</v>
      </c>
      <c r="B288" s="176"/>
      <c r="C288" s="176"/>
      <c r="D288" s="176"/>
      <c r="E288" s="176"/>
      <c r="F288" s="186"/>
      <c r="G288" s="227" t="s">
        <v>112</v>
      </c>
      <c r="H288" s="177"/>
      <c r="I288" s="178"/>
      <c r="J288" s="178"/>
      <c r="K288" s="179"/>
      <c r="L288" s="177"/>
      <c r="M288" s="178"/>
      <c r="N288" s="178"/>
      <c r="O288" s="180" t="s">
        <v>61</v>
      </c>
      <c r="P288" s="180"/>
      <c r="Q288" s="180"/>
      <c r="R288" s="180"/>
      <c r="S288" s="179"/>
      <c r="T288" s="265">
        <v>45299</v>
      </c>
      <c r="U288" s="181">
        <v>45664</v>
      </c>
      <c r="V288" s="182"/>
      <c r="W288" s="183"/>
      <c r="X288" s="184"/>
      <c r="Y288" s="185" t="s">
        <v>115</v>
      </c>
    </row>
    <row r="289" spans="1:26" ht="11.4" x14ac:dyDescent="0.15">
      <c r="A289" s="175">
        <f t="shared" si="16"/>
        <v>287</v>
      </c>
      <c r="B289" s="176"/>
      <c r="C289" s="176"/>
      <c r="D289" s="176"/>
      <c r="E289" s="176"/>
      <c r="F289" s="186"/>
      <c r="G289" s="227" t="s">
        <v>112</v>
      </c>
      <c r="H289" s="177"/>
      <c r="I289" s="178"/>
      <c r="J289" s="178"/>
      <c r="K289" s="179"/>
      <c r="L289" s="177"/>
      <c r="M289" s="178"/>
      <c r="N289" s="178"/>
      <c r="O289" s="180" t="s">
        <v>61</v>
      </c>
      <c r="P289" s="180"/>
      <c r="Q289" s="180"/>
      <c r="R289" s="180"/>
      <c r="S289" s="179"/>
      <c r="T289" s="265">
        <v>45299</v>
      </c>
      <c r="U289" s="181">
        <v>45664</v>
      </c>
      <c r="V289" s="182"/>
      <c r="W289" s="183"/>
      <c r="X289" s="184"/>
      <c r="Y289" s="185" t="s">
        <v>116</v>
      </c>
    </row>
    <row r="290" spans="1:26" ht="11.4" x14ac:dyDescent="0.15">
      <c r="A290" s="175">
        <f t="shared" si="16"/>
        <v>288</v>
      </c>
      <c r="B290" s="176"/>
      <c r="C290" s="176"/>
      <c r="D290" s="176"/>
      <c r="E290" s="176"/>
      <c r="F290" s="186"/>
      <c r="G290" s="227" t="s">
        <v>112</v>
      </c>
      <c r="H290" s="177"/>
      <c r="I290" s="178"/>
      <c r="J290" s="178"/>
      <c r="K290" s="179"/>
      <c r="L290" s="177"/>
      <c r="M290" s="178"/>
      <c r="N290" s="178"/>
      <c r="O290" s="180" t="s">
        <v>61</v>
      </c>
      <c r="P290" s="180"/>
      <c r="Q290" s="180"/>
      <c r="R290" s="180"/>
      <c r="S290" s="179"/>
      <c r="T290" s="265">
        <v>45299</v>
      </c>
      <c r="U290" s="181">
        <v>45664</v>
      </c>
      <c r="V290" s="182"/>
      <c r="W290" s="183"/>
      <c r="X290" s="184"/>
      <c r="Y290" s="185" t="s">
        <v>117</v>
      </c>
    </row>
    <row r="291" spans="1:26" ht="11.4" x14ac:dyDescent="0.15">
      <c r="A291" s="175">
        <f t="shared" si="1"/>
        <v>289</v>
      </c>
      <c r="B291" s="176"/>
      <c r="C291" s="176"/>
      <c r="D291" s="176"/>
      <c r="E291" s="176"/>
      <c r="F291" s="186"/>
      <c r="G291" s="227" t="s">
        <v>118</v>
      </c>
      <c r="H291" s="177"/>
      <c r="I291" s="178"/>
      <c r="J291" s="178"/>
      <c r="K291" s="179"/>
      <c r="L291" s="177"/>
      <c r="M291" s="178"/>
      <c r="N291" s="178"/>
      <c r="O291" s="180"/>
      <c r="P291" s="180"/>
      <c r="Q291" s="180" t="s">
        <v>61</v>
      </c>
      <c r="R291" s="180"/>
      <c r="S291" s="179"/>
      <c r="T291" s="265">
        <v>45299</v>
      </c>
      <c r="U291" s="181">
        <v>45664</v>
      </c>
      <c r="V291" s="182"/>
      <c r="W291" s="183"/>
      <c r="X291" s="184"/>
      <c r="Y291" s="185" t="str">
        <f t="shared" ref="Y291:Y293" si="17">"項目名:"&amp;Z291</f>
        <v>項目名:入出金種別</v>
      </c>
      <c r="Z291" s="236" t="s">
        <v>279</v>
      </c>
    </row>
    <row r="292" spans="1:26" ht="11.4" x14ac:dyDescent="0.15">
      <c r="A292" s="175">
        <f t="shared" ref="A292:A294" si="18">ROW()-2</f>
        <v>290</v>
      </c>
      <c r="B292" s="176"/>
      <c r="C292" s="176"/>
      <c r="D292" s="176"/>
      <c r="E292" s="176"/>
      <c r="F292" s="186"/>
      <c r="G292" s="227" t="s">
        <v>118</v>
      </c>
      <c r="H292" s="177"/>
      <c r="I292" s="178"/>
      <c r="J292" s="178"/>
      <c r="K292" s="179"/>
      <c r="L292" s="177"/>
      <c r="M292" s="178"/>
      <c r="N292" s="178"/>
      <c r="O292" s="180"/>
      <c r="P292" s="180"/>
      <c r="Q292" s="180" t="s">
        <v>61</v>
      </c>
      <c r="R292" s="180"/>
      <c r="S292" s="179"/>
      <c r="T292" s="265">
        <v>45299</v>
      </c>
      <c r="U292" s="181">
        <v>45664</v>
      </c>
      <c r="V292" s="182"/>
      <c r="W292" s="183"/>
      <c r="X292" s="184"/>
      <c r="Y292" s="185" t="str">
        <f t="shared" si="17"/>
        <v>項目名:入出金名称</v>
      </c>
      <c r="Z292" s="236" t="s">
        <v>280</v>
      </c>
    </row>
    <row r="293" spans="1:26" ht="11.4" x14ac:dyDescent="0.15">
      <c r="A293" s="175">
        <f t="shared" si="18"/>
        <v>291</v>
      </c>
      <c r="B293" s="176"/>
      <c r="C293" s="176"/>
      <c r="D293" s="176"/>
      <c r="E293" s="176"/>
      <c r="F293" s="186"/>
      <c r="G293" s="227" t="s">
        <v>118</v>
      </c>
      <c r="H293" s="177"/>
      <c r="I293" s="178"/>
      <c r="J293" s="178"/>
      <c r="K293" s="179"/>
      <c r="L293" s="177"/>
      <c r="M293" s="178"/>
      <c r="N293" s="178"/>
      <c r="O293" s="180"/>
      <c r="P293" s="180"/>
      <c r="Q293" s="180" t="s">
        <v>61</v>
      </c>
      <c r="R293" s="180"/>
      <c r="S293" s="179"/>
      <c r="T293" s="265">
        <v>45299</v>
      </c>
      <c r="U293" s="181">
        <v>45664</v>
      </c>
      <c r="V293" s="182"/>
      <c r="W293" s="183"/>
      <c r="X293" s="184"/>
      <c r="Y293" s="185" t="str">
        <f t="shared" si="17"/>
        <v>項目名:入出金区分</v>
      </c>
      <c r="Z293" s="236" t="s">
        <v>281</v>
      </c>
    </row>
    <row r="294" spans="1:26" ht="11.4" x14ac:dyDescent="0.15">
      <c r="A294" s="175">
        <f t="shared" si="18"/>
        <v>292</v>
      </c>
      <c r="B294" s="176"/>
      <c r="C294" s="176"/>
      <c r="D294" s="176"/>
      <c r="E294" s="176"/>
      <c r="F294" s="186"/>
      <c r="G294" s="227" t="s">
        <v>118</v>
      </c>
      <c r="H294" s="177"/>
      <c r="I294" s="178"/>
      <c r="J294" s="178"/>
      <c r="K294" s="179"/>
      <c r="L294" s="177"/>
      <c r="M294" s="178"/>
      <c r="N294" s="178"/>
      <c r="O294" s="180"/>
      <c r="P294" s="180"/>
      <c r="Q294" s="180" t="s">
        <v>61</v>
      </c>
      <c r="R294" s="180"/>
      <c r="S294" s="179"/>
      <c r="T294" s="265">
        <v>45299</v>
      </c>
      <c r="U294" s="181">
        <v>45664</v>
      </c>
      <c r="V294" s="182"/>
      <c r="W294" s="183"/>
      <c r="X294" s="184"/>
      <c r="Y294" s="185" t="str">
        <f>"項目名:"&amp;Z294</f>
        <v>項目名:入出金ｶﾅ名称</v>
      </c>
      <c r="Z294" s="236" t="s">
        <v>282</v>
      </c>
    </row>
    <row r="295" spans="1:26" ht="11.4" x14ac:dyDescent="0.15">
      <c r="A295" s="175">
        <f t="shared" si="1"/>
        <v>293</v>
      </c>
      <c r="B295" s="176"/>
      <c r="C295" s="176"/>
      <c r="D295" s="176"/>
      <c r="E295" s="176"/>
      <c r="F295" s="186"/>
      <c r="G295" s="227" t="s">
        <v>136</v>
      </c>
      <c r="H295" s="177"/>
      <c r="I295" s="178"/>
      <c r="J295" s="178"/>
      <c r="K295" s="179"/>
      <c r="L295" s="177"/>
      <c r="M295" s="178"/>
      <c r="N295" s="178"/>
      <c r="O295" s="180"/>
      <c r="P295" s="180"/>
      <c r="Q295" s="180" t="s">
        <v>61</v>
      </c>
      <c r="R295" s="180"/>
      <c r="S295" s="179"/>
      <c r="T295" s="265">
        <v>45299</v>
      </c>
      <c r="U295" s="181">
        <v>45664</v>
      </c>
      <c r="V295" s="182"/>
      <c r="W295" s="183"/>
      <c r="X295" s="184"/>
      <c r="Y295" s="185" t="str">
        <f>"項目名:"&amp;Z295</f>
        <v>項目名:未使用項目や空白固定項目</v>
      </c>
      <c r="Z295" s="236" t="s">
        <v>137</v>
      </c>
    </row>
    <row r="296" spans="1:26" ht="11.4" x14ac:dyDescent="0.15">
      <c r="A296" s="175">
        <f t="shared" si="16"/>
        <v>294</v>
      </c>
      <c r="B296" s="176"/>
      <c r="C296" s="176"/>
      <c r="D296" s="186"/>
      <c r="E296" s="186" t="s">
        <v>283</v>
      </c>
      <c r="F296" s="186" t="s">
        <v>108</v>
      </c>
      <c r="G296" s="227" t="s">
        <v>109</v>
      </c>
      <c r="H296" s="177"/>
      <c r="I296" s="178"/>
      <c r="J296" s="178"/>
      <c r="K296" s="179"/>
      <c r="L296" s="177"/>
      <c r="M296" s="178"/>
      <c r="N296" s="178"/>
      <c r="O296" s="180"/>
      <c r="P296" s="180"/>
      <c r="Q296" s="180"/>
      <c r="R296" s="180"/>
      <c r="S296" s="179" t="s">
        <v>56</v>
      </c>
      <c r="T296" s="265">
        <v>45299</v>
      </c>
      <c r="U296" s="181">
        <v>45663</v>
      </c>
      <c r="V296" s="182"/>
      <c r="W296" s="183"/>
      <c r="X296" s="184"/>
      <c r="Y296" s="229" t="s">
        <v>1091</v>
      </c>
    </row>
    <row r="297" spans="1:26" ht="11.4" x14ac:dyDescent="0.15">
      <c r="A297" s="175">
        <f t="shared" si="16"/>
        <v>295</v>
      </c>
      <c r="B297" s="176"/>
      <c r="C297" s="176"/>
      <c r="D297" s="176"/>
      <c r="E297" s="176"/>
      <c r="F297" s="186"/>
      <c r="G297" s="227" t="s">
        <v>110</v>
      </c>
      <c r="H297" s="177"/>
      <c r="I297" s="178"/>
      <c r="J297" s="178"/>
      <c r="K297" s="179"/>
      <c r="L297" s="177"/>
      <c r="M297" s="178"/>
      <c r="N297" s="178"/>
      <c r="O297" s="180"/>
      <c r="P297" s="180" t="s">
        <v>61</v>
      </c>
      <c r="Q297" s="180"/>
      <c r="R297" s="180"/>
      <c r="S297" s="179"/>
      <c r="T297" s="265">
        <v>45299</v>
      </c>
      <c r="U297" s="181">
        <v>45664</v>
      </c>
      <c r="V297" s="182"/>
      <c r="W297" s="183"/>
      <c r="X297" s="184"/>
      <c r="Y297" s="185" t="s">
        <v>284</v>
      </c>
    </row>
    <row r="298" spans="1:26" ht="11.4" x14ac:dyDescent="0.15">
      <c r="A298" s="175">
        <f t="shared" si="16"/>
        <v>296</v>
      </c>
      <c r="B298" s="176"/>
      <c r="C298" s="176"/>
      <c r="D298" s="176"/>
      <c r="E298" s="176"/>
      <c r="F298" s="186"/>
      <c r="G298" s="227" t="s">
        <v>112</v>
      </c>
      <c r="H298" s="177"/>
      <c r="I298" s="178"/>
      <c r="J298" s="178"/>
      <c r="K298" s="179"/>
      <c r="L298" s="177"/>
      <c r="M298" s="178"/>
      <c r="N298" s="178"/>
      <c r="O298" s="180" t="s">
        <v>61</v>
      </c>
      <c r="P298" s="180"/>
      <c r="Q298" s="180"/>
      <c r="R298" s="180"/>
      <c r="S298" s="179"/>
      <c r="T298" s="265">
        <v>45299</v>
      </c>
      <c r="U298" s="181">
        <v>45664</v>
      </c>
      <c r="V298" s="182"/>
      <c r="W298" s="183"/>
      <c r="X298" s="184"/>
      <c r="Y298" s="185" t="s">
        <v>113</v>
      </c>
    </row>
    <row r="299" spans="1:26" ht="22.8" x14ac:dyDescent="0.15">
      <c r="A299" s="175">
        <f t="shared" si="16"/>
        <v>297</v>
      </c>
      <c r="B299" s="176"/>
      <c r="C299" s="176"/>
      <c r="D299" s="176"/>
      <c r="E299" s="176"/>
      <c r="F299" s="186"/>
      <c r="G299" s="227" t="s">
        <v>112</v>
      </c>
      <c r="H299" s="177"/>
      <c r="I299" s="178"/>
      <c r="J299" s="178"/>
      <c r="K299" s="179"/>
      <c r="L299" s="177"/>
      <c r="M299" s="178"/>
      <c r="N299" s="178"/>
      <c r="O299" s="180" t="s">
        <v>61</v>
      </c>
      <c r="P299" s="180"/>
      <c r="Q299" s="180"/>
      <c r="R299" s="180"/>
      <c r="S299" s="179"/>
      <c r="T299" s="265">
        <v>45299</v>
      </c>
      <c r="U299" s="181">
        <v>45664</v>
      </c>
      <c r="V299" s="182"/>
      <c r="W299" s="183"/>
      <c r="X299" s="184"/>
      <c r="Y299" s="185" t="s">
        <v>1109</v>
      </c>
    </row>
    <row r="300" spans="1:26" ht="11.4" x14ac:dyDescent="0.15">
      <c r="A300" s="175">
        <f t="shared" si="16"/>
        <v>298</v>
      </c>
      <c r="B300" s="176"/>
      <c r="C300" s="176"/>
      <c r="D300" s="176"/>
      <c r="E300" s="176"/>
      <c r="F300" s="186"/>
      <c r="G300" s="227" t="s">
        <v>112</v>
      </c>
      <c r="H300" s="177"/>
      <c r="I300" s="178"/>
      <c r="J300" s="178"/>
      <c r="K300" s="179"/>
      <c r="L300" s="177"/>
      <c r="M300" s="178"/>
      <c r="N300" s="178"/>
      <c r="O300" s="180" t="s">
        <v>61</v>
      </c>
      <c r="P300" s="180"/>
      <c r="Q300" s="180"/>
      <c r="R300" s="180"/>
      <c r="S300" s="179"/>
      <c r="T300" s="265">
        <v>45299</v>
      </c>
      <c r="U300" s="181">
        <v>45664</v>
      </c>
      <c r="V300" s="182"/>
      <c r="W300" s="183"/>
      <c r="X300" s="184"/>
      <c r="Y300" s="185" t="s">
        <v>115</v>
      </c>
    </row>
    <row r="301" spans="1:26" ht="11.4" x14ac:dyDescent="0.15">
      <c r="A301" s="175">
        <f t="shared" si="16"/>
        <v>299</v>
      </c>
      <c r="B301" s="176"/>
      <c r="C301" s="176"/>
      <c r="D301" s="176"/>
      <c r="E301" s="176"/>
      <c r="F301" s="186"/>
      <c r="G301" s="227" t="s">
        <v>112</v>
      </c>
      <c r="H301" s="177"/>
      <c r="I301" s="178"/>
      <c r="J301" s="178"/>
      <c r="K301" s="179"/>
      <c r="L301" s="177"/>
      <c r="M301" s="178"/>
      <c r="N301" s="178"/>
      <c r="O301" s="180" t="s">
        <v>61</v>
      </c>
      <c r="P301" s="180"/>
      <c r="Q301" s="180"/>
      <c r="R301" s="180"/>
      <c r="S301" s="179"/>
      <c r="T301" s="265">
        <v>45299</v>
      </c>
      <c r="U301" s="181">
        <v>45664</v>
      </c>
      <c r="V301" s="182"/>
      <c r="W301" s="183"/>
      <c r="X301" s="184"/>
      <c r="Y301" s="185" t="s">
        <v>116</v>
      </c>
    </row>
    <row r="302" spans="1:26" ht="11.4" x14ac:dyDescent="0.15">
      <c r="A302" s="175">
        <f t="shared" si="16"/>
        <v>300</v>
      </c>
      <c r="B302" s="176"/>
      <c r="C302" s="176"/>
      <c r="D302" s="176"/>
      <c r="E302" s="176"/>
      <c r="F302" s="186"/>
      <c r="G302" s="227" t="s">
        <v>112</v>
      </c>
      <c r="H302" s="177"/>
      <c r="I302" s="178"/>
      <c r="J302" s="178"/>
      <c r="K302" s="179"/>
      <c r="L302" s="177"/>
      <c r="M302" s="178"/>
      <c r="N302" s="178"/>
      <c r="O302" s="180" t="s">
        <v>61</v>
      </c>
      <c r="P302" s="180"/>
      <c r="Q302" s="180"/>
      <c r="R302" s="180"/>
      <c r="S302" s="179"/>
      <c r="T302" s="265">
        <v>45299</v>
      </c>
      <c r="U302" s="181">
        <v>45664</v>
      </c>
      <c r="V302" s="182"/>
      <c r="W302" s="183"/>
      <c r="X302" s="184"/>
      <c r="Y302" s="185" t="s">
        <v>117</v>
      </c>
    </row>
    <row r="303" spans="1:26" ht="11.4" x14ac:dyDescent="0.15">
      <c r="A303" s="175">
        <f t="shared" si="1"/>
        <v>301</v>
      </c>
      <c r="B303" s="176"/>
      <c r="C303" s="176"/>
      <c r="D303" s="176"/>
      <c r="E303" s="176"/>
      <c r="F303" s="186"/>
      <c r="G303" s="227" t="s">
        <v>118</v>
      </c>
      <c r="H303" s="177"/>
      <c r="I303" s="178"/>
      <c r="J303" s="178"/>
      <c r="K303" s="179"/>
      <c r="L303" s="177"/>
      <c r="M303" s="178"/>
      <c r="N303" s="178"/>
      <c r="O303" s="180"/>
      <c r="P303" s="180"/>
      <c r="Q303" s="180" t="s">
        <v>61</v>
      </c>
      <c r="R303" s="180"/>
      <c r="S303" s="179"/>
      <c r="T303" s="265">
        <v>45299</v>
      </c>
      <c r="U303" s="181">
        <v>45664</v>
      </c>
      <c r="V303" s="182"/>
      <c r="W303" s="183"/>
      <c r="X303" s="184"/>
      <c r="Y303" s="185" t="str">
        <f t="shared" ref="Y303:Y310" si="19">"項目名:"&amp;Z303</f>
        <v>項目名:支払種別コード</v>
      </c>
      <c r="Z303" s="236" t="s">
        <v>285</v>
      </c>
    </row>
    <row r="304" spans="1:26" ht="11.4" x14ac:dyDescent="0.15">
      <c r="A304" s="175">
        <f t="shared" ref="A304:A309" si="20">ROW()-2</f>
        <v>302</v>
      </c>
      <c r="B304" s="176"/>
      <c r="C304" s="176"/>
      <c r="D304" s="176"/>
      <c r="E304" s="176"/>
      <c r="F304" s="186"/>
      <c r="G304" s="227" t="s">
        <v>118</v>
      </c>
      <c r="H304" s="177"/>
      <c r="I304" s="178"/>
      <c r="J304" s="178"/>
      <c r="K304" s="179"/>
      <c r="L304" s="177"/>
      <c r="M304" s="178"/>
      <c r="N304" s="178"/>
      <c r="O304" s="180"/>
      <c r="P304" s="180"/>
      <c r="Q304" s="180" t="s">
        <v>61</v>
      </c>
      <c r="R304" s="180"/>
      <c r="S304" s="179"/>
      <c r="T304" s="265">
        <v>45299</v>
      </c>
      <c r="U304" s="181">
        <v>45664</v>
      </c>
      <c r="V304" s="182"/>
      <c r="W304" s="183"/>
      <c r="X304" s="184"/>
      <c r="Y304" s="185" t="str">
        <f t="shared" si="19"/>
        <v>項目名:支払許可</v>
      </c>
      <c r="Z304" s="236" t="s">
        <v>286</v>
      </c>
    </row>
    <row r="305" spans="1:28" ht="11.4" x14ac:dyDescent="0.15">
      <c r="A305" s="175">
        <f t="shared" si="20"/>
        <v>303</v>
      </c>
      <c r="B305" s="176"/>
      <c r="C305" s="176"/>
      <c r="D305" s="176"/>
      <c r="E305" s="176"/>
      <c r="F305" s="186"/>
      <c r="G305" s="227" t="s">
        <v>118</v>
      </c>
      <c r="H305" s="177"/>
      <c r="I305" s="178"/>
      <c r="J305" s="178"/>
      <c r="K305" s="179"/>
      <c r="L305" s="177"/>
      <c r="M305" s="178"/>
      <c r="N305" s="178"/>
      <c r="O305" s="180"/>
      <c r="P305" s="180"/>
      <c r="Q305" s="180" t="s">
        <v>61</v>
      </c>
      <c r="R305" s="180"/>
      <c r="S305" s="179"/>
      <c r="T305" s="265">
        <v>45299</v>
      </c>
      <c r="U305" s="181">
        <v>45664</v>
      </c>
      <c r="V305" s="182"/>
      <c r="W305" s="183"/>
      <c r="X305" s="184"/>
      <c r="Y305" s="185" t="str">
        <f t="shared" si="19"/>
        <v>項目名:支払受取の最高額</v>
      </c>
      <c r="Z305" s="236" t="s">
        <v>287</v>
      </c>
    </row>
    <row r="306" spans="1:28" ht="11.4" x14ac:dyDescent="0.15">
      <c r="A306" s="175">
        <f t="shared" si="20"/>
        <v>304</v>
      </c>
      <c r="B306" s="176"/>
      <c r="C306" s="176"/>
      <c r="D306" s="176"/>
      <c r="E306" s="176"/>
      <c r="F306" s="186"/>
      <c r="G306" s="227" t="s">
        <v>118</v>
      </c>
      <c r="H306" s="177"/>
      <c r="I306" s="178"/>
      <c r="J306" s="178"/>
      <c r="K306" s="179"/>
      <c r="L306" s="177"/>
      <c r="M306" s="178"/>
      <c r="N306" s="178"/>
      <c r="O306" s="180"/>
      <c r="P306" s="180"/>
      <c r="Q306" s="180" t="s">
        <v>61</v>
      </c>
      <c r="R306" s="180"/>
      <c r="S306" s="179"/>
      <c r="T306" s="265">
        <v>45299</v>
      </c>
      <c r="U306" s="181">
        <v>45664</v>
      </c>
      <c r="V306" s="182"/>
      <c r="W306" s="183"/>
      <c r="X306" s="184"/>
      <c r="Y306" s="185" t="str">
        <f t="shared" si="19"/>
        <v>項目名:支払名称</v>
      </c>
      <c r="Z306" s="236" t="s">
        <v>288</v>
      </c>
    </row>
    <row r="307" spans="1:28" ht="11.4" x14ac:dyDescent="0.15">
      <c r="A307" s="175">
        <f t="shared" si="20"/>
        <v>305</v>
      </c>
      <c r="B307" s="176"/>
      <c r="C307" s="176"/>
      <c r="D307" s="176"/>
      <c r="E307" s="176"/>
      <c r="F307" s="186"/>
      <c r="G307" s="227" t="s">
        <v>118</v>
      </c>
      <c r="H307" s="177"/>
      <c r="I307" s="178"/>
      <c r="J307" s="178"/>
      <c r="K307" s="179"/>
      <c r="L307" s="177"/>
      <c r="M307" s="178"/>
      <c r="N307" s="178"/>
      <c r="O307" s="180"/>
      <c r="P307" s="180"/>
      <c r="Q307" s="180" t="s">
        <v>61</v>
      </c>
      <c r="R307" s="180"/>
      <c r="S307" s="179"/>
      <c r="T307" s="265">
        <v>45299</v>
      </c>
      <c r="U307" s="181">
        <v>45664</v>
      </c>
      <c r="V307" s="182"/>
      <c r="W307" s="183"/>
      <c r="X307" s="184"/>
      <c r="Y307" s="185" t="str">
        <f t="shared" si="19"/>
        <v>項目名:店舗番号</v>
      </c>
      <c r="Z307" s="236" t="s">
        <v>269</v>
      </c>
    </row>
    <row r="308" spans="1:28" ht="11.4" x14ac:dyDescent="0.15">
      <c r="A308" s="175">
        <f t="shared" si="20"/>
        <v>306</v>
      </c>
      <c r="B308" s="176"/>
      <c r="C308" s="176"/>
      <c r="D308" s="176"/>
      <c r="E308" s="176"/>
      <c r="F308" s="186"/>
      <c r="G308" s="227" t="s">
        <v>118</v>
      </c>
      <c r="H308" s="177"/>
      <c r="I308" s="178"/>
      <c r="J308" s="178"/>
      <c r="K308" s="179"/>
      <c r="L308" s="177"/>
      <c r="M308" s="178"/>
      <c r="N308" s="178"/>
      <c r="O308" s="180"/>
      <c r="P308" s="180"/>
      <c r="Q308" s="180" t="s">
        <v>61</v>
      </c>
      <c r="R308" s="180"/>
      <c r="S308" s="179"/>
      <c r="T308" s="265">
        <v>45299</v>
      </c>
      <c r="U308" s="181">
        <v>45664</v>
      </c>
      <c r="V308" s="182"/>
      <c r="W308" s="183"/>
      <c r="X308" s="184"/>
      <c r="Y308" s="185" t="str">
        <f t="shared" si="19"/>
        <v>項目名:券類種別</v>
      </c>
      <c r="Z308" s="236" t="s">
        <v>289</v>
      </c>
    </row>
    <row r="309" spans="1:28" ht="11.4" x14ac:dyDescent="0.15">
      <c r="A309" s="175">
        <f t="shared" si="20"/>
        <v>307</v>
      </c>
      <c r="B309" s="176"/>
      <c r="C309" s="176"/>
      <c r="D309" s="176"/>
      <c r="E309" s="176"/>
      <c r="F309" s="186"/>
      <c r="G309" s="227" t="s">
        <v>118</v>
      </c>
      <c r="H309" s="177"/>
      <c r="I309" s="178"/>
      <c r="J309" s="178"/>
      <c r="K309" s="179"/>
      <c r="L309" s="177"/>
      <c r="M309" s="178"/>
      <c r="N309" s="178"/>
      <c r="O309" s="180"/>
      <c r="P309" s="180"/>
      <c r="Q309" s="180" t="s">
        <v>61</v>
      </c>
      <c r="R309" s="180"/>
      <c r="S309" s="179"/>
      <c r="T309" s="265">
        <v>45299</v>
      </c>
      <c r="U309" s="181">
        <v>45664</v>
      </c>
      <c r="V309" s="182"/>
      <c r="W309" s="183"/>
      <c r="X309" s="184"/>
      <c r="Y309" s="185" t="str">
        <f t="shared" si="19"/>
        <v>項目名:支払ｶﾅ名称</v>
      </c>
      <c r="Z309" s="236" t="s">
        <v>290</v>
      </c>
    </row>
    <row r="310" spans="1:28" ht="11.4" x14ac:dyDescent="0.15">
      <c r="A310" s="175">
        <f t="shared" si="1"/>
        <v>308</v>
      </c>
      <c r="B310" s="176"/>
      <c r="C310" s="176"/>
      <c r="D310" s="176"/>
      <c r="E310" s="176"/>
      <c r="F310" s="186"/>
      <c r="G310" s="227" t="s">
        <v>136</v>
      </c>
      <c r="H310" s="177"/>
      <c r="I310" s="178"/>
      <c r="J310" s="178"/>
      <c r="K310" s="179"/>
      <c r="L310" s="177"/>
      <c r="M310" s="178"/>
      <c r="N310" s="178"/>
      <c r="O310" s="180"/>
      <c r="P310" s="180"/>
      <c r="Q310" s="180" t="s">
        <v>61</v>
      </c>
      <c r="R310" s="180"/>
      <c r="S310" s="179"/>
      <c r="T310" s="265">
        <v>45299</v>
      </c>
      <c r="U310" s="181">
        <v>45664</v>
      </c>
      <c r="V310" s="182"/>
      <c r="W310" s="183"/>
      <c r="X310" s="184"/>
      <c r="Y310" s="185" t="str">
        <f t="shared" si="19"/>
        <v>項目名:未使用項目や空白固定項目</v>
      </c>
      <c r="Z310" s="236" t="s">
        <v>137</v>
      </c>
    </row>
    <row r="311" spans="1:28" ht="11.4" x14ac:dyDescent="0.15">
      <c r="A311" s="175">
        <f t="shared" si="16"/>
        <v>309</v>
      </c>
      <c r="B311" s="176"/>
      <c r="C311" s="176"/>
      <c r="D311" s="186"/>
      <c r="E311" s="186" t="s">
        <v>291</v>
      </c>
      <c r="F311" s="186" t="s">
        <v>108</v>
      </c>
      <c r="G311" s="227" t="s">
        <v>109</v>
      </c>
      <c r="H311" s="177"/>
      <c r="I311" s="178"/>
      <c r="J311" s="178"/>
      <c r="K311" s="179"/>
      <c r="L311" s="177"/>
      <c r="M311" s="178"/>
      <c r="N311" s="178"/>
      <c r="O311" s="180"/>
      <c r="P311" s="180"/>
      <c r="Q311" s="180"/>
      <c r="R311" s="180"/>
      <c r="S311" s="179" t="s">
        <v>56</v>
      </c>
      <c r="T311" s="265">
        <v>45299</v>
      </c>
      <c r="U311" s="181">
        <v>45665</v>
      </c>
      <c r="V311" s="182"/>
      <c r="W311" s="183"/>
      <c r="X311" s="184"/>
      <c r="Y311" s="229" t="s">
        <v>292</v>
      </c>
      <c r="AB311" s="266" t="s">
        <v>1103</v>
      </c>
    </row>
    <row r="312" spans="1:28" ht="11.4" x14ac:dyDescent="0.15">
      <c r="A312" s="175">
        <f t="shared" si="16"/>
        <v>310</v>
      </c>
      <c r="B312" s="176"/>
      <c r="C312" s="176"/>
      <c r="D312" s="176"/>
      <c r="E312" s="176"/>
      <c r="F312" s="186"/>
      <c r="G312" s="227" t="s">
        <v>110</v>
      </c>
      <c r="H312" s="177"/>
      <c r="I312" s="178"/>
      <c r="J312" s="178"/>
      <c r="K312" s="179"/>
      <c r="L312" s="177"/>
      <c r="M312" s="178"/>
      <c r="N312" s="178"/>
      <c r="O312" s="180"/>
      <c r="P312" s="180" t="s">
        <v>61</v>
      </c>
      <c r="Q312" s="180"/>
      <c r="R312" s="180"/>
      <c r="S312" s="179"/>
      <c r="T312" s="265">
        <v>45299</v>
      </c>
      <c r="U312" s="181">
        <v>45665</v>
      </c>
      <c r="V312" s="182"/>
      <c r="W312" s="183"/>
      <c r="X312" s="184"/>
      <c r="Y312" s="185" t="s">
        <v>293</v>
      </c>
    </row>
    <row r="313" spans="1:28" ht="11.4" x14ac:dyDescent="0.15">
      <c r="A313" s="175">
        <f t="shared" si="16"/>
        <v>311</v>
      </c>
      <c r="B313" s="176"/>
      <c r="C313" s="176"/>
      <c r="D313" s="176"/>
      <c r="E313" s="176"/>
      <c r="F313" s="186"/>
      <c r="G313" s="227" t="s">
        <v>112</v>
      </c>
      <c r="H313" s="177"/>
      <c r="I313" s="178"/>
      <c r="J313" s="178"/>
      <c r="K313" s="179"/>
      <c r="L313" s="177"/>
      <c r="M313" s="178"/>
      <c r="N313" s="178"/>
      <c r="O313" s="180" t="s">
        <v>61</v>
      </c>
      <c r="P313" s="180"/>
      <c r="Q313" s="180"/>
      <c r="R313" s="180"/>
      <c r="S313" s="179"/>
      <c r="T313" s="265">
        <v>45299</v>
      </c>
      <c r="U313" s="181">
        <v>45665</v>
      </c>
      <c r="V313" s="182"/>
      <c r="W313" s="183"/>
      <c r="X313" s="184"/>
      <c r="Y313" s="185" t="s">
        <v>113</v>
      </c>
    </row>
    <row r="314" spans="1:28" ht="22.8" x14ac:dyDescent="0.15">
      <c r="A314" s="175">
        <f t="shared" si="16"/>
        <v>312</v>
      </c>
      <c r="B314" s="176"/>
      <c r="C314" s="176"/>
      <c r="D314" s="176"/>
      <c r="E314" s="176"/>
      <c r="F314" s="186"/>
      <c r="G314" s="227" t="s">
        <v>112</v>
      </c>
      <c r="H314" s="177"/>
      <c r="I314" s="178"/>
      <c r="J314" s="178"/>
      <c r="K314" s="179"/>
      <c r="L314" s="177"/>
      <c r="M314" s="178"/>
      <c r="N314" s="178"/>
      <c r="O314" s="180" t="s">
        <v>61</v>
      </c>
      <c r="P314" s="180"/>
      <c r="Q314" s="180"/>
      <c r="R314" s="180"/>
      <c r="S314" s="179"/>
      <c r="T314" s="265">
        <v>45299</v>
      </c>
      <c r="U314" s="181">
        <v>45665</v>
      </c>
      <c r="V314" s="182"/>
      <c r="W314" s="183"/>
      <c r="X314" s="184"/>
      <c r="Y314" s="185" t="s">
        <v>1109</v>
      </c>
    </row>
    <row r="315" spans="1:28" ht="11.4" x14ac:dyDescent="0.15">
      <c r="A315" s="175">
        <f t="shared" si="16"/>
        <v>313</v>
      </c>
      <c r="B315" s="176"/>
      <c r="C315" s="176"/>
      <c r="D315" s="176"/>
      <c r="E315" s="176"/>
      <c r="F315" s="186"/>
      <c r="G315" s="227" t="s">
        <v>112</v>
      </c>
      <c r="H315" s="177"/>
      <c r="I315" s="178"/>
      <c r="J315" s="178"/>
      <c r="K315" s="179"/>
      <c r="L315" s="177"/>
      <c r="M315" s="178"/>
      <c r="N315" s="178"/>
      <c r="O315" s="180" t="s">
        <v>61</v>
      </c>
      <c r="P315" s="180"/>
      <c r="Q315" s="180"/>
      <c r="R315" s="180"/>
      <c r="S315" s="179"/>
      <c r="T315" s="265">
        <v>45299</v>
      </c>
      <c r="U315" s="181">
        <v>45665</v>
      </c>
      <c r="V315" s="182"/>
      <c r="W315" s="183"/>
      <c r="X315" s="184"/>
      <c r="Y315" s="185" t="s">
        <v>115</v>
      </c>
    </row>
    <row r="316" spans="1:28" ht="11.4" x14ac:dyDescent="0.15">
      <c r="A316" s="175">
        <f t="shared" si="16"/>
        <v>314</v>
      </c>
      <c r="B316" s="176"/>
      <c r="C316" s="176"/>
      <c r="D316" s="176"/>
      <c r="E316" s="176"/>
      <c r="F316" s="186"/>
      <c r="G316" s="227" t="s">
        <v>112</v>
      </c>
      <c r="H316" s="177"/>
      <c r="I316" s="178"/>
      <c r="J316" s="178"/>
      <c r="K316" s="179"/>
      <c r="L316" s="177"/>
      <c r="M316" s="178"/>
      <c r="N316" s="178"/>
      <c r="O316" s="180" t="s">
        <v>61</v>
      </c>
      <c r="P316" s="180"/>
      <c r="Q316" s="180"/>
      <c r="R316" s="180"/>
      <c r="S316" s="179"/>
      <c r="T316" s="265">
        <v>45299</v>
      </c>
      <c r="U316" s="181">
        <v>45665</v>
      </c>
      <c r="V316" s="182"/>
      <c r="W316" s="183"/>
      <c r="X316" s="184"/>
      <c r="Y316" s="185" t="s">
        <v>116</v>
      </c>
    </row>
    <row r="317" spans="1:28" ht="11.4" x14ac:dyDescent="0.15">
      <c r="A317" s="175">
        <f t="shared" si="16"/>
        <v>315</v>
      </c>
      <c r="B317" s="176"/>
      <c r="C317" s="176"/>
      <c r="D317" s="176"/>
      <c r="E317" s="176"/>
      <c r="F317" s="186"/>
      <c r="G317" s="227" t="s">
        <v>112</v>
      </c>
      <c r="H317" s="177"/>
      <c r="I317" s="178"/>
      <c r="J317" s="178"/>
      <c r="K317" s="179"/>
      <c r="L317" s="177"/>
      <c r="M317" s="178"/>
      <c r="N317" s="178"/>
      <c r="O317" s="180" t="s">
        <v>61</v>
      </c>
      <c r="P317" s="180"/>
      <c r="Q317" s="180"/>
      <c r="R317" s="180"/>
      <c r="S317" s="179"/>
      <c r="T317" s="265">
        <v>45299</v>
      </c>
      <c r="U317" s="181">
        <v>45665</v>
      </c>
      <c r="V317" s="182"/>
      <c r="W317" s="183"/>
      <c r="X317" s="184"/>
      <c r="Y317" s="185" t="s">
        <v>117</v>
      </c>
    </row>
    <row r="318" spans="1:28" ht="11.4" x14ac:dyDescent="0.15">
      <c r="A318" s="175">
        <f t="shared" si="1"/>
        <v>316</v>
      </c>
      <c r="B318" s="176"/>
      <c r="C318" s="176"/>
      <c r="D318" s="176"/>
      <c r="E318" s="176"/>
      <c r="F318" s="186"/>
      <c r="G318" s="227" t="s">
        <v>118</v>
      </c>
      <c r="H318" s="177"/>
      <c r="I318" s="178"/>
      <c r="J318" s="178"/>
      <c r="K318" s="179"/>
      <c r="L318" s="177"/>
      <c r="M318" s="178"/>
      <c r="N318" s="178"/>
      <c r="O318" s="180"/>
      <c r="P318" s="180"/>
      <c r="Q318" s="180" t="s">
        <v>61</v>
      </c>
      <c r="R318" s="180"/>
      <c r="S318" s="179"/>
      <c r="T318" s="265">
        <v>45299</v>
      </c>
      <c r="U318" s="181">
        <v>45665</v>
      </c>
      <c r="V318" s="182"/>
      <c r="W318" s="183"/>
      <c r="X318" s="184"/>
      <c r="Y318" s="185" t="str">
        <f t="shared" ref="Y318:Y332" si="21">"項目名:"&amp;Z318</f>
        <v>項目名:処理区分</v>
      </c>
      <c r="Z318" s="236" t="s">
        <v>142</v>
      </c>
    </row>
    <row r="319" spans="1:28" ht="11.4" x14ac:dyDescent="0.15">
      <c r="A319" s="175">
        <f t="shared" ref="A319:A331" si="22">ROW()-2</f>
        <v>317</v>
      </c>
      <c r="B319" s="176"/>
      <c r="C319" s="176"/>
      <c r="D319" s="176"/>
      <c r="E319" s="176"/>
      <c r="F319" s="186"/>
      <c r="G319" s="227" t="s">
        <v>118</v>
      </c>
      <c r="H319" s="177"/>
      <c r="I319" s="178"/>
      <c r="J319" s="178"/>
      <c r="K319" s="179"/>
      <c r="L319" s="177"/>
      <c r="M319" s="178"/>
      <c r="N319" s="178"/>
      <c r="O319" s="180"/>
      <c r="P319" s="180"/>
      <c r="Q319" s="180" t="s">
        <v>61</v>
      </c>
      <c r="R319" s="180"/>
      <c r="S319" s="179"/>
      <c r="T319" s="265">
        <v>45299</v>
      </c>
      <c r="U319" s="181">
        <v>45665</v>
      </c>
      <c r="V319" s="182"/>
      <c r="W319" s="183"/>
      <c r="X319" s="184"/>
      <c r="Y319" s="185" t="str">
        <f t="shared" si="21"/>
        <v>項目名:スキャンコード</v>
      </c>
      <c r="Z319" s="236" t="s">
        <v>165</v>
      </c>
    </row>
    <row r="320" spans="1:28" ht="11.4" x14ac:dyDescent="0.15">
      <c r="A320" s="175">
        <f t="shared" si="22"/>
        <v>318</v>
      </c>
      <c r="B320" s="176"/>
      <c r="C320" s="176"/>
      <c r="D320" s="176"/>
      <c r="E320" s="176"/>
      <c r="F320" s="186"/>
      <c r="G320" s="227" t="s">
        <v>118</v>
      </c>
      <c r="H320" s="177"/>
      <c r="I320" s="178"/>
      <c r="J320" s="178"/>
      <c r="K320" s="179"/>
      <c r="L320" s="177"/>
      <c r="M320" s="178"/>
      <c r="N320" s="178"/>
      <c r="O320" s="180"/>
      <c r="P320" s="180"/>
      <c r="Q320" s="180" t="s">
        <v>61</v>
      </c>
      <c r="R320" s="180"/>
      <c r="S320" s="179"/>
      <c r="T320" s="265">
        <v>45299</v>
      </c>
      <c r="U320" s="181">
        <v>45665</v>
      </c>
      <c r="V320" s="182"/>
      <c r="W320" s="183"/>
      <c r="X320" s="184"/>
      <c r="Y320" s="185" t="str">
        <f t="shared" si="21"/>
        <v>項目名:ＰＬＵタイプ</v>
      </c>
      <c r="Z320" s="236" t="s">
        <v>166</v>
      </c>
    </row>
    <row r="321" spans="1:26" ht="11.4" x14ac:dyDescent="0.15">
      <c r="A321" s="175">
        <f t="shared" si="22"/>
        <v>319</v>
      </c>
      <c r="B321" s="176"/>
      <c r="C321" s="176"/>
      <c r="D321" s="176"/>
      <c r="E321" s="176"/>
      <c r="F321" s="186"/>
      <c r="G321" s="227" t="s">
        <v>118</v>
      </c>
      <c r="H321" s="177"/>
      <c r="I321" s="178"/>
      <c r="J321" s="178"/>
      <c r="K321" s="179"/>
      <c r="L321" s="177"/>
      <c r="M321" s="178"/>
      <c r="N321" s="178"/>
      <c r="O321" s="180"/>
      <c r="P321" s="180"/>
      <c r="Q321" s="180" t="s">
        <v>61</v>
      </c>
      <c r="R321" s="180"/>
      <c r="S321" s="179"/>
      <c r="T321" s="265">
        <v>45299</v>
      </c>
      <c r="U321" s="181">
        <v>45665</v>
      </c>
      <c r="V321" s="182"/>
      <c r="W321" s="183"/>
      <c r="X321" s="184"/>
      <c r="Y321" s="185" t="str">
        <f t="shared" si="21"/>
        <v>項目名:店舗番号</v>
      </c>
      <c r="Z321" s="236" t="s">
        <v>269</v>
      </c>
    </row>
    <row r="322" spans="1:26" ht="11.4" x14ac:dyDescent="0.15">
      <c r="A322" s="175">
        <f t="shared" si="22"/>
        <v>320</v>
      </c>
      <c r="B322" s="176"/>
      <c r="C322" s="176"/>
      <c r="D322" s="176"/>
      <c r="E322" s="176"/>
      <c r="F322" s="186"/>
      <c r="G322" s="227" t="s">
        <v>118</v>
      </c>
      <c r="H322" s="177"/>
      <c r="I322" s="178"/>
      <c r="J322" s="178"/>
      <c r="K322" s="179"/>
      <c r="L322" s="177"/>
      <c r="M322" s="178"/>
      <c r="N322" s="178"/>
      <c r="O322" s="180"/>
      <c r="P322" s="180"/>
      <c r="Q322" s="180" t="s">
        <v>61</v>
      </c>
      <c r="R322" s="180"/>
      <c r="S322" s="179"/>
      <c r="T322" s="265">
        <v>45299</v>
      </c>
      <c r="U322" s="181">
        <v>45665</v>
      </c>
      <c r="V322" s="182"/>
      <c r="W322" s="183"/>
      <c r="X322" s="184"/>
      <c r="Y322" s="185" t="str">
        <f t="shared" si="21"/>
        <v>項目名:販売部門ID</v>
      </c>
      <c r="Z322" s="236" t="s">
        <v>294</v>
      </c>
    </row>
    <row r="323" spans="1:26" ht="11.4" x14ac:dyDescent="0.15">
      <c r="A323" s="175">
        <f t="shared" si="22"/>
        <v>321</v>
      </c>
      <c r="B323" s="176"/>
      <c r="C323" s="176"/>
      <c r="D323" s="176"/>
      <c r="E323" s="176"/>
      <c r="F323" s="186"/>
      <c r="G323" s="227" t="s">
        <v>118</v>
      </c>
      <c r="H323" s="177"/>
      <c r="I323" s="178"/>
      <c r="J323" s="178"/>
      <c r="K323" s="179"/>
      <c r="L323" s="177"/>
      <c r="M323" s="178"/>
      <c r="N323" s="178"/>
      <c r="O323" s="180"/>
      <c r="P323" s="180"/>
      <c r="Q323" s="180" t="s">
        <v>61</v>
      </c>
      <c r="R323" s="180"/>
      <c r="S323" s="179"/>
      <c r="T323" s="265">
        <v>45299</v>
      </c>
      <c r="U323" s="181">
        <v>45665</v>
      </c>
      <c r="V323" s="182"/>
      <c r="W323" s="183"/>
      <c r="X323" s="184"/>
      <c r="Y323" s="185" t="str">
        <f t="shared" si="21"/>
        <v>項目名:内部商品分類番号</v>
      </c>
      <c r="Z323" s="236" t="s">
        <v>167</v>
      </c>
    </row>
    <row r="324" spans="1:26" ht="11.4" x14ac:dyDescent="0.15">
      <c r="A324" s="175">
        <f t="shared" si="22"/>
        <v>322</v>
      </c>
      <c r="B324" s="176"/>
      <c r="C324" s="176"/>
      <c r="D324" s="176"/>
      <c r="E324" s="176"/>
      <c r="F324" s="186"/>
      <c r="G324" s="227" t="s">
        <v>118</v>
      </c>
      <c r="H324" s="177"/>
      <c r="I324" s="178"/>
      <c r="J324" s="178"/>
      <c r="K324" s="179"/>
      <c r="L324" s="177"/>
      <c r="M324" s="178"/>
      <c r="N324" s="178"/>
      <c r="O324" s="180"/>
      <c r="P324" s="180"/>
      <c r="Q324" s="180" t="s">
        <v>61</v>
      </c>
      <c r="R324" s="180"/>
      <c r="S324" s="179"/>
      <c r="T324" s="265">
        <v>45299</v>
      </c>
      <c r="U324" s="181">
        <v>45665</v>
      </c>
      <c r="V324" s="182"/>
      <c r="W324" s="183"/>
      <c r="X324" s="184"/>
      <c r="Y324" s="185" t="str">
        <f t="shared" si="21"/>
        <v>項目名:従業員ID</v>
      </c>
      <c r="Z324" s="236" t="s">
        <v>295</v>
      </c>
    </row>
    <row r="325" spans="1:26" ht="11.4" x14ac:dyDescent="0.15">
      <c r="A325" s="175">
        <f t="shared" si="22"/>
        <v>323</v>
      </c>
      <c r="B325" s="176"/>
      <c r="C325" s="176"/>
      <c r="D325" s="176"/>
      <c r="E325" s="176"/>
      <c r="F325" s="186"/>
      <c r="G325" s="227" t="s">
        <v>118</v>
      </c>
      <c r="H325" s="177"/>
      <c r="I325" s="178"/>
      <c r="J325" s="178"/>
      <c r="K325" s="179"/>
      <c r="L325" s="177"/>
      <c r="M325" s="178"/>
      <c r="N325" s="178"/>
      <c r="O325" s="180"/>
      <c r="P325" s="180"/>
      <c r="Q325" s="180" t="s">
        <v>61</v>
      </c>
      <c r="R325" s="180"/>
      <c r="S325" s="179"/>
      <c r="T325" s="265">
        <v>45299</v>
      </c>
      <c r="U325" s="181">
        <v>45665</v>
      </c>
      <c r="V325" s="182"/>
      <c r="W325" s="183"/>
      <c r="X325" s="184"/>
      <c r="Y325" s="185" t="str">
        <f t="shared" si="21"/>
        <v>項目名:緊急登録日時</v>
      </c>
      <c r="Z325" s="236" t="s">
        <v>296</v>
      </c>
    </row>
    <row r="326" spans="1:26" ht="11.4" x14ac:dyDescent="0.15">
      <c r="A326" s="175">
        <f t="shared" si="22"/>
        <v>324</v>
      </c>
      <c r="B326" s="176"/>
      <c r="C326" s="176"/>
      <c r="D326" s="176"/>
      <c r="E326" s="176"/>
      <c r="F326" s="186"/>
      <c r="G326" s="227" t="s">
        <v>118</v>
      </c>
      <c r="H326" s="177"/>
      <c r="I326" s="178"/>
      <c r="J326" s="178"/>
      <c r="K326" s="179"/>
      <c r="L326" s="177"/>
      <c r="M326" s="178"/>
      <c r="N326" s="178"/>
      <c r="O326" s="180"/>
      <c r="P326" s="180"/>
      <c r="Q326" s="180" t="s">
        <v>61</v>
      </c>
      <c r="R326" s="180"/>
      <c r="S326" s="179"/>
      <c r="T326" s="265">
        <v>45299</v>
      </c>
      <c r="U326" s="181">
        <v>45665</v>
      </c>
      <c r="V326" s="182"/>
      <c r="W326" s="183"/>
      <c r="X326" s="184"/>
      <c r="Y326" s="185" t="str">
        <f t="shared" si="21"/>
        <v>項目名:商品名称</v>
      </c>
      <c r="Z326" s="236" t="s">
        <v>297</v>
      </c>
    </row>
    <row r="327" spans="1:26" ht="11.4" x14ac:dyDescent="0.15">
      <c r="A327" s="175">
        <f t="shared" si="22"/>
        <v>325</v>
      </c>
      <c r="B327" s="176"/>
      <c r="C327" s="176"/>
      <c r="D327" s="176"/>
      <c r="E327" s="176"/>
      <c r="F327" s="186"/>
      <c r="G327" s="227" t="s">
        <v>118</v>
      </c>
      <c r="H327" s="177"/>
      <c r="I327" s="178"/>
      <c r="J327" s="178"/>
      <c r="K327" s="179"/>
      <c r="L327" s="177"/>
      <c r="M327" s="178"/>
      <c r="N327" s="178"/>
      <c r="O327" s="180"/>
      <c r="P327" s="180"/>
      <c r="Q327" s="180" t="s">
        <v>61</v>
      </c>
      <c r="R327" s="180"/>
      <c r="S327" s="179"/>
      <c r="T327" s="265">
        <v>45299</v>
      </c>
      <c r="U327" s="181">
        <v>45665</v>
      </c>
      <c r="V327" s="182"/>
      <c r="W327" s="183"/>
      <c r="X327" s="184"/>
      <c r="Y327" s="185" t="str">
        <f t="shared" si="21"/>
        <v>項目名:単価</v>
      </c>
      <c r="Z327" s="236" t="s">
        <v>298</v>
      </c>
    </row>
    <row r="328" spans="1:26" ht="11.4" x14ac:dyDescent="0.15">
      <c r="A328" s="175">
        <f t="shared" si="22"/>
        <v>326</v>
      </c>
      <c r="B328" s="176"/>
      <c r="C328" s="176"/>
      <c r="D328" s="176"/>
      <c r="E328" s="176"/>
      <c r="F328" s="186"/>
      <c r="G328" s="227" t="s">
        <v>118</v>
      </c>
      <c r="H328" s="177"/>
      <c r="I328" s="178"/>
      <c r="J328" s="178"/>
      <c r="K328" s="179"/>
      <c r="L328" s="177"/>
      <c r="M328" s="178"/>
      <c r="N328" s="178"/>
      <c r="O328" s="180"/>
      <c r="P328" s="180"/>
      <c r="Q328" s="180" t="s">
        <v>61</v>
      </c>
      <c r="R328" s="180"/>
      <c r="S328" s="179"/>
      <c r="T328" s="265">
        <v>45299</v>
      </c>
      <c r="U328" s="181">
        <v>45665</v>
      </c>
      <c r="V328" s="182"/>
      <c r="W328" s="183"/>
      <c r="X328" s="184"/>
      <c r="Y328" s="185" t="str">
        <f t="shared" si="21"/>
        <v>項目名:取引通番</v>
      </c>
      <c r="Z328" s="236" t="s">
        <v>299</v>
      </c>
    </row>
    <row r="329" spans="1:26" ht="11.4" x14ac:dyDescent="0.15">
      <c r="A329" s="175">
        <f t="shared" si="22"/>
        <v>327</v>
      </c>
      <c r="B329" s="176"/>
      <c r="C329" s="176"/>
      <c r="D329" s="176"/>
      <c r="E329" s="176"/>
      <c r="F329" s="186"/>
      <c r="G329" s="227" t="s">
        <v>118</v>
      </c>
      <c r="H329" s="177"/>
      <c r="I329" s="178"/>
      <c r="J329" s="178"/>
      <c r="K329" s="179"/>
      <c r="L329" s="177"/>
      <c r="M329" s="178"/>
      <c r="N329" s="178"/>
      <c r="O329" s="180"/>
      <c r="P329" s="180"/>
      <c r="Q329" s="180" t="s">
        <v>61</v>
      </c>
      <c r="R329" s="180"/>
      <c r="S329" s="179"/>
      <c r="T329" s="265">
        <v>45299</v>
      </c>
      <c r="U329" s="181">
        <v>45665</v>
      </c>
      <c r="V329" s="182"/>
      <c r="W329" s="183"/>
      <c r="X329" s="184"/>
      <c r="Y329" s="185" t="str">
        <f t="shared" si="21"/>
        <v>項目名:取引明細番号</v>
      </c>
      <c r="Z329" s="236" t="s">
        <v>300</v>
      </c>
    </row>
    <row r="330" spans="1:26" ht="11.4" x14ac:dyDescent="0.15">
      <c r="A330" s="175">
        <f t="shared" si="22"/>
        <v>328</v>
      </c>
      <c r="B330" s="176"/>
      <c r="C330" s="176"/>
      <c r="D330" s="176"/>
      <c r="E330" s="176"/>
      <c r="F330" s="186"/>
      <c r="G330" s="227" t="s">
        <v>118</v>
      </c>
      <c r="H330" s="177"/>
      <c r="I330" s="178"/>
      <c r="J330" s="178"/>
      <c r="K330" s="179"/>
      <c r="L330" s="177"/>
      <c r="M330" s="178"/>
      <c r="N330" s="178"/>
      <c r="O330" s="180"/>
      <c r="P330" s="180"/>
      <c r="Q330" s="180" t="s">
        <v>61</v>
      </c>
      <c r="R330" s="180"/>
      <c r="S330" s="179"/>
      <c r="T330" s="265">
        <v>45299</v>
      </c>
      <c r="U330" s="181">
        <v>45665</v>
      </c>
      <c r="V330" s="182"/>
      <c r="W330" s="183"/>
      <c r="X330" s="184"/>
      <c r="Y330" s="185" t="str">
        <f t="shared" si="21"/>
        <v>項目名:POS番号</v>
      </c>
      <c r="Z330" s="236" t="s">
        <v>301</v>
      </c>
    </row>
    <row r="331" spans="1:26" ht="11.4" x14ac:dyDescent="0.15">
      <c r="A331" s="175">
        <f t="shared" si="22"/>
        <v>329</v>
      </c>
      <c r="B331" s="176"/>
      <c r="C331" s="176"/>
      <c r="D331" s="176"/>
      <c r="E331" s="176"/>
      <c r="F331" s="186"/>
      <c r="G331" s="227" t="s">
        <v>118</v>
      </c>
      <c r="H331" s="177"/>
      <c r="I331" s="178"/>
      <c r="J331" s="178"/>
      <c r="K331" s="179"/>
      <c r="L331" s="177"/>
      <c r="M331" s="178"/>
      <c r="N331" s="178"/>
      <c r="O331" s="180"/>
      <c r="P331" s="180"/>
      <c r="Q331" s="180" t="s">
        <v>61</v>
      </c>
      <c r="R331" s="180"/>
      <c r="S331" s="179"/>
      <c r="T331" s="265">
        <v>45299</v>
      </c>
      <c r="U331" s="181">
        <v>45666</v>
      </c>
      <c r="V331" s="182"/>
      <c r="W331" s="183"/>
      <c r="X331" s="184"/>
      <c r="Y331" s="185" t="str">
        <f t="shared" si="21"/>
        <v>項目名:作成日</v>
      </c>
      <c r="Z331" s="236" t="s">
        <v>168</v>
      </c>
    </row>
    <row r="332" spans="1:26" ht="11.4" x14ac:dyDescent="0.15">
      <c r="A332" s="175">
        <f t="shared" si="1"/>
        <v>330</v>
      </c>
      <c r="B332" s="176"/>
      <c r="C332" s="176"/>
      <c r="D332" s="176"/>
      <c r="E332" s="176"/>
      <c r="F332" s="186"/>
      <c r="G332" s="227" t="s">
        <v>136</v>
      </c>
      <c r="H332" s="177"/>
      <c r="I332" s="178"/>
      <c r="J332" s="178"/>
      <c r="K332" s="179"/>
      <c r="L332" s="177"/>
      <c r="M332" s="178"/>
      <c r="N332" s="178"/>
      <c r="O332" s="180"/>
      <c r="P332" s="180"/>
      <c r="Q332" s="180" t="s">
        <v>61</v>
      </c>
      <c r="R332" s="180"/>
      <c r="S332" s="179"/>
      <c r="T332" s="265">
        <v>45299</v>
      </c>
      <c r="U332" s="181">
        <v>45665</v>
      </c>
      <c r="V332" s="182"/>
      <c r="W332" s="183"/>
      <c r="X332" s="184"/>
      <c r="Y332" s="185" t="str">
        <f t="shared" si="21"/>
        <v>項目名:未使用項目や空白固定項目</v>
      </c>
      <c r="Z332" s="236" t="s">
        <v>137</v>
      </c>
    </row>
    <row r="333" spans="1:26" ht="11.4" x14ac:dyDescent="0.15">
      <c r="A333" s="175">
        <f t="shared" si="1"/>
        <v>331</v>
      </c>
      <c r="B333" s="176"/>
      <c r="C333" s="176"/>
      <c r="D333" s="176"/>
      <c r="E333" s="176" t="s">
        <v>302</v>
      </c>
      <c r="F333" s="186" t="s">
        <v>108</v>
      </c>
      <c r="G333" s="227" t="s">
        <v>109</v>
      </c>
      <c r="H333" s="177"/>
      <c r="I333" s="178"/>
      <c r="J333" s="178"/>
      <c r="K333" s="179"/>
      <c r="L333" s="177"/>
      <c r="M333" s="178"/>
      <c r="N333" s="178"/>
      <c r="O333" s="180"/>
      <c r="P333" s="180"/>
      <c r="Q333" s="180"/>
      <c r="R333" s="180"/>
      <c r="S333" s="179" t="s">
        <v>56</v>
      </c>
      <c r="T333" s="265">
        <v>45299</v>
      </c>
      <c r="U333" s="181">
        <v>45663</v>
      </c>
      <c r="V333" s="182"/>
      <c r="W333" s="183"/>
      <c r="X333" s="184"/>
      <c r="Y333" s="229" t="s">
        <v>1087</v>
      </c>
    </row>
    <row r="334" spans="1:26" ht="11.4" x14ac:dyDescent="0.15">
      <c r="A334" s="175">
        <f t="shared" si="1"/>
        <v>332</v>
      </c>
      <c r="B334" s="176"/>
      <c r="C334" s="176"/>
      <c r="D334" s="176"/>
      <c r="E334" s="176"/>
      <c r="F334" s="186"/>
      <c r="G334" s="227" t="s">
        <v>110</v>
      </c>
      <c r="H334" s="177"/>
      <c r="I334" s="178"/>
      <c r="J334" s="178"/>
      <c r="K334" s="179"/>
      <c r="L334" s="177"/>
      <c r="M334" s="178"/>
      <c r="N334" s="178"/>
      <c r="O334" s="180"/>
      <c r="P334" s="180" t="s">
        <v>61</v>
      </c>
      <c r="Q334" s="180"/>
      <c r="R334" s="180"/>
      <c r="S334" s="179"/>
      <c r="T334" s="265">
        <v>45299</v>
      </c>
      <c r="U334" s="181">
        <v>45664</v>
      </c>
      <c r="V334" s="182"/>
      <c r="W334" s="183"/>
      <c r="X334" s="184"/>
      <c r="Y334" s="185" t="s">
        <v>303</v>
      </c>
    </row>
    <row r="335" spans="1:26" ht="11.4" x14ac:dyDescent="0.15">
      <c r="A335" s="175">
        <f t="shared" si="1"/>
        <v>333</v>
      </c>
      <c r="B335" s="176"/>
      <c r="C335" s="176"/>
      <c r="D335" s="176"/>
      <c r="E335" s="176"/>
      <c r="F335" s="186"/>
      <c r="G335" s="227" t="s">
        <v>112</v>
      </c>
      <c r="H335" s="177"/>
      <c r="I335" s="178"/>
      <c r="J335" s="178"/>
      <c r="K335" s="179"/>
      <c r="L335" s="177"/>
      <c r="M335" s="178"/>
      <c r="N335" s="178"/>
      <c r="O335" s="180" t="s">
        <v>61</v>
      </c>
      <c r="P335" s="180"/>
      <c r="Q335" s="180"/>
      <c r="R335" s="180"/>
      <c r="S335" s="179"/>
      <c r="T335" s="265">
        <v>45299</v>
      </c>
      <c r="U335" s="181">
        <v>45664</v>
      </c>
      <c r="V335" s="182"/>
      <c r="W335" s="183"/>
      <c r="X335" s="184"/>
      <c r="Y335" s="185" t="s">
        <v>113</v>
      </c>
    </row>
    <row r="336" spans="1:26" ht="22.8" x14ac:dyDescent="0.15">
      <c r="A336" s="175">
        <f t="shared" si="1"/>
        <v>334</v>
      </c>
      <c r="B336" s="176"/>
      <c r="C336" s="176"/>
      <c r="D336" s="176"/>
      <c r="E336" s="176"/>
      <c r="F336" s="186"/>
      <c r="G336" s="227" t="s">
        <v>112</v>
      </c>
      <c r="H336" s="177"/>
      <c r="I336" s="178"/>
      <c r="J336" s="178"/>
      <c r="K336" s="179"/>
      <c r="L336" s="177"/>
      <c r="M336" s="178"/>
      <c r="N336" s="178"/>
      <c r="O336" s="180" t="s">
        <v>61</v>
      </c>
      <c r="P336" s="180"/>
      <c r="Q336" s="180"/>
      <c r="R336" s="180"/>
      <c r="S336" s="179"/>
      <c r="T336" s="265">
        <v>45299</v>
      </c>
      <c r="U336" s="181">
        <v>45664</v>
      </c>
      <c r="V336" s="182"/>
      <c r="W336" s="183"/>
      <c r="X336" s="184"/>
      <c r="Y336" s="185" t="s">
        <v>1109</v>
      </c>
    </row>
    <row r="337" spans="1:26" ht="11.4" x14ac:dyDescent="0.15">
      <c r="A337" s="175">
        <f t="shared" si="1"/>
        <v>335</v>
      </c>
      <c r="B337" s="176"/>
      <c r="C337" s="176"/>
      <c r="D337" s="176"/>
      <c r="E337" s="176"/>
      <c r="F337" s="186"/>
      <c r="G337" s="227" t="s">
        <v>112</v>
      </c>
      <c r="H337" s="177"/>
      <c r="I337" s="178"/>
      <c r="J337" s="178"/>
      <c r="K337" s="179"/>
      <c r="L337" s="177"/>
      <c r="M337" s="178"/>
      <c r="N337" s="178"/>
      <c r="O337" s="180" t="s">
        <v>61</v>
      </c>
      <c r="P337" s="180"/>
      <c r="Q337" s="180"/>
      <c r="R337" s="180"/>
      <c r="S337" s="179"/>
      <c r="T337" s="265">
        <v>45299</v>
      </c>
      <c r="U337" s="181">
        <v>45664</v>
      </c>
      <c r="V337" s="182"/>
      <c r="W337" s="183"/>
      <c r="X337" s="184"/>
      <c r="Y337" s="185" t="s">
        <v>115</v>
      </c>
    </row>
    <row r="338" spans="1:26" ht="11.4" x14ac:dyDescent="0.15">
      <c r="A338" s="175">
        <f t="shared" si="1"/>
        <v>336</v>
      </c>
      <c r="B338" s="176"/>
      <c r="C338" s="176"/>
      <c r="D338" s="176"/>
      <c r="E338" s="176"/>
      <c r="F338" s="186"/>
      <c r="G338" s="227" t="s">
        <v>112</v>
      </c>
      <c r="H338" s="177"/>
      <c r="I338" s="178"/>
      <c r="J338" s="178"/>
      <c r="K338" s="179"/>
      <c r="L338" s="177"/>
      <c r="M338" s="178"/>
      <c r="N338" s="178"/>
      <c r="O338" s="180" t="s">
        <v>61</v>
      </c>
      <c r="P338" s="180"/>
      <c r="Q338" s="180"/>
      <c r="R338" s="180"/>
      <c r="S338" s="179"/>
      <c r="T338" s="265">
        <v>45299</v>
      </c>
      <c r="U338" s="181">
        <v>45664</v>
      </c>
      <c r="V338" s="182"/>
      <c r="W338" s="183"/>
      <c r="X338" s="184"/>
      <c r="Y338" s="185" t="s">
        <v>116</v>
      </c>
    </row>
    <row r="339" spans="1:26" ht="11.4" x14ac:dyDescent="0.15">
      <c r="A339" s="175">
        <f t="shared" si="1"/>
        <v>337</v>
      </c>
      <c r="B339" s="176"/>
      <c r="C339" s="176"/>
      <c r="D339" s="176"/>
      <c r="E339" s="176"/>
      <c r="F339" s="186"/>
      <c r="G339" s="227" t="s">
        <v>112</v>
      </c>
      <c r="H339" s="177"/>
      <c r="I339" s="178"/>
      <c r="J339" s="178"/>
      <c r="K339" s="179"/>
      <c r="L339" s="177"/>
      <c r="M339" s="178"/>
      <c r="N339" s="178"/>
      <c r="O339" s="180" t="s">
        <v>61</v>
      </c>
      <c r="P339" s="180"/>
      <c r="Q339" s="180"/>
      <c r="R339" s="180"/>
      <c r="S339" s="179"/>
      <c r="T339" s="265">
        <v>45299</v>
      </c>
      <c r="U339" s="181">
        <v>45664</v>
      </c>
      <c r="V339" s="182"/>
      <c r="W339" s="183"/>
      <c r="X339" s="184"/>
      <c r="Y339" s="185" t="s">
        <v>117</v>
      </c>
    </row>
    <row r="340" spans="1:26" ht="11.4" x14ac:dyDescent="0.15">
      <c r="A340" s="175">
        <f t="shared" si="1"/>
        <v>338</v>
      </c>
      <c r="B340" s="176"/>
      <c r="C340" s="176"/>
      <c r="D340" s="176"/>
      <c r="E340" s="176"/>
      <c r="F340" s="186"/>
      <c r="G340" s="227" t="s">
        <v>118</v>
      </c>
      <c r="H340" s="177"/>
      <c r="I340" s="178"/>
      <c r="J340" s="178"/>
      <c r="K340" s="179"/>
      <c r="L340" s="177"/>
      <c r="M340" s="178"/>
      <c r="N340" s="178"/>
      <c r="O340" s="180"/>
      <c r="P340" s="180"/>
      <c r="Q340" s="180" t="s">
        <v>61</v>
      </c>
      <c r="R340" s="180"/>
      <c r="S340" s="179"/>
      <c r="T340" s="265">
        <v>45299</v>
      </c>
      <c r="U340" s="181">
        <v>45664</v>
      </c>
      <c r="V340" s="182"/>
      <c r="W340" s="183"/>
      <c r="X340" s="184"/>
      <c r="Y340" s="185" t="str">
        <f t="shared" ref="Y340:Y344" si="23">"項目名:"&amp;Z340</f>
        <v>項目名:スキャンコード</v>
      </c>
      <c r="Z340" s="236" t="s">
        <v>165</v>
      </c>
    </row>
    <row r="341" spans="1:26" ht="11.4" x14ac:dyDescent="0.15">
      <c r="A341" s="175">
        <f t="shared" ref="A341:A343" si="24">ROW()-2</f>
        <v>339</v>
      </c>
      <c r="B341" s="176"/>
      <c r="C341" s="176"/>
      <c r="D341" s="176"/>
      <c r="E341" s="176"/>
      <c r="F341" s="186"/>
      <c r="G341" s="227" t="s">
        <v>118</v>
      </c>
      <c r="H341" s="177"/>
      <c r="I341" s="178"/>
      <c r="J341" s="178"/>
      <c r="K341" s="179"/>
      <c r="L341" s="177"/>
      <c r="M341" s="178"/>
      <c r="N341" s="178"/>
      <c r="O341" s="180"/>
      <c r="P341" s="180"/>
      <c r="Q341" s="180" t="s">
        <v>61</v>
      </c>
      <c r="R341" s="180"/>
      <c r="S341" s="179"/>
      <c r="T341" s="265">
        <v>45299</v>
      </c>
      <c r="U341" s="181">
        <v>45664</v>
      </c>
      <c r="V341" s="182"/>
      <c r="W341" s="183"/>
      <c r="X341" s="184"/>
      <c r="Y341" s="185" t="str">
        <f t="shared" si="23"/>
        <v>項目名:現外種別コード</v>
      </c>
      <c r="Z341" s="236" t="s">
        <v>304</v>
      </c>
    </row>
    <row r="342" spans="1:26" ht="11.4" x14ac:dyDescent="0.15">
      <c r="A342" s="175">
        <f t="shared" si="24"/>
        <v>340</v>
      </c>
      <c r="B342" s="176"/>
      <c r="C342" s="176"/>
      <c r="D342" s="176"/>
      <c r="E342" s="176"/>
      <c r="F342" s="186"/>
      <c r="G342" s="227" t="s">
        <v>118</v>
      </c>
      <c r="H342" s="177"/>
      <c r="I342" s="178"/>
      <c r="J342" s="178"/>
      <c r="K342" s="179"/>
      <c r="L342" s="177"/>
      <c r="M342" s="178"/>
      <c r="N342" s="178"/>
      <c r="O342" s="180"/>
      <c r="P342" s="180"/>
      <c r="Q342" s="180" t="s">
        <v>61</v>
      </c>
      <c r="R342" s="180"/>
      <c r="S342" s="179"/>
      <c r="T342" s="265">
        <v>45299</v>
      </c>
      <c r="U342" s="181">
        <v>45664</v>
      </c>
      <c r="V342" s="182"/>
      <c r="W342" s="183"/>
      <c r="X342" s="184"/>
      <c r="Y342" s="185" t="str">
        <f t="shared" si="23"/>
        <v>項目名:現外名称</v>
      </c>
      <c r="Z342" s="236" t="s">
        <v>305</v>
      </c>
    </row>
    <row r="343" spans="1:26" ht="11.4" x14ac:dyDescent="0.15">
      <c r="A343" s="175">
        <f t="shared" si="24"/>
        <v>341</v>
      </c>
      <c r="B343" s="176"/>
      <c r="C343" s="176"/>
      <c r="D343" s="176"/>
      <c r="E343" s="176"/>
      <c r="F343" s="186"/>
      <c r="G343" s="227" t="s">
        <v>118</v>
      </c>
      <c r="H343" s="177"/>
      <c r="I343" s="178"/>
      <c r="J343" s="178"/>
      <c r="K343" s="179"/>
      <c r="L343" s="177"/>
      <c r="M343" s="178"/>
      <c r="N343" s="178"/>
      <c r="O343" s="180"/>
      <c r="P343" s="180"/>
      <c r="Q343" s="180" t="s">
        <v>61</v>
      </c>
      <c r="R343" s="180"/>
      <c r="S343" s="179"/>
      <c r="T343" s="265">
        <v>45299</v>
      </c>
      <c r="U343" s="181">
        <v>45664</v>
      </c>
      <c r="V343" s="182"/>
      <c r="W343" s="183"/>
      <c r="X343" s="184"/>
      <c r="Y343" s="185" t="str">
        <f t="shared" si="23"/>
        <v>項目名:金額</v>
      </c>
      <c r="Z343" s="236" t="s">
        <v>306</v>
      </c>
    </row>
    <row r="344" spans="1:26" ht="11.4" x14ac:dyDescent="0.15">
      <c r="A344" s="175">
        <f t="shared" si="1"/>
        <v>342</v>
      </c>
      <c r="B344" s="176"/>
      <c r="C344" s="176"/>
      <c r="D344" s="176"/>
      <c r="E344" s="176"/>
      <c r="F344" s="186"/>
      <c r="G344" s="227" t="s">
        <v>136</v>
      </c>
      <c r="H344" s="177"/>
      <c r="I344" s="178"/>
      <c r="J344" s="178"/>
      <c r="K344" s="179"/>
      <c r="L344" s="177"/>
      <c r="M344" s="178"/>
      <c r="N344" s="178"/>
      <c r="O344" s="180"/>
      <c r="P344" s="180"/>
      <c r="Q344" s="180" t="s">
        <v>61</v>
      </c>
      <c r="R344" s="180"/>
      <c r="S344" s="179"/>
      <c r="T344" s="265">
        <v>45298</v>
      </c>
      <c r="U344" s="181">
        <v>45664</v>
      </c>
      <c r="V344" s="182"/>
      <c r="W344" s="183"/>
      <c r="X344" s="184"/>
      <c r="Y344" s="185" t="str">
        <f t="shared" si="23"/>
        <v>項目名:未使用項目や空白固定項目</v>
      </c>
      <c r="Z344" s="236" t="s">
        <v>137</v>
      </c>
    </row>
    <row r="345" spans="1:26" ht="11.4" x14ac:dyDescent="0.15">
      <c r="A345" s="175">
        <f t="shared" si="1"/>
        <v>343</v>
      </c>
      <c r="B345" s="176"/>
      <c r="C345" s="176"/>
      <c r="D345" s="176" t="s">
        <v>307</v>
      </c>
      <c r="E345" s="176" t="s">
        <v>308</v>
      </c>
      <c r="F345" s="186" t="s">
        <v>54</v>
      </c>
      <c r="G345" s="227" t="s">
        <v>309</v>
      </c>
      <c r="H345" s="177"/>
      <c r="I345" s="178"/>
      <c r="J345" s="178"/>
      <c r="K345" s="179"/>
      <c r="L345" s="177"/>
      <c r="M345" s="178"/>
      <c r="N345" s="178"/>
      <c r="O345" s="180"/>
      <c r="P345" s="180"/>
      <c r="Q345" s="180"/>
      <c r="R345" s="180"/>
      <c r="S345" s="179" t="s">
        <v>61</v>
      </c>
      <c r="T345" s="265">
        <v>45298</v>
      </c>
      <c r="U345" s="181">
        <v>45664</v>
      </c>
      <c r="V345" s="182"/>
      <c r="W345" s="183"/>
      <c r="X345" s="184"/>
      <c r="Y345" s="185" t="s">
        <v>310</v>
      </c>
    </row>
    <row r="346" spans="1:26" ht="11.4" x14ac:dyDescent="0.15">
      <c r="A346" s="175">
        <f t="shared" si="1"/>
        <v>344</v>
      </c>
      <c r="B346" s="176"/>
      <c r="C346" s="176"/>
      <c r="D346" s="176"/>
      <c r="E346" s="176"/>
      <c r="F346" s="186"/>
      <c r="G346" s="227" t="s">
        <v>311</v>
      </c>
      <c r="H346" s="177"/>
      <c r="I346" s="178"/>
      <c r="J346" s="178"/>
      <c r="K346" s="179"/>
      <c r="L346" s="177"/>
      <c r="M346" s="178"/>
      <c r="N346" s="178"/>
      <c r="O346" s="180"/>
      <c r="P346" s="180"/>
      <c r="Q346" s="180"/>
      <c r="R346" s="180"/>
      <c r="S346" s="179" t="s">
        <v>61</v>
      </c>
      <c r="T346" s="265">
        <v>45298</v>
      </c>
      <c r="U346" s="181">
        <v>45664</v>
      </c>
      <c r="V346" s="182"/>
      <c r="W346" s="183"/>
      <c r="X346" s="184"/>
      <c r="Y346" s="185" t="s">
        <v>312</v>
      </c>
    </row>
    <row r="347" spans="1:26" ht="11.4" x14ac:dyDescent="0.15">
      <c r="A347" s="175">
        <f t="shared" si="1"/>
        <v>345</v>
      </c>
      <c r="B347" s="176"/>
      <c r="C347" s="176"/>
      <c r="D347" s="176"/>
      <c r="E347" s="176"/>
      <c r="F347" s="186"/>
      <c r="G347" s="227" t="s">
        <v>311</v>
      </c>
      <c r="H347" s="177"/>
      <c r="I347" s="178"/>
      <c r="J347" s="178"/>
      <c r="K347" s="179"/>
      <c r="L347" s="177"/>
      <c r="M347" s="178"/>
      <c r="N347" s="178"/>
      <c r="O347" s="180"/>
      <c r="P347" s="180"/>
      <c r="Q347" s="180"/>
      <c r="R347" s="180"/>
      <c r="S347" s="179" t="s">
        <v>61</v>
      </c>
      <c r="T347" s="265">
        <v>45298</v>
      </c>
      <c r="U347" s="181">
        <v>45664</v>
      </c>
      <c r="V347" s="182"/>
      <c r="W347" s="183"/>
      <c r="X347" s="184"/>
      <c r="Y347" s="185" t="s">
        <v>313</v>
      </c>
    </row>
    <row r="348" spans="1:26" ht="11.4" x14ac:dyDescent="0.15">
      <c r="A348" s="175">
        <f t="shared" si="1"/>
        <v>346</v>
      </c>
      <c r="B348" s="176"/>
      <c r="C348" s="176"/>
      <c r="D348" s="176"/>
      <c r="E348" s="176"/>
      <c r="F348" s="186"/>
      <c r="G348" s="227" t="s">
        <v>311</v>
      </c>
      <c r="H348" s="177"/>
      <c r="I348" s="178"/>
      <c r="J348" s="178"/>
      <c r="K348" s="179"/>
      <c r="L348" s="177"/>
      <c r="M348" s="178"/>
      <c r="N348" s="178"/>
      <c r="O348" s="180"/>
      <c r="P348" s="180"/>
      <c r="Q348" s="180"/>
      <c r="R348" s="180"/>
      <c r="S348" s="179" t="s">
        <v>61</v>
      </c>
      <c r="T348" s="265">
        <v>45298</v>
      </c>
      <c r="U348" s="181">
        <v>45664</v>
      </c>
      <c r="V348" s="182"/>
      <c r="W348" s="183"/>
      <c r="X348" s="184"/>
      <c r="Y348" s="185" t="s">
        <v>314</v>
      </c>
    </row>
    <row r="349" spans="1:26" ht="11.4" x14ac:dyDescent="0.15">
      <c r="A349" s="175">
        <f t="shared" si="1"/>
        <v>347</v>
      </c>
      <c r="B349" s="176"/>
      <c r="C349" s="176"/>
      <c r="D349" s="176"/>
      <c r="E349" s="176"/>
      <c r="F349" s="186"/>
      <c r="G349" s="227" t="s">
        <v>311</v>
      </c>
      <c r="H349" s="177"/>
      <c r="I349" s="178"/>
      <c r="J349" s="178"/>
      <c r="K349" s="179"/>
      <c r="L349" s="177"/>
      <c r="M349" s="178"/>
      <c r="N349" s="178"/>
      <c r="O349" s="180"/>
      <c r="P349" s="180"/>
      <c r="Q349" s="180"/>
      <c r="R349" s="180"/>
      <c r="S349" s="179" t="s">
        <v>61</v>
      </c>
      <c r="T349" s="265">
        <v>45298</v>
      </c>
      <c r="U349" s="181">
        <v>45664</v>
      </c>
      <c r="V349" s="182"/>
      <c r="W349" s="183"/>
      <c r="X349" s="184"/>
      <c r="Y349" s="185" t="s">
        <v>315</v>
      </c>
    </row>
    <row r="350" spans="1:26" ht="11.4" x14ac:dyDescent="0.15">
      <c r="A350" s="175">
        <f t="shared" si="1"/>
        <v>348</v>
      </c>
      <c r="B350" s="176"/>
      <c r="C350" s="176"/>
      <c r="D350" s="176"/>
      <c r="E350" s="176"/>
      <c r="F350" s="186"/>
      <c r="G350" s="227" t="s">
        <v>311</v>
      </c>
      <c r="H350" s="177"/>
      <c r="I350" s="178"/>
      <c r="J350" s="178"/>
      <c r="K350" s="179"/>
      <c r="L350" s="177"/>
      <c r="M350" s="178"/>
      <c r="N350" s="178"/>
      <c r="O350" s="180"/>
      <c r="P350" s="180"/>
      <c r="Q350" s="180"/>
      <c r="R350" s="180"/>
      <c r="S350" s="179" t="s">
        <v>61</v>
      </c>
      <c r="T350" s="265">
        <v>45298</v>
      </c>
      <c r="U350" s="181">
        <v>45664</v>
      </c>
      <c r="V350" s="182"/>
      <c r="W350" s="183"/>
      <c r="X350" s="184"/>
      <c r="Y350" s="185" t="s">
        <v>316</v>
      </c>
    </row>
    <row r="351" spans="1:26" ht="11.4" x14ac:dyDescent="0.15">
      <c r="A351" s="175">
        <f t="shared" si="1"/>
        <v>349</v>
      </c>
      <c r="B351" s="176"/>
      <c r="C351" s="176"/>
      <c r="D351" s="176"/>
      <c r="E351" s="176"/>
      <c r="F351" s="186"/>
      <c r="G351" s="227" t="s">
        <v>311</v>
      </c>
      <c r="H351" s="177"/>
      <c r="I351" s="178"/>
      <c r="J351" s="178"/>
      <c r="K351" s="179"/>
      <c r="L351" s="177"/>
      <c r="M351" s="178"/>
      <c r="N351" s="178"/>
      <c r="O351" s="180"/>
      <c r="P351" s="180"/>
      <c r="Q351" s="180"/>
      <c r="R351" s="180"/>
      <c r="S351" s="179" t="s">
        <v>61</v>
      </c>
      <c r="T351" s="265">
        <v>45299</v>
      </c>
      <c r="U351" s="181">
        <v>45664</v>
      </c>
      <c r="V351" s="182"/>
      <c r="W351" s="183"/>
      <c r="X351" s="184"/>
      <c r="Y351" s="185" t="s">
        <v>317</v>
      </c>
    </row>
    <row r="352" spans="1:26" ht="11.4" x14ac:dyDescent="0.15">
      <c r="A352" s="175">
        <f t="shared" si="1"/>
        <v>350</v>
      </c>
      <c r="B352" s="176"/>
      <c r="C352" s="176"/>
      <c r="D352" s="176"/>
      <c r="E352" s="176"/>
      <c r="F352" s="186"/>
      <c r="G352" s="227" t="s">
        <v>311</v>
      </c>
      <c r="H352" s="177"/>
      <c r="I352" s="178"/>
      <c r="J352" s="178"/>
      <c r="K352" s="179"/>
      <c r="L352" s="177"/>
      <c r="M352" s="178"/>
      <c r="N352" s="178"/>
      <c r="O352" s="180"/>
      <c r="P352" s="180"/>
      <c r="Q352" s="180"/>
      <c r="R352" s="180"/>
      <c r="S352" s="179" t="s">
        <v>61</v>
      </c>
      <c r="T352" s="265">
        <v>45299</v>
      </c>
      <c r="U352" s="181">
        <v>45664</v>
      </c>
      <c r="V352" s="182"/>
      <c r="W352" s="183"/>
      <c r="X352" s="184"/>
      <c r="Y352" s="185" t="s">
        <v>318</v>
      </c>
    </row>
    <row r="353" spans="1:25" ht="11.4" x14ac:dyDescent="0.15">
      <c r="A353" s="175">
        <f t="shared" si="1"/>
        <v>351</v>
      </c>
      <c r="B353" s="176"/>
      <c r="C353" s="176"/>
      <c r="D353" s="176"/>
      <c r="E353" s="176"/>
      <c r="F353" s="186"/>
      <c r="G353" s="227" t="s">
        <v>311</v>
      </c>
      <c r="H353" s="177"/>
      <c r="I353" s="178"/>
      <c r="J353" s="178"/>
      <c r="K353" s="179"/>
      <c r="L353" s="177"/>
      <c r="M353" s="178"/>
      <c r="N353" s="178"/>
      <c r="O353" s="180"/>
      <c r="P353" s="180"/>
      <c r="Q353" s="180"/>
      <c r="R353" s="180"/>
      <c r="S353" s="179" t="s">
        <v>61</v>
      </c>
      <c r="T353" s="265">
        <v>45299</v>
      </c>
      <c r="U353" s="181">
        <v>45664</v>
      </c>
      <c r="V353" s="182"/>
      <c r="W353" s="183"/>
      <c r="X353" s="184"/>
      <c r="Y353" s="185" t="s">
        <v>319</v>
      </c>
    </row>
    <row r="354" spans="1:25" ht="11.4" x14ac:dyDescent="0.15">
      <c r="A354" s="175">
        <f t="shared" si="1"/>
        <v>352</v>
      </c>
      <c r="B354" s="176"/>
      <c r="C354" s="176"/>
      <c r="D354" s="176"/>
      <c r="E354" s="176"/>
      <c r="F354" s="186"/>
      <c r="G354" s="227" t="s">
        <v>311</v>
      </c>
      <c r="H354" s="177"/>
      <c r="I354" s="178"/>
      <c r="J354" s="178"/>
      <c r="K354" s="179"/>
      <c r="L354" s="177"/>
      <c r="M354" s="178"/>
      <c r="N354" s="178"/>
      <c r="O354" s="180"/>
      <c r="P354" s="180"/>
      <c r="Q354" s="180"/>
      <c r="R354" s="180"/>
      <c r="S354" s="179" t="s">
        <v>61</v>
      </c>
      <c r="T354" s="265">
        <v>45299</v>
      </c>
      <c r="U354" s="181">
        <v>45664</v>
      </c>
      <c r="V354" s="182"/>
      <c r="W354" s="183"/>
      <c r="X354" s="184"/>
      <c r="Y354" s="185" t="s">
        <v>320</v>
      </c>
    </row>
    <row r="355" spans="1:25" ht="11.4" x14ac:dyDescent="0.15">
      <c r="A355" s="175">
        <f t="shared" si="1"/>
        <v>353</v>
      </c>
      <c r="B355" s="176"/>
      <c r="C355" s="176"/>
      <c r="D355" s="176"/>
      <c r="E355" s="176"/>
      <c r="F355" s="186"/>
      <c r="G355" s="227" t="s">
        <v>311</v>
      </c>
      <c r="H355" s="177"/>
      <c r="I355" s="178"/>
      <c r="J355" s="178"/>
      <c r="K355" s="179"/>
      <c r="L355" s="177"/>
      <c r="M355" s="178"/>
      <c r="N355" s="178"/>
      <c r="O355" s="180"/>
      <c r="P355" s="180"/>
      <c r="Q355" s="180"/>
      <c r="R355" s="180"/>
      <c r="S355" s="179" t="s">
        <v>61</v>
      </c>
      <c r="T355" s="265">
        <v>45299</v>
      </c>
      <c r="U355" s="181">
        <v>45664</v>
      </c>
      <c r="V355" s="182"/>
      <c r="W355" s="183"/>
      <c r="X355" s="184"/>
      <c r="Y355" s="185" t="s">
        <v>321</v>
      </c>
    </row>
    <row r="356" spans="1:25" ht="11.4" x14ac:dyDescent="0.15">
      <c r="A356" s="175">
        <f t="shared" si="1"/>
        <v>354</v>
      </c>
      <c r="B356" s="176"/>
      <c r="C356" s="176"/>
      <c r="D356" s="176"/>
      <c r="E356" s="176"/>
      <c r="F356" s="186"/>
      <c r="G356" s="227" t="s">
        <v>311</v>
      </c>
      <c r="H356" s="177"/>
      <c r="I356" s="178"/>
      <c r="J356" s="178"/>
      <c r="K356" s="179"/>
      <c r="L356" s="177"/>
      <c r="M356" s="178"/>
      <c r="N356" s="178"/>
      <c r="O356" s="180"/>
      <c r="P356" s="180"/>
      <c r="Q356" s="180"/>
      <c r="R356" s="180"/>
      <c r="S356" s="179" t="s">
        <v>61</v>
      </c>
      <c r="T356" s="265">
        <v>45299</v>
      </c>
      <c r="U356" s="181">
        <v>45664</v>
      </c>
      <c r="V356" s="182"/>
      <c r="W356" s="183"/>
      <c r="X356" s="184"/>
      <c r="Y356" s="185" t="s">
        <v>322</v>
      </c>
    </row>
    <row r="357" spans="1:25" ht="11.4" x14ac:dyDescent="0.15">
      <c r="A357" s="175">
        <f t="shared" si="1"/>
        <v>355</v>
      </c>
      <c r="B357" s="176"/>
      <c r="C357" s="176"/>
      <c r="D357" s="176"/>
      <c r="E357" s="176"/>
      <c r="F357" s="186"/>
      <c r="G357" s="227" t="s">
        <v>311</v>
      </c>
      <c r="H357" s="177"/>
      <c r="I357" s="178"/>
      <c r="J357" s="178"/>
      <c r="K357" s="179"/>
      <c r="L357" s="177"/>
      <c r="M357" s="178"/>
      <c r="N357" s="178"/>
      <c r="O357" s="180"/>
      <c r="P357" s="180"/>
      <c r="Q357" s="180"/>
      <c r="R357" s="180"/>
      <c r="S357" s="179" t="s">
        <v>61</v>
      </c>
      <c r="T357" s="265">
        <v>45299</v>
      </c>
      <c r="U357" s="181">
        <v>45665</v>
      </c>
      <c r="V357" s="182"/>
      <c r="W357" s="183"/>
      <c r="X357" s="184"/>
      <c r="Y357" s="185" t="s">
        <v>323</v>
      </c>
    </row>
    <row r="358" spans="1:25" ht="11.4" x14ac:dyDescent="0.15">
      <c r="A358" s="175">
        <f t="shared" si="1"/>
        <v>356</v>
      </c>
      <c r="B358" s="176"/>
      <c r="C358" s="176"/>
      <c r="D358" s="176"/>
      <c r="E358" s="176"/>
      <c r="F358" s="186"/>
      <c r="G358" s="227" t="s">
        <v>311</v>
      </c>
      <c r="H358" s="177"/>
      <c r="I358" s="178"/>
      <c r="J358" s="178"/>
      <c r="K358" s="179"/>
      <c r="L358" s="177"/>
      <c r="M358" s="178"/>
      <c r="N358" s="178"/>
      <c r="O358" s="180"/>
      <c r="P358" s="180"/>
      <c r="Q358" s="180"/>
      <c r="R358" s="180"/>
      <c r="S358" s="179" t="s">
        <v>61</v>
      </c>
      <c r="T358" s="265">
        <v>45299</v>
      </c>
      <c r="U358" s="181">
        <v>45664</v>
      </c>
      <c r="V358" s="182"/>
      <c r="W358" s="183"/>
      <c r="X358" s="184"/>
      <c r="Y358" s="185" t="s">
        <v>324</v>
      </c>
    </row>
    <row r="359" spans="1:25" ht="11.4" x14ac:dyDescent="0.15">
      <c r="A359" s="175">
        <f t="shared" si="16"/>
        <v>357</v>
      </c>
      <c r="B359" s="176" t="s">
        <v>50</v>
      </c>
      <c r="C359" s="176" t="s">
        <v>325</v>
      </c>
      <c r="D359" s="176" t="s">
        <v>325</v>
      </c>
      <c r="E359" s="176" t="s">
        <v>326</v>
      </c>
      <c r="F359" s="186" t="s">
        <v>54</v>
      </c>
      <c r="G359" s="227" t="s">
        <v>327</v>
      </c>
      <c r="H359" s="177"/>
      <c r="I359" s="178"/>
      <c r="J359" s="178"/>
      <c r="K359" s="179"/>
      <c r="L359" s="177"/>
      <c r="M359" s="178"/>
      <c r="N359" s="178"/>
      <c r="O359" s="180"/>
      <c r="P359" s="180"/>
      <c r="Q359" s="180"/>
      <c r="R359" s="180" t="s">
        <v>61</v>
      </c>
      <c r="S359" s="179"/>
      <c r="T359" s="265">
        <v>45328</v>
      </c>
      <c r="U359" s="268"/>
      <c r="V359" s="182"/>
      <c r="W359" s="183"/>
      <c r="X359" s="184"/>
      <c r="Y359" s="185" t="s">
        <v>62</v>
      </c>
    </row>
    <row r="360" spans="1:25" ht="11.4" x14ac:dyDescent="0.15">
      <c r="A360" s="175">
        <f t="shared" si="16"/>
        <v>358</v>
      </c>
      <c r="B360" s="176" t="s">
        <v>328</v>
      </c>
      <c r="C360" s="176"/>
      <c r="D360" s="176"/>
      <c r="E360" s="176" t="s">
        <v>72</v>
      </c>
      <c r="F360" s="186"/>
      <c r="G360" s="227" t="s">
        <v>329</v>
      </c>
      <c r="H360" s="177"/>
      <c r="I360" s="178"/>
      <c r="J360" s="178"/>
      <c r="K360" s="179"/>
      <c r="L360" s="177"/>
      <c r="M360" s="178"/>
      <c r="N360" s="178"/>
      <c r="O360" s="180" t="s">
        <v>56</v>
      </c>
      <c r="P360" s="180"/>
      <c r="Q360" s="180"/>
      <c r="R360" s="180"/>
      <c r="S360" s="179"/>
      <c r="T360" s="265">
        <v>45328</v>
      </c>
      <c r="U360" s="268"/>
      <c r="V360" s="182"/>
      <c r="W360" s="183"/>
      <c r="X360" s="184"/>
      <c r="Y360" s="185" t="s">
        <v>75</v>
      </c>
    </row>
    <row r="361" spans="1:25" ht="11.4" x14ac:dyDescent="0.15">
      <c r="A361" s="175">
        <f t="shared" si="16"/>
        <v>359</v>
      </c>
      <c r="B361" s="176" t="s">
        <v>330</v>
      </c>
      <c r="C361" s="176" t="s">
        <v>331</v>
      </c>
      <c r="D361" s="176" t="s">
        <v>51</v>
      </c>
      <c r="E361" s="186" t="s">
        <v>332</v>
      </c>
      <c r="F361" s="233" t="s">
        <v>1085</v>
      </c>
      <c r="G361" s="228" t="s">
        <v>333</v>
      </c>
      <c r="H361" s="177"/>
      <c r="I361" s="178"/>
      <c r="J361" s="178"/>
      <c r="K361" s="179"/>
      <c r="L361" s="177"/>
      <c r="M361" s="180" t="s">
        <v>56</v>
      </c>
      <c r="N361" s="178"/>
      <c r="O361" s="180"/>
      <c r="P361" s="180"/>
      <c r="Q361" s="180"/>
      <c r="R361" s="180"/>
      <c r="S361" s="179"/>
      <c r="T361" s="265">
        <v>45305</v>
      </c>
      <c r="U361" s="181">
        <v>45671</v>
      </c>
      <c r="V361" s="182"/>
      <c r="W361" s="183"/>
      <c r="X361" s="184"/>
      <c r="Y361" s="185" t="s">
        <v>334</v>
      </c>
    </row>
    <row r="362" spans="1:25" ht="11.4" x14ac:dyDescent="0.15">
      <c r="A362" s="175">
        <f t="shared" si="16"/>
        <v>360</v>
      </c>
      <c r="B362" s="176"/>
      <c r="C362" s="176"/>
      <c r="D362" s="176"/>
      <c r="E362" s="176" t="s">
        <v>335</v>
      </c>
      <c r="F362" s="233"/>
      <c r="G362" s="228" t="s">
        <v>336</v>
      </c>
      <c r="H362" s="177"/>
      <c r="I362" s="178"/>
      <c r="J362" s="178"/>
      <c r="K362" s="179"/>
      <c r="L362" s="177"/>
      <c r="M362" s="178"/>
      <c r="N362" s="178"/>
      <c r="O362" s="180"/>
      <c r="P362" s="180"/>
      <c r="Q362" s="180"/>
      <c r="R362" s="180" t="s">
        <v>56</v>
      </c>
      <c r="S362" s="179"/>
      <c r="T362" s="265">
        <v>45305</v>
      </c>
      <c r="U362" s="181">
        <v>45671</v>
      </c>
      <c r="V362" s="182"/>
      <c r="W362" s="183"/>
      <c r="X362" s="184"/>
      <c r="Y362" s="185" t="s">
        <v>337</v>
      </c>
    </row>
    <row r="363" spans="1:25" ht="11.4" x14ac:dyDescent="0.15">
      <c r="A363" s="175">
        <f t="shared" si="16"/>
        <v>361</v>
      </c>
      <c r="B363" s="176"/>
      <c r="C363" s="176"/>
      <c r="D363" s="176" t="s">
        <v>338</v>
      </c>
      <c r="E363" s="186" t="s">
        <v>332</v>
      </c>
      <c r="F363" s="233" t="s">
        <v>1085</v>
      </c>
      <c r="G363" s="228" t="s">
        <v>333</v>
      </c>
      <c r="H363" s="177"/>
      <c r="I363" s="178"/>
      <c r="J363" s="178"/>
      <c r="K363" s="179"/>
      <c r="L363" s="177"/>
      <c r="M363" s="180" t="s">
        <v>56</v>
      </c>
      <c r="N363" s="178"/>
      <c r="O363" s="180"/>
      <c r="P363" s="180"/>
      <c r="Q363" s="180"/>
      <c r="R363" s="180"/>
      <c r="S363" s="179"/>
      <c r="T363" s="265">
        <v>45305</v>
      </c>
      <c r="U363" s="181"/>
      <c r="V363" s="182">
        <v>45672</v>
      </c>
      <c r="W363" s="183"/>
      <c r="X363" s="184"/>
      <c r="Y363" s="185" t="s">
        <v>334</v>
      </c>
    </row>
    <row r="364" spans="1:25" ht="11.4" x14ac:dyDescent="0.15">
      <c r="A364" s="175">
        <f t="shared" si="16"/>
        <v>362</v>
      </c>
      <c r="B364" s="176"/>
      <c r="C364" s="176"/>
      <c r="D364" s="176"/>
      <c r="E364" s="186" t="s">
        <v>339</v>
      </c>
      <c r="F364" s="233"/>
      <c r="G364" s="228" t="s">
        <v>336</v>
      </c>
      <c r="H364" s="177"/>
      <c r="I364" s="178"/>
      <c r="J364" s="178"/>
      <c r="K364" s="179"/>
      <c r="L364" s="177"/>
      <c r="M364" s="178"/>
      <c r="N364" s="178"/>
      <c r="O364" s="180"/>
      <c r="P364" s="180"/>
      <c r="Q364" s="180"/>
      <c r="R364" s="180" t="s">
        <v>56</v>
      </c>
      <c r="S364" s="179"/>
      <c r="T364" s="265">
        <v>45305</v>
      </c>
      <c r="U364" s="181"/>
      <c r="V364" s="182">
        <v>45672</v>
      </c>
      <c r="W364" s="183"/>
      <c r="X364" s="184"/>
      <c r="Y364" s="185" t="s">
        <v>62</v>
      </c>
    </row>
    <row r="365" spans="1:25" ht="11.4" x14ac:dyDescent="0.15">
      <c r="A365" s="175">
        <f t="shared" si="16"/>
        <v>363</v>
      </c>
      <c r="B365" s="176"/>
      <c r="C365" s="176"/>
      <c r="D365" s="176" t="s">
        <v>340</v>
      </c>
      <c r="E365" s="186" t="s">
        <v>332</v>
      </c>
      <c r="F365" s="186" t="s">
        <v>341</v>
      </c>
      <c r="G365" s="228" t="s">
        <v>342</v>
      </c>
      <c r="H365" s="177"/>
      <c r="I365" s="178"/>
      <c r="J365" s="178"/>
      <c r="K365" s="179"/>
      <c r="L365" s="177"/>
      <c r="M365" s="180" t="s">
        <v>56</v>
      </c>
      <c r="N365" s="178"/>
      <c r="O365" s="180"/>
      <c r="P365" s="180"/>
      <c r="Q365" s="180"/>
      <c r="R365" s="180"/>
      <c r="S365" s="179"/>
      <c r="T365" s="265">
        <v>45305</v>
      </c>
      <c r="U365" s="181">
        <v>45672</v>
      </c>
      <c r="V365" s="182"/>
      <c r="W365" s="183"/>
      <c r="X365" s="184"/>
      <c r="Y365" s="185" t="s">
        <v>334</v>
      </c>
    </row>
    <row r="366" spans="1:25" ht="11.4" x14ac:dyDescent="0.15">
      <c r="A366" s="175">
        <f t="shared" si="16"/>
        <v>364</v>
      </c>
      <c r="B366" s="176"/>
      <c r="C366" s="176"/>
      <c r="D366" s="176"/>
      <c r="E366" s="186" t="s">
        <v>88</v>
      </c>
      <c r="F366" s="233"/>
      <c r="G366" s="228" t="s">
        <v>336</v>
      </c>
      <c r="H366" s="177"/>
      <c r="I366" s="178"/>
      <c r="J366" s="178"/>
      <c r="K366" s="179"/>
      <c r="L366" s="177"/>
      <c r="M366" s="180"/>
      <c r="N366" s="178"/>
      <c r="O366" s="180"/>
      <c r="P366" s="180"/>
      <c r="Q366" s="180"/>
      <c r="R366" s="180" t="s">
        <v>56</v>
      </c>
      <c r="S366" s="179"/>
      <c r="T366" s="265">
        <v>45305</v>
      </c>
      <c r="U366" s="181">
        <v>45672</v>
      </c>
      <c r="V366" s="182"/>
      <c r="W366" s="183"/>
      <c r="X366" s="184"/>
      <c r="Y366" s="185" t="s">
        <v>62</v>
      </c>
    </row>
    <row r="367" spans="1:25" ht="11.4" x14ac:dyDescent="0.15">
      <c r="A367" s="175">
        <f t="shared" si="16"/>
        <v>365</v>
      </c>
      <c r="B367" s="176"/>
      <c r="C367" s="176"/>
      <c r="D367" s="176"/>
      <c r="E367" s="186" t="s">
        <v>343</v>
      </c>
      <c r="F367" s="233"/>
      <c r="G367" s="228" t="s">
        <v>344</v>
      </c>
      <c r="H367" s="177"/>
      <c r="I367" s="178"/>
      <c r="J367" s="178"/>
      <c r="K367" s="179"/>
      <c r="L367" s="177"/>
      <c r="M367" s="180"/>
      <c r="N367" s="178"/>
      <c r="O367" s="180"/>
      <c r="P367" s="180"/>
      <c r="Q367" s="180"/>
      <c r="R367" s="180" t="s">
        <v>56</v>
      </c>
      <c r="S367" s="179"/>
      <c r="T367" s="265">
        <v>45305</v>
      </c>
      <c r="U367" s="181">
        <v>45672</v>
      </c>
      <c r="V367" s="182"/>
      <c r="W367" s="183"/>
      <c r="X367" s="184"/>
      <c r="Y367" s="185" t="s">
        <v>62</v>
      </c>
    </row>
    <row r="368" spans="1:25" ht="11.4" x14ac:dyDescent="0.15">
      <c r="A368" s="175">
        <f t="shared" si="16"/>
        <v>366</v>
      </c>
      <c r="B368" s="176"/>
      <c r="C368" s="176"/>
      <c r="D368" s="176" t="s">
        <v>345</v>
      </c>
      <c r="E368" s="186" t="s">
        <v>332</v>
      </c>
      <c r="F368" s="233" t="s">
        <v>1085</v>
      </c>
      <c r="G368" s="228" t="s">
        <v>342</v>
      </c>
      <c r="H368" s="177"/>
      <c r="I368" s="178"/>
      <c r="J368" s="178"/>
      <c r="K368" s="179"/>
      <c r="L368" s="177"/>
      <c r="M368" s="180" t="s">
        <v>56</v>
      </c>
      <c r="N368" s="178"/>
      <c r="O368" s="180"/>
      <c r="P368" s="180"/>
      <c r="Q368" s="180"/>
      <c r="R368" s="180"/>
      <c r="S368" s="179"/>
      <c r="T368" s="265">
        <v>45305</v>
      </c>
      <c r="U368" s="268"/>
      <c r="V368" s="182"/>
      <c r="W368" s="183"/>
      <c r="X368" s="184"/>
      <c r="Y368" s="185" t="s">
        <v>334</v>
      </c>
    </row>
    <row r="369" spans="1:25" ht="11.4" x14ac:dyDescent="0.15">
      <c r="A369" s="175">
        <f t="shared" si="16"/>
        <v>367</v>
      </c>
      <c r="B369" s="176"/>
      <c r="C369" s="176"/>
      <c r="D369" s="176"/>
      <c r="E369" s="186" t="s">
        <v>346</v>
      </c>
      <c r="F369" s="233"/>
      <c r="G369" s="228" t="s">
        <v>336</v>
      </c>
      <c r="H369" s="177"/>
      <c r="I369" s="178"/>
      <c r="J369" s="178"/>
      <c r="K369" s="179"/>
      <c r="L369" s="177"/>
      <c r="M369" s="178"/>
      <c r="N369" s="178"/>
      <c r="O369" s="180"/>
      <c r="P369" s="180"/>
      <c r="Q369" s="180"/>
      <c r="R369" s="180" t="s">
        <v>56</v>
      </c>
      <c r="S369" s="179"/>
      <c r="T369" s="265">
        <v>45305</v>
      </c>
      <c r="U369" s="268"/>
      <c r="V369" s="182"/>
      <c r="W369" s="183"/>
      <c r="X369" s="184"/>
      <c r="Y369" s="185" t="s">
        <v>62</v>
      </c>
    </row>
    <row r="370" spans="1:25" ht="11.4" x14ac:dyDescent="0.15">
      <c r="A370" s="175">
        <f t="shared" si="16"/>
        <v>368</v>
      </c>
      <c r="B370" s="176"/>
      <c r="C370" s="176"/>
      <c r="D370" s="176" t="s">
        <v>83</v>
      </c>
      <c r="E370" s="186" t="s">
        <v>332</v>
      </c>
      <c r="F370" s="233" t="s">
        <v>1085</v>
      </c>
      <c r="G370" s="228" t="s">
        <v>333</v>
      </c>
      <c r="H370" s="177"/>
      <c r="I370" s="178"/>
      <c r="J370" s="178"/>
      <c r="K370" s="179"/>
      <c r="L370" s="177"/>
      <c r="M370" s="180" t="s">
        <v>56</v>
      </c>
      <c r="N370" s="178"/>
      <c r="O370" s="180"/>
      <c r="P370" s="180"/>
      <c r="Q370" s="180"/>
      <c r="R370" s="180"/>
      <c r="S370" s="179"/>
      <c r="T370" s="265">
        <v>45305</v>
      </c>
      <c r="U370" s="268"/>
      <c r="V370" s="182"/>
      <c r="W370" s="183"/>
      <c r="X370" s="184"/>
      <c r="Y370" s="185" t="s">
        <v>334</v>
      </c>
    </row>
    <row r="371" spans="1:25" ht="11.4" x14ac:dyDescent="0.15">
      <c r="A371" s="175">
        <f t="shared" si="16"/>
        <v>369</v>
      </c>
      <c r="B371" s="176"/>
      <c r="C371" s="176"/>
      <c r="D371" s="176"/>
      <c r="E371" s="176" t="s">
        <v>347</v>
      </c>
      <c r="F371" s="233"/>
      <c r="G371" s="228" t="s">
        <v>336</v>
      </c>
      <c r="H371" s="177"/>
      <c r="I371" s="178"/>
      <c r="J371" s="178"/>
      <c r="K371" s="179"/>
      <c r="L371" s="177"/>
      <c r="M371" s="178"/>
      <c r="N371" s="178"/>
      <c r="O371" s="180"/>
      <c r="P371" s="180"/>
      <c r="Q371" s="180"/>
      <c r="R371" s="180" t="s">
        <v>56</v>
      </c>
      <c r="S371" s="179"/>
      <c r="T371" s="265">
        <v>45305</v>
      </c>
      <c r="U371" s="268"/>
      <c r="V371" s="182"/>
      <c r="W371" s="183"/>
      <c r="X371" s="184"/>
      <c r="Y371" s="185" t="s">
        <v>348</v>
      </c>
    </row>
    <row r="372" spans="1:25" ht="11.4" x14ac:dyDescent="0.15">
      <c r="A372" s="175">
        <f t="shared" si="16"/>
        <v>370</v>
      </c>
      <c r="B372" s="176"/>
      <c r="C372" s="176"/>
      <c r="D372" s="176" t="s">
        <v>349</v>
      </c>
      <c r="E372" s="186" t="s">
        <v>332</v>
      </c>
      <c r="F372" s="186" t="s">
        <v>1086</v>
      </c>
      <c r="G372" s="228" t="s">
        <v>342</v>
      </c>
      <c r="H372" s="177"/>
      <c r="I372" s="178"/>
      <c r="J372" s="178"/>
      <c r="K372" s="179"/>
      <c r="L372" s="177"/>
      <c r="M372" s="180" t="s">
        <v>56</v>
      </c>
      <c r="N372" s="178"/>
      <c r="O372" s="180"/>
      <c r="P372" s="180"/>
      <c r="Q372" s="180"/>
      <c r="R372" s="180"/>
      <c r="S372" s="179"/>
      <c r="T372" s="265">
        <v>45305</v>
      </c>
      <c r="U372" s="268"/>
      <c r="V372" s="182"/>
      <c r="W372" s="183"/>
      <c r="X372" s="184"/>
      <c r="Y372" s="185" t="s">
        <v>334</v>
      </c>
    </row>
    <row r="373" spans="1:25" ht="11.4" x14ac:dyDescent="0.15">
      <c r="A373" s="175">
        <f t="shared" si="16"/>
        <v>371</v>
      </c>
      <c r="B373" s="176"/>
      <c r="C373" s="176"/>
      <c r="D373" s="176"/>
      <c r="E373" s="186" t="s">
        <v>88</v>
      </c>
      <c r="F373" s="233"/>
      <c r="G373" s="228" t="s">
        <v>336</v>
      </c>
      <c r="H373" s="177"/>
      <c r="I373" s="178"/>
      <c r="J373" s="178"/>
      <c r="K373" s="179"/>
      <c r="L373" s="177"/>
      <c r="M373" s="180"/>
      <c r="N373" s="178"/>
      <c r="O373" s="180"/>
      <c r="P373" s="180"/>
      <c r="Q373" s="180"/>
      <c r="R373" s="180" t="s">
        <v>56</v>
      </c>
      <c r="S373" s="179"/>
      <c r="T373" s="265">
        <v>45305</v>
      </c>
      <c r="U373" s="268"/>
      <c r="V373" s="182"/>
      <c r="W373" s="183"/>
      <c r="X373" s="184"/>
      <c r="Y373" s="185" t="s">
        <v>348</v>
      </c>
    </row>
    <row r="374" spans="1:25" ht="11.4" x14ac:dyDescent="0.15">
      <c r="A374" s="175">
        <f t="shared" si="16"/>
        <v>372</v>
      </c>
      <c r="B374" s="176"/>
      <c r="C374" s="176"/>
      <c r="D374" s="176"/>
      <c r="E374" s="186" t="s">
        <v>343</v>
      </c>
      <c r="F374" s="233"/>
      <c r="G374" s="228" t="s">
        <v>344</v>
      </c>
      <c r="H374" s="177"/>
      <c r="I374" s="178"/>
      <c r="J374" s="178"/>
      <c r="K374" s="179"/>
      <c r="L374" s="177"/>
      <c r="M374" s="180"/>
      <c r="N374" s="178"/>
      <c r="O374" s="180"/>
      <c r="P374" s="180"/>
      <c r="Q374" s="180"/>
      <c r="R374" s="180" t="s">
        <v>56</v>
      </c>
      <c r="S374" s="179"/>
      <c r="T374" s="265">
        <v>45305</v>
      </c>
      <c r="U374" s="268"/>
      <c r="V374" s="182"/>
      <c r="W374" s="183"/>
      <c r="X374" s="184"/>
      <c r="Y374" s="185" t="s">
        <v>348</v>
      </c>
    </row>
    <row r="375" spans="1:25" ht="11.4" x14ac:dyDescent="0.15">
      <c r="A375" s="175">
        <f t="shared" si="16"/>
        <v>373</v>
      </c>
      <c r="B375" s="176"/>
      <c r="C375" s="176"/>
      <c r="D375" s="176" t="s">
        <v>350</v>
      </c>
      <c r="E375" s="186" t="s">
        <v>332</v>
      </c>
      <c r="F375" s="233" t="s">
        <v>1085</v>
      </c>
      <c r="G375" s="228" t="s">
        <v>342</v>
      </c>
      <c r="H375" s="177"/>
      <c r="I375" s="178"/>
      <c r="J375" s="178"/>
      <c r="K375" s="179"/>
      <c r="L375" s="177"/>
      <c r="M375" s="180" t="s">
        <v>56</v>
      </c>
      <c r="N375" s="178"/>
      <c r="O375" s="180"/>
      <c r="P375" s="180"/>
      <c r="Q375" s="180"/>
      <c r="R375" s="180"/>
      <c r="S375" s="179"/>
      <c r="T375" s="265">
        <v>45305</v>
      </c>
      <c r="U375" s="268"/>
      <c r="V375" s="182"/>
      <c r="W375" s="183"/>
      <c r="X375" s="184"/>
      <c r="Y375" s="185" t="s">
        <v>334</v>
      </c>
    </row>
    <row r="376" spans="1:25" ht="11.4" x14ac:dyDescent="0.15">
      <c r="A376" s="175">
        <f t="shared" si="16"/>
        <v>374</v>
      </c>
      <c r="B376" s="176"/>
      <c r="C376" s="176"/>
      <c r="D376" s="186"/>
      <c r="E376" s="186" t="s">
        <v>346</v>
      </c>
      <c r="F376" s="233"/>
      <c r="G376" s="228" t="s">
        <v>336</v>
      </c>
      <c r="H376" s="177"/>
      <c r="I376" s="178"/>
      <c r="J376" s="178"/>
      <c r="K376" s="179"/>
      <c r="L376" s="177"/>
      <c r="M376" s="178"/>
      <c r="N376" s="178"/>
      <c r="O376" s="180"/>
      <c r="P376" s="180"/>
      <c r="Q376" s="180"/>
      <c r="R376" s="180" t="s">
        <v>56</v>
      </c>
      <c r="S376" s="179"/>
      <c r="T376" s="265">
        <v>45305</v>
      </c>
      <c r="U376" s="268"/>
      <c r="V376" s="182"/>
      <c r="W376" s="183"/>
      <c r="X376" s="184"/>
      <c r="Y376" s="185" t="s">
        <v>348</v>
      </c>
    </row>
    <row r="377" spans="1:25" ht="11.4" x14ac:dyDescent="0.15">
      <c r="A377" s="175">
        <f t="shared" si="16"/>
        <v>375</v>
      </c>
      <c r="B377" s="176"/>
      <c r="C377" s="176" t="s">
        <v>351</v>
      </c>
      <c r="D377" s="186" t="s">
        <v>352</v>
      </c>
      <c r="E377" s="186" t="s">
        <v>353</v>
      </c>
      <c r="F377" s="186" t="s">
        <v>354</v>
      </c>
      <c r="G377" s="228" t="s">
        <v>355</v>
      </c>
      <c r="H377" s="177"/>
      <c r="I377" s="178"/>
      <c r="J377" s="178"/>
      <c r="K377" s="179"/>
      <c r="L377" s="177"/>
      <c r="M377" s="178"/>
      <c r="N377" s="178"/>
      <c r="O377" s="180" t="s">
        <v>56</v>
      </c>
      <c r="P377" s="180"/>
      <c r="Q377" s="180"/>
      <c r="R377" s="180"/>
      <c r="S377" s="179"/>
      <c r="T377" s="265">
        <v>45305</v>
      </c>
      <c r="U377" s="268"/>
      <c r="V377" s="182"/>
      <c r="W377" s="183"/>
      <c r="X377" s="184"/>
      <c r="Y377" s="230" t="s">
        <v>104</v>
      </c>
    </row>
    <row r="378" spans="1:25" ht="11.4" x14ac:dyDescent="0.15">
      <c r="A378" s="175">
        <f t="shared" si="16"/>
        <v>376</v>
      </c>
      <c r="B378" s="176"/>
      <c r="C378" s="176"/>
      <c r="D378" s="186"/>
      <c r="E378" s="186" t="s">
        <v>356</v>
      </c>
      <c r="F378" s="186" t="s">
        <v>357</v>
      </c>
      <c r="G378" s="228" t="s">
        <v>355</v>
      </c>
      <c r="H378" s="177"/>
      <c r="I378" s="178"/>
      <c r="J378" s="178"/>
      <c r="K378" s="179"/>
      <c r="L378" s="177"/>
      <c r="M378" s="178"/>
      <c r="N378" s="178"/>
      <c r="O378" s="180" t="s">
        <v>56</v>
      </c>
      <c r="P378" s="180"/>
      <c r="Q378" s="180"/>
      <c r="R378" s="180"/>
      <c r="S378" s="179"/>
      <c r="T378" s="265">
        <v>45305</v>
      </c>
      <c r="U378" s="268"/>
      <c r="V378" s="182"/>
      <c r="W378" s="183"/>
      <c r="X378" s="184"/>
      <c r="Y378" s="230" t="s">
        <v>104</v>
      </c>
    </row>
    <row r="379" spans="1:25" ht="11.4" x14ac:dyDescent="0.15">
      <c r="A379" s="175">
        <f t="shared" si="16"/>
        <v>377</v>
      </c>
      <c r="B379" s="176"/>
      <c r="C379" s="176"/>
      <c r="D379" s="186"/>
      <c r="E379" s="186" t="s">
        <v>358</v>
      </c>
      <c r="F379" s="186" t="s">
        <v>359</v>
      </c>
      <c r="G379" s="228" t="s">
        <v>355</v>
      </c>
      <c r="H379" s="177"/>
      <c r="I379" s="178"/>
      <c r="J379" s="178"/>
      <c r="K379" s="179"/>
      <c r="L379" s="177"/>
      <c r="M379" s="178"/>
      <c r="N379" s="178"/>
      <c r="O379" s="180" t="s">
        <v>56</v>
      </c>
      <c r="P379" s="180"/>
      <c r="Q379" s="180"/>
      <c r="R379" s="180"/>
      <c r="S379" s="179"/>
      <c r="T379" s="265">
        <v>45305</v>
      </c>
      <c r="U379" s="268"/>
      <c r="V379" s="182"/>
      <c r="W379" s="183"/>
      <c r="X379" s="184"/>
      <c r="Y379" s="230" t="s">
        <v>104</v>
      </c>
    </row>
    <row r="380" spans="1:25" ht="11.4" x14ac:dyDescent="0.15">
      <c r="A380" s="175">
        <f t="shared" si="16"/>
        <v>378</v>
      </c>
      <c r="B380" s="176"/>
      <c r="C380" s="176"/>
      <c r="D380" s="186"/>
      <c r="E380" s="186" t="s">
        <v>360</v>
      </c>
      <c r="F380" s="186" t="s">
        <v>361</v>
      </c>
      <c r="G380" s="228" t="s">
        <v>355</v>
      </c>
      <c r="H380" s="177"/>
      <c r="I380" s="178"/>
      <c r="J380" s="178"/>
      <c r="K380" s="179"/>
      <c r="L380" s="177"/>
      <c r="M380" s="178"/>
      <c r="N380" s="178"/>
      <c r="O380" s="180" t="s">
        <v>56</v>
      </c>
      <c r="P380" s="180"/>
      <c r="Q380" s="180"/>
      <c r="R380" s="180"/>
      <c r="S380" s="179"/>
      <c r="T380" s="265">
        <v>45305</v>
      </c>
      <c r="U380" s="268"/>
      <c r="V380" s="182"/>
      <c r="W380" s="183"/>
      <c r="X380" s="184"/>
      <c r="Y380" s="230" t="s">
        <v>104</v>
      </c>
    </row>
    <row r="381" spans="1:25" ht="11.4" x14ac:dyDescent="0.15">
      <c r="A381" s="175">
        <f t="shared" si="16"/>
        <v>379</v>
      </c>
      <c r="B381" s="176"/>
      <c r="C381" s="176" t="s">
        <v>105</v>
      </c>
      <c r="D381" s="186" t="s">
        <v>362</v>
      </c>
      <c r="E381" s="186" t="s">
        <v>363</v>
      </c>
      <c r="F381" s="186" t="s">
        <v>364</v>
      </c>
      <c r="G381" s="228" t="s">
        <v>365</v>
      </c>
      <c r="H381" s="177"/>
      <c r="I381" s="178"/>
      <c r="J381" s="178"/>
      <c r="K381" s="179"/>
      <c r="L381" s="177"/>
      <c r="M381" s="180" t="s">
        <v>56</v>
      </c>
      <c r="N381" s="178"/>
      <c r="O381" s="180"/>
      <c r="P381" s="180"/>
      <c r="Q381" s="180"/>
      <c r="R381" s="180"/>
      <c r="S381" s="179"/>
      <c r="T381" s="265">
        <v>45305</v>
      </c>
      <c r="U381" s="268"/>
      <c r="V381" s="182"/>
      <c r="W381" s="183"/>
      <c r="X381" s="184"/>
      <c r="Y381" s="230" t="s">
        <v>366</v>
      </c>
    </row>
    <row r="382" spans="1:25" ht="11.4" x14ac:dyDescent="0.15">
      <c r="A382" s="175">
        <f t="shared" si="16"/>
        <v>380</v>
      </c>
      <c r="B382" s="176"/>
      <c r="C382" s="176"/>
      <c r="D382" s="186"/>
      <c r="E382" s="186"/>
      <c r="F382" s="186" t="s">
        <v>367</v>
      </c>
      <c r="G382" s="228" t="s">
        <v>368</v>
      </c>
      <c r="H382" s="177"/>
      <c r="I382" s="178"/>
      <c r="J382" s="178"/>
      <c r="K382" s="179"/>
      <c r="L382" s="177"/>
      <c r="M382" s="180" t="s">
        <v>56</v>
      </c>
      <c r="N382" s="178"/>
      <c r="O382" s="180"/>
      <c r="P382" s="180"/>
      <c r="Q382" s="180"/>
      <c r="R382" s="180"/>
      <c r="S382" s="179"/>
      <c r="T382" s="265">
        <v>45305</v>
      </c>
      <c r="U382" s="268"/>
      <c r="V382" s="182"/>
      <c r="W382" s="183"/>
      <c r="X382" s="184"/>
      <c r="Y382" s="230" t="s">
        <v>366</v>
      </c>
    </row>
    <row r="383" spans="1:25" ht="11.4" x14ac:dyDescent="0.15">
      <c r="A383" s="175">
        <f t="shared" si="16"/>
        <v>381</v>
      </c>
      <c r="B383" s="176"/>
      <c r="C383" s="176"/>
      <c r="D383" s="186"/>
      <c r="E383" s="186"/>
      <c r="F383" s="186" t="s">
        <v>369</v>
      </c>
      <c r="G383" s="228" t="s">
        <v>370</v>
      </c>
      <c r="H383" s="177"/>
      <c r="I383" s="178"/>
      <c r="J383" s="178"/>
      <c r="K383" s="179"/>
      <c r="L383" s="177"/>
      <c r="M383" s="180" t="s">
        <v>56</v>
      </c>
      <c r="N383" s="178"/>
      <c r="O383" s="180"/>
      <c r="P383" s="180"/>
      <c r="Q383" s="180"/>
      <c r="R383" s="180"/>
      <c r="S383" s="179"/>
      <c r="T383" s="265">
        <v>45305</v>
      </c>
      <c r="U383" s="268"/>
      <c r="V383" s="182"/>
      <c r="W383" s="183"/>
      <c r="X383" s="184"/>
      <c r="Y383" s="230" t="s">
        <v>366</v>
      </c>
    </row>
    <row r="384" spans="1:25" ht="11.4" x14ac:dyDescent="0.15">
      <c r="A384" s="175">
        <f t="shared" si="16"/>
        <v>382</v>
      </c>
      <c r="B384" s="187" t="s">
        <v>10</v>
      </c>
      <c r="C384" s="187" t="s">
        <v>52</v>
      </c>
      <c r="D384" s="186" t="s">
        <v>371</v>
      </c>
      <c r="E384" s="186" t="s">
        <v>372</v>
      </c>
      <c r="F384" s="186" t="s">
        <v>373</v>
      </c>
      <c r="G384" s="228" t="s">
        <v>374</v>
      </c>
      <c r="H384" s="177"/>
      <c r="I384" s="178"/>
      <c r="J384" s="178"/>
      <c r="K384" s="179"/>
      <c r="L384" s="177"/>
      <c r="M384" s="178"/>
      <c r="N384" s="178"/>
      <c r="O384" s="180" t="s">
        <v>56</v>
      </c>
      <c r="P384" s="180"/>
      <c r="Q384" s="180"/>
      <c r="R384" s="180"/>
      <c r="S384" s="179"/>
      <c r="T384" s="265">
        <v>45301</v>
      </c>
      <c r="U384" s="181"/>
      <c r="V384" s="182">
        <v>45667</v>
      </c>
      <c r="W384" s="183">
        <v>45667</v>
      </c>
      <c r="X384" s="184"/>
      <c r="Y384" s="185" t="s">
        <v>375</v>
      </c>
    </row>
    <row r="385" spans="1:25" ht="11.4" x14ac:dyDescent="0.15">
      <c r="A385" s="175">
        <f t="shared" si="16"/>
        <v>383</v>
      </c>
      <c r="B385" s="187"/>
      <c r="C385" s="187"/>
      <c r="D385" s="186"/>
      <c r="E385" s="186" t="s">
        <v>376</v>
      </c>
      <c r="F385" s="186" t="s">
        <v>377</v>
      </c>
      <c r="G385" s="228" t="s">
        <v>374</v>
      </c>
      <c r="H385" s="177"/>
      <c r="I385" s="178"/>
      <c r="J385" s="178"/>
      <c r="K385" s="179"/>
      <c r="L385" s="177"/>
      <c r="M385" s="178"/>
      <c r="N385" s="178"/>
      <c r="O385" s="180" t="s">
        <v>56</v>
      </c>
      <c r="P385" s="180"/>
      <c r="Q385" s="180"/>
      <c r="R385" s="180"/>
      <c r="S385" s="179"/>
      <c r="T385" s="265">
        <v>45301</v>
      </c>
      <c r="U385" s="181">
        <v>45667</v>
      </c>
      <c r="V385" s="182"/>
      <c r="W385" s="183"/>
      <c r="X385" s="184"/>
      <c r="Y385" s="185" t="s">
        <v>375</v>
      </c>
    </row>
    <row r="386" spans="1:25" ht="11.4" x14ac:dyDescent="0.15">
      <c r="A386" s="175">
        <f t="shared" si="16"/>
        <v>384</v>
      </c>
      <c r="B386" s="187"/>
      <c r="C386" s="176"/>
      <c r="D386" s="186"/>
      <c r="E386" s="186" t="s">
        <v>378</v>
      </c>
      <c r="F386" s="186" t="s">
        <v>379</v>
      </c>
      <c r="G386" s="228" t="s">
        <v>374</v>
      </c>
      <c r="H386" s="177"/>
      <c r="I386" s="178"/>
      <c r="J386" s="178"/>
      <c r="K386" s="179"/>
      <c r="L386" s="177"/>
      <c r="M386" s="178"/>
      <c r="N386" s="178"/>
      <c r="O386" s="180" t="s">
        <v>56</v>
      </c>
      <c r="P386" s="180"/>
      <c r="Q386" s="180"/>
      <c r="R386" s="180"/>
      <c r="S386" s="179"/>
      <c r="T386" s="265">
        <v>45301</v>
      </c>
      <c r="U386" s="181">
        <v>45667</v>
      </c>
      <c r="V386" s="182"/>
      <c r="W386" s="183"/>
      <c r="X386" s="184"/>
      <c r="Y386" s="185" t="s">
        <v>375</v>
      </c>
    </row>
    <row r="387" spans="1:25" ht="11.4" x14ac:dyDescent="0.15">
      <c r="A387" s="175">
        <f t="shared" si="16"/>
        <v>385</v>
      </c>
      <c r="B387" s="187"/>
      <c r="C387" s="176"/>
      <c r="D387" s="186"/>
      <c r="E387" s="186" t="s">
        <v>169</v>
      </c>
      <c r="F387" s="186" t="s">
        <v>380</v>
      </c>
      <c r="G387" s="228" t="s">
        <v>374</v>
      </c>
      <c r="H387" s="177"/>
      <c r="I387" s="178"/>
      <c r="J387" s="178"/>
      <c r="K387" s="179"/>
      <c r="L387" s="177"/>
      <c r="M387" s="178"/>
      <c r="N387" s="178"/>
      <c r="O387" s="180" t="s">
        <v>56</v>
      </c>
      <c r="P387" s="180"/>
      <c r="Q387" s="180"/>
      <c r="R387" s="180"/>
      <c r="S387" s="179"/>
      <c r="T387" s="265">
        <v>45301</v>
      </c>
      <c r="U387" s="181">
        <v>45667</v>
      </c>
      <c r="V387" s="182"/>
      <c r="W387" s="183"/>
      <c r="X387" s="184"/>
      <c r="Y387" s="185" t="s">
        <v>375</v>
      </c>
    </row>
    <row r="388" spans="1:25" ht="11.4" x14ac:dyDescent="0.15">
      <c r="A388" s="175">
        <f t="shared" si="16"/>
        <v>386</v>
      </c>
      <c r="B388" s="187"/>
      <c r="C388" s="176"/>
      <c r="D388" s="186"/>
      <c r="E388" s="186" t="s">
        <v>381</v>
      </c>
      <c r="F388" s="186" t="s">
        <v>382</v>
      </c>
      <c r="G388" s="228" t="s">
        <v>374</v>
      </c>
      <c r="H388" s="177"/>
      <c r="I388" s="178"/>
      <c r="J388" s="178"/>
      <c r="K388" s="179"/>
      <c r="L388" s="177"/>
      <c r="M388" s="178"/>
      <c r="N388" s="178"/>
      <c r="O388" s="180" t="s">
        <v>56</v>
      </c>
      <c r="P388" s="180"/>
      <c r="Q388" s="180"/>
      <c r="R388" s="180"/>
      <c r="S388" s="179"/>
      <c r="T388" s="265">
        <v>45301</v>
      </c>
      <c r="U388" s="181">
        <v>45667</v>
      </c>
      <c r="V388" s="182"/>
      <c r="W388" s="183"/>
      <c r="X388" s="184"/>
      <c r="Y388" s="185" t="s">
        <v>375</v>
      </c>
    </row>
    <row r="389" spans="1:25" ht="11.4" x14ac:dyDescent="0.15">
      <c r="A389" s="175">
        <f t="shared" si="16"/>
        <v>387</v>
      </c>
      <c r="B389" s="187"/>
      <c r="C389" s="176"/>
      <c r="D389" s="186"/>
      <c r="E389" s="186" t="s">
        <v>383</v>
      </c>
      <c r="F389" s="186" t="s">
        <v>384</v>
      </c>
      <c r="G389" s="228" t="s">
        <v>374</v>
      </c>
      <c r="H389" s="177"/>
      <c r="I389" s="178"/>
      <c r="J389" s="178"/>
      <c r="K389" s="179"/>
      <c r="L389" s="177"/>
      <c r="M389" s="178"/>
      <c r="N389" s="178"/>
      <c r="O389" s="180" t="s">
        <v>56</v>
      </c>
      <c r="P389" s="180"/>
      <c r="Q389" s="180"/>
      <c r="R389" s="180"/>
      <c r="S389" s="179"/>
      <c r="T389" s="265">
        <v>45301</v>
      </c>
      <c r="U389" s="181">
        <v>45667</v>
      </c>
      <c r="V389" s="182"/>
      <c r="W389" s="183"/>
      <c r="X389" s="184"/>
      <c r="Y389" s="185" t="s">
        <v>375</v>
      </c>
    </row>
    <row r="390" spans="1:25" ht="11.4" x14ac:dyDescent="0.15">
      <c r="A390" s="175">
        <f t="shared" si="16"/>
        <v>388</v>
      </c>
      <c r="B390" s="187"/>
      <c r="C390" s="176"/>
      <c r="D390" s="186"/>
      <c r="E390" s="186" t="s">
        <v>385</v>
      </c>
      <c r="F390" s="186" t="s">
        <v>386</v>
      </c>
      <c r="G390" s="228" t="s">
        <v>374</v>
      </c>
      <c r="H390" s="177"/>
      <c r="I390" s="178"/>
      <c r="J390" s="178"/>
      <c r="K390" s="179"/>
      <c r="L390" s="177"/>
      <c r="M390" s="178"/>
      <c r="N390" s="178"/>
      <c r="O390" s="180" t="s">
        <v>56</v>
      </c>
      <c r="P390" s="180"/>
      <c r="Q390" s="180"/>
      <c r="R390" s="180"/>
      <c r="S390" s="179"/>
      <c r="T390" s="265">
        <v>45301</v>
      </c>
      <c r="U390" s="181">
        <v>45667</v>
      </c>
      <c r="V390" s="182"/>
      <c r="W390" s="183"/>
      <c r="X390" s="184"/>
      <c r="Y390" s="185" t="s">
        <v>375</v>
      </c>
    </row>
    <row r="391" spans="1:25" ht="11.4" x14ac:dyDescent="0.15">
      <c r="A391" s="175">
        <f t="shared" si="16"/>
        <v>389</v>
      </c>
      <c r="B391" s="187"/>
      <c r="C391" s="176"/>
      <c r="D391" s="186"/>
      <c r="E391" s="186" t="s">
        <v>387</v>
      </c>
      <c r="F391" s="186" t="s">
        <v>388</v>
      </c>
      <c r="G391" s="228" t="s">
        <v>374</v>
      </c>
      <c r="H391" s="177"/>
      <c r="I391" s="178"/>
      <c r="J391" s="178"/>
      <c r="K391" s="179"/>
      <c r="L391" s="177"/>
      <c r="M391" s="178"/>
      <c r="N391" s="178"/>
      <c r="O391" s="180" t="s">
        <v>56</v>
      </c>
      <c r="P391" s="180"/>
      <c r="Q391" s="180"/>
      <c r="R391" s="180"/>
      <c r="S391" s="179"/>
      <c r="T391" s="265">
        <v>45301</v>
      </c>
      <c r="U391" s="181">
        <v>45667</v>
      </c>
      <c r="V391" s="182"/>
      <c r="W391" s="183"/>
      <c r="X391" s="184"/>
      <c r="Y391" s="185" t="s">
        <v>375</v>
      </c>
    </row>
    <row r="392" spans="1:25" ht="11.4" x14ac:dyDescent="0.15">
      <c r="A392" s="175">
        <f t="shared" si="16"/>
        <v>390</v>
      </c>
      <c r="B392" s="187"/>
      <c r="C392" s="176"/>
      <c r="D392" s="186"/>
      <c r="E392" s="186" t="s">
        <v>389</v>
      </c>
      <c r="F392" s="186" t="s">
        <v>390</v>
      </c>
      <c r="G392" s="228" t="s">
        <v>374</v>
      </c>
      <c r="H392" s="177"/>
      <c r="I392" s="178"/>
      <c r="J392" s="178"/>
      <c r="K392" s="179"/>
      <c r="L392" s="177"/>
      <c r="M392" s="178"/>
      <c r="N392" s="178"/>
      <c r="O392" s="180" t="s">
        <v>56</v>
      </c>
      <c r="P392" s="180"/>
      <c r="Q392" s="180"/>
      <c r="R392" s="180"/>
      <c r="S392" s="179"/>
      <c r="T392" s="265">
        <v>45301</v>
      </c>
      <c r="U392" s="181">
        <v>45667</v>
      </c>
      <c r="V392" s="182"/>
      <c r="W392" s="183"/>
      <c r="X392" s="184"/>
      <c r="Y392" s="185" t="s">
        <v>375</v>
      </c>
    </row>
    <row r="393" spans="1:25" ht="11.4" x14ac:dyDescent="0.15">
      <c r="A393" s="175">
        <f t="shared" si="16"/>
        <v>391</v>
      </c>
      <c r="B393" s="187"/>
      <c r="C393" s="176"/>
      <c r="D393" s="186"/>
      <c r="E393" s="186" t="s">
        <v>391</v>
      </c>
      <c r="F393" s="186" t="s">
        <v>392</v>
      </c>
      <c r="G393" s="228" t="s">
        <v>374</v>
      </c>
      <c r="H393" s="177"/>
      <c r="I393" s="178"/>
      <c r="J393" s="178"/>
      <c r="K393" s="179"/>
      <c r="L393" s="177"/>
      <c r="M393" s="178"/>
      <c r="N393" s="178"/>
      <c r="O393" s="180" t="s">
        <v>56</v>
      </c>
      <c r="P393" s="180"/>
      <c r="Q393" s="180"/>
      <c r="R393" s="180"/>
      <c r="S393" s="179"/>
      <c r="T393" s="265">
        <v>45301</v>
      </c>
      <c r="U393" s="181">
        <v>45667</v>
      </c>
      <c r="V393" s="182"/>
      <c r="W393" s="183"/>
      <c r="X393" s="184"/>
      <c r="Y393" s="185" t="s">
        <v>375</v>
      </c>
    </row>
    <row r="394" spans="1:25" ht="11.4" x14ac:dyDescent="0.15">
      <c r="A394" s="175">
        <f t="shared" si="16"/>
        <v>392</v>
      </c>
      <c r="B394" s="187"/>
      <c r="C394" s="176"/>
      <c r="D394" s="186"/>
      <c r="E394" s="186" t="s">
        <v>393</v>
      </c>
      <c r="F394" s="186" t="s">
        <v>394</v>
      </c>
      <c r="G394" s="228" t="s">
        <v>374</v>
      </c>
      <c r="H394" s="177"/>
      <c r="I394" s="178"/>
      <c r="J394" s="178"/>
      <c r="K394" s="179"/>
      <c r="L394" s="177"/>
      <c r="M394" s="178"/>
      <c r="N394" s="178"/>
      <c r="O394" s="180" t="s">
        <v>56</v>
      </c>
      <c r="P394" s="180"/>
      <c r="Q394" s="180"/>
      <c r="R394" s="180"/>
      <c r="S394" s="179"/>
      <c r="T394" s="265">
        <v>45301</v>
      </c>
      <c r="U394" s="181">
        <v>45667</v>
      </c>
      <c r="V394" s="182"/>
      <c r="W394" s="183"/>
      <c r="X394" s="184"/>
      <c r="Y394" s="185" t="s">
        <v>375</v>
      </c>
    </row>
    <row r="395" spans="1:25" ht="11.4" x14ac:dyDescent="0.15">
      <c r="A395" s="175">
        <f t="shared" si="16"/>
        <v>393</v>
      </c>
      <c r="B395" s="187"/>
      <c r="C395" s="176"/>
      <c r="D395" s="186"/>
      <c r="E395" s="186" t="s">
        <v>395</v>
      </c>
      <c r="F395" s="186" t="s">
        <v>396</v>
      </c>
      <c r="G395" s="228" t="s">
        <v>374</v>
      </c>
      <c r="H395" s="177"/>
      <c r="I395" s="178"/>
      <c r="J395" s="178"/>
      <c r="K395" s="179"/>
      <c r="L395" s="177"/>
      <c r="M395" s="178"/>
      <c r="N395" s="178"/>
      <c r="O395" s="180" t="s">
        <v>56</v>
      </c>
      <c r="P395" s="180"/>
      <c r="Q395" s="180"/>
      <c r="R395" s="180"/>
      <c r="S395" s="179"/>
      <c r="T395" s="265">
        <v>45301</v>
      </c>
      <c r="U395" s="181">
        <v>45667</v>
      </c>
      <c r="V395" s="182"/>
      <c r="W395" s="183"/>
      <c r="X395" s="184"/>
      <c r="Y395" s="185" t="s">
        <v>375</v>
      </c>
    </row>
    <row r="396" spans="1:25" ht="11.4" x14ac:dyDescent="0.15">
      <c r="A396" s="175">
        <f t="shared" si="16"/>
        <v>394</v>
      </c>
      <c r="B396" s="187"/>
      <c r="C396" s="176"/>
      <c r="D396" s="186"/>
      <c r="E396" s="186" t="s">
        <v>397</v>
      </c>
      <c r="F396" s="186" t="s">
        <v>398</v>
      </c>
      <c r="G396" s="228" t="s">
        <v>374</v>
      </c>
      <c r="H396" s="177"/>
      <c r="I396" s="178"/>
      <c r="J396" s="178"/>
      <c r="K396" s="179"/>
      <c r="L396" s="177"/>
      <c r="M396" s="178"/>
      <c r="N396" s="178"/>
      <c r="O396" s="180" t="s">
        <v>56</v>
      </c>
      <c r="P396" s="180"/>
      <c r="Q396" s="180"/>
      <c r="R396" s="180"/>
      <c r="S396" s="179"/>
      <c r="T396" s="265">
        <v>45301</v>
      </c>
      <c r="U396" s="181">
        <v>45667</v>
      </c>
      <c r="V396" s="182"/>
      <c r="W396" s="183"/>
      <c r="X396" s="184"/>
      <c r="Y396" s="185" t="s">
        <v>375</v>
      </c>
    </row>
    <row r="397" spans="1:25" ht="11.4" x14ac:dyDescent="0.15">
      <c r="A397" s="175">
        <f t="shared" si="16"/>
        <v>395</v>
      </c>
      <c r="B397" s="187"/>
      <c r="C397" s="176"/>
      <c r="D397" s="176"/>
      <c r="E397" s="176" t="s">
        <v>399</v>
      </c>
      <c r="F397" s="186" t="s">
        <v>400</v>
      </c>
      <c r="G397" s="228" t="s">
        <v>374</v>
      </c>
      <c r="H397" s="177"/>
      <c r="I397" s="178"/>
      <c r="J397" s="178"/>
      <c r="K397" s="179"/>
      <c r="L397" s="177"/>
      <c r="M397" s="178"/>
      <c r="N397" s="178"/>
      <c r="O397" s="180" t="s">
        <v>56</v>
      </c>
      <c r="P397" s="180"/>
      <c r="Q397" s="180"/>
      <c r="R397" s="180"/>
      <c r="S397" s="179"/>
      <c r="T397" s="265">
        <v>45301</v>
      </c>
      <c r="U397" s="181">
        <v>45667</v>
      </c>
      <c r="V397" s="182"/>
      <c r="W397" s="183"/>
      <c r="X397" s="184"/>
      <c r="Y397" s="185" t="s">
        <v>375</v>
      </c>
    </row>
    <row r="398" spans="1:25" ht="11.4" x14ac:dyDescent="0.15">
      <c r="A398" s="175">
        <f t="shared" si="16"/>
        <v>396</v>
      </c>
      <c r="B398" s="176"/>
      <c r="C398" s="176"/>
      <c r="D398" s="186"/>
      <c r="E398" s="186" t="s">
        <v>401</v>
      </c>
      <c r="F398" s="186" t="s">
        <v>402</v>
      </c>
      <c r="G398" s="228" t="s">
        <v>403</v>
      </c>
      <c r="H398" s="177"/>
      <c r="I398" s="178"/>
      <c r="J398" s="178"/>
      <c r="K398" s="179"/>
      <c r="L398" s="177"/>
      <c r="M398" s="180" t="s">
        <v>56</v>
      </c>
      <c r="N398" s="178"/>
      <c r="O398" s="180"/>
      <c r="P398" s="180"/>
      <c r="Q398" s="180"/>
      <c r="R398" s="180"/>
      <c r="S398" s="179"/>
      <c r="T398" s="265">
        <v>45301</v>
      </c>
      <c r="U398" s="181"/>
      <c r="V398" s="182">
        <v>45667</v>
      </c>
      <c r="W398" s="183"/>
      <c r="X398" s="184"/>
      <c r="Y398" s="185" t="s">
        <v>375</v>
      </c>
    </row>
    <row r="399" spans="1:25" ht="11.4" x14ac:dyDescent="0.15">
      <c r="A399" s="175">
        <f t="shared" si="16"/>
        <v>397</v>
      </c>
      <c r="B399" s="176"/>
      <c r="C399" s="176" t="s">
        <v>404</v>
      </c>
      <c r="D399" s="186" t="s">
        <v>405</v>
      </c>
      <c r="E399" s="186" t="s">
        <v>372</v>
      </c>
      <c r="F399" s="186" t="s">
        <v>373</v>
      </c>
      <c r="G399" s="228" t="s">
        <v>406</v>
      </c>
      <c r="H399" s="177"/>
      <c r="I399" s="178"/>
      <c r="J399" s="178"/>
      <c r="K399" s="179"/>
      <c r="L399" s="177"/>
      <c r="M399" s="178"/>
      <c r="N399" s="178"/>
      <c r="O399" s="180" t="s">
        <v>56</v>
      </c>
      <c r="P399" s="180"/>
      <c r="Q399" s="180"/>
      <c r="R399" s="180"/>
      <c r="S399" s="179"/>
      <c r="T399" s="265">
        <v>45301</v>
      </c>
      <c r="U399" s="181">
        <v>45672</v>
      </c>
      <c r="V399" s="182"/>
      <c r="W399" s="183"/>
      <c r="X399" s="184"/>
      <c r="Y399" s="185" t="s">
        <v>407</v>
      </c>
    </row>
    <row r="400" spans="1:25" ht="11.4" x14ac:dyDescent="0.15">
      <c r="A400" s="175">
        <f t="shared" si="16"/>
        <v>398</v>
      </c>
      <c r="B400" s="187"/>
      <c r="C400" s="176"/>
      <c r="D400" s="176"/>
      <c r="E400" s="176"/>
      <c r="F400" s="186"/>
      <c r="G400" s="228" t="s">
        <v>408</v>
      </c>
      <c r="H400" s="177"/>
      <c r="I400" s="178"/>
      <c r="J400" s="178"/>
      <c r="K400" s="179"/>
      <c r="L400" s="177"/>
      <c r="M400" s="178"/>
      <c r="N400" s="178"/>
      <c r="O400" s="180" t="s">
        <v>56</v>
      </c>
      <c r="P400" s="180"/>
      <c r="Q400" s="180"/>
      <c r="R400" s="180"/>
      <c r="S400" s="179"/>
      <c r="T400" s="265">
        <v>45305</v>
      </c>
      <c r="U400" s="181">
        <v>45672</v>
      </c>
      <c r="V400" s="182"/>
      <c r="W400" s="183"/>
      <c r="X400" s="184"/>
      <c r="Y400" s="230" t="s">
        <v>104</v>
      </c>
    </row>
    <row r="401" spans="1:25" ht="11.4" x14ac:dyDescent="0.15">
      <c r="A401" s="175">
        <f t="shared" si="16"/>
        <v>399</v>
      </c>
      <c r="B401" s="176"/>
      <c r="C401" s="176"/>
      <c r="D401" s="186"/>
      <c r="E401" s="186" t="s">
        <v>401</v>
      </c>
      <c r="F401" s="186" t="s">
        <v>409</v>
      </c>
      <c r="G401" s="228" t="s">
        <v>403</v>
      </c>
      <c r="H401" s="177"/>
      <c r="I401" s="178"/>
      <c r="J401" s="178"/>
      <c r="K401" s="179"/>
      <c r="L401" s="177"/>
      <c r="M401" s="180" t="s">
        <v>56</v>
      </c>
      <c r="N401" s="178"/>
      <c r="O401" s="180"/>
      <c r="P401" s="180"/>
      <c r="Q401" s="180"/>
      <c r="R401" s="180"/>
      <c r="S401" s="179"/>
      <c r="T401" s="265">
        <v>45301</v>
      </c>
      <c r="U401" s="181">
        <v>45672</v>
      </c>
      <c r="V401" s="182"/>
      <c r="W401" s="183"/>
      <c r="X401" s="184"/>
      <c r="Y401" s="185" t="s">
        <v>407</v>
      </c>
    </row>
    <row r="402" spans="1:25" s="238" customFormat="1" ht="12" customHeight="1" x14ac:dyDescent="0.25">
      <c r="A402" s="188"/>
      <c r="B402" s="189"/>
      <c r="C402" s="190"/>
      <c r="D402" s="190"/>
      <c r="E402" s="190"/>
      <c r="F402" s="189"/>
      <c r="G402" s="191" t="s">
        <v>410</v>
      </c>
      <c r="H402" s="192">
        <f t="shared" ref="H402:S402" si="25">COUNTIF(H3:H401,"●")</f>
        <v>0</v>
      </c>
      <c r="I402" s="193">
        <f t="shared" si="25"/>
        <v>0</v>
      </c>
      <c r="J402" s="193">
        <f t="shared" si="25"/>
        <v>0</v>
      </c>
      <c r="K402" s="194">
        <f t="shared" si="25"/>
        <v>0</v>
      </c>
      <c r="L402" s="192">
        <f t="shared" si="25"/>
        <v>0</v>
      </c>
      <c r="M402" s="193">
        <f t="shared" si="25"/>
        <v>0</v>
      </c>
      <c r="N402" s="193">
        <f t="shared" si="25"/>
        <v>0</v>
      </c>
      <c r="O402" s="193">
        <f t="shared" si="25"/>
        <v>0</v>
      </c>
      <c r="P402" s="193">
        <f t="shared" si="25"/>
        <v>0</v>
      </c>
      <c r="Q402" s="193">
        <f t="shared" si="25"/>
        <v>0</v>
      </c>
      <c r="R402" s="195">
        <f t="shared" si="25"/>
        <v>0</v>
      </c>
      <c r="S402" s="194">
        <f t="shared" si="25"/>
        <v>0</v>
      </c>
      <c r="T402" s="261"/>
      <c r="U402" s="329" t="s">
        <v>17</v>
      </c>
      <c r="V402" s="329"/>
      <c r="W402" s="330"/>
      <c r="X402" s="196" t="s">
        <v>411</v>
      </c>
      <c r="Y402" s="197">
        <f>SUM(H402:S402)</f>
        <v>0</v>
      </c>
    </row>
    <row r="403" spans="1:25" s="238" customFormat="1" ht="12" customHeight="1" x14ac:dyDescent="0.25">
      <c r="A403" s="198"/>
      <c r="B403" s="231" t="s">
        <v>412</v>
      </c>
      <c r="C403" s="200">
        <f>Y404</f>
        <v>0</v>
      </c>
      <c r="D403" s="200"/>
      <c r="E403" s="200"/>
      <c r="F403" s="199"/>
      <c r="G403" s="201" t="s">
        <v>413</v>
      </c>
      <c r="H403" s="202">
        <f t="shared" ref="H403:S403" si="26">COUNTIF(H3:H401,"×")</f>
        <v>0</v>
      </c>
      <c r="I403" s="203">
        <f t="shared" si="26"/>
        <v>0</v>
      </c>
      <c r="J403" s="203">
        <f t="shared" si="26"/>
        <v>0</v>
      </c>
      <c r="K403" s="204">
        <f t="shared" si="26"/>
        <v>0</v>
      </c>
      <c r="L403" s="202">
        <f t="shared" si="26"/>
        <v>0</v>
      </c>
      <c r="M403" s="203">
        <f t="shared" si="26"/>
        <v>0</v>
      </c>
      <c r="N403" s="203">
        <f t="shared" si="26"/>
        <v>0</v>
      </c>
      <c r="O403" s="203">
        <f t="shared" si="26"/>
        <v>0</v>
      </c>
      <c r="P403" s="203">
        <f t="shared" si="26"/>
        <v>0</v>
      </c>
      <c r="Q403" s="203">
        <f t="shared" si="26"/>
        <v>0</v>
      </c>
      <c r="R403" s="205">
        <f t="shared" si="26"/>
        <v>0</v>
      </c>
      <c r="S403" s="204">
        <f t="shared" si="26"/>
        <v>0</v>
      </c>
      <c r="T403" s="262"/>
      <c r="U403" s="331"/>
      <c r="V403" s="331"/>
      <c r="W403" s="332"/>
      <c r="X403" s="206" t="s">
        <v>411</v>
      </c>
      <c r="Y403" s="207">
        <f t="shared" ref="Y403:Y405" si="27">SUM(H403:S403)</f>
        <v>0</v>
      </c>
    </row>
    <row r="404" spans="1:25" s="238" customFormat="1" ht="12" customHeight="1" x14ac:dyDescent="0.25">
      <c r="A404" s="208" t="s">
        <v>414</v>
      </c>
      <c r="B404" s="209"/>
      <c r="C404" s="210"/>
      <c r="D404" s="210"/>
      <c r="E404" s="210"/>
      <c r="F404" s="209"/>
      <c r="G404" s="211" t="s">
        <v>415</v>
      </c>
      <c r="H404" s="202">
        <f t="shared" ref="H404:S404" si="28">H402+H403</f>
        <v>0</v>
      </c>
      <c r="I404" s="203">
        <f t="shared" si="28"/>
        <v>0</v>
      </c>
      <c r="J404" s="203">
        <f t="shared" si="28"/>
        <v>0</v>
      </c>
      <c r="K404" s="204">
        <f t="shared" si="28"/>
        <v>0</v>
      </c>
      <c r="L404" s="202">
        <f t="shared" si="28"/>
        <v>0</v>
      </c>
      <c r="M404" s="203">
        <f t="shared" si="28"/>
        <v>0</v>
      </c>
      <c r="N404" s="203">
        <f t="shared" si="28"/>
        <v>0</v>
      </c>
      <c r="O404" s="203">
        <f t="shared" si="28"/>
        <v>0</v>
      </c>
      <c r="P404" s="203">
        <f t="shared" si="28"/>
        <v>0</v>
      </c>
      <c r="Q404" s="203">
        <f t="shared" si="28"/>
        <v>0</v>
      </c>
      <c r="R404" s="205">
        <f t="shared" si="28"/>
        <v>0</v>
      </c>
      <c r="S404" s="204">
        <f t="shared" si="28"/>
        <v>0</v>
      </c>
      <c r="T404" s="263"/>
      <c r="U404" s="333">
        <f>COUNTA(U3:U401)</f>
        <v>372</v>
      </c>
      <c r="V404" s="335">
        <f>COUNTA(V3:V401)</f>
        <v>7</v>
      </c>
      <c r="W404" s="337">
        <f>COUNTA(W3:W401)</f>
        <v>4</v>
      </c>
      <c r="X404" s="212" t="s">
        <v>411</v>
      </c>
      <c r="Y404" s="207">
        <f t="shared" si="27"/>
        <v>0</v>
      </c>
    </row>
    <row r="405" spans="1:25" s="238" customFormat="1" ht="12" customHeight="1" x14ac:dyDescent="0.25">
      <c r="A405" s="213"/>
      <c r="B405" s="232" t="s">
        <v>416</v>
      </c>
      <c r="C405" s="215">
        <f>Y405</f>
        <v>399</v>
      </c>
      <c r="D405" s="215"/>
      <c r="E405" s="215"/>
      <c r="F405" s="214"/>
      <c r="G405" s="216" t="s">
        <v>417</v>
      </c>
      <c r="H405" s="217">
        <f t="shared" ref="H405:S405" si="29">COUNTA(H3:H401)</f>
        <v>0</v>
      </c>
      <c r="I405" s="218">
        <f t="shared" si="29"/>
        <v>0</v>
      </c>
      <c r="J405" s="218">
        <f t="shared" si="29"/>
        <v>0</v>
      </c>
      <c r="K405" s="219">
        <f t="shared" si="29"/>
        <v>0</v>
      </c>
      <c r="L405" s="217">
        <f t="shared" si="29"/>
        <v>0</v>
      </c>
      <c r="M405" s="218">
        <f t="shared" si="29"/>
        <v>12</v>
      </c>
      <c r="N405" s="218">
        <f t="shared" si="29"/>
        <v>0</v>
      </c>
      <c r="O405" s="218">
        <f t="shared" si="29"/>
        <v>93</v>
      </c>
      <c r="P405" s="218">
        <f t="shared" si="29"/>
        <v>15</v>
      </c>
      <c r="Q405" s="218">
        <f>COUNTA(Q3:Q401)</f>
        <v>233</v>
      </c>
      <c r="R405" s="220">
        <f t="shared" si="29"/>
        <v>19</v>
      </c>
      <c r="S405" s="219">
        <f t="shared" si="29"/>
        <v>27</v>
      </c>
      <c r="T405" s="264"/>
      <c r="U405" s="334"/>
      <c r="V405" s="336"/>
      <c r="W405" s="338"/>
      <c r="X405" s="221" t="s">
        <v>411</v>
      </c>
      <c r="Y405" s="222">
        <f t="shared" si="27"/>
        <v>399</v>
      </c>
    </row>
    <row r="418" spans="6:6" ht="9" customHeight="1" x14ac:dyDescent="0.15">
      <c r="F418" s="234"/>
    </row>
    <row r="419" spans="6:6" ht="9" customHeight="1" x14ac:dyDescent="0.15">
      <c r="F419" s="234"/>
    </row>
    <row r="420" spans="6:6" ht="9" customHeight="1" x14ac:dyDescent="0.15">
      <c r="F420" s="234"/>
    </row>
    <row r="421" spans="6:6" ht="9" customHeight="1" x14ac:dyDescent="0.15">
      <c r="F421" s="234"/>
    </row>
    <row r="422" spans="6:6" ht="9" customHeight="1" x14ac:dyDescent="0.15">
      <c r="F422" s="234"/>
    </row>
    <row r="423" spans="6:6" ht="9" customHeight="1" x14ac:dyDescent="0.15">
      <c r="F423" s="234"/>
    </row>
    <row r="424" spans="6:6" ht="9" customHeight="1" x14ac:dyDescent="0.15">
      <c r="F424" s="234"/>
    </row>
    <row r="425" spans="6:6" ht="9" customHeight="1" x14ac:dyDescent="0.15">
      <c r="F425" s="234"/>
    </row>
    <row r="426" spans="6:6" ht="9" customHeight="1" x14ac:dyDescent="0.15">
      <c r="F426" s="234"/>
    </row>
    <row r="427" spans="6:6" ht="9" customHeight="1" x14ac:dyDescent="0.15">
      <c r="F427" s="234"/>
    </row>
    <row r="428" spans="6:6" ht="9" customHeight="1" x14ac:dyDescent="0.15">
      <c r="F428" s="234"/>
    </row>
    <row r="429" spans="6:6" ht="9" customHeight="1" x14ac:dyDescent="0.15">
      <c r="F429" s="234"/>
    </row>
    <row r="430" spans="6:6" ht="9" customHeight="1" x14ac:dyDescent="0.15">
      <c r="F430" s="234"/>
    </row>
  </sheetData>
  <autoFilter ref="A2:AB405" xr:uid="{00000000-0001-0000-0100-000000000000}"/>
  <mergeCells count="17">
    <mergeCell ref="U402:W403"/>
    <mergeCell ref="X1:X2"/>
    <mergeCell ref="U404:U405"/>
    <mergeCell ref="V404:V405"/>
    <mergeCell ref="W404:W405"/>
    <mergeCell ref="Y1:Y2"/>
    <mergeCell ref="A1:A2"/>
    <mergeCell ref="B1:B2"/>
    <mergeCell ref="C1:C2"/>
    <mergeCell ref="F1:F2"/>
    <mergeCell ref="E1:E2"/>
    <mergeCell ref="U1:W1"/>
    <mergeCell ref="G1:G2"/>
    <mergeCell ref="H1:K1"/>
    <mergeCell ref="L1:S1"/>
    <mergeCell ref="D1:D2"/>
    <mergeCell ref="T1:T2"/>
  </mergeCells>
  <phoneticPr fontId="15"/>
  <printOptions horizontalCentered="1"/>
  <pageMargins left="0.19685039370078741" right="0.19685039370078741" top="0.59055118110236227" bottom="0.59055118110236227" header="0.51181102362204722" footer="0.31496062992125984"/>
  <pageSetup paperSize="9" scale="45" fitToHeight="0" orientation="landscape" r:id="rId1"/>
  <headerFooter alignWithMargins="0">
    <oddFooter>&amp;RAll Rights Reserved Copyright © Fujitsu Ltd.2017</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2307B7-35AF-4EEF-A595-EFF0399CCCB1}">
  <sheetPr>
    <pageSetUpPr fitToPage="1"/>
  </sheetPr>
  <dimension ref="A1:Z365"/>
  <sheetViews>
    <sheetView zoomScale="85" zoomScaleNormal="85" zoomScaleSheetLayoutView="100" workbookViewId="0">
      <pane ySplit="2" topLeftCell="A120" activePane="bottomLeft" state="frozen"/>
      <selection activeCell="D6" sqref="D6"/>
      <selection pane="bottomLeft" sqref="A1:A2"/>
    </sheetView>
  </sheetViews>
  <sheetFormatPr defaultColWidth="9.375" defaultRowHeight="9" customHeight="1" outlineLevelCol="1" x14ac:dyDescent="0.15"/>
  <cols>
    <col min="1" max="1" width="5.125" style="159" customWidth="1"/>
    <col min="2" max="2" width="10.125" style="159" customWidth="1"/>
    <col min="3" max="4" width="24.625" style="159" customWidth="1"/>
    <col min="5" max="5" width="27.625" style="159" customWidth="1"/>
    <col min="6" max="6" width="51.5" style="159" customWidth="1"/>
    <col min="7" max="7" width="89.5" style="159" customWidth="1"/>
    <col min="8" max="19" width="4.5" style="160" hidden="1" customWidth="1" outlineLevel="1"/>
    <col min="20" max="20" width="9" style="160" customWidth="1" outlineLevel="1"/>
    <col min="21" max="21" width="9.375" style="160" customWidth="1" outlineLevel="1"/>
    <col min="22" max="22" width="8.125" style="160" customWidth="1" outlineLevel="1"/>
    <col min="23" max="23" width="8.125" style="160" bestFit="1" customWidth="1" outlineLevel="1"/>
    <col min="24" max="24" width="7.5" style="160" customWidth="1" outlineLevel="1"/>
    <col min="25" max="25" width="77.875" style="159" customWidth="1"/>
    <col min="26" max="26" width="9.375" style="236"/>
    <col min="27" max="16384" width="9.375" style="240"/>
  </cols>
  <sheetData>
    <row r="1" spans="1:26" s="239" customFormat="1" ht="13.5" customHeight="1" x14ac:dyDescent="0.15">
      <c r="A1" s="313" t="s">
        <v>24</v>
      </c>
      <c r="B1" s="315" t="s">
        <v>25</v>
      </c>
      <c r="C1" s="317" t="s">
        <v>26</v>
      </c>
      <c r="D1" s="317" t="s">
        <v>27</v>
      </c>
      <c r="E1" s="317" t="s">
        <v>28</v>
      </c>
      <c r="F1" s="319" t="s">
        <v>29</v>
      </c>
      <c r="G1" s="322" t="s">
        <v>30</v>
      </c>
      <c r="H1" s="321" t="s">
        <v>31</v>
      </c>
      <c r="I1" s="321"/>
      <c r="J1" s="321"/>
      <c r="K1" s="324"/>
      <c r="L1" s="325" t="s">
        <v>32</v>
      </c>
      <c r="M1" s="326"/>
      <c r="N1" s="326"/>
      <c r="O1" s="327"/>
      <c r="P1" s="327"/>
      <c r="Q1" s="327"/>
      <c r="R1" s="327"/>
      <c r="S1" s="327"/>
      <c r="T1" s="311" t="s">
        <v>1100</v>
      </c>
      <c r="U1" s="321" t="s">
        <v>33</v>
      </c>
      <c r="V1" s="321"/>
      <c r="W1" s="321"/>
      <c r="X1" s="311" t="s">
        <v>34</v>
      </c>
      <c r="Y1" s="311" t="s">
        <v>35</v>
      </c>
      <c r="Z1" s="237"/>
    </row>
    <row r="2" spans="1:26" s="239" customFormat="1" ht="22.8" x14ac:dyDescent="0.15">
      <c r="A2" s="314"/>
      <c r="B2" s="316"/>
      <c r="C2" s="318"/>
      <c r="D2" s="318"/>
      <c r="E2" s="318"/>
      <c r="F2" s="320"/>
      <c r="G2" s="323"/>
      <c r="H2" s="223" t="s">
        <v>36</v>
      </c>
      <c r="I2" s="224" t="s">
        <v>37</v>
      </c>
      <c r="J2" s="225" t="s">
        <v>38</v>
      </c>
      <c r="K2" s="225" t="s">
        <v>39</v>
      </c>
      <c r="L2" s="226" t="s">
        <v>36</v>
      </c>
      <c r="M2" s="225" t="s">
        <v>40</v>
      </c>
      <c r="N2" s="225" t="s">
        <v>41</v>
      </c>
      <c r="O2" s="225" t="s">
        <v>42</v>
      </c>
      <c r="P2" s="225" t="s">
        <v>43</v>
      </c>
      <c r="Q2" s="225" t="s">
        <v>44</v>
      </c>
      <c r="R2" s="225" t="s">
        <v>45</v>
      </c>
      <c r="S2" s="225" t="s">
        <v>46</v>
      </c>
      <c r="T2" s="323"/>
      <c r="U2" s="223" t="s">
        <v>47</v>
      </c>
      <c r="V2" s="224" t="s">
        <v>48</v>
      </c>
      <c r="W2" s="225" t="s">
        <v>49</v>
      </c>
      <c r="X2" s="312"/>
      <c r="Y2" s="312"/>
      <c r="Z2" s="237"/>
    </row>
    <row r="3" spans="1:26" ht="11.4" x14ac:dyDescent="0.15">
      <c r="A3" s="175">
        <f t="shared" ref="A3:A6" si="0">ROW()-2</f>
        <v>1</v>
      </c>
      <c r="B3" s="176" t="s">
        <v>50</v>
      </c>
      <c r="C3" s="176" t="s">
        <v>418</v>
      </c>
      <c r="D3" s="176" t="s">
        <v>419</v>
      </c>
      <c r="E3" s="176" t="s">
        <v>420</v>
      </c>
      <c r="F3" s="186" t="s">
        <v>421</v>
      </c>
      <c r="G3" s="227" t="s">
        <v>422</v>
      </c>
      <c r="H3" s="177"/>
      <c r="I3" s="178"/>
      <c r="J3" s="178"/>
      <c r="K3" s="179"/>
      <c r="L3" s="177"/>
      <c r="M3" s="178"/>
      <c r="N3" s="178"/>
      <c r="O3" s="180"/>
      <c r="P3" s="180" t="s">
        <v>61</v>
      </c>
      <c r="Q3" s="180"/>
      <c r="R3" s="180"/>
      <c r="S3" s="180"/>
      <c r="T3" s="267">
        <v>45666</v>
      </c>
      <c r="U3" s="271">
        <v>45666</v>
      </c>
      <c r="V3" s="272"/>
      <c r="W3" s="273"/>
      <c r="X3" s="184"/>
      <c r="Y3" s="185" t="s">
        <v>423</v>
      </c>
      <c r="Z3" s="256" t="s">
        <v>1118</v>
      </c>
    </row>
    <row r="4" spans="1:26" ht="11.4" x14ac:dyDescent="0.15">
      <c r="A4" s="175">
        <f t="shared" si="0"/>
        <v>2</v>
      </c>
      <c r="B4" s="176" t="s">
        <v>58</v>
      </c>
      <c r="C4" s="176"/>
      <c r="D4" s="176"/>
      <c r="E4" s="176" t="s">
        <v>424</v>
      </c>
      <c r="F4" s="186"/>
      <c r="G4" s="227" t="s">
        <v>422</v>
      </c>
      <c r="H4" s="177"/>
      <c r="I4" s="178"/>
      <c r="J4" s="178"/>
      <c r="K4" s="179"/>
      <c r="L4" s="177"/>
      <c r="M4" s="178"/>
      <c r="N4" s="178"/>
      <c r="O4" s="180"/>
      <c r="P4" s="180" t="s">
        <v>61</v>
      </c>
      <c r="Q4" s="180"/>
      <c r="R4" s="180"/>
      <c r="S4" s="180"/>
      <c r="T4" s="267">
        <v>45666</v>
      </c>
      <c r="U4" s="271">
        <v>45666</v>
      </c>
      <c r="V4" s="272"/>
      <c r="W4" s="273"/>
      <c r="X4" s="184"/>
      <c r="Y4" s="185" t="s">
        <v>425</v>
      </c>
      <c r="Z4" s="256" t="s">
        <v>1118</v>
      </c>
    </row>
    <row r="5" spans="1:26" ht="11.4" x14ac:dyDescent="0.15">
      <c r="A5" s="175">
        <f t="shared" si="0"/>
        <v>3</v>
      </c>
      <c r="B5" s="176"/>
      <c r="C5" s="176"/>
      <c r="D5" s="176"/>
      <c r="E5" s="176" t="s">
        <v>426</v>
      </c>
      <c r="F5" s="186"/>
      <c r="G5" s="227" t="s">
        <v>422</v>
      </c>
      <c r="H5" s="177"/>
      <c r="I5" s="178"/>
      <c r="J5" s="178"/>
      <c r="K5" s="179"/>
      <c r="L5" s="177"/>
      <c r="M5" s="178"/>
      <c r="N5" s="178"/>
      <c r="O5" s="180"/>
      <c r="P5" s="180" t="s">
        <v>61</v>
      </c>
      <c r="Q5" s="180"/>
      <c r="R5" s="180"/>
      <c r="S5" s="180"/>
      <c r="T5" s="267">
        <v>45666</v>
      </c>
      <c r="U5" s="271">
        <v>45666</v>
      </c>
      <c r="V5" s="272"/>
      <c r="W5" s="273"/>
      <c r="X5" s="184"/>
      <c r="Y5" s="185" t="s">
        <v>427</v>
      </c>
      <c r="Z5" s="256" t="s">
        <v>1118</v>
      </c>
    </row>
    <row r="6" spans="1:26" ht="11.4" x14ac:dyDescent="0.15">
      <c r="A6" s="175">
        <f t="shared" si="0"/>
        <v>4</v>
      </c>
      <c r="B6" s="176"/>
      <c r="C6" s="176"/>
      <c r="D6" s="176" t="s">
        <v>428</v>
      </c>
      <c r="E6" s="176" t="s">
        <v>426</v>
      </c>
      <c r="F6" s="186" t="s">
        <v>429</v>
      </c>
      <c r="G6" s="227" t="s">
        <v>430</v>
      </c>
      <c r="H6" s="177"/>
      <c r="I6" s="178"/>
      <c r="J6" s="178"/>
      <c r="K6" s="179"/>
      <c r="L6" s="177"/>
      <c r="M6" s="178"/>
      <c r="N6" s="178"/>
      <c r="O6" s="180"/>
      <c r="P6" s="180" t="s">
        <v>61</v>
      </c>
      <c r="Q6" s="180"/>
      <c r="R6" s="180"/>
      <c r="S6" s="180"/>
      <c r="T6" s="267">
        <v>45666</v>
      </c>
      <c r="U6" s="271">
        <v>45666</v>
      </c>
      <c r="V6" s="272"/>
      <c r="W6" s="273"/>
      <c r="X6" s="184"/>
      <c r="Y6" s="185" t="s">
        <v>427</v>
      </c>
      <c r="Z6" s="256" t="s">
        <v>1118</v>
      </c>
    </row>
    <row r="7" spans="1:26" ht="11.4" x14ac:dyDescent="0.15">
      <c r="A7" s="175">
        <f>ROW()-2</f>
        <v>5</v>
      </c>
      <c r="B7" s="176"/>
      <c r="C7" s="176" t="s">
        <v>431</v>
      </c>
      <c r="D7" s="176" t="s">
        <v>432</v>
      </c>
      <c r="E7" s="176" t="s">
        <v>433</v>
      </c>
      <c r="F7" s="186" t="s">
        <v>434</v>
      </c>
      <c r="G7" s="227" t="s">
        <v>55</v>
      </c>
      <c r="H7" s="177"/>
      <c r="I7" s="178"/>
      <c r="J7" s="178"/>
      <c r="K7" s="179"/>
      <c r="L7" s="177"/>
      <c r="M7" s="178"/>
      <c r="N7" s="178"/>
      <c r="O7" s="180"/>
      <c r="P7" s="180" t="s">
        <v>56</v>
      </c>
      <c r="Q7" s="180"/>
      <c r="R7" s="180"/>
      <c r="S7" s="180"/>
      <c r="T7" s="267">
        <v>45663</v>
      </c>
      <c r="U7" s="271">
        <v>45663</v>
      </c>
      <c r="V7" s="272"/>
      <c r="W7" s="273"/>
      <c r="X7" s="184"/>
      <c r="Y7" s="185" t="s">
        <v>435</v>
      </c>
    </row>
    <row r="8" spans="1:26" ht="11.4" x14ac:dyDescent="0.15">
      <c r="A8" s="175">
        <f t="shared" ref="A8:A13" si="1">ROW()-2</f>
        <v>6</v>
      </c>
      <c r="B8" s="176"/>
      <c r="C8" s="176"/>
      <c r="D8" s="176"/>
      <c r="E8" s="176"/>
      <c r="F8" s="186" t="s">
        <v>436</v>
      </c>
      <c r="G8" s="227" t="s">
        <v>55</v>
      </c>
      <c r="H8" s="177"/>
      <c r="I8" s="178"/>
      <c r="J8" s="178"/>
      <c r="K8" s="179"/>
      <c r="L8" s="177"/>
      <c r="M8" s="178"/>
      <c r="N8" s="178"/>
      <c r="O8" s="180"/>
      <c r="P8" s="180" t="s">
        <v>56</v>
      </c>
      <c r="Q8" s="180"/>
      <c r="R8" s="180"/>
      <c r="S8" s="180"/>
      <c r="T8" s="267">
        <v>45663</v>
      </c>
      <c r="U8" s="271">
        <v>45663</v>
      </c>
      <c r="V8" s="272"/>
      <c r="W8" s="273"/>
      <c r="X8" s="184"/>
      <c r="Y8" s="185" t="s">
        <v>435</v>
      </c>
    </row>
    <row r="9" spans="1:26" ht="11.4" x14ac:dyDescent="0.15">
      <c r="A9" s="175">
        <f t="shared" si="1"/>
        <v>7</v>
      </c>
      <c r="B9" s="176"/>
      <c r="C9" s="176"/>
      <c r="D9" s="176"/>
      <c r="E9" s="176"/>
      <c r="F9" s="186" t="s">
        <v>437</v>
      </c>
      <c r="G9" s="227" t="s">
        <v>55</v>
      </c>
      <c r="H9" s="177"/>
      <c r="I9" s="178"/>
      <c r="J9" s="178"/>
      <c r="K9" s="179"/>
      <c r="L9" s="177"/>
      <c r="M9" s="178"/>
      <c r="N9" s="178"/>
      <c r="O9" s="180"/>
      <c r="P9" s="180" t="s">
        <v>56</v>
      </c>
      <c r="Q9" s="180"/>
      <c r="R9" s="180"/>
      <c r="S9" s="180"/>
      <c r="T9" s="267">
        <v>45663</v>
      </c>
      <c r="U9" s="271">
        <v>45663</v>
      </c>
      <c r="V9" s="272"/>
      <c r="W9" s="358"/>
      <c r="X9" s="184"/>
      <c r="Y9" s="185" t="s">
        <v>435</v>
      </c>
    </row>
    <row r="10" spans="1:26" ht="11.4" x14ac:dyDescent="0.15">
      <c r="A10" s="175">
        <f t="shared" si="1"/>
        <v>8</v>
      </c>
      <c r="B10" s="176"/>
      <c r="C10" s="176"/>
      <c r="D10" s="176"/>
      <c r="E10" s="176"/>
      <c r="F10" s="186" t="s">
        <v>438</v>
      </c>
      <c r="G10" s="227" t="s">
        <v>55</v>
      </c>
      <c r="H10" s="177"/>
      <c r="I10" s="178"/>
      <c r="J10" s="178"/>
      <c r="K10" s="179"/>
      <c r="L10" s="177"/>
      <c r="M10" s="178"/>
      <c r="N10" s="178"/>
      <c r="O10" s="180"/>
      <c r="P10" s="180" t="s">
        <v>56</v>
      </c>
      <c r="Q10" s="180"/>
      <c r="R10" s="180"/>
      <c r="S10" s="180"/>
      <c r="T10" s="267">
        <v>45663</v>
      </c>
      <c r="U10" s="274"/>
      <c r="V10" s="272">
        <v>45665</v>
      </c>
      <c r="W10" s="358"/>
      <c r="X10" s="184"/>
      <c r="Y10" s="185" t="s">
        <v>435</v>
      </c>
    </row>
    <row r="11" spans="1:26" ht="11.4" x14ac:dyDescent="0.15">
      <c r="A11" s="175">
        <f t="shared" si="1"/>
        <v>9</v>
      </c>
      <c r="B11" s="176"/>
      <c r="C11" s="176"/>
      <c r="D11" s="176"/>
      <c r="E11" s="176"/>
      <c r="F11" s="186" t="s">
        <v>439</v>
      </c>
      <c r="G11" s="227" t="s">
        <v>55</v>
      </c>
      <c r="H11" s="177"/>
      <c r="I11" s="178"/>
      <c r="J11" s="178"/>
      <c r="K11" s="179"/>
      <c r="L11" s="177"/>
      <c r="M11" s="178"/>
      <c r="N11" s="178"/>
      <c r="O11" s="180"/>
      <c r="P11" s="180" t="s">
        <v>56</v>
      </c>
      <c r="Q11" s="180"/>
      <c r="R11" s="180"/>
      <c r="S11" s="180"/>
      <c r="T11" s="267">
        <v>45663</v>
      </c>
      <c r="U11" s="274">
        <v>45663</v>
      </c>
      <c r="V11" s="272"/>
      <c r="W11" s="358"/>
      <c r="X11" s="184"/>
      <c r="Y11" s="185" t="s">
        <v>435</v>
      </c>
    </row>
    <row r="12" spans="1:26" ht="11.4" x14ac:dyDescent="0.15">
      <c r="A12" s="175">
        <f t="shared" si="1"/>
        <v>10</v>
      </c>
      <c r="B12" s="176"/>
      <c r="C12" s="176"/>
      <c r="D12" s="176"/>
      <c r="E12" s="176"/>
      <c r="F12" s="186" t="s">
        <v>440</v>
      </c>
      <c r="G12" s="227" t="s">
        <v>55</v>
      </c>
      <c r="H12" s="177"/>
      <c r="I12" s="178"/>
      <c r="J12" s="178"/>
      <c r="K12" s="179"/>
      <c r="L12" s="177"/>
      <c r="M12" s="178"/>
      <c r="N12" s="178"/>
      <c r="O12" s="180"/>
      <c r="P12" s="180" t="s">
        <v>56</v>
      </c>
      <c r="Q12" s="180"/>
      <c r="R12" s="180"/>
      <c r="S12" s="180"/>
      <c r="T12" s="267">
        <v>45663</v>
      </c>
      <c r="U12" s="274"/>
      <c r="V12" s="272">
        <v>45665</v>
      </c>
      <c r="W12" s="358"/>
      <c r="X12" s="184"/>
      <c r="Y12" s="185" t="s">
        <v>435</v>
      </c>
    </row>
    <row r="13" spans="1:26" ht="11.4" x14ac:dyDescent="0.15">
      <c r="A13" s="175">
        <f t="shared" si="1"/>
        <v>11</v>
      </c>
      <c r="B13" s="176"/>
      <c r="C13" s="176"/>
      <c r="D13" s="176"/>
      <c r="E13" s="176" t="s">
        <v>441</v>
      </c>
      <c r="F13" s="186" t="s">
        <v>442</v>
      </c>
      <c r="G13" s="227" t="s">
        <v>55</v>
      </c>
      <c r="H13" s="177"/>
      <c r="I13" s="178"/>
      <c r="J13" s="178"/>
      <c r="K13" s="179"/>
      <c r="L13" s="177"/>
      <c r="M13" s="178"/>
      <c r="N13" s="178"/>
      <c r="O13" s="180"/>
      <c r="P13" s="180" t="s">
        <v>56</v>
      </c>
      <c r="Q13" s="180"/>
      <c r="R13" s="180"/>
      <c r="S13" s="180"/>
      <c r="T13" s="267">
        <v>45664</v>
      </c>
      <c r="U13" s="271">
        <v>45664</v>
      </c>
      <c r="V13" s="272"/>
      <c r="W13" s="358"/>
      <c r="X13" s="184"/>
      <c r="Y13" s="185" t="s">
        <v>435</v>
      </c>
    </row>
    <row r="14" spans="1:26" ht="11.4" x14ac:dyDescent="0.15">
      <c r="A14" s="175">
        <f t="shared" ref="A14:A299" si="2">ROW()-2</f>
        <v>12</v>
      </c>
      <c r="B14" s="176"/>
      <c r="C14" s="176"/>
      <c r="D14" s="176"/>
      <c r="E14" s="176"/>
      <c r="F14" s="186" t="s">
        <v>443</v>
      </c>
      <c r="G14" s="227" t="s">
        <v>55</v>
      </c>
      <c r="H14" s="177"/>
      <c r="I14" s="178"/>
      <c r="J14" s="178"/>
      <c r="K14" s="179"/>
      <c r="L14" s="177"/>
      <c r="M14" s="178"/>
      <c r="N14" s="178"/>
      <c r="O14" s="180"/>
      <c r="P14" s="180" t="s">
        <v>56</v>
      </c>
      <c r="Q14" s="180"/>
      <c r="R14" s="180"/>
      <c r="S14" s="180"/>
      <c r="T14" s="267">
        <v>45664</v>
      </c>
      <c r="U14" s="271">
        <v>45664</v>
      </c>
      <c r="V14" s="272"/>
      <c r="W14" s="273"/>
      <c r="X14" s="184"/>
      <c r="Y14" s="185" t="s">
        <v>435</v>
      </c>
    </row>
    <row r="15" spans="1:26" ht="11.4" x14ac:dyDescent="0.15">
      <c r="A15" s="175">
        <f t="shared" si="2"/>
        <v>13</v>
      </c>
      <c r="B15" s="176"/>
      <c r="C15" s="176"/>
      <c r="D15" s="176"/>
      <c r="E15" s="176"/>
      <c r="F15" s="186" t="s">
        <v>444</v>
      </c>
      <c r="G15" s="227" t="s">
        <v>55</v>
      </c>
      <c r="H15" s="177"/>
      <c r="I15" s="178"/>
      <c r="J15" s="178"/>
      <c r="K15" s="179"/>
      <c r="L15" s="177"/>
      <c r="M15" s="178"/>
      <c r="N15" s="178"/>
      <c r="O15" s="180"/>
      <c r="P15" s="180" t="s">
        <v>56</v>
      </c>
      <c r="Q15" s="180"/>
      <c r="R15" s="180"/>
      <c r="S15" s="180"/>
      <c r="T15" s="267">
        <v>45664</v>
      </c>
      <c r="U15" s="271">
        <v>45664</v>
      </c>
      <c r="V15" s="272"/>
      <c r="W15" s="273"/>
      <c r="X15" s="184"/>
      <c r="Y15" s="185" t="s">
        <v>435</v>
      </c>
    </row>
    <row r="16" spans="1:26" ht="11.4" x14ac:dyDescent="0.15">
      <c r="A16" s="175">
        <f t="shared" si="2"/>
        <v>14</v>
      </c>
      <c r="B16" s="176"/>
      <c r="C16" s="176"/>
      <c r="D16" s="176"/>
      <c r="E16" s="176" t="s">
        <v>445</v>
      </c>
      <c r="F16" s="186" t="s">
        <v>446</v>
      </c>
      <c r="G16" s="227" t="s">
        <v>55</v>
      </c>
      <c r="H16" s="177"/>
      <c r="I16" s="178"/>
      <c r="J16" s="178"/>
      <c r="K16" s="179"/>
      <c r="L16" s="177"/>
      <c r="M16" s="178"/>
      <c r="N16" s="178"/>
      <c r="O16" s="180"/>
      <c r="P16" s="180" t="s">
        <v>56</v>
      </c>
      <c r="Q16" s="180"/>
      <c r="R16" s="180"/>
      <c r="S16" s="180"/>
      <c r="T16" s="267">
        <v>45664</v>
      </c>
      <c r="U16" s="271">
        <v>45664</v>
      </c>
      <c r="V16" s="272"/>
      <c r="W16" s="273"/>
      <c r="X16" s="184"/>
      <c r="Y16" s="185" t="s">
        <v>435</v>
      </c>
    </row>
    <row r="17" spans="1:26" ht="11.4" x14ac:dyDescent="0.15">
      <c r="A17" s="175">
        <f t="shared" si="2"/>
        <v>15</v>
      </c>
      <c r="B17" s="176"/>
      <c r="C17" s="176"/>
      <c r="D17" s="176"/>
      <c r="E17" s="176"/>
      <c r="F17" s="186" t="s">
        <v>492</v>
      </c>
      <c r="G17" s="227" t="s">
        <v>55</v>
      </c>
      <c r="H17" s="177"/>
      <c r="I17" s="178"/>
      <c r="J17" s="178"/>
      <c r="K17" s="179"/>
      <c r="L17" s="177"/>
      <c r="M17" s="178"/>
      <c r="N17" s="178"/>
      <c r="O17" s="180"/>
      <c r="P17" s="180" t="s">
        <v>56</v>
      </c>
      <c r="Q17" s="180"/>
      <c r="R17" s="180"/>
      <c r="S17" s="180"/>
      <c r="T17" s="267">
        <v>45664</v>
      </c>
      <c r="U17" s="271">
        <v>45664</v>
      </c>
      <c r="V17" s="272"/>
      <c r="W17" s="273"/>
      <c r="X17" s="184"/>
      <c r="Y17" s="185" t="s">
        <v>435</v>
      </c>
    </row>
    <row r="18" spans="1:26" ht="11.4" x14ac:dyDescent="0.15">
      <c r="A18" s="175">
        <f t="shared" si="2"/>
        <v>16</v>
      </c>
      <c r="B18" s="176"/>
      <c r="C18" s="176"/>
      <c r="D18" s="176"/>
      <c r="E18" s="176"/>
      <c r="F18" s="186" t="s">
        <v>493</v>
      </c>
      <c r="G18" s="227" t="s">
        <v>55</v>
      </c>
      <c r="H18" s="177"/>
      <c r="I18" s="178"/>
      <c r="J18" s="178"/>
      <c r="K18" s="179"/>
      <c r="L18" s="177"/>
      <c r="M18" s="178"/>
      <c r="N18" s="178"/>
      <c r="O18" s="180"/>
      <c r="P18" s="180" t="s">
        <v>56</v>
      </c>
      <c r="Q18" s="180"/>
      <c r="R18" s="180"/>
      <c r="S18" s="180"/>
      <c r="T18" s="267">
        <v>45664</v>
      </c>
      <c r="U18" s="271">
        <v>45664</v>
      </c>
      <c r="V18" s="272"/>
      <c r="W18" s="273"/>
      <c r="X18" s="184"/>
      <c r="Y18" s="185" t="s">
        <v>435</v>
      </c>
    </row>
    <row r="19" spans="1:26" ht="11.4" x14ac:dyDescent="0.15">
      <c r="A19" s="175">
        <f t="shared" si="2"/>
        <v>17</v>
      </c>
      <c r="B19" s="176"/>
      <c r="C19" s="176"/>
      <c r="D19" s="176"/>
      <c r="E19" s="176"/>
      <c r="F19" s="186" t="s">
        <v>447</v>
      </c>
      <c r="G19" s="227" t="s">
        <v>55</v>
      </c>
      <c r="H19" s="177"/>
      <c r="I19" s="178"/>
      <c r="J19" s="178"/>
      <c r="K19" s="179"/>
      <c r="L19" s="177"/>
      <c r="M19" s="178"/>
      <c r="N19" s="178"/>
      <c r="O19" s="180"/>
      <c r="P19" s="180" t="s">
        <v>56</v>
      </c>
      <c r="Q19" s="180"/>
      <c r="R19" s="180"/>
      <c r="S19" s="180"/>
      <c r="T19" s="267">
        <v>45664</v>
      </c>
      <c r="U19" s="271">
        <v>45664</v>
      </c>
      <c r="V19" s="272"/>
      <c r="W19" s="273"/>
      <c r="X19" s="184"/>
      <c r="Y19" s="185" t="s">
        <v>435</v>
      </c>
    </row>
    <row r="20" spans="1:26" ht="11.4" x14ac:dyDescent="0.15">
      <c r="A20" s="175">
        <f t="shared" si="2"/>
        <v>18</v>
      </c>
      <c r="B20" s="176"/>
      <c r="C20" s="176"/>
      <c r="D20" s="176"/>
      <c r="E20" s="176"/>
      <c r="F20" s="186" t="s">
        <v>448</v>
      </c>
      <c r="G20" s="227" t="s">
        <v>55</v>
      </c>
      <c r="H20" s="177"/>
      <c r="I20" s="178"/>
      <c r="J20" s="178"/>
      <c r="K20" s="179"/>
      <c r="L20" s="177"/>
      <c r="M20" s="178"/>
      <c r="N20" s="178"/>
      <c r="O20" s="180"/>
      <c r="P20" s="180" t="s">
        <v>56</v>
      </c>
      <c r="Q20" s="180"/>
      <c r="R20" s="180"/>
      <c r="S20" s="180"/>
      <c r="T20" s="267">
        <v>45664</v>
      </c>
      <c r="U20" s="271">
        <v>45664</v>
      </c>
      <c r="V20" s="272"/>
      <c r="W20" s="273"/>
      <c r="X20" s="184"/>
      <c r="Y20" s="185" t="s">
        <v>435</v>
      </c>
    </row>
    <row r="21" spans="1:26" ht="11.4" x14ac:dyDescent="0.15">
      <c r="A21" s="175">
        <f t="shared" si="2"/>
        <v>19</v>
      </c>
      <c r="B21" s="176"/>
      <c r="C21" s="176"/>
      <c r="D21" s="176"/>
      <c r="E21" s="176"/>
      <c r="F21" s="186" t="s">
        <v>449</v>
      </c>
      <c r="G21" s="227" t="s">
        <v>55</v>
      </c>
      <c r="H21" s="177"/>
      <c r="I21" s="178"/>
      <c r="J21" s="178"/>
      <c r="K21" s="179"/>
      <c r="L21" s="177"/>
      <c r="M21" s="178"/>
      <c r="N21" s="178"/>
      <c r="O21" s="180"/>
      <c r="P21" s="180" t="s">
        <v>56</v>
      </c>
      <c r="Q21" s="180"/>
      <c r="R21" s="180"/>
      <c r="S21" s="180"/>
      <c r="T21" s="267">
        <v>45664</v>
      </c>
      <c r="U21" s="271">
        <v>45664</v>
      </c>
      <c r="V21" s="272"/>
      <c r="W21" s="273"/>
      <c r="X21" s="184"/>
      <c r="Y21" s="185" t="s">
        <v>435</v>
      </c>
    </row>
    <row r="22" spans="1:26" ht="11.4" x14ac:dyDescent="0.15">
      <c r="A22" s="175">
        <f t="shared" si="2"/>
        <v>20</v>
      </c>
      <c r="B22" s="176"/>
      <c r="C22" s="176"/>
      <c r="D22" s="176"/>
      <c r="E22" s="176"/>
      <c r="F22" s="186" t="s">
        <v>450</v>
      </c>
      <c r="G22" s="227" t="s">
        <v>55</v>
      </c>
      <c r="H22" s="177"/>
      <c r="I22" s="178"/>
      <c r="J22" s="178"/>
      <c r="K22" s="179"/>
      <c r="L22" s="177"/>
      <c r="M22" s="178"/>
      <c r="N22" s="178"/>
      <c r="O22" s="180"/>
      <c r="P22" s="180" t="s">
        <v>56</v>
      </c>
      <c r="Q22" s="180"/>
      <c r="R22" s="180"/>
      <c r="S22" s="180"/>
      <c r="T22" s="267">
        <v>45666</v>
      </c>
      <c r="U22" s="271">
        <v>45666</v>
      </c>
      <c r="V22" s="272"/>
      <c r="W22" s="273"/>
      <c r="X22" s="184"/>
      <c r="Y22" s="185" t="s">
        <v>435</v>
      </c>
      <c r="Z22" s="256" t="s">
        <v>1118</v>
      </c>
    </row>
    <row r="23" spans="1:26" ht="11.4" x14ac:dyDescent="0.15">
      <c r="A23" s="175">
        <f t="shared" si="2"/>
        <v>21</v>
      </c>
      <c r="B23" s="176"/>
      <c r="C23" s="176"/>
      <c r="D23" s="176"/>
      <c r="E23" s="176" t="s">
        <v>451</v>
      </c>
      <c r="F23" s="186" t="s">
        <v>452</v>
      </c>
      <c r="G23" s="227" t="s">
        <v>55</v>
      </c>
      <c r="H23" s="177"/>
      <c r="I23" s="178"/>
      <c r="J23" s="178"/>
      <c r="K23" s="179"/>
      <c r="L23" s="177"/>
      <c r="M23" s="178"/>
      <c r="N23" s="178"/>
      <c r="O23" s="180"/>
      <c r="P23" s="180" t="s">
        <v>56</v>
      </c>
      <c r="Q23" s="180"/>
      <c r="R23" s="180"/>
      <c r="S23" s="180"/>
      <c r="T23" s="267">
        <v>45665</v>
      </c>
      <c r="U23" s="271">
        <v>45665</v>
      </c>
      <c r="V23" s="272"/>
      <c r="W23" s="273"/>
      <c r="X23" s="184"/>
      <c r="Y23" s="185" t="s">
        <v>435</v>
      </c>
    </row>
    <row r="24" spans="1:26" ht="11.4" x14ac:dyDescent="0.15">
      <c r="A24" s="175">
        <f t="shared" si="2"/>
        <v>22</v>
      </c>
      <c r="B24" s="176"/>
      <c r="C24" s="176"/>
      <c r="D24" s="176"/>
      <c r="E24" s="176"/>
      <c r="F24" s="186" t="s">
        <v>453</v>
      </c>
      <c r="G24" s="227" t="s">
        <v>55</v>
      </c>
      <c r="H24" s="177"/>
      <c r="I24" s="178"/>
      <c r="J24" s="178"/>
      <c r="K24" s="179"/>
      <c r="L24" s="177"/>
      <c r="M24" s="178"/>
      <c r="N24" s="178"/>
      <c r="O24" s="180"/>
      <c r="P24" s="180" t="s">
        <v>56</v>
      </c>
      <c r="Q24" s="180"/>
      <c r="R24" s="180"/>
      <c r="S24" s="180"/>
      <c r="T24" s="267">
        <v>45665</v>
      </c>
      <c r="U24" s="271">
        <v>45665</v>
      </c>
      <c r="V24" s="272"/>
      <c r="W24" s="273"/>
      <c r="X24" s="184"/>
      <c r="Y24" s="185" t="s">
        <v>435</v>
      </c>
    </row>
    <row r="25" spans="1:26" ht="11.4" x14ac:dyDescent="0.15">
      <c r="A25" s="175">
        <f t="shared" si="2"/>
        <v>23</v>
      </c>
      <c r="B25" s="176"/>
      <c r="C25" s="176"/>
      <c r="D25" s="176"/>
      <c r="E25" s="176"/>
      <c r="F25" s="186" t="s">
        <v>454</v>
      </c>
      <c r="G25" s="227" t="s">
        <v>55</v>
      </c>
      <c r="H25" s="177"/>
      <c r="I25" s="178"/>
      <c r="J25" s="178"/>
      <c r="K25" s="179"/>
      <c r="L25" s="177"/>
      <c r="M25" s="178"/>
      <c r="N25" s="178"/>
      <c r="O25" s="180"/>
      <c r="P25" s="180" t="s">
        <v>56</v>
      </c>
      <c r="Q25" s="180"/>
      <c r="R25" s="180"/>
      <c r="S25" s="180"/>
      <c r="T25" s="267">
        <v>45665</v>
      </c>
      <c r="U25" s="271">
        <v>45665</v>
      </c>
      <c r="V25" s="272"/>
      <c r="W25" s="273"/>
      <c r="X25" s="184"/>
      <c r="Y25" s="185" t="s">
        <v>435</v>
      </c>
    </row>
    <row r="26" spans="1:26" ht="11.4" x14ac:dyDescent="0.15">
      <c r="A26" s="175">
        <f t="shared" si="2"/>
        <v>24</v>
      </c>
      <c r="B26" s="176"/>
      <c r="C26" s="176"/>
      <c r="D26" s="176"/>
      <c r="E26" s="176"/>
      <c r="F26" s="186" t="s">
        <v>455</v>
      </c>
      <c r="G26" s="227" t="s">
        <v>55</v>
      </c>
      <c r="H26" s="177"/>
      <c r="I26" s="178"/>
      <c r="J26" s="178"/>
      <c r="K26" s="179"/>
      <c r="L26" s="177"/>
      <c r="M26" s="178"/>
      <c r="N26" s="178"/>
      <c r="O26" s="180"/>
      <c r="P26" s="180" t="s">
        <v>56</v>
      </c>
      <c r="Q26" s="180"/>
      <c r="R26" s="180"/>
      <c r="S26" s="180"/>
      <c r="T26" s="267">
        <v>45665</v>
      </c>
      <c r="U26" s="271">
        <v>45665</v>
      </c>
      <c r="V26" s="272"/>
      <c r="W26" s="273"/>
      <c r="X26" s="184"/>
      <c r="Y26" s="185" t="s">
        <v>435</v>
      </c>
    </row>
    <row r="27" spans="1:26" ht="11.4" x14ac:dyDescent="0.15">
      <c r="A27" s="175">
        <f t="shared" si="2"/>
        <v>25</v>
      </c>
      <c r="B27" s="176"/>
      <c r="C27" s="176"/>
      <c r="D27" s="176"/>
      <c r="E27" s="176"/>
      <c r="F27" s="186" t="s">
        <v>456</v>
      </c>
      <c r="G27" s="227" t="s">
        <v>55</v>
      </c>
      <c r="H27" s="177"/>
      <c r="I27" s="178"/>
      <c r="J27" s="178"/>
      <c r="K27" s="179"/>
      <c r="L27" s="177"/>
      <c r="M27" s="178"/>
      <c r="N27" s="178"/>
      <c r="O27" s="180"/>
      <c r="P27" s="180" t="s">
        <v>56</v>
      </c>
      <c r="Q27" s="180"/>
      <c r="R27" s="180"/>
      <c r="S27" s="180"/>
      <c r="T27" s="267">
        <v>45665</v>
      </c>
      <c r="U27" s="271">
        <v>45665</v>
      </c>
      <c r="V27" s="272"/>
      <c r="W27" s="273"/>
      <c r="X27" s="184"/>
      <c r="Y27" s="185" t="s">
        <v>435</v>
      </c>
    </row>
    <row r="28" spans="1:26" ht="11.4" x14ac:dyDescent="0.15">
      <c r="A28" s="175">
        <f t="shared" si="2"/>
        <v>26</v>
      </c>
      <c r="B28" s="176"/>
      <c r="C28" s="176"/>
      <c r="D28" s="176"/>
      <c r="E28" s="176"/>
      <c r="F28" s="186" t="s">
        <v>457</v>
      </c>
      <c r="G28" s="227" t="s">
        <v>55</v>
      </c>
      <c r="H28" s="177"/>
      <c r="I28" s="178"/>
      <c r="J28" s="178"/>
      <c r="K28" s="179"/>
      <c r="L28" s="177"/>
      <c r="M28" s="178"/>
      <c r="N28" s="178"/>
      <c r="O28" s="180"/>
      <c r="P28" s="180" t="s">
        <v>56</v>
      </c>
      <c r="Q28" s="180"/>
      <c r="R28" s="180"/>
      <c r="S28" s="180"/>
      <c r="T28" s="267">
        <v>45665</v>
      </c>
      <c r="U28" s="271">
        <v>45665</v>
      </c>
      <c r="V28" s="272"/>
      <c r="W28" s="273"/>
      <c r="X28" s="184"/>
      <c r="Y28" s="185" t="s">
        <v>435</v>
      </c>
    </row>
    <row r="29" spans="1:26" ht="11.4" x14ac:dyDescent="0.15">
      <c r="A29" s="175">
        <f t="shared" si="2"/>
        <v>27</v>
      </c>
      <c r="B29" s="176"/>
      <c r="C29" s="176"/>
      <c r="D29" s="176"/>
      <c r="E29" s="176"/>
      <c r="F29" s="186" t="s">
        <v>458</v>
      </c>
      <c r="G29" s="227" t="s">
        <v>459</v>
      </c>
      <c r="H29" s="177"/>
      <c r="I29" s="178"/>
      <c r="J29" s="178"/>
      <c r="K29" s="179"/>
      <c r="L29" s="177"/>
      <c r="M29" s="178"/>
      <c r="N29" s="178"/>
      <c r="O29" s="180"/>
      <c r="P29" s="180" t="s">
        <v>56</v>
      </c>
      <c r="Q29" s="180"/>
      <c r="R29" s="180"/>
      <c r="S29" s="180"/>
      <c r="T29" s="267">
        <v>45665</v>
      </c>
      <c r="U29" s="271">
        <v>45665</v>
      </c>
      <c r="V29" s="272"/>
      <c r="W29" s="273"/>
      <c r="X29" s="184"/>
      <c r="Y29" s="185" t="s">
        <v>435</v>
      </c>
    </row>
    <row r="30" spans="1:26" ht="11.4" x14ac:dyDescent="0.15">
      <c r="A30" s="175">
        <f t="shared" si="2"/>
        <v>28</v>
      </c>
      <c r="B30" s="176"/>
      <c r="C30" s="176"/>
      <c r="D30" s="176"/>
      <c r="E30" s="176"/>
      <c r="F30" s="186" t="s">
        <v>460</v>
      </c>
      <c r="G30" s="227" t="s">
        <v>459</v>
      </c>
      <c r="H30" s="177"/>
      <c r="I30" s="178"/>
      <c r="J30" s="178"/>
      <c r="K30" s="179"/>
      <c r="L30" s="177"/>
      <c r="M30" s="178"/>
      <c r="N30" s="178"/>
      <c r="O30" s="180"/>
      <c r="P30" s="180" t="s">
        <v>56</v>
      </c>
      <c r="Q30" s="180"/>
      <c r="R30" s="180"/>
      <c r="S30" s="180"/>
      <c r="T30" s="267">
        <v>45665</v>
      </c>
      <c r="U30" s="271">
        <v>45665</v>
      </c>
      <c r="V30" s="272"/>
      <c r="W30" s="273"/>
      <c r="X30" s="184"/>
      <c r="Y30" s="185" t="s">
        <v>435</v>
      </c>
    </row>
    <row r="31" spans="1:26" ht="11.4" x14ac:dyDescent="0.15">
      <c r="A31" s="175">
        <f t="shared" si="2"/>
        <v>29</v>
      </c>
      <c r="B31" s="176"/>
      <c r="C31" s="176"/>
      <c r="D31" s="176"/>
      <c r="E31" s="176"/>
      <c r="F31" s="186" t="s">
        <v>461</v>
      </c>
      <c r="G31" s="227" t="s">
        <v>459</v>
      </c>
      <c r="H31" s="177"/>
      <c r="I31" s="178"/>
      <c r="J31" s="178"/>
      <c r="K31" s="179"/>
      <c r="L31" s="177"/>
      <c r="M31" s="178"/>
      <c r="N31" s="178"/>
      <c r="O31" s="180"/>
      <c r="P31" s="180" t="s">
        <v>56</v>
      </c>
      <c r="Q31" s="180"/>
      <c r="R31" s="180"/>
      <c r="S31" s="180"/>
      <c r="T31" s="267">
        <v>45665</v>
      </c>
      <c r="U31" s="271">
        <v>45665</v>
      </c>
      <c r="V31" s="272"/>
      <c r="W31" s="273"/>
      <c r="X31" s="184"/>
      <c r="Y31" s="185" t="s">
        <v>435</v>
      </c>
    </row>
    <row r="32" spans="1:26" ht="11.4" x14ac:dyDescent="0.15">
      <c r="A32" s="175">
        <f t="shared" si="2"/>
        <v>30</v>
      </c>
      <c r="B32" s="176"/>
      <c r="C32" s="176"/>
      <c r="D32" s="176"/>
      <c r="E32" s="176" t="s">
        <v>462</v>
      </c>
      <c r="F32" s="186" t="s">
        <v>463</v>
      </c>
      <c r="G32" s="227" t="s">
        <v>55</v>
      </c>
      <c r="H32" s="177"/>
      <c r="I32" s="178"/>
      <c r="J32" s="178"/>
      <c r="K32" s="179"/>
      <c r="L32" s="177"/>
      <c r="M32" s="178"/>
      <c r="N32" s="178"/>
      <c r="O32" s="180"/>
      <c r="P32" s="180" t="s">
        <v>56</v>
      </c>
      <c r="Q32" s="180"/>
      <c r="R32" s="180"/>
      <c r="S32" s="180"/>
      <c r="T32" s="267">
        <v>45665</v>
      </c>
      <c r="U32" s="271">
        <v>45665</v>
      </c>
      <c r="V32" s="272"/>
      <c r="W32" s="273"/>
      <c r="X32" s="184"/>
      <c r="Y32" s="185" t="s">
        <v>435</v>
      </c>
    </row>
    <row r="33" spans="1:26" ht="11.4" x14ac:dyDescent="0.15">
      <c r="A33" s="175">
        <f t="shared" si="2"/>
        <v>31</v>
      </c>
      <c r="B33" s="176"/>
      <c r="C33" s="176"/>
      <c r="D33" s="176"/>
      <c r="E33" s="176"/>
      <c r="F33" s="186" t="s">
        <v>464</v>
      </c>
      <c r="G33" s="227" t="s">
        <v>55</v>
      </c>
      <c r="H33" s="177"/>
      <c r="I33" s="178"/>
      <c r="J33" s="178"/>
      <c r="K33" s="179"/>
      <c r="L33" s="177"/>
      <c r="M33" s="178"/>
      <c r="N33" s="178"/>
      <c r="O33" s="180"/>
      <c r="P33" s="180" t="s">
        <v>56</v>
      </c>
      <c r="Q33" s="180"/>
      <c r="R33" s="180"/>
      <c r="S33" s="180"/>
      <c r="T33" s="267">
        <v>45665</v>
      </c>
      <c r="U33" s="271">
        <v>45665</v>
      </c>
      <c r="V33" s="272"/>
      <c r="W33" s="273"/>
      <c r="X33" s="184"/>
      <c r="Y33" s="185" t="s">
        <v>435</v>
      </c>
    </row>
    <row r="34" spans="1:26" ht="11.4" x14ac:dyDescent="0.15">
      <c r="A34" s="175">
        <f t="shared" si="2"/>
        <v>32</v>
      </c>
      <c r="B34" s="176"/>
      <c r="C34" s="176"/>
      <c r="D34" s="176"/>
      <c r="E34" s="176"/>
      <c r="F34" s="186" t="s">
        <v>465</v>
      </c>
      <c r="G34" s="227" t="s">
        <v>55</v>
      </c>
      <c r="H34" s="177"/>
      <c r="I34" s="178"/>
      <c r="J34" s="178"/>
      <c r="K34" s="179"/>
      <c r="L34" s="177"/>
      <c r="M34" s="178"/>
      <c r="N34" s="178"/>
      <c r="O34" s="180"/>
      <c r="P34" s="180" t="s">
        <v>56</v>
      </c>
      <c r="Q34" s="180"/>
      <c r="R34" s="180"/>
      <c r="S34" s="180"/>
      <c r="T34" s="267">
        <v>45665</v>
      </c>
      <c r="U34" s="271">
        <v>45665</v>
      </c>
      <c r="V34" s="277"/>
      <c r="W34" s="273"/>
      <c r="X34" s="184"/>
      <c r="Y34" s="185" t="s">
        <v>435</v>
      </c>
    </row>
    <row r="35" spans="1:26" ht="11.4" x14ac:dyDescent="0.15">
      <c r="A35" s="175">
        <f t="shared" si="2"/>
        <v>33</v>
      </c>
      <c r="B35" s="176"/>
      <c r="C35" s="176"/>
      <c r="D35" s="176" t="s">
        <v>59</v>
      </c>
      <c r="E35" s="176" t="s">
        <v>433</v>
      </c>
      <c r="F35" s="186" t="s">
        <v>466</v>
      </c>
      <c r="G35" s="227" t="s">
        <v>467</v>
      </c>
      <c r="H35" s="177"/>
      <c r="I35" s="178"/>
      <c r="J35" s="178"/>
      <c r="K35" s="179"/>
      <c r="L35" s="177"/>
      <c r="M35" s="178"/>
      <c r="N35" s="178"/>
      <c r="O35" s="180"/>
      <c r="P35" s="180"/>
      <c r="Q35" s="180"/>
      <c r="R35" s="180" t="s">
        <v>61</v>
      </c>
      <c r="S35" s="180"/>
      <c r="T35" s="267">
        <v>45663</v>
      </c>
      <c r="U35" s="275"/>
      <c r="V35" s="278">
        <v>45663</v>
      </c>
      <c r="W35" s="276"/>
      <c r="X35" s="184"/>
      <c r="Y35" s="185" t="s">
        <v>1116</v>
      </c>
    </row>
    <row r="36" spans="1:26" ht="11.4" x14ac:dyDescent="0.15">
      <c r="A36" s="175">
        <f t="shared" si="2"/>
        <v>34</v>
      </c>
      <c r="B36" s="176"/>
      <c r="C36" s="176"/>
      <c r="D36" s="176"/>
      <c r="E36" s="176" t="s">
        <v>441</v>
      </c>
      <c r="F36" s="186"/>
      <c r="G36" s="227" t="s">
        <v>467</v>
      </c>
      <c r="H36" s="177"/>
      <c r="I36" s="178"/>
      <c r="J36" s="178"/>
      <c r="K36" s="179"/>
      <c r="L36" s="177"/>
      <c r="M36" s="178"/>
      <c r="N36" s="178"/>
      <c r="O36" s="180"/>
      <c r="P36" s="180"/>
      <c r="Q36" s="180"/>
      <c r="R36" s="180" t="s">
        <v>61</v>
      </c>
      <c r="S36" s="180"/>
      <c r="T36" s="267">
        <v>45665</v>
      </c>
      <c r="U36" s="271"/>
      <c r="V36" s="272">
        <v>45665</v>
      </c>
      <c r="W36" s="276"/>
      <c r="X36" s="184"/>
      <c r="Y36" s="185" t="s">
        <v>468</v>
      </c>
    </row>
    <row r="37" spans="1:26" ht="11.4" x14ac:dyDescent="0.15">
      <c r="A37" s="175">
        <f t="shared" si="2"/>
        <v>35</v>
      </c>
      <c r="B37" s="176"/>
      <c r="C37" s="176"/>
      <c r="D37" s="176"/>
      <c r="E37" s="176" t="s">
        <v>445</v>
      </c>
      <c r="F37" s="186"/>
      <c r="G37" s="227" t="s">
        <v>467</v>
      </c>
      <c r="H37" s="177"/>
      <c r="I37" s="178"/>
      <c r="J37" s="178"/>
      <c r="K37" s="179"/>
      <c r="L37" s="177"/>
      <c r="M37" s="178"/>
      <c r="N37" s="178"/>
      <c r="O37" s="180"/>
      <c r="P37" s="180"/>
      <c r="Q37" s="180"/>
      <c r="R37" s="180" t="s">
        <v>61</v>
      </c>
      <c r="S37" s="180"/>
      <c r="T37" s="267">
        <v>45665</v>
      </c>
      <c r="U37" s="271"/>
      <c r="V37" s="272">
        <v>45665</v>
      </c>
      <c r="W37" s="276"/>
      <c r="X37" s="184"/>
      <c r="Y37" s="185" t="s">
        <v>469</v>
      </c>
    </row>
    <row r="38" spans="1:26" ht="11.4" x14ac:dyDescent="0.15">
      <c r="A38" s="175">
        <f t="shared" si="2"/>
        <v>36</v>
      </c>
      <c r="B38" s="176"/>
      <c r="C38" s="176"/>
      <c r="D38" s="176"/>
      <c r="E38" s="176" t="s">
        <v>451</v>
      </c>
      <c r="F38" s="186"/>
      <c r="G38" s="227" t="s">
        <v>467</v>
      </c>
      <c r="H38" s="177"/>
      <c r="I38" s="178"/>
      <c r="J38" s="178"/>
      <c r="K38" s="179"/>
      <c r="L38" s="177"/>
      <c r="M38" s="178"/>
      <c r="N38" s="178"/>
      <c r="O38" s="180"/>
      <c r="P38" s="180"/>
      <c r="Q38" s="180"/>
      <c r="R38" s="180" t="s">
        <v>61</v>
      </c>
      <c r="S38" s="180"/>
      <c r="T38" s="267">
        <v>45665</v>
      </c>
      <c r="U38" s="271"/>
      <c r="V38" s="272">
        <v>45665</v>
      </c>
      <c r="W38" s="276"/>
      <c r="X38" s="184"/>
      <c r="Y38" s="185" t="s">
        <v>470</v>
      </c>
    </row>
    <row r="39" spans="1:26" ht="11.4" x14ac:dyDescent="0.15">
      <c r="A39" s="175">
        <f t="shared" si="2"/>
        <v>37</v>
      </c>
      <c r="B39" s="176"/>
      <c r="C39" s="176"/>
      <c r="D39" s="176"/>
      <c r="E39" s="176" t="s">
        <v>462</v>
      </c>
      <c r="F39" s="186"/>
      <c r="G39" s="227" t="s">
        <v>467</v>
      </c>
      <c r="H39" s="177"/>
      <c r="I39" s="178"/>
      <c r="J39" s="178"/>
      <c r="K39" s="179"/>
      <c r="L39" s="177"/>
      <c r="M39" s="178"/>
      <c r="N39" s="178"/>
      <c r="O39" s="180"/>
      <c r="P39" s="180"/>
      <c r="Q39" s="180"/>
      <c r="R39" s="180" t="s">
        <v>61</v>
      </c>
      <c r="S39" s="180"/>
      <c r="T39" s="267">
        <v>45665</v>
      </c>
      <c r="U39" s="271"/>
      <c r="V39" s="272">
        <v>45665</v>
      </c>
      <c r="W39" s="276"/>
      <c r="X39" s="184"/>
      <c r="Y39" s="185" t="s">
        <v>471</v>
      </c>
    </row>
    <row r="40" spans="1:26" ht="11.4" x14ac:dyDescent="0.15">
      <c r="A40" s="175">
        <f t="shared" si="2"/>
        <v>38</v>
      </c>
      <c r="B40" s="176"/>
      <c r="C40" s="176"/>
      <c r="D40" s="176"/>
      <c r="E40" s="176" t="s">
        <v>404</v>
      </c>
      <c r="F40" s="186"/>
      <c r="G40" s="227" t="s">
        <v>60</v>
      </c>
      <c r="H40" s="177"/>
      <c r="I40" s="178"/>
      <c r="J40" s="178"/>
      <c r="K40" s="179"/>
      <c r="L40" s="177"/>
      <c r="M40" s="178"/>
      <c r="N40" s="178"/>
      <c r="O40" s="180"/>
      <c r="P40" s="180"/>
      <c r="Q40" s="180"/>
      <c r="R40" s="180" t="s">
        <v>61</v>
      </c>
      <c r="S40" s="180"/>
      <c r="T40" s="267">
        <v>45663</v>
      </c>
      <c r="U40" s="271">
        <v>45663</v>
      </c>
      <c r="V40" s="272"/>
      <c r="W40" s="273"/>
      <c r="X40" s="184"/>
      <c r="Y40" s="185" t="s">
        <v>472</v>
      </c>
    </row>
    <row r="41" spans="1:26" ht="11.4" x14ac:dyDescent="0.15">
      <c r="A41" s="175">
        <f t="shared" si="2"/>
        <v>39</v>
      </c>
      <c r="B41" s="176"/>
      <c r="C41" s="176"/>
      <c r="D41" s="176" t="s">
        <v>63</v>
      </c>
      <c r="E41" s="176" t="s">
        <v>473</v>
      </c>
      <c r="F41" s="186"/>
      <c r="G41" s="227" t="s">
        <v>64</v>
      </c>
      <c r="H41" s="177"/>
      <c r="I41" s="178"/>
      <c r="J41" s="178"/>
      <c r="K41" s="179"/>
      <c r="L41" s="177"/>
      <c r="M41" s="178"/>
      <c r="N41" s="178"/>
      <c r="O41" s="180"/>
      <c r="P41" s="180"/>
      <c r="Q41" s="180"/>
      <c r="R41" s="180" t="s">
        <v>61</v>
      </c>
      <c r="S41" s="180"/>
      <c r="T41" s="267">
        <v>45663</v>
      </c>
      <c r="U41" s="274"/>
      <c r="V41" s="271">
        <v>45663</v>
      </c>
      <c r="W41" s="273"/>
      <c r="X41" s="184"/>
      <c r="Y41" s="185" t="s">
        <v>474</v>
      </c>
      <c r="Z41" s="256" t="s">
        <v>1131</v>
      </c>
    </row>
    <row r="42" spans="1:26" ht="11.4" x14ac:dyDescent="0.15">
      <c r="A42" s="175">
        <f t="shared" si="2"/>
        <v>40</v>
      </c>
      <c r="B42" s="176"/>
      <c r="C42" s="176"/>
      <c r="D42" s="176"/>
      <c r="E42" s="176" t="s">
        <v>475</v>
      </c>
      <c r="F42" s="186"/>
      <c r="G42" s="227" t="s">
        <v>64</v>
      </c>
      <c r="H42" s="177"/>
      <c r="I42" s="178"/>
      <c r="J42" s="178"/>
      <c r="K42" s="179"/>
      <c r="L42" s="177"/>
      <c r="M42" s="178"/>
      <c r="N42" s="178"/>
      <c r="O42" s="180"/>
      <c r="P42" s="180"/>
      <c r="Q42" s="180"/>
      <c r="R42" s="180" t="s">
        <v>61</v>
      </c>
      <c r="S42" s="180"/>
      <c r="T42" s="267">
        <v>45663</v>
      </c>
      <c r="U42" s="274"/>
      <c r="V42" s="271">
        <v>45663</v>
      </c>
      <c r="W42" s="273"/>
      <c r="X42" s="184"/>
      <c r="Y42" s="185" t="s">
        <v>476</v>
      </c>
      <c r="Z42" s="256" t="s">
        <v>1131</v>
      </c>
    </row>
    <row r="43" spans="1:26" ht="11.4" x14ac:dyDescent="0.15">
      <c r="A43" s="175">
        <f t="shared" si="2"/>
        <v>41</v>
      </c>
      <c r="B43" s="176"/>
      <c r="C43" s="176"/>
      <c r="D43" s="176"/>
      <c r="E43" s="176" t="s">
        <v>431</v>
      </c>
      <c r="F43" s="186"/>
      <c r="G43" s="227" t="s">
        <v>64</v>
      </c>
      <c r="H43" s="177"/>
      <c r="I43" s="178"/>
      <c r="J43" s="178"/>
      <c r="K43" s="179"/>
      <c r="L43" s="177"/>
      <c r="M43" s="178"/>
      <c r="N43" s="178"/>
      <c r="O43" s="180"/>
      <c r="P43" s="180"/>
      <c r="Q43" s="180"/>
      <c r="R43" s="180" t="s">
        <v>61</v>
      </c>
      <c r="S43" s="180"/>
      <c r="T43" s="267">
        <v>45663</v>
      </c>
      <c r="U43" s="274"/>
      <c r="V43" s="271">
        <v>45663</v>
      </c>
      <c r="W43" s="273"/>
      <c r="X43" s="184"/>
      <c r="Y43" s="185" t="s">
        <v>477</v>
      </c>
      <c r="Z43" s="236" t="s">
        <v>1132</v>
      </c>
    </row>
    <row r="44" spans="1:26" ht="11.4" x14ac:dyDescent="0.15">
      <c r="A44" s="175">
        <f t="shared" si="2"/>
        <v>42</v>
      </c>
      <c r="B44" s="176"/>
      <c r="C44" s="176"/>
      <c r="D44" s="176"/>
      <c r="E44" s="176" t="s">
        <v>66</v>
      </c>
      <c r="F44" s="186"/>
      <c r="G44" s="227" t="s">
        <v>64</v>
      </c>
      <c r="H44" s="177"/>
      <c r="I44" s="178"/>
      <c r="J44" s="178"/>
      <c r="K44" s="179"/>
      <c r="L44" s="177"/>
      <c r="M44" s="178"/>
      <c r="N44" s="178"/>
      <c r="O44" s="180"/>
      <c r="P44" s="180"/>
      <c r="Q44" s="180"/>
      <c r="R44" s="180" t="s">
        <v>61</v>
      </c>
      <c r="S44" s="180"/>
      <c r="T44" s="267">
        <v>45663</v>
      </c>
      <c r="U44" s="274"/>
      <c r="V44" s="271">
        <v>45663</v>
      </c>
      <c r="W44" s="273"/>
      <c r="X44" s="184"/>
      <c r="Y44" s="185" t="s">
        <v>67</v>
      </c>
      <c r="Z44" s="236" t="s">
        <v>1132</v>
      </c>
    </row>
    <row r="45" spans="1:26" ht="11.4" x14ac:dyDescent="0.15">
      <c r="A45" s="175">
        <f t="shared" si="2"/>
        <v>43</v>
      </c>
      <c r="B45" s="176"/>
      <c r="C45" s="176"/>
      <c r="D45" s="176"/>
      <c r="E45" s="176" t="s">
        <v>68</v>
      </c>
      <c r="F45" s="186"/>
      <c r="G45" s="227" t="s">
        <v>64</v>
      </c>
      <c r="H45" s="177"/>
      <c r="I45" s="178"/>
      <c r="J45" s="178"/>
      <c r="K45" s="179"/>
      <c r="L45" s="177"/>
      <c r="M45" s="178"/>
      <c r="N45" s="178"/>
      <c r="O45" s="180"/>
      <c r="P45" s="180"/>
      <c r="Q45" s="180"/>
      <c r="R45" s="180" t="s">
        <v>61</v>
      </c>
      <c r="S45" s="180"/>
      <c r="T45" s="267">
        <v>45663</v>
      </c>
      <c r="U45" s="274">
        <v>45666</v>
      </c>
      <c r="V45" s="272"/>
      <c r="W45" s="273"/>
      <c r="X45" s="184"/>
      <c r="Y45" s="185" t="s">
        <v>69</v>
      </c>
    </row>
    <row r="46" spans="1:26" ht="11.4" x14ac:dyDescent="0.15">
      <c r="A46" s="175">
        <f t="shared" si="2"/>
        <v>44</v>
      </c>
      <c r="B46" s="176"/>
      <c r="C46" s="176"/>
      <c r="D46" s="176" t="s">
        <v>72</v>
      </c>
      <c r="E46" s="176" t="s">
        <v>73</v>
      </c>
      <c r="F46" s="186"/>
      <c r="G46" s="227" t="s">
        <v>64</v>
      </c>
      <c r="H46" s="177"/>
      <c r="I46" s="178"/>
      <c r="J46" s="178"/>
      <c r="K46" s="179"/>
      <c r="L46" s="177"/>
      <c r="M46" s="178"/>
      <c r="N46" s="178"/>
      <c r="O46" s="180"/>
      <c r="P46" s="180"/>
      <c r="Q46" s="180"/>
      <c r="R46" s="180" t="s">
        <v>61</v>
      </c>
      <c r="S46" s="180"/>
      <c r="T46" s="267">
        <v>45663</v>
      </c>
      <c r="U46" s="274"/>
      <c r="V46" s="271">
        <v>45663</v>
      </c>
      <c r="W46" s="273"/>
      <c r="X46" s="184"/>
      <c r="Y46" s="185" t="s">
        <v>71</v>
      </c>
      <c r="Z46" s="256" t="s">
        <v>1131</v>
      </c>
    </row>
    <row r="47" spans="1:26" ht="11.4" x14ac:dyDescent="0.15">
      <c r="A47" s="175">
        <f t="shared" si="2"/>
        <v>45</v>
      </c>
      <c r="B47" s="176"/>
      <c r="C47" s="176"/>
      <c r="D47" s="176"/>
      <c r="E47" s="176" t="s">
        <v>76</v>
      </c>
      <c r="F47" s="186"/>
      <c r="G47" s="227" t="s">
        <v>74</v>
      </c>
      <c r="H47" s="177"/>
      <c r="I47" s="178"/>
      <c r="J47" s="178"/>
      <c r="K47" s="179"/>
      <c r="L47" s="177"/>
      <c r="M47" s="178"/>
      <c r="N47" s="178"/>
      <c r="O47" s="180" t="s">
        <v>56</v>
      </c>
      <c r="P47" s="180"/>
      <c r="Q47" s="180"/>
      <c r="R47" s="180"/>
      <c r="S47" s="180"/>
      <c r="T47" s="267">
        <v>45663</v>
      </c>
      <c r="U47" s="271">
        <v>45663</v>
      </c>
      <c r="V47" s="272"/>
      <c r="W47" s="273"/>
      <c r="X47" s="184"/>
      <c r="Y47" s="185" t="s">
        <v>478</v>
      </c>
    </row>
    <row r="48" spans="1:26" ht="11.4" x14ac:dyDescent="0.15">
      <c r="A48" s="175">
        <f t="shared" si="2"/>
        <v>46</v>
      </c>
      <c r="B48" s="176"/>
      <c r="C48" s="176"/>
      <c r="D48" s="176"/>
      <c r="E48" s="176"/>
      <c r="F48" s="186" t="s">
        <v>479</v>
      </c>
      <c r="G48" s="227" t="s">
        <v>78</v>
      </c>
      <c r="H48" s="177"/>
      <c r="I48" s="178"/>
      <c r="J48" s="178"/>
      <c r="K48" s="179"/>
      <c r="L48" s="177"/>
      <c r="M48" s="178"/>
      <c r="N48" s="178"/>
      <c r="O48" s="180" t="s">
        <v>56</v>
      </c>
      <c r="P48" s="180"/>
      <c r="Q48" s="180"/>
      <c r="R48" s="180"/>
      <c r="S48" s="180"/>
      <c r="T48" s="267">
        <v>45666</v>
      </c>
      <c r="U48" s="271"/>
      <c r="V48" s="272">
        <v>45666</v>
      </c>
      <c r="W48" s="273"/>
      <c r="X48" s="184"/>
      <c r="Y48" s="185" t="s">
        <v>480</v>
      </c>
      <c r="Z48" s="256" t="s">
        <v>1133</v>
      </c>
    </row>
    <row r="49" spans="1:26" ht="11.4" x14ac:dyDescent="0.15">
      <c r="A49" s="175">
        <f t="shared" si="2"/>
        <v>47</v>
      </c>
      <c r="B49" s="176"/>
      <c r="C49" s="176"/>
      <c r="D49" s="176"/>
      <c r="E49" s="176"/>
      <c r="F49" s="186" t="s">
        <v>481</v>
      </c>
      <c r="G49" s="227" t="s">
        <v>78</v>
      </c>
      <c r="H49" s="177"/>
      <c r="I49" s="178"/>
      <c r="J49" s="178"/>
      <c r="K49" s="179"/>
      <c r="L49" s="177"/>
      <c r="M49" s="178"/>
      <c r="N49" s="178"/>
      <c r="O49" s="180" t="s">
        <v>56</v>
      </c>
      <c r="P49" s="180"/>
      <c r="Q49" s="180"/>
      <c r="R49" s="180"/>
      <c r="S49" s="180"/>
      <c r="T49" s="267">
        <v>45666</v>
      </c>
      <c r="U49" s="271">
        <v>45666</v>
      </c>
      <c r="V49" s="272"/>
      <c r="W49" s="273"/>
      <c r="X49" s="184"/>
      <c r="Y49" s="185" t="s">
        <v>482</v>
      </c>
    </row>
    <row r="50" spans="1:26" ht="11.4" x14ac:dyDescent="0.15">
      <c r="A50" s="175">
        <f t="shared" si="2"/>
        <v>48</v>
      </c>
      <c r="B50" s="176"/>
      <c r="C50" s="176"/>
      <c r="D50" s="176"/>
      <c r="E50" s="176"/>
      <c r="F50" s="186" t="s">
        <v>483</v>
      </c>
      <c r="G50" s="227" t="s">
        <v>81</v>
      </c>
      <c r="H50" s="177"/>
      <c r="I50" s="178"/>
      <c r="J50" s="178"/>
      <c r="K50" s="179"/>
      <c r="L50" s="177"/>
      <c r="M50" s="178"/>
      <c r="N50" s="178"/>
      <c r="O50" s="180" t="s">
        <v>56</v>
      </c>
      <c r="P50" s="180"/>
      <c r="Q50" s="180"/>
      <c r="R50" s="180"/>
      <c r="S50" s="180"/>
      <c r="T50" s="267">
        <v>45666</v>
      </c>
      <c r="U50" s="271">
        <v>45666</v>
      </c>
      <c r="V50" s="272"/>
      <c r="W50" s="273"/>
      <c r="X50" s="184"/>
      <c r="Y50" s="185" t="s">
        <v>484</v>
      </c>
    </row>
    <row r="51" spans="1:26" ht="11.4" x14ac:dyDescent="0.15">
      <c r="A51" s="175">
        <f t="shared" si="2"/>
        <v>49</v>
      </c>
      <c r="B51" s="176"/>
      <c r="C51" s="176" t="s">
        <v>83</v>
      </c>
      <c r="D51" s="176" t="s">
        <v>432</v>
      </c>
      <c r="E51" s="176" t="s">
        <v>433</v>
      </c>
      <c r="F51" s="186" t="s">
        <v>434</v>
      </c>
      <c r="G51" s="227" t="s">
        <v>55</v>
      </c>
      <c r="H51" s="177"/>
      <c r="I51" s="178"/>
      <c r="J51" s="178"/>
      <c r="K51" s="179"/>
      <c r="L51" s="177"/>
      <c r="M51" s="178"/>
      <c r="N51" s="178"/>
      <c r="O51" s="180"/>
      <c r="P51" s="180" t="s">
        <v>56</v>
      </c>
      <c r="Q51" s="180"/>
      <c r="R51" s="180"/>
      <c r="S51" s="180"/>
      <c r="T51" s="267">
        <v>45663</v>
      </c>
      <c r="U51" s="271">
        <v>45663</v>
      </c>
      <c r="V51" s="272"/>
      <c r="W51" s="273"/>
      <c r="X51" s="184"/>
      <c r="Y51" s="185" t="s">
        <v>485</v>
      </c>
    </row>
    <row r="52" spans="1:26" ht="11.4" x14ac:dyDescent="0.15">
      <c r="A52" s="175">
        <f t="shared" si="2"/>
        <v>50</v>
      </c>
      <c r="B52" s="176"/>
      <c r="C52" s="176"/>
      <c r="D52" s="176"/>
      <c r="E52" s="176"/>
      <c r="F52" s="186" t="s">
        <v>436</v>
      </c>
      <c r="G52" s="227" t="s">
        <v>55</v>
      </c>
      <c r="H52" s="177"/>
      <c r="I52" s="178"/>
      <c r="J52" s="178"/>
      <c r="K52" s="179"/>
      <c r="L52" s="177"/>
      <c r="M52" s="178"/>
      <c r="N52" s="178"/>
      <c r="O52" s="180"/>
      <c r="P52" s="180" t="s">
        <v>56</v>
      </c>
      <c r="Q52" s="180"/>
      <c r="R52" s="180"/>
      <c r="S52" s="180"/>
      <c r="T52" s="267">
        <v>45663</v>
      </c>
      <c r="U52" s="271">
        <v>45663</v>
      </c>
      <c r="V52" s="272"/>
      <c r="W52" s="273"/>
      <c r="X52" s="184"/>
      <c r="Y52" s="185" t="s">
        <v>485</v>
      </c>
    </row>
    <row r="53" spans="1:26" ht="11.4" x14ac:dyDescent="0.15">
      <c r="A53" s="175">
        <f t="shared" si="2"/>
        <v>51</v>
      </c>
      <c r="B53" s="176"/>
      <c r="C53" s="176"/>
      <c r="D53" s="176"/>
      <c r="E53" s="176"/>
      <c r="F53" s="186" t="s">
        <v>437</v>
      </c>
      <c r="G53" s="227" t="s">
        <v>55</v>
      </c>
      <c r="H53" s="177"/>
      <c r="I53" s="178"/>
      <c r="J53" s="178"/>
      <c r="K53" s="179"/>
      <c r="L53" s="177"/>
      <c r="M53" s="178"/>
      <c r="N53" s="178"/>
      <c r="O53" s="180"/>
      <c r="P53" s="180" t="s">
        <v>56</v>
      </c>
      <c r="Q53" s="180"/>
      <c r="R53" s="180"/>
      <c r="S53" s="180"/>
      <c r="T53" s="267">
        <v>45663</v>
      </c>
      <c r="U53" s="274">
        <v>45663</v>
      </c>
      <c r="V53" s="272"/>
      <c r="W53" s="273"/>
      <c r="X53" s="184"/>
      <c r="Y53" s="185" t="s">
        <v>485</v>
      </c>
    </row>
    <row r="54" spans="1:26" ht="11.4" x14ac:dyDescent="0.15">
      <c r="A54" s="175">
        <f t="shared" si="2"/>
        <v>52</v>
      </c>
      <c r="B54" s="176"/>
      <c r="C54" s="176"/>
      <c r="D54" s="176"/>
      <c r="E54" s="176"/>
      <c r="F54" s="186" t="s">
        <v>438</v>
      </c>
      <c r="G54" s="227" t="s">
        <v>55</v>
      </c>
      <c r="H54" s="177"/>
      <c r="I54" s="178"/>
      <c r="J54" s="178"/>
      <c r="K54" s="179"/>
      <c r="L54" s="177"/>
      <c r="M54" s="178"/>
      <c r="N54" s="178"/>
      <c r="O54" s="180"/>
      <c r="P54" s="180" t="s">
        <v>56</v>
      </c>
      <c r="Q54" s="180"/>
      <c r="R54" s="180"/>
      <c r="S54" s="180"/>
      <c r="T54" s="267">
        <v>45663</v>
      </c>
      <c r="U54" s="274"/>
      <c r="V54" s="272">
        <v>45665</v>
      </c>
      <c r="W54" s="302"/>
      <c r="X54" s="184"/>
      <c r="Y54" s="185" t="s">
        <v>485</v>
      </c>
      <c r="Z54" s="256" t="s">
        <v>1135</v>
      </c>
    </row>
    <row r="55" spans="1:26" ht="11.4" x14ac:dyDescent="0.15">
      <c r="A55" s="175">
        <f t="shared" si="2"/>
        <v>53</v>
      </c>
      <c r="B55" s="176"/>
      <c r="C55" s="176"/>
      <c r="D55" s="176"/>
      <c r="E55" s="176"/>
      <c r="F55" s="186" t="s">
        <v>439</v>
      </c>
      <c r="G55" s="227" t="s">
        <v>55</v>
      </c>
      <c r="H55" s="177"/>
      <c r="I55" s="178"/>
      <c r="J55" s="178"/>
      <c r="K55" s="179"/>
      <c r="L55" s="177"/>
      <c r="M55" s="178"/>
      <c r="N55" s="178"/>
      <c r="O55" s="180"/>
      <c r="P55" s="180" t="s">
        <v>56</v>
      </c>
      <c r="Q55" s="180"/>
      <c r="R55" s="180"/>
      <c r="S55" s="180"/>
      <c r="T55" s="267">
        <v>45663</v>
      </c>
      <c r="U55" s="274">
        <v>45663</v>
      </c>
      <c r="V55" s="272"/>
      <c r="W55" s="273"/>
      <c r="X55" s="184"/>
      <c r="Y55" s="185" t="s">
        <v>485</v>
      </c>
    </row>
    <row r="56" spans="1:26" ht="11.4" x14ac:dyDescent="0.15">
      <c r="A56" s="279">
        <f t="shared" si="2"/>
        <v>54</v>
      </c>
      <c r="B56" s="280"/>
      <c r="C56" s="280"/>
      <c r="D56" s="280"/>
      <c r="E56" s="280"/>
      <c r="F56" s="281" t="s">
        <v>440</v>
      </c>
      <c r="G56" s="282" t="s">
        <v>55</v>
      </c>
      <c r="H56" s="283"/>
      <c r="I56" s="284"/>
      <c r="J56" s="284"/>
      <c r="K56" s="285"/>
      <c r="L56" s="283"/>
      <c r="M56" s="284"/>
      <c r="N56" s="284"/>
      <c r="O56" s="286"/>
      <c r="P56" s="286" t="s">
        <v>56</v>
      </c>
      <c r="Q56" s="286"/>
      <c r="R56" s="286"/>
      <c r="S56" s="286"/>
      <c r="T56" s="287">
        <v>45663</v>
      </c>
      <c r="U56" s="288"/>
      <c r="V56" s="289">
        <v>45665</v>
      </c>
      <c r="W56" s="290"/>
      <c r="X56" s="291"/>
      <c r="Y56" s="292" t="s">
        <v>485</v>
      </c>
      <c r="Z56" s="256" t="s">
        <v>1134</v>
      </c>
    </row>
    <row r="57" spans="1:26" ht="11.4" x14ac:dyDescent="0.15">
      <c r="A57" s="175">
        <f t="shared" si="2"/>
        <v>55</v>
      </c>
      <c r="B57" s="176"/>
      <c r="C57" s="176"/>
      <c r="D57" s="176"/>
      <c r="E57" s="176"/>
      <c r="F57" s="186" t="s">
        <v>486</v>
      </c>
      <c r="G57" s="227" t="s">
        <v>55</v>
      </c>
      <c r="H57" s="177"/>
      <c r="I57" s="178"/>
      <c r="J57" s="178"/>
      <c r="K57" s="179"/>
      <c r="L57" s="177"/>
      <c r="M57" s="178"/>
      <c r="N57" s="178"/>
      <c r="O57" s="180"/>
      <c r="P57" s="180" t="s">
        <v>56</v>
      </c>
      <c r="Q57" s="180"/>
      <c r="R57" s="180"/>
      <c r="S57" s="180"/>
      <c r="T57" s="267">
        <v>45666</v>
      </c>
      <c r="U57" s="271"/>
      <c r="V57" s="298">
        <v>45666</v>
      </c>
      <c r="W57" s="273">
        <v>45671</v>
      </c>
      <c r="X57" s="184"/>
      <c r="Y57" s="185" t="s">
        <v>485</v>
      </c>
    </row>
    <row r="58" spans="1:26" ht="11.4" x14ac:dyDescent="0.15">
      <c r="A58" s="175">
        <f t="shared" si="2"/>
        <v>56</v>
      </c>
      <c r="B58" s="176"/>
      <c r="C58" s="176"/>
      <c r="D58" s="176"/>
      <c r="E58" s="176"/>
      <c r="F58" s="186" t="s">
        <v>487</v>
      </c>
      <c r="G58" s="227" t="s">
        <v>55</v>
      </c>
      <c r="H58" s="177"/>
      <c r="I58" s="178"/>
      <c r="J58" s="178"/>
      <c r="K58" s="179"/>
      <c r="L58" s="177"/>
      <c r="M58" s="178"/>
      <c r="N58" s="178"/>
      <c r="O58" s="180"/>
      <c r="P58" s="180" t="s">
        <v>56</v>
      </c>
      <c r="Q58" s="180"/>
      <c r="R58" s="180"/>
      <c r="S58" s="180"/>
      <c r="T58" s="267">
        <v>45666</v>
      </c>
      <c r="U58" s="271"/>
      <c r="V58" s="298">
        <v>45666</v>
      </c>
      <c r="W58" s="273">
        <v>45671</v>
      </c>
      <c r="X58" s="184"/>
      <c r="Y58" s="185" t="s">
        <v>485</v>
      </c>
    </row>
    <row r="59" spans="1:26" ht="11.4" x14ac:dyDescent="0.15">
      <c r="A59" s="175">
        <f t="shared" si="2"/>
        <v>57</v>
      </c>
      <c r="B59" s="176"/>
      <c r="C59" s="176"/>
      <c r="D59" s="176"/>
      <c r="E59" s="176"/>
      <c r="F59" s="186" t="s">
        <v>488</v>
      </c>
      <c r="G59" s="227" t="s">
        <v>55</v>
      </c>
      <c r="H59" s="177"/>
      <c r="I59" s="178"/>
      <c r="J59" s="178"/>
      <c r="K59" s="179"/>
      <c r="L59" s="177"/>
      <c r="M59" s="178"/>
      <c r="N59" s="178"/>
      <c r="O59" s="180"/>
      <c r="P59" s="180" t="s">
        <v>56</v>
      </c>
      <c r="Q59" s="180"/>
      <c r="R59" s="180"/>
      <c r="S59" s="180"/>
      <c r="T59" s="267">
        <v>45666</v>
      </c>
      <c r="U59" s="271"/>
      <c r="V59" s="298">
        <v>45666</v>
      </c>
      <c r="W59" s="273">
        <v>45671</v>
      </c>
      <c r="X59" s="184"/>
      <c r="Y59" s="185" t="s">
        <v>1110</v>
      </c>
    </row>
    <row r="60" spans="1:26" ht="11.4" x14ac:dyDescent="0.15">
      <c r="A60" s="279">
        <f t="shared" si="2"/>
        <v>58</v>
      </c>
      <c r="B60" s="280"/>
      <c r="C60" s="280"/>
      <c r="D60" s="280"/>
      <c r="E60" s="280"/>
      <c r="F60" s="281" t="s">
        <v>489</v>
      </c>
      <c r="G60" s="282" t="s">
        <v>55</v>
      </c>
      <c r="H60" s="283"/>
      <c r="I60" s="284"/>
      <c r="J60" s="284"/>
      <c r="K60" s="285"/>
      <c r="L60" s="283"/>
      <c r="M60" s="284"/>
      <c r="N60" s="284"/>
      <c r="O60" s="286"/>
      <c r="P60" s="286" t="s">
        <v>56</v>
      </c>
      <c r="Q60" s="286"/>
      <c r="R60" s="286"/>
      <c r="S60" s="286"/>
      <c r="T60" s="287"/>
      <c r="U60" s="288">
        <v>45663</v>
      </c>
      <c r="V60" s="289"/>
      <c r="W60" s="290"/>
      <c r="X60" s="291"/>
      <c r="Y60" s="292" t="s">
        <v>485</v>
      </c>
      <c r="Z60" s="256" t="s">
        <v>1126</v>
      </c>
    </row>
    <row r="61" spans="1:26" ht="11.4" x14ac:dyDescent="0.15">
      <c r="A61" s="279">
        <f t="shared" si="2"/>
        <v>59</v>
      </c>
      <c r="B61" s="280"/>
      <c r="C61" s="280"/>
      <c r="D61" s="280"/>
      <c r="E61" s="280"/>
      <c r="F61" s="281" t="s">
        <v>490</v>
      </c>
      <c r="G61" s="282" t="s">
        <v>55</v>
      </c>
      <c r="H61" s="283"/>
      <c r="I61" s="284"/>
      <c r="J61" s="284"/>
      <c r="K61" s="285"/>
      <c r="L61" s="283"/>
      <c r="M61" s="284"/>
      <c r="N61" s="284"/>
      <c r="O61" s="286"/>
      <c r="P61" s="286" t="s">
        <v>56</v>
      </c>
      <c r="Q61" s="286"/>
      <c r="R61" s="286"/>
      <c r="S61" s="286"/>
      <c r="T61" s="287"/>
      <c r="U61" s="288">
        <v>45663</v>
      </c>
      <c r="V61" s="289"/>
      <c r="W61" s="290"/>
      <c r="X61" s="291"/>
      <c r="Y61" s="292" t="s">
        <v>485</v>
      </c>
      <c r="Z61" s="256" t="s">
        <v>1126</v>
      </c>
    </row>
    <row r="62" spans="1:26" ht="11.4" x14ac:dyDescent="0.15">
      <c r="A62" s="279">
        <f t="shared" si="2"/>
        <v>60</v>
      </c>
      <c r="B62" s="280"/>
      <c r="C62" s="280"/>
      <c r="D62" s="280"/>
      <c r="E62" s="280"/>
      <c r="F62" s="281" t="s">
        <v>491</v>
      </c>
      <c r="G62" s="282" t="s">
        <v>55</v>
      </c>
      <c r="H62" s="283"/>
      <c r="I62" s="284"/>
      <c r="J62" s="284"/>
      <c r="K62" s="285"/>
      <c r="L62" s="283"/>
      <c r="M62" s="284"/>
      <c r="N62" s="284"/>
      <c r="O62" s="286"/>
      <c r="P62" s="286" t="s">
        <v>56</v>
      </c>
      <c r="Q62" s="286"/>
      <c r="R62" s="286"/>
      <c r="S62" s="286"/>
      <c r="T62" s="287"/>
      <c r="U62" s="288">
        <v>45663</v>
      </c>
      <c r="V62" s="289"/>
      <c r="W62" s="290"/>
      <c r="X62" s="291"/>
      <c r="Y62" s="292" t="s">
        <v>485</v>
      </c>
      <c r="Z62" s="256" t="s">
        <v>1126</v>
      </c>
    </row>
    <row r="63" spans="1:26" ht="11.4" x14ac:dyDescent="0.15">
      <c r="A63" s="175">
        <f t="shared" si="2"/>
        <v>61</v>
      </c>
      <c r="B63" s="176"/>
      <c r="C63" s="176"/>
      <c r="D63" s="176"/>
      <c r="E63" s="176" t="s">
        <v>441</v>
      </c>
      <c r="F63" s="186" t="s">
        <v>442</v>
      </c>
      <c r="G63" s="227" t="s">
        <v>55</v>
      </c>
      <c r="H63" s="177"/>
      <c r="I63" s="178"/>
      <c r="J63" s="178"/>
      <c r="K63" s="179"/>
      <c r="L63" s="177"/>
      <c r="M63" s="178"/>
      <c r="N63" s="178"/>
      <c r="O63" s="180"/>
      <c r="P63" s="180" t="s">
        <v>56</v>
      </c>
      <c r="Q63" s="180"/>
      <c r="R63" s="180"/>
      <c r="S63" s="180"/>
      <c r="T63" s="267">
        <v>45664</v>
      </c>
      <c r="U63" s="271">
        <v>45664</v>
      </c>
      <c r="V63" s="272"/>
      <c r="W63" s="273"/>
      <c r="X63" s="184"/>
      <c r="Y63" s="185" t="s">
        <v>485</v>
      </c>
    </row>
    <row r="64" spans="1:26" ht="11.4" x14ac:dyDescent="0.15">
      <c r="A64" s="175">
        <f t="shared" si="2"/>
        <v>62</v>
      </c>
      <c r="B64" s="176"/>
      <c r="C64" s="176"/>
      <c r="D64" s="176"/>
      <c r="E64" s="176"/>
      <c r="F64" s="186" t="s">
        <v>443</v>
      </c>
      <c r="G64" s="227" t="s">
        <v>55</v>
      </c>
      <c r="H64" s="177"/>
      <c r="I64" s="178"/>
      <c r="J64" s="178"/>
      <c r="K64" s="179"/>
      <c r="L64" s="177"/>
      <c r="M64" s="178"/>
      <c r="N64" s="178"/>
      <c r="O64" s="180"/>
      <c r="P64" s="180" t="s">
        <v>56</v>
      </c>
      <c r="Q64" s="180"/>
      <c r="R64" s="180"/>
      <c r="S64" s="180"/>
      <c r="T64" s="267">
        <v>45664</v>
      </c>
      <c r="U64" s="271">
        <v>45664</v>
      </c>
      <c r="V64" s="272"/>
      <c r="W64" s="273"/>
      <c r="X64" s="184"/>
      <c r="Y64" s="185" t="s">
        <v>485</v>
      </c>
    </row>
    <row r="65" spans="1:26" ht="11.4" x14ac:dyDescent="0.15">
      <c r="A65" s="175">
        <f t="shared" si="2"/>
        <v>63</v>
      </c>
      <c r="B65" s="176"/>
      <c r="C65" s="176"/>
      <c r="D65" s="176"/>
      <c r="E65" s="176"/>
      <c r="F65" s="186" t="s">
        <v>444</v>
      </c>
      <c r="G65" s="227" t="s">
        <v>55</v>
      </c>
      <c r="H65" s="177"/>
      <c r="I65" s="178"/>
      <c r="J65" s="178"/>
      <c r="K65" s="179"/>
      <c r="L65" s="177"/>
      <c r="M65" s="178"/>
      <c r="N65" s="178"/>
      <c r="O65" s="180"/>
      <c r="P65" s="180" t="s">
        <v>56</v>
      </c>
      <c r="Q65" s="180"/>
      <c r="R65" s="180"/>
      <c r="S65" s="180"/>
      <c r="T65" s="267">
        <v>45664</v>
      </c>
      <c r="U65" s="271">
        <v>45664</v>
      </c>
      <c r="V65" s="272"/>
      <c r="W65" s="273"/>
      <c r="X65" s="184"/>
      <c r="Y65" s="185" t="s">
        <v>485</v>
      </c>
    </row>
    <row r="66" spans="1:26" ht="11.4" x14ac:dyDescent="0.15">
      <c r="A66" s="175">
        <f t="shared" si="2"/>
        <v>64</v>
      </c>
      <c r="B66" s="176"/>
      <c r="C66" s="176"/>
      <c r="D66" s="176"/>
      <c r="E66" s="176" t="s">
        <v>445</v>
      </c>
      <c r="F66" s="186" t="s">
        <v>446</v>
      </c>
      <c r="G66" s="227" t="s">
        <v>55</v>
      </c>
      <c r="H66" s="177"/>
      <c r="I66" s="178"/>
      <c r="J66" s="178"/>
      <c r="K66" s="179"/>
      <c r="L66" s="177"/>
      <c r="M66" s="178"/>
      <c r="N66" s="178"/>
      <c r="O66" s="180"/>
      <c r="P66" s="180" t="s">
        <v>56</v>
      </c>
      <c r="Q66" s="180"/>
      <c r="R66" s="180"/>
      <c r="S66" s="180"/>
      <c r="T66" s="267">
        <v>45664</v>
      </c>
      <c r="U66" s="271">
        <v>45664</v>
      </c>
      <c r="V66" s="272"/>
      <c r="W66" s="273"/>
      <c r="X66" s="184"/>
      <c r="Y66" s="185" t="s">
        <v>485</v>
      </c>
    </row>
    <row r="67" spans="1:26" ht="11.4" x14ac:dyDescent="0.15">
      <c r="A67" s="175">
        <f t="shared" si="2"/>
        <v>65</v>
      </c>
      <c r="B67" s="176"/>
      <c r="C67" s="176"/>
      <c r="D67" s="176"/>
      <c r="E67" s="176"/>
      <c r="F67" s="186" t="s">
        <v>492</v>
      </c>
      <c r="G67" s="227" t="s">
        <v>55</v>
      </c>
      <c r="H67" s="177"/>
      <c r="I67" s="178"/>
      <c r="J67" s="178"/>
      <c r="K67" s="179"/>
      <c r="L67" s="177"/>
      <c r="M67" s="178"/>
      <c r="N67" s="178"/>
      <c r="O67" s="180"/>
      <c r="P67" s="180" t="s">
        <v>56</v>
      </c>
      <c r="Q67" s="180"/>
      <c r="R67" s="180"/>
      <c r="S67" s="180"/>
      <c r="T67" s="267">
        <v>45664</v>
      </c>
      <c r="U67" s="271">
        <v>45664</v>
      </c>
      <c r="V67" s="272"/>
      <c r="W67" s="273"/>
      <c r="X67" s="184"/>
      <c r="Y67" s="185" t="s">
        <v>485</v>
      </c>
    </row>
    <row r="68" spans="1:26" ht="11.4" x14ac:dyDescent="0.15">
      <c r="A68" s="175">
        <f t="shared" si="2"/>
        <v>66</v>
      </c>
      <c r="B68" s="176"/>
      <c r="C68" s="176"/>
      <c r="D68" s="176"/>
      <c r="E68" s="176"/>
      <c r="F68" s="186" t="s">
        <v>493</v>
      </c>
      <c r="G68" s="227" t="s">
        <v>55</v>
      </c>
      <c r="H68" s="177"/>
      <c r="I68" s="178"/>
      <c r="J68" s="178"/>
      <c r="K68" s="179"/>
      <c r="L68" s="177"/>
      <c r="M68" s="178"/>
      <c r="N68" s="178"/>
      <c r="O68" s="180"/>
      <c r="P68" s="180" t="s">
        <v>56</v>
      </c>
      <c r="Q68" s="180"/>
      <c r="R68" s="180"/>
      <c r="S68" s="180"/>
      <c r="T68" s="267">
        <v>45664</v>
      </c>
      <c r="U68" s="271">
        <v>45664</v>
      </c>
      <c r="V68" s="272"/>
      <c r="W68" s="273"/>
      <c r="X68" s="184"/>
      <c r="Y68" s="185" t="s">
        <v>485</v>
      </c>
    </row>
    <row r="69" spans="1:26" ht="11.4" x14ac:dyDescent="0.15">
      <c r="A69" s="175">
        <f t="shared" si="2"/>
        <v>67</v>
      </c>
      <c r="B69" s="176"/>
      <c r="C69" s="176"/>
      <c r="D69" s="176"/>
      <c r="E69" s="176"/>
      <c r="F69" s="186" t="s">
        <v>447</v>
      </c>
      <c r="G69" s="227" t="s">
        <v>55</v>
      </c>
      <c r="H69" s="177"/>
      <c r="I69" s="178"/>
      <c r="J69" s="178"/>
      <c r="K69" s="179"/>
      <c r="L69" s="177"/>
      <c r="M69" s="178"/>
      <c r="N69" s="178"/>
      <c r="O69" s="180"/>
      <c r="P69" s="180" t="s">
        <v>56</v>
      </c>
      <c r="Q69" s="180"/>
      <c r="R69" s="180"/>
      <c r="S69" s="180"/>
      <c r="T69" s="267">
        <v>45664</v>
      </c>
      <c r="U69" s="271">
        <v>45664</v>
      </c>
      <c r="V69" s="272"/>
      <c r="W69" s="273"/>
      <c r="X69" s="184"/>
      <c r="Y69" s="185" t="s">
        <v>485</v>
      </c>
    </row>
    <row r="70" spans="1:26" ht="11.4" x14ac:dyDescent="0.15">
      <c r="A70" s="175">
        <f t="shared" si="2"/>
        <v>68</v>
      </c>
      <c r="B70" s="176"/>
      <c r="C70" s="176"/>
      <c r="D70" s="176"/>
      <c r="E70" s="176"/>
      <c r="F70" s="186" t="s">
        <v>448</v>
      </c>
      <c r="G70" s="227" t="s">
        <v>55</v>
      </c>
      <c r="H70" s="177"/>
      <c r="I70" s="178"/>
      <c r="J70" s="178"/>
      <c r="K70" s="179"/>
      <c r="L70" s="177"/>
      <c r="M70" s="178"/>
      <c r="N70" s="178"/>
      <c r="O70" s="180"/>
      <c r="P70" s="180" t="s">
        <v>56</v>
      </c>
      <c r="Q70" s="180"/>
      <c r="R70" s="180"/>
      <c r="S70" s="180"/>
      <c r="T70" s="267">
        <v>45664</v>
      </c>
      <c r="U70" s="271">
        <v>45664</v>
      </c>
      <c r="V70" s="272"/>
      <c r="W70" s="273"/>
      <c r="X70" s="184"/>
      <c r="Y70" s="185" t="s">
        <v>485</v>
      </c>
    </row>
    <row r="71" spans="1:26" ht="11.4" x14ac:dyDescent="0.15">
      <c r="A71" s="175">
        <f t="shared" si="2"/>
        <v>69</v>
      </c>
      <c r="B71" s="176"/>
      <c r="C71" s="176"/>
      <c r="D71" s="176"/>
      <c r="E71" s="176"/>
      <c r="F71" s="186" t="s">
        <v>449</v>
      </c>
      <c r="G71" s="227" t="s">
        <v>55</v>
      </c>
      <c r="H71" s="177"/>
      <c r="I71" s="178"/>
      <c r="J71" s="178"/>
      <c r="K71" s="179"/>
      <c r="L71" s="177"/>
      <c r="M71" s="178"/>
      <c r="N71" s="178"/>
      <c r="O71" s="180"/>
      <c r="P71" s="180" t="s">
        <v>56</v>
      </c>
      <c r="Q71" s="180"/>
      <c r="R71" s="180"/>
      <c r="S71" s="180"/>
      <c r="T71" s="267">
        <v>45664</v>
      </c>
      <c r="U71" s="271">
        <v>45664</v>
      </c>
      <c r="V71" s="272"/>
      <c r="W71" s="273"/>
      <c r="X71" s="184"/>
      <c r="Y71" s="185" t="s">
        <v>485</v>
      </c>
    </row>
    <row r="72" spans="1:26" ht="11.4" x14ac:dyDescent="0.15">
      <c r="A72" s="175">
        <f t="shared" si="2"/>
        <v>70</v>
      </c>
      <c r="B72" s="176"/>
      <c r="C72" s="176"/>
      <c r="D72" s="176"/>
      <c r="E72" s="176"/>
      <c r="F72" s="186" t="s">
        <v>494</v>
      </c>
      <c r="G72" s="227" t="s">
        <v>55</v>
      </c>
      <c r="H72" s="177"/>
      <c r="I72" s="178"/>
      <c r="J72" s="178"/>
      <c r="K72" s="179"/>
      <c r="L72" s="177"/>
      <c r="M72" s="178"/>
      <c r="N72" s="178"/>
      <c r="O72" s="180"/>
      <c r="P72" s="180" t="s">
        <v>56</v>
      </c>
      <c r="Q72" s="180"/>
      <c r="R72" s="180"/>
      <c r="S72" s="180"/>
      <c r="T72" s="267">
        <v>45666</v>
      </c>
      <c r="U72" s="271">
        <v>45666</v>
      </c>
      <c r="V72" s="272"/>
      <c r="W72" s="273"/>
      <c r="X72" s="184"/>
      <c r="Y72" s="185" t="s">
        <v>485</v>
      </c>
    </row>
    <row r="73" spans="1:26" ht="11.4" x14ac:dyDescent="0.15">
      <c r="A73" s="175">
        <f t="shared" si="2"/>
        <v>71</v>
      </c>
      <c r="B73" s="176"/>
      <c r="C73" s="176"/>
      <c r="D73" s="176"/>
      <c r="E73" s="176"/>
      <c r="F73" s="186" t="s">
        <v>495</v>
      </c>
      <c r="G73" s="227" t="s">
        <v>55</v>
      </c>
      <c r="H73" s="177"/>
      <c r="I73" s="178"/>
      <c r="J73" s="178"/>
      <c r="K73" s="179"/>
      <c r="L73" s="177"/>
      <c r="M73" s="178"/>
      <c r="N73" s="178"/>
      <c r="O73" s="180"/>
      <c r="P73" s="180" t="s">
        <v>56</v>
      </c>
      <c r="Q73" s="180"/>
      <c r="R73" s="180"/>
      <c r="S73" s="180"/>
      <c r="T73" s="267">
        <v>45666</v>
      </c>
      <c r="U73" s="271">
        <v>45666</v>
      </c>
      <c r="V73" s="272"/>
      <c r="W73" s="273"/>
      <c r="X73" s="184"/>
      <c r="Y73" s="185" t="s">
        <v>485</v>
      </c>
    </row>
    <row r="74" spans="1:26" ht="11.4" x14ac:dyDescent="0.15">
      <c r="A74" s="279">
        <f t="shared" si="2"/>
        <v>72</v>
      </c>
      <c r="B74" s="280"/>
      <c r="C74" s="280"/>
      <c r="D74" s="280"/>
      <c r="E74" s="280"/>
      <c r="F74" s="281" t="s">
        <v>496</v>
      </c>
      <c r="G74" s="282" t="s">
        <v>55</v>
      </c>
      <c r="H74" s="283"/>
      <c r="I74" s="284"/>
      <c r="J74" s="284"/>
      <c r="K74" s="285"/>
      <c r="L74" s="283"/>
      <c r="M74" s="284"/>
      <c r="N74" s="284"/>
      <c r="O74" s="286"/>
      <c r="P74" s="286" t="s">
        <v>56</v>
      </c>
      <c r="Q74" s="286"/>
      <c r="R74" s="286"/>
      <c r="S74" s="286"/>
      <c r="T74" s="287">
        <v>45666</v>
      </c>
      <c r="U74" s="288">
        <v>45666</v>
      </c>
      <c r="V74" s="289"/>
      <c r="W74" s="290"/>
      <c r="X74" s="291"/>
      <c r="Y74" s="292" t="s">
        <v>485</v>
      </c>
      <c r="Z74" s="256" t="s">
        <v>1127</v>
      </c>
    </row>
    <row r="75" spans="1:26" ht="11.4" x14ac:dyDescent="0.15">
      <c r="A75" s="175">
        <f t="shared" si="2"/>
        <v>73</v>
      </c>
      <c r="B75" s="176"/>
      <c r="C75" s="176"/>
      <c r="D75" s="176"/>
      <c r="E75" s="176" t="s">
        <v>451</v>
      </c>
      <c r="F75" s="186" t="s">
        <v>497</v>
      </c>
      <c r="G75" s="227" t="s">
        <v>55</v>
      </c>
      <c r="H75" s="177"/>
      <c r="I75" s="178"/>
      <c r="J75" s="178"/>
      <c r="K75" s="179"/>
      <c r="L75" s="177"/>
      <c r="M75" s="178"/>
      <c r="N75" s="178"/>
      <c r="O75" s="180"/>
      <c r="P75" s="180" t="s">
        <v>56</v>
      </c>
      <c r="Q75" s="180"/>
      <c r="R75" s="180"/>
      <c r="S75" s="180"/>
      <c r="T75" s="267">
        <v>45665</v>
      </c>
      <c r="U75" s="271">
        <v>45665</v>
      </c>
      <c r="V75" s="272"/>
      <c r="W75" s="273"/>
      <c r="X75" s="184"/>
      <c r="Y75" s="185" t="s">
        <v>485</v>
      </c>
    </row>
    <row r="76" spans="1:26" ht="11.4" x14ac:dyDescent="0.15">
      <c r="A76" s="175">
        <f t="shared" si="2"/>
        <v>74</v>
      </c>
      <c r="B76" s="176"/>
      <c r="C76" s="176"/>
      <c r="D76" s="176"/>
      <c r="E76" s="176"/>
      <c r="F76" s="186" t="s">
        <v>498</v>
      </c>
      <c r="G76" s="227" t="s">
        <v>55</v>
      </c>
      <c r="H76" s="177"/>
      <c r="I76" s="178"/>
      <c r="J76" s="178"/>
      <c r="K76" s="179"/>
      <c r="L76" s="177"/>
      <c r="M76" s="178"/>
      <c r="N76" s="178"/>
      <c r="O76" s="180"/>
      <c r="P76" s="180" t="s">
        <v>56</v>
      </c>
      <c r="Q76" s="180"/>
      <c r="R76" s="180"/>
      <c r="S76" s="180"/>
      <c r="T76" s="267">
        <v>45665</v>
      </c>
      <c r="U76" s="271">
        <v>45665</v>
      </c>
      <c r="V76" s="272"/>
      <c r="W76" s="273"/>
      <c r="X76" s="184"/>
      <c r="Y76" s="185" t="s">
        <v>485</v>
      </c>
    </row>
    <row r="77" spans="1:26" ht="11.4" x14ac:dyDescent="0.15">
      <c r="A77" s="175">
        <f t="shared" si="2"/>
        <v>75</v>
      </c>
      <c r="B77" s="176"/>
      <c r="C77" s="176"/>
      <c r="D77" s="176"/>
      <c r="E77" s="176"/>
      <c r="F77" s="186" t="s">
        <v>499</v>
      </c>
      <c r="G77" s="227" t="s">
        <v>55</v>
      </c>
      <c r="H77" s="177"/>
      <c r="I77" s="178"/>
      <c r="J77" s="178"/>
      <c r="K77" s="179"/>
      <c r="L77" s="177"/>
      <c r="M77" s="178"/>
      <c r="N77" s="178"/>
      <c r="O77" s="180"/>
      <c r="P77" s="180" t="s">
        <v>56</v>
      </c>
      <c r="Q77" s="180"/>
      <c r="R77" s="180"/>
      <c r="S77" s="180"/>
      <c r="T77" s="267">
        <v>45665</v>
      </c>
      <c r="U77" s="271">
        <v>45665</v>
      </c>
      <c r="V77" s="272"/>
      <c r="W77" s="273"/>
      <c r="X77" s="184"/>
      <c r="Y77" s="185" t="s">
        <v>485</v>
      </c>
    </row>
    <row r="78" spans="1:26" ht="11.4" x14ac:dyDescent="0.15">
      <c r="A78" s="175">
        <f t="shared" si="2"/>
        <v>76</v>
      </c>
      <c r="B78" s="176"/>
      <c r="C78" s="176"/>
      <c r="D78" s="176"/>
      <c r="E78" s="176" t="s">
        <v>462</v>
      </c>
      <c r="F78" s="186" t="s">
        <v>463</v>
      </c>
      <c r="G78" s="227" t="s">
        <v>55</v>
      </c>
      <c r="H78" s="177"/>
      <c r="I78" s="178"/>
      <c r="J78" s="178"/>
      <c r="K78" s="179"/>
      <c r="L78" s="177"/>
      <c r="M78" s="178"/>
      <c r="N78" s="178"/>
      <c r="O78" s="180"/>
      <c r="P78" s="180" t="s">
        <v>56</v>
      </c>
      <c r="Q78" s="180"/>
      <c r="R78" s="180"/>
      <c r="S78" s="180"/>
      <c r="T78" s="267">
        <v>45665</v>
      </c>
      <c r="U78" s="271">
        <v>45665</v>
      </c>
      <c r="V78" s="272"/>
      <c r="W78" s="273"/>
      <c r="X78" s="184"/>
      <c r="Y78" s="185" t="s">
        <v>485</v>
      </c>
    </row>
    <row r="79" spans="1:26" ht="11.4" x14ac:dyDescent="0.15">
      <c r="A79" s="175">
        <f t="shared" si="2"/>
        <v>77</v>
      </c>
      <c r="B79" s="176"/>
      <c r="C79" s="176"/>
      <c r="D79" s="176"/>
      <c r="E79" s="176"/>
      <c r="F79" s="186" t="s">
        <v>464</v>
      </c>
      <c r="G79" s="227" t="s">
        <v>55</v>
      </c>
      <c r="H79" s="177"/>
      <c r="I79" s="178"/>
      <c r="J79" s="178"/>
      <c r="K79" s="179"/>
      <c r="L79" s="177"/>
      <c r="M79" s="178"/>
      <c r="N79" s="178"/>
      <c r="O79" s="180"/>
      <c r="P79" s="180" t="s">
        <v>56</v>
      </c>
      <c r="Q79" s="180"/>
      <c r="R79" s="180"/>
      <c r="S79" s="180"/>
      <c r="T79" s="267">
        <v>45665</v>
      </c>
      <c r="U79" s="274">
        <v>45665</v>
      </c>
      <c r="V79" s="272"/>
      <c r="W79" s="273"/>
      <c r="X79" s="184"/>
      <c r="Y79" s="185" t="s">
        <v>485</v>
      </c>
    </row>
    <row r="80" spans="1:26" ht="11.4" x14ac:dyDescent="0.15">
      <c r="A80" s="175">
        <f t="shared" si="2"/>
        <v>78</v>
      </c>
      <c r="B80" s="176"/>
      <c r="C80" s="176"/>
      <c r="D80" s="176"/>
      <c r="E80" s="176"/>
      <c r="F80" s="186" t="s">
        <v>465</v>
      </c>
      <c r="G80" s="227" t="s">
        <v>55</v>
      </c>
      <c r="H80" s="177"/>
      <c r="I80" s="178"/>
      <c r="J80" s="178"/>
      <c r="K80" s="179"/>
      <c r="L80" s="177"/>
      <c r="M80" s="178"/>
      <c r="N80" s="178"/>
      <c r="O80" s="180"/>
      <c r="P80" s="180" t="s">
        <v>56</v>
      </c>
      <c r="Q80" s="180"/>
      <c r="R80" s="180"/>
      <c r="S80" s="180"/>
      <c r="T80" s="267">
        <v>45665</v>
      </c>
      <c r="U80" s="274">
        <v>45665</v>
      </c>
      <c r="V80" s="272"/>
      <c r="W80" s="273"/>
      <c r="X80" s="184"/>
      <c r="Y80" s="185" t="s">
        <v>485</v>
      </c>
    </row>
    <row r="81" spans="1:26" ht="11.4" x14ac:dyDescent="0.15">
      <c r="A81" s="175">
        <f t="shared" si="2"/>
        <v>79</v>
      </c>
      <c r="B81" s="176"/>
      <c r="C81" s="176"/>
      <c r="D81" s="176" t="s">
        <v>59</v>
      </c>
      <c r="E81" s="176" t="s">
        <v>404</v>
      </c>
      <c r="F81" s="186"/>
      <c r="G81" s="227" t="s">
        <v>60</v>
      </c>
      <c r="H81" s="177"/>
      <c r="I81" s="178"/>
      <c r="J81" s="178"/>
      <c r="K81" s="179"/>
      <c r="L81" s="177"/>
      <c r="M81" s="178"/>
      <c r="N81" s="178"/>
      <c r="O81" s="180"/>
      <c r="P81" s="180"/>
      <c r="Q81" s="180"/>
      <c r="R81" s="180" t="s">
        <v>61</v>
      </c>
      <c r="S81" s="180"/>
      <c r="T81" s="267">
        <v>45663</v>
      </c>
      <c r="U81" s="274">
        <v>45663</v>
      </c>
      <c r="V81" s="272"/>
      <c r="W81" s="273"/>
      <c r="X81" s="184"/>
      <c r="Y81" s="185" t="s">
        <v>500</v>
      </c>
    </row>
    <row r="82" spans="1:26" ht="11.4" x14ac:dyDescent="0.15">
      <c r="A82" s="175">
        <f t="shared" si="2"/>
        <v>80</v>
      </c>
      <c r="B82" s="176"/>
      <c r="C82" s="176"/>
      <c r="D82" s="176" t="s">
        <v>63</v>
      </c>
      <c r="E82" s="176" t="s">
        <v>501</v>
      </c>
      <c r="F82" s="186"/>
      <c r="G82" s="227" t="s">
        <v>64</v>
      </c>
      <c r="H82" s="177"/>
      <c r="I82" s="178"/>
      <c r="J82" s="178"/>
      <c r="K82" s="179"/>
      <c r="L82" s="177"/>
      <c r="M82" s="178"/>
      <c r="N82" s="178"/>
      <c r="O82" s="180"/>
      <c r="P82" s="180"/>
      <c r="Q82" s="180"/>
      <c r="R82" s="180" t="s">
        <v>61</v>
      </c>
      <c r="S82" s="180"/>
      <c r="T82" s="267">
        <v>45663</v>
      </c>
      <c r="U82" s="274"/>
      <c r="V82" s="272">
        <v>45663</v>
      </c>
      <c r="W82" s="273"/>
      <c r="X82" s="184"/>
      <c r="Y82" s="185" t="s">
        <v>87</v>
      </c>
      <c r="Z82" s="236" t="s">
        <v>1132</v>
      </c>
    </row>
    <row r="83" spans="1:26" ht="11.4" x14ac:dyDescent="0.15">
      <c r="A83" s="175">
        <f t="shared" si="2"/>
        <v>81</v>
      </c>
      <c r="B83" s="176"/>
      <c r="C83" s="176"/>
      <c r="D83" s="176"/>
      <c r="E83" s="176" t="s">
        <v>68</v>
      </c>
      <c r="F83" s="186"/>
      <c r="G83" s="227" t="s">
        <v>64</v>
      </c>
      <c r="H83" s="177"/>
      <c r="I83" s="178"/>
      <c r="J83" s="178"/>
      <c r="K83" s="179"/>
      <c r="L83" s="177"/>
      <c r="M83" s="178"/>
      <c r="N83" s="178"/>
      <c r="O83" s="180"/>
      <c r="P83" s="180"/>
      <c r="Q83" s="180"/>
      <c r="R83" s="180" t="s">
        <v>61</v>
      </c>
      <c r="S83" s="180"/>
      <c r="T83" s="267">
        <v>45663</v>
      </c>
      <c r="U83" s="274">
        <v>45663</v>
      </c>
      <c r="V83" s="272"/>
      <c r="W83" s="273"/>
      <c r="X83" s="184"/>
      <c r="Y83" s="185" t="s">
        <v>69</v>
      </c>
    </row>
    <row r="84" spans="1:26" ht="11.4" x14ac:dyDescent="0.15">
      <c r="A84" s="175">
        <f t="shared" si="2"/>
        <v>82</v>
      </c>
      <c r="B84" s="176"/>
      <c r="C84" s="176"/>
      <c r="D84" s="176"/>
      <c r="E84" s="176" t="s">
        <v>70</v>
      </c>
      <c r="F84" s="186"/>
      <c r="G84" s="227" t="s">
        <v>64</v>
      </c>
      <c r="H84" s="177"/>
      <c r="I84" s="178"/>
      <c r="J84" s="178"/>
      <c r="K84" s="179"/>
      <c r="L84" s="177"/>
      <c r="M84" s="178"/>
      <c r="N84" s="178"/>
      <c r="O84" s="180"/>
      <c r="P84" s="180"/>
      <c r="Q84" s="180"/>
      <c r="R84" s="180" t="s">
        <v>61</v>
      </c>
      <c r="S84" s="180"/>
      <c r="T84" s="267">
        <v>45663</v>
      </c>
      <c r="U84" s="274"/>
      <c r="V84" s="272">
        <v>45663</v>
      </c>
      <c r="W84" s="273"/>
      <c r="X84" s="184"/>
      <c r="Y84" s="185" t="s">
        <v>71</v>
      </c>
      <c r="Z84" s="256" t="s">
        <v>1131</v>
      </c>
    </row>
    <row r="85" spans="1:26" ht="11.4" x14ac:dyDescent="0.15">
      <c r="A85" s="175">
        <f t="shared" si="2"/>
        <v>83</v>
      </c>
      <c r="B85" s="176"/>
      <c r="C85" s="176"/>
      <c r="D85" s="176" t="s">
        <v>72</v>
      </c>
      <c r="E85" s="176" t="s">
        <v>73</v>
      </c>
      <c r="F85" s="186"/>
      <c r="G85" s="227" t="s">
        <v>74</v>
      </c>
      <c r="H85" s="177"/>
      <c r="I85" s="178"/>
      <c r="J85" s="178"/>
      <c r="K85" s="179"/>
      <c r="L85" s="177"/>
      <c r="M85" s="178"/>
      <c r="N85" s="178"/>
      <c r="O85" s="180" t="s">
        <v>56</v>
      </c>
      <c r="P85" s="180"/>
      <c r="Q85" s="180"/>
      <c r="R85" s="180"/>
      <c r="S85" s="180"/>
      <c r="T85" s="267">
        <v>45666</v>
      </c>
      <c r="U85" s="274">
        <v>45666</v>
      </c>
      <c r="V85" s="272"/>
      <c r="W85" s="273"/>
      <c r="X85" s="184"/>
      <c r="Y85" s="185" t="s">
        <v>478</v>
      </c>
    </row>
    <row r="86" spans="1:26" ht="11.4" x14ac:dyDescent="0.15">
      <c r="A86" s="175">
        <f t="shared" si="2"/>
        <v>84</v>
      </c>
      <c r="B86" s="176"/>
      <c r="C86" s="176"/>
      <c r="D86" s="176"/>
      <c r="E86" s="176" t="s">
        <v>76</v>
      </c>
      <c r="F86" s="186" t="s">
        <v>481</v>
      </c>
      <c r="G86" s="227" t="s">
        <v>78</v>
      </c>
      <c r="H86" s="177"/>
      <c r="I86" s="178"/>
      <c r="J86" s="178"/>
      <c r="K86" s="179"/>
      <c r="L86" s="177"/>
      <c r="M86" s="178"/>
      <c r="N86" s="178"/>
      <c r="O86" s="180" t="s">
        <v>56</v>
      </c>
      <c r="P86" s="180"/>
      <c r="Q86" s="180"/>
      <c r="R86" s="180"/>
      <c r="S86" s="180"/>
      <c r="T86" s="267">
        <v>45666</v>
      </c>
      <c r="U86" s="271">
        <v>45666</v>
      </c>
      <c r="V86" s="272"/>
      <c r="W86" s="273"/>
      <c r="X86" s="184"/>
      <c r="Y86" s="185" t="s">
        <v>482</v>
      </c>
    </row>
    <row r="87" spans="1:26" ht="11.4" x14ac:dyDescent="0.15">
      <c r="A87" s="175">
        <f t="shared" si="2"/>
        <v>85</v>
      </c>
      <c r="B87" s="176"/>
      <c r="C87" s="176"/>
      <c r="D87" s="176"/>
      <c r="E87" s="176"/>
      <c r="F87" s="186" t="s">
        <v>483</v>
      </c>
      <c r="G87" s="227" t="s">
        <v>81</v>
      </c>
      <c r="H87" s="177"/>
      <c r="I87" s="178"/>
      <c r="J87" s="178"/>
      <c r="K87" s="179"/>
      <c r="L87" s="177"/>
      <c r="M87" s="178"/>
      <c r="N87" s="178"/>
      <c r="O87" s="180" t="s">
        <v>56</v>
      </c>
      <c r="P87" s="180"/>
      <c r="Q87" s="180"/>
      <c r="R87" s="180"/>
      <c r="S87" s="180"/>
      <c r="T87" s="267">
        <v>45666</v>
      </c>
      <c r="U87" s="271">
        <v>45666</v>
      </c>
      <c r="V87" s="272"/>
      <c r="W87" s="273"/>
      <c r="X87" s="184"/>
      <c r="Y87" s="185" t="s">
        <v>502</v>
      </c>
    </row>
    <row r="88" spans="1:26" ht="11.4" x14ac:dyDescent="0.15">
      <c r="A88" s="175">
        <f t="shared" si="2"/>
        <v>86</v>
      </c>
      <c r="B88" s="176"/>
      <c r="C88" s="176" t="s">
        <v>404</v>
      </c>
      <c r="D88" s="176" t="s">
        <v>404</v>
      </c>
      <c r="E88" s="176" t="s">
        <v>404</v>
      </c>
      <c r="F88" s="186" t="s">
        <v>466</v>
      </c>
      <c r="G88" s="227" t="s">
        <v>503</v>
      </c>
      <c r="H88" s="177"/>
      <c r="I88" s="178"/>
      <c r="J88" s="178"/>
      <c r="K88" s="179"/>
      <c r="L88" s="177"/>
      <c r="M88" s="178"/>
      <c r="N88" s="178"/>
      <c r="O88" s="180" t="s">
        <v>56</v>
      </c>
      <c r="P88" s="180"/>
      <c r="Q88" s="180"/>
      <c r="R88" s="180"/>
      <c r="S88" s="180"/>
      <c r="T88" s="267">
        <v>45665</v>
      </c>
      <c r="U88" s="271">
        <v>45665</v>
      </c>
      <c r="V88" s="272"/>
      <c r="W88" s="273"/>
      <c r="X88" s="184"/>
      <c r="Y88" s="230" t="s">
        <v>104</v>
      </c>
    </row>
    <row r="89" spans="1:26" ht="11.4" x14ac:dyDescent="0.15">
      <c r="A89" s="175">
        <f t="shared" ref="A89:A285" si="3">ROW()-2</f>
        <v>87</v>
      </c>
      <c r="B89" s="176"/>
      <c r="C89" s="176" t="s">
        <v>105</v>
      </c>
      <c r="D89" s="176" t="s">
        <v>504</v>
      </c>
      <c r="E89" s="176" t="s">
        <v>138</v>
      </c>
      <c r="F89" s="186" t="s">
        <v>505</v>
      </c>
      <c r="G89" s="227" t="s">
        <v>110</v>
      </c>
      <c r="H89" s="177"/>
      <c r="I89" s="178"/>
      <c r="J89" s="178"/>
      <c r="K89" s="179"/>
      <c r="L89" s="177"/>
      <c r="M89" s="178"/>
      <c r="N89" s="178"/>
      <c r="O89" s="180"/>
      <c r="P89" s="180" t="s">
        <v>61</v>
      </c>
      <c r="Q89" s="180"/>
      <c r="R89" s="180"/>
      <c r="S89" s="180"/>
      <c r="T89" s="267">
        <v>45663</v>
      </c>
      <c r="U89" s="271">
        <v>45663</v>
      </c>
      <c r="V89" s="272"/>
      <c r="W89" s="273"/>
      <c r="X89" s="184"/>
      <c r="Y89" s="185" t="s">
        <v>1117</v>
      </c>
    </row>
    <row r="90" spans="1:26" ht="11.4" x14ac:dyDescent="0.15">
      <c r="A90" s="175">
        <f t="shared" si="3"/>
        <v>88</v>
      </c>
      <c r="B90" s="176"/>
      <c r="C90" s="176"/>
      <c r="D90" s="176"/>
      <c r="E90" s="176"/>
      <c r="F90" s="186"/>
      <c r="G90" s="227" t="s">
        <v>112</v>
      </c>
      <c r="H90" s="177"/>
      <c r="I90" s="178"/>
      <c r="J90" s="178"/>
      <c r="K90" s="179"/>
      <c r="L90" s="177"/>
      <c r="M90" s="178"/>
      <c r="N90" s="178"/>
      <c r="O90" s="180" t="s">
        <v>61</v>
      </c>
      <c r="P90" s="180"/>
      <c r="Q90" s="180"/>
      <c r="R90" s="180"/>
      <c r="S90" s="180"/>
      <c r="T90" s="267">
        <v>45663</v>
      </c>
      <c r="U90" s="271">
        <v>45663</v>
      </c>
      <c r="V90" s="272"/>
      <c r="W90" s="273"/>
      <c r="X90" s="184"/>
      <c r="Y90" s="185" t="s">
        <v>113</v>
      </c>
    </row>
    <row r="91" spans="1:26" ht="11.4" x14ac:dyDescent="0.15">
      <c r="A91" s="175">
        <f t="shared" si="3"/>
        <v>89</v>
      </c>
      <c r="B91" s="176"/>
      <c r="C91" s="176"/>
      <c r="D91" s="176"/>
      <c r="E91" s="176"/>
      <c r="F91" s="186"/>
      <c r="G91" s="227" t="s">
        <v>112</v>
      </c>
      <c r="H91" s="177"/>
      <c r="I91" s="178"/>
      <c r="J91" s="178"/>
      <c r="K91" s="179"/>
      <c r="L91" s="177"/>
      <c r="M91" s="178"/>
      <c r="N91" s="178"/>
      <c r="O91" s="180" t="s">
        <v>61</v>
      </c>
      <c r="P91" s="180"/>
      <c r="Q91" s="180"/>
      <c r="R91" s="180"/>
      <c r="S91" s="180"/>
      <c r="T91" s="267">
        <v>45663</v>
      </c>
      <c r="U91" s="271">
        <v>45663</v>
      </c>
      <c r="V91" s="272"/>
      <c r="W91" s="273"/>
      <c r="X91" s="184"/>
      <c r="Y91" s="185" t="s">
        <v>114</v>
      </c>
    </row>
    <row r="92" spans="1:26" ht="11.4" x14ac:dyDescent="0.15">
      <c r="A92" s="175">
        <f t="shared" si="3"/>
        <v>90</v>
      </c>
      <c r="B92" s="176"/>
      <c r="C92" s="176"/>
      <c r="D92" s="176"/>
      <c r="E92" s="176"/>
      <c r="F92" s="186"/>
      <c r="G92" s="227" t="s">
        <v>112</v>
      </c>
      <c r="H92" s="177"/>
      <c r="I92" s="178"/>
      <c r="J92" s="178"/>
      <c r="K92" s="179"/>
      <c r="L92" s="177"/>
      <c r="M92" s="178"/>
      <c r="N92" s="178"/>
      <c r="O92" s="180" t="s">
        <v>61</v>
      </c>
      <c r="P92" s="180"/>
      <c r="Q92" s="180"/>
      <c r="R92" s="180"/>
      <c r="S92" s="180"/>
      <c r="T92" s="267">
        <v>45663</v>
      </c>
      <c r="U92" s="271">
        <v>45663</v>
      </c>
      <c r="V92" s="272"/>
      <c r="W92" s="273"/>
      <c r="X92" s="184"/>
      <c r="Y92" s="185" t="s">
        <v>115</v>
      </c>
    </row>
    <row r="93" spans="1:26" ht="11.4" x14ac:dyDescent="0.15">
      <c r="A93" s="175">
        <f t="shared" si="3"/>
        <v>91</v>
      </c>
      <c r="B93" s="176"/>
      <c r="C93" s="176"/>
      <c r="D93" s="176"/>
      <c r="E93" s="176"/>
      <c r="F93" s="186"/>
      <c r="G93" s="227" t="s">
        <v>112</v>
      </c>
      <c r="H93" s="177"/>
      <c r="I93" s="178"/>
      <c r="J93" s="178"/>
      <c r="K93" s="179"/>
      <c r="L93" s="177"/>
      <c r="M93" s="178"/>
      <c r="N93" s="178"/>
      <c r="O93" s="180" t="s">
        <v>61</v>
      </c>
      <c r="P93" s="180"/>
      <c r="Q93" s="180"/>
      <c r="R93" s="180"/>
      <c r="S93" s="180"/>
      <c r="T93" s="267">
        <v>45663</v>
      </c>
      <c r="U93" s="271">
        <v>45663</v>
      </c>
      <c r="V93" s="272"/>
      <c r="W93" s="273"/>
      <c r="X93" s="184"/>
      <c r="Y93" s="185" t="s">
        <v>116</v>
      </c>
    </row>
    <row r="94" spans="1:26" ht="11.4" x14ac:dyDescent="0.15">
      <c r="A94" s="175">
        <f t="shared" si="3"/>
        <v>92</v>
      </c>
      <c r="B94" s="176"/>
      <c r="C94" s="176"/>
      <c r="D94" s="176"/>
      <c r="E94" s="176"/>
      <c r="F94" s="186"/>
      <c r="G94" s="227" t="s">
        <v>112</v>
      </c>
      <c r="H94" s="177"/>
      <c r="I94" s="178"/>
      <c r="J94" s="178"/>
      <c r="K94" s="179"/>
      <c r="L94" s="177"/>
      <c r="M94" s="178"/>
      <c r="N94" s="178"/>
      <c r="O94" s="180" t="s">
        <v>61</v>
      </c>
      <c r="P94" s="180"/>
      <c r="Q94" s="180"/>
      <c r="R94" s="180"/>
      <c r="S94" s="180"/>
      <c r="T94" s="267">
        <v>45663</v>
      </c>
      <c r="U94" s="271">
        <v>45663</v>
      </c>
      <c r="V94" s="272"/>
      <c r="W94" s="273"/>
      <c r="X94" s="184"/>
      <c r="Y94" s="185" t="s">
        <v>117</v>
      </c>
    </row>
    <row r="95" spans="1:26" ht="11.4" x14ac:dyDescent="0.15">
      <c r="A95" s="175">
        <f t="shared" si="2"/>
        <v>93</v>
      </c>
      <c r="B95" s="176"/>
      <c r="C95" s="176"/>
      <c r="D95" s="176"/>
      <c r="E95" s="176"/>
      <c r="F95" s="186" t="s">
        <v>506</v>
      </c>
      <c r="G95" s="227" t="s">
        <v>507</v>
      </c>
      <c r="H95" s="177"/>
      <c r="I95" s="178"/>
      <c r="J95" s="178"/>
      <c r="K95" s="179"/>
      <c r="L95" s="177"/>
      <c r="M95" s="178"/>
      <c r="N95" s="178"/>
      <c r="O95" s="180"/>
      <c r="P95" s="180"/>
      <c r="Q95" s="180" t="s">
        <v>61</v>
      </c>
      <c r="R95" s="180"/>
      <c r="S95" s="180"/>
      <c r="T95" s="267">
        <v>45663</v>
      </c>
      <c r="U95" s="271">
        <v>45663</v>
      </c>
      <c r="V95" s="272"/>
      <c r="W95" s="273"/>
      <c r="X95" s="184"/>
      <c r="Y95" s="185" t="str">
        <f>"項目名:"&amp;Z95</f>
        <v>項目名:処理区分、値:A(登録)</v>
      </c>
      <c r="Z95" s="236" t="s">
        <v>508</v>
      </c>
    </row>
    <row r="96" spans="1:26" ht="11.4" x14ac:dyDescent="0.15">
      <c r="A96" s="175">
        <f t="shared" si="2"/>
        <v>94</v>
      </c>
      <c r="B96" s="176"/>
      <c r="C96" s="176"/>
      <c r="D96" s="176"/>
      <c r="E96" s="176"/>
      <c r="F96" s="186" t="s">
        <v>509</v>
      </c>
      <c r="G96" s="227" t="s">
        <v>510</v>
      </c>
      <c r="H96" s="177"/>
      <c r="I96" s="178"/>
      <c r="J96" s="178"/>
      <c r="K96" s="179"/>
      <c r="L96" s="177"/>
      <c r="M96" s="178"/>
      <c r="N96" s="178"/>
      <c r="O96" s="180"/>
      <c r="P96" s="180"/>
      <c r="Q96" s="180" t="s">
        <v>61</v>
      </c>
      <c r="R96" s="180"/>
      <c r="S96" s="180"/>
      <c r="T96" s="267">
        <v>45663</v>
      </c>
      <c r="U96" s="271">
        <v>45663</v>
      </c>
      <c r="V96" s="272"/>
      <c r="W96" s="273"/>
      <c r="X96" s="184"/>
      <c r="Y96" s="185" t="str">
        <f>"項目名:"&amp;Z96</f>
        <v>項目名:処理区分、値:U(更新)</v>
      </c>
      <c r="Z96" s="236" t="s">
        <v>511</v>
      </c>
    </row>
    <row r="97" spans="1:26" ht="11.4" x14ac:dyDescent="0.15">
      <c r="A97" s="175">
        <f t="shared" si="2"/>
        <v>95</v>
      </c>
      <c r="B97" s="176"/>
      <c r="C97" s="176"/>
      <c r="D97" s="176"/>
      <c r="E97" s="176"/>
      <c r="F97" s="186" t="s">
        <v>512</v>
      </c>
      <c r="G97" s="227" t="s">
        <v>513</v>
      </c>
      <c r="H97" s="177"/>
      <c r="I97" s="178"/>
      <c r="J97" s="178"/>
      <c r="K97" s="179"/>
      <c r="L97" s="177"/>
      <c r="M97" s="178"/>
      <c r="N97" s="178"/>
      <c r="O97" s="180"/>
      <c r="P97" s="180"/>
      <c r="Q97" s="180" t="s">
        <v>61</v>
      </c>
      <c r="R97" s="180"/>
      <c r="S97" s="180"/>
      <c r="T97" s="267">
        <v>45663</v>
      </c>
      <c r="U97" s="271">
        <v>45663</v>
      </c>
      <c r="V97" s="272"/>
      <c r="W97" s="273"/>
      <c r="X97" s="184"/>
      <c r="Y97" s="185" t="str">
        <f>"項目名:"&amp;Z97</f>
        <v>項目名:処理区分、値:D(削除)</v>
      </c>
      <c r="Z97" s="236" t="s">
        <v>514</v>
      </c>
    </row>
    <row r="98" spans="1:26" s="236" customFormat="1" ht="11.4" x14ac:dyDescent="0.15">
      <c r="A98" s="175">
        <f t="shared" si="2"/>
        <v>96</v>
      </c>
      <c r="B98" s="176"/>
      <c r="C98" s="176"/>
      <c r="D98" s="176"/>
      <c r="E98" s="176"/>
      <c r="F98" s="186" t="s">
        <v>515</v>
      </c>
      <c r="G98" s="227" t="s">
        <v>118</v>
      </c>
      <c r="H98" s="177"/>
      <c r="I98" s="178"/>
      <c r="J98" s="178"/>
      <c r="K98" s="179"/>
      <c r="L98" s="177"/>
      <c r="M98" s="178"/>
      <c r="N98" s="178"/>
      <c r="O98" s="180"/>
      <c r="P98" s="180"/>
      <c r="Q98" s="180" t="s">
        <v>61</v>
      </c>
      <c r="R98" s="180"/>
      <c r="S98" s="180"/>
      <c r="T98" s="267">
        <v>45663</v>
      </c>
      <c r="U98" s="271">
        <v>45663</v>
      </c>
      <c r="V98" s="272"/>
      <c r="W98" s="273"/>
      <c r="X98" s="184"/>
      <c r="Y98" s="185" t="str">
        <f t="shared" ref="Y98:Y124" si="4">"項目名:"&amp;Z98</f>
        <v>項目名:自社商品コード</v>
      </c>
      <c r="Z98" s="236" t="s">
        <v>143</v>
      </c>
    </row>
    <row r="99" spans="1:26" s="236" customFormat="1" ht="11.4" x14ac:dyDescent="0.15">
      <c r="A99" s="175">
        <f t="shared" si="2"/>
        <v>97</v>
      </c>
      <c r="B99" s="176"/>
      <c r="C99" s="176"/>
      <c r="D99" s="176"/>
      <c r="E99" s="176"/>
      <c r="F99" s="186"/>
      <c r="G99" s="227" t="s">
        <v>118</v>
      </c>
      <c r="H99" s="177"/>
      <c r="I99" s="178"/>
      <c r="J99" s="178"/>
      <c r="K99" s="179"/>
      <c r="L99" s="177"/>
      <c r="M99" s="178"/>
      <c r="N99" s="178"/>
      <c r="O99" s="180"/>
      <c r="P99" s="180"/>
      <c r="Q99" s="180" t="s">
        <v>61</v>
      </c>
      <c r="R99" s="180"/>
      <c r="S99" s="180"/>
      <c r="T99" s="267">
        <v>45663</v>
      </c>
      <c r="U99" s="271">
        <v>45663</v>
      </c>
      <c r="V99" s="272"/>
      <c r="W99" s="273"/>
      <c r="X99" s="184"/>
      <c r="Y99" s="185" t="str">
        <f t="shared" si="4"/>
        <v>項目名:店舗コード</v>
      </c>
      <c r="Z99" s="236" t="s">
        <v>144</v>
      </c>
    </row>
    <row r="100" spans="1:26" s="236" customFormat="1" ht="11.4" x14ac:dyDescent="0.15">
      <c r="A100" s="175">
        <f t="shared" si="2"/>
        <v>98</v>
      </c>
      <c r="B100" s="176"/>
      <c r="C100" s="176"/>
      <c r="D100" s="176"/>
      <c r="E100" s="176"/>
      <c r="F100" s="186"/>
      <c r="G100" s="227" t="s">
        <v>118</v>
      </c>
      <c r="H100" s="177"/>
      <c r="I100" s="178"/>
      <c r="J100" s="178"/>
      <c r="K100" s="179"/>
      <c r="L100" s="177"/>
      <c r="M100" s="178"/>
      <c r="N100" s="178"/>
      <c r="O100" s="180"/>
      <c r="P100" s="180"/>
      <c r="Q100" s="180" t="s">
        <v>61</v>
      </c>
      <c r="R100" s="180"/>
      <c r="S100" s="180"/>
      <c r="T100" s="267">
        <v>45663</v>
      </c>
      <c r="U100" s="271">
        <v>45663</v>
      </c>
      <c r="V100" s="272"/>
      <c r="W100" s="273"/>
      <c r="X100" s="184"/>
      <c r="Y100" s="185" t="str">
        <f t="shared" si="4"/>
        <v>項目名:税種別コード</v>
      </c>
      <c r="Z100" s="236" t="s">
        <v>145</v>
      </c>
    </row>
    <row r="101" spans="1:26" s="236" customFormat="1" ht="11.4" x14ac:dyDescent="0.15">
      <c r="A101" s="175">
        <f t="shared" si="2"/>
        <v>99</v>
      </c>
      <c r="B101" s="176"/>
      <c r="C101" s="176"/>
      <c r="D101" s="176"/>
      <c r="E101" s="176"/>
      <c r="F101" s="186"/>
      <c r="G101" s="227" t="s">
        <v>118</v>
      </c>
      <c r="H101" s="177"/>
      <c r="I101" s="178"/>
      <c r="J101" s="178"/>
      <c r="K101" s="179"/>
      <c r="L101" s="177"/>
      <c r="M101" s="178"/>
      <c r="N101" s="178"/>
      <c r="O101" s="180"/>
      <c r="P101" s="180"/>
      <c r="Q101" s="180" t="s">
        <v>61</v>
      </c>
      <c r="R101" s="180"/>
      <c r="S101" s="180"/>
      <c r="T101" s="267">
        <v>45663</v>
      </c>
      <c r="U101" s="271">
        <v>45663</v>
      </c>
      <c r="V101" s="272"/>
      <c r="W101" s="273"/>
      <c r="X101" s="184"/>
      <c r="Y101" s="185" t="str">
        <f t="shared" si="4"/>
        <v>項目名:単品名称</v>
      </c>
      <c r="Z101" s="236" t="s">
        <v>146</v>
      </c>
    </row>
    <row r="102" spans="1:26" s="236" customFormat="1" ht="11.4" x14ac:dyDescent="0.15">
      <c r="A102" s="175">
        <f t="shared" si="2"/>
        <v>100</v>
      </c>
      <c r="B102" s="176"/>
      <c r="C102" s="176"/>
      <c r="D102" s="176"/>
      <c r="E102" s="176"/>
      <c r="F102" s="186"/>
      <c r="G102" s="227" t="s">
        <v>118</v>
      </c>
      <c r="H102" s="177"/>
      <c r="I102" s="178"/>
      <c r="J102" s="178"/>
      <c r="K102" s="179"/>
      <c r="L102" s="177"/>
      <c r="M102" s="178"/>
      <c r="N102" s="178"/>
      <c r="O102" s="180"/>
      <c r="P102" s="180"/>
      <c r="Q102" s="180" t="s">
        <v>61</v>
      </c>
      <c r="R102" s="180"/>
      <c r="S102" s="180"/>
      <c r="T102" s="267">
        <v>45663</v>
      </c>
      <c r="U102" s="271">
        <v>45663</v>
      </c>
      <c r="V102" s="272"/>
      <c r="W102" s="273"/>
      <c r="X102" s="184"/>
      <c r="Y102" s="185" t="str">
        <f t="shared" si="4"/>
        <v>項目名:レシート記述名</v>
      </c>
      <c r="Z102" s="236" t="s">
        <v>147</v>
      </c>
    </row>
    <row r="103" spans="1:26" s="236" customFormat="1" ht="11.4" x14ac:dyDescent="0.15">
      <c r="A103" s="175">
        <f t="shared" si="2"/>
        <v>101</v>
      </c>
      <c r="B103" s="176"/>
      <c r="C103" s="176"/>
      <c r="D103" s="176"/>
      <c r="E103" s="176"/>
      <c r="F103" s="186"/>
      <c r="G103" s="227" t="s">
        <v>118</v>
      </c>
      <c r="H103" s="177"/>
      <c r="I103" s="178"/>
      <c r="J103" s="178"/>
      <c r="K103" s="179"/>
      <c r="L103" s="177"/>
      <c r="M103" s="178"/>
      <c r="N103" s="178"/>
      <c r="O103" s="180"/>
      <c r="P103" s="180"/>
      <c r="Q103" s="180" t="s">
        <v>61</v>
      </c>
      <c r="R103" s="180"/>
      <c r="S103" s="180"/>
      <c r="T103" s="267">
        <v>45663</v>
      </c>
      <c r="U103" s="271">
        <v>45663</v>
      </c>
      <c r="V103" s="272"/>
      <c r="W103" s="273"/>
      <c r="X103" s="184"/>
      <c r="Y103" s="185" t="str">
        <f t="shared" si="4"/>
        <v>項目名:商品／非商品識別コード</v>
      </c>
      <c r="Z103" s="236" t="s">
        <v>148</v>
      </c>
    </row>
    <row r="104" spans="1:26" s="236" customFormat="1" ht="11.4" x14ac:dyDescent="0.15">
      <c r="A104" s="175">
        <f t="shared" si="2"/>
        <v>102</v>
      </c>
      <c r="B104" s="176"/>
      <c r="C104" s="176"/>
      <c r="D104" s="176"/>
      <c r="E104" s="176"/>
      <c r="F104" s="186"/>
      <c r="G104" s="227" t="s">
        <v>118</v>
      </c>
      <c r="H104" s="177"/>
      <c r="I104" s="178"/>
      <c r="J104" s="178"/>
      <c r="K104" s="179"/>
      <c r="L104" s="177"/>
      <c r="M104" s="178"/>
      <c r="N104" s="178"/>
      <c r="O104" s="180"/>
      <c r="P104" s="180"/>
      <c r="Q104" s="180" t="s">
        <v>61</v>
      </c>
      <c r="R104" s="180"/>
      <c r="S104" s="180"/>
      <c r="T104" s="267">
        <v>45663</v>
      </c>
      <c r="U104" s="271">
        <v>45663</v>
      </c>
      <c r="V104" s="272"/>
      <c r="W104" s="273"/>
      <c r="X104" s="184"/>
      <c r="Y104" s="185" t="str">
        <f t="shared" si="4"/>
        <v>項目名:売価</v>
      </c>
      <c r="Z104" s="236" t="s">
        <v>149</v>
      </c>
    </row>
    <row r="105" spans="1:26" s="236" customFormat="1" ht="11.4" x14ac:dyDescent="0.15">
      <c r="A105" s="175">
        <f t="shared" si="2"/>
        <v>103</v>
      </c>
      <c r="B105" s="176"/>
      <c r="C105" s="176"/>
      <c r="D105" s="176"/>
      <c r="E105" s="176"/>
      <c r="F105" s="186"/>
      <c r="G105" s="227" t="s">
        <v>118</v>
      </c>
      <c r="H105" s="177"/>
      <c r="I105" s="178"/>
      <c r="J105" s="178"/>
      <c r="K105" s="179"/>
      <c r="L105" s="177"/>
      <c r="M105" s="178"/>
      <c r="N105" s="178"/>
      <c r="O105" s="180"/>
      <c r="P105" s="180"/>
      <c r="Q105" s="180" t="s">
        <v>61</v>
      </c>
      <c r="R105" s="180"/>
      <c r="S105" s="180"/>
      <c r="T105" s="267">
        <v>45663</v>
      </c>
      <c r="U105" s="271">
        <v>45663</v>
      </c>
      <c r="V105" s="272"/>
      <c r="W105" s="273"/>
      <c r="X105" s="184"/>
      <c r="Y105" s="185" t="str">
        <f t="shared" si="4"/>
        <v>項目名:単位原価</v>
      </c>
      <c r="Z105" s="236" t="s">
        <v>150</v>
      </c>
    </row>
    <row r="106" spans="1:26" s="236" customFormat="1" ht="11.4" x14ac:dyDescent="0.15">
      <c r="A106" s="175">
        <f t="shared" si="2"/>
        <v>104</v>
      </c>
      <c r="B106" s="176"/>
      <c r="C106" s="176"/>
      <c r="D106" s="176"/>
      <c r="E106" s="176"/>
      <c r="F106" s="186"/>
      <c r="G106" s="227" t="s">
        <v>118</v>
      </c>
      <c r="H106" s="177"/>
      <c r="I106" s="178"/>
      <c r="J106" s="178"/>
      <c r="K106" s="179"/>
      <c r="L106" s="177"/>
      <c r="M106" s="178"/>
      <c r="N106" s="178"/>
      <c r="O106" s="180"/>
      <c r="P106" s="180"/>
      <c r="Q106" s="180" t="s">
        <v>61</v>
      </c>
      <c r="R106" s="180"/>
      <c r="S106" s="180"/>
      <c r="T106" s="267">
        <v>45663</v>
      </c>
      <c r="U106" s="271">
        <v>45663</v>
      </c>
      <c r="V106" s="272"/>
      <c r="W106" s="273"/>
      <c r="X106" s="184"/>
      <c r="Y106" s="185" t="str">
        <f t="shared" si="4"/>
        <v>項目名:原価率フラグ</v>
      </c>
      <c r="Z106" s="236" t="s">
        <v>151</v>
      </c>
    </row>
    <row r="107" spans="1:26" s="236" customFormat="1" ht="11.4" x14ac:dyDescent="0.15">
      <c r="A107" s="175">
        <f t="shared" si="2"/>
        <v>105</v>
      </c>
      <c r="B107" s="176"/>
      <c r="C107" s="176"/>
      <c r="D107" s="176"/>
      <c r="E107" s="176"/>
      <c r="F107" s="186"/>
      <c r="G107" s="227" t="s">
        <v>118</v>
      </c>
      <c r="H107" s="177"/>
      <c r="I107" s="178"/>
      <c r="J107" s="178"/>
      <c r="K107" s="179"/>
      <c r="L107" s="177"/>
      <c r="M107" s="178"/>
      <c r="N107" s="178"/>
      <c r="O107" s="180"/>
      <c r="P107" s="180"/>
      <c r="Q107" s="180" t="s">
        <v>61</v>
      </c>
      <c r="R107" s="180"/>
      <c r="S107" s="180"/>
      <c r="T107" s="267">
        <v>45663</v>
      </c>
      <c r="U107" s="274">
        <v>45665</v>
      </c>
      <c r="V107" s="272"/>
      <c r="W107" s="273"/>
      <c r="X107" s="184"/>
      <c r="Y107" s="185" t="str">
        <f>"項目名:"&amp;Z107</f>
        <v>項目名:ＶＦＤ表示名称</v>
      </c>
      <c r="Z107" s="236" t="s">
        <v>1104</v>
      </c>
    </row>
    <row r="108" spans="1:26" s="236" customFormat="1" ht="11.4" x14ac:dyDescent="0.15">
      <c r="A108" s="175">
        <f t="shared" si="2"/>
        <v>106</v>
      </c>
      <c r="B108" s="176"/>
      <c r="C108" s="176"/>
      <c r="D108" s="176"/>
      <c r="E108" s="176"/>
      <c r="F108" s="186"/>
      <c r="G108" s="227" t="s">
        <v>118</v>
      </c>
      <c r="H108" s="177"/>
      <c r="I108" s="178"/>
      <c r="J108" s="178"/>
      <c r="K108" s="179"/>
      <c r="L108" s="177"/>
      <c r="M108" s="178"/>
      <c r="N108" s="178"/>
      <c r="O108" s="180"/>
      <c r="P108" s="180"/>
      <c r="Q108" s="180" t="s">
        <v>61</v>
      </c>
      <c r="R108" s="180"/>
      <c r="S108" s="180"/>
      <c r="T108" s="267">
        <v>45663</v>
      </c>
      <c r="U108" s="271">
        <v>45663</v>
      </c>
      <c r="V108" s="272"/>
      <c r="W108" s="273"/>
      <c r="X108" s="184"/>
      <c r="Y108" s="185" t="str">
        <f t="shared" si="4"/>
        <v>項目名:オペレータによる金額入力</v>
      </c>
      <c r="Z108" s="236" t="s">
        <v>153</v>
      </c>
    </row>
    <row r="109" spans="1:26" s="236" customFormat="1" ht="11.4" x14ac:dyDescent="0.15">
      <c r="A109" s="175">
        <f t="shared" si="2"/>
        <v>107</v>
      </c>
      <c r="B109" s="176"/>
      <c r="C109" s="176"/>
      <c r="D109" s="176"/>
      <c r="E109" s="176"/>
      <c r="F109" s="186"/>
      <c r="G109" s="227" t="s">
        <v>118</v>
      </c>
      <c r="H109" s="177"/>
      <c r="I109" s="178"/>
      <c r="J109" s="178"/>
      <c r="K109" s="179"/>
      <c r="L109" s="177"/>
      <c r="M109" s="178"/>
      <c r="N109" s="178"/>
      <c r="O109" s="180"/>
      <c r="P109" s="180"/>
      <c r="Q109" s="180" t="s">
        <v>61</v>
      </c>
      <c r="R109" s="180"/>
      <c r="S109" s="180"/>
      <c r="T109" s="267">
        <v>45663</v>
      </c>
      <c r="U109" s="271">
        <v>45663</v>
      </c>
      <c r="V109" s="272"/>
      <c r="W109" s="273"/>
      <c r="X109" s="184"/>
      <c r="Y109" s="185" t="str">
        <f t="shared" si="4"/>
        <v>項目名:販売単位価格</v>
      </c>
      <c r="Z109" s="236" t="s">
        <v>154</v>
      </c>
    </row>
    <row r="110" spans="1:26" s="236" customFormat="1" ht="11.4" x14ac:dyDescent="0.15">
      <c r="A110" s="175">
        <f t="shared" si="2"/>
        <v>108</v>
      </c>
      <c r="B110" s="176"/>
      <c r="C110" s="176"/>
      <c r="D110" s="176"/>
      <c r="E110" s="176"/>
      <c r="F110" s="186"/>
      <c r="G110" s="227" t="s">
        <v>118</v>
      </c>
      <c r="H110" s="177"/>
      <c r="I110" s="178"/>
      <c r="J110" s="178"/>
      <c r="K110" s="179"/>
      <c r="L110" s="177"/>
      <c r="M110" s="178"/>
      <c r="N110" s="178"/>
      <c r="O110" s="180"/>
      <c r="P110" s="180"/>
      <c r="Q110" s="180" t="s">
        <v>61</v>
      </c>
      <c r="R110" s="180"/>
      <c r="S110" s="180"/>
      <c r="T110" s="267">
        <v>45663</v>
      </c>
      <c r="U110" s="271">
        <v>45663</v>
      </c>
      <c r="V110" s="272"/>
      <c r="W110" s="273"/>
      <c r="X110" s="184"/>
      <c r="Y110" s="185" t="str">
        <f t="shared" si="4"/>
        <v>項目名:返品価格</v>
      </c>
      <c r="Z110" s="236" t="s">
        <v>155</v>
      </c>
    </row>
    <row r="111" spans="1:26" s="236" customFormat="1" ht="11.4" x14ac:dyDescent="0.15">
      <c r="A111" s="175">
        <f t="shared" si="2"/>
        <v>109</v>
      </c>
      <c r="B111" s="176"/>
      <c r="C111" s="176"/>
      <c r="D111" s="176"/>
      <c r="E111" s="176"/>
      <c r="F111" s="186"/>
      <c r="G111" s="227" t="s">
        <v>118</v>
      </c>
      <c r="H111" s="177"/>
      <c r="I111" s="178"/>
      <c r="J111" s="178"/>
      <c r="K111" s="179"/>
      <c r="L111" s="177"/>
      <c r="M111" s="178"/>
      <c r="N111" s="178"/>
      <c r="O111" s="180"/>
      <c r="P111" s="180"/>
      <c r="Q111" s="180" t="s">
        <v>61</v>
      </c>
      <c r="R111" s="180"/>
      <c r="S111" s="180"/>
      <c r="T111" s="267">
        <v>45663</v>
      </c>
      <c r="U111" s="271">
        <v>45663</v>
      </c>
      <c r="V111" s="272"/>
      <c r="W111" s="273"/>
      <c r="X111" s="184"/>
      <c r="Y111" s="185" t="str">
        <f t="shared" si="4"/>
        <v>項目名:商品分類１</v>
      </c>
      <c r="Z111" s="236" t="s">
        <v>156</v>
      </c>
    </row>
    <row r="112" spans="1:26" s="236" customFormat="1" ht="11.4" x14ac:dyDescent="0.15">
      <c r="A112" s="175">
        <f t="shared" si="2"/>
        <v>110</v>
      </c>
      <c r="B112" s="176"/>
      <c r="C112" s="176"/>
      <c r="D112" s="176"/>
      <c r="E112" s="176"/>
      <c r="F112" s="186"/>
      <c r="G112" s="227" t="s">
        <v>118</v>
      </c>
      <c r="H112" s="177"/>
      <c r="I112" s="178"/>
      <c r="J112" s="178"/>
      <c r="K112" s="179"/>
      <c r="L112" s="177"/>
      <c r="M112" s="178"/>
      <c r="N112" s="178"/>
      <c r="O112" s="180"/>
      <c r="P112" s="180"/>
      <c r="Q112" s="180" t="s">
        <v>61</v>
      </c>
      <c r="R112" s="180"/>
      <c r="S112" s="180"/>
      <c r="T112" s="267">
        <v>45663</v>
      </c>
      <c r="U112" s="271">
        <v>45663</v>
      </c>
      <c r="V112" s="272"/>
      <c r="W112" s="273"/>
      <c r="X112" s="184"/>
      <c r="Y112" s="185" t="str">
        <f t="shared" si="4"/>
        <v>項目名:商品分類２</v>
      </c>
      <c r="Z112" s="236" t="s">
        <v>157</v>
      </c>
    </row>
    <row r="113" spans="1:26" s="236" customFormat="1" ht="11.4" x14ac:dyDescent="0.15">
      <c r="A113" s="175">
        <f t="shared" si="2"/>
        <v>111</v>
      </c>
      <c r="B113" s="176"/>
      <c r="C113" s="176"/>
      <c r="D113" s="176"/>
      <c r="E113" s="176"/>
      <c r="F113" s="186"/>
      <c r="G113" s="227" t="s">
        <v>118</v>
      </c>
      <c r="H113" s="177"/>
      <c r="I113" s="178"/>
      <c r="J113" s="178"/>
      <c r="K113" s="179"/>
      <c r="L113" s="177"/>
      <c r="M113" s="178"/>
      <c r="N113" s="178"/>
      <c r="O113" s="180"/>
      <c r="P113" s="180"/>
      <c r="Q113" s="180" t="s">
        <v>61</v>
      </c>
      <c r="R113" s="180"/>
      <c r="S113" s="180"/>
      <c r="T113" s="267">
        <v>45663</v>
      </c>
      <c r="U113" s="271">
        <v>45663</v>
      </c>
      <c r="V113" s="272"/>
      <c r="W113" s="273"/>
      <c r="X113" s="184"/>
      <c r="Y113" s="185" t="str">
        <f t="shared" si="4"/>
        <v>項目名:商品分類３</v>
      </c>
      <c r="Z113" s="236" t="s">
        <v>158</v>
      </c>
    </row>
    <row r="114" spans="1:26" s="236" customFormat="1" ht="11.4" x14ac:dyDescent="0.15">
      <c r="A114" s="175">
        <f t="shared" si="2"/>
        <v>112</v>
      </c>
      <c r="B114" s="176"/>
      <c r="C114" s="176"/>
      <c r="D114" s="176"/>
      <c r="E114" s="176"/>
      <c r="F114" s="186"/>
      <c r="G114" s="227" t="s">
        <v>118</v>
      </c>
      <c r="H114" s="177"/>
      <c r="I114" s="178"/>
      <c r="J114" s="178"/>
      <c r="K114" s="179"/>
      <c r="L114" s="177"/>
      <c r="M114" s="178"/>
      <c r="N114" s="178"/>
      <c r="O114" s="180"/>
      <c r="P114" s="180"/>
      <c r="Q114" s="180" t="s">
        <v>61</v>
      </c>
      <c r="R114" s="180"/>
      <c r="S114" s="180"/>
      <c r="T114" s="267">
        <v>45663</v>
      </c>
      <c r="U114" s="271">
        <v>45663</v>
      </c>
      <c r="V114" s="272"/>
      <c r="W114" s="273"/>
      <c r="X114" s="184"/>
      <c r="Y114" s="185" t="str">
        <f t="shared" si="4"/>
        <v>項目名:単品値引除外</v>
      </c>
      <c r="Z114" s="236" t="s">
        <v>159</v>
      </c>
    </row>
    <row r="115" spans="1:26" s="236" customFormat="1" ht="11.4" x14ac:dyDescent="0.15">
      <c r="A115" s="175">
        <f t="shared" si="2"/>
        <v>113</v>
      </c>
      <c r="B115" s="176"/>
      <c r="C115" s="176"/>
      <c r="D115" s="176"/>
      <c r="E115" s="176"/>
      <c r="F115" s="186"/>
      <c r="G115" s="227" t="s">
        <v>118</v>
      </c>
      <c r="H115" s="177"/>
      <c r="I115" s="178"/>
      <c r="J115" s="178"/>
      <c r="K115" s="179"/>
      <c r="L115" s="177"/>
      <c r="M115" s="178"/>
      <c r="N115" s="178"/>
      <c r="O115" s="180"/>
      <c r="P115" s="180"/>
      <c r="Q115" s="180" t="s">
        <v>61</v>
      </c>
      <c r="R115" s="180"/>
      <c r="S115" s="180"/>
      <c r="T115" s="267">
        <v>45663</v>
      </c>
      <c r="U115" s="271">
        <v>45663</v>
      </c>
      <c r="V115" s="272"/>
      <c r="W115" s="273"/>
      <c r="X115" s="184"/>
      <c r="Y115" s="185" t="str">
        <f t="shared" si="4"/>
        <v>項目名:小計マニュアル値引除外</v>
      </c>
      <c r="Z115" s="236" t="s">
        <v>160</v>
      </c>
    </row>
    <row r="116" spans="1:26" s="236" customFormat="1" ht="11.4" x14ac:dyDescent="0.15">
      <c r="A116" s="175">
        <f t="shared" si="2"/>
        <v>114</v>
      </c>
      <c r="B116" s="176"/>
      <c r="C116" s="176"/>
      <c r="D116" s="176"/>
      <c r="E116" s="176"/>
      <c r="F116" s="186"/>
      <c r="G116" s="227" t="s">
        <v>118</v>
      </c>
      <c r="H116" s="177"/>
      <c r="I116" s="178"/>
      <c r="J116" s="178"/>
      <c r="K116" s="179"/>
      <c r="L116" s="177"/>
      <c r="M116" s="178"/>
      <c r="N116" s="178"/>
      <c r="O116" s="180"/>
      <c r="P116" s="180"/>
      <c r="Q116" s="180" t="s">
        <v>61</v>
      </c>
      <c r="R116" s="180"/>
      <c r="S116" s="180"/>
      <c r="T116" s="267">
        <v>45663</v>
      </c>
      <c r="U116" s="271">
        <v>45663</v>
      </c>
      <c r="V116" s="272"/>
      <c r="W116" s="273"/>
      <c r="X116" s="184"/>
      <c r="Y116" s="185" t="str">
        <f t="shared" si="4"/>
        <v>項目名:会員価格方式</v>
      </c>
      <c r="Z116" s="236" t="s">
        <v>161</v>
      </c>
    </row>
    <row r="117" spans="1:26" s="236" customFormat="1" ht="11.4" x14ac:dyDescent="0.15">
      <c r="A117" s="175">
        <f t="shared" si="2"/>
        <v>115</v>
      </c>
      <c r="B117" s="176"/>
      <c r="C117" s="176"/>
      <c r="D117" s="176"/>
      <c r="E117" s="176"/>
      <c r="F117" s="186"/>
      <c r="G117" s="227" t="s">
        <v>118</v>
      </c>
      <c r="H117" s="177"/>
      <c r="I117" s="178"/>
      <c r="J117" s="178"/>
      <c r="K117" s="179"/>
      <c r="L117" s="177"/>
      <c r="M117" s="178"/>
      <c r="N117" s="178"/>
      <c r="O117" s="180"/>
      <c r="P117" s="180"/>
      <c r="Q117" s="180" t="s">
        <v>61</v>
      </c>
      <c r="R117" s="180"/>
      <c r="S117" s="180"/>
      <c r="T117" s="267">
        <v>45663</v>
      </c>
      <c r="U117" s="271">
        <v>45663</v>
      </c>
      <c r="V117" s="272"/>
      <c r="W117" s="273"/>
      <c r="X117" s="184"/>
      <c r="Y117" s="185" t="str">
        <f t="shared" si="4"/>
        <v>項目名:仕入数</v>
      </c>
      <c r="Z117" s="236" t="s">
        <v>162</v>
      </c>
    </row>
    <row r="118" spans="1:26" s="236" customFormat="1" ht="11.4" x14ac:dyDescent="0.15">
      <c r="A118" s="175">
        <f t="shared" si="2"/>
        <v>116</v>
      </c>
      <c r="B118" s="176"/>
      <c r="C118" s="176"/>
      <c r="D118" s="176"/>
      <c r="E118" s="176"/>
      <c r="F118" s="186"/>
      <c r="G118" s="227" t="s">
        <v>118</v>
      </c>
      <c r="H118" s="177"/>
      <c r="I118" s="178"/>
      <c r="J118" s="178"/>
      <c r="K118" s="179"/>
      <c r="L118" s="177"/>
      <c r="M118" s="178"/>
      <c r="N118" s="178"/>
      <c r="O118" s="180"/>
      <c r="P118" s="180"/>
      <c r="Q118" s="180" t="s">
        <v>61</v>
      </c>
      <c r="R118" s="180"/>
      <c r="S118" s="180"/>
      <c r="T118" s="267">
        <v>45663</v>
      </c>
      <c r="U118" s="271">
        <v>45663</v>
      </c>
      <c r="V118" s="272"/>
      <c r="W118" s="273"/>
      <c r="X118" s="184"/>
      <c r="Y118" s="185" t="str">
        <f t="shared" si="4"/>
        <v>項目名:在庫数</v>
      </c>
      <c r="Z118" s="236" t="s">
        <v>163</v>
      </c>
    </row>
    <row r="119" spans="1:26" s="236" customFormat="1" ht="11.4" x14ac:dyDescent="0.15">
      <c r="A119" s="175">
        <f t="shared" si="2"/>
        <v>117</v>
      </c>
      <c r="B119" s="176"/>
      <c r="C119" s="176"/>
      <c r="D119" s="176"/>
      <c r="E119" s="176"/>
      <c r="F119" s="186"/>
      <c r="G119" s="227" t="s">
        <v>118</v>
      </c>
      <c r="H119" s="177"/>
      <c r="I119" s="178"/>
      <c r="J119" s="178"/>
      <c r="K119" s="179"/>
      <c r="L119" s="177"/>
      <c r="M119" s="178"/>
      <c r="N119" s="178"/>
      <c r="O119" s="180"/>
      <c r="P119" s="180"/>
      <c r="Q119" s="180" t="s">
        <v>61</v>
      </c>
      <c r="R119" s="180"/>
      <c r="S119" s="180"/>
      <c r="T119" s="267">
        <v>45663</v>
      </c>
      <c r="U119" s="271">
        <v>45663</v>
      </c>
      <c r="V119" s="272"/>
      <c r="W119" s="273"/>
      <c r="X119" s="184"/>
      <c r="Y119" s="185" t="str">
        <f t="shared" si="4"/>
        <v>項目名:定価</v>
      </c>
      <c r="Z119" s="236" t="s">
        <v>164</v>
      </c>
    </row>
    <row r="120" spans="1:26" s="236" customFormat="1" ht="11.4" x14ac:dyDescent="0.15">
      <c r="A120" s="175">
        <f t="shared" si="2"/>
        <v>118</v>
      </c>
      <c r="B120" s="176"/>
      <c r="C120" s="176"/>
      <c r="D120" s="176"/>
      <c r="E120" s="176"/>
      <c r="F120" s="186"/>
      <c r="G120" s="227" t="s">
        <v>118</v>
      </c>
      <c r="H120" s="177"/>
      <c r="I120" s="178"/>
      <c r="J120" s="178"/>
      <c r="K120" s="179"/>
      <c r="L120" s="177"/>
      <c r="M120" s="178"/>
      <c r="N120" s="178"/>
      <c r="O120" s="180"/>
      <c r="P120" s="180"/>
      <c r="Q120" s="180" t="s">
        <v>61</v>
      </c>
      <c r="R120" s="180"/>
      <c r="S120" s="180"/>
      <c r="T120" s="267">
        <v>45663</v>
      </c>
      <c r="U120" s="271">
        <v>45663</v>
      </c>
      <c r="V120" s="272"/>
      <c r="W120" s="273"/>
      <c r="X120" s="184"/>
      <c r="Y120" s="185" t="str">
        <f t="shared" si="4"/>
        <v>項目名:スキャンコード</v>
      </c>
      <c r="Z120" s="236" t="s">
        <v>165</v>
      </c>
    </row>
    <row r="121" spans="1:26" s="236" customFormat="1" ht="11.4" x14ac:dyDescent="0.15">
      <c r="A121" s="175">
        <f t="shared" si="2"/>
        <v>119</v>
      </c>
      <c r="B121" s="176"/>
      <c r="C121" s="176"/>
      <c r="D121" s="176"/>
      <c r="E121" s="176"/>
      <c r="F121" s="186"/>
      <c r="G121" s="227" t="s">
        <v>118</v>
      </c>
      <c r="H121" s="177"/>
      <c r="I121" s="178"/>
      <c r="J121" s="178"/>
      <c r="K121" s="179"/>
      <c r="L121" s="177"/>
      <c r="M121" s="178"/>
      <c r="N121" s="178"/>
      <c r="O121" s="180"/>
      <c r="P121" s="180"/>
      <c r="Q121" s="180" t="s">
        <v>61</v>
      </c>
      <c r="R121" s="180"/>
      <c r="S121" s="180"/>
      <c r="T121" s="267">
        <v>45663</v>
      </c>
      <c r="U121" s="271">
        <v>45663</v>
      </c>
      <c r="V121" s="272"/>
      <c r="W121" s="273"/>
      <c r="X121" s="184"/>
      <c r="Y121" s="185" t="str">
        <f t="shared" si="4"/>
        <v>項目名:ＰＬＵタイプ</v>
      </c>
      <c r="Z121" s="236" t="s">
        <v>166</v>
      </c>
    </row>
    <row r="122" spans="1:26" s="236" customFormat="1" ht="11.4" x14ac:dyDescent="0.15">
      <c r="A122" s="175">
        <f t="shared" si="2"/>
        <v>120</v>
      </c>
      <c r="B122" s="176"/>
      <c r="C122" s="176"/>
      <c r="D122" s="176"/>
      <c r="E122" s="176"/>
      <c r="F122" s="186"/>
      <c r="G122" s="227" t="s">
        <v>118</v>
      </c>
      <c r="H122" s="177"/>
      <c r="I122" s="178"/>
      <c r="J122" s="178"/>
      <c r="K122" s="179"/>
      <c r="L122" s="177"/>
      <c r="M122" s="178"/>
      <c r="N122" s="178"/>
      <c r="O122" s="180"/>
      <c r="P122" s="180"/>
      <c r="Q122" s="180" t="s">
        <v>61</v>
      </c>
      <c r="R122" s="180"/>
      <c r="S122" s="180"/>
      <c r="T122" s="267">
        <v>45663</v>
      </c>
      <c r="U122" s="271">
        <v>45663</v>
      </c>
      <c r="V122" s="272"/>
      <c r="W122" s="273"/>
      <c r="X122" s="184"/>
      <c r="Y122" s="185" t="str">
        <f t="shared" si="4"/>
        <v>項目名:内部商品分類番号</v>
      </c>
      <c r="Z122" s="236" t="s">
        <v>167</v>
      </c>
    </row>
    <row r="123" spans="1:26" s="236" customFormat="1" ht="11.4" x14ac:dyDescent="0.15">
      <c r="A123" s="175">
        <f t="shared" si="2"/>
        <v>121</v>
      </c>
      <c r="B123" s="176"/>
      <c r="C123" s="176"/>
      <c r="D123" s="176"/>
      <c r="E123" s="176"/>
      <c r="F123" s="186"/>
      <c r="G123" s="227" t="s">
        <v>118</v>
      </c>
      <c r="H123" s="177"/>
      <c r="I123" s="178"/>
      <c r="J123" s="178"/>
      <c r="K123" s="179"/>
      <c r="L123" s="177"/>
      <c r="M123" s="178"/>
      <c r="N123" s="178"/>
      <c r="O123" s="180"/>
      <c r="P123" s="180"/>
      <c r="Q123" s="180" t="s">
        <v>61</v>
      </c>
      <c r="R123" s="180"/>
      <c r="S123" s="180"/>
      <c r="T123" s="267">
        <v>45663</v>
      </c>
      <c r="U123" s="271">
        <v>45663</v>
      </c>
      <c r="V123" s="272"/>
      <c r="W123" s="273"/>
      <c r="X123" s="184"/>
      <c r="Y123" s="185" t="str">
        <f t="shared" si="4"/>
        <v>項目名:作成日</v>
      </c>
      <c r="Z123" s="236" t="s">
        <v>168</v>
      </c>
    </row>
    <row r="124" spans="1:26" s="236" customFormat="1" ht="11.4" x14ac:dyDescent="0.15">
      <c r="A124" s="175">
        <f t="shared" si="2"/>
        <v>122</v>
      </c>
      <c r="B124" s="176"/>
      <c r="C124" s="176"/>
      <c r="D124" s="176"/>
      <c r="E124" s="176"/>
      <c r="F124" s="186"/>
      <c r="G124" s="227" t="s">
        <v>136</v>
      </c>
      <c r="H124" s="177"/>
      <c r="I124" s="178"/>
      <c r="J124" s="178"/>
      <c r="K124" s="179"/>
      <c r="L124" s="177"/>
      <c r="M124" s="178"/>
      <c r="N124" s="178"/>
      <c r="O124" s="180"/>
      <c r="P124" s="180"/>
      <c r="Q124" s="180" t="s">
        <v>61</v>
      </c>
      <c r="R124" s="180"/>
      <c r="S124" s="180"/>
      <c r="T124" s="267">
        <v>45663</v>
      </c>
      <c r="U124" s="271">
        <v>45663</v>
      </c>
      <c r="V124" s="272"/>
      <c r="W124" s="273"/>
      <c r="X124" s="184"/>
      <c r="Y124" s="185" t="str">
        <f t="shared" si="4"/>
        <v>項目名:未使用項目や空白固定項目</v>
      </c>
      <c r="Z124" s="236" t="s">
        <v>137</v>
      </c>
    </row>
    <row r="125" spans="1:26" ht="11.4" x14ac:dyDescent="0.15">
      <c r="A125" s="175">
        <f t="shared" si="3"/>
        <v>123</v>
      </c>
      <c r="B125" s="176"/>
      <c r="C125" s="176"/>
      <c r="D125" s="176"/>
      <c r="E125" s="186" t="s">
        <v>169</v>
      </c>
      <c r="F125" s="186" t="s">
        <v>516</v>
      </c>
      <c r="G125" s="227" t="s">
        <v>110</v>
      </c>
      <c r="H125" s="177"/>
      <c r="I125" s="178"/>
      <c r="J125" s="178"/>
      <c r="K125" s="179"/>
      <c r="L125" s="177"/>
      <c r="M125" s="178"/>
      <c r="N125" s="178"/>
      <c r="O125" s="180"/>
      <c r="P125" s="180" t="s">
        <v>61</v>
      </c>
      <c r="Q125" s="180"/>
      <c r="R125" s="180"/>
      <c r="S125" s="180"/>
      <c r="T125" s="267">
        <v>45664</v>
      </c>
      <c r="U125" s="271">
        <v>45664</v>
      </c>
      <c r="V125" s="272"/>
      <c r="W125" s="273"/>
      <c r="X125" s="184"/>
      <c r="Y125" s="185" t="s">
        <v>517</v>
      </c>
    </row>
    <row r="126" spans="1:26" ht="11.4" x14ac:dyDescent="0.15">
      <c r="A126" s="175">
        <f t="shared" si="3"/>
        <v>124</v>
      </c>
      <c r="B126" s="176"/>
      <c r="C126" s="176"/>
      <c r="D126" s="176"/>
      <c r="E126" s="176"/>
      <c r="F126" s="186"/>
      <c r="G126" s="227" t="s">
        <v>112</v>
      </c>
      <c r="H126" s="177"/>
      <c r="I126" s="178"/>
      <c r="J126" s="178"/>
      <c r="K126" s="179"/>
      <c r="L126" s="177"/>
      <c r="M126" s="178"/>
      <c r="N126" s="178"/>
      <c r="O126" s="180" t="s">
        <v>61</v>
      </c>
      <c r="P126" s="180"/>
      <c r="Q126" s="180"/>
      <c r="R126" s="180"/>
      <c r="S126" s="180"/>
      <c r="T126" s="267">
        <v>45664</v>
      </c>
      <c r="U126" s="271">
        <v>45664</v>
      </c>
      <c r="V126" s="272"/>
      <c r="W126" s="273"/>
      <c r="X126" s="184"/>
      <c r="Y126" s="185" t="s">
        <v>113</v>
      </c>
    </row>
    <row r="127" spans="1:26" ht="11.4" x14ac:dyDescent="0.15">
      <c r="A127" s="175">
        <f t="shared" si="3"/>
        <v>125</v>
      </c>
      <c r="B127" s="176"/>
      <c r="C127" s="176"/>
      <c r="D127" s="176"/>
      <c r="E127" s="176"/>
      <c r="F127" s="186"/>
      <c r="G127" s="227" t="s">
        <v>112</v>
      </c>
      <c r="H127" s="177"/>
      <c r="I127" s="178"/>
      <c r="J127" s="178"/>
      <c r="K127" s="179"/>
      <c r="L127" s="177"/>
      <c r="M127" s="178"/>
      <c r="N127" s="178"/>
      <c r="O127" s="180" t="s">
        <v>61</v>
      </c>
      <c r="P127" s="180"/>
      <c r="Q127" s="180"/>
      <c r="R127" s="180"/>
      <c r="S127" s="180"/>
      <c r="T127" s="267">
        <v>45664</v>
      </c>
      <c r="U127" s="271">
        <v>45664</v>
      </c>
      <c r="V127" s="272"/>
      <c r="W127" s="273"/>
      <c r="X127" s="184"/>
      <c r="Y127" s="185" t="s">
        <v>114</v>
      </c>
    </row>
    <row r="128" spans="1:26" ht="11.4" x14ac:dyDescent="0.15">
      <c r="A128" s="175">
        <f t="shared" si="3"/>
        <v>126</v>
      </c>
      <c r="B128" s="176"/>
      <c r="C128" s="176"/>
      <c r="D128" s="176"/>
      <c r="E128" s="176"/>
      <c r="F128" s="186"/>
      <c r="G128" s="227" t="s">
        <v>112</v>
      </c>
      <c r="H128" s="177"/>
      <c r="I128" s="178"/>
      <c r="J128" s="178"/>
      <c r="K128" s="179"/>
      <c r="L128" s="177"/>
      <c r="M128" s="178"/>
      <c r="N128" s="178"/>
      <c r="O128" s="180" t="s">
        <v>61</v>
      </c>
      <c r="P128" s="180"/>
      <c r="Q128" s="180"/>
      <c r="R128" s="180"/>
      <c r="S128" s="180"/>
      <c r="T128" s="267">
        <v>45664</v>
      </c>
      <c r="U128" s="271">
        <v>45664</v>
      </c>
      <c r="V128" s="272"/>
      <c r="W128" s="273"/>
      <c r="X128" s="184"/>
      <c r="Y128" s="185" t="s">
        <v>115</v>
      </c>
    </row>
    <row r="129" spans="1:26" ht="11.4" x14ac:dyDescent="0.15">
      <c r="A129" s="175">
        <f t="shared" si="3"/>
        <v>127</v>
      </c>
      <c r="B129" s="176"/>
      <c r="C129" s="176"/>
      <c r="D129" s="176"/>
      <c r="E129" s="176"/>
      <c r="F129" s="186"/>
      <c r="G129" s="227" t="s">
        <v>112</v>
      </c>
      <c r="H129" s="177"/>
      <c r="I129" s="178"/>
      <c r="J129" s="178"/>
      <c r="K129" s="179"/>
      <c r="L129" s="177"/>
      <c r="M129" s="178"/>
      <c r="N129" s="178"/>
      <c r="O129" s="180" t="s">
        <v>61</v>
      </c>
      <c r="P129" s="180"/>
      <c r="Q129" s="180"/>
      <c r="R129" s="180"/>
      <c r="S129" s="180"/>
      <c r="T129" s="267">
        <v>45664</v>
      </c>
      <c r="U129" s="271">
        <v>45664</v>
      </c>
      <c r="V129" s="272"/>
      <c r="W129" s="273"/>
      <c r="X129" s="184"/>
      <c r="Y129" s="185" t="s">
        <v>116</v>
      </c>
    </row>
    <row r="130" spans="1:26" ht="11.4" x14ac:dyDescent="0.15">
      <c r="A130" s="175">
        <f t="shared" si="3"/>
        <v>128</v>
      </c>
      <c r="B130" s="176"/>
      <c r="C130" s="176"/>
      <c r="D130" s="176"/>
      <c r="E130" s="176"/>
      <c r="F130" s="186"/>
      <c r="G130" s="227" t="s">
        <v>112</v>
      </c>
      <c r="H130" s="177"/>
      <c r="I130" s="178"/>
      <c r="J130" s="178"/>
      <c r="K130" s="179"/>
      <c r="L130" s="177"/>
      <c r="M130" s="178"/>
      <c r="N130" s="178"/>
      <c r="O130" s="180" t="s">
        <v>61</v>
      </c>
      <c r="P130" s="180"/>
      <c r="Q130" s="180"/>
      <c r="R130" s="180"/>
      <c r="S130" s="180"/>
      <c r="T130" s="267">
        <v>45664</v>
      </c>
      <c r="U130" s="271">
        <v>45664</v>
      </c>
      <c r="V130" s="272"/>
      <c r="W130" s="273"/>
      <c r="X130" s="184"/>
      <c r="Y130" s="185" t="s">
        <v>117</v>
      </c>
    </row>
    <row r="131" spans="1:26" ht="11.4" x14ac:dyDescent="0.15">
      <c r="A131" s="175">
        <f t="shared" si="3"/>
        <v>129</v>
      </c>
      <c r="B131" s="176"/>
      <c r="C131" s="176"/>
      <c r="D131" s="186"/>
      <c r="E131" s="186"/>
      <c r="F131" s="186" t="s">
        <v>518</v>
      </c>
      <c r="G131" s="227" t="s">
        <v>507</v>
      </c>
      <c r="H131" s="177"/>
      <c r="I131" s="178"/>
      <c r="J131" s="178"/>
      <c r="K131" s="179"/>
      <c r="L131" s="177"/>
      <c r="M131" s="178"/>
      <c r="N131" s="178"/>
      <c r="O131" s="180"/>
      <c r="P131" s="180"/>
      <c r="Q131" s="180" t="s">
        <v>61</v>
      </c>
      <c r="R131" s="180"/>
      <c r="S131" s="180"/>
      <c r="T131" s="267">
        <v>45664</v>
      </c>
      <c r="U131" s="271">
        <v>45664</v>
      </c>
      <c r="V131" s="272"/>
      <c r="W131" s="273"/>
      <c r="X131" s="184"/>
      <c r="Y131" s="185" t="str">
        <f>"項目名:"&amp;Z131</f>
        <v>項目名:処理区分、値:A(登録)</v>
      </c>
      <c r="Z131" s="236" t="s">
        <v>508</v>
      </c>
    </row>
    <row r="132" spans="1:26" ht="11.4" x14ac:dyDescent="0.15">
      <c r="A132" s="175">
        <f t="shared" si="3"/>
        <v>130</v>
      </c>
      <c r="B132" s="176"/>
      <c r="C132" s="176"/>
      <c r="D132" s="186"/>
      <c r="E132" s="186"/>
      <c r="F132" s="186" t="s">
        <v>519</v>
      </c>
      <c r="G132" s="227" t="s">
        <v>510</v>
      </c>
      <c r="H132" s="177"/>
      <c r="I132" s="178"/>
      <c r="J132" s="178"/>
      <c r="K132" s="179"/>
      <c r="L132" s="177"/>
      <c r="M132" s="178"/>
      <c r="N132" s="178"/>
      <c r="O132" s="180"/>
      <c r="P132" s="180"/>
      <c r="Q132" s="180" t="s">
        <v>61</v>
      </c>
      <c r="R132" s="180"/>
      <c r="S132" s="180"/>
      <c r="T132" s="267">
        <v>45664</v>
      </c>
      <c r="U132" s="271">
        <v>45664</v>
      </c>
      <c r="V132" s="272"/>
      <c r="W132" s="273"/>
      <c r="X132" s="184"/>
      <c r="Y132" s="185" t="str">
        <f t="shared" ref="Y132:Y152" si="5">"項目名:"&amp;Z132</f>
        <v>項目名:処理区分、値:U(更新)</v>
      </c>
      <c r="Z132" s="236" t="s">
        <v>511</v>
      </c>
    </row>
    <row r="133" spans="1:26" ht="11.4" x14ac:dyDescent="0.15">
      <c r="A133" s="175">
        <f t="shared" si="3"/>
        <v>131</v>
      </c>
      <c r="B133" s="176"/>
      <c r="C133" s="176"/>
      <c r="D133" s="186"/>
      <c r="E133" s="186"/>
      <c r="F133" s="186" t="s">
        <v>520</v>
      </c>
      <c r="G133" s="227" t="s">
        <v>513</v>
      </c>
      <c r="H133" s="177"/>
      <c r="I133" s="178"/>
      <c r="J133" s="178"/>
      <c r="K133" s="179"/>
      <c r="L133" s="177"/>
      <c r="M133" s="178"/>
      <c r="N133" s="178"/>
      <c r="O133" s="180"/>
      <c r="P133" s="180"/>
      <c r="Q133" s="180" t="s">
        <v>61</v>
      </c>
      <c r="R133" s="180"/>
      <c r="S133" s="180"/>
      <c r="T133" s="267">
        <v>45664</v>
      </c>
      <c r="U133" s="271">
        <v>45664</v>
      </c>
      <c r="V133" s="272"/>
      <c r="W133" s="273"/>
      <c r="X133" s="184"/>
      <c r="Y133" s="185" t="str">
        <f t="shared" si="5"/>
        <v>項目名:処理区分、値:D(削除)</v>
      </c>
      <c r="Z133" s="236" t="s">
        <v>514</v>
      </c>
    </row>
    <row r="134" spans="1:26" s="236" customFormat="1" ht="11.4" x14ac:dyDescent="0.15">
      <c r="A134" s="175">
        <f t="shared" si="3"/>
        <v>132</v>
      </c>
      <c r="B134" s="176"/>
      <c r="C134" s="176"/>
      <c r="D134" s="176"/>
      <c r="E134" s="176"/>
      <c r="F134" s="186" t="s">
        <v>515</v>
      </c>
      <c r="G134" s="227" t="s">
        <v>118</v>
      </c>
      <c r="H134" s="177"/>
      <c r="I134" s="178"/>
      <c r="J134" s="178"/>
      <c r="K134" s="179"/>
      <c r="L134" s="177"/>
      <c r="M134" s="178"/>
      <c r="N134" s="178"/>
      <c r="O134" s="180"/>
      <c r="P134" s="180"/>
      <c r="Q134" s="180" t="s">
        <v>61</v>
      </c>
      <c r="R134" s="180"/>
      <c r="S134" s="180"/>
      <c r="T134" s="267">
        <v>45664</v>
      </c>
      <c r="U134" s="271">
        <v>45664</v>
      </c>
      <c r="V134" s="272"/>
      <c r="W134" s="273"/>
      <c r="X134" s="184"/>
      <c r="Y134" s="185" t="str">
        <f t="shared" si="5"/>
        <v>項目名:店舗コード</v>
      </c>
      <c r="Z134" s="236" t="s">
        <v>144</v>
      </c>
    </row>
    <row r="135" spans="1:26" s="236" customFormat="1" ht="11.4" x14ac:dyDescent="0.15">
      <c r="A135" s="175">
        <f t="shared" si="3"/>
        <v>133</v>
      </c>
      <c r="B135" s="176"/>
      <c r="C135" s="176"/>
      <c r="D135" s="176"/>
      <c r="E135" s="176"/>
      <c r="F135" s="186"/>
      <c r="G135" s="227" t="s">
        <v>118</v>
      </c>
      <c r="H135" s="177"/>
      <c r="I135" s="178"/>
      <c r="J135" s="178"/>
      <c r="K135" s="179"/>
      <c r="L135" s="177"/>
      <c r="M135" s="178"/>
      <c r="N135" s="178"/>
      <c r="O135" s="180"/>
      <c r="P135" s="180"/>
      <c r="Q135" s="180" t="s">
        <v>61</v>
      </c>
      <c r="R135" s="180"/>
      <c r="S135" s="180"/>
      <c r="T135" s="267">
        <v>45664</v>
      </c>
      <c r="U135" s="271">
        <v>45664</v>
      </c>
      <c r="V135" s="272"/>
      <c r="W135" s="273"/>
      <c r="X135" s="184"/>
      <c r="Y135" s="185" t="str">
        <f t="shared" si="5"/>
        <v>項目名:企画No.</v>
      </c>
      <c r="Z135" s="236" t="s">
        <v>172</v>
      </c>
    </row>
    <row r="136" spans="1:26" s="236" customFormat="1" ht="11.4" x14ac:dyDescent="0.15">
      <c r="A136" s="175">
        <f t="shared" si="3"/>
        <v>134</v>
      </c>
      <c r="B136" s="176"/>
      <c r="C136" s="176"/>
      <c r="D136" s="176"/>
      <c r="E136" s="176"/>
      <c r="F136" s="186"/>
      <c r="G136" s="227" t="s">
        <v>118</v>
      </c>
      <c r="H136" s="177"/>
      <c r="I136" s="178"/>
      <c r="J136" s="178"/>
      <c r="K136" s="179"/>
      <c r="L136" s="177"/>
      <c r="M136" s="178"/>
      <c r="N136" s="178"/>
      <c r="O136" s="180"/>
      <c r="P136" s="180"/>
      <c r="Q136" s="180" t="s">
        <v>61</v>
      </c>
      <c r="R136" s="180"/>
      <c r="S136" s="180"/>
      <c r="T136" s="267">
        <v>45664</v>
      </c>
      <c r="U136" s="271">
        <v>45664</v>
      </c>
      <c r="V136" s="272"/>
      <c r="W136" s="273"/>
      <c r="X136" s="184"/>
      <c r="Y136" s="185" t="str">
        <f t="shared" si="5"/>
        <v>項目名:企画名</v>
      </c>
      <c r="Z136" s="236" t="s">
        <v>173</v>
      </c>
    </row>
    <row r="137" spans="1:26" s="236" customFormat="1" ht="11.4" x14ac:dyDescent="0.15">
      <c r="A137" s="175">
        <f t="shared" si="3"/>
        <v>135</v>
      </c>
      <c r="B137" s="176"/>
      <c r="C137" s="176"/>
      <c r="D137" s="176"/>
      <c r="E137" s="176"/>
      <c r="F137" s="186"/>
      <c r="G137" s="227" t="s">
        <v>118</v>
      </c>
      <c r="H137" s="177"/>
      <c r="I137" s="178"/>
      <c r="J137" s="178"/>
      <c r="K137" s="179"/>
      <c r="L137" s="177"/>
      <c r="M137" s="178"/>
      <c r="N137" s="178"/>
      <c r="O137" s="180"/>
      <c r="P137" s="180"/>
      <c r="Q137" s="180" t="s">
        <v>61</v>
      </c>
      <c r="R137" s="180"/>
      <c r="S137" s="180"/>
      <c r="T137" s="267">
        <v>45664</v>
      </c>
      <c r="U137" s="271">
        <v>45664</v>
      </c>
      <c r="V137" s="272"/>
      <c r="W137" s="273"/>
      <c r="X137" s="184"/>
      <c r="Y137" s="185" t="str">
        <f t="shared" si="5"/>
        <v>項目名:企画開始日</v>
      </c>
      <c r="Z137" s="236" t="s">
        <v>174</v>
      </c>
    </row>
    <row r="138" spans="1:26" s="236" customFormat="1" ht="11.4" x14ac:dyDescent="0.15">
      <c r="A138" s="175">
        <f t="shared" si="3"/>
        <v>136</v>
      </c>
      <c r="B138" s="176"/>
      <c r="C138" s="176"/>
      <c r="D138" s="176"/>
      <c r="E138" s="176"/>
      <c r="F138" s="186"/>
      <c r="G138" s="227" t="s">
        <v>118</v>
      </c>
      <c r="H138" s="177"/>
      <c r="I138" s="178"/>
      <c r="J138" s="178"/>
      <c r="K138" s="179"/>
      <c r="L138" s="177"/>
      <c r="M138" s="178"/>
      <c r="N138" s="178"/>
      <c r="O138" s="180"/>
      <c r="P138" s="180"/>
      <c r="Q138" s="180" t="s">
        <v>61</v>
      </c>
      <c r="R138" s="180"/>
      <c r="S138" s="180"/>
      <c r="T138" s="267">
        <v>45664</v>
      </c>
      <c r="U138" s="271">
        <v>45664</v>
      </c>
      <c r="V138" s="272"/>
      <c r="W138" s="273"/>
      <c r="X138" s="184"/>
      <c r="Y138" s="185" t="str">
        <f t="shared" si="5"/>
        <v>項目名:企画終了日</v>
      </c>
      <c r="Z138" s="236" t="s">
        <v>175</v>
      </c>
    </row>
    <row r="139" spans="1:26" s="236" customFormat="1" ht="11.4" x14ac:dyDescent="0.15">
      <c r="A139" s="175">
        <f t="shared" si="3"/>
        <v>137</v>
      </c>
      <c r="B139" s="176"/>
      <c r="C139" s="176"/>
      <c r="D139" s="176"/>
      <c r="E139" s="176"/>
      <c r="F139" s="186"/>
      <c r="G139" s="227" t="s">
        <v>118</v>
      </c>
      <c r="H139" s="177"/>
      <c r="I139" s="178"/>
      <c r="J139" s="178"/>
      <c r="K139" s="179"/>
      <c r="L139" s="177"/>
      <c r="M139" s="178"/>
      <c r="N139" s="178"/>
      <c r="O139" s="180"/>
      <c r="P139" s="180"/>
      <c r="Q139" s="180" t="s">
        <v>61</v>
      </c>
      <c r="R139" s="180"/>
      <c r="S139" s="180"/>
      <c r="T139" s="267">
        <v>45664</v>
      </c>
      <c r="U139" s="271">
        <v>45664</v>
      </c>
      <c r="V139" s="272"/>
      <c r="W139" s="273"/>
      <c r="X139" s="184"/>
      <c r="Y139" s="185" t="str">
        <f t="shared" si="5"/>
        <v>項目名:企画予算</v>
      </c>
      <c r="Z139" s="236" t="s">
        <v>176</v>
      </c>
    </row>
    <row r="140" spans="1:26" s="236" customFormat="1" ht="11.4" x14ac:dyDescent="0.15">
      <c r="A140" s="175">
        <f t="shared" si="3"/>
        <v>138</v>
      </c>
      <c r="B140" s="176"/>
      <c r="C140" s="176"/>
      <c r="D140" s="176"/>
      <c r="E140" s="176"/>
      <c r="F140" s="186"/>
      <c r="G140" s="227" t="s">
        <v>118</v>
      </c>
      <c r="H140" s="177"/>
      <c r="I140" s="178"/>
      <c r="J140" s="178"/>
      <c r="K140" s="179"/>
      <c r="L140" s="177"/>
      <c r="M140" s="178"/>
      <c r="N140" s="178"/>
      <c r="O140" s="180"/>
      <c r="P140" s="180"/>
      <c r="Q140" s="180" t="s">
        <v>61</v>
      </c>
      <c r="R140" s="180"/>
      <c r="S140" s="180"/>
      <c r="T140" s="267">
        <v>45664</v>
      </c>
      <c r="U140" s="271">
        <v>45664</v>
      </c>
      <c r="V140" s="272"/>
      <c r="W140" s="273"/>
      <c r="X140" s="184"/>
      <c r="Y140" s="185" t="str">
        <f t="shared" si="5"/>
        <v>項目名:企画削除日数</v>
      </c>
      <c r="Z140" s="236" t="s">
        <v>177</v>
      </c>
    </row>
    <row r="141" spans="1:26" s="236" customFormat="1" ht="11.4" x14ac:dyDescent="0.15">
      <c r="A141" s="175">
        <f t="shared" si="3"/>
        <v>139</v>
      </c>
      <c r="B141" s="176"/>
      <c r="C141" s="176"/>
      <c r="D141" s="176"/>
      <c r="E141" s="176"/>
      <c r="F141" s="186"/>
      <c r="G141" s="227" t="s">
        <v>118</v>
      </c>
      <c r="H141" s="177"/>
      <c r="I141" s="178"/>
      <c r="J141" s="178"/>
      <c r="K141" s="179"/>
      <c r="L141" s="177"/>
      <c r="M141" s="178"/>
      <c r="N141" s="178"/>
      <c r="O141" s="180"/>
      <c r="P141" s="180"/>
      <c r="Q141" s="180" t="s">
        <v>61</v>
      </c>
      <c r="R141" s="180"/>
      <c r="S141" s="180"/>
      <c r="T141" s="267">
        <v>45664</v>
      </c>
      <c r="U141" s="271">
        <v>45664</v>
      </c>
      <c r="V141" s="272"/>
      <c r="W141" s="273"/>
      <c r="X141" s="184"/>
      <c r="Y141" s="185" t="str">
        <f t="shared" si="5"/>
        <v>項目名:企画優先区分</v>
      </c>
      <c r="Z141" s="236" t="s">
        <v>178</v>
      </c>
    </row>
    <row r="142" spans="1:26" s="236" customFormat="1" ht="11.4" x14ac:dyDescent="0.15">
      <c r="A142" s="175">
        <f t="shared" si="3"/>
        <v>140</v>
      </c>
      <c r="B142" s="176"/>
      <c r="C142" s="176"/>
      <c r="D142" s="176"/>
      <c r="E142" s="176"/>
      <c r="F142" s="186"/>
      <c r="G142" s="227" t="s">
        <v>118</v>
      </c>
      <c r="H142" s="177"/>
      <c r="I142" s="178"/>
      <c r="J142" s="178"/>
      <c r="K142" s="179"/>
      <c r="L142" s="177"/>
      <c r="M142" s="178"/>
      <c r="N142" s="178"/>
      <c r="O142" s="180"/>
      <c r="P142" s="180"/>
      <c r="Q142" s="180" t="s">
        <v>61</v>
      </c>
      <c r="R142" s="180"/>
      <c r="S142" s="180"/>
      <c r="T142" s="267">
        <v>45664</v>
      </c>
      <c r="U142" s="271">
        <v>45664</v>
      </c>
      <c r="V142" s="272"/>
      <c r="W142" s="273"/>
      <c r="X142" s="184"/>
      <c r="Y142" s="185" t="str">
        <f t="shared" si="5"/>
        <v>項目名:タイムサービスフラグ</v>
      </c>
      <c r="Z142" s="236" t="s">
        <v>179</v>
      </c>
    </row>
    <row r="143" spans="1:26" s="236" customFormat="1" ht="11.4" x14ac:dyDescent="0.15">
      <c r="A143" s="175">
        <f t="shared" si="3"/>
        <v>141</v>
      </c>
      <c r="B143" s="176"/>
      <c r="C143" s="176"/>
      <c r="D143" s="176"/>
      <c r="E143" s="176"/>
      <c r="F143" s="186"/>
      <c r="G143" s="227" t="s">
        <v>118</v>
      </c>
      <c r="H143" s="177"/>
      <c r="I143" s="178"/>
      <c r="J143" s="178"/>
      <c r="K143" s="179"/>
      <c r="L143" s="177"/>
      <c r="M143" s="178"/>
      <c r="N143" s="178"/>
      <c r="O143" s="180"/>
      <c r="P143" s="180"/>
      <c r="Q143" s="180" t="s">
        <v>61</v>
      </c>
      <c r="R143" s="180"/>
      <c r="S143" s="180"/>
      <c r="T143" s="267">
        <v>45664</v>
      </c>
      <c r="U143" s="271">
        <v>45664</v>
      </c>
      <c r="V143" s="272"/>
      <c r="W143" s="273"/>
      <c r="X143" s="184"/>
      <c r="Y143" s="185" t="str">
        <f t="shared" si="5"/>
        <v>項目名:月曜日除外フラグ</v>
      </c>
      <c r="Z143" s="236" t="s">
        <v>180</v>
      </c>
    </row>
    <row r="144" spans="1:26" s="236" customFormat="1" ht="11.4" x14ac:dyDescent="0.15">
      <c r="A144" s="175">
        <f t="shared" si="3"/>
        <v>142</v>
      </c>
      <c r="B144" s="176"/>
      <c r="C144" s="176"/>
      <c r="D144" s="176"/>
      <c r="E144" s="176"/>
      <c r="F144" s="186"/>
      <c r="G144" s="227" t="s">
        <v>118</v>
      </c>
      <c r="H144" s="177"/>
      <c r="I144" s="178"/>
      <c r="J144" s="178"/>
      <c r="K144" s="179"/>
      <c r="L144" s="177"/>
      <c r="M144" s="178"/>
      <c r="N144" s="178"/>
      <c r="O144" s="180"/>
      <c r="P144" s="180"/>
      <c r="Q144" s="180" t="s">
        <v>61</v>
      </c>
      <c r="R144" s="180"/>
      <c r="S144" s="180"/>
      <c r="T144" s="267">
        <v>45664</v>
      </c>
      <c r="U144" s="271">
        <v>45664</v>
      </c>
      <c r="V144" s="272"/>
      <c r="W144" s="273"/>
      <c r="X144" s="184"/>
      <c r="Y144" s="185" t="str">
        <f t="shared" si="5"/>
        <v>項目名:火曜日除外フラグ</v>
      </c>
      <c r="Z144" s="236" t="s">
        <v>181</v>
      </c>
    </row>
    <row r="145" spans="1:26" s="236" customFormat="1" ht="11.4" x14ac:dyDescent="0.15">
      <c r="A145" s="175">
        <f t="shared" si="3"/>
        <v>143</v>
      </c>
      <c r="B145" s="176"/>
      <c r="C145" s="176"/>
      <c r="D145" s="176"/>
      <c r="E145" s="176"/>
      <c r="F145" s="186"/>
      <c r="G145" s="227" t="s">
        <v>118</v>
      </c>
      <c r="H145" s="177"/>
      <c r="I145" s="178"/>
      <c r="J145" s="178"/>
      <c r="K145" s="179"/>
      <c r="L145" s="177"/>
      <c r="M145" s="178"/>
      <c r="N145" s="178"/>
      <c r="O145" s="180"/>
      <c r="P145" s="180"/>
      <c r="Q145" s="180" t="s">
        <v>61</v>
      </c>
      <c r="R145" s="180"/>
      <c r="S145" s="180"/>
      <c r="T145" s="267">
        <v>45664</v>
      </c>
      <c r="U145" s="271">
        <v>45664</v>
      </c>
      <c r="V145" s="272"/>
      <c r="W145" s="273"/>
      <c r="X145" s="184"/>
      <c r="Y145" s="185" t="str">
        <f t="shared" si="5"/>
        <v>項目名:水曜日除外フラグ</v>
      </c>
      <c r="Z145" s="236" t="s">
        <v>182</v>
      </c>
    </row>
    <row r="146" spans="1:26" s="236" customFormat="1" ht="11.4" x14ac:dyDescent="0.15">
      <c r="A146" s="175">
        <f t="shared" si="3"/>
        <v>144</v>
      </c>
      <c r="B146" s="176"/>
      <c r="C146" s="176"/>
      <c r="D146" s="176"/>
      <c r="E146" s="176"/>
      <c r="F146" s="186"/>
      <c r="G146" s="227" t="s">
        <v>118</v>
      </c>
      <c r="H146" s="177"/>
      <c r="I146" s="178"/>
      <c r="J146" s="178"/>
      <c r="K146" s="179"/>
      <c r="L146" s="177"/>
      <c r="M146" s="178"/>
      <c r="N146" s="178"/>
      <c r="O146" s="180"/>
      <c r="P146" s="180"/>
      <c r="Q146" s="180" t="s">
        <v>61</v>
      </c>
      <c r="R146" s="180"/>
      <c r="S146" s="180"/>
      <c r="T146" s="267">
        <v>45664</v>
      </c>
      <c r="U146" s="271">
        <v>45664</v>
      </c>
      <c r="V146" s="272"/>
      <c r="W146" s="273"/>
      <c r="X146" s="184"/>
      <c r="Y146" s="185" t="str">
        <f t="shared" si="5"/>
        <v>項目名:木曜日除外フラグ</v>
      </c>
      <c r="Z146" s="236" t="s">
        <v>183</v>
      </c>
    </row>
    <row r="147" spans="1:26" s="236" customFormat="1" ht="11.4" x14ac:dyDescent="0.15">
      <c r="A147" s="175">
        <f t="shared" si="3"/>
        <v>145</v>
      </c>
      <c r="B147" s="176"/>
      <c r="C147" s="176"/>
      <c r="D147" s="176"/>
      <c r="E147" s="176"/>
      <c r="F147" s="186"/>
      <c r="G147" s="227" t="s">
        <v>118</v>
      </c>
      <c r="H147" s="177"/>
      <c r="I147" s="178"/>
      <c r="J147" s="178"/>
      <c r="K147" s="179"/>
      <c r="L147" s="177"/>
      <c r="M147" s="178"/>
      <c r="N147" s="178"/>
      <c r="O147" s="180"/>
      <c r="P147" s="180"/>
      <c r="Q147" s="180" t="s">
        <v>61</v>
      </c>
      <c r="R147" s="180"/>
      <c r="S147" s="180"/>
      <c r="T147" s="267">
        <v>45664</v>
      </c>
      <c r="U147" s="271">
        <v>45664</v>
      </c>
      <c r="V147" s="272"/>
      <c r="W147" s="273"/>
      <c r="X147" s="184"/>
      <c r="Y147" s="185" t="str">
        <f t="shared" si="5"/>
        <v>項目名:金曜日除外フラグ</v>
      </c>
      <c r="Z147" s="236" t="s">
        <v>184</v>
      </c>
    </row>
    <row r="148" spans="1:26" s="236" customFormat="1" ht="11.4" x14ac:dyDescent="0.15">
      <c r="A148" s="175">
        <f t="shared" si="3"/>
        <v>146</v>
      </c>
      <c r="B148" s="176"/>
      <c r="C148" s="176"/>
      <c r="D148" s="176"/>
      <c r="E148" s="176"/>
      <c r="F148" s="186"/>
      <c r="G148" s="227" t="s">
        <v>118</v>
      </c>
      <c r="H148" s="177"/>
      <c r="I148" s="178"/>
      <c r="J148" s="178"/>
      <c r="K148" s="179"/>
      <c r="L148" s="177"/>
      <c r="M148" s="178"/>
      <c r="N148" s="178"/>
      <c r="O148" s="180"/>
      <c r="P148" s="180"/>
      <c r="Q148" s="180" t="s">
        <v>61</v>
      </c>
      <c r="R148" s="180"/>
      <c r="S148" s="180"/>
      <c r="T148" s="267">
        <v>45664</v>
      </c>
      <c r="U148" s="271">
        <v>45664</v>
      </c>
      <c r="V148" s="272"/>
      <c r="W148" s="273"/>
      <c r="X148" s="184"/>
      <c r="Y148" s="185" t="str">
        <f t="shared" si="5"/>
        <v>項目名:土曜日除外フラグ</v>
      </c>
      <c r="Z148" s="236" t="s">
        <v>185</v>
      </c>
    </row>
    <row r="149" spans="1:26" s="236" customFormat="1" ht="11.4" x14ac:dyDescent="0.15">
      <c r="A149" s="175">
        <f t="shared" si="3"/>
        <v>147</v>
      </c>
      <c r="B149" s="176"/>
      <c r="C149" s="176"/>
      <c r="D149" s="176"/>
      <c r="E149" s="176"/>
      <c r="F149" s="186"/>
      <c r="G149" s="227" t="s">
        <v>118</v>
      </c>
      <c r="H149" s="177"/>
      <c r="I149" s="178"/>
      <c r="J149" s="178"/>
      <c r="K149" s="179"/>
      <c r="L149" s="177"/>
      <c r="M149" s="178"/>
      <c r="N149" s="178"/>
      <c r="O149" s="180"/>
      <c r="P149" s="180"/>
      <c r="Q149" s="180" t="s">
        <v>61</v>
      </c>
      <c r="R149" s="180"/>
      <c r="S149" s="180"/>
      <c r="T149" s="267">
        <v>45664</v>
      </c>
      <c r="U149" s="271">
        <v>45664</v>
      </c>
      <c r="V149" s="272"/>
      <c r="W149" s="273"/>
      <c r="X149" s="184"/>
      <c r="Y149" s="185" t="str">
        <f t="shared" si="5"/>
        <v>項目名:日曜日除外フラグ</v>
      </c>
      <c r="Z149" s="236" t="s">
        <v>186</v>
      </c>
    </row>
    <row r="150" spans="1:26" s="236" customFormat="1" ht="11.4" x14ac:dyDescent="0.15">
      <c r="A150" s="175">
        <f t="shared" si="3"/>
        <v>148</v>
      </c>
      <c r="B150" s="176"/>
      <c r="C150" s="176"/>
      <c r="D150" s="176"/>
      <c r="E150" s="176"/>
      <c r="F150" s="186"/>
      <c r="G150" s="227" t="s">
        <v>118</v>
      </c>
      <c r="H150" s="177"/>
      <c r="I150" s="178"/>
      <c r="J150" s="178"/>
      <c r="K150" s="179"/>
      <c r="L150" s="177"/>
      <c r="M150" s="178"/>
      <c r="N150" s="178"/>
      <c r="O150" s="180"/>
      <c r="P150" s="180"/>
      <c r="Q150" s="180" t="s">
        <v>61</v>
      </c>
      <c r="R150" s="180"/>
      <c r="S150" s="180"/>
      <c r="T150" s="267">
        <v>45664</v>
      </c>
      <c r="U150" s="271">
        <v>45664</v>
      </c>
      <c r="V150" s="272"/>
      <c r="W150" s="273"/>
      <c r="X150" s="184"/>
      <c r="Y150" s="185" t="str">
        <f t="shared" si="5"/>
        <v>項目名:内部イベントコード</v>
      </c>
      <c r="Z150" s="236" t="s">
        <v>187</v>
      </c>
    </row>
    <row r="151" spans="1:26" s="236" customFormat="1" ht="11.4" x14ac:dyDescent="0.15">
      <c r="A151" s="175">
        <f t="shared" si="3"/>
        <v>149</v>
      </c>
      <c r="B151" s="176"/>
      <c r="C151" s="176"/>
      <c r="D151" s="176"/>
      <c r="E151" s="176"/>
      <c r="F151" s="186"/>
      <c r="G151" s="227" t="s">
        <v>118</v>
      </c>
      <c r="H151" s="177"/>
      <c r="I151" s="178"/>
      <c r="J151" s="178"/>
      <c r="K151" s="179"/>
      <c r="L151" s="177"/>
      <c r="M151" s="178"/>
      <c r="N151" s="178"/>
      <c r="O151" s="180"/>
      <c r="P151" s="180"/>
      <c r="Q151" s="180" t="s">
        <v>61</v>
      </c>
      <c r="R151" s="180"/>
      <c r="S151" s="180"/>
      <c r="T151" s="267">
        <v>45664</v>
      </c>
      <c r="U151" s="271">
        <v>45664</v>
      </c>
      <c r="V151" s="272"/>
      <c r="W151" s="273"/>
      <c r="X151" s="184"/>
      <c r="Y151" s="185" t="str">
        <f t="shared" si="5"/>
        <v>項目名:作成日</v>
      </c>
      <c r="Z151" s="236" t="s">
        <v>168</v>
      </c>
    </row>
    <row r="152" spans="1:26" s="236" customFormat="1" ht="11.4" x14ac:dyDescent="0.15">
      <c r="A152" s="175">
        <f t="shared" si="3"/>
        <v>150</v>
      </c>
      <c r="B152" s="176"/>
      <c r="C152" s="176"/>
      <c r="D152" s="176"/>
      <c r="E152" s="176"/>
      <c r="F152" s="186"/>
      <c r="G152" s="227" t="s">
        <v>136</v>
      </c>
      <c r="H152" s="177"/>
      <c r="I152" s="178"/>
      <c r="J152" s="178"/>
      <c r="K152" s="179"/>
      <c r="L152" s="177"/>
      <c r="M152" s="178"/>
      <c r="N152" s="178"/>
      <c r="O152" s="180"/>
      <c r="P152" s="180"/>
      <c r="Q152" s="180" t="s">
        <v>61</v>
      </c>
      <c r="R152" s="180"/>
      <c r="S152" s="180"/>
      <c r="T152" s="267">
        <v>45664</v>
      </c>
      <c r="U152" s="271">
        <v>45664</v>
      </c>
      <c r="V152" s="272"/>
      <c r="W152" s="273"/>
      <c r="X152" s="184"/>
      <c r="Y152" s="185" t="str">
        <f t="shared" si="5"/>
        <v>項目名:未使用項目や空白固定項目</v>
      </c>
      <c r="Z152" s="236" t="s">
        <v>137</v>
      </c>
    </row>
    <row r="153" spans="1:26" ht="11.4" x14ac:dyDescent="0.15">
      <c r="A153" s="175">
        <f t="shared" si="3"/>
        <v>151</v>
      </c>
      <c r="B153" s="176"/>
      <c r="C153" s="176"/>
      <c r="D153" s="176"/>
      <c r="E153" s="186" t="s">
        <v>188</v>
      </c>
      <c r="F153" s="186" t="s">
        <v>521</v>
      </c>
      <c r="G153" s="227" t="s">
        <v>110</v>
      </c>
      <c r="H153" s="177"/>
      <c r="I153" s="178"/>
      <c r="J153" s="178"/>
      <c r="K153" s="179"/>
      <c r="L153" s="177"/>
      <c r="M153" s="178"/>
      <c r="N153" s="178"/>
      <c r="O153" s="180"/>
      <c r="P153" s="180" t="s">
        <v>61</v>
      </c>
      <c r="Q153" s="180"/>
      <c r="R153" s="180"/>
      <c r="S153" s="180"/>
      <c r="T153" s="267">
        <v>45664</v>
      </c>
      <c r="U153" s="271">
        <v>45664</v>
      </c>
      <c r="V153" s="272"/>
      <c r="W153" s="273"/>
      <c r="X153" s="184"/>
      <c r="Y153" s="185" t="s">
        <v>522</v>
      </c>
    </row>
    <row r="154" spans="1:26" ht="11.4" x14ac:dyDescent="0.15">
      <c r="A154" s="175">
        <f t="shared" si="3"/>
        <v>152</v>
      </c>
      <c r="B154" s="176"/>
      <c r="C154" s="176"/>
      <c r="D154" s="176"/>
      <c r="E154" s="176"/>
      <c r="F154" s="186"/>
      <c r="G154" s="227" t="s">
        <v>112</v>
      </c>
      <c r="H154" s="177"/>
      <c r="I154" s="178"/>
      <c r="J154" s="178"/>
      <c r="K154" s="179"/>
      <c r="L154" s="177"/>
      <c r="M154" s="178"/>
      <c r="N154" s="178"/>
      <c r="O154" s="180" t="s">
        <v>61</v>
      </c>
      <c r="P154" s="180"/>
      <c r="Q154" s="180"/>
      <c r="R154" s="180"/>
      <c r="S154" s="180"/>
      <c r="T154" s="267">
        <v>45664</v>
      </c>
      <c r="U154" s="271">
        <v>45664</v>
      </c>
      <c r="V154" s="272"/>
      <c r="W154" s="273"/>
      <c r="X154" s="184"/>
      <c r="Y154" s="185" t="s">
        <v>113</v>
      </c>
    </row>
    <row r="155" spans="1:26" ht="11.4" x14ac:dyDescent="0.15">
      <c r="A155" s="175">
        <f t="shared" si="3"/>
        <v>153</v>
      </c>
      <c r="B155" s="176"/>
      <c r="C155" s="176"/>
      <c r="D155" s="176"/>
      <c r="E155" s="176"/>
      <c r="F155" s="186"/>
      <c r="G155" s="227" t="s">
        <v>112</v>
      </c>
      <c r="H155" s="177"/>
      <c r="I155" s="178"/>
      <c r="J155" s="178"/>
      <c r="K155" s="179"/>
      <c r="L155" s="177"/>
      <c r="M155" s="178"/>
      <c r="N155" s="178"/>
      <c r="O155" s="180" t="s">
        <v>61</v>
      </c>
      <c r="P155" s="180"/>
      <c r="Q155" s="180"/>
      <c r="R155" s="180"/>
      <c r="S155" s="180"/>
      <c r="T155" s="267">
        <v>45664</v>
      </c>
      <c r="U155" s="271">
        <v>45664</v>
      </c>
      <c r="V155" s="272"/>
      <c r="W155" s="273"/>
      <c r="X155" s="184"/>
      <c r="Y155" s="185" t="s">
        <v>114</v>
      </c>
    </row>
    <row r="156" spans="1:26" ht="11.4" x14ac:dyDescent="0.15">
      <c r="A156" s="175">
        <f t="shared" si="3"/>
        <v>154</v>
      </c>
      <c r="B156" s="176"/>
      <c r="C156" s="176"/>
      <c r="D156" s="176"/>
      <c r="E156" s="176"/>
      <c r="F156" s="186"/>
      <c r="G156" s="227" t="s">
        <v>112</v>
      </c>
      <c r="H156" s="177"/>
      <c r="I156" s="178"/>
      <c r="J156" s="178"/>
      <c r="K156" s="179"/>
      <c r="L156" s="177"/>
      <c r="M156" s="178"/>
      <c r="N156" s="178"/>
      <c r="O156" s="180" t="s">
        <v>61</v>
      </c>
      <c r="P156" s="180"/>
      <c r="Q156" s="180"/>
      <c r="R156" s="180"/>
      <c r="S156" s="180"/>
      <c r="T156" s="267">
        <v>45664</v>
      </c>
      <c r="U156" s="271">
        <v>45664</v>
      </c>
      <c r="V156" s="272"/>
      <c r="W156" s="273"/>
      <c r="X156" s="184"/>
      <c r="Y156" s="185" t="s">
        <v>115</v>
      </c>
    </row>
    <row r="157" spans="1:26" ht="11.4" x14ac:dyDescent="0.15">
      <c r="A157" s="175">
        <f t="shared" si="3"/>
        <v>155</v>
      </c>
      <c r="B157" s="176"/>
      <c r="C157" s="176"/>
      <c r="D157" s="176"/>
      <c r="E157" s="176"/>
      <c r="F157" s="186"/>
      <c r="G157" s="227" t="s">
        <v>112</v>
      </c>
      <c r="H157" s="177"/>
      <c r="I157" s="178"/>
      <c r="J157" s="178"/>
      <c r="K157" s="179"/>
      <c r="L157" s="177"/>
      <c r="M157" s="178"/>
      <c r="N157" s="178"/>
      <c r="O157" s="180" t="s">
        <v>61</v>
      </c>
      <c r="P157" s="180"/>
      <c r="Q157" s="180"/>
      <c r="R157" s="180"/>
      <c r="S157" s="180"/>
      <c r="T157" s="267">
        <v>45664</v>
      </c>
      <c r="U157" s="271">
        <v>45664</v>
      </c>
      <c r="V157" s="272"/>
      <c r="W157" s="273"/>
      <c r="X157" s="184"/>
      <c r="Y157" s="185" t="s">
        <v>116</v>
      </c>
    </row>
    <row r="158" spans="1:26" ht="11.4" x14ac:dyDescent="0.15">
      <c r="A158" s="175">
        <f t="shared" si="3"/>
        <v>156</v>
      </c>
      <c r="B158" s="176"/>
      <c r="C158" s="176"/>
      <c r="D158" s="176"/>
      <c r="E158" s="176"/>
      <c r="F158" s="186"/>
      <c r="G158" s="227" t="s">
        <v>112</v>
      </c>
      <c r="H158" s="177"/>
      <c r="I158" s="178"/>
      <c r="J158" s="178"/>
      <c r="K158" s="179"/>
      <c r="L158" s="177"/>
      <c r="M158" s="178"/>
      <c r="N158" s="178"/>
      <c r="O158" s="180" t="s">
        <v>61</v>
      </c>
      <c r="P158" s="180"/>
      <c r="Q158" s="180"/>
      <c r="R158" s="180"/>
      <c r="S158" s="180"/>
      <c r="T158" s="267">
        <v>45664</v>
      </c>
      <c r="U158" s="271">
        <v>45664</v>
      </c>
      <c r="V158" s="272"/>
      <c r="W158" s="273"/>
      <c r="X158" s="184"/>
      <c r="Y158" s="185" t="s">
        <v>117</v>
      </c>
    </row>
    <row r="159" spans="1:26" ht="11.4" x14ac:dyDescent="0.15">
      <c r="A159" s="175">
        <f t="shared" si="3"/>
        <v>157</v>
      </c>
      <c r="B159" s="176"/>
      <c r="C159" s="176"/>
      <c r="D159" s="186"/>
      <c r="E159" s="186"/>
      <c r="F159" s="186" t="s">
        <v>523</v>
      </c>
      <c r="G159" s="227" t="s">
        <v>507</v>
      </c>
      <c r="H159" s="177"/>
      <c r="I159" s="178"/>
      <c r="J159" s="178"/>
      <c r="K159" s="179"/>
      <c r="L159" s="177"/>
      <c r="M159" s="178"/>
      <c r="N159" s="178"/>
      <c r="O159" s="180"/>
      <c r="P159" s="180"/>
      <c r="Q159" s="180" t="s">
        <v>61</v>
      </c>
      <c r="R159" s="180"/>
      <c r="S159" s="180"/>
      <c r="T159" s="267">
        <v>45664</v>
      </c>
      <c r="U159" s="271">
        <v>45664</v>
      </c>
      <c r="V159" s="272"/>
      <c r="W159" s="273"/>
      <c r="X159" s="184"/>
      <c r="Y159" s="185" t="str">
        <f>"項目名:"&amp;Z159</f>
        <v>項目名:処理区分、値:A(登録)</v>
      </c>
      <c r="Z159" s="236" t="s">
        <v>508</v>
      </c>
    </row>
    <row r="160" spans="1:26" ht="11.4" x14ac:dyDescent="0.15">
      <c r="A160" s="175">
        <f t="shared" si="3"/>
        <v>158</v>
      </c>
      <c r="B160" s="176"/>
      <c r="C160" s="176"/>
      <c r="D160" s="186"/>
      <c r="E160" s="186"/>
      <c r="F160" s="186" t="s">
        <v>524</v>
      </c>
      <c r="G160" s="227" t="s">
        <v>510</v>
      </c>
      <c r="H160" s="177"/>
      <c r="I160" s="178"/>
      <c r="J160" s="178"/>
      <c r="K160" s="179"/>
      <c r="L160" s="177"/>
      <c r="M160" s="178"/>
      <c r="N160" s="178"/>
      <c r="O160" s="180"/>
      <c r="P160" s="180"/>
      <c r="Q160" s="180" t="s">
        <v>61</v>
      </c>
      <c r="R160" s="180"/>
      <c r="S160" s="180"/>
      <c r="T160" s="267">
        <v>45664</v>
      </c>
      <c r="U160" s="271">
        <v>45664</v>
      </c>
      <c r="V160" s="272"/>
      <c r="W160" s="273"/>
      <c r="X160" s="184"/>
      <c r="Y160" s="185" t="str">
        <f t="shared" ref="Y160:Y191" si="6">"項目名:"&amp;Z160</f>
        <v>項目名:処理区分、値:U(更新)</v>
      </c>
      <c r="Z160" s="236" t="s">
        <v>511</v>
      </c>
    </row>
    <row r="161" spans="1:26" ht="11.4" x14ac:dyDescent="0.15">
      <c r="A161" s="175">
        <f t="shared" si="3"/>
        <v>159</v>
      </c>
      <c r="B161" s="176"/>
      <c r="C161" s="176"/>
      <c r="D161" s="186"/>
      <c r="E161" s="186"/>
      <c r="F161" s="186" t="s">
        <v>525</v>
      </c>
      <c r="G161" s="227" t="s">
        <v>513</v>
      </c>
      <c r="H161" s="177"/>
      <c r="I161" s="178"/>
      <c r="J161" s="178"/>
      <c r="K161" s="179"/>
      <c r="L161" s="177"/>
      <c r="M161" s="178"/>
      <c r="N161" s="178"/>
      <c r="O161" s="180"/>
      <c r="P161" s="180"/>
      <c r="Q161" s="180" t="s">
        <v>61</v>
      </c>
      <c r="R161" s="180"/>
      <c r="S161" s="180"/>
      <c r="T161" s="267">
        <v>45664</v>
      </c>
      <c r="U161" s="271">
        <v>45664</v>
      </c>
      <c r="V161" s="272"/>
      <c r="W161" s="273"/>
      <c r="X161" s="184"/>
      <c r="Y161" s="185" t="str">
        <f t="shared" si="6"/>
        <v>項目名:処理区分、値:D(削除)</v>
      </c>
      <c r="Z161" s="236" t="s">
        <v>514</v>
      </c>
    </row>
    <row r="162" spans="1:26" s="236" customFormat="1" ht="11.4" x14ac:dyDescent="0.15">
      <c r="A162" s="175">
        <f t="shared" si="3"/>
        <v>160</v>
      </c>
      <c r="B162" s="176"/>
      <c r="C162" s="176"/>
      <c r="D162" s="176"/>
      <c r="E162" s="176"/>
      <c r="F162" s="186" t="s">
        <v>515</v>
      </c>
      <c r="G162" s="227" t="s">
        <v>118</v>
      </c>
      <c r="H162" s="177"/>
      <c r="I162" s="178"/>
      <c r="J162" s="178"/>
      <c r="K162" s="179"/>
      <c r="L162" s="177"/>
      <c r="M162" s="178"/>
      <c r="N162" s="178"/>
      <c r="O162" s="180"/>
      <c r="P162" s="180"/>
      <c r="Q162" s="180" t="s">
        <v>61</v>
      </c>
      <c r="R162" s="180"/>
      <c r="S162" s="180"/>
      <c r="T162" s="267">
        <v>45664</v>
      </c>
      <c r="U162" s="271">
        <v>45664</v>
      </c>
      <c r="V162" s="272"/>
      <c r="W162" s="273"/>
      <c r="X162" s="184"/>
      <c r="Y162" s="185" t="str">
        <f t="shared" si="6"/>
        <v>項目名:店舗コード</v>
      </c>
      <c r="Z162" s="236" t="s">
        <v>144</v>
      </c>
    </row>
    <row r="163" spans="1:26" s="236" customFormat="1" ht="11.4" x14ac:dyDescent="0.15">
      <c r="A163" s="175">
        <f t="shared" si="3"/>
        <v>161</v>
      </c>
      <c r="B163" s="176"/>
      <c r="C163" s="176"/>
      <c r="D163" s="176"/>
      <c r="E163" s="176"/>
      <c r="F163" s="186"/>
      <c r="G163" s="227" t="s">
        <v>118</v>
      </c>
      <c r="H163" s="177"/>
      <c r="I163" s="178"/>
      <c r="J163" s="178"/>
      <c r="K163" s="179"/>
      <c r="L163" s="177"/>
      <c r="M163" s="178"/>
      <c r="N163" s="178"/>
      <c r="O163" s="180"/>
      <c r="P163" s="180"/>
      <c r="Q163" s="180" t="s">
        <v>61</v>
      </c>
      <c r="R163" s="180"/>
      <c r="S163" s="180"/>
      <c r="T163" s="267">
        <v>45664</v>
      </c>
      <c r="U163" s="271">
        <v>45664</v>
      </c>
      <c r="V163" s="272"/>
      <c r="W163" s="273"/>
      <c r="X163" s="184"/>
      <c r="Y163" s="185" t="str">
        <f t="shared" si="6"/>
        <v>項目名:企画No.</v>
      </c>
      <c r="Z163" s="236" t="s">
        <v>172</v>
      </c>
    </row>
    <row r="164" spans="1:26" s="236" customFormat="1" ht="11.4" x14ac:dyDescent="0.15">
      <c r="A164" s="175">
        <f t="shared" si="3"/>
        <v>162</v>
      </c>
      <c r="B164" s="176"/>
      <c r="C164" s="176"/>
      <c r="D164" s="176"/>
      <c r="E164" s="176"/>
      <c r="F164" s="186"/>
      <c r="G164" s="227" t="s">
        <v>118</v>
      </c>
      <c r="H164" s="177"/>
      <c r="I164" s="178"/>
      <c r="J164" s="178"/>
      <c r="K164" s="179"/>
      <c r="L164" s="177"/>
      <c r="M164" s="178"/>
      <c r="N164" s="178"/>
      <c r="O164" s="180"/>
      <c r="P164" s="180"/>
      <c r="Q164" s="180" t="s">
        <v>61</v>
      </c>
      <c r="R164" s="180"/>
      <c r="S164" s="180"/>
      <c r="T164" s="267">
        <v>45664</v>
      </c>
      <c r="U164" s="271">
        <v>45664</v>
      </c>
      <c r="V164" s="272"/>
      <c r="W164" s="273"/>
      <c r="X164" s="184"/>
      <c r="Y164" s="185" t="str">
        <f t="shared" si="6"/>
        <v>項目名:会員フラグ</v>
      </c>
      <c r="Z164" s="236" t="s">
        <v>191</v>
      </c>
    </row>
    <row r="165" spans="1:26" s="236" customFormat="1" ht="11.4" x14ac:dyDescent="0.15">
      <c r="A165" s="175">
        <f t="shared" si="3"/>
        <v>163</v>
      </c>
      <c r="B165" s="176"/>
      <c r="C165" s="176"/>
      <c r="D165" s="176"/>
      <c r="E165" s="176"/>
      <c r="F165" s="186"/>
      <c r="G165" s="227" t="s">
        <v>118</v>
      </c>
      <c r="H165" s="177"/>
      <c r="I165" s="178"/>
      <c r="J165" s="178"/>
      <c r="K165" s="179"/>
      <c r="L165" s="177"/>
      <c r="M165" s="178"/>
      <c r="N165" s="178"/>
      <c r="O165" s="180"/>
      <c r="P165" s="180"/>
      <c r="Q165" s="180" t="s">
        <v>61</v>
      </c>
      <c r="R165" s="180"/>
      <c r="S165" s="180"/>
      <c r="T165" s="267">
        <v>45664</v>
      </c>
      <c r="U165" s="271">
        <v>45664</v>
      </c>
      <c r="V165" s="272"/>
      <c r="W165" s="273"/>
      <c r="X165" s="184"/>
      <c r="Y165" s="185" t="str">
        <f t="shared" si="6"/>
        <v>項目名:自社商品コード</v>
      </c>
      <c r="Z165" s="236" t="s">
        <v>143</v>
      </c>
    </row>
    <row r="166" spans="1:26" s="236" customFormat="1" ht="11.4" x14ac:dyDescent="0.15">
      <c r="A166" s="175">
        <f t="shared" si="3"/>
        <v>164</v>
      </c>
      <c r="B166" s="176"/>
      <c r="C166" s="176"/>
      <c r="D166" s="176"/>
      <c r="E166" s="176"/>
      <c r="F166" s="186"/>
      <c r="G166" s="227" t="s">
        <v>118</v>
      </c>
      <c r="H166" s="177"/>
      <c r="I166" s="178"/>
      <c r="J166" s="178"/>
      <c r="K166" s="179"/>
      <c r="L166" s="177"/>
      <c r="M166" s="178"/>
      <c r="N166" s="178"/>
      <c r="O166" s="180"/>
      <c r="P166" s="180"/>
      <c r="Q166" s="180" t="s">
        <v>61</v>
      </c>
      <c r="R166" s="180"/>
      <c r="S166" s="180"/>
      <c r="T166" s="267">
        <v>45664</v>
      </c>
      <c r="U166" s="271">
        <v>45664</v>
      </c>
      <c r="V166" s="272"/>
      <c r="W166" s="273"/>
      <c r="X166" s="184"/>
      <c r="Y166" s="185" t="str">
        <f t="shared" si="6"/>
        <v>項目名:特売開始日</v>
      </c>
      <c r="Z166" s="236" t="s">
        <v>192</v>
      </c>
    </row>
    <row r="167" spans="1:26" s="236" customFormat="1" ht="11.4" x14ac:dyDescent="0.15">
      <c r="A167" s="175">
        <f t="shared" si="3"/>
        <v>165</v>
      </c>
      <c r="B167" s="176"/>
      <c r="C167" s="176"/>
      <c r="D167" s="176"/>
      <c r="E167" s="176"/>
      <c r="F167" s="186"/>
      <c r="G167" s="227" t="s">
        <v>118</v>
      </c>
      <c r="H167" s="177"/>
      <c r="I167" s="178"/>
      <c r="J167" s="178"/>
      <c r="K167" s="179"/>
      <c r="L167" s="177"/>
      <c r="M167" s="178"/>
      <c r="N167" s="178"/>
      <c r="O167" s="180"/>
      <c r="P167" s="180"/>
      <c r="Q167" s="180" t="s">
        <v>61</v>
      </c>
      <c r="R167" s="180"/>
      <c r="S167" s="180"/>
      <c r="T167" s="267">
        <v>45664</v>
      </c>
      <c r="U167" s="271">
        <v>45664</v>
      </c>
      <c r="V167" s="272"/>
      <c r="W167" s="273"/>
      <c r="X167" s="184"/>
      <c r="Y167" s="185" t="str">
        <f t="shared" si="6"/>
        <v>項目名:特売終了日</v>
      </c>
      <c r="Z167" s="236" t="s">
        <v>193</v>
      </c>
    </row>
    <row r="168" spans="1:26" s="236" customFormat="1" ht="11.4" x14ac:dyDescent="0.15">
      <c r="A168" s="175">
        <f t="shared" si="3"/>
        <v>166</v>
      </c>
      <c r="B168" s="176"/>
      <c r="C168" s="176"/>
      <c r="D168" s="176"/>
      <c r="E168" s="176"/>
      <c r="F168" s="186"/>
      <c r="G168" s="227" t="s">
        <v>118</v>
      </c>
      <c r="H168" s="177"/>
      <c r="I168" s="178"/>
      <c r="J168" s="178"/>
      <c r="K168" s="179"/>
      <c r="L168" s="177"/>
      <c r="M168" s="178"/>
      <c r="N168" s="178"/>
      <c r="O168" s="180"/>
      <c r="P168" s="180"/>
      <c r="Q168" s="180" t="s">
        <v>61</v>
      </c>
      <c r="R168" s="180"/>
      <c r="S168" s="180"/>
      <c r="T168" s="267">
        <v>45664</v>
      </c>
      <c r="U168" s="271">
        <v>45664</v>
      </c>
      <c r="V168" s="272"/>
      <c r="W168" s="273"/>
      <c r="X168" s="184"/>
      <c r="Y168" s="185" t="str">
        <f t="shared" si="6"/>
        <v>項目名:特売削除日数</v>
      </c>
      <c r="Z168" s="236" t="s">
        <v>194</v>
      </c>
    </row>
    <row r="169" spans="1:26" s="236" customFormat="1" ht="11.4" x14ac:dyDescent="0.15">
      <c r="A169" s="175">
        <f t="shared" si="3"/>
        <v>167</v>
      </c>
      <c r="B169" s="176"/>
      <c r="C169" s="176"/>
      <c r="D169" s="176"/>
      <c r="E169" s="176"/>
      <c r="F169" s="186"/>
      <c r="G169" s="227" t="s">
        <v>118</v>
      </c>
      <c r="H169" s="177"/>
      <c r="I169" s="178"/>
      <c r="J169" s="178"/>
      <c r="K169" s="179"/>
      <c r="L169" s="177"/>
      <c r="M169" s="178"/>
      <c r="N169" s="178"/>
      <c r="O169" s="180"/>
      <c r="P169" s="180"/>
      <c r="Q169" s="180" t="s">
        <v>61</v>
      </c>
      <c r="R169" s="180"/>
      <c r="S169" s="180"/>
      <c r="T169" s="267">
        <v>45664</v>
      </c>
      <c r="U169" s="271">
        <v>45664</v>
      </c>
      <c r="V169" s="272"/>
      <c r="W169" s="273"/>
      <c r="X169" s="184"/>
      <c r="Y169" s="185" t="str">
        <f t="shared" si="6"/>
        <v>項目名:特売優先区分</v>
      </c>
      <c r="Z169" s="236" t="s">
        <v>195</v>
      </c>
    </row>
    <row r="170" spans="1:26" s="236" customFormat="1" ht="11.4" x14ac:dyDescent="0.15">
      <c r="A170" s="175">
        <f t="shared" si="3"/>
        <v>168</v>
      </c>
      <c r="B170" s="176"/>
      <c r="C170" s="176"/>
      <c r="D170" s="176"/>
      <c r="E170" s="176"/>
      <c r="F170" s="186"/>
      <c r="G170" s="227" t="s">
        <v>118</v>
      </c>
      <c r="H170" s="177"/>
      <c r="I170" s="178"/>
      <c r="J170" s="178"/>
      <c r="K170" s="179"/>
      <c r="L170" s="177"/>
      <c r="M170" s="178"/>
      <c r="N170" s="178"/>
      <c r="O170" s="180"/>
      <c r="P170" s="180"/>
      <c r="Q170" s="180" t="s">
        <v>61</v>
      </c>
      <c r="R170" s="180"/>
      <c r="S170" s="180"/>
      <c r="T170" s="267">
        <v>45664</v>
      </c>
      <c r="U170" s="271">
        <v>45664</v>
      </c>
      <c r="V170" s="272"/>
      <c r="W170" s="273"/>
      <c r="X170" s="184"/>
      <c r="Y170" s="185" t="str">
        <f t="shared" si="6"/>
        <v>項目名:特売保留フラグ</v>
      </c>
      <c r="Z170" s="236" t="s">
        <v>196</v>
      </c>
    </row>
    <row r="171" spans="1:26" s="236" customFormat="1" ht="11.4" x14ac:dyDescent="0.15">
      <c r="A171" s="175">
        <f t="shared" si="3"/>
        <v>169</v>
      </c>
      <c r="B171" s="176"/>
      <c r="C171" s="176"/>
      <c r="D171" s="176"/>
      <c r="E171" s="176"/>
      <c r="F171" s="186"/>
      <c r="G171" s="227" t="s">
        <v>118</v>
      </c>
      <c r="H171" s="177"/>
      <c r="I171" s="178"/>
      <c r="J171" s="178"/>
      <c r="K171" s="179"/>
      <c r="L171" s="177"/>
      <c r="M171" s="178"/>
      <c r="N171" s="178"/>
      <c r="O171" s="180"/>
      <c r="P171" s="180"/>
      <c r="Q171" s="180" t="s">
        <v>61</v>
      </c>
      <c r="R171" s="180"/>
      <c r="S171" s="180"/>
      <c r="T171" s="267">
        <v>45664</v>
      </c>
      <c r="U171" s="271">
        <v>45664</v>
      </c>
      <c r="V171" s="272"/>
      <c r="W171" s="273"/>
      <c r="X171" s="184"/>
      <c r="Y171" s="185" t="str">
        <f t="shared" si="6"/>
        <v>項目名:タイムサービスフラグ</v>
      </c>
      <c r="Z171" s="236" t="s">
        <v>179</v>
      </c>
    </row>
    <row r="172" spans="1:26" s="236" customFormat="1" ht="11.4" x14ac:dyDescent="0.15">
      <c r="A172" s="175">
        <f t="shared" si="3"/>
        <v>170</v>
      </c>
      <c r="B172" s="176"/>
      <c r="C172" s="176"/>
      <c r="D172" s="176"/>
      <c r="E172" s="176"/>
      <c r="F172" s="186"/>
      <c r="G172" s="227" t="s">
        <v>118</v>
      </c>
      <c r="H172" s="177"/>
      <c r="I172" s="178"/>
      <c r="J172" s="178"/>
      <c r="K172" s="179"/>
      <c r="L172" s="177"/>
      <c r="M172" s="178"/>
      <c r="N172" s="178"/>
      <c r="O172" s="180"/>
      <c r="P172" s="180"/>
      <c r="Q172" s="180" t="s">
        <v>61</v>
      </c>
      <c r="R172" s="180"/>
      <c r="S172" s="180"/>
      <c r="T172" s="267">
        <v>45664</v>
      </c>
      <c r="U172" s="271">
        <v>45664</v>
      </c>
      <c r="V172" s="272"/>
      <c r="W172" s="273"/>
      <c r="X172" s="184"/>
      <c r="Y172" s="185" t="str">
        <f t="shared" si="6"/>
        <v>項目名:月曜日除外フラグ</v>
      </c>
      <c r="Z172" s="236" t="s">
        <v>180</v>
      </c>
    </row>
    <row r="173" spans="1:26" s="236" customFormat="1" ht="11.4" x14ac:dyDescent="0.15">
      <c r="A173" s="175">
        <f t="shared" si="3"/>
        <v>171</v>
      </c>
      <c r="B173" s="176"/>
      <c r="C173" s="176"/>
      <c r="D173" s="176"/>
      <c r="E173" s="176"/>
      <c r="F173" s="186"/>
      <c r="G173" s="227" t="s">
        <v>118</v>
      </c>
      <c r="H173" s="177"/>
      <c r="I173" s="178"/>
      <c r="J173" s="178"/>
      <c r="K173" s="179"/>
      <c r="L173" s="177"/>
      <c r="M173" s="178"/>
      <c r="N173" s="178"/>
      <c r="O173" s="180"/>
      <c r="P173" s="180"/>
      <c r="Q173" s="180" t="s">
        <v>61</v>
      </c>
      <c r="R173" s="180"/>
      <c r="S173" s="180"/>
      <c r="T173" s="267">
        <v>45664</v>
      </c>
      <c r="U173" s="271">
        <v>45664</v>
      </c>
      <c r="V173" s="272"/>
      <c r="W173" s="273"/>
      <c r="X173" s="184"/>
      <c r="Y173" s="185" t="str">
        <f>"項目名:"&amp;Z173</f>
        <v>項目名:火曜日除外フラグ</v>
      </c>
      <c r="Z173" s="236" t="s">
        <v>181</v>
      </c>
    </row>
    <row r="174" spans="1:26" s="236" customFormat="1" ht="11.4" x14ac:dyDescent="0.15">
      <c r="A174" s="175">
        <f t="shared" si="3"/>
        <v>172</v>
      </c>
      <c r="B174" s="176"/>
      <c r="C174" s="176"/>
      <c r="D174" s="176"/>
      <c r="E174" s="176"/>
      <c r="F174" s="186"/>
      <c r="G174" s="227" t="s">
        <v>118</v>
      </c>
      <c r="H174" s="177"/>
      <c r="I174" s="178"/>
      <c r="J174" s="178"/>
      <c r="K174" s="179"/>
      <c r="L174" s="177"/>
      <c r="M174" s="178"/>
      <c r="N174" s="178"/>
      <c r="O174" s="180"/>
      <c r="P174" s="180"/>
      <c r="Q174" s="180" t="s">
        <v>61</v>
      </c>
      <c r="R174" s="180"/>
      <c r="S174" s="180"/>
      <c r="T174" s="267">
        <v>45664</v>
      </c>
      <c r="U174" s="271">
        <v>45664</v>
      </c>
      <c r="V174" s="272"/>
      <c r="W174" s="273"/>
      <c r="X174" s="184"/>
      <c r="Y174" s="185" t="str">
        <f t="shared" si="6"/>
        <v>項目名:水曜日除外フラグ</v>
      </c>
      <c r="Z174" s="236" t="s">
        <v>182</v>
      </c>
    </row>
    <row r="175" spans="1:26" s="236" customFormat="1" ht="11.4" x14ac:dyDescent="0.15">
      <c r="A175" s="175">
        <f t="shared" si="3"/>
        <v>173</v>
      </c>
      <c r="B175" s="176"/>
      <c r="C175" s="176"/>
      <c r="D175" s="176"/>
      <c r="E175" s="176"/>
      <c r="F175" s="186"/>
      <c r="G175" s="227" t="s">
        <v>118</v>
      </c>
      <c r="H175" s="177"/>
      <c r="I175" s="178"/>
      <c r="J175" s="178"/>
      <c r="K175" s="179"/>
      <c r="L175" s="177"/>
      <c r="M175" s="178"/>
      <c r="N175" s="178"/>
      <c r="O175" s="180"/>
      <c r="P175" s="180"/>
      <c r="Q175" s="180" t="s">
        <v>61</v>
      </c>
      <c r="R175" s="180"/>
      <c r="S175" s="180"/>
      <c r="T175" s="267">
        <v>45664</v>
      </c>
      <c r="U175" s="271">
        <v>45664</v>
      </c>
      <c r="V175" s="272"/>
      <c r="W175" s="273"/>
      <c r="X175" s="184"/>
      <c r="Y175" s="185" t="str">
        <f t="shared" si="6"/>
        <v>項目名:木曜日除外フラグ</v>
      </c>
      <c r="Z175" s="236" t="s">
        <v>183</v>
      </c>
    </row>
    <row r="176" spans="1:26" s="236" customFormat="1" ht="11.4" x14ac:dyDescent="0.15">
      <c r="A176" s="175">
        <f t="shared" si="3"/>
        <v>174</v>
      </c>
      <c r="B176" s="176"/>
      <c r="C176" s="176"/>
      <c r="D176" s="176"/>
      <c r="E176" s="176"/>
      <c r="F176" s="186"/>
      <c r="G176" s="227" t="s">
        <v>118</v>
      </c>
      <c r="H176" s="177"/>
      <c r="I176" s="178"/>
      <c r="J176" s="178"/>
      <c r="K176" s="179"/>
      <c r="L176" s="177"/>
      <c r="M176" s="178"/>
      <c r="N176" s="178"/>
      <c r="O176" s="180"/>
      <c r="P176" s="180"/>
      <c r="Q176" s="180" t="s">
        <v>61</v>
      </c>
      <c r="R176" s="180"/>
      <c r="S176" s="180"/>
      <c r="T176" s="267">
        <v>45664</v>
      </c>
      <c r="U176" s="271">
        <v>45664</v>
      </c>
      <c r="V176" s="272"/>
      <c r="W176" s="273"/>
      <c r="X176" s="184"/>
      <c r="Y176" s="185" t="str">
        <f t="shared" si="6"/>
        <v>項目名:金曜日除外フラグ</v>
      </c>
      <c r="Z176" s="236" t="s">
        <v>184</v>
      </c>
    </row>
    <row r="177" spans="1:26" s="236" customFormat="1" ht="11.4" x14ac:dyDescent="0.15">
      <c r="A177" s="175">
        <f t="shared" si="3"/>
        <v>175</v>
      </c>
      <c r="B177" s="176"/>
      <c r="C177" s="176"/>
      <c r="D177" s="176"/>
      <c r="E177" s="176"/>
      <c r="F177" s="186"/>
      <c r="G177" s="227" t="s">
        <v>118</v>
      </c>
      <c r="H177" s="177"/>
      <c r="I177" s="178"/>
      <c r="J177" s="178"/>
      <c r="K177" s="179"/>
      <c r="L177" s="177"/>
      <c r="M177" s="178"/>
      <c r="N177" s="178"/>
      <c r="O177" s="180"/>
      <c r="P177" s="180"/>
      <c r="Q177" s="180" t="s">
        <v>61</v>
      </c>
      <c r="R177" s="180"/>
      <c r="S177" s="180"/>
      <c r="T177" s="267">
        <v>45664</v>
      </c>
      <c r="U177" s="271">
        <v>45664</v>
      </c>
      <c r="V177" s="272"/>
      <c r="W177" s="273"/>
      <c r="X177" s="184"/>
      <c r="Y177" s="185" t="str">
        <f t="shared" si="6"/>
        <v>項目名:土曜日除外フラグ</v>
      </c>
      <c r="Z177" s="236" t="s">
        <v>185</v>
      </c>
    </row>
    <row r="178" spans="1:26" s="236" customFormat="1" ht="11.4" x14ac:dyDescent="0.15">
      <c r="A178" s="175">
        <f t="shared" si="3"/>
        <v>176</v>
      </c>
      <c r="B178" s="176"/>
      <c r="C178" s="176"/>
      <c r="D178" s="176"/>
      <c r="E178" s="176"/>
      <c r="F178" s="186"/>
      <c r="G178" s="227" t="s">
        <v>118</v>
      </c>
      <c r="H178" s="177"/>
      <c r="I178" s="178"/>
      <c r="J178" s="178"/>
      <c r="K178" s="179"/>
      <c r="L178" s="177"/>
      <c r="M178" s="178"/>
      <c r="N178" s="178"/>
      <c r="O178" s="180"/>
      <c r="P178" s="180"/>
      <c r="Q178" s="180" t="s">
        <v>61</v>
      </c>
      <c r="R178" s="180"/>
      <c r="S178" s="180"/>
      <c r="T178" s="267">
        <v>45664</v>
      </c>
      <c r="U178" s="271">
        <v>45664</v>
      </c>
      <c r="V178" s="272"/>
      <c r="W178" s="273"/>
      <c r="X178" s="184"/>
      <c r="Y178" s="185" t="str">
        <f t="shared" si="6"/>
        <v>項目名:日曜日除外フラグ</v>
      </c>
      <c r="Z178" s="236" t="s">
        <v>186</v>
      </c>
    </row>
    <row r="179" spans="1:26" s="236" customFormat="1" ht="11.4" x14ac:dyDescent="0.15">
      <c r="A179" s="175">
        <f t="shared" si="3"/>
        <v>177</v>
      </c>
      <c r="B179" s="176"/>
      <c r="C179" s="176"/>
      <c r="D179" s="176"/>
      <c r="E179" s="176"/>
      <c r="F179" s="186"/>
      <c r="G179" s="227" t="s">
        <v>118</v>
      </c>
      <c r="H179" s="177"/>
      <c r="I179" s="178"/>
      <c r="J179" s="178"/>
      <c r="K179" s="179"/>
      <c r="L179" s="177"/>
      <c r="M179" s="178"/>
      <c r="N179" s="178"/>
      <c r="O179" s="180"/>
      <c r="P179" s="180"/>
      <c r="Q179" s="180" t="s">
        <v>61</v>
      </c>
      <c r="R179" s="180"/>
      <c r="S179" s="180"/>
      <c r="T179" s="267">
        <v>45664</v>
      </c>
      <c r="U179" s="271">
        <v>45664</v>
      </c>
      <c r="V179" s="272"/>
      <c r="W179" s="273"/>
      <c r="X179" s="184"/>
      <c r="Y179" s="185" t="str">
        <f t="shared" si="6"/>
        <v>項目名:特売原価</v>
      </c>
      <c r="Z179" s="236" t="s">
        <v>197</v>
      </c>
    </row>
    <row r="180" spans="1:26" s="236" customFormat="1" ht="11.4" x14ac:dyDescent="0.15">
      <c r="A180" s="175">
        <f t="shared" si="3"/>
        <v>178</v>
      </c>
      <c r="B180" s="176"/>
      <c r="C180" s="176"/>
      <c r="D180" s="176"/>
      <c r="E180" s="176"/>
      <c r="F180" s="186"/>
      <c r="G180" s="227" t="s">
        <v>118</v>
      </c>
      <c r="H180" s="177"/>
      <c r="I180" s="178"/>
      <c r="J180" s="178"/>
      <c r="K180" s="179"/>
      <c r="L180" s="177"/>
      <c r="M180" s="178"/>
      <c r="N180" s="178"/>
      <c r="O180" s="180"/>
      <c r="P180" s="180"/>
      <c r="Q180" s="180" t="s">
        <v>61</v>
      </c>
      <c r="R180" s="180"/>
      <c r="S180" s="180"/>
      <c r="T180" s="267">
        <v>45664</v>
      </c>
      <c r="U180" s="271">
        <v>45664</v>
      </c>
      <c r="V180" s="272"/>
      <c r="W180" s="273"/>
      <c r="X180" s="184"/>
      <c r="Y180" s="185" t="str">
        <f t="shared" si="6"/>
        <v>項目名:割引タイプ</v>
      </c>
      <c r="Z180" s="236" t="s">
        <v>198</v>
      </c>
    </row>
    <row r="181" spans="1:26" s="236" customFormat="1" ht="11.4" x14ac:dyDescent="0.15">
      <c r="A181" s="175">
        <f t="shared" si="3"/>
        <v>179</v>
      </c>
      <c r="B181" s="176"/>
      <c r="C181" s="176"/>
      <c r="D181" s="176"/>
      <c r="E181" s="176"/>
      <c r="F181" s="186"/>
      <c r="G181" s="227" t="s">
        <v>118</v>
      </c>
      <c r="H181" s="177"/>
      <c r="I181" s="178"/>
      <c r="J181" s="178"/>
      <c r="K181" s="179"/>
      <c r="L181" s="177"/>
      <c r="M181" s="178"/>
      <c r="N181" s="178"/>
      <c r="O181" s="180"/>
      <c r="P181" s="180"/>
      <c r="Q181" s="180" t="s">
        <v>61</v>
      </c>
      <c r="R181" s="180"/>
      <c r="S181" s="180"/>
      <c r="T181" s="267">
        <v>45664</v>
      </c>
      <c r="U181" s="271">
        <v>45664</v>
      </c>
      <c r="V181" s="272"/>
      <c r="W181" s="273"/>
      <c r="X181" s="184"/>
      <c r="Y181" s="185" t="str">
        <f t="shared" si="6"/>
        <v>項目名:特売価格</v>
      </c>
      <c r="Z181" s="236" t="s">
        <v>199</v>
      </c>
    </row>
    <row r="182" spans="1:26" s="236" customFormat="1" ht="11.4" x14ac:dyDescent="0.15">
      <c r="A182" s="175">
        <f t="shared" si="3"/>
        <v>180</v>
      </c>
      <c r="B182" s="176"/>
      <c r="C182" s="176"/>
      <c r="D182" s="176"/>
      <c r="E182" s="176"/>
      <c r="F182" s="186"/>
      <c r="G182" s="227" t="s">
        <v>118</v>
      </c>
      <c r="H182" s="177"/>
      <c r="I182" s="178"/>
      <c r="J182" s="178"/>
      <c r="K182" s="179"/>
      <c r="L182" s="177"/>
      <c r="M182" s="178"/>
      <c r="N182" s="178"/>
      <c r="O182" s="180"/>
      <c r="P182" s="180"/>
      <c r="Q182" s="180" t="s">
        <v>61</v>
      </c>
      <c r="R182" s="180"/>
      <c r="S182" s="180"/>
      <c r="T182" s="267">
        <v>45664</v>
      </c>
      <c r="U182" s="271">
        <v>45664</v>
      </c>
      <c r="V182" s="272"/>
      <c r="W182" s="273"/>
      <c r="X182" s="184"/>
      <c r="Y182" s="185" t="str">
        <f t="shared" si="6"/>
        <v>項目名:特売開始時間</v>
      </c>
      <c r="Z182" s="236" t="s">
        <v>200</v>
      </c>
    </row>
    <row r="183" spans="1:26" s="236" customFormat="1" ht="11.4" x14ac:dyDescent="0.15">
      <c r="A183" s="175">
        <f t="shared" si="3"/>
        <v>181</v>
      </c>
      <c r="B183" s="176"/>
      <c r="C183" s="176"/>
      <c r="D183" s="176"/>
      <c r="E183" s="176"/>
      <c r="F183" s="186"/>
      <c r="G183" s="227" t="s">
        <v>118</v>
      </c>
      <c r="H183" s="177"/>
      <c r="I183" s="178"/>
      <c r="J183" s="178"/>
      <c r="K183" s="179"/>
      <c r="L183" s="177"/>
      <c r="M183" s="178"/>
      <c r="N183" s="178"/>
      <c r="O183" s="180"/>
      <c r="P183" s="180"/>
      <c r="Q183" s="180" t="s">
        <v>61</v>
      </c>
      <c r="R183" s="180"/>
      <c r="S183" s="180"/>
      <c r="T183" s="267">
        <v>45664</v>
      </c>
      <c r="U183" s="271">
        <v>45664</v>
      </c>
      <c r="V183" s="272"/>
      <c r="W183" s="273"/>
      <c r="X183" s="184"/>
      <c r="Y183" s="185" t="str">
        <f t="shared" si="6"/>
        <v>項目名:特売終了時間</v>
      </c>
      <c r="Z183" s="236" t="s">
        <v>201</v>
      </c>
    </row>
    <row r="184" spans="1:26" s="236" customFormat="1" ht="11.4" x14ac:dyDescent="0.15">
      <c r="A184" s="175">
        <f t="shared" si="3"/>
        <v>182</v>
      </c>
      <c r="B184" s="176"/>
      <c r="C184" s="176"/>
      <c r="D184" s="176"/>
      <c r="E184" s="176"/>
      <c r="F184" s="186"/>
      <c r="G184" s="227" t="s">
        <v>118</v>
      </c>
      <c r="H184" s="177"/>
      <c r="I184" s="178"/>
      <c r="J184" s="178"/>
      <c r="K184" s="179"/>
      <c r="L184" s="177"/>
      <c r="M184" s="178"/>
      <c r="N184" s="178"/>
      <c r="O184" s="180"/>
      <c r="P184" s="180"/>
      <c r="Q184" s="180" t="s">
        <v>61</v>
      </c>
      <c r="R184" s="180"/>
      <c r="S184" s="180"/>
      <c r="T184" s="267">
        <v>45664</v>
      </c>
      <c r="U184" s="271">
        <v>45664</v>
      </c>
      <c r="V184" s="272"/>
      <c r="W184" s="273"/>
      <c r="X184" s="184"/>
      <c r="Y184" s="185" t="str">
        <f t="shared" si="6"/>
        <v>項目名:原価率フラグ</v>
      </c>
      <c r="Z184" s="236" t="s">
        <v>151</v>
      </c>
    </row>
    <row r="185" spans="1:26" s="236" customFormat="1" ht="11.4" x14ac:dyDescent="0.15">
      <c r="A185" s="175">
        <f t="shared" si="3"/>
        <v>183</v>
      </c>
      <c r="B185" s="176"/>
      <c r="C185" s="176"/>
      <c r="D185" s="176"/>
      <c r="E185" s="176"/>
      <c r="F185" s="186"/>
      <c r="G185" s="227" t="s">
        <v>118</v>
      </c>
      <c r="H185" s="177"/>
      <c r="I185" s="178"/>
      <c r="J185" s="178"/>
      <c r="K185" s="179"/>
      <c r="L185" s="177"/>
      <c r="M185" s="178"/>
      <c r="N185" s="178"/>
      <c r="O185" s="180"/>
      <c r="P185" s="180"/>
      <c r="Q185" s="180" t="s">
        <v>61</v>
      </c>
      <c r="R185" s="180"/>
      <c r="S185" s="180"/>
      <c r="T185" s="267">
        <v>45664</v>
      </c>
      <c r="U185" s="271">
        <v>45664</v>
      </c>
      <c r="V185" s="272"/>
      <c r="W185" s="273"/>
      <c r="X185" s="184"/>
      <c r="Y185" s="185" t="str">
        <f t="shared" si="6"/>
        <v>項目名:ＡＵＸコード</v>
      </c>
      <c r="Z185" s="236" t="s">
        <v>202</v>
      </c>
    </row>
    <row r="186" spans="1:26" s="236" customFormat="1" ht="11.4" x14ac:dyDescent="0.15">
      <c r="A186" s="175">
        <f t="shared" si="3"/>
        <v>184</v>
      </c>
      <c r="B186" s="176"/>
      <c r="C186" s="176"/>
      <c r="D186" s="176"/>
      <c r="E186" s="176"/>
      <c r="F186" s="186"/>
      <c r="G186" s="227" t="s">
        <v>118</v>
      </c>
      <c r="H186" s="177"/>
      <c r="I186" s="178"/>
      <c r="J186" s="178"/>
      <c r="K186" s="179"/>
      <c r="L186" s="177"/>
      <c r="M186" s="178"/>
      <c r="N186" s="178"/>
      <c r="O186" s="180"/>
      <c r="P186" s="180"/>
      <c r="Q186" s="180" t="s">
        <v>61</v>
      </c>
      <c r="R186" s="180"/>
      <c r="S186" s="180"/>
      <c r="T186" s="267">
        <v>45664</v>
      </c>
      <c r="U186" s="271">
        <v>45664</v>
      </c>
      <c r="V186" s="272"/>
      <c r="W186" s="273"/>
      <c r="X186" s="184"/>
      <c r="Y186" s="185" t="str">
        <f t="shared" si="6"/>
        <v>項目名:内部ディスカウントクラスID</v>
      </c>
      <c r="Z186" s="236" t="s">
        <v>203</v>
      </c>
    </row>
    <row r="187" spans="1:26" s="236" customFormat="1" ht="11.4" x14ac:dyDescent="0.15">
      <c r="A187" s="175">
        <f t="shared" si="3"/>
        <v>185</v>
      </c>
      <c r="B187" s="176"/>
      <c r="C187" s="176"/>
      <c r="D187" s="176"/>
      <c r="E187" s="176"/>
      <c r="F187" s="186"/>
      <c r="G187" s="227" t="s">
        <v>118</v>
      </c>
      <c r="H187" s="177"/>
      <c r="I187" s="178"/>
      <c r="J187" s="178"/>
      <c r="K187" s="179"/>
      <c r="L187" s="177"/>
      <c r="M187" s="178"/>
      <c r="N187" s="178"/>
      <c r="O187" s="180"/>
      <c r="P187" s="180"/>
      <c r="Q187" s="180" t="s">
        <v>61</v>
      </c>
      <c r="R187" s="180"/>
      <c r="S187" s="180"/>
      <c r="T187" s="267">
        <v>45664</v>
      </c>
      <c r="U187" s="271">
        <v>45664</v>
      </c>
      <c r="V187" s="272"/>
      <c r="W187" s="273"/>
      <c r="X187" s="184"/>
      <c r="Y187" s="185" t="str">
        <f t="shared" si="6"/>
        <v>項目名:内部ディスカウントID</v>
      </c>
      <c r="Z187" s="236" t="s">
        <v>204</v>
      </c>
    </row>
    <row r="188" spans="1:26" s="236" customFormat="1" ht="11.4" x14ac:dyDescent="0.15">
      <c r="A188" s="175">
        <f t="shared" si="3"/>
        <v>186</v>
      </c>
      <c r="B188" s="176"/>
      <c r="C188" s="176"/>
      <c r="D188" s="176"/>
      <c r="E188" s="176"/>
      <c r="F188" s="186"/>
      <c r="G188" s="227" t="s">
        <v>118</v>
      </c>
      <c r="H188" s="177"/>
      <c r="I188" s="178"/>
      <c r="J188" s="178"/>
      <c r="K188" s="179"/>
      <c r="L188" s="177"/>
      <c r="M188" s="178"/>
      <c r="N188" s="178"/>
      <c r="O188" s="180"/>
      <c r="P188" s="180"/>
      <c r="Q188" s="180" t="s">
        <v>61</v>
      </c>
      <c r="R188" s="180"/>
      <c r="S188" s="180"/>
      <c r="T188" s="267">
        <v>45664</v>
      </c>
      <c r="U188" s="271">
        <v>45664</v>
      </c>
      <c r="V188" s="272"/>
      <c r="W188" s="273"/>
      <c r="X188" s="184"/>
      <c r="Y188" s="185" t="str">
        <f t="shared" si="6"/>
        <v>項目名:内部イベントコード</v>
      </c>
      <c r="Z188" s="236" t="s">
        <v>187</v>
      </c>
    </row>
    <row r="189" spans="1:26" s="236" customFormat="1" ht="11.4" x14ac:dyDescent="0.15">
      <c r="A189" s="175">
        <f t="shared" si="3"/>
        <v>187</v>
      </c>
      <c r="B189" s="176"/>
      <c r="C189" s="176"/>
      <c r="D189" s="176"/>
      <c r="E189" s="176"/>
      <c r="F189" s="186"/>
      <c r="G189" s="227" t="s">
        <v>118</v>
      </c>
      <c r="H189" s="177"/>
      <c r="I189" s="178"/>
      <c r="J189" s="178"/>
      <c r="K189" s="179"/>
      <c r="L189" s="177"/>
      <c r="M189" s="178"/>
      <c r="N189" s="178"/>
      <c r="O189" s="180"/>
      <c r="P189" s="180"/>
      <c r="Q189" s="180" t="s">
        <v>61</v>
      </c>
      <c r="R189" s="180"/>
      <c r="S189" s="180"/>
      <c r="T189" s="267">
        <v>45664</v>
      </c>
      <c r="U189" s="274"/>
      <c r="V189" s="272">
        <v>45664</v>
      </c>
      <c r="W189" s="273"/>
      <c r="X189" s="184"/>
      <c r="Y189" s="185" t="str">
        <f t="shared" si="6"/>
        <v>項目名:緊急登録日時</v>
      </c>
      <c r="Z189" s="236" t="s">
        <v>205</v>
      </c>
    </row>
    <row r="190" spans="1:26" s="236" customFormat="1" ht="11.4" x14ac:dyDescent="0.15">
      <c r="A190" s="175">
        <f t="shared" si="3"/>
        <v>188</v>
      </c>
      <c r="B190" s="176"/>
      <c r="C190" s="176"/>
      <c r="D190" s="176"/>
      <c r="E190" s="176"/>
      <c r="F190" s="186"/>
      <c r="G190" s="227" t="s">
        <v>118</v>
      </c>
      <c r="H190" s="177"/>
      <c r="I190" s="178"/>
      <c r="J190" s="178"/>
      <c r="K190" s="179"/>
      <c r="L190" s="177"/>
      <c r="M190" s="178"/>
      <c r="N190" s="178"/>
      <c r="O190" s="180"/>
      <c r="P190" s="180"/>
      <c r="Q190" s="180" t="s">
        <v>61</v>
      </c>
      <c r="R190" s="180"/>
      <c r="S190" s="180"/>
      <c r="T190" s="267">
        <v>45664</v>
      </c>
      <c r="U190" s="271">
        <v>45664</v>
      </c>
      <c r="V190" s="272"/>
      <c r="W190" s="273"/>
      <c r="X190" s="184"/>
      <c r="Y190" s="185" t="str">
        <f t="shared" si="6"/>
        <v>項目名:作成日</v>
      </c>
      <c r="Z190" s="236" t="s">
        <v>168</v>
      </c>
    </row>
    <row r="191" spans="1:26" s="236" customFormat="1" ht="11.4" x14ac:dyDescent="0.15">
      <c r="A191" s="175">
        <f t="shared" si="3"/>
        <v>189</v>
      </c>
      <c r="B191" s="176"/>
      <c r="C191" s="176"/>
      <c r="D191" s="176"/>
      <c r="E191" s="176"/>
      <c r="F191" s="186"/>
      <c r="G191" s="227" t="s">
        <v>136</v>
      </c>
      <c r="H191" s="177"/>
      <c r="I191" s="178"/>
      <c r="J191" s="178"/>
      <c r="K191" s="179"/>
      <c r="L191" s="177"/>
      <c r="M191" s="178"/>
      <c r="N191" s="178"/>
      <c r="O191" s="180"/>
      <c r="P191" s="180"/>
      <c r="Q191" s="180" t="s">
        <v>61</v>
      </c>
      <c r="R191" s="180"/>
      <c r="S191" s="180"/>
      <c r="T191" s="267">
        <v>45664</v>
      </c>
      <c r="U191" s="271">
        <v>45664</v>
      </c>
      <c r="V191" s="272"/>
      <c r="W191" s="273"/>
      <c r="X191" s="184"/>
      <c r="Y191" s="185" t="str">
        <f t="shared" si="6"/>
        <v>項目名:未使用項目や空白固定項目</v>
      </c>
      <c r="Z191" s="236" t="s">
        <v>137</v>
      </c>
    </row>
    <row r="192" spans="1:26" ht="11.4" x14ac:dyDescent="0.15">
      <c r="A192" s="175">
        <f t="shared" si="3"/>
        <v>190</v>
      </c>
      <c r="B192" s="176"/>
      <c r="C192" s="176"/>
      <c r="D192" s="176"/>
      <c r="E192" s="186" t="s">
        <v>206</v>
      </c>
      <c r="F192" s="186" t="s">
        <v>526</v>
      </c>
      <c r="G192" s="227" t="s">
        <v>110</v>
      </c>
      <c r="H192" s="177"/>
      <c r="I192" s="178"/>
      <c r="J192" s="178"/>
      <c r="K192" s="179"/>
      <c r="L192" s="177"/>
      <c r="M192" s="178"/>
      <c r="N192" s="178"/>
      <c r="O192" s="180"/>
      <c r="P192" s="180" t="s">
        <v>61</v>
      </c>
      <c r="Q192" s="180"/>
      <c r="R192" s="180"/>
      <c r="S192" s="180"/>
      <c r="T192" s="267">
        <v>45665</v>
      </c>
      <c r="U192" s="271">
        <v>45665</v>
      </c>
      <c r="V192" s="272"/>
      <c r="W192" s="273"/>
      <c r="X192" s="184"/>
      <c r="Y192" s="185" t="s">
        <v>527</v>
      </c>
    </row>
    <row r="193" spans="1:26" ht="11.4" x14ac:dyDescent="0.15">
      <c r="A193" s="175">
        <f t="shared" si="3"/>
        <v>191</v>
      </c>
      <c r="B193" s="176"/>
      <c r="C193" s="176"/>
      <c r="D193" s="176"/>
      <c r="E193" s="176"/>
      <c r="F193" s="186"/>
      <c r="G193" s="227" t="s">
        <v>112</v>
      </c>
      <c r="H193" s="177"/>
      <c r="I193" s="178"/>
      <c r="J193" s="178"/>
      <c r="K193" s="179"/>
      <c r="L193" s="177"/>
      <c r="M193" s="178"/>
      <c r="N193" s="178"/>
      <c r="O193" s="180" t="s">
        <v>61</v>
      </c>
      <c r="P193" s="180"/>
      <c r="Q193" s="180"/>
      <c r="R193" s="180"/>
      <c r="S193" s="180"/>
      <c r="T193" s="267">
        <v>45665</v>
      </c>
      <c r="U193" s="271">
        <v>45665</v>
      </c>
      <c r="V193" s="272"/>
      <c r="W193" s="273"/>
      <c r="X193" s="184"/>
      <c r="Y193" s="185" t="s">
        <v>113</v>
      </c>
    </row>
    <row r="194" spans="1:26" ht="11.4" x14ac:dyDescent="0.15">
      <c r="A194" s="175">
        <f t="shared" si="3"/>
        <v>192</v>
      </c>
      <c r="B194" s="176"/>
      <c r="C194" s="176"/>
      <c r="D194" s="176"/>
      <c r="E194" s="176"/>
      <c r="F194" s="186"/>
      <c r="G194" s="227" t="s">
        <v>112</v>
      </c>
      <c r="H194" s="177"/>
      <c r="I194" s="178"/>
      <c r="J194" s="178"/>
      <c r="K194" s="179"/>
      <c r="L194" s="177"/>
      <c r="M194" s="178"/>
      <c r="N194" s="178"/>
      <c r="O194" s="180" t="s">
        <v>61</v>
      </c>
      <c r="P194" s="180"/>
      <c r="Q194" s="180"/>
      <c r="R194" s="180"/>
      <c r="S194" s="180"/>
      <c r="T194" s="267">
        <v>45665</v>
      </c>
      <c r="U194" s="271">
        <v>45665</v>
      </c>
      <c r="V194" s="272"/>
      <c r="W194" s="273"/>
      <c r="X194" s="184"/>
      <c r="Y194" s="185" t="s">
        <v>114</v>
      </c>
    </row>
    <row r="195" spans="1:26" ht="11.4" x14ac:dyDescent="0.15">
      <c r="A195" s="175">
        <f t="shared" si="3"/>
        <v>193</v>
      </c>
      <c r="B195" s="176"/>
      <c r="C195" s="176"/>
      <c r="D195" s="176"/>
      <c r="E195" s="176"/>
      <c r="F195" s="186"/>
      <c r="G195" s="227" t="s">
        <v>112</v>
      </c>
      <c r="H195" s="177"/>
      <c r="I195" s="178"/>
      <c r="J195" s="178"/>
      <c r="K195" s="179"/>
      <c r="L195" s="177"/>
      <c r="M195" s="178"/>
      <c r="N195" s="178"/>
      <c r="O195" s="180" t="s">
        <v>61</v>
      </c>
      <c r="P195" s="180"/>
      <c r="Q195" s="180"/>
      <c r="R195" s="180"/>
      <c r="S195" s="180"/>
      <c r="T195" s="267">
        <v>45665</v>
      </c>
      <c r="U195" s="271">
        <v>45665</v>
      </c>
      <c r="V195" s="272"/>
      <c r="W195" s="273"/>
      <c r="X195" s="184"/>
      <c r="Y195" s="185" t="s">
        <v>115</v>
      </c>
    </row>
    <row r="196" spans="1:26" ht="11.4" x14ac:dyDescent="0.15">
      <c r="A196" s="175">
        <f t="shared" si="3"/>
        <v>194</v>
      </c>
      <c r="B196" s="176"/>
      <c r="C196" s="176"/>
      <c r="D196" s="176"/>
      <c r="E196" s="176"/>
      <c r="F196" s="186"/>
      <c r="G196" s="227" t="s">
        <v>112</v>
      </c>
      <c r="H196" s="177"/>
      <c r="I196" s="178"/>
      <c r="J196" s="178"/>
      <c r="K196" s="179"/>
      <c r="L196" s="177"/>
      <c r="M196" s="178"/>
      <c r="N196" s="178"/>
      <c r="O196" s="180" t="s">
        <v>61</v>
      </c>
      <c r="P196" s="180"/>
      <c r="Q196" s="180"/>
      <c r="R196" s="180"/>
      <c r="S196" s="180"/>
      <c r="T196" s="267">
        <v>45665</v>
      </c>
      <c r="U196" s="271">
        <v>45665</v>
      </c>
      <c r="V196" s="272"/>
      <c r="W196" s="273"/>
      <c r="X196" s="184"/>
      <c r="Y196" s="185" t="s">
        <v>116</v>
      </c>
    </row>
    <row r="197" spans="1:26" ht="11.4" x14ac:dyDescent="0.15">
      <c r="A197" s="175">
        <f t="shared" si="3"/>
        <v>195</v>
      </c>
      <c r="B197" s="176"/>
      <c r="C197" s="176"/>
      <c r="D197" s="176"/>
      <c r="E197" s="176"/>
      <c r="F197" s="186"/>
      <c r="G197" s="227" t="s">
        <v>112</v>
      </c>
      <c r="H197" s="177"/>
      <c r="I197" s="178"/>
      <c r="J197" s="178"/>
      <c r="K197" s="179"/>
      <c r="L197" s="177"/>
      <c r="M197" s="178"/>
      <c r="N197" s="178"/>
      <c r="O197" s="180" t="s">
        <v>61</v>
      </c>
      <c r="P197" s="180"/>
      <c r="Q197" s="180"/>
      <c r="R197" s="180"/>
      <c r="S197" s="180"/>
      <c r="T197" s="267">
        <v>45665</v>
      </c>
      <c r="U197" s="271">
        <v>45665</v>
      </c>
      <c r="V197" s="272"/>
      <c r="W197" s="273"/>
      <c r="X197" s="184"/>
      <c r="Y197" s="185" t="s">
        <v>117</v>
      </c>
    </row>
    <row r="198" spans="1:26" ht="11.4" x14ac:dyDescent="0.15">
      <c r="A198" s="175">
        <f t="shared" si="3"/>
        <v>196</v>
      </c>
      <c r="B198" s="176"/>
      <c r="C198" s="176"/>
      <c r="D198" s="186"/>
      <c r="E198" s="186"/>
      <c r="F198" s="186" t="s">
        <v>528</v>
      </c>
      <c r="G198" s="227" t="s">
        <v>507</v>
      </c>
      <c r="H198" s="177"/>
      <c r="I198" s="178"/>
      <c r="J198" s="178"/>
      <c r="K198" s="179"/>
      <c r="L198" s="177"/>
      <c r="M198" s="178"/>
      <c r="N198" s="178"/>
      <c r="O198" s="180"/>
      <c r="P198" s="180"/>
      <c r="Q198" s="180" t="s">
        <v>61</v>
      </c>
      <c r="R198" s="180"/>
      <c r="S198" s="180"/>
      <c r="T198" s="267">
        <v>45665</v>
      </c>
      <c r="U198" s="271">
        <v>45665</v>
      </c>
      <c r="V198" s="272"/>
      <c r="W198" s="273"/>
      <c r="X198" s="184"/>
      <c r="Y198" s="185" t="str">
        <f>"項目名:"&amp;Z198</f>
        <v>項目名:処理区分、値:A(登録)</v>
      </c>
      <c r="Z198" s="236" t="s">
        <v>508</v>
      </c>
    </row>
    <row r="199" spans="1:26" ht="11.4" x14ac:dyDescent="0.15">
      <c r="A199" s="175">
        <f t="shared" si="3"/>
        <v>197</v>
      </c>
      <c r="B199" s="176"/>
      <c r="C199" s="176"/>
      <c r="D199" s="186"/>
      <c r="E199" s="186"/>
      <c r="F199" s="186" t="s">
        <v>529</v>
      </c>
      <c r="G199" s="227" t="s">
        <v>510</v>
      </c>
      <c r="H199" s="177"/>
      <c r="I199" s="178"/>
      <c r="J199" s="178"/>
      <c r="K199" s="179"/>
      <c r="L199" s="177"/>
      <c r="M199" s="178"/>
      <c r="N199" s="178"/>
      <c r="O199" s="180"/>
      <c r="P199" s="180"/>
      <c r="Q199" s="180" t="s">
        <v>61</v>
      </c>
      <c r="R199" s="180"/>
      <c r="S199" s="180"/>
      <c r="T199" s="267">
        <v>45665</v>
      </c>
      <c r="U199" s="271">
        <v>45665</v>
      </c>
      <c r="V199" s="272"/>
      <c r="W199" s="273"/>
      <c r="X199" s="184"/>
      <c r="Y199" s="185" t="str">
        <f t="shared" ref="Y199:Y248" si="7">"項目名:"&amp;Z199</f>
        <v>項目名:処理区分、値:U(更新)</v>
      </c>
      <c r="Z199" s="236" t="s">
        <v>511</v>
      </c>
    </row>
    <row r="200" spans="1:26" ht="11.4" x14ac:dyDescent="0.15">
      <c r="A200" s="175">
        <f t="shared" si="3"/>
        <v>198</v>
      </c>
      <c r="B200" s="176"/>
      <c r="C200" s="176"/>
      <c r="D200" s="186"/>
      <c r="E200" s="186"/>
      <c r="F200" s="186" t="s">
        <v>530</v>
      </c>
      <c r="G200" s="227" t="s">
        <v>513</v>
      </c>
      <c r="H200" s="177"/>
      <c r="I200" s="178"/>
      <c r="J200" s="178"/>
      <c r="K200" s="179"/>
      <c r="L200" s="177"/>
      <c r="M200" s="178"/>
      <c r="N200" s="178"/>
      <c r="O200" s="180"/>
      <c r="P200" s="180"/>
      <c r="Q200" s="180" t="s">
        <v>61</v>
      </c>
      <c r="R200" s="180"/>
      <c r="S200" s="180"/>
      <c r="T200" s="267">
        <v>45665</v>
      </c>
      <c r="U200" s="271">
        <v>45665</v>
      </c>
      <c r="V200" s="272"/>
      <c r="W200" s="273"/>
      <c r="X200" s="184"/>
      <c r="Y200" s="185" t="str">
        <f t="shared" si="7"/>
        <v>項目名:処理区分、値:D(削除)</v>
      </c>
      <c r="Z200" s="236" t="s">
        <v>514</v>
      </c>
    </row>
    <row r="201" spans="1:26" s="236" customFormat="1" ht="11.4" x14ac:dyDescent="0.15">
      <c r="A201" s="175">
        <f t="shared" si="3"/>
        <v>199</v>
      </c>
      <c r="B201" s="176"/>
      <c r="C201" s="176"/>
      <c r="D201" s="176"/>
      <c r="E201" s="176"/>
      <c r="F201" s="186" t="s">
        <v>515</v>
      </c>
      <c r="G201" s="227" t="s">
        <v>118</v>
      </c>
      <c r="H201" s="177"/>
      <c r="I201" s="178"/>
      <c r="J201" s="178"/>
      <c r="K201" s="179"/>
      <c r="L201" s="177"/>
      <c r="M201" s="178"/>
      <c r="N201" s="178"/>
      <c r="O201" s="180"/>
      <c r="P201" s="180"/>
      <c r="Q201" s="180" t="s">
        <v>61</v>
      </c>
      <c r="R201" s="180"/>
      <c r="S201" s="180"/>
      <c r="T201" s="267">
        <v>45665</v>
      </c>
      <c r="U201" s="271">
        <v>45665</v>
      </c>
      <c r="V201" s="272"/>
      <c r="W201" s="273"/>
      <c r="X201" s="184"/>
      <c r="Y201" s="185" t="str">
        <f t="shared" si="7"/>
        <v>項目名:店舗コード</v>
      </c>
      <c r="Z201" s="236" t="s">
        <v>144</v>
      </c>
    </row>
    <row r="202" spans="1:26" s="236" customFormat="1" ht="11.4" x14ac:dyDescent="0.15">
      <c r="A202" s="175">
        <f t="shared" si="3"/>
        <v>200</v>
      </c>
      <c r="B202" s="176"/>
      <c r="C202" s="176"/>
      <c r="D202" s="176"/>
      <c r="E202" s="176"/>
      <c r="F202" s="186"/>
      <c r="G202" s="227" t="s">
        <v>118</v>
      </c>
      <c r="H202" s="177"/>
      <c r="I202" s="178"/>
      <c r="J202" s="178"/>
      <c r="K202" s="179"/>
      <c r="L202" s="177"/>
      <c r="M202" s="178"/>
      <c r="N202" s="178"/>
      <c r="O202" s="180"/>
      <c r="P202" s="180"/>
      <c r="Q202" s="180" t="s">
        <v>61</v>
      </c>
      <c r="R202" s="180"/>
      <c r="S202" s="180"/>
      <c r="T202" s="267">
        <v>45665</v>
      </c>
      <c r="U202" s="271">
        <v>45665</v>
      </c>
      <c r="V202" s="272"/>
      <c r="W202" s="273"/>
      <c r="X202" s="184"/>
      <c r="Y202" s="185" t="str">
        <f t="shared" si="7"/>
        <v>項目名:企画No.</v>
      </c>
      <c r="Z202" s="236" t="s">
        <v>172</v>
      </c>
    </row>
    <row r="203" spans="1:26" s="236" customFormat="1" ht="11.4" x14ac:dyDescent="0.15">
      <c r="A203" s="175">
        <f t="shared" si="3"/>
        <v>201</v>
      </c>
      <c r="B203" s="176"/>
      <c r="C203" s="176"/>
      <c r="D203" s="176"/>
      <c r="E203" s="176"/>
      <c r="F203" s="186"/>
      <c r="G203" s="227" t="s">
        <v>118</v>
      </c>
      <c r="H203" s="177"/>
      <c r="I203" s="178"/>
      <c r="J203" s="178"/>
      <c r="K203" s="179"/>
      <c r="L203" s="177"/>
      <c r="M203" s="178"/>
      <c r="N203" s="178"/>
      <c r="O203" s="180"/>
      <c r="P203" s="180"/>
      <c r="Q203" s="180" t="s">
        <v>61</v>
      </c>
      <c r="R203" s="180"/>
      <c r="S203" s="180"/>
      <c r="T203" s="267">
        <v>45665</v>
      </c>
      <c r="U203" s="271">
        <v>45665</v>
      </c>
      <c r="V203" s="272"/>
      <c r="W203" s="273"/>
      <c r="X203" s="184"/>
      <c r="Y203" s="185" t="str">
        <f t="shared" si="7"/>
        <v>項目名:企画名</v>
      </c>
      <c r="Z203" s="236" t="s">
        <v>173</v>
      </c>
    </row>
    <row r="204" spans="1:26" s="236" customFormat="1" ht="11.4" x14ac:dyDescent="0.15">
      <c r="A204" s="175">
        <f t="shared" si="3"/>
        <v>202</v>
      </c>
      <c r="B204" s="176"/>
      <c r="C204" s="176"/>
      <c r="D204" s="176"/>
      <c r="E204" s="176"/>
      <c r="F204" s="186"/>
      <c r="G204" s="227" t="s">
        <v>118</v>
      </c>
      <c r="H204" s="177"/>
      <c r="I204" s="178"/>
      <c r="J204" s="178"/>
      <c r="K204" s="179"/>
      <c r="L204" s="177"/>
      <c r="M204" s="178"/>
      <c r="N204" s="178"/>
      <c r="O204" s="180"/>
      <c r="P204" s="180"/>
      <c r="Q204" s="180" t="s">
        <v>61</v>
      </c>
      <c r="R204" s="180"/>
      <c r="S204" s="180"/>
      <c r="T204" s="267">
        <v>45665</v>
      </c>
      <c r="U204" s="271">
        <v>45665</v>
      </c>
      <c r="V204" s="272"/>
      <c r="W204" s="273"/>
      <c r="X204" s="184"/>
      <c r="Y204" s="185" t="str">
        <f t="shared" si="7"/>
        <v>項目名:会員フラグ</v>
      </c>
      <c r="Z204" s="236" t="s">
        <v>191</v>
      </c>
    </row>
    <row r="205" spans="1:26" s="236" customFormat="1" ht="11.4" x14ac:dyDescent="0.15">
      <c r="A205" s="175">
        <f t="shared" si="3"/>
        <v>203</v>
      </c>
      <c r="B205" s="176"/>
      <c r="C205" s="176"/>
      <c r="D205" s="176"/>
      <c r="E205" s="176"/>
      <c r="F205" s="186"/>
      <c r="G205" s="227" t="s">
        <v>118</v>
      </c>
      <c r="H205" s="177"/>
      <c r="I205" s="178"/>
      <c r="J205" s="178"/>
      <c r="K205" s="179"/>
      <c r="L205" s="177"/>
      <c r="M205" s="178"/>
      <c r="N205" s="178"/>
      <c r="O205" s="180"/>
      <c r="P205" s="180"/>
      <c r="Q205" s="180" t="s">
        <v>61</v>
      </c>
      <c r="R205" s="180"/>
      <c r="S205" s="180"/>
      <c r="T205" s="267">
        <v>45665</v>
      </c>
      <c r="U205" s="271">
        <v>45665</v>
      </c>
      <c r="V205" s="272"/>
      <c r="W205" s="273"/>
      <c r="X205" s="184"/>
      <c r="Y205" s="185" t="str">
        <f t="shared" si="7"/>
        <v>項目名:自社商品コード</v>
      </c>
      <c r="Z205" s="236" t="s">
        <v>143</v>
      </c>
    </row>
    <row r="206" spans="1:26" s="236" customFormat="1" ht="11.4" x14ac:dyDescent="0.15">
      <c r="A206" s="175">
        <f t="shared" si="3"/>
        <v>204</v>
      </c>
      <c r="B206" s="176"/>
      <c r="C206" s="176"/>
      <c r="D206" s="176"/>
      <c r="E206" s="176"/>
      <c r="F206" s="186"/>
      <c r="G206" s="227" t="s">
        <v>118</v>
      </c>
      <c r="H206" s="177"/>
      <c r="I206" s="178"/>
      <c r="J206" s="178"/>
      <c r="K206" s="179"/>
      <c r="L206" s="177"/>
      <c r="M206" s="178"/>
      <c r="N206" s="178"/>
      <c r="O206" s="180"/>
      <c r="P206" s="180"/>
      <c r="Q206" s="180" t="s">
        <v>61</v>
      </c>
      <c r="R206" s="180"/>
      <c r="S206" s="180"/>
      <c r="T206" s="267">
        <v>45665</v>
      </c>
      <c r="U206" s="271">
        <v>45665</v>
      </c>
      <c r="V206" s="272"/>
      <c r="W206" s="273"/>
      <c r="X206" s="184"/>
      <c r="Y206" s="185" t="str">
        <f t="shared" si="7"/>
        <v>項目名:組合せ開始日</v>
      </c>
      <c r="Z206" s="236" t="s">
        <v>209</v>
      </c>
    </row>
    <row r="207" spans="1:26" s="236" customFormat="1" ht="11.4" x14ac:dyDescent="0.15">
      <c r="A207" s="175">
        <f t="shared" si="3"/>
        <v>205</v>
      </c>
      <c r="B207" s="176"/>
      <c r="C207" s="176"/>
      <c r="D207" s="176"/>
      <c r="E207" s="176"/>
      <c r="F207" s="186"/>
      <c r="G207" s="227" t="s">
        <v>118</v>
      </c>
      <c r="H207" s="177"/>
      <c r="I207" s="178"/>
      <c r="J207" s="178"/>
      <c r="K207" s="179"/>
      <c r="L207" s="177"/>
      <c r="M207" s="178"/>
      <c r="N207" s="178"/>
      <c r="O207" s="180"/>
      <c r="P207" s="180"/>
      <c r="Q207" s="180" t="s">
        <v>61</v>
      </c>
      <c r="R207" s="180"/>
      <c r="S207" s="180"/>
      <c r="T207" s="267">
        <v>45665</v>
      </c>
      <c r="U207" s="271">
        <v>45665</v>
      </c>
      <c r="V207" s="272"/>
      <c r="W207" s="273"/>
      <c r="X207" s="184"/>
      <c r="Y207" s="185" t="str">
        <f t="shared" si="7"/>
        <v>項目名:組合せ終了日</v>
      </c>
      <c r="Z207" s="236" t="s">
        <v>210</v>
      </c>
    </row>
    <row r="208" spans="1:26" s="236" customFormat="1" ht="11.4" x14ac:dyDescent="0.15">
      <c r="A208" s="175">
        <f t="shared" si="3"/>
        <v>206</v>
      </c>
      <c r="B208" s="176"/>
      <c r="C208" s="176"/>
      <c r="D208" s="176"/>
      <c r="E208" s="176"/>
      <c r="F208" s="186"/>
      <c r="G208" s="227" t="s">
        <v>118</v>
      </c>
      <c r="H208" s="177"/>
      <c r="I208" s="178"/>
      <c r="J208" s="178"/>
      <c r="K208" s="179"/>
      <c r="L208" s="177"/>
      <c r="M208" s="178"/>
      <c r="N208" s="178"/>
      <c r="O208" s="180"/>
      <c r="P208" s="180"/>
      <c r="Q208" s="180" t="s">
        <v>61</v>
      </c>
      <c r="R208" s="180"/>
      <c r="S208" s="180"/>
      <c r="T208" s="267">
        <v>45665</v>
      </c>
      <c r="U208" s="271">
        <v>45665</v>
      </c>
      <c r="V208" s="272"/>
      <c r="W208" s="273"/>
      <c r="X208" s="184"/>
      <c r="Y208" s="185" t="str">
        <f t="shared" si="7"/>
        <v>項目名:企画区分</v>
      </c>
      <c r="Z208" s="236" t="s">
        <v>211</v>
      </c>
    </row>
    <row r="209" spans="1:26" s="236" customFormat="1" ht="11.4" x14ac:dyDescent="0.15">
      <c r="A209" s="175">
        <f t="shared" si="3"/>
        <v>207</v>
      </c>
      <c r="B209" s="176"/>
      <c r="C209" s="176"/>
      <c r="D209" s="176"/>
      <c r="E209" s="176"/>
      <c r="F209" s="186"/>
      <c r="G209" s="227" t="s">
        <v>118</v>
      </c>
      <c r="H209" s="177"/>
      <c r="I209" s="178"/>
      <c r="J209" s="178"/>
      <c r="K209" s="179"/>
      <c r="L209" s="177"/>
      <c r="M209" s="178"/>
      <c r="N209" s="178"/>
      <c r="O209" s="180"/>
      <c r="P209" s="180"/>
      <c r="Q209" s="180" t="s">
        <v>61</v>
      </c>
      <c r="R209" s="180"/>
      <c r="S209" s="180"/>
      <c r="T209" s="267">
        <v>45665</v>
      </c>
      <c r="U209" s="271">
        <v>45665</v>
      </c>
      <c r="V209" s="272"/>
      <c r="W209" s="273"/>
      <c r="X209" s="184"/>
      <c r="Y209" s="185" t="str">
        <f t="shared" si="7"/>
        <v>項目名:組合せ自動削除日数</v>
      </c>
      <c r="Z209" s="236" t="s">
        <v>212</v>
      </c>
    </row>
    <row r="210" spans="1:26" s="236" customFormat="1" ht="11.4" x14ac:dyDescent="0.15">
      <c r="A210" s="175">
        <f t="shared" si="3"/>
        <v>208</v>
      </c>
      <c r="B210" s="176"/>
      <c r="C210" s="176"/>
      <c r="D210" s="176"/>
      <c r="E210" s="176"/>
      <c r="F210" s="186"/>
      <c r="G210" s="227" t="s">
        <v>118</v>
      </c>
      <c r="H210" s="177"/>
      <c r="I210" s="178"/>
      <c r="J210" s="178"/>
      <c r="K210" s="179"/>
      <c r="L210" s="177"/>
      <c r="M210" s="178"/>
      <c r="N210" s="178"/>
      <c r="O210" s="180"/>
      <c r="P210" s="180"/>
      <c r="Q210" s="180" t="s">
        <v>61</v>
      </c>
      <c r="R210" s="180"/>
      <c r="S210" s="180"/>
      <c r="T210" s="267">
        <v>45665</v>
      </c>
      <c r="U210" s="271">
        <v>45665</v>
      </c>
      <c r="V210" s="272"/>
      <c r="W210" s="273"/>
      <c r="X210" s="184"/>
      <c r="Y210" s="185" t="str">
        <f t="shared" si="7"/>
        <v>項目名:組合せ優先区分</v>
      </c>
      <c r="Z210" s="236" t="s">
        <v>213</v>
      </c>
    </row>
    <row r="211" spans="1:26" s="236" customFormat="1" ht="11.4" x14ac:dyDescent="0.15">
      <c r="A211" s="175">
        <f t="shared" si="3"/>
        <v>209</v>
      </c>
      <c r="B211" s="176"/>
      <c r="C211" s="176"/>
      <c r="D211" s="176"/>
      <c r="E211" s="176"/>
      <c r="F211" s="186"/>
      <c r="G211" s="227" t="s">
        <v>118</v>
      </c>
      <c r="H211" s="177"/>
      <c r="I211" s="178"/>
      <c r="J211" s="178"/>
      <c r="K211" s="179"/>
      <c r="L211" s="177"/>
      <c r="M211" s="178"/>
      <c r="N211" s="178"/>
      <c r="O211" s="180"/>
      <c r="P211" s="180"/>
      <c r="Q211" s="180" t="s">
        <v>61</v>
      </c>
      <c r="R211" s="180"/>
      <c r="S211" s="180"/>
      <c r="T211" s="267">
        <v>45665</v>
      </c>
      <c r="U211" s="271">
        <v>45665</v>
      </c>
      <c r="V211" s="272"/>
      <c r="W211" s="273"/>
      <c r="X211" s="184"/>
      <c r="Y211" s="185" t="str">
        <f t="shared" si="7"/>
        <v>項目名:組合せ保留フラグ</v>
      </c>
      <c r="Z211" s="236" t="s">
        <v>214</v>
      </c>
    </row>
    <row r="212" spans="1:26" s="236" customFormat="1" ht="11.4" x14ac:dyDescent="0.15">
      <c r="A212" s="175">
        <f t="shared" si="3"/>
        <v>210</v>
      </c>
      <c r="B212" s="176"/>
      <c r="C212" s="176"/>
      <c r="D212" s="176"/>
      <c r="E212" s="176"/>
      <c r="F212" s="186"/>
      <c r="G212" s="227" t="s">
        <v>118</v>
      </c>
      <c r="H212" s="177"/>
      <c r="I212" s="178"/>
      <c r="J212" s="178"/>
      <c r="K212" s="179"/>
      <c r="L212" s="177"/>
      <c r="M212" s="178"/>
      <c r="N212" s="178"/>
      <c r="O212" s="180"/>
      <c r="P212" s="180"/>
      <c r="Q212" s="180" t="s">
        <v>61</v>
      </c>
      <c r="R212" s="180"/>
      <c r="S212" s="180"/>
      <c r="T212" s="267">
        <v>45665</v>
      </c>
      <c r="U212" s="271">
        <v>45665</v>
      </c>
      <c r="V212" s="272"/>
      <c r="W212" s="273"/>
      <c r="X212" s="184"/>
      <c r="Y212" s="185" t="str">
        <f t="shared" si="7"/>
        <v>項目名:タイムサービスフラグ</v>
      </c>
      <c r="Z212" s="236" t="s">
        <v>179</v>
      </c>
    </row>
    <row r="213" spans="1:26" s="236" customFormat="1" ht="11.4" x14ac:dyDescent="0.15">
      <c r="A213" s="175">
        <f t="shared" si="3"/>
        <v>211</v>
      </c>
      <c r="B213" s="176"/>
      <c r="C213" s="176"/>
      <c r="D213" s="176"/>
      <c r="E213" s="176"/>
      <c r="F213" s="186"/>
      <c r="G213" s="227" t="s">
        <v>118</v>
      </c>
      <c r="H213" s="177"/>
      <c r="I213" s="178"/>
      <c r="J213" s="178"/>
      <c r="K213" s="179"/>
      <c r="L213" s="177"/>
      <c r="M213" s="178"/>
      <c r="N213" s="178"/>
      <c r="O213" s="180"/>
      <c r="P213" s="180"/>
      <c r="Q213" s="180" t="s">
        <v>61</v>
      </c>
      <c r="R213" s="180"/>
      <c r="S213" s="180"/>
      <c r="T213" s="267">
        <v>45665</v>
      </c>
      <c r="U213" s="271">
        <v>45665</v>
      </c>
      <c r="V213" s="272"/>
      <c r="W213" s="273"/>
      <c r="X213" s="184"/>
      <c r="Y213" s="185" t="str">
        <f t="shared" si="7"/>
        <v>項目名:月曜日除外フラグ</v>
      </c>
      <c r="Z213" s="236" t="s">
        <v>180</v>
      </c>
    </row>
    <row r="214" spans="1:26" s="236" customFormat="1" ht="11.4" x14ac:dyDescent="0.15">
      <c r="A214" s="175">
        <f t="shared" si="3"/>
        <v>212</v>
      </c>
      <c r="B214" s="176"/>
      <c r="C214" s="176"/>
      <c r="D214" s="176"/>
      <c r="E214" s="176"/>
      <c r="F214" s="186"/>
      <c r="G214" s="227" t="s">
        <v>118</v>
      </c>
      <c r="H214" s="177"/>
      <c r="I214" s="178"/>
      <c r="J214" s="178"/>
      <c r="K214" s="179"/>
      <c r="L214" s="177"/>
      <c r="M214" s="178"/>
      <c r="N214" s="178"/>
      <c r="O214" s="180"/>
      <c r="P214" s="180"/>
      <c r="Q214" s="180" t="s">
        <v>61</v>
      </c>
      <c r="R214" s="180"/>
      <c r="S214" s="180"/>
      <c r="T214" s="267">
        <v>45665</v>
      </c>
      <c r="U214" s="271">
        <v>45665</v>
      </c>
      <c r="V214" s="272"/>
      <c r="W214" s="273"/>
      <c r="X214" s="184"/>
      <c r="Y214" s="185" t="str">
        <f t="shared" si="7"/>
        <v>項目名:火曜日除外フラグ</v>
      </c>
      <c r="Z214" s="236" t="s">
        <v>181</v>
      </c>
    </row>
    <row r="215" spans="1:26" s="236" customFormat="1" ht="11.4" x14ac:dyDescent="0.15">
      <c r="A215" s="175">
        <f t="shared" si="3"/>
        <v>213</v>
      </c>
      <c r="B215" s="176"/>
      <c r="C215" s="176"/>
      <c r="D215" s="176"/>
      <c r="E215" s="176"/>
      <c r="F215" s="186"/>
      <c r="G215" s="227" t="s">
        <v>118</v>
      </c>
      <c r="H215" s="177"/>
      <c r="I215" s="178"/>
      <c r="J215" s="178"/>
      <c r="K215" s="179"/>
      <c r="L215" s="177"/>
      <c r="M215" s="178"/>
      <c r="N215" s="178"/>
      <c r="O215" s="180"/>
      <c r="P215" s="180"/>
      <c r="Q215" s="180" t="s">
        <v>61</v>
      </c>
      <c r="R215" s="180"/>
      <c r="S215" s="180"/>
      <c r="T215" s="267">
        <v>45665</v>
      </c>
      <c r="U215" s="271">
        <v>45665</v>
      </c>
      <c r="V215" s="272"/>
      <c r="W215" s="273"/>
      <c r="X215" s="184"/>
      <c r="Y215" s="185" t="str">
        <f t="shared" si="7"/>
        <v>項目名:水曜日除外フラグ</v>
      </c>
      <c r="Z215" s="236" t="s">
        <v>182</v>
      </c>
    </row>
    <row r="216" spans="1:26" s="236" customFormat="1" ht="11.4" x14ac:dyDescent="0.15">
      <c r="A216" s="175">
        <f t="shared" si="3"/>
        <v>214</v>
      </c>
      <c r="B216" s="176"/>
      <c r="C216" s="176"/>
      <c r="D216" s="176"/>
      <c r="E216" s="176"/>
      <c r="F216" s="186"/>
      <c r="G216" s="227" t="s">
        <v>118</v>
      </c>
      <c r="H216" s="177"/>
      <c r="I216" s="178"/>
      <c r="J216" s="178"/>
      <c r="K216" s="179"/>
      <c r="L216" s="177"/>
      <c r="M216" s="178"/>
      <c r="N216" s="178"/>
      <c r="O216" s="180"/>
      <c r="P216" s="180"/>
      <c r="Q216" s="180" t="s">
        <v>61</v>
      </c>
      <c r="R216" s="180"/>
      <c r="S216" s="180"/>
      <c r="T216" s="267">
        <v>45665</v>
      </c>
      <c r="U216" s="271">
        <v>45665</v>
      </c>
      <c r="V216" s="272"/>
      <c r="W216" s="273"/>
      <c r="X216" s="184"/>
      <c r="Y216" s="185" t="str">
        <f t="shared" si="7"/>
        <v>項目名:木曜日除外フラグ</v>
      </c>
      <c r="Z216" s="236" t="s">
        <v>183</v>
      </c>
    </row>
    <row r="217" spans="1:26" s="236" customFormat="1" ht="11.4" x14ac:dyDescent="0.15">
      <c r="A217" s="175">
        <f t="shared" si="3"/>
        <v>215</v>
      </c>
      <c r="B217" s="176"/>
      <c r="C217" s="176"/>
      <c r="D217" s="176"/>
      <c r="E217" s="176"/>
      <c r="F217" s="186"/>
      <c r="G217" s="227" t="s">
        <v>118</v>
      </c>
      <c r="H217" s="177"/>
      <c r="I217" s="178"/>
      <c r="J217" s="178"/>
      <c r="K217" s="179"/>
      <c r="L217" s="177"/>
      <c r="M217" s="178"/>
      <c r="N217" s="178"/>
      <c r="O217" s="180"/>
      <c r="P217" s="180"/>
      <c r="Q217" s="180" t="s">
        <v>61</v>
      </c>
      <c r="R217" s="180"/>
      <c r="S217" s="180"/>
      <c r="T217" s="267">
        <v>45665</v>
      </c>
      <c r="U217" s="271">
        <v>45665</v>
      </c>
      <c r="V217" s="272"/>
      <c r="W217" s="273"/>
      <c r="X217" s="184"/>
      <c r="Y217" s="185" t="str">
        <f t="shared" si="7"/>
        <v>項目名:金曜日除外フラグ</v>
      </c>
      <c r="Z217" s="236" t="s">
        <v>184</v>
      </c>
    </row>
    <row r="218" spans="1:26" s="236" customFormat="1" ht="11.4" x14ac:dyDescent="0.15">
      <c r="A218" s="175">
        <f t="shared" si="3"/>
        <v>216</v>
      </c>
      <c r="B218" s="176"/>
      <c r="C218" s="176"/>
      <c r="D218" s="176"/>
      <c r="E218" s="176"/>
      <c r="F218" s="186"/>
      <c r="G218" s="227" t="s">
        <v>118</v>
      </c>
      <c r="H218" s="177"/>
      <c r="I218" s="178"/>
      <c r="J218" s="178"/>
      <c r="K218" s="179"/>
      <c r="L218" s="177"/>
      <c r="M218" s="178"/>
      <c r="N218" s="178"/>
      <c r="O218" s="180"/>
      <c r="P218" s="180"/>
      <c r="Q218" s="180" t="s">
        <v>61</v>
      </c>
      <c r="R218" s="180"/>
      <c r="S218" s="180"/>
      <c r="T218" s="267">
        <v>45665</v>
      </c>
      <c r="U218" s="271">
        <v>45665</v>
      </c>
      <c r="V218" s="272"/>
      <c r="W218" s="273"/>
      <c r="X218" s="184"/>
      <c r="Y218" s="185" t="str">
        <f t="shared" si="7"/>
        <v>項目名:土曜日除外フラグ</v>
      </c>
      <c r="Z218" s="236" t="s">
        <v>185</v>
      </c>
    </row>
    <row r="219" spans="1:26" s="236" customFormat="1" ht="11.4" x14ac:dyDescent="0.15">
      <c r="A219" s="175">
        <f t="shared" si="3"/>
        <v>217</v>
      </c>
      <c r="B219" s="176"/>
      <c r="C219" s="176"/>
      <c r="D219" s="176"/>
      <c r="E219" s="176"/>
      <c r="F219" s="186"/>
      <c r="G219" s="227" t="s">
        <v>118</v>
      </c>
      <c r="H219" s="177"/>
      <c r="I219" s="178"/>
      <c r="J219" s="178"/>
      <c r="K219" s="179"/>
      <c r="L219" s="177"/>
      <c r="M219" s="178"/>
      <c r="N219" s="178"/>
      <c r="O219" s="180"/>
      <c r="P219" s="180"/>
      <c r="Q219" s="180" t="s">
        <v>61</v>
      </c>
      <c r="R219" s="180"/>
      <c r="S219" s="180"/>
      <c r="T219" s="267">
        <v>45665</v>
      </c>
      <c r="U219" s="271">
        <v>45665</v>
      </c>
      <c r="V219" s="272"/>
      <c r="W219" s="273"/>
      <c r="X219" s="184"/>
      <c r="Y219" s="185" t="str">
        <f t="shared" si="7"/>
        <v>項目名:日曜日除外フラグ</v>
      </c>
      <c r="Z219" s="236" t="s">
        <v>186</v>
      </c>
    </row>
    <row r="220" spans="1:26" s="236" customFormat="1" ht="11.4" x14ac:dyDescent="0.15">
      <c r="A220" s="175">
        <f t="shared" si="3"/>
        <v>218</v>
      </c>
      <c r="B220" s="176"/>
      <c r="C220" s="176"/>
      <c r="D220" s="176"/>
      <c r="E220" s="176"/>
      <c r="F220" s="186"/>
      <c r="G220" s="227" t="s">
        <v>118</v>
      </c>
      <c r="H220" s="177"/>
      <c r="I220" s="178"/>
      <c r="J220" s="178"/>
      <c r="K220" s="179"/>
      <c r="L220" s="177"/>
      <c r="M220" s="178"/>
      <c r="N220" s="178"/>
      <c r="O220" s="180"/>
      <c r="P220" s="180"/>
      <c r="Q220" s="180" t="s">
        <v>61</v>
      </c>
      <c r="R220" s="180"/>
      <c r="S220" s="180"/>
      <c r="T220" s="267">
        <v>45665</v>
      </c>
      <c r="U220" s="271">
        <v>45665</v>
      </c>
      <c r="V220" s="272"/>
      <c r="W220" s="273"/>
      <c r="X220" s="184"/>
      <c r="Y220" s="185" t="str">
        <f t="shared" si="7"/>
        <v>項目名:組合せ開始時間</v>
      </c>
      <c r="Z220" s="236" t="s">
        <v>215</v>
      </c>
    </row>
    <row r="221" spans="1:26" s="236" customFormat="1" ht="11.4" x14ac:dyDescent="0.15">
      <c r="A221" s="175">
        <f t="shared" si="3"/>
        <v>219</v>
      </c>
      <c r="B221" s="176"/>
      <c r="C221" s="176"/>
      <c r="D221" s="176"/>
      <c r="E221" s="176"/>
      <c r="F221" s="186"/>
      <c r="G221" s="227" t="s">
        <v>118</v>
      </c>
      <c r="H221" s="177"/>
      <c r="I221" s="178"/>
      <c r="J221" s="178"/>
      <c r="K221" s="179"/>
      <c r="L221" s="177"/>
      <c r="M221" s="178"/>
      <c r="N221" s="178"/>
      <c r="O221" s="180"/>
      <c r="P221" s="180"/>
      <c r="Q221" s="180" t="s">
        <v>61</v>
      </c>
      <c r="R221" s="180"/>
      <c r="S221" s="180"/>
      <c r="T221" s="267">
        <v>45665</v>
      </c>
      <c r="U221" s="271">
        <v>45665</v>
      </c>
      <c r="V221" s="272"/>
      <c r="W221" s="273"/>
      <c r="X221" s="184"/>
      <c r="Y221" s="185" t="str">
        <f t="shared" si="7"/>
        <v>項目名:組合せ終了時間</v>
      </c>
      <c r="Z221" s="236" t="s">
        <v>216</v>
      </c>
    </row>
    <row r="222" spans="1:26" s="236" customFormat="1" ht="11.4" x14ac:dyDescent="0.15">
      <c r="A222" s="175">
        <f t="shared" si="3"/>
        <v>220</v>
      </c>
      <c r="B222" s="176"/>
      <c r="C222" s="176"/>
      <c r="D222" s="176"/>
      <c r="E222" s="176"/>
      <c r="F222" s="186"/>
      <c r="G222" s="227" t="s">
        <v>118</v>
      </c>
      <c r="H222" s="177"/>
      <c r="I222" s="178"/>
      <c r="J222" s="178"/>
      <c r="K222" s="179"/>
      <c r="L222" s="177"/>
      <c r="M222" s="178"/>
      <c r="N222" s="178"/>
      <c r="O222" s="180"/>
      <c r="P222" s="180"/>
      <c r="Q222" s="180" t="s">
        <v>61</v>
      </c>
      <c r="R222" s="180"/>
      <c r="S222" s="180"/>
      <c r="T222" s="267">
        <v>45665</v>
      </c>
      <c r="U222" s="271">
        <v>45665</v>
      </c>
      <c r="V222" s="272"/>
      <c r="W222" s="273"/>
      <c r="X222" s="184"/>
      <c r="Y222" s="185" t="str">
        <f t="shared" si="7"/>
        <v>項目名:成立数量１</v>
      </c>
      <c r="Z222" s="236" t="s">
        <v>217</v>
      </c>
    </row>
    <row r="223" spans="1:26" s="236" customFormat="1" ht="11.4" x14ac:dyDescent="0.15">
      <c r="A223" s="175">
        <f t="shared" si="3"/>
        <v>221</v>
      </c>
      <c r="B223" s="176"/>
      <c r="C223" s="176"/>
      <c r="D223" s="176"/>
      <c r="E223" s="176"/>
      <c r="F223" s="186"/>
      <c r="G223" s="227" t="s">
        <v>118</v>
      </c>
      <c r="H223" s="177"/>
      <c r="I223" s="178"/>
      <c r="J223" s="178"/>
      <c r="K223" s="179"/>
      <c r="L223" s="177"/>
      <c r="M223" s="178"/>
      <c r="N223" s="178"/>
      <c r="O223" s="180"/>
      <c r="P223" s="180"/>
      <c r="Q223" s="180" t="s">
        <v>61</v>
      </c>
      <c r="R223" s="180"/>
      <c r="S223" s="180"/>
      <c r="T223" s="267">
        <v>45665</v>
      </c>
      <c r="U223" s="271">
        <v>45665</v>
      </c>
      <c r="V223" s="272"/>
      <c r="W223" s="273"/>
      <c r="X223" s="184"/>
      <c r="Y223" s="185" t="str">
        <f t="shared" si="7"/>
        <v>項目名:成立価格１</v>
      </c>
      <c r="Z223" s="236" t="s">
        <v>218</v>
      </c>
    </row>
    <row r="224" spans="1:26" s="236" customFormat="1" ht="11.4" x14ac:dyDescent="0.15">
      <c r="A224" s="175">
        <f t="shared" si="3"/>
        <v>222</v>
      </c>
      <c r="B224" s="176"/>
      <c r="C224" s="176"/>
      <c r="D224" s="176"/>
      <c r="E224" s="176"/>
      <c r="F224" s="186"/>
      <c r="G224" s="227" t="s">
        <v>118</v>
      </c>
      <c r="H224" s="177"/>
      <c r="I224" s="178"/>
      <c r="J224" s="178"/>
      <c r="K224" s="179"/>
      <c r="L224" s="177"/>
      <c r="M224" s="178"/>
      <c r="N224" s="178"/>
      <c r="O224" s="180"/>
      <c r="P224" s="180"/>
      <c r="Q224" s="180" t="s">
        <v>61</v>
      </c>
      <c r="R224" s="180"/>
      <c r="S224" s="180"/>
      <c r="T224" s="267">
        <v>45665</v>
      </c>
      <c r="U224" s="271">
        <v>45665</v>
      </c>
      <c r="V224" s="272"/>
      <c r="W224" s="273"/>
      <c r="X224" s="184"/>
      <c r="Y224" s="185" t="str">
        <f t="shared" si="7"/>
        <v>項目名:成立数量２</v>
      </c>
      <c r="Z224" s="236" t="s">
        <v>219</v>
      </c>
    </row>
    <row r="225" spans="1:26" s="236" customFormat="1" ht="11.4" x14ac:dyDescent="0.15">
      <c r="A225" s="175">
        <f t="shared" si="3"/>
        <v>223</v>
      </c>
      <c r="B225" s="176"/>
      <c r="C225" s="176"/>
      <c r="D225" s="176"/>
      <c r="E225" s="176"/>
      <c r="F225" s="186"/>
      <c r="G225" s="227" t="s">
        <v>118</v>
      </c>
      <c r="H225" s="177"/>
      <c r="I225" s="178"/>
      <c r="J225" s="178"/>
      <c r="K225" s="179"/>
      <c r="L225" s="177"/>
      <c r="M225" s="178"/>
      <c r="N225" s="178"/>
      <c r="O225" s="180"/>
      <c r="P225" s="180"/>
      <c r="Q225" s="180" t="s">
        <v>61</v>
      </c>
      <c r="R225" s="180"/>
      <c r="S225" s="180"/>
      <c r="T225" s="267">
        <v>45665</v>
      </c>
      <c r="U225" s="271">
        <v>45665</v>
      </c>
      <c r="V225" s="272"/>
      <c r="W225" s="273"/>
      <c r="X225" s="184"/>
      <c r="Y225" s="185" t="str">
        <f t="shared" si="7"/>
        <v>項目名:成立価格２</v>
      </c>
      <c r="Z225" s="236" t="s">
        <v>220</v>
      </c>
    </row>
    <row r="226" spans="1:26" s="236" customFormat="1" ht="11.4" x14ac:dyDescent="0.15">
      <c r="A226" s="175">
        <f t="shared" si="3"/>
        <v>224</v>
      </c>
      <c r="B226" s="176"/>
      <c r="C226" s="176"/>
      <c r="D226" s="176"/>
      <c r="E226" s="176"/>
      <c r="F226" s="186"/>
      <c r="G226" s="227" t="s">
        <v>118</v>
      </c>
      <c r="H226" s="177"/>
      <c r="I226" s="178"/>
      <c r="J226" s="178"/>
      <c r="K226" s="179"/>
      <c r="L226" s="177"/>
      <c r="M226" s="178"/>
      <c r="N226" s="178"/>
      <c r="O226" s="180"/>
      <c r="P226" s="180"/>
      <c r="Q226" s="180" t="s">
        <v>61</v>
      </c>
      <c r="R226" s="180"/>
      <c r="S226" s="180"/>
      <c r="T226" s="267">
        <v>45665</v>
      </c>
      <c r="U226" s="271">
        <v>45665</v>
      </c>
      <c r="V226" s="272"/>
      <c r="W226" s="273"/>
      <c r="X226" s="184"/>
      <c r="Y226" s="185" t="str">
        <f t="shared" si="7"/>
        <v>項目名:成立数量３</v>
      </c>
      <c r="Z226" s="236" t="s">
        <v>221</v>
      </c>
    </row>
    <row r="227" spans="1:26" s="236" customFormat="1" ht="11.4" x14ac:dyDescent="0.15">
      <c r="A227" s="175">
        <f t="shared" si="3"/>
        <v>225</v>
      </c>
      <c r="B227" s="176"/>
      <c r="C227" s="176"/>
      <c r="D227" s="176"/>
      <c r="E227" s="176"/>
      <c r="F227" s="186"/>
      <c r="G227" s="227" t="s">
        <v>118</v>
      </c>
      <c r="H227" s="177"/>
      <c r="I227" s="178"/>
      <c r="J227" s="178"/>
      <c r="K227" s="179"/>
      <c r="L227" s="177"/>
      <c r="M227" s="178"/>
      <c r="N227" s="178"/>
      <c r="O227" s="180"/>
      <c r="P227" s="180"/>
      <c r="Q227" s="180" t="s">
        <v>61</v>
      </c>
      <c r="R227" s="180"/>
      <c r="S227" s="180"/>
      <c r="T227" s="267">
        <v>45665</v>
      </c>
      <c r="U227" s="271">
        <v>45665</v>
      </c>
      <c r="V227" s="272"/>
      <c r="W227" s="273"/>
      <c r="X227" s="184"/>
      <c r="Y227" s="185" t="str">
        <f t="shared" si="7"/>
        <v>項目名:成立価格３</v>
      </c>
      <c r="Z227" s="236" t="s">
        <v>222</v>
      </c>
    </row>
    <row r="228" spans="1:26" s="236" customFormat="1" ht="11.4" x14ac:dyDescent="0.15">
      <c r="A228" s="175">
        <f t="shared" si="3"/>
        <v>226</v>
      </c>
      <c r="B228" s="176"/>
      <c r="C228" s="176"/>
      <c r="D228" s="176"/>
      <c r="E228" s="176"/>
      <c r="F228" s="186"/>
      <c r="G228" s="227" t="s">
        <v>118</v>
      </c>
      <c r="H228" s="177"/>
      <c r="I228" s="178"/>
      <c r="J228" s="178"/>
      <c r="K228" s="179"/>
      <c r="L228" s="177"/>
      <c r="M228" s="178"/>
      <c r="N228" s="178"/>
      <c r="O228" s="180"/>
      <c r="P228" s="180"/>
      <c r="Q228" s="180" t="s">
        <v>61</v>
      </c>
      <c r="R228" s="180"/>
      <c r="S228" s="180"/>
      <c r="T228" s="267">
        <v>45665</v>
      </c>
      <c r="U228" s="271">
        <v>45665</v>
      </c>
      <c r="V228" s="272"/>
      <c r="W228" s="273"/>
      <c r="X228" s="184"/>
      <c r="Y228" s="185" t="str">
        <f t="shared" si="7"/>
        <v>項目名:成立数量４</v>
      </c>
      <c r="Z228" s="236" t="s">
        <v>223</v>
      </c>
    </row>
    <row r="229" spans="1:26" s="236" customFormat="1" ht="11.4" x14ac:dyDescent="0.15">
      <c r="A229" s="175">
        <f t="shared" si="3"/>
        <v>227</v>
      </c>
      <c r="B229" s="176"/>
      <c r="C229" s="176"/>
      <c r="D229" s="176"/>
      <c r="E229" s="176"/>
      <c r="F229" s="186"/>
      <c r="G229" s="227" t="s">
        <v>118</v>
      </c>
      <c r="H229" s="177"/>
      <c r="I229" s="178"/>
      <c r="J229" s="178"/>
      <c r="K229" s="179"/>
      <c r="L229" s="177"/>
      <c r="M229" s="178"/>
      <c r="N229" s="178"/>
      <c r="O229" s="180"/>
      <c r="P229" s="180"/>
      <c r="Q229" s="180" t="s">
        <v>61</v>
      </c>
      <c r="R229" s="180"/>
      <c r="S229" s="180"/>
      <c r="T229" s="267">
        <v>45665</v>
      </c>
      <c r="U229" s="271">
        <v>45665</v>
      </c>
      <c r="V229" s="272"/>
      <c r="W229" s="273"/>
      <c r="X229" s="184"/>
      <c r="Y229" s="185" t="str">
        <f t="shared" si="7"/>
        <v>項目名:成立価格４</v>
      </c>
      <c r="Z229" s="236" t="s">
        <v>224</v>
      </c>
    </row>
    <row r="230" spans="1:26" s="236" customFormat="1" ht="11.4" x14ac:dyDescent="0.15">
      <c r="A230" s="175">
        <f t="shared" si="3"/>
        <v>228</v>
      </c>
      <c r="B230" s="176"/>
      <c r="C230" s="176"/>
      <c r="D230" s="176"/>
      <c r="E230" s="176"/>
      <c r="F230" s="186"/>
      <c r="G230" s="227" t="s">
        <v>118</v>
      </c>
      <c r="H230" s="177"/>
      <c r="I230" s="178"/>
      <c r="J230" s="178"/>
      <c r="K230" s="179"/>
      <c r="L230" s="177"/>
      <c r="M230" s="178"/>
      <c r="N230" s="178"/>
      <c r="O230" s="180"/>
      <c r="P230" s="180"/>
      <c r="Q230" s="180" t="s">
        <v>61</v>
      </c>
      <c r="R230" s="180"/>
      <c r="S230" s="180"/>
      <c r="T230" s="267">
        <v>45665</v>
      </c>
      <c r="U230" s="271">
        <v>45665</v>
      </c>
      <c r="V230" s="272"/>
      <c r="W230" s="273"/>
      <c r="X230" s="184"/>
      <c r="Y230" s="185" t="str">
        <f t="shared" si="7"/>
        <v>項目名:成立数量５</v>
      </c>
      <c r="Z230" s="236" t="s">
        <v>225</v>
      </c>
    </row>
    <row r="231" spans="1:26" s="236" customFormat="1" ht="11.4" x14ac:dyDescent="0.15">
      <c r="A231" s="175">
        <f t="shared" si="3"/>
        <v>229</v>
      </c>
      <c r="B231" s="176"/>
      <c r="C231" s="176"/>
      <c r="D231" s="176"/>
      <c r="E231" s="176"/>
      <c r="F231" s="186"/>
      <c r="G231" s="227" t="s">
        <v>118</v>
      </c>
      <c r="H231" s="177"/>
      <c r="I231" s="178"/>
      <c r="J231" s="178"/>
      <c r="K231" s="179"/>
      <c r="L231" s="177"/>
      <c r="M231" s="178"/>
      <c r="N231" s="178"/>
      <c r="O231" s="180"/>
      <c r="P231" s="180"/>
      <c r="Q231" s="180" t="s">
        <v>61</v>
      </c>
      <c r="R231" s="180"/>
      <c r="S231" s="180"/>
      <c r="T231" s="267">
        <v>45665</v>
      </c>
      <c r="U231" s="271">
        <v>45665</v>
      </c>
      <c r="V231" s="272"/>
      <c r="W231" s="273"/>
      <c r="X231" s="184"/>
      <c r="Y231" s="185" t="str">
        <f t="shared" si="7"/>
        <v>項目名:成立価格５</v>
      </c>
      <c r="Z231" s="236" t="s">
        <v>226</v>
      </c>
    </row>
    <row r="232" spans="1:26" s="236" customFormat="1" ht="11.4" x14ac:dyDescent="0.15">
      <c r="A232" s="175">
        <f t="shared" si="3"/>
        <v>230</v>
      </c>
      <c r="B232" s="176"/>
      <c r="C232" s="176"/>
      <c r="D232" s="176"/>
      <c r="E232" s="176"/>
      <c r="F232" s="186"/>
      <c r="G232" s="227" t="s">
        <v>118</v>
      </c>
      <c r="H232" s="177"/>
      <c r="I232" s="178"/>
      <c r="J232" s="178"/>
      <c r="K232" s="179"/>
      <c r="L232" s="177"/>
      <c r="M232" s="178"/>
      <c r="N232" s="178"/>
      <c r="O232" s="180"/>
      <c r="P232" s="180"/>
      <c r="Q232" s="180" t="s">
        <v>61</v>
      </c>
      <c r="R232" s="180"/>
      <c r="S232" s="180"/>
      <c r="T232" s="267">
        <v>45665</v>
      </c>
      <c r="U232" s="271">
        <v>45665</v>
      </c>
      <c r="V232" s="272"/>
      <c r="W232" s="273"/>
      <c r="X232" s="184"/>
      <c r="Y232" s="185" t="str">
        <f t="shared" si="7"/>
        <v>項目名:成立数量６</v>
      </c>
      <c r="Z232" s="236" t="s">
        <v>227</v>
      </c>
    </row>
    <row r="233" spans="1:26" s="236" customFormat="1" ht="11.4" x14ac:dyDescent="0.15">
      <c r="A233" s="175">
        <f t="shared" si="3"/>
        <v>231</v>
      </c>
      <c r="B233" s="176"/>
      <c r="C233" s="176"/>
      <c r="D233" s="176"/>
      <c r="E233" s="176"/>
      <c r="F233" s="186"/>
      <c r="G233" s="227" t="s">
        <v>118</v>
      </c>
      <c r="H233" s="177"/>
      <c r="I233" s="178"/>
      <c r="J233" s="178"/>
      <c r="K233" s="179"/>
      <c r="L233" s="177"/>
      <c r="M233" s="178"/>
      <c r="N233" s="178"/>
      <c r="O233" s="180"/>
      <c r="P233" s="180"/>
      <c r="Q233" s="180" t="s">
        <v>61</v>
      </c>
      <c r="R233" s="180"/>
      <c r="S233" s="180"/>
      <c r="T233" s="267">
        <v>45665</v>
      </c>
      <c r="U233" s="271">
        <v>45665</v>
      </c>
      <c r="V233" s="272"/>
      <c r="W233" s="273"/>
      <c r="X233" s="184"/>
      <c r="Y233" s="185" t="str">
        <f t="shared" si="7"/>
        <v>項目名:成立価格６</v>
      </c>
      <c r="Z233" s="236" t="s">
        <v>228</v>
      </c>
    </row>
    <row r="234" spans="1:26" s="236" customFormat="1" ht="11.4" x14ac:dyDescent="0.15">
      <c r="A234" s="175">
        <f t="shared" si="3"/>
        <v>232</v>
      </c>
      <c r="B234" s="176"/>
      <c r="C234" s="176"/>
      <c r="D234" s="176"/>
      <c r="E234" s="176"/>
      <c r="F234" s="186"/>
      <c r="G234" s="227" t="s">
        <v>118</v>
      </c>
      <c r="H234" s="177"/>
      <c r="I234" s="178"/>
      <c r="J234" s="178"/>
      <c r="K234" s="179"/>
      <c r="L234" s="177"/>
      <c r="M234" s="178"/>
      <c r="N234" s="178"/>
      <c r="O234" s="180"/>
      <c r="P234" s="180"/>
      <c r="Q234" s="180" t="s">
        <v>61</v>
      </c>
      <c r="R234" s="180"/>
      <c r="S234" s="180"/>
      <c r="T234" s="267">
        <v>45665</v>
      </c>
      <c r="U234" s="271">
        <v>45665</v>
      </c>
      <c r="V234" s="272"/>
      <c r="W234" s="273"/>
      <c r="X234" s="184"/>
      <c r="Y234" s="185" t="str">
        <f t="shared" si="7"/>
        <v>項目名:成立数量７</v>
      </c>
      <c r="Z234" s="236" t="s">
        <v>229</v>
      </c>
    </row>
    <row r="235" spans="1:26" s="236" customFormat="1" ht="11.4" x14ac:dyDescent="0.15">
      <c r="A235" s="175">
        <f t="shared" si="3"/>
        <v>233</v>
      </c>
      <c r="B235" s="176"/>
      <c r="C235" s="176"/>
      <c r="D235" s="176"/>
      <c r="E235" s="176"/>
      <c r="F235" s="186"/>
      <c r="G235" s="227" t="s">
        <v>118</v>
      </c>
      <c r="H235" s="177"/>
      <c r="I235" s="178"/>
      <c r="J235" s="178"/>
      <c r="K235" s="179"/>
      <c r="L235" s="177"/>
      <c r="M235" s="178"/>
      <c r="N235" s="178"/>
      <c r="O235" s="180"/>
      <c r="P235" s="180"/>
      <c r="Q235" s="180" t="s">
        <v>61</v>
      </c>
      <c r="R235" s="180"/>
      <c r="S235" s="180"/>
      <c r="T235" s="267">
        <v>45665</v>
      </c>
      <c r="U235" s="271">
        <v>45665</v>
      </c>
      <c r="V235" s="272"/>
      <c r="W235" s="273"/>
      <c r="X235" s="184"/>
      <c r="Y235" s="185" t="str">
        <f t="shared" si="7"/>
        <v>項目名:成立価格７</v>
      </c>
      <c r="Z235" s="236" t="s">
        <v>230</v>
      </c>
    </row>
    <row r="236" spans="1:26" s="236" customFormat="1" ht="11.4" x14ac:dyDescent="0.15">
      <c r="A236" s="175">
        <f t="shared" si="3"/>
        <v>234</v>
      </c>
      <c r="B236" s="176"/>
      <c r="C236" s="176"/>
      <c r="D236" s="176"/>
      <c r="E236" s="176"/>
      <c r="F236" s="186"/>
      <c r="G236" s="227" t="s">
        <v>118</v>
      </c>
      <c r="H236" s="177"/>
      <c r="I236" s="178"/>
      <c r="J236" s="178"/>
      <c r="K236" s="179"/>
      <c r="L236" s="177"/>
      <c r="M236" s="178"/>
      <c r="N236" s="178"/>
      <c r="O236" s="180"/>
      <c r="P236" s="180"/>
      <c r="Q236" s="180" t="s">
        <v>61</v>
      </c>
      <c r="R236" s="180"/>
      <c r="S236" s="180"/>
      <c r="T236" s="267">
        <v>45665</v>
      </c>
      <c r="U236" s="271">
        <v>45665</v>
      </c>
      <c r="V236" s="272"/>
      <c r="W236" s="273"/>
      <c r="X236" s="184"/>
      <c r="Y236" s="185" t="str">
        <f t="shared" si="7"/>
        <v>項目名:成立数量８</v>
      </c>
      <c r="Z236" s="236" t="s">
        <v>231</v>
      </c>
    </row>
    <row r="237" spans="1:26" s="236" customFormat="1" ht="11.4" x14ac:dyDescent="0.15">
      <c r="A237" s="175">
        <f t="shared" si="3"/>
        <v>235</v>
      </c>
      <c r="B237" s="176"/>
      <c r="C237" s="176"/>
      <c r="D237" s="176"/>
      <c r="E237" s="176"/>
      <c r="F237" s="186"/>
      <c r="G237" s="227" t="s">
        <v>118</v>
      </c>
      <c r="H237" s="177"/>
      <c r="I237" s="178"/>
      <c r="J237" s="178"/>
      <c r="K237" s="179"/>
      <c r="L237" s="177"/>
      <c r="M237" s="178"/>
      <c r="N237" s="178"/>
      <c r="O237" s="180"/>
      <c r="P237" s="180"/>
      <c r="Q237" s="180" t="s">
        <v>61</v>
      </c>
      <c r="R237" s="180"/>
      <c r="S237" s="180"/>
      <c r="T237" s="267">
        <v>45665</v>
      </c>
      <c r="U237" s="271">
        <v>45665</v>
      </c>
      <c r="V237" s="272"/>
      <c r="W237" s="273"/>
      <c r="X237" s="184"/>
      <c r="Y237" s="185" t="str">
        <f t="shared" si="7"/>
        <v>項目名:成立価格８</v>
      </c>
      <c r="Z237" s="236" t="s">
        <v>232</v>
      </c>
    </row>
    <row r="238" spans="1:26" s="236" customFormat="1" ht="11.4" x14ac:dyDescent="0.15">
      <c r="A238" s="175">
        <f t="shared" si="3"/>
        <v>236</v>
      </c>
      <c r="B238" s="176"/>
      <c r="C238" s="176"/>
      <c r="D238" s="176"/>
      <c r="E238" s="176"/>
      <c r="F238" s="186"/>
      <c r="G238" s="227" t="s">
        <v>118</v>
      </c>
      <c r="H238" s="177"/>
      <c r="I238" s="178"/>
      <c r="J238" s="178"/>
      <c r="K238" s="179"/>
      <c r="L238" s="177"/>
      <c r="M238" s="178"/>
      <c r="N238" s="178"/>
      <c r="O238" s="180"/>
      <c r="P238" s="180"/>
      <c r="Q238" s="180" t="s">
        <v>61</v>
      </c>
      <c r="R238" s="180"/>
      <c r="S238" s="180"/>
      <c r="T238" s="267">
        <v>45665</v>
      </c>
      <c r="U238" s="271">
        <v>45665</v>
      </c>
      <c r="V238" s="272"/>
      <c r="W238" s="273"/>
      <c r="X238" s="184"/>
      <c r="Y238" s="185" t="str">
        <f t="shared" si="7"/>
        <v>項目名:成立数量９</v>
      </c>
      <c r="Z238" s="236" t="s">
        <v>233</v>
      </c>
    </row>
    <row r="239" spans="1:26" s="236" customFormat="1" ht="11.4" x14ac:dyDescent="0.15">
      <c r="A239" s="175">
        <f t="shared" si="3"/>
        <v>237</v>
      </c>
      <c r="B239" s="176"/>
      <c r="C239" s="176"/>
      <c r="D239" s="176"/>
      <c r="E239" s="176"/>
      <c r="F239" s="186"/>
      <c r="G239" s="227" t="s">
        <v>118</v>
      </c>
      <c r="H239" s="177"/>
      <c r="I239" s="178"/>
      <c r="J239" s="178"/>
      <c r="K239" s="179"/>
      <c r="L239" s="177"/>
      <c r="M239" s="178"/>
      <c r="N239" s="178"/>
      <c r="O239" s="180"/>
      <c r="P239" s="180"/>
      <c r="Q239" s="180" t="s">
        <v>61</v>
      </c>
      <c r="R239" s="180"/>
      <c r="S239" s="180"/>
      <c r="T239" s="267">
        <v>45665</v>
      </c>
      <c r="U239" s="271">
        <v>45665</v>
      </c>
      <c r="V239" s="272"/>
      <c r="W239" s="273"/>
      <c r="X239" s="184"/>
      <c r="Y239" s="185" t="str">
        <f t="shared" si="7"/>
        <v>項目名:成立価格９</v>
      </c>
      <c r="Z239" s="236" t="s">
        <v>234</v>
      </c>
    </row>
    <row r="240" spans="1:26" s="236" customFormat="1" ht="11.4" x14ac:dyDescent="0.15">
      <c r="A240" s="175">
        <f t="shared" si="3"/>
        <v>238</v>
      </c>
      <c r="B240" s="176"/>
      <c r="C240" s="176"/>
      <c r="D240" s="176"/>
      <c r="E240" s="176"/>
      <c r="F240" s="186"/>
      <c r="G240" s="227" t="s">
        <v>118</v>
      </c>
      <c r="H240" s="177"/>
      <c r="I240" s="178"/>
      <c r="J240" s="178"/>
      <c r="K240" s="179"/>
      <c r="L240" s="177"/>
      <c r="M240" s="178"/>
      <c r="N240" s="178"/>
      <c r="O240" s="180"/>
      <c r="P240" s="180"/>
      <c r="Q240" s="180" t="s">
        <v>61</v>
      </c>
      <c r="R240" s="180"/>
      <c r="S240" s="180"/>
      <c r="T240" s="267">
        <v>45665</v>
      </c>
      <c r="U240" s="271">
        <v>45665</v>
      </c>
      <c r="V240" s="272"/>
      <c r="W240" s="273"/>
      <c r="X240" s="184"/>
      <c r="Y240" s="185" t="str">
        <f t="shared" si="7"/>
        <v>項目名:成立数量１０</v>
      </c>
      <c r="Z240" s="236" t="s">
        <v>235</v>
      </c>
    </row>
    <row r="241" spans="1:26" s="236" customFormat="1" ht="11.4" x14ac:dyDescent="0.15">
      <c r="A241" s="175">
        <f t="shared" si="3"/>
        <v>239</v>
      </c>
      <c r="B241" s="176"/>
      <c r="C241" s="176"/>
      <c r="D241" s="176"/>
      <c r="E241" s="176"/>
      <c r="F241" s="186"/>
      <c r="G241" s="227" t="s">
        <v>118</v>
      </c>
      <c r="H241" s="177"/>
      <c r="I241" s="178"/>
      <c r="J241" s="178"/>
      <c r="K241" s="179"/>
      <c r="L241" s="177"/>
      <c r="M241" s="178"/>
      <c r="N241" s="178"/>
      <c r="O241" s="180"/>
      <c r="P241" s="180"/>
      <c r="Q241" s="180" t="s">
        <v>61</v>
      </c>
      <c r="R241" s="180"/>
      <c r="S241" s="180"/>
      <c r="T241" s="267">
        <v>45665</v>
      </c>
      <c r="U241" s="271">
        <v>45665</v>
      </c>
      <c r="V241" s="272"/>
      <c r="W241" s="273"/>
      <c r="X241" s="184"/>
      <c r="Y241" s="185" t="str">
        <f t="shared" si="7"/>
        <v>項目名:成立価格１０</v>
      </c>
      <c r="Z241" s="236" t="s">
        <v>236</v>
      </c>
    </row>
    <row r="242" spans="1:26" s="236" customFormat="1" ht="11.4" x14ac:dyDescent="0.15">
      <c r="A242" s="175">
        <f t="shared" si="3"/>
        <v>240</v>
      </c>
      <c r="B242" s="176"/>
      <c r="C242" s="176"/>
      <c r="D242" s="176"/>
      <c r="E242" s="176"/>
      <c r="F242" s="186"/>
      <c r="G242" s="227" t="s">
        <v>118</v>
      </c>
      <c r="H242" s="177"/>
      <c r="I242" s="178"/>
      <c r="J242" s="178"/>
      <c r="K242" s="179"/>
      <c r="L242" s="177"/>
      <c r="M242" s="178"/>
      <c r="N242" s="178"/>
      <c r="O242" s="180"/>
      <c r="P242" s="180"/>
      <c r="Q242" s="180" t="s">
        <v>61</v>
      </c>
      <c r="R242" s="180"/>
      <c r="S242" s="180"/>
      <c r="T242" s="267">
        <v>45665</v>
      </c>
      <c r="U242" s="271">
        <v>45665</v>
      </c>
      <c r="V242" s="272"/>
      <c r="W242" s="273"/>
      <c r="X242" s="184"/>
      <c r="Y242" s="185" t="str">
        <f t="shared" si="7"/>
        <v>項目名:数量</v>
      </c>
      <c r="Z242" s="236" t="s">
        <v>237</v>
      </c>
    </row>
    <row r="243" spans="1:26" s="236" customFormat="1" ht="11.4" x14ac:dyDescent="0.15">
      <c r="A243" s="175">
        <f t="shared" si="3"/>
        <v>241</v>
      </c>
      <c r="B243" s="176"/>
      <c r="C243" s="176"/>
      <c r="D243" s="176"/>
      <c r="E243" s="176"/>
      <c r="F243" s="186"/>
      <c r="G243" s="227" t="s">
        <v>118</v>
      </c>
      <c r="H243" s="177"/>
      <c r="I243" s="178"/>
      <c r="J243" s="178"/>
      <c r="K243" s="179"/>
      <c r="L243" s="177"/>
      <c r="M243" s="178"/>
      <c r="N243" s="178"/>
      <c r="O243" s="180"/>
      <c r="P243" s="180"/>
      <c r="Q243" s="180" t="s">
        <v>61</v>
      </c>
      <c r="R243" s="180"/>
      <c r="S243" s="180"/>
      <c r="T243" s="267">
        <v>45665</v>
      </c>
      <c r="U243" s="271">
        <v>45665</v>
      </c>
      <c r="V243" s="272"/>
      <c r="W243" s="273"/>
      <c r="X243" s="184"/>
      <c r="Y243" s="185" t="str">
        <f t="shared" si="7"/>
        <v>項目名:内部ディスカウントクラスID</v>
      </c>
      <c r="Z243" s="236" t="s">
        <v>203</v>
      </c>
    </row>
    <row r="244" spans="1:26" s="236" customFormat="1" ht="11.4" x14ac:dyDescent="0.15">
      <c r="A244" s="175">
        <f t="shared" si="3"/>
        <v>242</v>
      </c>
      <c r="B244" s="176"/>
      <c r="C244" s="176"/>
      <c r="D244" s="176"/>
      <c r="E244" s="176"/>
      <c r="F244" s="186"/>
      <c r="G244" s="227" t="s">
        <v>118</v>
      </c>
      <c r="H244" s="177"/>
      <c r="I244" s="178"/>
      <c r="J244" s="178"/>
      <c r="K244" s="179"/>
      <c r="L244" s="177"/>
      <c r="M244" s="178"/>
      <c r="N244" s="178"/>
      <c r="O244" s="180"/>
      <c r="P244" s="180"/>
      <c r="Q244" s="180" t="s">
        <v>61</v>
      </c>
      <c r="R244" s="180"/>
      <c r="S244" s="180"/>
      <c r="T244" s="267">
        <v>45665</v>
      </c>
      <c r="U244" s="271">
        <v>45665</v>
      </c>
      <c r="V244" s="272"/>
      <c r="W244" s="273"/>
      <c r="X244" s="184"/>
      <c r="Y244" s="185" t="str">
        <f t="shared" si="7"/>
        <v>項目名:内部ディスカウントID</v>
      </c>
      <c r="Z244" s="236" t="s">
        <v>204</v>
      </c>
    </row>
    <row r="245" spans="1:26" s="236" customFormat="1" ht="11.4" x14ac:dyDescent="0.15">
      <c r="A245" s="175">
        <f t="shared" si="3"/>
        <v>243</v>
      </c>
      <c r="B245" s="176"/>
      <c r="C245" s="176"/>
      <c r="D245" s="176"/>
      <c r="E245" s="176"/>
      <c r="F245" s="186"/>
      <c r="G245" s="227" t="s">
        <v>118</v>
      </c>
      <c r="H245" s="177"/>
      <c r="I245" s="178"/>
      <c r="J245" s="178"/>
      <c r="K245" s="179"/>
      <c r="L245" s="177"/>
      <c r="M245" s="178"/>
      <c r="N245" s="178"/>
      <c r="O245" s="180"/>
      <c r="P245" s="180"/>
      <c r="Q245" s="180" t="s">
        <v>61</v>
      </c>
      <c r="R245" s="180"/>
      <c r="S245" s="180"/>
      <c r="T245" s="267">
        <v>45665</v>
      </c>
      <c r="U245" s="271">
        <v>45665</v>
      </c>
      <c r="V245" s="272"/>
      <c r="W245" s="273"/>
      <c r="X245" s="184"/>
      <c r="Y245" s="185" t="str">
        <f t="shared" si="7"/>
        <v>項目名:内部イベントコード</v>
      </c>
      <c r="Z245" s="236" t="s">
        <v>187</v>
      </c>
    </row>
    <row r="246" spans="1:26" s="236" customFormat="1" ht="11.4" x14ac:dyDescent="0.15">
      <c r="A246" s="175">
        <f t="shared" si="3"/>
        <v>244</v>
      </c>
      <c r="B246" s="176"/>
      <c r="C246" s="176"/>
      <c r="D246" s="176"/>
      <c r="E246" s="176"/>
      <c r="F246" s="186"/>
      <c r="G246" s="227" t="s">
        <v>118</v>
      </c>
      <c r="H246" s="177"/>
      <c r="I246" s="178"/>
      <c r="J246" s="178"/>
      <c r="K246" s="179"/>
      <c r="L246" s="177"/>
      <c r="M246" s="178"/>
      <c r="N246" s="178"/>
      <c r="O246" s="180"/>
      <c r="P246" s="180"/>
      <c r="Q246" s="180" t="s">
        <v>61</v>
      </c>
      <c r="R246" s="180"/>
      <c r="S246" s="180"/>
      <c r="T246" s="267">
        <v>45665</v>
      </c>
      <c r="U246" s="274"/>
      <c r="V246" s="272">
        <v>45664</v>
      </c>
      <c r="W246" s="273"/>
      <c r="X246" s="184"/>
      <c r="Y246" s="185" t="str">
        <f t="shared" si="7"/>
        <v>項目名:緊急登録日時</v>
      </c>
      <c r="Z246" s="236" t="s">
        <v>205</v>
      </c>
    </row>
    <row r="247" spans="1:26" s="236" customFormat="1" ht="11.4" x14ac:dyDescent="0.15">
      <c r="A247" s="175">
        <f t="shared" si="3"/>
        <v>245</v>
      </c>
      <c r="B247" s="176"/>
      <c r="C247" s="176"/>
      <c r="D247" s="176"/>
      <c r="E247" s="176"/>
      <c r="F247" s="186"/>
      <c r="G247" s="227" t="s">
        <v>118</v>
      </c>
      <c r="H247" s="177"/>
      <c r="I247" s="178"/>
      <c r="J247" s="178"/>
      <c r="K247" s="179"/>
      <c r="L247" s="177"/>
      <c r="M247" s="178"/>
      <c r="N247" s="178"/>
      <c r="O247" s="180"/>
      <c r="P247" s="180"/>
      <c r="Q247" s="180" t="s">
        <v>61</v>
      </c>
      <c r="R247" s="180"/>
      <c r="S247" s="180"/>
      <c r="T247" s="267">
        <v>45665</v>
      </c>
      <c r="U247" s="271">
        <v>45665</v>
      </c>
      <c r="V247" s="272"/>
      <c r="W247" s="273"/>
      <c r="X247" s="184"/>
      <c r="Y247" s="185" t="str">
        <f t="shared" si="7"/>
        <v>項目名:作成日</v>
      </c>
      <c r="Z247" s="236" t="s">
        <v>168</v>
      </c>
    </row>
    <row r="248" spans="1:26" s="236" customFormat="1" ht="11.4" x14ac:dyDescent="0.15">
      <c r="A248" s="175">
        <f t="shared" si="3"/>
        <v>246</v>
      </c>
      <c r="B248" s="176"/>
      <c r="C248" s="176"/>
      <c r="D248" s="176"/>
      <c r="E248" s="176"/>
      <c r="F248" s="186"/>
      <c r="G248" s="227" t="s">
        <v>136</v>
      </c>
      <c r="H248" s="177"/>
      <c r="I248" s="178"/>
      <c r="J248" s="178"/>
      <c r="K248" s="179"/>
      <c r="L248" s="177"/>
      <c r="M248" s="178"/>
      <c r="N248" s="178"/>
      <c r="O248" s="180"/>
      <c r="P248" s="180"/>
      <c r="Q248" s="180" t="s">
        <v>61</v>
      </c>
      <c r="R248" s="180"/>
      <c r="S248" s="180"/>
      <c r="T248" s="267">
        <v>45665</v>
      </c>
      <c r="U248" s="271">
        <v>45665</v>
      </c>
      <c r="V248" s="272"/>
      <c r="W248" s="273"/>
      <c r="X248" s="184"/>
      <c r="Y248" s="185" t="str">
        <f t="shared" si="7"/>
        <v>項目名:未使用項目や空白固定項目</v>
      </c>
      <c r="Z248" s="236" t="s">
        <v>137</v>
      </c>
    </row>
    <row r="249" spans="1:26" ht="11.4" x14ac:dyDescent="0.15">
      <c r="A249" s="175">
        <f t="shared" si="3"/>
        <v>247</v>
      </c>
      <c r="B249" s="176"/>
      <c r="C249" s="176"/>
      <c r="D249" s="176"/>
      <c r="E249" s="186" t="s">
        <v>238</v>
      </c>
      <c r="F249" s="186" t="s">
        <v>531</v>
      </c>
      <c r="G249" s="227" t="s">
        <v>110</v>
      </c>
      <c r="H249" s="177"/>
      <c r="I249" s="178"/>
      <c r="J249" s="178"/>
      <c r="K249" s="179"/>
      <c r="L249" s="177"/>
      <c r="M249" s="178"/>
      <c r="N249" s="178"/>
      <c r="O249" s="180"/>
      <c r="P249" s="180" t="s">
        <v>61</v>
      </c>
      <c r="Q249" s="180"/>
      <c r="R249" s="180"/>
      <c r="S249" s="180"/>
      <c r="T249" s="267">
        <v>45665</v>
      </c>
      <c r="U249" s="271">
        <v>45665</v>
      </c>
      <c r="V249" s="272"/>
      <c r="W249" s="273"/>
      <c r="X249" s="184"/>
      <c r="Y249" s="185" t="s">
        <v>532</v>
      </c>
    </row>
    <row r="250" spans="1:26" ht="11.4" x14ac:dyDescent="0.15">
      <c r="A250" s="175">
        <f t="shared" si="3"/>
        <v>248</v>
      </c>
      <c r="B250" s="176"/>
      <c r="C250" s="176"/>
      <c r="D250" s="176"/>
      <c r="E250" s="176"/>
      <c r="F250" s="186"/>
      <c r="G250" s="227" t="s">
        <v>112</v>
      </c>
      <c r="H250" s="177"/>
      <c r="I250" s="178"/>
      <c r="J250" s="178"/>
      <c r="K250" s="179"/>
      <c r="L250" s="177"/>
      <c r="M250" s="178"/>
      <c r="N250" s="178"/>
      <c r="O250" s="180" t="s">
        <v>61</v>
      </c>
      <c r="P250" s="180"/>
      <c r="Q250" s="180"/>
      <c r="R250" s="180"/>
      <c r="S250" s="180"/>
      <c r="T250" s="267">
        <v>45665</v>
      </c>
      <c r="U250" s="271">
        <v>45665</v>
      </c>
      <c r="V250" s="272"/>
      <c r="W250" s="273"/>
      <c r="X250" s="184"/>
      <c r="Y250" s="185" t="s">
        <v>113</v>
      </c>
    </row>
    <row r="251" spans="1:26" ht="11.4" x14ac:dyDescent="0.15">
      <c r="A251" s="175">
        <f t="shared" si="3"/>
        <v>249</v>
      </c>
      <c r="B251" s="176"/>
      <c r="C251" s="176"/>
      <c r="D251" s="176"/>
      <c r="E251" s="176"/>
      <c r="F251" s="186"/>
      <c r="G251" s="227" t="s">
        <v>112</v>
      </c>
      <c r="H251" s="177"/>
      <c r="I251" s="178"/>
      <c r="J251" s="178"/>
      <c r="K251" s="179"/>
      <c r="L251" s="177"/>
      <c r="M251" s="178"/>
      <c r="N251" s="178"/>
      <c r="O251" s="180" t="s">
        <v>61</v>
      </c>
      <c r="P251" s="180"/>
      <c r="Q251" s="180"/>
      <c r="R251" s="180"/>
      <c r="S251" s="180"/>
      <c r="T251" s="267">
        <v>45665</v>
      </c>
      <c r="U251" s="271">
        <v>45665</v>
      </c>
      <c r="V251" s="272"/>
      <c r="W251" s="273"/>
      <c r="X251" s="184"/>
      <c r="Y251" s="185" t="s">
        <v>114</v>
      </c>
    </row>
    <row r="252" spans="1:26" ht="11.4" x14ac:dyDescent="0.15">
      <c r="A252" s="175">
        <f t="shared" si="3"/>
        <v>250</v>
      </c>
      <c r="B252" s="176"/>
      <c r="C252" s="176"/>
      <c r="D252" s="176"/>
      <c r="E252" s="176"/>
      <c r="F252" s="186"/>
      <c r="G252" s="227" t="s">
        <v>112</v>
      </c>
      <c r="H252" s="177"/>
      <c r="I252" s="178"/>
      <c r="J252" s="178"/>
      <c r="K252" s="179"/>
      <c r="L252" s="177"/>
      <c r="M252" s="178"/>
      <c r="N252" s="178"/>
      <c r="O252" s="180" t="s">
        <v>61</v>
      </c>
      <c r="P252" s="180"/>
      <c r="Q252" s="180"/>
      <c r="R252" s="180"/>
      <c r="S252" s="180"/>
      <c r="T252" s="267">
        <v>45665</v>
      </c>
      <c r="U252" s="271">
        <v>45665</v>
      </c>
      <c r="V252" s="272"/>
      <c r="W252" s="273"/>
      <c r="X252" s="184"/>
      <c r="Y252" s="185" t="s">
        <v>115</v>
      </c>
    </row>
    <row r="253" spans="1:26" ht="11.4" x14ac:dyDescent="0.15">
      <c r="A253" s="175">
        <f t="shared" si="3"/>
        <v>251</v>
      </c>
      <c r="B253" s="176"/>
      <c r="C253" s="176"/>
      <c r="D253" s="176"/>
      <c r="E253" s="176"/>
      <c r="F253" s="186"/>
      <c r="G253" s="227" t="s">
        <v>112</v>
      </c>
      <c r="H253" s="177"/>
      <c r="I253" s="178"/>
      <c r="J253" s="178"/>
      <c r="K253" s="179"/>
      <c r="L253" s="177"/>
      <c r="M253" s="178"/>
      <c r="N253" s="178"/>
      <c r="O253" s="180" t="s">
        <v>61</v>
      </c>
      <c r="P253" s="180"/>
      <c r="Q253" s="180"/>
      <c r="R253" s="180"/>
      <c r="S253" s="180"/>
      <c r="T253" s="267">
        <v>45665</v>
      </c>
      <c r="U253" s="271">
        <v>45665</v>
      </c>
      <c r="V253" s="272"/>
      <c r="W253" s="273"/>
      <c r="X253" s="184"/>
      <c r="Y253" s="185" t="s">
        <v>116</v>
      </c>
    </row>
    <row r="254" spans="1:26" ht="11.4" x14ac:dyDescent="0.15">
      <c r="A254" s="175">
        <f t="shared" si="3"/>
        <v>252</v>
      </c>
      <c r="B254" s="176"/>
      <c r="C254" s="176"/>
      <c r="D254" s="176"/>
      <c r="E254" s="176"/>
      <c r="F254" s="186"/>
      <c r="G254" s="227" t="s">
        <v>112</v>
      </c>
      <c r="H254" s="177"/>
      <c r="I254" s="178"/>
      <c r="J254" s="178"/>
      <c r="K254" s="179"/>
      <c r="L254" s="177"/>
      <c r="M254" s="178"/>
      <c r="N254" s="178"/>
      <c r="O254" s="180" t="s">
        <v>61</v>
      </c>
      <c r="P254" s="180"/>
      <c r="Q254" s="180"/>
      <c r="R254" s="180"/>
      <c r="S254" s="180"/>
      <c r="T254" s="267">
        <v>45665</v>
      </c>
      <c r="U254" s="271">
        <v>45665</v>
      </c>
      <c r="V254" s="272"/>
      <c r="W254" s="273"/>
      <c r="X254" s="184"/>
      <c r="Y254" s="185" t="s">
        <v>117</v>
      </c>
    </row>
    <row r="255" spans="1:26" ht="11.4" x14ac:dyDescent="0.15">
      <c r="A255" s="175">
        <f t="shared" si="3"/>
        <v>253</v>
      </c>
      <c r="B255" s="176"/>
      <c r="C255" s="176"/>
      <c r="D255" s="186"/>
      <c r="E255" s="186"/>
      <c r="F255" s="186" t="s">
        <v>533</v>
      </c>
      <c r="G255" s="227" t="s">
        <v>534</v>
      </c>
      <c r="H255" s="177"/>
      <c r="I255" s="178"/>
      <c r="J255" s="178"/>
      <c r="K255" s="179"/>
      <c r="L255" s="177"/>
      <c r="M255" s="178"/>
      <c r="N255" s="178"/>
      <c r="O255" s="180"/>
      <c r="P255" s="180"/>
      <c r="Q255" s="180" t="s">
        <v>61</v>
      </c>
      <c r="R255" s="180"/>
      <c r="S255" s="180"/>
      <c r="T255" s="267">
        <v>45665</v>
      </c>
      <c r="U255" s="271">
        <v>45665</v>
      </c>
      <c r="V255" s="272"/>
      <c r="W255" s="273"/>
      <c r="X255" s="184"/>
      <c r="Y255" s="185" t="str">
        <f>"項目名:"&amp;Z255</f>
        <v>項目名:処理区分、値:A(登録)</v>
      </c>
      <c r="Z255" s="236" t="s">
        <v>508</v>
      </c>
    </row>
    <row r="256" spans="1:26" ht="11.4" x14ac:dyDescent="0.15">
      <c r="A256" s="175">
        <f t="shared" si="3"/>
        <v>254</v>
      </c>
      <c r="B256" s="176"/>
      <c r="C256" s="176"/>
      <c r="D256" s="186"/>
      <c r="E256" s="186"/>
      <c r="F256" s="186" t="s">
        <v>535</v>
      </c>
      <c r="G256" s="227" t="s">
        <v>536</v>
      </c>
      <c r="H256" s="177"/>
      <c r="I256" s="178"/>
      <c r="J256" s="178"/>
      <c r="K256" s="179"/>
      <c r="L256" s="177"/>
      <c r="M256" s="178"/>
      <c r="N256" s="178"/>
      <c r="O256" s="180"/>
      <c r="P256" s="180"/>
      <c r="Q256" s="180" t="s">
        <v>61</v>
      </c>
      <c r="R256" s="180"/>
      <c r="S256" s="180"/>
      <c r="T256" s="267">
        <v>45665</v>
      </c>
      <c r="U256" s="271">
        <v>45665</v>
      </c>
      <c r="V256" s="272"/>
      <c r="W256" s="273"/>
      <c r="X256" s="184"/>
      <c r="Y256" s="185" t="str">
        <f t="shared" ref="Y256:Y285" si="8">"項目名:"&amp;Z256</f>
        <v>項目名:処理区分、値:U(更新)</v>
      </c>
      <c r="Z256" s="236" t="s">
        <v>511</v>
      </c>
    </row>
    <row r="257" spans="1:26" ht="11.4" x14ac:dyDescent="0.15">
      <c r="A257" s="175">
        <f t="shared" si="3"/>
        <v>255</v>
      </c>
      <c r="B257" s="176"/>
      <c r="C257" s="176"/>
      <c r="D257" s="186"/>
      <c r="E257" s="186"/>
      <c r="F257" s="186" t="s">
        <v>537</v>
      </c>
      <c r="G257" s="227" t="s">
        <v>538</v>
      </c>
      <c r="H257" s="177"/>
      <c r="I257" s="178"/>
      <c r="J257" s="178"/>
      <c r="K257" s="179"/>
      <c r="L257" s="177"/>
      <c r="M257" s="178"/>
      <c r="N257" s="178"/>
      <c r="O257" s="180"/>
      <c r="P257" s="180"/>
      <c r="Q257" s="180" t="s">
        <v>61</v>
      </c>
      <c r="R257" s="180"/>
      <c r="S257" s="180"/>
      <c r="T257" s="267">
        <v>45665</v>
      </c>
      <c r="U257" s="271">
        <v>45665</v>
      </c>
      <c r="V257" s="272"/>
      <c r="W257" s="273"/>
      <c r="X257" s="184"/>
      <c r="Y257" s="185" t="str">
        <f t="shared" si="8"/>
        <v>項目名:処理区分、値:D(削除)</v>
      </c>
      <c r="Z257" s="236" t="s">
        <v>514</v>
      </c>
    </row>
    <row r="258" spans="1:26" s="236" customFormat="1" ht="11.4" x14ac:dyDescent="0.15">
      <c r="A258" s="175">
        <f t="shared" si="3"/>
        <v>256</v>
      </c>
      <c r="B258" s="176"/>
      <c r="C258" s="176"/>
      <c r="D258" s="176"/>
      <c r="E258" s="176"/>
      <c r="F258" s="186" t="s">
        <v>515</v>
      </c>
      <c r="G258" s="227" t="s">
        <v>118</v>
      </c>
      <c r="H258" s="177"/>
      <c r="I258" s="178"/>
      <c r="J258" s="178"/>
      <c r="K258" s="179"/>
      <c r="L258" s="177"/>
      <c r="M258" s="178"/>
      <c r="N258" s="178"/>
      <c r="O258" s="180"/>
      <c r="P258" s="180"/>
      <c r="Q258" s="180" t="s">
        <v>61</v>
      </c>
      <c r="R258" s="180"/>
      <c r="S258" s="180"/>
      <c r="T258" s="267">
        <v>45665</v>
      </c>
      <c r="U258" s="271">
        <v>45665</v>
      </c>
      <c r="V258" s="272"/>
      <c r="W258" s="273"/>
      <c r="X258" s="184"/>
      <c r="Y258" s="185" t="str">
        <f t="shared" si="8"/>
        <v>項目名:店舗コード</v>
      </c>
      <c r="Z258" s="236" t="s">
        <v>144</v>
      </c>
    </row>
    <row r="259" spans="1:26" s="236" customFormat="1" ht="11.4" x14ac:dyDescent="0.15">
      <c r="A259" s="175">
        <f t="shared" si="3"/>
        <v>257</v>
      </c>
      <c r="B259" s="176"/>
      <c r="C259" s="176"/>
      <c r="D259" s="176"/>
      <c r="E259" s="176"/>
      <c r="F259" s="186"/>
      <c r="G259" s="227" t="s">
        <v>118</v>
      </c>
      <c r="H259" s="177"/>
      <c r="I259" s="178"/>
      <c r="J259" s="178"/>
      <c r="K259" s="179"/>
      <c r="L259" s="177"/>
      <c r="M259" s="178"/>
      <c r="N259" s="178"/>
      <c r="O259" s="180"/>
      <c r="P259" s="180"/>
      <c r="Q259" s="180" t="s">
        <v>61</v>
      </c>
      <c r="R259" s="180"/>
      <c r="S259" s="180"/>
      <c r="T259" s="267">
        <v>45665</v>
      </c>
      <c r="U259" s="271">
        <v>45665</v>
      </c>
      <c r="V259" s="272"/>
      <c r="W259" s="273"/>
      <c r="X259" s="184"/>
      <c r="Y259" s="185" t="str">
        <f t="shared" si="8"/>
        <v>項目名:開始日</v>
      </c>
      <c r="Z259" s="236" t="s">
        <v>242</v>
      </c>
    </row>
    <row r="260" spans="1:26" s="236" customFormat="1" ht="11.4" x14ac:dyDescent="0.15">
      <c r="A260" s="175">
        <f t="shared" si="3"/>
        <v>258</v>
      </c>
      <c r="B260" s="176"/>
      <c r="C260" s="176"/>
      <c r="D260" s="176"/>
      <c r="E260" s="176"/>
      <c r="F260" s="186"/>
      <c r="G260" s="227" t="s">
        <v>118</v>
      </c>
      <c r="H260" s="177"/>
      <c r="I260" s="178"/>
      <c r="J260" s="178"/>
      <c r="K260" s="179"/>
      <c r="L260" s="177"/>
      <c r="M260" s="178"/>
      <c r="N260" s="178"/>
      <c r="O260" s="180"/>
      <c r="P260" s="180"/>
      <c r="Q260" s="180" t="s">
        <v>61</v>
      </c>
      <c r="R260" s="180"/>
      <c r="S260" s="180"/>
      <c r="T260" s="267">
        <v>45665</v>
      </c>
      <c r="U260" s="271">
        <v>45665</v>
      </c>
      <c r="V260" s="272"/>
      <c r="W260" s="273"/>
      <c r="X260" s="184"/>
      <c r="Y260" s="185" t="str">
        <f t="shared" si="8"/>
        <v>項目名:終了日</v>
      </c>
      <c r="Z260" s="236" t="s">
        <v>243</v>
      </c>
    </row>
    <row r="261" spans="1:26" s="236" customFormat="1" ht="11.4" x14ac:dyDescent="0.15">
      <c r="A261" s="175">
        <f t="shared" si="3"/>
        <v>259</v>
      </c>
      <c r="B261" s="176"/>
      <c r="C261" s="176"/>
      <c r="D261" s="176"/>
      <c r="E261" s="176"/>
      <c r="F261" s="186"/>
      <c r="G261" s="227" t="s">
        <v>118</v>
      </c>
      <c r="H261" s="177"/>
      <c r="I261" s="178"/>
      <c r="J261" s="178"/>
      <c r="K261" s="179"/>
      <c r="L261" s="177"/>
      <c r="M261" s="178"/>
      <c r="N261" s="178"/>
      <c r="O261" s="180"/>
      <c r="P261" s="180"/>
      <c r="Q261" s="180" t="s">
        <v>61</v>
      </c>
      <c r="R261" s="180"/>
      <c r="S261" s="180"/>
      <c r="T261" s="267">
        <v>45665</v>
      </c>
      <c r="U261" s="271">
        <v>45665</v>
      </c>
      <c r="V261" s="272"/>
      <c r="W261" s="273"/>
      <c r="X261" s="184"/>
      <c r="Y261" s="185" t="str">
        <f t="shared" si="8"/>
        <v>項目名:終了後自動削除日</v>
      </c>
      <c r="Z261" s="236" t="s">
        <v>244</v>
      </c>
    </row>
    <row r="262" spans="1:26" s="236" customFormat="1" ht="11.4" x14ac:dyDescent="0.15">
      <c r="A262" s="175">
        <f t="shared" si="3"/>
        <v>260</v>
      </c>
      <c r="B262" s="176"/>
      <c r="C262" s="176"/>
      <c r="D262" s="176"/>
      <c r="E262" s="176"/>
      <c r="F262" s="186"/>
      <c r="G262" s="227" t="s">
        <v>118</v>
      </c>
      <c r="H262" s="177"/>
      <c r="I262" s="178"/>
      <c r="J262" s="178"/>
      <c r="K262" s="179"/>
      <c r="L262" s="177"/>
      <c r="M262" s="178"/>
      <c r="N262" s="178"/>
      <c r="O262" s="180"/>
      <c r="P262" s="180"/>
      <c r="Q262" s="180" t="s">
        <v>61</v>
      </c>
      <c r="R262" s="180"/>
      <c r="S262" s="180"/>
      <c r="T262" s="267">
        <v>45665</v>
      </c>
      <c r="U262" s="271">
        <v>45665</v>
      </c>
      <c r="V262" s="272"/>
      <c r="W262" s="273"/>
      <c r="X262" s="184"/>
      <c r="Y262" s="185" t="str">
        <f t="shared" si="8"/>
        <v>項目名:内部ディスカウントクラスID</v>
      </c>
      <c r="Z262" s="236" t="s">
        <v>203</v>
      </c>
    </row>
    <row r="263" spans="1:26" s="236" customFormat="1" ht="11.4" x14ac:dyDescent="0.15">
      <c r="A263" s="175">
        <f t="shared" si="3"/>
        <v>261</v>
      </c>
      <c r="B263" s="176"/>
      <c r="C263" s="176"/>
      <c r="D263" s="176"/>
      <c r="E263" s="176"/>
      <c r="F263" s="186"/>
      <c r="G263" s="227" t="s">
        <v>118</v>
      </c>
      <c r="H263" s="177"/>
      <c r="I263" s="178"/>
      <c r="J263" s="178"/>
      <c r="K263" s="179"/>
      <c r="L263" s="177"/>
      <c r="M263" s="178"/>
      <c r="N263" s="178"/>
      <c r="O263" s="180"/>
      <c r="P263" s="180"/>
      <c r="Q263" s="180" t="s">
        <v>61</v>
      </c>
      <c r="R263" s="180"/>
      <c r="S263" s="180"/>
      <c r="T263" s="267">
        <v>45665</v>
      </c>
      <c r="U263" s="271">
        <v>45665</v>
      </c>
      <c r="V263" s="272"/>
      <c r="W263" s="273"/>
      <c r="X263" s="184"/>
      <c r="Y263" s="185" t="str">
        <f t="shared" si="8"/>
        <v>項目名:分類コード</v>
      </c>
      <c r="Z263" s="236" t="s">
        <v>245</v>
      </c>
    </row>
    <row r="264" spans="1:26" s="236" customFormat="1" ht="11.4" x14ac:dyDescent="0.15">
      <c r="A264" s="175">
        <f t="shared" si="3"/>
        <v>262</v>
      </c>
      <c r="B264" s="176"/>
      <c r="C264" s="176"/>
      <c r="D264" s="176"/>
      <c r="E264" s="176"/>
      <c r="F264" s="186"/>
      <c r="G264" s="227" t="s">
        <v>118</v>
      </c>
      <c r="H264" s="177"/>
      <c r="I264" s="178"/>
      <c r="J264" s="178"/>
      <c r="K264" s="179"/>
      <c r="L264" s="177"/>
      <c r="M264" s="178"/>
      <c r="N264" s="178"/>
      <c r="O264" s="180"/>
      <c r="P264" s="180"/>
      <c r="Q264" s="180" t="s">
        <v>61</v>
      </c>
      <c r="R264" s="180"/>
      <c r="S264" s="180"/>
      <c r="T264" s="267">
        <v>45665</v>
      </c>
      <c r="U264" s="271">
        <v>45665</v>
      </c>
      <c r="V264" s="272"/>
      <c r="W264" s="273"/>
      <c r="X264" s="184"/>
      <c r="Y264" s="185" t="str">
        <f t="shared" si="8"/>
        <v>項目名:ディスカウント方法</v>
      </c>
      <c r="Z264" s="236" t="s">
        <v>246</v>
      </c>
    </row>
    <row r="265" spans="1:26" s="236" customFormat="1" ht="11.4" x14ac:dyDescent="0.15">
      <c r="A265" s="175">
        <f t="shared" si="3"/>
        <v>263</v>
      </c>
      <c r="B265" s="176"/>
      <c r="C265" s="176"/>
      <c r="D265" s="176"/>
      <c r="E265" s="176"/>
      <c r="F265" s="186"/>
      <c r="G265" s="227" t="s">
        <v>118</v>
      </c>
      <c r="H265" s="177"/>
      <c r="I265" s="178"/>
      <c r="J265" s="178"/>
      <c r="K265" s="179"/>
      <c r="L265" s="177"/>
      <c r="M265" s="178"/>
      <c r="N265" s="178"/>
      <c r="O265" s="180"/>
      <c r="P265" s="180"/>
      <c r="Q265" s="180" t="s">
        <v>61</v>
      </c>
      <c r="R265" s="180"/>
      <c r="S265" s="180"/>
      <c r="T265" s="267">
        <v>45665</v>
      </c>
      <c r="U265" s="271">
        <v>45665</v>
      </c>
      <c r="V265" s="272"/>
      <c r="W265" s="273"/>
      <c r="X265" s="184"/>
      <c r="Y265" s="185" t="str">
        <f t="shared" si="8"/>
        <v>項目名:保留指示フラグ</v>
      </c>
      <c r="Z265" s="236" t="s">
        <v>247</v>
      </c>
    </row>
    <row r="266" spans="1:26" s="236" customFormat="1" ht="11.4" x14ac:dyDescent="0.15">
      <c r="A266" s="175">
        <f t="shared" si="3"/>
        <v>264</v>
      </c>
      <c r="B266" s="176"/>
      <c r="C266" s="176"/>
      <c r="D266" s="176"/>
      <c r="E266" s="176"/>
      <c r="F266" s="186"/>
      <c r="G266" s="227" t="s">
        <v>118</v>
      </c>
      <c r="H266" s="177"/>
      <c r="I266" s="178"/>
      <c r="J266" s="178"/>
      <c r="K266" s="179"/>
      <c r="L266" s="177"/>
      <c r="M266" s="178"/>
      <c r="N266" s="178"/>
      <c r="O266" s="180"/>
      <c r="P266" s="180"/>
      <c r="Q266" s="180" t="s">
        <v>61</v>
      </c>
      <c r="R266" s="180"/>
      <c r="S266" s="180"/>
      <c r="T266" s="267">
        <v>45665</v>
      </c>
      <c r="U266" s="271">
        <v>45665</v>
      </c>
      <c r="V266" s="272"/>
      <c r="W266" s="273"/>
      <c r="X266" s="184"/>
      <c r="Y266" s="185" t="str">
        <f t="shared" si="8"/>
        <v>項目名:ディスカウント値</v>
      </c>
      <c r="Z266" s="236" t="s">
        <v>248</v>
      </c>
    </row>
    <row r="267" spans="1:26" s="236" customFormat="1" ht="11.4" x14ac:dyDescent="0.15">
      <c r="A267" s="175">
        <f t="shared" si="3"/>
        <v>265</v>
      </c>
      <c r="B267" s="176"/>
      <c r="C267" s="176"/>
      <c r="D267" s="176"/>
      <c r="E267" s="176"/>
      <c r="F267" s="186"/>
      <c r="G267" s="227" t="s">
        <v>118</v>
      </c>
      <c r="H267" s="177"/>
      <c r="I267" s="178"/>
      <c r="J267" s="178"/>
      <c r="K267" s="179"/>
      <c r="L267" s="177"/>
      <c r="M267" s="178"/>
      <c r="N267" s="178"/>
      <c r="O267" s="180"/>
      <c r="P267" s="180"/>
      <c r="Q267" s="180" t="s">
        <v>61</v>
      </c>
      <c r="R267" s="180"/>
      <c r="S267" s="180"/>
      <c r="T267" s="267">
        <v>45665</v>
      </c>
      <c r="U267" s="271">
        <v>45665</v>
      </c>
      <c r="V267" s="272"/>
      <c r="W267" s="273"/>
      <c r="X267" s="184"/>
      <c r="Y267" s="185" t="str">
        <f t="shared" si="8"/>
        <v>項目名:商品階層コード・レベル１</v>
      </c>
      <c r="Z267" s="236" t="s">
        <v>249</v>
      </c>
    </row>
    <row r="268" spans="1:26" s="236" customFormat="1" ht="11.4" x14ac:dyDescent="0.15">
      <c r="A268" s="175">
        <f t="shared" si="3"/>
        <v>266</v>
      </c>
      <c r="B268" s="176"/>
      <c r="C268" s="176"/>
      <c r="D268" s="176"/>
      <c r="E268" s="176"/>
      <c r="F268" s="186"/>
      <c r="G268" s="227" t="s">
        <v>118</v>
      </c>
      <c r="H268" s="177"/>
      <c r="I268" s="178"/>
      <c r="J268" s="178"/>
      <c r="K268" s="179"/>
      <c r="L268" s="177"/>
      <c r="M268" s="178"/>
      <c r="N268" s="178"/>
      <c r="O268" s="180"/>
      <c r="P268" s="180"/>
      <c r="Q268" s="180" t="s">
        <v>61</v>
      </c>
      <c r="R268" s="180"/>
      <c r="S268" s="180"/>
      <c r="T268" s="267">
        <v>45665</v>
      </c>
      <c r="U268" s="271">
        <v>45665</v>
      </c>
      <c r="V268" s="272"/>
      <c r="W268" s="273"/>
      <c r="X268" s="184"/>
      <c r="Y268" s="185" t="str">
        <f t="shared" si="8"/>
        <v>項目名:商品階層コード・レベル２</v>
      </c>
      <c r="Z268" s="236" t="s">
        <v>250</v>
      </c>
    </row>
    <row r="269" spans="1:26" s="236" customFormat="1" ht="11.4" x14ac:dyDescent="0.15">
      <c r="A269" s="175">
        <f t="shared" si="3"/>
        <v>267</v>
      </c>
      <c r="B269" s="176"/>
      <c r="C269" s="176"/>
      <c r="D269" s="176"/>
      <c r="E269" s="176"/>
      <c r="F269" s="186"/>
      <c r="G269" s="227" t="s">
        <v>118</v>
      </c>
      <c r="H269" s="177"/>
      <c r="I269" s="178"/>
      <c r="J269" s="178"/>
      <c r="K269" s="179"/>
      <c r="L269" s="177"/>
      <c r="M269" s="178"/>
      <c r="N269" s="178"/>
      <c r="O269" s="180"/>
      <c r="P269" s="180"/>
      <c r="Q269" s="180" t="s">
        <v>61</v>
      </c>
      <c r="R269" s="180"/>
      <c r="S269" s="180"/>
      <c r="T269" s="267">
        <v>45665</v>
      </c>
      <c r="U269" s="271">
        <v>45665</v>
      </c>
      <c r="V269" s="272"/>
      <c r="W269" s="273"/>
      <c r="X269" s="184"/>
      <c r="Y269" s="185" t="str">
        <f t="shared" si="8"/>
        <v>項目名:商品階層コード・レベル３</v>
      </c>
      <c r="Z269" s="236" t="s">
        <v>251</v>
      </c>
    </row>
    <row r="270" spans="1:26" s="236" customFormat="1" ht="11.4" x14ac:dyDescent="0.15">
      <c r="A270" s="175">
        <f t="shared" si="3"/>
        <v>268</v>
      </c>
      <c r="B270" s="176"/>
      <c r="C270" s="176"/>
      <c r="D270" s="176"/>
      <c r="E270" s="176"/>
      <c r="F270" s="186"/>
      <c r="G270" s="227" t="s">
        <v>118</v>
      </c>
      <c r="H270" s="177"/>
      <c r="I270" s="178"/>
      <c r="J270" s="178"/>
      <c r="K270" s="179"/>
      <c r="L270" s="177"/>
      <c r="M270" s="178"/>
      <c r="N270" s="178"/>
      <c r="O270" s="180"/>
      <c r="P270" s="180"/>
      <c r="Q270" s="180" t="s">
        <v>61</v>
      </c>
      <c r="R270" s="180"/>
      <c r="S270" s="180"/>
      <c r="T270" s="267">
        <v>45665</v>
      </c>
      <c r="U270" s="271">
        <v>45665</v>
      </c>
      <c r="V270" s="272"/>
      <c r="W270" s="273"/>
      <c r="X270" s="184"/>
      <c r="Y270" s="185" t="str">
        <f t="shared" si="8"/>
        <v>項目名:自動値引対象最低金額</v>
      </c>
      <c r="Z270" s="236" t="s">
        <v>252</v>
      </c>
    </row>
    <row r="271" spans="1:26" s="236" customFormat="1" ht="11.4" x14ac:dyDescent="0.15">
      <c r="A271" s="175">
        <f t="shared" si="3"/>
        <v>269</v>
      </c>
      <c r="B271" s="176"/>
      <c r="C271" s="176"/>
      <c r="D271" s="176"/>
      <c r="E271" s="176"/>
      <c r="F271" s="186"/>
      <c r="G271" s="227" t="s">
        <v>118</v>
      </c>
      <c r="H271" s="177"/>
      <c r="I271" s="178"/>
      <c r="J271" s="178"/>
      <c r="K271" s="179"/>
      <c r="L271" s="177"/>
      <c r="M271" s="178"/>
      <c r="N271" s="178"/>
      <c r="O271" s="180"/>
      <c r="P271" s="180"/>
      <c r="Q271" s="180" t="s">
        <v>61</v>
      </c>
      <c r="R271" s="180"/>
      <c r="S271" s="180"/>
      <c r="T271" s="267">
        <v>45665</v>
      </c>
      <c r="U271" s="271">
        <v>45665</v>
      </c>
      <c r="V271" s="272"/>
      <c r="W271" s="273"/>
      <c r="X271" s="184"/>
      <c r="Y271" s="185" t="str">
        <f t="shared" si="8"/>
        <v>項目名:開始時間</v>
      </c>
      <c r="Z271" s="236" t="s">
        <v>253</v>
      </c>
    </row>
    <row r="272" spans="1:26" s="236" customFormat="1" ht="11.4" x14ac:dyDescent="0.15">
      <c r="A272" s="175">
        <f t="shared" si="3"/>
        <v>270</v>
      </c>
      <c r="B272" s="176"/>
      <c r="C272" s="176"/>
      <c r="D272" s="176"/>
      <c r="E272" s="176"/>
      <c r="F272" s="186"/>
      <c r="G272" s="227" t="s">
        <v>118</v>
      </c>
      <c r="H272" s="177"/>
      <c r="I272" s="178"/>
      <c r="J272" s="178"/>
      <c r="K272" s="179"/>
      <c r="L272" s="177"/>
      <c r="M272" s="178"/>
      <c r="N272" s="178"/>
      <c r="O272" s="180"/>
      <c r="P272" s="180"/>
      <c r="Q272" s="180" t="s">
        <v>61</v>
      </c>
      <c r="R272" s="180"/>
      <c r="S272" s="180"/>
      <c r="T272" s="267">
        <v>45665</v>
      </c>
      <c r="U272" s="271">
        <v>45665</v>
      </c>
      <c r="V272" s="272"/>
      <c r="W272" s="273"/>
      <c r="X272" s="184"/>
      <c r="Y272" s="185" t="str">
        <f t="shared" si="8"/>
        <v>項目名:終了時間</v>
      </c>
      <c r="Z272" s="236" t="s">
        <v>254</v>
      </c>
    </row>
    <row r="273" spans="1:26" s="236" customFormat="1" ht="11.4" x14ac:dyDescent="0.15">
      <c r="A273" s="175">
        <f t="shared" si="3"/>
        <v>271</v>
      </c>
      <c r="B273" s="176"/>
      <c r="C273" s="176"/>
      <c r="D273" s="176"/>
      <c r="E273" s="176"/>
      <c r="F273" s="186"/>
      <c r="G273" s="227" t="s">
        <v>118</v>
      </c>
      <c r="H273" s="177"/>
      <c r="I273" s="178"/>
      <c r="J273" s="178"/>
      <c r="K273" s="179"/>
      <c r="L273" s="177"/>
      <c r="M273" s="178"/>
      <c r="N273" s="178"/>
      <c r="O273" s="180"/>
      <c r="P273" s="180"/>
      <c r="Q273" s="180" t="s">
        <v>61</v>
      </c>
      <c r="R273" s="180"/>
      <c r="S273" s="180"/>
      <c r="T273" s="267">
        <v>45665</v>
      </c>
      <c r="U273" s="271">
        <v>45665</v>
      </c>
      <c r="V273" s="272"/>
      <c r="W273" s="273"/>
      <c r="X273" s="184"/>
      <c r="Y273" s="185" t="str">
        <f t="shared" si="8"/>
        <v>項目名:期間フラグ</v>
      </c>
      <c r="Z273" s="236" t="s">
        <v>255</v>
      </c>
    </row>
    <row r="274" spans="1:26" s="236" customFormat="1" ht="11.4" x14ac:dyDescent="0.15">
      <c r="A274" s="175">
        <f t="shared" si="3"/>
        <v>272</v>
      </c>
      <c r="B274" s="176"/>
      <c r="C274" s="176"/>
      <c r="D274" s="176"/>
      <c r="E274" s="176"/>
      <c r="F274" s="186"/>
      <c r="G274" s="227" t="s">
        <v>118</v>
      </c>
      <c r="H274" s="177"/>
      <c r="I274" s="178"/>
      <c r="J274" s="178"/>
      <c r="K274" s="179"/>
      <c r="L274" s="177"/>
      <c r="M274" s="178"/>
      <c r="N274" s="178"/>
      <c r="O274" s="180"/>
      <c r="P274" s="180"/>
      <c r="Q274" s="180" t="s">
        <v>61</v>
      </c>
      <c r="R274" s="180"/>
      <c r="S274" s="180"/>
      <c r="T274" s="267">
        <v>45665</v>
      </c>
      <c r="U274" s="271">
        <v>45665</v>
      </c>
      <c r="V274" s="272"/>
      <c r="W274" s="273"/>
      <c r="X274" s="184"/>
      <c r="Y274" s="185" t="str">
        <f t="shared" si="8"/>
        <v>項目名:月曜日除外フラグ</v>
      </c>
      <c r="Z274" s="236" t="s">
        <v>180</v>
      </c>
    </row>
    <row r="275" spans="1:26" s="236" customFormat="1" ht="11.4" x14ac:dyDescent="0.15">
      <c r="A275" s="175">
        <f t="shared" si="3"/>
        <v>273</v>
      </c>
      <c r="B275" s="176"/>
      <c r="C275" s="176"/>
      <c r="D275" s="176"/>
      <c r="E275" s="176"/>
      <c r="F275" s="186"/>
      <c r="G275" s="227" t="s">
        <v>118</v>
      </c>
      <c r="H275" s="177"/>
      <c r="I275" s="178"/>
      <c r="J275" s="178"/>
      <c r="K275" s="179"/>
      <c r="L275" s="177"/>
      <c r="M275" s="178"/>
      <c r="N275" s="178"/>
      <c r="O275" s="180"/>
      <c r="P275" s="180"/>
      <c r="Q275" s="180" t="s">
        <v>61</v>
      </c>
      <c r="R275" s="180"/>
      <c r="S275" s="180"/>
      <c r="T275" s="267">
        <v>45665</v>
      </c>
      <c r="U275" s="271">
        <v>45665</v>
      </c>
      <c r="V275" s="272"/>
      <c r="W275" s="273"/>
      <c r="X275" s="184"/>
      <c r="Y275" s="185" t="str">
        <f t="shared" si="8"/>
        <v>項目名:火曜日除外フラグ</v>
      </c>
      <c r="Z275" s="236" t="s">
        <v>181</v>
      </c>
    </row>
    <row r="276" spans="1:26" s="236" customFormat="1" ht="11.4" x14ac:dyDescent="0.15">
      <c r="A276" s="175">
        <f t="shared" si="3"/>
        <v>274</v>
      </c>
      <c r="B276" s="176"/>
      <c r="C276" s="176"/>
      <c r="D276" s="176"/>
      <c r="E276" s="176"/>
      <c r="F276" s="186"/>
      <c r="G276" s="227" t="s">
        <v>118</v>
      </c>
      <c r="H276" s="177"/>
      <c r="I276" s="178"/>
      <c r="J276" s="178"/>
      <c r="K276" s="179"/>
      <c r="L276" s="177"/>
      <c r="M276" s="178"/>
      <c r="N276" s="178"/>
      <c r="O276" s="180"/>
      <c r="P276" s="180"/>
      <c r="Q276" s="180" t="s">
        <v>61</v>
      </c>
      <c r="R276" s="180"/>
      <c r="S276" s="180"/>
      <c r="T276" s="267">
        <v>45665</v>
      </c>
      <c r="U276" s="271">
        <v>45665</v>
      </c>
      <c r="V276" s="272"/>
      <c r="W276" s="273"/>
      <c r="X276" s="184"/>
      <c r="Y276" s="185" t="str">
        <f t="shared" si="8"/>
        <v>項目名:水曜日除外フラグ</v>
      </c>
      <c r="Z276" s="236" t="s">
        <v>182</v>
      </c>
    </row>
    <row r="277" spans="1:26" s="236" customFormat="1" ht="11.4" x14ac:dyDescent="0.15">
      <c r="A277" s="175">
        <f t="shared" si="3"/>
        <v>275</v>
      </c>
      <c r="B277" s="176"/>
      <c r="C277" s="176"/>
      <c r="D277" s="176"/>
      <c r="E277" s="176"/>
      <c r="F277" s="186"/>
      <c r="G277" s="227" t="s">
        <v>118</v>
      </c>
      <c r="H277" s="177"/>
      <c r="I277" s="178"/>
      <c r="J277" s="178"/>
      <c r="K277" s="179"/>
      <c r="L277" s="177"/>
      <c r="M277" s="178"/>
      <c r="N277" s="178"/>
      <c r="O277" s="180"/>
      <c r="P277" s="180"/>
      <c r="Q277" s="180" t="s">
        <v>61</v>
      </c>
      <c r="R277" s="180"/>
      <c r="S277" s="180"/>
      <c r="T277" s="267">
        <v>45665</v>
      </c>
      <c r="U277" s="271">
        <v>45665</v>
      </c>
      <c r="V277" s="272"/>
      <c r="W277" s="273"/>
      <c r="X277" s="184"/>
      <c r="Y277" s="185" t="str">
        <f t="shared" si="8"/>
        <v>項目名:木曜日除外フラグ</v>
      </c>
      <c r="Z277" s="236" t="s">
        <v>183</v>
      </c>
    </row>
    <row r="278" spans="1:26" s="236" customFormat="1" ht="11.4" x14ac:dyDescent="0.15">
      <c r="A278" s="175">
        <f t="shared" si="3"/>
        <v>276</v>
      </c>
      <c r="B278" s="176"/>
      <c r="C278" s="176"/>
      <c r="D278" s="176"/>
      <c r="E278" s="176"/>
      <c r="F278" s="186"/>
      <c r="G278" s="227" t="s">
        <v>118</v>
      </c>
      <c r="H278" s="177"/>
      <c r="I278" s="178"/>
      <c r="J278" s="178"/>
      <c r="K278" s="179"/>
      <c r="L278" s="177"/>
      <c r="M278" s="178"/>
      <c r="N278" s="178"/>
      <c r="O278" s="180"/>
      <c r="P278" s="180"/>
      <c r="Q278" s="180" t="s">
        <v>61</v>
      </c>
      <c r="R278" s="180"/>
      <c r="S278" s="180"/>
      <c r="T278" s="267">
        <v>45665</v>
      </c>
      <c r="U278" s="271">
        <v>45665</v>
      </c>
      <c r="V278" s="272"/>
      <c r="W278" s="273"/>
      <c r="X278" s="184"/>
      <c r="Y278" s="185" t="str">
        <f t="shared" si="8"/>
        <v>項目名:金曜日除外フラグ</v>
      </c>
      <c r="Z278" s="236" t="s">
        <v>184</v>
      </c>
    </row>
    <row r="279" spans="1:26" s="236" customFormat="1" ht="11.4" x14ac:dyDescent="0.15">
      <c r="A279" s="175">
        <f t="shared" si="3"/>
        <v>277</v>
      </c>
      <c r="B279" s="176"/>
      <c r="C279" s="176"/>
      <c r="D279" s="176"/>
      <c r="E279" s="176"/>
      <c r="F279" s="186"/>
      <c r="G279" s="227" t="s">
        <v>118</v>
      </c>
      <c r="H279" s="177"/>
      <c r="I279" s="178"/>
      <c r="J279" s="178"/>
      <c r="K279" s="179"/>
      <c r="L279" s="177"/>
      <c r="M279" s="178"/>
      <c r="N279" s="178"/>
      <c r="O279" s="180"/>
      <c r="P279" s="180"/>
      <c r="Q279" s="180" t="s">
        <v>61</v>
      </c>
      <c r="R279" s="180"/>
      <c r="S279" s="180"/>
      <c r="T279" s="267">
        <v>45665</v>
      </c>
      <c r="U279" s="271">
        <v>45665</v>
      </c>
      <c r="V279" s="272"/>
      <c r="W279" s="273"/>
      <c r="X279" s="184"/>
      <c r="Y279" s="185" t="str">
        <f t="shared" si="8"/>
        <v>項目名:土曜日除外フラグ</v>
      </c>
      <c r="Z279" s="236" t="s">
        <v>185</v>
      </c>
    </row>
    <row r="280" spans="1:26" s="236" customFormat="1" ht="11.4" x14ac:dyDescent="0.15">
      <c r="A280" s="175">
        <f t="shared" si="3"/>
        <v>278</v>
      </c>
      <c r="B280" s="176"/>
      <c r="C280" s="176"/>
      <c r="D280" s="176"/>
      <c r="E280" s="176"/>
      <c r="F280" s="186"/>
      <c r="G280" s="227" t="s">
        <v>118</v>
      </c>
      <c r="H280" s="177"/>
      <c r="I280" s="178"/>
      <c r="J280" s="178"/>
      <c r="K280" s="179"/>
      <c r="L280" s="177"/>
      <c r="M280" s="178"/>
      <c r="N280" s="178"/>
      <c r="O280" s="180"/>
      <c r="P280" s="180"/>
      <c r="Q280" s="180" t="s">
        <v>61</v>
      </c>
      <c r="R280" s="180"/>
      <c r="S280" s="180"/>
      <c r="T280" s="267">
        <v>45665</v>
      </c>
      <c r="U280" s="271">
        <v>45665</v>
      </c>
      <c r="V280" s="272"/>
      <c r="W280" s="273"/>
      <c r="X280" s="184"/>
      <c r="Y280" s="185" t="str">
        <f t="shared" si="8"/>
        <v>項目名:日曜日除外フラグ</v>
      </c>
      <c r="Z280" s="236" t="s">
        <v>186</v>
      </c>
    </row>
    <row r="281" spans="1:26" s="236" customFormat="1" ht="11.4" x14ac:dyDescent="0.15">
      <c r="A281" s="175">
        <f t="shared" si="3"/>
        <v>279</v>
      </c>
      <c r="B281" s="176"/>
      <c r="C281" s="176"/>
      <c r="D281" s="176"/>
      <c r="E281" s="176"/>
      <c r="F281" s="186"/>
      <c r="G281" s="227" t="s">
        <v>118</v>
      </c>
      <c r="H281" s="177"/>
      <c r="I281" s="178"/>
      <c r="J281" s="178"/>
      <c r="K281" s="179"/>
      <c r="L281" s="177"/>
      <c r="M281" s="178"/>
      <c r="N281" s="178"/>
      <c r="O281" s="180"/>
      <c r="P281" s="180"/>
      <c r="Q281" s="180" t="s">
        <v>61</v>
      </c>
      <c r="R281" s="180"/>
      <c r="S281" s="180"/>
      <c r="T281" s="267">
        <v>45665</v>
      </c>
      <c r="U281" s="271">
        <v>45665</v>
      </c>
      <c r="V281" s="272"/>
      <c r="W281" s="273"/>
      <c r="X281" s="184"/>
      <c r="Y281" s="185" t="str">
        <f t="shared" si="8"/>
        <v>項目名:内部ディスカウントID</v>
      </c>
      <c r="Z281" s="236" t="s">
        <v>204</v>
      </c>
    </row>
    <row r="282" spans="1:26" s="236" customFormat="1" ht="11.4" x14ac:dyDescent="0.15">
      <c r="A282" s="175">
        <f t="shared" si="3"/>
        <v>280</v>
      </c>
      <c r="B282" s="176"/>
      <c r="C282" s="176"/>
      <c r="D282" s="176"/>
      <c r="E282" s="176"/>
      <c r="F282" s="186"/>
      <c r="G282" s="227" t="s">
        <v>118</v>
      </c>
      <c r="H282" s="177"/>
      <c r="I282" s="178"/>
      <c r="J282" s="178"/>
      <c r="K282" s="179"/>
      <c r="L282" s="177"/>
      <c r="M282" s="178"/>
      <c r="N282" s="178"/>
      <c r="O282" s="180"/>
      <c r="P282" s="180"/>
      <c r="Q282" s="180" t="s">
        <v>61</v>
      </c>
      <c r="R282" s="180"/>
      <c r="S282" s="180"/>
      <c r="T282" s="267">
        <v>45665</v>
      </c>
      <c r="U282" s="271">
        <v>45665</v>
      </c>
      <c r="V282" s="272"/>
      <c r="W282" s="273"/>
      <c r="X282" s="184"/>
      <c r="Y282" s="185" t="str">
        <f t="shared" si="8"/>
        <v>項目名:内部商品分類番号</v>
      </c>
      <c r="Z282" s="236" t="s">
        <v>167</v>
      </c>
    </row>
    <row r="283" spans="1:26" s="236" customFormat="1" ht="11.4" x14ac:dyDescent="0.15">
      <c r="A283" s="175">
        <f t="shared" si="3"/>
        <v>281</v>
      </c>
      <c r="B283" s="176"/>
      <c r="C283" s="176"/>
      <c r="D283" s="176"/>
      <c r="E283" s="176"/>
      <c r="F283" s="186"/>
      <c r="G283" s="227" t="s">
        <v>118</v>
      </c>
      <c r="H283" s="177"/>
      <c r="I283" s="178"/>
      <c r="J283" s="178"/>
      <c r="K283" s="179"/>
      <c r="L283" s="177"/>
      <c r="M283" s="178"/>
      <c r="N283" s="178"/>
      <c r="O283" s="180"/>
      <c r="P283" s="180"/>
      <c r="Q283" s="180" t="s">
        <v>61</v>
      </c>
      <c r="R283" s="180"/>
      <c r="S283" s="180"/>
      <c r="T283" s="267">
        <v>45665</v>
      </c>
      <c r="U283" s="274"/>
      <c r="V283" s="272">
        <v>45664</v>
      </c>
      <c r="W283" s="273"/>
      <c r="X283" s="184"/>
      <c r="Y283" s="185" t="str">
        <f t="shared" si="8"/>
        <v>項目名:緊急登録日時</v>
      </c>
      <c r="Z283" s="236" t="s">
        <v>205</v>
      </c>
    </row>
    <row r="284" spans="1:26" s="236" customFormat="1" ht="11.4" x14ac:dyDescent="0.15">
      <c r="A284" s="175">
        <f t="shared" si="3"/>
        <v>282</v>
      </c>
      <c r="B284" s="176"/>
      <c r="C284" s="176"/>
      <c r="D284" s="176"/>
      <c r="E284" s="176"/>
      <c r="F284" s="186"/>
      <c r="G284" s="227" t="s">
        <v>118</v>
      </c>
      <c r="H284" s="177"/>
      <c r="I284" s="178"/>
      <c r="J284" s="178"/>
      <c r="K284" s="179"/>
      <c r="L284" s="177"/>
      <c r="M284" s="178"/>
      <c r="N284" s="178"/>
      <c r="O284" s="180"/>
      <c r="P284" s="180"/>
      <c r="Q284" s="180" t="s">
        <v>61</v>
      </c>
      <c r="R284" s="180"/>
      <c r="S284" s="180"/>
      <c r="T284" s="267">
        <v>45665</v>
      </c>
      <c r="U284" s="271">
        <v>45665</v>
      </c>
      <c r="V284" s="272"/>
      <c r="W284" s="273"/>
      <c r="X284" s="184"/>
      <c r="Y284" s="185" t="str">
        <f t="shared" si="8"/>
        <v>項目名:作成日</v>
      </c>
      <c r="Z284" s="236" t="s">
        <v>168</v>
      </c>
    </row>
    <row r="285" spans="1:26" s="236" customFormat="1" ht="11.4" x14ac:dyDescent="0.15">
      <c r="A285" s="175">
        <f t="shared" si="3"/>
        <v>283</v>
      </c>
      <c r="B285" s="176"/>
      <c r="C285" s="176"/>
      <c r="D285" s="176"/>
      <c r="E285" s="176"/>
      <c r="F285" s="186"/>
      <c r="G285" s="227" t="s">
        <v>136</v>
      </c>
      <c r="H285" s="177"/>
      <c r="I285" s="178"/>
      <c r="J285" s="178"/>
      <c r="K285" s="179"/>
      <c r="L285" s="177"/>
      <c r="M285" s="178"/>
      <c r="N285" s="178"/>
      <c r="O285" s="180"/>
      <c r="P285" s="180"/>
      <c r="Q285" s="180" t="s">
        <v>61</v>
      </c>
      <c r="R285" s="180"/>
      <c r="S285" s="180"/>
      <c r="T285" s="267">
        <v>45665</v>
      </c>
      <c r="U285" s="271">
        <v>45665</v>
      </c>
      <c r="V285" s="272"/>
      <c r="W285" s="273"/>
      <c r="X285" s="184"/>
      <c r="Y285" s="185" t="str">
        <f t="shared" si="8"/>
        <v>項目名:未使用項目や空白固定項目</v>
      </c>
      <c r="Z285" s="236" t="s">
        <v>137</v>
      </c>
    </row>
    <row r="286" spans="1:26" ht="11.4" x14ac:dyDescent="0.15">
      <c r="A286" s="175">
        <f t="shared" si="2"/>
        <v>284</v>
      </c>
      <c r="B286" s="176"/>
      <c r="C286" s="176"/>
      <c r="D286" s="176" t="s">
        <v>539</v>
      </c>
      <c r="E286" s="176" t="s">
        <v>540</v>
      </c>
      <c r="F286" s="186" t="s">
        <v>541</v>
      </c>
      <c r="G286" s="227" t="s">
        <v>534</v>
      </c>
      <c r="H286" s="177"/>
      <c r="I286" s="178"/>
      <c r="J286" s="178"/>
      <c r="K286" s="179"/>
      <c r="L286" s="177"/>
      <c r="M286" s="178"/>
      <c r="N286" s="178"/>
      <c r="O286" s="180"/>
      <c r="P286" s="180"/>
      <c r="Q286" s="180"/>
      <c r="R286" s="180"/>
      <c r="S286" s="180" t="s">
        <v>61</v>
      </c>
      <c r="T286" s="267">
        <v>45666</v>
      </c>
      <c r="U286" s="271">
        <v>45666</v>
      </c>
      <c r="V286" s="272"/>
      <c r="W286" s="273"/>
      <c r="X286" s="184"/>
      <c r="Y286" s="185" t="str">
        <f>"項目名:"&amp;Z286</f>
        <v>項目名:処理区分、値:A(登録)</v>
      </c>
      <c r="Z286" s="236" t="s">
        <v>508</v>
      </c>
    </row>
    <row r="287" spans="1:26" ht="11.4" x14ac:dyDescent="0.15">
      <c r="A287" s="175">
        <f t="shared" si="2"/>
        <v>285</v>
      </c>
      <c r="B287" s="176"/>
      <c r="C287" s="176"/>
      <c r="D287" s="176"/>
      <c r="E287" s="176"/>
      <c r="F287" s="186" t="s">
        <v>542</v>
      </c>
      <c r="G287" s="227" t="s">
        <v>534</v>
      </c>
      <c r="H287" s="177"/>
      <c r="I287" s="178"/>
      <c r="J287" s="178"/>
      <c r="K287" s="179"/>
      <c r="L287" s="177"/>
      <c r="M287" s="178"/>
      <c r="N287" s="178"/>
      <c r="O287" s="180"/>
      <c r="P287" s="180"/>
      <c r="Q287" s="180"/>
      <c r="R287" s="180"/>
      <c r="S287" s="180" t="s">
        <v>61</v>
      </c>
      <c r="T287" s="267">
        <v>45666</v>
      </c>
      <c r="U287" s="271">
        <v>45666</v>
      </c>
      <c r="V287" s="272"/>
      <c r="W287" s="273"/>
      <c r="X287" s="184"/>
      <c r="Y287" s="185" t="str">
        <f t="shared" ref="Y287:Y294" si="9">"項目名:"&amp;Z287</f>
        <v>項目名:処理区分、値:A(登録)</v>
      </c>
      <c r="Z287" s="236" t="s">
        <v>508</v>
      </c>
    </row>
    <row r="288" spans="1:26" ht="11.4" x14ac:dyDescent="0.15">
      <c r="A288" s="175">
        <f t="shared" si="2"/>
        <v>286</v>
      </c>
      <c r="B288" s="176"/>
      <c r="C288" s="176"/>
      <c r="D288" s="176"/>
      <c r="E288" s="176"/>
      <c r="F288" s="186" t="s">
        <v>543</v>
      </c>
      <c r="G288" s="227" t="s">
        <v>544</v>
      </c>
      <c r="H288" s="177"/>
      <c r="I288" s="178"/>
      <c r="J288" s="178"/>
      <c r="K288" s="179"/>
      <c r="L288" s="177"/>
      <c r="M288" s="178"/>
      <c r="N288" s="178"/>
      <c r="O288" s="180"/>
      <c r="P288" s="180"/>
      <c r="Q288" s="180"/>
      <c r="R288" s="180"/>
      <c r="S288" s="180" t="s">
        <v>61</v>
      </c>
      <c r="T288" s="267">
        <v>45666</v>
      </c>
      <c r="U288" s="271">
        <v>45666</v>
      </c>
      <c r="V288" s="272"/>
      <c r="W288" s="273"/>
      <c r="X288" s="184"/>
      <c r="Y288" s="185" t="s">
        <v>545</v>
      </c>
    </row>
    <row r="289" spans="1:26" ht="11.4" x14ac:dyDescent="0.15">
      <c r="A289" s="175">
        <f t="shared" si="2"/>
        <v>287</v>
      </c>
      <c r="B289" s="176"/>
      <c r="C289" s="176"/>
      <c r="D289" s="176"/>
      <c r="E289" s="176" t="s">
        <v>546</v>
      </c>
      <c r="F289" s="186" t="s">
        <v>541</v>
      </c>
      <c r="G289" s="227" t="s">
        <v>536</v>
      </c>
      <c r="H289" s="177"/>
      <c r="I289" s="178"/>
      <c r="J289" s="178"/>
      <c r="K289" s="179"/>
      <c r="L289" s="177"/>
      <c r="M289" s="178"/>
      <c r="N289" s="178"/>
      <c r="O289" s="180"/>
      <c r="P289" s="180"/>
      <c r="Q289" s="180"/>
      <c r="R289" s="180"/>
      <c r="S289" s="180" t="s">
        <v>61</v>
      </c>
      <c r="T289" s="267">
        <v>45666</v>
      </c>
      <c r="U289" s="271">
        <v>45666</v>
      </c>
      <c r="V289" s="272"/>
      <c r="W289" s="273"/>
      <c r="X289" s="184"/>
      <c r="Y289" s="185" t="str">
        <f t="shared" si="9"/>
        <v>項目名:処理区分、値:U(更新)</v>
      </c>
      <c r="Z289" s="236" t="s">
        <v>511</v>
      </c>
    </row>
    <row r="290" spans="1:26" ht="11.4" x14ac:dyDescent="0.15">
      <c r="A290" s="175">
        <f t="shared" si="2"/>
        <v>288</v>
      </c>
      <c r="B290" s="176"/>
      <c r="C290" s="176"/>
      <c r="D290" s="176"/>
      <c r="E290" s="176"/>
      <c r="F290" s="186" t="s">
        <v>542</v>
      </c>
      <c r="G290" s="227" t="s">
        <v>536</v>
      </c>
      <c r="H290" s="177"/>
      <c r="I290" s="178"/>
      <c r="J290" s="178"/>
      <c r="K290" s="179"/>
      <c r="L290" s="177"/>
      <c r="M290" s="178"/>
      <c r="N290" s="178"/>
      <c r="O290" s="180"/>
      <c r="P290" s="180"/>
      <c r="Q290" s="180"/>
      <c r="R290" s="180"/>
      <c r="S290" s="180" t="s">
        <v>61</v>
      </c>
      <c r="T290" s="267">
        <v>45666</v>
      </c>
      <c r="U290" s="271">
        <v>45666</v>
      </c>
      <c r="V290" s="272"/>
      <c r="W290" s="273"/>
      <c r="X290" s="184"/>
      <c r="Y290" s="185" t="str">
        <f t="shared" si="9"/>
        <v>項目名:処理区分、値:U(更新)</v>
      </c>
      <c r="Z290" s="236" t="s">
        <v>511</v>
      </c>
    </row>
    <row r="291" spans="1:26" ht="11.4" x14ac:dyDescent="0.15">
      <c r="A291" s="175">
        <f t="shared" si="2"/>
        <v>289</v>
      </c>
      <c r="B291" s="176"/>
      <c r="C291" s="176"/>
      <c r="D291" s="176"/>
      <c r="E291" s="176"/>
      <c r="F291" s="186" t="s">
        <v>543</v>
      </c>
      <c r="G291" s="227" t="s">
        <v>538</v>
      </c>
      <c r="H291" s="177"/>
      <c r="I291" s="178"/>
      <c r="J291" s="178"/>
      <c r="K291" s="179"/>
      <c r="L291" s="177"/>
      <c r="M291" s="178"/>
      <c r="N291" s="178"/>
      <c r="O291" s="180"/>
      <c r="P291" s="180"/>
      <c r="Q291" s="180"/>
      <c r="R291" s="180"/>
      <c r="S291" s="180" t="s">
        <v>61</v>
      </c>
      <c r="T291" s="267">
        <v>45666</v>
      </c>
      <c r="U291" s="271">
        <v>45666</v>
      </c>
      <c r="V291" s="272"/>
      <c r="W291" s="273"/>
      <c r="X291" s="184"/>
      <c r="Y291" s="185" t="str">
        <f t="shared" si="9"/>
        <v>項目名:処理区分、値:D(削除)</v>
      </c>
      <c r="Z291" s="236" t="s">
        <v>514</v>
      </c>
    </row>
    <row r="292" spans="1:26" ht="11.4" x14ac:dyDescent="0.15">
      <c r="A292" s="175">
        <f t="shared" si="2"/>
        <v>290</v>
      </c>
      <c r="B292" s="176"/>
      <c r="C292" s="176"/>
      <c r="D292" s="176"/>
      <c r="E292" s="176" t="s">
        <v>547</v>
      </c>
      <c r="F292" s="186" t="s">
        <v>541</v>
      </c>
      <c r="G292" s="227" t="s">
        <v>536</v>
      </c>
      <c r="H292" s="177"/>
      <c r="I292" s="178"/>
      <c r="J292" s="178"/>
      <c r="K292" s="179"/>
      <c r="L292" s="177"/>
      <c r="M292" s="178"/>
      <c r="N292" s="178"/>
      <c r="O292" s="180"/>
      <c r="P292" s="180"/>
      <c r="Q292" s="180"/>
      <c r="R292" s="180"/>
      <c r="S292" s="180" t="s">
        <v>61</v>
      </c>
      <c r="T292" s="267">
        <v>45666</v>
      </c>
      <c r="U292" s="271">
        <v>45666</v>
      </c>
      <c r="V292" s="272"/>
      <c r="W292" s="273"/>
      <c r="X292" s="184"/>
      <c r="Y292" s="185" t="str">
        <f t="shared" si="9"/>
        <v>項目名:処理区分、値:U(更新)</v>
      </c>
      <c r="Z292" s="236" t="s">
        <v>511</v>
      </c>
    </row>
    <row r="293" spans="1:26" ht="11.4" x14ac:dyDescent="0.15">
      <c r="A293" s="175">
        <f t="shared" si="2"/>
        <v>291</v>
      </c>
      <c r="B293" s="176"/>
      <c r="C293" s="176"/>
      <c r="D293" s="176"/>
      <c r="E293" s="176"/>
      <c r="F293" s="186" t="s">
        <v>542</v>
      </c>
      <c r="G293" s="227" t="s">
        <v>536</v>
      </c>
      <c r="H293" s="177"/>
      <c r="I293" s="178"/>
      <c r="J293" s="178"/>
      <c r="K293" s="179"/>
      <c r="L293" s="177"/>
      <c r="M293" s="178"/>
      <c r="N293" s="178"/>
      <c r="O293" s="180"/>
      <c r="P293" s="180"/>
      <c r="Q293" s="180"/>
      <c r="R293" s="180"/>
      <c r="S293" s="180" t="s">
        <v>61</v>
      </c>
      <c r="T293" s="267">
        <v>45666</v>
      </c>
      <c r="U293" s="271">
        <v>45666</v>
      </c>
      <c r="V293" s="272"/>
      <c r="W293" s="273"/>
      <c r="X293" s="184"/>
      <c r="Y293" s="185" t="str">
        <f t="shared" si="9"/>
        <v>項目名:処理区分、値:U(更新)</v>
      </c>
      <c r="Z293" s="236" t="s">
        <v>511</v>
      </c>
    </row>
    <row r="294" spans="1:26" ht="11.4" x14ac:dyDescent="0.15">
      <c r="A294" s="175">
        <f t="shared" si="2"/>
        <v>292</v>
      </c>
      <c r="B294" s="176"/>
      <c r="C294" s="176"/>
      <c r="D294" s="176"/>
      <c r="E294" s="176"/>
      <c r="F294" s="186" t="s">
        <v>543</v>
      </c>
      <c r="G294" s="227" t="s">
        <v>538</v>
      </c>
      <c r="H294" s="177"/>
      <c r="I294" s="178"/>
      <c r="J294" s="178"/>
      <c r="K294" s="179"/>
      <c r="L294" s="177"/>
      <c r="M294" s="178"/>
      <c r="N294" s="178"/>
      <c r="O294" s="180"/>
      <c r="P294" s="180"/>
      <c r="Q294" s="180"/>
      <c r="R294" s="180"/>
      <c r="S294" s="180" t="s">
        <v>61</v>
      </c>
      <c r="T294" s="267">
        <v>45666</v>
      </c>
      <c r="U294" s="271">
        <v>45666</v>
      </c>
      <c r="V294" s="272"/>
      <c r="W294" s="273"/>
      <c r="X294" s="184"/>
      <c r="Y294" s="185" t="str">
        <f t="shared" si="9"/>
        <v>項目名:処理区分、値:D(削除)</v>
      </c>
      <c r="Z294" s="236" t="s">
        <v>514</v>
      </c>
    </row>
    <row r="295" spans="1:26" ht="11.4" x14ac:dyDescent="0.15">
      <c r="A295" s="175">
        <f t="shared" si="2"/>
        <v>293</v>
      </c>
      <c r="B295" s="176"/>
      <c r="C295" s="176"/>
      <c r="D295" s="176" t="s">
        <v>307</v>
      </c>
      <c r="E295" s="176" t="s">
        <v>308</v>
      </c>
      <c r="F295" s="186" t="s">
        <v>466</v>
      </c>
      <c r="G295" s="227" t="s">
        <v>548</v>
      </c>
      <c r="H295" s="177"/>
      <c r="I295" s="178"/>
      <c r="J295" s="178"/>
      <c r="K295" s="179"/>
      <c r="L295" s="177"/>
      <c r="M295" s="178"/>
      <c r="N295" s="178"/>
      <c r="O295" s="180"/>
      <c r="P295" s="180"/>
      <c r="Q295" s="180"/>
      <c r="R295" s="180"/>
      <c r="S295" s="180" t="s">
        <v>61</v>
      </c>
      <c r="T295" s="267">
        <v>45666</v>
      </c>
      <c r="U295" s="271">
        <v>45666</v>
      </c>
      <c r="V295" s="272"/>
      <c r="W295" s="273"/>
      <c r="X295" s="184"/>
      <c r="Y295" s="185" t="s">
        <v>313</v>
      </c>
    </row>
    <row r="296" spans="1:26" ht="11.4" x14ac:dyDescent="0.15">
      <c r="A296" s="175">
        <f t="shared" si="2"/>
        <v>294</v>
      </c>
      <c r="B296" s="176"/>
      <c r="C296" s="176"/>
      <c r="D296" s="176"/>
      <c r="E296" s="176"/>
      <c r="F296" s="186"/>
      <c r="G296" s="227" t="s">
        <v>548</v>
      </c>
      <c r="H296" s="177"/>
      <c r="I296" s="178"/>
      <c r="J296" s="178"/>
      <c r="K296" s="179"/>
      <c r="L296" s="177"/>
      <c r="M296" s="178"/>
      <c r="N296" s="178"/>
      <c r="O296" s="180"/>
      <c r="P296" s="180"/>
      <c r="Q296" s="180"/>
      <c r="R296" s="180"/>
      <c r="S296" s="180" t="s">
        <v>61</v>
      </c>
      <c r="T296" s="267">
        <v>45666</v>
      </c>
      <c r="U296" s="271">
        <v>45666</v>
      </c>
      <c r="V296" s="272"/>
      <c r="W296" s="273"/>
      <c r="X296" s="184"/>
      <c r="Y296" s="185" t="s">
        <v>314</v>
      </c>
    </row>
    <row r="297" spans="1:26" ht="11.4" x14ac:dyDescent="0.15">
      <c r="A297" s="175">
        <f t="shared" si="2"/>
        <v>295</v>
      </c>
      <c r="B297" s="176"/>
      <c r="C297" s="176"/>
      <c r="D297" s="176"/>
      <c r="E297" s="176"/>
      <c r="F297" s="186"/>
      <c r="G297" s="227" t="s">
        <v>548</v>
      </c>
      <c r="H297" s="177"/>
      <c r="I297" s="178"/>
      <c r="J297" s="178"/>
      <c r="K297" s="179"/>
      <c r="L297" s="177"/>
      <c r="M297" s="178"/>
      <c r="N297" s="178"/>
      <c r="O297" s="180"/>
      <c r="P297" s="180"/>
      <c r="Q297" s="180"/>
      <c r="R297" s="180"/>
      <c r="S297" s="180" t="s">
        <v>61</v>
      </c>
      <c r="T297" s="267">
        <v>45666</v>
      </c>
      <c r="U297" s="271">
        <v>45666</v>
      </c>
      <c r="V297" s="272"/>
      <c r="W297" s="273"/>
      <c r="X297" s="184"/>
      <c r="Y297" s="185" t="s">
        <v>315</v>
      </c>
    </row>
    <row r="298" spans="1:26" ht="11.4" x14ac:dyDescent="0.15">
      <c r="A298" s="175">
        <f t="shared" si="2"/>
        <v>296</v>
      </c>
      <c r="B298" s="176"/>
      <c r="C298" s="176"/>
      <c r="D298" s="176"/>
      <c r="E298" s="176"/>
      <c r="F298" s="186"/>
      <c r="G298" s="227" t="s">
        <v>548</v>
      </c>
      <c r="H298" s="177"/>
      <c r="I298" s="178"/>
      <c r="J298" s="178"/>
      <c r="K298" s="179"/>
      <c r="L298" s="177"/>
      <c r="M298" s="178"/>
      <c r="N298" s="178"/>
      <c r="O298" s="180"/>
      <c r="P298" s="180"/>
      <c r="Q298" s="180"/>
      <c r="R298" s="180"/>
      <c r="S298" s="180" t="s">
        <v>61</v>
      </c>
      <c r="T298" s="267">
        <v>45666</v>
      </c>
      <c r="U298" s="271">
        <v>45666</v>
      </c>
      <c r="V298" s="272"/>
      <c r="W298" s="273"/>
      <c r="X298" s="184"/>
      <c r="Y298" s="185" t="s">
        <v>316</v>
      </c>
    </row>
    <row r="299" spans="1:26" ht="11.4" x14ac:dyDescent="0.15">
      <c r="A299" s="175">
        <f t="shared" si="2"/>
        <v>297</v>
      </c>
      <c r="B299" s="176"/>
      <c r="C299" s="176"/>
      <c r="D299" s="176"/>
      <c r="E299" s="176"/>
      <c r="F299" s="186"/>
      <c r="G299" s="227" t="s">
        <v>548</v>
      </c>
      <c r="H299" s="177"/>
      <c r="I299" s="178"/>
      <c r="J299" s="178"/>
      <c r="K299" s="179"/>
      <c r="L299" s="177"/>
      <c r="M299" s="178"/>
      <c r="N299" s="178"/>
      <c r="O299" s="180"/>
      <c r="P299" s="180"/>
      <c r="Q299" s="180"/>
      <c r="R299" s="180"/>
      <c r="S299" s="180" t="s">
        <v>61</v>
      </c>
      <c r="T299" s="267">
        <v>45666</v>
      </c>
      <c r="U299" s="271">
        <v>45666</v>
      </c>
      <c r="V299" s="272"/>
      <c r="W299" s="273"/>
      <c r="X299" s="184"/>
      <c r="Y299" s="185" t="s">
        <v>317</v>
      </c>
    </row>
    <row r="300" spans="1:26" s="236" customFormat="1" ht="11.4" x14ac:dyDescent="0.15">
      <c r="A300" s="175">
        <f t="shared" ref="A300:A301" si="10">ROW()-2</f>
        <v>298</v>
      </c>
      <c r="B300" s="176"/>
      <c r="C300" s="176" t="s">
        <v>549</v>
      </c>
      <c r="D300" s="176" t="s">
        <v>550</v>
      </c>
      <c r="E300" s="176" t="s">
        <v>551</v>
      </c>
      <c r="F300" s="186" t="s">
        <v>552</v>
      </c>
      <c r="G300" s="227" t="s">
        <v>553</v>
      </c>
      <c r="H300" s="177"/>
      <c r="I300" s="178"/>
      <c r="J300" s="178"/>
      <c r="K300" s="179"/>
      <c r="L300" s="177"/>
      <c r="M300" s="178"/>
      <c r="N300" s="178"/>
      <c r="O300" s="178" t="s">
        <v>61</v>
      </c>
      <c r="P300" s="180"/>
      <c r="Q300" s="180"/>
      <c r="R300" s="180"/>
      <c r="S300" s="180"/>
      <c r="T300" s="267">
        <v>45666</v>
      </c>
      <c r="U300" s="271">
        <v>45666</v>
      </c>
      <c r="V300" s="272"/>
      <c r="W300" s="273"/>
      <c r="X300" s="184"/>
      <c r="Y300" s="230"/>
    </row>
    <row r="301" spans="1:26" s="236" customFormat="1" ht="11.4" x14ac:dyDescent="0.15">
      <c r="A301" s="175">
        <f t="shared" si="10"/>
        <v>299</v>
      </c>
      <c r="B301" s="176"/>
      <c r="C301" s="176"/>
      <c r="D301" s="176"/>
      <c r="E301" s="176" t="s">
        <v>554</v>
      </c>
      <c r="F301" s="186" t="s">
        <v>555</v>
      </c>
      <c r="G301" s="227" t="s">
        <v>553</v>
      </c>
      <c r="H301" s="177"/>
      <c r="I301" s="178"/>
      <c r="J301" s="178"/>
      <c r="K301" s="179"/>
      <c r="L301" s="177"/>
      <c r="M301" s="178"/>
      <c r="N301" s="178"/>
      <c r="O301" s="178" t="s">
        <v>61</v>
      </c>
      <c r="P301" s="180"/>
      <c r="Q301" s="180"/>
      <c r="R301" s="180"/>
      <c r="S301" s="180"/>
      <c r="T301" s="267">
        <v>45666</v>
      </c>
      <c r="U301" s="271">
        <v>45666</v>
      </c>
      <c r="V301" s="272"/>
      <c r="W301" s="273"/>
      <c r="X301" s="184"/>
      <c r="Y301" s="230"/>
    </row>
    <row r="302" spans="1:26" ht="11.4" x14ac:dyDescent="0.15">
      <c r="A302" s="175">
        <f>ROW()-2</f>
        <v>300</v>
      </c>
      <c r="B302" s="176" t="s">
        <v>50</v>
      </c>
      <c r="C302" s="176" t="s">
        <v>325</v>
      </c>
      <c r="D302" s="176" t="s">
        <v>325</v>
      </c>
      <c r="E302" s="176" t="s">
        <v>326</v>
      </c>
      <c r="F302" s="186" t="s">
        <v>54</v>
      </c>
      <c r="G302" s="227" t="s">
        <v>327</v>
      </c>
      <c r="H302" s="177"/>
      <c r="I302" s="178"/>
      <c r="J302" s="178"/>
      <c r="K302" s="179"/>
      <c r="L302" s="177"/>
      <c r="M302" s="178"/>
      <c r="N302" s="178"/>
      <c r="O302" s="180"/>
      <c r="P302" s="180"/>
      <c r="Q302" s="180"/>
      <c r="R302" s="180" t="s">
        <v>61</v>
      </c>
      <c r="S302" s="180"/>
      <c r="T302" s="267">
        <v>45694</v>
      </c>
      <c r="U302" s="271"/>
      <c r="V302" s="272"/>
      <c r="W302" s="273"/>
      <c r="X302" s="184"/>
      <c r="Y302" s="185" t="s">
        <v>472</v>
      </c>
    </row>
    <row r="303" spans="1:26" ht="11.4" x14ac:dyDescent="0.15">
      <c r="A303" s="175">
        <f t="shared" ref="A303:A361" si="11">ROW()-2</f>
        <v>301</v>
      </c>
      <c r="B303" s="176" t="s">
        <v>328</v>
      </c>
      <c r="C303" s="176"/>
      <c r="D303" s="176"/>
      <c r="E303" s="176" t="s">
        <v>72</v>
      </c>
      <c r="F303" s="186"/>
      <c r="G303" s="227" t="s">
        <v>329</v>
      </c>
      <c r="H303" s="177"/>
      <c r="I303" s="178"/>
      <c r="J303" s="178"/>
      <c r="K303" s="179"/>
      <c r="L303" s="177"/>
      <c r="M303" s="178"/>
      <c r="N303" s="178"/>
      <c r="O303" s="180" t="s">
        <v>56</v>
      </c>
      <c r="P303" s="180"/>
      <c r="Q303" s="180"/>
      <c r="R303" s="180"/>
      <c r="S303" s="180"/>
      <c r="T303" s="267">
        <v>45694</v>
      </c>
      <c r="U303" s="271"/>
      <c r="V303" s="272"/>
      <c r="W303" s="273"/>
      <c r="X303" s="184"/>
      <c r="Y303" s="185" t="s">
        <v>556</v>
      </c>
    </row>
    <row r="304" spans="1:26" s="236" customFormat="1" ht="11.4" x14ac:dyDescent="0.15">
      <c r="A304" s="175">
        <f t="shared" ref="A304:A335" si="12">ROW()-2</f>
        <v>302</v>
      </c>
      <c r="B304" s="176" t="s">
        <v>330</v>
      </c>
      <c r="C304" s="176" t="s">
        <v>331</v>
      </c>
      <c r="D304" s="176" t="s">
        <v>557</v>
      </c>
      <c r="E304" s="186" t="s">
        <v>332</v>
      </c>
      <c r="F304" s="233" t="s">
        <v>1092</v>
      </c>
      <c r="G304" s="228" t="s">
        <v>558</v>
      </c>
      <c r="H304" s="177"/>
      <c r="I304" s="178"/>
      <c r="J304" s="178"/>
      <c r="K304" s="179"/>
      <c r="L304" s="177"/>
      <c r="M304" s="180" t="s">
        <v>56</v>
      </c>
      <c r="N304" s="178"/>
      <c r="O304" s="180"/>
      <c r="P304" s="180"/>
      <c r="Q304" s="180"/>
      <c r="R304" s="180"/>
      <c r="S304" s="180"/>
      <c r="T304" s="267">
        <v>45672</v>
      </c>
      <c r="U304" s="271"/>
      <c r="V304" s="272"/>
      <c r="W304" s="273"/>
      <c r="X304" s="184"/>
      <c r="Y304" s="185" t="s">
        <v>334</v>
      </c>
    </row>
    <row r="305" spans="1:25" s="236" customFormat="1" ht="11.4" x14ac:dyDescent="0.15">
      <c r="A305" s="175">
        <f t="shared" si="12"/>
        <v>303</v>
      </c>
      <c r="B305" s="176"/>
      <c r="C305" s="176"/>
      <c r="D305" s="176"/>
      <c r="E305" s="186" t="s">
        <v>559</v>
      </c>
      <c r="F305" s="233"/>
      <c r="G305" s="228" t="s">
        <v>560</v>
      </c>
      <c r="H305" s="177"/>
      <c r="I305" s="178"/>
      <c r="J305" s="178"/>
      <c r="K305" s="179"/>
      <c r="L305" s="177"/>
      <c r="M305" s="178"/>
      <c r="N305" s="178"/>
      <c r="O305" s="180"/>
      <c r="P305" s="180"/>
      <c r="Q305" s="180"/>
      <c r="R305" s="180" t="s">
        <v>56</v>
      </c>
      <c r="S305" s="180"/>
      <c r="T305" s="267">
        <v>45672</v>
      </c>
      <c r="U305" s="271"/>
      <c r="V305" s="272"/>
      <c r="W305" s="273"/>
      <c r="X305" s="184"/>
      <c r="Y305" s="229" t="s">
        <v>1096</v>
      </c>
    </row>
    <row r="306" spans="1:25" s="236" customFormat="1" ht="11.4" x14ac:dyDescent="0.15">
      <c r="A306" s="175">
        <f t="shared" si="12"/>
        <v>304</v>
      </c>
      <c r="B306" s="176"/>
      <c r="C306" s="176"/>
      <c r="D306" s="176"/>
      <c r="E306" s="176" t="s">
        <v>561</v>
      </c>
      <c r="F306" s="233"/>
      <c r="G306" s="228" t="s">
        <v>336</v>
      </c>
      <c r="H306" s="177"/>
      <c r="I306" s="178"/>
      <c r="J306" s="178"/>
      <c r="K306" s="179"/>
      <c r="L306" s="177"/>
      <c r="M306" s="178"/>
      <c r="N306" s="178"/>
      <c r="O306" s="180"/>
      <c r="P306" s="180"/>
      <c r="Q306" s="180"/>
      <c r="R306" s="180" t="s">
        <v>56</v>
      </c>
      <c r="S306" s="180"/>
      <c r="T306" s="267">
        <v>45672</v>
      </c>
      <c r="U306" s="271"/>
      <c r="V306" s="272"/>
      <c r="W306" s="273"/>
      <c r="X306" s="184"/>
      <c r="Y306" s="185" t="s">
        <v>562</v>
      </c>
    </row>
    <row r="307" spans="1:25" s="236" customFormat="1" ht="11.4" x14ac:dyDescent="0.15">
      <c r="A307" s="175">
        <f t="shared" si="12"/>
        <v>305</v>
      </c>
      <c r="B307" s="176"/>
      <c r="C307" s="176" t="s">
        <v>563</v>
      </c>
      <c r="D307" s="176" t="s">
        <v>564</v>
      </c>
      <c r="E307" s="186" t="s">
        <v>332</v>
      </c>
      <c r="F307" s="233" t="s">
        <v>1092</v>
      </c>
      <c r="G307" s="228" t="s">
        <v>565</v>
      </c>
      <c r="H307" s="177"/>
      <c r="I307" s="178"/>
      <c r="J307" s="178"/>
      <c r="K307" s="179"/>
      <c r="L307" s="177"/>
      <c r="M307" s="180" t="s">
        <v>56</v>
      </c>
      <c r="N307" s="178"/>
      <c r="O307" s="180"/>
      <c r="P307" s="180"/>
      <c r="Q307" s="180"/>
      <c r="R307" s="180"/>
      <c r="S307" s="180"/>
      <c r="T307" s="267">
        <v>45672</v>
      </c>
      <c r="U307" s="271"/>
      <c r="V307" s="272"/>
      <c r="W307" s="273"/>
      <c r="X307" s="184"/>
      <c r="Y307" s="185" t="s">
        <v>334</v>
      </c>
    </row>
    <row r="308" spans="1:25" s="236" customFormat="1" ht="11.4" x14ac:dyDescent="0.15">
      <c r="A308" s="175">
        <f t="shared" si="12"/>
        <v>306</v>
      </c>
      <c r="B308" s="176"/>
      <c r="C308" s="176"/>
      <c r="D308" s="176"/>
      <c r="E308" s="186" t="s">
        <v>559</v>
      </c>
      <c r="F308" s="233"/>
      <c r="G308" s="228" t="s">
        <v>560</v>
      </c>
      <c r="H308" s="177"/>
      <c r="I308" s="178"/>
      <c r="J308" s="178"/>
      <c r="K308" s="179"/>
      <c r="L308" s="177"/>
      <c r="M308" s="178"/>
      <c r="N308" s="178"/>
      <c r="O308" s="180"/>
      <c r="P308" s="180"/>
      <c r="Q308" s="180"/>
      <c r="R308" s="180" t="s">
        <v>56</v>
      </c>
      <c r="S308" s="180"/>
      <c r="T308" s="267">
        <v>45672</v>
      </c>
      <c r="U308" s="271"/>
      <c r="V308" s="272"/>
      <c r="W308" s="273"/>
      <c r="X308" s="184"/>
      <c r="Y308" s="229" t="s">
        <v>1096</v>
      </c>
    </row>
    <row r="309" spans="1:25" s="236" customFormat="1" ht="11.4" x14ac:dyDescent="0.15">
      <c r="A309" s="175">
        <f t="shared" si="12"/>
        <v>307</v>
      </c>
      <c r="B309" s="176"/>
      <c r="C309" s="176"/>
      <c r="D309" s="176"/>
      <c r="E309" s="186" t="s">
        <v>566</v>
      </c>
      <c r="F309" s="233"/>
      <c r="G309" s="228" t="s">
        <v>336</v>
      </c>
      <c r="H309" s="177"/>
      <c r="I309" s="178"/>
      <c r="J309" s="178"/>
      <c r="K309" s="179"/>
      <c r="L309" s="177"/>
      <c r="M309" s="178"/>
      <c r="N309" s="178"/>
      <c r="O309" s="180"/>
      <c r="P309" s="180"/>
      <c r="Q309" s="180"/>
      <c r="R309" s="180" t="s">
        <v>56</v>
      </c>
      <c r="S309" s="180"/>
      <c r="T309" s="267">
        <v>45672</v>
      </c>
      <c r="U309" s="271"/>
      <c r="V309" s="272"/>
      <c r="W309" s="273"/>
      <c r="X309" s="184"/>
      <c r="Y309" s="185" t="s">
        <v>567</v>
      </c>
    </row>
    <row r="310" spans="1:25" s="236" customFormat="1" ht="11.4" x14ac:dyDescent="0.15">
      <c r="A310" s="175">
        <f t="shared" si="12"/>
        <v>308</v>
      </c>
      <c r="B310" s="176"/>
      <c r="C310" s="176" t="s">
        <v>568</v>
      </c>
      <c r="D310" s="176" t="s">
        <v>569</v>
      </c>
      <c r="E310" s="186" t="s">
        <v>559</v>
      </c>
      <c r="F310" s="233" t="s">
        <v>1093</v>
      </c>
      <c r="G310" s="228" t="s">
        <v>560</v>
      </c>
      <c r="H310" s="177"/>
      <c r="I310" s="178"/>
      <c r="J310" s="178"/>
      <c r="K310" s="179"/>
      <c r="L310" s="177"/>
      <c r="M310" s="180"/>
      <c r="N310" s="178"/>
      <c r="O310" s="180"/>
      <c r="P310" s="180"/>
      <c r="Q310" s="180"/>
      <c r="R310" s="180" t="s">
        <v>56</v>
      </c>
      <c r="S310" s="180"/>
      <c r="T310" s="267">
        <v>45672</v>
      </c>
      <c r="U310" s="271">
        <v>45667</v>
      </c>
      <c r="V310" s="272"/>
      <c r="W310" s="273"/>
      <c r="X310" s="184"/>
      <c r="Y310" s="229" t="s">
        <v>1096</v>
      </c>
    </row>
    <row r="311" spans="1:25" s="236" customFormat="1" ht="11.4" x14ac:dyDescent="0.15">
      <c r="A311" s="175">
        <f t="shared" si="12"/>
        <v>309</v>
      </c>
      <c r="B311" s="176"/>
      <c r="C311" s="176"/>
      <c r="D311" s="176"/>
      <c r="E311" s="186" t="s">
        <v>570</v>
      </c>
      <c r="F311" s="233"/>
      <c r="G311" s="228" t="s">
        <v>336</v>
      </c>
      <c r="H311" s="177"/>
      <c r="I311" s="178"/>
      <c r="J311" s="178"/>
      <c r="K311" s="179"/>
      <c r="L311" s="177"/>
      <c r="M311" s="180"/>
      <c r="N311" s="178"/>
      <c r="O311" s="180"/>
      <c r="P311" s="180"/>
      <c r="Q311" s="180"/>
      <c r="R311" s="180" t="s">
        <v>56</v>
      </c>
      <c r="S311" s="180"/>
      <c r="T311" s="267">
        <v>45667</v>
      </c>
      <c r="U311" s="271">
        <v>45667</v>
      </c>
      <c r="V311" s="272"/>
      <c r="W311" s="273"/>
      <c r="X311" s="184"/>
      <c r="Y311" s="185" t="s">
        <v>1125</v>
      </c>
    </row>
    <row r="312" spans="1:25" s="236" customFormat="1" ht="11.4" x14ac:dyDescent="0.15">
      <c r="A312" s="279">
        <f t="shared" si="12"/>
        <v>310</v>
      </c>
      <c r="B312" s="280"/>
      <c r="C312" s="280"/>
      <c r="D312" s="280" t="s">
        <v>571</v>
      </c>
      <c r="E312" s="281" t="s">
        <v>559</v>
      </c>
      <c r="F312" s="296" t="s">
        <v>1095</v>
      </c>
      <c r="G312" s="295" t="s">
        <v>560</v>
      </c>
      <c r="H312" s="283"/>
      <c r="I312" s="284"/>
      <c r="J312" s="284"/>
      <c r="K312" s="285"/>
      <c r="L312" s="283"/>
      <c r="M312" s="286"/>
      <c r="N312" s="284"/>
      <c r="O312" s="286"/>
      <c r="P312" s="286"/>
      <c r="Q312" s="286"/>
      <c r="R312" s="286" t="s">
        <v>56</v>
      </c>
      <c r="S312" s="286"/>
      <c r="T312" s="287">
        <v>45667</v>
      </c>
      <c r="U312" s="288">
        <v>45663</v>
      </c>
      <c r="V312" s="289"/>
      <c r="W312" s="290"/>
      <c r="X312" s="291"/>
      <c r="Y312" s="297" t="s">
        <v>1096</v>
      </c>
    </row>
    <row r="313" spans="1:25" s="236" customFormat="1" ht="11.4" x14ac:dyDescent="0.15">
      <c r="A313" s="279">
        <f t="shared" si="12"/>
        <v>311</v>
      </c>
      <c r="B313" s="280"/>
      <c r="C313" s="280"/>
      <c r="D313" s="280"/>
      <c r="E313" s="281" t="s">
        <v>572</v>
      </c>
      <c r="F313" s="296"/>
      <c r="G313" s="295" t="s">
        <v>336</v>
      </c>
      <c r="H313" s="283"/>
      <c r="I313" s="284"/>
      <c r="J313" s="284"/>
      <c r="K313" s="285"/>
      <c r="L313" s="283"/>
      <c r="M313" s="286"/>
      <c r="N313" s="284"/>
      <c r="O313" s="286"/>
      <c r="P313" s="286"/>
      <c r="Q313" s="286"/>
      <c r="R313" s="286" t="s">
        <v>56</v>
      </c>
      <c r="S313" s="286"/>
      <c r="T313" s="287">
        <v>45667</v>
      </c>
      <c r="U313" s="288">
        <v>45663</v>
      </c>
      <c r="V313" s="289"/>
      <c r="W313" s="290"/>
      <c r="X313" s="291"/>
      <c r="Y313" s="292" t="s">
        <v>472</v>
      </c>
    </row>
    <row r="314" spans="1:25" s="236" customFormat="1" ht="11.4" x14ac:dyDescent="0.15">
      <c r="A314" s="175">
        <f t="shared" si="12"/>
        <v>312</v>
      </c>
      <c r="B314" s="176"/>
      <c r="C314" s="176"/>
      <c r="D314" s="176" t="s">
        <v>573</v>
      </c>
      <c r="E314" s="186" t="s">
        <v>559</v>
      </c>
      <c r="F314" s="233" t="s">
        <v>1094</v>
      </c>
      <c r="G314" s="228" t="s">
        <v>560</v>
      </c>
      <c r="H314" s="177"/>
      <c r="I314" s="178"/>
      <c r="J314" s="178"/>
      <c r="K314" s="179"/>
      <c r="L314" s="177"/>
      <c r="M314" s="180"/>
      <c r="N314" s="178"/>
      <c r="O314" s="180"/>
      <c r="P314" s="180"/>
      <c r="Q314" s="180"/>
      <c r="R314" s="180" t="s">
        <v>56</v>
      </c>
      <c r="S314" s="180"/>
      <c r="T314" s="301"/>
      <c r="U314" s="271"/>
      <c r="V314" s="272"/>
      <c r="W314" s="273"/>
      <c r="X314" s="184"/>
      <c r="Y314" s="229" t="s">
        <v>1096</v>
      </c>
    </row>
    <row r="315" spans="1:25" s="236" customFormat="1" ht="11.4" x14ac:dyDescent="0.15">
      <c r="A315" s="175">
        <f t="shared" si="12"/>
        <v>313</v>
      </c>
      <c r="B315" s="176"/>
      <c r="C315" s="176"/>
      <c r="D315" s="176"/>
      <c r="E315" s="186" t="s">
        <v>574</v>
      </c>
      <c r="F315" s="233"/>
      <c r="G315" s="228" t="s">
        <v>336</v>
      </c>
      <c r="H315" s="177"/>
      <c r="I315" s="178"/>
      <c r="J315" s="178"/>
      <c r="K315" s="179"/>
      <c r="L315" s="177"/>
      <c r="M315" s="180"/>
      <c r="N315" s="178"/>
      <c r="O315" s="180"/>
      <c r="P315" s="180"/>
      <c r="Q315" s="180"/>
      <c r="R315" s="180" t="s">
        <v>56</v>
      </c>
      <c r="S315" s="180"/>
      <c r="T315" s="301"/>
      <c r="U315" s="271"/>
      <c r="V315" s="272"/>
      <c r="W315" s="273"/>
      <c r="X315" s="184"/>
      <c r="Y315" s="185" t="s">
        <v>472</v>
      </c>
    </row>
    <row r="316" spans="1:25" s="236" customFormat="1" ht="11.4" x14ac:dyDescent="0.15">
      <c r="A316" s="175">
        <f t="shared" si="12"/>
        <v>314</v>
      </c>
      <c r="B316" s="176"/>
      <c r="C316" s="176"/>
      <c r="D316" s="176" t="s">
        <v>431</v>
      </c>
      <c r="E316" s="186" t="s">
        <v>559</v>
      </c>
      <c r="F316" s="233" t="s">
        <v>1085</v>
      </c>
      <c r="G316" s="228" t="s">
        <v>560</v>
      </c>
      <c r="H316" s="177"/>
      <c r="I316" s="178"/>
      <c r="J316" s="178"/>
      <c r="K316" s="179"/>
      <c r="L316" s="177"/>
      <c r="M316" s="180"/>
      <c r="N316" s="178"/>
      <c r="O316" s="180"/>
      <c r="P316" s="180"/>
      <c r="Q316" s="180"/>
      <c r="R316" s="180" t="s">
        <v>56</v>
      </c>
      <c r="S316" s="180"/>
      <c r="T316" s="267">
        <v>45667</v>
      </c>
      <c r="U316" s="271">
        <v>45667</v>
      </c>
      <c r="V316" s="272"/>
      <c r="W316" s="273"/>
      <c r="X316" s="184"/>
      <c r="Y316" s="229" t="s">
        <v>1096</v>
      </c>
    </row>
    <row r="317" spans="1:25" s="236" customFormat="1" ht="11.4" x14ac:dyDescent="0.15">
      <c r="A317" s="175">
        <f t="shared" si="12"/>
        <v>315</v>
      </c>
      <c r="B317" s="176"/>
      <c r="C317" s="176"/>
      <c r="D317" s="176"/>
      <c r="E317" s="176" t="s">
        <v>335</v>
      </c>
      <c r="F317" s="233"/>
      <c r="G317" s="228" t="s">
        <v>336</v>
      </c>
      <c r="H317" s="177"/>
      <c r="I317" s="178"/>
      <c r="J317" s="178"/>
      <c r="K317" s="179"/>
      <c r="L317" s="177"/>
      <c r="M317" s="178"/>
      <c r="N317" s="178"/>
      <c r="O317" s="180"/>
      <c r="P317" s="180"/>
      <c r="Q317" s="180"/>
      <c r="R317" s="180" t="s">
        <v>56</v>
      </c>
      <c r="S317" s="180"/>
      <c r="T317" s="267">
        <v>45667</v>
      </c>
      <c r="U317" s="271">
        <v>45667</v>
      </c>
      <c r="V317" s="272"/>
      <c r="W317" s="273"/>
      <c r="X317" s="184"/>
      <c r="Y317" s="185" t="s">
        <v>472</v>
      </c>
    </row>
    <row r="318" spans="1:25" s="236" customFormat="1" ht="11.4" x14ac:dyDescent="0.15">
      <c r="A318" s="175">
        <f t="shared" si="12"/>
        <v>316</v>
      </c>
      <c r="B318" s="176"/>
      <c r="C318" s="176"/>
      <c r="D318" s="176" t="s">
        <v>575</v>
      </c>
      <c r="E318" s="186" t="s">
        <v>559</v>
      </c>
      <c r="F318" s="233" t="s">
        <v>1085</v>
      </c>
      <c r="G318" s="228" t="s">
        <v>560</v>
      </c>
      <c r="H318" s="177"/>
      <c r="I318" s="178"/>
      <c r="J318" s="178"/>
      <c r="K318" s="179"/>
      <c r="L318" s="177"/>
      <c r="M318" s="180"/>
      <c r="N318" s="178"/>
      <c r="O318" s="180"/>
      <c r="P318" s="180"/>
      <c r="Q318" s="180"/>
      <c r="R318" s="180" t="s">
        <v>56</v>
      </c>
      <c r="S318" s="180"/>
      <c r="T318" s="267">
        <v>45667</v>
      </c>
      <c r="U318" s="271">
        <v>45667</v>
      </c>
      <c r="V318" s="272"/>
      <c r="W318" s="273"/>
      <c r="X318" s="184"/>
      <c r="Y318" s="229" t="s">
        <v>1096</v>
      </c>
    </row>
    <row r="319" spans="1:25" s="236" customFormat="1" ht="11.4" x14ac:dyDescent="0.15">
      <c r="A319" s="175">
        <f t="shared" si="12"/>
        <v>317</v>
      </c>
      <c r="B319" s="176"/>
      <c r="C319" s="176"/>
      <c r="D319" s="176"/>
      <c r="E319" s="186" t="s">
        <v>339</v>
      </c>
      <c r="F319" s="233"/>
      <c r="G319" s="228" t="s">
        <v>336</v>
      </c>
      <c r="H319" s="177"/>
      <c r="I319" s="178"/>
      <c r="J319" s="178"/>
      <c r="K319" s="179"/>
      <c r="L319" s="177"/>
      <c r="M319" s="178"/>
      <c r="N319" s="178"/>
      <c r="O319" s="180"/>
      <c r="P319" s="180"/>
      <c r="Q319" s="180"/>
      <c r="R319" s="180" t="s">
        <v>56</v>
      </c>
      <c r="S319" s="180"/>
      <c r="T319" s="267">
        <v>45667</v>
      </c>
      <c r="U319" s="271">
        <v>45667</v>
      </c>
      <c r="V319" s="272"/>
      <c r="W319" s="273"/>
      <c r="X319" s="184"/>
      <c r="Y319" s="185" t="s">
        <v>472</v>
      </c>
    </row>
    <row r="320" spans="1:25" s="236" customFormat="1" ht="11.4" x14ac:dyDescent="0.15">
      <c r="A320" s="175">
        <f t="shared" si="12"/>
        <v>318</v>
      </c>
      <c r="B320" s="176"/>
      <c r="C320" s="176"/>
      <c r="D320" s="176" t="s">
        <v>576</v>
      </c>
      <c r="E320" s="186" t="s">
        <v>559</v>
      </c>
      <c r="F320" s="186" t="s">
        <v>577</v>
      </c>
      <c r="G320" s="228" t="s">
        <v>560</v>
      </c>
      <c r="H320" s="177"/>
      <c r="I320" s="178"/>
      <c r="J320" s="178"/>
      <c r="K320" s="179"/>
      <c r="L320" s="177"/>
      <c r="M320" s="178"/>
      <c r="N320" s="178"/>
      <c r="O320" s="180"/>
      <c r="P320" s="180"/>
      <c r="Q320" s="180"/>
      <c r="R320" s="180" t="s">
        <v>56</v>
      </c>
      <c r="S320" s="180"/>
      <c r="T320" s="267">
        <v>45667</v>
      </c>
      <c r="U320" s="271">
        <v>45667</v>
      </c>
      <c r="V320" s="272"/>
      <c r="W320" s="273"/>
      <c r="X320" s="184"/>
      <c r="Y320" s="229" t="s">
        <v>1096</v>
      </c>
    </row>
    <row r="321" spans="1:25" s="236" customFormat="1" ht="11.4" x14ac:dyDescent="0.15">
      <c r="A321" s="175">
        <f t="shared" si="12"/>
        <v>319</v>
      </c>
      <c r="B321" s="176"/>
      <c r="C321" s="176"/>
      <c r="D321" s="176"/>
      <c r="E321" s="186" t="s">
        <v>88</v>
      </c>
      <c r="F321" s="233"/>
      <c r="G321" s="228" t="s">
        <v>336</v>
      </c>
      <c r="H321" s="177"/>
      <c r="I321" s="178"/>
      <c r="J321" s="178"/>
      <c r="K321" s="179"/>
      <c r="L321" s="177"/>
      <c r="M321" s="180"/>
      <c r="N321" s="178"/>
      <c r="O321" s="180"/>
      <c r="P321" s="180"/>
      <c r="Q321" s="180"/>
      <c r="R321" s="180" t="s">
        <v>56</v>
      </c>
      <c r="S321" s="180"/>
      <c r="T321" s="267">
        <v>45667</v>
      </c>
      <c r="U321" s="271">
        <v>45667</v>
      </c>
      <c r="V321" s="272"/>
      <c r="W321" s="273"/>
      <c r="X321" s="184"/>
      <c r="Y321" s="185" t="s">
        <v>472</v>
      </c>
    </row>
    <row r="322" spans="1:25" s="236" customFormat="1" ht="11.4" x14ac:dyDescent="0.15">
      <c r="A322" s="175">
        <f t="shared" si="12"/>
        <v>320</v>
      </c>
      <c r="B322" s="176"/>
      <c r="C322" s="176"/>
      <c r="D322" s="176"/>
      <c r="E322" s="186" t="s">
        <v>343</v>
      </c>
      <c r="F322" s="233"/>
      <c r="G322" s="228" t="s">
        <v>578</v>
      </c>
      <c r="H322" s="177"/>
      <c r="I322" s="178"/>
      <c r="J322" s="178"/>
      <c r="K322" s="179"/>
      <c r="L322" s="177"/>
      <c r="M322" s="180"/>
      <c r="N322" s="178"/>
      <c r="O322" s="180"/>
      <c r="P322" s="180"/>
      <c r="Q322" s="180"/>
      <c r="R322" s="180" t="s">
        <v>56</v>
      </c>
      <c r="S322" s="180"/>
      <c r="T322" s="267">
        <v>45667</v>
      </c>
      <c r="U322" s="271">
        <v>45667</v>
      </c>
      <c r="V322" s="272"/>
      <c r="W322" s="273"/>
      <c r="X322" s="184"/>
      <c r="Y322" s="185" t="s">
        <v>472</v>
      </c>
    </row>
    <row r="323" spans="1:25" s="236" customFormat="1" ht="11.4" x14ac:dyDescent="0.15">
      <c r="A323" s="175">
        <f t="shared" si="12"/>
        <v>321</v>
      </c>
      <c r="B323" s="176"/>
      <c r="C323" s="176"/>
      <c r="D323" s="176" t="s">
        <v>579</v>
      </c>
      <c r="E323" s="186" t="s">
        <v>559</v>
      </c>
      <c r="F323" s="233" t="s">
        <v>1085</v>
      </c>
      <c r="G323" s="228" t="s">
        <v>560</v>
      </c>
      <c r="H323" s="177"/>
      <c r="I323" s="178"/>
      <c r="J323" s="178"/>
      <c r="K323" s="179"/>
      <c r="L323" s="177"/>
      <c r="M323" s="180"/>
      <c r="N323" s="178"/>
      <c r="O323" s="180"/>
      <c r="P323" s="180"/>
      <c r="Q323" s="180"/>
      <c r="R323" s="180" t="s">
        <v>56</v>
      </c>
      <c r="S323" s="180"/>
      <c r="T323" s="267">
        <v>45667</v>
      </c>
      <c r="U323" s="271">
        <v>45667</v>
      </c>
      <c r="V323" s="272"/>
      <c r="W323" s="273"/>
      <c r="X323" s="184"/>
      <c r="Y323" s="229" t="s">
        <v>1096</v>
      </c>
    </row>
    <row r="324" spans="1:25" s="236" customFormat="1" ht="11.4" x14ac:dyDescent="0.15">
      <c r="A324" s="175">
        <f t="shared" si="12"/>
        <v>322</v>
      </c>
      <c r="B324" s="176"/>
      <c r="C324" s="176"/>
      <c r="D324" s="176"/>
      <c r="E324" s="186" t="s">
        <v>346</v>
      </c>
      <c r="F324" s="233"/>
      <c r="G324" s="228" t="s">
        <v>336</v>
      </c>
      <c r="H324" s="177"/>
      <c r="I324" s="178"/>
      <c r="J324" s="178"/>
      <c r="K324" s="179"/>
      <c r="L324" s="177"/>
      <c r="M324" s="178"/>
      <c r="N324" s="178"/>
      <c r="O324" s="180"/>
      <c r="P324" s="180"/>
      <c r="Q324" s="180"/>
      <c r="R324" s="180" t="s">
        <v>56</v>
      </c>
      <c r="S324" s="180"/>
      <c r="T324" s="267">
        <v>45667</v>
      </c>
      <c r="U324" s="271">
        <v>45667</v>
      </c>
      <c r="V324" s="272"/>
      <c r="W324" s="273"/>
      <c r="X324" s="184"/>
      <c r="Y324" s="185" t="s">
        <v>472</v>
      </c>
    </row>
    <row r="325" spans="1:25" s="236" customFormat="1" ht="11.4" x14ac:dyDescent="0.15">
      <c r="A325" s="175">
        <f t="shared" si="12"/>
        <v>323</v>
      </c>
      <c r="B325" s="176"/>
      <c r="C325" s="176"/>
      <c r="D325" s="176" t="s">
        <v>83</v>
      </c>
      <c r="E325" s="186" t="s">
        <v>559</v>
      </c>
      <c r="F325" s="233" t="s">
        <v>1085</v>
      </c>
      <c r="G325" s="228" t="s">
        <v>560</v>
      </c>
      <c r="H325" s="177"/>
      <c r="I325" s="178"/>
      <c r="J325" s="178"/>
      <c r="K325" s="179"/>
      <c r="L325" s="177"/>
      <c r="M325" s="178"/>
      <c r="N325" s="178"/>
      <c r="O325" s="180"/>
      <c r="P325" s="180"/>
      <c r="Q325" s="180"/>
      <c r="R325" s="180" t="s">
        <v>56</v>
      </c>
      <c r="S325" s="180"/>
      <c r="T325" s="267">
        <v>45667</v>
      </c>
      <c r="U325" s="271">
        <v>45667</v>
      </c>
      <c r="V325" s="272"/>
      <c r="W325" s="273"/>
      <c r="X325" s="184"/>
      <c r="Y325" s="229" t="s">
        <v>1096</v>
      </c>
    </row>
    <row r="326" spans="1:25" s="236" customFormat="1" ht="11.4" x14ac:dyDescent="0.15">
      <c r="A326" s="175">
        <f t="shared" si="12"/>
        <v>324</v>
      </c>
      <c r="B326" s="176"/>
      <c r="C326" s="176"/>
      <c r="D326" s="176"/>
      <c r="E326" s="176" t="s">
        <v>347</v>
      </c>
      <c r="F326" s="233"/>
      <c r="G326" s="228" t="s">
        <v>336</v>
      </c>
      <c r="H326" s="177"/>
      <c r="I326" s="178"/>
      <c r="J326" s="178"/>
      <c r="K326" s="179"/>
      <c r="L326" s="177"/>
      <c r="M326" s="178"/>
      <c r="N326" s="178"/>
      <c r="O326" s="180"/>
      <c r="P326" s="180"/>
      <c r="Q326" s="180"/>
      <c r="R326" s="180" t="s">
        <v>56</v>
      </c>
      <c r="S326" s="180"/>
      <c r="T326" s="267">
        <v>45667</v>
      </c>
      <c r="U326" s="271">
        <v>45667</v>
      </c>
      <c r="V326" s="272"/>
      <c r="W326" s="273"/>
      <c r="X326" s="184"/>
      <c r="Y326" s="185" t="s">
        <v>500</v>
      </c>
    </row>
    <row r="327" spans="1:25" s="236" customFormat="1" ht="11.4" x14ac:dyDescent="0.15">
      <c r="A327" s="175">
        <f t="shared" si="12"/>
        <v>325</v>
      </c>
      <c r="B327" s="176"/>
      <c r="C327" s="176"/>
      <c r="D327" s="176" t="s">
        <v>349</v>
      </c>
      <c r="E327" s="186" t="s">
        <v>559</v>
      </c>
      <c r="F327" s="186" t="s">
        <v>577</v>
      </c>
      <c r="G327" s="228" t="s">
        <v>560</v>
      </c>
      <c r="H327" s="177"/>
      <c r="I327" s="178"/>
      <c r="J327" s="178"/>
      <c r="K327" s="179"/>
      <c r="L327" s="177"/>
      <c r="M327" s="178"/>
      <c r="N327" s="178"/>
      <c r="O327" s="180"/>
      <c r="P327" s="180"/>
      <c r="Q327" s="180"/>
      <c r="R327" s="180" t="s">
        <v>56</v>
      </c>
      <c r="S327" s="180"/>
      <c r="T327" s="267">
        <v>45667</v>
      </c>
      <c r="U327" s="271">
        <v>45667</v>
      </c>
      <c r="V327" s="272"/>
      <c r="W327" s="273"/>
      <c r="X327" s="184"/>
      <c r="Y327" s="229" t="s">
        <v>1096</v>
      </c>
    </row>
    <row r="328" spans="1:25" s="236" customFormat="1" ht="11.4" x14ac:dyDescent="0.15">
      <c r="A328" s="175">
        <f t="shared" si="12"/>
        <v>326</v>
      </c>
      <c r="B328" s="176"/>
      <c r="C328" s="176"/>
      <c r="D328" s="176"/>
      <c r="E328" s="186" t="s">
        <v>88</v>
      </c>
      <c r="F328" s="233"/>
      <c r="G328" s="228" t="s">
        <v>336</v>
      </c>
      <c r="H328" s="177"/>
      <c r="I328" s="178"/>
      <c r="J328" s="178"/>
      <c r="K328" s="179"/>
      <c r="L328" s="177"/>
      <c r="M328" s="180"/>
      <c r="N328" s="178"/>
      <c r="O328" s="180"/>
      <c r="P328" s="180"/>
      <c r="Q328" s="180"/>
      <c r="R328" s="180" t="s">
        <v>56</v>
      </c>
      <c r="S328" s="180"/>
      <c r="T328" s="267">
        <v>45667</v>
      </c>
      <c r="U328" s="271">
        <v>45667</v>
      </c>
      <c r="V328" s="272"/>
      <c r="W328" s="273"/>
      <c r="X328" s="184"/>
      <c r="Y328" s="185" t="s">
        <v>500</v>
      </c>
    </row>
    <row r="329" spans="1:25" s="236" customFormat="1" ht="11.4" x14ac:dyDescent="0.15">
      <c r="A329" s="175">
        <f t="shared" si="12"/>
        <v>327</v>
      </c>
      <c r="B329" s="176"/>
      <c r="C329" s="176"/>
      <c r="D329" s="176"/>
      <c r="E329" s="186" t="s">
        <v>343</v>
      </c>
      <c r="F329" s="233"/>
      <c r="G329" s="228" t="s">
        <v>578</v>
      </c>
      <c r="H329" s="177"/>
      <c r="I329" s="178"/>
      <c r="J329" s="178"/>
      <c r="K329" s="179"/>
      <c r="L329" s="177"/>
      <c r="M329" s="180"/>
      <c r="N329" s="178"/>
      <c r="O329" s="180"/>
      <c r="P329" s="180"/>
      <c r="Q329" s="180"/>
      <c r="R329" s="180" t="s">
        <v>56</v>
      </c>
      <c r="S329" s="180"/>
      <c r="T329" s="267">
        <v>45667</v>
      </c>
      <c r="U329" s="271">
        <v>45667</v>
      </c>
      <c r="V329" s="272"/>
      <c r="W329" s="273"/>
      <c r="X329" s="184"/>
      <c r="Y329" s="185" t="s">
        <v>500</v>
      </c>
    </row>
    <row r="330" spans="1:25" s="236" customFormat="1" ht="11.4" x14ac:dyDescent="0.15">
      <c r="A330" s="175">
        <f t="shared" si="12"/>
        <v>328</v>
      </c>
      <c r="B330" s="176"/>
      <c r="C330" s="176"/>
      <c r="D330" s="176" t="s">
        <v>350</v>
      </c>
      <c r="E330" s="186" t="s">
        <v>559</v>
      </c>
      <c r="F330" s="233" t="s">
        <v>1085</v>
      </c>
      <c r="G330" s="228" t="s">
        <v>560</v>
      </c>
      <c r="H330" s="177"/>
      <c r="I330" s="178"/>
      <c r="J330" s="178"/>
      <c r="K330" s="179"/>
      <c r="L330" s="177"/>
      <c r="M330" s="180"/>
      <c r="N330" s="178"/>
      <c r="O330" s="180"/>
      <c r="P330" s="180"/>
      <c r="Q330" s="180"/>
      <c r="R330" s="180" t="s">
        <v>56</v>
      </c>
      <c r="S330" s="180"/>
      <c r="T330" s="267">
        <v>45667</v>
      </c>
      <c r="U330" s="271">
        <v>45667</v>
      </c>
      <c r="V330" s="272"/>
      <c r="W330" s="273"/>
      <c r="X330" s="184"/>
      <c r="Y330" s="229" t="s">
        <v>1096</v>
      </c>
    </row>
    <row r="331" spans="1:25" s="236" customFormat="1" ht="11.4" x14ac:dyDescent="0.15">
      <c r="A331" s="175">
        <f t="shared" si="12"/>
        <v>329</v>
      </c>
      <c r="B331" s="176"/>
      <c r="C331" s="176"/>
      <c r="D331" s="186"/>
      <c r="E331" s="186" t="s">
        <v>346</v>
      </c>
      <c r="F331" s="233"/>
      <c r="G331" s="228" t="s">
        <v>336</v>
      </c>
      <c r="H331" s="177"/>
      <c r="I331" s="178"/>
      <c r="J331" s="178"/>
      <c r="K331" s="179"/>
      <c r="L331" s="177"/>
      <c r="M331" s="178"/>
      <c r="N331" s="178"/>
      <c r="O331" s="180"/>
      <c r="P331" s="180"/>
      <c r="Q331" s="180"/>
      <c r="R331" s="180" t="s">
        <v>56</v>
      </c>
      <c r="S331" s="180"/>
      <c r="T331" s="267">
        <v>45667</v>
      </c>
      <c r="U331" s="271">
        <v>45667</v>
      </c>
      <c r="V331" s="272"/>
      <c r="W331" s="273"/>
      <c r="X331" s="184"/>
      <c r="Y331" s="185" t="s">
        <v>500</v>
      </c>
    </row>
    <row r="332" spans="1:25" s="236" customFormat="1" ht="11.4" x14ac:dyDescent="0.15">
      <c r="A332" s="175">
        <f t="shared" si="12"/>
        <v>330</v>
      </c>
      <c r="B332" s="176"/>
      <c r="C332" s="176" t="s">
        <v>351</v>
      </c>
      <c r="D332" s="186" t="s">
        <v>352</v>
      </c>
      <c r="E332" s="186" t="s">
        <v>353</v>
      </c>
      <c r="F332" s="186" t="s">
        <v>354</v>
      </c>
      <c r="G332" s="228" t="s">
        <v>355</v>
      </c>
      <c r="H332" s="177"/>
      <c r="I332" s="178"/>
      <c r="J332" s="178"/>
      <c r="K332" s="179"/>
      <c r="L332" s="177"/>
      <c r="M332" s="178"/>
      <c r="N332" s="178"/>
      <c r="O332" s="180" t="s">
        <v>56</v>
      </c>
      <c r="P332" s="180"/>
      <c r="Q332" s="180"/>
      <c r="R332" s="180"/>
      <c r="S332" s="180"/>
      <c r="T332" s="267">
        <v>45672</v>
      </c>
      <c r="U332" s="271"/>
      <c r="V332" s="272"/>
      <c r="W332" s="273"/>
      <c r="X332" s="184"/>
      <c r="Y332" s="230" t="s">
        <v>104</v>
      </c>
    </row>
    <row r="333" spans="1:25" s="236" customFormat="1" ht="11.4" x14ac:dyDescent="0.15">
      <c r="A333" s="175">
        <f t="shared" si="12"/>
        <v>331</v>
      </c>
      <c r="B333" s="176"/>
      <c r="C333" s="176"/>
      <c r="D333" s="186"/>
      <c r="E333" s="186" t="s">
        <v>356</v>
      </c>
      <c r="F333" s="186" t="s">
        <v>357</v>
      </c>
      <c r="G333" s="228" t="s">
        <v>355</v>
      </c>
      <c r="H333" s="177"/>
      <c r="I333" s="178"/>
      <c r="J333" s="178"/>
      <c r="K333" s="179"/>
      <c r="L333" s="177"/>
      <c r="M333" s="178"/>
      <c r="N333" s="178"/>
      <c r="O333" s="180" t="s">
        <v>56</v>
      </c>
      <c r="P333" s="180"/>
      <c r="Q333" s="180"/>
      <c r="R333" s="180"/>
      <c r="S333" s="180"/>
      <c r="T333" s="267">
        <v>45672</v>
      </c>
      <c r="U333" s="271"/>
      <c r="V333" s="272"/>
      <c r="W333" s="273"/>
      <c r="X333" s="184"/>
      <c r="Y333" s="230" t="s">
        <v>104</v>
      </c>
    </row>
    <row r="334" spans="1:25" s="236" customFormat="1" ht="11.4" x14ac:dyDescent="0.15">
      <c r="A334" s="175">
        <f t="shared" si="12"/>
        <v>332</v>
      </c>
      <c r="B334" s="176"/>
      <c r="C334" s="176"/>
      <c r="D334" s="186"/>
      <c r="E334" s="186" t="s">
        <v>358</v>
      </c>
      <c r="F334" s="186" t="s">
        <v>359</v>
      </c>
      <c r="G334" s="228" t="s">
        <v>355</v>
      </c>
      <c r="H334" s="177"/>
      <c r="I334" s="178"/>
      <c r="J334" s="178"/>
      <c r="K334" s="179"/>
      <c r="L334" s="177"/>
      <c r="M334" s="178"/>
      <c r="N334" s="178"/>
      <c r="O334" s="180" t="s">
        <v>56</v>
      </c>
      <c r="P334" s="180"/>
      <c r="Q334" s="180"/>
      <c r="R334" s="180"/>
      <c r="S334" s="180"/>
      <c r="T334" s="267">
        <v>45672</v>
      </c>
      <c r="U334" s="271"/>
      <c r="V334" s="272"/>
      <c r="W334" s="273"/>
      <c r="X334" s="184"/>
      <c r="Y334" s="230" t="s">
        <v>104</v>
      </c>
    </row>
    <row r="335" spans="1:25" s="236" customFormat="1" ht="11.4" x14ac:dyDescent="0.15">
      <c r="A335" s="175">
        <f t="shared" si="12"/>
        <v>333</v>
      </c>
      <c r="B335" s="176"/>
      <c r="C335" s="176"/>
      <c r="D335" s="186"/>
      <c r="E335" s="186" t="s">
        <v>360</v>
      </c>
      <c r="F335" s="186" t="s">
        <v>361</v>
      </c>
      <c r="G335" s="228" t="s">
        <v>355</v>
      </c>
      <c r="H335" s="177"/>
      <c r="I335" s="178"/>
      <c r="J335" s="178"/>
      <c r="K335" s="179"/>
      <c r="L335" s="177"/>
      <c r="M335" s="178"/>
      <c r="N335" s="178"/>
      <c r="O335" s="180" t="s">
        <v>56</v>
      </c>
      <c r="P335" s="180"/>
      <c r="Q335" s="180"/>
      <c r="R335" s="180"/>
      <c r="S335" s="180"/>
      <c r="T335" s="267">
        <v>45672</v>
      </c>
      <c r="U335" s="271"/>
      <c r="V335" s="272"/>
      <c r="W335" s="273"/>
      <c r="X335" s="184"/>
      <c r="Y335" s="230" t="s">
        <v>104</v>
      </c>
    </row>
    <row r="336" spans="1:25" ht="11.4" x14ac:dyDescent="0.15">
      <c r="A336" s="175">
        <f t="shared" si="11"/>
        <v>334</v>
      </c>
      <c r="B336" s="176"/>
      <c r="C336" s="176"/>
      <c r="D336" s="186" t="s">
        <v>580</v>
      </c>
      <c r="E336" s="186" t="s">
        <v>581</v>
      </c>
      <c r="F336" s="186" t="s">
        <v>582</v>
      </c>
      <c r="G336" s="228" t="s">
        <v>583</v>
      </c>
      <c r="H336" s="177"/>
      <c r="I336" s="178"/>
      <c r="J336" s="178"/>
      <c r="K336" s="179"/>
      <c r="L336" s="177"/>
      <c r="M336" s="178"/>
      <c r="N336" s="178"/>
      <c r="O336" s="180" t="s">
        <v>56</v>
      </c>
      <c r="P336" s="180"/>
      <c r="Q336" s="180"/>
      <c r="R336" s="180"/>
      <c r="S336" s="180"/>
      <c r="T336" s="301"/>
      <c r="U336" s="271"/>
      <c r="V336" s="272"/>
      <c r="W336" s="273"/>
      <c r="X336" s="184"/>
      <c r="Y336" s="185" t="s">
        <v>584</v>
      </c>
    </row>
    <row r="337" spans="1:26" ht="11.4" x14ac:dyDescent="0.15">
      <c r="A337" s="175">
        <f t="shared" si="11"/>
        <v>335</v>
      </c>
      <c r="B337" s="176"/>
      <c r="C337" s="176"/>
      <c r="D337" s="176"/>
      <c r="E337" s="176" t="s">
        <v>563</v>
      </c>
      <c r="F337" s="186" t="s">
        <v>585</v>
      </c>
      <c r="G337" s="228" t="s">
        <v>583</v>
      </c>
      <c r="H337" s="177"/>
      <c r="I337" s="178"/>
      <c r="J337" s="178"/>
      <c r="K337" s="179"/>
      <c r="L337" s="177"/>
      <c r="M337" s="178"/>
      <c r="N337" s="178"/>
      <c r="O337" s="180" t="s">
        <v>56</v>
      </c>
      <c r="P337" s="180"/>
      <c r="Q337" s="180"/>
      <c r="R337" s="180"/>
      <c r="S337" s="180"/>
      <c r="T337" s="301"/>
      <c r="U337" s="271"/>
      <c r="V337" s="272"/>
      <c r="W337" s="273"/>
      <c r="X337" s="184"/>
      <c r="Y337" s="185" t="s">
        <v>584</v>
      </c>
    </row>
    <row r="338" spans="1:26" s="236" customFormat="1" ht="11.4" x14ac:dyDescent="0.15">
      <c r="A338" s="175">
        <f t="shared" si="11"/>
        <v>336</v>
      </c>
      <c r="B338" s="187" t="s">
        <v>10</v>
      </c>
      <c r="C338" s="187" t="s">
        <v>52</v>
      </c>
      <c r="D338" s="186" t="s">
        <v>586</v>
      </c>
      <c r="E338" s="186" t="s">
        <v>372</v>
      </c>
      <c r="F338" s="186" t="s">
        <v>373</v>
      </c>
      <c r="G338" s="228" t="s">
        <v>587</v>
      </c>
      <c r="H338" s="177"/>
      <c r="I338" s="178"/>
      <c r="J338" s="178"/>
      <c r="K338" s="179"/>
      <c r="L338" s="177"/>
      <c r="M338" s="178"/>
      <c r="N338" s="178"/>
      <c r="O338" s="180" t="s">
        <v>56</v>
      </c>
      <c r="P338" s="180"/>
      <c r="Q338" s="180"/>
      <c r="R338" s="180"/>
      <c r="S338" s="180"/>
      <c r="T338" s="267">
        <v>45667</v>
      </c>
      <c r="U338" s="271">
        <v>45667</v>
      </c>
      <c r="V338" s="272"/>
      <c r="W338" s="273"/>
      <c r="X338" s="184"/>
      <c r="Y338" s="185" t="s">
        <v>588</v>
      </c>
    </row>
    <row r="339" spans="1:26" s="236" customFormat="1" ht="11.4" x14ac:dyDescent="0.15">
      <c r="A339" s="175">
        <f t="shared" si="11"/>
        <v>337</v>
      </c>
      <c r="B339" s="187"/>
      <c r="C339" s="187"/>
      <c r="D339" s="186"/>
      <c r="E339" s="186" t="s">
        <v>378</v>
      </c>
      <c r="F339" s="186" t="s">
        <v>377</v>
      </c>
      <c r="G339" s="228" t="s">
        <v>587</v>
      </c>
      <c r="H339" s="177"/>
      <c r="I339" s="178"/>
      <c r="J339" s="178"/>
      <c r="K339" s="179"/>
      <c r="L339" s="177"/>
      <c r="M339" s="178"/>
      <c r="N339" s="178"/>
      <c r="O339" s="180" t="s">
        <v>56</v>
      </c>
      <c r="P339" s="180"/>
      <c r="Q339" s="180"/>
      <c r="R339" s="180"/>
      <c r="S339" s="180"/>
      <c r="T339" s="267">
        <v>45667</v>
      </c>
      <c r="U339" s="271">
        <v>45667</v>
      </c>
      <c r="V339" s="272"/>
      <c r="W339" s="273"/>
      <c r="X339" s="184"/>
      <c r="Y339" s="185" t="s">
        <v>588</v>
      </c>
    </row>
    <row r="340" spans="1:26" s="236" customFormat="1" ht="11.4" x14ac:dyDescent="0.15">
      <c r="A340" s="175">
        <f t="shared" si="11"/>
        <v>338</v>
      </c>
      <c r="B340" s="187"/>
      <c r="C340" s="176"/>
      <c r="D340" s="186"/>
      <c r="E340" s="186" t="s">
        <v>589</v>
      </c>
      <c r="F340" s="186" t="s">
        <v>379</v>
      </c>
      <c r="G340" s="228" t="s">
        <v>587</v>
      </c>
      <c r="H340" s="177"/>
      <c r="I340" s="178"/>
      <c r="J340" s="178"/>
      <c r="K340" s="179"/>
      <c r="L340" s="177"/>
      <c r="M340" s="178"/>
      <c r="N340" s="178"/>
      <c r="O340" s="180" t="s">
        <v>56</v>
      </c>
      <c r="P340" s="180"/>
      <c r="Q340" s="180"/>
      <c r="R340" s="180"/>
      <c r="S340" s="180"/>
      <c r="T340" s="267">
        <v>45667</v>
      </c>
      <c r="U340" s="271">
        <v>45667</v>
      </c>
      <c r="V340" s="272"/>
      <c r="W340" s="273"/>
      <c r="X340" s="184"/>
      <c r="Y340" s="185" t="s">
        <v>588</v>
      </c>
    </row>
    <row r="341" spans="1:26" s="236" customFormat="1" ht="11.4" x14ac:dyDescent="0.15">
      <c r="A341" s="175">
        <f t="shared" si="11"/>
        <v>339</v>
      </c>
      <c r="B341" s="187"/>
      <c r="C341" s="176"/>
      <c r="D341" s="186"/>
      <c r="E341" s="186" t="s">
        <v>381</v>
      </c>
      <c r="F341" s="186" t="s">
        <v>380</v>
      </c>
      <c r="G341" s="228" t="s">
        <v>587</v>
      </c>
      <c r="H341" s="177"/>
      <c r="I341" s="178"/>
      <c r="J341" s="178"/>
      <c r="K341" s="179"/>
      <c r="L341" s="177"/>
      <c r="M341" s="178"/>
      <c r="N341" s="178"/>
      <c r="O341" s="180" t="s">
        <v>56</v>
      </c>
      <c r="P341" s="180"/>
      <c r="Q341" s="180"/>
      <c r="R341" s="180"/>
      <c r="S341" s="180"/>
      <c r="T341" s="267">
        <v>45667</v>
      </c>
      <c r="U341" s="271">
        <v>45667</v>
      </c>
      <c r="V341" s="272"/>
      <c r="W341" s="273"/>
      <c r="X341" s="184"/>
      <c r="Y341" s="185" t="s">
        <v>588</v>
      </c>
    </row>
    <row r="342" spans="1:26" s="236" customFormat="1" ht="11.4" x14ac:dyDescent="0.15">
      <c r="A342" s="175">
        <f t="shared" si="11"/>
        <v>340</v>
      </c>
      <c r="B342" s="187"/>
      <c r="C342" s="176"/>
      <c r="D342" s="186"/>
      <c r="E342" s="186" t="s">
        <v>383</v>
      </c>
      <c r="F342" s="186" t="s">
        <v>382</v>
      </c>
      <c r="G342" s="228" t="s">
        <v>587</v>
      </c>
      <c r="H342" s="177"/>
      <c r="I342" s="178"/>
      <c r="J342" s="178"/>
      <c r="K342" s="179"/>
      <c r="L342" s="177"/>
      <c r="M342" s="178"/>
      <c r="N342" s="178"/>
      <c r="O342" s="180" t="s">
        <v>56</v>
      </c>
      <c r="P342" s="180"/>
      <c r="Q342" s="180"/>
      <c r="R342" s="180"/>
      <c r="S342" s="180"/>
      <c r="T342" s="267">
        <v>45667</v>
      </c>
      <c r="U342" s="271">
        <v>45667</v>
      </c>
      <c r="V342" s="272"/>
      <c r="W342" s="273"/>
      <c r="X342" s="184"/>
      <c r="Y342" s="185" t="s">
        <v>588</v>
      </c>
    </row>
    <row r="343" spans="1:26" s="236" customFormat="1" ht="11.4" x14ac:dyDescent="0.15">
      <c r="A343" s="175">
        <f t="shared" si="11"/>
        <v>341</v>
      </c>
      <c r="B343" s="187"/>
      <c r="C343" s="176"/>
      <c r="D343" s="186"/>
      <c r="E343" s="186" t="s">
        <v>385</v>
      </c>
      <c r="F343" s="186" t="s">
        <v>384</v>
      </c>
      <c r="G343" s="228" t="s">
        <v>587</v>
      </c>
      <c r="H343" s="177"/>
      <c r="I343" s="178"/>
      <c r="J343" s="178"/>
      <c r="K343" s="179"/>
      <c r="L343" s="177"/>
      <c r="M343" s="178"/>
      <c r="N343" s="178"/>
      <c r="O343" s="180" t="s">
        <v>56</v>
      </c>
      <c r="P343" s="180"/>
      <c r="Q343" s="180"/>
      <c r="R343" s="180"/>
      <c r="S343" s="180"/>
      <c r="T343" s="267">
        <v>45667</v>
      </c>
      <c r="U343" s="293">
        <v>45667</v>
      </c>
      <c r="V343" s="272"/>
      <c r="W343" s="273"/>
      <c r="X343" s="184"/>
      <c r="Y343" s="185" t="s">
        <v>588</v>
      </c>
    </row>
    <row r="344" spans="1:26" s="236" customFormat="1" ht="11.4" x14ac:dyDescent="0.15">
      <c r="A344" s="175">
        <f t="shared" si="11"/>
        <v>342</v>
      </c>
      <c r="B344" s="176"/>
      <c r="C344" s="176"/>
      <c r="D344" s="186"/>
      <c r="E344" s="186" t="s">
        <v>401</v>
      </c>
      <c r="F344" s="186" t="s">
        <v>402</v>
      </c>
      <c r="G344" s="228" t="s">
        <v>403</v>
      </c>
      <c r="H344" s="177"/>
      <c r="I344" s="178"/>
      <c r="J344" s="178"/>
      <c r="K344" s="179"/>
      <c r="L344" s="177"/>
      <c r="M344" s="180" t="s">
        <v>56</v>
      </c>
      <c r="N344" s="178"/>
      <c r="O344" s="180"/>
      <c r="P344" s="180"/>
      <c r="Q344" s="180"/>
      <c r="R344" s="180"/>
      <c r="S344" s="180"/>
      <c r="T344" s="267">
        <v>45667</v>
      </c>
      <c r="U344" s="293">
        <v>45667</v>
      </c>
      <c r="V344" s="272"/>
      <c r="W344" s="273"/>
      <c r="X344" s="184"/>
      <c r="Y344" s="185" t="s">
        <v>588</v>
      </c>
    </row>
    <row r="345" spans="1:26" s="236" customFormat="1" ht="11.4" x14ac:dyDescent="0.15">
      <c r="A345" s="175">
        <f t="shared" si="11"/>
        <v>343</v>
      </c>
      <c r="B345" s="176"/>
      <c r="C345" s="176" t="s">
        <v>404</v>
      </c>
      <c r="D345" s="186" t="s">
        <v>590</v>
      </c>
      <c r="E345" s="186" t="s">
        <v>372</v>
      </c>
      <c r="F345" s="186" t="s">
        <v>373</v>
      </c>
      <c r="G345" s="228" t="s">
        <v>406</v>
      </c>
      <c r="H345" s="177"/>
      <c r="I345" s="178"/>
      <c r="J345" s="178"/>
      <c r="K345" s="179"/>
      <c r="L345" s="177"/>
      <c r="M345" s="178"/>
      <c r="N345" s="178"/>
      <c r="O345" s="180" t="s">
        <v>56</v>
      </c>
      <c r="P345" s="180"/>
      <c r="Q345" s="180"/>
      <c r="R345" s="180"/>
      <c r="S345" s="180"/>
      <c r="T345" s="267">
        <v>45667</v>
      </c>
      <c r="U345" s="293">
        <v>45667</v>
      </c>
      <c r="V345" s="272"/>
      <c r="W345" s="273"/>
      <c r="X345" s="184"/>
      <c r="Y345" s="185" t="s">
        <v>591</v>
      </c>
    </row>
    <row r="346" spans="1:26" s="236" customFormat="1" ht="11.4" x14ac:dyDescent="0.15">
      <c r="A346" s="175">
        <f t="shared" si="11"/>
        <v>344</v>
      </c>
      <c r="B346" s="187"/>
      <c r="C346" s="176"/>
      <c r="D346" s="176"/>
      <c r="E346" s="176"/>
      <c r="F346" s="186"/>
      <c r="G346" s="228" t="s">
        <v>408</v>
      </c>
      <c r="H346" s="177"/>
      <c r="I346" s="178"/>
      <c r="J346" s="178"/>
      <c r="K346" s="179"/>
      <c r="L346" s="177"/>
      <c r="M346" s="178"/>
      <c r="N346" s="178"/>
      <c r="O346" s="180" t="s">
        <v>56</v>
      </c>
      <c r="P346" s="180"/>
      <c r="Q346" s="180"/>
      <c r="R346" s="180"/>
      <c r="S346" s="180"/>
      <c r="T346" s="267">
        <v>45667</v>
      </c>
      <c r="U346" s="293">
        <v>45667</v>
      </c>
      <c r="V346" s="272"/>
      <c r="W346" s="273"/>
      <c r="X346" s="184"/>
      <c r="Y346" s="230" t="s">
        <v>104</v>
      </c>
    </row>
    <row r="347" spans="1:26" s="236" customFormat="1" ht="11.4" x14ac:dyDescent="0.15">
      <c r="A347" s="279">
        <f t="shared" si="11"/>
        <v>345</v>
      </c>
      <c r="B347" s="280"/>
      <c r="C347" s="280"/>
      <c r="D347" s="281"/>
      <c r="E347" s="281" t="s">
        <v>401</v>
      </c>
      <c r="F347" s="281" t="s">
        <v>409</v>
      </c>
      <c r="G347" s="295" t="s">
        <v>403</v>
      </c>
      <c r="H347" s="283"/>
      <c r="I347" s="284"/>
      <c r="J347" s="284"/>
      <c r="K347" s="285"/>
      <c r="L347" s="283"/>
      <c r="M347" s="286" t="s">
        <v>56</v>
      </c>
      <c r="N347" s="284"/>
      <c r="O347" s="286"/>
      <c r="P347" s="286"/>
      <c r="Q347" s="286"/>
      <c r="R347" s="286"/>
      <c r="S347" s="286"/>
      <c r="T347" s="287">
        <v>45667</v>
      </c>
      <c r="U347" s="299">
        <v>45667</v>
      </c>
      <c r="V347" s="289"/>
      <c r="W347" s="290"/>
      <c r="X347" s="291"/>
      <c r="Y347" s="292" t="s">
        <v>592</v>
      </c>
      <c r="Z347" s="256" t="s">
        <v>1128</v>
      </c>
    </row>
    <row r="348" spans="1:26" ht="11.4" x14ac:dyDescent="0.15">
      <c r="A348" s="175">
        <f t="shared" si="11"/>
        <v>346</v>
      </c>
      <c r="B348" s="187"/>
      <c r="C348" s="187" t="s">
        <v>593</v>
      </c>
      <c r="D348" s="186" t="s">
        <v>594</v>
      </c>
      <c r="E348" s="186" t="s">
        <v>595</v>
      </c>
      <c r="F348" s="186" t="s">
        <v>596</v>
      </c>
      <c r="G348" s="228" t="s">
        <v>597</v>
      </c>
      <c r="H348" s="177"/>
      <c r="I348" s="178"/>
      <c r="J348" s="178"/>
      <c r="K348" s="179"/>
      <c r="L348" s="177" t="s">
        <v>61</v>
      </c>
      <c r="M348" s="178"/>
      <c r="N348" s="178"/>
      <c r="O348" s="180"/>
      <c r="P348" s="180"/>
      <c r="Q348" s="180"/>
      <c r="R348" s="180"/>
      <c r="S348" s="180"/>
      <c r="T348" s="294">
        <v>45666</v>
      </c>
      <c r="U348" s="293">
        <v>45666</v>
      </c>
      <c r="V348" s="272"/>
      <c r="W348" s="273"/>
      <c r="X348" s="184"/>
      <c r="Y348" s="185" t="s">
        <v>598</v>
      </c>
    </row>
    <row r="349" spans="1:26" ht="11.4" x14ac:dyDescent="0.15">
      <c r="A349" s="175">
        <f t="shared" si="11"/>
        <v>347</v>
      </c>
      <c r="B349" s="187"/>
      <c r="C349" s="176"/>
      <c r="D349" s="186"/>
      <c r="E349" s="186"/>
      <c r="F349" s="186"/>
      <c r="G349" s="228" t="s">
        <v>599</v>
      </c>
      <c r="H349" s="177"/>
      <c r="I349" s="178"/>
      <c r="J349" s="178"/>
      <c r="K349" s="179"/>
      <c r="L349" s="177"/>
      <c r="M349" s="178"/>
      <c r="N349" s="178"/>
      <c r="O349" s="180" t="s">
        <v>56</v>
      </c>
      <c r="P349" s="180"/>
      <c r="Q349" s="180"/>
      <c r="R349" s="180"/>
      <c r="S349" s="180"/>
      <c r="T349" s="294">
        <v>45666</v>
      </c>
      <c r="U349" s="293">
        <v>45666</v>
      </c>
      <c r="V349" s="272"/>
      <c r="W349" s="273"/>
      <c r="X349" s="184"/>
      <c r="Y349" s="185" t="s">
        <v>600</v>
      </c>
    </row>
    <row r="350" spans="1:26" ht="11.4" x14ac:dyDescent="0.15">
      <c r="A350" s="175">
        <f t="shared" si="11"/>
        <v>348</v>
      </c>
      <c r="B350" s="187"/>
      <c r="C350" s="176"/>
      <c r="D350" s="176"/>
      <c r="E350" s="176" t="s">
        <v>601</v>
      </c>
      <c r="F350" s="186" t="s">
        <v>602</v>
      </c>
      <c r="G350" s="228" t="s">
        <v>597</v>
      </c>
      <c r="H350" s="177"/>
      <c r="I350" s="178"/>
      <c r="J350" s="178"/>
      <c r="K350" s="179"/>
      <c r="L350" s="177" t="s">
        <v>61</v>
      </c>
      <c r="M350" s="178"/>
      <c r="N350" s="178"/>
      <c r="O350" s="180"/>
      <c r="P350" s="180"/>
      <c r="Q350" s="180"/>
      <c r="R350" s="180"/>
      <c r="S350" s="180"/>
      <c r="T350" s="294">
        <v>45666</v>
      </c>
      <c r="U350" s="293">
        <v>45666</v>
      </c>
      <c r="V350" s="272"/>
      <c r="W350" s="273"/>
      <c r="X350" s="184"/>
      <c r="Y350" s="185" t="s">
        <v>598</v>
      </c>
    </row>
    <row r="351" spans="1:26" ht="11.4" x14ac:dyDescent="0.15">
      <c r="A351" s="175">
        <f t="shared" si="11"/>
        <v>349</v>
      </c>
      <c r="B351" s="187"/>
      <c r="C351" s="176"/>
      <c r="D351" s="176"/>
      <c r="E351" s="176"/>
      <c r="F351" s="186"/>
      <c r="G351" s="228" t="s">
        <v>603</v>
      </c>
      <c r="H351" s="177"/>
      <c r="I351" s="178"/>
      <c r="J351" s="178"/>
      <c r="K351" s="179"/>
      <c r="L351" s="177"/>
      <c r="M351" s="178"/>
      <c r="N351" s="178"/>
      <c r="O351" s="180" t="s">
        <v>56</v>
      </c>
      <c r="P351" s="180"/>
      <c r="Q351" s="180"/>
      <c r="R351" s="180"/>
      <c r="S351" s="180"/>
      <c r="T351" s="294">
        <v>45666</v>
      </c>
      <c r="U351" s="293">
        <v>45666</v>
      </c>
      <c r="V351" s="272"/>
      <c r="W351" s="273"/>
      <c r="X351" s="184"/>
      <c r="Y351" s="229" t="s">
        <v>1124</v>
      </c>
    </row>
    <row r="352" spans="1:26" ht="11.4" x14ac:dyDescent="0.15">
      <c r="A352" s="175">
        <f t="shared" si="11"/>
        <v>350</v>
      </c>
      <c r="B352" s="176"/>
      <c r="C352" s="176"/>
      <c r="D352" s="176"/>
      <c r="E352" s="176" t="s">
        <v>432</v>
      </c>
      <c r="F352" s="186" t="s">
        <v>604</v>
      </c>
      <c r="G352" s="227" t="s">
        <v>605</v>
      </c>
      <c r="H352" s="177"/>
      <c r="I352" s="178"/>
      <c r="J352" s="178"/>
      <c r="K352" s="179"/>
      <c r="L352" s="177"/>
      <c r="M352" s="178"/>
      <c r="N352" s="178"/>
      <c r="O352" s="180"/>
      <c r="P352" s="180" t="s">
        <v>56</v>
      </c>
      <c r="Q352" s="180"/>
      <c r="R352" s="180"/>
      <c r="S352" s="180"/>
      <c r="T352" s="294">
        <v>45666</v>
      </c>
      <c r="U352" s="293">
        <v>45666</v>
      </c>
      <c r="V352" s="272"/>
      <c r="W352" s="273"/>
      <c r="X352" s="184"/>
      <c r="Y352" s="185" t="s">
        <v>435</v>
      </c>
    </row>
    <row r="353" spans="1:26" ht="11.4" x14ac:dyDescent="0.15">
      <c r="A353" s="175">
        <f t="shared" si="11"/>
        <v>351</v>
      </c>
      <c r="B353" s="176"/>
      <c r="C353" s="176"/>
      <c r="D353" s="186"/>
      <c r="E353" s="186" t="s">
        <v>401</v>
      </c>
      <c r="F353" s="186" t="s">
        <v>606</v>
      </c>
      <c r="G353" s="228" t="s">
        <v>403</v>
      </c>
      <c r="H353" s="177"/>
      <c r="I353" s="178"/>
      <c r="J353" s="178"/>
      <c r="K353" s="179"/>
      <c r="L353" s="177"/>
      <c r="M353" s="180" t="s">
        <v>56</v>
      </c>
      <c r="N353" s="178"/>
      <c r="O353" s="180"/>
      <c r="P353" s="180"/>
      <c r="Q353" s="180"/>
      <c r="R353" s="180"/>
      <c r="S353" s="180"/>
      <c r="T353" s="294">
        <v>45666</v>
      </c>
      <c r="U353" s="293">
        <v>45666</v>
      </c>
      <c r="V353" s="272"/>
      <c r="W353" s="273"/>
      <c r="X353" s="184"/>
      <c r="Y353" s="185" t="s">
        <v>592</v>
      </c>
    </row>
    <row r="354" spans="1:26" ht="11.4" x14ac:dyDescent="0.15">
      <c r="A354" s="175">
        <f t="shared" si="11"/>
        <v>352</v>
      </c>
      <c r="B354" s="176"/>
      <c r="C354" s="176"/>
      <c r="D354" s="186"/>
      <c r="E354" s="186"/>
      <c r="F354" s="186" t="s">
        <v>373</v>
      </c>
      <c r="G354" s="228" t="s">
        <v>403</v>
      </c>
      <c r="H354" s="177"/>
      <c r="I354" s="178"/>
      <c r="J354" s="178"/>
      <c r="K354" s="179"/>
      <c r="L354" s="177"/>
      <c r="M354" s="180" t="s">
        <v>56</v>
      </c>
      <c r="N354" s="178"/>
      <c r="O354" s="180"/>
      <c r="P354" s="180"/>
      <c r="Q354" s="180"/>
      <c r="R354" s="180"/>
      <c r="S354" s="180"/>
      <c r="T354" s="294">
        <v>45666</v>
      </c>
      <c r="U354" s="293">
        <v>45666</v>
      </c>
      <c r="V354" s="272"/>
      <c r="W354" s="273"/>
      <c r="X354" s="184"/>
      <c r="Y354" s="185" t="s">
        <v>592</v>
      </c>
    </row>
    <row r="355" spans="1:26" ht="11.4" x14ac:dyDescent="0.15">
      <c r="A355" s="175">
        <f t="shared" si="11"/>
        <v>353</v>
      </c>
      <c r="B355" s="176"/>
      <c r="C355" s="176"/>
      <c r="D355" s="186" t="s">
        <v>607</v>
      </c>
      <c r="E355" s="186" t="s">
        <v>595</v>
      </c>
      <c r="F355" s="186" t="s">
        <v>596</v>
      </c>
      <c r="G355" s="228" t="s">
        <v>597</v>
      </c>
      <c r="H355" s="177"/>
      <c r="I355" s="178"/>
      <c r="J355" s="178"/>
      <c r="K355" s="179"/>
      <c r="L355" s="177" t="s">
        <v>61</v>
      </c>
      <c r="M355" s="178"/>
      <c r="N355" s="178"/>
      <c r="O355" s="180"/>
      <c r="P355" s="180"/>
      <c r="Q355" s="180"/>
      <c r="R355" s="180"/>
      <c r="S355" s="180"/>
      <c r="T355" s="267">
        <v>45667</v>
      </c>
      <c r="U355" s="293">
        <v>45667</v>
      </c>
      <c r="V355" s="272"/>
      <c r="W355" s="273"/>
      <c r="X355" s="184"/>
      <c r="Y355" s="185" t="s">
        <v>608</v>
      </c>
    </row>
    <row r="356" spans="1:26" ht="11.4" x14ac:dyDescent="0.15">
      <c r="A356" s="175">
        <f t="shared" si="11"/>
        <v>354</v>
      </c>
      <c r="B356" s="176"/>
      <c r="C356" s="176"/>
      <c r="D356" s="186"/>
      <c r="E356" s="186"/>
      <c r="F356" s="186"/>
      <c r="G356" s="228" t="s">
        <v>609</v>
      </c>
      <c r="H356" s="177"/>
      <c r="I356" s="178"/>
      <c r="J356" s="178"/>
      <c r="K356" s="179"/>
      <c r="M356" s="178"/>
      <c r="N356" s="178"/>
      <c r="O356" s="180" t="s">
        <v>56</v>
      </c>
      <c r="P356" s="180"/>
      <c r="Q356" s="180"/>
      <c r="R356" s="180"/>
      <c r="S356" s="180"/>
      <c r="T356" s="267">
        <v>45667</v>
      </c>
      <c r="U356" s="271">
        <v>45667</v>
      </c>
      <c r="V356" s="272"/>
      <c r="W356" s="273"/>
      <c r="X356" s="184"/>
      <c r="Y356" s="185" t="s">
        <v>610</v>
      </c>
    </row>
    <row r="357" spans="1:26" ht="11.4" x14ac:dyDescent="0.15">
      <c r="A357" s="175">
        <f t="shared" si="11"/>
        <v>355</v>
      </c>
      <c r="B357" s="176"/>
      <c r="C357" s="176"/>
      <c r="D357" s="186"/>
      <c r="E357" s="176" t="s">
        <v>601</v>
      </c>
      <c r="F357" s="186" t="s">
        <v>602</v>
      </c>
      <c r="G357" s="228" t="s">
        <v>597</v>
      </c>
      <c r="H357" s="177"/>
      <c r="I357" s="178"/>
      <c r="J357" s="178"/>
      <c r="K357" s="179"/>
      <c r="L357" s="177" t="s">
        <v>61</v>
      </c>
      <c r="M357" s="178"/>
      <c r="N357" s="178"/>
      <c r="O357" s="180"/>
      <c r="P357" s="180"/>
      <c r="Q357" s="180"/>
      <c r="R357" s="180"/>
      <c r="S357" s="180"/>
      <c r="T357" s="267">
        <v>45667</v>
      </c>
      <c r="U357" s="271">
        <v>45667</v>
      </c>
      <c r="V357" s="272"/>
      <c r="W357" s="273"/>
      <c r="X357" s="184"/>
      <c r="Y357" s="185" t="s">
        <v>608</v>
      </c>
    </row>
    <row r="358" spans="1:26" ht="11.4" x14ac:dyDescent="0.15">
      <c r="A358" s="175">
        <f t="shared" si="11"/>
        <v>356</v>
      </c>
      <c r="B358" s="176"/>
      <c r="C358" s="187"/>
      <c r="D358" s="186"/>
      <c r="E358" s="186"/>
      <c r="F358" s="186"/>
      <c r="G358" s="228" t="s">
        <v>611</v>
      </c>
      <c r="H358" s="177"/>
      <c r="I358" s="178"/>
      <c r="J358" s="178"/>
      <c r="K358" s="179"/>
      <c r="L358" s="177"/>
      <c r="M358" s="178"/>
      <c r="N358" s="178"/>
      <c r="O358" s="180" t="s">
        <v>56</v>
      </c>
      <c r="P358" s="180"/>
      <c r="Q358" s="180"/>
      <c r="R358" s="180"/>
      <c r="S358" s="180"/>
      <c r="T358" s="267">
        <v>45667</v>
      </c>
      <c r="U358" s="271">
        <v>45667</v>
      </c>
      <c r="V358" s="272"/>
      <c r="W358" s="273"/>
      <c r="X358" s="184"/>
      <c r="Y358" s="185" t="s">
        <v>610</v>
      </c>
    </row>
    <row r="359" spans="1:26" ht="11.4" x14ac:dyDescent="0.15">
      <c r="A359" s="175">
        <f t="shared" si="11"/>
        <v>357</v>
      </c>
      <c r="B359" s="176"/>
      <c r="C359" s="176"/>
      <c r="D359" s="176"/>
      <c r="E359" s="176" t="s">
        <v>432</v>
      </c>
      <c r="F359" s="186" t="s">
        <v>604</v>
      </c>
      <c r="G359" s="227" t="s">
        <v>55</v>
      </c>
      <c r="H359" s="177"/>
      <c r="I359" s="178"/>
      <c r="J359" s="178"/>
      <c r="K359" s="179"/>
      <c r="L359" s="177"/>
      <c r="M359" s="178"/>
      <c r="N359" s="178"/>
      <c r="O359" s="180"/>
      <c r="P359" s="180" t="s">
        <v>56</v>
      </c>
      <c r="Q359" s="180"/>
      <c r="R359" s="180"/>
      <c r="S359" s="180"/>
      <c r="T359" s="267">
        <v>45667</v>
      </c>
      <c r="U359" s="271">
        <v>45667</v>
      </c>
      <c r="V359" s="272"/>
      <c r="W359" s="273"/>
      <c r="X359" s="184"/>
      <c r="Y359" s="185" t="s">
        <v>435</v>
      </c>
    </row>
    <row r="360" spans="1:26" ht="11.4" x14ac:dyDescent="0.15">
      <c r="A360" s="175">
        <f t="shared" si="11"/>
        <v>358</v>
      </c>
      <c r="B360" s="176"/>
      <c r="C360" s="187"/>
      <c r="D360" s="186"/>
      <c r="E360" s="186" t="s">
        <v>401</v>
      </c>
      <c r="F360" s="186" t="s">
        <v>606</v>
      </c>
      <c r="G360" s="228" t="s">
        <v>403</v>
      </c>
      <c r="H360" s="177"/>
      <c r="I360" s="178"/>
      <c r="J360" s="178"/>
      <c r="K360" s="179"/>
      <c r="L360" s="177"/>
      <c r="M360" s="180" t="s">
        <v>56</v>
      </c>
      <c r="N360" s="178"/>
      <c r="O360" s="180"/>
      <c r="P360" s="180"/>
      <c r="Q360" s="180"/>
      <c r="R360" s="180"/>
      <c r="S360" s="180"/>
      <c r="T360" s="267">
        <v>45667</v>
      </c>
      <c r="U360" s="271">
        <v>45667</v>
      </c>
      <c r="V360" s="272"/>
      <c r="W360" s="273"/>
      <c r="X360" s="184"/>
      <c r="Y360" s="185" t="s">
        <v>592</v>
      </c>
    </row>
    <row r="361" spans="1:26" ht="11.4" x14ac:dyDescent="0.15">
      <c r="A361" s="175">
        <f t="shared" si="11"/>
        <v>359</v>
      </c>
      <c r="B361" s="176"/>
      <c r="C361" s="187"/>
      <c r="D361" s="186"/>
      <c r="E361" s="186"/>
      <c r="F361" s="186" t="s">
        <v>373</v>
      </c>
      <c r="G361" s="228" t="s">
        <v>403</v>
      </c>
      <c r="H361" s="177"/>
      <c r="I361" s="178"/>
      <c r="J361" s="178"/>
      <c r="K361" s="179"/>
      <c r="L361" s="177"/>
      <c r="M361" s="180" t="s">
        <v>56</v>
      </c>
      <c r="N361" s="178"/>
      <c r="O361" s="180"/>
      <c r="P361" s="180"/>
      <c r="Q361" s="180"/>
      <c r="R361" s="180"/>
      <c r="S361" s="180"/>
      <c r="T361" s="267">
        <v>45667</v>
      </c>
      <c r="U361" s="271">
        <v>45667</v>
      </c>
      <c r="V361" s="272"/>
      <c r="W361" s="273"/>
      <c r="X361" s="184"/>
      <c r="Y361" s="185" t="s">
        <v>592</v>
      </c>
    </row>
    <row r="362" spans="1:26" s="241" customFormat="1" ht="12" customHeight="1" x14ac:dyDescent="0.25">
      <c r="A362" s="188"/>
      <c r="B362" s="189"/>
      <c r="C362" s="190"/>
      <c r="D362" s="190"/>
      <c r="E362" s="190"/>
      <c r="F362" s="189"/>
      <c r="G362" s="191" t="s">
        <v>410</v>
      </c>
      <c r="H362" s="192">
        <f>COUNTIF(H7:H361,"●")</f>
        <v>0</v>
      </c>
      <c r="I362" s="193">
        <f>COUNTIF(I7:I361,"●")</f>
        <v>0</v>
      </c>
      <c r="J362" s="193">
        <f>COUNTIF(J7:J361,"●")</f>
        <v>0</v>
      </c>
      <c r="K362" s="194">
        <f>COUNTIF(K7:K361,"●")</f>
        <v>0</v>
      </c>
      <c r="L362" s="192">
        <f t="shared" ref="L362:S362" si="13">COUNTIF(L3:L361,"●")</f>
        <v>0</v>
      </c>
      <c r="M362" s="193">
        <f t="shared" si="13"/>
        <v>0</v>
      </c>
      <c r="N362" s="193">
        <f t="shared" si="13"/>
        <v>0</v>
      </c>
      <c r="O362" s="193">
        <f t="shared" si="13"/>
        <v>0</v>
      </c>
      <c r="P362" s="193">
        <f t="shared" si="13"/>
        <v>0</v>
      </c>
      <c r="Q362" s="193">
        <f t="shared" si="13"/>
        <v>0</v>
      </c>
      <c r="R362" s="195">
        <f t="shared" si="13"/>
        <v>0</v>
      </c>
      <c r="S362" s="195">
        <f t="shared" si="13"/>
        <v>0</v>
      </c>
      <c r="T362" s="261"/>
      <c r="U362" s="329" t="s">
        <v>17</v>
      </c>
      <c r="V362" s="329"/>
      <c r="W362" s="330"/>
      <c r="X362" s="196" t="s">
        <v>411</v>
      </c>
      <c r="Y362" s="197">
        <f>SUM(H362:S362)</f>
        <v>0</v>
      </c>
      <c r="Z362" s="238"/>
    </row>
    <row r="363" spans="1:26" s="241" customFormat="1" ht="12" customHeight="1" x14ac:dyDescent="0.25">
      <c r="A363" s="198"/>
      <c r="B363" s="231" t="s">
        <v>412</v>
      </c>
      <c r="C363" s="200">
        <f>Y364</f>
        <v>0</v>
      </c>
      <c r="D363" s="200"/>
      <c r="E363" s="200"/>
      <c r="F363" s="199"/>
      <c r="G363" s="201" t="s">
        <v>413</v>
      </c>
      <c r="H363" s="202">
        <f>COUNTIF(H7:H361,"×")</f>
        <v>0</v>
      </c>
      <c r="I363" s="203">
        <f>COUNTIF(I7:I361,"×")</f>
        <v>0</v>
      </c>
      <c r="J363" s="203">
        <f>COUNTIF(J7:J361,"×")</f>
        <v>0</v>
      </c>
      <c r="K363" s="204">
        <f>COUNTIF(K7:K361,"×")</f>
        <v>0</v>
      </c>
      <c r="L363" s="202">
        <f t="shared" ref="L363:S363" si="14">COUNTIF(L3:L361,"×")</f>
        <v>0</v>
      </c>
      <c r="M363" s="203">
        <f t="shared" si="14"/>
        <v>0</v>
      </c>
      <c r="N363" s="203">
        <f t="shared" si="14"/>
        <v>0</v>
      </c>
      <c r="O363" s="203">
        <f t="shared" si="14"/>
        <v>0</v>
      </c>
      <c r="P363" s="203">
        <f t="shared" si="14"/>
        <v>0</v>
      </c>
      <c r="Q363" s="203">
        <f t="shared" si="14"/>
        <v>0</v>
      </c>
      <c r="R363" s="205">
        <f t="shared" si="14"/>
        <v>0</v>
      </c>
      <c r="S363" s="205">
        <f t="shared" si="14"/>
        <v>0</v>
      </c>
      <c r="T363" s="262"/>
      <c r="U363" s="331"/>
      <c r="V363" s="331"/>
      <c r="W363" s="332"/>
      <c r="X363" s="206" t="s">
        <v>411</v>
      </c>
      <c r="Y363" s="207">
        <f t="shared" ref="Y363:Y365" si="15">SUM(H363:S363)</f>
        <v>0</v>
      </c>
      <c r="Z363" s="238"/>
    </row>
    <row r="364" spans="1:26" s="241" customFormat="1" ht="12" customHeight="1" x14ac:dyDescent="0.25">
      <c r="A364" s="208" t="s">
        <v>414</v>
      </c>
      <c r="B364" s="209"/>
      <c r="C364" s="210"/>
      <c r="D364" s="210"/>
      <c r="E364" s="210"/>
      <c r="F364" s="209"/>
      <c r="G364" s="211" t="s">
        <v>415</v>
      </c>
      <c r="H364" s="202">
        <f t="shared" ref="H364:K364" si="16">H362+H363</f>
        <v>0</v>
      </c>
      <c r="I364" s="203">
        <f t="shared" si="16"/>
        <v>0</v>
      </c>
      <c r="J364" s="203">
        <f t="shared" si="16"/>
        <v>0</v>
      </c>
      <c r="K364" s="204">
        <f t="shared" si="16"/>
        <v>0</v>
      </c>
      <c r="L364" s="202">
        <f>L362+L363</f>
        <v>0</v>
      </c>
      <c r="M364" s="203">
        <f t="shared" ref="M364:S364" si="17">M362+M363</f>
        <v>0</v>
      </c>
      <c r="N364" s="203">
        <f t="shared" si="17"/>
        <v>0</v>
      </c>
      <c r="O364" s="203">
        <f t="shared" si="17"/>
        <v>0</v>
      </c>
      <c r="P364" s="203">
        <f t="shared" si="17"/>
        <v>0</v>
      </c>
      <c r="Q364" s="203">
        <f t="shared" si="17"/>
        <v>0</v>
      </c>
      <c r="R364" s="205">
        <f t="shared" si="17"/>
        <v>0</v>
      </c>
      <c r="S364" s="205">
        <f t="shared" si="17"/>
        <v>0</v>
      </c>
      <c r="T364" s="263"/>
      <c r="U364" s="333">
        <f>COUNTA(U3:U361)</f>
        <v>320</v>
      </c>
      <c r="V364" s="335">
        <f>COUNTA(V3:V361)</f>
        <v>23</v>
      </c>
      <c r="W364" s="337">
        <f>COUNTA(W3:W361)</f>
        <v>3</v>
      </c>
      <c r="X364" s="212" t="s">
        <v>411</v>
      </c>
      <c r="Y364" s="207">
        <f t="shared" si="15"/>
        <v>0</v>
      </c>
      <c r="Z364" s="238"/>
    </row>
    <row r="365" spans="1:26" s="241" customFormat="1" ht="12" customHeight="1" x14ac:dyDescent="0.25">
      <c r="A365" s="213"/>
      <c r="B365" s="232" t="s">
        <v>416</v>
      </c>
      <c r="C365" s="215">
        <f>Y365</f>
        <v>359</v>
      </c>
      <c r="D365" s="215"/>
      <c r="E365" s="215"/>
      <c r="F365" s="214"/>
      <c r="G365" s="216" t="s">
        <v>417</v>
      </c>
      <c r="H365" s="217">
        <f>COUNTA(H7:H361)</f>
        <v>0</v>
      </c>
      <c r="I365" s="218">
        <f>COUNTA(I7:I361)</f>
        <v>0</v>
      </c>
      <c r="J365" s="218">
        <f>COUNTA(J7:J361)</f>
        <v>0</v>
      </c>
      <c r="K365" s="219">
        <f>COUNTA(K7:K361)</f>
        <v>0</v>
      </c>
      <c r="L365" s="217">
        <f>COUNTA(L3:L361)</f>
        <v>4</v>
      </c>
      <c r="M365" s="218">
        <f t="shared" ref="M365:S365" si="18">COUNTA(M3:M361)</f>
        <v>8</v>
      </c>
      <c r="N365" s="218">
        <f t="shared" si="18"/>
        <v>0</v>
      </c>
      <c r="O365" s="218">
        <f t="shared" si="18"/>
        <v>54</v>
      </c>
      <c r="P365" s="218">
        <f t="shared" si="18"/>
        <v>69</v>
      </c>
      <c r="Q365" s="218">
        <f t="shared" si="18"/>
        <v>167</v>
      </c>
      <c r="R365" s="220">
        <f t="shared" si="18"/>
        <v>43</v>
      </c>
      <c r="S365" s="220">
        <f t="shared" si="18"/>
        <v>14</v>
      </c>
      <c r="T365" s="264"/>
      <c r="U365" s="334"/>
      <c r="V365" s="336"/>
      <c r="W365" s="338"/>
      <c r="X365" s="221" t="s">
        <v>411</v>
      </c>
      <c r="Y365" s="222">
        <f t="shared" si="15"/>
        <v>359</v>
      </c>
      <c r="Z365" s="238"/>
    </row>
  </sheetData>
  <autoFilter ref="A1:Y2" xr:uid="{8C2307B7-35AF-4EEF-A595-EFF0399CCCB1}">
    <filterColumn colId="7" showButton="0"/>
    <filterColumn colId="8" showButton="0"/>
    <filterColumn colId="9" showButton="0"/>
    <filterColumn colId="11" showButton="0"/>
    <filterColumn colId="12" showButton="0"/>
    <filterColumn colId="13" showButton="0"/>
    <filterColumn colId="14" showButton="0"/>
    <filterColumn colId="15" showButton="0"/>
    <filterColumn colId="16" showButton="0"/>
    <filterColumn colId="17" showButton="0"/>
    <filterColumn colId="20" showButton="0"/>
    <filterColumn colId="21" showButton="0"/>
  </autoFilter>
  <mergeCells count="17">
    <mergeCell ref="X1:X2"/>
    <mergeCell ref="Y1:Y2"/>
    <mergeCell ref="U362:W363"/>
    <mergeCell ref="A1:A2"/>
    <mergeCell ref="B1:B2"/>
    <mergeCell ref="C1:C2"/>
    <mergeCell ref="D1:D2"/>
    <mergeCell ref="F1:F2"/>
    <mergeCell ref="G1:G2"/>
    <mergeCell ref="E1:E2"/>
    <mergeCell ref="U364:U365"/>
    <mergeCell ref="V364:V365"/>
    <mergeCell ref="W364:W365"/>
    <mergeCell ref="H1:K1"/>
    <mergeCell ref="L1:S1"/>
    <mergeCell ref="U1:W1"/>
    <mergeCell ref="T1:T2"/>
  </mergeCells>
  <phoneticPr fontId="15"/>
  <printOptions horizontalCentered="1"/>
  <pageMargins left="0.19685039370078741" right="0.19685039370078741" top="0.59055118110236227" bottom="0.59055118110236227" header="0.51181102362204722" footer="0.31496062992125984"/>
  <pageSetup paperSize="9" scale="56" fitToHeight="0" orientation="landscape" r:id="rId1"/>
  <headerFooter alignWithMargins="0">
    <oddFooter>&amp;RAll Rights Reserved Copyright © Fujitsu Ltd.2017</oddFooter>
  </headerFooter>
  <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95DF33-FB4F-493A-9C69-76BEB92E3D48}">
  <sheetPr>
    <pageSetUpPr fitToPage="1"/>
  </sheetPr>
  <dimension ref="A1:AX257"/>
  <sheetViews>
    <sheetView tabSelected="1" zoomScale="85" zoomScaleNormal="85" zoomScaleSheetLayoutView="85" workbookViewId="0">
      <pane ySplit="2" topLeftCell="A3" activePane="bottomLeft" state="frozen"/>
      <selection activeCell="E7" sqref="E7"/>
      <selection pane="bottomLeft" sqref="A1:A2"/>
    </sheetView>
  </sheetViews>
  <sheetFormatPr defaultColWidth="9.375" defaultRowHeight="9" customHeight="1" outlineLevelCol="1" x14ac:dyDescent="0.15"/>
  <cols>
    <col min="1" max="1" width="5.125" style="159" customWidth="1"/>
    <col min="2" max="2" width="10.125" style="159" customWidth="1"/>
    <col min="3" max="4" width="24.625" style="159" customWidth="1"/>
    <col min="5" max="5" width="27.625" style="159" customWidth="1"/>
    <col min="6" max="6" width="51.5" style="159" customWidth="1"/>
    <col min="7" max="7" width="9.75" style="159" customWidth="1"/>
    <col min="8" max="8" width="89.625" style="159" customWidth="1"/>
    <col min="9" max="20" width="4.5" style="160" hidden="1" customWidth="1" outlineLevel="1"/>
    <col min="21" max="21" width="10.375" style="160" bestFit="1" customWidth="1" outlineLevel="1"/>
    <col min="22" max="24" width="8.125" style="160" bestFit="1" customWidth="1" outlineLevel="1"/>
    <col min="25" max="25" width="7.5" style="160" customWidth="1" outlineLevel="1"/>
    <col min="26" max="26" width="77.875" style="159" customWidth="1"/>
    <col min="27" max="16384" width="9.375" style="236"/>
  </cols>
  <sheetData>
    <row r="1" spans="1:27" s="237" customFormat="1" ht="13.5" customHeight="1" x14ac:dyDescent="0.15">
      <c r="A1" s="313" t="s">
        <v>24</v>
      </c>
      <c r="B1" s="315" t="s">
        <v>25</v>
      </c>
      <c r="C1" s="317" t="s">
        <v>26</v>
      </c>
      <c r="D1" s="317" t="s">
        <v>27</v>
      </c>
      <c r="E1" s="317" t="s">
        <v>28</v>
      </c>
      <c r="F1" s="319" t="s">
        <v>29</v>
      </c>
      <c r="G1" s="339" t="s">
        <v>1099</v>
      </c>
      <c r="H1" s="322" t="s">
        <v>30</v>
      </c>
      <c r="I1" s="321" t="s">
        <v>31</v>
      </c>
      <c r="J1" s="321"/>
      <c r="K1" s="321"/>
      <c r="L1" s="324"/>
      <c r="M1" s="325" t="s">
        <v>32</v>
      </c>
      <c r="N1" s="326"/>
      <c r="O1" s="326"/>
      <c r="P1" s="327"/>
      <c r="Q1" s="327"/>
      <c r="R1" s="327"/>
      <c r="S1" s="327"/>
      <c r="T1" s="327"/>
      <c r="U1" s="311" t="s">
        <v>1101</v>
      </c>
      <c r="V1" s="321" t="s">
        <v>33</v>
      </c>
      <c r="W1" s="321"/>
      <c r="X1" s="321"/>
      <c r="Y1" s="311" t="s">
        <v>34</v>
      </c>
      <c r="Z1" s="311" t="s">
        <v>35</v>
      </c>
    </row>
    <row r="2" spans="1:27" s="237" customFormat="1" ht="22.8" x14ac:dyDescent="0.15">
      <c r="A2" s="314"/>
      <c r="B2" s="316"/>
      <c r="C2" s="318"/>
      <c r="D2" s="318"/>
      <c r="E2" s="318"/>
      <c r="F2" s="320"/>
      <c r="G2" s="320"/>
      <c r="H2" s="323"/>
      <c r="I2" s="223" t="s">
        <v>36</v>
      </c>
      <c r="J2" s="224" t="s">
        <v>37</v>
      </c>
      <c r="K2" s="225" t="s">
        <v>38</v>
      </c>
      <c r="L2" s="225" t="s">
        <v>39</v>
      </c>
      <c r="M2" s="226" t="s">
        <v>36</v>
      </c>
      <c r="N2" s="225" t="s">
        <v>40</v>
      </c>
      <c r="O2" s="225" t="s">
        <v>41</v>
      </c>
      <c r="P2" s="225" t="s">
        <v>42</v>
      </c>
      <c r="Q2" s="225" t="s">
        <v>43</v>
      </c>
      <c r="R2" s="225" t="s">
        <v>44</v>
      </c>
      <c r="S2" s="225" t="s">
        <v>45</v>
      </c>
      <c r="T2" s="225" t="s">
        <v>46</v>
      </c>
      <c r="U2" s="323"/>
      <c r="V2" s="223" t="s">
        <v>47</v>
      </c>
      <c r="W2" s="224" t="s">
        <v>48</v>
      </c>
      <c r="X2" s="225" t="s">
        <v>49</v>
      </c>
      <c r="Y2" s="312"/>
      <c r="Z2" s="312"/>
    </row>
    <row r="3" spans="1:27" ht="11.4" x14ac:dyDescent="0.15">
      <c r="A3" s="175">
        <f t="shared" ref="A3:A6" si="0">ROW()-2</f>
        <v>1</v>
      </c>
      <c r="B3" s="176" t="s">
        <v>50</v>
      </c>
      <c r="C3" s="176" t="s">
        <v>418</v>
      </c>
      <c r="D3" s="176" t="s">
        <v>419</v>
      </c>
      <c r="E3" s="176" t="s">
        <v>612</v>
      </c>
      <c r="F3" s="186" t="s">
        <v>421</v>
      </c>
      <c r="G3" s="258"/>
      <c r="H3" s="227" t="s">
        <v>422</v>
      </c>
      <c r="I3" s="177"/>
      <c r="J3" s="178"/>
      <c r="K3" s="178"/>
      <c r="L3" s="179"/>
      <c r="M3" s="177"/>
      <c r="N3" s="178"/>
      <c r="O3" s="178"/>
      <c r="P3" s="180"/>
      <c r="Q3" s="180" t="s">
        <v>61</v>
      </c>
      <c r="R3" s="180"/>
      <c r="S3" s="180"/>
      <c r="T3" s="180"/>
      <c r="U3" s="267">
        <v>45671</v>
      </c>
      <c r="V3" s="300">
        <v>45671</v>
      </c>
      <c r="W3" s="272"/>
      <c r="X3" s="273"/>
      <c r="Y3" s="184"/>
      <c r="Z3" s="185" t="s">
        <v>613</v>
      </c>
    </row>
    <row r="4" spans="1:27" ht="11.4" x14ac:dyDescent="0.15">
      <c r="A4" s="175">
        <f t="shared" si="0"/>
        <v>2</v>
      </c>
      <c r="B4" s="176" t="s">
        <v>58</v>
      </c>
      <c r="C4" s="176"/>
      <c r="D4" s="176"/>
      <c r="E4" s="176" t="s">
        <v>426</v>
      </c>
      <c r="F4" s="186"/>
      <c r="G4" s="258"/>
      <c r="H4" s="227" t="s">
        <v>422</v>
      </c>
      <c r="I4" s="177"/>
      <c r="J4" s="178"/>
      <c r="K4" s="178"/>
      <c r="L4" s="179"/>
      <c r="M4" s="177"/>
      <c r="N4" s="178"/>
      <c r="O4" s="178"/>
      <c r="P4" s="180"/>
      <c r="Q4" s="180" t="s">
        <v>61</v>
      </c>
      <c r="R4" s="180"/>
      <c r="S4" s="180"/>
      <c r="T4" s="180"/>
      <c r="U4" s="267">
        <v>45671</v>
      </c>
      <c r="V4" s="271">
        <v>45671</v>
      </c>
      <c r="W4" s="272"/>
      <c r="X4" s="273"/>
      <c r="Y4" s="184"/>
      <c r="Z4" s="229" t="s">
        <v>1130</v>
      </c>
    </row>
    <row r="5" spans="1:27" ht="11.4" x14ac:dyDescent="0.15">
      <c r="A5" s="175">
        <f t="shared" si="0"/>
        <v>3</v>
      </c>
      <c r="B5" s="176"/>
      <c r="C5" s="176"/>
      <c r="D5" s="176" t="s">
        <v>428</v>
      </c>
      <c r="E5" s="176" t="s">
        <v>614</v>
      </c>
      <c r="F5" s="186" t="s">
        <v>429</v>
      </c>
      <c r="G5" s="258"/>
      <c r="H5" s="227" t="s">
        <v>430</v>
      </c>
      <c r="I5" s="177"/>
      <c r="J5" s="178"/>
      <c r="K5" s="178"/>
      <c r="L5" s="179"/>
      <c r="M5" s="177"/>
      <c r="N5" s="178"/>
      <c r="O5" s="178"/>
      <c r="P5" s="180"/>
      <c r="Q5" s="180" t="s">
        <v>61</v>
      </c>
      <c r="R5" s="180"/>
      <c r="S5" s="180"/>
      <c r="T5" s="180"/>
      <c r="U5" s="267">
        <v>45671</v>
      </c>
      <c r="V5" s="300">
        <v>45671</v>
      </c>
      <c r="W5" s="272"/>
      <c r="X5" s="273"/>
      <c r="Y5" s="184"/>
      <c r="Z5" s="185" t="s">
        <v>615</v>
      </c>
    </row>
    <row r="6" spans="1:27" ht="11.4" x14ac:dyDescent="0.15">
      <c r="A6" s="175">
        <f t="shared" si="0"/>
        <v>4</v>
      </c>
      <c r="B6" s="176"/>
      <c r="C6" s="176"/>
      <c r="D6" s="176"/>
      <c r="E6" s="176" t="s">
        <v>426</v>
      </c>
      <c r="F6" s="186"/>
      <c r="G6" s="258"/>
      <c r="H6" s="227" t="s">
        <v>430</v>
      </c>
      <c r="I6" s="177"/>
      <c r="J6" s="178"/>
      <c r="K6" s="178"/>
      <c r="L6" s="179"/>
      <c r="M6" s="177"/>
      <c r="N6" s="178"/>
      <c r="O6" s="178"/>
      <c r="P6" s="180"/>
      <c r="Q6" s="180" t="s">
        <v>61</v>
      </c>
      <c r="R6" s="180"/>
      <c r="S6" s="180"/>
      <c r="T6" s="180"/>
      <c r="U6" s="267">
        <v>45671</v>
      </c>
      <c r="V6" s="271">
        <v>45671</v>
      </c>
      <c r="W6" s="272"/>
      <c r="X6" s="273"/>
      <c r="Y6" s="184"/>
      <c r="Z6" s="229" t="s">
        <v>1130</v>
      </c>
    </row>
    <row r="7" spans="1:27" ht="11.4" x14ac:dyDescent="0.15">
      <c r="A7" s="175">
        <f>ROW()-2</f>
        <v>5</v>
      </c>
      <c r="B7" s="176"/>
      <c r="C7" s="176" t="s">
        <v>616</v>
      </c>
      <c r="D7" s="176" t="s">
        <v>617</v>
      </c>
      <c r="E7" s="176" t="s">
        <v>618</v>
      </c>
      <c r="F7" s="186" t="s">
        <v>619</v>
      </c>
      <c r="G7" s="258" t="s">
        <v>56</v>
      </c>
      <c r="H7" s="227" t="s">
        <v>620</v>
      </c>
      <c r="I7" s="177"/>
      <c r="J7" s="178"/>
      <c r="K7" s="178"/>
      <c r="L7" s="179"/>
      <c r="M7" s="177"/>
      <c r="N7" s="178"/>
      <c r="O7" s="178"/>
      <c r="P7" s="180"/>
      <c r="Q7" s="180" t="s">
        <v>56</v>
      </c>
      <c r="R7" s="180"/>
      <c r="S7" s="180"/>
      <c r="T7" s="180"/>
      <c r="U7" s="267">
        <v>45671</v>
      </c>
      <c r="V7" s="271">
        <v>45671</v>
      </c>
      <c r="W7" s="272"/>
      <c r="X7" s="273"/>
      <c r="Y7" s="184"/>
      <c r="Z7" s="185" t="s">
        <v>621</v>
      </c>
    </row>
    <row r="8" spans="1:27" ht="11.4" x14ac:dyDescent="0.15">
      <c r="A8" s="175">
        <f t="shared" ref="A8:A221" si="1">ROW()-2</f>
        <v>6</v>
      </c>
      <c r="B8" s="176"/>
      <c r="C8" s="176"/>
      <c r="D8" s="176" t="s">
        <v>59</v>
      </c>
      <c r="E8" s="176" t="s">
        <v>622</v>
      </c>
      <c r="F8" s="186"/>
      <c r="G8" s="258"/>
      <c r="H8" s="227" t="s">
        <v>623</v>
      </c>
      <c r="I8" s="177"/>
      <c r="J8" s="178"/>
      <c r="K8" s="178"/>
      <c r="L8" s="179"/>
      <c r="M8" s="177"/>
      <c r="N8" s="178"/>
      <c r="O8" s="178"/>
      <c r="P8" s="180"/>
      <c r="Q8" s="180"/>
      <c r="R8" s="180"/>
      <c r="S8" s="180" t="s">
        <v>61</v>
      </c>
      <c r="T8" s="180"/>
      <c r="U8" s="267">
        <v>45671</v>
      </c>
      <c r="V8" s="271">
        <v>45671</v>
      </c>
      <c r="W8" s="272"/>
      <c r="X8" s="273"/>
      <c r="Y8" s="184"/>
      <c r="Z8" s="185" t="s">
        <v>624</v>
      </c>
    </row>
    <row r="9" spans="1:27" ht="11.4" x14ac:dyDescent="0.15">
      <c r="A9" s="175">
        <f t="shared" si="1"/>
        <v>7</v>
      </c>
      <c r="B9" s="176"/>
      <c r="C9" s="176"/>
      <c r="D9" s="176" t="s">
        <v>63</v>
      </c>
      <c r="E9" s="176" t="s">
        <v>625</v>
      </c>
      <c r="F9" s="186"/>
      <c r="G9" s="258"/>
      <c r="H9" s="227" t="s">
        <v>64</v>
      </c>
      <c r="I9" s="177"/>
      <c r="J9" s="178"/>
      <c r="K9" s="178"/>
      <c r="L9" s="179"/>
      <c r="M9" s="177"/>
      <c r="N9" s="178"/>
      <c r="O9" s="178"/>
      <c r="P9" s="180"/>
      <c r="Q9" s="180"/>
      <c r="R9" s="180"/>
      <c r="S9" s="180" t="s">
        <v>61</v>
      </c>
      <c r="T9" s="180"/>
      <c r="U9" s="267">
        <v>45671</v>
      </c>
      <c r="V9" s="271">
        <v>45671</v>
      </c>
      <c r="W9" s="272"/>
      <c r="X9" s="273"/>
      <c r="Y9" s="184"/>
      <c r="Z9" s="185" t="s">
        <v>626</v>
      </c>
    </row>
    <row r="10" spans="1:27" ht="11.4" x14ac:dyDescent="0.15">
      <c r="A10" s="175">
        <f t="shared" si="1"/>
        <v>8</v>
      </c>
      <c r="B10" s="176"/>
      <c r="C10" s="176"/>
      <c r="D10" s="176"/>
      <c r="E10" s="176" t="s">
        <v>627</v>
      </c>
      <c r="F10" s="186"/>
      <c r="G10" s="258"/>
      <c r="H10" s="227" t="s">
        <v>64</v>
      </c>
      <c r="I10" s="177"/>
      <c r="J10" s="178"/>
      <c r="K10" s="178"/>
      <c r="L10" s="179"/>
      <c r="M10" s="177"/>
      <c r="N10" s="178"/>
      <c r="O10" s="178"/>
      <c r="P10" s="180"/>
      <c r="Q10" s="180"/>
      <c r="R10" s="180"/>
      <c r="S10" s="180" t="s">
        <v>61</v>
      </c>
      <c r="T10" s="180"/>
      <c r="U10" s="267">
        <v>45671</v>
      </c>
      <c r="V10" s="271"/>
      <c r="W10" s="272">
        <v>45671</v>
      </c>
      <c r="X10" s="273"/>
      <c r="Y10" s="184"/>
      <c r="Z10" s="185" t="s">
        <v>628</v>
      </c>
    </row>
    <row r="11" spans="1:27" ht="11.4" x14ac:dyDescent="0.15">
      <c r="A11" s="175">
        <f t="shared" si="1"/>
        <v>9</v>
      </c>
      <c r="B11" s="176"/>
      <c r="C11" s="176"/>
      <c r="D11" s="176"/>
      <c r="E11" s="176" t="s">
        <v>629</v>
      </c>
      <c r="F11" s="186"/>
      <c r="G11" s="258"/>
      <c r="H11" s="227" t="s">
        <v>64</v>
      </c>
      <c r="I11" s="177"/>
      <c r="J11" s="178"/>
      <c r="K11" s="178"/>
      <c r="L11" s="179"/>
      <c r="M11" s="177"/>
      <c r="N11" s="178"/>
      <c r="O11" s="178"/>
      <c r="P11" s="180"/>
      <c r="Q11" s="180"/>
      <c r="R11" s="180"/>
      <c r="S11" s="180" t="s">
        <v>61</v>
      </c>
      <c r="T11" s="180"/>
      <c r="U11" s="267">
        <v>45671</v>
      </c>
      <c r="V11" s="271"/>
      <c r="W11" s="272">
        <v>45671</v>
      </c>
      <c r="X11" s="273"/>
      <c r="Y11" s="184"/>
      <c r="Z11" s="185" t="s">
        <v>630</v>
      </c>
    </row>
    <row r="12" spans="1:27" ht="11.4" x14ac:dyDescent="0.15">
      <c r="A12" s="175">
        <f t="shared" si="1"/>
        <v>10</v>
      </c>
      <c r="B12" s="176"/>
      <c r="C12" s="176"/>
      <c r="D12" s="176"/>
      <c r="E12" s="176" t="s">
        <v>631</v>
      </c>
      <c r="F12" s="186"/>
      <c r="G12" s="258"/>
      <c r="H12" s="227" t="s">
        <v>64</v>
      </c>
      <c r="I12" s="177"/>
      <c r="J12" s="178"/>
      <c r="K12" s="178"/>
      <c r="L12" s="179"/>
      <c r="M12" s="177"/>
      <c r="N12" s="178"/>
      <c r="O12" s="178"/>
      <c r="P12" s="180"/>
      <c r="Q12" s="180"/>
      <c r="R12" s="180"/>
      <c r="S12" s="180" t="s">
        <v>61</v>
      </c>
      <c r="T12" s="180"/>
      <c r="U12" s="267">
        <v>45671</v>
      </c>
      <c r="V12" s="271"/>
      <c r="W12" s="272">
        <v>45671</v>
      </c>
      <c r="X12" s="273"/>
      <c r="Y12" s="184"/>
      <c r="Z12" s="185" t="s">
        <v>632</v>
      </c>
      <c r="AA12" s="236" t="s">
        <v>65</v>
      </c>
    </row>
    <row r="13" spans="1:27" ht="11.4" x14ac:dyDescent="0.15">
      <c r="A13" s="175">
        <f t="shared" si="1"/>
        <v>11</v>
      </c>
      <c r="B13" s="176"/>
      <c r="C13" s="176"/>
      <c r="D13" s="176"/>
      <c r="E13" s="176" t="s">
        <v>633</v>
      </c>
      <c r="F13" s="186"/>
      <c r="G13" s="258"/>
      <c r="H13" s="227" t="s">
        <v>64</v>
      </c>
      <c r="I13" s="177"/>
      <c r="J13" s="178"/>
      <c r="K13" s="178"/>
      <c r="L13" s="179"/>
      <c r="M13" s="177"/>
      <c r="N13" s="178"/>
      <c r="O13" s="178"/>
      <c r="P13" s="180"/>
      <c r="Q13" s="180"/>
      <c r="R13" s="180"/>
      <c r="S13" s="180" t="s">
        <v>61</v>
      </c>
      <c r="T13" s="180"/>
      <c r="U13" s="267">
        <v>45671</v>
      </c>
      <c r="V13" s="271"/>
      <c r="W13" s="272">
        <v>45671</v>
      </c>
      <c r="X13" s="273"/>
      <c r="Y13" s="184"/>
      <c r="Z13" s="185" t="s">
        <v>634</v>
      </c>
      <c r="AA13" s="236" t="s">
        <v>65</v>
      </c>
    </row>
    <row r="14" spans="1:27" ht="11.4" x14ac:dyDescent="0.15">
      <c r="A14" s="175">
        <f t="shared" si="1"/>
        <v>12</v>
      </c>
      <c r="B14" s="176"/>
      <c r="C14" s="176"/>
      <c r="D14" s="176" t="s">
        <v>72</v>
      </c>
      <c r="E14" s="176" t="s">
        <v>73</v>
      </c>
      <c r="F14" s="186"/>
      <c r="G14" s="258"/>
      <c r="H14" s="227" t="s">
        <v>74</v>
      </c>
      <c r="I14" s="177"/>
      <c r="J14" s="178"/>
      <c r="K14" s="178"/>
      <c r="L14" s="179"/>
      <c r="M14" s="177"/>
      <c r="N14" s="178"/>
      <c r="O14" s="178"/>
      <c r="P14" s="180" t="s">
        <v>56</v>
      </c>
      <c r="Q14" s="180"/>
      <c r="R14" s="180"/>
      <c r="S14" s="180"/>
      <c r="T14" s="180"/>
      <c r="U14" s="267">
        <v>45671</v>
      </c>
      <c r="V14" s="271">
        <v>45671</v>
      </c>
      <c r="W14" s="272"/>
      <c r="X14" s="273"/>
      <c r="Y14" s="184"/>
      <c r="Z14" s="185" t="s">
        <v>635</v>
      </c>
    </row>
    <row r="15" spans="1:27" ht="11.4" x14ac:dyDescent="0.15">
      <c r="A15" s="175">
        <f t="shared" si="1"/>
        <v>13</v>
      </c>
      <c r="B15" s="176"/>
      <c r="C15" s="176"/>
      <c r="D15" s="176"/>
      <c r="E15" s="176" t="s">
        <v>76</v>
      </c>
      <c r="F15" s="186" t="s">
        <v>636</v>
      </c>
      <c r="G15" s="258" t="s">
        <v>56</v>
      </c>
      <c r="H15" s="227" t="s">
        <v>78</v>
      </c>
      <c r="I15" s="177"/>
      <c r="J15" s="178"/>
      <c r="K15" s="178"/>
      <c r="L15" s="179"/>
      <c r="M15" s="177"/>
      <c r="N15" s="178"/>
      <c r="O15" s="178"/>
      <c r="P15" s="180" t="s">
        <v>56</v>
      </c>
      <c r="Q15" s="180"/>
      <c r="R15" s="180"/>
      <c r="S15" s="180"/>
      <c r="T15" s="180"/>
      <c r="U15" s="267">
        <v>45671</v>
      </c>
      <c r="V15" s="271">
        <v>45671</v>
      </c>
      <c r="W15" s="272"/>
      <c r="X15" s="273"/>
      <c r="Y15" s="184"/>
      <c r="Z15" s="185" t="s">
        <v>637</v>
      </c>
    </row>
    <row r="16" spans="1:27" ht="11.4" x14ac:dyDescent="0.15">
      <c r="A16" s="175">
        <f t="shared" si="1"/>
        <v>14</v>
      </c>
      <c r="B16" s="176"/>
      <c r="C16" s="176"/>
      <c r="D16" s="176"/>
      <c r="E16" s="176"/>
      <c r="F16" s="186" t="s">
        <v>638</v>
      </c>
      <c r="G16" s="258" t="s">
        <v>56</v>
      </c>
      <c r="H16" s="227" t="s">
        <v>81</v>
      </c>
      <c r="I16" s="177"/>
      <c r="J16" s="178"/>
      <c r="K16" s="178"/>
      <c r="L16" s="179"/>
      <c r="M16" s="177"/>
      <c r="N16" s="178"/>
      <c r="O16" s="178"/>
      <c r="P16" s="180" t="s">
        <v>56</v>
      </c>
      <c r="Q16" s="180"/>
      <c r="R16" s="180"/>
      <c r="S16" s="180"/>
      <c r="T16" s="180"/>
      <c r="U16" s="267">
        <v>45671</v>
      </c>
      <c r="V16" s="271">
        <v>45671</v>
      </c>
      <c r="W16" s="272"/>
      <c r="X16" s="273"/>
      <c r="Y16" s="184"/>
      <c r="Z16" s="185" t="s">
        <v>639</v>
      </c>
    </row>
    <row r="17" spans="1:27" ht="11.4" x14ac:dyDescent="0.15">
      <c r="A17" s="175">
        <f t="shared" si="1"/>
        <v>15</v>
      </c>
      <c r="B17" s="176"/>
      <c r="C17" s="176" t="s">
        <v>640</v>
      </c>
      <c r="D17" s="176" t="s">
        <v>617</v>
      </c>
      <c r="E17" s="176" t="s">
        <v>618</v>
      </c>
      <c r="F17" s="186" t="s">
        <v>619</v>
      </c>
      <c r="G17" s="258" t="s">
        <v>56</v>
      </c>
      <c r="H17" s="227" t="s">
        <v>620</v>
      </c>
      <c r="I17" s="177"/>
      <c r="J17" s="178"/>
      <c r="K17" s="178"/>
      <c r="L17" s="179"/>
      <c r="M17" s="177"/>
      <c r="N17" s="178"/>
      <c r="O17" s="178"/>
      <c r="P17" s="180"/>
      <c r="Q17" s="180" t="s">
        <v>56</v>
      </c>
      <c r="R17" s="180"/>
      <c r="S17" s="180"/>
      <c r="T17" s="180"/>
      <c r="U17" s="267">
        <v>45671</v>
      </c>
      <c r="V17" s="271">
        <v>45671</v>
      </c>
      <c r="W17" s="272"/>
      <c r="X17" s="273"/>
      <c r="Y17" s="184"/>
      <c r="Z17" s="185" t="s">
        <v>641</v>
      </c>
    </row>
    <row r="18" spans="1:27" ht="11.4" x14ac:dyDescent="0.15">
      <c r="A18" s="175">
        <f t="shared" si="1"/>
        <v>16</v>
      </c>
      <c r="B18" s="176"/>
      <c r="C18" s="176"/>
      <c r="D18" s="176" t="s">
        <v>59</v>
      </c>
      <c r="E18" s="176" t="s">
        <v>622</v>
      </c>
      <c r="F18" s="186"/>
      <c r="G18" s="258"/>
      <c r="H18" s="227" t="s">
        <v>623</v>
      </c>
      <c r="I18" s="177"/>
      <c r="J18" s="178"/>
      <c r="K18" s="178"/>
      <c r="L18" s="179"/>
      <c r="M18" s="177"/>
      <c r="N18" s="178"/>
      <c r="O18" s="178"/>
      <c r="P18" s="180"/>
      <c r="Q18" s="180"/>
      <c r="R18" s="180"/>
      <c r="S18" s="180" t="s">
        <v>61</v>
      </c>
      <c r="T18" s="180"/>
      <c r="U18" s="267">
        <v>45671</v>
      </c>
      <c r="V18" s="271">
        <v>45671</v>
      </c>
      <c r="W18" s="272"/>
      <c r="X18" s="273"/>
      <c r="Y18" s="184"/>
      <c r="Z18" s="185" t="s">
        <v>642</v>
      </c>
    </row>
    <row r="19" spans="1:27" ht="11.4" x14ac:dyDescent="0.15">
      <c r="A19" s="175">
        <f t="shared" si="1"/>
        <v>17</v>
      </c>
      <c r="B19" s="176"/>
      <c r="C19" s="176"/>
      <c r="D19" s="176" t="s">
        <v>63</v>
      </c>
      <c r="E19" s="176" t="s">
        <v>643</v>
      </c>
      <c r="F19" s="186"/>
      <c r="G19" s="258"/>
      <c r="H19" s="227" t="s">
        <v>64</v>
      </c>
      <c r="I19" s="177"/>
      <c r="J19" s="178"/>
      <c r="K19" s="178"/>
      <c r="L19" s="179"/>
      <c r="M19" s="177"/>
      <c r="N19" s="178"/>
      <c r="O19" s="178"/>
      <c r="P19" s="180"/>
      <c r="Q19" s="180"/>
      <c r="R19" s="180"/>
      <c r="S19" s="180" t="s">
        <v>61</v>
      </c>
      <c r="T19" s="180"/>
      <c r="U19" s="267">
        <v>45671</v>
      </c>
      <c r="V19" s="271">
        <v>45671</v>
      </c>
      <c r="W19" s="272"/>
      <c r="X19" s="273"/>
      <c r="Y19" s="184"/>
      <c r="Z19" s="185" t="s">
        <v>644</v>
      </c>
      <c r="AA19" s="236" t="s">
        <v>65</v>
      </c>
    </row>
    <row r="20" spans="1:27" ht="11.4" x14ac:dyDescent="0.15">
      <c r="A20" s="175">
        <f t="shared" si="1"/>
        <v>18</v>
      </c>
      <c r="B20" s="176"/>
      <c r="C20" s="176"/>
      <c r="D20" s="176"/>
      <c r="E20" s="176" t="s">
        <v>629</v>
      </c>
      <c r="F20" s="186"/>
      <c r="G20" s="258"/>
      <c r="H20" s="227" t="s">
        <v>64</v>
      </c>
      <c r="I20" s="177"/>
      <c r="J20" s="178"/>
      <c r="K20" s="178"/>
      <c r="L20" s="179"/>
      <c r="M20" s="177"/>
      <c r="N20" s="178"/>
      <c r="O20" s="178"/>
      <c r="P20" s="180"/>
      <c r="Q20" s="180"/>
      <c r="R20" s="180"/>
      <c r="S20" s="180" t="s">
        <v>61</v>
      </c>
      <c r="T20" s="180"/>
      <c r="U20" s="267">
        <v>45671</v>
      </c>
      <c r="V20" s="271"/>
      <c r="W20" s="272">
        <v>45671</v>
      </c>
      <c r="X20" s="273"/>
      <c r="Y20" s="184"/>
      <c r="Z20" s="185" t="s">
        <v>645</v>
      </c>
    </row>
    <row r="21" spans="1:27" ht="11.4" x14ac:dyDescent="0.15">
      <c r="A21" s="175">
        <f t="shared" si="1"/>
        <v>19</v>
      </c>
      <c r="B21" s="176"/>
      <c r="C21" s="176"/>
      <c r="D21" s="176" t="s">
        <v>72</v>
      </c>
      <c r="E21" s="176" t="s">
        <v>73</v>
      </c>
      <c r="F21" s="186"/>
      <c r="G21" s="258"/>
      <c r="H21" s="227" t="s">
        <v>74</v>
      </c>
      <c r="I21" s="177"/>
      <c r="J21" s="178"/>
      <c r="K21" s="178"/>
      <c r="L21" s="179"/>
      <c r="M21" s="177"/>
      <c r="N21" s="178"/>
      <c r="O21" s="178"/>
      <c r="P21" s="180" t="s">
        <v>56</v>
      </c>
      <c r="Q21" s="180"/>
      <c r="R21" s="180"/>
      <c r="S21" s="180"/>
      <c r="T21" s="180"/>
      <c r="U21" s="267">
        <v>45671</v>
      </c>
      <c r="V21" s="271">
        <v>45671</v>
      </c>
      <c r="W21" s="272"/>
      <c r="X21" s="273"/>
      <c r="Y21" s="184"/>
      <c r="Z21" s="185" t="s">
        <v>635</v>
      </c>
    </row>
    <row r="22" spans="1:27" ht="11.4" x14ac:dyDescent="0.15">
      <c r="A22" s="175">
        <f t="shared" si="1"/>
        <v>20</v>
      </c>
      <c r="B22" s="176"/>
      <c r="C22" s="176"/>
      <c r="D22" s="176"/>
      <c r="E22" s="176" t="s">
        <v>76</v>
      </c>
      <c r="F22" s="186" t="s">
        <v>636</v>
      </c>
      <c r="G22" s="258" t="s">
        <v>56</v>
      </c>
      <c r="H22" s="227" t="s">
        <v>90</v>
      </c>
      <c r="I22" s="177"/>
      <c r="J22" s="178"/>
      <c r="K22" s="178"/>
      <c r="L22" s="179"/>
      <c r="M22" s="177"/>
      <c r="N22" s="178"/>
      <c r="O22" s="178"/>
      <c r="P22" s="180" t="s">
        <v>56</v>
      </c>
      <c r="Q22" s="180"/>
      <c r="R22" s="180"/>
      <c r="S22" s="180"/>
      <c r="T22" s="180"/>
      <c r="U22" s="267">
        <v>45671</v>
      </c>
      <c r="V22" s="271">
        <v>45671</v>
      </c>
      <c r="W22" s="272"/>
      <c r="X22" s="273"/>
      <c r="Y22" s="184"/>
      <c r="Z22" s="185" t="s">
        <v>637</v>
      </c>
    </row>
    <row r="23" spans="1:27" ht="11.4" x14ac:dyDescent="0.15">
      <c r="A23" s="175">
        <f t="shared" si="1"/>
        <v>21</v>
      </c>
      <c r="B23" s="176"/>
      <c r="C23" s="176"/>
      <c r="D23" s="176"/>
      <c r="E23" s="176"/>
      <c r="F23" s="186" t="s">
        <v>638</v>
      </c>
      <c r="G23" s="258" t="s">
        <v>56</v>
      </c>
      <c r="H23" s="227" t="s">
        <v>91</v>
      </c>
      <c r="I23" s="177"/>
      <c r="J23" s="178"/>
      <c r="K23" s="178"/>
      <c r="L23" s="179"/>
      <c r="M23" s="177"/>
      <c r="N23" s="178"/>
      <c r="O23" s="178"/>
      <c r="P23" s="180" t="s">
        <v>56</v>
      </c>
      <c r="Q23" s="180"/>
      <c r="R23" s="180"/>
      <c r="S23" s="180"/>
      <c r="T23" s="180"/>
      <c r="U23" s="267">
        <v>45671</v>
      </c>
      <c r="V23" s="271">
        <v>45671</v>
      </c>
      <c r="W23" s="272"/>
      <c r="X23" s="273"/>
      <c r="Y23" s="184"/>
      <c r="Z23" s="185" t="s">
        <v>1129</v>
      </c>
    </row>
    <row r="24" spans="1:27" ht="11.4" x14ac:dyDescent="0.15">
      <c r="A24" s="175">
        <f t="shared" si="1"/>
        <v>22</v>
      </c>
      <c r="B24" s="176"/>
      <c r="C24" s="176" t="s">
        <v>646</v>
      </c>
      <c r="D24" s="176" t="s">
        <v>647</v>
      </c>
      <c r="E24" s="176" t="s">
        <v>648</v>
      </c>
      <c r="F24" s="186" t="s">
        <v>649</v>
      </c>
      <c r="G24" s="258" t="s">
        <v>56</v>
      </c>
      <c r="H24" s="227" t="s">
        <v>650</v>
      </c>
      <c r="I24" s="177"/>
      <c r="J24" s="178"/>
      <c r="K24" s="178"/>
      <c r="L24" s="179"/>
      <c r="M24" s="177"/>
      <c r="N24" s="178"/>
      <c r="O24" s="178"/>
      <c r="P24" s="180"/>
      <c r="Q24" s="180" t="s">
        <v>61</v>
      </c>
      <c r="R24" s="180"/>
      <c r="S24" s="180"/>
      <c r="T24" s="180"/>
      <c r="U24" s="267">
        <v>45671</v>
      </c>
      <c r="V24" s="271">
        <v>45671</v>
      </c>
      <c r="W24" s="272"/>
      <c r="X24" s="273"/>
      <c r="Y24" s="184"/>
      <c r="Z24" s="185" t="s">
        <v>651</v>
      </c>
      <c r="AA24" s="236" t="s">
        <v>648</v>
      </c>
    </row>
    <row r="25" spans="1:27" ht="11.4" x14ac:dyDescent="0.15">
      <c r="A25" s="175">
        <f t="shared" si="1"/>
        <v>23</v>
      </c>
      <c r="B25" s="176"/>
      <c r="C25" s="176"/>
      <c r="D25" s="176"/>
      <c r="E25" s="176" t="s">
        <v>652</v>
      </c>
      <c r="F25" s="186"/>
      <c r="G25" s="258"/>
      <c r="H25" s="227" t="s">
        <v>650</v>
      </c>
      <c r="I25" s="177"/>
      <c r="J25" s="178"/>
      <c r="K25" s="178"/>
      <c r="L25" s="179"/>
      <c r="M25" s="177"/>
      <c r="N25" s="178"/>
      <c r="O25" s="178"/>
      <c r="P25" s="180"/>
      <c r="Q25" s="180" t="s">
        <v>61</v>
      </c>
      <c r="R25" s="180"/>
      <c r="S25" s="180"/>
      <c r="T25" s="180"/>
      <c r="U25" s="267">
        <v>45671</v>
      </c>
      <c r="V25" s="271">
        <v>45671</v>
      </c>
      <c r="W25" s="272"/>
      <c r="X25" s="273"/>
      <c r="Y25" s="184"/>
      <c r="Z25" s="185" t="s">
        <v>653</v>
      </c>
      <c r="AA25" s="236" t="s">
        <v>652</v>
      </c>
    </row>
    <row r="26" spans="1:27" ht="11.4" x14ac:dyDescent="0.15">
      <c r="A26" s="175">
        <f t="shared" si="1"/>
        <v>24</v>
      </c>
      <c r="B26" s="176"/>
      <c r="C26" s="176"/>
      <c r="D26" s="176"/>
      <c r="E26" s="176" t="s">
        <v>654</v>
      </c>
      <c r="F26" s="186"/>
      <c r="G26" s="258"/>
      <c r="H26" s="227" t="s">
        <v>650</v>
      </c>
      <c r="I26" s="177"/>
      <c r="J26" s="178"/>
      <c r="K26" s="178"/>
      <c r="L26" s="179"/>
      <c r="M26" s="177"/>
      <c r="N26" s="178"/>
      <c r="O26" s="178"/>
      <c r="P26" s="180"/>
      <c r="Q26" s="180" t="s">
        <v>61</v>
      </c>
      <c r="R26" s="180"/>
      <c r="S26" s="180"/>
      <c r="T26" s="180"/>
      <c r="U26" s="267">
        <v>45671</v>
      </c>
      <c r="V26" s="271">
        <v>45671</v>
      </c>
      <c r="W26" s="272"/>
      <c r="X26" s="273"/>
      <c r="Y26" s="184"/>
      <c r="Z26" s="185" t="s">
        <v>655</v>
      </c>
      <c r="AA26" s="236" t="s">
        <v>654</v>
      </c>
    </row>
    <row r="27" spans="1:27" ht="11.4" x14ac:dyDescent="0.15">
      <c r="A27" s="175">
        <f t="shared" si="1"/>
        <v>25</v>
      </c>
      <c r="B27" s="176"/>
      <c r="C27" s="176"/>
      <c r="D27" s="176"/>
      <c r="E27" s="176" t="s">
        <v>656</v>
      </c>
      <c r="F27" s="186"/>
      <c r="G27" s="258"/>
      <c r="H27" s="227" t="s">
        <v>650</v>
      </c>
      <c r="I27" s="177"/>
      <c r="J27" s="178"/>
      <c r="K27" s="178"/>
      <c r="L27" s="179"/>
      <c r="M27" s="177"/>
      <c r="N27" s="178"/>
      <c r="O27" s="178"/>
      <c r="P27" s="180"/>
      <c r="Q27" s="180" t="s">
        <v>61</v>
      </c>
      <c r="R27" s="180"/>
      <c r="S27" s="180"/>
      <c r="T27" s="180"/>
      <c r="U27" s="267">
        <v>45671</v>
      </c>
      <c r="V27" s="271">
        <v>45671</v>
      </c>
      <c r="W27" s="272"/>
      <c r="X27" s="273"/>
      <c r="Y27" s="184"/>
      <c r="Z27" s="185" t="s">
        <v>657</v>
      </c>
      <c r="AA27" s="236" t="s">
        <v>656</v>
      </c>
    </row>
    <row r="28" spans="1:27" ht="11.4" x14ac:dyDescent="0.15">
      <c r="A28" s="175">
        <f t="shared" si="1"/>
        <v>26</v>
      </c>
      <c r="B28" s="176"/>
      <c r="C28" s="176"/>
      <c r="D28" s="176"/>
      <c r="E28" s="176" t="s">
        <v>658</v>
      </c>
      <c r="F28" s="186"/>
      <c r="G28" s="258"/>
      <c r="H28" s="227" t="s">
        <v>650</v>
      </c>
      <c r="I28" s="177"/>
      <c r="J28" s="178"/>
      <c r="K28" s="178"/>
      <c r="L28" s="179"/>
      <c r="M28" s="177"/>
      <c r="N28" s="178"/>
      <c r="O28" s="178"/>
      <c r="P28" s="180"/>
      <c r="Q28" s="180" t="s">
        <v>61</v>
      </c>
      <c r="R28" s="180"/>
      <c r="S28" s="180"/>
      <c r="T28" s="180"/>
      <c r="U28" s="267">
        <v>45671</v>
      </c>
      <c r="V28" s="271">
        <v>45671</v>
      </c>
      <c r="W28" s="272"/>
      <c r="X28" s="273"/>
      <c r="Y28" s="184"/>
      <c r="Z28" s="185" t="s">
        <v>659</v>
      </c>
      <c r="AA28" s="236" t="s">
        <v>658</v>
      </c>
    </row>
    <row r="29" spans="1:27" ht="11.4" x14ac:dyDescent="0.15">
      <c r="A29" s="175">
        <f t="shared" si="1"/>
        <v>27</v>
      </c>
      <c r="B29" s="176"/>
      <c r="C29" s="176"/>
      <c r="D29" s="176"/>
      <c r="E29" s="176" t="s">
        <v>660</v>
      </c>
      <c r="F29" s="186"/>
      <c r="G29" s="258"/>
      <c r="H29" s="227" t="s">
        <v>650</v>
      </c>
      <c r="I29" s="177"/>
      <c r="J29" s="178"/>
      <c r="K29" s="178"/>
      <c r="L29" s="179"/>
      <c r="M29" s="177"/>
      <c r="N29" s="178"/>
      <c r="O29" s="178"/>
      <c r="P29" s="180"/>
      <c r="Q29" s="180" t="s">
        <v>61</v>
      </c>
      <c r="R29" s="180"/>
      <c r="S29" s="180"/>
      <c r="T29" s="180"/>
      <c r="U29" s="267">
        <v>45671</v>
      </c>
      <c r="V29" s="271">
        <v>45671</v>
      </c>
      <c r="W29" s="272"/>
      <c r="X29" s="273"/>
      <c r="Y29" s="184"/>
      <c r="Z29" s="185" t="s">
        <v>661</v>
      </c>
      <c r="AA29" s="236" t="s">
        <v>660</v>
      </c>
    </row>
    <row r="30" spans="1:27" ht="11.4" x14ac:dyDescent="0.15">
      <c r="A30" s="175">
        <f t="shared" si="1"/>
        <v>28</v>
      </c>
      <c r="B30" s="176"/>
      <c r="C30" s="176"/>
      <c r="D30" s="176"/>
      <c r="E30" s="176" t="s">
        <v>662</v>
      </c>
      <c r="F30" s="186"/>
      <c r="G30" s="258"/>
      <c r="H30" s="227" t="s">
        <v>650</v>
      </c>
      <c r="I30" s="177"/>
      <c r="J30" s="178"/>
      <c r="K30" s="178"/>
      <c r="L30" s="179"/>
      <c r="M30" s="177"/>
      <c r="N30" s="178"/>
      <c r="O30" s="178"/>
      <c r="P30" s="180"/>
      <c r="Q30" s="180" t="s">
        <v>61</v>
      </c>
      <c r="R30" s="180"/>
      <c r="S30" s="180"/>
      <c r="T30" s="180"/>
      <c r="U30" s="267">
        <v>45671</v>
      </c>
      <c r="V30" s="271">
        <v>45671</v>
      </c>
      <c r="W30" s="272"/>
      <c r="X30" s="273"/>
      <c r="Y30" s="184"/>
      <c r="Z30" s="185" t="s">
        <v>663</v>
      </c>
      <c r="AA30" s="236" t="s">
        <v>662</v>
      </c>
    </row>
    <row r="31" spans="1:27" ht="11.4" x14ac:dyDescent="0.15">
      <c r="A31" s="175">
        <f t="shared" si="1"/>
        <v>29</v>
      </c>
      <c r="B31" s="176"/>
      <c r="C31" s="176"/>
      <c r="D31" s="176"/>
      <c r="E31" s="176" t="s">
        <v>664</v>
      </c>
      <c r="F31" s="186"/>
      <c r="G31" s="258"/>
      <c r="H31" s="227" t="s">
        <v>650</v>
      </c>
      <c r="I31" s="177"/>
      <c r="J31" s="178"/>
      <c r="K31" s="178"/>
      <c r="L31" s="179"/>
      <c r="M31" s="177"/>
      <c r="N31" s="178"/>
      <c r="O31" s="178"/>
      <c r="P31" s="180"/>
      <c r="Q31" s="180" t="s">
        <v>61</v>
      </c>
      <c r="R31" s="180"/>
      <c r="S31" s="180"/>
      <c r="T31" s="180"/>
      <c r="U31" s="267">
        <v>45671</v>
      </c>
      <c r="V31" s="271">
        <v>45671</v>
      </c>
      <c r="W31" s="272"/>
      <c r="X31" s="273"/>
      <c r="Y31" s="184"/>
      <c r="Z31" s="185" t="s">
        <v>665</v>
      </c>
      <c r="AA31" s="236" t="s">
        <v>664</v>
      </c>
    </row>
    <row r="32" spans="1:27" ht="11.4" x14ac:dyDescent="0.15">
      <c r="A32" s="175">
        <f t="shared" si="1"/>
        <v>30</v>
      </c>
      <c r="B32" s="176"/>
      <c r="C32" s="176"/>
      <c r="D32" s="176"/>
      <c r="E32" s="176" t="s">
        <v>666</v>
      </c>
      <c r="F32" s="186"/>
      <c r="G32" s="258"/>
      <c r="H32" s="227" t="s">
        <v>650</v>
      </c>
      <c r="I32" s="177"/>
      <c r="J32" s="178"/>
      <c r="K32" s="178"/>
      <c r="L32" s="179"/>
      <c r="M32" s="177"/>
      <c r="N32" s="178"/>
      <c r="O32" s="178"/>
      <c r="P32" s="180"/>
      <c r="Q32" s="180" t="s">
        <v>61</v>
      </c>
      <c r="R32" s="180"/>
      <c r="S32" s="180"/>
      <c r="T32" s="180"/>
      <c r="U32" s="267">
        <v>45671</v>
      </c>
      <c r="V32" s="271"/>
      <c r="W32" s="272"/>
      <c r="X32" s="273"/>
      <c r="Y32" s="184"/>
      <c r="Z32" s="185" t="s">
        <v>667</v>
      </c>
      <c r="AA32" s="236" t="s">
        <v>666</v>
      </c>
    </row>
    <row r="33" spans="1:27" ht="11.4" x14ac:dyDescent="0.15">
      <c r="A33" s="175">
        <f t="shared" si="1"/>
        <v>31</v>
      </c>
      <c r="B33" s="176"/>
      <c r="C33" s="176"/>
      <c r="D33" s="176"/>
      <c r="E33" s="176" t="s">
        <v>668</v>
      </c>
      <c r="F33" s="186"/>
      <c r="G33" s="258"/>
      <c r="H33" s="227" t="s">
        <v>650</v>
      </c>
      <c r="I33" s="177"/>
      <c r="J33" s="178"/>
      <c r="K33" s="178"/>
      <c r="L33" s="179"/>
      <c r="M33" s="177"/>
      <c r="N33" s="178"/>
      <c r="O33" s="178"/>
      <c r="P33" s="180"/>
      <c r="Q33" s="180" t="s">
        <v>61</v>
      </c>
      <c r="R33" s="180"/>
      <c r="S33" s="180"/>
      <c r="T33" s="180"/>
      <c r="U33" s="267">
        <v>45671</v>
      </c>
      <c r="V33" s="271"/>
      <c r="W33" s="272"/>
      <c r="X33" s="273"/>
      <c r="Y33" s="184"/>
      <c r="Z33" s="185" t="s">
        <v>669</v>
      </c>
      <c r="AA33" s="236" t="s">
        <v>668</v>
      </c>
    </row>
    <row r="34" spans="1:27" ht="11.4" x14ac:dyDescent="0.15">
      <c r="A34" s="175">
        <f t="shared" si="1"/>
        <v>32</v>
      </c>
      <c r="B34" s="176"/>
      <c r="C34" s="176"/>
      <c r="D34" s="176"/>
      <c r="E34" s="176" t="s">
        <v>395</v>
      </c>
      <c r="F34" s="186"/>
      <c r="G34" s="258"/>
      <c r="H34" s="227" t="s">
        <v>650</v>
      </c>
      <c r="I34" s="177"/>
      <c r="J34" s="178"/>
      <c r="K34" s="178"/>
      <c r="L34" s="179"/>
      <c r="M34" s="177"/>
      <c r="N34" s="178"/>
      <c r="O34" s="178"/>
      <c r="P34" s="180"/>
      <c r="Q34" s="180" t="s">
        <v>61</v>
      </c>
      <c r="R34" s="180"/>
      <c r="S34" s="180"/>
      <c r="T34" s="180"/>
      <c r="U34" s="267">
        <v>45671</v>
      </c>
      <c r="V34" s="271"/>
      <c r="W34" s="272"/>
      <c r="X34" s="273"/>
      <c r="Y34" s="184"/>
      <c r="Z34" s="185" t="s">
        <v>670</v>
      </c>
      <c r="AA34" s="236" t="s">
        <v>395</v>
      </c>
    </row>
    <row r="35" spans="1:27" ht="11.4" x14ac:dyDescent="0.15">
      <c r="A35" s="175">
        <f t="shared" si="1"/>
        <v>33</v>
      </c>
      <c r="B35" s="176"/>
      <c r="C35" s="176"/>
      <c r="D35" s="176" t="s">
        <v>307</v>
      </c>
      <c r="E35" s="176" t="s">
        <v>671</v>
      </c>
      <c r="F35" s="186"/>
      <c r="G35" s="258"/>
      <c r="H35" s="227" t="s">
        <v>672</v>
      </c>
      <c r="I35" s="177"/>
      <c r="J35" s="178"/>
      <c r="K35" s="178"/>
      <c r="L35" s="179"/>
      <c r="M35" s="177"/>
      <c r="N35" s="178"/>
      <c r="O35" s="178"/>
      <c r="P35" s="180"/>
      <c r="Q35" s="180"/>
      <c r="R35" s="180"/>
      <c r="S35" s="180"/>
      <c r="T35" s="180" t="s">
        <v>61</v>
      </c>
      <c r="U35" s="267">
        <v>45671</v>
      </c>
      <c r="V35" s="271">
        <v>45671</v>
      </c>
      <c r="W35" s="272"/>
      <c r="X35" s="273"/>
      <c r="Y35" s="184"/>
      <c r="Z35" s="185" t="s">
        <v>641</v>
      </c>
    </row>
    <row r="36" spans="1:27" ht="11.4" x14ac:dyDescent="0.15">
      <c r="A36" s="175">
        <f t="shared" si="1"/>
        <v>34</v>
      </c>
      <c r="B36" s="176"/>
      <c r="C36" s="176" t="s">
        <v>105</v>
      </c>
      <c r="D36" s="176" t="s">
        <v>673</v>
      </c>
      <c r="E36" s="176" t="s">
        <v>674</v>
      </c>
      <c r="F36" s="186" t="s">
        <v>675</v>
      </c>
      <c r="G36" s="258"/>
      <c r="H36" s="227" t="s">
        <v>676</v>
      </c>
      <c r="I36" s="177"/>
      <c r="J36" s="178"/>
      <c r="K36" s="178"/>
      <c r="L36" s="179"/>
      <c r="M36" s="177"/>
      <c r="N36" s="178"/>
      <c r="O36" s="178"/>
      <c r="P36" s="180"/>
      <c r="Q36" s="180"/>
      <c r="R36" s="180" t="s">
        <v>61</v>
      </c>
      <c r="S36" s="180"/>
      <c r="T36" s="180"/>
      <c r="U36" s="267"/>
      <c r="V36" s="271"/>
      <c r="W36" s="272"/>
      <c r="X36" s="273"/>
      <c r="Y36" s="184"/>
      <c r="Z36" s="185" t="s">
        <v>677</v>
      </c>
    </row>
    <row r="37" spans="1:27" ht="11.4" x14ac:dyDescent="0.15">
      <c r="A37" s="175">
        <f t="shared" si="1"/>
        <v>35</v>
      </c>
      <c r="B37" s="176"/>
      <c r="C37" s="176"/>
      <c r="D37" s="176"/>
      <c r="E37" s="176" t="s">
        <v>678</v>
      </c>
      <c r="F37" s="186"/>
      <c r="G37" s="258"/>
      <c r="H37" s="227" t="s">
        <v>676</v>
      </c>
      <c r="I37" s="177"/>
      <c r="J37" s="178"/>
      <c r="K37" s="178"/>
      <c r="L37" s="179"/>
      <c r="M37" s="177"/>
      <c r="N37" s="178"/>
      <c r="O37" s="178"/>
      <c r="P37" s="180"/>
      <c r="Q37" s="180"/>
      <c r="R37" s="180" t="s">
        <v>61</v>
      </c>
      <c r="S37" s="180"/>
      <c r="T37" s="180"/>
      <c r="U37" s="267"/>
      <c r="V37" s="271"/>
      <c r="W37" s="272"/>
      <c r="X37" s="273"/>
      <c r="Y37" s="184"/>
      <c r="Z37" s="185" t="s">
        <v>677</v>
      </c>
    </row>
    <row r="38" spans="1:27" ht="11.4" x14ac:dyDescent="0.15">
      <c r="A38" s="175">
        <f t="shared" si="1"/>
        <v>36</v>
      </c>
      <c r="B38" s="176"/>
      <c r="C38" s="176"/>
      <c r="D38" s="176"/>
      <c r="E38" s="176" t="s">
        <v>679</v>
      </c>
      <c r="F38" s="186"/>
      <c r="G38" s="258"/>
      <c r="H38" s="227" t="s">
        <v>676</v>
      </c>
      <c r="I38" s="177"/>
      <c r="J38" s="178"/>
      <c r="K38" s="178"/>
      <c r="L38" s="179"/>
      <c r="M38" s="177"/>
      <c r="N38" s="178"/>
      <c r="O38" s="178"/>
      <c r="P38" s="180"/>
      <c r="Q38" s="180"/>
      <c r="R38" s="180" t="s">
        <v>61</v>
      </c>
      <c r="S38" s="180"/>
      <c r="T38" s="180"/>
      <c r="U38" s="267"/>
      <c r="V38" s="271"/>
      <c r="W38" s="272"/>
      <c r="X38" s="273"/>
      <c r="Y38" s="184"/>
      <c r="Z38" s="185" t="s">
        <v>677</v>
      </c>
    </row>
    <row r="39" spans="1:27" ht="11.4" x14ac:dyDescent="0.15">
      <c r="A39" s="175">
        <f t="shared" si="1"/>
        <v>37</v>
      </c>
      <c r="B39" s="176"/>
      <c r="C39" s="176"/>
      <c r="D39" s="176"/>
      <c r="E39" s="176" t="s">
        <v>680</v>
      </c>
      <c r="F39" s="186"/>
      <c r="G39" s="258"/>
      <c r="H39" s="227" t="s">
        <v>676</v>
      </c>
      <c r="I39" s="177"/>
      <c r="J39" s="178"/>
      <c r="K39" s="178"/>
      <c r="L39" s="179"/>
      <c r="M39" s="177"/>
      <c r="N39" s="178"/>
      <c r="O39" s="178"/>
      <c r="P39" s="180"/>
      <c r="Q39" s="180"/>
      <c r="R39" s="180" t="s">
        <v>61</v>
      </c>
      <c r="S39" s="180"/>
      <c r="T39" s="180"/>
      <c r="U39" s="267"/>
      <c r="V39" s="271"/>
      <c r="W39" s="272"/>
      <c r="X39" s="273"/>
      <c r="Y39" s="184"/>
      <c r="Z39" s="185" t="s">
        <v>677</v>
      </c>
    </row>
    <row r="40" spans="1:27" ht="11.4" x14ac:dyDescent="0.15">
      <c r="A40" s="175">
        <f t="shared" si="1"/>
        <v>38</v>
      </c>
      <c r="B40" s="176"/>
      <c r="C40" s="176"/>
      <c r="D40" s="176"/>
      <c r="E40" s="176" t="s">
        <v>681</v>
      </c>
      <c r="F40" s="186"/>
      <c r="G40" s="258"/>
      <c r="H40" s="227" t="s">
        <v>676</v>
      </c>
      <c r="I40" s="177"/>
      <c r="J40" s="178"/>
      <c r="K40" s="178"/>
      <c r="L40" s="179"/>
      <c r="M40" s="177"/>
      <c r="N40" s="178"/>
      <c r="O40" s="178"/>
      <c r="P40" s="180"/>
      <c r="Q40" s="180"/>
      <c r="R40" s="180" t="s">
        <v>61</v>
      </c>
      <c r="S40" s="180"/>
      <c r="T40" s="180"/>
      <c r="U40" s="267"/>
      <c r="V40" s="271"/>
      <c r="W40" s="272"/>
      <c r="X40" s="273"/>
      <c r="Y40" s="184"/>
      <c r="Z40" s="185" t="s">
        <v>677</v>
      </c>
    </row>
    <row r="41" spans="1:27" ht="11.4" x14ac:dyDescent="0.15">
      <c r="A41" s="175">
        <f t="shared" si="1"/>
        <v>39</v>
      </c>
      <c r="B41" s="176"/>
      <c r="C41" s="176"/>
      <c r="D41" s="176"/>
      <c r="E41" s="176" t="s">
        <v>682</v>
      </c>
      <c r="F41" s="186"/>
      <c r="G41" s="258"/>
      <c r="H41" s="227" t="s">
        <v>676</v>
      </c>
      <c r="I41" s="177"/>
      <c r="J41" s="178"/>
      <c r="K41" s="178"/>
      <c r="L41" s="179"/>
      <c r="M41" s="177"/>
      <c r="N41" s="178"/>
      <c r="O41" s="178"/>
      <c r="P41" s="180"/>
      <c r="Q41" s="180"/>
      <c r="R41" s="180" t="s">
        <v>61</v>
      </c>
      <c r="S41" s="180"/>
      <c r="T41" s="180"/>
      <c r="U41" s="267"/>
      <c r="V41" s="271"/>
      <c r="W41" s="272"/>
      <c r="X41" s="273"/>
      <c r="Y41" s="184"/>
      <c r="Z41" s="185" t="s">
        <v>677</v>
      </c>
    </row>
    <row r="42" spans="1:27" ht="11.4" x14ac:dyDescent="0.15">
      <c r="A42" s="175">
        <f t="shared" si="1"/>
        <v>40</v>
      </c>
      <c r="B42" s="176"/>
      <c r="C42" s="176"/>
      <c r="D42" s="176"/>
      <c r="E42" s="176" t="s">
        <v>683</v>
      </c>
      <c r="F42" s="186"/>
      <c r="G42" s="258"/>
      <c r="H42" s="227" t="s">
        <v>676</v>
      </c>
      <c r="I42" s="177"/>
      <c r="J42" s="178"/>
      <c r="K42" s="178"/>
      <c r="L42" s="179"/>
      <c r="M42" s="177"/>
      <c r="N42" s="178"/>
      <c r="O42" s="178"/>
      <c r="P42" s="180"/>
      <c r="Q42" s="180"/>
      <c r="R42" s="180" t="s">
        <v>61</v>
      </c>
      <c r="S42" s="180"/>
      <c r="T42" s="180"/>
      <c r="U42" s="267"/>
      <c r="V42" s="271"/>
      <c r="W42" s="272"/>
      <c r="X42" s="273"/>
      <c r="Y42" s="184"/>
      <c r="Z42" s="185" t="s">
        <v>677</v>
      </c>
    </row>
    <row r="43" spans="1:27" ht="11.4" x14ac:dyDescent="0.15">
      <c r="A43" s="175">
        <f t="shared" si="1"/>
        <v>41</v>
      </c>
      <c r="B43" s="176"/>
      <c r="C43" s="176"/>
      <c r="D43" s="176" t="s">
        <v>684</v>
      </c>
      <c r="E43" s="176" t="s">
        <v>685</v>
      </c>
      <c r="F43" s="186"/>
      <c r="G43" s="258"/>
      <c r="H43" s="227" t="s">
        <v>676</v>
      </c>
      <c r="I43" s="177"/>
      <c r="J43" s="178"/>
      <c r="K43" s="178"/>
      <c r="L43" s="179"/>
      <c r="M43" s="177"/>
      <c r="N43" s="178"/>
      <c r="O43" s="178"/>
      <c r="P43" s="180"/>
      <c r="Q43" s="180"/>
      <c r="R43" s="180" t="s">
        <v>61</v>
      </c>
      <c r="S43" s="180"/>
      <c r="T43" s="180"/>
      <c r="U43" s="267"/>
      <c r="V43" s="271"/>
      <c r="W43" s="272"/>
      <c r="X43" s="273"/>
      <c r="Y43" s="184"/>
      <c r="Z43" s="185" t="s">
        <v>677</v>
      </c>
    </row>
    <row r="44" spans="1:27" ht="11.4" x14ac:dyDescent="0.15">
      <c r="A44" s="175">
        <f t="shared" si="1"/>
        <v>42</v>
      </c>
      <c r="B44" s="176"/>
      <c r="C44" s="176"/>
      <c r="D44" s="176"/>
      <c r="E44" s="176" t="s">
        <v>686</v>
      </c>
      <c r="F44" s="186"/>
      <c r="G44" s="258"/>
      <c r="H44" s="227" t="s">
        <v>676</v>
      </c>
      <c r="I44" s="177"/>
      <c r="J44" s="178"/>
      <c r="K44" s="178"/>
      <c r="L44" s="179"/>
      <c r="M44" s="177"/>
      <c r="N44" s="178"/>
      <c r="O44" s="178"/>
      <c r="P44" s="180"/>
      <c r="Q44" s="180"/>
      <c r="R44" s="180" t="s">
        <v>61</v>
      </c>
      <c r="S44" s="180"/>
      <c r="T44" s="180"/>
      <c r="U44" s="267"/>
      <c r="V44" s="271"/>
      <c r="W44" s="272"/>
      <c r="X44" s="273"/>
      <c r="Y44" s="184"/>
      <c r="Z44" s="185" t="s">
        <v>677</v>
      </c>
    </row>
    <row r="45" spans="1:27" ht="11.4" x14ac:dyDescent="0.15">
      <c r="A45" s="175">
        <f t="shared" si="1"/>
        <v>43</v>
      </c>
      <c r="B45" s="176"/>
      <c r="C45" s="176"/>
      <c r="D45" s="176"/>
      <c r="E45" s="176" t="s">
        <v>687</v>
      </c>
      <c r="F45" s="186"/>
      <c r="G45" s="258"/>
      <c r="H45" s="227" t="s">
        <v>676</v>
      </c>
      <c r="I45" s="177"/>
      <c r="J45" s="178"/>
      <c r="K45" s="178"/>
      <c r="L45" s="179"/>
      <c r="M45" s="177"/>
      <c r="N45" s="178"/>
      <c r="O45" s="178"/>
      <c r="P45" s="180"/>
      <c r="Q45" s="180"/>
      <c r="R45" s="180" t="s">
        <v>61</v>
      </c>
      <c r="S45" s="180"/>
      <c r="T45" s="180"/>
      <c r="U45" s="267"/>
      <c r="V45" s="271"/>
      <c r="W45" s="272"/>
      <c r="X45" s="273"/>
      <c r="Y45" s="184"/>
      <c r="Z45" s="185" t="s">
        <v>677</v>
      </c>
    </row>
    <row r="46" spans="1:27" ht="11.4" x14ac:dyDescent="0.15">
      <c r="A46" s="175">
        <f t="shared" si="1"/>
        <v>44</v>
      </c>
      <c r="B46" s="176"/>
      <c r="C46" s="176"/>
      <c r="D46" s="176"/>
      <c r="E46" s="176" t="s">
        <v>688</v>
      </c>
      <c r="F46" s="186"/>
      <c r="G46" s="258"/>
      <c r="H46" s="227" t="s">
        <v>676</v>
      </c>
      <c r="I46" s="177"/>
      <c r="J46" s="178"/>
      <c r="K46" s="178"/>
      <c r="L46" s="179"/>
      <c r="M46" s="177"/>
      <c r="N46" s="178"/>
      <c r="O46" s="178"/>
      <c r="P46" s="180"/>
      <c r="Q46" s="180"/>
      <c r="R46" s="180" t="s">
        <v>61</v>
      </c>
      <c r="S46" s="180"/>
      <c r="T46" s="180"/>
      <c r="U46" s="267"/>
      <c r="V46" s="271"/>
      <c r="W46" s="272"/>
      <c r="X46" s="273"/>
      <c r="Y46" s="184"/>
      <c r="Z46" s="185" t="s">
        <v>677</v>
      </c>
    </row>
    <row r="47" spans="1:27" ht="11.4" x14ac:dyDescent="0.15">
      <c r="A47" s="175">
        <f t="shared" si="1"/>
        <v>45</v>
      </c>
      <c r="B47" s="176"/>
      <c r="C47" s="176"/>
      <c r="D47" s="176" t="s">
        <v>689</v>
      </c>
      <c r="E47" s="176" t="s">
        <v>690</v>
      </c>
      <c r="F47" s="186"/>
      <c r="G47" s="258"/>
      <c r="H47" s="227" t="s">
        <v>676</v>
      </c>
      <c r="I47" s="177"/>
      <c r="J47" s="178"/>
      <c r="K47" s="178"/>
      <c r="L47" s="179"/>
      <c r="M47" s="177"/>
      <c r="N47" s="178"/>
      <c r="O47" s="178"/>
      <c r="P47" s="180"/>
      <c r="Q47" s="180"/>
      <c r="R47" s="180" t="s">
        <v>61</v>
      </c>
      <c r="S47" s="180"/>
      <c r="T47" s="180"/>
      <c r="U47" s="267"/>
      <c r="V47" s="271"/>
      <c r="W47" s="272"/>
      <c r="X47" s="273"/>
      <c r="Y47" s="184"/>
      <c r="Z47" s="185" t="s">
        <v>677</v>
      </c>
    </row>
    <row r="48" spans="1:27" ht="11.4" x14ac:dyDescent="0.15">
      <c r="A48" s="175">
        <f t="shared" si="1"/>
        <v>46</v>
      </c>
      <c r="B48" s="176"/>
      <c r="C48" s="176"/>
      <c r="D48" s="176"/>
      <c r="E48" s="176" t="s">
        <v>691</v>
      </c>
      <c r="F48" s="186"/>
      <c r="G48" s="258"/>
      <c r="H48" s="227" t="s">
        <v>676</v>
      </c>
      <c r="I48" s="177"/>
      <c r="J48" s="178"/>
      <c r="K48" s="178"/>
      <c r="L48" s="179"/>
      <c r="M48" s="177"/>
      <c r="N48" s="178"/>
      <c r="O48" s="178"/>
      <c r="P48" s="180"/>
      <c r="Q48" s="180"/>
      <c r="R48" s="180" t="s">
        <v>61</v>
      </c>
      <c r="S48" s="180"/>
      <c r="T48" s="180"/>
      <c r="U48" s="267"/>
      <c r="V48" s="271"/>
      <c r="W48" s="272"/>
      <c r="X48" s="273"/>
      <c r="Y48" s="184"/>
      <c r="Z48" s="185" t="s">
        <v>677</v>
      </c>
    </row>
    <row r="49" spans="1:26" ht="11.4" x14ac:dyDescent="0.15">
      <c r="A49" s="175">
        <f t="shared" si="1"/>
        <v>47</v>
      </c>
      <c r="B49" s="176"/>
      <c r="C49" s="176"/>
      <c r="D49" s="176"/>
      <c r="E49" s="176" t="s">
        <v>692</v>
      </c>
      <c r="F49" s="186"/>
      <c r="G49" s="258"/>
      <c r="H49" s="227" t="s">
        <v>676</v>
      </c>
      <c r="I49" s="177"/>
      <c r="J49" s="178"/>
      <c r="K49" s="178"/>
      <c r="L49" s="179"/>
      <c r="M49" s="177"/>
      <c r="N49" s="178"/>
      <c r="O49" s="178"/>
      <c r="P49" s="180"/>
      <c r="Q49" s="180"/>
      <c r="R49" s="180" t="s">
        <v>61</v>
      </c>
      <c r="S49" s="180"/>
      <c r="T49" s="180"/>
      <c r="U49" s="267"/>
      <c r="V49" s="271"/>
      <c r="W49" s="272"/>
      <c r="X49" s="273"/>
      <c r="Y49" s="184"/>
      <c r="Z49" s="185" t="s">
        <v>677</v>
      </c>
    </row>
    <row r="50" spans="1:26" ht="11.4" x14ac:dyDescent="0.15">
      <c r="A50" s="175">
        <f t="shared" si="1"/>
        <v>48</v>
      </c>
      <c r="B50" s="176"/>
      <c r="C50" s="176"/>
      <c r="D50" s="176"/>
      <c r="E50" s="176" t="s">
        <v>693</v>
      </c>
      <c r="F50" s="186"/>
      <c r="G50" s="258"/>
      <c r="H50" s="227" t="s">
        <v>676</v>
      </c>
      <c r="I50" s="177"/>
      <c r="J50" s="178"/>
      <c r="K50" s="178"/>
      <c r="L50" s="179"/>
      <c r="M50" s="177"/>
      <c r="N50" s="178"/>
      <c r="O50" s="178"/>
      <c r="P50" s="180"/>
      <c r="Q50" s="180"/>
      <c r="R50" s="180" t="s">
        <v>61</v>
      </c>
      <c r="S50" s="180"/>
      <c r="T50" s="180"/>
      <c r="U50" s="267"/>
      <c r="V50" s="271"/>
      <c r="W50" s="272"/>
      <c r="X50" s="273"/>
      <c r="Y50" s="184"/>
      <c r="Z50" s="185" t="s">
        <v>677</v>
      </c>
    </row>
    <row r="51" spans="1:26" ht="11.4" x14ac:dyDescent="0.15">
      <c r="A51" s="175">
        <f t="shared" si="1"/>
        <v>49</v>
      </c>
      <c r="B51" s="176"/>
      <c r="C51" s="176"/>
      <c r="D51" s="176"/>
      <c r="E51" s="176" t="s">
        <v>694</v>
      </c>
      <c r="F51" s="186"/>
      <c r="G51" s="258"/>
      <c r="H51" s="227" t="s">
        <v>676</v>
      </c>
      <c r="I51" s="177"/>
      <c r="J51" s="178"/>
      <c r="K51" s="178"/>
      <c r="L51" s="179"/>
      <c r="M51" s="177"/>
      <c r="N51" s="178"/>
      <c r="O51" s="178"/>
      <c r="P51" s="180"/>
      <c r="Q51" s="180"/>
      <c r="R51" s="180" t="s">
        <v>61</v>
      </c>
      <c r="S51" s="180"/>
      <c r="T51" s="180"/>
      <c r="U51" s="267"/>
      <c r="V51" s="271"/>
      <c r="W51" s="272"/>
      <c r="X51" s="273"/>
      <c r="Y51" s="184"/>
      <c r="Z51" s="185" t="s">
        <v>677</v>
      </c>
    </row>
    <row r="52" spans="1:26" ht="11.4" x14ac:dyDescent="0.15">
      <c r="A52" s="175">
        <f t="shared" si="1"/>
        <v>50</v>
      </c>
      <c r="B52" s="176"/>
      <c r="C52" s="176"/>
      <c r="D52" s="176"/>
      <c r="E52" s="176" t="s">
        <v>695</v>
      </c>
      <c r="F52" s="186"/>
      <c r="G52" s="258"/>
      <c r="H52" s="227" t="s">
        <v>676</v>
      </c>
      <c r="I52" s="177"/>
      <c r="J52" s="178"/>
      <c r="K52" s="178"/>
      <c r="L52" s="179"/>
      <c r="M52" s="177"/>
      <c r="N52" s="178"/>
      <c r="O52" s="178"/>
      <c r="P52" s="180"/>
      <c r="Q52" s="180"/>
      <c r="R52" s="180" t="s">
        <v>61</v>
      </c>
      <c r="S52" s="180"/>
      <c r="T52" s="180"/>
      <c r="U52" s="267"/>
      <c r="V52" s="271"/>
      <c r="W52" s="272"/>
      <c r="X52" s="273"/>
      <c r="Y52" s="184"/>
      <c r="Z52" s="185" t="s">
        <v>677</v>
      </c>
    </row>
    <row r="53" spans="1:26" ht="11.4" x14ac:dyDescent="0.15">
      <c r="A53" s="175">
        <f t="shared" si="1"/>
        <v>51</v>
      </c>
      <c r="B53" s="176"/>
      <c r="C53" s="176"/>
      <c r="D53" s="176"/>
      <c r="E53" s="176" t="s">
        <v>696</v>
      </c>
      <c r="F53" s="186"/>
      <c r="G53" s="258"/>
      <c r="H53" s="227" t="s">
        <v>676</v>
      </c>
      <c r="I53" s="177"/>
      <c r="J53" s="178"/>
      <c r="K53" s="178"/>
      <c r="L53" s="179"/>
      <c r="M53" s="177"/>
      <c r="N53" s="178"/>
      <c r="O53" s="178"/>
      <c r="P53" s="180"/>
      <c r="Q53" s="180"/>
      <c r="R53" s="180" t="s">
        <v>61</v>
      </c>
      <c r="S53" s="180"/>
      <c r="T53" s="180"/>
      <c r="U53" s="267"/>
      <c r="V53" s="271"/>
      <c r="W53" s="272"/>
      <c r="X53" s="273"/>
      <c r="Y53" s="184"/>
      <c r="Z53" s="185" t="s">
        <v>677</v>
      </c>
    </row>
    <row r="54" spans="1:26" ht="11.4" x14ac:dyDescent="0.15">
      <c r="A54" s="175">
        <f t="shared" si="1"/>
        <v>52</v>
      </c>
      <c r="B54" s="176"/>
      <c r="C54" s="176"/>
      <c r="D54" s="176"/>
      <c r="E54" s="176" t="s">
        <v>697</v>
      </c>
      <c r="F54" s="186"/>
      <c r="G54" s="258"/>
      <c r="H54" s="227" t="s">
        <v>676</v>
      </c>
      <c r="I54" s="177"/>
      <c r="J54" s="178"/>
      <c r="K54" s="178"/>
      <c r="L54" s="179"/>
      <c r="M54" s="177"/>
      <c r="N54" s="178"/>
      <c r="O54" s="178"/>
      <c r="P54" s="180"/>
      <c r="Q54" s="180"/>
      <c r="R54" s="180" t="s">
        <v>61</v>
      </c>
      <c r="S54" s="180"/>
      <c r="T54" s="180"/>
      <c r="U54" s="267"/>
      <c r="V54" s="271"/>
      <c r="W54" s="272"/>
      <c r="X54" s="273"/>
      <c r="Y54" s="184"/>
      <c r="Z54" s="185" t="s">
        <v>677</v>
      </c>
    </row>
    <row r="55" spans="1:26" ht="11.4" x14ac:dyDescent="0.15">
      <c r="A55" s="175">
        <f t="shared" si="1"/>
        <v>53</v>
      </c>
      <c r="B55" s="176"/>
      <c r="C55" s="176"/>
      <c r="D55" s="176"/>
      <c r="E55" s="176" t="s">
        <v>698</v>
      </c>
      <c r="F55" s="186"/>
      <c r="G55" s="258"/>
      <c r="H55" s="227" t="s">
        <v>676</v>
      </c>
      <c r="I55" s="177"/>
      <c r="J55" s="178"/>
      <c r="K55" s="178"/>
      <c r="L55" s="179"/>
      <c r="M55" s="177"/>
      <c r="N55" s="178"/>
      <c r="O55" s="178"/>
      <c r="P55" s="180"/>
      <c r="Q55" s="180"/>
      <c r="R55" s="180" t="s">
        <v>61</v>
      </c>
      <c r="S55" s="180"/>
      <c r="T55" s="180"/>
      <c r="U55" s="267"/>
      <c r="V55" s="271"/>
      <c r="W55" s="272"/>
      <c r="X55" s="273"/>
      <c r="Y55" s="184"/>
      <c r="Z55" s="185" t="s">
        <v>677</v>
      </c>
    </row>
    <row r="56" spans="1:26" ht="11.4" x14ac:dyDescent="0.15">
      <c r="A56" s="175">
        <f t="shared" si="1"/>
        <v>54</v>
      </c>
      <c r="B56" s="176"/>
      <c r="C56" s="176"/>
      <c r="D56" s="176"/>
      <c r="E56" s="176" t="s">
        <v>699</v>
      </c>
      <c r="F56" s="186"/>
      <c r="G56" s="258"/>
      <c r="H56" s="227" t="s">
        <v>676</v>
      </c>
      <c r="I56" s="177"/>
      <c r="J56" s="178"/>
      <c r="K56" s="178"/>
      <c r="L56" s="179"/>
      <c r="M56" s="177"/>
      <c r="N56" s="178"/>
      <c r="O56" s="178"/>
      <c r="P56" s="180"/>
      <c r="Q56" s="180"/>
      <c r="R56" s="180" t="s">
        <v>61</v>
      </c>
      <c r="S56" s="180"/>
      <c r="T56" s="180"/>
      <c r="U56" s="267"/>
      <c r="V56" s="271"/>
      <c r="W56" s="272"/>
      <c r="X56" s="273"/>
      <c r="Y56" s="184"/>
      <c r="Z56" s="185" t="s">
        <v>677</v>
      </c>
    </row>
    <row r="57" spans="1:26" ht="11.4" x14ac:dyDescent="0.15">
      <c r="A57" s="175">
        <f t="shared" si="1"/>
        <v>55</v>
      </c>
      <c r="B57" s="176"/>
      <c r="C57" s="176"/>
      <c r="D57" s="176"/>
      <c r="E57" s="176" t="s">
        <v>700</v>
      </c>
      <c r="F57" s="186"/>
      <c r="G57" s="258"/>
      <c r="H57" s="227" t="s">
        <v>676</v>
      </c>
      <c r="I57" s="177"/>
      <c r="J57" s="178"/>
      <c r="K57" s="178"/>
      <c r="L57" s="179"/>
      <c r="M57" s="177"/>
      <c r="N57" s="178"/>
      <c r="O57" s="178"/>
      <c r="P57" s="180"/>
      <c r="Q57" s="180"/>
      <c r="R57" s="180" t="s">
        <v>61</v>
      </c>
      <c r="S57" s="180"/>
      <c r="T57" s="180"/>
      <c r="U57" s="267"/>
      <c r="V57" s="271"/>
      <c r="W57" s="272"/>
      <c r="X57" s="273"/>
      <c r="Y57" s="184"/>
      <c r="Z57" s="185" t="s">
        <v>677</v>
      </c>
    </row>
    <row r="58" spans="1:26" ht="11.4" x14ac:dyDescent="0.15">
      <c r="A58" s="175">
        <f t="shared" si="1"/>
        <v>56</v>
      </c>
      <c r="B58" s="176"/>
      <c r="C58" s="176"/>
      <c r="D58" s="176"/>
      <c r="E58" s="176" t="s">
        <v>701</v>
      </c>
      <c r="F58" s="186"/>
      <c r="G58" s="258"/>
      <c r="H58" s="227" t="s">
        <v>676</v>
      </c>
      <c r="I58" s="177"/>
      <c r="J58" s="178"/>
      <c r="K58" s="178"/>
      <c r="L58" s="179"/>
      <c r="M58" s="177"/>
      <c r="N58" s="178"/>
      <c r="O58" s="178"/>
      <c r="P58" s="180"/>
      <c r="Q58" s="180"/>
      <c r="R58" s="180" t="s">
        <v>61</v>
      </c>
      <c r="S58" s="180"/>
      <c r="T58" s="180"/>
      <c r="U58" s="267"/>
      <c r="V58" s="271"/>
      <c r="W58" s="272"/>
      <c r="X58" s="273"/>
      <c r="Y58" s="184"/>
      <c r="Z58" s="185" t="s">
        <v>677</v>
      </c>
    </row>
    <row r="59" spans="1:26" ht="11.4" x14ac:dyDescent="0.15">
      <c r="A59" s="175">
        <f t="shared" si="1"/>
        <v>57</v>
      </c>
      <c r="B59" s="176"/>
      <c r="C59" s="176"/>
      <c r="D59" s="176"/>
      <c r="E59" s="176" t="s">
        <v>702</v>
      </c>
      <c r="F59" s="186"/>
      <c r="G59" s="258"/>
      <c r="H59" s="227" t="s">
        <v>676</v>
      </c>
      <c r="I59" s="177"/>
      <c r="J59" s="178"/>
      <c r="K59" s="178"/>
      <c r="L59" s="179"/>
      <c r="M59" s="177"/>
      <c r="N59" s="178"/>
      <c r="O59" s="178"/>
      <c r="P59" s="180"/>
      <c r="Q59" s="180"/>
      <c r="R59" s="180" t="s">
        <v>61</v>
      </c>
      <c r="S59" s="180"/>
      <c r="T59" s="180"/>
      <c r="U59" s="267"/>
      <c r="V59" s="271"/>
      <c r="W59" s="272"/>
      <c r="X59" s="273"/>
      <c r="Y59" s="184"/>
      <c r="Z59" s="185" t="s">
        <v>677</v>
      </c>
    </row>
    <row r="60" spans="1:26" ht="11.4" x14ac:dyDescent="0.15">
      <c r="A60" s="175">
        <f t="shared" si="1"/>
        <v>58</v>
      </c>
      <c r="B60" s="176"/>
      <c r="C60" s="176"/>
      <c r="D60" s="176" t="s">
        <v>703</v>
      </c>
      <c r="E60" s="176" t="s">
        <v>704</v>
      </c>
      <c r="F60" s="186"/>
      <c r="G60" s="258"/>
      <c r="H60" s="227" t="s">
        <v>676</v>
      </c>
      <c r="I60" s="177"/>
      <c r="J60" s="178"/>
      <c r="K60" s="178"/>
      <c r="L60" s="179"/>
      <c r="M60" s="177"/>
      <c r="N60" s="178"/>
      <c r="O60" s="178"/>
      <c r="P60" s="180"/>
      <c r="Q60" s="180"/>
      <c r="R60" s="180" t="s">
        <v>61</v>
      </c>
      <c r="S60" s="180"/>
      <c r="T60" s="180"/>
      <c r="U60" s="267"/>
      <c r="V60" s="271"/>
      <c r="W60" s="272"/>
      <c r="X60" s="273"/>
      <c r="Y60" s="184"/>
      <c r="Z60" s="185" t="s">
        <v>677</v>
      </c>
    </row>
    <row r="61" spans="1:26" ht="11.4" x14ac:dyDescent="0.15">
      <c r="A61" s="175">
        <f t="shared" si="1"/>
        <v>59</v>
      </c>
      <c r="B61" s="176"/>
      <c r="C61" s="176"/>
      <c r="D61" s="176"/>
      <c r="E61" s="176" t="s">
        <v>705</v>
      </c>
      <c r="F61" s="186"/>
      <c r="G61" s="258"/>
      <c r="H61" s="227" t="s">
        <v>676</v>
      </c>
      <c r="I61" s="177"/>
      <c r="J61" s="178"/>
      <c r="K61" s="178"/>
      <c r="L61" s="179"/>
      <c r="M61" s="177"/>
      <c r="N61" s="178"/>
      <c r="O61" s="178"/>
      <c r="P61" s="180"/>
      <c r="Q61" s="180"/>
      <c r="R61" s="180" t="s">
        <v>61</v>
      </c>
      <c r="S61" s="180"/>
      <c r="T61" s="180"/>
      <c r="U61" s="267"/>
      <c r="V61" s="271"/>
      <c r="W61" s="272"/>
      <c r="X61" s="273"/>
      <c r="Y61" s="184"/>
      <c r="Z61" s="185" t="s">
        <v>677</v>
      </c>
    </row>
    <row r="62" spans="1:26" ht="11.4" x14ac:dyDescent="0.15">
      <c r="A62" s="175">
        <f t="shared" si="1"/>
        <v>60</v>
      </c>
      <c r="B62" s="176"/>
      <c r="C62" s="176"/>
      <c r="D62" s="176"/>
      <c r="E62" s="176" t="s">
        <v>706</v>
      </c>
      <c r="F62" s="186"/>
      <c r="G62" s="258"/>
      <c r="H62" s="227" t="s">
        <v>676</v>
      </c>
      <c r="I62" s="177"/>
      <c r="J62" s="178"/>
      <c r="K62" s="178"/>
      <c r="L62" s="179"/>
      <c r="M62" s="177"/>
      <c r="N62" s="178"/>
      <c r="O62" s="178"/>
      <c r="P62" s="180"/>
      <c r="Q62" s="180"/>
      <c r="R62" s="180" t="s">
        <v>61</v>
      </c>
      <c r="S62" s="180"/>
      <c r="T62" s="180"/>
      <c r="U62" s="267"/>
      <c r="V62" s="271"/>
      <c r="W62" s="272"/>
      <c r="X62" s="273"/>
      <c r="Y62" s="184"/>
      <c r="Z62" s="185" t="s">
        <v>677</v>
      </c>
    </row>
    <row r="63" spans="1:26" ht="11.4" x14ac:dyDescent="0.15">
      <c r="A63" s="175">
        <f t="shared" si="1"/>
        <v>61</v>
      </c>
      <c r="B63" s="176"/>
      <c r="C63" s="176"/>
      <c r="D63" s="176"/>
      <c r="E63" s="176" t="s">
        <v>707</v>
      </c>
      <c r="F63" s="186"/>
      <c r="G63" s="258"/>
      <c r="H63" s="227" t="s">
        <v>676</v>
      </c>
      <c r="I63" s="177"/>
      <c r="J63" s="178"/>
      <c r="K63" s="178"/>
      <c r="L63" s="179"/>
      <c r="M63" s="177"/>
      <c r="N63" s="178"/>
      <c r="O63" s="178"/>
      <c r="P63" s="180"/>
      <c r="Q63" s="180"/>
      <c r="R63" s="180" t="s">
        <v>61</v>
      </c>
      <c r="S63" s="180"/>
      <c r="T63" s="180"/>
      <c r="U63" s="267"/>
      <c r="V63" s="271"/>
      <c r="W63" s="272"/>
      <c r="X63" s="273"/>
      <c r="Y63" s="184"/>
      <c r="Z63" s="185" t="s">
        <v>677</v>
      </c>
    </row>
    <row r="64" spans="1:26" ht="11.4" x14ac:dyDescent="0.15">
      <c r="A64" s="175">
        <f t="shared" si="1"/>
        <v>62</v>
      </c>
      <c r="B64" s="176"/>
      <c r="C64" s="176"/>
      <c r="D64" s="176" t="s">
        <v>708</v>
      </c>
      <c r="E64" s="176" t="s">
        <v>709</v>
      </c>
      <c r="F64" s="186"/>
      <c r="G64" s="258"/>
      <c r="H64" s="227" t="s">
        <v>676</v>
      </c>
      <c r="I64" s="177"/>
      <c r="J64" s="178"/>
      <c r="K64" s="178"/>
      <c r="L64" s="179"/>
      <c r="M64" s="177"/>
      <c r="N64" s="178"/>
      <c r="O64" s="178"/>
      <c r="P64" s="180"/>
      <c r="Q64" s="180"/>
      <c r="R64" s="180" t="s">
        <v>61</v>
      </c>
      <c r="S64" s="180"/>
      <c r="T64" s="180"/>
      <c r="U64" s="267"/>
      <c r="V64" s="271"/>
      <c r="W64" s="272"/>
      <c r="X64" s="273"/>
      <c r="Y64" s="184"/>
      <c r="Z64" s="185" t="s">
        <v>677</v>
      </c>
    </row>
    <row r="65" spans="1:26" ht="11.4" x14ac:dyDescent="0.15">
      <c r="A65" s="175">
        <f t="shared" si="1"/>
        <v>63</v>
      </c>
      <c r="B65" s="176"/>
      <c r="C65" s="176"/>
      <c r="D65" s="176"/>
      <c r="E65" s="176" t="s">
        <v>710</v>
      </c>
      <c r="F65" s="186"/>
      <c r="G65" s="258"/>
      <c r="H65" s="227" t="s">
        <v>676</v>
      </c>
      <c r="I65" s="177"/>
      <c r="J65" s="178"/>
      <c r="K65" s="178"/>
      <c r="L65" s="179"/>
      <c r="M65" s="177"/>
      <c r="N65" s="178"/>
      <c r="O65" s="178"/>
      <c r="P65" s="180"/>
      <c r="Q65" s="180"/>
      <c r="R65" s="180" t="s">
        <v>61</v>
      </c>
      <c r="S65" s="180"/>
      <c r="T65" s="180"/>
      <c r="U65" s="267"/>
      <c r="V65" s="271"/>
      <c r="W65" s="272"/>
      <c r="X65" s="273"/>
      <c r="Y65" s="184"/>
      <c r="Z65" s="185" t="s">
        <v>677</v>
      </c>
    </row>
    <row r="66" spans="1:26" ht="11.4" x14ac:dyDescent="0.15">
      <c r="A66" s="175">
        <f t="shared" si="1"/>
        <v>64</v>
      </c>
      <c r="B66" s="176"/>
      <c r="C66" s="176"/>
      <c r="D66" s="176"/>
      <c r="E66" s="176" t="s">
        <v>711</v>
      </c>
      <c r="F66" s="186"/>
      <c r="G66" s="258"/>
      <c r="H66" s="227" t="s">
        <v>676</v>
      </c>
      <c r="I66" s="177"/>
      <c r="J66" s="178"/>
      <c r="K66" s="178"/>
      <c r="L66" s="179"/>
      <c r="M66" s="177"/>
      <c r="N66" s="178"/>
      <c r="O66" s="178"/>
      <c r="P66" s="180"/>
      <c r="Q66" s="180"/>
      <c r="R66" s="180" t="s">
        <v>61</v>
      </c>
      <c r="S66" s="180"/>
      <c r="T66" s="180"/>
      <c r="U66" s="267"/>
      <c r="V66" s="271"/>
      <c r="W66" s="272"/>
      <c r="X66" s="273"/>
      <c r="Y66" s="184"/>
      <c r="Z66" s="185" t="s">
        <v>677</v>
      </c>
    </row>
    <row r="67" spans="1:26" ht="11.4" x14ac:dyDescent="0.15">
      <c r="A67" s="175">
        <f t="shared" si="1"/>
        <v>65</v>
      </c>
      <c r="B67" s="176"/>
      <c r="C67" s="176"/>
      <c r="D67" s="176"/>
      <c r="E67" s="176" t="s">
        <v>712</v>
      </c>
      <c r="F67" s="186"/>
      <c r="G67" s="258"/>
      <c r="H67" s="227" t="s">
        <v>676</v>
      </c>
      <c r="I67" s="177"/>
      <c r="J67" s="178"/>
      <c r="K67" s="178"/>
      <c r="L67" s="179"/>
      <c r="M67" s="177"/>
      <c r="N67" s="178"/>
      <c r="O67" s="178"/>
      <c r="P67" s="180"/>
      <c r="Q67" s="180"/>
      <c r="R67" s="180" t="s">
        <v>61</v>
      </c>
      <c r="S67" s="180"/>
      <c r="T67" s="180"/>
      <c r="U67" s="267"/>
      <c r="V67" s="271"/>
      <c r="W67" s="272"/>
      <c r="X67" s="273"/>
      <c r="Y67" s="184"/>
      <c r="Z67" s="185" t="s">
        <v>677</v>
      </c>
    </row>
    <row r="68" spans="1:26" ht="11.4" x14ac:dyDescent="0.15">
      <c r="A68" s="175">
        <f t="shared" si="1"/>
        <v>66</v>
      </c>
      <c r="B68" s="176"/>
      <c r="C68" s="176"/>
      <c r="D68" s="176"/>
      <c r="E68" s="176" t="s">
        <v>713</v>
      </c>
      <c r="F68" s="186"/>
      <c r="G68" s="258"/>
      <c r="H68" s="227" t="s">
        <v>676</v>
      </c>
      <c r="I68" s="177"/>
      <c r="J68" s="178"/>
      <c r="K68" s="178"/>
      <c r="L68" s="179"/>
      <c r="M68" s="177"/>
      <c r="N68" s="178"/>
      <c r="O68" s="178"/>
      <c r="P68" s="180"/>
      <c r="Q68" s="180"/>
      <c r="R68" s="180" t="s">
        <v>61</v>
      </c>
      <c r="S68" s="180"/>
      <c r="T68" s="180"/>
      <c r="U68" s="267"/>
      <c r="V68" s="271"/>
      <c r="W68" s="272"/>
      <c r="X68" s="273"/>
      <c r="Y68" s="184"/>
      <c r="Z68" s="185" t="s">
        <v>677</v>
      </c>
    </row>
    <row r="69" spans="1:26" ht="11.4" x14ac:dyDescent="0.15">
      <c r="A69" s="175">
        <f t="shared" si="1"/>
        <v>67</v>
      </c>
      <c r="B69" s="176"/>
      <c r="C69" s="176"/>
      <c r="D69" s="176"/>
      <c r="E69" s="176" t="s">
        <v>714</v>
      </c>
      <c r="F69" s="186"/>
      <c r="G69" s="258"/>
      <c r="H69" s="227" t="s">
        <v>676</v>
      </c>
      <c r="I69" s="177"/>
      <c r="J69" s="178"/>
      <c r="K69" s="178"/>
      <c r="L69" s="179"/>
      <c r="M69" s="177"/>
      <c r="N69" s="178"/>
      <c r="O69" s="178"/>
      <c r="P69" s="180"/>
      <c r="Q69" s="180"/>
      <c r="R69" s="180" t="s">
        <v>61</v>
      </c>
      <c r="S69" s="180"/>
      <c r="T69" s="180"/>
      <c r="U69" s="267"/>
      <c r="V69" s="271"/>
      <c r="W69" s="272"/>
      <c r="X69" s="273"/>
      <c r="Y69" s="184"/>
      <c r="Z69" s="185" t="s">
        <v>677</v>
      </c>
    </row>
    <row r="70" spans="1:26" ht="11.4" x14ac:dyDescent="0.15">
      <c r="A70" s="175">
        <f t="shared" si="1"/>
        <v>68</v>
      </c>
      <c r="B70" s="176"/>
      <c r="C70" s="176"/>
      <c r="D70" s="176"/>
      <c r="E70" s="176" t="s">
        <v>715</v>
      </c>
      <c r="F70" s="186"/>
      <c r="G70" s="258"/>
      <c r="H70" s="227" t="s">
        <v>676</v>
      </c>
      <c r="I70" s="177"/>
      <c r="J70" s="178"/>
      <c r="K70" s="178"/>
      <c r="L70" s="179"/>
      <c r="M70" s="177"/>
      <c r="N70" s="178"/>
      <c r="O70" s="178"/>
      <c r="P70" s="180"/>
      <c r="Q70" s="180"/>
      <c r="R70" s="180" t="s">
        <v>61</v>
      </c>
      <c r="S70" s="180"/>
      <c r="T70" s="180"/>
      <c r="U70" s="267"/>
      <c r="V70" s="271"/>
      <c r="W70" s="272"/>
      <c r="X70" s="273"/>
      <c r="Y70" s="184"/>
      <c r="Z70" s="185" t="s">
        <v>677</v>
      </c>
    </row>
    <row r="71" spans="1:26" ht="11.4" x14ac:dyDescent="0.15">
      <c r="A71" s="175">
        <f t="shared" si="1"/>
        <v>69</v>
      </c>
      <c r="B71" s="176"/>
      <c r="C71" s="176"/>
      <c r="D71" s="176"/>
      <c r="E71" s="176" t="s">
        <v>716</v>
      </c>
      <c r="F71" s="186"/>
      <c r="G71" s="258"/>
      <c r="H71" s="227" t="s">
        <v>676</v>
      </c>
      <c r="I71" s="177"/>
      <c r="J71" s="178"/>
      <c r="K71" s="178"/>
      <c r="L71" s="179"/>
      <c r="M71" s="177"/>
      <c r="N71" s="178"/>
      <c r="O71" s="178"/>
      <c r="P71" s="180"/>
      <c r="Q71" s="180"/>
      <c r="R71" s="180" t="s">
        <v>61</v>
      </c>
      <c r="S71" s="180"/>
      <c r="T71" s="180"/>
      <c r="U71" s="267"/>
      <c r="V71" s="271"/>
      <c r="W71" s="272"/>
      <c r="X71" s="273"/>
      <c r="Y71" s="184"/>
      <c r="Z71" s="185" t="s">
        <v>677</v>
      </c>
    </row>
    <row r="72" spans="1:26" ht="11.4" x14ac:dyDescent="0.15">
      <c r="A72" s="175">
        <f t="shared" si="1"/>
        <v>70</v>
      </c>
      <c r="B72" s="176"/>
      <c r="C72" s="176"/>
      <c r="D72" s="176"/>
      <c r="E72" s="176" t="s">
        <v>717</v>
      </c>
      <c r="F72" s="186"/>
      <c r="G72" s="258"/>
      <c r="H72" s="227" t="s">
        <v>676</v>
      </c>
      <c r="I72" s="177"/>
      <c r="J72" s="178"/>
      <c r="K72" s="178"/>
      <c r="L72" s="179"/>
      <c r="M72" s="177"/>
      <c r="N72" s="178"/>
      <c r="O72" s="178"/>
      <c r="P72" s="180"/>
      <c r="Q72" s="180"/>
      <c r="R72" s="180" t="s">
        <v>61</v>
      </c>
      <c r="S72" s="180"/>
      <c r="T72" s="180"/>
      <c r="U72" s="267"/>
      <c r="V72" s="271"/>
      <c r="W72" s="272"/>
      <c r="X72" s="273"/>
      <c r="Y72" s="184"/>
      <c r="Z72" s="185" t="s">
        <v>677</v>
      </c>
    </row>
    <row r="73" spans="1:26" ht="11.4" x14ac:dyDescent="0.15">
      <c r="A73" s="175">
        <f t="shared" si="1"/>
        <v>71</v>
      </c>
      <c r="B73" s="176"/>
      <c r="C73" s="176"/>
      <c r="D73" s="176"/>
      <c r="E73" s="176" t="s">
        <v>718</v>
      </c>
      <c r="F73" s="186"/>
      <c r="G73" s="258"/>
      <c r="H73" s="227" t="s">
        <v>676</v>
      </c>
      <c r="I73" s="177"/>
      <c r="J73" s="178"/>
      <c r="K73" s="178"/>
      <c r="L73" s="179"/>
      <c r="M73" s="177"/>
      <c r="N73" s="178"/>
      <c r="O73" s="178"/>
      <c r="P73" s="180"/>
      <c r="Q73" s="180"/>
      <c r="R73" s="180" t="s">
        <v>61</v>
      </c>
      <c r="S73" s="180"/>
      <c r="T73" s="180"/>
      <c r="U73" s="267"/>
      <c r="V73" s="271"/>
      <c r="W73" s="272"/>
      <c r="X73" s="273"/>
      <c r="Y73" s="184"/>
      <c r="Z73" s="185" t="s">
        <v>677</v>
      </c>
    </row>
    <row r="74" spans="1:26" ht="11.4" x14ac:dyDescent="0.15">
      <c r="A74" s="175">
        <f t="shared" si="1"/>
        <v>72</v>
      </c>
      <c r="B74" s="176"/>
      <c r="C74" s="176"/>
      <c r="D74" s="176"/>
      <c r="E74" s="176" t="s">
        <v>719</v>
      </c>
      <c r="F74" s="186"/>
      <c r="G74" s="258"/>
      <c r="H74" s="227" t="s">
        <v>676</v>
      </c>
      <c r="I74" s="177"/>
      <c r="J74" s="178"/>
      <c r="K74" s="178"/>
      <c r="L74" s="179"/>
      <c r="M74" s="177"/>
      <c r="N74" s="178"/>
      <c r="O74" s="178"/>
      <c r="P74" s="180"/>
      <c r="Q74" s="180"/>
      <c r="R74" s="180" t="s">
        <v>61</v>
      </c>
      <c r="S74" s="180"/>
      <c r="T74" s="180"/>
      <c r="U74" s="267"/>
      <c r="V74" s="271"/>
      <c r="W74" s="272"/>
      <c r="X74" s="273"/>
      <c r="Y74" s="184"/>
      <c r="Z74" s="185" t="s">
        <v>677</v>
      </c>
    </row>
    <row r="75" spans="1:26" ht="11.4" x14ac:dyDescent="0.15">
      <c r="A75" s="175">
        <f t="shared" si="1"/>
        <v>73</v>
      </c>
      <c r="B75" s="176"/>
      <c r="C75" s="176"/>
      <c r="D75" s="176"/>
      <c r="E75" s="176" t="s">
        <v>720</v>
      </c>
      <c r="F75" s="186"/>
      <c r="G75" s="258"/>
      <c r="H75" s="227" t="s">
        <v>676</v>
      </c>
      <c r="I75" s="177"/>
      <c r="J75" s="178"/>
      <c r="K75" s="178"/>
      <c r="L75" s="179"/>
      <c r="M75" s="177"/>
      <c r="N75" s="178"/>
      <c r="O75" s="178"/>
      <c r="P75" s="180"/>
      <c r="Q75" s="180"/>
      <c r="R75" s="180" t="s">
        <v>61</v>
      </c>
      <c r="S75" s="180"/>
      <c r="T75" s="180"/>
      <c r="U75" s="267"/>
      <c r="V75" s="271"/>
      <c r="W75" s="272"/>
      <c r="X75" s="273"/>
      <c r="Y75" s="184"/>
      <c r="Z75" s="185" t="s">
        <v>677</v>
      </c>
    </row>
    <row r="76" spans="1:26" ht="11.4" x14ac:dyDescent="0.15">
      <c r="A76" s="175">
        <f t="shared" si="1"/>
        <v>74</v>
      </c>
      <c r="B76" s="176"/>
      <c r="C76" s="176"/>
      <c r="D76" s="176"/>
      <c r="E76" s="176" t="s">
        <v>721</v>
      </c>
      <c r="F76" s="186"/>
      <c r="G76" s="258"/>
      <c r="H76" s="227" t="s">
        <v>676</v>
      </c>
      <c r="I76" s="177"/>
      <c r="J76" s="178"/>
      <c r="K76" s="178"/>
      <c r="L76" s="179"/>
      <c r="M76" s="177"/>
      <c r="N76" s="178"/>
      <c r="O76" s="178"/>
      <c r="P76" s="180"/>
      <c r="Q76" s="180"/>
      <c r="R76" s="180" t="s">
        <v>61</v>
      </c>
      <c r="S76" s="180"/>
      <c r="T76" s="180"/>
      <c r="U76" s="267"/>
      <c r="V76" s="271"/>
      <c r="W76" s="272"/>
      <c r="X76" s="273"/>
      <c r="Y76" s="184"/>
      <c r="Z76" s="185" t="s">
        <v>677</v>
      </c>
    </row>
    <row r="77" spans="1:26" ht="11.4" x14ac:dyDescent="0.15">
      <c r="A77" s="175">
        <f t="shared" si="1"/>
        <v>75</v>
      </c>
      <c r="B77" s="176"/>
      <c r="C77" s="176"/>
      <c r="D77" s="176" t="s">
        <v>722</v>
      </c>
      <c r="E77" s="176" t="s">
        <v>723</v>
      </c>
      <c r="F77" s="186"/>
      <c r="G77" s="258"/>
      <c r="H77" s="227" t="s">
        <v>676</v>
      </c>
      <c r="I77" s="177"/>
      <c r="J77" s="178"/>
      <c r="K77" s="178"/>
      <c r="L77" s="179"/>
      <c r="M77" s="177"/>
      <c r="N77" s="178"/>
      <c r="O77" s="178"/>
      <c r="P77" s="180"/>
      <c r="Q77" s="180"/>
      <c r="R77" s="180" t="s">
        <v>61</v>
      </c>
      <c r="S77" s="180"/>
      <c r="T77" s="180"/>
      <c r="U77" s="267"/>
      <c r="V77" s="271"/>
      <c r="W77" s="272"/>
      <c r="X77" s="273"/>
      <c r="Y77" s="184"/>
      <c r="Z77" s="185" t="s">
        <v>677</v>
      </c>
    </row>
    <row r="78" spans="1:26" ht="11.4" x14ac:dyDescent="0.15">
      <c r="A78" s="175">
        <f t="shared" si="1"/>
        <v>76</v>
      </c>
      <c r="B78" s="176"/>
      <c r="C78" s="176"/>
      <c r="D78" s="176"/>
      <c r="E78" s="176" t="s">
        <v>724</v>
      </c>
      <c r="F78" s="186"/>
      <c r="G78" s="258"/>
      <c r="H78" s="227" t="s">
        <v>676</v>
      </c>
      <c r="I78" s="177"/>
      <c r="J78" s="178"/>
      <c r="K78" s="178"/>
      <c r="L78" s="179"/>
      <c r="M78" s="177"/>
      <c r="N78" s="178"/>
      <c r="O78" s="178"/>
      <c r="P78" s="180"/>
      <c r="Q78" s="180"/>
      <c r="R78" s="180" t="s">
        <v>61</v>
      </c>
      <c r="S78" s="180"/>
      <c r="T78" s="180"/>
      <c r="U78" s="267"/>
      <c r="V78" s="271"/>
      <c r="W78" s="272"/>
      <c r="X78" s="273"/>
      <c r="Y78" s="184"/>
      <c r="Z78" s="185" t="s">
        <v>677</v>
      </c>
    </row>
    <row r="79" spans="1:26" ht="11.4" x14ac:dyDescent="0.15">
      <c r="A79" s="175">
        <f t="shared" si="1"/>
        <v>77</v>
      </c>
      <c r="B79" s="176"/>
      <c r="C79" s="176"/>
      <c r="D79" s="176"/>
      <c r="E79" s="176" t="s">
        <v>725</v>
      </c>
      <c r="F79" s="186"/>
      <c r="G79" s="258"/>
      <c r="H79" s="227" t="s">
        <v>676</v>
      </c>
      <c r="I79" s="177"/>
      <c r="J79" s="178"/>
      <c r="K79" s="178"/>
      <c r="L79" s="179"/>
      <c r="M79" s="177"/>
      <c r="N79" s="178"/>
      <c r="O79" s="178"/>
      <c r="P79" s="180"/>
      <c r="Q79" s="180"/>
      <c r="R79" s="180" t="s">
        <v>61</v>
      </c>
      <c r="S79" s="180"/>
      <c r="T79" s="180"/>
      <c r="U79" s="267"/>
      <c r="V79" s="271"/>
      <c r="W79" s="272"/>
      <c r="X79" s="273"/>
      <c r="Y79" s="184"/>
      <c r="Z79" s="185" t="s">
        <v>677</v>
      </c>
    </row>
    <row r="80" spans="1:26" ht="11.4" x14ac:dyDescent="0.15">
      <c r="A80" s="175">
        <f t="shared" si="1"/>
        <v>78</v>
      </c>
      <c r="B80" s="176"/>
      <c r="C80" s="176"/>
      <c r="D80" s="176"/>
      <c r="E80" s="176" t="s">
        <v>726</v>
      </c>
      <c r="F80" s="186"/>
      <c r="G80" s="258"/>
      <c r="H80" s="227" t="s">
        <v>676</v>
      </c>
      <c r="I80" s="177"/>
      <c r="J80" s="178"/>
      <c r="K80" s="178"/>
      <c r="L80" s="179"/>
      <c r="M80" s="177"/>
      <c r="N80" s="178"/>
      <c r="O80" s="178"/>
      <c r="P80" s="180"/>
      <c r="Q80" s="180"/>
      <c r="R80" s="180" t="s">
        <v>61</v>
      </c>
      <c r="S80" s="180"/>
      <c r="T80" s="180"/>
      <c r="U80" s="267"/>
      <c r="V80" s="271"/>
      <c r="W80" s="272"/>
      <c r="X80" s="273"/>
      <c r="Y80" s="184"/>
      <c r="Z80" s="185" t="s">
        <v>677</v>
      </c>
    </row>
    <row r="81" spans="1:26" ht="11.4" x14ac:dyDescent="0.15">
      <c r="A81" s="175">
        <f t="shared" si="1"/>
        <v>79</v>
      </c>
      <c r="B81" s="176"/>
      <c r="C81" s="176"/>
      <c r="D81" s="176"/>
      <c r="E81" s="176" t="s">
        <v>727</v>
      </c>
      <c r="F81" s="186"/>
      <c r="G81" s="258"/>
      <c r="H81" s="227" t="s">
        <v>676</v>
      </c>
      <c r="I81" s="177"/>
      <c r="J81" s="178"/>
      <c r="K81" s="178"/>
      <c r="L81" s="179"/>
      <c r="M81" s="177"/>
      <c r="N81" s="178"/>
      <c r="O81" s="178"/>
      <c r="P81" s="180"/>
      <c r="Q81" s="180"/>
      <c r="R81" s="180" t="s">
        <v>61</v>
      </c>
      <c r="S81" s="180"/>
      <c r="T81" s="180"/>
      <c r="U81" s="267"/>
      <c r="V81" s="271"/>
      <c r="W81" s="272"/>
      <c r="X81" s="273"/>
      <c r="Y81" s="184"/>
      <c r="Z81" s="185" t="s">
        <v>677</v>
      </c>
    </row>
    <row r="82" spans="1:26" ht="11.4" x14ac:dyDescent="0.15">
      <c r="A82" s="175">
        <f t="shared" si="1"/>
        <v>80</v>
      </c>
      <c r="B82" s="176"/>
      <c r="C82" s="176"/>
      <c r="D82" s="176"/>
      <c r="E82" s="176" t="s">
        <v>728</v>
      </c>
      <c r="F82" s="186"/>
      <c r="G82" s="258"/>
      <c r="H82" s="227" t="s">
        <v>676</v>
      </c>
      <c r="I82" s="177"/>
      <c r="J82" s="178"/>
      <c r="K82" s="178"/>
      <c r="L82" s="179"/>
      <c r="M82" s="177"/>
      <c r="N82" s="178"/>
      <c r="O82" s="178"/>
      <c r="P82" s="180"/>
      <c r="Q82" s="180"/>
      <c r="R82" s="180" t="s">
        <v>61</v>
      </c>
      <c r="S82" s="180"/>
      <c r="T82" s="180"/>
      <c r="U82" s="267"/>
      <c r="V82" s="271"/>
      <c r="W82" s="272"/>
      <c r="X82" s="273"/>
      <c r="Y82" s="184"/>
      <c r="Z82" s="185" t="s">
        <v>677</v>
      </c>
    </row>
    <row r="83" spans="1:26" ht="11.4" x14ac:dyDescent="0.15">
      <c r="A83" s="175">
        <f t="shared" si="1"/>
        <v>81</v>
      </c>
      <c r="B83" s="176"/>
      <c r="C83" s="176"/>
      <c r="D83" s="176"/>
      <c r="E83" s="176" t="s">
        <v>729</v>
      </c>
      <c r="F83" s="186"/>
      <c r="G83" s="258"/>
      <c r="H83" s="227" t="s">
        <v>676</v>
      </c>
      <c r="I83" s="177"/>
      <c r="J83" s="178"/>
      <c r="K83" s="178"/>
      <c r="L83" s="179"/>
      <c r="M83" s="177"/>
      <c r="N83" s="178"/>
      <c r="O83" s="178"/>
      <c r="P83" s="180"/>
      <c r="Q83" s="180"/>
      <c r="R83" s="180" t="s">
        <v>61</v>
      </c>
      <c r="S83" s="180"/>
      <c r="T83" s="180"/>
      <c r="U83" s="267"/>
      <c r="V83" s="271"/>
      <c r="W83" s="272"/>
      <c r="X83" s="273"/>
      <c r="Y83" s="184"/>
      <c r="Z83" s="185" t="s">
        <v>677</v>
      </c>
    </row>
    <row r="84" spans="1:26" ht="11.4" x14ac:dyDescent="0.15">
      <c r="A84" s="175">
        <f t="shared" si="1"/>
        <v>82</v>
      </c>
      <c r="B84" s="176"/>
      <c r="C84" s="176"/>
      <c r="D84" s="176"/>
      <c r="E84" s="176" t="s">
        <v>730</v>
      </c>
      <c r="F84" s="186"/>
      <c r="G84" s="258"/>
      <c r="H84" s="227" t="s">
        <v>676</v>
      </c>
      <c r="I84" s="177"/>
      <c r="J84" s="178"/>
      <c r="K84" s="178"/>
      <c r="L84" s="179"/>
      <c r="M84" s="177"/>
      <c r="N84" s="178"/>
      <c r="O84" s="178"/>
      <c r="P84" s="180"/>
      <c r="Q84" s="180"/>
      <c r="R84" s="180" t="s">
        <v>61</v>
      </c>
      <c r="S84" s="180"/>
      <c r="T84" s="180"/>
      <c r="U84" s="267"/>
      <c r="V84" s="271"/>
      <c r="W84" s="272"/>
      <c r="X84" s="273"/>
      <c r="Y84" s="184"/>
      <c r="Z84" s="185" t="s">
        <v>677</v>
      </c>
    </row>
    <row r="85" spans="1:26" ht="11.4" x14ac:dyDescent="0.15">
      <c r="A85" s="175">
        <f t="shared" si="1"/>
        <v>83</v>
      </c>
      <c r="B85" s="176"/>
      <c r="C85" s="176"/>
      <c r="D85" s="176"/>
      <c r="E85" s="176" t="s">
        <v>731</v>
      </c>
      <c r="F85" s="186"/>
      <c r="G85" s="258"/>
      <c r="H85" s="227" t="s">
        <v>676</v>
      </c>
      <c r="I85" s="177"/>
      <c r="J85" s="178"/>
      <c r="K85" s="178"/>
      <c r="L85" s="179"/>
      <c r="M85" s="177"/>
      <c r="N85" s="178"/>
      <c r="O85" s="178"/>
      <c r="P85" s="180"/>
      <c r="Q85" s="180"/>
      <c r="R85" s="180" t="s">
        <v>61</v>
      </c>
      <c r="S85" s="180"/>
      <c r="T85" s="180"/>
      <c r="U85" s="267"/>
      <c r="V85" s="271"/>
      <c r="W85" s="272"/>
      <c r="X85" s="273"/>
      <c r="Y85" s="184"/>
      <c r="Z85" s="185" t="s">
        <v>677</v>
      </c>
    </row>
    <row r="86" spans="1:26" ht="11.4" x14ac:dyDescent="0.15">
      <c r="A86" s="175">
        <f t="shared" si="1"/>
        <v>84</v>
      </c>
      <c r="B86" s="176"/>
      <c r="C86" s="176"/>
      <c r="D86" s="176"/>
      <c r="E86" s="176" t="s">
        <v>732</v>
      </c>
      <c r="F86" s="186"/>
      <c r="G86" s="258"/>
      <c r="H86" s="227" t="s">
        <v>676</v>
      </c>
      <c r="I86" s="177"/>
      <c r="J86" s="178"/>
      <c r="K86" s="178"/>
      <c r="L86" s="179"/>
      <c r="M86" s="177"/>
      <c r="N86" s="178"/>
      <c r="O86" s="178"/>
      <c r="P86" s="180"/>
      <c r="Q86" s="180"/>
      <c r="R86" s="180" t="s">
        <v>61</v>
      </c>
      <c r="S86" s="180"/>
      <c r="T86" s="180"/>
      <c r="U86" s="267"/>
      <c r="V86" s="271"/>
      <c r="W86" s="272"/>
      <c r="X86" s="273"/>
      <c r="Y86" s="184"/>
      <c r="Z86" s="185" t="s">
        <v>677</v>
      </c>
    </row>
    <row r="87" spans="1:26" ht="11.4" x14ac:dyDescent="0.15">
      <c r="A87" s="175">
        <f t="shared" si="1"/>
        <v>85</v>
      </c>
      <c r="B87" s="176"/>
      <c r="C87" s="176"/>
      <c r="D87" s="176"/>
      <c r="E87" s="176" t="s">
        <v>733</v>
      </c>
      <c r="F87" s="186"/>
      <c r="G87" s="258"/>
      <c r="H87" s="227" t="s">
        <v>676</v>
      </c>
      <c r="I87" s="177"/>
      <c r="J87" s="178"/>
      <c r="K87" s="178"/>
      <c r="L87" s="179"/>
      <c r="M87" s="177"/>
      <c r="N87" s="178"/>
      <c r="O87" s="178"/>
      <c r="P87" s="180"/>
      <c r="Q87" s="180"/>
      <c r="R87" s="180" t="s">
        <v>61</v>
      </c>
      <c r="S87" s="180"/>
      <c r="T87" s="180"/>
      <c r="U87" s="267"/>
      <c r="V87" s="271"/>
      <c r="W87" s="272"/>
      <c r="X87" s="273"/>
      <c r="Y87" s="184"/>
      <c r="Z87" s="185" t="s">
        <v>677</v>
      </c>
    </row>
    <row r="88" spans="1:26" ht="11.4" x14ac:dyDescent="0.15">
      <c r="A88" s="175">
        <f t="shared" si="1"/>
        <v>86</v>
      </c>
      <c r="B88" s="176"/>
      <c r="C88" s="176"/>
      <c r="D88" s="176"/>
      <c r="E88" s="176" t="s">
        <v>734</v>
      </c>
      <c r="F88" s="186"/>
      <c r="G88" s="258"/>
      <c r="H88" s="227" t="s">
        <v>676</v>
      </c>
      <c r="I88" s="177"/>
      <c r="J88" s="178"/>
      <c r="K88" s="178"/>
      <c r="L88" s="179"/>
      <c r="M88" s="177"/>
      <c r="N88" s="178"/>
      <c r="O88" s="178"/>
      <c r="P88" s="180"/>
      <c r="Q88" s="180"/>
      <c r="R88" s="180" t="s">
        <v>61</v>
      </c>
      <c r="S88" s="180"/>
      <c r="T88" s="180"/>
      <c r="U88" s="267"/>
      <c r="V88" s="271"/>
      <c r="W88" s="272"/>
      <c r="X88" s="273"/>
      <c r="Y88" s="184"/>
      <c r="Z88" s="185" t="s">
        <v>677</v>
      </c>
    </row>
    <row r="89" spans="1:26" ht="11.4" x14ac:dyDescent="0.15">
      <c r="A89" s="175">
        <f t="shared" si="1"/>
        <v>87</v>
      </c>
      <c r="B89" s="176"/>
      <c r="C89" s="176"/>
      <c r="D89" s="176"/>
      <c r="E89" s="176" t="s">
        <v>735</v>
      </c>
      <c r="F89" s="186"/>
      <c r="G89" s="258"/>
      <c r="H89" s="227" t="s">
        <v>676</v>
      </c>
      <c r="I89" s="177"/>
      <c r="J89" s="178"/>
      <c r="K89" s="178"/>
      <c r="L89" s="179"/>
      <c r="M89" s="177"/>
      <c r="N89" s="178"/>
      <c r="O89" s="178"/>
      <c r="P89" s="180"/>
      <c r="Q89" s="180"/>
      <c r="R89" s="180" t="s">
        <v>61</v>
      </c>
      <c r="S89" s="180"/>
      <c r="T89" s="180"/>
      <c r="U89" s="267"/>
      <c r="V89" s="271"/>
      <c r="W89" s="272"/>
      <c r="X89" s="273"/>
      <c r="Y89" s="184"/>
      <c r="Z89" s="185" t="s">
        <v>677</v>
      </c>
    </row>
    <row r="90" spans="1:26" ht="11.4" x14ac:dyDescent="0.15">
      <c r="A90" s="175">
        <f t="shared" si="1"/>
        <v>88</v>
      </c>
      <c r="B90" s="176"/>
      <c r="C90" s="176"/>
      <c r="D90" s="176"/>
      <c r="E90" s="176" t="s">
        <v>736</v>
      </c>
      <c r="F90" s="186"/>
      <c r="G90" s="258"/>
      <c r="H90" s="227" t="s">
        <v>676</v>
      </c>
      <c r="I90" s="177"/>
      <c r="J90" s="178"/>
      <c r="K90" s="178"/>
      <c r="L90" s="179"/>
      <c r="M90" s="177"/>
      <c r="N90" s="178"/>
      <c r="O90" s="178"/>
      <c r="P90" s="180"/>
      <c r="Q90" s="180"/>
      <c r="R90" s="180" t="s">
        <v>61</v>
      </c>
      <c r="S90" s="180"/>
      <c r="T90" s="180"/>
      <c r="U90" s="267"/>
      <c r="V90" s="271"/>
      <c r="W90" s="272"/>
      <c r="X90" s="273"/>
      <c r="Y90" s="184"/>
      <c r="Z90" s="185" t="s">
        <v>677</v>
      </c>
    </row>
    <row r="91" spans="1:26" ht="11.4" x14ac:dyDescent="0.15">
      <c r="A91" s="175">
        <f t="shared" si="1"/>
        <v>89</v>
      </c>
      <c r="B91" s="176"/>
      <c r="C91" s="176"/>
      <c r="D91" s="176"/>
      <c r="E91" s="176" t="s">
        <v>737</v>
      </c>
      <c r="F91" s="186"/>
      <c r="G91" s="258"/>
      <c r="H91" s="227" t="s">
        <v>676</v>
      </c>
      <c r="I91" s="177"/>
      <c r="J91" s="178"/>
      <c r="K91" s="178"/>
      <c r="L91" s="179"/>
      <c r="M91" s="177"/>
      <c r="N91" s="178"/>
      <c r="O91" s="178"/>
      <c r="P91" s="180"/>
      <c r="Q91" s="180"/>
      <c r="R91" s="180" t="s">
        <v>61</v>
      </c>
      <c r="S91" s="180"/>
      <c r="T91" s="180"/>
      <c r="U91" s="267"/>
      <c r="V91" s="271"/>
      <c r="W91" s="272"/>
      <c r="X91" s="273"/>
      <c r="Y91" s="184"/>
      <c r="Z91" s="185" t="s">
        <v>677</v>
      </c>
    </row>
    <row r="92" spans="1:26" ht="11.4" x14ac:dyDescent="0.15">
      <c r="A92" s="175">
        <f t="shared" si="1"/>
        <v>90</v>
      </c>
      <c r="B92" s="176"/>
      <c r="C92" s="176"/>
      <c r="D92" s="176"/>
      <c r="E92" s="176" t="s">
        <v>738</v>
      </c>
      <c r="F92" s="186"/>
      <c r="G92" s="258"/>
      <c r="H92" s="227" t="s">
        <v>676</v>
      </c>
      <c r="I92" s="177"/>
      <c r="J92" s="178"/>
      <c r="K92" s="178"/>
      <c r="L92" s="179"/>
      <c r="M92" s="177"/>
      <c r="N92" s="178"/>
      <c r="O92" s="178"/>
      <c r="P92" s="180"/>
      <c r="Q92" s="180"/>
      <c r="R92" s="180" t="s">
        <v>61</v>
      </c>
      <c r="S92" s="180"/>
      <c r="T92" s="180"/>
      <c r="U92" s="267"/>
      <c r="V92" s="271"/>
      <c r="W92" s="272"/>
      <c r="X92" s="273"/>
      <c r="Y92" s="184"/>
      <c r="Z92" s="185" t="s">
        <v>677</v>
      </c>
    </row>
    <row r="93" spans="1:26" ht="11.4" x14ac:dyDescent="0.15">
      <c r="A93" s="175">
        <f t="shared" si="1"/>
        <v>91</v>
      </c>
      <c r="B93" s="176"/>
      <c r="C93" s="176"/>
      <c r="D93" s="176"/>
      <c r="E93" s="176" t="s">
        <v>739</v>
      </c>
      <c r="F93" s="186"/>
      <c r="G93" s="258"/>
      <c r="H93" s="227" t="s">
        <v>676</v>
      </c>
      <c r="I93" s="177"/>
      <c r="J93" s="178"/>
      <c r="K93" s="178"/>
      <c r="L93" s="179"/>
      <c r="M93" s="177"/>
      <c r="N93" s="178"/>
      <c r="O93" s="178"/>
      <c r="P93" s="180"/>
      <c r="Q93" s="180"/>
      <c r="R93" s="180" t="s">
        <v>61</v>
      </c>
      <c r="S93" s="180"/>
      <c r="T93" s="180"/>
      <c r="U93" s="267"/>
      <c r="V93" s="271"/>
      <c r="W93" s="272"/>
      <c r="X93" s="273"/>
      <c r="Y93" s="184"/>
      <c r="Z93" s="185" t="s">
        <v>677</v>
      </c>
    </row>
    <row r="94" spans="1:26" ht="11.4" x14ac:dyDescent="0.15">
      <c r="A94" s="175">
        <f t="shared" si="1"/>
        <v>92</v>
      </c>
      <c r="B94" s="176"/>
      <c r="C94" s="176"/>
      <c r="D94" s="176"/>
      <c r="E94" s="176" t="s">
        <v>740</v>
      </c>
      <c r="F94" s="186"/>
      <c r="G94" s="258"/>
      <c r="H94" s="227" t="s">
        <v>676</v>
      </c>
      <c r="I94" s="177"/>
      <c r="J94" s="178"/>
      <c r="K94" s="178"/>
      <c r="L94" s="179"/>
      <c r="M94" s="177"/>
      <c r="N94" s="178"/>
      <c r="O94" s="178"/>
      <c r="P94" s="180"/>
      <c r="Q94" s="180"/>
      <c r="R94" s="180" t="s">
        <v>61</v>
      </c>
      <c r="S94" s="180"/>
      <c r="T94" s="180"/>
      <c r="U94" s="267"/>
      <c r="V94" s="271"/>
      <c r="W94" s="272"/>
      <c r="X94" s="273"/>
      <c r="Y94" s="184"/>
      <c r="Z94" s="185" t="s">
        <v>677</v>
      </c>
    </row>
    <row r="95" spans="1:26" ht="11.4" x14ac:dyDescent="0.15">
      <c r="A95" s="175">
        <f t="shared" si="1"/>
        <v>93</v>
      </c>
      <c r="B95" s="176"/>
      <c r="C95" s="176"/>
      <c r="D95" s="176"/>
      <c r="E95" s="176" t="s">
        <v>741</v>
      </c>
      <c r="F95" s="186"/>
      <c r="G95" s="258"/>
      <c r="H95" s="227" t="s">
        <v>676</v>
      </c>
      <c r="I95" s="177"/>
      <c r="J95" s="178"/>
      <c r="K95" s="178"/>
      <c r="L95" s="179"/>
      <c r="M95" s="177"/>
      <c r="N95" s="178"/>
      <c r="O95" s="178"/>
      <c r="P95" s="180"/>
      <c r="Q95" s="180"/>
      <c r="R95" s="180" t="s">
        <v>61</v>
      </c>
      <c r="S95" s="180"/>
      <c r="T95" s="180"/>
      <c r="U95" s="267"/>
      <c r="V95" s="271"/>
      <c r="W95" s="272"/>
      <c r="X95" s="273"/>
      <c r="Y95" s="184"/>
      <c r="Z95" s="185" t="s">
        <v>677</v>
      </c>
    </row>
    <row r="96" spans="1:26" ht="11.4" x14ac:dyDescent="0.15">
      <c r="A96" s="175">
        <f t="shared" si="1"/>
        <v>94</v>
      </c>
      <c r="B96" s="176"/>
      <c r="C96" s="176"/>
      <c r="D96" s="176"/>
      <c r="E96" s="176" t="s">
        <v>742</v>
      </c>
      <c r="F96" s="186"/>
      <c r="G96" s="258"/>
      <c r="H96" s="227" t="s">
        <v>676</v>
      </c>
      <c r="I96" s="177"/>
      <c r="J96" s="178"/>
      <c r="K96" s="178"/>
      <c r="L96" s="179"/>
      <c r="M96" s="177"/>
      <c r="N96" s="178"/>
      <c r="O96" s="178"/>
      <c r="P96" s="180"/>
      <c r="Q96" s="180"/>
      <c r="R96" s="180" t="s">
        <v>61</v>
      </c>
      <c r="S96" s="180"/>
      <c r="T96" s="180"/>
      <c r="U96" s="267"/>
      <c r="V96" s="271"/>
      <c r="W96" s="272"/>
      <c r="X96" s="273"/>
      <c r="Y96" s="184"/>
      <c r="Z96" s="185" t="s">
        <v>677</v>
      </c>
    </row>
    <row r="97" spans="1:26" ht="11.4" x14ac:dyDescent="0.15">
      <c r="A97" s="175">
        <f t="shared" si="1"/>
        <v>95</v>
      </c>
      <c r="B97" s="176"/>
      <c r="C97" s="176"/>
      <c r="D97" s="176"/>
      <c r="E97" s="176" t="s">
        <v>743</v>
      </c>
      <c r="F97" s="186"/>
      <c r="G97" s="258"/>
      <c r="H97" s="227" t="s">
        <v>676</v>
      </c>
      <c r="I97" s="177"/>
      <c r="J97" s="178"/>
      <c r="K97" s="178"/>
      <c r="L97" s="179"/>
      <c r="M97" s="177"/>
      <c r="N97" s="178"/>
      <c r="O97" s="178"/>
      <c r="P97" s="180"/>
      <c r="Q97" s="180"/>
      <c r="R97" s="180" t="s">
        <v>61</v>
      </c>
      <c r="S97" s="180"/>
      <c r="T97" s="180"/>
      <c r="U97" s="267"/>
      <c r="V97" s="271"/>
      <c r="W97" s="272"/>
      <c r="X97" s="273"/>
      <c r="Y97" s="184"/>
      <c r="Z97" s="185" t="s">
        <v>677</v>
      </c>
    </row>
    <row r="98" spans="1:26" ht="11.4" x14ac:dyDescent="0.15">
      <c r="A98" s="175">
        <f t="shared" si="1"/>
        <v>96</v>
      </c>
      <c r="B98" s="176"/>
      <c r="C98" s="176"/>
      <c r="D98" s="176"/>
      <c r="E98" s="176" t="s">
        <v>744</v>
      </c>
      <c r="F98" s="186"/>
      <c r="G98" s="258"/>
      <c r="H98" s="227" t="s">
        <v>676</v>
      </c>
      <c r="I98" s="177"/>
      <c r="J98" s="178"/>
      <c r="K98" s="178"/>
      <c r="L98" s="179"/>
      <c r="M98" s="177"/>
      <c r="N98" s="178"/>
      <c r="O98" s="178"/>
      <c r="P98" s="180"/>
      <c r="Q98" s="180"/>
      <c r="R98" s="180" t="s">
        <v>61</v>
      </c>
      <c r="S98" s="180"/>
      <c r="T98" s="180"/>
      <c r="U98" s="267"/>
      <c r="V98" s="271"/>
      <c r="W98" s="272"/>
      <c r="X98" s="273"/>
      <c r="Y98" s="184"/>
      <c r="Z98" s="185" t="s">
        <v>677</v>
      </c>
    </row>
    <row r="99" spans="1:26" ht="11.4" x14ac:dyDescent="0.15">
      <c r="A99" s="175">
        <f t="shared" si="1"/>
        <v>97</v>
      </c>
      <c r="B99" s="176"/>
      <c r="C99" s="176"/>
      <c r="D99" s="176"/>
      <c r="E99" s="176" t="s">
        <v>745</v>
      </c>
      <c r="F99" s="186"/>
      <c r="G99" s="258"/>
      <c r="H99" s="227" t="s">
        <v>676</v>
      </c>
      <c r="I99" s="177"/>
      <c r="J99" s="178"/>
      <c r="K99" s="178"/>
      <c r="L99" s="179"/>
      <c r="M99" s="177"/>
      <c r="N99" s="178"/>
      <c r="O99" s="178"/>
      <c r="P99" s="180"/>
      <c r="Q99" s="180"/>
      <c r="R99" s="180" t="s">
        <v>61</v>
      </c>
      <c r="S99" s="180"/>
      <c r="T99" s="180"/>
      <c r="U99" s="267"/>
      <c r="V99" s="271"/>
      <c r="W99" s="272"/>
      <c r="X99" s="273"/>
      <c r="Y99" s="184"/>
      <c r="Z99" s="185" t="s">
        <v>677</v>
      </c>
    </row>
    <row r="100" spans="1:26" ht="11.4" x14ac:dyDescent="0.15">
      <c r="A100" s="175">
        <f t="shared" si="1"/>
        <v>98</v>
      </c>
      <c r="B100" s="176"/>
      <c r="C100" s="176"/>
      <c r="D100" s="176"/>
      <c r="E100" s="176" t="s">
        <v>746</v>
      </c>
      <c r="F100" s="186"/>
      <c r="G100" s="258"/>
      <c r="H100" s="227" t="s">
        <v>676</v>
      </c>
      <c r="I100" s="177"/>
      <c r="J100" s="178"/>
      <c r="K100" s="178"/>
      <c r="L100" s="179"/>
      <c r="M100" s="177"/>
      <c r="N100" s="178"/>
      <c r="O100" s="178"/>
      <c r="P100" s="180"/>
      <c r="Q100" s="180"/>
      <c r="R100" s="180" t="s">
        <v>61</v>
      </c>
      <c r="S100" s="180"/>
      <c r="T100" s="180"/>
      <c r="U100" s="267"/>
      <c r="V100" s="271"/>
      <c r="W100" s="272"/>
      <c r="X100" s="273"/>
      <c r="Y100" s="184"/>
      <c r="Z100" s="185" t="s">
        <v>677</v>
      </c>
    </row>
    <row r="101" spans="1:26" ht="11.4" x14ac:dyDescent="0.15">
      <c r="A101" s="175">
        <f t="shared" si="1"/>
        <v>99</v>
      </c>
      <c r="B101" s="176"/>
      <c r="C101" s="176"/>
      <c r="D101" s="176"/>
      <c r="E101" s="176" t="s">
        <v>747</v>
      </c>
      <c r="F101" s="186"/>
      <c r="G101" s="258"/>
      <c r="H101" s="227" t="s">
        <v>676</v>
      </c>
      <c r="I101" s="177"/>
      <c r="J101" s="178"/>
      <c r="K101" s="178"/>
      <c r="L101" s="179"/>
      <c r="M101" s="177"/>
      <c r="N101" s="178"/>
      <c r="O101" s="178"/>
      <c r="P101" s="180"/>
      <c r="Q101" s="180"/>
      <c r="R101" s="180" t="s">
        <v>61</v>
      </c>
      <c r="S101" s="180"/>
      <c r="T101" s="180"/>
      <c r="U101" s="267"/>
      <c r="V101" s="271"/>
      <c r="W101" s="272"/>
      <c r="X101" s="273"/>
      <c r="Y101" s="184"/>
      <c r="Z101" s="185" t="s">
        <v>677</v>
      </c>
    </row>
    <row r="102" spans="1:26" ht="11.4" x14ac:dyDescent="0.15">
      <c r="A102" s="175">
        <f t="shared" si="1"/>
        <v>100</v>
      </c>
      <c r="B102" s="176"/>
      <c r="C102" s="176"/>
      <c r="D102" s="176"/>
      <c r="E102" s="176" t="s">
        <v>748</v>
      </c>
      <c r="F102" s="186"/>
      <c r="G102" s="258"/>
      <c r="H102" s="227" t="s">
        <v>676</v>
      </c>
      <c r="I102" s="177"/>
      <c r="J102" s="178"/>
      <c r="K102" s="178"/>
      <c r="L102" s="179"/>
      <c r="M102" s="177"/>
      <c r="N102" s="178"/>
      <c r="O102" s="178"/>
      <c r="P102" s="180"/>
      <c r="Q102" s="180"/>
      <c r="R102" s="180" t="s">
        <v>61</v>
      </c>
      <c r="S102" s="180"/>
      <c r="T102" s="180"/>
      <c r="U102" s="267"/>
      <c r="V102" s="271"/>
      <c r="W102" s="272"/>
      <c r="X102" s="273"/>
      <c r="Y102" s="184"/>
      <c r="Z102" s="185" t="s">
        <v>677</v>
      </c>
    </row>
    <row r="103" spans="1:26" ht="11.4" x14ac:dyDescent="0.15">
      <c r="A103" s="175">
        <f t="shared" si="1"/>
        <v>101</v>
      </c>
      <c r="B103" s="176"/>
      <c r="C103" s="176"/>
      <c r="D103" s="176"/>
      <c r="E103" s="176" t="s">
        <v>749</v>
      </c>
      <c r="F103" s="186"/>
      <c r="G103" s="258"/>
      <c r="H103" s="227" t="s">
        <v>676</v>
      </c>
      <c r="I103" s="177"/>
      <c r="J103" s="178"/>
      <c r="K103" s="178"/>
      <c r="L103" s="179"/>
      <c r="M103" s="177"/>
      <c r="N103" s="178"/>
      <c r="O103" s="178"/>
      <c r="P103" s="180"/>
      <c r="Q103" s="180"/>
      <c r="R103" s="180" t="s">
        <v>61</v>
      </c>
      <c r="S103" s="180"/>
      <c r="T103" s="180"/>
      <c r="U103" s="267"/>
      <c r="V103" s="271"/>
      <c r="W103" s="272"/>
      <c r="X103" s="273"/>
      <c r="Y103" s="184"/>
      <c r="Z103" s="185" t="s">
        <v>677</v>
      </c>
    </row>
    <row r="104" spans="1:26" ht="11.4" x14ac:dyDescent="0.15">
      <c r="A104" s="175">
        <f t="shared" si="1"/>
        <v>102</v>
      </c>
      <c r="B104" s="176"/>
      <c r="C104" s="176"/>
      <c r="D104" s="176"/>
      <c r="E104" s="176" t="s">
        <v>750</v>
      </c>
      <c r="F104" s="186"/>
      <c r="G104" s="258"/>
      <c r="H104" s="227" t="s">
        <v>676</v>
      </c>
      <c r="I104" s="177"/>
      <c r="J104" s="178"/>
      <c r="K104" s="178"/>
      <c r="L104" s="179"/>
      <c r="M104" s="177"/>
      <c r="N104" s="178"/>
      <c r="O104" s="178"/>
      <c r="P104" s="180"/>
      <c r="Q104" s="180"/>
      <c r="R104" s="180" t="s">
        <v>61</v>
      </c>
      <c r="S104" s="180"/>
      <c r="T104" s="180"/>
      <c r="U104" s="267"/>
      <c r="V104" s="271"/>
      <c r="W104" s="272"/>
      <c r="X104" s="273"/>
      <c r="Y104" s="184"/>
      <c r="Z104" s="185" t="s">
        <v>677</v>
      </c>
    </row>
    <row r="105" spans="1:26" ht="11.4" x14ac:dyDescent="0.15">
      <c r="A105" s="175">
        <f t="shared" si="1"/>
        <v>103</v>
      </c>
      <c r="B105" s="176"/>
      <c r="C105" s="176" t="s">
        <v>751</v>
      </c>
      <c r="D105" s="176" t="s">
        <v>673</v>
      </c>
      <c r="E105" s="176" t="s">
        <v>674</v>
      </c>
      <c r="F105" s="186" t="s">
        <v>675</v>
      </c>
      <c r="G105" s="258"/>
      <c r="H105" s="227" t="s">
        <v>676</v>
      </c>
      <c r="I105" s="177"/>
      <c r="J105" s="178"/>
      <c r="K105" s="178"/>
      <c r="L105" s="179"/>
      <c r="M105" s="177"/>
      <c r="N105" s="178"/>
      <c r="O105" s="178"/>
      <c r="P105" s="180"/>
      <c r="Q105" s="180"/>
      <c r="R105" s="180" t="s">
        <v>61</v>
      </c>
      <c r="S105" s="180"/>
      <c r="T105" s="180"/>
      <c r="U105" s="267"/>
      <c r="V105" s="271"/>
      <c r="W105" s="272"/>
      <c r="X105" s="273"/>
      <c r="Y105" s="184"/>
      <c r="Z105" s="185" t="s">
        <v>677</v>
      </c>
    </row>
    <row r="106" spans="1:26" ht="11.4" x14ac:dyDescent="0.15">
      <c r="A106" s="175">
        <f t="shared" si="1"/>
        <v>104</v>
      </c>
      <c r="B106" s="176"/>
      <c r="C106" s="176"/>
      <c r="D106" s="176"/>
      <c r="E106" s="176" t="s">
        <v>678</v>
      </c>
      <c r="F106" s="186"/>
      <c r="G106" s="258"/>
      <c r="H106" s="227" t="s">
        <v>676</v>
      </c>
      <c r="I106" s="177"/>
      <c r="J106" s="178"/>
      <c r="K106" s="178"/>
      <c r="L106" s="179"/>
      <c r="M106" s="177"/>
      <c r="N106" s="178"/>
      <c r="O106" s="178"/>
      <c r="P106" s="180"/>
      <c r="Q106" s="180"/>
      <c r="R106" s="180" t="s">
        <v>61</v>
      </c>
      <c r="S106" s="180"/>
      <c r="T106" s="180"/>
      <c r="U106" s="267"/>
      <c r="V106" s="271"/>
      <c r="W106" s="272"/>
      <c r="X106" s="273"/>
      <c r="Y106" s="184"/>
      <c r="Z106" s="185" t="s">
        <v>677</v>
      </c>
    </row>
    <row r="107" spans="1:26" ht="11.4" x14ac:dyDescent="0.15">
      <c r="A107" s="175">
        <f t="shared" si="1"/>
        <v>105</v>
      </c>
      <c r="B107" s="176"/>
      <c r="C107" s="176"/>
      <c r="D107" s="176"/>
      <c r="E107" s="176" t="s">
        <v>679</v>
      </c>
      <c r="F107" s="186"/>
      <c r="G107" s="258"/>
      <c r="H107" s="227" t="s">
        <v>676</v>
      </c>
      <c r="I107" s="177"/>
      <c r="J107" s="178"/>
      <c r="K107" s="178"/>
      <c r="L107" s="179"/>
      <c r="M107" s="177"/>
      <c r="N107" s="178"/>
      <c r="O107" s="178"/>
      <c r="P107" s="180"/>
      <c r="Q107" s="180"/>
      <c r="R107" s="180" t="s">
        <v>61</v>
      </c>
      <c r="S107" s="180"/>
      <c r="T107" s="180"/>
      <c r="U107" s="267"/>
      <c r="V107" s="271"/>
      <c r="W107" s="272"/>
      <c r="X107" s="273"/>
      <c r="Y107" s="184"/>
      <c r="Z107" s="185" t="s">
        <v>677</v>
      </c>
    </row>
    <row r="108" spans="1:26" ht="11.4" x14ac:dyDescent="0.15">
      <c r="A108" s="175">
        <f t="shared" si="1"/>
        <v>106</v>
      </c>
      <c r="B108" s="176"/>
      <c r="C108" s="176"/>
      <c r="D108" s="176"/>
      <c r="E108" s="176" t="s">
        <v>680</v>
      </c>
      <c r="F108" s="186"/>
      <c r="G108" s="258"/>
      <c r="H108" s="227" t="s">
        <v>676</v>
      </c>
      <c r="I108" s="177"/>
      <c r="J108" s="178"/>
      <c r="K108" s="178"/>
      <c r="L108" s="179"/>
      <c r="M108" s="177"/>
      <c r="N108" s="178"/>
      <c r="O108" s="178"/>
      <c r="P108" s="180"/>
      <c r="Q108" s="180"/>
      <c r="R108" s="180" t="s">
        <v>61</v>
      </c>
      <c r="S108" s="180"/>
      <c r="T108" s="180"/>
      <c r="U108" s="267"/>
      <c r="V108" s="271"/>
      <c r="W108" s="272"/>
      <c r="X108" s="273"/>
      <c r="Y108" s="184"/>
      <c r="Z108" s="185" t="s">
        <v>677</v>
      </c>
    </row>
    <row r="109" spans="1:26" ht="11.4" x14ac:dyDescent="0.15">
      <c r="A109" s="175">
        <f t="shared" si="1"/>
        <v>107</v>
      </c>
      <c r="B109" s="176"/>
      <c r="C109" s="176"/>
      <c r="D109" s="176"/>
      <c r="E109" s="176" t="s">
        <v>681</v>
      </c>
      <c r="F109" s="186"/>
      <c r="G109" s="258"/>
      <c r="H109" s="227" t="s">
        <v>676</v>
      </c>
      <c r="I109" s="177"/>
      <c r="J109" s="178"/>
      <c r="K109" s="178"/>
      <c r="L109" s="179"/>
      <c r="M109" s="177"/>
      <c r="N109" s="178"/>
      <c r="O109" s="178"/>
      <c r="P109" s="180"/>
      <c r="Q109" s="180"/>
      <c r="R109" s="180" t="s">
        <v>61</v>
      </c>
      <c r="S109" s="180"/>
      <c r="T109" s="180"/>
      <c r="U109" s="267"/>
      <c r="V109" s="271"/>
      <c r="W109" s="272"/>
      <c r="X109" s="273"/>
      <c r="Y109" s="184"/>
      <c r="Z109" s="185" t="s">
        <v>677</v>
      </c>
    </row>
    <row r="110" spans="1:26" ht="11.4" x14ac:dyDescent="0.15">
      <c r="A110" s="175">
        <f t="shared" si="1"/>
        <v>108</v>
      </c>
      <c r="B110" s="176"/>
      <c r="C110" s="176"/>
      <c r="D110" s="176"/>
      <c r="E110" s="176" t="s">
        <v>682</v>
      </c>
      <c r="F110" s="186"/>
      <c r="G110" s="258"/>
      <c r="H110" s="227" t="s">
        <v>676</v>
      </c>
      <c r="I110" s="177"/>
      <c r="J110" s="178"/>
      <c r="K110" s="178"/>
      <c r="L110" s="179"/>
      <c r="M110" s="177"/>
      <c r="N110" s="178"/>
      <c r="O110" s="178"/>
      <c r="P110" s="180"/>
      <c r="Q110" s="180"/>
      <c r="R110" s="180" t="s">
        <v>61</v>
      </c>
      <c r="S110" s="180"/>
      <c r="T110" s="180"/>
      <c r="U110" s="267"/>
      <c r="V110" s="271"/>
      <c r="W110" s="272"/>
      <c r="X110" s="273"/>
      <c r="Y110" s="184"/>
      <c r="Z110" s="185" t="s">
        <v>677</v>
      </c>
    </row>
    <row r="111" spans="1:26" ht="11.4" x14ac:dyDescent="0.15">
      <c r="A111" s="175">
        <f t="shared" si="1"/>
        <v>109</v>
      </c>
      <c r="B111" s="176"/>
      <c r="C111" s="176"/>
      <c r="D111" s="176"/>
      <c r="E111" s="176" t="s">
        <v>683</v>
      </c>
      <c r="F111" s="186"/>
      <c r="G111" s="258"/>
      <c r="H111" s="227" t="s">
        <v>676</v>
      </c>
      <c r="I111" s="177"/>
      <c r="J111" s="178"/>
      <c r="K111" s="178"/>
      <c r="L111" s="179"/>
      <c r="M111" s="177"/>
      <c r="N111" s="178"/>
      <c r="O111" s="178"/>
      <c r="P111" s="180"/>
      <c r="Q111" s="180"/>
      <c r="R111" s="180" t="s">
        <v>61</v>
      </c>
      <c r="S111" s="180"/>
      <c r="T111" s="180"/>
      <c r="U111" s="267"/>
      <c r="V111" s="271"/>
      <c r="W111" s="272"/>
      <c r="X111" s="273"/>
      <c r="Y111" s="184"/>
      <c r="Z111" s="185" t="s">
        <v>677</v>
      </c>
    </row>
    <row r="112" spans="1:26" ht="11.4" x14ac:dyDescent="0.15">
      <c r="A112" s="175">
        <f t="shared" si="1"/>
        <v>110</v>
      </c>
      <c r="B112" s="176"/>
      <c r="C112" s="176"/>
      <c r="D112" s="176" t="s">
        <v>684</v>
      </c>
      <c r="E112" s="176" t="s">
        <v>685</v>
      </c>
      <c r="F112" s="186"/>
      <c r="G112" s="258"/>
      <c r="H112" s="227" t="s">
        <v>676</v>
      </c>
      <c r="I112" s="177"/>
      <c r="J112" s="178"/>
      <c r="K112" s="178"/>
      <c r="L112" s="179"/>
      <c r="M112" s="177"/>
      <c r="N112" s="178"/>
      <c r="O112" s="178"/>
      <c r="P112" s="180"/>
      <c r="Q112" s="180"/>
      <c r="R112" s="180" t="s">
        <v>61</v>
      </c>
      <c r="S112" s="180"/>
      <c r="T112" s="180"/>
      <c r="U112" s="267"/>
      <c r="V112" s="271"/>
      <c r="W112" s="272"/>
      <c r="X112" s="273"/>
      <c r="Y112" s="184"/>
      <c r="Z112" s="185" t="s">
        <v>677</v>
      </c>
    </row>
    <row r="113" spans="1:26" ht="11.4" x14ac:dyDescent="0.15">
      <c r="A113" s="175">
        <f t="shared" si="1"/>
        <v>111</v>
      </c>
      <c r="B113" s="176"/>
      <c r="C113" s="176"/>
      <c r="D113" s="176"/>
      <c r="E113" s="176" t="s">
        <v>686</v>
      </c>
      <c r="F113" s="186"/>
      <c r="G113" s="258"/>
      <c r="H113" s="227" t="s">
        <v>676</v>
      </c>
      <c r="I113" s="177"/>
      <c r="J113" s="178"/>
      <c r="K113" s="178"/>
      <c r="L113" s="179"/>
      <c r="M113" s="177"/>
      <c r="N113" s="178"/>
      <c r="O113" s="178"/>
      <c r="P113" s="180"/>
      <c r="Q113" s="180"/>
      <c r="R113" s="180" t="s">
        <v>61</v>
      </c>
      <c r="S113" s="180"/>
      <c r="T113" s="180"/>
      <c r="U113" s="267"/>
      <c r="V113" s="271"/>
      <c r="W113" s="272"/>
      <c r="X113" s="273"/>
      <c r="Y113" s="184"/>
      <c r="Z113" s="185" t="s">
        <v>677</v>
      </c>
    </row>
    <row r="114" spans="1:26" ht="11.4" x14ac:dyDescent="0.15">
      <c r="A114" s="175">
        <f t="shared" si="1"/>
        <v>112</v>
      </c>
      <c r="B114" s="176"/>
      <c r="C114" s="176"/>
      <c r="D114" s="176"/>
      <c r="E114" s="176" t="s">
        <v>687</v>
      </c>
      <c r="F114" s="186"/>
      <c r="G114" s="258"/>
      <c r="H114" s="227" t="s">
        <v>676</v>
      </c>
      <c r="I114" s="177"/>
      <c r="J114" s="178"/>
      <c r="K114" s="178"/>
      <c r="L114" s="179"/>
      <c r="M114" s="177"/>
      <c r="N114" s="178"/>
      <c r="O114" s="178"/>
      <c r="P114" s="180"/>
      <c r="Q114" s="180"/>
      <c r="R114" s="180" t="s">
        <v>61</v>
      </c>
      <c r="S114" s="180"/>
      <c r="T114" s="180"/>
      <c r="U114" s="267"/>
      <c r="V114" s="271"/>
      <c r="W114" s="272"/>
      <c r="X114" s="273"/>
      <c r="Y114" s="184"/>
      <c r="Z114" s="185" t="s">
        <v>677</v>
      </c>
    </row>
    <row r="115" spans="1:26" ht="11.4" x14ac:dyDescent="0.15">
      <c r="A115" s="175">
        <f t="shared" si="1"/>
        <v>113</v>
      </c>
      <c r="B115" s="176"/>
      <c r="C115" s="176"/>
      <c r="D115" s="176"/>
      <c r="E115" s="176" t="s">
        <v>688</v>
      </c>
      <c r="F115" s="186"/>
      <c r="G115" s="258"/>
      <c r="H115" s="227" t="s">
        <v>676</v>
      </c>
      <c r="I115" s="177"/>
      <c r="J115" s="178"/>
      <c r="K115" s="178"/>
      <c r="L115" s="179"/>
      <c r="M115" s="177"/>
      <c r="N115" s="178"/>
      <c r="O115" s="178"/>
      <c r="P115" s="180"/>
      <c r="Q115" s="180"/>
      <c r="R115" s="180" t="s">
        <v>61</v>
      </c>
      <c r="S115" s="180"/>
      <c r="T115" s="180"/>
      <c r="U115" s="267"/>
      <c r="V115" s="271"/>
      <c r="W115" s="272"/>
      <c r="X115" s="273"/>
      <c r="Y115" s="184"/>
      <c r="Z115" s="185" t="s">
        <v>677</v>
      </c>
    </row>
    <row r="116" spans="1:26" ht="11.4" x14ac:dyDescent="0.15">
      <c r="A116" s="175">
        <f t="shared" si="1"/>
        <v>114</v>
      </c>
      <c r="B116" s="176"/>
      <c r="C116" s="176"/>
      <c r="D116" s="176" t="s">
        <v>689</v>
      </c>
      <c r="E116" s="176" t="s">
        <v>690</v>
      </c>
      <c r="F116" s="186"/>
      <c r="G116" s="258"/>
      <c r="H116" s="227" t="s">
        <v>676</v>
      </c>
      <c r="I116" s="177"/>
      <c r="J116" s="178"/>
      <c r="K116" s="178"/>
      <c r="L116" s="179"/>
      <c r="M116" s="177"/>
      <c r="N116" s="178"/>
      <c r="O116" s="178"/>
      <c r="P116" s="180"/>
      <c r="Q116" s="180"/>
      <c r="R116" s="180" t="s">
        <v>61</v>
      </c>
      <c r="S116" s="180"/>
      <c r="T116" s="180"/>
      <c r="U116" s="267"/>
      <c r="V116" s="271"/>
      <c r="W116" s="272"/>
      <c r="X116" s="273"/>
      <c r="Y116" s="184"/>
      <c r="Z116" s="185" t="s">
        <v>677</v>
      </c>
    </row>
    <row r="117" spans="1:26" ht="11.4" x14ac:dyDescent="0.15">
      <c r="A117" s="175">
        <f t="shared" si="1"/>
        <v>115</v>
      </c>
      <c r="B117" s="176"/>
      <c r="C117" s="176"/>
      <c r="D117" s="176"/>
      <c r="E117" s="176" t="s">
        <v>691</v>
      </c>
      <c r="F117" s="186"/>
      <c r="G117" s="258"/>
      <c r="H117" s="227" t="s">
        <v>676</v>
      </c>
      <c r="I117" s="177"/>
      <c r="J117" s="178"/>
      <c r="K117" s="178"/>
      <c r="L117" s="179"/>
      <c r="M117" s="177"/>
      <c r="N117" s="178"/>
      <c r="O117" s="178"/>
      <c r="P117" s="180"/>
      <c r="Q117" s="180"/>
      <c r="R117" s="180" t="s">
        <v>61</v>
      </c>
      <c r="S117" s="180"/>
      <c r="T117" s="180"/>
      <c r="U117" s="267"/>
      <c r="V117" s="271"/>
      <c r="W117" s="272"/>
      <c r="X117" s="273"/>
      <c r="Y117" s="184"/>
      <c r="Z117" s="185" t="s">
        <v>677</v>
      </c>
    </row>
    <row r="118" spans="1:26" ht="11.4" x14ac:dyDescent="0.15">
      <c r="A118" s="175">
        <f t="shared" si="1"/>
        <v>116</v>
      </c>
      <c r="B118" s="176"/>
      <c r="C118" s="176"/>
      <c r="D118" s="176"/>
      <c r="E118" s="176" t="s">
        <v>692</v>
      </c>
      <c r="F118" s="186"/>
      <c r="G118" s="258"/>
      <c r="H118" s="227" t="s">
        <v>676</v>
      </c>
      <c r="I118" s="177"/>
      <c r="J118" s="178"/>
      <c r="K118" s="178"/>
      <c r="L118" s="179"/>
      <c r="M118" s="177"/>
      <c r="N118" s="178"/>
      <c r="O118" s="178"/>
      <c r="P118" s="180"/>
      <c r="Q118" s="180"/>
      <c r="R118" s="180" t="s">
        <v>61</v>
      </c>
      <c r="S118" s="180"/>
      <c r="T118" s="180"/>
      <c r="U118" s="267"/>
      <c r="V118" s="271"/>
      <c r="W118" s="272"/>
      <c r="X118" s="273"/>
      <c r="Y118" s="184"/>
      <c r="Z118" s="185" t="s">
        <v>677</v>
      </c>
    </row>
    <row r="119" spans="1:26" ht="11.4" x14ac:dyDescent="0.15">
      <c r="A119" s="175">
        <f t="shared" si="1"/>
        <v>117</v>
      </c>
      <c r="B119" s="176"/>
      <c r="C119" s="176"/>
      <c r="D119" s="176"/>
      <c r="E119" s="176" t="s">
        <v>693</v>
      </c>
      <c r="F119" s="186"/>
      <c r="G119" s="258"/>
      <c r="H119" s="227" t="s">
        <v>676</v>
      </c>
      <c r="I119" s="177"/>
      <c r="J119" s="178"/>
      <c r="K119" s="178"/>
      <c r="L119" s="179"/>
      <c r="M119" s="177"/>
      <c r="N119" s="178"/>
      <c r="O119" s="178"/>
      <c r="P119" s="180"/>
      <c r="Q119" s="180"/>
      <c r="R119" s="180" t="s">
        <v>61</v>
      </c>
      <c r="S119" s="180"/>
      <c r="T119" s="180"/>
      <c r="U119" s="267"/>
      <c r="V119" s="271"/>
      <c r="W119" s="272"/>
      <c r="X119" s="273"/>
      <c r="Y119" s="184"/>
      <c r="Z119" s="185" t="s">
        <v>677</v>
      </c>
    </row>
    <row r="120" spans="1:26" ht="11.4" x14ac:dyDescent="0.15">
      <c r="A120" s="175">
        <f t="shared" si="1"/>
        <v>118</v>
      </c>
      <c r="B120" s="176"/>
      <c r="C120" s="176"/>
      <c r="D120" s="176"/>
      <c r="E120" s="176" t="s">
        <v>694</v>
      </c>
      <c r="F120" s="186"/>
      <c r="G120" s="258"/>
      <c r="H120" s="227" t="s">
        <v>676</v>
      </c>
      <c r="I120" s="177"/>
      <c r="J120" s="178"/>
      <c r="K120" s="178"/>
      <c r="L120" s="179"/>
      <c r="M120" s="177"/>
      <c r="N120" s="178"/>
      <c r="O120" s="178"/>
      <c r="P120" s="180"/>
      <c r="Q120" s="180"/>
      <c r="R120" s="180" t="s">
        <v>61</v>
      </c>
      <c r="S120" s="180"/>
      <c r="T120" s="180"/>
      <c r="U120" s="267"/>
      <c r="V120" s="271"/>
      <c r="W120" s="272"/>
      <c r="X120" s="273"/>
      <c r="Y120" s="184"/>
      <c r="Z120" s="185" t="s">
        <v>677</v>
      </c>
    </row>
    <row r="121" spans="1:26" ht="11.4" x14ac:dyDescent="0.15">
      <c r="A121" s="175">
        <f t="shared" si="1"/>
        <v>119</v>
      </c>
      <c r="B121" s="176"/>
      <c r="C121" s="176"/>
      <c r="D121" s="176"/>
      <c r="E121" s="176" t="s">
        <v>695</v>
      </c>
      <c r="F121" s="186"/>
      <c r="G121" s="258"/>
      <c r="H121" s="227" t="s">
        <v>676</v>
      </c>
      <c r="I121" s="177"/>
      <c r="J121" s="178"/>
      <c r="K121" s="178"/>
      <c r="L121" s="179"/>
      <c r="M121" s="177"/>
      <c r="N121" s="178"/>
      <c r="O121" s="178"/>
      <c r="P121" s="180"/>
      <c r="Q121" s="180"/>
      <c r="R121" s="180" t="s">
        <v>61</v>
      </c>
      <c r="S121" s="180"/>
      <c r="T121" s="180"/>
      <c r="U121" s="267"/>
      <c r="V121" s="271"/>
      <c r="W121" s="272"/>
      <c r="X121" s="273"/>
      <c r="Y121" s="184"/>
      <c r="Z121" s="185" t="s">
        <v>677</v>
      </c>
    </row>
    <row r="122" spans="1:26" ht="11.4" x14ac:dyDescent="0.15">
      <c r="A122" s="175">
        <f t="shared" si="1"/>
        <v>120</v>
      </c>
      <c r="B122" s="176"/>
      <c r="C122" s="176"/>
      <c r="D122" s="176"/>
      <c r="E122" s="176" t="s">
        <v>696</v>
      </c>
      <c r="F122" s="186"/>
      <c r="G122" s="258"/>
      <c r="H122" s="227" t="s">
        <v>676</v>
      </c>
      <c r="I122" s="177"/>
      <c r="J122" s="178"/>
      <c r="K122" s="178"/>
      <c r="L122" s="179"/>
      <c r="M122" s="177"/>
      <c r="N122" s="178"/>
      <c r="O122" s="178"/>
      <c r="P122" s="180"/>
      <c r="Q122" s="180"/>
      <c r="R122" s="180" t="s">
        <v>61</v>
      </c>
      <c r="S122" s="180"/>
      <c r="T122" s="180"/>
      <c r="U122" s="267"/>
      <c r="V122" s="271"/>
      <c r="W122" s="272"/>
      <c r="X122" s="273"/>
      <c r="Y122" s="184"/>
      <c r="Z122" s="185" t="s">
        <v>677</v>
      </c>
    </row>
    <row r="123" spans="1:26" ht="11.4" x14ac:dyDescent="0.15">
      <c r="A123" s="175">
        <f t="shared" si="1"/>
        <v>121</v>
      </c>
      <c r="B123" s="176"/>
      <c r="C123" s="176"/>
      <c r="D123" s="176"/>
      <c r="E123" s="176" t="s">
        <v>697</v>
      </c>
      <c r="F123" s="186"/>
      <c r="G123" s="258"/>
      <c r="H123" s="227" t="s">
        <v>676</v>
      </c>
      <c r="I123" s="177"/>
      <c r="J123" s="178"/>
      <c r="K123" s="178"/>
      <c r="L123" s="179"/>
      <c r="M123" s="177"/>
      <c r="N123" s="178"/>
      <c r="O123" s="178"/>
      <c r="P123" s="180"/>
      <c r="Q123" s="180"/>
      <c r="R123" s="180" t="s">
        <v>61</v>
      </c>
      <c r="S123" s="180"/>
      <c r="T123" s="180"/>
      <c r="U123" s="267"/>
      <c r="V123" s="271"/>
      <c r="W123" s="272"/>
      <c r="X123" s="273"/>
      <c r="Y123" s="184"/>
      <c r="Z123" s="185" t="s">
        <v>677</v>
      </c>
    </row>
    <row r="124" spans="1:26" ht="11.4" x14ac:dyDescent="0.15">
      <c r="A124" s="175">
        <f t="shared" si="1"/>
        <v>122</v>
      </c>
      <c r="B124" s="176"/>
      <c r="C124" s="176"/>
      <c r="D124" s="176"/>
      <c r="E124" s="176" t="s">
        <v>698</v>
      </c>
      <c r="F124" s="186"/>
      <c r="G124" s="258"/>
      <c r="H124" s="227" t="s">
        <v>676</v>
      </c>
      <c r="I124" s="177"/>
      <c r="J124" s="178"/>
      <c r="K124" s="178"/>
      <c r="L124" s="179"/>
      <c r="M124" s="177"/>
      <c r="N124" s="178"/>
      <c r="O124" s="178"/>
      <c r="P124" s="180"/>
      <c r="Q124" s="180"/>
      <c r="R124" s="180" t="s">
        <v>61</v>
      </c>
      <c r="S124" s="180"/>
      <c r="T124" s="180"/>
      <c r="U124" s="267"/>
      <c r="V124" s="271"/>
      <c r="W124" s="272"/>
      <c r="X124" s="273"/>
      <c r="Y124" s="184"/>
      <c r="Z124" s="185" t="s">
        <v>677</v>
      </c>
    </row>
    <row r="125" spans="1:26" ht="11.4" x14ac:dyDescent="0.15">
      <c r="A125" s="175">
        <f t="shared" si="1"/>
        <v>123</v>
      </c>
      <c r="B125" s="176"/>
      <c r="C125" s="176"/>
      <c r="D125" s="176"/>
      <c r="E125" s="176" t="s">
        <v>699</v>
      </c>
      <c r="F125" s="186"/>
      <c r="G125" s="258"/>
      <c r="H125" s="227" t="s">
        <v>676</v>
      </c>
      <c r="I125" s="177"/>
      <c r="J125" s="178"/>
      <c r="K125" s="178"/>
      <c r="L125" s="179"/>
      <c r="M125" s="177"/>
      <c r="N125" s="178"/>
      <c r="O125" s="178"/>
      <c r="P125" s="180"/>
      <c r="Q125" s="180"/>
      <c r="R125" s="180" t="s">
        <v>61</v>
      </c>
      <c r="S125" s="180"/>
      <c r="T125" s="180"/>
      <c r="U125" s="267"/>
      <c r="V125" s="271"/>
      <c r="W125" s="272"/>
      <c r="X125" s="273"/>
      <c r="Y125" s="184"/>
      <c r="Z125" s="185" t="s">
        <v>677</v>
      </c>
    </row>
    <row r="126" spans="1:26" ht="11.4" x14ac:dyDescent="0.15">
      <c r="A126" s="175">
        <f t="shared" si="1"/>
        <v>124</v>
      </c>
      <c r="B126" s="176"/>
      <c r="C126" s="176"/>
      <c r="D126" s="176"/>
      <c r="E126" s="176" t="s">
        <v>700</v>
      </c>
      <c r="F126" s="186"/>
      <c r="G126" s="258"/>
      <c r="H126" s="227" t="s">
        <v>676</v>
      </c>
      <c r="I126" s="177"/>
      <c r="J126" s="178"/>
      <c r="K126" s="178"/>
      <c r="L126" s="179"/>
      <c r="M126" s="177"/>
      <c r="N126" s="178"/>
      <c r="O126" s="178"/>
      <c r="P126" s="180"/>
      <c r="Q126" s="180"/>
      <c r="R126" s="180" t="s">
        <v>61</v>
      </c>
      <c r="S126" s="180"/>
      <c r="T126" s="180"/>
      <c r="U126" s="267"/>
      <c r="V126" s="271"/>
      <c r="W126" s="272"/>
      <c r="X126" s="273"/>
      <c r="Y126" s="184"/>
      <c r="Z126" s="185" t="s">
        <v>677</v>
      </c>
    </row>
    <row r="127" spans="1:26" ht="11.4" x14ac:dyDescent="0.15">
      <c r="A127" s="175">
        <f t="shared" si="1"/>
        <v>125</v>
      </c>
      <c r="B127" s="176"/>
      <c r="C127" s="176"/>
      <c r="D127" s="176"/>
      <c r="E127" s="176" t="s">
        <v>701</v>
      </c>
      <c r="F127" s="186"/>
      <c r="G127" s="258"/>
      <c r="H127" s="227" t="s">
        <v>676</v>
      </c>
      <c r="I127" s="177"/>
      <c r="J127" s="178"/>
      <c r="K127" s="178"/>
      <c r="L127" s="179"/>
      <c r="M127" s="177"/>
      <c r="N127" s="178"/>
      <c r="O127" s="178"/>
      <c r="P127" s="180"/>
      <c r="Q127" s="180"/>
      <c r="R127" s="180" t="s">
        <v>61</v>
      </c>
      <c r="S127" s="180"/>
      <c r="T127" s="180"/>
      <c r="U127" s="267"/>
      <c r="V127" s="271"/>
      <c r="W127" s="272"/>
      <c r="X127" s="273"/>
      <c r="Y127" s="184"/>
      <c r="Z127" s="185" t="s">
        <v>677</v>
      </c>
    </row>
    <row r="128" spans="1:26" ht="11.4" x14ac:dyDescent="0.15">
      <c r="A128" s="175">
        <f t="shared" si="1"/>
        <v>126</v>
      </c>
      <c r="B128" s="176"/>
      <c r="C128" s="176"/>
      <c r="D128" s="176"/>
      <c r="E128" s="176" t="s">
        <v>702</v>
      </c>
      <c r="F128" s="186"/>
      <c r="G128" s="258"/>
      <c r="H128" s="227" t="s">
        <v>676</v>
      </c>
      <c r="I128" s="177"/>
      <c r="J128" s="178"/>
      <c r="K128" s="178"/>
      <c r="L128" s="179"/>
      <c r="M128" s="177"/>
      <c r="N128" s="178"/>
      <c r="O128" s="178"/>
      <c r="P128" s="180"/>
      <c r="Q128" s="180"/>
      <c r="R128" s="180" t="s">
        <v>61</v>
      </c>
      <c r="S128" s="180"/>
      <c r="T128" s="180"/>
      <c r="U128" s="267"/>
      <c r="V128" s="271"/>
      <c r="W128" s="272"/>
      <c r="X128" s="273"/>
      <c r="Y128" s="184"/>
      <c r="Z128" s="185" t="s">
        <v>677</v>
      </c>
    </row>
    <row r="129" spans="1:26" ht="11.4" x14ac:dyDescent="0.15">
      <c r="A129" s="175">
        <f t="shared" si="1"/>
        <v>127</v>
      </c>
      <c r="B129" s="176"/>
      <c r="C129" s="176"/>
      <c r="D129" s="176" t="s">
        <v>703</v>
      </c>
      <c r="E129" s="176" t="s">
        <v>704</v>
      </c>
      <c r="F129" s="186"/>
      <c r="G129" s="258"/>
      <c r="H129" s="227" t="s">
        <v>676</v>
      </c>
      <c r="I129" s="177"/>
      <c r="J129" s="178"/>
      <c r="K129" s="178"/>
      <c r="L129" s="179"/>
      <c r="M129" s="177"/>
      <c r="N129" s="178"/>
      <c r="O129" s="178"/>
      <c r="P129" s="180"/>
      <c r="Q129" s="180"/>
      <c r="R129" s="180" t="s">
        <v>61</v>
      </c>
      <c r="S129" s="180"/>
      <c r="T129" s="180"/>
      <c r="U129" s="267"/>
      <c r="V129" s="271"/>
      <c r="W129" s="272"/>
      <c r="X129" s="273"/>
      <c r="Y129" s="184"/>
      <c r="Z129" s="185" t="s">
        <v>677</v>
      </c>
    </row>
    <row r="130" spans="1:26" ht="11.4" x14ac:dyDescent="0.15">
      <c r="A130" s="175">
        <f t="shared" si="1"/>
        <v>128</v>
      </c>
      <c r="B130" s="176"/>
      <c r="C130" s="176"/>
      <c r="D130" s="176"/>
      <c r="E130" s="176" t="s">
        <v>705</v>
      </c>
      <c r="F130" s="186"/>
      <c r="G130" s="258"/>
      <c r="H130" s="227" t="s">
        <v>676</v>
      </c>
      <c r="I130" s="177"/>
      <c r="J130" s="178"/>
      <c r="K130" s="178"/>
      <c r="L130" s="179"/>
      <c r="M130" s="177"/>
      <c r="N130" s="178"/>
      <c r="O130" s="178"/>
      <c r="P130" s="180"/>
      <c r="Q130" s="180"/>
      <c r="R130" s="180" t="s">
        <v>61</v>
      </c>
      <c r="S130" s="180"/>
      <c r="T130" s="180"/>
      <c r="U130" s="267"/>
      <c r="V130" s="271"/>
      <c r="W130" s="272"/>
      <c r="X130" s="273"/>
      <c r="Y130" s="184"/>
      <c r="Z130" s="185" t="s">
        <v>677</v>
      </c>
    </row>
    <row r="131" spans="1:26" ht="11.4" x14ac:dyDescent="0.15">
      <c r="A131" s="175">
        <f t="shared" si="1"/>
        <v>129</v>
      </c>
      <c r="B131" s="176"/>
      <c r="C131" s="176"/>
      <c r="D131" s="176"/>
      <c r="E131" s="176" t="s">
        <v>706</v>
      </c>
      <c r="F131" s="186"/>
      <c r="G131" s="258"/>
      <c r="H131" s="227" t="s">
        <v>676</v>
      </c>
      <c r="I131" s="177"/>
      <c r="J131" s="178"/>
      <c r="K131" s="178"/>
      <c r="L131" s="179"/>
      <c r="M131" s="177"/>
      <c r="N131" s="178"/>
      <c r="O131" s="178"/>
      <c r="P131" s="180"/>
      <c r="Q131" s="180"/>
      <c r="R131" s="180" t="s">
        <v>61</v>
      </c>
      <c r="S131" s="180"/>
      <c r="T131" s="180"/>
      <c r="U131" s="267"/>
      <c r="V131" s="271"/>
      <c r="W131" s="272"/>
      <c r="X131" s="273"/>
      <c r="Y131" s="184"/>
      <c r="Z131" s="185" t="s">
        <v>677</v>
      </c>
    </row>
    <row r="132" spans="1:26" ht="11.4" x14ac:dyDescent="0.15">
      <c r="A132" s="175">
        <f t="shared" si="1"/>
        <v>130</v>
      </c>
      <c r="B132" s="176"/>
      <c r="C132" s="176"/>
      <c r="D132" s="176"/>
      <c r="E132" s="176" t="s">
        <v>707</v>
      </c>
      <c r="F132" s="186"/>
      <c r="G132" s="258"/>
      <c r="H132" s="227" t="s">
        <v>676</v>
      </c>
      <c r="I132" s="177"/>
      <c r="J132" s="178"/>
      <c r="K132" s="178"/>
      <c r="L132" s="179"/>
      <c r="M132" s="177"/>
      <c r="N132" s="178"/>
      <c r="O132" s="178"/>
      <c r="P132" s="180"/>
      <c r="Q132" s="180"/>
      <c r="R132" s="180" t="s">
        <v>61</v>
      </c>
      <c r="S132" s="180"/>
      <c r="T132" s="180"/>
      <c r="U132" s="267"/>
      <c r="V132" s="271"/>
      <c r="W132" s="272"/>
      <c r="X132" s="273"/>
      <c r="Y132" s="184"/>
      <c r="Z132" s="185" t="s">
        <v>677</v>
      </c>
    </row>
    <row r="133" spans="1:26" ht="11.4" x14ac:dyDescent="0.15">
      <c r="A133" s="175">
        <f t="shared" si="1"/>
        <v>131</v>
      </c>
      <c r="B133" s="176"/>
      <c r="C133" s="176"/>
      <c r="D133" s="176" t="s">
        <v>708</v>
      </c>
      <c r="E133" s="176" t="s">
        <v>709</v>
      </c>
      <c r="F133" s="186"/>
      <c r="G133" s="258"/>
      <c r="H133" s="227" t="s">
        <v>676</v>
      </c>
      <c r="I133" s="177"/>
      <c r="J133" s="178"/>
      <c r="K133" s="178"/>
      <c r="L133" s="179"/>
      <c r="M133" s="177"/>
      <c r="N133" s="178"/>
      <c r="O133" s="178"/>
      <c r="P133" s="180"/>
      <c r="Q133" s="180"/>
      <c r="R133" s="180" t="s">
        <v>61</v>
      </c>
      <c r="S133" s="180"/>
      <c r="T133" s="180"/>
      <c r="U133" s="267"/>
      <c r="V133" s="271"/>
      <c r="W133" s="272"/>
      <c r="X133" s="273"/>
      <c r="Y133" s="184"/>
      <c r="Z133" s="185" t="s">
        <v>677</v>
      </c>
    </row>
    <row r="134" spans="1:26" ht="11.4" x14ac:dyDescent="0.15">
      <c r="A134" s="175">
        <f t="shared" si="1"/>
        <v>132</v>
      </c>
      <c r="B134" s="176"/>
      <c r="C134" s="176"/>
      <c r="D134" s="176"/>
      <c r="E134" s="176" t="s">
        <v>710</v>
      </c>
      <c r="F134" s="186"/>
      <c r="G134" s="258"/>
      <c r="H134" s="227" t="s">
        <v>676</v>
      </c>
      <c r="I134" s="177"/>
      <c r="J134" s="178"/>
      <c r="K134" s="178"/>
      <c r="L134" s="179"/>
      <c r="M134" s="177"/>
      <c r="N134" s="178"/>
      <c r="O134" s="178"/>
      <c r="P134" s="180"/>
      <c r="Q134" s="180"/>
      <c r="R134" s="180" t="s">
        <v>61</v>
      </c>
      <c r="S134" s="180"/>
      <c r="T134" s="180"/>
      <c r="U134" s="267"/>
      <c r="V134" s="271"/>
      <c r="W134" s="272"/>
      <c r="X134" s="273"/>
      <c r="Y134" s="184"/>
      <c r="Z134" s="185" t="s">
        <v>677</v>
      </c>
    </row>
    <row r="135" spans="1:26" ht="11.4" x14ac:dyDescent="0.15">
      <c r="A135" s="175">
        <f t="shared" si="1"/>
        <v>133</v>
      </c>
      <c r="B135" s="176"/>
      <c r="C135" s="176"/>
      <c r="D135" s="176"/>
      <c r="E135" s="176" t="s">
        <v>711</v>
      </c>
      <c r="F135" s="186"/>
      <c r="G135" s="258"/>
      <c r="H135" s="227" t="s">
        <v>676</v>
      </c>
      <c r="I135" s="177"/>
      <c r="J135" s="178"/>
      <c r="K135" s="178"/>
      <c r="L135" s="179"/>
      <c r="M135" s="177"/>
      <c r="N135" s="178"/>
      <c r="O135" s="178"/>
      <c r="P135" s="180"/>
      <c r="Q135" s="180"/>
      <c r="R135" s="180" t="s">
        <v>61</v>
      </c>
      <c r="S135" s="180"/>
      <c r="T135" s="180"/>
      <c r="U135" s="267"/>
      <c r="V135" s="271"/>
      <c r="W135" s="272"/>
      <c r="X135" s="273"/>
      <c r="Y135" s="184"/>
      <c r="Z135" s="185" t="s">
        <v>677</v>
      </c>
    </row>
    <row r="136" spans="1:26" ht="11.4" x14ac:dyDescent="0.15">
      <c r="A136" s="175">
        <f t="shared" si="1"/>
        <v>134</v>
      </c>
      <c r="B136" s="176"/>
      <c r="C136" s="176"/>
      <c r="D136" s="176"/>
      <c r="E136" s="176" t="s">
        <v>712</v>
      </c>
      <c r="F136" s="186"/>
      <c r="G136" s="258"/>
      <c r="H136" s="227" t="s">
        <v>676</v>
      </c>
      <c r="I136" s="177"/>
      <c r="J136" s="178"/>
      <c r="K136" s="178"/>
      <c r="L136" s="179"/>
      <c r="M136" s="177"/>
      <c r="N136" s="178"/>
      <c r="O136" s="178"/>
      <c r="P136" s="180"/>
      <c r="Q136" s="180"/>
      <c r="R136" s="180" t="s">
        <v>61</v>
      </c>
      <c r="S136" s="180"/>
      <c r="T136" s="180"/>
      <c r="U136" s="267"/>
      <c r="V136" s="271"/>
      <c r="W136" s="272"/>
      <c r="X136" s="273"/>
      <c r="Y136" s="184"/>
      <c r="Z136" s="185" t="s">
        <v>677</v>
      </c>
    </row>
    <row r="137" spans="1:26" ht="11.4" x14ac:dyDescent="0.15">
      <c r="A137" s="175">
        <f t="shared" si="1"/>
        <v>135</v>
      </c>
      <c r="B137" s="176"/>
      <c r="C137" s="176"/>
      <c r="D137" s="176"/>
      <c r="E137" s="176" t="s">
        <v>713</v>
      </c>
      <c r="F137" s="186"/>
      <c r="G137" s="258"/>
      <c r="H137" s="227" t="s">
        <v>676</v>
      </c>
      <c r="I137" s="177"/>
      <c r="J137" s="178"/>
      <c r="K137" s="178"/>
      <c r="L137" s="179"/>
      <c r="M137" s="177"/>
      <c r="N137" s="178"/>
      <c r="O137" s="178"/>
      <c r="P137" s="180"/>
      <c r="Q137" s="180"/>
      <c r="R137" s="180" t="s">
        <v>61</v>
      </c>
      <c r="S137" s="180"/>
      <c r="T137" s="180"/>
      <c r="U137" s="267"/>
      <c r="V137" s="271"/>
      <c r="W137" s="272"/>
      <c r="X137" s="273"/>
      <c r="Y137" s="184"/>
      <c r="Z137" s="185" t="s">
        <v>677</v>
      </c>
    </row>
    <row r="138" spans="1:26" ht="11.4" x14ac:dyDescent="0.15">
      <c r="A138" s="175">
        <f t="shared" si="1"/>
        <v>136</v>
      </c>
      <c r="B138" s="176"/>
      <c r="C138" s="176"/>
      <c r="D138" s="176"/>
      <c r="E138" s="176" t="s">
        <v>714</v>
      </c>
      <c r="F138" s="186"/>
      <c r="G138" s="258"/>
      <c r="H138" s="227" t="s">
        <v>676</v>
      </c>
      <c r="I138" s="177"/>
      <c r="J138" s="178"/>
      <c r="K138" s="178"/>
      <c r="L138" s="179"/>
      <c r="M138" s="177"/>
      <c r="N138" s="178"/>
      <c r="O138" s="178"/>
      <c r="P138" s="180"/>
      <c r="Q138" s="180"/>
      <c r="R138" s="180" t="s">
        <v>61</v>
      </c>
      <c r="S138" s="180"/>
      <c r="T138" s="180"/>
      <c r="U138" s="267"/>
      <c r="V138" s="271"/>
      <c r="W138" s="272"/>
      <c r="X138" s="273"/>
      <c r="Y138" s="184"/>
      <c r="Z138" s="185" t="s">
        <v>677</v>
      </c>
    </row>
    <row r="139" spans="1:26" ht="11.4" x14ac:dyDescent="0.15">
      <c r="A139" s="175">
        <f t="shared" si="1"/>
        <v>137</v>
      </c>
      <c r="B139" s="176"/>
      <c r="C139" s="176"/>
      <c r="D139" s="176"/>
      <c r="E139" s="176" t="s">
        <v>715</v>
      </c>
      <c r="F139" s="186"/>
      <c r="G139" s="258"/>
      <c r="H139" s="227" t="s">
        <v>676</v>
      </c>
      <c r="I139" s="177"/>
      <c r="J139" s="178"/>
      <c r="K139" s="178"/>
      <c r="L139" s="179"/>
      <c r="M139" s="177"/>
      <c r="N139" s="178"/>
      <c r="O139" s="178"/>
      <c r="P139" s="180"/>
      <c r="Q139" s="180"/>
      <c r="R139" s="180" t="s">
        <v>61</v>
      </c>
      <c r="S139" s="180"/>
      <c r="T139" s="180"/>
      <c r="U139" s="267"/>
      <c r="V139" s="271"/>
      <c r="W139" s="272"/>
      <c r="X139" s="273"/>
      <c r="Y139" s="184"/>
      <c r="Z139" s="185" t="s">
        <v>677</v>
      </c>
    </row>
    <row r="140" spans="1:26" ht="11.4" x14ac:dyDescent="0.15">
      <c r="A140" s="175">
        <f t="shared" si="1"/>
        <v>138</v>
      </c>
      <c r="B140" s="176"/>
      <c r="C140" s="176"/>
      <c r="D140" s="176"/>
      <c r="E140" s="176" t="s">
        <v>716</v>
      </c>
      <c r="F140" s="186"/>
      <c r="G140" s="258"/>
      <c r="H140" s="227" t="s">
        <v>676</v>
      </c>
      <c r="I140" s="177"/>
      <c r="J140" s="178"/>
      <c r="K140" s="178"/>
      <c r="L140" s="179"/>
      <c r="M140" s="177"/>
      <c r="N140" s="178"/>
      <c r="O140" s="178"/>
      <c r="P140" s="180"/>
      <c r="Q140" s="180"/>
      <c r="R140" s="180" t="s">
        <v>61</v>
      </c>
      <c r="S140" s="180"/>
      <c r="T140" s="180"/>
      <c r="U140" s="267"/>
      <c r="V140" s="271"/>
      <c r="W140" s="272"/>
      <c r="X140" s="273"/>
      <c r="Y140" s="184"/>
      <c r="Z140" s="185" t="s">
        <v>677</v>
      </c>
    </row>
    <row r="141" spans="1:26" ht="11.4" x14ac:dyDescent="0.15">
      <c r="A141" s="175">
        <f t="shared" si="1"/>
        <v>139</v>
      </c>
      <c r="B141" s="176"/>
      <c r="C141" s="176"/>
      <c r="D141" s="176"/>
      <c r="E141" s="176" t="s">
        <v>717</v>
      </c>
      <c r="F141" s="186"/>
      <c r="G141" s="258"/>
      <c r="H141" s="227" t="s">
        <v>676</v>
      </c>
      <c r="I141" s="177"/>
      <c r="J141" s="178"/>
      <c r="K141" s="178"/>
      <c r="L141" s="179"/>
      <c r="M141" s="177"/>
      <c r="N141" s="178"/>
      <c r="O141" s="178"/>
      <c r="P141" s="180"/>
      <c r="Q141" s="180"/>
      <c r="R141" s="180" t="s">
        <v>61</v>
      </c>
      <c r="S141" s="180"/>
      <c r="T141" s="180"/>
      <c r="U141" s="267"/>
      <c r="V141" s="271"/>
      <c r="W141" s="272"/>
      <c r="X141" s="273"/>
      <c r="Y141" s="184"/>
      <c r="Z141" s="185" t="s">
        <v>677</v>
      </c>
    </row>
    <row r="142" spans="1:26" ht="11.4" x14ac:dyDescent="0.15">
      <c r="A142" s="175">
        <f t="shared" si="1"/>
        <v>140</v>
      </c>
      <c r="B142" s="176"/>
      <c r="C142" s="176"/>
      <c r="D142" s="176"/>
      <c r="E142" s="176" t="s">
        <v>718</v>
      </c>
      <c r="F142" s="186"/>
      <c r="G142" s="258"/>
      <c r="H142" s="227" t="s">
        <v>676</v>
      </c>
      <c r="I142" s="177"/>
      <c r="J142" s="178"/>
      <c r="K142" s="178"/>
      <c r="L142" s="179"/>
      <c r="M142" s="177"/>
      <c r="N142" s="178"/>
      <c r="O142" s="178"/>
      <c r="P142" s="180"/>
      <c r="Q142" s="180"/>
      <c r="R142" s="180" t="s">
        <v>61</v>
      </c>
      <c r="S142" s="180"/>
      <c r="T142" s="180"/>
      <c r="U142" s="267"/>
      <c r="V142" s="271"/>
      <c r="W142" s="272"/>
      <c r="X142" s="273"/>
      <c r="Y142" s="184"/>
      <c r="Z142" s="185" t="s">
        <v>677</v>
      </c>
    </row>
    <row r="143" spans="1:26" ht="11.4" x14ac:dyDescent="0.15">
      <c r="A143" s="175">
        <f t="shared" si="1"/>
        <v>141</v>
      </c>
      <c r="B143" s="176"/>
      <c r="C143" s="176"/>
      <c r="D143" s="176"/>
      <c r="E143" s="176" t="s">
        <v>719</v>
      </c>
      <c r="F143" s="186"/>
      <c r="G143" s="258"/>
      <c r="H143" s="227" t="s">
        <v>676</v>
      </c>
      <c r="I143" s="177"/>
      <c r="J143" s="178"/>
      <c r="K143" s="178"/>
      <c r="L143" s="179"/>
      <c r="M143" s="177"/>
      <c r="N143" s="178"/>
      <c r="O143" s="178"/>
      <c r="P143" s="180"/>
      <c r="Q143" s="180"/>
      <c r="R143" s="180" t="s">
        <v>61</v>
      </c>
      <c r="S143" s="180"/>
      <c r="T143" s="180"/>
      <c r="U143" s="267"/>
      <c r="V143" s="271"/>
      <c r="W143" s="272"/>
      <c r="X143" s="273"/>
      <c r="Y143" s="184"/>
      <c r="Z143" s="185" t="s">
        <v>677</v>
      </c>
    </row>
    <row r="144" spans="1:26" ht="11.4" x14ac:dyDescent="0.15">
      <c r="A144" s="175">
        <f t="shared" si="1"/>
        <v>142</v>
      </c>
      <c r="B144" s="176"/>
      <c r="C144" s="176"/>
      <c r="D144" s="176"/>
      <c r="E144" s="176" t="s">
        <v>720</v>
      </c>
      <c r="F144" s="186"/>
      <c r="G144" s="258"/>
      <c r="H144" s="227" t="s">
        <v>676</v>
      </c>
      <c r="I144" s="177"/>
      <c r="J144" s="178"/>
      <c r="K144" s="178"/>
      <c r="L144" s="179"/>
      <c r="M144" s="177"/>
      <c r="N144" s="178"/>
      <c r="O144" s="178"/>
      <c r="P144" s="180"/>
      <c r="Q144" s="180"/>
      <c r="R144" s="180" t="s">
        <v>61</v>
      </c>
      <c r="S144" s="180"/>
      <c r="T144" s="180"/>
      <c r="U144" s="267"/>
      <c r="V144" s="271"/>
      <c r="W144" s="272"/>
      <c r="X144" s="273"/>
      <c r="Y144" s="184"/>
      <c r="Z144" s="185" t="s">
        <v>677</v>
      </c>
    </row>
    <row r="145" spans="1:26" ht="11.4" x14ac:dyDescent="0.15">
      <c r="A145" s="175">
        <f t="shared" si="1"/>
        <v>143</v>
      </c>
      <c r="B145" s="176"/>
      <c r="C145" s="176"/>
      <c r="D145" s="176"/>
      <c r="E145" s="176" t="s">
        <v>721</v>
      </c>
      <c r="F145" s="186"/>
      <c r="G145" s="258"/>
      <c r="H145" s="227" t="s">
        <v>676</v>
      </c>
      <c r="I145" s="177"/>
      <c r="J145" s="178"/>
      <c r="K145" s="178"/>
      <c r="L145" s="179"/>
      <c r="M145" s="177"/>
      <c r="N145" s="178"/>
      <c r="O145" s="178"/>
      <c r="P145" s="180"/>
      <c r="Q145" s="180"/>
      <c r="R145" s="180" t="s">
        <v>61</v>
      </c>
      <c r="S145" s="180"/>
      <c r="T145" s="180"/>
      <c r="U145" s="267"/>
      <c r="V145" s="271"/>
      <c r="W145" s="272"/>
      <c r="X145" s="273"/>
      <c r="Y145" s="184"/>
      <c r="Z145" s="185" t="s">
        <v>677</v>
      </c>
    </row>
    <row r="146" spans="1:26" ht="11.4" x14ac:dyDescent="0.15">
      <c r="A146" s="175">
        <f t="shared" si="1"/>
        <v>144</v>
      </c>
      <c r="B146" s="176"/>
      <c r="C146" s="176"/>
      <c r="D146" s="176" t="s">
        <v>722</v>
      </c>
      <c r="E146" s="176" t="s">
        <v>723</v>
      </c>
      <c r="F146" s="186"/>
      <c r="G146" s="258"/>
      <c r="H146" s="227" t="s">
        <v>676</v>
      </c>
      <c r="I146" s="177"/>
      <c r="J146" s="178"/>
      <c r="K146" s="178"/>
      <c r="L146" s="179"/>
      <c r="M146" s="177"/>
      <c r="N146" s="178"/>
      <c r="O146" s="178"/>
      <c r="P146" s="180"/>
      <c r="Q146" s="180"/>
      <c r="R146" s="180" t="s">
        <v>61</v>
      </c>
      <c r="S146" s="180"/>
      <c r="T146" s="180"/>
      <c r="U146" s="267"/>
      <c r="V146" s="271"/>
      <c r="W146" s="272"/>
      <c r="X146" s="273"/>
      <c r="Y146" s="184"/>
      <c r="Z146" s="185" t="s">
        <v>677</v>
      </c>
    </row>
    <row r="147" spans="1:26" ht="11.4" x14ac:dyDescent="0.15">
      <c r="A147" s="175">
        <f t="shared" si="1"/>
        <v>145</v>
      </c>
      <c r="B147" s="176"/>
      <c r="C147" s="176"/>
      <c r="D147" s="176"/>
      <c r="E147" s="176" t="s">
        <v>724</v>
      </c>
      <c r="F147" s="186"/>
      <c r="G147" s="258"/>
      <c r="H147" s="227" t="s">
        <v>676</v>
      </c>
      <c r="I147" s="177"/>
      <c r="J147" s="178"/>
      <c r="K147" s="178"/>
      <c r="L147" s="179"/>
      <c r="M147" s="177"/>
      <c r="N147" s="178"/>
      <c r="O147" s="178"/>
      <c r="P147" s="180"/>
      <c r="Q147" s="180"/>
      <c r="R147" s="180" t="s">
        <v>61</v>
      </c>
      <c r="S147" s="180"/>
      <c r="T147" s="180"/>
      <c r="U147" s="267"/>
      <c r="V147" s="271"/>
      <c r="W147" s="272"/>
      <c r="X147" s="273"/>
      <c r="Y147" s="184"/>
      <c r="Z147" s="185" t="s">
        <v>677</v>
      </c>
    </row>
    <row r="148" spans="1:26" ht="11.4" x14ac:dyDescent="0.15">
      <c r="A148" s="175">
        <f t="shared" si="1"/>
        <v>146</v>
      </c>
      <c r="B148" s="176"/>
      <c r="C148" s="176"/>
      <c r="D148" s="176"/>
      <c r="E148" s="176" t="s">
        <v>725</v>
      </c>
      <c r="F148" s="186"/>
      <c r="G148" s="258"/>
      <c r="H148" s="227" t="s">
        <v>676</v>
      </c>
      <c r="I148" s="177"/>
      <c r="J148" s="178"/>
      <c r="K148" s="178"/>
      <c r="L148" s="179"/>
      <c r="M148" s="177"/>
      <c r="N148" s="178"/>
      <c r="O148" s="178"/>
      <c r="P148" s="180"/>
      <c r="Q148" s="180"/>
      <c r="R148" s="180" t="s">
        <v>61</v>
      </c>
      <c r="S148" s="180"/>
      <c r="T148" s="180"/>
      <c r="U148" s="267"/>
      <c r="V148" s="271"/>
      <c r="W148" s="272"/>
      <c r="X148" s="273"/>
      <c r="Y148" s="184"/>
      <c r="Z148" s="185" t="s">
        <v>677</v>
      </c>
    </row>
    <row r="149" spans="1:26" ht="11.4" x14ac:dyDescent="0.15">
      <c r="A149" s="175">
        <f t="shared" si="1"/>
        <v>147</v>
      </c>
      <c r="B149" s="176"/>
      <c r="C149" s="176"/>
      <c r="D149" s="176"/>
      <c r="E149" s="176" t="s">
        <v>726</v>
      </c>
      <c r="F149" s="186"/>
      <c r="G149" s="258"/>
      <c r="H149" s="227" t="s">
        <v>676</v>
      </c>
      <c r="I149" s="177"/>
      <c r="J149" s="178"/>
      <c r="K149" s="178"/>
      <c r="L149" s="179"/>
      <c r="M149" s="177"/>
      <c r="N149" s="178"/>
      <c r="O149" s="178"/>
      <c r="P149" s="180"/>
      <c r="Q149" s="180"/>
      <c r="R149" s="180" t="s">
        <v>61</v>
      </c>
      <c r="S149" s="180"/>
      <c r="T149" s="180"/>
      <c r="U149" s="267"/>
      <c r="V149" s="271"/>
      <c r="W149" s="272"/>
      <c r="X149" s="273"/>
      <c r="Y149" s="184"/>
      <c r="Z149" s="185" t="s">
        <v>677</v>
      </c>
    </row>
    <row r="150" spans="1:26" ht="11.4" x14ac:dyDescent="0.15">
      <c r="A150" s="175">
        <f t="shared" si="1"/>
        <v>148</v>
      </c>
      <c r="B150" s="176"/>
      <c r="C150" s="176"/>
      <c r="D150" s="176"/>
      <c r="E150" s="176" t="s">
        <v>727</v>
      </c>
      <c r="F150" s="186"/>
      <c r="G150" s="258"/>
      <c r="H150" s="227" t="s">
        <v>676</v>
      </c>
      <c r="I150" s="177"/>
      <c r="J150" s="178"/>
      <c r="K150" s="178"/>
      <c r="L150" s="179"/>
      <c r="M150" s="177"/>
      <c r="N150" s="178"/>
      <c r="O150" s="178"/>
      <c r="P150" s="180"/>
      <c r="Q150" s="180"/>
      <c r="R150" s="180" t="s">
        <v>61</v>
      </c>
      <c r="S150" s="180"/>
      <c r="T150" s="180"/>
      <c r="U150" s="267"/>
      <c r="V150" s="271"/>
      <c r="W150" s="272"/>
      <c r="X150" s="273"/>
      <c r="Y150" s="184"/>
      <c r="Z150" s="185" t="s">
        <v>677</v>
      </c>
    </row>
    <row r="151" spans="1:26" ht="11.4" x14ac:dyDescent="0.15">
      <c r="A151" s="175">
        <f t="shared" si="1"/>
        <v>149</v>
      </c>
      <c r="B151" s="176"/>
      <c r="C151" s="176"/>
      <c r="D151" s="176"/>
      <c r="E151" s="176" t="s">
        <v>728</v>
      </c>
      <c r="F151" s="186"/>
      <c r="G151" s="258"/>
      <c r="H151" s="227" t="s">
        <v>676</v>
      </c>
      <c r="I151" s="177"/>
      <c r="J151" s="178"/>
      <c r="K151" s="178"/>
      <c r="L151" s="179"/>
      <c r="M151" s="177"/>
      <c r="N151" s="178"/>
      <c r="O151" s="178"/>
      <c r="P151" s="180"/>
      <c r="Q151" s="180"/>
      <c r="R151" s="180" t="s">
        <v>61</v>
      </c>
      <c r="S151" s="180"/>
      <c r="T151" s="180"/>
      <c r="U151" s="267"/>
      <c r="V151" s="271"/>
      <c r="W151" s="272"/>
      <c r="X151" s="273"/>
      <c r="Y151" s="184"/>
      <c r="Z151" s="185" t="s">
        <v>677</v>
      </c>
    </row>
    <row r="152" spans="1:26" ht="11.4" x14ac:dyDescent="0.15">
      <c r="A152" s="175">
        <f t="shared" si="1"/>
        <v>150</v>
      </c>
      <c r="B152" s="176"/>
      <c r="C152" s="176"/>
      <c r="D152" s="176"/>
      <c r="E152" s="176" t="s">
        <v>729</v>
      </c>
      <c r="F152" s="186"/>
      <c r="G152" s="258"/>
      <c r="H152" s="227" t="s">
        <v>676</v>
      </c>
      <c r="I152" s="177"/>
      <c r="J152" s="178"/>
      <c r="K152" s="178"/>
      <c r="L152" s="179"/>
      <c r="M152" s="177"/>
      <c r="N152" s="178"/>
      <c r="O152" s="178"/>
      <c r="P152" s="180"/>
      <c r="Q152" s="180"/>
      <c r="R152" s="180" t="s">
        <v>61</v>
      </c>
      <c r="S152" s="180"/>
      <c r="T152" s="180"/>
      <c r="U152" s="267"/>
      <c r="V152" s="271"/>
      <c r="W152" s="272"/>
      <c r="X152" s="273"/>
      <c r="Y152" s="184"/>
      <c r="Z152" s="185" t="s">
        <v>677</v>
      </c>
    </row>
    <row r="153" spans="1:26" ht="11.4" x14ac:dyDescent="0.15">
      <c r="A153" s="175">
        <f t="shared" si="1"/>
        <v>151</v>
      </c>
      <c r="B153" s="176"/>
      <c r="C153" s="176"/>
      <c r="D153" s="176"/>
      <c r="E153" s="176" t="s">
        <v>730</v>
      </c>
      <c r="F153" s="186"/>
      <c r="G153" s="258"/>
      <c r="H153" s="227" t="s">
        <v>676</v>
      </c>
      <c r="I153" s="177"/>
      <c r="J153" s="178"/>
      <c r="K153" s="178"/>
      <c r="L153" s="179"/>
      <c r="M153" s="177"/>
      <c r="N153" s="178"/>
      <c r="O153" s="178"/>
      <c r="P153" s="180"/>
      <c r="Q153" s="180"/>
      <c r="R153" s="180" t="s">
        <v>61</v>
      </c>
      <c r="S153" s="180"/>
      <c r="T153" s="180"/>
      <c r="U153" s="267"/>
      <c r="V153" s="271"/>
      <c r="W153" s="272"/>
      <c r="X153" s="273"/>
      <c r="Y153" s="184"/>
      <c r="Z153" s="185" t="s">
        <v>677</v>
      </c>
    </row>
    <row r="154" spans="1:26" ht="11.4" x14ac:dyDescent="0.15">
      <c r="A154" s="175">
        <f t="shared" si="1"/>
        <v>152</v>
      </c>
      <c r="B154" s="176"/>
      <c r="C154" s="176"/>
      <c r="D154" s="176"/>
      <c r="E154" s="176" t="s">
        <v>731</v>
      </c>
      <c r="F154" s="186"/>
      <c r="G154" s="258"/>
      <c r="H154" s="227" t="s">
        <v>676</v>
      </c>
      <c r="I154" s="177"/>
      <c r="J154" s="178"/>
      <c r="K154" s="178"/>
      <c r="L154" s="179"/>
      <c r="M154" s="177"/>
      <c r="N154" s="178"/>
      <c r="O154" s="178"/>
      <c r="P154" s="180"/>
      <c r="Q154" s="180"/>
      <c r="R154" s="180" t="s">
        <v>61</v>
      </c>
      <c r="S154" s="180"/>
      <c r="T154" s="180"/>
      <c r="U154" s="267"/>
      <c r="V154" s="271"/>
      <c r="W154" s="272"/>
      <c r="X154" s="273"/>
      <c r="Y154" s="184"/>
      <c r="Z154" s="185" t="s">
        <v>677</v>
      </c>
    </row>
    <row r="155" spans="1:26" ht="11.4" x14ac:dyDescent="0.15">
      <c r="A155" s="175">
        <f t="shared" si="1"/>
        <v>153</v>
      </c>
      <c r="B155" s="176"/>
      <c r="C155" s="176"/>
      <c r="D155" s="176"/>
      <c r="E155" s="176" t="s">
        <v>732</v>
      </c>
      <c r="F155" s="186"/>
      <c r="G155" s="258"/>
      <c r="H155" s="227" t="s">
        <v>676</v>
      </c>
      <c r="I155" s="177"/>
      <c r="J155" s="178"/>
      <c r="K155" s="178"/>
      <c r="L155" s="179"/>
      <c r="M155" s="177"/>
      <c r="N155" s="178"/>
      <c r="O155" s="178"/>
      <c r="P155" s="180"/>
      <c r="Q155" s="180"/>
      <c r="R155" s="180" t="s">
        <v>61</v>
      </c>
      <c r="S155" s="180"/>
      <c r="T155" s="180"/>
      <c r="U155" s="267"/>
      <c r="V155" s="271"/>
      <c r="W155" s="272"/>
      <c r="X155" s="273"/>
      <c r="Y155" s="184"/>
      <c r="Z155" s="185" t="s">
        <v>677</v>
      </c>
    </row>
    <row r="156" spans="1:26" ht="11.4" x14ac:dyDescent="0.15">
      <c r="A156" s="175">
        <f t="shared" si="1"/>
        <v>154</v>
      </c>
      <c r="B156" s="176"/>
      <c r="C156" s="176"/>
      <c r="D156" s="176"/>
      <c r="E156" s="176" t="s">
        <v>733</v>
      </c>
      <c r="F156" s="186"/>
      <c r="G156" s="258"/>
      <c r="H156" s="227" t="s">
        <v>676</v>
      </c>
      <c r="I156" s="177"/>
      <c r="J156" s="178"/>
      <c r="K156" s="178"/>
      <c r="L156" s="179"/>
      <c r="M156" s="177"/>
      <c r="N156" s="178"/>
      <c r="O156" s="178"/>
      <c r="P156" s="180"/>
      <c r="Q156" s="180"/>
      <c r="R156" s="180" t="s">
        <v>61</v>
      </c>
      <c r="S156" s="180"/>
      <c r="T156" s="180"/>
      <c r="U156" s="267"/>
      <c r="V156" s="271"/>
      <c r="W156" s="272"/>
      <c r="X156" s="273"/>
      <c r="Y156" s="184"/>
      <c r="Z156" s="185" t="s">
        <v>677</v>
      </c>
    </row>
    <row r="157" spans="1:26" ht="11.4" x14ac:dyDescent="0.15">
      <c r="A157" s="175">
        <f t="shared" si="1"/>
        <v>155</v>
      </c>
      <c r="B157" s="176"/>
      <c r="C157" s="176"/>
      <c r="D157" s="176"/>
      <c r="E157" s="176" t="s">
        <v>734</v>
      </c>
      <c r="F157" s="186"/>
      <c r="G157" s="258"/>
      <c r="H157" s="227" t="s">
        <v>676</v>
      </c>
      <c r="I157" s="177"/>
      <c r="J157" s="178"/>
      <c r="K157" s="178"/>
      <c r="L157" s="179"/>
      <c r="M157" s="177"/>
      <c r="N157" s="178"/>
      <c r="O157" s="178"/>
      <c r="P157" s="180"/>
      <c r="Q157" s="180"/>
      <c r="R157" s="180" t="s">
        <v>61</v>
      </c>
      <c r="S157" s="180"/>
      <c r="T157" s="180"/>
      <c r="U157" s="267"/>
      <c r="V157" s="271"/>
      <c r="W157" s="272"/>
      <c r="X157" s="273"/>
      <c r="Y157" s="184"/>
      <c r="Z157" s="185" t="s">
        <v>677</v>
      </c>
    </row>
    <row r="158" spans="1:26" ht="11.4" x14ac:dyDescent="0.15">
      <c r="A158" s="175">
        <f t="shared" si="1"/>
        <v>156</v>
      </c>
      <c r="B158" s="176"/>
      <c r="C158" s="176"/>
      <c r="D158" s="176"/>
      <c r="E158" s="176" t="s">
        <v>735</v>
      </c>
      <c r="F158" s="186"/>
      <c r="G158" s="258"/>
      <c r="H158" s="227" t="s">
        <v>676</v>
      </c>
      <c r="I158" s="177"/>
      <c r="J158" s="178"/>
      <c r="K158" s="178"/>
      <c r="L158" s="179"/>
      <c r="M158" s="177"/>
      <c r="N158" s="178"/>
      <c r="O158" s="178"/>
      <c r="P158" s="180"/>
      <c r="Q158" s="180"/>
      <c r="R158" s="180" t="s">
        <v>61</v>
      </c>
      <c r="S158" s="180"/>
      <c r="T158" s="180"/>
      <c r="U158" s="267"/>
      <c r="V158" s="271"/>
      <c r="W158" s="272"/>
      <c r="X158" s="273"/>
      <c r="Y158" s="184"/>
      <c r="Z158" s="185" t="s">
        <v>677</v>
      </c>
    </row>
    <row r="159" spans="1:26" ht="11.4" x14ac:dyDescent="0.15">
      <c r="A159" s="175">
        <f t="shared" si="1"/>
        <v>157</v>
      </c>
      <c r="B159" s="176"/>
      <c r="C159" s="176"/>
      <c r="D159" s="176"/>
      <c r="E159" s="176" t="s">
        <v>736</v>
      </c>
      <c r="F159" s="186"/>
      <c r="G159" s="258"/>
      <c r="H159" s="227" t="s">
        <v>676</v>
      </c>
      <c r="I159" s="177"/>
      <c r="J159" s="178"/>
      <c r="K159" s="178"/>
      <c r="L159" s="179"/>
      <c r="M159" s="177"/>
      <c r="N159" s="178"/>
      <c r="O159" s="178"/>
      <c r="P159" s="180"/>
      <c r="Q159" s="180"/>
      <c r="R159" s="180" t="s">
        <v>61</v>
      </c>
      <c r="S159" s="180"/>
      <c r="T159" s="180"/>
      <c r="U159" s="267"/>
      <c r="V159" s="271"/>
      <c r="W159" s="272"/>
      <c r="X159" s="273"/>
      <c r="Y159" s="184"/>
      <c r="Z159" s="185" t="s">
        <v>677</v>
      </c>
    </row>
    <row r="160" spans="1:26" ht="11.4" x14ac:dyDescent="0.15">
      <c r="A160" s="175">
        <f t="shared" si="1"/>
        <v>158</v>
      </c>
      <c r="B160" s="176"/>
      <c r="C160" s="176"/>
      <c r="D160" s="176"/>
      <c r="E160" s="176" t="s">
        <v>737</v>
      </c>
      <c r="F160" s="186"/>
      <c r="G160" s="258"/>
      <c r="H160" s="227" t="s">
        <v>676</v>
      </c>
      <c r="I160" s="177"/>
      <c r="J160" s="178"/>
      <c r="K160" s="178"/>
      <c r="L160" s="179"/>
      <c r="M160" s="177"/>
      <c r="N160" s="178"/>
      <c r="O160" s="178"/>
      <c r="P160" s="180"/>
      <c r="Q160" s="180"/>
      <c r="R160" s="180" t="s">
        <v>61</v>
      </c>
      <c r="S160" s="180"/>
      <c r="T160" s="180"/>
      <c r="U160" s="267"/>
      <c r="V160" s="271"/>
      <c r="W160" s="272"/>
      <c r="X160" s="273"/>
      <c r="Y160" s="184"/>
      <c r="Z160" s="185" t="s">
        <v>677</v>
      </c>
    </row>
    <row r="161" spans="1:26" ht="11.4" x14ac:dyDescent="0.15">
      <c r="A161" s="175">
        <f t="shared" si="1"/>
        <v>159</v>
      </c>
      <c r="B161" s="176"/>
      <c r="C161" s="176"/>
      <c r="D161" s="176"/>
      <c r="E161" s="176" t="s">
        <v>738</v>
      </c>
      <c r="F161" s="186"/>
      <c r="G161" s="258"/>
      <c r="H161" s="227" t="s">
        <v>676</v>
      </c>
      <c r="I161" s="177"/>
      <c r="J161" s="178"/>
      <c r="K161" s="178"/>
      <c r="L161" s="179"/>
      <c r="M161" s="177"/>
      <c r="N161" s="178"/>
      <c r="O161" s="178"/>
      <c r="P161" s="180"/>
      <c r="Q161" s="180"/>
      <c r="R161" s="180" t="s">
        <v>61</v>
      </c>
      <c r="S161" s="180"/>
      <c r="T161" s="180"/>
      <c r="U161" s="267"/>
      <c r="V161" s="271"/>
      <c r="W161" s="272"/>
      <c r="X161" s="273"/>
      <c r="Y161" s="184"/>
      <c r="Z161" s="185" t="s">
        <v>677</v>
      </c>
    </row>
    <row r="162" spans="1:26" ht="11.4" x14ac:dyDescent="0.15">
      <c r="A162" s="175">
        <f t="shared" si="1"/>
        <v>160</v>
      </c>
      <c r="B162" s="176"/>
      <c r="C162" s="176"/>
      <c r="D162" s="176"/>
      <c r="E162" s="176" t="s">
        <v>739</v>
      </c>
      <c r="F162" s="186"/>
      <c r="G162" s="258"/>
      <c r="H162" s="227" t="s">
        <v>676</v>
      </c>
      <c r="I162" s="177"/>
      <c r="J162" s="178"/>
      <c r="K162" s="178"/>
      <c r="L162" s="179"/>
      <c r="M162" s="177"/>
      <c r="N162" s="178"/>
      <c r="O162" s="178"/>
      <c r="P162" s="180"/>
      <c r="Q162" s="180"/>
      <c r="R162" s="180" t="s">
        <v>61</v>
      </c>
      <c r="S162" s="180"/>
      <c r="T162" s="180"/>
      <c r="U162" s="267"/>
      <c r="V162" s="271"/>
      <c r="W162" s="272"/>
      <c r="X162" s="273"/>
      <c r="Y162" s="184"/>
      <c r="Z162" s="185" t="s">
        <v>677</v>
      </c>
    </row>
    <row r="163" spans="1:26" ht="11.4" x14ac:dyDescent="0.15">
      <c r="A163" s="175">
        <f t="shared" si="1"/>
        <v>161</v>
      </c>
      <c r="B163" s="176"/>
      <c r="C163" s="176"/>
      <c r="D163" s="176"/>
      <c r="E163" s="176" t="s">
        <v>740</v>
      </c>
      <c r="F163" s="186"/>
      <c r="G163" s="258"/>
      <c r="H163" s="227" t="s">
        <v>676</v>
      </c>
      <c r="I163" s="177"/>
      <c r="J163" s="178"/>
      <c r="K163" s="178"/>
      <c r="L163" s="179"/>
      <c r="M163" s="177"/>
      <c r="N163" s="178"/>
      <c r="O163" s="178"/>
      <c r="P163" s="180"/>
      <c r="Q163" s="180"/>
      <c r="R163" s="180" t="s">
        <v>61</v>
      </c>
      <c r="S163" s="180"/>
      <c r="T163" s="180"/>
      <c r="U163" s="267"/>
      <c r="V163" s="271"/>
      <c r="W163" s="272"/>
      <c r="X163" s="273"/>
      <c r="Y163" s="184"/>
      <c r="Z163" s="185" t="s">
        <v>677</v>
      </c>
    </row>
    <row r="164" spans="1:26" ht="11.4" x14ac:dyDescent="0.15">
      <c r="A164" s="175">
        <f t="shared" si="1"/>
        <v>162</v>
      </c>
      <c r="B164" s="176"/>
      <c r="C164" s="176"/>
      <c r="D164" s="176"/>
      <c r="E164" s="176" t="s">
        <v>741</v>
      </c>
      <c r="F164" s="186"/>
      <c r="G164" s="258"/>
      <c r="H164" s="227" t="s">
        <v>676</v>
      </c>
      <c r="I164" s="177"/>
      <c r="J164" s="178"/>
      <c r="K164" s="178"/>
      <c r="L164" s="179"/>
      <c r="M164" s="177"/>
      <c r="N164" s="178"/>
      <c r="O164" s="178"/>
      <c r="P164" s="180"/>
      <c r="Q164" s="180"/>
      <c r="R164" s="180" t="s">
        <v>61</v>
      </c>
      <c r="S164" s="180"/>
      <c r="T164" s="180"/>
      <c r="U164" s="267"/>
      <c r="V164" s="271"/>
      <c r="W164" s="272"/>
      <c r="X164" s="273"/>
      <c r="Y164" s="184"/>
      <c r="Z164" s="185" t="s">
        <v>677</v>
      </c>
    </row>
    <row r="165" spans="1:26" ht="11.4" x14ac:dyDescent="0.15">
      <c r="A165" s="175">
        <f t="shared" si="1"/>
        <v>163</v>
      </c>
      <c r="B165" s="176"/>
      <c r="C165" s="176"/>
      <c r="D165" s="176"/>
      <c r="E165" s="176" t="s">
        <v>742</v>
      </c>
      <c r="F165" s="186"/>
      <c r="G165" s="258"/>
      <c r="H165" s="227" t="s">
        <v>676</v>
      </c>
      <c r="I165" s="177"/>
      <c r="J165" s="178"/>
      <c r="K165" s="178"/>
      <c r="L165" s="179"/>
      <c r="M165" s="177"/>
      <c r="N165" s="178"/>
      <c r="O165" s="178"/>
      <c r="P165" s="180"/>
      <c r="Q165" s="180"/>
      <c r="R165" s="180" t="s">
        <v>61</v>
      </c>
      <c r="S165" s="180"/>
      <c r="T165" s="180"/>
      <c r="U165" s="267"/>
      <c r="V165" s="271"/>
      <c r="W165" s="272"/>
      <c r="X165" s="273"/>
      <c r="Y165" s="184"/>
      <c r="Z165" s="185" t="s">
        <v>677</v>
      </c>
    </row>
    <row r="166" spans="1:26" ht="11.4" x14ac:dyDescent="0.15">
      <c r="A166" s="175">
        <f t="shared" si="1"/>
        <v>164</v>
      </c>
      <c r="B166" s="176"/>
      <c r="C166" s="176"/>
      <c r="D166" s="176"/>
      <c r="E166" s="176" t="s">
        <v>743</v>
      </c>
      <c r="F166" s="186"/>
      <c r="G166" s="258"/>
      <c r="H166" s="227" t="s">
        <v>752</v>
      </c>
      <c r="I166" s="177"/>
      <c r="J166" s="178"/>
      <c r="K166" s="178"/>
      <c r="L166" s="179"/>
      <c r="M166" s="177"/>
      <c r="N166" s="178"/>
      <c r="O166" s="178"/>
      <c r="P166" s="180"/>
      <c r="Q166" s="180"/>
      <c r="R166" s="180" t="s">
        <v>61</v>
      </c>
      <c r="S166" s="180"/>
      <c r="T166" s="180"/>
      <c r="U166" s="267"/>
      <c r="V166" s="271"/>
      <c r="W166" s="272"/>
      <c r="X166" s="273"/>
      <c r="Y166" s="184"/>
      <c r="Z166" s="185" t="s">
        <v>677</v>
      </c>
    </row>
    <row r="167" spans="1:26" ht="11.4" x14ac:dyDescent="0.15">
      <c r="A167" s="175">
        <f t="shared" si="1"/>
        <v>165</v>
      </c>
      <c r="B167" s="176"/>
      <c r="C167" s="176"/>
      <c r="D167" s="176"/>
      <c r="E167" s="176" t="s">
        <v>744</v>
      </c>
      <c r="F167" s="186"/>
      <c r="G167" s="258"/>
      <c r="H167" s="227" t="s">
        <v>752</v>
      </c>
      <c r="I167" s="177"/>
      <c r="J167" s="178"/>
      <c r="K167" s="178"/>
      <c r="L167" s="179"/>
      <c r="M167" s="177"/>
      <c r="N167" s="178"/>
      <c r="O167" s="178"/>
      <c r="P167" s="180"/>
      <c r="Q167" s="180"/>
      <c r="R167" s="180" t="s">
        <v>61</v>
      </c>
      <c r="S167" s="180"/>
      <c r="T167" s="180"/>
      <c r="U167" s="267"/>
      <c r="V167" s="271"/>
      <c r="W167" s="272"/>
      <c r="X167" s="273"/>
      <c r="Y167" s="184"/>
      <c r="Z167" s="185" t="s">
        <v>677</v>
      </c>
    </row>
    <row r="168" spans="1:26" ht="11.4" x14ac:dyDescent="0.15">
      <c r="A168" s="175">
        <f t="shared" si="1"/>
        <v>166</v>
      </c>
      <c r="B168" s="176"/>
      <c r="C168" s="176"/>
      <c r="D168" s="176"/>
      <c r="E168" s="176" t="s">
        <v>745</v>
      </c>
      <c r="F168" s="186"/>
      <c r="G168" s="258"/>
      <c r="H168" s="227" t="s">
        <v>752</v>
      </c>
      <c r="I168" s="177"/>
      <c r="J168" s="178"/>
      <c r="K168" s="178"/>
      <c r="L168" s="179"/>
      <c r="M168" s="177"/>
      <c r="N168" s="178"/>
      <c r="O168" s="178"/>
      <c r="P168" s="180"/>
      <c r="Q168" s="180"/>
      <c r="R168" s="180" t="s">
        <v>61</v>
      </c>
      <c r="S168" s="180"/>
      <c r="T168" s="180"/>
      <c r="U168" s="267"/>
      <c r="V168" s="271"/>
      <c r="W168" s="272"/>
      <c r="X168" s="273"/>
      <c r="Y168" s="184"/>
      <c r="Z168" s="185" t="s">
        <v>677</v>
      </c>
    </row>
    <row r="169" spans="1:26" ht="11.4" x14ac:dyDescent="0.15">
      <c r="A169" s="175">
        <f t="shared" si="1"/>
        <v>167</v>
      </c>
      <c r="B169" s="176"/>
      <c r="C169" s="176"/>
      <c r="D169" s="176"/>
      <c r="E169" s="176" t="s">
        <v>746</v>
      </c>
      <c r="F169" s="186"/>
      <c r="G169" s="258"/>
      <c r="H169" s="227" t="s">
        <v>752</v>
      </c>
      <c r="I169" s="177"/>
      <c r="J169" s="178"/>
      <c r="K169" s="178"/>
      <c r="L169" s="179"/>
      <c r="M169" s="177"/>
      <c r="N169" s="178"/>
      <c r="O169" s="178"/>
      <c r="P169" s="180"/>
      <c r="Q169" s="180"/>
      <c r="R169" s="180" t="s">
        <v>61</v>
      </c>
      <c r="S169" s="180"/>
      <c r="T169" s="180"/>
      <c r="U169" s="267"/>
      <c r="V169" s="271"/>
      <c r="W169" s="272"/>
      <c r="X169" s="273"/>
      <c r="Y169" s="184"/>
      <c r="Z169" s="185" t="s">
        <v>677</v>
      </c>
    </row>
    <row r="170" spans="1:26" ht="11.4" x14ac:dyDescent="0.15">
      <c r="A170" s="175">
        <f t="shared" si="1"/>
        <v>168</v>
      </c>
      <c r="B170" s="176"/>
      <c r="C170" s="176"/>
      <c r="D170" s="176"/>
      <c r="E170" s="176" t="s">
        <v>747</v>
      </c>
      <c r="F170" s="186"/>
      <c r="G170" s="258"/>
      <c r="H170" s="227" t="s">
        <v>752</v>
      </c>
      <c r="I170" s="177"/>
      <c r="J170" s="178"/>
      <c r="K170" s="178"/>
      <c r="L170" s="179"/>
      <c r="M170" s="177"/>
      <c r="N170" s="178"/>
      <c r="O170" s="178"/>
      <c r="P170" s="180"/>
      <c r="Q170" s="180"/>
      <c r="R170" s="180" t="s">
        <v>61</v>
      </c>
      <c r="S170" s="180"/>
      <c r="T170" s="180"/>
      <c r="U170" s="267"/>
      <c r="V170" s="271"/>
      <c r="W170" s="272"/>
      <c r="X170" s="273"/>
      <c r="Y170" s="184"/>
      <c r="Z170" s="185" t="s">
        <v>677</v>
      </c>
    </row>
    <row r="171" spans="1:26" ht="11.4" x14ac:dyDescent="0.15">
      <c r="A171" s="175">
        <f t="shared" si="1"/>
        <v>169</v>
      </c>
      <c r="B171" s="176"/>
      <c r="C171" s="176"/>
      <c r="D171" s="176"/>
      <c r="E171" s="176" t="s">
        <v>748</v>
      </c>
      <c r="F171" s="186"/>
      <c r="G171" s="258"/>
      <c r="H171" s="227" t="s">
        <v>752</v>
      </c>
      <c r="I171" s="177"/>
      <c r="J171" s="178"/>
      <c r="K171" s="178"/>
      <c r="L171" s="179"/>
      <c r="M171" s="177"/>
      <c r="N171" s="178"/>
      <c r="O171" s="178"/>
      <c r="P171" s="180"/>
      <c r="Q171" s="180"/>
      <c r="R171" s="180" t="s">
        <v>61</v>
      </c>
      <c r="S171" s="180"/>
      <c r="T171" s="180"/>
      <c r="U171" s="267"/>
      <c r="V171" s="271"/>
      <c r="W171" s="272"/>
      <c r="X171" s="273"/>
      <c r="Y171" s="184"/>
      <c r="Z171" s="185" t="s">
        <v>677</v>
      </c>
    </row>
    <row r="172" spans="1:26" ht="11.4" x14ac:dyDescent="0.15">
      <c r="A172" s="175">
        <f t="shared" si="1"/>
        <v>170</v>
      </c>
      <c r="B172" s="176"/>
      <c r="C172" s="176"/>
      <c r="D172" s="176"/>
      <c r="E172" s="176" t="s">
        <v>749</v>
      </c>
      <c r="F172" s="186"/>
      <c r="G172" s="258"/>
      <c r="H172" s="227" t="s">
        <v>752</v>
      </c>
      <c r="I172" s="177"/>
      <c r="J172" s="178"/>
      <c r="K172" s="178"/>
      <c r="L172" s="179"/>
      <c r="M172" s="177"/>
      <c r="N172" s="178"/>
      <c r="O172" s="178"/>
      <c r="P172" s="180"/>
      <c r="Q172" s="180"/>
      <c r="R172" s="180" t="s">
        <v>61</v>
      </c>
      <c r="S172" s="180"/>
      <c r="T172" s="180"/>
      <c r="U172" s="267"/>
      <c r="V172" s="271"/>
      <c r="W172" s="272"/>
      <c r="X172" s="273"/>
      <c r="Y172" s="184"/>
      <c r="Z172" s="185" t="s">
        <v>677</v>
      </c>
    </row>
    <row r="173" spans="1:26" ht="11.4" x14ac:dyDescent="0.15">
      <c r="A173" s="175">
        <f t="shared" si="1"/>
        <v>171</v>
      </c>
      <c r="B173" s="176"/>
      <c r="C173" s="176"/>
      <c r="D173" s="176"/>
      <c r="E173" s="176" t="s">
        <v>750</v>
      </c>
      <c r="F173" s="186"/>
      <c r="G173" s="258"/>
      <c r="H173" s="227" t="s">
        <v>752</v>
      </c>
      <c r="I173" s="177"/>
      <c r="J173" s="178"/>
      <c r="K173" s="178"/>
      <c r="L173" s="179"/>
      <c r="M173" s="177"/>
      <c r="N173" s="178"/>
      <c r="O173" s="178"/>
      <c r="P173" s="180"/>
      <c r="Q173" s="180"/>
      <c r="R173" s="180" t="s">
        <v>61</v>
      </c>
      <c r="S173" s="180"/>
      <c r="T173" s="180"/>
      <c r="U173" s="267"/>
      <c r="V173" s="271"/>
      <c r="W173" s="272"/>
      <c r="X173" s="273"/>
      <c r="Y173" s="184"/>
      <c r="Z173" s="185" t="s">
        <v>677</v>
      </c>
    </row>
    <row r="174" spans="1:26" ht="11.4" x14ac:dyDescent="0.15">
      <c r="A174" s="175">
        <f t="shared" si="1"/>
        <v>172</v>
      </c>
      <c r="B174" s="176"/>
      <c r="C174" s="176" t="s">
        <v>753</v>
      </c>
      <c r="D174" s="176" t="s">
        <v>754</v>
      </c>
      <c r="E174" s="176" t="s">
        <v>755</v>
      </c>
      <c r="F174" s="186" t="s">
        <v>619</v>
      </c>
      <c r="G174" s="258" t="s">
        <v>56</v>
      </c>
      <c r="H174" s="227" t="s">
        <v>756</v>
      </c>
      <c r="I174" s="177"/>
      <c r="J174" s="178"/>
      <c r="K174" s="178"/>
      <c r="L174" s="179"/>
      <c r="M174" s="177"/>
      <c r="N174" s="178"/>
      <c r="O174" s="178"/>
      <c r="P174" s="180"/>
      <c r="Q174" s="180"/>
      <c r="R174" s="180"/>
      <c r="S174" s="180"/>
      <c r="T174" s="180" t="s">
        <v>61</v>
      </c>
      <c r="U174" s="267"/>
      <c r="V174" s="271"/>
      <c r="W174" s="272">
        <v>45671</v>
      </c>
      <c r="X174" s="273">
        <v>45672</v>
      </c>
      <c r="Y174" s="184"/>
      <c r="Z174" s="185" t="s">
        <v>592</v>
      </c>
    </row>
    <row r="175" spans="1:26" ht="11.4" x14ac:dyDescent="0.15">
      <c r="A175" s="175">
        <f t="shared" si="1"/>
        <v>173</v>
      </c>
      <c r="B175" s="176"/>
      <c r="C175" s="176"/>
      <c r="D175" s="176"/>
      <c r="E175" s="176" t="s">
        <v>757</v>
      </c>
      <c r="F175" s="186"/>
      <c r="G175" s="258"/>
      <c r="H175" s="227" t="s">
        <v>758</v>
      </c>
      <c r="I175" s="177"/>
      <c r="J175" s="178"/>
      <c r="K175" s="178"/>
      <c r="L175" s="179"/>
      <c r="M175" s="177"/>
      <c r="N175" s="178"/>
      <c r="O175" s="178"/>
      <c r="P175" s="180"/>
      <c r="Q175" s="180"/>
      <c r="R175" s="180"/>
      <c r="S175" s="180"/>
      <c r="T175" s="180" t="s">
        <v>61</v>
      </c>
      <c r="U175" s="267"/>
      <c r="V175" s="271"/>
      <c r="W175" s="272">
        <v>45671</v>
      </c>
      <c r="X175" s="273">
        <v>45672</v>
      </c>
      <c r="Y175" s="184"/>
      <c r="Z175" s="185" t="s">
        <v>592</v>
      </c>
    </row>
    <row r="176" spans="1:26" ht="11.4" x14ac:dyDescent="0.15">
      <c r="A176" s="175">
        <f t="shared" si="1"/>
        <v>174</v>
      </c>
      <c r="B176" s="176"/>
      <c r="C176" s="176"/>
      <c r="D176" s="176"/>
      <c r="E176" s="176" t="s">
        <v>759</v>
      </c>
      <c r="F176" s="186"/>
      <c r="G176" s="258"/>
      <c r="H176" s="227" t="s">
        <v>760</v>
      </c>
      <c r="I176" s="177"/>
      <c r="J176" s="178"/>
      <c r="K176" s="178"/>
      <c r="L176" s="179"/>
      <c r="M176" s="177"/>
      <c r="N176" s="178"/>
      <c r="O176" s="178"/>
      <c r="P176" s="180"/>
      <c r="Q176" s="180"/>
      <c r="R176" s="180"/>
      <c r="S176" s="180"/>
      <c r="T176" s="180" t="s">
        <v>61</v>
      </c>
      <c r="U176" s="267"/>
      <c r="V176" s="271"/>
      <c r="W176" s="272">
        <v>45671</v>
      </c>
      <c r="X176" s="273">
        <v>45672</v>
      </c>
      <c r="Y176" s="184"/>
      <c r="Z176" s="185" t="s">
        <v>592</v>
      </c>
    </row>
    <row r="177" spans="1:26" ht="11.4" x14ac:dyDescent="0.15">
      <c r="A177" s="175">
        <f t="shared" si="1"/>
        <v>175</v>
      </c>
      <c r="B177" s="176"/>
      <c r="C177" s="176"/>
      <c r="D177" s="176"/>
      <c r="E177" s="176" t="s">
        <v>761</v>
      </c>
      <c r="F177" s="186"/>
      <c r="G177" s="258"/>
      <c r="H177" s="227" t="s">
        <v>762</v>
      </c>
      <c r="I177" s="177"/>
      <c r="J177" s="178"/>
      <c r="K177" s="178"/>
      <c r="L177" s="179"/>
      <c r="M177" s="177"/>
      <c r="N177" s="178"/>
      <c r="O177" s="178"/>
      <c r="P177" s="180"/>
      <c r="Q177" s="180"/>
      <c r="R177" s="180"/>
      <c r="S177" s="180"/>
      <c r="T177" s="180" t="s">
        <v>61</v>
      </c>
      <c r="U177" s="267"/>
      <c r="V177" s="271"/>
      <c r="W177" s="272">
        <v>45671</v>
      </c>
      <c r="X177" s="273">
        <v>45672</v>
      </c>
      <c r="Y177" s="184"/>
      <c r="Z177" s="185" t="s">
        <v>592</v>
      </c>
    </row>
    <row r="178" spans="1:26" ht="11.4" x14ac:dyDescent="0.15">
      <c r="A178" s="175">
        <f t="shared" si="1"/>
        <v>176</v>
      </c>
      <c r="B178" s="176"/>
      <c r="C178" s="176"/>
      <c r="D178" s="176"/>
      <c r="E178" s="176" t="s">
        <v>763</v>
      </c>
      <c r="F178" s="186"/>
      <c r="G178" s="258"/>
      <c r="H178" s="227" t="s">
        <v>764</v>
      </c>
      <c r="I178" s="177"/>
      <c r="J178" s="178"/>
      <c r="K178" s="178"/>
      <c r="L178" s="179"/>
      <c r="M178" s="177"/>
      <c r="N178" s="178"/>
      <c r="O178" s="178"/>
      <c r="P178" s="180"/>
      <c r="Q178" s="180"/>
      <c r="R178" s="180"/>
      <c r="S178" s="180"/>
      <c r="T178" s="180" t="s">
        <v>61</v>
      </c>
      <c r="U178" s="267"/>
      <c r="V178" s="271"/>
      <c r="W178" s="272">
        <v>45671</v>
      </c>
      <c r="X178" s="273">
        <v>45672</v>
      </c>
      <c r="Y178" s="184"/>
      <c r="Z178" s="185" t="s">
        <v>592</v>
      </c>
    </row>
    <row r="179" spans="1:26" ht="11.4" x14ac:dyDescent="0.15">
      <c r="A179" s="175">
        <f t="shared" si="1"/>
        <v>177</v>
      </c>
      <c r="B179" s="176"/>
      <c r="C179" s="176"/>
      <c r="D179" s="176" t="s">
        <v>765</v>
      </c>
      <c r="E179" s="176" t="s">
        <v>766</v>
      </c>
      <c r="F179" s="186"/>
      <c r="G179" s="258"/>
      <c r="H179" s="227" t="s">
        <v>767</v>
      </c>
      <c r="I179" s="177"/>
      <c r="J179" s="178"/>
      <c r="K179" s="178"/>
      <c r="L179" s="179"/>
      <c r="M179" s="177"/>
      <c r="N179" s="178"/>
      <c r="O179" s="178"/>
      <c r="P179" s="180"/>
      <c r="Q179" s="180"/>
      <c r="R179" s="180"/>
      <c r="S179" s="180"/>
      <c r="T179" s="180" t="s">
        <v>61</v>
      </c>
      <c r="U179" s="267"/>
      <c r="V179" s="271"/>
      <c r="W179" s="272">
        <v>45671</v>
      </c>
      <c r="X179" s="273">
        <v>45672</v>
      </c>
      <c r="Y179" s="184"/>
      <c r="Z179" s="185" t="s">
        <v>592</v>
      </c>
    </row>
    <row r="180" spans="1:26" ht="11.4" x14ac:dyDescent="0.15">
      <c r="A180" s="175">
        <f t="shared" si="1"/>
        <v>178</v>
      </c>
      <c r="B180" s="176"/>
      <c r="C180" s="176"/>
      <c r="D180" s="176"/>
      <c r="E180" s="176" t="s">
        <v>768</v>
      </c>
      <c r="F180" s="186"/>
      <c r="G180" s="258"/>
      <c r="H180" s="227" t="s">
        <v>769</v>
      </c>
      <c r="I180" s="177"/>
      <c r="J180" s="178"/>
      <c r="K180" s="178"/>
      <c r="L180" s="179"/>
      <c r="M180" s="177"/>
      <c r="N180" s="178"/>
      <c r="O180" s="178"/>
      <c r="P180" s="180"/>
      <c r="Q180" s="180"/>
      <c r="R180" s="180"/>
      <c r="S180" s="180"/>
      <c r="T180" s="180" t="s">
        <v>61</v>
      </c>
      <c r="U180" s="267"/>
      <c r="V180" s="271"/>
      <c r="W180" s="272">
        <v>45671</v>
      </c>
      <c r="X180" s="273">
        <v>45672</v>
      </c>
      <c r="Y180" s="184"/>
      <c r="Z180" s="185" t="s">
        <v>592</v>
      </c>
    </row>
    <row r="181" spans="1:26" ht="11.4" x14ac:dyDescent="0.15">
      <c r="A181" s="175">
        <f t="shared" si="1"/>
        <v>179</v>
      </c>
      <c r="B181" s="176"/>
      <c r="C181" s="176"/>
      <c r="D181" s="176"/>
      <c r="E181" s="176" t="s">
        <v>770</v>
      </c>
      <c r="F181" s="186"/>
      <c r="G181" s="258"/>
      <c r="H181" s="227" t="s">
        <v>771</v>
      </c>
      <c r="I181" s="177"/>
      <c r="J181" s="178"/>
      <c r="K181" s="178"/>
      <c r="L181" s="179"/>
      <c r="M181" s="177"/>
      <c r="N181" s="178"/>
      <c r="O181" s="178"/>
      <c r="P181" s="180"/>
      <c r="Q181" s="180"/>
      <c r="R181" s="180"/>
      <c r="S181" s="180"/>
      <c r="T181" s="180" t="s">
        <v>61</v>
      </c>
      <c r="U181" s="267"/>
      <c r="V181" s="271"/>
      <c r="W181" s="272">
        <v>45671</v>
      </c>
      <c r="X181" s="273">
        <v>45672</v>
      </c>
      <c r="Y181" s="184"/>
      <c r="Z181" s="185" t="s">
        <v>592</v>
      </c>
    </row>
    <row r="182" spans="1:26" ht="11.4" x14ac:dyDescent="0.15">
      <c r="A182" s="175">
        <f t="shared" si="1"/>
        <v>180</v>
      </c>
      <c r="B182" s="176"/>
      <c r="C182" s="176"/>
      <c r="D182" s="176"/>
      <c r="E182" s="176" t="s">
        <v>772</v>
      </c>
      <c r="F182" s="186"/>
      <c r="G182" s="258"/>
      <c r="H182" s="227" t="s">
        <v>773</v>
      </c>
      <c r="I182" s="177"/>
      <c r="J182" s="178"/>
      <c r="K182" s="178"/>
      <c r="L182" s="179"/>
      <c r="M182" s="177"/>
      <c r="N182" s="178"/>
      <c r="O182" s="178"/>
      <c r="P182" s="180"/>
      <c r="Q182" s="180"/>
      <c r="R182" s="180"/>
      <c r="S182" s="180"/>
      <c r="T182" s="180" t="s">
        <v>61</v>
      </c>
      <c r="U182" s="267"/>
      <c r="V182" s="271"/>
      <c r="W182" s="272">
        <v>45671</v>
      </c>
      <c r="X182" s="273">
        <v>45672</v>
      </c>
      <c r="Y182" s="184"/>
      <c r="Z182" s="185" t="s">
        <v>592</v>
      </c>
    </row>
    <row r="183" spans="1:26" ht="11.4" x14ac:dyDescent="0.15">
      <c r="A183" s="175">
        <f t="shared" si="1"/>
        <v>181</v>
      </c>
      <c r="B183" s="176"/>
      <c r="C183" s="176"/>
      <c r="D183" s="176" t="s">
        <v>774</v>
      </c>
      <c r="E183" s="176" t="s">
        <v>775</v>
      </c>
      <c r="F183" s="186"/>
      <c r="G183" s="258"/>
      <c r="H183" s="227" t="s">
        <v>776</v>
      </c>
      <c r="I183" s="177"/>
      <c r="J183" s="178"/>
      <c r="K183" s="178"/>
      <c r="L183" s="179"/>
      <c r="M183" s="177"/>
      <c r="N183" s="178"/>
      <c r="O183" s="178"/>
      <c r="P183" s="180"/>
      <c r="Q183" s="180"/>
      <c r="R183" s="180"/>
      <c r="S183" s="180"/>
      <c r="T183" s="180" t="s">
        <v>61</v>
      </c>
      <c r="U183" s="267"/>
      <c r="V183" s="271"/>
      <c r="W183" s="272"/>
      <c r="X183" s="273"/>
      <c r="Y183" s="184"/>
      <c r="Z183" s="185" t="s">
        <v>592</v>
      </c>
    </row>
    <row r="184" spans="1:26" ht="11.4" x14ac:dyDescent="0.15">
      <c r="A184" s="175">
        <f t="shared" si="1"/>
        <v>182</v>
      </c>
      <c r="B184" s="176"/>
      <c r="C184" s="176"/>
      <c r="D184" s="176"/>
      <c r="E184" s="176" t="s">
        <v>777</v>
      </c>
      <c r="F184" s="186"/>
      <c r="G184" s="258"/>
      <c r="H184" s="227" t="s">
        <v>778</v>
      </c>
      <c r="I184" s="177"/>
      <c r="J184" s="178"/>
      <c r="K184" s="178"/>
      <c r="L184" s="179"/>
      <c r="M184" s="177"/>
      <c r="N184" s="178"/>
      <c r="O184" s="178"/>
      <c r="P184" s="180"/>
      <c r="Q184" s="180"/>
      <c r="R184" s="180"/>
      <c r="S184" s="180"/>
      <c r="T184" s="180" t="s">
        <v>61</v>
      </c>
      <c r="U184" s="267"/>
      <c r="V184" s="271"/>
      <c r="W184" s="272"/>
      <c r="X184" s="273"/>
      <c r="Y184" s="184"/>
      <c r="Z184" s="185" t="s">
        <v>592</v>
      </c>
    </row>
    <row r="185" spans="1:26" ht="11.4" x14ac:dyDescent="0.15">
      <c r="A185" s="175">
        <f t="shared" si="1"/>
        <v>183</v>
      </c>
      <c r="B185" s="176"/>
      <c r="C185" s="176"/>
      <c r="D185" s="176"/>
      <c r="E185" s="176" t="s">
        <v>779</v>
      </c>
      <c r="F185" s="186"/>
      <c r="G185" s="258"/>
      <c r="H185" s="227" t="s">
        <v>758</v>
      </c>
      <c r="I185" s="177"/>
      <c r="J185" s="178"/>
      <c r="K185" s="178"/>
      <c r="L185" s="179"/>
      <c r="M185" s="177"/>
      <c r="N185" s="178"/>
      <c r="O185" s="178"/>
      <c r="P185" s="180"/>
      <c r="Q185" s="180"/>
      <c r="R185" s="180"/>
      <c r="S185" s="180"/>
      <c r="T185" s="180" t="s">
        <v>61</v>
      </c>
      <c r="U185" s="267"/>
      <c r="V185" s="271"/>
      <c r="W185" s="272"/>
      <c r="X185" s="273"/>
      <c r="Y185" s="184"/>
      <c r="Z185" s="185" t="s">
        <v>592</v>
      </c>
    </row>
    <row r="186" spans="1:26" ht="11.4" x14ac:dyDescent="0.15">
      <c r="A186" s="175">
        <f t="shared" si="1"/>
        <v>184</v>
      </c>
      <c r="B186" s="176"/>
      <c r="C186" s="176"/>
      <c r="D186" s="176"/>
      <c r="E186" s="176" t="s">
        <v>780</v>
      </c>
      <c r="F186" s="186"/>
      <c r="G186" s="258"/>
      <c r="H186" s="227" t="s">
        <v>781</v>
      </c>
      <c r="I186" s="177"/>
      <c r="J186" s="178"/>
      <c r="K186" s="178"/>
      <c r="L186" s="179"/>
      <c r="M186" s="177"/>
      <c r="N186" s="178"/>
      <c r="O186" s="178"/>
      <c r="P186" s="180"/>
      <c r="Q186" s="180"/>
      <c r="R186" s="180"/>
      <c r="S186" s="180"/>
      <c r="T186" s="180" t="s">
        <v>61</v>
      </c>
      <c r="U186" s="267"/>
      <c r="V186" s="271"/>
      <c r="W186" s="272"/>
      <c r="X186" s="273"/>
      <c r="Y186" s="184"/>
      <c r="Z186" s="185" t="s">
        <v>592</v>
      </c>
    </row>
    <row r="187" spans="1:26" ht="11.4" x14ac:dyDescent="0.15">
      <c r="A187" s="175">
        <f t="shared" si="1"/>
        <v>185</v>
      </c>
      <c r="B187" s="176"/>
      <c r="C187" s="176"/>
      <c r="D187" s="176"/>
      <c r="E187" s="176" t="s">
        <v>782</v>
      </c>
      <c r="F187" s="186"/>
      <c r="G187" s="258"/>
      <c r="H187" s="227" t="s">
        <v>771</v>
      </c>
      <c r="I187" s="177"/>
      <c r="J187" s="178"/>
      <c r="K187" s="178"/>
      <c r="L187" s="179"/>
      <c r="M187" s="177"/>
      <c r="N187" s="178"/>
      <c r="O187" s="178"/>
      <c r="P187" s="180"/>
      <c r="Q187" s="180"/>
      <c r="R187" s="180"/>
      <c r="S187" s="180"/>
      <c r="T187" s="180" t="s">
        <v>61</v>
      </c>
      <c r="U187" s="267"/>
      <c r="V187" s="271"/>
      <c r="W187" s="272"/>
      <c r="X187" s="273"/>
      <c r="Y187" s="184"/>
      <c r="Z187" s="185" t="s">
        <v>592</v>
      </c>
    </row>
    <row r="188" spans="1:26" ht="11.4" x14ac:dyDescent="0.15">
      <c r="A188" s="175">
        <f t="shared" si="1"/>
        <v>186</v>
      </c>
      <c r="B188" s="176"/>
      <c r="C188" s="176"/>
      <c r="D188" s="176"/>
      <c r="E188" s="176" t="s">
        <v>783</v>
      </c>
      <c r="F188" s="186"/>
      <c r="G188" s="258"/>
      <c r="H188" s="227" t="s">
        <v>784</v>
      </c>
      <c r="I188" s="177"/>
      <c r="J188" s="178"/>
      <c r="K188" s="178"/>
      <c r="L188" s="179"/>
      <c r="M188" s="177"/>
      <c r="N188" s="178"/>
      <c r="O188" s="178"/>
      <c r="P188" s="180"/>
      <c r="Q188" s="180"/>
      <c r="R188" s="180"/>
      <c r="S188" s="180"/>
      <c r="T188" s="180" t="s">
        <v>61</v>
      </c>
      <c r="U188" s="267"/>
      <c r="V188" s="271"/>
      <c r="W188" s="272"/>
      <c r="X188" s="273"/>
      <c r="Y188" s="184"/>
      <c r="Z188" s="185" t="s">
        <v>592</v>
      </c>
    </row>
    <row r="189" spans="1:26" ht="11.4" x14ac:dyDescent="0.15">
      <c r="A189" s="175">
        <f t="shared" si="1"/>
        <v>187</v>
      </c>
      <c r="B189" s="176"/>
      <c r="C189" s="176"/>
      <c r="D189" s="176"/>
      <c r="E189" s="176" t="s">
        <v>785</v>
      </c>
      <c r="F189" s="186"/>
      <c r="G189" s="258"/>
      <c r="H189" s="227" t="s">
        <v>786</v>
      </c>
      <c r="I189" s="177"/>
      <c r="J189" s="178"/>
      <c r="K189" s="178"/>
      <c r="L189" s="179"/>
      <c r="M189" s="177"/>
      <c r="N189" s="178"/>
      <c r="O189" s="178"/>
      <c r="P189" s="180"/>
      <c r="Q189" s="180"/>
      <c r="R189" s="180"/>
      <c r="S189" s="180"/>
      <c r="T189" s="180" t="s">
        <v>61</v>
      </c>
      <c r="U189" s="267"/>
      <c r="V189" s="271"/>
      <c r="W189" s="272"/>
      <c r="X189" s="273"/>
      <c r="Y189" s="184"/>
      <c r="Z189" s="185" t="s">
        <v>592</v>
      </c>
    </row>
    <row r="190" spans="1:26" ht="11.4" x14ac:dyDescent="0.15">
      <c r="A190" s="175">
        <f t="shared" si="1"/>
        <v>188</v>
      </c>
      <c r="B190" s="176"/>
      <c r="C190" s="176"/>
      <c r="D190" s="176" t="s">
        <v>787</v>
      </c>
      <c r="E190" s="176" t="s">
        <v>788</v>
      </c>
      <c r="F190" s="186"/>
      <c r="G190" s="258"/>
      <c r="H190" s="227" t="s">
        <v>789</v>
      </c>
      <c r="I190" s="177"/>
      <c r="J190" s="178"/>
      <c r="K190" s="178"/>
      <c r="L190" s="179"/>
      <c r="M190" s="177"/>
      <c r="N190" s="178"/>
      <c r="O190" s="178"/>
      <c r="P190" s="180"/>
      <c r="Q190" s="180"/>
      <c r="R190" s="180"/>
      <c r="S190" s="180"/>
      <c r="T190" s="180" t="s">
        <v>61</v>
      </c>
      <c r="U190" s="267"/>
      <c r="V190" s="271"/>
      <c r="W190" s="272"/>
      <c r="X190" s="273"/>
      <c r="Y190" s="184"/>
      <c r="Z190" s="185" t="s">
        <v>592</v>
      </c>
    </row>
    <row r="191" spans="1:26" ht="11.4" x14ac:dyDescent="0.15">
      <c r="A191" s="175">
        <f t="shared" si="1"/>
        <v>189</v>
      </c>
      <c r="B191" s="176"/>
      <c r="C191" s="176"/>
      <c r="D191" s="176"/>
      <c r="E191" s="176" t="s">
        <v>790</v>
      </c>
      <c r="F191" s="186"/>
      <c r="G191" s="258"/>
      <c r="H191" s="227" t="s">
        <v>791</v>
      </c>
      <c r="I191" s="177"/>
      <c r="J191" s="178"/>
      <c r="K191" s="178"/>
      <c r="L191" s="179"/>
      <c r="M191" s="177"/>
      <c r="N191" s="178"/>
      <c r="O191" s="178"/>
      <c r="P191" s="180"/>
      <c r="Q191" s="180"/>
      <c r="R191" s="180"/>
      <c r="S191" s="180"/>
      <c r="T191" s="180" t="s">
        <v>61</v>
      </c>
      <c r="U191" s="267"/>
      <c r="V191" s="271"/>
      <c r="W191" s="272"/>
      <c r="X191" s="273"/>
      <c r="Y191" s="184"/>
      <c r="Z191" s="185" t="s">
        <v>592</v>
      </c>
    </row>
    <row r="192" spans="1:26" ht="11.4" x14ac:dyDescent="0.15">
      <c r="A192" s="175">
        <f t="shared" si="1"/>
        <v>190</v>
      </c>
      <c r="B192" s="176"/>
      <c r="C192" s="176"/>
      <c r="D192" s="176"/>
      <c r="E192" s="176" t="s">
        <v>792</v>
      </c>
      <c r="F192" s="186"/>
      <c r="G192" s="258"/>
      <c r="H192" s="227" t="s">
        <v>793</v>
      </c>
      <c r="I192" s="177"/>
      <c r="J192" s="178"/>
      <c r="K192" s="178"/>
      <c r="L192" s="179"/>
      <c r="M192" s="177"/>
      <c r="N192" s="178"/>
      <c r="O192" s="178"/>
      <c r="P192" s="180"/>
      <c r="Q192" s="180"/>
      <c r="R192" s="180"/>
      <c r="S192" s="180"/>
      <c r="T192" s="180" t="s">
        <v>61</v>
      </c>
      <c r="U192" s="267"/>
      <c r="V192" s="271"/>
      <c r="W192" s="272"/>
      <c r="X192" s="273"/>
      <c r="Y192" s="184"/>
      <c r="Z192" s="185" t="s">
        <v>592</v>
      </c>
    </row>
    <row r="193" spans="1:26" ht="11.4" x14ac:dyDescent="0.15">
      <c r="A193" s="175">
        <f t="shared" si="1"/>
        <v>191</v>
      </c>
      <c r="B193" s="176"/>
      <c r="C193" s="176"/>
      <c r="D193" s="176"/>
      <c r="E193" s="176" t="s">
        <v>794</v>
      </c>
      <c r="F193" s="186"/>
      <c r="G193" s="258"/>
      <c r="H193" s="227" t="s">
        <v>795</v>
      </c>
      <c r="I193" s="177"/>
      <c r="J193" s="178"/>
      <c r="K193" s="178"/>
      <c r="L193" s="179"/>
      <c r="M193" s="177"/>
      <c r="N193" s="178"/>
      <c r="O193" s="178"/>
      <c r="P193" s="180"/>
      <c r="Q193" s="180"/>
      <c r="R193" s="180"/>
      <c r="S193" s="180"/>
      <c r="T193" s="180" t="s">
        <v>61</v>
      </c>
      <c r="U193" s="267"/>
      <c r="V193" s="271"/>
      <c r="W193" s="272"/>
      <c r="X193" s="273"/>
      <c r="Y193" s="184"/>
      <c r="Z193" s="185" t="s">
        <v>592</v>
      </c>
    </row>
    <row r="194" spans="1:26" ht="11.4" x14ac:dyDescent="0.15">
      <c r="A194" s="175">
        <f t="shared" si="1"/>
        <v>192</v>
      </c>
      <c r="B194" s="176"/>
      <c r="C194" s="176"/>
      <c r="D194" s="176" t="s">
        <v>796</v>
      </c>
      <c r="E194" s="176" t="s">
        <v>797</v>
      </c>
      <c r="F194" s="186"/>
      <c r="G194" s="258"/>
      <c r="H194" s="227" t="s">
        <v>798</v>
      </c>
      <c r="I194" s="177"/>
      <c r="J194" s="178"/>
      <c r="K194" s="178"/>
      <c r="L194" s="179"/>
      <c r="M194" s="177"/>
      <c r="N194" s="178"/>
      <c r="O194" s="178"/>
      <c r="P194" s="180"/>
      <c r="Q194" s="180"/>
      <c r="R194" s="180"/>
      <c r="S194" s="180"/>
      <c r="T194" s="180" t="s">
        <v>61</v>
      </c>
      <c r="U194" s="267"/>
      <c r="V194" s="271"/>
      <c r="W194" s="272"/>
      <c r="X194" s="273"/>
      <c r="Y194" s="184"/>
      <c r="Z194" s="185" t="s">
        <v>592</v>
      </c>
    </row>
    <row r="195" spans="1:26" ht="11.4" x14ac:dyDescent="0.15">
      <c r="A195" s="175">
        <f t="shared" si="1"/>
        <v>193</v>
      </c>
      <c r="B195" s="176"/>
      <c r="C195" s="176"/>
      <c r="D195" s="176"/>
      <c r="E195" s="176" t="s">
        <v>799</v>
      </c>
      <c r="F195" s="186"/>
      <c r="G195" s="258"/>
      <c r="H195" s="227" t="s">
        <v>800</v>
      </c>
      <c r="I195" s="177"/>
      <c r="J195" s="178"/>
      <c r="K195" s="178"/>
      <c r="L195" s="179"/>
      <c r="M195" s="177"/>
      <c r="N195" s="178"/>
      <c r="O195" s="178"/>
      <c r="P195" s="180"/>
      <c r="Q195" s="180"/>
      <c r="R195" s="180"/>
      <c r="S195" s="180"/>
      <c r="T195" s="180" t="s">
        <v>61</v>
      </c>
      <c r="U195" s="267"/>
      <c r="V195" s="271"/>
      <c r="W195" s="272"/>
      <c r="X195" s="273"/>
      <c r="Y195" s="184"/>
      <c r="Z195" s="185" t="s">
        <v>592</v>
      </c>
    </row>
    <row r="196" spans="1:26" ht="11.4" x14ac:dyDescent="0.15">
      <c r="A196" s="175">
        <f t="shared" si="1"/>
        <v>194</v>
      </c>
      <c r="B196" s="176"/>
      <c r="C196" s="176"/>
      <c r="D196" s="176"/>
      <c r="E196" s="176" t="s">
        <v>801</v>
      </c>
      <c r="F196" s="186"/>
      <c r="G196" s="258"/>
      <c r="H196" s="227" t="s">
        <v>802</v>
      </c>
      <c r="I196" s="177"/>
      <c r="J196" s="178"/>
      <c r="K196" s="178"/>
      <c r="L196" s="179"/>
      <c r="M196" s="177"/>
      <c r="N196" s="178"/>
      <c r="O196" s="178"/>
      <c r="P196" s="180"/>
      <c r="Q196" s="180"/>
      <c r="R196" s="180"/>
      <c r="S196" s="180"/>
      <c r="T196" s="180" t="s">
        <v>61</v>
      </c>
      <c r="U196" s="267"/>
      <c r="V196" s="271"/>
      <c r="W196" s="272"/>
      <c r="X196" s="273"/>
      <c r="Y196" s="184"/>
      <c r="Z196" s="185" t="s">
        <v>592</v>
      </c>
    </row>
    <row r="197" spans="1:26" ht="11.4" x14ac:dyDescent="0.15">
      <c r="A197" s="175">
        <f t="shared" si="1"/>
        <v>195</v>
      </c>
      <c r="B197" s="176"/>
      <c r="C197" s="176"/>
      <c r="D197" s="176"/>
      <c r="E197" s="176" t="s">
        <v>803</v>
      </c>
      <c r="F197" s="186"/>
      <c r="G197" s="258"/>
      <c r="H197" s="227" t="s">
        <v>804</v>
      </c>
      <c r="I197" s="177"/>
      <c r="J197" s="178"/>
      <c r="K197" s="178"/>
      <c r="L197" s="179"/>
      <c r="M197" s="177"/>
      <c r="N197" s="178"/>
      <c r="O197" s="178"/>
      <c r="P197" s="180"/>
      <c r="Q197" s="180"/>
      <c r="R197" s="180"/>
      <c r="S197" s="180"/>
      <c r="T197" s="180" t="s">
        <v>61</v>
      </c>
      <c r="U197" s="267"/>
      <c r="V197" s="271"/>
      <c r="W197" s="272"/>
      <c r="X197" s="273"/>
      <c r="Y197" s="184"/>
      <c r="Z197" s="185" t="s">
        <v>592</v>
      </c>
    </row>
    <row r="198" spans="1:26" ht="11.4" x14ac:dyDescent="0.15">
      <c r="A198" s="175">
        <f t="shared" si="1"/>
        <v>196</v>
      </c>
      <c r="B198" s="176"/>
      <c r="C198" s="176"/>
      <c r="D198" s="176"/>
      <c r="E198" s="176" t="s">
        <v>805</v>
      </c>
      <c r="F198" s="186"/>
      <c r="G198" s="258"/>
      <c r="H198" s="227" t="s">
        <v>800</v>
      </c>
      <c r="I198" s="177"/>
      <c r="J198" s="178"/>
      <c r="K198" s="178"/>
      <c r="L198" s="179"/>
      <c r="M198" s="177"/>
      <c r="N198" s="178"/>
      <c r="O198" s="178"/>
      <c r="P198" s="180"/>
      <c r="Q198" s="180"/>
      <c r="R198" s="180"/>
      <c r="S198" s="180"/>
      <c r="T198" s="180" t="s">
        <v>61</v>
      </c>
      <c r="U198" s="267"/>
      <c r="V198" s="271"/>
      <c r="W198" s="272"/>
      <c r="X198" s="273"/>
      <c r="Y198" s="184"/>
      <c r="Z198" s="185" t="s">
        <v>592</v>
      </c>
    </row>
    <row r="199" spans="1:26" ht="11.4" x14ac:dyDescent="0.15">
      <c r="A199" s="175">
        <f t="shared" si="1"/>
        <v>197</v>
      </c>
      <c r="B199" s="176"/>
      <c r="C199" s="176"/>
      <c r="D199" s="176"/>
      <c r="E199" s="176" t="s">
        <v>806</v>
      </c>
      <c r="F199" s="186"/>
      <c r="G199" s="258"/>
      <c r="H199" s="227" t="s">
        <v>807</v>
      </c>
      <c r="I199" s="177"/>
      <c r="J199" s="178"/>
      <c r="K199" s="178"/>
      <c r="L199" s="179"/>
      <c r="M199" s="177"/>
      <c r="N199" s="178"/>
      <c r="O199" s="178"/>
      <c r="P199" s="180"/>
      <c r="Q199" s="180"/>
      <c r="R199" s="180"/>
      <c r="S199" s="180"/>
      <c r="T199" s="180" t="s">
        <v>61</v>
      </c>
      <c r="U199" s="267"/>
      <c r="V199" s="271"/>
      <c r="W199" s="272"/>
      <c r="X199" s="273"/>
      <c r="Y199" s="184"/>
      <c r="Z199" s="185" t="s">
        <v>592</v>
      </c>
    </row>
    <row r="200" spans="1:26" ht="11.4" x14ac:dyDescent="0.15">
      <c r="A200" s="175">
        <f t="shared" si="1"/>
        <v>198</v>
      </c>
      <c r="B200" s="176"/>
      <c r="C200" s="176"/>
      <c r="D200" s="176"/>
      <c r="E200" s="176" t="s">
        <v>808</v>
      </c>
      <c r="F200" s="186"/>
      <c r="G200" s="258"/>
      <c r="H200" s="227" t="s">
        <v>809</v>
      </c>
      <c r="I200" s="177"/>
      <c r="J200" s="178"/>
      <c r="K200" s="178"/>
      <c r="L200" s="179"/>
      <c r="M200" s="177"/>
      <c r="N200" s="178"/>
      <c r="O200" s="178"/>
      <c r="P200" s="180"/>
      <c r="Q200" s="180"/>
      <c r="R200" s="180"/>
      <c r="S200" s="180"/>
      <c r="T200" s="180" t="s">
        <v>61</v>
      </c>
      <c r="U200" s="267"/>
      <c r="V200" s="271"/>
      <c r="W200" s="272"/>
      <c r="X200" s="273"/>
      <c r="Y200" s="184"/>
      <c r="Z200" s="185" t="s">
        <v>592</v>
      </c>
    </row>
    <row r="201" spans="1:26" ht="11.4" x14ac:dyDescent="0.15">
      <c r="A201" s="175">
        <f t="shared" si="1"/>
        <v>199</v>
      </c>
      <c r="B201" s="176"/>
      <c r="C201" s="176"/>
      <c r="D201" s="176" t="s">
        <v>810</v>
      </c>
      <c r="E201" s="176" t="s">
        <v>811</v>
      </c>
      <c r="F201" s="186"/>
      <c r="G201" s="258"/>
      <c r="H201" s="227" t="s">
        <v>812</v>
      </c>
      <c r="I201" s="177"/>
      <c r="J201" s="178"/>
      <c r="K201" s="178"/>
      <c r="L201" s="179"/>
      <c r="M201" s="177"/>
      <c r="N201" s="178"/>
      <c r="O201" s="178"/>
      <c r="P201" s="180"/>
      <c r="Q201" s="180"/>
      <c r="R201" s="180"/>
      <c r="S201" s="180"/>
      <c r="T201" s="180" t="s">
        <v>61</v>
      </c>
      <c r="U201" s="267"/>
      <c r="V201" s="271"/>
      <c r="W201" s="272">
        <v>45671</v>
      </c>
      <c r="X201" s="273">
        <v>45672</v>
      </c>
      <c r="Y201" s="184"/>
      <c r="Z201" s="185" t="s">
        <v>592</v>
      </c>
    </row>
    <row r="202" spans="1:26" ht="11.4" x14ac:dyDescent="0.15">
      <c r="A202" s="175">
        <f t="shared" si="1"/>
        <v>200</v>
      </c>
      <c r="B202" s="176"/>
      <c r="C202" s="176"/>
      <c r="D202" s="176"/>
      <c r="E202" s="176" t="s">
        <v>813</v>
      </c>
      <c r="F202" s="186"/>
      <c r="G202" s="258"/>
      <c r="H202" s="227" t="s">
        <v>814</v>
      </c>
      <c r="I202" s="177"/>
      <c r="J202" s="178"/>
      <c r="K202" s="178"/>
      <c r="L202" s="179"/>
      <c r="M202" s="177"/>
      <c r="N202" s="178"/>
      <c r="O202" s="178"/>
      <c r="P202" s="180"/>
      <c r="Q202" s="180"/>
      <c r="R202" s="180"/>
      <c r="S202" s="180"/>
      <c r="T202" s="180" t="s">
        <v>61</v>
      </c>
      <c r="U202" s="267"/>
      <c r="V202" s="271"/>
      <c r="W202" s="272">
        <v>45671</v>
      </c>
      <c r="X202" s="273">
        <v>45672</v>
      </c>
      <c r="Y202" s="184"/>
      <c r="Z202" s="185" t="s">
        <v>592</v>
      </c>
    </row>
    <row r="203" spans="1:26" ht="11.4" x14ac:dyDescent="0.15">
      <c r="A203" s="175">
        <f t="shared" si="1"/>
        <v>201</v>
      </c>
      <c r="B203" s="176"/>
      <c r="C203" s="176"/>
      <c r="D203" s="176" t="s">
        <v>815</v>
      </c>
      <c r="E203" s="176" t="s">
        <v>816</v>
      </c>
      <c r="F203" s="186"/>
      <c r="G203" s="258"/>
      <c r="H203" s="227" t="s">
        <v>817</v>
      </c>
      <c r="I203" s="177"/>
      <c r="J203" s="178"/>
      <c r="K203" s="178"/>
      <c r="L203" s="179"/>
      <c r="M203" s="177"/>
      <c r="N203" s="178"/>
      <c r="O203" s="178"/>
      <c r="P203" s="180"/>
      <c r="Q203" s="180"/>
      <c r="R203" s="180"/>
      <c r="S203" s="180"/>
      <c r="T203" s="180" t="s">
        <v>61</v>
      </c>
      <c r="U203" s="267"/>
      <c r="V203" s="271">
        <v>45671</v>
      </c>
      <c r="W203" s="272"/>
      <c r="X203" s="273"/>
      <c r="Y203" s="184"/>
      <c r="Z203" s="185" t="s">
        <v>592</v>
      </c>
    </row>
    <row r="204" spans="1:26" ht="11.4" x14ac:dyDescent="0.15">
      <c r="A204" s="175">
        <f t="shared" si="1"/>
        <v>202</v>
      </c>
      <c r="B204" s="176"/>
      <c r="C204" s="176"/>
      <c r="D204" s="176"/>
      <c r="E204" s="176" t="s">
        <v>818</v>
      </c>
      <c r="F204" s="186"/>
      <c r="G204" s="258"/>
      <c r="H204" s="227" t="s">
        <v>817</v>
      </c>
      <c r="I204" s="177"/>
      <c r="J204" s="178"/>
      <c r="K204" s="178"/>
      <c r="L204" s="179"/>
      <c r="M204" s="177"/>
      <c r="N204" s="178"/>
      <c r="O204" s="178"/>
      <c r="P204" s="180"/>
      <c r="Q204" s="180"/>
      <c r="R204" s="180"/>
      <c r="S204" s="180"/>
      <c r="T204" s="180" t="s">
        <v>61</v>
      </c>
      <c r="U204" s="267"/>
      <c r="V204" s="271">
        <v>45671</v>
      </c>
      <c r="W204" s="272"/>
      <c r="X204" s="273"/>
      <c r="Y204" s="184"/>
      <c r="Z204" s="185" t="s">
        <v>592</v>
      </c>
    </row>
    <row r="205" spans="1:26" ht="11.4" x14ac:dyDescent="0.15">
      <c r="A205" s="175">
        <f t="shared" si="1"/>
        <v>203</v>
      </c>
      <c r="B205" s="176"/>
      <c r="C205" s="176"/>
      <c r="D205" s="176"/>
      <c r="E205" s="176" t="s">
        <v>819</v>
      </c>
      <c r="F205" s="186"/>
      <c r="G205" s="258"/>
      <c r="H205" s="227" t="s">
        <v>820</v>
      </c>
      <c r="I205" s="177"/>
      <c r="J205" s="178"/>
      <c r="K205" s="178"/>
      <c r="L205" s="179"/>
      <c r="M205" s="177"/>
      <c r="N205" s="178"/>
      <c r="O205" s="178"/>
      <c r="P205" s="180"/>
      <c r="Q205" s="180"/>
      <c r="R205" s="180"/>
      <c r="S205" s="180"/>
      <c r="T205" s="180" t="s">
        <v>61</v>
      </c>
      <c r="U205" s="267"/>
      <c r="V205" s="271"/>
      <c r="W205" s="272">
        <v>45671</v>
      </c>
      <c r="X205" s="273"/>
      <c r="Y205" s="184"/>
      <c r="Z205" s="185" t="s">
        <v>592</v>
      </c>
    </row>
    <row r="206" spans="1:26" ht="11.4" x14ac:dyDescent="0.15">
      <c r="A206" s="175">
        <f t="shared" si="1"/>
        <v>204</v>
      </c>
      <c r="B206" s="176"/>
      <c r="C206" s="176"/>
      <c r="D206" s="176"/>
      <c r="E206" s="176" t="s">
        <v>821</v>
      </c>
      <c r="F206" s="186" t="s">
        <v>822</v>
      </c>
      <c r="G206" s="258" t="s">
        <v>56</v>
      </c>
      <c r="H206" s="227" t="s">
        <v>823</v>
      </c>
      <c r="I206" s="177"/>
      <c r="J206" s="178"/>
      <c r="K206" s="178"/>
      <c r="L206" s="179"/>
      <c r="M206" s="177"/>
      <c r="N206" s="178"/>
      <c r="O206" s="178"/>
      <c r="P206" s="180"/>
      <c r="Q206" s="180"/>
      <c r="R206" s="180"/>
      <c r="S206" s="180"/>
      <c r="T206" s="180" t="s">
        <v>61</v>
      </c>
      <c r="U206" s="267"/>
      <c r="V206" s="271"/>
      <c r="W206" s="272"/>
      <c r="X206" s="273"/>
      <c r="Y206" s="184"/>
      <c r="Z206" s="185" t="s">
        <v>592</v>
      </c>
    </row>
    <row r="207" spans="1:26" ht="11.4" x14ac:dyDescent="0.15">
      <c r="A207" s="175">
        <f t="shared" si="1"/>
        <v>205</v>
      </c>
      <c r="B207" s="176"/>
      <c r="C207" s="176"/>
      <c r="D207" s="176"/>
      <c r="E207" s="176" t="s">
        <v>824</v>
      </c>
      <c r="F207" s="186"/>
      <c r="G207" s="258"/>
      <c r="H207" s="227" t="s">
        <v>825</v>
      </c>
      <c r="I207" s="177"/>
      <c r="J207" s="178"/>
      <c r="K207" s="178"/>
      <c r="L207" s="179"/>
      <c r="M207" s="177"/>
      <c r="N207" s="178"/>
      <c r="O207" s="178"/>
      <c r="P207" s="180"/>
      <c r="Q207" s="180"/>
      <c r="R207" s="180"/>
      <c r="S207" s="180"/>
      <c r="T207" s="180" t="s">
        <v>61</v>
      </c>
      <c r="U207" s="267"/>
      <c r="V207" s="271">
        <v>45671</v>
      </c>
      <c r="W207" s="272"/>
      <c r="X207" s="273"/>
      <c r="Y207" s="184"/>
      <c r="Z207" s="185" t="s">
        <v>592</v>
      </c>
    </row>
    <row r="208" spans="1:26" ht="11.4" x14ac:dyDescent="0.15">
      <c r="A208" s="175">
        <f t="shared" si="1"/>
        <v>206</v>
      </c>
      <c r="B208" s="176"/>
      <c r="C208" s="176"/>
      <c r="D208" s="176"/>
      <c r="E208" s="176" t="s">
        <v>826</v>
      </c>
      <c r="F208" s="186"/>
      <c r="G208" s="258"/>
      <c r="H208" s="227" t="s">
        <v>827</v>
      </c>
      <c r="I208" s="177"/>
      <c r="J208" s="178"/>
      <c r="K208" s="178"/>
      <c r="L208" s="179"/>
      <c r="M208" s="177"/>
      <c r="N208" s="178"/>
      <c r="O208" s="178"/>
      <c r="P208" s="180"/>
      <c r="Q208" s="180"/>
      <c r="R208" s="180"/>
      <c r="S208" s="180"/>
      <c r="T208" s="180" t="s">
        <v>61</v>
      </c>
      <c r="U208" s="267"/>
      <c r="V208" s="271">
        <v>45671</v>
      </c>
      <c r="W208" s="272"/>
      <c r="X208" s="273"/>
      <c r="Y208" s="184"/>
      <c r="Z208" s="185" t="s">
        <v>592</v>
      </c>
    </row>
    <row r="209" spans="1:26" ht="11.4" x14ac:dyDescent="0.15">
      <c r="A209" s="175">
        <f t="shared" si="1"/>
        <v>207</v>
      </c>
      <c r="B209" s="176"/>
      <c r="C209" s="176"/>
      <c r="D209" s="176"/>
      <c r="E209" s="176" t="s">
        <v>828</v>
      </c>
      <c r="F209" s="186"/>
      <c r="G209" s="258"/>
      <c r="H209" s="227" t="s">
        <v>829</v>
      </c>
      <c r="I209" s="177"/>
      <c r="J209" s="178"/>
      <c r="K209" s="178"/>
      <c r="L209" s="179"/>
      <c r="M209" s="177"/>
      <c r="N209" s="178"/>
      <c r="O209" s="178"/>
      <c r="P209" s="180"/>
      <c r="Q209" s="180"/>
      <c r="R209" s="180"/>
      <c r="S209" s="180"/>
      <c r="T209" s="180" t="s">
        <v>61</v>
      </c>
      <c r="U209" s="267"/>
      <c r="V209" s="271">
        <v>45671</v>
      </c>
      <c r="W209" s="272"/>
      <c r="X209" s="273"/>
      <c r="Y209" s="184"/>
      <c r="Z209" s="185" t="s">
        <v>592</v>
      </c>
    </row>
    <row r="210" spans="1:26" ht="11.4" x14ac:dyDescent="0.15">
      <c r="A210" s="175">
        <f t="shared" si="1"/>
        <v>208</v>
      </c>
      <c r="B210" s="176"/>
      <c r="C210" s="176"/>
      <c r="D210" s="176"/>
      <c r="E210" s="176" t="s">
        <v>830</v>
      </c>
      <c r="F210" s="186"/>
      <c r="G210" s="258"/>
      <c r="H210" s="227" t="s">
        <v>831</v>
      </c>
      <c r="I210" s="177"/>
      <c r="J210" s="178"/>
      <c r="K210" s="178"/>
      <c r="L210" s="179"/>
      <c r="M210" s="177"/>
      <c r="N210" s="178"/>
      <c r="O210" s="178"/>
      <c r="P210" s="180"/>
      <c r="Q210" s="180"/>
      <c r="R210" s="180"/>
      <c r="S210" s="180"/>
      <c r="T210" s="180" t="s">
        <v>61</v>
      </c>
      <c r="U210" s="267"/>
      <c r="V210" s="271"/>
      <c r="W210" s="272">
        <v>45671</v>
      </c>
      <c r="X210" s="273"/>
      <c r="Y210" s="184"/>
      <c r="Z210" s="185" t="s">
        <v>592</v>
      </c>
    </row>
    <row r="211" spans="1:26" ht="11.4" x14ac:dyDescent="0.15">
      <c r="A211" s="175">
        <f t="shared" si="1"/>
        <v>209</v>
      </c>
      <c r="B211" s="176"/>
      <c r="C211" s="176"/>
      <c r="D211" s="176"/>
      <c r="E211" s="176" t="s">
        <v>832</v>
      </c>
      <c r="F211" s="186"/>
      <c r="G211" s="258"/>
      <c r="H211" s="227" t="s">
        <v>833</v>
      </c>
      <c r="I211" s="177"/>
      <c r="J211" s="178"/>
      <c r="K211" s="178"/>
      <c r="L211" s="179"/>
      <c r="M211" s="177"/>
      <c r="N211" s="178"/>
      <c r="O211" s="178"/>
      <c r="P211" s="180"/>
      <c r="Q211" s="180"/>
      <c r="R211" s="180"/>
      <c r="S211" s="180"/>
      <c r="T211" s="180" t="s">
        <v>61</v>
      </c>
      <c r="U211" s="267"/>
      <c r="V211" s="271">
        <v>45671</v>
      </c>
      <c r="W211" s="272"/>
      <c r="X211" s="273"/>
      <c r="Y211" s="184"/>
      <c r="Z211" s="185" t="s">
        <v>592</v>
      </c>
    </row>
    <row r="212" spans="1:26" ht="11.4" x14ac:dyDescent="0.15">
      <c r="A212" s="175">
        <f t="shared" si="1"/>
        <v>210</v>
      </c>
      <c r="B212" s="176"/>
      <c r="C212" s="176"/>
      <c r="D212" s="176"/>
      <c r="E212" s="176" t="s">
        <v>834</v>
      </c>
      <c r="F212" s="186"/>
      <c r="G212" s="258"/>
      <c r="H212" s="227" t="s">
        <v>835</v>
      </c>
      <c r="I212" s="177"/>
      <c r="J212" s="178"/>
      <c r="K212" s="178"/>
      <c r="L212" s="179"/>
      <c r="M212" s="177"/>
      <c r="N212" s="178"/>
      <c r="O212" s="178"/>
      <c r="P212" s="180"/>
      <c r="Q212" s="180"/>
      <c r="R212" s="180"/>
      <c r="S212" s="180"/>
      <c r="T212" s="180" t="s">
        <v>61</v>
      </c>
      <c r="U212" s="267"/>
      <c r="V212" s="271">
        <v>45671</v>
      </c>
      <c r="W212" s="272"/>
      <c r="X212" s="273"/>
      <c r="Y212" s="184"/>
      <c r="Z212" s="185" t="s">
        <v>592</v>
      </c>
    </row>
    <row r="213" spans="1:26" ht="11.4" x14ac:dyDescent="0.15">
      <c r="A213" s="175">
        <f t="shared" si="1"/>
        <v>211</v>
      </c>
      <c r="B213" s="176"/>
      <c r="C213" s="176"/>
      <c r="D213" s="176"/>
      <c r="E213" s="176" t="s">
        <v>836</v>
      </c>
      <c r="F213" s="186"/>
      <c r="G213" s="258"/>
      <c r="H213" s="227" t="s">
        <v>837</v>
      </c>
      <c r="I213" s="177"/>
      <c r="J213" s="178"/>
      <c r="K213" s="178"/>
      <c r="L213" s="179"/>
      <c r="M213" s="177"/>
      <c r="N213" s="178"/>
      <c r="O213" s="178"/>
      <c r="P213" s="180"/>
      <c r="Q213" s="180"/>
      <c r="R213" s="180"/>
      <c r="S213" s="180"/>
      <c r="T213" s="180" t="s">
        <v>61</v>
      </c>
      <c r="U213" s="267"/>
      <c r="V213" s="271"/>
      <c r="W213" s="272">
        <v>45671</v>
      </c>
      <c r="X213" s="273"/>
      <c r="Y213" s="184"/>
      <c r="Z213" s="185" t="s">
        <v>592</v>
      </c>
    </row>
    <row r="214" spans="1:26" ht="11.4" x14ac:dyDescent="0.15">
      <c r="A214" s="175">
        <f t="shared" si="1"/>
        <v>212</v>
      </c>
      <c r="B214" s="176"/>
      <c r="C214" s="176"/>
      <c r="D214" s="176"/>
      <c r="E214" s="176" t="s">
        <v>838</v>
      </c>
      <c r="F214" s="186"/>
      <c r="G214" s="258"/>
      <c r="H214" s="227" t="s">
        <v>839</v>
      </c>
      <c r="I214" s="177"/>
      <c r="J214" s="178"/>
      <c r="K214" s="178"/>
      <c r="L214" s="179"/>
      <c r="M214" s="177"/>
      <c r="N214" s="178"/>
      <c r="O214" s="178"/>
      <c r="P214" s="180"/>
      <c r="Q214" s="180"/>
      <c r="R214" s="180"/>
      <c r="S214" s="180"/>
      <c r="T214" s="180" t="s">
        <v>61</v>
      </c>
      <c r="U214" s="267"/>
      <c r="V214" s="271">
        <v>45671</v>
      </c>
      <c r="W214" s="272"/>
      <c r="X214" s="273"/>
      <c r="Y214" s="184"/>
      <c r="Z214" s="185" t="s">
        <v>592</v>
      </c>
    </row>
    <row r="215" spans="1:26" ht="11.4" x14ac:dyDescent="0.15">
      <c r="A215" s="175">
        <f t="shared" si="1"/>
        <v>213</v>
      </c>
      <c r="B215" s="176"/>
      <c r="C215" s="176"/>
      <c r="D215" s="176"/>
      <c r="E215" s="176" t="s">
        <v>840</v>
      </c>
      <c r="F215" s="186"/>
      <c r="G215" s="258"/>
      <c r="H215" s="227" t="s">
        <v>833</v>
      </c>
      <c r="I215" s="177"/>
      <c r="J215" s="178"/>
      <c r="K215" s="178"/>
      <c r="L215" s="179"/>
      <c r="M215" s="177"/>
      <c r="N215" s="178"/>
      <c r="O215" s="178"/>
      <c r="P215" s="180"/>
      <c r="Q215" s="180"/>
      <c r="R215" s="180"/>
      <c r="S215" s="180"/>
      <c r="T215" s="180" t="s">
        <v>61</v>
      </c>
      <c r="U215" s="267"/>
      <c r="V215" s="271">
        <v>45671</v>
      </c>
      <c r="W215" s="272"/>
      <c r="X215" s="273"/>
      <c r="Y215" s="184"/>
      <c r="Z215" s="185" t="s">
        <v>592</v>
      </c>
    </row>
    <row r="216" spans="1:26" ht="11.4" x14ac:dyDescent="0.15">
      <c r="A216" s="175">
        <f t="shared" si="1"/>
        <v>214</v>
      </c>
      <c r="B216" s="176"/>
      <c r="C216" s="176"/>
      <c r="D216" s="176"/>
      <c r="E216" s="176" t="s">
        <v>841</v>
      </c>
      <c r="F216" s="186"/>
      <c r="G216" s="258"/>
      <c r="H216" s="227" t="s">
        <v>833</v>
      </c>
      <c r="I216" s="177"/>
      <c r="J216" s="178"/>
      <c r="K216" s="178"/>
      <c r="L216" s="179"/>
      <c r="M216" s="177"/>
      <c r="N216" s="178"/>
      <c r="O216" s="178"/>
      <c r="P216" s="180"/>
      <c r="Q216" s="180"/>
      <c r="R216" s="180"/>
      <c r="S216" s="180"/>
      <c r="T216" s="180" t="s">
        <v>61</v>
      </c>
      <c r="U216" s="267"/>
      <c r="V216" s="271">
        <v>45671</v>
      </c>
      <c r="W216" s="272"/>
      <c r="X216" s="273"/>
      <c r="Y216" s="184"/>
      <c r="Z216" s="185" t="s">
        <v>592</v>
      </c>
    </row>
    <row r="217" spans="1:26" ht="11.4" x14ac:dyDescent="0.15">
      <c r="A217" s="175">
        <f t="shared" si="1"/>
        <v>215</v>
      </c>
      <c r="B217" s="176"/>
      <c r="C217" s="176"/>
      <c r="D217" s="176"/>
      <c r="E217" s="176" t="s">
        <v>842</v>
      </c>
      <c r="F217" s="186"/>
      <c r="G217" s="258"/>
      <c r="H217" s="227" t="s">
        <v>817</v>
      </c>
      <c r="I217" s="177"/>
      <c r="J217" s="178"/>
      <c r="K217" s="178"/>
      <c r="L217" s="179"/>
      <c r="M217" s="177"/>
      <c r="N217" s="178"/>
      <c r="O217" s="178"/>
      <c r="P217" s="180"/>
      <c r="Q217" s="180"/>
      <c r="R217" s="180"/>
      <c r="S217" s="180"/>
      <c r="T217" s="180" t="s">
        <v>61</v>
      </c>
      <c r="U217" s="267"/>
      <c r="V217" s="271">
        <v>45671</v>
      </c>
      <c r="W217" s="272"/>
      <c r="X217" s="273"/>
      <c r="Y217" s="184"/>
      <c r="Z217" s="185" t="s">
        <v>592</v>
      </c>
    </row>
    <row r="218" spans="1:26" ht="11.4" x14ac:dyDescent="0.15">
      <c r="A218" s="175">
        <f t="shared" si="1"/>
        <v>216</v>
      </c>
      <c r="B218" s="176"/>
      <c r="C218" s="176"/>
      <c r="D218" s="176"/>
      <c r="E218" s="176" t="s">
        <v>843</v>
      </c>
      <c r="F218" s="186"/>
      <c r="G218" s="258"/>
      <c r="H218" s="227" t="s">
        <v>817</v>
      </c>
      <c r="I218" s="177"/>
      <c r="J218" s="178"/>
      <c r="K218" s="178"/>
      <c r="L218" s="179"/>
      <c r="M218" s="177"/>
      <c r="N218" s="178"/>
      <c r="O218" s="178"/>
      <c r="P218" s="180"/>
      <c r="Q218" s="180"/>
      <c r="R218" s="180"/>
      <c r="S218" s="180"/>
      <c r="T218" s="180" t="s">
        <v>61</v>
      </c>
      <c r="U218" s="267"/>
      <c r="V218" s="271">
        <v>45671</v>
      </c>
      <c r="W218" s="272"/>
      <c r="X218" s="273"/>
      <c r="Y218" s="184"/>
      <c r="Z218" s="185" t="s">
        <v>592</v>
      </c>
    </row>
    <row r="219" spans="1:26" ht="11.4" x14ac:dyDescent="0.15">
      <c r="A219" s="175">
        <f t="shared" si="1"/>
        <v>217</v>
      </c>
      <c r="B219" s="176"/>
      <c r="C219" s="176"/>
      <c r="D219" s="176"/>
      <c r="E219" s="176" t="s">
        <v>844</v>
      </c>
      <c r="F219" s="186"/>
      <c r="G219" s="258"/>
      <c r="H219" s="227" t="s">
        <v>817</v>
      </c>
      <c r="I219" s="177"/>
      <c r="J219" s="178"/>
      <c r="K219" s="178"/>
      <c r="L219" s="179"/>
      <c r="M219" s="177"/>
      <c r="N219" s="178"/>
      <c r="O219" s="178"/>
      <c r="P219" s="180"/>
      <c r="Q219" s="180"/>
      <c r="R219" s="180"/>
      <c r="S219" s="180"/>
      <c r="T219" s="180" t="s">
        <v>61</v>
      </c>
      <c r="U219" s="267"/>
      <c r="V219" s="271">
        <v>45671</v>
      </c>
      <c r="W219" s="272"/>
      <c r="X219" s="273"/>
      <c r="Y219" s="184"/>
      <c r="Z219" s="185" t="s">
        <v>592</v>
      </c>
    </row>
    <row r="220" spans="1:26" ht="11.4" x14ac:dyDescent="0.15">
      <c r="A220" s="175">
        <f t="shared" si="1"/>
        <v>218</v>
      </c>
      <c r="B220" s="176"/>
      <c r="C220" s="176"/>
      <c r="D220" s="176"/>
      <c r="E220" s="176" t="s">
        <v>845</v>
      </c>
      <c r="F220" s="186"/>
      <c r="G220" s="258"/>
      <c r="H220" s="227" t="s">
        <v>817</v>
      </c>
      <c r="I220" s="177"/>
      <c r="J220" s="178"/>
      <c r="K220" s="178"/>
      <c r="L220" s="179"/>
      <c r="M220" s="177"/>
      <c r="N220" s="178"/>
      <c r="O220" s="178"/>
      <c r="P220" s="180"/>
      <c r="Q220" s="180"/>
      <c r="R220" s="180"/>
      <c r="S220" s="180"/>
      <c r="T220" s="180" t="s">
        <v>61</v>
      </c>
      <c r="U220" s="267"/>
      <c r="V220" s="271">
        <v>45671</v>
      </c>
      <c r="W220" s="272"/>
      <c r="X220" s="273"/>
      <c r="Y220" s="184"/>
      <c r="Z220" s="185" t="s">
        <v>592</v>
      </c>
    </row>
    <row r="221" spans="1:26" ht="11.4" x14ac:dyDescent="0.15">
      <c r="A221" s="175">
        <f t="shared" si="1"/>
        <v>219</v>
      </c>
      <c r="B221" s="176"/>
      <c r="C221" s="176" t="s">
        <v>846</v>
      </c>
      <c r="D221" s="176" t="s">
        <v>847</v>
      </c>
      <c r="E221" s="176" t="s">
        <v>848</v>
      </c>
      <c r="F221" s="186" t="s">
        <v>849</v>
      </c>
      <c r="G221" s="258"/>
      <c r="H221" s="227" t="s">
        <v>850</v>
      </c>
      <c r="I221" s="177"/>
      <c r="J221" s="178"/>
      <c r="K221" s="178"/>
      <c r="L221" s="179"/>
      <c r="M221" s="177"/>
      <c r="N221" s="178" t="s">
        <v>61</v>
      </c>
      <c r="O221" s="178"/>
      <c r="P221" s="180"/>
      <c r="Q221" s="180"/>
      <c r="R221" s="180"/>
      <c r="S221" s="180"/>
      <c r="T221" s="180"/>
      <c r="U221" s="267"/>
      <c r="V221" s="271">
        <v>45671</v>
      </c>
      <c r="W221" s="272"/>
      <c r="X221" s="273"/>
      <c r="Y221" s="184"/>
      <c r="Z221" s="230" t="s">
        <v>592</v>
      </c>
    </row>
    <row r="222" spans="1:26" ht="11.4" x14ac:dyDescent="0.15">
      <c r="A222" s="175">
        <f t="shared" ref="A222:A226" si="2">ROW()-2</f>
        <v>220</v>
      </c>
      <c r="B222" s="176"/>
      <c r="C222" s="176"/>
      <c r="D222" s="176"/>
      <c r="E222" s="176" t="s">
        <v>851</v>
      </c>
      <c r="F222" s="186" t="s">
        <v>852</v>
      </c>
      <c r="G222" s="258"/>
      <c r="H222" s="227" t="s">
        <v>853</v>
      </c>
      <c r="I222" s="177"/>
      <c r="J222" s="178" t="s">
        <v>61</v>
      </c>
      <c r="K222" s="178"/>
      <c r="L222" s="179"/>
      <c r="M222" s="177"/>
      <c r="N222" s="178"/>
      <c r="O222" s="178"/>
      <c r="P222" s="180"/>
      <c r="Q222" s="180"/>
      <c r="R222" s="180"/>
      <c r="S222" s="180"/>
      <c r="T222" s="180"/>
      <c r="U222" s="267"/>
      <c r="V222" s="271"/>
      <c r="W222" s="272"/>
      <c r="X222" s="273"/>
      <c r="Y222" s="184"/>
      <c r="Z222" s="230" t="s">
        <v>854</v>
      </c>
    </row>
    <row r="223" spans="1:26" ht="11.4" x14ac:dyDescent="0.15">
      <c r="A223" s="175">
        <f t="shared" si="2"/>
        <v>221</v>
      </c>
      <c r="B223" s="176"/>
      <c r="C223" s="176"/>
      <c r="D223" s="176"/>
      <c r="E223" s="176" t="s">
        <v>855</v>
      </c>
      <c r="F223" s="186" t="s">
        <v>856</v>
      </c>
      <c r="G223" s="258"/>
      <c r="H223" s="227" t="s">
        <v>853</v>
      </c>
      <c r="I223" s="177"/>
      <c r="J223" s="178" t="s">
        <v>61</v>
      </c>
      <c r="K223" s="178"/>
      <c r="L223" s="179"/>
      <c r="M223" s="177"/>
      <c r="N223" s="178"/>
      <c r="O223" s="178"/>
      <c r="P223" s="180"/>
      <c r="Q223" s="180"/>
      <c r="R223" s="180"/>
      <c r="S223" s="180"/>
      <c r="T223" s="180"/>
      <c r="U223" s="267"/>
      <c r="V223" s="271"/>
      <c r="W223" s="272"/>
      <c r="X223" s="273"/>
      <c r="Y223" s="184"/>
      <c r="Z223" s="230" t="s">
        <v>854</v>
      </c>
    </row>
    <row r="224" spans="1:26" ht="11.4" x14ac:dyDescent="0.15">
      <c r="A224" s="175">
        <f t="shared" si="2"/>
        <v>222</v>
      </c>
      <c r="B224" s="176"/>
      <c r="C224" s="176"/>
      <c r="D224" s="176"/>
      <c r="E224" s="176" t="s">
        <v>857</v>
      </c>
      <c r="F224" s="186" t="s">
        <v>858</v>
      </c>
      <c r="G224" s="258"/>
      <c r="H224" s="227" t="s">
        <v>853</v>
      </c>
      <c r="I224" s="177"/>
      <c r="J224" s="178" t="s">
        <v>61</v>
      </c>
      <c r="K224" s="178"/>
      <c r="L224" s="179"/>
      <c r="M224" s="177"/>
      <c r="N224" s="178"/>
      <c r="O224" s="178"/>
      <c r="P224" s="180"/>
      <c r="Q224" s="180"/>
      <c r="R224" s="180"/>
      <c r="S224" s="180"/>
      <c r="T224" s="180"/>
      <c r="U224" s="267"/>
      <c r="V224" s="271"/>
      <c r="W224" s="272"/>
      <c r="X224" s="273"/>
      <c r="Y224" s="184"/>
      <c r="Z224" s="230" t="s">
        <v>854</v>
      </c>
    </row>
    <row r="225" spans="1:26" ht="11.4" x14ac:dyDescent="0.15">
      <c r="A225" s="175">
        <f t="shared" si="2"/>
        <v>223</v>
      </c>
      <c r="B225" s="176"/>
      <c r="C225" s="176"/>
      <c r="D225" s="176"/>
      <c r="E225" s="176" t="s">
        <v>859</v>
      </c>
      <c r="F225" s="186" t="s">
        <v>860</v>
      </c>
      <c r="G225" s="258"/>
      <c r="H225" s="227" t="s">
        <v>853</v>
      </c>
      <c r="I225" s="177"/>
      <c r="J225" s="178" t="s">
        <v>61</v>
      </c>
      <c r="K225" s="178"/>
      <c r="L225" s="179"/>
      <c r="M225" s="177"/>
      <c r="N225" s="178"/>
      <c r="O225" s="178"/>
      <c r="P225" s="180"/>
      <c r="Q225" s="180"/>
      <c r="R225" s="180"/>
      <c r="S225" s="180"/>
      <c r="T225" s="180"/>
      <c r="U225" s="267"/>
      <c r="V225" s="271"/>
      <c r="W225" s="272"/>
      <c r="X225" s="273"/>
      <c r="Y225" s="184"/>
      <c r="Z225" s="230" t="s">
        <v>854</v>
      </c>
    </row>
    <row r="226" spans="1:26" ht="11.4" x14ac:dyDescent="0.15">
      <c r="A226" s="175">
        <f t="shared" si="2"/>
        <v>224</v>
      </c>
      <c r="B226" s="176"/>
      <c r="C226" s="176"/>
      <c r="D226" s="176"/>
      <c r="E226" s="176"/>
      <c r="F226" s="186" t="s">
        <v>861</v>
      </c>
      <c r="G226" s="258"/>
      <c r="H226" s="227" t="s">
        <v>862</v>
      </c>
      <c r="I226" s="177"/>
      <c r="J226" s="178"/>
      <c r="K226" s="178"/>
      <c r="L226" s="179"/>
      <c r="M226" s="177"/>
      <c r="N226" s="178" t="s">
        <v>61</v>
      </c>
      <c r="O226" s="178"/>
      <c r="P226" s="178"/>
      <c r="Q226" s="180"/>
      <c r="R226" s="180"/>
      <c r="S226" s="180"/>
      <c r="T226" s="180"/>
      <c r="U226" s="267"/>
      <c r="V226" s="271"/>
      <c r="W226" s="272"/>
      <c r="X226" s="273"/>
      <c r="Y226" s="184"/>
      <c r="Z226" s="230" t="s">
        <v>592</v>
      </c>
    </row>
    <row r="227" spans="1:26" ht="11.4" x14ac:dyDescent="0.15">
      <c r="A227" s="175">
        <f t="shared" ref="A227:A253" si="3">ROW()-2</f>
        <v>225</v>
      </c>
      <c r="B227" s="176" t="s">
        <v>50</v>
      </c>
      <c r="C227" s="176" t="s">
        <v>325</v>
      </c>
      <c r="D227" s="176" t="s">
        <v>325</v>
      </c>
      <c r="E227" s="176" t="s">
        <v>326</v>
      </c>
      <c r="F227" s="186" t="s">
        <v>54</v>
      </c>
      <c r="G227" s="258"/>
      <c r="H227" s="227" t="s">
        <v>327</v>
      </c>
      <c r="I227" s="177"/>
      <c r="J227" s="178"/>
      <c r="K227" s="178"/>
      <c r="L227" s="179"/>
      <c r="M227" s="177"/>
      <c r="N227" s="178"/>
      <c r="O227" s="178"/>
      <c r="P227" s="180"/>
      <c r="Q227" s="180"/>
      <c r="R227" s="180"/>
      <c r="S227" s="180" t="s">
        <v>61</v>
      </c>
      <c r="T227" s="180"/>
      <c r="U227" s="267"/>
      <c r="V227" s="271"/>
      <c r="W227" s="272"/>
      <c r="X227" s="273"/>
      <c r="Y227" s="184"/>
      <c r="Z227" s="185" t="s">
        <v>472</v>
      </c>
    </row>
    <row r="228" spans="1:26" ht="11.4" x14ac:dyDescent="0.15">
      <c r="A228" s="175">
        <f t="shared" si="3"/>
        <v>226</v>
      </c>
      <c r="B228" s="176" t="s">
        <v>328</v>
      </c>
      <c r="C228" s="176"/>
      <c r="D228" s="176"/>
      <c r="E228" s="176" t="s">
        <v>72</v>
      </c>
      <c r="F228" s="186"/>
      <c r="G228" s="258"/>
      <c r="H228" s="227" t="s">
        <v>329</v>
      </c>
      <c r="I228" s="177"/>
      <c r="J228" s="178"/>
      <c r="K228" s="178"/>
      <c r="L228" s="179"/>
      <c r="M228" s="177"/>
      <c r="N228" s="178"/>
      <c r="O228" s="178"/>
      <c r="P228" s="180" t="s">
        <v>56</v>
      </c>
      <c r="Q228" s="180"/>
      <c r="R228" s="180"/>
      <c r="S228" s="180"/>
      <c r="T228" s="180"/>
      <c r="U228" s="267"/>
      <c r="V228" s="271"/>
      <c r="W228" s="272"/>
      <c r="X228" s="273"/>
      <c r="Y228" s="184"/>
      <c r="Z228" s="185" t="s">
        <v>556</v>
      </c>
    </row>
    <row r="229" spans="1:26" ht="11.4" x14ac:dyDescent="0.15">
      <c r="A229" s="175">
        <f t="shared" si="3"/>
        <v>227</v>
      </c>
      <c r="B229" s="176" t="s">
        <v>330</v>
      </c>
      <c r="C229" s="176" t="s">
        <v>331</v>
      </c>
      <c r="D229" s="176" t="s">
        <v>557</v>
      </c>
      <c r="E229" s="186" t="s">
        <v>332</v>
      </c>
      <c r="F229" s="233" t="s">
        <v>1092</v>
      </c>
      <c r="G229" s="259"/>
      <c r="H229" s="228" t="s">
        <v>1097</v>
      </c>
      <c r="I229" s="177"/>
      <c r="J229" s="178"/>
      <c r="K229" s="178"/>
      <c r="L229" s="179"/>
      <c r="M229" s="177"/>
      <c r="N229" s="180" t="s">
        <v>56</v>
      </c>
      <c r="O229" s="178"/>
      <c r="P229" s="180"/>
      <c r="Q229" s="180"/>
      <c r="R229" s="180"/>
      <c r="S229" s="180"/>
      <c r="T229" s="180"/>
      <c r="U229" s="267"/>
      <c r="V229" s="271"/>
      <c r="W229" s="272"/>
      <c r="X229" s="273"/>
      <c r="Y229" s="184"/>
      <c r="Z229" s="185" t="s">
        <v>334</v>
      </c>
    </row>
    <row r="230" spans="1:26" ht="11.4" x14ac:dyDescent="0.15">
      <c r="A230" s="175">
        <f t="shared" si="3"/>
        <v>228</v>
      </c>
      <c r="B230" s="176"/>
      <c r="C230" s="176"/>
      <c r="D230" s="176"/>
      <c r="E230" s="186" t="s">
        <v>559</v>
      </c>
      <c r="F230" s="233"/>
      <c r="G230" s="259"/>
      <c r="H230" s="228" t="s">
        <v>560</v>
      </c>
      <c r="I230" s="177"/>
      <c r="J230" s="178"/>
      <c r="K230" s="178"/>
      <c r="L230" s="179"/>
      <c r="M230" s="177"/>
      <c r="N230" s="178"/>
      <c r="O230" s="178"/>
      <c r="P230" s="180"/>
      <c r="Q230" s="180"/>
      <c r="R230" s="180"/>
      <c r="S230" s="180" t="s">
        <v>56</v>
      </c>
      <c r="T230" s="180"/>
      <c r="U230" s="267"/>
      <c r="V230" s="271"/>
      <c r="W230" s="272"/>
      <c r="X230" s="273"/>
      <c r="Y230" s="184"/>
      <c r="Z230" s="229" t="s">
        <v>1096</v>
      </c>
    </row>
    <row r="231" spans="1:26" ht="11.4" x14ac:dyDescent="0.15">
      <c r="A231" s="175">
        <f t="shared" si="3"/>
        <v>229</v>
      </c>
      <c r="B231" s="176"/>
      <c r="C231" s="176"/>
      <c r="D231" s="176"/>
      <c r="E231" s="176" t="s">
        <v>561</v>
      </c>
      <c r="F231" s="233"/>
      <c r="G231" s="259"/>
      <c r="H231" s="228" t="s">
        <v>336</v>
      </c>
      <c r="I231" s="177"/>
      <c r="J231" s="178"/>
      <c r="K231" s="178"/>
      <c r="L231" s="179"/>
      <c r="M231" s="177"/>
      <c r="N231" s="178"/>
      <c r="O231" s="178"/>
      <c r="P231" s="180"/>
      <c r="Q231" s="180"/>
      <c r="R231" s="180"/>
      <c r="S231" s="180" t="s">
        <v>56</v>
      </c>
      <c r="T231" s="180"/>
      <c r="U231" s="267"/>
      <c r="V231" s="271"/>
      <c r="W231" s="272"/>
      <c r="X231" s="273"/>
      <c r="Y231" s="184"/>
      <c r="Z231" s="185" t="s">
        <v>562</v>
      </c>
    </row>
    <row r="232" spans="1:26" ht="11.4" x14ac:dyDescent="0.15">
      <c r="A232" s="175">
        <f t="shared" si="3"/>
        <v>230</v>
      </c>
      <c r="B232" s="176"/>
      <c r="C232" s="176" t="s">
        <v>563</v>
      </c>
      <c r="D232" s="176" t="s">
        <v>564</v>
      </c>
      <c r="E232" s="186" t="s">
        <v>332</v>
      </c>
      <c r="F232" s="233" t="s">
        <v>1092</v>
      </c>
      <c r="G232" s="259"/>
      <c r="H232" s="228" t="s">
        <v>1098</v>
      </c>
      <c r="I232" s="177"/>
      <c r="J232" s="178"/>
      <c r="K232" s="178"/>
      <c r="L232" s="179"/>
      <c r="M232" s="177"/>
      <c r="N232" s="180" t="s">
        <v>56</v>
      </c>
      <c r="O232" s="178"/>
      <c r="P232" s="180"/>
      <c r="Q232" s="180"/>
      <c r="R232" s="180"/>
      <c r="S232" s="180"/>
      <c r="T232" s="180"/>
      <c r="U232" s="267"/>
      <c r="V232" s="271"/>
      <c r="W232" s="272"/>
      <c r="X232" s="273"/>
      <c r="Y232" s="184"/>
      <c r="Z232" s="185" t="s">
        <v>334</v>
      </c>
    </row>
    <row r="233" spans="1:26" ht="11.4" x14ac:dyDescent="0.15">
      <c r="A233" s="175">
        <f t="shared" si="3"/>
        <v>231</v>
      </c>
      <c r="B233" s="176"/>
      <c r="C233" s="176"/>
      <c r="D233" s="176"/>
      <c r="E233" s="186" t="s">
        <v>559</v>
      </c>
      <c r="F233" s="233"/>
      <c r="G233" s="259"/>
      <c r="H233" s="228" t="s">
        <v>560</v>
      </c>
      <c r="I233" s="177"/>
      <c r="J233" s="178"/>
      <c r="K233" s="178"/>
      <c r="L233" s="179"/>
      <c r="M233" s="177"/>
      <c r="N233" s="178"/>
      <c r="O233" s="178"/>
      <c r="P233" s="180"/>
      <c r="Q233" s="180"/>
      <c r="R233" s="180"/>
      <c r="S233" s="180" t="s">
        <v>56</v>
      </c>
      <c r="T233" s="180"/>
      <c r="U233" s="267"/>
      <c r="V233" s="271"/>
      <c r="W233" s="272"/>
      <c r="X233" s="273"/>
      <c r="Y233" s="184"/>
      <c r="Z233" s="229" t="s">
        <v>1096</v>
      </c>
    </row>
    <row r="234" spans="1:26" ht="11.4" x14ac:dyDescent="0.15">
      <c r="A234" s="175">
        <f t="shared" si="3"/>
        <v>232</v>
      </c>
      <c r="B234" s="176"/>
      <c r="C234" s="176"/>
      <c r="D234" s="176"/>
      <c r="E234" s="186" t="s">
        <v>566</v>
      </c>
      <c r="F234" s="233"/>
      <c r="G234" s="259"/>
      <c r="H234" s="228" t="s">
        <v>336</v>
      </c>
      <c r="I234" s="177"/>
      <c r="J234" s="178"/>
      <c r="K234" s="178"/>
      <c r="L234" s="179"/>
      <c r="M234" s="177"/>
      <c r="N234" s="178"/>
      <c r="O234" s="178"/>
      <c r="P234" s="180"/>
      <c r="Q234" s="180"/>
      <c r="R234" s="180"/>
      <c r="S234" s="180" t="s">
        <v>56</v>
      </c>
      <c r="T234" s="180"/>
      <c r="U234" s="267"/>
      <c r="V234" s="271"/>
      <c r="W234" s="272"/>
      <c r="X234" s="273"/>
      <c r="Y234" s="184"/>
      <c r="Z234" s="185" t="s">
        <v>567</v>
      </c>
    </row>
    <row r="235" spans="1:26" ht="11.4" x14ac:dyDescent="0.15">
      <c r="A235" s="175">
        <f t="shared" si="3"/>
        <v>233</v>
      </c>
      <c r="B235" s="176"/>
      <c r="C235" s="176" t="s">
        <v>863</v>
      </c>
      <c r="D235" s="186" t="s">
        <v>864</v>
      </c>
      <c r="E235" s="186" t="s">
        <v>865</v>
      </c>
      <c r="F235" s="186" t="s">
        <v>577</v>
      </c>
      <c r="G235" s="260"/>
      <c r="H235" s="228" t="s">
        <v>866</v>
      </c>
      <c r="I235" s="177"/>
      <c r="J235" s="178"/>
      <c r="K235" s="178"/>
      <c r="L235" s="179"/>
      <c r="M235" s="177"/>
      <c r="N235" s="180"/>
      <c r="O235" s="178"/>
      <c r="P235" s="180"/>
      <c r="Q235" s="180"/>
      <c r="R235" s="180"/>
      <c r="S235" s="180" t="s">
        <v>56</v>
      </c>
      <c r="T235" s="180"/>
      <c r="U235" s="267"/>
      <c r="V235" s="271"/>
      <c r="W235" s="272"/>
      <c r="X235" s="273"/>
      <c r="Y235" s="184"/>
      <c r="Z235" s="185" t="s">
        <v>472</v>
      </c>
    </row>
    <row r="236" spans="1:26" ht="11.4" x14ac:dyDescent="0.15">
      <c r="A236" s="175">
        <f t="shared" si="3"/>
        <v>234</v>
      </c>
      <c r="B236" s="176"/>
      <c r="C236" s="176"/>
      <c r="D236" s="186"/>
      <c r="E236" s="186"/>
      <c r="F236" s="186"/>
      <c r="G236" s="260"/>
      <c r="H236" s="228" t="s">
        <v>867</v>
      </c>
      <c r="I236" s="177"/>
      <c r="J236" s="178"/>
      <c r="K236" s="178"/>
      <c r="L236" s="179"/>
      <c r="M236" s="177"/>
      <c r="N236" s="180"/>
      <c r="O236" s="178"/>
      <c r="P236" s="180"/>
      <c r="Q236" s="180"/>
      <c r="R236" s="180"/>
      <c r="S236" s="180" t="s">
        <v>61</v>
      </c>
      <c r="T236" s="180"/>
      <c r="U236" s="267"/>
      <c r="V236" s="271"/>
      <c r="W236" s="272"/>
      <c r="X236" s="273"/>
      <c r="Y236" s="184"/>
      <c r="Z236" s="229" t="s">
        <v>1096</v>
      </c>
    </row>
    <row r="237" spans="1:26" ht="11.4" x14ac:dyDescent="0.15">
      <c r="A237" s="175">
        <f t="shared" si="3"/>
        <v>235</v>
      </c>
      <c r="B237" s="176"/>
      <c r="C237" s="176"/>
      <c r="D237" s="186"/>
      <c r="E237" s="186"/>
      <c r="F237" s="186" t="s">
        <v>868</v>
      </c>
      <c r="G237" s="260"/>
      <c r="H237" s="228" t="s">
        <v>869</v>
      </c>
      <c r="I237" s="177"/>
      <c r="J237" s="178"/>
      <c r="K237" s="178"/>
      <c r="L237" s="179"/>
      <c r="M237" s="177"/>
      <c r="N237" s="178"/>
      <c r="O237" s="178"/>
      <c r="P237" s="180"/>
      <c r="Q237" s="180"/>
      <c r="R237" s="180"/>
      <c r="S237" s="180"/>
      <c r="T237" s="180" t="s">
        <v>61</v>
      </c>
      <c r="U237" s="267"/>
      <c r="V237" s="271"/>
      <c r="W237" s="272"/>
      <c r="X237" s="273"/>
      <c r="Y237" s="184"/>
      <c r="Z237" s="230" t="s">
        <v>870</v>
      </c>
    </row>
    <row r="238" spans="1:26" ht="11.4" x14ac:dyDescent="0.15">
      <c r="A238" s="175">
        <f t="shared" si="3"/>
        <v>236</v>
      </c>
      <c r="B238" s="176"/>
      <c r="C238" s="176"/>
      <c r="D238" s="176"/>
      <c r="E238" s="186" t="s">
        <v>871</v>
      </c>
      <c r="F238" s="186" t="s">
        <v>872</v>
      </c>
      <c r="G238" s="260"/>
      <c r="H238" s="228" t="s">
        <v>873</v>
      </c>
      <c r="I238" s="177"/>
      <c r="J238" s="178"/>
      <c r="K238" s="178"/>
      <c r="L238" s="179"/>
      <c r="M238" s="177"/>
      <c r="N238" s="178"/>
      <c r="O238" s="178"/>
      <c r="P238" s="180"/>
      <c r="Q238" s="180"/>
      <c r="R238" s="180"/>
      <c r="S238" s="180" t="s">
        <v>61</v>
      </c>
      <c r="T238" s="180"/>
      <c r="U238" s="267"/>
      <c r="V238" s="271"/>
      <c r="W238" s="272"/>
      <c r="X238" s="273"/>
      <c r="Y238" s="184"/>
      <c r="Z238" s="229" t="s">
        <v>1096</v>
      </c>
    </row>
    <row r="239" spans="1:26" ht="11.4" x14ac:dyDescent="0.15">
      <c r="A239" s="175">
        <f t="shared" si="3"/>
        <v>237</v>
      </c>
      <c r="B239" s="176"/>
      <c r="C239" s="176"/>
      <c r="D239" s="186" t="s">
        <v>874</v>
      </c>
      <c r="E239" s="186" t="s">
        <v>875</v>
      </c>
      <c r="F239" s="186" t="s">
        <v>876</v>
      </c>
      <c r="G239" s="260"/>
      <c r="H239" s="228" t="s">
        <v>867</v>
      </c>
      <c r="I239" s="177"/>
      <c r="J239" s="178"/>
      <c r="K239" s="178"/>
      <c r="L239" s="179"/>
      <c r="M239" s="177"/>
      <c r="N239" s="178"/>
      <c r="O239" s="178"/>
      <c r="P239" s="180"/>
      <c r="Q239" s="180"/>
      <c r="R239" s="180"/>
      <c r="S239" s="180" t="s">
        <v>61</v>
      </c>
      <c r="T239" s="180"/>
      <c r="U239" s="267"/>
      <c r="V239" s="271"/>
      <c r="W239" s="272"/>
      <c r="X239" s="273"/>
      <c r="Y239" s="184"/>
      <c r="Z239" s="229" t="s">
        <v>1096</v>
      </c>
    </row>
    <row r="240" spans="1:26" ht="11.4" x14ac:dyDescent="0.15">
      <c r="A240" s="175">
        <f t="shared" si="3"/>
        <v>238</v>
      </c>
      <c r="B240" s="176"/>
      <c r="C240" s="176"/>
      <c r="D240" s="186"/>
      <c r="E240" s="186"/>
      <c r="F240" s="186" t="s">
        <v>877</v>
      </c>
      <c r="G240" s="260"/>
      <c r="H240" s="228" t="s">
        <v>873</v>
      </c>
      <c r="I240" s="177"/>
      <c r="J240" s="178"/>
      <c r="K240" s="178"/>
      <c r="L240" s="179"/>
      <c r="M240" s="177"/>
      <c r="N240" s="178"/>
      <c r="O240" s="178"/>
      <c r="P240" s="180"/>
      <c r="Q240" s="180"/>
      <c r="R240" s="180"/>
      <c r="S240" s="180" t="s">
        <v>61</v>
      </c>
      <c r="T240" s="180"/>
      <c r="U240" s="267"/>
      <c r="V240" s="271"/>
      <c r="W240" s="272"/>
      <c r="X240" s="273"/>
      <c r="Y240" s="184"/>
      <c r="Z240" s="229" t="s">
        <v>1096</v>
      </c>
    </row>
    <row r="241" spans="1:27" ht="11.4" x14ac:dyDescent="0.15">
      <c r="A241" s="175">
        <f t="shared" si="3"/>
        <v>239</v>
      </c>
      <c r="B241" s="176"/>
      <c r="C241" s="176" t="s">
        <v>878</v>
      </c>
      <c r="D241" s="186" t="s">
        <v>879</v>
      </c>
      <c r="E241" s="186" t="s">
        <v>880</v>
      </c>
      <c r="F241" s="186" t="s">
        <v>881</v>
      </c>
      <c r="G241" s="260"/>
      <c r="H241" s="228" t="s">
        <v>882</v>
      </c>
      <c r="I241" s="177"/>
      <c r="J241" s="178"/>
      <c r="K241" s="178"/>
      <c r="L241" s="179"/>
      <c r="M241" s="177"/>
      <c r="N241" s="178"/>
      <c r="O241" s="178"/>
      <c r="P241" s="180"/>
      <c r="Q241" s="180"/>
      <c r="R241" s="180"/>
      <c r="S241" s="180" t="s">
        <v>61</v>
      </c>
      <c r="T241" s="180"/>
      <c r="U241" s="267"/>
      <c r="V241" s="271"/>
      <c r="W241" s="272"/>
      <c r="X241" s="273"/>
      <c r="Y241" s="184"/>
      <c r="Z241" s="230" t="s">
        <v>883</v>
      </c>
    </row>
    <row r="242" spans="1:27" ht="11.4" x14ac:dyDescent="0.15">
      <c r="A242" s="175">
        <f t="shared" si="3"/>
        <v>240</v>
      </c>
      <c r="B242" s="176"/>
      <c r="C242" s="176"/>
      <c r="D242" s="186"/>
      <c r="E242" s="186"/>
      <c r="F242" s="186"/>
      <c r="G242" s="260"/>
      <c r="H242" s="228" t="s">
        <v>336</v>
      </c>
      <c r="I242" s="177"/>
      <c r="J242" s="178"/>
      <c r="K242" s="178"/>
      <c r="L242" s="179"/>
      <c r="M242" s="177"/>
      <c r="N242" s="178"/>
      <c r="O242" s="178"/>
      <c r="P242" s="180"/>
      <c r="Q242" s="180"/>
      <c r="R242" s="180"/>
      <c r="S242" s="180" t="s">
        <v>56</v>
      </c>
      <c r="T242" s="180"/>
      <c r="U242" s="267"/>
      <c r="V242" s="271"/>
      <c r="W242" s="272"/>
      <c r="X242" s="273"/>
      <c r="Y242" s="184"/>
      <c r="Z242" s="185" t="s">
        <v>884</v>
      </c>
    </row>
    <row r="243" spans="1:27" ht="11.4" x14ac:dyDescent="0.15">
      <c r="A243" s="175">
        <f t="shared" si="3"/>
        <v>241</v>
      </c>
      <c r="B243" s="176"/>
      <c r="C243" s="176"/>
      <c r="D243" s="186"/>
      <c r="E243" s="186"/>
      <c r="F243" s="186" t="s">
        <v>885</v>
      </c>
      <c r="G243" s="260"/>
      <c r="H243" s="228" t="s">
        <v>886</v>
      </c>
      <c r="I243" s="177"/>
      <c r="J243" s="178"/>
      <c r="K243" s="178"/>
      <c r="L243" s="179"/>
      <c r="M243" s="177"/>
      <c r="N243" s="178"/>
      <c r="O243" s="178"/>
      <c r="P243" s="180"/>
      <c r="Q243" s="180"/>
      <c r="R243" s="180"/>
      <c r="S243" s="180"/>
      <c r="T243" s="180" t="s">
        <v>56</v>
      </c>
      <c r="U243" s="267"/>
      <c r="V243" s="271"/>
      <c r="W243" s="272"/>
      <c r="X243" s="273"/>
      <c r="Y243" s="184"/>
      <c r="Z243" s="229"/>
    </row>
    <row r="244" spans="1:27" ht="11.4" x14ac:dyDescent="0.15">
      <c r="A244" s="175">
        <f t="shared" si="3"/>
        <v>242</v>
      </c>
      <c r="B244" s="176"/>
      <c r="C244" s="176"/>
      <c r="D244" s="186"/>
      <c r="E244" s="186" t="s">
        <v>887</v>
      </c>
      <c r="F244" s="186" t="s">
        <v>888</v>
      </c>
      <c r="G244" s="260"/>
      <c r="H244" s="228" t="s">
        <v>889</v>
      </c>
      <c r="I244" s="177"/>
      <c r="J244" s="178"/>
      <c r="K244" s="178"/>
      <c r="L244" s="179"/>
      <c r="M244" s="177"/>
      <c r="N244" s="180"/>
      <c r="O244" s="178"/>
      <c r="P244" s="180"/>
      <c r="Q244" s="180"/>
      <c r="R244" s="180"/>
      <c r="S244" s="180" t="s">
        <v>56</v>
      </c>
      <c r="T244" s="180"/>
      <c r="U244" s="267"/>
      <c r="V244" s="271"/>
      <c r="W244" s="272"/>
      <c r="X244" s="273"/>
      <c r="Y244" s="184"/>
      <c r="Z244" s="185" t="s">
        <v>884</v>
      </c>
    </row>
    <row r="245" spans="1:27" ht="11.4" x14ac:dyDescent="0.15">
      <c r="A245" s="175">
        <f t="shared" si="3"/>
        <v>243</v>
      </c>
      <c r="B245" s="176"/>
      <c r="C245" s="176"/>
      <c r="D245" s="186"/>
      <c r="E245" s="186" t="s">
        <v>890</v>
      </c>
      <c r="F245" s="186" t="s">
        <v>891</v>
      </c>
      <c r="G245" s="260"/>
      <c r="H245" s="255" t="s">
        <v>892</v>
      </c>
      <c r="I245" s="177"/>
      <c r="J245" s="178"/>
      <c r="K245" s="178"/>
      <c r="L245" s="179"/>
      <c r="M245" s="177"/>
      <c r="N245" s="180"/>
      <c r="O245" s="178"/>
      <c r="P245" s="180"/>
      <c r="Q245" s="180"/>
      <c r="R245" s="180"/>
      <c r="S245" s="180"/>
      <c r="T245" s="180" t="s">
        <v>56</v>
      </c>
      <c r="U245" s="267"/>
      <c r="V245" s="271"/>
      <c r="W245" s="272"/>
      <c r="X245" s="273"/>
      <c r="Y245" s="184"/>
      <c r="Z245" s="185"/>
    </row>
    <row r="246" spans="1:27" s="240" customFormat="1" ht="11.4" x14ac:dyDescent="0.15">
      <c r="A246" s="175">
        <f t="shared" si="3"/>
        <v>244</v>
      </c>
      <c r="B246" s="187" t="s">
        <v>10</v>
      </c>
      <c r="C246" s="187" t="s">
        <v>593</v>
      </c>
      <c r="D246" s="186" t="s">
        <v>893</v>
      </c>
      <c r="E246" s="186" t="s">
        <v>595</v>
      </c>
      <c r="F246" s="186" t="s">
        <v>596</v>
      </c>
      <c r="G246" s="260"/>
      <c r="H246" s="228" t="s">
        <v>597</v>
      </c>
      <c r="I246" s="177"/>
      <c r="J246" s="178"/>
      <c r="K246" s="178"/>
      <c r="L246" s="179"/>
      <c r="M246" s="177" t="s">
        <v>61</v>
      </c>
      <c r="N246" s="178"/>
      <c r="O246" s="178"/>
      <c r="P246" s="180"/>
      <c r="Q246" s="180"/>
      <c r="R246" s="180"/>
      <c r="S246" s="180"/>
      <c r="T246" s="180"/>
      <c r="U246" s="267"/>
      <c r="V246" s="271"/>
      <c r="W246" s="272"/>
      <c r="X246" s="273"/>
      <c r="Y246" s="184"/>
      <c r="Z246" s="185" t="s">
        <v>894</v>
      </c>
      <c r="AA246" s="236"/>
    </row>
    <row r="247" spans="1:27" s="240" customFormat="1" ht="11.4" x14ac:dyDescent="0.15">
      <c r="A247" s="175">
        <f t="shared" si="3"/>
        <v>245</v>
      </c>
      <c r="B247" s="176"/>
      <c r="C247" s="176"/>
      <c r="D247" s="186"/>
      <c r="E247" s="186"/>
      <c r="F247" s="186"/>
      <c r="G247" s="260"/>
      <c r="H247" s="228" t="s">
        <v>895</v>
      </c>
      <c r="I247" s="177"/>
      <c r="J247" s="178"/>
      <c r="K247" s="178"/>
      <c r="L247" s="179"/>
      <c r="M247" s="160"/>
      <c r="N247" s="178"/>
      <c r="O247" s="178"/>
      <c r="P247" s="180" t="s">
        <v>56</v>
      </c>
      <c r="Q247" s="180"/>
      <c r="R247" s="180"/>
      <c r="S247" s="180"/>
      <c r="T247" s="180"/>
      <c r="U247" s="267"/>
      <c r="V247" s="271"/>
      <c r="W247" s="272"/>
      <c r="X247" s="273"/>
      <c r="Y247" s="184"/>
      <c r="Z247" s="185" t="s">
        <v>896</v>
      </c>
      <c r="AA247" s="236"/>
    </row>
    <row r="248" spans="1:27" ht="11.4" x14ac:dyDescent="0.15">
      <c r="A248" s="175">
        <f t="shared" si="3"/>
        <v>246</v>
      </c>
      <c r="B248" s="176"/>
      <c r="C248" s="176"/>
      <c r="D248" s="176"/>
      <c r="E248" s="176" t="s">
        <v>618</v>
      </c>
      <c r="F248" s="186" t="s">
        <v>897</v>
      </c>
      <c r="G248" s="258"/>
      <c r="H248" s="227" t="s">
        <v>898</v>
      </c>
      <c r="I248" s="177"/>
      <c r="J248" s="178"/>
      <c r="K248" s="178"/>
      <c r="L248" s="179"/>
      <c r="M248" s="177"/>
      <c r="N248" s="178"/>
      <c r="O248" s="178"/>
      <c r="P248" s="180"/>
      <c r="Q248" s="180" t="s">
        <v>56</v>
      </c>
      <c r="R248" s="180"/>
      <c r="S248" s="180"/>
      <c r="T248" s="180"/>
      <c r="U248" s="267"/>
      <c r="V248" s="271"/>
      <c r="W248" s="272"/>
      <c r="X248" s="273"/>
      <c r="Y248" s="184"/>
      <c r="Z248" s="185" t="s">
        <v>641</v>
      </c>
    </row>
    <row r="249" spans="1:27" s="240" customFormat="1" ht="11.4" x14ac:dyDescent="0.15">
      <c r="A249" s="175">
        <f t="shared" si="3"/>
        <v>247</v>
      </c>
      <c r="B249" s="176"/>
      <c r="C249" s="176"/>
      <c r="D249" s="186"/>
      <c r="E249" s="176" t="s">
        <v>601</v>
      </c>
      <c r="F249" s="186" t="s">
        <v>602</v>
      </c>
      <c r="G249" s="260"/>
      <c r="H249" s="228" t="s">
        <v>597</v>
      </c>
      <c r="I249" s="177"/>
      <c r="J249" s="178"/>
      <c r="K249" s="178"/>
      <c r="L249" s="179"/>
      <c r="M249" s="177" t="s">
        <v>61</v>
      </c>
      <c r="N249" s="178"/>
      <c r="O249" s="178"/>
      <c r="P249" s="180"/>
      <c r="Q249" s="180"/>
      <c r="R249" s="180"/>
      <c r="S249" s="180"/>
      <c r="T249" s="180"/>
      <c r="U249" s="267"/>
      <c r="V249" s="271"/>
      <c r="W249" s="272"/>
      <c r="X249" s="273"/>
      <c r="Y249" s="184"/>
      <c r="Z249" s="185" t="s">
        <v>894</v>
      </c>
      <c r="AA249" s="236"/>
    </row>
    <row r="250" spans="1:27" s="240" customFormat="1" ht="12" customHeight="1" x14ac:dyDescent="0.15">
      <c r="A250" s="175">
        <f t="shared" si="3"/>
        <v>248</v>
      </c>
      <c r="B250" s="176"/>
      <c r="C250" s="187"/>
      <c r="D250" s="186"/>
      <c r="E250" s="186"/>
      <c r="F250" s="186"/>
      <c r="G250" s="260"/>
      <c r="H250" s="228" t="s">
        <v>899</v>
      </c>
      <c r="I250" s="177"/>
      <c r="J250" s="178"/>
      <c r="K250" s="178"/>
      <c r="L250" s="179"/>
      <c r="M250" s="177"/>
      <c r="N250" s="178"/>
      <c r="O250" s="178"/>
      <c r="P250" s="180" t="s">
        <v>56</v>
      </c>
      <c r="Q250" s="180"/>
      <c r="R250" s="180"/>
      <c r="S250" s="180"/>
      <c r="T250" s="180"/>
      <c r="U250" s="267"/>
      <c r="V250" s="271"/>
      <c r="W250" s="272"/>
      <c r="X250" s="273"/>
      <c r="Y250" s="184"/>
      <c r="Z250" s="185" t="s">
        <v>896</v>
      </c>
      <c r="AA250" s="236"/>
    </row>
    <row r="251" spans="1:27" ht="11.4" x14ac:dyDescent="0.15">
      <c r="A251" s="175">
        <f t="shared" si="3"/>
        <v>249</v>
      </c>
      <c r="B251" s="176"/>
      <c r="C251" s="176"/>
      <c r="D251" s="176"/>
      <c r="E251" s="176" t="s">
        <v>618</v>
      </c>
      <c r="F251" s="186" t="s">
        <v>897</v>
      </c>
      <c r="G251" s="258"/>
      <c r="H251" s="227" t="s">
        <v>620</v>
      </c>
      <c r="I251" s="177"/>
      <c r="J251" s="178"/>
      <c r="K251" s="178"/>
      <c r="L251" s="179"/>
      <c r="M251" s="177"/>
      <c r="N251" s="178"/>
      <c r="O251" s="178"/>
      <c r="P251" s="180"/>
      <c r="Q251" s="180" t="s">
        <v>56</v>
      </c>
      <c r="R251" s="180"/>
      <c r="S251" s="180"/>
      <c r="T251" s="180"/>
      <c r="U251" s="267"/>
      <c r="V251" s="271"/>
      <c r="W251" s="272"/>
      <c r="X251" s="273"/>
      <c r="Y251" s="184"/>
      <c r="Z251" s="185" t="s">
        <v>641</v>
      </c>
    </row>
    <row r="252" spans="1:27" s="240" customFormat="1" ht="11.4" x14ac:dyDescent="0.15">
      <c r="A252" s="175">
        <f t="shared" si="3"/>
        <v>250</v>
      </c>
      <c r="B252" s="176"/>
      <c r="C252" s="187"/>
      <c r="D252" s="186"/>
      <c r="E252" s="186" t="s">
        <v>401</v>
      </c>
      <c r="F252" s="186" t="s">
        <v>606</v>
      </c>
      <c r="G252" s="260"/>
      <c r="H252" s="228" t="s">
        <v>403</v>
      </c>
      <c r="I252" s="177"/>
      <c r="J252" s="178"/>
      <c r="K252" s="178"/>
      <c r="L252" s="179"/>
      <c r="M252" s="177"/>
      <c r="N252" s="180" t="s">
        <v>56</v>
      </c>
      <c r="O252" s="178"/>
      <c r="P252" s="180"/>
      <c r="Q252" s="180"/>
      <c r="R252" s="180"/>
      <c r="S252" s="180"/>
      <c r="T252" s="180"/>
      <c r="U252" s="267"/>
      <c r="V252" s="271"/>
      <c r="W252" s="272"/>
      <c r="X252" s="273"/>
      <c r="Y252" s="184"/>
      <c r="Z252" s="185" t="s">
        <v>592</v>
      </c>
      <c r="AA252" s="236"/>
    </row>
    <row r="253" spans="1:27" s="240" customFormat="1" ht="11.4" x14ac:dyDescent="0.15">
      <c r="A253" s="175">
        <f t="shared" si="3"/>
        <v>251</v>
      </c>
      <c r="B253" s="176"/>
      <c r="C253" s="187"/>
      <c r="D253" s="186"/>
      <c r="E253" s="186"/>
      <c r="F253" s="186" t="s">
        <v>373</v>
      </c>
      <c r="G253" s="260"/>
      <c r="H253" s="228" t="s">
        <v>403</v>
      </c>
      <c r="I253" s="177"/>
      <c r="J253" s="178"/>
      <c r="K253" s="178"/>
      <c r="L253" s="179"/>
      <c r="M253" s="177"/>
      <c r="N253" s="180" t="s">
        <v>56</v>
      </c>
      <c r="O253" s="178"/>
      <c r="P253" s="180"/>
      <c r="Q253" s="180"/>
      <c r="R253" s="180"/>
      <c r="S253" s="180"/>
      <c r="T253" s="180"/>
      <c r="U253" s="267"/>
      <c r="V253" s="271"/>
      <c r="W253" s="272"/>
      <c r="X253" s="273"/>
      <c r="Y253" s="184"/>
      <c r="Z253" s="185" t="s">
        <v>592</v>
      </c>
      <c r="AA253" s="236"/>
    </row>
    <row r="254" spans="1:27" s="238" customFormat="1" ht="12" customHeight="1" x14ac:dyDescent="0.25">
      <c r="A254" s="188"/>
      <c r="B254" s="189"/>
      <c r="C254" s="190"/>
      <c r="D254" s="190"/>
      <c r="E254" s="190"/>
      <c r="F254" s="189"/>
      <c r="G254" s="189"/>
      <c r="H254" s="191" t="s">
        <v>410</v>
      </c>
      <c r="I254" s="192">
        <f t="shared" ref="I254:T254" si="4">COUNTIF(I3:I253,"●")</f>
        <v>0</v>
      </c>
      <c r="J254" s="193">
        <f t="shared" si="4"/>
        <v>0</v>
      </c>
      <c r="K254" s="193">
        <f t="shared" si="4"/>
        <v>0</v>
      </c>
      <c r="L254" s="194">
        <f t="shared" si="4"/>
        <v>0</v>
      </c>
      <c r="M254" s="192">
        <f t="shared" si="4"/>
        <v>0</v>
      </c>
      <c r="N254" s="193">
        <f t="shared" si="4"/>
        <v>0</v>
      </c>
      <c r="O254" s="193">
        <f t="shared" si="4"/>
        <v>0</v>
      </c>
      <c r="P254" s="193">
        <f t="shared" si="4"/>
        <v>0</v>
      </c>
      <c r="Q254" s="193">
        <f t="shared" si="4"/>
        <v>0</v>
      </c>
      <c r="R254" s="193">
        <f t="shared" si="4"/>
        <v>0</v>
      </c>
      <c r="S254" s="195">
        <f t="shared" si="4"/>
        <v>0</v>
      </c>
      <c r="T254" s="195">
        <f t="shared" si="4"/>
        <v>0</v>
      </c>
      <c r="U254" s="261"/>
      <c r="V254" s="329" t="s">
        <v>17</v>
      </c>
      <c r="W254" s="329"/>
      <c r="X254" s="330"/>
      <c r="Y254" s="196" t="s">
        <v>411</v>
      </c>
      <c r="Z254" s="197">
        <f>SUM(I254:T254)</f>
        <v>0</v>
      </c>
    </row>
    <row r="255" spans="1:27" s="238" customFormat="1" ht="12" customHeight="1" x14ac:dyDescent="0.25">
      <c r="A255" s="198"/>
      <c r="B255" s="231" t="s">
        <v>412</v>
      </c>
      <c r="C255" s="200">
        <f>Z256</f>
        <v>0</v>
      </c>
      <c r="D255" s="200"/>
      <c r="E255" s="200"/>
      <c r="F255" s="199"/>
      <c r="G255" s="199"/>
      <c r="H255" s="201" t="s">
        <v>413</v>
      </c>
      <c r="I255" s="202">
        <f t="shared" ref="I255:T255" si="5">COUNTIF(I3:I253,"×")</f>
        <v>0</v>
      </c>
      <c r="J255" s="203">
        <f t="shared" si="5"/>
        <v>0</v>
      </c>
      <c r="K255" s="203">
        <f t="shared" si="5"/>
        <v>0</v>
      </c>
      <c r="L255" s="204">
        <f t="shared" si="5"/>
        <v>0</v>
      </c>
      <c r="M255" s="202">
        <f t="shared" si="5"/>
        <v>0</v>
      </c>
      <c r="N255" s="203">
        <f t="shared" si="5"/>
        <v>0</v>
      </c>
      <c r="O255" s="203">
        <f t="shared" si="5"/>
        <v>0</v>
      </c>
      <c r="P255" s="203">
        <f t="shared" si="5"/>
        <v>0</v>
      </c>
      <c r="Q255" s="203">
        <f t="shared" si="5"/>
        <v>0</v>
      </c>
      <c r="R255" s="203">
        <f t="shared" si="5"/>
        <v>0</v>
      </c>
      <c r="S255" s="205">
        <f t="shared" si="5"/>
        <v>0</v>
      </c>
      <c r="T255" s="205">
        <f t="shared" si="5"/>
        <v>0</v>
      </c>
      <c r="U255" s="262"/>
      <c r="V255" s="331"/>
      <c r="W255" s="331"/>
      <c r="X255" s="332"/>
      <c r="Y255" s="206" t="s">
        <v>411</v>
      </c>
      <c r="Z255" s="207">
        <f t="shared" ref="Z255:Z257" si="6">SUM(I255:T255)</f>
        <v>0</v>
      </c>
    </row>
    <row r="256" spans="1:27" s="238" customFormat="1" ht="12" customHeight="1" x14ac:dyDescent="0.25">
      <c r="A256" s="208" t="s">
        <v>414</v>
      </c>
      <c r="B256" s="209"/>
      <c r="C256" s="210"/>
      <c r="D256" s="210"/>
      <c r="E256" s="210"/>
      <c r="F256" s="209"/>
      <c r="G256" s="209"/>
      <c r="H256" s="211" t="s">
        <v>415</v>
      </c>
      <c r="I256" s="202">
        <f t="shared" ref="I256:Q256" si="7">I254+I255</f>
        <v>0</v>
      </c>
      <c r="J256" s="203">
        <f t="shared" si="7"/>
        <v>0</v>
      </c>
      <c r="K256" s="203">
        <f t="shared" si="7"/>
        <v>0</v>
      </c>
      <c r="L256" s="204">
        <f t="shared" si="7"/>
        <v>0</v>
      </c>
      <c r="M256" s="202">
        <f t="shared" si="7"/>
        <v>0</v>
      </c>
      <c r="N256" s="203">
        <f t="shared" si="7"/>
        <v>0</v>
      </c>
      <c r="O256" s="203">
        <f t="shared" si="7"/>
        <v>0</v>
      </c>
      <c r="P256" s="203">
        <f t="shared" si="7"/>
        <v>0</v>
      </c>
      <c r="Q256" s="203">
        <f t="shared" si="7"/>
        <v>0</v>
      </c>
      <c r="R256" s="203">
        <f t="shared" ref="R256" si="8">R254+R255</f>
        <v>0</v>
      </c>
      <c r="S256" s="205">
        <f t="shared" ref="S256:T256" si="9">S254+S255</f>
        <v>0</v>
      </c>
      <c r="T256" s="205">
        <f t="shared" si="9"/>
        <v>0</v>
      </c>
      <c r="U256" s="263"/>
      <c r="V256" s="333">
        <f>COUNTA(V3:V253)</f>
        <v>40</v>
      </c>
      <c r="W256" s="335">
        <f>COUNTA(W3:W253)</f>
        <v>19</v>
      </c>
      <c r="X256" s="337">
        <f>COUNTA(X3:X253)</f>
        <v>11</v>
      </c>
      <c r="Y256" s="212" t="s">
        <v>411</v>
      </c>
      <c r="Z256" s="207">
        <f t="shared" si="6"/>
        <v>0</v>
      </c>
    </row>
    <row r="257" spans="1:50" s="238" customFormat="1" ht="12" customHeight="1" x14ac:dyDescent="0.25">
      <c r="A257" s="213"/>
      <c r="B257" s="232" t="s">
        <v>416</v>
      </c>
      <c r="C257" s="215">
        <f>Z257</f>
        <v>251</v>
      </c>
      <c r="D257" s="215"/>
      <c r="E257" s="215"/>
      <c r="F257" s="214"/>
      <c r="G257" s="214"/>
      <c r="H257" s="216" t="s">
        <v>417</v>
      </c>
      <c r="I257" s="217">
        <f t="shared" ref="I257:T257" si="10">COUNTA(I3:I253)</f>
        <v>0</v>
      </c>
      <c r="J257" s="218">
        <f t="shared" si="10"/>
        <v>4</v>
      </c>
      <c r="K257" s="218">
        <f t="shared" si="10"/>
        <v>0</v>
      </c>
      <c r="L257" s="219">
        <f t="shared" si="10"/>
        <v>0</v>
      </c>
      <c r="M257" s="217">
        <f t="shared" si="10"/>
        <v>2</v>
      </c>
      <c r="N257" s="218">
        <f t="shared" si="10"/>
        <v>6</v>
      </c>
      <c r="O257" s="218">
        <f t="shared" si="10"/>
        <v>0</v>
      </c>
      <c r="P257" s="218">
        <f t="shared" si="10"/>
        <v>9</v>
      </c>
      <c r="Q257" s="218">
        <f t="shared" si="10"/>
        <v>19</v>
      </c>
      <c r="R257" s="218">
        <f t="shared" si="10"/>
        <v>138</v>
      </c>
      <c r="S257" s="220">
        <f t="shared" si="10"/>
        <v>22</v>
      </c>
      <c r="T257" s="220">
        <f t="shared" si="10"/>
        <v>51</v>
      </c>
      <c r="U257" s="264"/>
      <c r="V257" s="334"/>
      <c r="W257" s="336"/>
      <c r="X257" s="338"/>
      <c r="Y257" s="221" t="s">
        <v>411</v>
      </c>
      <c r="Z257" s="222">
        <f t="shared" si="6"/>
        <v>251</v>
      </c>
      <c r="AH257" s="236"/>
      <c r="AI257" s="236"/>
      <c r="AJ257" s="236"/>
      <c r="AK257" s="236"/>
      <c r="AL257" s="236"/>
      <c r="AM257" s="236"/>
      <c r="AN257" s="236"/>
      <c r="AO257" s="236"/>
      <c r="AP257" s="236"/>
      <c r="AQ257" s="236"/>
      <c r="AR257" s="236"/>
      <c r="AS257" s="236"/>
      <c r="AT257" s="236"/>
      <c r="AU257" s="236"/>
      <c r="AV257" s="236"/>
      <c r="AW257" s="236"/>
      <c r="AX257" s="236"/>
    </row>
  </sheetData>
  <autoFilter ref="A1:Z257" xr:uid="{0795DF33-FB4F-493A-9C69-76BEB92E3D48}">
    <filterColumn colId="8" showButton="0"/>
    <filterColumn colId="9" showButton="0"/>
    <filterColumn colId="10" showButton="0"/>
    <filterColumn colId="12" showButton="0"/>
    <filterColumn colId="13" showButton="0"/>
    <filterColumn colId="14" showButton="0"/>
    <filterColumn colId="15" showButton="0"/>
    <filterColumn colId="16" showButton="0"/>
    <filterColumn colId="17" showButton="0"/>
    <filterColumn colId="18" showButton="0"/>
    <filterColumn colId="21" showButton="0"/>
    <filterColumn colId="22" showButton="0"/>
  </autoFilter>
  <mergeCells count="18">
    <mergeCell ref="Y1:Y2"/>
    <mergeCell ref="Z1:Z2"/>
    <mergeCell ref="A1:A2"/>
    <mergeCell ref="B1:B2"/>
    <mergeCell ref="C1:C2"/>
    <mergeCell ref="D1:D2"/>
    <mergeCell ref="E1:E2"/>
    <mergeCell ref="F1:F2"/>
    <mergeCell ref="G1:G2"/>
    <mergeCell ref="V254:X255"/>
    <mergeCell ref="V256:V257"/>
    <mergeCell ref="W256:W257"/>
    <mergeCell ref="X256:X257"/>
    <mergeCell ref="H1:H2"/>
    <mergeCell ref="I1:L1"/>
    <mergeCell ref="M1:T1"/>
    <mergeCell ref="V1:X1"/>
    <mergeCell ref="U1:U2"/>
  </mergeCells>
  <phoneticPr fontId="15"/>
  <printOptions horizontalCentered="1"/>
  <pageMargins left="0.19685039370078741" right="0.19685039370078741" top="0.59055118110236227" bottom="0.59055118110236227" header="0.51181102362204722" footer="0.31496062992125984"/>
  <pageSetup paperSize="9" scale="45" fitToHeight="0" orientation="landscape" r:id="rId1"/>
  <headerFooter alignWithMargins="0">
    <oddFooter>&amp;RAll Rights Reserved Copyright © Fujitsu Ltd.2017</oddFooter>
  </headerFooter>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7FA31-CA26-44BF-BFC1-90352F9233A3}">
  <dimension ref="B2:AG49"/>
  <sheetViews>
    <sheetView topLeftCell="B6" workbookViewId="0">
      <selection activeCell="S19" sqref="S19"/>
    </sheetView>
  </sheetViews>
  <sheetFormatPr defaultColWidth="9" defaultRowHeight="12.6" x14ac:dyDescent="0.25"/>
  <cols>
    <col min="1" max="1" width="9" style="235"/>
    <col min="2" max="2" width="23.625" style="235" bestFit="1" customWidth="1"/>
    <col min="3" max="3" width="42.125" style="235" bestFit="1" customWidth="1"/>
    <col min="4" max="4" width="9" style="235"/>
    <col min="5" max="5" width="18.625" style="235" bestFit="1" customWidth="1"/>
    <col min="6" max="6" width="5.5" style="235" bestFit="1" customWidth="1"/>
    <col min="7" max="7" width="29.625" style="235" bestFit="1" customWidth="1"/>
    <col min="8" max="8" width="16.125" style="235" bestFit="1" customWidth="1"/>
    <col min="9" max="9" width="5.5" style="235" customWidth="1"/>
    <col min="10" max="10" width="11.375" style="235" bestFit="1" customWidth="1"/>
    <col min="11" max="11" width="29.625" style="235" bestFit="1" customWidth="1"/>
    <col min="12" max="12" width="23.125" style="235" bestFit="1" customWidth="1"/>
    <col min="13" max="13" width="9" style="235"/>
    <col min="14" max="14" width="13.375" style="235" bestFit="1" customWidth="1"/>
    <col min="15" max="15" width="10.375" style="235" bestFit="1" customWidth="1"/>
    <col min="16" max="16" width="12.125" style="235" bestFit="1" customWidth="1"/>
    <col min="17" max="17" width="5.5" style="235" bestFit="1" customWidth="1"/>
    <col min="18" max="18" width="9" style="235"/>
    <col min="19" max="19" width="11.125" style="235" bestFit="1" customWidth="1"/>
    <col min="20" max="20" width="9.125" style="235" bestFit="1" customWidth="1"/>
    <col min="21" max="21" width="16.625" style="235" bestFit="1" customWidth="1"/>
    <col min="22" max="22" width="5.5" style="235" bestFit="1" customWidth="1"/>
    <col min="23" max="23" width="9" style="235"/>
    <col min="24" max="25" width="17.5" style="235" bestFit="1" customWidth="1"/>
    <col min="26" max="26" width="15.625" style="235" bestFit="1" customWidth="1"/>
    <col min="27" max="27" width="7.375" style="235" bestFit="1" customWidth="1"/>
    <col min="28" max="28" width="9" style="235"/>
    <col min="29" max="29" width="18.625" style="235" bestFit="1" customWidth="1"/>
    <col min="30" max="30" width="19.625" style="235" bestFit="1" customWidth="1"/>
    <col min="31" max="31" width="5.5" style="235" bestFit="1" customWidth="1"/>
    <col min="32" max="32" width="29.625" style="235" bestFit="1" customWidth="1"/>
    <col min="33" max="33" width="26.625" style="235" bestFit="1" customWidth="1"/>
    <col min="34" max="16384" width="9" style="235"/>
  </cols>
  <sheetData>
    <row r="2" spans="2:33" x14ac:dyDescent="0.25">
      <c r="B2" s="235" t="s">
        <v>900</v>
      </c>
    </row>
    <row r="4" spans="2:33" x14ac:dyDescent="0.25">
      <c r="B4" s="235" t="s">
        <v>901</v>
      </c>
      <c r="E4" s="235" t="s">
        <v>902</v>
      </c>
      <c r="J4" s="235" t="s">
        <v>903</v>
      </c>
      <c r="N4" s="235" t="s">
        <v>904</v>
      </c>
      <c r="S4" s="235" t="s">
        <v>905</v>
      </c>
      <c r="X4" s="235" t="s">
        <v>906</v>
      </c>
      <c r="AC4" s="235" t="s">
        <v>907</v>
      </c>
    </row>
    <row r="6" spans="2:33" ht="13.2" thickBot="1" x14ac:dyDescent="0.3">
      <c r="B6" s="247" t="s">
        <v>908</v>
      </c>
      <c r="C6" s="248" t="s">
        <v>909</v>
      </c>
      <c r="E6" s="247" t="s">
        <v>910</v>
      </c>
      <c r="F6" s="249" t="s">
        <v>911</v>
      </c>
      <c r="G6" s="249" t="s">
        <v>912</v>
      </c>
      <c r="H6" s="248" t="s">
        <v>35</v>
      </c>
      <c r="J6" s="247" t="s">
        <v>910</v>
      </c>
      <c r="K6" s="249" t="s">
        <v>912</v>
      </c>
      <c r="L6" s="248" t="s">
        <v>35</v>
      </c>
      <c r="N6" s="247" t="s">
        <v>910</v>
      </c>
      <c r="O6" s="249" t="s">
        <v>913</v>
      </c>
      <c r="P6" s="249" t="s">
        <v>912</v>
      </c>
      <c r="Q6" s="248" t="s">
        <v>35</v>
      </c>
      <c r="S6" s="247" t="s">
        <v>910</v>
      </c>
      <c r="T6" s="249" t="s">
        <v>913</v>
      </c>
      <c r="U6" s="249" t="s">
        <v>912</v>
      </c>
      <c r="V6" s="248" t="s">
        <v>35</v>
      </c>
      <c r="X6" s="247" t="s">
        <v>910</v>
      </c>
      <c r="Y6" s="249" t="s">
        <v>913</v>
      </c>
      <c r="Z6" s="249" t="s">
        <v>912</v>
      </c>
      <c r="AA6" s="248" t="s">
        <v>35</v>
      </c>
      <c r="AC6" s="247" t="s">
        <v>910</v>
      </c>
      <c r="AD6" s="249" t="s">
        <v>914</v>
      </c>
      <c r="AE6" s="249" t="s">
        <v>915</v>
      </c>
      <c r="AF6" s="249" t="s">
        <v>912</v>
      </c>
      <c r="AG6" s="248" t="s">
        <v>35</v>
      </c>
    </row>
    <row r="7" spans="2:33" ht="13.2" thickTop="1" x14ac:dyDescent="0.25">
      <c r="B7" s="242" t="s">
        <v>755</v>
      </c>
      <c r="C7" s="243" t="s">
        <v>916</v>
      </c>
      <c r="E7" s="242" t="s">
        <v>674</v>
      </c>
      <c r="F7" s="235" t="s">
        <v>56</v>
      </c>
      <c r="G7" s="235" t="s">
        <v>917</v>
      </c>
      <c r="H7" s="243"/>
      <c r="J7" s="242" t="s">
        <v>685</v>
      </c>
      <c r="K7" s="235" t="s">
        <v>918</v>
      </c>
      <c r="L7" s="243"/>
      <c r="N7" s="242" t="s">
        <v>690</v>
      </c>
      <c r="P7" s="235" t="s">
        <v>918</v>
      </c>
      <c r="Q7" s="243"/>
      <c r="S7" s="242" t="s">
        <v>919</v>
      </c>
      <c r="T7" s="235" t="s">
        <v>920</v>
      </c>
      <c r="U7" s="235" t="s">
        <v>921</v>
      </c>
      <c r="V7" s="243"/>
      <c r="X7" s="242" t="s">
        <v>922</v>
      </c>
      <c r="Z7" s="235" t="s">
        <v>923</v>
      </c>
      <c r="AA7" s="243"/>
      <c r="AC7" s="242" t="s">
        <v>924</v>
      </c>
      <c r="AE7" s="235" t="s">
        <v>61</v>
      </c>
      <c r="AF7" s="235" t="s">
        <v>925</v>
      </c>
      <c r="AG7" s="243"/>
    </row>
    <row r="8" spans="2:33" x14ac:dyDescent="0.25">
      <c r="B8" s="242" t="s">
        <v>757</v>
      </c>
      <c r="C8" s="243" t="s">
        <v>926</v>
      </c>
      <c r="E8" s="242" t="s">
        <v>678</v>
      </c>
      <c r="F8" s="235" t="s">
        <v>61</v>
      </c>
      <c r="G8" s="235" t="s">
        <v>925</v>
      </c>
      <c r="H8" s="243"/>
      <c r="J8" s="242"/>
      <c r="K8" s="235" t="s">
        <v>927</v>
      </c>
      <c r="L8" s="243"/>
      <c r="N8" s="251" t="s">
        <v>928</v>
      </c>
      <c r="O8" s="235" t="s">
        <v>929</v>
      </c>
      <c r="P8" s="235" t="s">
        <v>918</v>
      </c>
      <c r="Q8" s="243"/>
      <c r="S8" s="242"/>
      <c r="U8" s="235" t="s">
        <v>930</v>
      </c>
      <c r="V8" s="243"/>
      <c r="X8" s="242" t="s">
        <v>931</v>
      </c>
      <c r="Z8" s="235" t="s">
        <v>932</v>
      </c>
      <c r="AA8" s="243"/>
      <c r="AC8" s="242"/>
      <c r="AF8" s="235" t="s">
        <v>930</v>
      </c>
      <c r="AG8" s="243"/>
    </row>
    <row r="9" spans="2:33" x14ac:dyDescent="0.25">
      <c r="B9" s="242" t="s">
        <v>759</v>
      </c>
      <c r="C9" s="243" t="s">
        <v>933</v>
      </c>
      <c r="E9" s="242"/>
      <c r="G9" s="235" t="s">
        <v>934</v>
      </c>
      <c r="H9" s="243"/>
      <c r="J9" s="242"/>
      <c r="K9" s="235" t="s">
        <v>935</v>
      </c>
      <c r="L9" s="243" t="s">
        <v>936</v>
      </c>
      <c r="N9" s="251" t="s">
        <v>928</v>
      </c>
      <c r="O9" s="235" t="s">
        <v>937</v>
      </c>
      <c r="P9" s="235" t="s">
        <v>918</v>
      </c>
      <c r="Q9" s="243"/>
      <c r="S9" s="242"/>
      <c r="U9" s="235" t="s">
        <v>932</v>
      </c>
      <c r="V9" s="243"/>
      <c r="X9" s="242" t="s">
        <v>938</v>
      </c>
      <c r="Y9" s="235" t="s">
        <v>939</v>
      </c>
      <c r="Z9" s="235" t="s">
        <v>932</v>
      </c>
      <c r="AA9" s="243" t="s">
        <v>940</v>
      </c>
      <c r="AC9" s="242"/>
      <c r="AF9" s="235" t="s">
        <v>941</v>
      </c>
      <c r="AG9" s="243"/>
    </row>
    <row r="10" spans="2:33" x14ac:dyDescent="0.25">
      <c r="B10" s="242" t="s">
        <v>761</v>
      </c>
      <c r="C10" s="243" t="s">
        <v>942</v>
      </c>
      <c r="E10" s="242"/>
      <c r="G10" s="235" t="s">
        <v>943</v>
      </c>
      <c r="H10" s="243"/>
      <c r="J10" s="242" t="s">
        <v>686</v>
      </c>
      <c r="K10" s="235" t="s">
        <v>930</v>
      </c>
      <c r="L10" s="243"/>
      <c r="N10" s="242" t="s">
        <v>693</v>
      </c>
      <c r="P10" s="235" t="s">
        <v>918</v>
      </c>
      <c r="Q10" s="243"/>
      <c r="S10" s="242"/>
      <c r="U10" s="235" t="s">
        <v>944</v>
      </c>
      <c r="V10" s="243"/>
      <c r="X10" s="242" t="s">
        <v>938</v>
      </c>
      <c r="Y10" s="235" t="s">
        <v>945</v>
      </c>
      <c r="Z10" s="235" t="s">
        <v>932</v>
      </c>
      <c r="AA10" s="243" t="s">
        <v>940</v>
      </c>
      <c r="AC10" s="242" t="s">
        <v>946</v>
      </c>
      <c r="AD10" s="235" t="s">
        <v>947</v>
      </c>
      <c r="AE10" s="235" t="s">
        <v>61</v>
      </c>
      <c r="AF10" s="235" t="s">
        <v>925</v>
      </c>
      <c r="AG10" s="243"/>
    </row>
    <row r="11" spans="2:33" x14ac:dyDescent="0.25">
      <c r="B11" s="242" t="s">
        <v>763</v>
      </c>
      <c r="C11" s="243" t="s">
        <v>948</v>
      </c>
      <c r="E11" s="242" t="s">
        <v>679</v>
      </c>
      <c r="F11" s="235" t="s">
        <v>61</v>
      </c>
      <c r="G11" s="235" t="s">
        <v>925</v>
      </c>
      <c r="H11" s="243"/>
      <c r="J11" s="242"/>
      <c r="K11" s="235" t="s">
        <v>927</v>
      </c>
      <c r="L11" s="243"/>
      <c r="N11" s="251" t="s">
        <v>949</v>
      </c>
      <c r="O11" s="235" t="s">
        <v>950</v>
      </c>
      <c r="P11" s="235" t="s">
        <v>918</v>
      </c>
      <c r="Q11" s="243"/>
      <c r="S11" s="242" t="s">
        <v>919</v>
      </c>
      <c r="T11" s="235" t="s">
        <v>951</v>
      </c>
      <c r="U11" s="235" t="s">
        <v>944</v>
      </c>
      <c r="V11" s="243"/>
      <c r="X11" s="242" t="s">
        <v>952</v>
      </c>
      <c r="Y11" s="235" t="s">
        <v>953</v>
      </c>
      <c r="Z11" s="235" t="s">
        <v>932</v>
      </c>
      <c r="AA11" s="243"/>
      <c r="AC11" s="242"/>
      <c r="AF11" s="235" t="s">
        <v>954</v>
      </c>
      <c r="AG11" s="243"/>
    </row>
    <row r="12" spans="2:33" x14ac:dyDescent="0.25">
      <c r="B12" s="242" t="s">
        <v>766</v>
      </c>
      <c r="C12" s="243" t="s">
        <v>955</v>
      </c>
      <c r="E12" s="242"/>
      <c r="G12" s="235" t="s">
        <v>934</v>
      </c>
      <c r="H12" s="243"/>
      <c r="J12" s="242"/>
      <c r="K12" s="235" t="s">
        <v>935</v>
      </c>
      <c r="L12" s="243" t="s">
        <v>936</v>
      </c>
      <c r="N12" s="242" t="s">
        <v>695</v>
      </c>
      <c r="P12" s="235" t="s">
        <v>918</v>
      </c>
      <c r="Q12" s="243"/>
      <c r="S12" s="242"/>
      <c r="U12" s="235" t="s">
        <v>930</v>
      </c>
      <c r="V12" s="243"/>
      <c r="X12" s="242" t="s">
        <v>952</v>
      </c>
      <c r="Y12" s="235" t="s">
        <v>956</v>
      </c>
      <c r="Z12" s="235" t="s">
        <v>932</v>
      </c>
      <c r="AA12" s="243"/>
      <c r="AC12" s="242" t="s">
        <v>946</v>
      </c>
      <c r="AD12" s="235" t="s">
        <v>957</v>
      </c>
      <c r="AE12" s="235" t="s">
        <v>61</v>
      </c>
      <c r="AF12" s="235" t="s">
        <v>925</v>
      </c>
      <c r="AG12" s="243"/>
    </row>
    <row r="13" spans="2:33" x14ac:dyDescent="0.25">
      <c r="B13" s="242" t="s">
        <v>768</v>
      </c>
      <c r="C13" s="243" t="s">
        <v>958</v>
      </c>
      <c r="E13" s="242"/>
      <c r="G13" s="235" t="s">
        <v>943</v>
      </c>
      <c r="H13" s="243"/>
      <c r="J13" s="242" t="s">
        <v>687</v>
      </c>
      <c r="K13" s="235" t="s">
        <v>930</v>
      </c>
      <c r="L13" s="243"/>
      <c r="N13" s="242" t="s">
        <v>696</v>
      </c>
      <c r="P13" s="235" t="s">
        <v>918</v>
      </c>
      <c r="Q13" s="243"/>
      <c r="S13" s="242"/>
      <c r="U13" s="235" t="s">
        <v>932</v>
      </c>
      <c r="V13" s="243"/>
      <c r="X13" s="242" t="s">
        <v>959</v>
      </c>
      <c r="Y13" s="235" t="s">
        <v>960</v>
      </c>
      <c r="Z13" s="235" t="s">
        <v>932</v>
      </c>
      <c r="AA13" s="243"/>
      <c r="AC13" s="242"/>
      <c r="AF13" s="235" t="s">
        <v>954</v>
      </c>
      <c r="AG13" s="243"/>
    </row>
    <row r="14" spans="2:33" x14ac:dyDescent="0.25">
      <c r="B14" s="242" t="s">
        <v>770</v>
      </c>
      <c r="C14" s="243" t="s">
        <v>961</v>
      </c>
      <c r="E14" s="242" t="s">
        <v>680</v>
      </c>
      <c r="F14" s="235" t="s">
        <v>61</v>
      </c>
      <c r="G14" s="235" t="s">
        <v>925</v>
      </c>
      <c r="H14" s="243"/>
      <c r="J14" s="242"/>
      <c r="K14" s="235" t="s">
        <v>927</v>
      </c>
      <c r="L14" s="243"/>
      <c r="N14" s="242" t="s">
        <v>962</v>
      </c>
      <c r="O14" s="235" t="s">
        <v>963</v>
      </c>
      <c r="P14" s="235" t="s">
        <v>918</v>
      </c>
      <c r="Q14" s="243"/>
      <c r="S14" s="242"/>
      <c r="U14" s="235" t="s">
        <v>944</v>
      </c>
      <c r="V14" s="243"/>
      <c r="X14" s="242" t="s">
        <v>959</v>
      </c>
      <c r="Y14" s="235" t="s">
        <v>964</v>
      </c>
      <c r="Z14" s="235" t="s">
        <v>932</v>
      </c>
      <c r="AA14" s="243"/>
      <c r="AC14" s="242" t="s">
        <v>946</v>
      </c>
      <c r="AD14" s="235" t="s">
        <v>965</v>
      </c>
      <c r="AE14" s="235" t="s">
        <v>61</v>
      </c>
      <c r="AF14" s="235" t="s">
        <v>925</v>
      </c>
      <c r="AG14" s="243"/>
    </row>
    <row r="15" spans="2:33" x14ac:dyDescent="0.25">
      <c r="B15" s="242" t="s">
        <v>772</v>
      </c>
      <c r="C15" s="243" t="s">
        <v>966</v>
      </c>
      <c r="E15" s="242"/>
      <c r="G15" s="235" t="s">
        <v>967</v>
      </c>
      <c r="H15" s="243"/>
      <c r="J15" s="242" t="s">
        <v>688</v>
      </c>
      <c r="K15" s="235" t="s">
        <v>918</v>
      </c>
      <c r="L15" s="243"/>
      <c r="N15" s="242" t="s">
        <v>962</v>
      </c>
      <c r="O15" s="235" t="s">
        <v>968</v>
      </c>
      <c r="P15" s="235" t="s">
        <v>918</v>
      </c>
      <c r="Q15" s="243"/>
      <c r="S15" s="242" t="s">
        <v>706</v>
      </c>
      <c r="U15" s="235" t="s">
        <v>944</v>
      </c>
      <c r="V15" s="243"/>
      <c r="X15" s="242" t="s">
        <v>959</v>
      </c>
      <c r="Y15" s="235" t="s">
        <v>969</v>
      </c>
      <c r="Z15" s="235" t="s">
        <v>592</v>
      </c>
      <c r="AA15" s="243"/>
      <c r="AC15" s="242"/>
      <c r="AF15" s="235" t="s">
        <v>954</v>
      </c>
      <c r="AG15" s="243"/>
    </row>
    <row r="16" spans="2:33" x14ac:dyDescent="0.25">
      <c r="B16" s="242" t="s">
        <v>775</v>
      </c>
      <c r="C16" s="243" t="s">
        <v>970</v>
      </c>
      <c r="E16" s="242" t="s">
        <v>681</v>
      </c>
      <c r="F16" s="235" t="s">
        <v>61</v>
      </c>
      <c r="G16" s="235" t="s">
        <v>925</v>
      </c>
      <c r="H16" s="243"/>
      <c r="J16" s="245"/>
      <c r="K16" s="250" t="s">
        <v>971</v>
      </c>
      <c r="L16" s="246"/>
      <c r="N16" s="242" t="s">
        <v>699</v>
      </c>
      <c r="P16" s="235" t="s">
        <v>918</v>
      </c>
      <c r="Q16" s="243"/>
      <c r="S16" s="245" t="s">
        <v>707</v>
      </c>
      <c r="T16" s="250"/>
      <c r="U16" s="250" t="s">
        <v>972</v>
      </c>
      <c r="V16" s="246"/>
      <c r="X16" s="242" t="s">
        <v>973</v>
      </c>
      <c r="Y16" s="235" t="s">
        <v>974</v>
      </c>
      <c r="Z16" s="235" t="s">
        <v>932</v>
      </c>
      <c r="AA16" s="243"/>
      <c r="AC16" s="242" t="s">
        <v>975</v>
      </c>
      <c r="AD16" s="235" t="s">
        <v>976</v>
      </c>
      <c r="AE16" s="235" t="s">
        <v>61</v>
      </c>
      <c r="AF16" s="235" t="s">
        <v>925</v>
      </c>
      <c r="AG16" s="243"/>
    </row>
    <row r="17" spans="2:33" x14ac:dyDescent="0.25">
      <c r="B17" s="242" t="s">
        <v>777</v>
      </c>
      <c r="C17" s="243" t="s">
        <v>977</v>
      </c>
      <c r="E17" s="242"/>
      <c r="G17" s="252" t="s">
        <v>978</v>
      </c>
      <c r="H17" s="243" t="s">
        <v>979</v>
      </c>
      <c r="N17" s="242" t="s">
        <v>700</v>
      </c>
      <c r="P17" s="235" t="s">
        <v>918</v>
      </c>
      <c r="Q17" s="243"/>
      <c r="X17" s="242" t="s">
        <v>980</v>
      </c>
      <c r="Y17" s="235" t="s">
        <v>981</v>
      </c>
      <c r="Z17" s="235" t="s">
        <v>932</v>
      </c>
      <c r="AA17" s="243"/>
      <c r="AC17" s="242"/>
      <c r="AF17" s="235" t="s">
        <v>954</v>
      </c>
      <c r="AG17" s="243"/>
    </row>
    <row r="18" spans="2:33" x14ac:dyDescent="0.25">
      <c r="B18" s="244" t="s">
        <v>779</v>
      </c>
      <c r="C18" s="243"/>
      <c r="E18" s="242" t="s">
        <v>682</v>
      </c>
      <c r="F18" s="235" t="s">
        <v>61</v>
      </c>
      <c r="G18" s="235" t="s">
        <v>925</v>
      </c>
      <c r="H18" s="243"/>
      <c r="N18" s="242" t="s">
        <v>982</v>
      </c>
      <c r="P18" s="235" t="s">
        <v>918</v>
      </c>
      <c r="Q18" s="243"/>
      <c r="X18" s="242" t="s">
        <v>983</v>
      </c>
      <c r="Z18" s="235" t="s">
        <v>932</v>
      </c>
      <c r="AA18" s="243"/>
      <c r="AC18" s="242" t="s">
        <v>975</v>
      </c>
      <c r="AD18" s="235" t="s">
        <v>984</v>
      </c>
      <c r="AE18" s="235" t="s">
        <v>61</v>
      </c>
      <c r="AF18" s="235" t="s">
        <v>925</v>
      </c>
      <c r="AG18" s="243"/>
    </row>
    <row r="19" spans="2:33" x14ac:dyDescent="0.25">
      <c r="B19" s="242" t="s">
        <v>780</v>
      </c>
      <c r="C19" s="243" t="s">
        <v>985</v>
      </c>
      <c r="E19" s="242"/>
      <c r="G19" s="235" t="s">
        <v>967</v>
      </c>
      <c r="H19" s="243"/>
      <c r="N19" s="245" t="s">
        <v>986</v>
      </c>
      <c r="O19" s="250"/>
      <c r="P19" s="250" t="s">
        <v>918</v>
      </c>
      <c r="Q19" s="246"/>
      <c r="X19" s="242" t="s">
        <v>987</v>
      </c>
      <c r="Z19" s="235" t="s">
        <v>932</v>
      </c>
      <c r="AA19" s="243"/>
      <c r="AC19" s="242"/>
      <c r="AF19" s="235" t="s">
        <v>954</v>
      </c>
      <c r="AG19" s="243"/>
    </row>
    <row r="20" spans="2:33" x14ac:dyDescent="0.25">
      <c r="B20" s="242" t="s">
        <v>782</v>
      </c>
      <c r="C20" s="243" t="s">
        <v>961</v>
      </c>
      <c r="E20" s="242" t="s">
        <v>683</v>
      </c>
      <c r="F20" s="235" t="s">
        <v>61</v>
      </c>
      <c r="G20" s="235" t="s">
        <v>925</v>
      </c>
      <c r="H20" s="243"/>
      <c r="X20" s="245"/>
      <c r="Y20" s="250"/>
      <c r="Z20" s="250" t="s">
        <v>930</v>
      </c>
      <c r="AA20" s="246"/>
      <c r="AC20" s="242" t="s">
        <v>975</v>
      </c>
      <c r="AD20" s="235" t="s">
        <v>988</v>
      </c>
      <c r="AE20" s="235" t="s">
        <v>61</v>
      </c>
      <c r="AF20" s="235" t="s">
        <v>925</v>
      </c>
      <c r="AG20" s="243"/>
    </row>
    <row r="21" spans="2:33" x14ac:dyDescent="0.25">
      <c r="B21" s="242" t="s">
        <v>783</v>
      </c>
      <c r="C21" s="243" t="s">
        <v>989</v>
      </c>
      <c r="E21" s="242" t="s">
        <v>990</v>
      </c>
      <c r="F21" s="235" t="s">
        <v>61</v>
      </c>
      <c r="G21" s="235" t="s">
        <v>925</v>
      </c>
      <c r="H21" s="243"/>
      <c r="AC21" s="242"/>
      <c r="AF21" s="235" t="s">
        <v>954</v>
      </c>
      <c r="AG21" s="243"/>
    </row>
    <row r="22" spans="2:33" x14ac:dyDescent="0.25">
      <c r="B22" s="242" t="s">
        <v>785</v>
      </c>
      <c r="C22" s="243" t="s">
        <v>991</v>
      </c>
      <c r="E22" s="242"/>
      <c r="G22" s="235" t="s">
        <v>918</v>
      </c>
      <c r="H22" s="243"/>
      <c r="AC22" s="242" t="s">
        <v>975</v>
      </c>
      <c r="AD22" s="235" t="s">
        <v>992</v>
      </c>
      <c r="AE22" s="235" t="s">
        <v>61</v>
      </c>
      <c r="AF22" s="235" t="s">
        <v>925</v>
      </c>
      <c r="AG22" s="243"/>
    </row>
    <row r="23" spans="2:33" x14ac:dyDescent="0.25">
      <c r="B23" s="242" t="s">
        <v>788</v>
      </c>
      <c r="C23" s="243" t="s">
        <v>993</v>
      </c>
      <c r="E23" s="242"/>
      <c r="G23" s="235" t="s">
        <v>935</v>
      </c>
      <c r="H23" s="243"/>
      <c r="AC23" s="242"/>
      <c r="AF23" s="235" t="s">
        <v>954</v>
      </c>
      <c r="AG23" s="243"/>
    </row>
    <row r="24" spans="2:33" x14ac:dyDescent="0.25">
      <c r="B24" s="242" t="s">
        <v>790</v>
      </c>
      <c r="C24" s="243" t="s">
        <v>994</v>
      </c>
      <c r="E24" s="242" t="s">
        <v>995</v>
      </c>
      <c r="F24" s="235" t="s">
        <v>996</v>
      </c>
      <c r="G24" s="235" t="s">
        <v>917</v>
      </c>
      <c r="H24" s="243"/>
      <c r="AC24" s="242" t="s">
        <v>975</v>
      </c>
      <c r="AD24" s="235" t="s">
        <v>997</v>
      </c>
      <c r="AE24" s="235" t="s">
        <v>61</v>
      </c>
      <c r="AF24" s="235" t="s">
        <v>925</v>
      </c>
      <c r="AG24" s="243"/>
    </row>
    <row r="25" spans="2:33" x14ac:dyDescent="0.25">
      <c r="B25" s="242" t="s">
        <v>792</v>
      </c>
      <c r="C25" s="243" t="s">
        <v>998</v>
      </c>
      <c r="E25" s="242" t="s">
        <v>999</v>
      </c>
      <c r="F25" s="235" t="s">
        <v>996</v>
      </c>
      <c r="G25" s="235" t="s">
        <v>917</v>
      </c>
      <c r="H25" s="243"/>
      <c r="AC25" s="242"/>
      <c r="AF25" s="235" t="s">
        <v>954</v>
      </c>
      <c r="AG25" s="243"/>
    </row>
    <row r="26" spans="2:33" x14ac:dyDescent="0.25">
      <c r="B26" s="242" t="s">
        <v>794</v>
      </c>
      <c r="C26" s="243" t="s">
        <v>1000</v>
      </c>
      <c r="E26" s="245" t="s">
        <v>1001</v>
      </c>
      <c r="F26" s="250" t="s">
        <v>996</v>
      </c>
      <c r="G26" s="250" t="s">
        <v>917</v>
      </c>
      <c r="H26" s="246"/>
      <c r="AC26" s="242" t="s">
        <v>1002</v>
      </c>
      <c r="AD26" s="235" t="s">
        <v>1003</v>
      </c>
      <c r="AE26" s="235" t="s">
        <v>61</v>
      </c>
      <c r="AF26" s="235" t="s">
        <v>954</v>
      </c>
      <c r="AG26" s="243"/>
    </row>
    <row r="27" spans="2:33" x14ac:dyDescent="0.25">
      <c r="B27" s="242" t="s">
        <v>797</v>
      </c>
      <c r="C27" s="243" t="s">
        <v>1004</v>
      </c>
      <c r="AC27" s="242"/>
      <c r="AF27" s="235" t="s">
        <v>1005</v>
      </c>
      <c r="AG27" s="243"/>
    </row>
    <row r="28" spans="2:33" x14ac:dyDescent="0.25">
      <c r="B28" s="242" t="s">
        <v>799</v>
      </c>
      <c r="C28" s="243" t="s">
        <v>1006</v>
      </c>
      <c r="AC28" s="242" t="s">
        <v>1002</v>
      </c>
      <c r="AD28" s="235" t="s">
        <v>1007</v>
      </c>
      <c r="AE28" s="235" t="s">
        <v>61</v>
      </c>
      <c r="AF28" s="235" t="s">
        <v>954</v>
      </c>
      <c r="AG28" s="243" t="s">
        <v>1008</v>
      </c>
    </row>
    <row r="29" spans="2:33" x14ac:dyDescent="0.25">
      <c r="B29" s="242" t="s">
        <v>801</v>
      </c>
      <c r="C29" s="243" t="s">
        <v>1009</v>
      </c>
      <c r="AC29" s="242"/>
      <c r="AF29" s="235" t="s">
        <v>1005</v>
      </c>
      <c r="AG29" s="243"/>
    </row>
    <row r="30" spans="2:33" x14ac:dyDescent="0.25">
      <c r="B30" s="242" t="s">
        <v>803</v>
      </c>
      <c r="C30" s="243" t="s">
        <v>1010</v>
      </c>
      <c r="AC30" s="242" t="s">
        <v>1002</v>
      </c>
      <c r="AD30" s="235" t="s">
        <v>946</v>
      </c>
      <c r="AE30" s="235" t="s">
        <v>61</v>
      </c>
      <c r="AF30" s="235" t="s">
        <v>954</v>
      </c>
      <c r="AG30" s="243" t="s">
        <v>1008</v>
      </c>
    </row>
    <row r="31" spans="2:33" x14ac:dyDescent="0.25">
      <c r="B31" s="242" t="s">
        <v>805</v>
      </c>
      <c r="C31" s="243" t="s">
        <v>1006</v>
      </c>
      <c r="AC31" s="242"/>
      <c r="AF31" s="235" t="s">
        <v>1005</v>
      </c>
      <c r="AG31" s="243"/>
    </row>
    <row r="32" spans="2:33" x14ac:dyDescent="0.25">
      <c r="B32" s="242" t="s">
        <v>806</v>
      </c>
      <c r="C32" s="243" t="s">
        <v>1011</v>
      </c>
      <c r="AC32" s="242" t="s">
        <v>1002</v>
      </c>
      <c r="AD32" s="235" t="s">
        <v>1012</v>
      </c>
      <c r="AE32" s="235" t="s">
        <v>61</v>
      </c>
      <c r="AF32" s="235" t="s">
        <v>954</v>
      </c>
      <c r="AG32" s="243" t="s">
        <v>1008</v>
      </c>
    </row>
    <row r="33" spans="2:33" x14ac:dyDescent="0.25">
      <c r="B33" s="245" t="s">
        <v>808</v>
      </c>
      <c r="C33" s="246" t="s">
        <v>1013</v>
      </c>
      <c r="AC33" s="242"/>
      <c r="AF33" s="235" t="s">
        <v>1005</v>
      </c>
      <c r="AG33" s="243"/>
    </row>
    <row r="34" spans="2:33" x14ac:dyDescent="0.25">
      <c r="AC34" s="242" t="s">
        <v>1002</v>
      </c>
      <c r="AD34" s="235" t="s">
        <v>997</v>
      </c>
      <c r="AE34" s="235" t="s">
        <v>61</v>
      </c>
      <c r="AF34" s="235" t="s">
        <v>954</v>
      </c>
      <c r="AG34" s="243" t="s">
        <v>1008</v>
      </c>
    </row>
    <row r="35" spans="2:33" x14ac:dyDescent="0.25">
      <c r="AC35" s="242"/>
      <c r="AF35" s="235" t="s">
        <v>1005</v>
      </c>
      <c r="AG35" s="243"/>
    </row>
    <row r="36" spans="2:33" x14ac:dyDescent="0.25">
      <c r="AC36" s="242" t="s">
        <v>1014</v>
      </c>
      <c r="AD36" s="235" t="s">
        <v>1015</v>
      </c>
      <c r="AE36" s="235" t="s">
        <v>61</v>
      </c>
      <c r="AF36" s="235" t="s">
        <v>934</v>
      </c>
      <c r="AG36" s="243"/>
    </row>
    <row r="37" spans="2:33" x14ac:dyDescent="0.25">
      <c r="AC37" s="242" t="s">
        <v>1014</v>
      </c>
      <c r="AD37" s="235" t="s">
        <v>1016</v>
      </c>
      <c r="AE37" s="235" t="s">
        <v>61</v>
      </c>
      <c r="AF37" s="235" t="s">
        <v>934</v>
      </c>
      <c r="AG37" s="243"/>
    </row>
    <row r="38" spans="2:33" x14ac:dyDescent="0.25">
      <c r="AC38" s="242" t="s">
        <v>1014</v>
      </c>
      <c r="AD38" s="235" t="s">
        <v>1017</v>
      </c>
      <c r="AE38" s="235" t="s">
        <v>61</v>
      </c>
      <c r="AF38" s="235" t="s">
        <v>934</v>
      </c>
      <c r="AG38" s="243"/>
    </row>
    <row r="39" spans="2:33" x14ac:dyDescent="0.25">
      <c r="AC39" s="242" t="s">
        <v>1014</v>
      </c>
      <c r="AD39" s="235" t="s">
        <v>1018</v>
      </c>
      <c r="AE39" s="235" t="s">
        <v>61</v>
      </c>
      <c r="AF39" s="235" t="s">
        <v>934</v>
      </c>
      <c r="AG39" s="243"/>
    </row>
    <row r="40" spans="2:33" x14ac:dyDescent="0.25">
      <c r="AC40" s="242" t="s">
        <v>1019</v>
      </c>
      <c r="AE40" s="235" t="s">
        <v>61</v>
      </c>
      <c r="AF40" s="235" t="s">
        <v>917</v>
      </c>
      <c r="AG40" s="243"/>
    </row>
    <row r="41" spans="2:33" x14ac:dyDescent="0.25">
      <c r="AC41" s="242" t="s">
        <v>1020</v>
      </c>
      <c r="AE41" s="235" t="s">
        <v>61</v>
      </c>
      <c r="AF41" s="235" t="s">
        <v>934</v>
      </c>
      <c r="AG41" s="243"/>
    </row>
    <row r="42" spans="2:33" x14ac:dyDescent="0.25">
      <c r="AC42" s="242" t="s">
        <v>1021</v>
      </c>
      <c r="AD42" s="235" t="s">
        <v>1022</v>
      </c>
      <c r="AE42" s="235" t="s">
        <v>996</v>
      </c>
      <c r="AF42" s="235" t="s">
        <v>934</v>
      </c>
      <c r="AG42" s="243"/>
    </row>
    <row r="43" spans="2:33" x14ac:dyDescent="0.25">
      <c r="AC43" s="242" t="s">
        <v>1021</v>
      </c>
      <c r="AD43" s="235" t="s">
        <v>1023</v>
      </c>
      <c r="AE43" s="235" t="s">
        <v>996</v>
      </c>
      <c r="AF43" s="235" t="s">
        <v>934</v>
      </c>
      <c r="AG43" s="243"/>
    </row>
    <row r="44" spans="2:33" x14ac:dyDescent="0.25">
      <c r="AC44" s="242" t="s">
        <v>1021</v>
      </c>
      <c r="AD44" s="235" t="s">
        <v>1024</v>
      </c>
      <c r="AE44" s="235" t="s">
        <v>996</v>
      </c>
      <c r="AF44" s="235" t="s">
        <v>934</v>
      </c>
      <c r="AG44" s="243"/>
    </row>
    <row r="45" spans="2:33" x14ac:dyDescent="0.25">
      <c r="AC45" s="242" t="s">
        <v>1021</v>
      </c>
      <c r="AD45" s="235" t="s">
        <v>1025</v>
      </c>
      <c r="AE45" s="235" t="s">
        <v>996</v>
      </c>
      <c r="AF45" s="235" t="s">
        <v>934</v>
      </c>
      <c r="AG45" s="243"/>
    </row>
    <row r="46" spans="2:33" x14ac:dyDescent="0.25">
      <c r="AC46" s="242" t="s">
        <v>1021</v>
      </c>
      <c r="AD46" s="235" t="s">
        <v>1026</v>
      </c>
      <c r="AE46" s="235" t="s">
        <v>996</v>
      </c>
      <c r="AF46" s="235" t="s">
        <v>934</v>
      </c>
      <c r="AG46" s="243"/>
    </row>
    <row r="47" spans="2:33" x14ac:dyDescent="0.25">
      <c r="AC47" s="242" t="s">
        <v>1027</v>
      </c>
      <c r="AD47" s="235" t="s">
        <v>1028</v>
      </c>
      <c r="AE47" s="235" t="s">
        <v>996</v>
      </c>
      <c r="AF47" s="235" t="s">
        <v>934</v>
      </c>
      <c r="AG47" s="243"/>
    </row>
    <row r="48" spans="2:33" x14ac:dyDescent="0.25">
      <c r="AC48" s="242" t="s">
        <v>1027</v>
      </c>
      <c r="AD48" s="235" t="s">
        <v>1029</v>
      </c>
      <c r="AE48" s="235" t="s">
        <v>996</v>
      </c>
      <c r="AF48" s="235" t="s">
        <v>934</v>
      </c>
      <c r="AG48" s="243"/>
    </row>
    <row r="49" spans="29:33" x14ac:dyDescent="0.25">
      <c r="AC49" s="245" t="s">
        <v>1030</v>
      </c>
      <c r="AD49" s="250" t="s">
        <v>1028</v>
      </c>
      <c r="AE49" s="250" t="s">
        <v>996</v>
      </c>
      <c r="AF49" s="250" t="s">
        <v>934</v>
      </c>
      <c r="AG49" s="246"/>
    </row>
  </sheetData>
  <phoneticPr fontId="15"/>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pageSetUpPr fitToPage="1"/>
  </sheetPr>
  <dimension ref="A1:AB161"/>
  <sheetViews>
    <sheetView view="pageBreakPreview" zoomScaleNormal="110" zoomScaleSheetLayoutView="100" workbookViewId="0">
      <pane ySplit="5" topLeftCell="A53" activePane="bottomLeft" state="frozen"/>
      <selection activeCell="B8" sqref="B8"/>
      <selection pane="bottomLeft" activeCell="E23" sqref="E23"/>
    </sheetView>
  </sheetViews>
  <sheetFormatPr defaultColWidth="9.375" defaultRowHeight="9" customHeight="1" outlineLevelCol="1" x14ac:dyDescent="0.15"/>
  <cols>
    <col min="1" max="1" width="5.125" style="6" customWidth="1"/>
    <col min="2" max="2" width="21.5" style="6" customWidth="1"/>
    <col min="3" max="4" width="18.875" style="6" customWidth="1"/>
    <col min="5" max="5" width="20.875" style="6" customWidth="1"/>
    <col min="6" max="6" width="35.375" style="6" customWidth="1"/>
    <col min="7" max="18" width="4" style="7" customWidth="1" outlineLevel="1"/>
    <col min="19" max="21" width="5.875" style="7" customWidth="1"/>
    <col min="22" max="22" width="7.5" style="7" customWidth="1"/>
    <col min="23" max="23" width="27.375" style="6" customWidth="1"/>
    <col min="24" max="25" width="5.5" style="7" customWidth="1"/>
    <col min="26" max="26" width="13.125" style="6" bestFit="1" customWidth="1"/>
    <col min="27" max="16384" width="9.375" style="6"/>
  </cols>
  <sheetData>
    <row r="1" spans="1:28" s="1" customFormat="1" ht="13.5" customHeight="1" x14ac:dyDescent="0.15">
      <c r="A1" s="34"/>
      <c r="B1" s="60"/>
      <c r="C1" s="60"/>
      <c r="D1" s="60"/>
      <c r="E1" s="60"/>
      <c r="F1" s="33"/>
      <c r="G1" s="348" t="s">
        <v>31</v>
      </c>
      <c r="H1" s="349"/>
      <c r="I1" s="349"/>
      <c r="J1" s="349"/>
      <c r="K1" s="349"/>
      <c r="L1" s="349"/>
      <c r="M1" s="349"/>
      <c r="N1" s="349"/>
      <c r="O1" s="350" t="s">
        <v>1031</v>
      </c>
      <c r="P1" s="350"/>
      <c r="Q1" s="350"/>
      <c r="R1" s="350"/>
      <c r="S1" s="353" t="s">
        <v>33</v>
      </c>
      <c r="T1" s="353"/>
      <c r="U1" s="353"/>
      <c r="V1" s="354"/>
      <c r="W1" s="54"/>
      <c r="X1" s="355" t="s">
        <v>1032</v>
      </c>
      <c r="Y1" s="340" t="s">
        <v>1033</v>
      </c>
      <c r="AB1" s="1" t="s">
        <v>1034</v>
      </c>
    </row>
    <row r="2" spans="1:28" s="1" customFormat="1" ht="13.5" customHeight="1" x14ac:dyDescent="0.15">
      <c r="A2" s="61"/>
      <c r="B2" s="64"/>
      <c r="C2" s="64"/>
      <c r="D2" s="64"/>
      <c r="E2" s="64"/>
      <c r="F2" s="67"/>
      <c r="G2" s="343" t="s">
        <v>1035</v>
      </c>
      <c r="H2" s="344"/>
      <c r="I2" s="344"/>
      <c r="J2" s="344"/>
      <c r="K2" s="343"/>
      <c r="L2" s="344"/>
      <c r="M2" s="344"/>
      <c r="N2" s="344"/>
      <c r="O2" s="351"/>
      <c r="P2" s="351"/>
      <c r="Q2" s="351"/>
      <c r="R2" s="351"/>
      <c r="S2" s="345" t="s">
        <v>1036</v>
      </c>
      <c r="T2" s="346"/>
      <c r="U2" s="346"/>
      <c r="V2" s="68"/>
      <c r="W2" s="69"/>
      <c r="X2" s="356"/>
      <c r="Y2" s="341"/>
      <c r="Z2" s="1" t="s">
        <v>1035</v>
      </c>
      <c r="AA2" s="1" t="s">
        <v>1037</v>
      </c>
      <c r="AB2" s="1" t="s">
        <v>1038</v>
      </c>
    </row>
    <row r="3" spans="1:28" s="1" customFormat="1" ht="15" customHeight="1" x14ac:dyDescent="0.15">
      <c r="A3" s="35"/>
      <c r="B3" s="84" t="s">
        <v>1039</v>
      </c>
      <c r="C3" s="59"/>
      <c r="D3" s="59"/>
      <c r="E3" s="59"/>
      <c r="F3" s="36"/>
      <c r="G3" s="347" t="s">
        <v>1037</v>
      </c>
      <c r="H3" s="347"/>
      <c r="I3" s="347"/>
      <c r="J3" s="347"/>
      <c r="K3" s="347" t="s">
        <v>1040</v>
      </c>
      <c r="L3" s="347"/>
      <c r="M3" s="347"/>
      <c r="N3" s="347"/>
      <c r="O3" s="351"/>
      <c r="P3" s="351"/>
      <c r="Q3" s="351"/>
      <c r="R3" s="351"/>
      <c r="S3" s="62"/>
      <c r="T3" s="63"/>
      <c r="U3" s="63"/>
      <c r="V3" s="37"/>
      <c r="W3" s="2"/>
      <c r="X3" s="356"/>
      <c r="Y3" s="341"/>
      <c r="Z3" s="1" t="s">
        <v>1041</v>
      </c>
      <c r="AA3" s="1" t="s">
        <v>1040</v>
      </c>
      <c r="AB3" s="1" t="s">
        <v>1042</v>
      </c>
    </row>
    <row r="4" spans="1:28" s="1" customFormat="1" ht="15" customHeight="1" x14ac:dyDescent="0.15">
      <c r="A4" s="45"/>
      <c r="B4" s="39"/>
      <c r="C4" s="56"/>
      <c r="D4" s="56"/>
      <c r="E4" s="89"/>
      <c r="F4" s="40"/>
      <c r="G4" s="347" t="s">
        <v>1034</v>
      </c>
      <c r="H4" s="347"/>
      <c r="I4" s="347"/>
      <c r="J4" s="347"/>
      <c r="K4" s="347"/>
      <c r="L4" s="347"/>
      <c r="M4" s="347"/>
      <c r="N4" s="347"/>
      <c r="O4" s="352"/>
      <c r="P4" s="352"/>
      <c r="Q4" s="352"/>
      <c r="R4" s="352"/>
      <c r="S4" s="65"/>
      <c r="T4" s="66"/>
      <c r="U4" s="66"/>
      <c r="V4" s="37"/>
      <c r="W4" s="2" t="s">
        <v>1043</v>
      </c>
      <c r="X4" s="356"/>
      <c r="Y4" s="341"/>
      <c r="Z4" s="1" t="s">
        <v>1044</v>
      </c>
      <c r="AB4" s="1" t="s">
        <v>1045</v>
      </c>
    </row>
    <row r="5" spans="1:28" s="1" customFormat="1" ht="22.5" customHeight="1" x14ac:dyDescent="0.15">
      <c r="A5" s="46" t="s">
        <v>24</v>
      </c>
      <c r="B5" s="47" t="s">
        <v>1046</v>
      </c>
      <c r="C5" s="38" t="s">
        <v>1047</v>
      </c>
      <c r="D5" s="38" t="s">
        <v>29</v>
      </c>
      <c r="E5" s="38" t="s">
        <v>1048</v>
      </c>
      <c r="F5" s="55" t="s">
        <v>1049</v>
      </c>
      <c r="G5" s="3" t="s">
        <v>1050</v>
      </c>
      <c r="H5" s="8" t="s">
        <v>37</v>
      </c>
      <c r="I5" s="4" t="s">
        <v>38</v>
      </c>
      <c r="J5" s="4" t="s">
        <v>39</v>
      </c>
      <c r="K5" s="3" t="s">
        <v>1050</v>
      </c>
      <c r="L5" s="8" t="s">
        <v>37</v>
      </c>
      <c r="M5" s="4" t="s">
        <v>38</v>
      </c>
      <c r="N5" s="4" t="s">
        <v>39</v>
      </c>
      <c r="O5" s="3" t="s">
        <v>1050</v>
      </c>
      <c r="P5" s="4" t="s">
        <v>40</v>
      </c>
      <c r="Q5" s="4" t="s">
        <v>41</v>
      </c>
      <c r="R5" s="4" t="s">
        <v>46</v>
      </c>
      <c r="S5" s="3" t="s">
        <v>47</v>
      </c>
      <c r="T5" s="8" t="s">
        <v>48</v>
      </c>
      <c r="U5" s="4" t="s">
        <v>49</v>
      </c>
      <c r="V5" s="41" t="s">
        <v>34</v>
      </c>
      <c r="W5" s="5"/>
      <c r="X5" s="357"/>
      <c r="Y5" s="342"/>
      <c r="Z5" s="1" t="s">
        <v>1051</v>
      </c>
      <c r="AB5" s="1" t="s">
        <v>1052</v>
      </c>
    </row>
    <row r="6" spans="1:28" s="1" customFormat="1" ht="12" customHeight="1" x14ac:dyDescent="0.15">
      <c r="A6" s="106"/>
      <c r="B6" s="107"/>
      <c r="C6" s="108"/>
      <c r="D6" s="108"/>
      <c r="E6" s="109"/>
      <c r="F6" s="110"/>
      <c r="G6" s="111"/>
      <c r="H6" s="112"/>
      <c r="I6" s="113"/>
      <c r="J6" s="113"/>
      <c r="K6" s="111"/>
      <c r="L6" s="112"/>
      <c r="M6" s="113"/>
      <c r="N6" s="113"/>
      <c r="O6" s="111"/>
      <c r="P6" s="113"/>
      <c r="Q6" s="113"/>
      <c r="R6" s="113"/>
      <c r="S6" s="111"/>
      <c r="T6" s="112"/>
      <c r="U6" s="113"/>
      <c r="V6" s="114"/>
      <c r="W6" s="115"/>
      <c r="X6" s="116"/>
      <c r="Y6" s="117"/>
    </row>
    <row r="7" spans="1:28" ht="27" x14ac:dyDescent="0.15">
      <c r="A7" s="86">
        <f t="shared" ref="A7:A137" si="0">ROW()-6</f>
        <v>1</v>
      </c>
      <c r="B7" s="118" t="s">
        <v>1053</v>
      </c>
      <c r="C7" s="118" t="s">
        <v>1054</v>
      </c>
      <c r="D7" s="118" t="s">
        <v>1055</v>
      </c>
      <c r="E7" s="119" t="s">
        <v>1056</v>
      </c>
      <c r="F7" s="120" t="s">
        <v>1057</v>
      </c>
      <c r="G7" s="121"/>
      <c r="H7" s="122"/>
      <c r="I7" s="122"/>
      <c r="J7" s="123"/>
      <c r="K7" s="121"/>
      <c r="L7" s="122"/>
      <c r="M7" s="122"/>
      <c r="N7" s="123"/>
      <c r="O7" s="121"/>
      <c r="P7" s="122"/>
      <c r="Q7" s="122"/>
      <c r="R7" s="123"/>
      <c r="S7" s="124"/>
      <c r="T7" s="125"/>
      <c r="U7" s="125"/>
      <c r="V7" s="126"/>
      <c r="W7" s="87"/>
      <c r="X7" s="85"/>
      <c r="Y7" s="85"/>
    </row>
    <row r="8" spans="1:28" x14ac:dyDescent="0.15">
      <c r="A8" s="86">
        <f t="shared" si="0"/>
        <v>2</v>
      </c>
      <c r="B8" s="118"/>
      <c r="C8" s="118"/>
      <c r="D8" s="118" t="s">
        <v>1058</v>
      </c>
      <c r="E8" s="119" t="s">
        <v>1056</v>
      </c>
      <c r="F8" s="120" t="s">
        <v>1057</v>
      </c>
      <c r="G8" s="121"/>
      <c r="H8" s="122"/>
      <c r="I8" s="122"/>
      <c r="J8" s="123"/>
      <c r="K8" s="121"/>
      <c r="L8" s="122"/>
      <c r="M8" s="122"/>
      <c r="N8" s="123"/>
      <c r="O8" s="121"/>
      <c r="P8" s="122"/>
      <c r="Q8" s="122"/>
      <c r="R8" s="123"/>
      <c r="S8" s="124"/>
      <c r="T8" s="125"/>
      <c r="U8" s="125"/>
      <c r="V8" s="126"/>
      <c r="W8" s="87"/>
      <c r="X8" s="85"/>
      <c r="Y8" s="85"/>
    </row>
    <row r="9" spans="1:28" x14ac:dyDescent="0.15">
      <c r="A9" s="86">
        <f t="shared" si="0"/>
        <v>3</v>
      </c>
      <c r="B9" s="118"/>
      <c r="C9" s="118"/>
      <c r="D9" s="127" t="s">
        <v>1059</v>
      </c>
      <c r="E9" s="119" t="s">
        <v>1056</v>
      </c>
      <c r="F9" s="120" t="s">
        <v>1057</v>
      </c>
      <c r="G9" s="121"/>
      <c r="H9" s="122"/>
      <c r="I9" s="122"/>
      <c r="J9" s="123"/>
      <c r="K9" s="121"/>
      <c r="L9" s="122"/>
      <c r="M9" s="122"/>
      <c r="N9" s="123"/>
      <c r="O9" s="121"/>
      <c r="P9" s="122"/>
      <c r="Q9" s="122"/>
      <c r="R9" s="123"/>
      <c r="S9" s="124"/>
      <c r="T9" s="125"/>
      <c r="U9" s="125"/>
      <c r="V9" s="126"/>
      <c r="W9" s="87"/>
      <c r="X9" s="85"/>
      <c r="Y9" s="85"/>
    </row>
    <row r="10" spans="1:28" x14ac:dyDescent="0.15">
      <c r="A10" s="86">
        <f t="shared" si="0"/>
        <v>4</v>
      </c>
      <c r="B10" s="118"/>
      <c r="C10" s="118"/>
      <c r="D10" s="127" t="s">
        <v>1060</v>
      </c>
      <c r="E10" s="119" t="s">
        <v>1056</v>
      </c>
      <c r="F10" s="120" t="s">
        <v>1057</v>
      </c>
      <c r="G10" s="121"/>
      <c r="H10" s="122"/>
      <c r="I10" s="122"/>
      <c r="J10" s="123"/>
      <c r="K10" s="121"/>
      <c r="L10" s="122"/>
      <c r="M10" s="122"/>
      <c r="N10" s="123"/>
      <c r="O10" s="121"/>
      <c r="P10" s="122"/>
      <c r="Q10" s="122"/>
      <c r="R10" s="123"/>
      <c r="S10" s="124"/>
      <c r="T10" s="125"/>
      <c r="U10" s="125"/>
      <c r="V10" s="126"/>
      <c r="W10" s="87"/>
      <c r="X10" s="85"/>
      <c r="Y10" s="85"/>
    </row>
    <row r="11" spans="1:28" x14ac:dyDescent="0.15">
      <c r="A11" s="86">
        <f t="shared" si="0"/>
        <v>5</v>
      </c>
      <c r="B11" s="118"/>
      <c r="C11" s="118"/>
      <c r="D11" s="127" t="s">
        <v>1061</v>
      </c>
      <c r="E11" s="119" t="s">
        <v>1056</v>
      </c>
      <c r="F11" s="120" t="s">
        <v>1057</v>
      </c>
      <c r="G11" s="121"/>
      <c r="H11" s="122"/>
      <c r="I11" s="122"/>
      <c r="J11" s="123"/>
      <c r="K11" s="121"/>
      <c r="L11" s="122"/>
      <c r="M11" s="122"/>
      <c r="N11" s="123"/>
      <c r="O11" s="121"/>
      <c r="P11" s="122"/>
      <c r="Q11" s="122"/>
      <c r="R11" s="123"/>
      <c r="S11" s="124"/>
      <c r="T11" s="125"/>
      <c r="U11" s="125"/>
      <c r="V11" s="126"/>
      <c r="W11" s="87"/>
      <c r="X11" s="85"/>
      <c r="Y11" s="85"/>
    </row>
    <row r="12" spans="1:28" ht="10.5" customHeight="1" x14ac:dyDescent="0.15">
      <c r="A12" s="86">
        <f t="shared" si="0"/>
        <v>6</v>
      </c>
      <c r="B12" s="118"/>
      <c r="C12" s="118"/>
      <c r="D12" s="127" t="s">
        <v>1062</v>
      </c>
      <c r="E12" s="119" t="s">
        <v>1056</v>
      </c>
      <c r="F12" s="120" t="s">
        <v>1057</v>
      </c>
      <c r="G12" s="121"/>
      <c r="H12" s="122"/>
      <c r="I12" s="122"/>
      <c r="J12" s="123"/>
      <c r="K12" s="121"/>
      <c r="L12" s="122"/>
      <c r="M12" s="122"/>
      <c r="N12" s="123"/>
      <c r="O12" s="121"/>
      <c r="P12" s="122"/>
      <c r="Q12" s="122"/>
      <c r="R12" s="123"/>
      <c r="S12" s="124"/>
      <c r="T12" s="125"/>
      <c r="U12" s="125"/>
      <c r="V12" s="126"/>
      <c r="W12" s="87"/>
      <c r="X12" s="85"/>
      <c r="Y12" s="85"/>
    </row>
    <row r="13" spans="1:28" x14ac:dyDescent="0.15">
      <c r="A13" s="86">
        <f t="shared" si="0"/>
        <v>7</v>
      </c>
      <c r="B13" s="118"/>
      <c r="C13" s="118"/>
      <c r="D13" s="127" t="s">
        <v>1063</v>
      </c>
      <c r="E13" s="119" t="s">
        <v>1056</v>
      </c>
      <c r="F13" s="120" t="s">
        <v>1057</v>
      </c>
      <c r="G13" s="121"/>
      <c r="H13" s="122"/>
      <c r="I13" s="122"/>
      <c r="J13" s="123"/>
      <c r="K13" s="121"/>
      <c r="L13" s="122"/>
      <c r="M13" s="122"/>
      <c r="N13" s="123"/>
      <c r="O13" s="121"/>
      <c r="P13" s="122"/>
      <c r="Q13" s="122"/>
      <c r="R13" s="123"/>
      <c r="S13" s="124"/>
      <c r="T13" s="125"/>
      <c r="U13" s="125"/>
      <c r="V13" s="126"/>
      <c r="W13" s="87"/>
      <c r="X13" s="85"/>
      <c r="Y13" s="85"/>
    </row>
    <row r="14" spans="1:28" x14ac:dyDescent="0.15">
      <c r="A14" s="86">
        <f t="shared" si="0"/>
        <v>8</v>
      </c>
      <c r="B14" s="118"/>
      <c r="C14" s="118"/>
      <c r="D14" s="127" t="s">
        <v>1064</v>
      </c>
      <c r="E14" s="119" t="s">
        <v>1056</v>
      </c>
      <c r="F14" s="120" t="s">
        <v>1057</v>
      </c>
      <c r="G14" s="121"/>
      <c r="H14" s="122"/>
      <c r="I14" s="122"/>
      <c r="J14" s="123"/>
      <c r="K14" s="121"/>
      <c r="L14" s="122"/>
      <c r="M14" s="122"/>
      <c r="N14" s="123"/>
      <c r="O14" s="121"/>
      <c r="P14" s="122"/>
      <c r="Q14" s="122"/>
      <c r="R14" s="123"/>
      <c r="S14" s="124"/>
      <c r="T14" s="125"/>
      <c r="U14" s="125"/>
      <c r="V14" s="126"/>
      <c r="W14" s="87"/>
      <c r="X14" s="85"/>
      <c r="Y14" s="85"/>
    </row>
    <row r="15" spans="1:28" ht="18" x14ac:dyDescent="0.15">
      <c r="A15" s="86">
        <f t="shared" si="0"/>
        <v>9</v>
      </c>
      <c r="B15" s="118"/>
      <c r="C15" s="118" t="s">
        <v>1065</v>
      </c>
      <c r="D15" s="118" t="s">
        <v>1055</v>
      </c>
      <c r="E15" s="119" t="s">
        <v>1056</v>
      </c>
      <c r="F15" s="120" t="s">
        <v>1057</v>
      </c>
      <c r="G15" s="121"/>
      <c r="H15" s="122"/>
      <c r="I15" s="122"/>
      <c r="J15" s="123"/>
      <c r="K15" s="121"/>
      <c r="L15" s="122"/>
      <c r="M15" s="122"/>
      <c r="N15" s="123"/>
      <c r="O15" s="121"/>
      <c r="P15" s="122"/>
      <c r="Q15" s="122"/>
      <c r="R15" s="123"/>
      <c r="S15" s="124"/>
      <c r="T15" s="125"/>
      <c r="U15" s="125"/>
      <c r="V15" s="126"/>
      <c r="W15" s="87"/>
      <c r="X15" s="85"/>
      <c r="Y15" s="85"/>
    </row>
    <row r="16" spans="1:28" x14ac:dyDescent="0.15">
      <c r="A16" s="86">
        <f t="shared" si="0"/>
        <v>10</v>
      </c>
      <c r="B16" s="118"/>
      <c r="C16" s="118"/>
      <c r="D16" s="118" t="s">
        <v>1058</v>
      </c>
      <c r="E16" s="119" t="s">
        <v>1056</v>
      </c>
      <c r="F16" s="120" t="s">
        <v>1057</v>
      </c>
      <c r="G16" s="121"/>
      <c r="H16" s="122"/>
      <c r="I16" s="122"/>
      <c r="J16" s="123"/>
      <c r="K16" s="121"/>
      <c r="L16" s="122"/>
      <c r="M16" s="122"/>
      <c r="N16" s="123"/>
      <c r="O16" s="121"/>
      <c r="P16" s="122"/>
      <c r="Q16" s="122"/>
      <c r="R16" s="123"/>
      <c r="S16" s="124"/>
      <c r="T16" s="125"/>
      <c r="U16" s="125"/>
      <c r="V16" s="126"/>
      <c r="W16" s="87"/>
      <c r="X16" s="85"/>
      <c r="Y16" s="85"/>
    </row>
    <row r="17" spans="1:25" x14ac:dyDescent="0.15">
      <c r="A17" s="86">
        <f t="shared" si="0"/>
        <v>11</v>
      </c>
      <c r="B17" s="118"/>
      <c r="C17" s="118"/>
      <c r="D17" s="127" t="s">
        <v>1059</v>
      </c>
      <c r="E17" s="119" t="s">
        <v>1056</v>
      </c>
      <c r="F17" s="120" t="s">
        <v>1057</v>
      </c>
      <c r="G17" s="121"/>
      <c r="H17" s="122"/>
      <c r="I17" s="122"/>
      <c r="J17" s="123"/>
      <c r="K17" s="121"/>
      <c r="L17" s="122"/>
      <c r="M17" s="122"/>
      <c r="N17" s="123"/>
      <c r="O17" s="121"/>
      <c r="P17" s="122"/>
      <c r="Q17" s="122"/>
      <c r="R17" s="123"/>
      <c r="S17" s="124"/>
      <c r="T17" s="125"/>
      <c r="U17" s="125"/>
      <c r="V17" s="126"/>
      <c r="W17" s="87"/>
      <c r="X17" s="85"/>
      <c r="Y17" s="85"/>
    </row>
    <row r="18" spans="1:25" x14ac:dyDescent="0.15">
      <c r="A18" s="86">
        <f t="shared" si="0"/>
        <v>12</v>
      </c>
      <c r="B18" s="118"/>
      <c r="C18" s="118"/>
      <c r="D18" s="127" t="s">
        <v>1060</v>
      </c>
      <c r="E18" s="119" t="s">
        <v>1056</v>
      </c>
      <c r="F18" s="120" t="s">
        <v>1057</v>
      </c>
      <c r="G18" s="121"/>
      <c r="H18" s="122"/>
      <c r="I18" s="122"/>
      <c r="J18" s="123"/>
      <c r="K18" s="121"/>
      <c r="L18" s="122"/>
      <c r="M18" s="122"/>
      <c r="N18" s="123"/>
      <c r="O18" s="121"/>
      <c r="P18" s="122"/>
      <c r="Q18" s="122"/>
      <c r="R18" s="123"/>
      <c r="S18" s="124"/>
      <c r="T18" s="125"/>
      <c r="U18" s="125"/>
      <c r="V18" s="126"/>
      <c r="W18" s="87"/>
      <c r="X18" s="85"/>
      <c r="Y18" s="85"/>
    </row>
    <row r="19" spans="1:25" x14ac:dyDescent="0.15">
      <c r="A19" s="86">
        <f t="shared" si="0"/>
        <v>13</v>
      </c>
      <c r="B19" s="118"/>
      <c r="C19" s="118"/>
      <c r="D19" s="127" t="s">
        <v>1061</v>
      </c>
      <c r="E19" s="119" t="s">
        <v>1056</v>
      </c>
      <c r="F19" s="120" t="s">
        <v>1057</v>
      </c>
      <c r="G19" s="121"/>
      <c r="H19" s="122"/>
      <c r="I19" s="122"/>
      <c r="J19" s="123"/>
      <c r="K19" s="121"/>
      <c r="L19" s="122"/>
      <c r="M19" s="122"/>
      <c r="N19" s="123"/>
      <c r="O19" s="121"/>
      <c r="P19" s="122"/>
      <c r="Q19" s="122"/>
      <c r="R19" s="123"/>
      <c r="S19" s="124"/>
      <c r="T19" s="125"/>
      <c r="U19" s="125"/>
      <c r="V19" s="126"/>
      <c r="W19" s="87"/>
      <c r="X19" s="85"/>
      <c r="Y19" s="85"/>
    </row>
    <row r="20" spans="1:25" ht="11.25" customHeight="1" x14ac:dyDescent="0.15">
      <c r="A20" s="86">
        <f t="shared" si="0"/>
        <v>14</v>
      </c>
      <c r="B20" s="118"/>
      <c r="C20" s="118"/>
      <c r="D20" s="127" t="s">
        <v>1062</v>
      </c>
      <c r="E20" s="119" t="s">
        <v>1056</v>
      </c>
      <c r="F20" s="120" t="s">
        <v>1057</v>
      </c>
      <c r="G20" s="121"/>
      <c r="H20" s="122"/>
      <c r="I20" s="122"/>
      <c r="J20" s="123"/>
      <c r="K20" s="121"/>
      <c r="L20" s="122"/>
      <c r="M20" s="122"/>
      <c r="N20" s="123"/>
      <c r="O20" s="121"/>
      <c r="P20" s="122"/>
      <c r="Q20" s="122"/>
      <c r="R20" s="123"/>
      <c r="S20" s="124"/>
      <c r="T20" s="125"/>
      <c r="U20" s="125"/>
      <c r="V20" s="126"/>
      <c r="W20" s="87"/>
      <c r="X20" s="85"/>
      <c r="Y20" s="85"/>
    </row>
    <row r="21" spans="1:25" x14ac:dyDescent="0.15">
      <c r="A21" s="86">
        <f t="shared" si="0"/>
        <v>15</v>
      </c>
      <c r="B21" s="118"/>
      <c r="C21" s="118"/>
      <c r="D21" s="127" t="s">
        <v>1063</v>
      </c>
      <c r="E21" s="119" t="s">
        <v>1056</v>
      </c>
      <c r="F21" s="120" t="s">
        <v>1057</v>
      </c>
      <c r="G21" s="121"/>
      <c r="H21" s="122"/>
      <c r="I21" s="122"/>
      <c r="J21" s="123"/>
      <c r="K21" s="121"/>
      <c r="L21" s="122"/>
      <c r="M21" s="122"/>
      <c r="N21" s="123"/>
      <c r="O21" s="121"/>
      <c r="P21" s="122"/>
      <c r="Q21" s="122"/>
      <c r="R21" s="123"/>
      <c r="S21" s="124"/>
      <c r="T21" s="125"/>
      <c r="U21" s="125"/>
      <c r="V21" s="126"/>
      <c r="W21" s="87"/>
      <c r="X21" s="85"/>
      <c r="Y21" s="85"/>
    </row>
    <row r="22" spans="1:25" x14ac:dyDescent="0.15">
      <c r="A22" s="86">
        <f t="shared" si="0"/>
        <v>16</v>
      </c>
      <c r="B22" s="118"/>
      <c r="C22" s="118"/>
      <c r="D22" s="127" t="s">
        <v>1064</v>
      </c>
      <c r="E22" s="119" t="s">
        <v>1056</v>
      </c>
      <c r="F22" s="120" t="s">
        <v>1057</v>
      </c>
      <c r="G22" s="121"/>
      <c r="H22" s="122"/>
      <c r="I22" s="122"/>
      <c r="J22" s="123"/>
      <c r="K22" s="121"/>
      <c r="L22" s="122"/>
      <c r="M22" s="122"/>
      <c r="N22" s="123"/>
      <c r="O22" s="121"/>
      <c r="P22" s="122"/>
      <c r="Q22" s="122"/>
      <c r="R22" s="123"/>
      <c r="S22" s="124"/>
      <c r="T22" s="125"/>
      <c r="U22" s="125"/>
      <c r="V22" s="126"/>
      <c r="W22" s="87"/>
      <c r="X22" s="85"/>
      <c r="Y22" s="85"/>
    </row>
    <row r="23" spans="1:25" ht="18" x14ac:dyDescent="0.15">
      <c r="A23" s="86">
        <f t="shared" si="0"/>
        <v>17</v>
      </c>
      <c r="B23" s="118"/>
      <c r="C23" s="118" t="s">
        <v>1066</v>
      </c>
      <c r="D23" s="118" t="s">
        <v>1055</v>
      </c>
      <c r="E23" s="119" t="s">
        <v>1056</v>
      </c>
      <c r="F23" s="120" t="s">
        <v>1057</v>
      </c>
      <c r="G23" s="121"/>
      <c r="H23" s="122"/>
      <c r="I23" s="122"/>
      <c r="J23" s="123"/>
      <c r="K23" s="121"/>
      <c r="L23" s="122"/>
      <c r="M23" s="122"/>
      <c r="N23" s="123"/>
      <c r="O23" s="121"/>
      <c r="P23" s="122"/>
      <c r="Q23" s="122"/>
      <c r="R23" s="123"/>
      <c r="S23" s="124"/>
      <c r="T23" s="125"/>
      <c r="U23" s="125"/>
      <c r="V23" s="126"/>
      <c r="W23" s="87"/>
      <c r="X23" s="85"/>
      <c r="Y23" s="85"/>
    </row>
    <row r="24" spans="1:25" x14ac:dyDescent="0.15">
      <c r="A24" s="86">
        <f t="shared" si="0"/>
        <v>18</v>
      </c>
      <c r="B24" s="118"/>
      <c r="C24" s="118"/>
      <c r="D24" s="118" t="s">
        <v>1058</v>
      </c>
      <c r="E24" s="119" t="s">
        <v>1056</v>
      </c>
      <c r="F24" s="120" t="s">
        <v>1057</v>
      </c>
      <c r="G24" s="121"/>
      <c r="H24" s="122"/>
      <c r="I24" s="122"/>
      <c r="J24" s="123"/>
      <c r="K24" s="121"/>
      <c r="L24" s="122"/>
      <c r="M24" s="122"/>
      <c r="N24" s="123"/>
      <c r="O24" s="121"/>
      <c r="P24" s="122"/>
      <c r="Q24" s="122"/>
      <c r="R24" s="123"/>
      <c r="S24" s="124"/>
      <c r="T24" s="125"/>
      <c r="U24" s="125"/>
      <c r="V24" s="126"/>
      <c r="W24" s="87"/>
      <c r="X24" s="85"/>
      <c r="Y24" s="85"/>
    </row>
    <row r="25" spans="1:25" x14ac:dyDescent="0.15">
      <c r="A25" s="86">
        <f t="shared" si="0"/>
        <v>19</v>
      </c>
      <c r="B25" s="118"/>
      <c r="C25" s="118"/>
      <c r="D25" s="127" t="s">
        <v>1059</v>
      </c>
      <c r="E25" s="119" t="s">
        <v>1056</v>
      </c>
      <c r="F25" s="120" t="s">
        <v>1057</v>
      </c>
      <c r="G25" s="121"/>
      <c r="H25" s="122"/>
      <c r="I25" s="122"/>
      <c r="J25" s="123"/>
      <c r="K25" s="121"/>
      <c r="L25" s="122"/>
      <c r="M25" s="122"/>
      <c r="N25" s="123"/>
      <c r="O25" s="121"/>
      <c r="P25" s="122"/>
      <c r="Q25" s="122"/>
      <c r="R25" s="123"/>
      <c r="S25" s="124"/>
      <c r="T25" s="125"/>
      <c r="U25" s="125"/>
      <c r="V25" s="126"/>
      <c r="W25" s="87"/>
      <c r="X25" s="85"/>
      <c r="Y25" s="85"/>
    </row>
    <row r="26" spans="1:25" x14ac:dyDescent="0.15">
      <c r="A26" s="86">
        <f t="shared" si="0"/>
        <v>20</v>
      </c>
      <c r="B26" s="118"/>
      <c r="C26" s="118"/>
      <c r="D26" s="127" t="s">
        <v>1060</v>
      </c>
      <c r="E26" s="119" t="s">
        <v>1056</v>
      </c>
      <c r="F26" s="120" t="s">
        <v>1057</v>
      </c>
      <c r="G26" s="121"/>
      <c r="H26" s="122"/>
      <c r="I26" s="122"/>
      <c r="J26" s="123"/>
      <c r="K26" s="121"/>
      <c r="L26" s="122"/>
      <c r="M26" s="122"/>
      <c r="N26" s="123"/>
      <c r="O26" s="121"/>
      <c r="P26" s="122"/>
      <c r="Q26" s="122"/>
      <c r="R26" s="123"/>
      <c r="S26" s="124"/>
      <c r="T26" s="125"/>
      <c r="U26" s="125"/>
      <c r="V26" s="126"/>
      <c r="W26" s="87"/>
      <c r="X26" s="85"/>
      <c r="Y26" s="85"/>
    </row>
    <row r="27" spans="1:25" x14ac:dyDescent="0.15">
      <c r="A27" s="86">
        <f t="shared" si="0"/>
        <v>21</v>
      </c>
      <c r="B27" s="157"/>
      <c r="C27" s="157"/>
      <c r="D27" s="127" t="s">
        <v>1061</v>
      </c>
      <c r="E27" s="119" t="s">
        <v>1056</v>
      </c>
      <c r="F27" s="120" t="s">
        <v>1057</v>
      </c>
      <c r="G27" s="121"/>
      <c r="H27" s="122"/>
      <c r="I27" s="122"/>
      <c r="J27" s="123"/>
      <c r="K27" s="121"/>
      <c r="L27" s="122"/>
      <c r="M27" s="122"/>
      <c r="N27" s="123"/>
      <c r="O27" s="121"/>
      <c r="P27" s="122"/>
      <c r="Q27" s="122"/>
      <c r="R27" s="123"/>
      <c r="S27" s="124"/>
      <c r="T27" s="125"/>
      <c r="U27" s="125"/>
      <c r="V27" s="126"/>
      <c r="W27" s="87"/>
      <c r="X27" s="85"/>
      <c r="Y27" s="85"/>
    </row>
    <row r="28" spans="1:25" ht="10.5" customHeight="1" x14ac:dyDescent="0.15">
      <c r="A28" s="86">
        <f t="shared" si="0"/>
        <v>22</v>
      </c>
      <c r="B28" s="157"/>
      <c r="C28" s="157"/>
      <c r="D28" s="127" t="s">
        <v>1062</v>
      </c>
      <c r="E28" s="119" t="s">
        <v>1056</v>
      </c>
      <c r="F28" s="120" t="s">
        <v>1057</v>
      </c>
      <c r="G28" s="121"/>
      <c r="H28" s="122"/>
      <c r="I28" s="122"/>
      <c r="J28" s="123"/>
      <c r="K28" s="121"/>
      <c r="L28" s="122"/>
      <c r="M28" s="122"/>
      <c r="N28" s="123"/>
      <c r="O28" s="121"/>
      <c r="P28" s="122"/>
      <c r="Q28" s="122"/>
      <c r="R28" s="123"/>
      <c r="S28" s="124"/>
      <c r="T28" s="125"/>
      <c r="U28" s="125"/>
      <c r="V28" s="126"/>
      <c r="W28" s="87"/>
      <c r="X28" s="85"/>
      <c r="Y28" s="85"/>
    </row>
    <row r="29" spans="1:25" x14ac:dyDescent="0.15">
      <c r="A29" s="86">
        <f t="shared" si="0"/>
        <v>23</v>
      </c>
      <c r="B29" s="157"/>
      <c r="C29" s="157"/>
      <c r="D29" s="127" t="s">
        <v>1063</v>
      </c>
      <c r="E29" s="119" t="s">
        <v>1056</v>
      </c>
      <c r="F29" s="120" t="s">
        <v>1057</v>
      </c>
      <c r="G29" s="121"/>
      <c r="H29" s="122"/>
      <c r="I29" s="122"/>
      <c r="J29" s="123"/>
      <c r="K29" s="121"/>
      <c r="L29" s="122"/>
      <c r="M29" s="122"/>
      <c r="N29" s="123"/>
      <c r="O29" s="121"/>
      <c r="P29" s="122"/>
      <c r="Q29" s="122"/>
      <c r="R29" s="123"/>
      <c r="S29" s="124"/>
      <c r="T29" s="125"/>
      <c r="U29" s="125"/>
      <c r="V29" s="126"/>
      <c r="W29" s="87"/>
      <c r="X29" s="85"/>
      <c r="Y29" s="85"/>
    </row>
    <row r="30" spans="1:25" x14ac:dyDescent="0.15">
      <c r="A30" s="86">
        <f t="shared" si="0"/>
        <v>24</v>
      </c>
      <c r="B30" s="157"/>
      <c r="C30" s="157"/>
      <c r="D30" s="127" t="s">
        <v>1064</v>
      </c>
      <c r="E30" s="119" t="s">
        <v>1056</v>
      </c>
      <c r="F30" s="120" t="s">
        <v>1057</v>
      </c>
      <c r="G30" s="121"/>
      <c r="H30" s="122"/>
      <c r="I30" s="122"/>
      <c r="J30" s="123"/>
      <c r="K30" s="121"/>
      <c r="L30" s="122"/>
      <c r="M30" s="122"/>
      <c r="N30" s="123"/>
      <c r="O30" s="121"/>
      <c r="P30" s="122"/>
      <c r="Q30" s="122"/>
      <c r="R30" s="123"/>
      <c r="S30" s="124"/>
      <c r="T30" s="125"/>
      <c r="U30" s="125"/>
      <c r="V30" s="126"/>
      <c r="W30" s="87"/>
      <c r="X30" s="85"/>
      <c r="Y30" s="85"/>
    </row>
    <row r="31" spans="1:25" ht="18" x14ac:dyDescent="0.15">
      <c r="A31" s="86">
        <f t="shared" si="0"/>
        <v>25</v>
      </c>
      <c r="B31" s="157"/>
      <c r="C31" s="118" t="s">
        <v>1067</v>
      </c>
      <c r="D31" s="118" t="s">
        <v>1055</v>
      </c>
      <c r="E31" s="119" t="s">
        <v>1056</v>
      </c>
      <c r="F31" s="120" t="s">
        <v>1057</v>
      </c>
      <c r="G31" s="121"/>
      <c r="H31" s="122"/>
      <c r="I31" s="122"/>
      <c r="J31" s="123"/>
      <c r="K31" s="121"/>
      <c r="L31" s="122"/>
      <c r="M31" s="122"/>
      <c r="N31" s="123"/>
      <c r="O31" s="121"/>
      <c r="P31" s="122"/>
      <c r="Q31" s="122"/>
      <c r="R31" s="123"/>
      <c r="S31" s="124"/>
      <c r="T31" s="125"/>
      <c r="U31" s="125"/>
      <c r="V31" s="126"/>
      <c r="W31" s="87"/>
      <c r="X31" s="85"/>
      <c r="Y31" s="85"/>
    </row>
    <row r="32" spans="1:25" x14ac:dyDescent="0.15">
      <c r="A32" s="86">
        <f t="shared" si="0"/>
        <v>26</v>
      </c>
      <c r="B32" s="157"/>
      <c r="C32" s="118"/>
      <c r="D32" s="118" t="s">
        <v>1058</v>
      </c>
      <c r="E32" s="119" t="s">
        <v>1056</v>
      </c>
      <c r="F32" s="120" t="s">
        <v>1057</v>
      </c>
      <c r="G32" s="121"/>
      <c r="H32" s="122"/>
      <c r="I32" s="122"/>
      <c r="J32" s="123"/>
      <c r="K32" s="121"/>
      <c r="L32" s="122"/>
      <c r="M32" s="122"/>
      <c r="N32" s="123"/>
      <c r="O32" s="121"/>
      <c r="P32" s="122"/>
      <c r="Q32" s="122"/>
      <c r="R32" s="123"/>
      <c r="S32" s="124"/>
      <c r="T32" s="125"/>
      <c r="U32" s="125"/>
      <c r="V32" s="126"/>
      <c r="W32" s="87"/>
      <c r="X32" s="85"/>
      <c r="Y32" s="85"/>
    </row>
    <row r="33" spans="1:25" x14ac:dyDescent="0.15">
      <c r="A33" s="86">
        <f t="shared" si="0"/>
        <v>27</v>
      </c>
      <c r="B33" s="118"/>
      <c r="C33" s="118"/>
      <c r="D33" s="127" t="s">
        <v>1059</v>
      </c>
      <c r="E33" s="119" t="s">
        <v>1056</v>
      </c>
      <c r="F33" s="120" t="s">
        <v>1057</v>
      </c>
      <c r="G33" s="121"/>
      <c r="H33" s="122"/>
      <c r="I33" s="122"/>
      <c r="J33" s="123"/>
      <c r="K33" s="121"/>
      <c r="L33" s="122"/>
      <c r="M33" s="122"/>
      <c r="N33" s="123"/>
      <c r="O33" s="121"/>
      <c r="P33" s="122"/>
      <c r="Q33" s="122"/>
      <c r="R33" s="123"/>
      <c r="S33" s="124"/>
      <c r="T33" s="125"/>
      <c r="U33" s="125"/>
      <c r="V33" s="126"/>
      <c r="W33" s="87"/>
      <c r="X33" s="85"/>
      <c r="Y33" s="85"/>
    </row>
    <row r="34" spans="1:25" x14ac:dyDescent="0.15">
      <c r="A34" s="86">
        <f t="shared" si="0"/>
        <v>28</v>
      </c>
      <c r="B34" s="118"/>
      <c r="C34" s="118"/>
      <c r="D34" s="127" t="s">
        <v>1060</v>
      </c>
      <c r="E34" s="119" t="s">
        <v>1056</v>
      </c>
      <c r="F34" s="120" t="s">
        <v>1057</v>
      </c>
      <c r="G34" s="121"/>
      <c r="H34" s="122"/>
      <c r="I34" s="122"/>
      <c r="J34" s="123"/>
      <c r="K34" s="121"/>
      <c r="L34" s="122"/>
      <c r="M34" s="122"/>
      <c r="N34" s="123"/>
      <c r="O34" s="121"/>
      <c r="P34" s="122"/>
      <c r="Q34" s="122"/>
      <c r="R34" s="123"/>
      <c r="S34" s="124"/>
      <c r="T34" s="125"/>
      <c r="U34" s="125"/>
      <c r="V34" s="126"/>
      <c r="W34" s="87"/>
      <c r="X34" s="85"/>
      <c r="Y34" s="85"/>
    </row>
    <row r="35" spans="1:25" x14ac:dyDescent="0.15">
      <c r="A35" s="86">
        <f t="shared" si="0"/>
        <v>29</v>
      </c>
      <c r="B35" s="118"/>
      <c r="C35" s="157"/>
      <c r="D35" s="127" t="s">
        <v>1061</v>
      </c>
      <c r="E35" s="119" t="s">
        <v>1056</v>
      </c>
      <c r="F35" s="120" t="s">
        <v>1057</v>
      </c>
      <c r="G35" s="121"/>
      <c r="H35" s="122"/>
      <c r="I35" s="122"/>
      <c r="J35" s="123"/>
      <c r="K35" s="121"/>
      <c r="L35" s="122"/>
      <c r="M35" s="122"/>
      <c r="N35" s="123"/>
      <c r="O35" s="121"/>
      <c r="P35" s="122"/>
      <c r="Q35" s="122"/>
      <c r="R35" s="123"/>
      <c r="S35" s="124"/>
      <c r="T35" s="125"/>
      <c r="U35" s="125"/>
      <c r="V35" s="126"/>
      <c r="W35" s="87"/>
      <c r="X35" s="85"/>
      <c r="Y35" s="85"/>
    </row>
    <row r="36" spans="1:25" ht="11.25" customHeight="1" x14ac:dyDescent="0.15">
      <c r="A36" s="86">
        <f t="shared" si="0"/>
        <v>30</v>
      </c>
      <c r="B36" s="118"/>
      <c r="C36" s="157"/>
      <c r="D36" s="127" t="s">
        <v>1062</v>
      </c>
      <c r="E36" s="119" t="s">
        <v>1056</v>
      </c>
      <c r="F36" s="120" t="s">
        <v>1057</v>
      </c>
      <c r="G36" s="121"/>
      <c r="H36" s="122"/>
      <c r="I36" s="122"/>
      <c r="J36" s="123"/>
      <c r="K36" s="121"/>
      <c r="L36" s="122"/>
      <c r="M36" s="122"/>
      <c r="N36" s="123"/>
      <c r="O36" s="121"/>
      <c r="P36" s="122"/>
      <c r="Q36" s="122"/>
      <c r="R36" s="123"/>
      <c r="S36" s="124"/>
      <c r="T36" s="125"/>
      <c r="U36" s="125"/>
      <c r="V36" s="126"/>
      <c r="W36" s="87"/>
      <c r="X36" s="85"/>
      <c r="Y36" s="85"/>
    </row>
    <row r="37" spans="1:25" x14ac:dyDescent="0.15">
      <c r="A37" s="86">
        <f t="shared" si="0"/>
        <v>31</v>
      </c>
      <c r="B37" s="118"/>
      <c r="C37" s="157"/>
      <c r="D37" s="127" t="s">
        <v>1063</v>
      </c>
      <c r="E37" s="119" t="s">
        <v>1056</v>
      </c>
      <c r="F37" s="120" t="s">
        <v>1057</v>
      </c>
      <c r="G37" s="121"/>
      <c r="H37" s="122"/>
      <c r="I37" s="122"/>
      <c r="J37" s="123"/>
      <c r="K37" s="121"/>
      <c r="L37" s="122"/>
      <c r="M37" s="122"/>
      <c r="N37" s="123"/>
      <c r="O37" s="121"/>
      <c r="P37" s="122"/>
      <c r="Q37" s="122"/>
      <c r="R37" s="123"/>
      <c r="S37" s="124"/>
      <c r="T37" s="125"/>
      <c r="U37" s="125"/>
      <c r="V37" s="126"/>
      <c r="W37" s="87"/>
      <c r="X37" s="85"/>
      <c r="Y37" s="85"/>
    </row>
    <row r="38" spans="1:25" x14ac:dyDescent="0.15">
      <c r="A38" s="86">
        <f t="shared" si="0"/>
        <v>32</v>
      </c>
      <c r="B38" s="118"/>
      <c r="C38" s="157"/>
      <c r="D38" s="127" t="s">
        <v>1064</v>
      </c>
      <c r="E38" s="119" t="s">
        <v>1056</v>
      </c>
      <c r="F38" s="120" t="s">
        <v>1057</v>
      </c>
      <c r="G38" s="121"/>
      <c r="H38" s="122"/>
      <c r="I38" s="122"/>
      <c r="J38" s="123"/>
      <c r="K38" s="121"/>
      <c r="L38" s="122"/>
      <c r="M38" s="122"/>
      <c r="N38" s="123"/>
      <c r="O38" s="121"/>
      <c r="P38" s="122"/>
      <c r="Q38" s="122"/>
      <c r="R38" s="123"/>
      <c r="S38" s="124"/>
      <c r="T38" s="125"/>
      <c r="U38" s="125"/>
      <c r="V38" s="126"/>
      <c r="W38" s="87"/>
      <c r="X38" s="85"/>
      <c r="Y38" s="85"/>
    </row>
    <row r="39" spans="1:25" ht="18" x14ac:dyDescent="0.15">
      <c r="A39" s="86">
        <f t="shared" si="0"/>
        <v>33</v>
      </c>
      <c r="B39" s="118"/>
      <c r="C39" s="118" t="s">
        <v>1068</v>
      </c>
      <c r="D39" s="118" t="s">
        <v>1055</v>
      </c>
      <c r="E39" s="119" t="s">
        <v>1056</v>
      </c>
      <c r="F39" s="120" t="s">
        <v>1057</v>
      </c>
      <c r="G39" s="121"/>
      <c r="H39" s="122"/>
      <c r="I39" s="122"/>
      <c r="J39" s="123"/>
      <c r="K39" s="121"/>
      <c r="L39" s="122"/>
      <c r="M39" s="122"/>
      <c r="N39" s="123"/>
      <c r="O39" s="121"/>
      <c r="P39" s="122"/>
      <c r="Q39" s="122"/>
      <c r="R39" s="123"/>
      <c r="S39" s="124"/>
      <c r="T39" s="125"/>
      <c r="U39" s="125"/>
      <c r="V39" s="126"/>
      <c r="W39" s="87"/>
      <c r="X39" s="85"/>
      <c r="Y39" s="85"/>
    </row>
    <row r="40" spans="1:25" x14ac:dyDescent="0.15">
      <c r="A40" s="86">
        <f t="shared" si="0"/>
        <v>34</v>
      </c>
      <c r="B40" s="118"/>
      <c r="C40" s="118"/>
      <c r="D40" s="118" t="s">
        <v>1058</v>
      </c>
      <c r="E40" s="119" t="s">
        <v>1056</v>
      </c>
      <c r="F40" s="120" t="s">
        <v>1057</v>
      </c>
      <c r="G40" s="121"/>
      <c r="H40" s="122"/>
      <c r="I40" s="122"/>
      <c r="J40" s="123"/>
      <c r="K40" s="121"/>
      <c r="L40" s="122"/>
      <c r="M40" s="122"/>
      <c r="N40" s="123"/>
      <c r="O40" s="121"/>
      <c r="P40" s="122"/>
      <c r="Q40" s="122"/>
      <c r="R40" s="123"/>
      <c r="S40" s="124"/>
      <c r="T40" s="125"/>
      <c r="U40" s="125"/>
      <c r="V40" s="126"/>
      <c r="W40" s="87"/>
      <c r="X40" s="85"/>
      <c r="Y40" s="85"/>
    </row>
    <row r="41" spans="1:25" x14ac:dyDescent="0.15">
      <c r="A41" s="86">
        <f t="shared" si="0"/>
        <v>35</v>
      </c>
      <c r="B41" s="118"/>
      <c r="C41" s="118"/>
      <c r="D41" s="127" t="s">
        <v>1059</v>
      </c>
      <c r="E41" s="119" t="s">
        <v>1056</v>
      </c>
      <c r="F41" s="120" t="s">
        <v>1057</v>
      </c>
      <c r="G41" s="121"/>
      <c r="H41" s="122"/>
      <c r="I41" s="122"/>
      <c r="J41" s="123"/>
      <c r="K41" s="121"/>
      <c r="L41" s="122"/>
      <c r="M41" s="122"/>
      <c r="N41" s="123"/>
      <c r="O41" s="121"/>
      <c r="P41" s="122"/>
      <c r="Q41" s="122"/>
      <c r="R41" s="123"/>
      <c r="S41" s="124"/>
      <c r="T41" s="125"/>
      <c r="U41" s="125"/>
      <c r="V41" s="126"/>
      <c r="W41" s="87"/>
      <c r="X41" s="85"/>
      <c r="Y41" s="85"/>
    </row>
    <row r="42" spans="1:25" x14ac:dyDescent="0.15">
      <c r="A42" s="86">
        <f t="shared" si="0"/>
        <v>36</v>
      </c>
      <c r="B42" s="118"/>
      <c r="C42" s="118"/>
      <c r="D42" s="127" t="s">
        <v>1060</v>
      </c>
      <c r="E42" s="119" t="s">
        <v>1056</v>
      </c>
      <c r="F42" s="120" t="s">
        <v>1057</v>
      </c>
      <c r="G42" s="121"/>
      <c r="H42" s="122"/>
      <c r="I42" s="122"/>
      <c r="J42" s="123"/>
      <c r="K42" s="121"/>
      <c r="L42" s="122"/>
      <c r="M42" s="122"/>
      <c r="N42" s="123"/>
      <c r="O42" s="121"/>
      <c r="P42" s="122"/>
      <c r="Q42" s="122"/>
      <c r="R42" s="123"/>
      <c r="S42" s="124"/>
      <c r="T42" s="125"/>
      <c r="U42" s="125"/>
      <c r="V42" s="126"/>
      <c r="W42" s="87"/>
      <c r="X42" s="85"/>
      <c r="Y42" s="85"/>
    </row>
    <row r="43" spans="1:25" x14ac:dyDescent="0.15">
      <c r="A43" s="86">
        <f t="shared" si="0"/>
        <v>37</v>
      </c>
      <c r="B43" s="118"/>
      <c r="C43" s="157"/>
      <c r="D43" s="127" t="s">
        <v>1061</v>
      </c>
      <c r="E43" s="119" t="s">
        <v>1056</v>
      </c>
      <c r="F43" s="120" t="s">
        <v>1057</v>
      </c>
      <c r="G43" s="121"/>
      <c r="H43" s="122"/>
      <c r="I43" s="122"/>
      <c r="J43" s="123"/>
      <c r="K43" s="121"/>
      <c r="L43" s="122"/>
      <c r="M43" s="122"/>
      <c r="N43" s="123"/>
      <c r="O43" s="121"/>
      <c r="P43" s="122"/>
      <c r="Q43" s="122"/>
      <c r="R43" s="123"/>
      <c r="S43" s="124"/>
      <c r="T43" s="125"/>
      <c r="U43" s="125"/>
      <c r="V43" s="126"/>
      <c r="W43" s="87"/>
      <c r="X43" s="85"/>
      <c r="Y43" s="85"/>
    </row>
    <row r="44" spans="1:25" ht="10.5" customHeight="1" x14ac:dyDescent="0.15">
      <c r="A44" s="86">
        <f t="shared" si="0"/>
        <v>38</v>
      </c>
      <c r="B44" s="118"/>
      <c r="C44" s="157"/>
      <c r="D44" s="127" t="s">
        <v>1062</v>
      </c>
      <c r="E44" s="119" t="s">
        <v>1056</v>
      </c>
      <c r="F44" s="120" t="s">
        <v>1057</v>
      </c>
      <c r="G44" s="121"/>
      <c r="H44" s="122"/>
      <c r="I44" s="122"/>
      <c r="J44" s="123"/>
      <c r="K44" s="121"/>
      <c r="L44" s="122"/>
      <c r="M44" s="122"/>
      <c r="N44" s="123"/>
      <c r="O44" s="121"/>
      <c r="P44" s="122"/>
      <c r="Q44" s="122"/>
      <c r="R44" s="123"/>
      <c r="S44" s="124"/>
      <c r="T44" s="125"/>
      <c r="U44" s="125"/>
      <c r="V44" s="126"/>
      <c r="W44" s="87"/>
      <c r="X44" s="85"/>
      <c r="Y44" s="85"/>
    </row>
    <row r="45" spans="1:25" x14ac:dyDescent="0.15">
      <c r="A45" s="86">
        <f t="shared" si="0"/>
        <v>39</v>
      </c>
      <c r="B45" s="118"/>
      <c r="C45" s="157"/>
      <c r="D45" s="127" t="s">
        <v>1063</v>
      </c>
      <c r="E45" s="119" t="s">
        <v>1056</v>
      </c>
      <c r="F45" s="120" t="s">
        <v>1057</v>
      </c>
      <c r="G45" s="121"/>
      <c r="H45" s="122"/>
      <c r="I45" s="122"/>
      <c r="J45" s="123"/>
      <c r="K45" s="121"/>
      <c r="L45" s="122"/>
      <c r="M45" s="122"/>
      <c r="N45" s="123"/>
      <c r="O45" s="121"/>
      <c r="P45" s="122"/>
      <c r="Q45" s="122"/>
      <c r="R45" s="123"/>
      <c r="S45" s="124"/>
      <c r="T45" s="125"/>
      <c r="U45" s="125"/>
      <c r="V45" s="126"/>
      <c r="W45" s="87"/>
      <c r="X45" s="85"/>
      <c r="Y45" s="85"/>
    </row>
    <row r="46" spans="1:25" x14ac:dyDescent="0.15">
      <c r="A46" s="86">
        <f t="shared" si="0"/>
        <v>40</v>
      </c>
      <c r="B46" s="118"/>
      <c r="C46" s="157"/>
      <c r="D46" s="127" t="s">
        <v>1064</v>
      </c>
      <c r="E46" s="119" t="s">
        <v>1056</v>
      </c>
      <c r="F46" s="120" t="s">
        <v>1057</v>
      </c>
      <c r="G46" s="121"/>
      <c r="H46" s="122"/>
      <c r="I46" s="122"/>
      <c r="J46" s="123"/>
      <c r="K46" s="121"/>
      <c r="L46" s="122"/>
      <c r="M46" s="122"/>
      <c r="N46" s="123"/>
      <c r="O46" s="121"/>
      <c r="P46" s="122"/>
      <c r="Q46" s="122"/>
      <c r="R46" s="123"/>
      <c r="S46" s="124"/>
      <c r="T46" s="125"/>
      <c r="U46" s="125"/>
      <c r="V46" s="126"/>
      <c r="W46" s="87"/>
      <c r="X46" s="85"/>
      <c r="Y46" s="85"/>
    </row>
    <row r="47" spans="1:25" s="142" customFormat="1" ht="27" x14ac:dyDescent="0.15">
      <c r="A47" s="128">
        <f t="shared" si="0"/>
        <v>41</v>
      </c>
      <c r="B47" s="129" t="s">
        <v>1069</v>
      </c>
      <c r="C47" s="129" t="s">
        <v>1054</v>
      </c>
      <c r="D47" s="129" t="s">
        <v>1055</v>
      </c>
      <c r="E47" s="130" t="s">
        <v>1056</v>
      </c>
      <c r="F47" s="131" t="s">
        <v>1057</v>
      </c>
      <c r="G47" s="141"/>
      <c r="H47" s="143"/>
      <c r="I47" s="143"/>
      <c r="J47" s="144"/>
      <c r="K47" s="141"/>
      <c r="L47" s="143"/>
      <c r="M47" s="143"/>
      <c r="N47" s="144"/>
      <c r="O47" s="141"/>
      <c r="P47" s="143"/>
      <c r="Q47" s="143"/>
      <c r="R47" s="71" t="s">
        <v>1070</v>
      </c>
      <c r="S47" s="72" t="s">
        <v>1071</v>
      </c>
      <c r="T47" s="146"/>
      <c r="U47" s="146"/>
      <c r="V47" s="147"/>
      <c r="W47" s="140"/>
      <c r="X47" s="141"/>
      <c r="Y47" s="141"/>
    </row>
    <row r="48" spans="1:25" s="142" customFormat="1" x14ac:dyDescent="0.15">
      <c r="A48" s="128">
        <f t="shared" si="0"/>
        <v>42</v>
      </c>
      <c r="B48" s="129"/>
      <c r="C48" s="129"/>
      <c r="D48" s="129" t="s">
        <v>1058</v>
      </c>
      <c r="E48" s="130" t="s">
        <v>1056</v>
      </c>
      <c r="F48" s="131" t="s">
        <v>1057</v>
      </c>
      <c r="G48" s="141"/>
      <c r="H48" s="143"/>
      <c r="I48" s="143"/>
      <c r="J48" s="144"/>
      <c r="K48" s="141"/>
      <c r="L48" s="143"/>
      <c r="M48" s="143"/>
      <c r="N48" s="144"/>
      <c r="O48" s="141"/>
      <c r="P48" s="143"/>
      <c r="Q48" s="143"/>
      <c r="R48" s="71" t="s">
        <v>1070</v>
      </c>
      <c r="S48" s="72" t="s">
        <v>1071</v>
      </c>
      <c r="T48" s="146"/>
      <c r="U48" s="146"/>
      <c r="V48" s="147"/>
      <c r="W48" s="140"/>
      <c r="X48" s="141"/>
      <c r="Y48" s="141"/>
    </row>
    <row r="49" spans="1:25" s="142" customFormat="1" x14ac:dyDescent="0.15">
      <c r="A49" s="128">
        <f t="shared" si="0"/>
        <v>43</v>
      </c>
      <c r="B49" s="129"/>
      <c r="C49" s="129"/>
      <c r="D49" s="132" t="s">
        <v>1059</v>
      </c>
      <c r="E49" s="130" t="s">
        <v>1056</v>
      </c>
      <c r="F49" s="131" t="s">
        <v>1057</v>
      </c>
      <c r="G49" s="141"/>
      <c r="H49" s="143"/>
      <c r="I49" s="143"/>
      <c r="J49" s="144"/>
      <c r="K49" s="141"/>
      <c r="L49" s="143"/>
      <c r="M49" s="143"/>
      <c r="N49" s="144"/>
      <c r="O49" s="141"/>
      <c r="P49" s="143"/>
      <c r="Q49" s="143"/>
      <c r="R49" s="71" t="s">
        <v>1070</v>
      </c>
      <c r="S49" s="72" t="s">
        <v>1071</v>
      </c>
      <c r="T49" s="146"/>
      <c r="U49" s="146"/>
      <c r="V49" s="147"/>
      <c r="W49" s="140"/>
      <c r="X49" s="141"/>
      <c r="Y49" s="141"/>
    </row>
    <row r="50" spans="1:25" s="142" customFormat="1" x14ac:dyDescent="0.15">
      <c r="A50" s="128">
        <f t="shared" si="0"/>
        <v>44</v>
      </c>
      <c r="B50" s="129"/>
      <c r="C50" s="129"/>
      <c r="D50" s="132" t="s">
        <v>1060</v>
      </c>
      <c r="E50" s="130" t="s">
        <v>1056</v>
      </c>
      <c r="F50" s="131" t="s">
        <v>1057</v>
      </c>
      <c r="G50" s="141"/>
      <c r="H50" s="143"/>
      <c r="I50" s="143"/>
      <c r="J50" s="144"/>
      <c r="K50" s="141"/>
      <c r="L50" s="143"/>
      <c r="M50" s="143"/>
      <c r="N50" s="144"/>
      <c r="O50" s="141"/>
      <c r="P50" s="143"/>
      <c r="Q50" s="143"/>
      <c r="R50" s="71" t="s">
        <v>1070</v>
      </c>
      <c r="S50" s="72" t="s">
        <v>1071</v>
      </c>
      <c r="T50" s="146"/>
      <c r="U50" s="146"/>
      <c r="V50" s="147"/>
      <c r="W50" s="140"/>
      <c r="X50" s="141"/>
      <c r="Y50" s="141"/>
    </row>
    <row r="51" spans="1:25" s="142" customFormat="1" x14ac:dyDescent="0.15">
      <c r="A51" s="128">
        <f t="shared" si="0"/>
        <v>45</v>
      </c>
      <c r="B51" s="129"/>
      <c r="C51" s="129"/>
      <c r="D51" s="132" t="s">
        <v>1061</v>
      </c>
      <c r="E51" s="130" t="s">
        <v>1056</v>
      </c>
      <c r="F51" s="131" t="s">
        <v>1057</v>
      </c>
      <c r="G51" s="141"/>
      <c r="H51" s="143"/>
      <c r="I51" s="143"/>
      <c r="J51" s="144"/>
      <c r="K51" s="141"/>
      <c r="L51" s="143"/>
      <c r="M51" s="143"/>
      <c r="N51" s="144"/>
      <c r="O51" s="141"/>
      <c r="P51" s="143"/>
      <c r="Q51" s="143"/>
      <c r="R51" s="71" t="s">
        <v>1070</v>
      </c>
      <c r="S51" s="72" t="s">
        <v>1071</v>
      </c>
      <c r="T51" s="146"/>
      <c r="U51" s="146"/>
      <c r="V51" s="147"/>
      <c r="W51" s="140"/>
      <c r="X51" s="141"/>
      <c r="Y51" s="141"/>
    </row>
    <row r="52" spans="1:25" s="142" customFormat="1" ht="10.5" customHeight="1" x14ac:dyDescent="0.15">
      <c r="A52" s="128">
        <f t="shared" si="0"/>
        <v>46</v>
      </c>
      <c r="B52" s="129"/>
      <c r="C52" s="129"/>
      <c r="D52" s="132" t="s">
        <v>1062</v>
      </c>
      <c r="E52" s="130" t="s">
        <v>1056</v>
      </c>
      <c r="F52" s="131" t="s">
        <v>1057</v>
      </c>
      <c r="G52" s="141"/>
      <c r="H52" s="143"/>
      <c r="I52" s="143"/>
      <c r="J52" s="144"/>
      <c r="K52" s="141"/>
      <c r="L52" s="143"/>
      <c r="M52" s="143"/>
      <c r="N52" s="144"/>
      <c r="O52" s="141"/>
      <c r="P52" s="143"/>
      <c r="Q52" s="143"/>
      <c r="R52" s="71" t="s">
        <v>1070</v>
      </c>
      <c r="S52" s="72" t="s">
        <v>1071</v>
      </c>
      <c r="T52" s="146"/>
      <c r="U52" s="146"/>
      <c r="V52" s="147"/>
      <c r="W52" s="140"/>
      <c r="X52" s="141"/>
      <c r="Y52" s="141"/>
    </row>
    <row r="53" spans="1:25" s="142" customFormat="1" x14ac:dyDescent="0.15">
      <c r="A53" s="128">
        <f t="shared" si="0"/>
        <v>47</v>
      </c>
      <c r="B53" s="129"/>
      <c r="C53" s="129"/>
      <c r="D53" s="158" t="s">
        <v>1063</v>
      </c>
      <c r="E53" s="149" t="s">
        <v>1056</v>
      </c>
      <c r="F53" s="150" t="s">
        <v>1057</v>
      </c>
      <c r="G53" s="151"/>
      <c r="H53" s="152"/>
      <c r="I53" s="152"/>
      <c r="J53" s="153"/>
      <c r="K53" s="151"/>
      <c r="L53" s="152"/>
      <c r="M53" s="152"/>
      <c r="N53" s="153"/>
      <c r="O53" s="151"/>
      <c r="P53" s="152"/>
      <c r="Q53" s="152"/>
      <c r="R53" s="153"/>
      <c r="S53" s="154"/>
      <c r="T53" s="155"/>
      <c r="U53" s="155"/>
      <c r="V53" s="156"/>
      <c r="W53" s="140"/>
      <c r="X53" s="141"/>
      <c r="Y53" s="141"/>
    </row>
    <row r="54" spans="1:25" s="142" customFormat="1" x14ac:dyDescent="0.15">
      <c r="A54" s="128">
        <f t="shared" si="0"/>
        <v>48</v>
      </c>
      <c r="B54" s="129"/>
      <c r="C54" s="129"/>
      <c r="D54" s="132" t="s">
        <v>1064</v>
      </c>
      <c r="E54" s="130" t="s">
        <v>1056</v>
      </c>
      <c r="F54" s="131" t="s">
        <v>1057</v>
      </c>
      <c r="G54" s="141"/>
      <c r="H54" s="143"/>
      <c r="I54" s="143"/>
      <c r="J54" s="144"/>
      <c r="K54" s="141"/>
      <c r="L54" s="143"/>
      <c r="M54" s="143"/>
      <c r="N54" s="144"/>
      <c r="O54" s="141"/>
      <c r="P54" s="143"/>
      <c r="Q54" s="143"/>
      <c r="R54" s="71" t="s">
        <v>1070</v>
      </c>
      <c r="S54" s="72" t="s">
        <v>1071</v>
      </c>
      <c r="T54" s="146"/>
      <c r="U54" s="146"/>
      <c r="V54" s="147"/>
      <c r="W54" s="140"/>
      <c r="X54" s="141"/>
      <c r="Y54" s="141"/>
    </row>
    <row r="55" spans="1:25" s="142" customFormat="1" ht="18" x14ac:dyDescent="0.15">
      <c r="A55" s="128">
        <f t="shared" si="0"/>
        <v>49</v>
      </c>
      <c r="B55" s="129"/>
      <c r="C55" s="148" t="s">
        <v>1065</v>
      </c>
      <c r="D55" s="148" t="s">
        <v>1055</v>
      </c>
      <c r="E55" s="149" t="s">
        <v>1056</v>
      </c>
      <c r="F55" s="150" t="s">
        <v>1057</v>
      </c>
      <c r="G55" s="151"/>
      <c r="H55" s="152"/>
      <c r="I55" s="152"/>
      <c r="J55" s="153"/>
      <c r="K55" s="151"/>
      <c r="L55" s="152"/>
      <c r="M55" s="152"/>
      <c r="N55" s="153"/>
      <c r="O55" s="151"/>
      <c r="P55" s="152"/>
      <c r="Q55" s="152"/>
      <c r="R55" s="153"/>
      <c r="S55" s="154"/>
      <c r="T55" s="155"/>
      <c r="U55" s="155"/>
      <c r="V55" s="156"/>
      <c r="W55" s="140"/>
      <c r="X55" s="141"/>
      <c r="Y55" s="141"/>
    </row>
    <row r="56" spans="1:25" s="142" customFormat="1" x14ac:dyDescent="0.15">
      <c r="A56" s="128">
        <f t="shared" si="0"/>
        <v>50</v>
      </c>
      <c r="B56" s="129"/>
      <c r="C56" s="148"/>
      <c r="D56" s="148" t="s">
        <v>1058</v>
      </c>
      <c r="E56" s="149" t="s">
        <v>1056</v>
      </c>
      <c r="F56" s="150" t="s">
        <v>1057</v>
      </c>
      <c r="G56" s="151"/>
      <c r="H56" s="152"/>
      <c r="I56" s="152"/>
      <c r="J56" s="153"/>
      <c r="K56" s="151"/>
      <c r="L56" s="152"/>
      <c r="M56" s="152"/>
      <c r="N56" s="153"/>
      <c r="O56" s="151"/>
      <c r="P56" s="152"/>
      <c r="Q56" s="152"/>
      <c r="R56" s="153"/>
      <c r="S56" s="154"/>
      <c r="T56" s="155"/>
      <c r="U56" s="155"/>
      <c r="V56" s="156"/>
      <c r="W56" s="140"/>
      <c r="X56" s="141"/>
      <c r="Y56" s="141"/>
    </row>
    <row r="57" spans="1:25" s="142" customFormat="1" x14ac:dyDescent="0.15">
      <c r="A57" s="128">
        <f t="shared" si="0"/>
        <v>51</v>
      </c>
      <c r="B57" s="129"/>
      <c r="C57" s="148"/>
      <c r="D57" s="158" t="s">
        <v>1059</v>
      </c>
      <c r="E57" s="149" t="s">
        <v>1056</v>
      </c>
      <c r="F57" s="150" t="s">
        <v>1057</v>
      </c>
      <c r="G57" s="151"/>
      <c r="H57" s="152"/>
      <c r="I57" s="152"/>
      <c r="J57" s="153"/>
      <c r="K57" s="151"/>
      <c r="L57" s="152"/>
      <c r="M57" s="152"/>
      <c r="N57" s="153"/>
      <c r="O57" s="151"/>
      <c r="P57" s="152"/>
      <c r="Q57" s="152"/>
      <c r="R57" s="153"/>
      <c r="S57" s="154"/>
      <c r="T57" s="155"/>
      <c r="U57" s="155"/>
      <c r="V57" s="156"/>
      <c r="W57" s="140"/>
      <c r="X57" s="141"/>
      <c r="Y57" s="141"/>
    </row>
    <row r="58" spans="1:25" s="142" customFormat="1" x14ac:dyDescent="0.15">
      <c r="A58" s="128">
        <f t="shared" si="0"/>
        <v>52</v>
      </c>
      <c r="B58" s="129"/>
      <c r="C58" s="148"/>
      <c r="D58" s="158" t="s">
        <v>1060</v>
      </c>
      <c r="E58" s="149" t="s">
        <v>1056</v>
      </c>
      <c r="F58" s="150" t="s">
        <v>1057</v>
      </c>
      <c r="G58" s="151"/>
      <c r="H58" s="152"/>
      <c r="I58" s="152"/>
      <c r="J58" s="153"/>
      <c r="K58" s="151"/>
      <c r="L58" s="152"/>
      <c r="M58" s="152"/>
      <c r="N58" s="153"/>
      <c r="O58" s="151"/>
      <c r="P58" s="152"/>
      <c r="Q58" s="152"/>
      <c r="R58" s="153"/>
      <c r="S58" s="154"/>
      <c r="T58" s="155"/>
      <c r="U58" s="155"/>
      <c r="V58" s="156"/>
      <c r="W58" s="140"/>
      <c r="X58" s="141"/>
      <c r="Y58" s="141"/>
    </row>
    <row r="59" spans="1:25" s="142" customFormat="1" x14ac:dyDescent="0.15">
      <c r="A59" s="128">
        <f t="shared" si="0"/>
        <v>53</v>
      </c>
      <c r="B59" s="129"/>
      <c r="C59" s="148"/>
      <c r="D59" s="158" t="s">
        <v>1061</v>
      </c>
      <c r="E59" s="149" t="s">
        <v>1056</v>
      </c>
      <c r="F59" s="150" t="s">
        <v>1057</v>
      </c>
      <c r="G59" s="151"/>
      <c r="H59" s="152"/>
      <c r="I59" s="152"/>
      <c r="J59" s="153"/>
      <c r="K59" s="151"/>
      <c r="L59" s="152"/>
      <c r="M59" s="152"/>
      <c r="N59" s="153"/>
      <c r="O59" s="151"/>
      <c r="P59" s="152"/>
      <c r="Q59" s="152"/>
      <c r="R59" s="153"/>
      <c r="S59" s="154"/>
      <c r="T59" s="155"/>
      <c r="U59" s="155"/>
      <c r="V59" s="156"/>
      <c r="W59" s="140"/>
      <c r="X59" s="141"/>
      <c r="Y59" s="141"/>
    </row>
    <row r="60" spans="1:25" s="142" customFormat="1" ht="11.25" customHeight="1" x14ac:dyDescent="0.15">
      <c r="A60" s="128">
        <f t="shared" si="0"/>
        <v>54</v>
      </c>
      <c r="B60" s="129"/>
      <c r="C60" s="148"/>
      <c r="D60" s="158" t="s">
        <v>1062</v>
      </c>
      <c r="E60" s="149" t="s">
        <v>1056</v>
      </c>
      <c r="F60" s="150" t="s">
        <v>1057</v>
      </c>
      <c r="G60" s="151"/>
      <c r="H60" s="152"/>
      <c r="I60" s="152"/>
      <c r="J60" s="153"/>
      <c r="K60" s="151"/>
      <c r="L60" s="152"/>
      <c r="M60" s="152"/>
      <c r="N60" s="153"/>
      <c r="O60" s="151"/>
      <c r="P60" s="152"/>
      <c r="Q60" s="152"/>
      <c r="R60" s="153"/>
      <c r="S60" s="154"/>
      <c r="T60" s="155"/>
      <c r="U60" s="155"/>
      <c r="V60" s="156"/>
      <c r="W60" s="140"/>
      <c r="X60" s="141"/>
      <c r="Y60" s="141"/>
    </row>
    <row r="61" spans="1:25" s="142" customFormat="1" x14ac:dyDescent="0.15">
      <c r="A61" s="128">
        <f t="shared" si="0"/>
        <v>55</v>
      </c>
      <c r="B61" s="129"/>
      <c r="C61" s="148"/>
      <c r="D61" s="158" t="s">
        <v>1063</v>
      </c>
      <c r="E61" s="149" t="s">
        <v>1056</v>
      </c>
      <c r="F61" s="150" t="s">
        <v>1057</v>
      </c>
      <c r="G61" s="151"/>
      <c r="H61" s="152"/>
      <c r="I61" s="152"/>
      <c r="J61" s="153"/>
      <c r="K61" s="151"/>
      <c r="L61" s="152"/>
      <c r="M61" s="152"/>
      <c r="N61" s="153"/>
      <c r="O61" s="151"/>
      <c r="P61" s="152"/>
      <c r="Q61" s="152"/>
      <c r="R61" s="153"/>
      <c r="S61" s="154"/>
      <c r="T61" s="155"/>
      <c r="U61" s="155"/>
      <c r="V61" s="156"/>
      <c r="W61" s="140"/>
      <c r="X61" s="141"/>
      <c r="Y61" s="141"/>
    </row>
    <row r="62" spans="1:25" s="142" customFormat="1" x14ac:dyDescent="0.15">
      <c r="A62" s="128">
        <f t="shared" si="0"/>
        <v>56</v>
      </c>
      <c r="B62" s="129"/>
      <c r="C62" s="148"/>
      <c r="D62" s="158" t="s">
        <v>1064</v>
      </c>
      <c r="E62" s="149" t="s">
        <v>1056</v>
      </c>
      <c r="F62" s="150" t="s">
        <v>1057</v>
      </c>
      <c r="G62" s="151"/>
      <c r="H62" s="152"/>
      <c r="I62" s="152"/>
      <c r="J62" s="153"/>
      <c r="K62" s="151"/>
      <c r="L62" s="152"/>
      <c r="M62" s="152"/>
      <c r="N62" s="153"/>
      <c r="O62" s="151"/>
      <c r="P62" s="152"/>
      <c r="Q62" s="152"/>
      <c r="R62" s="153"/>
      <c r="S62" s="154"/>
      <c r="T62" s="155"/>
      <c r="U62" s="155"/>
      <c r="V62" s="156"/>
      <c r="W62" s="140"/>
      <c r="X62" s="141"/>
      <c r="Y62" s="141"/>
    </row>
    <row r="63" spans="1:25" s="142" customFormat="1" ht="18" x14ac:dyDescent="0.15">
      <c r="A63" s="128">
        <f t="shared" si="0"/>
        <v>57</v>
      </c>
      <c r="B63" s="129"/>
      <c r="C63" s="129" t="s">
        <v>1066</v>
      </c>
      <c r="D63" s="129" t="s">
        <v>1055</v>
      </c>
      <c r="E63" s="130" t="s">
        <v>1056</v>
      </c>
      <c r="F63" s="131" t="s">
        <v>1057</v>
      </c>
      <c r="G63" s="141"/>
      <c r="H63" s="143"/>
      <c r="I63" s="143"/>
      <c r="J63" s="144"/>
      <c r="K63" s="141"/>
      <c r="L63" s="143"/>
      <c r="M63" s="143"/>
      <c r="N63" s="144"/>
      <c r="O63" s="141"/>
      <c r="P63" s="143"/>
      <c r="Q63" s="143"/>
      <c r="R63" s="144" t="s">
        <v>1072</v>
      </c>
      <c r="S63" s="145" t="s">
        <v>1073</v>
      </c>
      <c r="T63" s="146"/>
      <c r="U63" s="146"/>
      <c r="V63" s="147"/>
      <c r="W63" s="140"/>
      <c r="X63" s="141"/>
      <c r="Y63" s="141"/>
    </row>
    <row r="64" spans="1:25" s="142" customFormat="1" x14ac:dyDescent="0.15">
      <c r="A64" s="128">
        <f t="shared" si="0"/>
        <v>58</v>
      </c>
      <c r="B64" s="129"/>
      <c r="C64" s="129"/>
      <c r="D64" s="129" t="s">
        <v>1058</v>
      </c>
      <c r="E64" s="130" t="s">
        <v>1056</v>
      </c>
      <c r="F64" s="131" t="s">
        <v>1057</v>
      </c>
      <c r="G64" s="141"/>
      <c r="H64" s="143"/>
      <c r="I64" s="143"/>
      <c r="J64" s="144"/>
      <c r="K64" s="141"/>
      <c r="L64" s="143"/>
      <c r="M64" s="143"/>
      <c r="N64" s="144"/>
      <c r="O64" s="141"/>
      <c r="P64" s="143"/>
      <c r="Q64" s="143"/>
      <c r="R64" s="144" t="s">
        <v>1072</v>
      </c>
      <c r="S64" s="145" t="s">
        <v>1073</v>
      </c>
      <c r="T64" s="146"/>
      <c r="U64" s="146"/>
      <c r="V64" s="147"/>
      <c r="W64" s="140"/>
      <c r="X64" s="141"/>
      <c r="Y64" s="141"/>
    </row>
    <row r="65" spans="1:25" s="142" customFormat="1" x14ac:dyDescent="0.15">
      <c r="A65" s="128">
        <f t="shared" si="0"/>
        <v>59</v>
      </c>
      <c r="B65" s="129"/>
      <c r="C65" s="129"/>
      <c r="D65" s="132" t="s">
        <v>1059</v>
      </c>
      <c r="E65" s="130" t="s">
        <v>1056</v>
      </c>
      <c r="F65" s="131" t="s">
        <v>1057</v>
      </c>
      <c r="G65" s="141"/>
      <c r="H65" s="143"/>
      <c r="I65" s="143"/>
      <c r="J65" s="144"/>
      <c r="K65" s="141"/>
      <c r="L65" s="143"/>
      <c r="M65" s="143"/>
      <c r="N65" s="144"/>
      <c r="O65" s="141"/>
      <c r="P65" s="143"/>
      <c r="Q65" s="143"/>
      <c r="R65" s="144" t="s">
        <v>1072</v>
      </c>
      <c r="S65" s="145" t="s">
        <v>1073</v>
      </c>
      <c r="T65" s="146"/>
      <c r="U65" s="146"/>
      <c r="V65" s="147"/>
      <c r="W65" s="140"/>
      <c r="X65" s="141"/>
      <c r="Y65" s="141"/>
    </row>
    <row r="66" spans="1:25" s="142" customFormat="1" x14ac:dyDescent="0.15">
      <c r="A66" s="128">
        <f t="shared" si="0"/>
        <v>60</v>
      </c>
      <c r="B66" s="129"/>
      <c r="C66" s="129"/>
      <c r="D66" s="132" t="s">
        <v>1060</v>
      </c>
      <c r="E66" s="130" t="s">
        <v>1056</v>
      </c>
      <c r="F66" s="131" t="s">
        <v>1057</v>
      </c>
      <c r="G66" s="141"/>
      <c r="H66" s="143"/>
      <c r="I66" s="143"/>
      <c r="J66" s="144"/>
      <c r="K66" s="141"/>
      <c r="L66" s="143"/>
      <c r="M66" s="143"/>
      <c r="N66" s="144"/>
      <c r="O66" s="141"/>
      <c r="P66" s="143"/>
      <c r="Q66" s="143"/>
      <c r="R66" s="144" t="s">
        <v>1072</v>
      </c>
      <c r="S66" s="145" t="s">
        <v>1073</v>
      </c>
      <c r="T66" s="146"/>
      <c r="U66" s="146"/>
      <c r="V66" s="147"/>
      <c r="W66" s="140"/>
      <c r="X66" s="141"/>
      <c r="Y66" s="141"/>
    </row>
    <row r="67" spans="1:25" s="142" customFormat="1" x14ac:dyDescent="0.15">
      <c r="A67" s="128">
        <f t="shared" si="0"/>
        <v>61</v>
      </c>
      <c r="B67" s="133"/>
      <c r="C67" s="133"/>
      <c r="D67" s="132" t="s">
        <v>1061</v>
      </c>
      <c r="E67" s="130" t="s">
        <v>1056</v>
      </c>
      <c r="F67" s="131" t="s">
        <v>1057</v>
      </c>
      <c r="G67" s="141"/>
      <c r="H67" s="143"/>
      <c r="I67" s="143"/>
      <c r="J67" s="144"/>
      <c r="K67" s="141"/>
      <c r="L67" s="143"/>
      <c r="M67" s="143"/>
      <c r="N67" s="144"/>
      <c r="O67" s="141"/>
      <c r="P67" s="143"/>
      <c r="Q67" s="143"/>
      <c r="R67" s="144" t="s">
        <v>1072</v>
      </c>
      <c r="S67" s="145" t="s">
        <v>1073</v>
      </c>
      <c r="T67" s="146"/>
      <c r="U67" s="146"/>
      <c r="V67" s="147"/>
      <c r="W67" s="140"/>
      <c r="X67" s="141"/>
      <c r="Y67" s="141"/>
    </row>
    <row r="68" spans="1:25" s="142" customFormat="1" ht="10.5" customHeight="1" x14ac:dyDescent="0.15">
      <c r="A68" s="128">
        <f t="shared" si="0"/>
        <v>62</v>
      </c>
      <c r="B68" s="133"/>
      <c r="C68" s="133"/>
      <c r="D68" s="132" t="s">
        <v>1062</v>
      </c>
      <c r="E68" s="130" t="s">
        <v>1056</v>
      </c>
      <c r="F68" s="131" t="s">
        <v>1057</v>
      </c>
      <c r="G68" s="141"/>
      <c r="H68" s="143"/>
      <c r="I68" s="143"/>
      <c r="J68" s="144"/>
      <c r="K68" s="141"/>
      <c r="L68" s="143"/>
      <c r="M68" s="143"/>
      <c r="N68" s="144"/>
      <c r="O68" s="141"/>
      <c r="P68" s="143"/>
      <c r="Q68" s="143"/>
      <c r="R68" s="144" t="s">
        <v>1072</v>
      </c>
      <c r="S68" s="145" t="s">
        <v>1073</v>
      </c>
      <c r="T68" s="146"/>
      <c r="U68" s="146"/>
      <c r="V68" s="147"/>
      <c r="W68" s="140"/>
      <c r="X68" s="141"/>
      <c r="Y68" s="141"/>
    </row>
    <row r="69" spans="1:25" s="142" customFormat="1" x14ac:dyDescent="0.15">
      <c r="A69" s="128">
        <f t="shared" si="0"/>
        <v>63</v>
      </c>
      <c r="B69" s="133"/>
      <c r="C69" s="133"/>
      <c r="D69" s="158" t="s">
        <v>1063</v>
      </c>
      <c r="E69" s="149" t="s">
        <v>1056</v>
      </c>
      <c r="F69" s="150" t="s">
        <v>1057</v>
      </c>
      <c r="G69" s="151"/>
      <c r="H69" s="152"/>
      <c r="I69" s="152"/>
      <c r="J69" s="153"/>
      <c r="K69" s="151"/>
      <c r="L69" s="152"/>
      <c r="M69" s="152"/>
      <c r="N69" s="153"/>
      <c r="O69" s="151"/>
      <c r="P69" s="152"/>
      <c r="Q69" s="152"/>
      <c r="R69" s="153"/>
      <c r="S69" s="154"/>
      <c r="T69" s="155"/>
      <c r="U69" s="155"/>
      <c r="V69" s="156"/>
      <c r="W69" s="140"/>
      <c r="X69" s="141"/>
      <c r="Y69" s="141"/>
    </row>
    <row r="70" spans="1:25" s="142" customFormat="1" x14ac:dyDescent="0.15">
      <c r="A70" s="128">
        <f t="shared" si="0"/>
        <v>64</v>
      </c>
      <c r="B70" s="133"/>
      <c r="C70" s="133"/>
      <c r="D70" s="132" t="s">
        <v>1064</v>
      </c>
      <c r="E70" s="130" t="s">
        <v>1056</v>
      </c>
      <c r="F70" s="131" t="s">
        <v>1057</v>
      </c>
      <c r="G70" s="141"/>
      <c r="H70" s="143"/>
      <c r="I70" s="143"/>
      <c r="J70" s="144"/>
      <c r="K70" s="141"/>
      <c r="L70" s="143"/>
      <c r="M70" s="143"/>
      <c r="N70" s="144"/>
      <c r="O70" s="141"/>
      <c r="P70" s="143"/>
      <c r="Q70" s="143"/>
      <c r="R70" s="144" t="s">
        <v>1072</v>
      </c>
      <c r="S70" s="145" t="s">
        <v>1073</v>
      </c>
      <c r="T70" s="146"/>
      <c r="U70" s="146"/>
      <c r="V70" s="147"/>
      <c r="W70" s="140"/>
      <c r="X70" s="141"/>
      <c r="Y70" s="141"/>
    </row>
    <row r="71" spans="1:25" s="142" customFormat="1" ht="18" x14ac:dyDescent="0.15">
      <c r="A71" s="128">
        <f t="shared" si="0"/>
        <v>65</v>
      </c>
      <c r="B71" s="133"/>
      <c r="C71" s="129" t="s">
        <v>1067</v>
      </c>
      <c r="D71" s="129" t="s">
        <v>1055</v>
      </c>
      <c r="E71" s="130" t="s">
        <v>1056</v>
      </c>
      <c r="F71" s="131" t="s">
        <v>1057</v>
      </c>
      <c r="G71" s="141"/>
      <c r="H71" s="143"/>
      <c r="I71" s="143"/>
      <c r="J71" s="144"/>
      <c r="K71" s="141"/>
      <c r="L71" s="143"/>
      <c r="M71" s="143"/>
      <c r="N71" s="144"/>
      <c r="O71" s="141"/>
      <c r="P71" s="143"/>
      <c r="Q71" s="143"/>
      <c r="R71" s="71" t="s">
        <v>1072</v>
      </c>
      <c r="S71" s="145" t="s">
        <v>1073</v>
      </c>
      <c r="T71" s="146"/>
      <c r="U71" s="146"/>
      <c r="V71" s="147"/>
      <c r="W71" s="140"/>
      <c r="X71" s="141"/>
      <c r="Y71" s="141"/>
    </row>
    <row r="72" spans="1:25" s="142" customFormat="1" x14ac:dyDescent="0.15">
      <c r="A72" s="128">
        <f t="shared" si="0"/>
        <v>66</v>
      </c>
      <c r="B72" s="133"/>
      <c r="C72" s="129"/>
      <c r="D72" s="129" t="s">
        <v>1058</v>
      </c>
      <c r="E72" s="130" t="s">
        <v>1056</v>
      </c>
      <c r="F72" s="131" t="s">
        <v>1057</v>
      </c>
      <c r="G72" s="141"/>
      <c r="H72" s="143"/>
      <c r="I72" s="143"/>
      <c r="J72" s="144"/>
      <c r="K72" s="141"/>
      <c r="L72" s="143"/>
      <c r="M72" s="143"/>
      <c r="N72" s="144"/>
      <c r="O72" s="141"/>
      <c r="P72" s="143"/>
      <c r="Q72" s="143"/>
      <c r="R72" s="71" t="s">
        <v>1072</v>
      </c>
      <c r="S72" s="145" t="s">
        <v>1073</v>
      </c>
      <c r="T72" s="146"/>
      <c r="U72" s="146"/>
      <c r="V72" s="147"/>
      <c r="W72" s="140"/>
      <c r="X72" s="141"/>
      <c r="Y72" s="141"/>
    </row>
    <row r="73" spans="1:25" s="142" customFormat="1" x14ac:dyDescent="0.15">
      <c r="A73" s="128">
        <f t="shared" si="0"/>
        <v>67</v>
      </c>
      <c r="B73" s="129"/>
      <c r="C73" s="129"/>
      <c r="D73" s="132" t="s">
        <v>1059</v>
      </c>
      <c r="E73" s="130" t="s">
        <v>1056</v>
      </c>
      <c r="F73" s="131" t="s">
        <v>1057</v>
      </c>
      <c r="G73" s="141"/>
      <c r="H73" s="143"/>
      <c r="I73" s="143"/>
      <c r="J73" s="144"/>
      <c r="K73" s="141"/>
      <c r="L73" s="143"/>
      <c r="M73" s="143"/>
      <c r="N73" s="144"/>
      <c r="O73" s="141"/>
      <c r="P73" s="143"/>
      <c r="Q73" s="143"/>
      <c r="R73" s="71" t="s">
        <v>1072</v>
      </c>
      <c r="S73" s="145" t="s">
        <v>1073</v>
      </c>
      <c r="T73" s="146"/>
      <c r="U73" s="146"/>
      <c r="V73" s="147"/>
      <c r="W73" s="140"/>
      <c r="X73" s="141"/>
      <c r="Y73" s="141"/>
    </row>
    <row r="74" spans="1:25" s="142" customFormat="1" x14ac:dyDescent="0.15">
      <c r="A74" s="128">
        <f t="shared" si="0"/>
        <v>68</v>
      </c>
      <c r="B74" s="129"/>
      <c r="C74" s="129"/>
      <c r="D74" s="132" t="s">
        <v>1060</v>
      </c>
      <c r="E74" s="130" t="s">
        <v>1056</v>
      </c>
      <c r="F74" s="131" t="s">
        <v>1057</v>
      </c>
      <c r="G74" s="141"/>
      <c r="H74" s="143"/>
      <c r="I74" s="143"/>
      <c r="J74" s="144"/>
      <c r="K74" s="141"/>
      <c r="L74" s="143"/>
      <c r="M74" s="143"/>
      <c r="N74" s="144"/>
      <c r="O74" s="141"/>
      <c r="P74" s="143"/>
      <c r="Q74" s="143"/>
      <c r="R74" s="71" t="s">
        <v>1072</v>
      </c>
      <c r="S74" s="145" t="s">
        <v>1073</v>
      </c>
      <c r="T74" s="146"/>
      <c r="U74" s="146"/>
      <c r="V74" s="147"/>
      <c r="W74" s="140"/>
      <c r="X74" s="141"/>
      <c r="Y74" s="141"/>
    </row>
    <row r="75" spans="1:25" s="142" customFormat="1" x14ac:dyDescent="0.15">
      <c r="A75" s="128">
        <f t="shared" si="0"/>
        <v>69</v>
      </c>
      <c r="B75" s="129"/>
      <c r="C75" s="133"/>
      <c r="D75" s="132" t="s">
        <v>1061</v>
      </c>
      <c r="E75" s="130" t="s">
        <v>1056</v>
      </c>
      <c r="F75" s="131" t="s">
        <v>1057</v>
      </c>
      <c r="G75" s="141"/>
      <c r="H75" s="143"/>
      <c r="I75" s="143"/>
      <c r="J75" s="144"/>
      <c r="K75" s="141"/>
      <c r="L75" s="143"/>
      <c r="M75" s="143"/>
      <c r="N75" s="144"/>
      <c r="O75" s="141"/>
      <c r="P75" s="143"/>
      <c r="Q75" s="143"/>
      <c r="R75" s="71" t="s">
        <v>1072</v>
      </c>
      <c r="S75" s="145" t="s">
        <v>1073</v>
      </c>
      <c r="T75" s="146"/>
      <c r="U75" s="146"/>
      <c r="V75" s="147"/>
      <c r="W75" s="140"/>
      <c r="X75" s="141"/>
      <c r="Y75" s="141"/>
    </row>
    <row r="76" spans="1:25" s="142" customFormat="1" ht="11.25" customHeight="1" x14ac:dyDescent="0.15">
      <c r="A76" s="128">
        <f t="shared" si="0"/>
        <v>70</v>
      </c>
      <c r="B76" s="129"/>
      <c r="C76" s="133"/>
      <c r="D76" s="132" t="s">
        <v>1062</v>
      </c>
      <c r="E76" s="130" t="s">
        <v>1056</v>
      </c>
      <c r="F76" s="131" t="s">
        <v>1057</v>
      </c>
      <c r="G76" s="141"/>
      <c r="H76" s="143"/>
      <c r="I76" s="143"/>
      <c r="J76" s="144"/>
      <c r="K76" s="141"/>
      <c r="L76" s="143"/>
      <c r="M76" s="143"/>
      <c r="N76" s="144"/>
      <c r="O76" s="141"/>
      <c r="P76" s="143"/>
      <c r="Q76" s="143"/>
      <c r="R76" s="71" t="s">
        <v>1072</v>
      </c>
      <c r="S76" s="145" t="s">
        <v>1073</v>
      </c>
      <c r="T76" s="146"/>
      <c r="U76" s="146"/>
      <c r="V76" s="147"/>
      <c r="W76" s="140"/>
      <c r="X76" s="141"/>
      <c r="Y76" s="141"/>
    </row>
    <row r="77" spans="1:25" s="142" customFormat="1" x14ac:dyDescent="0.15">
      <c r="A77" s="128">
        <f t="shared" si="0"/>
        <v>71</v>
      </c>
      <c r="B77" s="129"/>
      <c r="C77" s="133"/>
      <c r="D77" s="158" t="s">
        <v>1063</v>
      </c>
      <c r="E77" s="149" t="s">
        <v>1056</v>
      </c>
      <c r="F77" s="150" t="s">
        <v>1057</v>
      </c>
      <c r="G77" s="151"/>
      <c r="H77" s="152"/>
      <c r="I77" s="152"/>
      <c r="J77" s="153"/>
      <c r="K77" s="151"/>
      <c r="L77" s="152"/>
      <c r="M77" s="152"/>
      <c r="N77" s="153"/>
      <c r="O77" s="151"/>
      <c r="P77" s="152"/>
      <c r="Q77" s="152"/>
      <c r="R77" s="123"/>
      <c r="S77" s="154"/>
      <c r="T77" s="155"/>
      <c r="U77" s="155"/>
      <c r="V77" s="156"/>
      <c r="W77" s="140"/>
      <c r="X77" s="141"/>
      <c r="Y77" s="141"/>
    </row>
    <row r="78" spans="1:25" s="142" customFormat="1" x14ac:dyDescent="0.15">
      <c r="A78" s="128">
        <f t="shared" si="0"/>
        <v>72</v>
      </c>
      <c r="B78" s="129"/>
      <c r="C78" s="133"/>
      <c r="D78" s="132" t="s">
        <v>1064</v>
      </c>
      <c r="E78" s="130" t="s">
        <v>1056</v>
      </c>
      <c r="F78" s="131" t="s">
        <v>1057</v>
      </c>
      <c r="G78" s="141"/>
      <c r="H78" s="143"/>
      <c r="I78" s="143"/>
      <c r="J78" s="144"/>
      <c r="K78" s="141"/>
      <c r="L78" s="143"/>
      <c r="M78" s="143"/>
      <c r="N78" s="144"/>
      <c r="O78" s="141"/>
      <c r="P78" s="143"/>
      <c r="Q78" s="143"/>
      <c r="R78" s="71" t="s">
        <v>1072</v>
      </c>
      <c r="S78" s="145" t="s">
        <v>1073</v>
      </c>
      <c r="T78" s="146"/>
      <c r="U78" s="146"/>
      <c r="V78" s="147"/>
      <c r="W78" s="140"/>
      <c r="X78" s="141"/>
      <c r="Y78" s="141"/>
    </row>
    <row r="79" spans="1:25" s="142" customFormat="1" ht="18" x14ac:dyDescent="0.15">
      <c r="A79" s="128">
        <f t="shared" si="0"/>
        <v>73</v>
      </c>
      <c r="B79" s="129"/>
      <c r="C79" s="129" t="s">
        <v>1068</v>
      </c>
      <c r="D79" s="129" t="s">
        <v>1055</v>
      </c>
      <c r="E79" s="130" t="s">
        <v>1056</v>
      </c>
      <c r="F79" s="131" t="s">
        <v>1057</v>
      </c>
      <c r="G79" s="141"/>
      <c r="H79" s="143"/>
      <c r="I79" s="143"/>
      <c r="J79" s="144"/>
      <c r="K79" s="141"/>
      <c r="L79" s="143"/>
      <c r="M79" s="143"/>
      <c r="N79" s="144"/>
      <c r="O79" s="141"/>
      <c r="P79" s="143"/>
      <c r="Q79" s="143"/>
      <c r="R79" s="71" t="s">
        <v>1072</v>
      </c>
      <c r="S79" s="145" t="s">
        <v>1073</v>
      </c>
      <c r="T79" s="146"/>
      <c r="U79" s="146"/>
      <c r="V79" s="147"/>
      <c r="W79" s="140"/>
      <c r="X79" s="141"/>
      <c r="Y79" s="141"/>
    </row>
    <row r="80" spans="1:25" s="142" customFormat="1" x14ac:dyDescent="0.15">
      <c r="A80" s="128">
        <f t="shared" si="0"/>
        <v>74</v>
      </c>
      <c r="B80" s="129"/>
      <c r="C80" s="129"/>
      <c r="D80" s="129" t="s">
        <v>1058</v>
      </c>
      <c r="E80" s="130" t="s">
        <v>1056</v>
      </c>
      <c r="F80" s="131" t="s">
        <v>1057</v>
      </c>
      <c r="G80" s="141"/>
      <c r="H80" s="143"/>
      <c r="I80" s="143"/>
      <c r="J80" s="144"/>
      <c r="K80" s="141"/>
      <c r="L80" s="143"/>
      <c r="M80" s="143"/>
      <c r="N80" s="144"/>
      <c r="O80" s="141"/>
      <c r="P80" s="143"/>
      <c r="Q80" s="143"/>
      <c r="R80" s="71" t="s">
        <v>1072</v>
      </c>
      <c r="S80" s="145" t="s">
        <v>1073</v>
      </c>
      <c r="T80" s="146"/>
      <c r="U80" s="146"/>
      <c r="V80" s="147"/>
      <c r="W80" s="140"/>
      <c r="X80" s="141"/>
      <c r="Y80" s="141"/>
    </row>
    <row r="81" spans="1:25" s="142" customFormat="1" x14ac:dyDescent="0.15">
      <c r="A81" s="128">
        <f t="shared" si="0"/>
        <v>75</v>
      </c>
      <c r="B81" s="129"/>
      <c r="C81" s="129"/>
      <c r="D81" s="132" t="s">
        <v>1059</v>
      </c>
      <c r="E81" s="130" t="s">
        <v>1056</v>
      </c>
      <c r="F81" s="131" t="s">
        <v>1057</v>
      </c>
      <c r="G81" s="141"/>
      <c r="H81" s="143"/>
      <c r="I81" s="143"/>
      <c r="J81" s="144"/>
      <c r="K81" s="141"/>
      <c r="L81" s="143"/>
      <c r="M81" s="143"/>
      <c r="N81" s="144"/>
      <c r="O81" s="141"/>
      <c r="P81" s="143"/>
      <c r="Q81" s="143"/>
      <c r="R81" s="71" t="s">
        <v>1072</v>
      </c>
      <c r="S81" s="145" t="s">
        <v>1073</v>
      </c>
      <c r="T81" s="146"/>
      <c r="U81" s="146"/>
      <c r="V81" s="147"/>
      <c r="W81" s="140"/>
      <c r="X81" s="141"/>
      <c r="Y81" s="141"/>
    </row>
    <row r="82" spans="1:25" s="142" customFormat="1" x14ac:dyDescent="0.15">
      <c r="A82" s="128">
        <f t="shared" si="0"/>
        <v>76</v>
      </c>
      <c r="B82" s="129"/>
      <c r="C82" s="129"/>
      <c r="D82" s="132" t="s">
        <v>1060</v>
      </c>
      <c r="E82" s="130" t="s">
        <v>1056</v>
      </c>
      <c r="F82" s="131" t="s">
        <v>1057</v>
      </c>
      <c r="G82" s="141"/>
      <c r="H82" s="143"/>
      <c r="I82" s="143"/>
      <c r="J82" s="144"/>
      <c r="K82" s="141"/>
      <c r="L82" s="143"/>
      <c r="M82" s="143"/>
      <c r="N82" s="144"/>
      <c r="O82" s="141"/>
      <c r="P82" s="143"/>
      <c r="Q82" s="143"/>
      <c r="R82" s="71" t="s">
        <v>1072</v>
      </c>
      <c r="S82" s="145" t="s">
        <v>1073</v>
      </c>
      <c r="T82" s="146"/>
      <c r="U82" s="146"/>
      <c r="V82" s="147"/>
      <c r="W82" s="140"/>
      <c r="X82" s="141"/>
      <c r="Y82" s="141"/>
    </row>
    <row r="83" spans="1:25" s="142" customFormat="1" x14ac:dyDescent="0.15">
      <c r="A83" s="128">
        <f t="shared" si="0"/>
        <v>77</v>
      </c>
      <c r="B83" s="129"/>
      <c r="C83" s="133"/>
      <c r="D83" s="132" t="s">
        <v>1061</v>
      </c>
      <c r="E83" s="130" t="s">
        <v>1056</v>
      </c>
      <c r="F83" s="131" t="s">
        <v>1057</v>
      </c>
      <c r="G83" s="141"/>
      <c r="H83" s="143"/>
      <c r="I83" s="143"/>
      <c r="J83" s="144"/>
      <c r="K83" s="141"/>
      <c r="L83" s="143"/>
      <c r="M83" s="143"/>
      <c r="N83" s="144"/>
      <c r="O83" s="141"/>
      <c r="P83" s="143"/>
      <c r="Q83" s="143"/>
      <c r="R83" s="71" t="s">
        <v>1072</v>
      </c>
      <c r="S83" s="145" t="s">
        <v>1073</v>
      </c>
      <c r="T83" s="146"/>
      <c r="U83" s="146"/>
      <c r="V83" s="147"/>
      <c r="W83" s="140"/>
      <c r="X83" s="141"/>
      <c r="Y83" s="141"/>
    </row>
    <row r="84" spans="1:25" s="142" customFormat="1" ht="10.5" customHeight="1" x14ac:dyDescent="0.15">
      <c r="A84" s="128">
        <f t="shared" si="0"/>
        <v>78</v>
      </c>
      <c r="B84" s="129"/>
      <c r="C84" s="133"/>
      <c r="D84" s="132" t="s">
        <v>1062</v>
      </c>
      <c r="E84" s="130" t="s">
        <v>1056</v>
      </c>
      <c r="F84" s="131" t="s">
        <v>1057</v>
      </c>
      <c r="G84" s="141"/>
      <c r="H84" s="143"/>
      <c r="I84" s="143"/>
      <c r="J84" s="144"/>
      <c r="K84" s="141"/>
      <c r="L84" s="143"/>
      <c r="M84" s="143"/>
      <c r="N84" s="144"/>
      <c r="O84" s="141"/>
      <c r="P84" s="143"/>
      <c r="Q84" s="143"/>
      <c r="R84" s="71" t="s">
        <v>1072</v>
      </c>
      <c r="S84" s="145" t="s">
        <v>1073</v>
      </c>
      <c r="T84" s="146"/>
      <c r="U84" s="146"/>
      <c r="V84" s="147"/>
      <c r="W84" s="140"/>
      <c r="X84" s="141"/>
      <c r="Y84" s="141"/>
    </row>
    <row r="85" spans="1:25" s="142" customFormat="1" x14ac:dyDescent="0.15">
      <c r="A85" s="128">
        <f t="shared" si="0"/>
        <v>79</v>
      </c>
      <c r="B85" s="129"/>
      <c r="C85" s="133"/>
      <c r="D85" s="158" t="s">
        <v>1063</v>
      </c>
      <c r="E85" s="149" t="s">
        <v>1056</v>
      </c>
      <c r="F85" s="150" t="s">
        <v>1057</v>
      </c>
      <c r="G85" s="151"/>
      <c r="H85" s="152"/>
      <c r="I85" s="152"/>
      <c r="J85" s="153"/>
      <c r="K85" s="151"/>
      <c r="L85" s="152"/>
      <c r="M85" s="152"/>
      <c r="N85" s="153"/>
      <c r="O85" s="151"/>
      <c r="P85" s="152"/>
      <c r="Q85" s="152"/>
      <c r="R85" s="123"/>
      <c r="S85" s="154"/>
      <c r="T85" s="155"/>
      <c r="U85" s="155"/>
      <c r="V85" s="156"/>
      <c r="W85" s="140"/>
      <c r="X85" s="141"/>
      <c r="Y85" s="141"/>
    </row>
    <row r="86" spans="1:25" s="142" customFormat="1" x14ac:dyDescent="0.15">
      <c r="A86" s="128">
        <f t="shared" si="0"/>
        <v>80</v>
      </c>
      <c r="B86" s="129"/>
      <c r="C86" s="133"/>
      <c r="D86" s="132" t="s">
        <v>1064</v>
      </c>
      <c r="E86" s="130" t="s">
        <v>1056</v>
      </c>
      <c r="F86" s="131" t="s">
        <v>1057</v>
      </c>
      <c r="G86" s="141"/>
      <c r="H86" s="143"/>
      <c r="I86" s="143"/>
      <c r="J86" s="144"/>
      <c r="K86" s="141"/>
      <c r="L86" s="143"/>
      <c r="M86" s="143"/>
      <c r="N86" s="144"/>
      <c r="O86" s="141"/>
      <c r="P86" s="143"/>
      <c r="Q86" s="143"/>
      <c r="R86" s="71" t="s">
        <v>1072</v>
      </c>
      <c r="S86" s="145" t="s">
        <v>1073</v>
      </c>
      <c r="T86" s="146"/>
      <c r="U86" s="146"/>
      <c r="V86" s="147"/>
      <c r="W86" s="140"/>
      <c r="X86" s="141"/>
      <c r="Y86" s="141"/>
    </row>
    <row r="87" spans="1:25" ht="18" x14ac:dyDescent="0.15">
      <c r="A87" s="86">
        <f t="shared" si="0"/>
        <v>81</v>
      </c>
      <c r="B87" s="57" t="s">
        <v>1074</v>
      </c>
      <c r="C87" s="57" t="s">
        <v>1054</v>
      </c>
      <c r="D87" s="57" t="s">
        <v>1055</v>
      </c>
      <c r="E87" s="90" t="s">
        <v>1056</v>
      </c>
      <c r="F87" s="75" t="s">
        <v>1075</v>
      </c>
      <c r="G87" s="88"/>
      <c r="H87" s="70"/>
      <c r="I87" s="70"/>
      <c r="J87" s="71"/>
      <c r="K87" s="88"/>
      <c r="L87" s="70"/>
      <c r="M87" s="70"/>
      <c r="N87" s="71"/>
      <c r="O87" s="88"/>
      <c r="P87" s="70"/>
      <c r="Q87" s="70"/>
      <c r="R87" s="71" t="s">
        <v>1070</v>
      </c>
      <c r="S87" s="72" t="s">
        <v>1071</v>
      </c>
      <c r="T87" s="73"/>
      <c r="U87" s="73"/>
      <c r="V87" s="74"/>
      <c r="W87" s="87"/>
      <c r="X87" s="85"/>
      <c r="Y87" s="85"/>
    </row>
    <row r="88" spans="1:25" ht="18" x14ac:dyDescent="0.15">
      <c r="A88" s="86">
        <f t="shared" si="0"/>
        <v>82</v>
      </c>
      <c r="B88" s="57"/>
      <c r="C88" s="57"/>
      <c r="D88" s="57" t="s">
        <v>1058</v>
      </c>
      <c r="E88" s="90" t="s">
        <v>1056</v>
      </c>
      <c r="F88" s="75" t="s">
        <v>1075</v>
      </c>
      <c r="G88" s="88"/>
      <c r="H88" s="70"/>
      <c r="I88" s="70"/>
      <c r="J88" s="71"/>
      <c r="K88" s="88"/>
      <c r="L88" s="70"/>
      <c r="M88" s="70"/>
      <c r="N88" s="71"/>
      <c r="O88" s="88"/>
      <c r="P88" s="70"/>
      <c r="Q88" s="70"/>
      <c r="R88" s="71" t="s">
        <v>1070</v>
      </c>
      <c r="S88" s="72" t="s">
        <v>1073</v>
      </c>
      <c r="T88" s="73"/>
      <c r="U88" s="73"/>
      <c r="V88" s="74"/>
      <c r="W88" s="87"/>
      <c r="X88" s="85"/>
      <c r="Y88" s="85"/>
    </row>
    <row r="89" spans="1:25" ht="18" x14ac:dyDescent="0.15">
      <c r="A89" s="86">
        <f t="shared" si="0"/>
        <v>83</v>
      </c>
      <c r="B89" s="57"/>
      <c r="C89" s="57"/>
      <c r="D89" s="91" t="s">
        <v>1059</v>
      </c>
      <c r="E89" s="90" t="s">
        <v>1056</v>
      </c>
      <c r="F89" s="75" t="s">
        <v>1075</v>
      </c>
      <c r="G89" s="88"/>
      <c r="H89" s="70"/>
      <c r="I89" s="70"/>
      <c r="J89" s="71"/>
      <c r="K89" s="88"/>
      <c r="L89" s="70"/>
      <c r="M89" s="70"/>
      <c r="N89" s="71"/>
      <c r="O89" s="88"/>
      <c r="P89" s="70"/>
      <c r="Q89" s="70"/>
      <c r="R89" s="71" t="s">
        <v>1070</v>
      </c>
      <c r="S89" s="72" t="s">
        <v>1073</v>
      </c>
      <c r="T89" s="73"/>
      <c r="U89" s="73"/>
      <c r="V89" s="74"/>
      <c r="W89" s="87"/>
      <c r="X89" s="85"/>
      <c r="Y89" s="85"/>
    </row>
    <row r="90" spans="1:25" x14ac:dyDescent="0.15">
      <c r="A90" s="86">
        <f t="shared" si="0"/>
        <v>84</v>
      </c>
      <c r="B90" s="57"/>
      <c r="C90" s="57"/>
      <c r="D90" s="91" t="s">
        <v>1060</v>
      </c>
      <c r="E90" s="90" t="s">
        <v>1056</v>
      </c>
      <c r="F90" s="75" t="s">
        <v>1076</v>
      </c>
      <c r="G90" s="88"/>
      <c r="H90" s="70"/>
      <c r="I90" s="70"/>
      <c r="J90" s="71"/>
      <c r="K90" s="88"/>
      <c r="L90" s="70"/>
      <c r="M90" s="70"/>
      <c r="N90" s="71"/>
      <c r="O90" s="88"/>
      <c r="P90" s="70"/>
      <c r="Q90" s="70"/>
      <c r="R90" s="71" t="s">
        <v>1070</v>
      </c>
      <c r="S90" s="72" t="s">
        <v>1073</v>
      </c>
      <c r="T90" s="73"/>
      <c r="U90" s="73"/>
      <c r="V90" s="74"/>
      <c r="W90" s="87"/>
      <c r="X90" s="85"/>
      <c r="Y90" s="85"/>
    </row>
    <row r="91" spans="1:25" ht="18" x14ac:dyDescent="0.15">
      <c r="A91" s="86">
        <f t="shared" si="0"/>
        <v>85</v>
      </c>
      <c r="B91" s="57"/>
      <c r="C91" s="57"/>
      <c r="D91" s="91" t="s">
        <v>1061</v>
      </c>
      <c r="E91" s="90" t="s">
        <v>1056</v>
      </c>
      <c r="F91" s="75" t="s">
        <v>1075</v>
      </c>
      <c r="G91" s="88"/>
      <c r="H91" s="70"/>
      <c r="I91" s="70"/>
      <c r="J91" s="71"/>
      <c r="K91" s="88"/>
      <c r="L91" s="70"/>
      <c r="M91" s="70"/>
      <c r="N91" s="71"/>
      <c r="O91" s="88"/>
      <c r="P91" s="70"/>
      <c r="Q91" s="70"/>
      <c r="R91" s="71" t="s">
        <v>1070</v>
      </c>
      <c r="S91" s="72" t="s">
        <v>1073</v>
      </c>
      <c r="T91" s="73"/>
      <c r="U91" s="73"/>
      <c r="V91" s="74"/>
      <c r="W91" s="87"/>
      <c r="X91" s="85"/>
      <c r="Y91" s="85"/>
    </row>
    <row r="92" spans="1:25" ht="18" x14ac:dyDescent="0.15">
      <c r="A92" s="86">
        <f t="shared" si="0"/>
        <v>86</v>
      </c>
      <c r="B92" s="57"/>
      <c r="C92" s="57"/>
      <c r="D92" s="91" t="s">
        <v>1062</v>
      </c>
      <c r="E92" s="90" t="s">
        <v>1056</v>
      </c>
      <c r="F92" s="75" t="s">
        <v>1075</v>
      </c>
      <c r="G92" s="88"/>
      <c r="H92" s="70"/>
      <c r="I92" s="70"/>
      <c r="J92" s="71"/>
      <c r="K92" s="88"/>
      <c r="L92" s="70"/>
      <c r="M92" s="70"/>
      <c r="N92" s="71"/>
      <c r="O92" s="88"/>
      <c r="P92" s="70"/>
      <c r="Q92" s="70"/>
      <c r="R92" s="71" t="s">
        <v>1070</v>
      </c>
      <c r="S92" s="72" t="s">
        <v>1073</v>
      </c>
      <c r="T92" s="73"/>
      <c r="U92" s="73"/>
      <c r="V92" s="74"/>
      <c r="W92" s="87"/>
      <c r="X92" s="85"/>
      <c r="Y92" s="85"/>
    </row>
    <row r="93" spans="1:25" ht="18" x14ac:dyDescent="0.15">
      <c r="A93" s="86">
        <f t="shared" si="0"/>
        <v>87</v>
      </c>
      <c r="B93" s="57"/>
      <c r="C93" s="57"/>
      <c r="D93" s="127" t="s">
        <v>1063</v>
      </c>
      <c r="E93" s="119" t="s">
        <v>1056</v>
      </c>
      <c r="F93" s="120" t="s">
        <v>1075</v>
      </c>
      <c r="G93" s="121"/>
      <c r="H93" s="122"/>
      <c r="I93" s="122"/>
      <c r="J93" s="123"/>
      <c r="K93" s="121"/>
      <c r="L93" s="122"/>
      <c r="M93" s="122"/>
      <c r="N93" s="123"/>
      <c r="O93" s="121"/>
      <c r="P93" s="122"/>
      <c r="Q93" s="122"/>
      <c r="R93" s="123"/>
      <c r="S93" s="124"/>
      <c r="T93" s="125"/>
      <c r="U93" s="125"/>
      <c r="V93" s="126"/>
      <c r="W93" s="87"/>
      <c r="X93" s="85"/>
      <c r="Y93" s="85"/>
    </row>
    <row r="94" spans="1:25" x14ac:dyDescent="0.15">
      <c r="A94" s="86">
        <f t="shared" si="0"/>
        <v>88</v>
      </c>
      <c r="B94" s="57"/>
      <c r="C94" s="57"/>
      <c r="D94" s="91" t="s">
        <v>1064</v>
      </c>
      <c r="E94" s="90" t="s">
        <v>1056</v>
      </c>
      <c r="F94" s="75" t="s">
        <v>1076</v>
      </c>
      <c r="G94" s="88"/>
      <c r="H94" s="70"/>
      <c r="I94" s="70"/>
      <c r="J94" s="71"/>
      <c r="K94" s="88"/>
      <c r="L94" s="70"/>
      <c r="M94" s="70"/>
      <c r="N94" s="71"/>
      <c r="O94" s="88"/>
      <c r="P94" s="70"/>
      <c r="Q94" s="70"/>
      <c r="R94" s="71" t="s">
        <v>1070</v>
      </c>
      <c r="S94" s="72" t="s">
        <v>1073</v>
      </c>
      <c r="T94" s="73"/>
      <c r="U94" s="73"/>
      <c r="V94" s="74"/>
      <c r="W94" s="87"/>
      <c r="X94" s="85"/>
      <c r="Y94" s="85"/>
    </row>
    <row r="95" spans="1:25" ht="18" x14ac:dyDescent="0.15">
      <c r="A95" s="86">
        <f t="shared" si="0"/>
        <v>89</v>
      </c>
      <c r="B95" s="57"/>
      <c r="C95" s="118" t="s">
        <v>1065</v>
      </c>
      <c r="D95" s="118" t="s">
        <v>1055</v>
      </c>
      <c r="E95" s="119" t="s">
        <v>1056</v>
      </c>
      <c r="F95" s="120" t="s">
        <v>1077</v>
      </c>
      <c r="G95" s="121"/>
      <c r="H95" s="122"/>
      <c r="I95" s="122"/>
      <c r="J95" s="123"/>
      <c r="K95" s="121"/>
      <c r="L95" s="122"/>
      <c r="M95" s="122"/>
      <c r="N95" s="123"/>
      <c r="O95" s="121"/>
      <c r="P95" s="122"/>
      <c r="Q95" s="122"/>
      <c r="R95" s="123"/>
      <c r="S95" s="124"/>
      <c r="T95" s="125"/>
      <c r="U95" s="125"/>
      <c r="V95" s="126"/>
      <c r="W95" s="87"/>
      <c r="X95" s="85"/>
      <c r="Y95" s="85"/>
    </row>
    <row r="96" spans="1:25" ht="18" x14ac:dyDescent="0.15">
      <c r="A96" s="86">
        <f t="shared" si="0"/>
        <v>90</v>
      </c>
      <c r="B96" s="57"/>
      <c r="C96" s="118"/>
      <c r="D96" s="118" t="s">
        <v>1058</v>
      </c>
      <c r="E96" s="119" t="s">
        <v>1056</v>
      </c>
      <c r="F96" s="120" t="s">
        <v>1077</v>
      </c>
      <c r="G96" s="121"/>
      <c r="H96" s="122"/>
      <c r="I96" s="122"/>
      <c r="J96" s="123"/>
      <c r="K96" s="121"/>
      <c r="L96" s="122"/>
      <c r="M96" s="122"/>
      <c r="N96" s="123"/>
      <c r="O96" s="121"/>
      <c r="P96" s="122"/>
      <c r="Q96" s="122"/>
      <c r="R96" s="123"/>
      <c r="S96" s="124"/>
      <c r="T96" s="125"/>
      <c r="U96" s="125"/>
      <c r="V96" s="126"/>
      <c r="W96" s="87"/>
      <c r="X96" s="85"/>
      <c r="Y96" s="85"/>
    </row>
    <row r="97" spans="1:25" ht="18" x14ac:dyDescent="0.15">
      <c r="A97" s="86">
        <f t="shared" si="0"/>
        <v>91</v>
      </c>
      <c r="B97" s="57"/>
      <c r="C97" s="118"/>
      <c r="D97" s="127" t="s">
        <v>1059</v>
      </c>
      <c r="E97" s="119" t="s">
        <v>1056</v>
      </c>
      <c r="F97" s="120" t="s">
        <v>1077</v>
      </c>
      <c r="G97" s="121"/>
      <c r="H97" s="122"/>
      <c r="I97" s="122"/>
      <c r="J97" s="123"/>
      <c r="K97" s="121"/>
      <c r="L97" s="122"/>
      <c r="M97" s="122"/>
      <c r="N97" s="123"/>
      <c r="O97" s="121"/>
      <c r="P97" s="122"/>
      <c r="Q97" s="122"/>
      <c r="R97" s="123"/>
      <c r="S97" s="124"/>
      <c r="T97" s="125"/>
      <c r="U97" s="125"/>
      <c r="V97" s="126"/>
      <c r="W97" s="87"/>
      <c r="X97" s="85"/>
      <c r="Y97" s="85"/>
    </row>
    <row r="98" spans="1:25" x14ac:dyDescent="0.15">
      <c r="A98" s="86">
        <f t="shared" si="0"/>
        <v>92</v>
      </c>
      <c r="B98" s="57"/>
      <c r="C98" s="118"/>
      <c r="D98" s="127" t="s">
        <v>1060</v>
      </c>
      <c r="E98" s="119" t="s">
        <v>1056</v>
      </c>
      <c r="F98" s="120" t="s">
        <v>1076</v>
      </c>
      <c r="G98" s="121"/>
      <c r="H98" s="122"/>
      <c r="I98" s="122"/>
      <c r="J98" s="123"/>
      <c r="K98" s="121"/>
      <c r="L98" s="122"/>
      <c r="M98" s="122"/>
      <c r="N98" s="123"/>
      <c r="O98" s="121"/>
      <c r="P98" s="122"/>
      <c r="Q98" s="122"/>
      <c r="R98" s="123"/>
      <c r="S98" s="124"/>
      <c r="T98" s="125"/>
      <c r="U98" s="125"/>
      <c r="V98" s="126"/>
      <c r="W98" s="87"/>
      <c r="X98" s="85"/>
      <c r="Y98" s="85"/>
    </row>
    <row r="99" spans="1:25" ht="18" x14ac:dyDescent="0.15">
      <c r="A99" s="86">
        <f t="shared" si="0"/>
        <v>93</v>
      </c>
      <c r="B99" s="57"/>
      <c r="C99" s="118"/>
      <c r="D99" s="127" t="s">
        <v>1061</v>
      </c>
      <c r="E99" s="119" t="s">
        <v>1056</v>
      </c>
      <c r="F99" s="120" t="s">
        <v>1077</v>
      </c>
      <c r="G99" s="121"/>
      <c r="H99" s="122"/>
      <c r="I99" s="122"/>
      <c r="J99" s="123"/>
      <c r="K99" s="121"/>
      <c r="L99" s="122"/>
      <c r="M99" s="122"/>
      <c r="N99" s="123"/>
      <c r="O99" s="121"/>
      <c r="P99" s="122"/>
      <c r="Q99" s="122"/>
      <c r="R99" s="123"/>
      <c r="S99" s="124"/>
      <c r="T99" s="125"/>
      <c r="U99" s="125"/>
      <c r="V99" s="126"/>
      <c r="W99" s="87"/>
      <c r="X99" s="85"/>
      <c r="Y99" s="85"/>
    </row>
    <row r="100" spans="1:25" ht="18" x14ac:dyDescent="0.15">
      <c r="A100" s="86">
        <f t="shared" si="0"/>
        <v>94</v>
      </c>
      <c r="B100" s="57"/>
      <c r="C100" s="118"/>
      <c r="D100" s="127" t="s">
        <v>1062</v>
      </c>
      <c r="E100" s="119" t="s">
        <v>1056</v>
      </c>
      <c r="F100" s="120" t="s">
        <v>1077</v>
      </c>
      <c r="G100" s="121"/>
      <c r="H100" s="122"/>
      <c r="I100" s="122"/>
      <c r="J100" s="123"/>
      <c r="K100" s="121"/>
      <c r="L100" s="122"/>
      <c r="M100" s="122"/>
      <c r="N100" s="123"/>
      <c r="O100" s="121"/>
      <c r="P100" s="122"/>
      <c r="Q100" s="122"/>
      <c r="R100" s="123"/>
      <c r="S100" s="124"/>
      <c r="T100" s="125"/>
      <c r="U100" s="125"/>
      <c r="V100" s="126"/>
      <c r="W100" s="87"/>
      <c r="X100" s="85"/>
      <c r="Y100" s="85"/>
    </row>
    <row r="101" spans="1:25" ht="18" x14ac:dyDescent="0.15">
      <c r="A101" s="86">
        <f t="shared" si="0"/>
        <v>95</v>
      </c>
      <c r="B101" s="57"/>
      <c r="C101" s="118"/>
      <c r="D101" s="127" t="s">
        <v>1063</v>
      </c>
      <c r="E101" s="119" t="s">
        <v>1056</v>
      </c>
      <c r="F101" s="120" t="s">
        <v>1077</v>
      </c>
      <c r="G101" s="121"/>
      <c r="H101" s="122"/>
      <c r="I101" s="122"/>
      <c r="J101" s="123"/>
      <c r="K101" s="121"/>
      <c r="L101" s="122"/>
      <c r="M101" s="122"/>
      <c r="N101" s="123"/>
      <c r="O101" s="121"/>
      <c r="P101" s="122"/>
      <c r="Q101" s="122"/>
      <c r="R101" s="123"/>
      <c r="S101" s="124"/>
      <c r="T101" s="125"/>
      <c r="U101" s="125"/>
      <c r="V101" s="126"/>
      <c r="W101" s="87"/>
      <c r="X101" s="85"/>
      <c r="Y101" s="85"/>
    </row>
    <row r="102" spans="1:25" x14ac:dyDescent="0.15">
      <c r="A102" s="86">
        <f t="shared" si="0"/>
        <v>96</v>
      </c>
      <c r="B102" s="57"/>
      <c r="C102" s="118"/>
      <c r="D102" s="127" t="s">
        <v>1064</v>
      </c>
      <c r="E102" s="119" t="s">
        <v>1056</v>
      </c>
      <c r="F102" s="120" t="s">
        <v>1076</v>
      </c>
      <c r="G102" s="121"/>
      <c r="H102" s="122"/>
      <c r="I102" s="122"/>
      <c r="J102" s="123"/>
      <c r="K102" s="121"/>
      <c r="L102" s="122"/>
      <c r="M102" s="122"/>
      <c r="N102" s="123"/>
      <c r="O102" s="121"/>
      <c r="P102" s="122"/>
      <c r="Q102" s="122"/>
      <c r="R102" s="123"/>
      <c r="S102" s="124"/>
      <c r="T102" s="125"/>
      <c r="U102" s="125"/>
      <c r="V102" s="126"/>
      <c r="W102" s="87"/>
      <c r="X102" s="85"/>
      <c r="Y102" s="85"/>
    </row>
    <row r="103" spans="1:25" ht="18" x14ac:dyDescent="0.15">
      <c r="A103" s="86">
        <f t="shared" si="0"/>
        <v>97</v>
      </c>
      <c r="B103" s="57"/>
      <c r="C103" s="57" t="s">
        <v>1066</v>
      </c>
      <c r="D103" s="57" t="s">
        <v>1055</v>
      </c>
      <c r="E103" s="90" t="s">
        <v>1056</v>
      </c>
      <c r="F103" s="75" t="s">
        <v>1078</v>
      </c>
      <c r="G103" s="88"/>
      <c r="H103" s="70"/>
      <c r="I103" s="70"/>
      <c r="J103" s="71"/>
      <c r="K103" s="88"/>
      <c r="L103" s="70"/>
      <c r="M103" s="70"/>
      <c r="N103" s="71"/>
      <c r="O103" s="88"/>
      <c r="P103" s="70"/>
      <c r="Q103" s="70"/>
      <c r="R103" s="71" t="s">
        <v>1070</v>
      </c>
      <c r="S103" s="72" t="s">
        <v>1073</v>
      </c>
      <c r="T103" s="73"/>
      <c r="U103" s="73"/>
      <c r="V103" s="74"/>
      <c r="W103" s="87"/>
      <c r="X103" s="85"/>
      <c r="Y103" s="85"/>
    </row>
    <row r="104" spans="1:25" ht="18" x14ac:dyDescent="0.15">
      <c r="A104" s="86">
        <f t="shared" si="0"/>
        <v>98</v>
      </c>
      <c r="B104" s="57"/>
      <c r="C104" s="57"/>
      <c r="D104" s="57" t="s">
        <v>1058</v>
      </c>
      <c r="E104" s="90" t="s">
        <v>1056</v>
      </c>
      <c r="F104" s="75" t="s">
        <v>1078</v>
      </c>
      <c r="G104" s="88"/>
      <c r="H104" s="70"/>
      <c r="I104" s="70"/>
      <c r="J104" s="71"/>
      <c r="K104" s="88"/>
      <c r="L104" s="70"/>
      <c r="M104" s="70"/>
      <c r="N104" s="71"/>
      <c r="O104" s="88"/>
      <c r="P104" s="70"/>
      <c r="Q104" s="70"/>
      <c r="R104" s="71" t="s">
        <v>1070</v>
      </c>
      <c r="S104" s="72" t="s">
        <v>1073</v>
      </c>
      <c r="T104" s="73"/>
      <c r="U104" s="73"/>
      <c r="V104" s="74"/>
      <c r="W104" s="87"/>
      <c r="X104" s="85"/>
      <c r="Y104" s="85"/>
    </row>
    <row r="105" spans="1:25" ht="18" x14ac:dyDescent="0.15">
      <c r="A105" s="86">
        <f t="shared" si="0"/>
        <v>99</v>
      </c>
      <c r="B105" s="57"/>
      <c r="C105" s="57"/>
      <c r="D105" s="91" t="s">
        <v>1059</v>
      </c>
      <c r="E105" s="90" t="s">
        <v>1056</v>
      </c>
      <c r="F105" s="75" t="s">
        <v>1078</v>
      </c>
      <c r="G105" s="88"/>
      <c r="H105" s="70"/>
      <c r="I105" s="70"/>
      <c r="J105" s="71"/>
      <c r="K105" s="88"/>
      <c r="L105" s="70"/>
      <c r="M105" s="70"/>
      <c r="N105" s="71"/>
      <c r="O105" s="88"/>
      <c r="P105" s="70"/>
      <c r="Q105" s="70"/>
      <c r="R105" s="71" t="s">
        <v>1070</v>
      </c>
      <c r="S105" s="72" t="s">
        <v>1073</v>
      </c>
      <c r="T105" s="73"/>
      <c r="U105" s="73"/>
      <c r="V105" s="74"/>
      <c r="W105" s="87"/>
      <c r="X105" s="85"/>
      <c r="Y105" s="85"/>
    </row>
    <row r="106" spans="1:25" x14ac:dyDescent="0.15">
      <c r="A106" s="86">
        <f t="shared" si="0"/>
        <v>100</v>
      </c>
      <c r="B106" s="57"/>
      <c r="C106" s="57"/>
      <c r="D106" s="91" t="s">
        <v>1060</v>
      </c>
      <c r="E106" s="90" t="s">
        <v>1056</v>
      </c>
      <c r="F106" s="75" t="s">
        <v>1076</v>
      </c>
      <c r="G106" s="88"/>
      <c r="H106" s="70"/>
      <c r="I106" s="70"/>
      <c r="J106" s="71"/>
      <c r="K106" s="88"/>
      <c r="L106" s="70"/>
      <c r="M106" s="70"/>
      <c r="N106" s="71"/>
      <c r="O106" s="88"/>
      <c r="P106" s="70"/>
      <c r="Q106" s="70"/>
      <c r="R106" s="71" t="s">
        <v>1070</v>
      </c>
      <c r="S106" s="72" t="s">
        <v>1073</v>
      </c>
      <c r="T106" s="73"/>
      <c r="U106" s="73"/>
      <c r="V106" s="74"/>
      <c r="W106" s="87"/>
      <c r="X106" s="85"/>
      <c r="Y106" s="85"/>
    </row>
    <row r="107" spans="1:25" ht="18" x14ac:dyDescent="0.15">
      <c r="A107" s="86">
        <f t="shared" si="0"/>
        <v>101</v>
      </c>
      <c r="B107" s="58"/>
      <c r="C107" s="58"/>
      <c r="D107" s="91" t="s">
        <v>1061</v>
      </c>
      <c r="E107" s="90" t="s">
        <v>1056</v>
      </c>
      <c r="F107" s="75" t="s">
        <v>1078</v>
      </c>
      <c r="G107" s="88"/>
      <c r="H107" s="70"/>
      <c r="I107" s="70"/>
      <c r="J107" s="71"/>
      <c r="K107" s="88"/>
      <c r="L107" s="70"/>
      <c r="M107" s="70"/>
      <c r="N107" s="71"/>
      <c r="O107" s="88"/>
      <c r="P107" s="70"/>
      <c r="Q107" s="70"/>
      <c r="R107" s="71" t="s">
        <v>1070</v>
      </c>
      <c r="S107" s="72" t="s">
        <v>1073</v>
      </c>
      <c r="T107" s="73"/>
      <c r="U107" s="73"/>
      <c r="V107" s="74"/>
      <c r="W107" s="87"/>
      <c r="X107" s="85"/>
      <c r="Y107" s="85"/>
    </row>
    <row r="108" spans="1:25" ht="18" x14ac:dyDescent="0.15">
      <c r="A108" s="86">
        <f t="shared" si="0"/>
        <v>102</v>
      </c>
      <c r="B108" s="58"/>
      <c r="C108" s="58"/>
      <c r="D108" s="91" t="s">
        <v>1062</v>
      </c>
      <c r="E108" s="90" t="s">
        <v>1056</v>
      </c>
      <c r="F108" s="75" t="s">
        <v>1078</v>
      </c>
      <c r="G108" s="88"/>
      <c r="H108" s="70"/>
      <c r="I108" s="70"/>
      <c r="J108" s="71"/>
      <c r="K108" s="88"/>
      <c r="L108" s="70"/>
      <c r="M108" s="70"/>
      <c r="N108" s="71"/>
      <c r="O108" s="88"/>
      <c r="P108" s="70"/>
      <c r="Q108" s="70"/>
      <c r="R108" s="71" t="s">
        <v>1070</v>
      </c>
      <c r="S108" s="72" t="s">
        <v>1073</v>
      </c>
      <c r="T108" s="73"/>
      <c r="U108" s="73"/>
      <c r="V108" s="74"/>
      <c r="W108" s="87"/>
      <c r="X108" s="85"/>
      <c r="Y108" s="85"/>
    </row>
    <row r="109" spans="1:25" ht="18" x14ac:dyDescent="0.15">
      <c r="A109" s="86">
        <f t="shared" si="0"/>
        <v>103</v>
      </c>
      <c r="B109" s="58"/>
      <c r="C109" s="58"/>
      <c r="D109" s="127" t="s">
        <v>1063</v>
      </c>
      <c r="E109" s="119" t="s">
        <v>1056</v>
      </c>
      <c r="F109" s="120" t="s">
        <v>1078</v>
      </c>
      <c r="G109" s="121"/>
      <c r="H109" s="122"/>
      <c r="I109" s="122"/>
      <c r="J109" s="123"/>
      <c r="K109" s="121"/>
      <c r="L109" s="122"/>
      <c r="M109" s="122"/>
      <c r="N109" s="123"/>
      <c r="O109" s="121"/>
      <c r="P109" s="122"/>
      <c r="Q109" s="122"/>
      <c r="R109" s="123"/>
      <c r="S109" s="124"/>
      <c r="T109" s="125"/>
      <c r="U109" s="125"/>
      <c r="V109" s="126"/>
      <c r="W109" s="87"/>
      <c r="X109" s="85"/>
      <c r="Y109" s="85"/>
    </row>
    <row r="110" spans="1:25" x14ac:dyDescent="0.15">
      <c r="A110" s="86">
        <f t="shared" si="0"/>
        <v>104</v>
      </c>
      <c r="B110" s="58"/>
      <c r="C110" s="58"/>
      <c r="D110" s="91" t="s">
        <v>1064</v>
      </c>
      <c r="E110" s="90" t="s">
        <v>1056</v>
      </c>
      <c r="F110" s="75" t="s">
        <v>1076</v>
      </c>
      <c r="G110" s="88"/>
      <c r="H110" s="70"/>
      <c r="I110" s="70"/>
      <c r="J110" s="71"/>
      <c r="K110" s="88"/>
      <c r="L110" s="70"/>
      <c r="M110" s="70"/>
      <c r="N110" s="71"/>
      <c r="O110" s="88"/>
      <c r="P110" s="70"/>
      <c r="Q110" s="70"/>
      <c r="R110" s="71" t="s">
        <v>1070</v>
      </c>
      <c r="S110" s="72" t="s">
        <v>1073</v>
      </c>
      <c r="T110" s="73"/>
      <c r="U110" s="73"/>
      <c r="V110" s="74"/>
      <c r="W110" s="87"/>
      <c r="X110" s="85"/>
      <c r="Y110" s="85"/>
    </row>
    <row r="111" spans="1:25" ht="18" x14ac:dyDescent="0.15">
      <c r="A111" s="86">
        <f t="shared" si="0"/>
        <v>105</v>
      </c>
      <c r="B111" s="58"/>
      <c r="C111" s="57" t="s">
        <v>1067</v>
      </c>
      <c r="D111" s="57" t="s">
        <v>1055</v>
      </c>
      <c r="E111" s="90" t="s">
        <v>1056</v>
      </c>
      <c r="F111" s="75" t="s">
        <v>1079</v>
      </c>
      <c r="G111" s="88"/>
      <c r="H111" s="70"/>
      <c r="I111" s="70"/>
      <c r="J111" s="71"/>
      <c r="K111" s="88"/>
      <c r="L111" s="70"/>
      <c r="M111" s="70"/>
      <c r="N111" s="71"/>
      <c r="O111" s="88"/>
      <c r="P111" s="70"/>
      <c r="Q111" s="70"/>
      <c r="R111" s="71" t="s">
        <v>1070</v>
      </c>
      <c r="S111" s="72" t="s">
        <v>1073</v>
      </c>
      <c r="T111" s="73"/>
      <c r="U111" s="73"/>
      <c r="V111" s="74"/>
      <c r="W111" s="87"/>
      <c r="X111" s="85"/>
      <c r="Y111" s="85"/>
    </row>
    <row r="112" spans="1:25" ht="18" x14ac:dyDescent="0.15">
      <c r="A112" s="86">
        <f t="shared" si="0"/>
        <v>106</v>
      </c>
      <c r="B112" s="58"/>
      <c r="C112" s="57"/>
      <c r="D112" s="57" t="s">
        <v>1058</v>
      </c>
      <c r="E112" s="90" t="s">
        <v>1056</v>
      </c>
      <c r="F112" s="75" t="s">
        <v>1079</v>
      </c>
      <c r="G112" s="88"/>
      <c r="H112" s="70"/>
      <c r="I112" s="70"/>
      <c r="J112" s="71"/>
      <c r="K112" s="88"/>
      <c r="L112" s="70"/>
      <c r="M112" s="70"/>
      <c r="N112" s="71"/>
      <c r="O112" s="88"/>
      <c r="P112" s="70"/>
      <c r="Q112" s="70"/>
      <c r="R112" s="71" t="s">
        <v>1070</v>
      </c>
      <c r="S112" s="72" t="s">
        <v>1073</v>
      </c>
      <c r="T112" s="73"/>
      <c r="U112" s="73"/>
      <c r="V112" s="74"/>
      <c r="W112" s="87"/>
      <c r="X112" s="85"/>
      <c r="Y112" s="85"/>
    </row>
    <row r="113" spans="1:25" ht="18" x14ac:dyDescent="0.15">
      <c r="A113" s="86">
        <f t="shared" si="0"/>
        <v>107</v>
      </c>
      <c r="B113" s="57"/>
      <c r="C113" s="57"/>
      <c r="D113" s="91" t="s">
        <v>1059</v>
      </c>
      <c r="E113" s="90" t="s">
        <v>1056</v>
      </c>
      <c r="F113" s="75" t="s">
        <v>1079</v>
      </c>
      <c r="G113" s="88"/>
      <c r="H113" s="70"/>
      <c r="I113" s="70"/>
      <c r="J113" s="71"/>
      <c r="K113" s="88"/>
      <c r="L113" s="70"/>
      <c r="M113" s="70"/>
      <c r="N113" s="71"/>
      <c r="O113" s="88"/>
      <c r="P113" s="70"/>
      <c r="Q113" s="70"/>
      <c r="R113" s="71" t="s">
        <v>1070</v>
      </c>
      <c r="S113" s="72" t="s">
        <v>1073</v>
      </c>
      <c r="T113" s="73"/>
      <c r="U113" s="73"/>
      <c r="V113" s="74"/>
      <c r="W113" s="87"/>
      <c r="X113" s="85"/>
      <c r="Y113" s="85"/>
    </row>
    <row r="114" spans="1:25" x14ac:dyDescent="0.15">
      <c r="A114" s="86">
        <f t="shared" si="0"/>
        <v>108</v>
      </c>
      <c r="B114" s="57"/>
      <c r="C114" s="57"/>
      <c r="D114" s="91" t="s">
        <v>1060</v>
      </c>
      <c r="E114" s="90" t="s">
        <v>1056</v>
      </c>
      <c r="F114" s="75" t="s">
        <v>1076</v>
      </c>
      <c r="G114" s="88"/>
      <c r="H114" s="70"/>
      <c r="I114" s="70"/>
      <c r="J114" s="71"/>
      <c r="K114" s="88"/>
      <c r="L114" s="70"/>
      <c r="M114" s="70"/>
      <c r="N114" s="71"/>
      <c r="O114" s="88"/>
      <c r="P114" s="70"/>
      <c r="Q114" s="70"/>
      <c r="R114" s="71" t="s">
        <v>1070</v>
      </c>
      <c r="S114" s="72" t="s">
        <v>1073</v>
      </c>
      <c r="T114" s="73"/>
      <c r="U114" s="73"/>
      <c r="V114" s="74"/>
      <c r="W114" s="87"/>
      <c r="X114" s="85"/>
      <c r="Y114" s="85"/>
    </row>
    <row r="115" spans="1:25" ht="18" x14ac:dyDescent="0.15">
      <c r="A115" s="86">
        <f t="shared" si="0"/>
        <v>109</v>
      </c>
      <c r="B115" s="57"/>
      <c r="C115" s="58"/>
      <c r="D115" s="91" t="s">
        <v>1061</v>
      </c>
      <c r="E115" s="90" t="s">
        <v>1056</v>
      </c>
      <c r="F115" s="75" t="s">
        <v>1079</v>
      </c>
      <c r="G115" s="88"/>
      <c r="H115" s="70"/>
      <c r="I115" s="70"/>
      <c r="J115" s="71"/>
      <c r="K115" s="88"/>
      <c r="L115" s="70"/>
      <c r="M115" s="70"/>
      <c r="N115" s="71"/>
      <c r="O115" s="88"/>
      <c r="P115" s="70"/>
      <c r="Q115" s="70"/>
      <c r="R115" s="71" t="s">
        <v>1070</v>
      </c>
      <c r="S115" s="72" t="s">
        <v>1073</v>
      </c>
      <c r="T115" s="73"/>
      <c r="U115" s="73"/>
      <c r="V115" s="74"/>
      <c r="W115" s="87"/>
      <c r="X115" s="85"/>
      <c r="Y115" s="85"/>
    </row>
    <row r="116" spans="1:25" ht="18" x14ac:dyDescent="0.15">
      <c r="A116" s="86">
        <f t="shared" si="0"/>
        <v>110</v>
      </c>
      <c r="B116" s="57"/>
      <c r="C116" s="58"/>
      <c r="D116" s="91" t="s">
        <v>1062</v>
      </c>
      <c r="E116" s="90" t="s">
        <v>1056</v>
      </c>
      <c r="F116" s="75" t="s">
        <v>1079</v>
      </c>
      <c r="G116" s="88"/>
      <c r="H116" s="70"/>
      <c r="I116" s="70"/>
      <c r="J116" s="71"/>
      <c r="K116" s="88"/>
      <c r="L116" s="70"/>
      <c r="M116" s="70"/>
      <c r="N116" s="71"/>
      <c r="O116" s="88"/>
      <c r="P116" s="70"/>
      <c r="Q116" s="70"/>
      <c r="R116" s="71" t="s">
        <v>1070</v>
      </c>
      <c r="S116" s="72" t="s">
        <v>1073</v>
      </c>
      <c r="T116" s="73"/>
      <c r="U116" s="73"/>
      <c r="V116" s="74"/>
      <c r="W116" s="87"/>
      <c r="X116" s="85"/>
      <c r="Y116" s="85"/>
    </row>
    <row r="117" spans="1:25" ht="18" x14ac:dyDescent="0.15">
      <c r="A117" s="86">
        <f t="shared" si="0"/>
        <v>111</v>
      </c>
      <c r="B117" s="57"/>
      <c r="C117" s="58"/>
      <c r="D117" s="127" t="s">
        <v>1063</v>
      </c>
      <c r="E117" s="119" t="s">
        <v>1056</v>
      </c>
      <c r="F117" s="120" t="s">
        <v>1079</v>
      </c>
      <c r="G117" s="121"/>
      <c r="H117" s="122"/>
      <c r="I117" s="122"/>
      <c r="J117" s="123"/>
      <c r="K117" s="121"/>
      <c r="L117" s="122"/>
      <c r="M117" s="122"/>
      <c r="N117" s="123"/>
      <c r="O117" s="121"/>
      <c r="P117" s="122"/>
      <c r="Q117" s="122"/>
      <c r="R117" s="123"/>
      <c r="S117" s="124"/>
      <c r="T117" s="125"/>
      <c r="U117" s="125"/>
      <c r="V117" s="126"/>
      <c r="W117" s="87"/>
      <c r="X117" s="85"/>
      <c r="Y117" s="85"/>
    </row>
    <row r="118" spans="1:25" x14ac:dyDescent="0.15">
      <c r="A118" s="86">
        <f t="shared" si="0"/>
        <v>112</v>
      </c>
      <c r="B118" s="57"/>
      <c r="C118" s="58"/>
      <c r="D118" s="91" t="s">
        <v>1064</v>
      </c>
      <c r="E118" s="90" t="s">
        <v>1056</v>
      </c>
      <c r="F118" s="75" t="s">
        <v>1076</v>
      </c>
      <c r="G118" s="88"/>
      <c r="H118" s="70"/>
      <c r="I118" s="70"/>
      <c r="J118" s="71"/>
      <c r="K118" s="88"/>
      <c r="L118" s="70"/>
      <c r="M118" s="70"/>
      <c r="N118" s="71"/>
      <c r="O118" s="88"/>
      <c r="P118" s="70"/>
      <c r="Q118" s="70"/>
      <c r="R118" s="71" t="s">
        <v>1070</v>
      </c>
      <c r="S118" s="72" t="s">
        <v>1073</v>
      </c>
      <c r="T118" s="73"/>
      <c r="U118" s="73"/>
      <c r="V118" s="74"/>
      <c r="W118" s="87"/>
      <c r="X118" s="85"/>
      <c r="Y118" s="85"/>
    </row>
    <row r="119" spans="1:25" ht="18" x14ac:dyDescent="0.15">
      <c r="A119" s="86">
        <f t="shared" si="0"/>
        <v>113</v>
      </c>
      <c r="B119" s="57"/>
      <c r="C119" s="57" t="s">
        <v>1068</v>
      </c>
      <c r="D119" s="57" t="s">
        <v>1055</v>
      </c>
      <c r="E119" s="90" t="s">
        <v>1056</v>
      </c>
      <c r="F119" s="75" t="s">
        <v>1080</v>
      </c>
      <c r="G119" s="88"/>
      <c r="H119" s="70"/>
      <c r="I119" s="70"/>
      <c r="J119" s="71"/>
      <c r="K119" s="88"/>
      <c r="L119" s="70"/>
      <c r="M119" s="70"/>
      <c r="N119" s="71"/>
      <c r="O119" s="88"/>
      <c r="P119" s="70"/>
      <c r="Q119" s="70"/>
      <c r="R119" s="71" t="s">
        <v>1070</v>
      </c>
      <c r="S119" s="72" t="s">
        <v>1073</v>
      </c>
      <c r="T119" s="73"/>
      <c r="U119" s="73"/>
      <c r="V119" s="74"/>
      <c r="W119" s="87"/>
      <c r="X119" s="85"/>
      <c r="Y119" s="85"/>
    </row>
    <row r="120" spans="1:25" ht="18" x14ac:dyDescent="0.15">
      <c r="A120" s="86">
        <f t="shared" si="0"/>
        <v>114</v>
      </c>
      <c r="B120" s="57"/>
      <c r="C120" s="57"/>
      <c r="D120" s="57" t="s">
        <v>1058</v>
      </c>
      <c r="E120" s="90" t="s">
        <v>1056</v>
      </c>
      <c r="F120" s="75" t="s">
        <v>1080</v>
      </c>
      <c r="G120" s="88"/>
      <c r="H120" s="70"/>
      <c r="I120" s="70"/>
      <c r="J120" s="71"/>
      <c r="K120" s="88"/>
      <c r="L120" s="70"/>
      <c r="M120" s="70"/>
      <c r="N120" s="71"/>
      <c r="O120" s="88"/>
      <c r="P120" s="70"/>
      <c r="Q120" s="70"/>
      <c r="R120" s="71" t="s">
        <v>1070</v>
      </c>
      <c r="S120" s="72" t="s">
        <v>1073</v>
      </c>
      <c r="T120" s="73"/>
      <c r="U120" s="73"/>
      <c r="V120" s="74"/>
      <c r="W120" s="87"/>
      <c r="X120" s="85"/>
      <c r="Y120" s="85"/>
    </row>
    <row r="121" spans="1:25" ht="18" x14ac:dyDescent="0.15">
      <c r="A121" s="86">
        <f t="shared" si="0"/>
        <v>115</v>
      </c>
      <c r="B121" s="57"/>
      <c r="C121" s="57"/>
      <c r="D121" s="91" t="s">
        <v>1059</v>
      </c>
      <c r="E121" s="90" t="s">
        <v>1056</v>
      </c>
      <c r="F121" s="75" t="s">
        <v>1080</v>
      </c>
      <c r="G121" s="88"/>
      <c r="H121" s="70"/>
      <c r="I121" s="70"/>
      <c r="J121" s="71"/>
      <c r="K121" s="88"/>
      <c r="L121" s="70"/>
      <c r="M121" s="70"/>
      <c r="N121" s="71"/>
      <c r="O121" s="88"/>
      <c r="P121" s="70"/>
      <c r="Q121" s="70"/>
      <c r="R121" s="71" t="s">
        <v>1070</v>
      </c>
      <c r="S121" s="72" t="s">
        <v>1073</v>
      </c>
      <c r="T121" s="73"/>
      <c r="U121" s="73"/>
      <c r="V121" s="74"/>
      <c r="W121" s="87"/>
      <c r="X121" s="85"/>
      <c r="Y121" s="85"/>
    </row>
    <row r="122" spans="1:25" x14ac:dyDescent="0.15">
      <c r="A122" s="86">
        <f t="shared" si="0"/>
        <v>116</v>
      </c>
      <c r="B122" s="57"/>
      <c r="C122" s="57"/>
      <c r="D122" s="91" t="s">
        <v>1060</v>
      </c>
      <c r="E122" s="90" t="s">
        <v>1056</v>
      </c>
      <c r="F122" s="75" t="s">
        <v>1076</v>
      </c>
      <c r="G122" s="88"/>
      <c r="H122" s="70"/>
      <c r="I122" s="70"/>
      <c r="J122" s="71"/>
      <c r="K122" s="88"/>
      <c r="L122" s="70"/>
      <c r="M122" s="70"/>
      <c r="N122" s="71"/>
      <c r="O122" s="88"/>
      <c r="P122" s="70"/>
      <c r="Q122" s="70"/>
      <c r="R122" s="71" t="s">
        <v>1070</v>
      </c>
      <c r="S122" s="72" t="s">
        <v>1073</v>
      </c>
      <c r="T122" s="73"/>
      <c r="U122" s="73"/>
      <c r="V122" s="74"/>
      <c r="W122" s="87"/>
      <c r="X122" s="85"/>
      <c r="Y122" s="85"/>
    </row>
    <row r="123" spans="1:25" ht="18" x14ac:dyDescent="0.15">
      <c r="A123" s="86">
        <f t="shared" si="0"/>
        <v>117</v>
      </c>
      <c r="B123" s="57"/>
      <c r="C123" s="58"/>
      <c r="D123" s="91" t="s">
        <v>1061</v>
      </c>
      <c r="E123" s="90" t="s">
        <v>1056</v>
      </c>
      <c r="F123" s="75" t="s">
        <v>1080</v>
      </c>
      <c r="G123" s="88"/>
      <c r="H123" s="70"/>
      <c r="I123" s="70"/>
      <c r="J123" s="71"/>
      <c r="K123" s="88"/>
      <c r="L123" s="70"/>
      <c r="M123" s="70"/>
      <c r="N123" s="71"/>
      <c r="O123" s="88"/>
      <c r="P123" s="70"/>
      <c r="Q123" s="70"/>
      <c r="R123" s="71" t="s">
        <v>1070</v>
      </c>
      <c r="S123" s="72" t="s">
        <v>1073</v>
      </c>
      <c r="T123" s="73"/>
      <c r="U123" s="73"/>
      <c r="V123" s="74"/>
      <c r="W123" s="87"/>
      <c r="X123" s="85"/>
      <c r="Y123" s="85"/>
    </row>
    <row r="124" spans="1:25" ht="18" x14ac:dyDescent="0.15">
      <c r="A124" s="86">
        <f t="shared" si="0"/>
        <v>118</v>
      </c>
      <c r="B124" s="57"/>
      <c r="C124" s="58"/>
      <c r="D124" s="91" t="s">
        <v>1062</v>
      </c>
      <c r="E124" s="90" t="s">
        <v>1056</v>
      </c>
      <c r="F124" s="75" t="s">
        <v>1080</v>
      </c>
      <c r="G124" s="88"/>
      <c r="H124" s="70"/>
      <c r="I124" s="70"/>
      <c r="J124" s="71"/>
      <c r="K124" s="88"/>
      <c r="L124" s="70"/>
      <c r="M124" s="70"/>
      <c r="N124" s="71"/>
      <c r="O124" s="88"/>
      <c r="P124" s="70"/>
      <c r="Q124" s="70"/>
      <c r="R124" s="71" t="s">
        <v>1070</v>
      </c>
      <c r="S124" s="72" t="s">
        <v>1073</v>
      </c>
      <c r="T124" s="73"/>
      <c r="U124" s="73"/>
      <c r="V124" s="74"/>
      <c r="W124" s="87"/>
      <c r="X124" s="85"/>
      <c r="Y124" s="85"/>
    </row>
    <row r="125" spans="1:25" ht="18" x14ac:dyDescent="0.15">
      <c r="A125" s="86">
        <f t="shared" si="0"/>
        <v>119</v>
      </c>
      <c r="B125" s="57"/>
      <c r="C125" s="58"/>
      <c r="D125" s="127" t="s">
        <v>1063</v>
      </c>
      <c r="E125" s="119" t="s">
        <v>1056</v>
      </c>
      <c r="F125" s="120" t="s">
        <v>1080</v>
      </c>
      <c r="G125" s="121"/>
      <c r="H125" s="122"/>
      <c r="I125" s="122"/>
      <c r="J125" s="123"/>
      <c r="K125" s="121"/>
      <c r="L125" s="122"/>
      <c r="M125" s="122"/>
      <c r="N125" s="123"/>
      <c r="O125" s="121"/>
      <c r="P125" s="122"/>
      <c r="Q125" s="122"/>
      <c r="R125" s="123"/>
      <c r="S125" s="124"/>
      <c r="T125" s="125"/>
      <c r="U125" s="125"/>
      <c r="V125" s="126"/>
      <c r="W125" s="87"/>
      <c r="X125" s="85"/>
      <c r="Y125" s="85"/>
    </row>
    <row r="126" spans="1:25" x14ac:dyDescent="0.15">
      <c r="A126" s="86">
        <f t="shared" si="0"/>
        <v>120</v>
      </c>
      <c r="B126" s="57"/>
      <c r="C126" s="58"/>
      <c r="D126" s="91" t="s">
        <v>1064</v>
      </c>
      <c r="E126" s="90" t="s">
        <v>1056</v>
      </c>
      <c r="F126" s="75" t="s">
        <v>1076</v>
      </c>
      <c r="G126" s="88"/>
      <c r="H126" s="70"/>
      <c r="I126" s="70"/>
      <c r="J126" s="71"/>
      <c r="K126" s="88"/>
      <c r="L126" s="70"/>
      <c r="M126" s="70"/>
      <c r="N126" s="71"/>
      <c r="O126" s="88"/>
      <c r="P126" s="70"/>
      <c r="Q126" s="70"/>
      <c r="R126" s="71" t="s">
        <v>1070</v>
      </c>
      <c r="S126" s="72" t="s">
        <v>1073</v>
      </c>
      <c r="T126" s="73"/>
      <c r="U126" s="73"/>
      <c r="V126" s="74"/>
      <c r="W126" s="87"/>
      <c r="X126" s="85"/>
      <c r="Y126" s="85"/>
    </row>
    <row r="127" spans="1:25" s="142" customFormat="1" ht="18" x14ac:dyDescent="0.15">
      <c r="A127" s="128">
        <f t="shared" si="0"/>
        <v>121</v>
      </c>
      <c r="B127" s="133" t="s">
        <v>1081</v>
      </c>
      <c r="C127" s="129" t="s">
        <v>1067</v>
      </c>
      <c r="D127" s="129" t="s">
        <v>1055</v>
      </c>
      <c r="E127" s="130" t="s">
        <v>1056</v>
      </c>
      <c r="F127" s="131" t="s">
        <v>1079</v>
      </c>
      <c r="G127" s="134"/>
      <c r="H127" s="135"/>
      <c r="I127" s="135"/>
      <c r="J127" s="136"/>
      <c r="K127" s="134"/>
      <c r="L127" s="135"/>
      <c r="M127" s="135"/>
      <c r="N127" s="136"/>
      <c r="O127" s="134"/>
      <c r="P127" s="135"/>
      <c r="Q127" s="135"/>
      <c r="R127" s="71" t="s">
        <v>1070</v>
      </c>
      <c r="S127" s="137" t="s">
        <v>1073</v>
      </c>
      <c r="T127" s="138"/>
      <c r="U127" s="138"/>
      <c r="V127" s="139"/>
      <c r="W127" s="140"/>
      <c r="X127" s="141"/>
      <c r="Y127" s="141"/>
    </row>
    <row r="128" spans="1:25" s="142" customFormat="1" ht="18" x14ac:dyDescent="0.15">
      <c r="A128" s="128">
        <f t="shared" si="0"/>
        <v>122</v>
      </c>
      <c r="B128" s="133"/>
      <c r="C128" s="129"/>
      <c r="D128" s="129" t="s">
        <v>1058</v>
      </c>
      <c r="E128" s="130" t="s">
        <v>1056</v>
      </c>
      <c r="F128" s="131" t="s">
        <v>1079</v>
      </c>
      <c r="G128" s="134"/>
      <c r="H128" s="135"/>
      <c r="I128" s="135"/>
      <c r="J128" s="136"/>
      <c r="K128" s="134"/>
      <c r="L128" s="135"/>
      <c r="M128" s="135"/>
      <c r="N128" s="136"/>
      <c r="O128" s="134"/>
      <c r="P128" s="135"/>
      <c r="Q128" s="135"/>
      <c r="R128" s="71" t="s">
        <v>1070</v>
      </c>
      <c r="S128" s="137" t="s">
        <v>1073</v>
      </c>
      <c r="T128" s="138"/>
      <c r="U128" s="138"/>
      <c r="V128" s="139"/>
      <c r="W128" s="140"/>
      <c r="X128" s="141"/>
      <c r="Y128" s="141"/>
    </row>
    <row r="129" spans="1:25" s="142" customFormat="1" ht="18" x14ac:dyDescent="0.15">
      <c r="A129" s="128">
        <f t="shared" si="0"/>
        <v>123</v>
      </c>
      <c r="B129" s="129"/>
      <c r="C129" s="129"/>
      <c r="D129" s="132" t="s">
        <v>1059</v>
      </c>
      <c r="E129" s="130" t="s">
        <v>1056</v>
      </c>
      <c r="F129" s="131" t="s">
        <v>1079</v>
      </c>
      <c r="G129" s="134"/>
      <c r="H129" s="135"/>
      <c r="I129" s="135"/>
      <c r="J129" s="136"/>
      <c r="K129" s="134"/>
      <c r="L129" s="135"/>
      <c r="M129" s="135"/>
      <c r="N129" s="136"/>
      <c r="O129" s="134"/>
      <c r="P129" s="135"/>
      <c r="Q129" s="135"/>
      <c r="R129" s="71" t="s">
        <v>1070</v>
      </c>
      <c r="S129" s="137" t="s">
        <v>1073</v>
      </c>
      <c r="T129" s="138"/>
      <c r="U129" s="138"/>
      <c r="V129" s="139"/>
      <c r="W129" s="140"/>
      <c r="X129" s="141"/>
      <c r="Y129" s="141"/>
    </row>
    <row r="130" spans="1:25" s="142" customFormat="1" x14ac:dyDescent="0.15">
      <c r="A130" s="128">
        <f t="shared" si="0"/>
        <v>124</v>
      </c>
      <c r="B130" s="129"/>
      <c r="C130" s="129"/>
      <c r="D130" s="132" t="s">
        <v>1060</v>
      </c>
      <c r="E130" s="130" t="s">
        <v>1056</v>
      </c>
      <c r="F130" s="131" t="s">
        <v>1076</v>
      </c>
      <c r="G130" s="134"/>
      <c r="H130" s="135"/>
      <c r="I130" s="135"/>
      <c r="J130" s="136"/>
      <c r="K130" s="134"/>
      <c r="L130" s="135"/>
      <c r="M130" s="135"/>
      <c r="N130" s="136"/>
      <c r="O130" s="134"/>
      <c r="P130" s="135"/>
      <c r="Q130" s="135"/>
      <c r="R130" s="71" t="s">
        <v>1070</v>
      </c>
      <c r="S130" s="137" t="s">
        <v>1073</v>
      </c>
      <c r="T130" s="138"/>
      <c r="U130" s="138"/>
      <c r="V130" s="139"/>
      <c r="W130" s="140"/>
      <c r="X130" s="141"/>
      <c r="Y130" s="141"/>
    </row>
    <row r="131" spans="1:25" s="142" customFormat="1" ht="18" x14ac:dyDescent="0.15">
      <c r="A131" s="128">
        <f t="shared" si="0"/>
        <v>125</v>
      </c>
      <c r="B131" s="129"/>
      <c r="C131" s="133"/>
      <c r="D131" s="132" t="s">
        <v>1061</v>
      </c>
      <c r="E131" s="130" t="s">
        <v>1056</v>
      </c>
      <c r="F131" s="131" t="s">
        <v>1079</v>
      </c>
      <c r="G131" s="134"/>
      <c r="H131" s="135"/>
      <c r="I131" s="135"/>
      <c r="J131" s="136"/>
      <c r="K131" s="134"/>
      <c r="L131" s="135"/>
      <c r="M131" s="135"/>
      <c r="N131" s="136"/>
      <c r="O131" s="134"/>
      <c r="P131" s="135"/>
      <c r="Q131" s="135"/>
      <c r="R131" s="71" t="s">
        <v>1070</v>
      </c>
      <c r="S131" s="137" t="s">
        <v>1073</v>
      </c>
      <c r="T131" s="138"/>
      <c r="U131" s="138"/>
      <c r="V131" s="139"/>
      <c r="W131" s="140"/>
      <c r="X131" s="141"/>
      <c r="Y131" s="141"/>
    </row>
    <row r="132" spans="1:25" s="142" customFormat="1" ht="18" x14ac:dyDescent="0.15">
      <c r="A132" s="128">
        <f t="shared" si="0"/>
        <v>126</v>
      </c>
      <c r="B132" s="129"/>
      <c r="C132" s="133"/>
      <c r="D132" s="132" t="s">
        <v>1062</v>
      </c>
      <c r="E132" s="130" t="s">
        <v>1056</v>
      </c>
      <c r="F132" s="131" t="s">
        <v>1079</v>
      </c>
      <c r="G132" s="134"/>
      <c r="H132" s="135"/>
      <c r="I132" s="135"/>
      <c r="J132" s="136"/>
      <c r="K132" s="134"/>
      <c r="L132" s="135"/>
      <c r="M132" s="135"/>
      <c r="N132" s="136"/>
      <c r="O132" s="134"/>
      <c r="P132" s="135"/>
      <c r="Q132" s="135"/>
      <c r="R132" s="71" t="s">
        <v>1070</v>
      </c>
      <c r="S132" s="137" t="s">
        <v>1073</v>
      </c>
      <c r="T132" s="138"/>
      <c r="U132" s="138"/>
      <c r="V132" s="139"/>
      <c r="W132" s="140"/>
      <c r="X132" s="141"/>
      <c r="Y132" s="141"/>
    </row>
    <row r="133" spans="1:25" s="142" customFormat="1" ht="18" x14ac:dyDescent="0.15">
      <c r="A133" s="128">
        <f t="shared" si="0"/>
        <v>127</v>
      </c>
      <c r="B133" s="129"/>
      <c r="C133" s="133"/>
      <c r="D133" s="158" t="s">
        <v>1063</v>
      </c>
      <c r="E133" s="149" t="s">
        <v>1056</v>
      </c>
      <c r="F133" s="150" t="s">
        <v>1079</v>
      </c>
      <c r="G133" s="151"/>
      <c r="H133" s="152"/>
      <c r="I133" s="152"/>
      <c r="J133" s="153"/>
      <c r="K133" s="151"/>
      <c r="L133" s="152"/>
      <c r="M133" s="152"/>
      <c r="N133" s="153"/>
      <c r="O133" s="151"/>
      <c r="P133" s="152"/>
      <c r="Q133" s="152"/>
      <c r="R133" s="153"/>
      <c r="S133" s="154"/>
      <c r="T133" s="155"/>
      <c r="U133" s="155"/>
      <c r="V133" s="156"/>
      <c r="W133" s="140"/>
      <c r="X133" s="141"/>
      <c r="Y133" s="141"/>
    </row>
    <row r="134" spans="1:25" s="142" customFormat="1" x14ac:dyDescent="0.15">
      <c r="A134" s="128">
        <f t="shared" si="0"/>
        <v>128</v>
      </c>
      <c r="B134" s="129"/>
      <c r="C134" s="133"/>
      <c r="D134" s="132" t="s">
        <v>1064</v>
      </c>
      <c r="E134" s="130" t="s">
        <v>1056</v>
      </c>
      <c r="F134" s="131" t="s">
        <v>1076</v>
      </c>
      <c r="G134" s="134"/>
      <c r="H134" s="135"/>
      <c r="I134" s="135"/>
      <c r="J134" s="136"/>
      <c r="K134" s="134"/>
      <c r="L134" s="135"/>
      <c r="M134" s="135"/>
      <c r="N134" s="136"/>
      <c r="O134" s="134"/>
      <c r="P134" s="135"/>
      <c r="Q134" s="135"/>
      <c r="R134" s="71" t="s">
        <v>1070</v>
      </c>
      <c r="S134" s="137" t="s">
        <v>1073</v>
      </c>
      <c r="T134" s="138"/>
      <c r="U134" s="138"/>
      <c r="V134" s="139"/>
      <c r="W134" s="140"/>
      <c r="X134" s="141"/>
      <c r="Y134" s="141"/>
    </row>
    <row r="135" spans="1:25" x14ac:dyDescent="0.15">
      <c r="A135" s="86">
        <f t="shared" si="0"/>
        <v>129</v>
      </c>
      <c r="B135" s="57"/>
      <c r="C135" s="57"/>
      <c r="D135" s="91"/>
      <c r="E135" s="90"/>
      <c r="F135" s="75"/>
      <c r="G135" s="88"/>
      <c r="H135" s="70"/>
      <c r="I135" s="70"/>
      <c r="J135" s="71"/>
      <c r="K135" s="88"/>
      <c r="L135" s="70"/>
      <c r="M135" s="70"/>
      <c r="N135" s="71"/>
      <c r="O135" s="88"/>
      <c r="P135" s="70"/>
      <c r="Q135" s="70"/>
      <c r="R135" s="71"/>
      <c r="S135" s="72"/>
      <c r="T135" s="73"/>
      <c r="U135" s="73"/>
      <c r="V135" s="74"/>
      <c r="W135" s="87"/>
      <c r="X135" s="85"/>
      <c r="Y135" s="85"/>
    </row>
    <row r="136" spans="1:25" x14ac:dyDescent="0.15">
      <c r="A136" s="86">
        <f t="shared" si="0"/>
        <v>130</v>
      </c>
      <c r="B136" s="57"/>
      <c r="C136" s="57"/>
      <c r="D136" s="91"/>
      <c r="E136" s="90"/>
      <c r="F136" s="75"/>
      <c r="G136" s="88"/>
      <c r="H136" s="70"/>
      <c r="I136" s="70"/>
      <c r="J136" s="71"/>
      <c r="K136" s="88"/>
      <c r="L136" s="70"/>
      <c r="M136" s="70"/>
      <c r="N136" s="71"/>
      <c r="O136" s="88"/>
      <c r="P136" s="70"/>
      <c r="Q136" s="70"/>
      <c r="R136" s="71"/>
      <c r="S136" s="72"/>
      <c r="T136" s="73"/>
      <c r="U136" s="73"/>
      <c r="V136" s="74"/>
      <c r="W136" s="87"/>
      <c r="X136" s="85"/>
      <c r="Y136" s="85"/>
    </row>
    <row r="137" spans="1:25" x14ac:dyDescent="0.15">
      <c r="A137" s="86">
        <f t="shared" si="0"/>
        <v>131</v>
      </c>
      <c r="B137" s="57"/>
      <c r="C137" s="57"/>
      <c r="D137" s="91"/>
      <c r="E137" s="90"/>
      <c r="F137" s="75"/>
      <c r="G137" s="88"/>
      <c r="H137" s="70"/>
      <c r="I137" s="70"/>
      <c r="J137" s="71"/>
      <c r="K137" s="88"/>
      <c r="L137" s="70"/>
      <c r="M137" s="70"/>
      <c r="N137" s="71"/>
      <c r="O137" s="88"/>
      <c r="P137" s="70"/>
      <c r="Q137" s="70"/>
      <c r="R137" s="71"/>
      <c r="S137" s="72"/>
      <c r="T137" s="73"/>
      <c r="U137" s="73"/>
      <c r="V137" s="74"/>
      <c r="W137" s="87"/>
      <c r="X137" s="85"/>
      <c r="Y137" s="85"/>
    </row>
    <row r="138" spans="1:25" x14ac:dyDescent="0.15">
      <c r="A138" s="92">
        <f>ROW()-6</f>
        <v>132</v>
      </c>
      <c r="B138" s="93"/>
      <c r="C138" s="94"/>
      <c r="D138" s="95"/>
      <c r="E138" s="96"/>
      <c r="F138" s="97"/>
      <c r="G138" s="98"/>
      <c r="H138" s="99"/>
      <c r="I138" s="99"/>
      <c r="J138" s="100"/>
      <c r="K138" s="101"/>
      <c r="L138" s="99"/>
      <c r="M138" s="99"/>
      <c r="N138" s="100"/>
      <c r="O138" s="101"/>
      <c r="P138" s="99"/>
      <c r="Q138" s="99"/>
      <c r="R138" s="100"/>
      <c r="S138" s="102"/>
      <c r="T138" s="103"/>
      <c r="U138" s="103"/>
      <c r="V138" s="104"/>
      <c r="W138" s="105"/>
      <c r="X138" s="101"/>
      <c r="Y138" s="100"/>
    </row>
    <row r="139" spans="1:25" s="11" customFormat="1" ht="12" customHeight="1" x14ac:dyDescent="0.15">
      <c r="A139" s="49"/>
      <c r="B139" s="9"/>
      <c r="C139" s="9"/>
      <c r="D139" s="9"/>
      <c r="E139" s="48"/>
      <c r="F139" s="28" t="s">
        <v>1082</v>
      </c>
      <c r="G139" s="32">
        <f t="shared" ref="G139:R139" si="1">COUNTIF(G7:G138,"●")</f>
        <v>0</v>
      </c>
      <c r="H139" s="27">
        <f t="shared" si="1"/>
        <v>0</v>
      </c>
      <c r="I139" s="27">
        <f t="shared" si="1"/>
        <v>0</v>
      </c>
      <c r="J139" s="29">
        <f t="shared" si="1"/>
        <v>0</v>
      </c>
      <c r="K139" s="32">
        <f t="shared" si="1"/>
        <v>0</v>
      </c>
      <c r="L139" s="27">
        <f t="shared" si="1"/>
        <v>0</v>
      </c>
      <c r="M139" s="27">
        <f t="shared" si="1"/>
        <v>0</v>
      </c>
      <c r="N139" s="29">
        <f t="shared" si="1"/>
        <v>0</v>
      </c>
      <c r="O139" s="32">
        <f t="shared" si="1"/>
        <v>0</v>
      </c>
      <c r="P139" s="27">
        <f t="shared" si="1"/>
        <v>0</v>
      </c>
      <c r="Q139" s="27">
        <f t="shared" si="1"/>
        <v>0</v>
      </c>
      <c r="R139" s="29">
        <f t="shared" si="1"/>
        <v>63</v>
      </c>
      <c r="S139" s="30"/>
      <c r="T139" s="10"/>
      <c r="U139" s="10"/>
      <c r="V139" s="42"/>
      <c r="W139" s="81">
        <f>SUM(G139:R139)</f>
        <v>63</v>
      </c>
      <c r="X139" s="30"/>
      <c r="Y139" s="76"/>
    </row>
    <row r="140" spans="1:25" s="11" customFormat="1" ht="12" customHeight="1" x14ac:dyDescent="0.15">
      <c r="A140" s="50" t="s">
        <v>414</v>
      </c>
      <c r="B140" s="12"/>
      <c r="C140" s="12"/>
      <c r="D140" s="12"/>
      <c r="E140" s="12"/>
      <c r="F140" s="13" t="s">
        <v>1083</v>
      </c>
      <c r="G140" s="14">
        <f t="shared" ref="G140:R140" si="2">COUNTIF(G7:G138,"×")</f>
        <v>0</v>
      </c>
      <c r="H140" s="15">
        <f t="shared" si="2"/>
        <v>0</v>
      </c>
      <c r="I140" s="15">
        <f t="shared" si="2"/>
        <v>0</v>
      </c>
      <c r="J140" s="16">
        <f t="shared" si="2"/>
        <v>0</v>
      </c>
      <c r="K140" s="14">
        <f t="shared" si="2"/>
        <v>0</v>
      </c>
      <c r="L140" s="15">
        <f t="shared" si="2"/>
        <v>0</v>
      </c>
      <c r="M140" s="15">
        <f t="shared" si="2"/>
        <v>0</v>
      </c>
      <c r="N140" s="16">
        <f t="shared" si="2"/>
        <v>0</v>
      </c>
      <c r="O140" s="14">
        <f t="shared" si="2"/>
        <v>0</v>
      </c>
      <c r="P140" s="15">
        <f t="shared" si="2"/>
        <v>0</v>
      </c>
      <c r="Q140" s="15">
        <f t="shared" si="2"/>
        <v>0</v>
      </c>
      <c r="R140" s="16">
        <f t="shared" si="2"/>
        <v>0</v>
      </c>
      <c r="S140" s="31"/>
      <c r="T140" s="18"/>
      <c r="U140" s="18"/>
      <c r="V140" s="43"/>
      <c r="W140" s="82">
        <f>SUM(G140:R140)</f>
        <v>0</v>
      </c>
      <c r="X140" s="77"/>
      <c r="Y140" s="78"/>
    </row>
    <row r="141" spans="1:25" s="11" customFormat="1" ht="12" customHeight="1" x14ac:dyDescent="0.15">
      <c r="A141" s="51" t="s">
        <v>414</v>
      </c>
      <c r="B141" s="19"/>
      <c r="C141" s="19"/>
      <c r="D141" s="19"/>
      <c r="E141" s="19"/>
      <c r="F141" s="20" t="s">
        <v>415</v>
      </c>
      <c r="G141" s="14">
        <f t="shared" ref="G141:R141" si="3">G139+G140</f>
        <v>0</v>
      </c>
      <c r="H141" s="15">
        <f t="shared" si="3"/>
        <v>0</v>
      </c>
      <c r="I141" s="15">
        <f t="shared" si="3"/>
        <v>0</v>
      </c>
      <c r="J141" s="16">
        <f t="shared" si="3"/>
        <v>0</v>
      </c>
      <c r="K141" s="14">
        <f t="shared" si="3"/>
        <v>0</v>
      </c>
      <c r="L141" s="15">
        <f t="shared" si="3"/>
        <v>0</v>
      </c>
      <c r="M141" s="15">
        <f t="shared" si="3"/>
        <v>0</v>
      </c>
      <c r="N141" s="16">
        <f t="shared" si="3"/>
        <v>0</v>
      </c>
      <c r="O141" s="14">
        <f t="shared" si="3"/>
        <v>0</v>
      </c>
      <c r="P141" s="15">
        <f t="shared" si="3"/>
        <v>0</v>
      </c>
      <c r="Q141" s="15">
        <f t="shared" si="3"/>
        <v>0</v>
      </c>
      <c r="R141" s="16">
        <f t="shared" si="3"/>
        <v>63</v>
      </c>
      <c r="S141" s="17"/>
      <c r="T141" s="18"/>
      <c r="U141" s="18"/>
      <c r="V141" s="43"/>
      <c r="W141" s="82">
        <f>SUM(G141:R141)</f>
        <v>63</v>
      </c>
      <c r="X141" s="77"/>
      <c r="Y141" s="78"/>
    </row>
    <row r="142" spans="1:25" s="11" customFormat="1" ht="12" customHeight="1" x14ac:dyDescent="0.15">
      <c r="A142" s="52" t="s">
        <v>414</v>
      </c>
      <c r="B142" s="53"/>
      <c r="C142" s="53"/>
      <c r="D142" s="53"/>
      <c r="E142" s="53"/>
      <c r="F142" s="21" t="s">
        <v>417</v>
      </c>
      <c r="G142" s="22">
        <f t="shared" ref="G142:R142" si="4">COUNTIF(G7:G138,"◯")+G141</f>
        <v>0</v>
      </c>
      <c r="H142" s="23">
        <f t="shared" si="4"/>
        <v>0</v>
      </c>
      <c r="I142" s="23">
        <f t="shared" si="4"/>
        <v>0</v>
      </c>
      <c r="J142" s="24">
        <f t="shared" si="4"/>
        <v>0</v>
      </c>
      <c r="K142" s="22">
        <f t="shared" si="4"/>
        <v>0</v>
      </c>
      <c r="L142" s="23">
        <f t="shared" si="4"/>
        <v>0</v>
      </c>
      <c r="M142" s="23">
        <f t="shared" si="4"/>
        <v>0</v>
      </c>
      <c r="N142" s="24">
        <f t="shared" si="4"/>
        <v>0</v>
      </c>
      <c r="O142" s="22">
        <f t="shared" si="4"/>
        <v>0</v>
      </c>
      <c r="P142" s="23">
        <f t="shared" si="4"/>
        <v>0</v>
      </c>
      <c r="Q142" s="23">
        <f t="shared" si="4"/>
        <v>0</v>
      </c>
      <c r="R142" s="24">
        <f t="shared" si="4"/>
        <v>63</v>
      </c>
      <c r="S142" s="25">
        <f>COUNTA(S7:S138)</f>
        <v>63</v>
      </c>
      <c r="T142" s="26">
        <f>COUNTA(T7:T138)</f>
        <v>0</v>
      </c>
      <c r="U142" s="26">
        <f>COUNTA(U7:U138)</f>
        <v>0</v>
      </c>
      <c r="V142" s="44"/>
      <c r="W142" s="83">
        <f>SUM(G142:R142)</f>
        <v>63</v>
      </c>
      <c r="X142" s="79"/>
      <c r="Y142" s="80"/>
    </row>
    <row r="153" spans="26:27" ht="9" customHeight="1" x14ac:dyDescent="0.15">
      <c r="Z153" s="6" t="s">
        <v>1084</v>
      </c>
      <c r="AA153" s="6">
        <v>405</v>
      </c>
    </row>
    <row r="154" spans="26:27" ht="9" customHeight="1" x14ac:dyDescent="0.15">
      <c r="AA154" s="6">
        <v>577</v>
      </c>
    </row>
    <row r="155" spans="26:27" ht="9" customHeight="1" x14ac:dyDescent="0.15">
      <c r="AA155" s="6">
        <v>606</v>
      </c>
    </row>
    <row r="156" spans="26:27" ht="9" customHeight="1" x14ac:dyDescent="0.15">
      <c r="AA156" s="6">
        <v>300</v>
      </c>
    </row>
    <row r="157" spans="26:27" ht="9" customHeight="1" x14ac:dyDescent="0.15">
      <c r="AA157" s="6">
        <v>119</v>
      </c>
    </row>
    <row r="158" spans="26:27" ht="9" customHeight="1" x14ac:dyDescent="0.15">
      <c r="AA158" s="6">
        <v>48</v>
      </c>
    </row>
    <row r="159" spans="26:27" ht="9" customHeight="1" x14ac:dyDescent="0.15">
      <c r="AA159" s="6">
        <v>229</v>
      </c>
    </row>
    <row r="161" spans="27:27" ht="9" customHeight="1" x14ac:dyDescent="0.15">
      <c r="AA161" s="6">
        <f>SUM(AA153:AA159)</f>
        <v>2284</v>
      </c>
    </row>
  </sheetData>
  <mergeCells count="12">
    <mergeCell ref="Y1:Y5"/>
    <mergeCell ref="G2:J2"/>
    <mergeCell ref="K2:N2"/>
    <mergeCell ref="S2:U2"/>
    <mergeCell ref="G3:J3"/>
    <mergeCell ref="K3:N3"/>
    <mergeCell ref="G4:J4"/>
    <mergeCell ref="K4:N4"/>
    <mergeCell ref="G1:N1"/>
    <mergeCell ref="O1:R4"/>
    <mergeCell ref="S1:V1"/>
    <mergeCell ref="X1:X5"/>
  </mergeCells>
  <phoneticPr fontId="15"/>
  <dataValidations count="3">
    <dataValidation type="list" allowBlank="1" showInputMessage="1" showErrorMessage="1" sqref="G2:N2" xr:uid="{00000000-0002-0000-0300-000000000000}">
      <formula1>$Z$2:$Z$5</formula1>
    </dataValidation>
    <dataValidation type="list" allowBlank="1" showInputMessage="1" showErrorMessage="1" sqref="G3:N3" xr:uid="{00000000-0002-0000-0300-000001000000}">
      <formula1>$AA$2:$AA$3</formula1>
    </dataValidation>
    <dataValidation type="list" allowBlank="1" showInputMessage="1" showErrorMessage="1" sqref="G4:N4" xr:uid="{00000000-0002-0000-0300-000002000000}">
      <formula1>$AB$1:$AB$5</formula1>
    </dataValidation>
  </dataValidations>
  <printOptions horizontalCentered="1"/>
  <pageMargins left="0.19685039370078741" right="0.19685039370078741" top="0.59055118110236227" bottom="0.59055118110236227" header="0.51181102362204722" footer="0.31496062992125984"/>
  <pageSetup paperSize="9" scale="76" fitToHeight="0" orientation="landscape" r:id="rId1"/>
  <headerFooter alignWithMargins="0">
    <oddFooter>&amp;RAll Rights Reserved Copyright © Fujitsu Ltd.2017</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E9C9A0A944670C40B3577B9A3C159E6D" ma:contentTypeVersion="11" ma:contentTypeDescription="新しいドキュメントを作成します。" ma:contentTypeScope="" ma:versionID="cbf9107b787b8c80f1caf56481095063">
  <xsd:schema xmlns:xsd="http://www.w3.org/2001/XMLSchema" xmlns:xs="http://www.w3.org/2001/XMLSchema" xmlns:p="http://schemas.microsoft.com/office/2006/metadata/properties" xmlns:ns2="1a061277-4544-44b5-aa35-148cda3b8e6b" xmlns:ns3="5de495b9-8774-4338-a5e9-d0d1545702c3" targetNamespace="http://schemas.microsoft.com/office/2006/metadata/properties" ma:root="true" ma:fieldsID="29d734f20265dff99a1fba5ac5bc5233" ns2:_="" ns3:_="">
    <xsd:import namespace="1a061277-4544-44b5-aa35-148cda3b8e6b"/>
    <xsd:import namespace="5de495b9-8774-4338-a5e9-d0d1545702c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a061277-4544-44b5-aa35-148cda3b8e6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de495b9-8774-4338-a5e9-d0d1545702c3"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ceedddc5-5dad-4556-bd52-45f7169729cc}" ma:internalName="TaxCatchAll" ma:showField="CatchAllData" ma:web="5de495b9-8774-4338-a5e9-d0d1545702c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5de495b9-8774-4338-a5e9-d0d1545702c3" xsi:nil="true"/>
    <lcf76f155ced4ddcb4097134ff3c332f xmlns="1a061277-4544-44b5-aa35-148cda3b8e6b">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67336F9-942E-4263-90AB-19E036EC5092}">
  <ds:schemaRefs>
    <ds:schemaRef ds:uri="http://schemas.microsoft.com/sharepoint/v3/contenttype/forms"/>
  </ds:schemaRefs>
</ds:datastoreItem>
</file>

<file path=customXml/itemProps2.xml><?xml version="1.0" encoding="utf-8"?>
<ds:datastoreItem xmlns:ds="http://schemas.openxmlformats.org/officeDocument/2006/customXml" ds:itemID="{D6EDED79-343B-4401-8890-0C2D769D5B20}"/>
</file>

<file path=customXml/itemProps3.xml><?xml version="1.0" encoding="utf-8"?>
<ds:datastoreItem xmlns:ds="http://schemas.openxmlformats.org/officeDocument/2006/customXml" ds:itemID="{C3B1A985-4E3A-417E-9A69-802E3198C712}">
  <ds:schemaRefs>
    <ds:schemaRef ds:uri="http://schemas.microsoft.com/office/2006/metadata/properties"/>
    <ds:schemaRef ds:uri="925fb8bf-6124-4564-9086-bab0bf327637"/>
    <ds:schemaRef ds:uri="http://purl.org/dc/elements/1.1/"/>
    <ds:schemaRef ds:uri="http://schemas.microsoft.com/office/2006/documentManagement/types"/>
    <ds:schemaRef ds:uri="http://www.w3.org/XML/1998/namespace"/>
    <ds:schemaRef ds:uri="http://schemas.openxmlformats.org/package/2006/metadata/core-properties"/>
    <ds:schemaRef ds:uri="http://schemas.microsoft.com/office/infopath/2007/PartnerControls"/>
    <ds:schemaRef ds:uri="cc94ae7b-2025-4ffb-bd04-1297cd213e7a"/>
    <ds:schemaRef ds:uri="http://purl.org/dc/dcmitype/"/>
    <ds:schemaRef ds:uri="http://purl.org/dc/te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7</vt:i4>
      </vt:variant>
      <vt:variant>
        <vt:lpstr>名前付き一覧</vt:lpstr>
      </vt:variant>
      <vt:variant>
        <vt:i4>5</vt:i4>
      </vt:variant>
    </vt:vector>
  </HeadingPairs>
  <TitlesOfParts>
    <vt:vector size="12" baseType="lpstr">
      <vt:lpstr>集計</vt:lpstr>
      <vt:lpstr>ST仕様書表紙</vt:lpstr>
      <vt:lpstr>全件マスタ連携</vt:lpstr>
      <vt:lpstr>差分マスタ連携</vt:lpstr>
      <vt:lpstr>トラン実績連携</vt:lpstr>
      <vt:lpstr>パターン</vt:lpstr>
      <vt:lpstr>サンプル_会計精算部門</vt:lpstr>
      <vt:lpstr>ST仕様書表紙!Print_Area</vt:lpstr>
      <vt:lpstr>サンプル_会計精算部門!Print_Area</vt:lpstr>
      <vt:lpstr>トラン実績連携!Print_Area</vt:lpstr>
      <vt:lpstr>差分マスタ連携!Print_Area</vt:lpstr>
      <vt:lpstr>全件マスタ連携!Print_Area</vt:lpstr>
    </vt:vector>
  </TitlesOfParts>
  <Manager/>
  <Company>FJTS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ST仕様書兼完了報告書</dc:title>
  <dc:subject/>
  <dc:creator>namikoebara</dc:creator>
  <cp:keywords/>
  <dc:description/>
  <cp:lastModifiedBy>Ozawa, Risako/小澤 りさ子</cp:lastModifiedBy>
  <cp:revision/>
  <dcterms:created xsi:type="dcterms:W3CDTF">1997-07-11T07:53:19Z</dcterms:created>
  <dcterms:modified xsi:type="dcterms:W3CDTF">2025-01-16T04:18:22Z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e92ef73-0ad1-40c5-ad55-46de3396802f_SiteId">
    <vt:lpwstr>a19f121d-81e1-4858-a9d8-736e267fd4c7</vt:lpwstr>
  </property>
  <property fmtid="{D5CDD505-2E9C-101B-9397-08002B2CF9AE}" pid="3" name="MSIP_Label_1e92ef73-0ad1-40c5-ad55-46de3396802f_SetDate">
    <vt:lpwstr>2022-04-14T09:02:45Z</vt:lpwstr>
  </property>
  <property fmtid="{D5CDD505-2E9C-101B-9397-08002B2CF9AE}" pid="4" name="MSIP_Label_1e92ef73-0ad1-40c5-ad55-46de3396802f_Name">
    <vt:lpwstr/>
  </property>
  <property fmtid="{D5CDD505-2E9C-101B-9397-08002B2CF9AE}" pid="5" name="MSIP_Label_1e92ef73-0ad1-40c5-ad55-46de3396802f_Method">
    <vt:lpwstr>Privileged</vt:lpwstr>
  </property>
  <property fmtid="{D5CDD505-2E9C-101B-9397-08002B2CF9AE}" pid="6" name="MSIP_Label_1e92ef73-0ad1-40c5-ad55-46de3396802f_Enabled">
    <vt:lpwstr>true</vt:lpwstr>
  </property>
  <property fmtid="{D5CDD505-2E9C-101B-9397-08002B2CF9AE}" pid="7" name="MSIP_Label_1e92ef73-0ad1-40c5-ad55-46de3396802f_ContentBits">
    <vt:lpwstr>0</vt:lpwstr>
  </property>
  <property fmtid="{D5CDD505-2E9C-101B-9397-08002B2CF9AE}" pid="8" name="MSIP_Label_1e92ef73-0ad1-40c5-ad55-46de3396802f_ActionId">
    <vt:lpwstr>6fad91d2-ea3c-48d7-83e9-10beb0c66980</vt:lpwstr>
  </property>
  <property fmtid="{D5CDD505-2E9C-101B-9397-08002B2CF9AE}" pid="9" name="ContentTypeId">
    <vt:lpwstr>0x010100E9C9A0A944670C40B3577B9A3C159E6D</vt:lpwstr>
  </property>
</Properties>
</file>