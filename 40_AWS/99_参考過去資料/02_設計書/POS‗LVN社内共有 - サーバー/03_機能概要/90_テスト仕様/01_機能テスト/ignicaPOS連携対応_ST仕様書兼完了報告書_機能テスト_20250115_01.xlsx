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作業フォルダ\01_案件\01_ignicaPOS連携\02_作業\20250107_ST進捗報告\"/>
    </mc:Choice>
  </mc:AlternateContent>
  <xr:revisionPtr revIDLastSave="0" documentId="13_ncr:1_{013724A4-C095-4CCF-94E5-DB817C7895AD}"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56" i="67" l="1"/>
  <c r="W364" i="66"/>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tc={A86F5573-5090-4E2C-8240-C9CF4D2CA287}</author>
    <author>tc={9D2D2C04-0FD0-470A-AA61-93711B6EB0B0}</author>
  </authors>
  <commentList>
    <comment ref="V3" authorId="0" shapeId="0" xr:uid="{A86F5573-5090-4E2C-8240-C9CF4D2CA2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 ref="V5" authorId="1" shapeId="0" xr:uid="{9D2D2C04-0FD0-470A-AA61-93711B6EB0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BF_LOG.log
Sub Main ｱﾌﾟﾘｹｰｼｮﾝ起動？</t>
      </text>
    </comment>
  </commentList>
</comments>
</file>

<file path=xl/sharedStrings.xml><?xml version="1.0" encoding="utf-8"?>
<sst xmlns="http://schemas.openxmlformats.org/spreadsheetml/2006/main" count="5007" uniqueCount="1136">
  <si>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</si>
  <si>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</si>
  <si>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</si>
  <si>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</si>
  <si>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</si>
  <si>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</si>
  <si>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</si>
  <si>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</si>
  <si>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</si>
  <si>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</si>
  <si>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</si>
  <si>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</si>
  <si>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</si>
  <si>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</si>
  <si>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</si>
  <si>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</si>
  <si>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</si>
  <si>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</si>
  <si>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</si>
  <si>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</si>
  <si>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</si>
  <si>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</si>
  <si>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</si>
  <si>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</si>
  <si>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</si>
  <si>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</si>
  <si>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</si>
  <si>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</si>
  <si>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</si>
  <si>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</si>
  <si>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</si>
  <si>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</si>
  <si>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</si>
  <si>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</si>
  <si>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</si>
  <si>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</si>
  <si>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</si>
  <si>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</si>
  <si>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</si>
  <si>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</si>
  <si>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</si>
  <si>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</si>
  <si>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</si>
  <si>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</si>
  <si>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</si>
  <si>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</si>
  <si>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</si>
  <si>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</si>
  <si>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</si>
  <si>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</si>
  <si>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</si>
  <si>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</si>
  <si>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</si>
  <si>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</si>
  <si>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</si>
  <si>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</si>
  <si>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</si>
  <si>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</si>
  <si>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</si>
  <si>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</si>
  <si>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</si>
  <si>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</si>
  <si>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</si>
  <si>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</si>
  <si>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</si>
  <si>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</si>
  <si>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</si>
  <si>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</si>
  <si>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</si>
  <si>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</si>
  <si>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</si>
  <si>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</si>
  <si>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</si>
  <si>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</si>
  <si>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</si>
  <si>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</si>
  <si>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</si>
  <si>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</si>
  <si>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</si>
  <si>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</si>
  <si>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</si>
  <si>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</si>
  <si>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</si>
  <si>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</si>
  <si>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</si>
  <si>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</si>
  <si>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</si>
  <si>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</si>
  <si>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</si>
  <si>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</si>
  <si>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</si>
  <si>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</si>
  <si>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</si>
  <si>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</si>
  <si>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</si>
  <si>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</si>
  <si>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</si>
  <si>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</si>
  <si>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</si>
  <si>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</si>
  <si>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</si>
  <si>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</si>
  <si>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</si>
  <si>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</si>
  <si>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</si>
  <si>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</si>
  <si>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</si>
  <si>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</si>
  <si>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</si>
  <si>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</si>
  <si>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</si>
  <si>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</si>
  <si>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</si>
  <si>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</si>
  <si>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</si>
  <si>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</si>
  <si>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</si>
  <si>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</si>
  <si>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</si>
  <si>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</si>
  <si>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</si>
  <si>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</si>
  <si>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</si>
  <si>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</si>
  <si>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</si>
  <si>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</si>
  <si>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</si>
  <si>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</si>
  <si>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</si>
  <si>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</si>
  <si>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</si>
  <si>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</si>
  <si>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</si>
  <si>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</si>
  <si>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</si>
  <si>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</si>
  <si>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</si>
  <si>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</si>
  <si>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</si>
  <si>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</si>
  <si>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</si>
  <si>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</si>
  <si>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</si>
  <si>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</si>
  <si>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</si>
  <si>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</si>
  <si>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</si>
  <si>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</si>
  <si>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</si>
  <si>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</si>
  <si>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</si>
  <si>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</si>
  <si>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</si>
  <si>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</si>
  <si>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</si>
  <si>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</si>
  <si>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</si>
  <si>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</si>
  <si>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</si>
  <si>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</si>
  <si>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</si>
  <si>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</si>
  <si>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</si>
  <si>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</si>
  <si>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</si>
  <si>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</si>
  <si>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</si>
  <si>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</si>
  <si>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</si>
  <si>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</si>
  <si>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</si>
  <si>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</si>
  <si>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</si>
  <si>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</si>
  <si>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</si>
  <si>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</si>
  <si>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</si>
  <si>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</si>
  <si>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</si>
  <si>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</si>
  <si>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</si>
  <si>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</si>
  <si>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</si>
  <si>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</si>
  <si>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</si>
  <si>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</si>
  <si>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</si>
  <si>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</si>
  <si>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</si>
  <si>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</si>
  <si>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</si>
  <si>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</si>
  <si>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</si>
  <si>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</si>
  <si>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</si>
  <si>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</si>
  <si>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</si>
  <si>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</si>
  <si>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</si>
  <si>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</si>
  <si>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</si>
  <si>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</si>
  <si>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</si>
  <si>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</si>
  <si>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</si>
  <si>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</si>
  <si>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</si>
  <si>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</si>
  <si>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</si>
  <si>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</si>
  <si>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</si>
  <si>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</si>
  <si>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</si>
  <si>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</si>
  <si>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</si>
  <si>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</si>
  <si>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</si>
  <si>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</si>
  <si>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</si>
  <si>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</si>
  <si>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</si>
  <si>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</si>
  <si>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</si>
  <si>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</si>
  <si>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</si>
  <si>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</si>
  <si>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</si>
  <si>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</si>
  <si>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</si>
  <si>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</si>
  <si>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</si>
  <si>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</si>
  <si>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</si>
  <si>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</si>
  <si>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</si>
  <si>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</si>
  <si>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</si>
  <si>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</si>
  <si>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</si>
  <si>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</si>
  <si>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</si>
  <si>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</si>
  <si>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</si>
  <si>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</si>
  <si>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</si>
  <si>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</si>
  <si>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</si>
  <si>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</si>
  <si>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</si>
  <si>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</si>
  <si>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</si>
  <si>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</si>
  <si>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</si>
  <si>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</si>
  <si>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</si>
  <si>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</si>
  <si>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</si>
  <si>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</si>
  <si>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</si>
  <si>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</si>
  <si>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</si>
  <si>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</si>
  <si>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</si>
  <si>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</si>
  <si>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</si>
  <si>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</si>
  <si>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</si>
  <si>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</si>
  <si>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</si>
  <si>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</si>
  <si>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</si>
  <si>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</si>
  <si>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</si>
  <si>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</si>
  <si>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</si>
  <si>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</si>
  <si>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</si>
  <si>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</si>
  <si>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</si>
  <si>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</si>
  <si>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</si>
  <si>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</si>
  <si>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</si>
  <si>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</si>
  <si>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</si>
  <si>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</si>
  <si>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</si>
  <si>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</si>
  <si>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</si>
  <si>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</si>
  <si>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</si>
  <si>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</si>
  <si>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</si>
  <si>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</si>
  <si>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</si>
  <si>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</si>
  <si>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</si>
  <si>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</si>
  <si>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</si>
  <si>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</si>
  <si>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</si>
  <si>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</si>
  <si>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</si>
  <si>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</si>
  <si>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</si>
  <si>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</si>
  <si>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</si>
  <si>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</si>
  <si>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</si>
  <si>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</si>
  <si>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</si>
  <si>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</si>
  <si>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</si>
  <si>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</si>
  <si>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</si>
  <si>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</si>
  <si>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</si>
  <si>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</si>
  <si>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</si>
  <si>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</si>
  <si>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</si>
  <si>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</si>
  <si>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</si>
  <si>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</si>
  <si>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</si>
  <si>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</si>
  <si>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</si>
  <si>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</si>
  <si>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</si>
  <si>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</si>
  <si>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</si>
  <si>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</si>
  <si>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</si>
  <si>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</si>
  <si>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</si>
  <si>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</si>
  <si>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</si>
  <si>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</si>
  <si>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</si>
  <si>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</si>
  <si>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</si>
  <si>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</si>
  <si>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</si>
  <si>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</si>
  <si>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</si>
  <si>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</si>
  <si>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</si>
  <si>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</si>
  <si>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</si>
  <si>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</si>
  <si>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</si>
  <si>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</si>
  <si>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</si>
  <si>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</si>
  <si>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</si>
  <si>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</si>
  <si>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</si>
  <si>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</si>
  <si>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</si>
  <si>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</si>
  <si>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</si>
  <si>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</si>
  <si>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</si>
  <si>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</si>
  <si>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</si>
  <si>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</si>
  <si>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</si>
  <si>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</si>
  <si>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</si>
  <si>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</si>
  <si>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</si>
  <si>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</si>
  <si>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</si>
  <si>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</si>
  <si>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</si>
  <si>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</si>
  <si>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</si>
  <si>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</si>
  <si>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</si>
  <si>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</si>
  <si>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</si>
  <si>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</si>
  <si>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</si>
  <si>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</si>
  <si>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</si>
  <si>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</si>
  <si>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</si>
  <si>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</si>
  <si>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</si>
  <si>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</si>
  <si>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</si>
  <si>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</si>
  <si>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</si>
  <si>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</si>
  <si>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</si>
  <si>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</si>
  <si>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</si>
  <si>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</si>
  <si>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</si>
  <si>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</si>
  <si>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</si>
  <si>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</si>
  <si>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</si>
  <si>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</si>
  <si>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</si>
  <si>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</si>
  <si>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</si>
  <si>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</si>
  <si>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</si>
  <si>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</si>
  <si>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</si>
  <si>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</si>
  <si>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</si>
  <si>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</si>
  <si>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</si>
  <si>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</si>
  <si>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</si>
  <si>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</si>
  <si>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</si>
  <si>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</si>
  <si>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</si>
  <si>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</si>
  <si>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</si>
  <si>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</si>
  <si>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</si>
  <si>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</si>
  <si>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</si>
  <si>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</si>
  <si>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</si>
  <si>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</si>
  <si>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</si>
  <si>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</si>
  <si>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</si>
  <si>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</si>
  <si>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</si>
  <si>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</si>
  <si>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</si>
  <si>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</si>
  <si>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</si>
  <si>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</si>
  <si>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</si>
  <si>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</si>
  <si>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</si>
  <si>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</si>
  <si>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</si>
  <si>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</si>
  <si>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</si>
  <si>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</si>
  <si>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</si>
  <si>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</si>
  <si>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</si>
  <si>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</si>
  <si>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</si>
  <si>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</si>
  <si>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</si>
  <si>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</si>
  <si>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</si>
  <si>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</si>
  <si>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</si>
  <si>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</si>
  <si>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</si>
  <si>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</si>
  <si>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</si>
  <si>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</si>
  <si>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</si>
  <si>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</si>
  <si>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</si>
  <si>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</si>
  <si>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</si>
  <si>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</si>
  <si>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</si>
  <si>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</si>
  <si>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</si>
  <si>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</si>
  <si>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</si>
  <si>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</si>
  <si>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</si>
  <si>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</si>
  <si>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</si>
  <si>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</si>
  <si>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</si>
  <si>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</si>
  <si>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</si>
  <si>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</si>
  <si>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</si>
  <si>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</si>
  <si>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</si>
  <si>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</si>
  <si>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</si>
  <si>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</si>
  <si>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</si>
  <si>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</si>
  <si>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</si>
  <si>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</si>
  <si>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</si>
  <si>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</si>
  <si>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</si>
  <si>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</si>
  <si>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</si>
  <si>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</si>
  <si>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</si>
  <si>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</si>
  <si>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</si>
  <si>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</si>
  <si>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</si>
  <si>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</si>
  <si>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</si>
  <si>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</si>
  <si>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</si>
  <si>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</si>
  <si>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</si>
  <si>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</si>
  <si>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</si>
  <si>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</si>
  <si>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</si>
  <si>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</si>
  <si>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</si>
  <si>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</si>
  <si>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</si>
  <si>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</si>
  <si>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</si>
  <si>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</si>
  <si>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</si>
  <si>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</si>
  <si>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</si>
  <si>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</si>
  <si>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</si>
  <si>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</si>
  <si>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</si>
  <si>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</si>
  <si>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</si>
  <si>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</si>
  <si>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</si>
  <si>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</si>
  <si>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</si>
  <si>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</si>
  <si>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</si>
  <si>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</si>
  <si>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</si>
  <si>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</si>
  <si>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</si>
  <si>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</si>
  <si>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</si>
  <si>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</si>
  <si>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</si>
  <si>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</si>
  <si>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</si>
  <si>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</si>
  <si>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</si>
  <si>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</si>
  <si>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</si>
  <si>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</si>
  <si>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</si>
  <si>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</si>
  <si>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</si>
  <si>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</si>
  <si>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</si>
  <si>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</si>
  <si>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</si>
  <si>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</si>
  <si>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</si>
  <si>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</si>
  <si>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</si>
  <si>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</si>
  <si>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</si>
  <si>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</si>
  <si>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</si>
  <si>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</si>
  <si>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</si>
  <si>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</si>
  <si>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</si>
  <si>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</si>
  <si>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</si>
  <si>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</si>
  <si>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</si>
  <si>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</si>
  <si>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</si>
  <si>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</si>
  <si>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</si>
  <si>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</si>
  <si>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</si>
  <si>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</si>
  <si>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</si>
  <si>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</si>
  <si>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</si>
  <si>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</si>
  <si>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</si>
  <si>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</si>
  <si>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</si>
  <si>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</si>
  <si>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</si>
  <si>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</si>
  <si>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</si>
  <si>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</si>
  <si>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</si>
  <si>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</si>
  <si>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</si>
  <si>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</si>
  <si>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</si>
  <si>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</si>
  <si>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</si>
  <si>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</si>
  <si>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</si>
  <si>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</si>
  <si>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</si>
  <si>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</si>
  <si>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</si>
  <si>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</si>
  <si>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</si>
  <si>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</si>
  <si>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</si>
  <si>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</si>
  <si>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</si>
  <si>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</si>
  <si>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</si>
  <si>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</si>
  <si>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</si>
  <si>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</si>
  <si>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</si>
  <si>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</si>
  <si>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</si>
  <si>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</si>
  <si>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</si>
  <si>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</si>
  <si>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</si>
  <si>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</si>
  <si>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</si>
  <si>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</si>
  <si>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</si>
  <si>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</si>
  <si>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</si>
  <si>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</si>
  <si>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</si>
  <si>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</si>
  <si>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</si>
  <si>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</si>
  <si>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</si>
  <si>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</si>
  <si>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</si>
  <si>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</si>
  <si>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</si>
  <si>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</si>
  <si>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</si>
  <si>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</si>
  <si>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</si>
  <si>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</si>
  <si>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</si>
  <si>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</si>
  <si>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</si>
  <si>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</si>
  <si>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</si>
  <si>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</si>
  <si>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</si>
  <si>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</si>
  <si>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</si>
  <si>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</si>
  <si>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</si>
  <si>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</si>
  <si>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</si>
  <si>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</si>
  <si>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</si>
  <si>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</si>
  <si>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</si>
  <si>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</si>
  <si>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</si>
  <si>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</si>
  <si>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</si>
  <si>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</si>
  <si>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</si>
  <si>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</si>
  <si>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</si>
  <si>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</si>
  <si>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</si>
  <si>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</si>
  <si>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</si>
  <si>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</si>
  <si>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</si>
  <si>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</si>
  <si>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</si>
  <si>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</si>
  <si>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</si>
  <si>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</si>
  <si>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</si>
  <si>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</si>
  <si>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</si>
  <si>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</si>
  <si>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</si>
  <si>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</si>
  <si>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</si>
  <si>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</si>
  <si>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</si>
  <si>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</si>
  <si>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</si>
  <si>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</si>
  <si>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</si>
  <si>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</si>
  <si>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</si>
  <si>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</si>
  <si>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</si>
  <si>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</si>
  <si>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</si>
  <si>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</si>
  <si>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</si>
  <si>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</si>
  <si>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</si>
  <si>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</si>
  <si>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</si>
  <si>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</si>
  <si>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</si>
  <si>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</si>
  <si>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</si>
  <si>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</si>
  <si>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</si>
  <si>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</si>
  <si>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</si>
  <si>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</si>
  <si>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</si>
  <si>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</si>
  <si>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</si>
  <si>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</si>
  <si>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</si>
  <si>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</si>
  <si>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</si>
  <si>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</si>
  <si>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</si>
  <si>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</si>
  <si>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</si>
  <si>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</si>
  <si>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</si>
  <si>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</si>
  <si>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</si>
  <si>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</si>
  <si>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</si>
  <si>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</si>
  <si>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</si>
  <si>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</si>
  <si>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</si>
  <si>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</si>
  <si>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</si>
  <si>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</si>
  <si>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</si>
  <si>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</si>
  <si>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</si>
  <si>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</si>
  <si>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</si>
  <si>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</si>
  <si>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</si>
  <si>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</si>
  <si>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</si>
  <si>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</si>
  <si>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</si>
  <si>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</si>
  <si>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</si>
  <si>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</si>
  <si>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</si>
  <si>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</si>
  <si>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</si>
  <si>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</si>
  <si>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</si>
  <si>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</si>
  <si>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</si>
  <si>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</si>
  <si>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</si>
  <si>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</si>
  <si>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</si>
  <si>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</si>
  <si>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</si>
  <si>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</si>
  <si>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</si>
  <si>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</si>
  <si>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</si>
  <si>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</si>
  <si>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</si>
  <si>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</si>
  <si>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</si>
  <si>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</si>
  <si>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</si>
  <si>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</si>
  <si>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</si>
  <si>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</si>
  <si>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</si>
  <si>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</si>
  <si>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</si>
  <si>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</si>
  <si>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</si>
  <si>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</si>
  <si>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</si>
  <si>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</si>
  <si>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</si>
  <si>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</si>
  <si>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</si>
  <si>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</si>
  <si>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</si>
  <si>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</si>
  <si>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</si>
  <si>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</si>
  <si>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</si>
  <si>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</si>
  <si>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</si>
  <si>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</si>
  <si>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</si>
  <si>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</si>
  <si>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</si>
  <si>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</si>
  <si>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</si>
  <si>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</si>
  <si>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</si>
  <si>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</si>
  <si>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</si>
  <si>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</si>
  <si>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</si>
  <si>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</si>
  <si>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</si>
  <si>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</si>
  <si>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</si>
  <si>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</si>
  <si>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</si>
  <si>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</si>
  <si>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</si>
  <si>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</si>
  <si>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</si>
  <si>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</si>
  <si>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</si>
  <si>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</si>
  <si>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</si>
  <si>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</si>
  <si>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</si>
  <si>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</si>
  <si>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</si>
  <si>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</si>
  <si>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</si>
  <si>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</si>
  <si>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</si>
  <si>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</si>
  <si>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</si>
  <si>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</si>
  <si>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</si>
  <si>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</si>
  <si>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</si>
  <si>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</si>
  <si>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</si>
  <si>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</si>
  <si>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</si>
  <si>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</si>
  <si>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</si>
  <si>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</si>
  <si>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</si>
  <si>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</si>
  <si>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</si>
  <si>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</si>
  <si>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</si>
  <si>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</si>
  <si>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</si>
  <si>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</si>
  <si>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</si>
  <si>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</si>
  <si>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</si>
  <si>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</si>
  <si>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</si>
  <si>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</si>
  <si>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</si>
  <si>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</si>
  <si>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</si>
  <si>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</si>
  <si>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</si>
  <si>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</si>
  <si>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</si>
  <si>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</si>
  <si>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</si>
  <si>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</si>
  <si>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</si>
  <si>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</si>
  <si>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</si>
  <si>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</si>
  <si>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</si>
  <si>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</si>
  <si>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</si>
  <si>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</si>
  <si>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</si>
  <si>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</si>
  <si>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</si>
  <si>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</si>
  <si>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</si>
  <si>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</si>
  <si>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</si>
  <si>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</si>
  <si>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</si>
  <si>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</si>
  <si>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</si>
  <si>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</si>
  <si>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</si>
  <si>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</si>
  <si>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</si>
  <si>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</si>
  <si>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</si>
  <si>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</si>
  <si>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</si>
  <si>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</si>
  <si>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</si>
  <si>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</si>
  <si>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</si>
  <si>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</si>
  <si>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</si>
  <si>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</si>
  <si>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</si>
  <si>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</si>
  <si>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</si>
  <si>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</si>
  <si>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</si>
  <si>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</si>
  <si>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</si>
  <si>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</si>
  <si>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</si>
  <si>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</si>
  <si>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</si>
  <si>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</si>
  <si>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</si>
  <si>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</si>
  <si>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</si>
  <si>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</si>
  <si>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</si>
  <si>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</si>
  <si>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</si>
  <si>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</si>
  <si>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</si>
  <si>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</si>
  <si>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</si>
  <si>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</si>
  <si>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</si>
  <si>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</si>
  <si>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</si>
  <si>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</si>
  <si>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</si>
  <si>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</si>
  <si>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</si>
  <si>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</si>
  <si>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</si>
  <si>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</si>
  <si>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</si>
  <si>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</si>
  <si>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</si>
  <si>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</si>
  <si>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</si>
  <si>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</si>
  <si>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</si>
  <si>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</si>
  <si>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</si>
  <si>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</si>
  <si>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</si>
  <si>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</si>
  <si>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</si>
  <si>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</si>
  <si>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</si>
  <si>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</si>
  <si>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</si>
  <si>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</si>
  <si>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</si>
  <si>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</si>
  <si>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</si>
  <si>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</si>
  <si>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</si>
  <si>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</si>
  <si>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</si>
  <si>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</si>
  <si>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</si>
  <si>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</si>
  <si>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</si>
  <si>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</si>
  <si>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</si>
  <si>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</si>
  <si>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</si>
  <si>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</si>
  <si>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</si>
  <si>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</si>
  <si>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</si>
  <si>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</si>
  <si>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</si>
  <si>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</si>
  <si>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</si>
  <si>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</si>
  <si>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</si>
  <si>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</si>
  <si>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</si>
  <si>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</si>
  <si>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</si>
  <si>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</si>
  <si>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</si>
  <si>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</si>
  <si>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</si>
  <si>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</si>
  <si>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</si>
  <si>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</si>
  <si>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</si>
  <si>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</si>
  <si>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</si>
  <si>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</si>
  <si>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</si>
  <si>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</si>
  <si>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</si>
  <si>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</si>
  <si>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</si>
  <si>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</si>
  <si>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</si>
  <si>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</si>
  <si>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</si>
  <si>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</si>
  <si>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</si>
  <si>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</si>
  <si>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</si>
  <si>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</si>
  <si>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</si>
  <si>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</si>
  <si>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</si>
  <si>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</si>
  <si>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</si>
  <si>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</si>
  <si>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</si>
  <si>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</si>
  <si>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</si>
  <si>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</si>
  <si>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</si>
  <si>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</si>
  <si>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</si>
  <si>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</si>
  <si>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</si>
  <si>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</si>
  <si>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</si>
  <si>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</si>
  <si>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</si>
  <si>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</si>
  <si>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</si>
  <si>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</si>
  <si>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</si>
  <si>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</si>
  <si>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</si>
  <si>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</si>
  <si>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</si>
  <si>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</si>
  <si>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</si>
  <si>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</si>
  <si>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</si>
  <si>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</si>
  <si>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</si>
  <si>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</si>
  <si>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</si>
  <si>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</si>
  <si>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</si>
  <si>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</si>
  <si>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</si>
  <si>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</si>
  <si>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</si>
  <si>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</si>
  <si>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</si>
  <si>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</si>
  <si>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</si>
  <si>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</si>
  <si>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</si>
  <si>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</si>
  <si>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</si>
  <si>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</si>
  <si>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</si>
  <si>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</si>
  <si>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</si>
  <si>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</si>
  <si>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</si>
  <si>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</si>
  <si>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</si>
  <si>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</si>
  <si>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</si>
  <si>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</si>
  <si>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</si>
  <si>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</si>
  <si>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</si>
  <si>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</si>
  <si>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</si>
  <si>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</si>
  <si>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</si>
  <si>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</si>
  <si>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</si>
  <si>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</si>
  <si>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</si>
  <si>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</si>
  <si>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</si>
  <si>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</si>
  <si>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</si>
  <si>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</si>
  <si>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</si>
  <si>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</si>
  <si>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</si>
  <si>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</si>
  <si>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</si>
  <si>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</si>
  <si>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</si>
  <si>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</si>
  <si>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</si>
  <si>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</si>
  <si>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</si>
  <si>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</si>
  <si>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</si>
  <si>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</si>
  <si>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</si>
  <si>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</si>
  <si>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</si>
  <si>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</si>
  <si>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</si>
  <si>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</si>
  <si>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</si>
  <si>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</si>
  <si>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</si>
  <si>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</si>
  <si>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</si>
  <si>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</si>
  <si>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</si>
  <si>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</si>
  <si>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</si>
  <si>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</si>
  <si>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</si>
  <si>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</si>
  <si>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</si>
  <si>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</si>
  <si>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</si>
  <si>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</si>
  <si>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</si>
  <si>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</si>
  <si>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</si>
  <si>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</si>
  <si>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</si>
  <si>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</si>
  <si>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</si>
  <si>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</si>
  <si>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</si>
  <si>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</si>
  <si>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r>
      <rPr>
        <sz val="8"/>
        <color rgb="FFFF0000"/>
        <rFont val="Meiryo UI"/>
        <family val="3"/>
        <charset val="128"/>
      </rPr>
      <t>どのログに出力されるか要確認</t>
    </r>
    <r>
      <rPr>
        <sz val="8"/>
        <rFont val="Meiryo UI"/>
        <family val="3"/>
        <charset val="128"/>
      </rPr>
      <t>当該ログに処理が無い場合は、開閉局ログを確認する。(C:\GSTR\RAFT\log\runlog.log)</t>
    </r>
    <rPh sb="14" eb="16">
      <t>トウガイ</t>
    </rPh>
    <rPh sb="19" eb="21">
      <t>ショリ</t>
    </rPh>
    <rPh sb="28" eb="31">
      <t>カイヘイキョク</t>
    </rPh>
    <rPh sb="34" eb="36">
      <t>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</si>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</sst>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9">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179" fontId="25" fillId="0" borderId="54" xfId="14" applyNumberFormat="1" applyFont="1" applyFill="1" applyBorder="1" applyAlignment="1">
      <alignment horizontal="center"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Ozawa, Risako/小澤 りさ子" id="{41BD5B16-CF9A-44EB-BA02-06581BE5D939}" userId="S::ozawa.risako@jp.fujitsu.com::ebb53ee1-363a-4fbf-8f15-beab7dbce0ca"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 dT="2025-01-14T05:08:41.05" personId="{41BD5B16-CF9A-44EB-BA02-06581BE5D939}" id="{A86F5573-5090-4E2C-8240-C9CF4D2CA287}">
    <text>BF_LOG.log
Sub Main ｱﾌﾟﾘｹｰｼｮﾝ起動？</text>
  </threadedComment>
  <threadedComment ref="V5" dT="2025-01-14T05:09:06.76" personId="{41BD5B16-CF9A-44EB-BA02-06581BE5D939}" id="{9D2D2C04-0FD0-470A-AA61-93711B6EB0B0}">
    <text>BF_LOG.log
Sub Main ｱﾌﾟﾘｹｰｼｮﾝ起動？</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06" t="s">
        <v>19</v>
      </c>
      <c r="D7" s="307"/>
      <c r="E7" s="307"/>
      <c r="F7" s="307"/>
      <c r="G7" s="307"/>
      <c r="H7" s="307"/>
      <c r="I7" s="307"/>
      <c r="J7" s="307"/>
      <c r="K7" s="308"/>
    </row>
    <row r="8" spans="3:11" ht="15" customHeight="1" x14ac:dyDescent="0.3">
      <c r="C8" s="172"/>
      <c r="D8" s="173"/>
      <c r="E8" s="173"/>
      <c r="F8" s="173"/>
      <c r="G8" s="173"/>
      <c r="H8" s="173"/>
      <c r="I8" s="173"/>
      <c r="J8" s="173"/>
      <c r="K8" s="174"/>
    </row>
    <row r="9" spans="3:11" ht="35.4" x14ac:dyDescent="0.65">
      <c r="C9" s="303" t="s">
        <v>20</v>
      </c>
      <c r="D9" s="304"/>
      <c r="E9" s="304"/>
      <c r="F9" s="304"/>
      <c r="G9" s="304"/>
      <c r="H9" s="304"/>
      <c r="I9" s="304"/>
      <c r="J9" s="304"/>
      <c r="K9" s="305"/>
    </row>
    <row r="10" spans="3:11" ht="35.4" x14ac:dyDescent="0.65">
      <c r="C10" s="303" t="s">
        <v>21</v>
      </c>
      <c r="D10" s="304"/>
      <c r="E10" s="304"/>
      <c r="F10" s="304"/>
      <c r="G10" s="304"/>
      <c r="H10" s="304"/>
      <c r="I10" s="304"/>
      <c r="J10" s="304"/>
      <c r="K10" s="305"/>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9" t="s">
        <v>22</v>
      </c>
      <c r="F18" s="309"/>
      <c r="G18" s="309"/>
      <c r="H18" s="309"/>
      <c r="I18" s="309"/>
    </row>
    <row r="19" spans="3:9" ht="15" customHeight="1" x14ac:dyDescent="0.3"/>
    <row r="20" spans="3:9" ht="15" customHeight="1" x14ac:dyDescent="0.3"/>
    <row r="21" spans="3:9" ht="18.600000000000001" x14ac:dyDescent="0.35">
      <c r="C21" s="166"/>
      <c r="F21" s="310" t="s">
        <v>23</v>
      </c>
      <c r="G21" s="310"/>
      <c r="H21" s="310"/>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13" t="s">
        <v>24</v>
      </c>
      <c r="B1" s="315" t="s">
        <v>25</v>
      </c>
      <c r="C1" s="317" t="s">
        <v>26</v>
      </c>
      <c r="D1" s="317" t="s">
        <v>27</v>
      </c>
      <c r="E1" s="317" t="s">
        <v>28</v>
      </c>
      <c r="F1" s="319" t="s">
        <v>29</v>
      </c>
      <c r="G1" s="322" t="s">
        <v>30</v>
      </c>
      <c r="H1" s="321" t="s">
        <v>31</v>
      </c>
      <c r="I1" s="321"/>
      <c r="J1" s="321"/>
      <c r="K1" s="324"/>
      <c r="L1" s="325" t="s">
        <v>32</v>
      </c>
      <c r="M1" s="326"/>
      <c r="N1" s="326"/>
      <c r="O1" s="327"/>
      <c r="P1" s="327"/>
      <c r="Q1" s="327"/>
      <c r="R1" s="327"/>
      <c r="S1" s="327"/>
      <c r="T1" s="328" t="s">
        <v>1100</v>
      </c>
      <c r="U1" s="321" t="s">
        <v>33</v>
      </c>
      <c r="V1" s="321"/>
      <c r="W1" s="321"/>
      <c r="X1" s="311" t="s">
        <v>34</v>
      </c>
      <c r="Y1" s="311" t="s">
        <v>35</v>
      </c>
    </row>
    <row r="2" spans="1:26" s="237" customFormat="1" ht="22.8" x14ac:dyDescent="0.15">
      <c r="A2" s="314"/>
      <c r="B2" s="316"/>
      <c r="C2" s="318"/>
      <c r="D2" s="318"/>
      <c r="E2" s="318"/>
      <c r="F2" s="320"/>
      <c r="G2" s="323"/>
      <c r="H2" s="223" t="s">
        <v>36</v>
      </c>
      <c r="I2" s="224" t="s">
        <v>37</v>
      </c>
      <c r="J2" s="225" t="s">
        <v>38</v>
      </c>
      <c r="K2" s="225" t="s">
        <v>39</v>
      </c>
      <c r="L2" s="226" t="s">
        <v>36</v>
      </c>
      <c r="M2" s="225" t="s">
        <v>40</v>
      </c>
      <c r="N2" s="225" t="s">
        <v>41</v>
      </c>
      <c r="O2" s="225" t="s">
        <v>42</v>
      </c>
      <c r="P2" s="225" t="s">
        <v>43</v>
      </c>
      <c r="Q2" s="225" t="s">
        <v>44</v>
      </c>
      <c r="R2" s="225" t="s">
        <v>45</v>
      </c>
      <c r="S2" s="225" t="s">
        <v>46</v>
      </c>
      <c r="T2" s="323"/>
      <c r="U2" s="223" t="s">
        <v>47</v>
      </c>
      <c r="V2" s="224" t="s">
        <v>48</v>
      </c>
      <c r="W2" s="225" t="s">
        <v>49</v>
      </c>
      <c r="X2" s="312"/>
      <c r="Y2" s="312"/>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v>45672</v>
      </c>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29" t="s">
        <v>17</v>
      </c>
      <c r="V402" s="329"/>
      <c r="W402" s="33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31"/>
      <c r="V403" s="331"/>
      <c r="W403" s="33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33">
        <f>COUNTA(U3:U401)</f>
        <v>372</v>
      </c>
      <c r="V404" s="335">
        <f>COUNTA(V3:V401)</f>
        <v>7</v>
      </c>
      <c r="W404" s="337">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34"/>
      <c r="V405" s="336"/>
      <c r="W405" s="338"/>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zoomScale="85" zoomScaleNormal="85" zoomScaleSheetLayoutView="100" workbookViewId="0">
      <pane ySplit="2" topLeftCell="A120" activePane="bottomLeft" state="frozen"/>
      <selection activeCell="D6" sqref="D6"/>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13" t="s">
        <v>24</v>
      </c>
      <c r="B1" s="315" t="s">
        <v>25</v>
      </c>
      <c r="C1" s="317" t="s">
        <v>26</v>
      </c>
      <c r="D1" s="317" t="s">
        <v>27</v>
      </c>
      <c r="E1" s="317" t="s">
        <v>28</v>
      </c>
      <c r="F1" s="319" t="s">
        <v>29</v>
      </c>
      <c r="G1" s="322" t="s">
        <v>30</v>
      </c>
      <c r="H1" s="321" t="s">
        <v>31</v>
      </c>
      <c r="I1" s="321"/>
      <c r="J1" s="321"/>
      <c r="K1" s="324"/>
      <c r="L1" s="325" t="s">
        <v>32</v>
      </c>
      <c r="M1" s="326"/>
      <c r="N1" s="326"/>
      <c r="O1" s="327"/>
      <c r="P1" s="327"/>
      <c r="Q1" s="327"/>
      <c r="R1" s="327"/>
      <c r="S1" s="327"/>
      <c r="T1" s="311" t="s">
        <v>1100</v>
      </c>
      <c r="U1" s="321" t="s">
        <v>33</v>
      </c>
      <c r="V1" s="321"/>
      <c r="W1" s="321"/>
      <c r="X1" s="311" t="s">
        <v>34</v>
      </c>
      <c r="Y1" s="311" t="s">
        <v>35</v>
      </c>
      <c r="Z1" s="237"/>
    </row>
    <row r="2" spans="1:26" s="239" customFormat="1" ht="22.8" x14ac:dyDescent="0.15">
      <c r="A2" s="314"/>
      <c r="B2" s="316"/>
      <c r="C2" s="318"/>
      <c r="D2" s="318"/>
      <c r="E2" s="318"/>
      <c r="F2" s="320"/>
      <c r="G2" s="323"/>
      <c r="H2" s="223" t="s">
        <v>36</v>
      </c>
      <c r="I2" s="224" t="s">
        <v>37</v>
      </c>
      <c r="J2" s="225" t="s">
        <v>38</v>
      </c>
      <c r="K2" s="225" t="s">
        <v>39</v>
      </c>
      <c r="L2" s="226" t="s">
        <v>36</v>
      </c>
      <c r="M2" s="225" t="s">
        <v>40</v>
      </c>
      <c r="N2" s="225" t="s">
        <v>41</v>
      </c>
      <c r="O2" s="225" t="s">
        <v>42</v>
      </c>
      <c r="P2" s="225" t="s">
        <v>43</v>
      </c>
      <c r="Q2" s="225" t="s">
        <v>44</v>
      </c>
      <c r="R2" s="225" t="s">
        <v>45</v>
      </c>
      <c r="S2" s="225" t="s">
        <v>46</v>
      </c>
      <c r="T2" s="323"/>
      <c r="U2" s="223" t="s">
        <v>47</v>
      </c>
      <c r="V2" s="224" t="s">
        <v>48</v>
      </c>
      <c r="W2" s="225" t="s">
        <v>49</v>
      </c>
      <c r="X2" s="312"/>
      <c r="Y2" s="312"/>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358"/>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58"/>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358"/>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4"/>
      <c r="V12" s="272">
        <v>45665</v>
      </c>
      <c r="W12" s="358"/>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358"/>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c r="X35" s="184"/>
      <c r="Y35" s="185" t="s">
        <v>1116</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c r="Z41" s="256" t="s">
        <v>1131</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c r="Z42" s="256" t="s">
        <v>1131</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1132</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1132</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c r="Z46" s="256" t="s">
        <v>1131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c r="Z48" s="256" t="s">
        <v>1133</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2"/>
      <c r="X54" s="184"/>
      <c r="Y54" s="185" t="s">
        <v>485</v>
      </c>
      <c r="Z54" s="256" t="s">
        <v>1135</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c r="X56" s="291"/>
      <c r="Y56" s="292" t="s">
        <v>485</v>
      </c>
      <c r="Z56" s="256" t="s">
        <v>1134</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1132</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c r="Z84" s="256" t="s">
        <v>1131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1"/>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1"/>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1"/>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1"/>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29" t="s">
        <v>17</v>
      </c>
      <c r="V362" s="329"/>
      <c r="W362" s="330"/>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31"/>
      <c r="V363" s="331"/>
      <c r="W363" s="33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33">
        <f>COUNTA(U3:U361)</f>
        <v>320</v>
      </c>
      <c r="V364" s="335">
        <f>COUNTA(V3:V361)</f>
        <v>23</v>
      </c>
      <c r="W364" s="337">
        <f>COUNTA(W3:W361)</f>
        <v>3</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34"/>
      <c r="V365" s="336"/>
      <c r="W365" s="338"/>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7" s="237" customFormat="1" ht="13.5" customHeight="1" x14ac:dyDescent="0.15">
      <c r="A1" s="313" t="s">
        <v>24</v>
      </c>
      <c r="B1" s="315" t="s">
        <v>25</v>
      </c>
      <c r="C1" s="317" t="s">
        <v>26</v>
      </c>
      <c r="D1" s="317" t="s">
        <v>27</v>
      </c>
      <c r="E1" s="317" t="s">
        <v>28</v>
      </c>
      <c r="F1" s="319" t="s">
        <v>29</v>
      </c>
      <c r="G1" s="339" t="s">
        <v>1099</v>
      </c>
      <c r="H1" s="322" t="s">
        <v>30</v>
      </c>
      <c r="I1" s="321" t="s">
        <v>31</v>
      </c>
      <c r="J1" s="321"/>
      <c r="K1" s="321"/>
      <c r="L1" s="324"/>
      <c r="M1" s="325" t="s">
        <v>32</v>
      </c>
      <c r="N1" s="326"/>
      <c r="O1" s="326"/>
      <c r="P1" s="327"/>
      <c r="Q1" s="327"/>
      <c r="R1" s="327"/>
      <c r="S1" s="327"/>
      <c r="T1" s="327"/>
      <c r="U1" s="311" t="s">
        <v>1101</v>
      </c>
      <c r="V1" s="321" t="s">
        <v>33</v>
      </c>
      <c r="W1" s="321"/>
      <c r="X1" s="321"/>
      <c r="Y1" s="311" t="s">
        <v>34</v>
      </c>
      <c r="Z1" s="311" t="s">
        <v>35</v>
      </c>
    </row>
    <row r="2" spans="1:27" s="237" customFormat="1" ht="22.8" x14ac:dyDescent="0.15">
      <c r="A2" s="314"/>
      <c r="B2" s="316"/>
      <c r="C2" s="318"/>
      <c r="D2" s="318"/>
      <c r="E2" s="318"/>
      <c r="F2" s="320"/>
      <c r="G2" s="320"/>
      <c r="H2" s="323"/>
      <c r="I2" s="223" t="s">
        <v>36</v>
      </c>
      <c r="J2" s="224" t="s">
        <v>37</v>
      </c>
      <c r="K2" s="225" t="s">
        <v>38</v>
      </c>
      <c r="L2" s="225" t="s">
        <v>39</v>
      </c>
      <c r="M2" s="226" t="s">
        <v>36</v>
      </c>
      <c r="N2" s="225" t="s">
        <v>40</v>
      </c>
      <c r="O2" s="225" t="s">
        <v>41</v>
      </c>
      <c r="P2" s="225" t="s">
        <v>42</v>
      </c>
      <c r="Q2" s="225" t="s">
        <v>43</v>
      </c>
      <c r="R2" s="225" t="s">
        <v>44</v>
      </c>
      <c r="S2" s="225" t="s">
        <v>45</v>
      </c>
      <c r="T2" s="225" t="s">
        <v>46</v>
      </c>
      <c r="U2" s="323"/>
      <c r="V2" s="223" t="s">
        <v>47</v>
      </c>
      <c r="W2" s="224" t="s">
        <v>48</v>
      </c>
      <c r="X2" s="225" t="s">
        <v>49</v>
      </c>
      <c r="Y2" s="312"/>
      <c r="Z2" s="312"/>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300">
        <v>45671</v>
      </c>
      <c r="W3" s="272"/>
      <c r="X3" s="27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1">
        <v>45671</v>
      </c>
      <c r="W4" s="272"/>
      <c r="X4" s="273"/>
      <c r="Y4" s="184"/>
      <c r="Z4" s="229" t="s">
        <v>1130</v>
      </c>
    </row>
    <row r="5" spans="1:27"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300">
        <v>45671</v>
      </c>
      <c r="W5" s="272"/>
      <c r="X5" s="273"/>
      <c r="Y5" s="184"/>
      <c r="Z5" s="185" t="s">
        <v>615</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7"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7"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7"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7"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row>
    <row r="11" spans="1:27"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row>
    <row r="12" spans="1:27"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row>
    <row r="13" spans="1:27"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7"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7"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267"/>
      <c r="V36" s="271"/>
      <c r="W36" s="272"/>
      <c r="X36" s="273"/>
      <c r="Y36" s="184"/>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267"/>
      <c r="V37" s="271"/>
      <c r="W37" s="272"/>
      <c r="X37" s="273"/>
      <c r="Y37" s="184"/>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267"/>
      <c r="V38" s="271"/>
      <c r="W38" s="272"/>
      <c r="X38" s="273"/>
      <c r="Y38" s="184"/>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267"/>
      <c r="V39" s="271"/>
      <c r="W39" s="272"/>
      <c r="X39" s="273"/>
      <c r="Y39" s="184"/>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267"/>
      <c r="V40" s="271"/>
      <c r="W40" s="272"/>
      <c r="X40" s="273"/>
      <c r="Y40" s="184"/>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267"/>
      <c r="V41" s="271"/>
      <c r="W41" s="272"/>
      <c r="X41" s="273"/>
      <c r="Y41" s="184"/>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267"/>
      <c r="V42" s="271"/>
      <c r="W42" s="272"/>
      <c r="X42" s="273"/>
      <c r="Y42" s="184"/>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267"/>
      <c r="V43" s="271"/>
      <c r="W43" s="272"/>
      <c r="X43" s="273"/>
      <c r="Y43" s="184"/>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267"/>
      <c r="V44" s="271"/>
      <c r="W44" s="272"/>
      <c r="X44" s="273"/>
      <c r="Y44" s="184"/>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267"/>
      <c r="V45" s="271"/>
      <c r="W45" s="272"/>
      <c r="X45" s="273"/>
      <c r="Y45" s="184"/>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267"/>
      <c r="V46" s="271"/>
      <c r="W46" s="272"/>
      <c r="X46" s="273"/>
      <c r="Y46" s="184"/>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267"/>
      <c r="V47" s="271"/>
      <c r="W47" s="272"/>
      <c r="X47" s="273"/>
      <c r="Y47" s="184"/>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267"/>
      <c r="V48" s="271"/>
      <c r="W48" s="272"/>
      <c r="X48" s="273"/>
      <c r="Y48" s="184"/>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267"/>
      <c r="V49" s="271"/>
      <c r="W49" s="272"/>
      <c r="X49" s="273"/>
      <c r="Y49" s="184"/>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267"/>
      <c r="V50" s="271"/>
      <c r="W50" s="272"/>
      <c r="X50" s="273"/>
      <c r="Y50" s="184"/>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267"/>
      <c r="V51" s="271"/>
      <c r="W51" s="272"/>
      <c r="X51" s="273"/>
      <c r="Y51" s="184"/>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267"/>
      <c r="V52" s="271"/>
      <c r="W52" s="272"/>
      <c r="X52" s="273"/>
      <c r="Y52" s="184"/>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267"/>
      <c r="V53" s="271"/>
      <c r="W53" s="272"/>
      <c r="X53" s="273"/>
      <c r="Y53" s="184"/>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267"/>
      <c r="V54" s="271"/>
      <c r="W54" s="272"/>
      <c r="X54" s="273"/>
      <c r="Y54" s="184"/>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267"/>
      <c r="V55" s="271"/>
      <c r="W55" s="272"/>
      <c r="X55" s="273"/>
      <c r="Y55" s="184"/>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267"/>
      <c r="V56" s="271"/>
      <c r="W56" s="272"/>
      <c r="X56" s="273"/>
      <c r="Y56" s="184"/>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267"/>
      <c r="V57" s="271"/>
      <c r="W57" s="272"/>
      <c r="X57" s="273"/>
      <c r="Y57" s="184"/>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267"/>
      <c r="V58" s="271"/>
      <c r="W58" s="272"/>
      <c r="X58" s="273"/>
      <c r="Y58" s="184"/>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267"/>
      <c r="V59" s="271"/>
      <c r="W59" s="272"/>
      <c r="X59" s="273"/>
      <c r="Y59" s="184"/>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267"/>
      <c r="V60" s="271"/>
      <c r="W60" s="272"/>
      <c r="X60" s="273"/>
      <c r="Y60" s="184"/>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267"/>
      <c r="V61" s="271"/>
      <c r="W61" s="272"/>
      <c r="X61" s="273"/>
      <c r="Y61" s="184"/>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267"/>
      <c r="V62" s="271"/>
      <c r="W62" s="272"/>
      <c r="X62" s="273"/>
      <c r="Y62" s="184"/>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267"/>
      <c r="V63" s="271"/>
      <c r="W63" s="272"/>
      <c r="X63" s="273"/>
      <c r="Y63" s="184"/>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267"/>
      <c r="V64" s="271"/>
      <c r="W64" s="272"/>
      <c r="X64" s="273"/>
      <c r="Y64" s="184"/>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267"/>
      <c r="V65" s="271"/>
      <c r="W65" s="272"/>
      <c r="X65" s="273"/>
      <c r="Y65" s="184"/>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267"/>
      <c r="V66" s="271"/>
      <c r="W66" s="272"/>
      <c r="X66" s="273"/>
      <c r="Y66" s="184"/>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267"/>
      <c r="V67" s="271"/>
      <c r="W67" s="272"/>
      <c r="X67" s="273"/>
      <c r="Y67" s="184"/>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267"/>
      <c r="V68" s="271"/>
      <c r="W68" s="272"/>
      <c r="X68" s="273"/>
      <c r="Y68" s="184"/>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267"/>
      <c r="V69" s="271"/>
      <c r="W69" s="272"/>
      <c r="X69" s="273"/>
      <c r="Y69" s="184"/>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267"/>
      <c r="V70" s="271"/>
      <c r="W70" s="272"/>
      <c r="X70" s="273"/>
      <c r="Y70" s="184"/>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267"/>
      <c r="V71" s="271"/>
      <c r="W71" s="272"/>
      <c r="X71" s="273"/>
      <c r="Y71" s="184"/>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267"/>
      <c r="V72" s="271"/>
      <c r="W72" s="272"/>
      <c r="X72" s="273"/>
      <c r="Y72" s="184"/>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267"/>
      <c r="V73" s="271"/>
      <c r="W73" s="272"/>
      <c r="X73" s="273"/>
      <c r="Y73" s="184"/>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267"/>
      <c r="V74" s="271"/>
      <c r="W74" s="272"/>
      <c r="X74" s="273"/>
      <c r="Y74" s="184"/>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267"/>
      <c r="V75" s="271"/>
      <c r="W75" s="272"/>
      <c r="X75" s="273"/>
      <c r="Y75" s="184"/>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267"/>
      <c r="V76" s="271"/>
      <c r="W76" s="272"/>
      <c r="X76" s="273"/>
      <c r="Y76" s="184"/>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267"/>
      <c r="V77" s="271"/>
      <c r="W77" s="272"/>
      <c r="X77" s="273"/>
      <c r="Y77" s="184"/>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267"/>
      <c r="V78" s="271"/>
      <c r="W78" s="272"/>
      <c r="X78" s="273"/>
      <c r="Y78" s="184"/>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267"/>
      <c r="V79" s="271"/>
      <c r="W79" s="272"/>
      <c r="X79" s="273"/>
      <c r="Y79" s="184"/>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267"/>
      <c r="V80" s="271"/>
      <c r="W80" s="272"/>
      <c r="X80" s="273"/>
      <c r="Y80" s="184"/>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267"/>
      <c r="V81" s="271"/>
      <c r="W81" s="272"/>
      <c r="X81" s="273"/>
      <c r="Y81" s="184"/>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267"/>
      <c r="V82" s="271"/>
      <c r="W82" s="272"/>
      <c r="X82" s="273"/>
      <c r="Y82" s="184"/>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267"/>
      <c r="V83" s="271"/>
      <c r="W83" s="272"/>
      <c r="X83" s="273"/>
      <c r="Y83" s="184"/>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267"/>
      <c r="V84" s="271"/>
      <c r="W84" s="272"/>
      <c r="X84" s="273"/>
      <c r="Y84" s="184"/>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267"/>
      <c r="V85" s="271"/>
      <c r="W85" s="272"/>
      <c r="X85" s="273"/>
      <c r="Y85" s="184"/>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267"/>
      <c r="V86" s="271"/>
      <c r="W86" s="272"/>
      <c r="X86" s="273"/>
      <c r="Y86" s="184"/>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267"/>
      <c r="V87" s="271"/>
      <c r="W87" s="272"/>
      <c r="X87" s="273"/>
      <c r="Y87" s="184"/>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267"/>
      <c r="V88" s="271"/>
      <c r="W88" s="272"/>
      <c r="X88" s="273"/>
      <c r="Y88" s="184"/>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267"/>
      <c r="V89" s="271"/>
      <c r="W89" s="272"/>
      <c r="X89" s="273"/>
      <c r="Y89" s="184"/>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267"/>
      <c r="V90" s="271"/>
      <c r="W90" s="272"/>
      <c r="X90" s="273"/>
      <c r="Y90" s="184"/>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267"/>
      <c r="V91" s="271"/>
      <c r="W91" s="272"/>
      <c r="X91" s="273"/>
      <c r="Y91" s="184"/>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267"/>
      <c r="V92" s="271"/>
      <c r="W92" s="272"/>
      <c r="X92" s="273"/>
      <c r="Y92" s="184"/>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267"/>
      <c r="V93" s="271"/>
      <c r="W93" s="272"/>
      <c r="X93" s="273"/>
      <c r="Y93" s="184"/>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267"/>
      <c r="V94" s="271"/>
      <c r="W94" s="272"/>
      <c r="X94" s="273"/>
      <c r="Y94" s="184"/>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267"/>
      <c r="V95" s="271"/>
      <c r="W95" s="272"/>
      <c r="X95" s="273"/>
      <c r="Y95" s="184"/>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267"/>
      <c r="V96" s="271"/>
      <c r="W96" s="272"/>
      <c r="X96" s="273"/>
      <c r="Y96" s="184"/>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267"/>
      <c r="V97" s="271"/>
      <c r="W97" s="272"/>
      <c r="X97" s="273"/>
      <c r="Y97" s="184"/>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267"/>
      <c r="V98" s="271"/>
      <c r="W98" s="272"/>
      <c r="X98" s="273"/>
      <c r="Y98" s="184"/>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267"/>
      <c r="V99" s="271"/>
      <c r="W99" s="272"/>
      <c r="X99" s="273"/>
      <c r="Y99" s="184"/>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267"/>
      <c r="V100" s="271"/>
      <c r="W100" s="272"/>
      <c r="X100" s="273"/>
      <c r="Y100" s="184"/>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267"/>
      <c r="V101" s="271"/>
      <c r="W101" s="272"/>
      <c r="X101" s="273"/>
      <c r="Y101" s="184"/>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267"/>
      <c r="V102" s="271"/>
      <c r="W102" s="272"/>
      <c r="X102" s="273"/>
      <c r="Y102" s="184"/>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267"/>
      <c r="V103" s="271"/>
      <c r="W103" s="272"/>
      <c r="X103" s="273"/>
      <c r="Y103" s="184"/>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267"/>
      <c r="V104" s="271"/>
      <c r="W104" s="272"/>
      <c r="X104" s="273"/>
      <c r="Y104" s="184"/>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267"/>
      <c r="V105" s="271"/>
      <c r="W105" s="272"/>
      <c r="X105" s="273"/>
      <c r="Y105" s="184"/>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267"/>
      <c r="V106" s="271"/>
      <c r="W106" s="272"/>
      <c r="X106" s="273"/>
      <c r="Y106" s="184"/>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267"/>
      <c r="V107" s="271"/>
      <c r="W107" s="272"/>
      <c r="X107" s="273"/>
      <c r="Y107" s="184"/>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267"/>
      <c r="V108" s="271"/>
      <c r="W108" s="272"/>
      <c r="X108" s="273"/>
      <c r="Y108" s="184"/>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267"/>
      <c r="V109" s="271"/>
      <c r="W109" s="272"/>
      <c r="X109" s="273"/>
      <c r="Y109" s="184"/>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267"/>
      <c r="V110" s="271"/>
      <c r="W110" s="272"/>
      <c r="X110" s="273"/>
      <c r="Y110" s="184"/>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267"/>
      <c r="V111" s="271"/>
      <c r="W111" s="272"/>
      <c r="X111" s="273"/>
      <c r="Y111" s="184"/>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267"/>
      <c r="V112" s="271"/>
      <c r="W112" s="272"/>
      <c r="X112" s="273"/>
      <c r="Y112" s="184"/>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267"/>
      <c r="V113" s="271"/>
      <c r="W113" s="272"/>
      <c r="X113" s="273"/>
      <c r="Y113" s="184"/>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267"/>
      <c r="V114" s="271"/>
      <c r="W114" s="272"/>
      <c r="X114" s="273"/>
      <c r="Y114" s="184"/>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267"/>
      <c r="V115" s="271"/>
      <c r="W115" s="272"/>
      <c r="X115" s="273"/>
      <c r="Y115" s="184"/>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267"/>
      <c r="V116" s="271"/>
      <c r="W116" s="272"/>
      <c r="X116" s="273"/>
      <c r="Y116" s="184"/>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267"/>
      <c r="V117" s="271"/>
      <c r="W117" s="272"/>
      <c r="X117" s="273"/>
      <c r="Y117" s="184"/>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267"/>
      <c r="V118" s="271"/>
      <c r="W118" s="272"/>
      <c r="X118" s="273"/>
      <c r="Y118" s="184"/>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267"/>
      <c r="V119" s="271"/>
      <c r="W119" s="272"/>
      <c r="X119" s="273"/>
      <c r="Y119" s="184"/>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267"/>
      <c r="V120" s="271"/>
      <c r="W120" s="272"/>
      <c r="X120" s="273"/>
      <c r="Y120" s="184"/>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267"/>
      <c r="V121" s="271"/>
      <c r="W121" s="272"/>
      <c r="X121" s="273"/>
      <c r="Y121" s="184"/>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267"/>
      <c r="V122" s="271"/>
      <c r="W122" s="272"/>
      <c r="X122" s="273"/>
      <c r="Y122" s="184"/>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267"/>
      <c r="V123" s="271"/>
      <c r="W123" s="272"/>
      <c r="X123" s="273"/>
      <c r="Y123" s="184"/>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267"/>
      <c r="V124" s="271"/>
      <c r="W124" s="272"/>
      <c r="X124" s="273"/>
      <c r="Y124" s="184"/>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267"/>
      <c r="V125" s="271"/>
      <c r="W125" s="272"/>
      <c r="X125" s="273"/>
      <c r="Y125" s="184"/>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267"/>
      <c r="V126" s="271"/>
      <c r="W126" s="272"/>
      <c r="X126" s="273"/>
      <c r="Y126" s="184"/>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267"/>
      <c r="V127" s="271"/>
      <c r="W127" s="272"/>
      <c r="X127" s="273"/>
      <c r="Y127" s="184"/>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267"/>
      <c r="V128" s="271"/>
      <c r="W128" s="272"/>
      <c r="X128" s="273"/>
      <c r="Y128" s="184"/>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267"/>
      <c r="V129" s="271"/>
      <c r="W129" s="272"/>
      <c r="X129" s="273"/>
      <c r="Y129" s="184"/>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267"/>
      <c r="V130" s="271"/>
      <c r="W130" s="272"/>
      <c r="X130" s="273"/>
      <c r="Y130" s="184"/>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267"/>
      <c r="V131" s="271"/>
      <c r="W131" s="272"/>
      <c r="X131" s="273"/>
      <c r="Y131" s="184"/>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267"/>
      <c r="V132" s="271"/>
      <c r="W132" s="272"/>
      <c r="X132" s="273"/>
      <c r="Y132" s="184"/>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267"/>
      <c r="V133" s="271"/>
      <c r="W133" s="272"/>
      <c r="X133" s="273"/>
      <c r="Y133" s="184"/>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267"/>
      <c r="V134" s="271"/>
      <c r="W134" s="272"/>
      <c r="X134" s="273"/>
      <c r="Y134" s="184"/>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267"/>
      <c r="V135" s="271"/>
      <c r="W135" s="272"/>
      <c r="X135" s="273"/>
      <c r="Y135" s="184"/>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267"/>
      <c r="V136" s="271"/>
      <c r="W136" s="272"/>
      <c r="X136" s="273"/>
      <c r="Y136" s="184"/>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267"/>
      <c r="V137" s="271"/>
      <c r="W137" s="272"/>
      <c r="X137" s="273"/>
      <c r="Y137" s="184"/>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267"/>
      <c r="V138" s="271"/>
      <c r="W138" s="272"/>
      <c r="X138" s="273"/>
      <c r="Y138" s="184"/>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267"/>
      <c r="V139" s="271"/>
      <c r="W139" s="272"/>
      <c r="X139" s="273"/>
      <c r="Y139" s="184"/>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267"/>
      <c r="V140" s="271"/>
      <c r="W140" s="272"/>
      <c r="X140" s="273"/>
      <c r="Y140" s="184"/>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267"/>
      <c r="V141" s="271"/>
      <c r="W141" s="272"/>
      <c r="X141" s="273"/>
      <c r="Y141" s="184"/>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267"/>
      <c r="V142" s="271"/>
      <c r="W142" s="272"/>
      <c r="X142" s="273"/>
      <c r="Y142" s="184"/>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267"/>
      <c r="V143" s="271"/>
      <c r="W143" s="272"/>
      <c r="X143" s="273"/>
      <c r="Y143" s="184"/>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267"/>
      <c r="V144" s="271"/>
      <c r="W144" s="272"/>
      <c r="X144" s="273"/>
      <c r="Y144" s="184"/>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267"/>
      <c r="V145" s="271"/>
      <c r="W145" s="272"/>
      <c r="X145" s="273"/>
      <c r="Y145" s="184"/>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267"/>
      <c r="V146" s="271"/>
      <c r="W146" s="272"/>
      <c r="X146" s="273"/>
      <c r="Y146" s="184"/>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267"/>
      <c r="V147" s="271"/>
      <c r="W147" s="272"/>
      <c r="X147" s="273"/>
      <c r="Y147" s="184"/>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267"/>
      <c r="V148" s="271"/>
      <c r="W148" s="272"/>
      <c r="X148" s="273"/>
      <c r="Y148" s="184"/>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267"/>
      <c r="V149" s="271"/>
      <c r="W149" s="272"/>
      <c r="X149" s="273"/>
      <c r="Y149" s="184"/>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267"/>
      <c r="V150" s="271"/>
      <c r="W150" s="272"/>
      <c r="X150" s="273"/>
      <c r="Y150" s="184"/>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267"/>
      <c r="V151" s="271"/>
      <c r="W151" s="272"/>
      <c r="X151" s="273"/>
      <c r="Y151" s="184"/>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267"/>
      <c r="V152" s="271"/>
      <c r="W152" s="272"/>
      <c r="X152" s="273"/>
      <c r="Y152" s="184"/>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267"/>
      <c r="V153" s="271"/>
      <c r="W153" s="272"/>
      <c r="X153" s="273"/>
      <c r="Y153" s="184"/>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267"/>
      <c r="V154" s="271"/>
      <c r="W154" s="272"/>
      <c r="X154" s="273"/>
      <c r="Y154" s="184"/>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267"/>
      <c r="V155" s="271"/>
      <c r="W155" s="272"/>
      <c r="X155" s="273"/>
      <c r="Y155" s="184"/>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267"/>
      <c r="V156" s="271"/>
      <c r="W156" s="272"/>
      <c r="X156" s="273"/>
      <c r="Y156" s="184"/>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267"/>
      <c r="V157" s="271"/>
      <c r="W157" s="272"/>
      <c r="X157" s="273"/>
      <c r="Y157" s="184"/>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267"/>
      <c r="V158" s="271"/>
      <c r="W158" s="272"/>
      <c r="X158" s="273"/>
      <c r="Y158" s="184"/>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267"/>
      <c r="V159" s="271"/>
      <c r="W159" s="272"/>
      <c r="X159" s="273"/>
      <c r="Y159" s="184"/>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267"/>
      <c r="V160" s="271"/>
      <c r="W160" s="272"/>
      <c r="X160" s="273"/>
      <c r="Y160" s="184"/>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267"/>
      <c r="V161" s="271"/>
      <c r="W161" s="272"/>
      <c r="X161" s="273"/>
      <c r="Y161" s="184"/>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267"/>
      <c r="V162" s="271"/>
      <c r="W162" s="272"/>
      <c r="X162" s="273"/>
      <c r="Y162" s="184"/>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267"/>
      <c r="V163" s="271"/>
      <c r="W163" s="272"/>
      <c r="X163" s="273"/>
      <c r="Y163" s="184"/>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267"/>
      <c r="V164" s="271"/>
      <c r="W164" s="272"/>
      <c r="X164" s="273"/>
      <c r="Y164" s="184"/>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267"/>
      <c r="V165" s="271"/>
      <c r="W165" s="272"/>
      <c r="X165" s="273"/>
      <c r="Y165" s="184"/>
      <c r="Z165" s="185" t="s">
        <v>677</v>
      </c>
    </row>
    <row r="166" spans="1:26" ht="11.4" x14ac:dyDescent="0.15">
      <c r="A166" s="175">
        <f t="shared" si="1"/>
        <v>164</v>
      </c>
      <c r="B166" s="176"/>
      <c r="C166" s="176"/>
      <c r="D166" s="176"/>
      <c r="E166" s="176" t="s">
        <v>743</v>
      </c>
      <c r="F166" s="186"/>
      <c r="G166" s="258"/>
      <c r="H166" s="227" t="s">
        <v>752</v>
      </c>
      <c r="I166" s="177"/>
      <c r="J166" s="178"/>
      <c r="K166" s="178"/>
      <c r="L166" s="179"/>
      <c r="M166" s="177"/>
      <c r="N166" s="178"/>
      <c r="O166" s="178"/>
      <c r="P166" s="180"/>
      <c r="Q166" s="180"/>
      <c r="R166" s="180" t="s">
        <v>61</v>
      </c>
      <c r="S166" s="180"/>
      <c r="T166" s="180"/>
      <c r="U166" s="267"/>
      <c r="V166" s="271"/>
      <c r="W166" s="272"/>
      <c r="X166" s="273"/>
      <c r="Y166" s="184"/>
      <c r="Z166" s="185" t="s">
        <v>677</v>
      </c>
    </row>
    <row r="167" spans="1:26" ht="11.4" x14ac:dyDescent="0.15">
      <c r="A167" s="175">
        <f t="shared" si="1"/>
        <v>165</v>
      </c>
      <c r="B167" s="176"/>
      <c r="C167" s="176"/>
      <c r="D167" s="176"/>
      <c r="E167" s="176" t="s">
        <v>744</v>
      </c>
      <c r="F167" s="186"/>
      <c r="G167" s="258"/>
      <c r="H167" s="227" t="s">
        <v>752</v>
      </c>
      <c r="I167" s="177"/>
      <c r="J167" s="178"/>
      <c r="K167" s="178"/>
      <c r="L167" s="179"/>
      <c r="M167" s="177"/>
      <c r="N167" s="178"/>
      <c r="O167" s="178"/>
      <c r="P167" s="180"/>
      <c r="Q167" s="180"/>
      <c r="R167" s="180" t="s">
        <v>61</v>
      </c>
      <c r="S167" s="180"/>
      <c r="T167" s="180"/>
      <c r="U167" s="267"/>
      <c r="V167" s="271"/>
      <c r="W167" s="272"/>
      <c r="X167" s="273"/>
      <c r="Y167" s="184"/>
      <c r="Z167" s="185" t="s">
        <v>677</v>
      </c>
    </row>
    <row r="168" spans="1:26" ht="11.4" x14ac:dyDescent="0.15">
      <c r="A168" s="175">
        <f t="shared" si="1"/>
        <v>166</v>
      </c>
      <c r="B168" s="176"/>
      <c r="C168" s="176"/>
      <c r="D168" s="176"/>
      <c r="E168" s="176" t="s">
        <v>745</v>
      </c>
      <c r="F168" s="186"/>
      <c r="G168" s="258"/>
      <c r="H168" s="227" t="s">
        <v>752</v>
      </c>
      <c r="I168" s="177"/>
      <c r="J168" s="178"/>
      <c r="K168" s="178"/>
      <c r="L168" s="179"/>
      <c r="M168" s="177"/>
      <c r="N168" s="178"/>
      <c r="O168" s="178"/>
      <c r="P168" s="180"/>
      <c r="Q168" s="180"/>
      <c r="R168" s="180" t="s">
        <v>61</v>
      </c>
      <c r="S168" s="180"/>
      <c r="T168" s="180"/>
      <c r="U168" s="267"/>
      <c r="V168" s="271"/>
      <c r="W168" s="272"/>
      <c r="X168" s="273"/>
      <c r="Y168" s="184"/>
      <c r="Z168" s="185" t="s">
        <v>677</v>
      </c>
    </row>
    <row r="169" spans="1:26" ht="11.4" x14ac:dyDescent="0.15">
      <c r="A169" s="175">
        <f t="shared" si="1"/>
        <v>167</v>
      </c>
      <c r="B169" s="176"/>
      <c r="C169" s="176"/>
      <c r="D169" s="176"/>
      <c r="E169" s="176" t="s">
        <v>746</v>
      </c>
      <c r="F169" s="186"/>
      <c r="G169" s="258"/>
      <c r="H169" s="227" t="s">
        <v>752</v>
      </c>
      <c r="I169" s="177"/>
      <c r="J169" s="178"/>
      <c r="K169" s="178"/>
      <c r="L169" s="179"/>
      <c r="M169" s="177"/>
      <c r="N169" s="178"/>
      <c r="O169" s="178"/>
      <c r="P169" s="180"/>
      <c r="Q169" s="180"/>
      <c r="R169" s="180" t="s">
        <v>61</v>
      </c>
      <c r="S169" s="180"/>
      <c r="T169" s="180"/>
      <c r="U169" s="267"/>
      <c r="V169" s="271"/>
      <c r="W169" s="272"/>
      <c r="X169" s="273"/>
      <c r="Y169" s="184"/>
      <c r="Z169" s="185" t="s">
        <v>677</v>
      </c>
    </row>
    <row r="170" spans="1:26" ht="11.4" x14ac:dyDescent="0.15">
      <c r="A170" s="175">
        <f t="shared" si="1"/>
        <v>168</v>
      </c>
      <c r="B170" s="176"/>
      <c r="C170" s="176"/>
      <c r="D170" s="176"/>
      <c r="E170" s="176" t="s">
        <v>747</v>
      </c>
      <c r="F170" s="186"/>
      <c r="G170" s="258"/>
      <c r="H170" s="227" t="s">
        <v>752</v>
      </c>
      <c r="I170" s="177"/>
      <c r="J170" s="178"/>
      <c r="K170" s="178"/>
      <c r="L170" s="179"/>
      <c r="M170" s="177"/>
      <c r="N170" s="178"/>
      <c r="O170" s="178"/>
      <c r="P170" s="180"/>
      <c r="Q170" s="180"/>
      <c r="R170" s="180" t="s">
        <v>61</v>
      </c>
      <c r="S170" s="180"/>
      <c r="T170" s="180"/>
      <c r="U170" s="267"/>
      <c r="V170" s="271"/>
      <c r="W170" s="272"/>
      <c r="X170" s="273"/>
      <c r="Y170" s="184"/>
      <c r="Z170" s="185" t="s">
        <v>677</v>
      </c>
    </row>
    <row r="171" spans="1:26" ht="11.4" x14ac:dyDescent="0.15">
      <c r="A171" s="175">
        <f t="shared" si="1"/>
        <v>169</v>
      </c>
      <c r="B171" s="176"/>
      <c r="C171" s="176"/>
      <c r="D171" s="176"/>
      <c r="E171" s="176" t="s">
        <v>748</v>
      </c>
      <c r="F171" s="186"/>
      <c r="G171" s="258"/>
      <c r="H171" s="227" t="s">
        <v>752</v>
      </c>
      <c r="I171" s="177"/>
      <c r="J171" s="178"/>
      <c r="K171" s="178"/>
      <c r="L171" s="179"/>
      <c r="M171" s="177"/>
      <c r="N171" s="178"/>
      <c r="O171" s="178"/>
      <c r="P171" s="180"/>
      <c r="Q171" s="180"/>
      <c r="R171" s="180" t="s">
        <v>61</v>
      </c>
      <c r="S171" s="180"/>
      <c r="T171" s="180"/>
      <c r="U171" s="267"/>
      <c r="V171" s="271"/>
      <c r="W171" s="272"/>
      <c r="X171" s="273"/>
      <c r="Y171" s="184"/>
      <c r="Z171" s="185" t="s">
        <v>677</v>
      </c>
    </row>
    <row r="172" spans="1:26" ht="11.4" x14ac:dyDescent="0.15">
      <c r="A172" s="175">
        <f t="shared" si="1"/>
        <v>170</v>
      </c>
      <c r="B172" s="176"/>
      <c r="C172" s="176"/>
      <c r="D172" s="176"/>
      <c r="E172" s="176" t="s">
        <v>749</v>
      </c>
      <c r="F172" s="186"/>
      <c r="G172" s="258"/>
      <c r="H172" s="227" t="s">
        <v>752</v>
      </c>
      <c r="I172" s="177"/>
      <c r="J172" s="178"/>
      <c r="K172" s="178"/>
      <c r="L172" s="179"/>
      <c r="M172" s="177"/>
      <c r="N172" s="178"/>
      <c r="O172" s="178"/>
      <c r="P172" s="180"/>
      <c r="Q172" s="180"/>
      <c r="R172" s="180" t="s">
        <v>61</v>
      </c>
      <c r="S172" s="180"/>
      <c r="T172" s="180"/>
      <c r="U172" s="267"/>
      <c r="V172" s="271"/>
      <c r="W172" s="272"/>
      <c r="X172" s="273"/>
      <c r="Y172" s="184"/>
      <c r="Z172" s="185" t="s">
        <v>677</v>
      </c>
    </row>
    <row r="173" spans="1:26" ht="11.4" x14ac:dyDescent="0.15">
      <c r="A173" s="175">
        <f t="shared" si="1"/>
        <v>171</v>
      </c>
      <c r="B173" s="176"/>
      <c r="C173" s="176"/>
      <c r="D173" s="176"/>
      <c r="E173" s="176" t="s">
        <v>750</v>
      </c>
      <c r="F173" s="186"/>
      <c r="G173" s="258"/>
      <c r="H173" s="227" t="s">
        <v>752</v>
      </c>
      <c r="I173" s="177"/>
      <c r="J173" s="178"/>
      <c r="K173" s="178"/>
      <c r="L173" s="179"/>
      <c r="M173" s="177"/>
      <c r="N173" s="178"/>
      <c r="O173" s="178"/>
      <c r="P173" s="180"/>
      <c r="Q173" s="180"/>
      <c r="R173" s="180" t="s">
        <v>61</v>
      </c>
      <c r="S173" s="180"/>
      <c r="T173" s="180"/>
      <c r="U173" s="267"/>
      <c r="V173" s="271"/>
      <c r="W173" s="272"/>
      <c r="X173" s="273"/>
      <c r="Y173" s="184"/>
      <c r="Z173" s="185"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6"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6"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6"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6"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6"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6"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6"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c r="W183" s="272"/>
      <c r="X183" s="273"/>
      <c r="Y183" s="184"/>
      <c r="Z183" s="185" t="s">
        <v>592</v>
      </c>
    </row>
    <row r="184" spans="1:26"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c r="W184" s="272"/>
      <c r="X184" s="273"/>
      <c r="Y184" s="184"/>
      <c r="Z184" s="185" t="s">
        <v>592</v>
      </c>
    </row>
    <row r="185" spans="1:26"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c r="W185" s="272"/>
      <c r="X185" s="273"/>
      <c r="Y185" s="184"/>
      <c r="Z185" s="185" t="s">
        <v>592</v>
      </c>
    </row>
    <row r="186" spans="1:26"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c r="W186" s="272"/>
      <c r="X186" s="273"/>
      <c r="Y186" s="184"/>
      <c r="Z186" s="185" t="s">
        <v>592</v>
      </c>
    </row>
    <row r="187" spans="1:26"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c r="W187" s="272"/>
      <c r="X187" s="273"/>
      <c r="Y187" s="184"/>
      <c r="Z187" s="185" t="s">
        <v>592</v>
      </c>
    </row>
    <row r="188" spans="1:26"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c r="W188" s="272"/>
      <c r="X188" s="273"/>
      <c r="Y188" s="184"/>
      <c r="Z188" s="185" t="s">
        <v>592</v>
      </c>
    </row>
    <row r="189" spans="1:26"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c r="W189" s="272"/>
      <c r="X189" s="273"/>
      <c r="Y189" s="184"/>
      <c r="Z189" s="185" t="s">
        <v>592</v>
      </c>
    </row>
    <row r="190" spans="1:26"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1"/>
      <c r="W190" s="272"/>
      <c r="X190" s="273"/>
      <c r="Y190" s="184"/>
      <c r="Z190" s="185" t="s">
        <v>592</v>
      </c>
    </row>
    <row r="191" spans="1:26"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c r="W191" s="272"/>
      <c r="X191" s="273"/>
      <c r="Y191" s="184"/>
      <c r="Z191" s="185" t="s">
        <v>592</v>
      </c>
    </row>
    <row r="192" spans="1:26"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c r="W192" s="272"/>
      <c r="X192" s="273"/>
      <c r="Y192" s="184"/>
      <c r="Z192" s="185" t="s">
        <v>592</v>
      </c>
    </row>
    <row r="193" spans="1:26"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c r="W193" s="272"/>
      <c r="X193" s="273"/>
      <c r="Y193" s="184"/>
      <c r="Z193" s="185" t="s">
        <v>592</v>
      </c>
    </row>
    <row r="194" spans="1:26"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row>
    <row r="195" spans="1:26"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row>
    <row r="196" spans="1:26"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row>
    <row r="197" spans="1:26"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row>
    <row r="198" spans="1:26"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row>
    <row r="199" spans="1:26"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row>
    <row r="200" spans="1:26"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row>
    <row r="201" spans="1:26"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6"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6"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6"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6"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row>
    <row r="206" spans="1:26"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1"/>
      <c r="W206" s="272"/>
      <c r="X206" s="273"/>
      <c r="Y206" s="184"/>
      <c r="Z206" s="185" t="s">
        <v>592</v>
      </c>
    </row>
    <row r="207" spans="1:26"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6"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6"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6"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row>
    <row r="211" spans="1:26"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6"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6"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row>
    <row r="214" spans="1:26"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6"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6"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6"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6"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6"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6"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6"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6"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6"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6"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29" t="s">
        <v>17</v>
      </c>
      <c r="W254" s="329"/>
      <c r="X254" s="330"/>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31"/>
      <c r="W255" s="331"/>
      <c r="X255" s="332"/>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33">
        <f>COUNTA(V3:V253)</f>
        <v>40</v>
      </c>
      <c r="W256" s="335">
        <f>COUNTA(W3:W253)</f>
        <v>19</v>
      </c>
      <c r="X256" s="337">
        <f>COUNTA(X3:X253)</f>
        <v>11</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34"/>
      <c r="W257" s="336"/>
      <c r="X257" s="338"/>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B6"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8" t="s">
        <v>31</v>
      </c>
      <c r="H1" s="349"/>
      <c r="I1" s="349"/>
      <c r="J1" s="349"/>
      <c r="K1" s="349"/>
      <c r="L1" s="349"/>
      <c r="M1" s="349"/>
      <c r="N1" s="349"/>
      <c r="O1" s="350" t="s">
        <v>1031</v>
      </c>
      <c r="P1" s="350"/>
      <c r="Q1" s="350"/>
      <c r="R1" s="350"/>
      <c r="S1" s="353" t="s">
        <v>33</v>
      </c>
      <c r="T1" s="353"/>
      <c r="U1" s="353"/>
      <c r="V1" s="354"/>
      <c r="W1" s="54"/>
      <c r="X1" s="355" t="s">
        <v>1032</v>
      </c>
      <c r="Y1" s="340" t="s">
        <v>1033</v>
      </c>
      <c r="AB1" s="1" t="s">
        <v>1034</v>
      </c>
    </row>
    <row r="2" spans="1:28" s="1" customFormat="1" ht="13.5" customHeight="1" x14ac:dyDescent="0.15">
      <c r="A2" s="61"/>
      <c r="B2" s="64"/>
      <c r="C2" s="64"/>
      <c r="D2" s="64"/>
      <c r="E2" s="64"/>
      <c r="F2" s="67"/>
      <c r="G2" s="343" t="s">
        <v>1035</v>
      </c>
      <c r="H2" s="344"/>
      <c r="I2" s="344"/>
      <c r="J2" s="344"/>
      <c r="K2" s="343"/>
      <c r="L2" s="344"/>
      <c r="M2" s="344"/>
      <c r="N2" s="344"/>
      <c r="O2" s="351"/>
      <c r="P2" s="351"/>
      <c r="Q2" s="351"/>
      <c r="R2" s="351"/>
      <c r="S2" s="345" t="s">
        <v>1036</v>
      </c>
      <c r="T2" s="346"/>
      <c r="U2" s="346"/>
      <c r="V2" s="68"/>
      <c r="W2" s="69"/>
      <c r="X2" s="356"/>
      <c r="Y2" s="341"/>
      <c r="Z2" s="1" t="s">
        <v>1035</v>
      </c>
      <c r="AA2" s="1" t="s">
        <v>1037</v>
      </c>
      <c r="AB2" s="1" t="s">
        <v>1038</v>
      </c>
    </row>
    <row r="3" spans="1:28" s="1" customFormat="1" ht="15" customHeight="1" x14ac:dyDescent="0.15">
      <c r="A3" s="35"/>
      <c r="B3" s="84" t="s">
        <v>1039</v>
      </c>
      <c r="C3" s="59"/>
      <c r="D3" s="59"/>
      <c r="E3" s="59"/>
      <c r="F3" s="36"/>
      <c r="G3" s="347" t="s">
        <v>1037</v>
      </c>
      <c r="H3" s="347"/>
      <c r="I3" s="347"/>
      <c r="J3" s="347"/>
      <c r="K3" s="347" t="s">
        <v>1040</v>
      </c>
      <c r="L3" s="347"/>
      <c r="M3" s="347"/>
      <c r="N3" s="347"/>
      <c r="O3" s="351"/>
      <c r="P3" s="351"/>
      <c r="Q3" s="351"/>
      <c r="R3" s="351"/>
      <c r="S3" s="62"/>
      <c r="T3" s="63"/>
      <c r="U3" s="63"/>
      <c r="V3" s="37"/>
      <c r="W3" s="2"/>
      <c r="X3" s="356"/>
      <c r="Y3" s="341"/>
      <c r="Z3" s="1" t="s">
        <v>1041</v>
      </c>
      <c r="AA3" s="1" t="s">
        <v>1040</v>
      </c>
      <c r="AB3" s="1" t="s">
        <v>1042</v>
      </c>
    </row>
    <row r="4" spans="1:28" s="1" customFormat="1" ht="15" customHeight="1" x14ac:dyDescent="0.15">
      <c r="A4" s="45"/>
      <c r="B4" s="39"/>
      <c r="C4" s="56"/>
      <c r="D4" s="56"/>
      <c r="E4" s="89"/>
      <c r="F4" s="40"/>
      <c r="G4" s="347" t="s">
        <v>1034</v>
      </c>
      <c r="H4" s="347"/>
      <c r="I4" s="347"/>
      <c r="J4" s="347"/>
      <c r="K4" s="347"/>
      <c r="L4" s="347"/>
      <c r="M4" s="347"/>
      <c r="N4" s="347"/>
      <c r="O4" s="352"/>
      <c r="P4" s="352"/>
      <c r="Q4" s="352"/>
      <c r="R4" s="352"/>
      <c r="S4" s="65"/>
      <c r="T4" s="66"/>
      <c r="U4" s="66"/>
      <c r="V4" s="37"/>
      <c r="W4" s="2" t="s">
        <v>1043</v>
      </c>
      <c r="X4" s="356"/>
      <c r="Y4" s="341"/>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57"/>
      <c r="Y5" s="342"/>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5ED6EC78-CC9B-42BA-82F1-4AE728A295B1}"/>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925fb8bf-6124-4564-9086-bab0bf327637"/>
    <ds:schemaRef ds:uri="http://purl.org/dc/elements/1.1/"/>
    <ds:schemaRef ds:uri="http://schemas.microsoft.com/office/2006/documentManagement/types"/>
    <ds:schemaRef ds:uri="http://www.w3.org/XML/1998/namespace"/>
    <ds:schemaRef ds:uri="http://schemas.openxmlformats.org/package/2006/metadata/core-properties"/>
    <ds:schemaRef ds:uri="http://schemas.microsoft.com/office/infopath/2007/PartnerControls"/>
    <ds:schemaRef ds:uri="cc94ae7b-2025-4ffb-bd04-1297cd213e7a"/>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2025-01-16T04:18:22Z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