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namedSheetViews/namedSheetView2.xml" ContentType="application/vnd.ms-excel.namedsheetview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223" documentId="8_{FFF5661D-D548-493C-B837-0D721489715B}" xr6:coauthVersionLast="47" xr6:coauthVersionMax="47" xr10:uidLastSave="{47D93B9B-C9E5-416F-AA3E-7935D183A82B}"/>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<sst xmlns="http://schemas.openxmlformats.org/spreadsheetml/2006/main" count="5058" uniqueCount="1146">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</sst>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34998626667073579"/>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9">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10" borderId="17" xfId="14" applyFont="1" applyFill="1" applyBorder="1" applyAlignment="1">
      <alignment vertical="top" wrapText="1"/>
    </xf>
    <xf numFmtId="0" fontId="25" fillId="10" borderId="37" xfId="0" applyFont="1" applyFill="1" applyBorder="1" applyAlignment="1">
      <alignment vertical="center" wrapText="1"/>
    </xf>
    <xf numFmtId="0" fontId="25" fillId="10" borderId="38" xfId="0" applyFont="1" applyFill="1" applyBorder="1" applyAlignment="1">
      <alignment vertical="center" wrapText="1"/>
    </xf>
    <xf numFmtId="0" fontId="25" fillId="10" borderId="79" xfId="0" applyFont="1" applyFill="1" applyBorder="1" applyAlignment="1">
      <alignment vertical="top" wrapText="1"/>
    </xf>
    <xf numFmtId="0" fontId="25" fillId="10" borderId="49" xfId="14" applyFont="1" applyFill="1" applyBorder="1" applyAlignment="1">
      <alignment horizontal="center" vertical="center" wrapText="1"/>
    </xf>
    <xf numFmtId="0" fontId="25" fillId="10" borderId="18" xfId="14" applyFont="1" applyFill="1" applyBorder="1" applyAlignment="1">
      <alignment horizontal="center" vertical="center" wrapText="1"/>
    </xf>
    <xf numFmtId="0" fontId="25" fillId="10" borderId="19" xfId="14" applyFont="1" applyFill="1" applyBorder="1" applyAlignment="1">
      <alignment horizontal="center" vertical="center" wrapText="1"/>
    </xf>
    <xf numFmtId="0" fontId="25" fillId="10" borderId="54" xfId="14" applyFont="1" applyFill="1" applyBorder="1" applyAlignment="1">
      <alignment horizontal="center" vertical="center" wrapText="1"/>
    </xf>
    <xf numFmtId="179" fontId="25" fillId="10" borderId="70" xfId="14" applyNumberFormat="1" applyFont="1" applyFill="1" applyBorder="1" applyAlignment="1">
      <alignment horizontal="center" vertical="center" wrapText="1"/>
    </xf>
    <xf numFmtId="179" fontId="25" fillId="10" borderId="49" xfId="14" applyNumberFormat="1" applyFont="1" applyFill="1" applyBorder="1" applyAlignment="1">
      <alignment horizontal="center" vertical="center" wrapText="1"/>
    </xf>
    <xf numFmtId="179" fontId="25" fillId="10" borderId="54" xfId="14" applyNumberFormat="1" applyFont="1" applyFill="1" applyBorder="1" applyAlignment="1">
      <alignment horizontal="center" vertical="center" wrapText="1"/>
    </xf>
    <xf numFmtId="0" fontId="25" fillId="10" borderId="70" xfId="14" applyFont="1" applyFill="1" applyBorder="1" applyAlignment="1">
      <alignment horizontal="center" vertical="center" wrapText="1"/>
    </xf>
    <xf numFmtId="0" fontId="25" fillId="10" borderId="70" xfId="14" applyFont="1" applyFill="1" applyBorder="1" applyAlignment="1">
      <alignment horizontal="left" vertical="center" wrapText="1"/>
    </xf>
    <xf numFmtId="0" fontId="25" fillId="10" borderId="0" xfId="0" applyFont="1" applyFill="1" applyBorder="1" applyAlignment="1">
      <alignment vertical="center" wrapText="1"/>
    </xf>
    <xf numFmtId="179" fontId="25" fillId="10" borderId="18"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268942</xdr:colOff>
      <xdr:row>328</xdr:row>
      <xdr:rowOff>107576</xdr:rowOff>
    </xdr:from>
    <xdr:to>
      <xdr:col>24</xdr:col>
      <xdr:colOff>1945342</xdr:colOff>
      <xdr:row>333</xdr:row>
      <xdr:rowOff>98612</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6584707" y="47324682"/>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71719</xdr:rowOff>
    </xdr:from>
    <xdr:to>
      <xdr:col>22</xdr:col>
      <xdr:colOff>89647</xdr:colOff>
      <xdr:row>37</xdr:row>
      <xdr:rowOff>107578</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2227859" y="4688543"/>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入金・出金の対応状況？</a:t>
          </a:r>
          <a:endParaRPr kumimoji="1" lang="en-US" altLang="ja-JP" sz="1100" b="1">
            <a:solidFill>
              <a:srgbClr val="FF0000"/>
            </a:solidFill>
          </a:endParaRPr>
        </a:p>
      </xdr:txBody>
    </xdr:sp>
    <xdr:clientData/>
  </xdr:twoCellAnchor>
  <xdr:twoCellAnchor>
    <xdr:from>
      <xdr:col>20</xdr:col>
      <xdr:colOff>528918</xdr:colOff>
      <xdr:row>71</xdr:row>
      <xdr:rowOff>116541</xdr:rowOff>
    </xdr:from>
    <xdr:to>
      <xdr:col>22</xdr:col>
      <xdr:colOff>62753</xdr:colOff>
      <xdr:row>75</xdr:row>
      <xdr:rowOff>26895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2192000" y="10470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125505</xdr:colOff>
      <xdr:row>61</xdr:row>
      <xdr:rowOff>98612</xdr:rowOff>
    </xdr:from>
    <xdr:to>
      <xdr:col>25</xdr:col>
      <xdr:colOff>1470212</xdr:colOff>
      <xdr:row>66</xdr:row>
      <xdr:rowOff>89647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3967011" y="90184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564777</xdr:colOff>
      <xdr:row>79</xdr:row>
      <xdr:rowOff>134470</xdr:rowOff>
    </xdr:from>
    <xdr:to>
      <xdr:col>22</xdr:col>
      <xdr:colOff>53789</xdr:colOff>
      <xdr:row>84</xdr:row>
      <xdr:rowOff>17930</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2227859" y="11636188"/>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331693</xdr:colOff>
      <xdr:row>72</xdr:row>
      <xdr:rowOff>98611</xdr:rowOff>
    </xdr:from>
    <xdr:to>
      <xdr:col>25</xdr:col>
      <xdr:colOff>1676400</xdr:colOff>
      <xdr:row>77</xdr:row>
      <xdr:rowOff>89647</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4173199" y="10596282"/>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ja-JP" altLang="en-US" sz="1100" b="1">
              <a:solidFill>
                <a:srgbClr val="FF0000"/>
              </a:solidFill>
            </a:rPr>
            <a:t>→解消済み</a:t>
          </a:r>
          <a:endParaRPr kumimoji="1" lang="en-US" altLang="ja-JP" sz="1100" b="1">
            <a:solidFill>
              <a:srgbClr val="FF0000"/>
            </a:solidFill>
          </a:endParaRPr>
        </a:p>
      </xdr:txBody>
    </xdr:sp>
    <xdr:clientData/>
  </xdr:twoCellAnchor>
  <xdr:twoCellAnchor>
    <xdr:from>
      <xdr:col>20</xdr:col>
      <xdr:colOff>573741</xdr:colOff>
      <xdr:row>140</xdr:row>
      <xdr:rowOff>107576</xdr:rowOff>
    </xdr:from>
    <xdr:to>
      <xdr:col>22</xdr:col>
      <xdr:colOff>107576</xdr:colOff>
      <xdr:row>144</xdr:row>
      <xdr:rowOff>17930</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2236823" y="20358847"/>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80683</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4011834" y="18906565"/>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555812</xdr:colOff>
      <xdr:row>221</xdr:row>
      <xdr:rowOff>107577</xdr:rowOff>
    </xdr:from>
    <xdr:to>
      <xdr:col>22</xdr:col>
      <xdr:colOff>89647</xdr:colOff>
      <xdr:row>227</xdr:row>
      <xdr:rowOff>125506</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2218894" y="31977106"/>
          <a:ext cx="663388" cy="87854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116540</xdr:colOff>
      <xdr:row>212</xdr:row>
      <xdr:rowOff>17929</xdr:rowOff>
    </xdr:from>
    <xdr:to>
      <xdr:col>25</xdr:col>
      <xdr:colOff>1461247</xdr:colOff>
      <xdr:row>217</xdr:row>
      <xdr:rowOff>8965</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3958046" y="3059654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p>
      </xdr:txBody>
    </xdr:sp>
    <xdr:clientData/>
  </xdr:twoCellAnchor>
  <xdr:twoCellAnchor>
    <xdr:from>
      <xdr:col>20</xdr:col>
      <xdr:colOff>555813</xdr:colOff>
      <xdr:row>228</xdr:row>
      <xdr:rowOff>26895</xdr:rowOff>
    </xdr:from>
    <xdr:to>
      <xdr:col>22</xdr:col>
      <xdr:colOff>98613</xdr:colOff>
      <xdr:row>234</xdr:row>
      <xdr:rowOff>0</xdr:rowOff>
    </xdr:to>
    <xdr:sp macro="" textlink="">
      <xdr:nvSpPr>
        <xdr:cNvPr id="5" name="正方形/長方形 4">
          <a:extLst>
            <a:ext uri="{FF2B5EF4-FFF2-40B4-BE49-F238E27FC236}">
              <a16:creationId xmlns:a16="http://schemas.microsoft.com/office/drawing/2014/main" id="{16EB13F8-2EC2-A6AD-A34E-B9D28D4AA601}"/>
            </a:ext>
          </a:extLst>
        </xdr:cNvPr>
        <xdr:cNvSpPr/>
      </xdr:nvSpPr>
      <xdr:spPr>
        <a:xfrm>
          <a:off x="12218895" y="32900471"/>
          <a:ext cx="672353" cy="8337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161364</xdr:colOff>
      <xdr:row>220</xdr:row>
      <xdr:rowOff>62753</xdr:rowOff>
    </xdr:from>
    <xdr:to>
      <xdr:col>25</xdr:col>
      <xdr:colOff>1506071</xdr:colOff>
      <xdr:row>225</xdr:row>
      <xdr:rowOff>53788</xdr:rowOff>
    </xdr:to>
    <xdr:sp macro="" textlink="">
      <xdr:nvSpPr>
        <xdr:cNvPr id="8" name="吹き出し: 折線 7">
          <a:extLst>
            <a:ext uri="{FF2B5EF4-FFF2-40B4-BE49-F238E27FC236}">
              <a16:creationId xmlns:a16="http://schemas.microsoft.com/office/drawing/2014/main" id="{0EB2E11B-6623-4852-AB57-EE2984EE865B}"/>
            </a:ext>
          </a:extLst>
        </xdr:cNvPr>
        <xdr:cNvSpPr/>
      </xdr:nvSpPr>
      <xdr:spPr>
        <a:xfrm>
          <a:off x="14002870" y="3178884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異常仕込み必要</a:t>
          </a:r>
          <a:endParaRPr kumimoji="1" lang="en-US" altLang="ja-JP" sz="1100" b="1">
            <a:solidFill>
              <a:srgbClr val="FF0000"/>
            </a:solidFill>
          </a:endParaRPr>
        </a:p>
        <a:p>
          <a:pPr algn="l"/>
          <a:r>
            <a:rPr kumimoji="1" lang="en-US" altLang="ja-JP" sz="1100" b="1">
              <a:solidFill>
                <a:srgbClr val="FF0000"/>
              </a:solidFill>
            </a:rPr>
            <a:t>1/27</a:t>
          </a:r>
          <a:r>
            <a:rPr kumimoji="1" lang="ja-JP" altLang="en-US" sz="1100" b="1">
              <a:solidFill>
                <a:srgbClr val="FF0000"/>
              </a:solidFill>
            </a:rPr>
            <a:t>仕込み予定</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7" t="s">
        <v>19</v>
      </c>
      <c r="D7" s="328"/>
      <c r="E7" s="328"/>
      <c r="F7" s="328"/>
      <c r="G7" s="328"/>
      <c r="H7" s="328"/>
      <c r="I7" s="328"/>
      <c r="J7" s="328"/>
      <c r="K7" s="329"/>
    </row>
    <row r="8" spans="3:11" ht="15" customHeight="1" x14ac:dyDescent="0.3">
      <c r="C8" s="172"/>
      <c r="D8" s="173"/>
      <c r="E8" s="173"/>
      <c r="F8" s="173"/>
      <c r="G8" s="173"/>
      <c r="H8" s="173"/>
      <c r="I8" s="173"/>
      <c r="J8" s="173"/>
      <c r="K8" s="174"/>
    </row>
    <row r="9" spans="3:11" ht="35.4" x14ac:dyDescent="0.65">
      <c r="C9" s="324" t="s">
        <v>20</v>
      </c>
      <c r="D9" s="325"/>
      <c r="E9" s="325"/>
      <c r="F9" s="325"/>
      <c r="G9" s="325"/>
      <c r="H9" s="325"/>
      <c r="I9" s="325"/>
      <c r="J9" s="325"/>
      <c r="K9" s="326"/>
    </row>
    <row r="10" spans="3:11" ht="35.4" x14ac:dyDescent="0.65">
      <c r="C10" s="324" t="s">
        <v>21</v>
      </c>
      <c r="D10" s="325"/>
      <c r="E10" s="325"/>
      <c r="F10" s="325"/>
      <c r="G10" s="325"/>
      <c r="H10" s="325"/>
      <c r="I10" s="325"/>
      <c r="J10" s="325"/>
      <c r="K10" s="326"/>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30" t="s">
        <v>22</v>
      </c>
      <c r="F18" s="330"/>
      <c r="G18" s="330"/>
      <c r="H18" s="330"/>
      <c r="I18" s="330"/>
    </row>
    <row r="19" spans="3:9" ht="15" customHeight="1" x14ac:dyDescent="0.3"/>
    <row r="20" spans="3:9" ht="15" customHeight="1" x14ac:dyDescent="0.3"/>
    <row r="21" spans="3:9" ht="18.600000000000001" x14ac:dyDescent="0.35">
      <c r="C21" s="166"/>
      <c r="F21" s="331" t="s">
        <v>23</v>
      </c>
      <c r="G21" s="331"/>
      <c r="H21" s="331"/>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N1" zoomScale="85" zoomScaleNormal="85" zoomScaleSheetLayoutView="100" workbookViewId="0">
      <pane ySplit="2" topLeftCell="A370"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4" t="s">
        <v>24</v>
      </c>
      <c r="B1" s="336" t="s">
        <v>25</v>
      </c>
      <c r="C1" s="338" t="s">
        <v>26</v>
      </c>
      <c r="D1" s="338" t="s">
        <v>27</v>
      </c>
      <c r="E1" s="338" t="s">
        <v>28</v>
      </c>
      <c r="F1" s="340" t="s">
        <v>29</v>
      </c>
      <c r="G1" s="343" t="s">
        <v>30</v>
      </c>
      <c r="H1" s="342" t="s">
        <v>31</v>
      </c>
      <c r="I1" s="342"/>
      <c r="J1" s="342"/>
      <c r="K1" s="345"/>
      <c r="L1" s="346" t="s">
        <v>32</v>
      </c>
      <c r="M1" s="347"/>
      <c r="N1" s="347"/>
      <c r="O1" s="348"/>
      <c r="P1" s="348"/>
      <c r="Q1" s="348"/>
      <c r="R1" s="348"/>
      <c r="S1" s="348"/>
      <c r="T1" s="349" t="s">
        <v>1096</v>
      </c>
      <c r="U1" s="342" t="s">
        <v>33</v>
      </c>
      <c r="V1" s="342"/>
      <c r="W1" s="342"/>
      <c r="X1" s="332" t="s">
        <v>34</v>
      </c>
      <c r="Y1" s="332" t="s">
        <v>35</v>
      </c>
    </row>
    <row r="2" spans="1:26" s="237" customFormat="1" ht="22.8" x14ac:dyDescent="0.15">
      <c r="A2" s="335"/>
      <c r="B2" s="337"/>
      <c r="C2" s="339"/>
      <c r="D2" s="339"/>
      <c r="E2" s="339"/>
      <c r="F2" s="341"/>
      <c r="G2" s="344"/>
      <c r="H2" s="223" t="s">
        <v>36</v>
      </c>
      <c r="I2" s="224" t="s">
        <v>37</v>
      </c>
      <c r="J2" s="225" t="s">
        <v>38</v>
      </c>
      <c r="K2" s="225" t="s">
        <v>39</v>
      </c>
      <c r="L2" s="226" t="s">
        <v>36</v>
      </c>
      <c r="M2" s="225" t="s">
        <v>40</v>
      </c>
      <c r="N2" s="225" t="s">
        <v>41</v>
      </c>
      <c r="O2" s="225" t="s">
        <v>42</v>
      </c>
      <c r="P2" s="225" t="s">
        <v>43</v>
      </c>
      <c r="Q2" s="225" t="s">
        <v>44</v>
      </c>
      <c r="R2" s="225" t="s">
        <v>45</v>
      </c>
      <c r="S2" s="225" t="s">
        <v>46</v>
      </c>
      <c r="T2" s="344"/>
      <c r="U2" s="223" t="s">
        <v>47</v>
      </c>
      <c r="V2" s="224" t="s">
        <v>48</v>
      </c>
      <c r="W2" s="225" t="s">
        <v>49</v>
      </c>
      <c r="X2" s="333"/>
      <c r="Y2" s="333"/>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1115</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1108</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1109</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1110</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1111</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1116</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1117</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1118</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1119</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1101</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1102</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1105</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1103</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1105</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1104</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1105</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1104</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1105</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1104</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1105</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1098</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1107</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1105</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1105</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1105</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1105</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1105</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1099</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1105</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1105</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50" t="s">
        <v>17</v>
      </c>
      <c r="V402" s="350"/>
      <c r="W402" s="351"/>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2"/>
      <c r="V403" s="352"/>
      <c r="W403" s="353"/>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4">
        <f>COUNTA(U3:U401)</f>
        <v>382</v>
      </c>
      <c r="V404" s="356">
        <f>COUNTA(V3:V401)</f>
        <v>12</v>
      </c>
      <c r="W404" s="358">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5"/>
      <c r="V405" s="357"/>
      <c r="W405" s="359"/>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E1" zoomScale="90" zoomScaleNormal="90" zoomScaleSheetLayoutView="100" workbookViewId="0">
      <pane ySplit="2" topLeftCell="A278" activePane="bottomLeft" state="frozen"/>
      <selection activeCell="D6" sqref="D6"/>
      <selection pane="bottomLeft" activeCell="V342" sqref="V34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4" t="s">
        <v>24</v>
      </c>
      <c r="B1" s="336" t="s">
        <v>25</v>
      </c>
      <c r="C1" s="338" t="s">
        <v>26</v>
      </c>
      <c r="D1" s="338" t="s">
        <v>27</v>
      </c>
      <c r="E1" s="338" t="s">
        <v>28</v>
      </c>
      <c r="F1" s="340" t="s">
        <v>29</v>
      </c>
      <c r="G1" s="343" t="s">
        <v>30</v>
      </c>
      <c r="H1" s="342" t="s">
        <v>31</v>
      </c>
      <c r="I1" s="342"/>
      <c r="J1" s="342"/>
      <c r="K1" s="345"/>
      <c r="L1" s="346" t="s">
        <v>32</v>
      </c>
      <c r="M1" s="347"/>
      <c r="N1" s="347"/>
      <c r="O1" s="348"/>
      <c r="P1" s="348"/>
      <c r="Q1" s="348"/>
      <c r="R1" s="348"/>
      <c r="S1" s="348"/>
      <c r="T1" s="332" t="s">
        <v>1096</v>
      </c>
      <c r="U1" s="342" t="s">
        <v>33</v>
      </c>
      <c r="V1" s="342"/>
      <c r="W1" s="342"/>
      <c r="X1" s="332" t="s">
        <v>34</v>
      </c>
      <c r="Y1" s="332" t="s">
        <v>35</v>
      </c>
      <c r="Z1" s="237"/>
    </row>
    <row r="2" spans="1:26" s="239" customFormat="1" ht="22.8" x14ac:dyDescent="0.15">
      <c r="A2" s="335"/>
      <c r="B2" s="337"/>
      <c r="C2" s="339"/>
      <c r="D2" s="339"/>
      <c r="E2" s="339"/>
      <c r="F2" s="341"/>
      <c r="G2" s="344"/>
      <c r="H2" s="223" t="s">
        <v>36</v>
      </c>
      <c r="I2" s="224" t="s">
        <v>37</v>
      </c>
      <c r="J2" s="225" t="s">
        <v>38</v>
      </c>
      <c r="K2" s="225" t="s">
        <v>39</v>
      </c>
      <c r="L2" s="226" t="s">
        <v>36</v>
      </c>
      <c r="M2" s="225" t="s">
        <v>40</v>
      </c>
      <c r="N2" s="225" t="s">
        <v>41</v>
      </c>
      <c r="O2" s="225" t="s">
        <v>42</v>
      </c>
      <c r="P2" s="225" t="s">
        <v>43</v>
      </c>
      <c r="Q2" s="225" t="s">
        <v>44</v>
      </c>
      <c r="R2" s="225" t="s">
        <v>45</v>
      </c>
      <c r="S2" s="225" t="s">
        <v>46</v>
      </c>
      <c r="T2" s="344"/>
      <c r="U2" s="223" t="s">
        <v>47</v>
      </c>
      <c r="V2" s="224" t="s">
        <v>48</v>
      </c>
      <c r="W2" s="225" t="s">
        <v>49</v>
      </c>
      <c r="X2" s="333"/>
      <c r="Y2" s="333"/>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6">
        <v>45666</v>
      </c>
      <c r="U3" s="270">
        <v>45666</v>
      </c>
      <c r="V3" s="271"/>
      <c r="W3" s="272"/>
      <c r="X3" s="184"/>
      <c r="Y3" s="185" t="s">
        <v>423</v>
      </c>
      <c r="Z3" s="255" t="s">
        <v>1114</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6">
        <v>45666</v>
      </c>
      <c r="U4" s="270">
        <v>45666</v>
      </c>
      <c r="V4" s="271"/>
      <c r="W4" s="272"/>
      <c r="X4" s="184"/>
      <c r="Y4" s="185" t="s">
        <v>425</v>
      </c>
      <c r="Z4" s="255" t="s">
        <v>1114</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6">
        <v>45666</v>
      </c>
      <c r="U5" s="270">
        <v>45666</v>
      </c>
      <c r="V5" s="271"/>
      <c r="W5" s="272"/>
      <c r="X5" s="184"/>
      <c r="Y5" s="185" t="s">
        <v>427</v>
      </c>
      <c r="Z5" s="255" t="s">
        <v>1114</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6">
        <v>45666</v>
      </c>
      <c r="U6" s="270">
        <v>45666</v>
      </c>
      <c r="V6" s="271"/>
      <c r="W6" s="272"/>
      <c r="X6" s="184"/>
      <c r="Y6" s="185" t="s">
        <v>427</v>
      </c>
      <c r="Z6" s="255" t="s">
        <v>1114</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6">
        <v>45663</v>
      </c>
      <c r="U7" s="270">
        <v>45663</v>
      </c>
      <c r="V7" s="271"/>
      <c r="W7" s="272"/>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6">
        <v>45663</v>
      </c>
      <c r="U8" s="270">
        <v>45663</v>
      </c>
      <c r="V8" s="271"/>
      <c r="W8" s="272"/>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6">
        <v>45663</v>
      </c>
      <c r="U9" s="270">
        <v>45663</v>
      </c>
      <c r="V9" s="271"/>
      <c r="W9" s="272"/>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6">
        <v>45663</v>
      </c>
      <c r="U10" s="273"/>
      <c r="V10" s="271">
        <v>45665</v>
      </c>
      <c r="W10" s="300">
        <v>45673</v>
      </c>
      <c r="X10" s="184"/>
      <c r="Y10" s="185" t="s">
        <v>435</v>
      </c>
      <c r="Z10" s="255" t="s">
        <v>1129</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6">
        <v>45663</v>
      </c>
      <c r="U11" s="273">
        <v>45663</v>
      </c>
      <c r="V11" s="271"/>
      <c r="W11" s="272"/>
      <c r="X11" s="184"/>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56</v>
      </c>
      <c r="Q12" s="285"/>
      <c r="R12" s="285"/>
      <c r="S12" s="285"/>
      <c r="T12" s="286">
        <v>45663</v>
      </c>
      <c r="U12" s="287"/>
      <c r="V12" s="288">
        <v>45665</v>
      </c>
      <c r="W12" s="289">
        <v>45673</v>
      </c>
      <c r="X12" s="290"/>
      <c r="Y12" s="291" t="s">
        <v>435</v>
      </c>
      <c r="Z12" s="255" t="s">
        <v>1128</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6">
        <v>45664</v>
      </c>
      <c r="U13" s="270">
        <v>45664</v>
      </c>
      <c r="V13" s="271"/>
      <c r="W13" s="272"/>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6">
        <v>45664</v>
      </c>
      <c r="U14" s="270">
        <v>45664</v>
      </c>
      <c r="V14" s="271"/>
      <c r="W14" s="272"/>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6">
        <v>45664</v>
      </c>
      <c r="U15" s="270">
        <v>45664</v>
      </c>
      <c r="V15" s="271"/>
      <c r="W15" s="272"/>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6">
        <v>45664</v>
      </c>
      <c r="U16" s="270">
        <v>45664</v>
      </c>
      <c r="V16" s="271"/>
      <c r="W16" s="272"/>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6">
        <v>45664</v>
      </c>
      <c r="U17" s="270">
        <v>45664</v>
      </c>
      <c r="V17" s="271"/>
      <c r="W17" s="272"/>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6">
        <v>45664</v>
      </c>
      <c r="U18" s="270">
        <v>45664</v>
      </c>
      <c r="V18" s="271"/>
      <c r="W18" s="272"/>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6">
        <v>45664</v>
      </c>
      <c r="U19" s="270">
        <v>45664</v>
      </c>
      <c r="V19" s="271"/>
      <c r="W19" s="272"/>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6">
        <v>45664</v>
      </c>
      <c r="U20" s="270">
        <v>45664</v>
      </c>
      <c r="V20" s="271"/>
      <c r="W20" s="272"/>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6">
        <v>45664</v>
      </c>
      <c r="U21" s="270">
        <v>45664</v>
      </c>
      <c r="V21" s="271"/>
      <c r="W21" s="272"/>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6">
        <v>45666</v>
      </c>
      <c r="U22" s="270">
        <v>45666</v>
      </c>
      <c r="V22" s="271"/>
      <c r="W22" s="272"/>
      <c r="X22" s="184"/>
      <c r="Y22" s="185" t="s">
        <v>435</v>
      </c>
      <c r="Z22" s="255" t="s">
        <v>1114</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6">
        <v>45665</v>
      </c>
      <c r="U23" s="270">
        <v>45665</v>
      </c>
      <c r="V23" s="271"/>
      <c r="W23" s="272"/>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6">
        <v>45665</v>
      </c>
      <c r="U24" s="270">
        <v>45665</v>
      </c>
      <c r="V24" s="271"/>
      <c r="W24" s="272"/>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6">
        <v>45665</v>
      </c>
      <c r="U25" s="270">
        <v>45665</v>
      </c>
      <c r="V25" s="271"/>
      <c r="W25" s="272"/>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6">
        <v>45665</v>
      </c>
      <c r="U26" s="270">
        <v>45665</v>
      </c>
      <c r="V26" s="271"/>
      <c r="W26" s="272"/>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6">
        <v>45665</v>
      </c>
      <c r="U27" s="270">
        <v>45665</v>
      </c>
      <c r="V27" s="271"/>
      <c r="W27" s="272"/>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6">
        <v>45665</v>
      </c>
      <c r="U28" s="270">
        <v>45665</v>
      </c>
      <c r="V28" s="271"/>
      <c r="W28" s="272"/>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6">
        <v>45665</v>
      </c>
      <c r="U29" s="270">
        <v>45665</v>
      </c>
      <c r="V29" s="271"/>
      <c r="W29" s="272"/>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6">
        <v>45665</v>
      </c>
      <c r="U30" s="270">
        <v>45665</v>
      </c>
      <c r="V30" s="271"/>
      <c r="W30" s="272"/>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6">
        <v>45665</v>
      </c>
      <c r="U31" s="270">
        <v>45665</v>
      </c>
      <c r="V31" s="271"/>
      <c r="W31" s="272"/>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6">
        <v>45665</v>
      </c>
      <c r="U32" s="270">
        <v>45665</v>
      </c>
      <c r="V32" s="271"/>
      <c r="W32" s="272"/>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6">
        <v>45665</v>
      </c>
      <c r="U33" s="270">
        <v>45665</v>
      </c>
      <c r="V33" s="271"/>
      <c r="W33" s="272"/>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6">
        <v>45665</v>
      </c>
      <c r="U34" s="270">
        <v>45665</v>
      </c>
      <c r="V34" s="276"/>
      <c r="W34" s="272"/>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6">
        <v>45663</v>
      </c>
      <c r="U35" s="274"/>
      <c r="V35" s="277">
        <v>45663</v>
      </c>
      <c r="W35" s="275">
        <v>45673</v>
      </c>
      <c r="X35" s="184"/>
      <c r="Y35" s="185" t="s">
        <v>1112</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6">
        <v>45665</v>
      </c>
      <c r="U36" s="270"/>
      <c r="V36" s="271">
        <v>45665</v>
      </c>
      <c r="W36" s="275">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6">
        <v>45665</v>
      </c>
      <c r="U37" s="270"/>
      <c r="V37" s="271">
        <v>45665</v>
      </c>
      <c r="W37" s="275">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6">
        <v>45665</v>
      </c>
      <c r="U38" s="270"/>
      <c r="V38" s="271">
        <v>45665</v>
      </c>
      <c r="W38" s="275">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6">
        <v>45665</v>
      </c>
      <c r="U39" s="270"/>
      <c r="V39" s="271">
        <v>45665</v>
      </c>
      <c r="W39" s="275">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6">
        <v>45663</v>
      </c>
      <c r="U40" s="270">
        <v>45663</v>
      </c>
      <c r="V40" s="271"/>
      <c r="W40" s="272"/>
      <c r="X40" s="184"/>
      <c r="Y40" s="185" t="s">
        <v>472</v>
      </c>
    </row>
    <row r="41" spans="1:27" ht="11.4" x14ac:dyDescent="0.15">
      <c r="A41" s="309">
        <f t="shared" si="2"/>
        <v>39</v>
      </c>
      <c r="B41" s="310"/>
      <c r="C41" s="310"/>
      <c r="D41" s="310" t="s">
        <v>63</v>
      </c>
      <c r="E41" s="310" t="s">
        <v>473</v>
      </c>
      <c r="F41" s="311"/>
      <c r="G41" s="312" t="s">
        <v>64</v>
      </c>
      <c r="H41" s="313"/>
      <c r="I41" s="314"/>
      <c r="J41" s="314"/>
      <c r="K41" s="315"/>
      <c r="L41" s="313"/>
      <c r="M41" s="314"/>
      <c r="N41" s="314"/>
      <c r="O41" s="316"/>
      <c r="P41" s="316"/>
      <c r="Q41" s="316"/>
      <c r="R41" s="316" t="s">
        <v>61</v>
      </c>
      <c r="S41" s="316"/>
      <c r="T41" s="317">
        <v>45663</v>
      </c>
      <c r="U41" s="318">
        <v>45681</v>
      </c>
      <c r="V41" s="318"/>
      <c r="W41" s="319"/>
      <c r="X41" s="320"/>
      <c r="Y41" s="321" t="s">
        <v>474</v>
      </c>
      <c r="Z41" s="255" t="s">
        <v>1142</v>
      </c>
    </row>
    <row r="42" spans="1:27" ht="11.4" x14ac:dyDescent="0.15">
      <c r="A42" s="309">
        <f t="shared" si="2"/>
        <v>40</v>
      </c>
      <c r="B42" s="310"/>
      <c r="C42" s="310"/>
      <c r="D42" s="310"/>
      <c r="E42" s="310" t="s">
        <v>475</v>
      </c>
      <c r="F42" s="311"/>
      <c r="G42" s="312" t="s">
        <v>64</v>
      </c>
      <c r="H42" s="313"/>
      <c r="I42" s="314"/>
      <c r="J42" s="314"/>
      <c r="K42" s="315"/>
      <c r="L42" s="313"/>
      <c r="M42" s="314"/>
      <c r="N42" s="314"/>
      <c r="O42" s="316"/>
      <c r="P42" s="316"/>
      <c r="Q42" s="316"/>
      <c r="R42" s="316" t="s">
        <v>61</v>
      </c>
      <c r="S42" s="316"/>
      <c r="T42" s="317">
        <v>45663</v>
      </c>
      <c r="U42" s="318">
        <v>45681</v>
      </c>
      <c r="V42" s="318"/>
      <c r="W42" s="319"/>
      <c r="X42" s="320"/>
      <c r="Y42" s="321" t="s">
        <v>476</v>
      </c>
      <c r="Z42" s="255" t="s">
        <v>1142</v>
      </c>
    </row>
    <row r="43" spans="1:27" ht="11.4" x14ac:dyDescent="0.15">
      <c r="A43" s="309">
        <f t="shared" si="2"/>
        <v>41</v>
      </c>
      <c r="B43" s="310"/>
      <c r="C43" s="310"/>
      <c r="D43" s="310"/>
      <c r="E43" s="310" t="s">
        <v>431</v>
      </c>
      <c r="F43" s="311"/>
      <c r="G43" s="312" t="s">
        <v>64</v>
      </c>
      <c r="H43" s="313"/>
      <c r="I43" s="314"/>
      <c r="J43" s="314"/>
      <c r="K43" s="315"/>
      <c r="L43" s="313"/>
      <c r="M43" s="314"/>
      <c r="N43" s="314"/>
      <c r="O43" s="316"/>
      <c r="P43" s="316"/>
      <c r="Q43" s="316"/>
      <c r="R43" s="316" t="s">
        <v>61</v>
      </c>
      <c r="S43" s="316"/>
      <c r="T43" s="317">
        <v>45663</v>
      </c>
      <c r="U43" s="318">
        <v>45681</v>
      </c>
      <c r="V43" s="318"/>
      <c r="W43" s="319"/>
      <c r="X43" s="320"/>
      <c r="Y43" s="321" t="s">
        <v>477</v>
      </c>
      <c r="Z43" s="255" t="s">
        <v>1142</v>
      </c>
      <c r="AA43" s="255"/>
    </row>
    <row r="44" spans="1:27" ht="11.4" x14ac:dyDescent="0.15">
      <c r="A44" s="309">
        <f t="shared" si="2"/>
        <v>42</v>
      </c>
      <c r="B44" s="310"/>
      <c r="C44" s="310"/>
      <c r="D44" s="310"/>
      <c r="E44" s="310" t="s">
        <v>66</v>
      </c>
      <c r="F44" s="311"/>
      <c r="G44" s="312" t="s">
        <v>64</v>
      </c>
      <c r="H44" s="313"/>
      <c r="I44" s="314"/>
      <c r="J44" s="314"/>
      <c r="K44" s="315"/>
      <c r="L44" s="313"/>
      <c r="M44" s="314"/>
      <c r="N44" s="314"/>
      <c r="O44" s="316"/>
      <c r="P44" s="316"/>
      <c r="Q44" s="316"/>
      <c r="R44" s="316" t="s">
        <v>61</v>
      </c>
      <c r="S44" s="316"/>
      <c r="T44" s="317">
        <v>45663</v>
      </c>
      <c r="U44" s="318">
        <v>45681</v>
      </c>
      <c r="V44" s="318"/>
      <c r="W44" s="319"/>
      <c r="X44" s="320"/>
      <c r="Y44" s="321" t="s">
        <v>67</v>
      </c>
      <c r="Z44" s="255" t="s">
        <v>1142</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6">
        <v>45663</v>
      </c>
      <c r="U45" s="273">
        <v>45666</v>
      </c>
      <c r="V45" s="271"/>
      <c r="W45" s="272"/>
      <c r="X45" s="184"/>
      <c r="Y45" s="185" t="s">
        <v>69</v>
      </c>
      <c r="Z45" s="255"/>
    </row>
    <row r="46" spans="1:27" ht="11.4" x14ac:dyDescent="0.15">
      <c r="A46" s="309">
        <f t="shared" si="2"/>
        <v>44</v>
      </c>
      <c r="B46" s="310"/>
      <c r="C46" s="310"/>
      <c r="D46" s="310" t="s">
        <v>72</v>
      </c>
      <c r="E46" s="310" t="s">
        <v>73</v>
      </c>
      <c r="F46" s="311"/>
      <c r="G46" s="312" t="s">
        <v>64</v>
      </c>
      <c r="H46" s="313"/>
      <c r="I46" s="314"/>
      <c r="J46" s="314"/>
      <c r="K46" s="315"/>
      <c r="L46" s="313"/>
      <c r="M46" s="314"/>
      <c r="N46" s="314"/>
      <c r="O46" s="316"/>
      <c r="P46" s="316"/>
      <c r="Q46" s="316"/>
      <c r="R46" s="316" t="s">
        <v>61</v>
      </c>
      <c r="S46" s="316"/>
      <c r="T46" s="317">
        <v>45663</v>
      </c>
      <c r="U46" s="318">
        <v>45681</v>
      </c>
      <c r="V46" s="318"/>
      <c r="W46" s="319"/>
      <c r="X46" s="320"/>
      <c r="Y46" s="321" t="s">
        <v>71</v>
      </c>
      <c r="Z46" s="255" t="s">
        <v>1142</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6">
        <v>45663</v>
      </c>
      <c r="U47" s="270">
        <v>45663</v>
      </c>
      <c r="V47" s="271"/>
      <c r="W47" s="272"/>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6">
        <v>45666</v>
      </c>
      <c r="U48" s="270"/>
      <c r="V48" s="271">
        <v>45666</v>
      </c>
      <c r="W48" s="272">
        <v>45678</v>
      </c>
      <c r="X48" s="184"/>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6">
        <v>45666</v>
      </c>
      <c r="U49" s="270">
        <v>45666</v>
      </c>
      <c r="V49" s="271"/>
      <c r="W49" s="272"/>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6">
        <v>45666</v>
      </c>
      <c r="U50" s="270">
        <v>45666</v>
      </c>
      <c r="V50" s="271"/>
      <c r="W50" s="272"/>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6">
        <v>45663</v>
      </c>
      <c r="U51" s="270">
        <v>45663</v>
      </c>
      <c r="V51" s="271"/>
      <c r="W51" s="272"/>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6">
        <v>45663</v>
      </c>
      <c r="U52" s="270">
        <v>45663</v>
      </c>
      <c r="V52" s="271"/>
      <c r="W52" s="272"/>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6">
        <v>45663</v>
      </c>
      <c r="U53" s="273">
        <v>45663</v>
      </c>
      <c r="V53" s="271"/>
      <c r="W53" s="272"/>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6">
        <v>45663</v>
      </c>
      <c r="U54" s="273"/>
      <c r="V54" s="271">
        <v>45665</v>
      </c>
      <c r="W54" s="299">
        <v>45673</v>
      </c>
      <c r="X54" s="184"/>
      <c r="Y54" s="185" t="s">
        <v>485</v>
      </c>
      <c r="Z54" s="255" t="s">
        <v>1129</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6">
        <v>45663</v>
      </c>
      <c r="U55" s="273">
        <v>45663</v>
      </c>
      <c r="V55" s="271"/>
      <c r="W55" s="272"/>
      <c r="X55" s="184"/>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56</v>
      </c>
      <c r="Q56" s="285"/>
      <c r="R56" s="285"/>
      <c r="S56" s="285"/>
      <c r="T56" s="286">
        <v>45663</v>
      </c>
      <c r="U56" s="287"/>
      <c r="V56" s="288">
        <v>45665</v>
      </c>
      <c r="W56" s="289">
        <v>45673</v>
      </c>
      <c r="X56" s="290"/>
      <c r="Y56" s="291" t="s">
        <v>485</v>
      </c>
      <c r="Z56" s="255" t="s">
        <v>1128</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6">
        <v>45666</v>
      </c>
      <c r="U57" s="270"/>
      <c r="V57" s="297">
        <v>45666</v>
      </c>
      <c r="W57" s="272">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6">
        <v>45666</v>
      </c>
      <c r="U58" s="270"/>
      <c r="V58" s="297">
        <v>45666</v>
      </c>
      <c r="W58" s="272">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6">
        <v>45666</v>
      </c>
      <c r="U59" s="270"/>
      <c r="V59" s="297">
        <v>45666</v>
      </c>
      <c r="W59" s="272">
        <v>45671</v>
      </c>
      <c r="X59" s="184"/>
      <c r="Y59" s="185" t="s">
        <v>1106</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56</v>
      </c>
      <c r="Q60" s="285"/>
      <c r="R60" s="285"/>
      <c r="S60" s="285"/>
      <c r="T60" s="286"/>
      <c r="U60" s="287">
        <v>45663</v>
      </c>
      <c r="V60" s="288"/>
      <c r="W60" s="289"/>
      <c r="X60" s="290"/>
      <c r="Y60" s="291" t="s">
        <v>485</v>
      </c>
      <c r="Z60" s="255" t="s">
        <v>1122</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56</v>
      </c>
      <c r="Q61" s="285"/>
      <c r="R61" s="285"/>
      <c r="S61" s="285"/>
      <c r="T61" s="286"/>
      <c r="U61" s="287">
        <v>45663</v>
      </c>
      <c r="V61" s="288"/>
      <c r="W61" s="289"/>
      <c r="X61" s="290"/>
      <c r="Y61" s="291" t="s">
        <v>485</v>
      </c>
      <c r="Z61" s="255" t="s">
        <v>1122</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56</v>
      </c>
      <c r="Q62" s="285"/>
      <c r="R62" s="285"/>
      <c r="S62" s="285"/>
      <c r="T62" s="286"/>
      <c r="U62" s="287">
        <v>45663</v>
      </c>
      <c r="V62" s="288"/>
      <c r="W62" s="289"/>
      <c r="X62" s="290"/>
      <c r="Y62" s="291" t="s">
        <v>485</v>
      </c>
      <c r="Z62" s="255" t="s">
        <v>1122</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6">
        <v>45664</v>
      </c>
      <c r="U63" s="270">
        <v>45664</v>
      </c>
      <c r="V63" s="271"/>
      <c r="W63" s="272"/>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6">
        <v>45664</v>
      </c>
      <c r="U64" s="270">
        <v>45664</v>
      </c>
      <c r="V64" s="271"/>
      <c r="W64" s="272"/>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6">
        <v>45664</v>
      </c>
      <c r="U65" s="270">
        <v>45664</v>
      </c>
      <c r="V65" s="271"/>
      <c r="W65" s="272"/>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6">
        <v>45664</v>
      </c>
      <c r="U66" s="270">
        <v>45664</v>
      </c>
      <c r="V66" s="271"/>
      <c r="W66" s="272"/>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6">
        <v>45664</v>
      </c>
      <c r="U67" s="270">
        <v>45664</v>
      </c>
      <c r="V67" s="271"/>
      <c r="W67" s="272"/>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6">
        <v>45664</v>
      </c>
      <c r="U68" s="270">
        <v>45664</v>
      </c>
      <c r="V68" s="271"/>
      <c r="W68" s="272"/>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6">
        <v>45664</v>
      </c>
      <c r="U69" s="270">
        <v>45664</v>
      </c>
      <c r="V69" s="271"/>
      <c r="W69" s="272"/>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6">
        <v>45664</v>
      </c>
      <c r="U70" s="270">
        <v>45664</v>
      </c>
      <c r="V70" s="271"/>
      <c r="W70" s="272"/>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6">
        <v>45664</v>
      </c>
      <c r="U71" s="270">
        <v>45664</v>
      </c>
      <c r="V71" s="271"/>
      <c r="W71" s="272"/>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6">
        <v>45666</v>
      </c>
      <c r="U72" s="270">
        <v>45666</v>
      </c>
      <c r="V72" s="271"/>
      <c r="W72" s="272"/>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6">
        <v>45666</v>
      </c>
      <c r="U73" s="270">
        <v>45666</v>
      </c>
      <c r="V73" s="271"/>
      <c r="W73" s="272"/>
      <c r="X73" s="184"/>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56</v>
      </c>
      <c r="Q74" s="285"/>
      <c r="R74" s="285"/>
      <c r="S74" s="285"/>
      <c r="T74" s="286">
        <v>45666</v>
      </c>
      <c r="U74" s="287">
        <v>45666</v>
      </c>
      <c r="V74" s="288"/>
      <c r="W74" s="289"/>
      <c r="X74" s="290"/>
      <c r="Y74" s="291" t="s">
        <v>485</v>
      </c>
      <c r="Z74" s="255" t="s">
        <v>1123</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6">
        <v>45665</v>
      </c>
      <c r="U75" s="270">
        <v>45665</v>
      </c>
      <c r="V75" s="271"/>
      <c r="W75" s="272"/>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6">
        <v>45665</v>
      </c>
      <c r="U76" s="270">
        <v>45665</v>
      </c>
      <c r="V76" s="271"/>
      <c r="W76" s="272"/>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6">
        <v>45665</v>
      </c>
      <c r="U77" s="270">
        <v>45665</v>
      </c>
      <c r="V77" s="271"/>
      <c r="W77" s="272"/>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6">
        <v>45665</v>
      </c>
      <c r="U78" s="270">
        <v>45665</v>
      </c>
      <c r="V78" s="271"/>
      <c r="W78" s="272"/>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6">
        <v>45665</v>
      </c>
      <c r="U79" s="273">
        <v>45665</v>
      </c>
      <c r="V79" s="271"/>
      <c r="W79" s="272"/>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6">
        <v>45665</v>
      </c>
      <c r="U80" s="273">
        <v>45665</v>
      </c>
      <c r="V80" s="271"/>
      <c r="W80" s="272"/>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6">
        <v>45663</v>
      </c>
      <c r="U81" s="273">
        <v>45663</v>
      </c>
      <c r="V81" s="271"/>
      <c r="W81" s="272"/>
      <c r="X81" s="184"/>
      <c r="Y81" s="185" t="s">
        <v>500</v>
      </c>
    </row>
    <row r="82" spans="1:27" ht="11.4" x14ac:dyDescent="0.15">
      <c r="A82" s="309">
        <f t="shared" si="2"/>
        <v>80</v>
      </c>
      <c r="B82" s="310"/>
      <c r="C82" s="310"/>
      <c r="D82" s="310" t="s">
        <v>63</v>
      </c>
      <c r="E82" s="310" t="s">
        <v>501</v>
      </c>
      <c r="F82" s="311"/>
      <c r="G82" s="312" t="s">
        <v>64</v>
      </c>
      <c r="H82" s="313"/>
      <c r="I82" s="314"/>
      <c r="J82" s="314"/>
      <c r="K82" s="315"/>
      <c r="L82" s="313"/>
      <c r="M82" s="314"/>
      <c r="N82" s="314"/>
      <c r="O82" s="316"/>
      <c r="P82" s="316"/>
      <c r="Q82" s="316"/>
      <c r="R82" s="316" t="s">
        <v>61</v>
      </c>
      <c r="S82" s="316"/>
      <c r="T82" s="317">
        <v>45663</v>
      </c>
      <c r="U82" s="318"/>
      <c r="V82" s="323">
        <v>45663</v>
      </c>
      <c r="W82" s="319"/>
      <c r="X82" s="320"/>
      <c r="Y82" s="321" t="s">
        <v>87</v>
      </c>
      <c r="Z82" s="255" t="s">
        <v>1142</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6">
        <v>45663</v>
      </c>
      <c r="U83" s="273">
        <v>45663</v>
      </c>
      <c r="V83" s="271"/>
      <c r="W83" s="272"/>
      <c r="X83" s="184"/>
      <c r="Y83" s="185" t="s">
        <v>69</v>
      </c>
    </row>
    <row r="84" spans="1:27" ht="11.4" x14ac:dyDescent="0.15">
      <c r="A84" s="309">
        <f t="shared" si="2"/>
        <v>82</v>
      </c>
      <c r="B84" s="310"/>
      <c r="C84" s="310"/>
      <c r="D84" s="310"/>
      <c r="E84" s="310" t="s">
        <v>70</v>
      </c>
      <c r="F84" s="311"/>
      <c r="G84" s="312" t="s">
        <v>64</v>
      </c>
      <c r="H84" s="313"/>
      <c r="I84" s="314"/>
      <c r="J84" s="314"/>
      <c r="K84" s="315"/>
      <c r="L84" s="313"/>
      <c r="M84" s="314"/>
      <c r="N84" s="314"/>
      <c r="O84" s="316"/>
      <c r="P84" s="316"/>
      <c r="Q84" s="316"/>
      <c r="R84" s="316" t="s">
        <v>61</v>
      </c>
      <c r="S84" s="316"/>
      <c r="T84" s="317">
        <v>45663</v>
      </c>
      <c r="U84" s="318"/>
      <c r="V84" s="323">
        <v>45663</v>
      </c>
      <c r="W84" s="319"/>
      <c r="X84" s="320"/>
      <c r="Y84" s="321" t="s">
        <v>71</v>
      </c>
      <c r="Z84" s="255" t="s">
        <v>1142</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6">
        <v>45666</v>
      </c>
      <c r="U85" s="273">
        <v>45666</v>
      </c>
      <c r="V85" s="271"/>
      <c r="W85" s="300"/>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6">
        <v>45666</v>
      </c>
      <c r="U86" s="270">
        <v>45666</v>
      </c>
      <c r="V86" s="271"/>
      <c r="W86" s="272"/>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6">
        <v>45666</v>
      </c>
      <c r="U87" s="270">
        <v>45666</v>
      </c>
      <c r="V87" s="271"/>
      <c r="W87" s="272"/>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6">
        <v>45665</v>
      </c>
      <c r="U88" s="270">
        <v>45665</v>
      </c>
      <c r="V88" s="271"/>
      <c r="W88" s="272"/>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6">
        <v>45663</v>
      </c>
      <c r="U89" s="270">
        <v>45663</v>
      </c>
      <c r="V89" s="271"/>
      <c r="W89" s="272"/>
      <c r="X89" s="184"/>
      <c r="Y89" s="185" t="s">
        <v>1113</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6">
        <v>45663</v>
      </c>
      <c r="U90" s="270">
        <v>45663</v>
      </c>
      <c r="V90" s="271"/>
      <c r="W90" s="272"/>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6">
        <v>45663</v>
      </c>
      <c r="U91" s="270">
        <v>45663</v>
      </c>
      <c r="V91" s="271"/>
      <c r="W91" s="272"/>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6">
        <v>45663</v>
      </c>
      <c r="U92" s="270">
        <v>45663</v>
      </c>
      <c r="V92" s="271"/>
      <c r="W92" s="272"/>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6">
        <v>45663</v>
      </c>
      <c r="U93" s="270">
        <v>45663</v>
      </c>
      <c r="V93" s="271"/>
      <c r="W93" s="272"/>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6">
        <v>45663</v>
      </c>
      <c r="U94" s="270">
        <v>45663</v>
      </c>
      <c r="V94" s="271"/>
      <c r="W94" s="272"/>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6">
        <v>45663</v>
      </c>
      <c r="U95" s="270">
        <v>45663</v>
      </c>
      <c r="V95" s="271"/>
      <c r="W95" s="272"/>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6">
        <v>45663</v>
      </c>
      <c r="U96" s="270">
        <v>45663</v>
      </c>
      <c r="V96" s="271"/>
      <c r="W96" s="272"/>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6">
        <v>45663</v>
      </c>
      <c r="U97" s="270">
        <v>45663</v>
      </c>
      <c r="V97" s="271"/>
      <c r="W97" s="272"/>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6">
        <v>45663</v>
      </c>
      <c r="U98" s="270">
        <v>45663</v>
      </c>
      <c r="V98" s="271"/>
      <c r="W98" s="272"/>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6">
        <v>45663</v>
      </c>
      <c r="U99" s="270">
        <v>45663</v>
      </c>
      <c r="V99" s="271"/>
      <c r="W99" s="272"/>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6">
        <v>45663</v>
      </c>
      <c r="U100" s="270">
        <v>45663</v>
      </c>
      <c r="V100" s="271"/>
      <c r="W100" s="272"/>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6">
        <v>45663</v>
      </c>
      <c r="U101" s="270">
        <v>45663</v>
      </c>
      <c r="V101" s="271"/>
      <c r="W101" s="272"/>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6">
        <v>45663</v>
      </c>
      <c r="U102" s="270">
        <v>45663</v>
      </c>
      <c r="V102" s="271"/>
      <c r="W102" s="272"/>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6">
        <v>45663</v>
      </c>
      <c r="U103" s="270">
        <v>45663</v>
      </c>
      <c r="V103" s="271"/>
      <c r="W103" s="272"/>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6">
        <v>45663</v>
      </c>
      <c r="U104" s="270">
        <v>45663</v>
      </c>
      <c r="V104" s="271"/>
      <c r="W104" s="272"/>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6">
        <v>45663</v>
      </c>
      <c r="U105" s="270">
        <v>45663</v>
      </c>
      <c r="V105" s="271"/>
      <c r="W105" s="272"/>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6">
        <v>45663</v>
      </c>
      <c r="U106" s="270">
        <v>45663</v>
      </c>
      <c r="V106" s="271"/>
      <c r="W106" s="272"/>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6">
        <v>45663</v>
      </c>
      <c r="U107" s="273">
        <v>45665</v>
      </c>
      <c r="V107" s="271"/>
      <c r="W107" s="272"/>
      <c r="X107" s="184"/>
      <c r="Y107" s="185" t="str">
        <f>"項目名:"&amp;Z107</f>
        <v>項目名:ＶＦＤ表示名称</v>
      </c>
      <c r="Z107" s="236" t="s">
        <v>1100</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6">
        <v>45663</v>
      </c>
      <c r="U108" s="270">
        <v>45663</v>
      </c>
      <c r="V108" s="271"/>
      <c r="W108" s="272"/>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6">
        <v>45663</v>
      </c>
      <c r="U109" s="270">
        <v>45663</v>
      </c>
      <c r="V109" s="271"/>
      <c r="W109" s="272"/>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6">
        <v>45663</v>
      </c>
      <c r="U110" s="270">
        <v>45663</v>
      </c>
      <c r="V110" s="271"/>
      <c r="W110" s="272"/>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6">
        <v>45663</v>
      </c>
      <c r="U111" s="270">
        <v>45663</v>
      </c>
      <c r="V111" s="271"/>
      <c r="W111" s="272"/>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6">
        <v>45663</v>
      </c>
      <c r="U112" s="270">
        <v>45663</v>
      </c>
      <c r="V112" s="271"/>
      <c r="W112" s="272"/>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6">
        <v>45663</v>
      </c>
      <c r="U113" s="270">
        <v>45663</v>
      </c>
      <c r="V113" s="271"/>
      <c r="W113" s="272"/>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6">
        <v>45663</v>
      </c>
      <c r="U114" s="270">
        <v>45663</v>
      </c>
      <c r="V114" s="271"/>
      <c r="W114" s="272"/>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6">
        <v>45663</v>
      </c>
      <c r="U115" s="270">
        <v>45663</v>
      </c>
      <c r="V115" s="271"/>
      <c r="W115" s="272"/>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6">
        <v>45663</v>
      </c>
      <c r="U116" s="270">
        <v>45663</v>
      </c>
      <c r="V116" s="271"/>
      <c r="W116" s="272"/>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6">
        <v>45663</v>
      </c>
      <c r="U117" s="270">
        <v>45663</v>
      </c>
      <c r="V117" s="271"/>
      <c r="W117" s="272"/>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6">
        <v>45663</v>
      </c>
      <c r="U118" s="270">
        <v>45663</v>
      </c>
      <c r="V118" s="271"/>
      <c r="W118" s="272"/>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6">
        <v>45663</v>
      </c>
      <c r="U119" s="270">
        <v>45663</v>
      </c>
      <c r="V119" s="271"/>
      <c r="W119" s="272"/>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6">
        <v>45663</v>
      </c>
      <c r="U120" s="270">
        <v>45663</v>
      </c>
      <c r="V120" s="271"/>
      <c r="W120" s="272"/>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6">
        <v>45663</v>
      </c>
      <c r="U121" s="270">
        <v>45663</v>
      </c>
      <c r="V121" s="271"/>
      <c r="W121" s="272"/>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6">
        <v>45663</v>
      </c>
      <c r="U122" s="270">
        <v>45663</v>
      </c>
      <c r="V122" s="271"/>
      <c r="W122" s="272"/>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6">
        <v>45663</v>
      </c>
      <c r="U123" s="270">
        <v>45663</v>
      </c>
      <c r="V123" s="271"/>
      <c r="W123" s="272"/>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6">
        <v>45663</v>
      </c>
      <c r="U124" s="270">
        <v>45663</v>
      </c>
      <c r="V124" s="271"/>
      <c r="W124" s="272"/>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6">
        <v>45664</v>
      </c>
      <c r="U125" s="270">
        <v>45664</v>
      </c>
      <c r="V125" s="271"/>
      <c r="W125" s="272"/>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6">
        <v>45664</v>
      </c>
      <c r="U126" s="270">
        <v>45664</v>
      </c>
      <c r="V126" s="271"/>
      <c r="W126" s="272"/>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6">
        <v>45664</v>
      </c>
      <c r="U127" s="270">
        <v>45664</v>
      </c>
      <c r="V127" s="271"/>
      <c r="W127" s="272"/>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6">
        <v>45664</v>
      </c>
      <c r="U128" s="270">
        <v>45664</v>
      </c>
      <c r="V128" s="271"/>
      <c r="W128" s="272"/>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6">
        <v>45664</v>
      </c>
      <c r="U129" s="270">
        <v>45664</v>
      </c>
      <c r="V129" s="271"/>
      <c r="W129" s="272"/>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6">
        <v>45664</v>
      </c>
      <c r="U130" s="270">
        <v>45664</v>
      </c>
      <c r="V130" s="271"/>
      <c r="W130" s="272"/>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6">
        <v>45664</v>
      </c>
      <c r="U131" s="270">
        <v>45664</v>
      </c>
      <c r="V131" s="271"/>
      <c r="W131" s="272"/>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6">
        <v>45664</v>
      </c>
      <c r="U132" s="270">
        <v>45664</v>
      </c>
      <c r="V132" s="271"/>
      <c r="W132" s="272"/>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6">
        <v>45664</v>
      </c>
      <c r="U133" s="270">
        <v>45664</v>
      </c>
      <c r="V133" s="271"/>
      <c r="W133" s="272"/>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6">
        <v>45664</v>
      </c>
      <c r="U134" s="270">
        <v>45664</v>
      </c>
      <c r="V134" s="271"/>
      <c r="W134" s="272"/>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6">
        <v>45664</v>
      </c>
      <c r="U135" s="270">
        <v>45664</v>
      </c>
      <c r="V135" s="271"/>
      <c r="W135" s="272"/>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6">
        <v>45664</v>
      </c>
      <c r="U136" s="270">
        <v>45664</v>
      </c>
      <c r="V136" s="271"/>
      <c r="W136" s="272"/>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6">
        <v>45664</v>
      </c>
      <c r="U137" s="270">
        <v>45664</v>
      </c>
      <c r="V137" s="271"/>
      <c r="W137" s="272"/>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6">
        <v>45664</v>
      </c>
      <c r="U138" s="270">
        <v>45664</v>
      </c>
      <c r="V138" s="271"/>
      <c r="W138" s="272"/>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6">
        <v>45664</v>
      </c>
      <c r="U139" s="270">
        <v>45664</v>
      </c>
      <c r="V139" s="271"/>
      <c r="W139" s="272"/>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6">
        <v>45664</v>
      </c>
      <c r="U140" s="270">
        <v>45664</v>
      </c>
      <c r="V140" s="271"/>
      <c r="W140" s="272"/>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6">
        <v>45664</v>
      </c>
      <c r="U141" s="270">
        <v>45664</v>
      </c>
      <c r="V141" s="271"/>
      <c r="W141" s="272"/>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6">
        <v>45664</v>
      </c>
      <c r="U142" s="270">
        <v>45664</v>
      </c>
      <c r="V142" s="271"/>
      <c r="W142" s="272"/>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6">
        <v>45664</v>
      </c>
      <c r="U143" s="270">
        <v>45664</v>
      </c>
      <c r="V143" s="271"/>
      <c r="W143" s="272"/>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6">
        <v>45664</v>
      </c>
      <c r="U144" s="270">
        <v>45664</v>
      </c>
      <c r="V144" s="271"/>
      <c r="W144" s="272"/>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6">
        <v>45664</v>
      </c>
      <c r="U145" s="270">
        <v>45664</v>
      </c>
      <c r="V145" s="271"/>
      <c r="W145" s="272"/>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6">
        <v>45664</v>
      </c>
      <c r="U146" s="270">
        <v>45664</v>
      </c>
      <c r="V146" s="271"/>
      <c r="W146" s="272"/>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6">
        <v>45664</v>
      </c>
      <c r="U147" s="270">
        <v>45664</v>
      </c>
      <c r="V147" s="271"/>
      <c r="W147" s="272"/>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6">
        <v>45664</v>
      </c>
      <c r="U148" s="270">
        <v>45664</v>
      </c>
      <c r="V148" s="271"/>
      <c r="W148" s="272"/>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6">
        <v>45664</v>
      </c>
      <c r="U149" s="270">
        <v>45664</v>
      </c>
      <c r="V149" s="271"/>
      <c r="W149" s="272"/>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6">
        <v>45664</v>
      </c>
      <c r="U150" s="270">
        <v>45664</v>
      </c>
      <c r="V150" s="271"/>
      <c r="W150" s="272"/>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6">
        <v>45664</v>
      </c>
      <c r="U151" s="270">
        <v>45664</v>
      </c>
      <c r="V151" s="271"/>
      <c r="W151" s="272"/>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6">
        <v>45664</v>
      </c>
      <c r="U152" s="270">
        <v>45664</v>
      </c>
      <c r="V152" s="271"/>
      <c r="W152" s="272"/>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6">
        <v>45664</v>
      </c>
      <c r="U153" s="270">
        <v>45664</v>
      </c>
      <c r="V153" s="271"/>
      <c r="W153" s="272"/>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6">
        <v>45664</v>
      </c>
      <c r="U154" s="270">
        <v>45664</v>
      </c>
      <c r="V154" s="271"/>
      <c r="W154" s="272"/>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6">
        <v>45664</v>
      </c>
      <c r="U155" s="270">
        <v>45664</v>
      </c>
      <c r="V155" s="271"/>
      <c r="W155" s="272"/>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6">
        <v>45664</v>
      </c>
      <c r="U156" s="270">
        <v>45664</v>
      </c>
      <c r="V156" s="271"/>
      <c r="W156" s="272"/>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6">
        <v>45664</v>
      </c>
      <c r="U157" s="270">
        <v>45664</v>
      </c>
      <c r="V157" s="271"/>
      <c r="W157" s="272"/>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6">
        <v>45664</v>
      </c>
      <c r="U158" s="270">
        <v>45664</v>
      </c>
      <c r="V158" s="271"/>
      <c r="W158" s="272"/>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6">
        <v>45664</v>
      </c>
      <c r="U159" s="270">
        <v>45664</v>
      </c>
      <c r="V159" s="271"/>
      <c r="W159" s="272"/>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6">
        <v>45664</v>
      </c>
      <c r="U160" s="270">
        <v>45664</v>
      </c>
      <c r="V160" s="271"/>
      <c r="W160" s="272"/>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6">
        <v>45664</v>
      </c>
      <c r="U161" s="270">
        <v>45664</v>
      </c>
      <c r="V161" s="271"/>
      <c r="W161" s="272"/>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6">
        <v>45664</v>
      </c>
      <c r="U162" s="270">
        <v>45664</v>
      </c>
      <c r="V162" s="271"/>
      <c r="W162" s="272"/>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6">
        <v>45664</v>
      </c>
      <c r="U163" s="270">
        <v>45664</v>
      </c>
      <c r="V163" s="271"/>
      <c r="W163" s="272"/>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6">
        <v>45664</v>
      </c>
      <c r="U164" s="270">
        <v>45664</v>
      </c>
      <c r="V164" s="271"/>
      <c r="W164" s="272"/>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6">
        <v>45664</v>
      </c>
      <c r="U165" s="270">
        <v>45664</v>
      </c>
      <c r="V165" s="271"/>
      <c r="W165" s="272"/>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6">
        <v>45664</v>
      </c>
      <c r="U166" s="270">
        <v>45664</v>
      </c>
      <c r="V166" s="271"/>
      <c r="W166" s="272"/>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6">
        <v>45664</v>
      </c>
      <c r="U167" s="270">
        <v>45664</v>
      </c>
      <c r="V167" s="271"/>
      <c r="W167" s="272"/>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6">
        <v>45664</v>
      </c>
      <c r="U168" s="270">
        <v>45664</v>
      </c>
      <c r="V168" s="271"/>
      <c r="W168" s="272"/>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6">
        <v>45664</v>
      </c>
      <c r="U169" s="270">
        <v>45664</v>
      </c>
      <c r="V169" s="271"/>
      <c r="W169" s="272"/>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6">
        <v>45664</v>
      </c>
      <c r="U170" s="270">
        <v>45664</v>
      </c>
      <c r="V170" s="271"/>
      <c r="W170" s="272"/>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6">
        <v>45664</v>
      </c>
      <c r="U171" s="270">
        <v>45664</v>
      </c>
      <c r="V171" s="271"/>
      <c r="W171" s="272"/>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6">
        <v>45664</v>
      </c>
      <c r="U172" s="270">
        <v>45664</v>
      </c>
      <c r="V172" s="271"/>
      <c r="W172" s="272"/>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6">
        <v>45664</v>
      </c>
      <c r="U173" s="270">
        <v>45664</v>
      </c>
      <c r="V173" s="271"/>
      <c r="W173" s="272"/>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6">
        <v>45664</v>
      </c>
      <c r="U174" s="270">
        <v>45664</v>
      </c>
      <c r="V174" s="271"/>
      <c r="W174" s="272"/>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6">
        <v>45664</v>
      </c>
      <c r="U175" s="270">
        <v>45664</v>
      </c>
      <c r="V175" s="271"/>
      <c r="W175" s="272"/>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6">
        <v>45664</v>
      </c>
      <c r="U176" s="270">
        <v>45664</v>
      </c>
      <c r="V176" s="271"/>
      <c r="W176" s="272"/>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6">
        <v>45664</v>
      </c>
      <c r="U177" s="270">
        <v>45664</v>
      </c>
      <c r="V177" s="271"/>
      <c r="W177" s="272"/>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6">
        <v>45664</v>
      </c>
      <c r="U178" s="270">
        <v>45664</v>
      </c>
      <c r="V178" s="271"/>
      <c r="W178" s="272"/>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6">
        <v>45664</v>
      </c>
      <c r="U179" s="270">
        <v>45664</v>
      </c>
      <c r="V179" s="271"/>
      <c r="W179" s="272"/>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6">
        <v>45664</v>
      </c>
      <c r="U180" s="270">
        <v>45664</v>
      </c>
      <c r="V180" s="271"/>
      <c r="W180" s="272"/>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6">
        <v>45664</v>
      </c>
      <c r="U181" s="270">
        <v>45664</v>
      </c>
      <c r="V181" s="271"/>
      <c r="W181" s="272"/>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6">
        <v>45664</v>
      </c>
      <c r="U182" s="270">
        <v>45664</v>
      </c>
      <c r="V182" s="271"/>
      <c r="W182" s="272"/>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6">
        <v>45664</v>
      </c>
      <c r="U183" s="270">
        <v>45664</v>
      </c>
      <c r="V183" s="271"/>
      <c r="W183" s="272"/>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6">
        <v>45664</v>
      </c>
      <c r="U184" s="270">
        <v>45664</v>
      </c>
      <c r="V184" s="271"/>
      <c r="W184" s="272"/>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6">
        <v>45664</v>
      </c>
      <c r="U185" s="270">
        <v>45664</v>
      </c>
      <c r="V185" s="271"/>
      <c r="W185" s="272"/>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6">
        <v>45664</v>
      </c>
      <c r="U186" s="270">
        <v>45664</v>
      </c>
      <c r="V186" s="271"/>
      <c r="W186" s="272"/>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6">
        <v>45664</v>
      </c>
      <c r="U187" s="270">
        <v>45664</v>
      </c>
      <c r="V187" s="271"/>
      <c r="W187" s="272"/>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6">
        <v>45664</v>
      </c>
      <c r="U188" s="270">
        <v>45664</v>
      </c>
      <c r="V188" s="271"/>
      <c r="W188" s="272"/>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6">
        <v>45664</v>
      </c>
      <c r="U189" s="273"/>
      <c r="V189" s="271">
        <v>45664</v>
      </c>
      <c r="W189" s="272">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6">
        <v>45664</v>
      </c>
      <c r="U190" s="270">
        <v>45664</v>
      </c>
      <c r="V190" s="271"/>
      <c r="W190" s="272"/>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6">
        <v>45664</v>
      </c>
      <c r="U191" s="270">
        <v>45664</v>
      </c>
      <c r="V191" s="271"/>
      <c r="W191" s="272"/>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6">
        <v>45665</v>
      </c>
      <c r="U192" s="270">
        <v>45665</v>
      </c>
      <c r="V192" s="271"/>
      <c r="W192" s="272"/>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6">
        <v>45665</v>
      </c>
      <c r="U193" s="270">
        <v>45665</v>
      </c>
      <c r="V193" s="271"/>
      <c r="W193" s="272"/>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6">
        <v>45665</v>
      </c>
      <c r="U194" s="270">
        <v>45665</v>
      </c>
      <c r="V194" s="271"/>
      <c r="W194" s="272"/>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6">
        <v>45665</v>
      </c>
      <c r="U195" s="270">
        <v>45665</v>
      </c>
      <c r="V195" s="271"/>
      <c r="W195" s="272"/>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6">
        <v>45665</v>
      </c>
      <c r="U196" s="270">
        <v>45665</v>
      </c>
      <c r="V196" s="271"/>
      <c r="W196" s="272"/>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6">
        <v>45665</v>
      </c>
      <c r="U197" s="270">
        <v>45665</v>
      </c>
      <c r="V197" s="271"/>
      <c r="W197" s="272"/>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6">
        <v>45665</v>
      </c>
      <c r="U198" s="270">
        <v>45665</v>
      </c>
      <c r="V198" s="271"/>
      <c r="W198" s="272"/>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6">
        <v>45665</v>
      </c>
      <c r="U199" s="270">
        <v>45665</v>
      </c>
      <c r="V199" s="271"/>
      <c r="W199" s="272"/>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6">
        <v>45665</v>
      </c>
      <c r="U200" s="270">
        <v>45665</v>
      </c>
      <c r="V200" s="271"/>
      <c r="W200" s="272"/>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6">
        <v>45665</v>
      </c>
      <c r="U201" s="270">
        <v>45665</v>
      </c>
      <c r="V201" s="271"/>
      <c r="W201" s="272"/>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6">
        <v>45665</v>
      </c>
      <c r="U202" s="270">
        <v>45665</v>
      </c>
      <c r="V202" s="271"/>
      <c r="W202" s="272"/>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6">
        <v>45665</v>
      </c>
      <c r="U203" s="270">
        <v>45665</v>
      </c>
      <c r="V203" s="271"/>
      <c r="W203" s="272"/>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6">
        <v>45665</v>
      </c>
      <c r="U204" s="270">
        <v>45665</v>
      </c>
      <c r="V204" s="271"/>
      <c r="W204" s="272"/>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6">
        <v>45665</v>
      </c>
      <c r="U205" s="270">
        <v>45665</v>
      </c>
      <c r="V205" s="271"/>
      <c r="W205" s="272"/>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6">
        <v>45665</v>
      </c>
      <c r="U206" s="270">
        <v>45665</v>
      </c>
      <c r="V206" s="271"/>
      <c r="W206" s="272"/>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6">
        <v>45665</v>
      </c>
      <c r="U207" s="270">
        <v>45665</v>
      </c>
      <c r="V207" s="271"/>
      <c r="W207" s="272"/>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6">
        <v>45665</v>
      </c>
      <c r="U208" s="270">
        <v>45665</v>
      </c>
      <c r="V208" s="271"/>
      <c r="W208" s="272"/>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6">
        <v>45665</v>
      </c>
      <c r="U209" s="270">
        <v>45665</v>
      </c>
      <c r="V209" s="271"/>
      <c r="W209" s="272"/>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6">
        <v>45665</v>
      </c>
      <c r="U210" s="270">
        <v>45665</v>
      </c>
      <c r="V210" s="271"/>
      <c r="W210" s="272"/>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6">
        <v>45665</v>
      </c>
      <c r="U211" s="270">
        <v>45665</v>
      </c>
      <c r="V211" s="271"/>
      <c r="W211" s="272"/>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6">
        <v>45665</v>
      </c>
      <c r="U212" s="270">
        <v>45665</v>
      </c>
      <c r="V212" s="271"/>
      <c r="W212" s="272"/>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6">
        <v>45665</v>
      </c>
      <c r="U213" s="270">
        <v>45665</v>
      </c>
      <c r="V213" s="271"/>
      <c r="W213" s="272"/>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6">
        <v>45665</v>
      </c>
      <c r="U214" s="270">
        <v>45665</v>
      </c>
      <c r="V214" s="271"/>
      <c r="W214" s="272"/>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6">
        <v>45665</v>
      </c>
      <c r="U215" s="270">
        <v>45665</v>
      </c>
      <c r="V215" s="271"/>
      <c r="W215" s="272"/>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6">
        <v>45665</v>
      </c>
      <c r="U216" s="270">
        <v>45665</v>
      </c>
      <c r="V216" s="271"/>
      <c r="W216" s="272"/>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6">
        <v>45665</v>
      </c>
      <c r="U217" s="270">
        <v>45665</v>
      </c>
      <c r="V217" s="271"/>
      <c r="W217" s="272"/>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6">
        <v>45665</v>
      </c>
      <c r="U218" s="270">
        <v>45665</v>
      </c>
      <c r="V218" s="271"/>
      <c r="W218" s="272"/>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6">
        <v>45665</v>
      </c>
      <c r="U219" s="270">
        <v>45665</v>
      </c>
      <c r="V219" s="271"/>
      <c r="W219" s="272"/>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6">
        <v>45665</v>
      </c>
      <c r="U220" s="270">
        <v>45665</v>
      </c>
      <c r="V220" s="271"/>
      <c r="W220" s="272"/>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6">
        <v>45665</v>
      </c>
      <c r="U221" s="270">
        <v>45665</v>
      </c>
      <c r="V221" s="271"/>
      <c r="W221" s="272"/>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6">
        <v>45665</v>
      </c>
      <c r="U222" s="270">
        <v>45665</v>
      </c>
      <c r="V222" s="271"/>
      <c r="W222" s="272"/>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6">
        <v>45665</v>
      </c>
      <c r="U223" s="270">
        <v>45665</v>
      </c>
      <c r="V223" s="271"/>
      <c r="W223" s="272"/>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6">
        <v>45665</v>
      </c>
      <c r="U224" s="270">
        <v>45665</v>
      </c>
      <c r="V224" s="271"/>
      <c r="W224" s="272"/>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6">
        <v>45665</v>
      </c>
      <c r="U225" s="270">
        <v>45665</v>
      </c>
      <c r="V225" s="271"/>
      <c r="W225" s="272"/>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6">
        <v>45665</v>
      </c>
      <c r="U226" s="270">
        <v>45665</v>
      </c>
      <c r="V226" s="271"/>
      <c r="W226" s="272"/>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6">
        <v>45665</v>
      </c>
      <c r="U227" s="270">
        <v>45665</v>
      </c>
      <c r="V227" s="271"/>
      <c r="W227" s="272"/>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6">
        <v>45665</v>
      </c>
      <c r="U228" s="270">
        <v>45665</v>
      </c>
      <c r="V228" s="271"/>
      <c r="W228" s="272"/>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6">
        <v>45665</v>
      </c>
      <c r="U229" s="270">
        <v>45665</v>
      </c>
      <c r="V229" s="271"/>
      <c r="W229" s="272"/>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6">
        <v>45665</v>
      </c>
      <c r="U230" s="270">
        <v>45665</v>
      </c>
      <c r="V230" s="271"/>
      <c r="W230" s="272"/>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6">
        <v>45665</v>
      </c>
      <c r="U231" s="270">
        <v>45665</v>
      </c>
      <c r="V231" s="271"/>
      <c r="W231" s="272"/>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6">
        <v>45665</v>
      </c>
      <c r="U232" s="270">
        <v>45665</v>
      </c>
      <c r="V232" s="271"/>
      <c r="W232" s="272"/>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6">
        <v>45665</v>
      </c>
      <c r="U233" s="270">
        <v>45665</v>
      </c>
      <c r="V233" s="271"/>
      <c r="W233" s="272"/>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6">
        <v>45665</v>
      </c>
      <c r="U234" s="270">
        <v>45665</v>
      </c>
      <c r="V234" s="271"/>
      <c r="W234" s="272"/>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6">
        <v>45665</v>
      </c>
      <c r="U235" s="270">
        <v>45665</v>
      </c>
      <c r="V235" s="271"/>
      <c r="W235" s="272"/>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6">
        <v>45665</v>
      </c>
      <c r="U236" s="270">
        <v>45665</v>
      </c>
      <c r="V236" s="271"/>
      <c r="W236" s="272"/>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6">
        <v>45665</v>
      </c>
      <c r="U237" s="270">
        <v>45665</v>
      </c>
      <c r="V237" s="271"/>
      <c r="W237" s="272"/>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6">
        <v>45665</v>
      </c>
      <c r="U238" s="270">
        <v>45665</v>
      </c>
      <c r="V238" s="271"/>
      <c r="W238" s="272"/>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6">
        <v>45665</v>
      </c>
      <c r="U239" s="270">
        <v>45665</v>
      </c>
      <c r="V239" s="271"/>
      <c r="W239" s="272"/>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6">
        <v>45665</v>
      </c>
      <c r="U240" s="270">
        <v>45665</v>
      </c>
      <c r="V240" s="271"/>
      <c r="W240" s="272"/>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6">
        <v>45665</v>
      </c>
      <c r="U241" s="270">
        <v>45665</v>
      </c>
      <c r="V241" s="271"/>
      <c r="W241" s="272"/>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6">
        <v>45665</v>
      </c>
      <c r="U242" s="270">
        <v>45665</v>
      </c>
      <c r="V242" s="271"/>
      <c r="W242" s="272"/>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6">
        <v>45665</v>
      </c>
      <c r="U243" s="270">
        <v>45665</v>
      </c>
      <c r="V243" s="271"/>
      <c r="W243" s="272"/>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6">
        <v>45665</v>
      </c>
      <c r="U244" s="270">
        <v>45665</v>
      </c>
      <c r="V244" s="271"/>
      <c r="W244" s="272"/>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6">
        <v>45665</v>
      </c>
      <c r="U245" s="270">
        <v>45665</v>
      </c>
      <c r="V245" s="271"/>
      <c r="W245" s="272"/>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6">
        <v>45665</v>
      </c>
      <c r="U246" s="273"/>
      <c r="V246" s="271">
        <v>45664</v>
      </c>
      <c r="W246" s="272">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6">
        <v>45665</v>
      </c>
      <c r="U247" s="270">
        <v>45665</v>
      </c>
      <c r="V247" s="271"/>
      <c r="W247" s="272"/>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6">
        <v>45665</v>
      </c>
      <c r="U248" s="270">
        <v>45665</v>
      </c>
      <c r="V248" s="271"/>
      <c r="W248" s="272"/>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6">
        <v>45665</v>
      </c>
      <c r="U249" s="270">
        <v>45665</v>
      </c>
      <c r="V249" s="271"/>
      <c r="W249" s="272"/>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6">
        <v>45665</v>
      </c>
      <c r="U250" s="270">
        <v>45665</v>
      </c>
      <c r="V250" s="271"/>
      <c r="W250" s="272"/>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6">
        <v>45665</v>
      </c>
      <c r="U251" s="270">
        <v>45665</v>
      </c>
      <c r="V251" s="271"/>
      <c r="W251" s="272"/>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6">
        <v>45665</v>
      </c>
      <c r="U252" s="270">
        <v>45665</v>
      </c>
      <c r="V252" s="271"/>
      <c r="W252" s="272"/>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6">
        <v>45665</v>
      </c>
      <c r="U253" s="270">
        <v>45665</v>
      </c>
      <c r="V253" s="271"/>
      <c r="W253" s="272"/>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6">
        <v>45665</v>
      </c>
      <c r="U254" s="270">
        <v>45665</v>
      </c>
      <c r="V254" s="271"/>
      <c r="W254" s="272"/>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6">
        <v>45665</v>
      </c>
      <c r="U255" s="270">
        <v>45665</v>
      </c>
      <c r="V255" s="271"/>
      <c r="W255" s="272"/>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6">
        <v>45665</v>
      </c>
      <c r="U256" s="270">
        <v>45665</v>
      </c>
      <c r="V256" s="271"/>
      <c r="W256" s="272"/>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6">
        <v>45665</v>
      </c>
      <c r="U257" s="270">
        <v>45665</v>
      </c>
      <c r="V257" s="271"/>
      <c r="W257" s="272"/>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6">
        <v>45665</v>
      </c>
      <c r="U258" s="270">
        <v>45665</v>
      </c>
      <c r="V258" s="271"/>
      <c r="W258" s="272"/>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6">
        <v>45665</v>
      </c>
      <c r="U259" s="270">
        <v>45665</v>
      </c>
      <c r="V259" s="271"/>
      <c r="W259" s="272"/>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6">
        <v>45665</v>
      </c>
      <c r="U260" s="270">
        <v>45665</v>
      </c>
      <c r="V260" s="271"/>
      <c r="W260" s="272"/>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6">
        <v>45665</v>
      </c>
      <c r="U261" s="270">
        <v>45665</v>
      </c>
      <c r="V261" s="271"/>
      <c r="W261" s="272"/>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6">
        <v>45665</v>
      </c>
      <c r="U262" s="270">
        <v>45665</v>
      </c>
      <c r="V262" s="271"/>
      <c r="W262" s="272"/>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6">
        <v>45665</v>
      </c>
      <c r="U263" s="270">
        <v>45665</v>
      </c>
      <c r="V263" s="271"/>
      <c r="W263" s="272"/>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6">
        <v>45665</v>
      </c>
      <c r="U264" s="270">
        <v>45665</v>
      </c>
      <c r="V264" s="271"/>
      <c r="W264" s="272"/>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6">
        <v>45665</v>
      </c>
      <c r="U265" s="270">
        <v>45665</v>
      </c>
      <c r="V265" s="271"/>
      <c r="W265" s="272"/>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6">
        <v>45665</v>
      </c>
      <c r="U266" s="270">
        <v>45665</v>
      </c>
      <c r="V266" s="271"/>
      <c r="W266" s="272"/>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6">
        <v>45665</v>
      </c>
      <c r="U267" s="270">
        <v>45665</v>
      </c>
      <c r="V267" s="271"/>
      <c r="W267" s="272"/>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6">
        <v>45665</v>
      </c>
      <c r="U268" s="270">
        <v>45665</v>
      </c>
      <c r="V268" s="271"/>
      <c r="W268" s="272"/>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6">
        <v>45665</v>
      </c>
      <c r="U269" s="270">
        <v>45665</v>
      </c>
      <c r="V269" s="271"/>
      <c r="W269" s="272"/>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6">
        <v>45665</v>
      </c>
      <c r="U270" s="270">
        <v>45665</v>
      </c>
      <c r="V270" s="271"/>
      <c r="W270" s="272"/>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6">
        <v>45665</v>
      </c>
      <c r="U271" s="270">
        <v>45665</v>
      </c>
      <c r="V271" s="271"/>
      <c r="W271" s="272"/>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6">
        <v>45665</v>
      </c>
      <c r="U272" s="270">
        <v>45665</v>
      </c>
      <c r="V272" s="271"/>
      <c r="W272" s="272"/>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6">
        <v>45665</v>
      </c>
      <c r="U273" s="270">
        <v>45665</v>
      </c>
      <c r="V273" s="271"/>
      <c r="W273" s="272"/>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6">
        <v>45665</v>
      </c>
      <c r="U274" s="270">
        <v>45665</v>
      </c>
      <c r="V274" s="271"/>
      <c r="W274" s="272"/>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6">
        <v>45665</v>
      </c>
      <c r="U275" s="270">
        <v>45665</v>
      </c>
      <c r="V275" s="271"/>
      <c r="W275" s="272"/>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6">
        <v>45665</v>
      </c>
      <c r="U276" s="270">
        <v>45665</v>
      </c>
      <c r="V276" s="271"/>
      <c r="W276" s="272"/>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6">
        <v>45665</v>
      </c>
      <c r="U277" s="270">
        <v>45665</v>
      </c>
      <c r="V277" s="271"/>
      <c r="W277" s="272"/>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6">
        <v>45665</v>
      </c>
      <c r="U278" s="270">
        <v>45665</v>
      </c>
      <c r="V278" s="271"/>
      <c r="W278" s="272"/>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6">
        <v>45665</v>
      </c>
      <c r="U279" s="270">
        <v>45665</v>
      </c>
      <c r="V279" s="271"/>
      <c r="W279" s="272"/>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6">
        <v>45665</v>
      </c>
      <c r="U280" s="270">
        <v>45665</v>
      </c>
      <c r="V280" s="271"/>
      <c r="W280" s="272"/>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6">
        <v>45665</v>
      </c>
      <c r="U281" s="270">
        <v>45665</v>
      </c>
      <c r="V281" s="271"/>
      <c r="W281" s="272"/>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6">
        <v>45665</v>
      </c>
      <c r="U282" s="270">
        <v>45665</v>
      </c>
      <c r="V282" s="271"/>
      <c r="W282" s="272"/>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6">
        <v>45665</v>
      </c>
      <c r="U283" s="273"/>
      <c r="V283" s="271">
        <v>45664</v>
      </c>
      <c r="W283" s="272">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6">
        <v>45665</v>
      </c>
      <c r="U284" s="270">
        <v>45665</v>
      </c>
      <c r="V284" s="271"/>
      <c r="W284" s="272"/>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6">
        <v>45665</v>
      </c>
      <c r="U285" s="270">
        <v>45665</v>
      </c>
      <c r="V285" s="271"/>
      <c r="W285" s="272"/>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6">
        <v>45666</v>
      </c>
      <c r="U286" s="270">
        <v>45666</v>
      </c>
      <c r="V286" s="271"/>
      <c r="W286" s="272"/>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6">
        <v>45666</v>
      </c>
      <c r="U287" s="270">
        <v>45666</v>
      </c>
      <c r="V287" s="271"/>
      <c r="W287" s="272"/>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6">
        <v>45666</v>
      </c>
      <c r="U288" s="270">
        <v>45666</v>
      </c>
      <c r="V288" s="271"/>
      <c r="W288" s="272"/>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6">
        <v>45666</v>
      </c>
      <c r="U289" s="270">
        <v>45666</v>
      </c>
      <c r="V289" s="271"/>
      <c r="W289" s="272"/>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6">
        <v>45666</v>
      </c>
      <c r="U290" s="270">
        <v>45666</v>
      </c>
      <c r="V290" s="271"/>
      <c r="W290" s="272"/>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6">
        <v>45666</v>
      </c>
      <c r="U291" s="270">
        <v>45666</v>
      </c>
      <c r="V291" s="271"/>
      <c r="W291" s="272"/>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6">
        <v>45666</v>
      </c>
      <c r="U292" s="270">
        <v>45666</v>
      </c>
      <c r="V292" s="271"/>
      <c r="W292" s="272"/>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6">
        <v>45666</v>
      </c>
      <c r="U293" s="270">
        <v>45666</v>
      </c>
      <c r="V293" s="271"/>
      <c r="W293" s="272"/>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6">
        <v>45666</v>
      </c>
      <c r="U294" s="270">
        <v>45666</v>
      </c>
      <c r="V294" s="271"/>
      <c r="W294" s="272"/>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6">
        <v>45666</v>
      </c>
      <c r="U295" s="270">
        <v>45666</v>
      </c>
      <c r="V295" s="271"/>
      <c r="W295" s="272"/>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6">
        <v>45666</v>
      </c>
      <c r="U296" s="270">
        <v>45666</v>
      </c>
      <c r="V296" s="271"/>
      <c r="W296" s="272"/>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6">
        <v>45666</v>
      </c>
      <c r="U297" s="270">
        <v>45666</v>
      </c>
      <c r="V297" s="271"/>
      <c r="W297" s="272"/>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6">
        <v>45666</v>
      </c>
      <c r="U298" s="270">
        <v>45666</v>
      </c>
      <c r="V298" s="271"/>
      <c r="W298" s="272"/>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6">
        <v>45666</v>
      </c>
      <c r="U299" s="270">
        <v>45666</v>
      </c>
      <c r="V299" s="271"/>
      <c r="W299" s="272"/>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6">
        <v>45666</v>
      </c>
      <c r="U300" s="270">
        <v>45666</v>
      </c>
      <c r="V300" s="271"/>
      <c r="W300" s="272"/>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6">
        <v>45666</v>
      </c>
      <c r="U301" s="270">
        <v>45666</v>
      </c>
      <c r="V301" s="271"/>
      <c r="W301" s="272"/>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56</v>
      </c>
      <c r="N304" s="178"/>
      <c r="O304" s="180"/>
      <c r="P304" s="180"/>
      <c r="Q304" s="180"/>
      <c r="R304" s="180"/>
      <c r="S304" s="180"/>
      <c r="T304" s="266">
        <v>45672</v>
      </c>
      <c r="U304" s="304">
        <v>45673</v>
      </c>
      <c r="V304" s="297"/>
      <c r="W304" s="272"/>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6">
        <v>45672</v>
      </c>
      <c r="U305" s="304"/>
      <c r="V305" s="297">
        <v>45673</v>
      </c>
      <c r="W305" s="272"/>
      <c r="X305" s="184"/>
      <c r="Y305" s="229" t="s">
        <v>1092</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6">
        <v>45672</v>
      </c>
      <c r="U306" s="304"/>
      <c r="V306" s="297">
        <v>45673</v>
      </c>
      <c r="W306" s="272"/>
      <c r="X306" s="184"/>
      <c r="Y306" s="185" t="s">
        <v>562</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56</v>
      </c>
      <c r="N307" s="283"/>
      <c r="O307" s="285"/>
      <c r="P307" s="285"/>
      <c r="Q307" s="285"/>
      <c r="R307" s="285"/>
      <c r="S307" s="285"/>
      <c r="T307" s="286">
        <v>45672</v>
      </c>
      <c r="U307" s="287"/>
      <c r="V307" s="288">
        <v>45679</v>
      </c>
      <c r="W307" s="288">
        <v>45679</v>
      </c>
      <c r="X307" s="290"/>
      <c r="Y307" s="291" t="s">
        <v>334</v>
      </c>
      <c r="Z307" s="255" t="s">
        <v>1136</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56</v>
      </c>
      <c r="S308" s="285"/>
      <c r="T308" s="286">
        <v>45672</v>
      </c>
      <c r="U308" s="287"/>
      <c r="V308" s="288">
        <v>45679</v>
      </c>
      <c r="W308" s="288">
        <v>45679</v>
      </c>
      <c r="X308" s="290"/>
      <c r="Y308" s="296" t="s">
        <v>1092</v>
      </c>
      <c r="Z308" s="255" t="s">
        <v>1137</v>
      </c>
    </row>
    <row r="309" spans="1:26" s="236" customFormat="1" ht="11.4" x14ac:dyDescent="0.15">
      <c r="A309" s="278">
        <f t="shared" si="12"/>
        <v>307</v>
      </c>
      <c r="B309" s="279"/>
      <c r="C309" s="279"/>
      <c r="D309" s="279"/>
      <c r="E309" s="280" t="s">
        <v>566</v>
      </c>
      <c r="F309" s="295"/>
      <c r="G309" s="294" t="s">
        <v>336</v>
      </c>
      <c r="H309" s="282"/>
      <c r="I309" s="283"/>
      <c r="J309" s="283"/>
      <c r="K309" s="284"/>
      <c r="L309" s="282"/>
      <c r="M309" s="283"/>
      <c r="N309" s="283"/>
      <c r="O309" s="285"/>
      <c r="P309" s="285"/>
      <c r="Q309" s="285"/>
      <c r="R309" s="285" t="s">
        <v>56</v>
      </c>
      <c r="S309" s="285"/>
      <c r="T309" s="286">
        <v>45672</v>
      </c>
      <c r="U309" s="287"/>
      <c r="V309" s="288">
        <v>45679</v>
      </c>
      <c r="W309" s="288">
        <v>45679</v>
      </c>
      <c r="X309" s="290"/>
      <c r="Y309" s="291" t="s">
        <v>567</v>
      </c>
      <c r="Z309" s="255" t="s">
        <v>1136</v>
      </c>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56</v>
      </c>
      <c r="S310" s="180"/>
      <c r="T310" s="266">
        <v>45672</v>
      </c>
      <c r="U310" s="270">
        <v>45667</v>
      </c>
      <c r="V310" s="271"/>
      <c r="W310" s="272"/>
      <c r="X310" s="184"/>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6">
        <v>45667</v>
      </c>
      <c r="U311" s="270">
        <v>45667</v>
      </c>
      <c r="V311" s="271"/>
      <c r="W311" s="272"/>
      <c r="X311" s="184"/>
      <c r="Y311" s="185" t="s">
        <v>1121</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56</v>
      </c>
      <c r="S312" s="285"/>
      <c r="T312" s="286">
        <v>45667</v>
      </c>
      <c r="U312" s="287">
        <v>45663</v>
      </c>
      <c r="V312" s="288"/>
      <c r="W312" s="289"/>
      <c r="X312" s="290"/>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56</v>
      </c>
      <c r="S313" s="285"/>
      <c r="T313" s="286">
        <v>45667</v>
      </c>
      <c r="U313" s="287">
        <v>45663</v>
      </c>
      <c r="V313" s="288"/>
      <c r="W313" s="289"/>
      <c r="X313" s="290"/>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56</v>
      </c>
      <c r="S316" s="180"/>
      <c r="T316" s="266">
        <v>45667</v>
      </c>
      <c r="U316" s="270">
        <v>45667</v>
      </c>
      <c r="V316" s="271"/>
      <c r="W316" s="272"/>
      <c r="X316" s="184"/>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6">
        <v>45667</v>
      </c>
      <c r="U317" s="270">
        <v>45667</v>
      </c>
      <c r="V317" s="271"/>
      <c r="W317" s="272"/>
      <c r="X317" s="184"/>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56</v>
      </c>
      <c r="S318" s="180"/>
      <c r="T318" s="266">
        <v>45667</v>
      </c>
      <c r="U318" s="270">
        <v>45667</v>
      </c>
      <c r="V318" s="271"/>
      <c r="W318" s="272"/>
      <c r="X318" s="184"/>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6">
        <v>45667</v>
      </c>
      <c r="U319" s="270">
        <v>45667</v>
      </c>
      <c r="V319" s="271"/>
      <c r="W319" s="272"/>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6">
        <v>45667</v>
      </c>
      <c r="U320" s="270">
        <v>45667</v>
      </c>
      <c r="V320" s="271"/>
      <c r="W320" s="272"/>
      <c r="X320" s="184"/>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6">
        <v>45667</v>
      </c>
      <c r="U321" s="270">
        <v>45667</v>
      </c>
      <c r="V321" s="271"/>
      <c r="W321" s="272"/>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6">
        <v>45667</v>
      </c>
      <c r="U322" s="270">
        <v>45667</v>
      </c>
      <c r="V322" s="271"/>
      <c r="W322" s="272"/>
      <c r="X322" s="184"/>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56</v>
      </c>
      <c r="S323" s="180"/>
      <c r="T323" s="266">
        <v>45667</v>
      </c>
      <c r="U323" s="270">
        <v>45667</v>
      </c>
      <c r="V323" s="271"/>
      <c r="W323" s="272"/>
      <c r="X323" s="184"/>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6">
        <v>45667</v>
      </c>
      <c r="U324" s="270">
        <v>45667</v>
      </c>
      <c r="V324" s="271"/>
      <c r="W324" s="272"/>
      <c r="X324" s="184"/>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56</v>
      </c>
      <c r="S325" s="180"/>
      <c r="T325" s="266">
        <v>45667</v>
      </c>
      <c r="U325" s="270">
        <v>45667</v>
      </c>
      <c r="V325" s="271"/>
      <c r="W325" s="272"/>
      <c r="X325" s="184"/>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6">
        <v>45667</v>
      </c>
      <c r="U326" s="270">
        <v>45667</v>
      </c>
      <c r="V326" s="271"/>
      <c r="W326" s="272"/>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6">
        <v>45667</v>
      </c>
      <c r="U327" s="270">
        <v>45667</v>
      </c>
      <c r="V327" s="271"/>
      <c r="W327" s="272"/>
      <c r="X327" s="184"/>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6">
        <v>45667</v>
      </c>
      <c r="U328" s="270">
        <v>45667</v>
      </c>
      <c r="V328" s="271"/>
      <c r="W328" s="272"/>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6">
        <v>45667</v>
      </c>
      <c r="U329" s="270">
        <v>45667</v>
      </c>
      <c r="V329" s="271"/>
      <c r="W329" s="272"/>
      <c r="X329" s="184"/>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56</v>
      </c>
      <c r="S330" s="180"/>
      <c r="T330" s="266">
        <v>45667</v>
      </c>
      <c r="U330" s="270">
        <v>45667</v>
      </c>
      <c r="V330" s="271"/>
      <c r="W330" s="272"/>
      <c r="X330" s="184"/>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6">
        <v>45667</v>
      </c>
      <c r="U331" s="270">
        <v>45667</v>
      </c>
      <c r="V331" s="271"/>
      <c r="W331" s="272"/>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6">
        <v>45672</v>
      </c>
      <c r="U332" s="273">
        <v>45681</v>
      </c>
      <c r="V332" s="271"/>
      <c r="W332" s="272"/>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6">
        <v>45672</v>
      </c>
      <c r="U333" s="273">
        <v>45684</v>
      </c>
      <c r="V333" s="271"/>
      <c r="W333" s="272"/>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6">
        <v>45672</v>
      </c>
      <c r="U335" s="273">
        <v>45681</v>
      </c>
      <c r="V335" s="271"/>
      <c r="W335" s="272"/>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6">
        <v>45667</v>
      </c>
      <c r="U338" s="270">
        <v>45667</v>
      </c>
      <c r="V338" s="271"/>
      <c r="W338" s="272"/>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6">
        <v>45667</v>
      </c>
      <c r="U339" s="270">
        <v>45667</v>
      </c>
      <c r="V339" s="271"/>
      <c r="W339" s="272"/>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6">
        <v>45667</v>
      </c>
      <c r="U340" s="270">
        <v>45667</v>
      </c>
      <c r="V340" s="271"/>
      <c r="W340" s="272"/>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6">
        <v>45667</v>
      </c>
      <c r="U341" s="270">
        <v>45667</v>
      </c>
      <c r="V341" s="271"/>
      <c r="W341" s="272"/>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6">
        <v>45667</v>
      </c>
      <c r="U342" s="270">
        <v>45667</v>
      </c>
      <c r="V342" s="271"/>
      <c r="W342" s="272"/>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6">
        <v>45667</v>
      </c>
      <c r="U343" s="292">
        <v>45667</v>
      </c>
      <c r="V343" s="271"/>
      <c r="W343" s="272"/>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6">
        <v>45667</v>
      </c>
      <c r="U344" s="292">
        <v>45667</v>
      </c>
      <c r="V344" s="271"/>
      <c r="W344" s="272"/>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6">
        <v>45667</v>
      </c>
      <c r="U345" s="292">
        <v>45667</v>
      </c>
      <c r="V345" s="271"/>
      <c r="W345" s="272"/>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6">
        <v>45667</v>
      </c>
      <c r="U346" s="292">
        <v>45667</v>
      </c>
      <c r="V346" s="271"/>
      <c r="W346" s="272"/>
      <c r="X346" s="184"/>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56</v>
      </c>
      <c r="N347" s="283"/>
      <c r="O347" s="285"/>
      <c r="P347" s="285"/>
      <c r="Q347" s="285"/>
      <c r="R347" s="285"/>
      <c r="S347" s="285"/>
      <c r="T347" s="286">
        <v>45667</v>
      </c>
      <c r="U347" s="298">
        <v>45667</v>
      </c>
      <c r="V347" s="288"/>
      <c r="W347" s="289"/>
      <c r="X347" s="290"/>
      <c r="Y347" s="291" t="s">
        <v>592</v>
      </c>
      <c r="Z347" s="255" t="s">
        <v>1124</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3">
        <v>45666</v>
      </c>
      <c r="U348" s="292">
        <v>45666</v>
      </c>
      <c r="V348" s="271"/>
      <c r="W348" s="272"/>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3">
        <v>45666</v>
      </c>
      <c r="U349" s="292">
        <v>45666</v>
      </c>
      <c r="V349" s="271"/>
      <c r="W349" s="272"/>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3">
        <v>45666</v>
      </c>
      <c r="U350" s="292">
        <v>45666</v>
      </c>
      <c r="V350" s="271"/>
      <c r="W350" s="272"/>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3">
        <v>45666</v>
      </c>
      <c r="U351" s="292">
        <v>45666</v>
      </c>
      <c r="V351" s="271"/>
      <c r="W351" s="272"/>
      <c r="X351" s="184"/>
      <c r="Y351" s="229" t="s">
        <v>1120</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3">
        <v>45666</v>
      </c>
      <c r="U352" s="292">
        <v>45666</v>
      </c>
      <c r="V352" s="271"/>
      <c r="W352" s="272"/>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3">
        <v>45666</v>
      </c>
      <c r="U353" s="292">
        <v>45666</v>
      </c>
      <c r="V353" s="271"/>
      <c r="W353" s="272"/>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3">
        <v>45666</v>
      </c>
      <c r="U354" s="292">
        <v>45666</v>
      </c>
      <c r="V354" s="271"/>
      <c r="W354" s="272"/>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6">
        <v>45667</v>
      </c>
      <c r="U355" s="292">
        <v>45667</v>
      </c>
      <c r="V355" s="271"/>
      <c r="W355" s="272"/>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6">
        <v>45667</v>
      </c>
      <c r="U356" s="270">
        <v>45667</v>
      </c>
      <c r="V356" s="271"/>
      <c r="W356" s="272"/>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6">
        <v>45667</v>
      </c>
      <c r="U357" s="270">
        <v>45667</v>
      </c>
      <c r="V357" s="271"/>
      <c r="W357" s="272"/>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6">
        <v>45667</v>
      </c>
      <c r="U358" s="270">
        <v>45667</v>
      </c>
      <c r="V358" s="271"/>
      <c r="W358" s="272"/>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6">
        <v>45667</v>
      </c>
      <c r="U359" s="270">
        <v>45667</v>
      </c>
      <c r="V359" s="271"/>
      <c r="W359" s="272"/>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6">
        <v>45667</v>
      </c>
      <c r="U360" s="270">
        <v>45667</v>
      </c>
      <c r="V360" s="271"/>
      <c r="W360" s="272"/>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6">
        <v>45667</v>
      </c>
      <c r="U361" s="270">
        <v>45667</v>
      </c>
      <c r="V361" s="271"/>
      <c r="W361" s="272"/>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0"/>
      <c r="U362" s="350" t="s">
        <v>17</v>
      </c>
      <c r="V362" s="350"/>
      <c r="W362" s="351"/>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2"/>
      <c r="V363" s="352"/>
      <c r="W363" s="353"/>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2"/>
      <c r="U364" s="354">
        <f>COUNTA(U3:U361)</f>
        <v>329</v>
      </c>
      <c r="V364" s="356">
        <f>COUNTA(V3:V361)</f>
        <v>23</v>
      </c>
      <c r="W364" s="358">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5"/>
      <c r="V365" s="357"/>
      <c r="W365" s="359"/>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5" zoomScaleNormal="85" zoomScaleSheetLayoutView="85" workbookViewId="0">
      <pane ySplit="2" topLeftCell="A222" activePane="bottomLeft" state="frozen"/>
      <selection activeCell="E7" sqref="E7"/>
      <selection pane="bottomLeft" activeCell="V1" sqref="V1:X1"/>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4" t="s">
        <v>24</v>
      </c>
      <c r="B1" s="336" t="s">
        <v>25</v>
      </c>
      <c r="C1" s="338" t="s">
        <v>26</v>
      </c>
      <c r="D1" s="338" t="s">
        <v>27</v>
      </c>
      <c r="E1" s="338" t="s">
        <v>28</v>
      </c>
      <c r="F1" s="340" t="s">
        <v>29</v>
      </c>
      <c r="G1" s="360" t="s">
        <v>1095</v>
      </c>
      <c r="H1" s="343" t="s">
        <v>30</v>
      </c>
      <c r="I1" s="342" t="s">
        <v>31</v>
      </c>
      <c r="J1" s="342"/>
      <c r="K1" s="342"/>
      <c r="L1" s="345"/>
      <c r="M1" s="346" t="s">
        <v>32</v>
      </c>
      <c r="N1" s="347"/>
      <c r="O1" s="347"/>
      <c r="P1" s="348"/>
      <c r="Q1" s="348"/>
      <c r="R1" s="348"/>
      <c r="S1" s="348"/>
      <c r="T1" s="348"/>
      <c r="U1" s="332" t="s">
        <v>1097</v>
      </c>
      <c r="V1" s="342" t="s">
        <v>33</v>
      </c>
      <c r="W1" s="342"/>
      <c r="X1" s="342"/>
      <c r="Y1" s="332" t="s">
        <v>34</v>
      </c>
      <c r="Z1" s="332" t="s">
        <v>35</v>
      </c>
    </row>
    <row r="2" spans="1:28" s="237" customFormat="1" ht="22.8" x14ac:dyDescent="0.15">
      <c r="A2" s="335"/>
      <c r="B2" s="337"/>
      <c r="C2" s="339"/>
      <c r="D2" s="339"/>
      <c r="E2" s="339"/>
      <c r="F2" s="341"/>
      <c r="G2" s="341"/>
      <c r="H2" s="344"/>
      <c r="I2" s="223" t="s">
        <v>36</v>
      </c>
      <c r="J2" s="224" t="s">
        <v>37</v>
      </c>
      <c r="K2" s="225" t="s">
        <v>38</v>
      </c>
      <c r="L2" s="225" t="s">
        <v>39</v>
      </c>
      <c r="M2" s="226" t="s">
        <v>36</v>
      </c>
      <c r="N2" s="225" t="s">
        <v>40</v>
      </c>
      <c r="O2" s="225" t="s">
        <v>41</v>
      </c>
      <c r="P2" s="225" t="s">
        <v>42</v>
      </c>
      <c r="Q2" s="225" t="s">
        <v>43</v>
      </c>
      <c r="R2" s="225" t="s">
        <v>44</v>
      </c>
      <c r="S2" s="225" t="s">
        <v>45</v>
      </c>
      <c r="T2" s="225" t="s">
        <v>46</v>
      </c>
      <c r="U2" s="344"/>
      <c r="V2" s="223" t="s">
        <v>47</v>
      </c>
      <c r="W2" s="224" t="s">
        <v>48</v>
      </c>
      <c r="X2" s="225" t="s">
        <v>49</v>
      </c>
      <c r="Y2" s="333"/>
      <c r="Z2" s="333"/>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61</v>
      </c>
      <c r="R3" s="180"/>
      <c r="S3" s="180"/>
      <c r="T3" s="180"/>
      <c r="U3" s="266">
        <v>45671</v>
      </c>
      <c r="V3" s="273">
        <v>45671</v>
      </c>
      <c r="W3" s="271"/>
      <c r="X3" s="272"/>
      <c r="Y3" s="184"/>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61</v>
      </c>
      <c r="R4" s="180"/>
      <c r="S4" s="180"/>
      <c r="T4" s="180"/>
      <c r="U4" s="266">
        <v>45671</v>
      </c>
      <c r="V4" s="273">
        <v>45671</v>
      </c>
      <c r="W4" s="271"/>
      <c r="X4" s="272"/>
      <c r="Y4" s="184"/>
      <c r="Z4" s="229" t="s">
        <v>1126</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61</v>
      </c>
      <c r="R5" s="180"/>
      <c r="S5" s="180"/>
      <c r="T5" s="180"/>
      <c r="U5" s="266">
        <v>45671</v>
      </c>
      <c r="V5" s="273">
        <v>45671</v>
      </c>
      <c r="W5" s="271"/>
      <c r="X5" s="272"/>
      <c r="Y5" s="184"/>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61</v>
      </c>
      <c r="R6" s="180"/>
      <c r="S6" s="180"/>
      <c r="T6" s="180"/>
      <c r="U6" s="266">
        <v>45671</v>
      </c>
      <c r="V6" s="270">
        <v>45671</v>
      </c>
      <c r="W6" s="271"/>
      <c r="X6" s="272"/>
      <c r="Y6" s="184"/>
      <c r="Z6" s="229" t="s">
        <v>1126</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56</v>
      </c>
      <c r="R7" s="180"/>
      <c r="S7" s="180"/>
      <c r="T7" s="180"/>
      <c r="U7" s="266">
        <v>45671</v>
      </c>
      <c r="V7" s="270">
        <v>45671</v>
      </c>
      <c r="W7" s="271"/>
      <c r="X7" s="272"/>
      <c r="Y7" s="184"/>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61</v>
      </c>
      <c r="T8" s="180"/>
      <c r="U8" s="266">
        <v>45671</v>
      </c>
      <c r="V8" s="270">
        <v>45671</v>
      </c>
      <c r="W8" s="271"/>
      <c r="X8" s="272"/>
      <c r="Y8" s="184"/>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61</v>
      </c>
      <c r="T9" s="180"/>
      <c r="U9" s="266">
        <v>45671</v>
      </c>
      <c r="V9" s="270">
        <v>45671</v>
      </c>
      <c r="W9" s="271"/>
      <c r="X9" s="272"/>
      <c r="Y9" s="184"/>
      <c r="Z9" s="185" t="s">
        <v>626</v>
      </c>
    </row>
    <row r="10" spans="1:28" ht="11.4" x14ac:dyDescent="0.15">
      <c r="A10" s="309">
        <f t="shared" si="1"/>
        <v>8</v>
      </c>
      <c r="B10" s="310"/>
      <c r="C10" s="310"/>
      <c r="D10" s="310"/>
      <c r="E10" s="310" t="s">
        <v>627</v>
      </c>
      <c r="F10" s="311"/>
      <c r="G10" s="322"/>
      <c r="H10" s="312" t="s">
        <v>64</v>
      </c>
      <c r="I10" s="313"/>
      <c r="J10" s="314"/>
      <c r="K10" s="314"/>
      <c r="L10" s="315"/>
      <c r="M10" s="313"/>
      <c r="N10" s="314"/>
      <c r="O10" s="314"/>
      <c r="P10" s="316"/>
      <c r="Q10" s="316"/>
      <c r="R10" s="316"/>
      <c r="S10" s="316" t="s">
        <v>61</v>
      </c>
      <c r="T10" s="316"/>
      <c r="U10" s="317">
        <v>45671</v>
      </c>
      <c r="V10" s="318">
        <v>45681</v>
      </c>
      <c r="W10" s="323"/>
      <c r="X10" s="319"/>
      <c r="Y10" s="320"/>
      <c r="Z10" s="321" t="s">
        <v>628</v>
      </c>
      <c r="AA10" s="255" t="s">
        <v>1142</v>
      </c>
    </row>
    <row r="11" spans="1:28" ht="11.4" x14ac:dyDescent="0.15">
      <c r="A11" s="309">
        <f t="shared" si="1"/>
        <v>9</v>
      </c>
      <c r="B11" s="310"/>
      <c r="C11" s="310"/>
      <c r="D11" s="310"/>
      <c r="E11" s="310" t="s">
        <v>629</v>
      </c>
      <c r="F11" s="311"/>
      <c r="G11" s="322"/>
      <c r="H11" s="312" t="s">
        <v>64</v>
      </c>
      <c r="I11" s="313"/>
      <c r="J11" s="314"/>
      <c r="K11" s="314"/>
      <c r="L11" s="315"/>
      <c r="M11" s="313"/>
      <c r="N11" s="314"/>
      <c r="O11" s="314"/>
      <c r="P11" s="316"/>
      <c r="Q11" s="316"/>
      <c r="R11" s="316"/>
      <c r="S11" s="316" t="s">
        <v>61</v>
      </c>
      <c r="T11" s="316"/>
      <c r="U11" s="317">
        <v>45671</v>
      </c>
      <c r="V11" s="318">
        <v>45681</v>
      </c>
      <c r="W11" s="323"/>
      <c r="X11" s="319"/>
      <c r="Y11" s="320"/>
      <c r="Z11" s="321" t="s">
        <v>630</v>
      </c>
      <c r="AA11" s="255" t="s">
        <v>1142</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61</v>
      </c>
      <c r="T12" s="180"/>
      <c r="U12" s="266">
        <v>45671</v>
      </c>
      <c r="V12" s="273"/>
      <c r="W12" s="271">
        <v>45671</v>
      </c>
      <c r="X12" s="272">
        <v>45680</v>
      </c>
      <c r="Y12" s="184"/>
      <c r="Z12" s="185" t="s">
        <v>632</v>
      </c>
      <c r="AA12" s="236" t="s">
        <v>65</v>
      </c>
      <c r="AB12" s="255" t="s">
        <v>1127</v>
      </c>
    </row>
    <row r="13" spans="1:28" ht="11.4" x14ac:dyDescent="0.15">
      <c r="A13" s="309">
        <f t="shared" si="1"/>
        <v>11</v>
      </c>
      <c r="B13" s="310"/>
      <c r="C13" s="310"/>
      <c r="D13" s="310"/>
      <c r="E13" s="310" t="s">
        <v>633</v>
      </c>
      <c r="F13" s="311"/>
      <c r="G13" s="322"/>
      <c r="H13" s="312" t="s">
        <v>64</v>
      </c>
      <c r="I13" s="313"/>
      <c r="J13" s="314"/>
      <c r="K13" s="314"/>
      <c r="L13" s="315"/>
      <c r="M13" s="313"/>
      <c r="N13" s="314"/>
      <c r="O13" s="314"/>
      <c r="P13" s="316"/>
      <c r="Q13" s="316"/>
      <c r="R13" s="316"/>
      <c r="S13" s="316" t="s">
        <v>61</v>
      </c>
      <c r="T13" s="316"/>
      <c r="U13" s="317">
        <v>45671</v>
      </c>
      <c r="V13" s="318">
        <v>45681</v>
      </c>
      <c r="W13" s="323"/>
      <c r="X13" s="319"/>
      <c r="Y13" s="320"/>
      <c r="Z13" s="321" t="s">
        <v>634</v>
      </c>
      <c r="AA13" s="255" t="s">
        <v>1142</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56</v>
      </c>
      <c r="Q14" s="180"/>
      <c r="R14" s="180"/>
      <c r="S14" s="180"/>
      <c r="T14" s="180"/>
      <c r="U14" s="266">
        <v>45671</v>
      </c>
      <c r="V14" s="270">
        <v>45671</v>
      </c>
      <c r="W14" s="271"/>
      <c r="X14" s="272"/>
      <c r="Y14" s="184"/>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56</v>
      </c>
      <c r="Q15" s="180"/>
      <c r="R15" s="180"/>
      <c r="S15" s="180"/>
      <c r="T15" s="180"/>
      <c r="U15" s="266">
        <v>45671</v>
      </c>
      <c r="V15" s="270">
        <v>45671</v>
      </c>
      <c r="W15" s="271"/>
      <c r="X15" s="272"/>
      <c r="Y15" s="184"/>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56</v>
      </c>
      <c r="Q16" s="180"/>
      <c r="R16" s="180"/>
      <c r="S16" s="180"/>
      <c r="T16" s="180"/>
      <c r="U16" s="266">
        <v>45671</v>
      </c>
      <c r="V16" s="270">
        <v>45671</v>
      </c>
      <c r="W16" s="271"/>
      <c r="X16" s="272"/>
      <c r="Y16" s="184"/>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56</v>
      </c>
      <c r="R17" s="180"/>
      <c r="S17" s="180"/>
      <c r="T17" s="180"/>
      <c r="U17" s="266">
        <v>45671</v>
      </c>
      <c r="V17" s="270">
        <v>45671</v>
      </c>
      <c r="W17" s="271"/>
      <c r="X17" s="272"/>
      <c r="Y17" s="184"/>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61</v>
      </c>
      <c r="T18" s="180"/>
      <c r="U18" s="266">
        <v>45671</v>
      </c>
      <c r="V18" s="270">
        <v>45671</v>
      </c>
      <c r="W18" s="271"/>
      <c r="X18" s="272"/>
      <c r="Y18" s="184"/>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61</v>
      </c>
      <c r="T19" s="180"/>
      <c r="U19" s="266">
        <v>45671</v>
      </c>
      <c r="V19" s="270">
        <v>45671</v>
      </c>
      <c r="W19" s="271"/>
      <c r="X19" s="272"/>
      <c r="Y19" s="184"/>
      <c r="Z19" s="185" t="s">
        <v>644</v>
      </c>
      <c r="AA19" s="236" t="s">
        <v>65</v>
      </c>
    </row>
    <row r="20" spans="1:27" ht="11.4" x14ac:dyDescent="0.15">
      <c r="A20" s="309">
        <f t="shared" si="1"/>
        <v>18</v>
      </c>
      <c r="B20" s="310"/>
      <c r="C20" s="310"/>
      <c r="D20" s="310"/>
      <c r="E20" s="310" t="s">
        <v>629</v>
      </c>
      <c r="F20" s="311"/>
      <c r="G20" s="322"/>
      <c r="H20" s="312" t="s">
        <v>64</v>
      </c>
      <c r="I20" s="313"/>
      <c r="J20" s="314"/>
      <c r="K20" s="314"/>
      <c r="L20" s="315"/>
      <c r="M20" s="313"/>
      <c r="N20" s="314"/>
      <c r="O20" s="314"/>
      <c r="P20" s="316"/>
      <c r="Q20" s="316"/>
      <c r="R20" s="316"/>
      <c r="S20" s="316" t="s">
        <v>61</v>
      </c>
      <c r="T20" s="316"/>
      <c r="U20" s="317">
        <v>45671</v>
      </c>
      <c r="V20" s="318">
        <v>45681</v>
      </c>
      <c r="W20" s="323"/>
      <c r="X20" s="319"/>
      <c r="Y20" s="320"/>
      <c r="Z20" s="321" t="s">
        <v>645</v>
      </c>
      <c r="AA20" s="255" t="s">
        <v>1142</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56</v>
      </c>
      <c r="Q21" s="180"/>
      <c r="R21" s="180"/>
      <c r="S21" s="180"/>
      <c r="T21" s="180"/>
      <c r="U21" s="266">
        <v>45671</v>
      </c>
      <c r="V21" s="270">
        <v>45671</v>
      </c>
      <c r="W21" s="271"/>
      <c r="X21" s="272"/>
      <c r="Y21" s="184"/>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56</v>
      </c>
      <c r="Q22" s="180"/>
      <c r="R22" s="180"/>
      <c r="S22" s="180"/>
      <c r="T22" s="180"/>
      <c r="U22" s="266">
        <v>45671</v>
      </c>
      <c r="V22" s="270">
        <v>45671</v>
      </c>
      <c r="W22" s="271"/>
      <c r="X22" s="272"/>
      <c r="Y22" s="184"/>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56</v>
      </c>
      <c r="Q23" s="180"/>
      <c r="R23" s="180"/>
      <c r="S23" s="180"/>
      <c r="T23" s="180"/>
      <c r="U23" s="266">
        <v>45671</v>
      </c>
      <c r="V23" s="270">
        <v>45671</v>
      </c>
      <c r="W23" s="271"/>
      <c r="X23" s="272"/>
      <c r="Y23" s="184"/>
      <c r="Z23" s="185" t="s">
        <v>1125</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61</v>
      </c>
      <c r="R24" s="180"/>
      <c r="S24" s="180"/>
      <c r="T24" s="180"/>
      <c r="U24" s="266">
        <v>45671</v>
      </c>
      <c r="V24" s="270">
        <v>45671</v>
      </c>
      <c r="W24" s="271"/>
      <c r="X24" s="272"/>
      <c r="Y24" s="184"/>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61</v>
      </c>
      <c r="R25" s="180"/>
      <c r="S25" s="180"/>
      <c r="T25" s="180"/>
      <c r="U25" s="266">
        <v>45671</v>
      </c>
      <c r="V25" s="270">
        <v>45671</v>
      </c>
      <c r="W25" s="271"/>
      <c r="X25" s="272"/>
      <c r="Y25" s="184"/>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61</v>
      </c>
      <c r="R26" s="180"/>
      <c r="S26" s="180"/>
      <c r="T26" s="180"/>
      <c r="U26" s="266">
        <v>45671</v>
      </c>
      <c r="V26" s="270">
        <v>45671</v>
      </c>
      <c r="W26" s="271"/>
      <c r="X26" s="272"/>
      <c r="Y26" s="184"/>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61</v>
      </c>
      <c r="R27" s="180"/>
      <c r="S27" s="180"/>
      <c r="T27" s="180"/>
      <c r="U27" s="266">
        <v>45671</v>
      </c>
      <c r="V27" s="270">
        <v>45671</v>
      </c>
      <c r="W27" s="271"/>
      <c r="X27" s="272"/>
      <c r="Y27" s="184"/>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61</v>
      </c>
      <c r="R28" s="180"/>
      <c r="S28" s="180"/>
      <c r="T28" s="180"/>
      <c r="U28" s="266">
        <v>45671</v>
      </c>
      <c r="V28" s="270">
        <v>45671</v>
      </c>
      <c r="W28" s="271"/>
      <c r="X28" s="272"/>
      <c r="Y28" s="184"/>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61</v>
      </c>
      <c r="R29" s="180"/>
      <c r="S29" s="180"/>
      <c r="T29" s="180"/>
      <c r="U29" s="266">
        <v>45671</v>
      </c>
      <c r="V29" s="270">
        <v>45671</v>
      </c>
      <c r="W29" s="271"/>
      <c r="X29" s="272"/>
      <c r="Y29" s="184"/>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61</v>
      </c>
      <c r="R30" s="180"/>
      <c r="S30" s="180"/>
      <c r="T30" s="180"/>
      <c r="U30" s="266">
        <v>45671</v>
      </c>
      <c r="V30" s="270">
        <v>45671</v>
      </c>
      <c r="W30" s="271"/>
      <c r="X30" s="272"/>
      <c r="Y30" s="184"/>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61</v>
      </c>
      <c r="R31" s="180"/>
      <c r="S31" s="180"/>
      <c r="T31" s="180"/>
      <c r="U31" s="266">
        <v>45671</v>
      </c>
      <c r="V31" s="270">
        <v>45671</v>
      </c>
      <c r="W31" s="271"/>
      <c r="X31" s="272"/>
      <c r="Y31" s="184"/>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61</v>
      </c>
      <c r="R32" s="180"/>
      <c r="S32" s="180"/>
      <c r="T32" s="180"/>
      <c r="U32" s="266">
        <v>45671</v>
      </c>
      <c r="V32" s="270">
        <v>45678</v>
      </c>
      <c r="W32" s="271"/>
      <c r="X32" s="272"/>
      <c r="Y32" s="184"/>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61</v>
      </c>
      <c r="R33" s="180"/>
      <c r="S33" s="180"/>
      <c r="T33" s="180"/>
      <c r="U33" s="266">
        <v>45671</v>
      </c>
      <c r="V33" s="304"/>
      <c r="W33" s="271"/>
      <c r="X33" s="272"/>
      <c r="Y33" s="184"/>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61</v>
      </c>
      <c r="R34" s="180"/>
      <c r="S34" s="180"/>
      <c r="T34" s="180"/>
      <c r="U34" s="266">
        <v>45671</v>
      </c>
      <c r="V34" s="273">
        <v>45681</v>
      </c>
      <c r="W34" s="271"/>
      <c r="X34" s="272"/>
      <c r="Y34" s="184"/>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61</v>
      </c>
      <c r="U35" s="266">
        <v>45671</v>
      </c>
      <c r="V35" s="270">
        <v>45671</v>
      </c>
      <c r="W35" s="271"/>
      <c r="X35" s="272"/>
      <c r="Y35" s="184"/>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61</v>
      </c>
      <c r="S36" s="180"/>
      <c r="T36" s="180"/>
      <c r="U36" s="305"/>
      <c r="V36" s="273">
        <v>45678</v>
      </c>
      <c r="W36" s="297"/>
      <c r="X36" s="300"/>
      <c r="Y36" s="306"/>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61</v>
      </c>
      <c r="S39" s="180"/>
      <c r="T39" s="180"/>
      <c r="U39" s="305"/>
      <c r="V39" s="273"/>
      <c r="W39" s="297">
        <v>45681</v>
      </c>
      <c r="X39" s="300"/>
      <c r="Y39" s="306"/>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61</v>
      </c>
      <c r="S40" s="180"/>
      <c r="T40" s="180"/>
      <c r="U40" s="305"/>
      <c r="V40" s="273">
        <v>45681</v>
      </c>
      <c r="W40" s="297"/>
      <c r="X40" s="300"/>
      <c r="Y40" s="306"/>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61</v>
      </c>
      <c r="S41" s="180"/>
      <c r="T41" s="180"/>
      <c r="U41" s="305"/>
      <c r="V41" s="273"/>
      <c r="W41" s="297">
        <v>45681</v>
      </c>
      <c r="X41" s="300"/>
      <c r="Y41" s="306"/>
      <c r="Z41" s="185" t="s">
        <v>677</v>
      </c>
      <c r="AA41" s="255" t="s">
        <v>1140</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61</v>
      </c>
      <c r="S42" s="180"/>
      <c r="T42" s="180"/>
      <c r="U42" s="305"/>
      <c r="V42" s="273">
        <v>45678</v>
      </c>
      <c r="W42" s="297"/>
      <c r="X42" s="300"/>
      <c r="Y42" s="306"/>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61</v>
      </c>
      <c r="S43" s="180"/>
      <c r="T43" s="180"/>
      <c r="U43" s="305"/>
      <c r="V43" s="273">
        <v>45678</v>
      </c>
      <c r="W43" s="297"/>
      <c r="X43" s="300"/>
      <c r="Y43" s="306"/>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61</v>
      </c>
      <c r="S44" s="180"/>
      <c r="T44" s="180"/>
      <c r="U44" s="305"/>
      <c r="V44" s="273">
        <v>45678</v>
      </c>
      <c r="W44" s="297"/>
      <c r="X44" s="300"/>
      <c r="Y44" s="306"/>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61</v>
      </c>
      <c r="S45" s="180"/>
      <c r="T45" s="180"/>
      <c r="U45" s="305"/>
      <c r="V45" s="273">
        <v>45678</v>
      </c>
      <c r="W45" s="297"/>
      <c r="X45" s="300"/>
      <c r="Y45" s="306"/>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61</v>
      </c>
      <c r="S46" s="180"/>
      <c r="T46" s="180"/>
      <c r="U46" s="305"/>
      <c r="V46" s="273">
        <v>45678</v>
      </c>
      <c r="W46" s="297"/>
      <c r="X46" s="300"/>
      <c r="Y46" s="306"/>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61</v>
      </c>
      <c r="S47" s="180"/>
      <c r="T47" s="180"/>
      <c r="U47" s="305"/>
      <c r="V47" s="273">
        <v>45678</v>
      </c>
      <c r="W47" s="297"/>
      <c r="X47" s="300"/>
      <c r="Y47" s="306"/>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61</v>
      </c>
      <c r="S48" s="180"/>
      <c r="T48" s="180"/>
      <c r="U48" s="305"/>
      <c r="V48" s="273">
        <v>45678</v>
      </c>
      <c r="W48" s="297"/>
      <c r="X48" s="300"/>
      <c r="Y48" s="306"/>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61</v>
      </c>
      <c r="S49" s="180"/>
      <c r="T49" s="180"/>
      <c r="U49" s="305"/>
      <c r="V49" s="273">
        <v>45678</v>
      </c>
      <c r="W49" s="297"/>
      <c r="X49" s="300"/>
      <c r="Y49" s="306"/>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61</v>
      </c>
      <c r="S50" s="180"/>
      <c r="T50" s="180"/>
      <c r="U50" s="305"/>
      <c r="V50" s="273">
        <v>45678</v>
      </c>
      <c r="W50" s="297"/>
      <c r="X50" s="300"/>
      <c r="Y50" s="306"/>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61</v>
      </c>
      <c r="S51" s="180"/>
      <c r="T51" s="180"/>
      <c r="U51" s="305"/>
      <c r="V51" s="273">
        <v>45678</v>
      </c>
      <c r="W51" s="297"/>
      <c r="X51" s="300"/>
      <c r="Y51" s="306"/>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61</v>
      </c>
      <c r="S52" s="180"/>
      <c r="T52" s="180"/>
      <c r="U52" s="305"/>
      <c r="V52" s="273">
        <v>45678</v>
      </c>
      <c r="W52" s="297"/>
      <c r="X52" s="300"/>
      <c r="Y52" s="306"/>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61</v>
      </c>
      <c r="S53" s="180"/>
      <c r="T53" s="180"/>
      <c r="U53" s="305"/>
      <c r="V53" s="273">
        <v>45678</v>
      </c>
      <c r="W53" s="297"/>
      <c r="X53" s="300"/>
      <c r="Y53" s="306"/>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61</v>
      </c>
      <c r="S54" s="180"/>
      <c r="T54" s="180"/>
      <c r="U54" s="305"/>
      <c r="V54" s="273">
        <v>45678</v>
      </c>
      <c r="W54" s="297"/>
      <c r="X54" s="300"/>
      <c r="Y54" s="306"/>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61</v>
      </c>
      <c r="S55" s="180"/>
      <c r="T55" s="180"/>
      <c r="U55" s="305"/>
      <c r="V55" s="273">
        <v>45678</v>
      </c>
      <c r="W55" s="297"/>
      <c r="X55" s="300"/>
      <c r="Y55" s="306"/>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61</v>
      </c>
      <c r="S56" s="180"/>
      <c r="T56" s="180"/>
      <c r="U56" s="305"/>
      <c r="V56" s="273">
        <v>45678</v>
      </c>
      <c r="W56" s="297"/>
      <c r="X56" s="300"/>
      <c r="Y56" s="306"/>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61</v>
      </c>
      <c r="S57" s="180"/>
      <c r="T57" s="180"/>
      <c r="U57" s="305"/>
      <c r="V57" s="273">
        <v>45678</v>
      </c>
      <c r="W57" s="297"/>
      <c r="X57" s="300"/>
      <c r="Y57" s="306"/>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61</v>
      </c>
      <c r="S58" s="180"/>
      <c r="T58" s="180"/>
      <c r="U58" s="305"/>
      <c r="V58" s="273">
        <v>45679</v>
      </c>
      <c r="W58" s="297"/>
      <c r="X58" s="300"/>
      <c r="Y58" s="306"/>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61</v>
      </c>
      <c r="S59" s="180"/>
      <c r="T59" s="180"/>
      <c r="U59" s="305"/>
      <c r="V59" s="273">
        <v>45678</v>
      </c>
      <c r="W59" s="297"/>
      <c r="X59" s="300"/>
      <c r="Y59" s="306"/>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61</v>
      </c>
      <c r="S60" s="180"/>
      <c r="T60" s="180"/>
      <c r="U60" s="305"/>
      <c r="V60" s="273">
        <v>45679</v>
      </c>
      <c r="W60" s="297"/>
      <c r="X60" s="300"/>
      <c r="Y60" s="306"/>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61</v>
      </c>
      <c r="S61" s="180"/>
      <c r="T61" s="180"/>
      <c r="U61" s="305"/>
      <c r="V61" s="273">
        <v>45679</v>
      </c>
      <c r="W61" s="297"/>
      <c r="X61" s="300"/>
      <c r="Y61" s="306"/>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61</v>
      </c>
      <c r="S62" s="180"/>
      <c r="T62" s="180"/>
      <c r="U62" s="305"/>
      <c r="V62" s="273">
        <v>45680</v>
      </c>
      <c r="W62" s="297"/>
      <c r="X62" s="300"/>
      <c r="Y62" s="306"/>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61</v>
      </c>
      <c r="S63" s="285"/>
      <c r="T63" s="285"/>
      <c r="U63" s="286"/>
      <c r="V63" s="287">
        <v>45681</v>
      </c>
      <c r="W63" s="288"/>
      <c r="X63" s="289"/>
      <c r="Y63" s="290"/>
      <c r="Z63" s="291" t="s">
        <v>677</v>
      </c>
      <c r="AA63" s="255" t="s">
        <v>1145</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61</v>
      </c>
      <c r="S64" s="180"/>
      <c r="T64" s="180"/>
      <c r="U64" s="305"/>
      <c r="V64" s="273">
        <v>45679</v>
      </c>
      <c r="W64" s="297"/>
      <c r="X64" s="300"/>
      <c r="Y64" s="306"/>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61</v>
      </c>
      <c r="S65" s="180"/>
      <c r="T65" s="180"/>
      <c r="U65" s="305"/>
      <c r="V65" s="273">
        <v>45679</v>
      </c>
      <c r="W65" s="297"/>
      <c r="X65" s="300"/>
      <c r="Y65" s="306"/>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61</v>
      </c>
      <c r="S66" s="180"/>
      <c r="T66" s="180"/>
      <c r="U66" s="305"/>
      <c r="V66" s="273">
        <v>45679</v>
      </c>
      <c r="W66" s="297"/>
      <c r="X66" s="300"/>
      <c r="Y66" s="306"/>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61</v>
      </c>
      <c r="S67" s="285"/>
      <c r="T67" s="285"/>
      <c r="U67" s="286"/>
      <c r="V67" s="287">
        <v>45679</v>
      </c>
      <c r="W67" s="288"/>
      <c r="X67" s="289"/>
      <c r="Y67" s="290"/>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61</v>
      </c>
      <c r="S68" s="180"/>
      <c r="T68" s="180"/>
      <c r="U68" s="305"/>
      <c r="V68" s="273">
        <v>45679</v>
      </c>
      <c r="W68" s="297"/>
      <c r="X68" s="300"/>
      <c r="Y68" s="306"/>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61</v>
      </c>
      <c r="S69" s="180"/>
      <c r="T69" s="180"/>
      <c r="U69" s="305"/>
      <c r="V69" s="273">
        <v>45679</v>
      </c>
      <c r="W69" s="297"/>
      <c r="X69" s="300"/>
      <c r="Y69" s="306"/>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61</v>
      </c>
      <c r="S70" s="180"/>
      <c r="T70" s="180"/>
      <c r="U70" s="305"/>
      <c r="V70" s="273">
        <v>45679</v>
      </c>
      <c r="W70" s="297"/>
      <c r="X70" s="300"/>
      <c r="Y70" s="306"/>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61</v>
      </c>
      <c r="S71" s="180"/>
      <c r="T71" s="180"/>
      <c r="U71" s="305"/>
      <c r="V71" s="273">
        <v>45679</v>
      </c>
      <c r="W71" s="297"/>
      <c r="X71" s="300"/>
      <c r="Y71" s="306"/>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61</v>
      </c>
      <c r="S72" s="180"/>
      <c r="T72" s="180"/>
      <c r="U72" s="305"/>
      <c r="V72" s="273">
        <v>45679</v>
      </c>
      <c r="W72" s="297"/>
      <c r="X72" s="300"/>
      <c r="Y72" s="306"/>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61</v>
      </c>
      <c r="S74" s="180"/>
      <c r="T74" s="180"/>
      <c r="U74" s="305"/>
      <c r="V74" s="273"/>
      <c r="W74" s="297">
        <v>45679</v>
      </c>
      <c r="X74" s="300">
        <v>45681</v>
      </c>
      <c r="Y74" s="306"/>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61</v>
      </c>
      <c r="S76" s="180"/>
      <c r="T76" s="180"/>
      <c r="U76" s="305"/>
      <c r="V76" s="273">
        <v>45679</v>
      </c>
      <c r="W76" s="297"/>
      <c r="X76" s="300"/>
      <c r="Y76" s="306"/>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61</v>
      </c>
      <c r="S77" s="180"/>
      <c r="T77" s="180"/>
      <c r="U77" s="305"/>
      <c r="V77" s="273">
        <v>45678</v>
      </c>
      <c r="W77" s="297"/>
      <c r="X77" s="300"/>
      <c r="Y77" s="306"/>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61</v>
      </c>
      <c r="S78" s="180"/>
      <c r="T78" s="180"/>
      <c r="U78" s="305"/>
      <c r="V78" s="273"/>
      <c r="W78" s="297">
        <v>45678</v>
      </c>
      <c r="X78" s="300">
        <v>45681</v>
      </c>
      <c r="Y78" s="306"/>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61</v>
      </c>
      <c r="S79" s="180"/>
      <c r="T79" s="180"/>
      <c r="U79" s="305"/>
      <c r="V79" s="273"/>
      <c r="W79" s="297">
        <v>45678</v>
      </c>
      <c r="X79" s="300">
        <v>45681</v>
      </c>
      <c r="Y79" s="306"/>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61</v>
      </c>
      <c r="S80" s="180"/>
      <c r="T80" s="180"/>
      <c r="U80" s="305"/>
      <c r="V80" s="273"/>
      <c r="W80" s="297">
        <v>45678</v>
      </c>
      <c r="X80" s="300">
        <v>45681</v>
      </c>
      <c r="Y80" s="306"/>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61</v>
      </c>
      <c r="S81" s="180"/>
      <c r="T81" s="180"/>
      <c r="U81" s="305"/>
      <c r="V81" s="273">
        <v>45684</v>
      </c>
      <c r="W81" s="297"/>
      <c r="X81" s="300"/>
      <c r="Y81" s="306"/>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61</v>
      </c>
      <c r="S82" s="180"/>
      <c r="T82" s="180"/>
      <c r="U82" s="305"/>
      <c r="V82" s="304"/>
      <c r="W82" s="297"/>
      <c r="X82" s="300"/>
      <c r="Y82" s="306"/>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61</v>
      </c>
      <c r="S83" s="180"/>
      <c r="T83" s="180"/>
      <c r="U83" s="305"/>
      <c r="V83" s="273">
        <v>45684</v>
      </c>
      <c r="W83" s="297"/>
      <c r="X83" s="300"/>
      <c r="Y83" s="306"/>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273"/>
      <c r="W85" s="297"/>
      <c r="X85" s="300"/>
      <c r="Y85" s="306"/>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61</v>
      </c>
      <c r="S86" s="180"/>
      <c r="T86" s="180"/>
      <c r="U86" s="305"/>
      <c r="V86" s="273"/>
      <c r="W86" s="297"/>
      <c r="X86" s="300"/>
      <c r="Y86" s="306"/>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61</v>
      </c>
      <c r="S87" s="285"/>
      <c r="T87" s="285"/>
      <c r="U87" s="286"/>
      <c r="V87" s="287">
        <v>45679</v>
      </c>
      <c r="W87" s="288"/>
      <c r="X87" s="289"/>
      <c r="Y87" s="290"/>
      <c r="Z87" s="291" t="s">
        <v>677</v>
      </c>
      <c r="AA87" s="255" t="s">
        <v>1134</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61</v>
      </c>
      <c r="S88" s="285"/>
      <c r="T88" s="285"/>
      <c r="U88" s="286"/>
      <c r="V88" s="287">
        <v>45679</v>
      </c>
      <c r="W88" s="288"/>
      <c r="X88" s="289"/>
      <c r="Y88" s="290"/>
      <c r="Z88" s="291" t="s">
        <v>677</v>
      </c>
      <c r="AA88" s="255" t="s">
        <v>1134</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61</v>
      </c>
      <c r="S89" s="285"/>
      <c r="T89" s="285"/>
      <c r="U89" s="286"/>
      <c r="V89" s="287">
        <v>45679</v>
      </c>
      <c r="W89" s="288"/>
      <c r="X89" s="289"/>
      <c r="Y89" s="290"/>
      <c r="Z89" s="291" t="s">
        <v>677</v>
      </c>
      <c r="AA89" s="255" t="s">
        <v>1134</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61</v>
      </c>
      <c r="S90" s="285"/>
      <c r="T90" s="285"/>
      <c r="U90" s="286"/>
      <c r="V90" s="287">
        <v>45679</v>
      </c>
      <c r="W90" s="288"/>
      <c r="X90" s="289"/>
      <c r="Y90" s="290"/>
      <c r="Z90" s="291" t="s">
        <v>677</v>
      </c>
      <c r="AA90" s="255" t="s">
        <v>1134</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61</v>
      </c>
      <c r="S91" s="180"/>
      <c r="T91" s="180"/>
      <c r="U91" s="305"/>
      <c r="V91" s="273">
        <v>45680</v>
      </c>
      <c r="W91" s="297"/>
      <c r="X91" s="300"/>
      <c r="Y91" s="306"/>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61</v>
      </c>
      <c r="S92" s="180"/>
      <c r="T92" s="180"/>
      <c r="U92" s="305"/>
      <c r="V92" s="273">
        <v>45680</v>
      </c>
      <c r="W92" s="297"/>
      <c r="X92" s="300"/>
      <c r="Y92" s="306"/>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61</v>
      </c>
      <c r="S93" s="180"/>
      <c r="T93" s="180"/>
      <c r="U93" s="305"/>
      <c r="V93" s="273">
        <v>45680</v>
      </c>
      <c r="W93" s="297"/>
      <c r="X93" s="300"/>
      <c r="Y93" s="306"/>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61</v>
      </c>
      <c r="S94" s="180"/>
      <c r="T94" s="180"/>
      <c r="U94" s="305"/>
      <c r="V94" s="273">
        <v>45680</v>
      </c>
      <c r="W94" s="297"/>
      <c r="X94" s="300"/>
      <c r="Y94" s="306"/>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61</v>
      </c>
      <c r="S95" s="180"/>
      <c r="T95" s="180"/>
      <c r="U95" s="305"/>
      <c r="V95" s="273">
        <v>45680</v>
      </c>
      <c r="W95" s="297"/>
      <c r="X95" s="300"/>
      <c r="Y95" s="306"/>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61</v>
      </c>
      <c r="S96" s="180"/>
      <c r="T96" s="180"/>
      <c r="U96" s="305"/>
      <c r="V96" s="273">
        <v>45681</v>
      </c>
      <c r="W96" s="297"/>
      <c r="X96" s="300"/>
      <c r="Y96" s="306"/>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61</v>
      </c>
      <c r="S97" s="285"/>
      <c r="T97" s="285"/>
      <c r="U97" s="286"/>
      <c r="V97" s="287">
        <v>45678</v>
      </c>
      <c r="W97" s="288"/>
      <c r="X97" s="289"/>
      <c r="Y97" s="290"/>
      <c r="Z97" s="291" t="s">
        <v>677</v>
      </c>
      <c r="AA97" s="255" t="s">
        <v>1135</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61</v>
      </c>
      <c r="S98" s="285"/>
      <c r="T98" s="285"/>
      <c r="U98" s="286"/>
      <c r="V98" s="287">
        <v>45678</v>
      </c>
      <c r="W98" s="288"/>
      <c r="X98" s="289"/>
      <c r="Y98" s="290"/>
      <c r="Z98" s="291" t="s">
        <v>677</v>
      </c>
      <c r="AA98" s="255" t="s">
        <v>1135</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61</v>
      </c>
      <c r="S99" s="285"/>
      <c r="T99" s="285"/>
      <c r="U99" s="286"/>
      <c r="V99" s="287">
        <v>45678</v>
      </c>
      <c r="W99" s="288"/>
      <c r="X99" s="289"/>
      <c r="Y99" s="290"/>
      <c r="Z99" s="291" t="s">
        <v>677</v>
      </c>
      <c r="AA99" s="255" t="s">
        <v>1135</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61</v>
      </c>
      <c r="S100" s="285"/>
      <c r="T100" s="285"/>
      <c r="U100" s="286"/>
      <c r="V100" s="287">
        <v>45678</v>
      </c>
      <c r="W100" s="288"/>
      <c r="X100" s="289"/>
      <c r="Y100" s="290"/>
      <c r="Z100" s="291" t="s">
        <v>677</v>
      </c>
      <c r="AA100" s="255" t="s">
        <v>1135</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61</v>
      </c>
      <c r="S101" s="285"/>
      <c r="T101" s="285"/>
      <c r="U101" s="286"/>
      <c r="V101" s="287">
        <v>45678</v>
      </c>
      <c r="W101" s="288"/>
      <c r="X101" s="289"/>
      <c r="Y101" s="290"/>
      <c r="Z101" s="291" t="s">
        <v>677</v>
      </c>
      <c r="AA101" s="255" t="s">
        <v>1135</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61</v>
      </c>
      <c r="S102" s="285"/>
      <c r="T102" s="285"/>
      <c r="U102" s="286"/>
      <c r="V102" s="287">
        <v>45678</v>
      </c>
      <c r="W102" s="288"/>
      <c r="X102" s="289"/>
      <c r="Y102" s="290"/>
      <c r="Z102" s="291" t="s">
        <v>677</v>
      </c>
      <c r="AA102" s="255" t="s">
        <v>1135</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61</v>
      </c>
      <c r="S103" s="285"/>
      <c r="T103" s="285"/>
      <c r="U103" s="286"/>
      <c r="V103" s="287">
        <v>45678</v>
      </c>
      <c r="W103" s="288"/>
      <c r="X103" s="289"/>
      <c r="Y103" s="290"/>
      <c r="Z103" s="291" t="s">
        <v>677</v>
      </c>
      <c r="AA103" s="255" t="s">
        <v>1135</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61</v>
      </c>
      <c r="S104" s="285"/>
      <c r="T104" s="285"/>
      <c r="U104" s="286"/>
      <c r="V104" s="287">
        <v>45678</v>
      </c>
      <c r="W104" s="288"/>
      <c r="X104" s="289"/>
      <c r="Y104" s="290"/>
      <c r="Z104" s="291" t="s">
        <v>677</v>
      </c>
      <c r="AA104" s="255" t="s">
        <v>1135</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61</v>
      </c>
      <c r="S105" s="285"/>
      <c r="T105" s="285"/>
      <c r="U105" s="286"/>
      <c r="V105" s="287">
        <v>45679</v>
      </c>
      <c r="W105" s="288"/>
      <c r="X105" s="289"/>
      <c r="Y105" s="290"/>
      <c r="Z105" s="291" t="s">
        <v>677</v>
      </c>
      <c r="AA105" s="255" t="s">
        <v>1132</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61</v>
      </c>
      <c r="S106" s="285"/>
      <c r="T106" s="285"/>
      <c r="U106" s="286"/>
      <c r="V106" s="287">
        <v>45681</v>
      </c>
      <c r="W106" s="288"/>
      <c r="X106" s="289"/>
      <c r="Y106" s="290"/>
      <c r="Z106" s="291" t="s">
        <v>677</v>
      </c>
      <c r="AA106" s="255" t="s">
        <v>1139</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61</v>
      </c>
      <c r="S107" s="285"/>
      <c r="T107" s="285"/>
      <c r="U107" s="286"/>
      <c r="V107" s="287">
        <v>45681</v>
      </c>
      <c r="W107" s="288"/>
      <c r="X107" s="289"/>
      <c r="Y107" s="290"/>
      <c r="Z107" s="291" t="s">
        <v>677</v>
      </c>
      <c r="AA107" s="255" t="s">
        <v>1139</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61</v>
      </c>
      <c r="S108" s="285"/>
      <c r="T108" s="285"/>
      <c r="U108" s="286"/>
      <c r="V108" s="287">
        <v>45681</v>
      </c>
      <c r="W108" s="288"/>
      <c r="X108" s="289"/>
      <c r="Y108" s="290"/>
      <c r="Z108" s="291" t="s">
        <v>677</v>
      </c>
      <c r="AA108" s="255" t="s">
        <v>1139</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61</v>
      </c>
      <c r="S109" s="285"/>
      <c r="T109" s="285"/>
      <c r="U109" s="286"/>
      <c r="V109" s="287">
        <v>45681</v>
      </c>
      <c r="W109" s="288"/>
      <c r="X109" s="289"/>
      <c r="Y109" s="290"/>
      <c r="Z109" s="291" t="s">
        <v>677</v>
      </c>
      <c r="AA109" s="255" t="s">
        <v>1139</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61</v>
      </c>
      <c r="S110" s="285"/>
      <c r="T110" s="285"/>
      <c r="U110" s="286"/>
      <c r="V110" s="287">
        <v>45681</v>
      </c>
      <c r="W110" s="288"/>
      <c r="X110" s="289"/>
      <c r="Y110" s="290"/>
      <c r="Z110" s="291" t="s">
        <v>677</v>
      </c>
      <c r="AA110" s="255" t="s">
        <v>1139</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61</v>
      </c>
      <c r="S111" s="285"/>
      <c r="T111" s="285"/>
      <c r="U111" s="286"/>
      <c r="V111" s="287">
        <v>45679</v>
      </c>
      <c r="W111" s="288"/>
      <c r="X111" s="289"/>
      <c r="Y111" s="290"/>
      <c r="Z111" s="291" t="s">
        <v>677</v>
      </c>
      <c r="AA111" s="255" t="s">
        <v>1133</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61</v>
      </c>
      <c r="S112" s="180"/>
      <c r="T112" s="180"/>
      <c r="U112" s="305"/>
      <c r="V112" s="273">
        <v>45678</v>
      </c>
      <c r="W112" s="297"/>
      <c r="X112" s="300"/>
      <c r="Y112" s="306"/>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61</v>
      </c>
      <c r="S113" s="180"/>
      <c r="T113" s="180"/>
      <c r="U113" s="305"/>
      <c r="V113" s="273">
        <v>45678</v>
      </c>
      <c r="W113" s="297"/>
      <c r="X113" s="300"/>
      <c r="Y113" s="306"/>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61</v>
      </c>
      <c r="S114" s="180"/>
      <c r="T114" s="180"/>
      <c r="U114" s="305"/>
      <c r="V114" s="273">
        <v>45678</v>
      </c>
      <c r="W114" s="297"/>
      <c r="X114" s="300"/>
      <c r="Y114" s="306"/>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61</v>
      </c>
      <c r="S115" s="180"/>
      <c r="T115" s="180"/>
      <c r="U115" s="305"/>
      <c r="V115" s="273">
        <v>45678</v>
      </c>
      <c r="W115" s="297"/>
      <c r="X115" s="300"/>
      <c r="Y115" s="306"/>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61</v>
      </c>
      <c r="S116" s="180"/>
      <c r="T116" s="180"/>
      <c r="U116" s="305"/>
      <c r="V116" s="273">
        <v>45678</v>
      </c>
      <c r="W116" s="297"/>
      <c r="X116" s="300"/>
      <c r="Y116" s="306"/>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61</v>
      </c>
      <c r="S117" s="180"/>
      <c r="T117" s="180"/>
      <c r="U117" s="305"/>
      <c r="V117" s="273">
        <v>45678</v>
      </c>
      <c r="W117" s="297"/>
      <c r="X117" s="300"/>
      <c r="Y117" s="306"/>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61</v>
      </c>
      <c r="S118" s="180"/>
      <c r="T118" s="180"/>
      <c r="U118" s="305"/>
      <c r="V118" s="273">
        <v>45678</v>
      </c>
      <c r="W118" s="297"/>
      <c r="X118" s="300"/>
      <c r="Y118" s="306"/>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61</v>
      </c>
      <c r="S119" s="180"/>
      <c r="T119" s="180"/>
      <c r="U119" s="305"/>
      <c r="V119" s="273">
        <v>45678</v>
      </c>
      <c r="W119" s="297"/>
      <c r="X119" s="300"/>
      <c r="Y119" s="306"/>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61</v>
      </c>
      <c r="S120" s="180"/>
      <c r="T120" s="180"/>
      <c r="U120" s="305"/>
      <c r="V120" s="273">
        <v>45678</v>
      </c>
      <c r="W120" s="297"/>
      <c r="X120" s="300"/>
      <c r="Y120" s="306"/>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61</v>
      </c>
      <c r="S121" s="180"/>
      <c r="T121" s="180"/>
      <c r="U121" s="305"/>
      <c r="V121" s="273">
        <v>45678</v>
      </c>
      <c r="W121" s="297"/>
      <c r="X121" s="300"/>
      <c r="Y121" s="306"/>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61</v>
      </c>
      <c r="S122" s="180"/>
      <c r="T122" s="180"/>
      <c r="U122" s="305"/>
      <c r="V122" s="273">
        <v>45678</v>
      </c>
      <c r="W122" s="297"/>
      <c r="X122" s="300"/>
      <c r="Y122" s="306"/>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61</v>
      </c>
      <c r="S123" s="180"/>
      <c r="T123" s="180"/>
      <c r="U123" s="305"/>
      <c r="V123" s="273">
        <v>45678</v>
      </c>
      <c r="W123" s="297"/>
      <c r="X123" s="300"/>
      <c r="Y123" s="306"/>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61</v>
      </c>
      <c r="S124" s="180"/>
      <c r="T124" s="180"/>
      <c r="U124" s="305"/>
      <c r="V124" s="273">
        <v>45678</v>
      </c>
      <c r="W124" s="297"/>
      <c r="X124" s="300"/>
      <c r="Y124" s="306"/>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61</v>
      </c>
      <c r="S125" s="180"/>
      <c r="T125" s="180"/>
      <c r="U125" s="305"/>
      <c r="V125" s="273">
        <v>45678</v>
      </c>
      <c r="W125" s="297"/>
      <c r="X125" s="300"/>
      <c r="Y125" s="306"/>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61</v>
      </c>
      <c r="S126" s="180"/>
      <c r="T126" s="180"/>
      <c r="U126" s="305"/>
      <c r="V126" s="273">
        <v>45678</v>
      </c>
      <c r="W126" s="297"/>
      <c r="X126" s="300"/>
      <c r="Y126" s="306"/>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61</v>
      </c>
      <c r="S127" s="180"/>
      <c r="T127" s="180"/>
      <c r="U127" s="305"/>
      <c r="V127" s="273">
        <v>45679</v>
      </c>
      <c r="W127" s="297"/>
      <c r="X127" s="300"/>
      <c r="Y127" s="306"/>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61</v>
      </c>
      <c r="S128" s="180"/>
      <c r="T128" s="180"/>
      <c r="U128" s="305"/>
      <c r="V128" s="273">
        <v>45678</v>
      </c>
      <c r="W128" s="297"/>
      <c r="X128" s="300"/>
      <c r="Y128" s="306"/>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61</v>
      </c>
      <c r="S129" s="180"/>
      <c r="T129" s="180"/>
      <c r="U129" s="305"/>
      <c r="V129" s="273">
        <v>45679</v>
      </c>
      <c r="W129" s="297"/>
      <c r="X129" s="300"/>
      <c r="Y129" s="306"/>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61</v>
      </c>
      <c r="S130" s="180"/>
      <c r="T130" s="180"/>
      <c r="U130" s="305"/>
      <c r="V130" s="273">
        <v>45679</v>
      </c>
      <c r="W130" s="297"/>
      <c r="X130" s="300"/>
      <c r="Y130" s="306"/>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61</v>
      </c>
      <c r="S131" s="180"/>
      <c r="T131" s="180"/>
      <c r="U131" s="305"/>
      <c r="V131" s="273">
        <v>45680</v>
      </c>
      <c r="W131" s="297"/>
      <c r="X131" s="300"/>
      <c r="Y131" s="306"/>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61</v>
      </c>
      <c r="S132" s="285"/>
      <c r="T132" s="285"/>
      <c r="U132" s="286"/>
      <c r="V132" s="287">
        <v>45681</v>
      </c>
      <c r="W132" s="288"/>
      <c r="X132" s="289"/>
      <c r="Y132" s="290"/>
      <c r="Z132" s="291" t="s">
        <v>677</v>
      </c>
      <c r="AA132" s="255" t="s">
        <v>1145</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61</v>
      </c>
      <c r="S133" s="180"/>
      <c r="T133" s="180"/>
      <c r="U133" s="305"/>
      <c r="V133" s="273">
        <v>45679</v>
      </c>
      <c r="W133" s="297"/>
      <c r="X133" s="300"/>
      <c r="Y133" s="306"/>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61</v>
      </c>
      <c r="S134" s="180"/>
      <c r="T134" s="180"/>
      <c r="U134" s="305"/>
      <c r="V134" s="273">
        <v>45679</v>
      </c>
      <c r="W134" s="297"/>
      <c r="X134" s="300"/>
      <c r="Y134" s="306"/>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61</v>
      </c>
      <c r="S135" s="180"/>
      <c r="T135" s="180"/>
      <c r="U135" s="305"/>
      <c r="V135" s="273">
        <v>45679</v>
      </c>
      <c r="W135" s="297"/>
      <c r="X135" s="300"/>
      <c r="Y135" s="306"/>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61</v>
      </c>
      <c r="S136" s="285"/>
      <c r="T136" s="285"/>
      <c r="U136" s="286"/>
      <c r="V136" s="287">
        <v>45679</v>
      </c>
      <c r="W136" s="288"/>
      <c r="X136" s="289"/>
      <c r="Y136" s="290"/>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61</v>
      </c>
      <c r="S137" s="180"/>
      <c r="T137" s="180"/>
      <c r="U137" s="305"/>
      <c r="V137" s="273">
        <v>45679</v>
      </c>
      <c r="W137" s="297"/>
      <c r="X137" s="300"/>
      <c r="Y137" s="306"/>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61</v>
      </c>
      <c r="S138" s="180"/>
      <c r="T138" s="180"/>
      <c r="U138" s="305"/>
      <c r="V138" s="273">
        <v>45679</v>
      </c>
      <c r="W138" s="297"/>
      <c r="X138" s="300"/>
      <c r="Y138" s="306"/>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61</v>
      </c>
      <c r="S139" s="180"/>
      <c r="T139" s="180"/>
      <c r="U139" s="305"/>
      <c r="V139" s="273">
        <v>45679</v>
      </c>
      <c r="W139" s="297"/>
      <c r="X139" s="300"/>
      <c r="Y139" s="306"/>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61</v>
      </c>
      <c r="S140" s="180"/>
      <c r="T140" s="180"/>
      <c r="U140" s="305"/>
      <c r="V140" s="273">
        <v>45679</v>
      </c>
      <c r="W140" s="297"/>
      <c r="X140" s="300"/>
      <c r="Y140" s="306"/>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61</v>
      </c>
      <c r="S141" s="180"/>
      <c r="T141" s="180"/>
      <c r="U141" s="305"/>
      <c r="V141" s="273">
        <v>45679</v>
      </c>
      <c r="W141" s="297"/>
      <c r="X141" s="300"/>
      <c r="Y141" s="306"/>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61</v>
      </c>
      <c r="S143" s="180"/>
      <c r="T143" s="180"/>
      <c r="U143" s="305"/>
      <c r="V143" s="273"/>
      <c r="W143" s="297">
        <v>45679</v>
      </c>
      <c r="X143" s="300">
        <v>45681</v>
      </c>
      <c r="Y143" s="306"/>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61</v>
      </c>
      <c r="S145" s="180"/>
      <c r="T145" s="180"/>
      <c r="U145" s="305"/>
      <c r="V145" s="273">
        <v>45679</v>
      </c>
      <c r="W145" s="297"/>
      <c r="X145" s="300"/>
      <c r="Y145" s="306"/>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61</v>
      </c>
      <c r="S146" s="180"/>
      <c r="T146" s="180"/>
      <c r="U146" s="305"/>
      <c r="V146" s="297">
        <v>45679</v>
      </c>
      <c r="W146" s="297"/>
      <c r="X146" s="300"/>
      <c r="Y146" s="306"/>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61</v>
      </c>
      <c r="S147" s="285"/>
      <c r="T147" s="285"/>
      <c r="U147" s="286"/>
      <c r="V147" s="287">
        <v>45678</v>
      </c>
      <c r="W147" s="288"/>
      <c r="X147" s="289"/>
      <c r="Y147" s="290"/>
      <c r="Z147" s="291" t="s">
        <v>677</v>
      </c>
      <c r="AA147" s="255" t="s">
        <v>1130</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61</v>
      </c>
      <c r="S148" s="285"/>
      <c r="T148" s="285"/>
      <c r="U148" s="286"/>
      <c r="V148" s="287">
        <v>45678</v>
      </c>
      <c r="W148" s="288"/>
      <c r="X148" s="289"/>
      <c r="Y148" s="290"/>
      <c r="Z148" s="291" t="s">
        <v>677</v>
      </c>
      <c r="AA148" s="255" t="s">
        <v>1130</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61</v>
      </c>
      <c r="S149" s="285"/>
      <c r="T149" s="285"/>
      <c r="U149" s="286"/>
      <c r="V149" s="287">
        <v>45678</v>
      </c>
      <c r="W149" s="288"/>
      <c r="X149" s="289"/>
      <c r="Y149" s="290"/>
      <c r="Z149" s="291" t="s">
        <v>677</v>
      </c>
      <c r="AA149" s="255" t="s">
        <v>1130</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61</v>
      </c>
      <c r="S150" s="285"/>
      <c r="T150" s="285"/>
      <c r="U150" s="286"/>
      <c r="V150" s="287">
        <v>45684</v>
      </c>
      <c r="W150" s="288"/>
      <c r="X150" s="289"/>
      <c r="Y150" s="290"/>
      <c r="Z150" s="291" t="s">
        <v>677</v>
      </c>
      <c r="AA150" s="255" t="s">
        <v>1144</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61</v>
      </c>
      <c r="S151" s="285"/>
      <c r="T151" s="285"/>
      <c r="U151" s="286"/>
      <c r="V151" s="287">
        <v>45684</v>
      </c>
      <c r="W151" s="288"/>
      <c r="X151" s="289"/>
      <c r="Y151" s="290"/>
      <c r="Z151" s="291" t="s">
        <v>677</v>
      </c>
      <c r="AA151" s="255" t="s">
        <v>1144</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61</v>
      </c>
      <c r="S152" s="285"/>
      <c r="T152" s="285"/>
      <c r="U152" s="286"/>
      <c r="V152" s="287">
        <v>45684</v>
      </c>
      <c r="W152" s="288"/>
      <c r="X152" s="289"/>
      <c r="Y152" s="290"/>
      <c r="Z152" s="291" t="s">
        <v>677</v>
      </c>
      <c r="AA152" s="255" t="s">
        <v>1144</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61</v>
      </c>
      <c r="S153" s="285"/>
      <c r="T153" s="285"/>
      <c r="U153" s="286"/>
      <c r="V153" s="287">
        <v>45684</v>
      </c>
      <c r="W153" s="288"/>
      <c r="X153" s="289"/>
      <c r="Y153" s="290"/>
      <c r="Z153" s="291" t="s">
        <v>677</v>
      </c>
      <c r="AA153" s="255" t="s">
        <v>1144</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61</v>
      </c>
      <c r="S154" s="285"/>
      <c r="T154" s="285"/>
      <c r="U154" s="286"/>
      <c r="V154" s="287">
        <v>45684</v>
      </c>
      <c r="W154" s="288"/>
      <c r="X154" s="289"/>
      <c r="Y154" s="290"/>
      <c r="Z154" s="291" t="s">
        <v>677</v>
      </c>
      <c r="AA154" s="255" t="s">
        <v>1144</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61</v>
      </c>
      <c r="S155" s="180"/>
      <c r="T155" s="180"/>
      <c r="U155" s="305"/>
      <c r="V155" s="273"/>
      <c r="W155" s="297"/>
      <c r="X155" s="300"/>
      <c r="Y155" s="306"/>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61</v>
      </c>
      <c r="S156" s="285"/>
      <c r="T156" s="285"/>
      <c r="U156" s="286"/>
      <c r="V156" s="287">
        <v>45679</v>
      </c>
      <c r="W156" s="288"/>
      <c r="X156" s="289"/>
      <c r="Y156" s="290"/>
      <c r="Z156" s="291" t="s">
        <v>677</v>
      </c>
      <c r="AA156" s="255" t="s">
        <v>1134</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61</v>
      </c>
      <c r="S157" s="285"/>
      <c r="T157" s="285"/>
      <c r="U157" s="286"/>
      <c r="V157" s="287">
        <v>45679</v>
      </c>
      <c r="W157" s="288"/>
      <c r="X157" s="289"/>
      <c r="Y157" s="290"/>
      <c r="Z157" s="291" t="s">
        <v>677</v>
      </c>
      <c r="AA157" s="255" t="s">
        <v>1134</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61</v>
      </c>
      <c r="S158" s="285"/>
      <c r="T158" s="285"/>
      <c r="U158" s="286"/>
      <c r="V158" s="287">
        <v>45679</v>
      </c>
      <c r="W158" s="288"/>
      <c r="X158" s="289"/>
      <c r="Y158" s="290"/>
      <c r="Z158" s="291" t="s">
        <v>677</v>
      </c>
      <c r="AA158" s="255" t="s">
        <v>1134</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61</v>
      </c>
      <c r="S159" s="285"/>
      <c r="T159" s="285"/>
      <c r="U159" s="286"/>
      <c r="V159" s="287">
        <v>45679</v>
      </c>
      <c r="W159" s="288"/>
      <c r="X159" s="289"/>
      <c r="Y159" s="290"/>
      <c r="Z159" s="291" t="s">
        <v>677</v>
      </c>
      <c r="AA159" s="255" t="s">
        <v>1134</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61</v>
      </c>
      <c r="S160" s="180"/>
      <c r="T160" s="180"/>
      <c r="U160" s="305"/>
      <c r="V160" s="273">
        <v>45680</v>
      </c>
      <c r="W160" s="297"/>
      <c r="X160" s="300"/>
      <c r="Y160" s="306"/>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61</v>
      </c>
      <c r="S161" s="180"/>
      <c r="T161" s="180"/>
      <c r="U161" s="305"/>
      <c r="V161" s="273">
        <v>45680</v>
      </c>
      <c r="W161" s="297"/>
      <c r="X161" s="300"/>
      <c r="Y161" s="306"/>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61</v>
      </c>
      <c r="S162" s="180"/>
      <c r="T162" s="180"/>
      <c r="U162" s="305"/>
      <c r="V162" s="273">
        <v>45680</v>
      </c>
      <c r="W162" s="297"/>
      <c r="X162" s="300"/>
      <c r="Y162" s="306"/>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61</v>
      </c>
      <c r="S163" s="180"/>
      <c r="T163" s="180"/>
      <c r="U163" s="305"/>
      <c r="V163" s="273">
        <v>45680</v>
      </c>
      <c r="W163" s="297"/>
      <c r="X163" s="300"/>
      <c r="Y163" s="306"/>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61</v>
      </c>
      <c r="S164" s="180"/>
      <c r="T164" s="180"/>
      <c r="U164" s="305"/>
      <c r="V164" s="273">
        <v>45680</v>
      </c>
      <c r="W164" s="297"/>
      <c r="X164" s="300"/>
      <c r="Y164" s="306"/>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61</v>
      </c>
      <c r="S165" s="180"/>
      <c r="T165" s="180"/>
      <c r="U165" s="305"/>
      <c r="V165" s="273">
        <v>45681</v>
      </c>
      <c r="W165" s="297"/>
      <c r="X165" s="300"/>
      <c r="Y165" s="306"/>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61</v>
      </c>
      <c r="S166" s="285"/>
      <c r="T166" s="285"/>
      <c r="U166" s="286"/>
      <c r="V166" s="287">
        <v>45674</v>
      </c>
      <c r="W166" s="288"/>
      <c r="X166" s="289"/>
      <c r="Y166" s="290"/>
      <c r="Z166" s="291" t="s">
        <v>677</v>
      </c>
      <c r="AA166" s="255" t="s">
        <v>1135</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61</v>
      </c>
      <c r="S167" s="285"/>
      <c r="T167" s="285"/>
      <c r="U167" s="286"/>
      <c r="V167" s="287">
        <v>45674</v>
      </c>
      <c r="W167" s="288"/>
      <c r="X167" s="289"/>
      <c r="Y167" s="290"/>
      <c r="Z167" s="291" t="s">
        <v>677</v>
      </c>
      <c r="AA167" s="255" t="s">
        <v>1135</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61</v>
      </c>
      <c r="S168" s="285"/>
      <c r="T168" s="285"/>
      <c r="U168" s="286"/>
      <c r="V168" s="287">
        <v>45674</v>
      </c>
      <c r="W168" s="288"/>
      <c r="X168" s="289"/>
      <c r="Y168" s="290"/>
      <c r="Z168" s="291" t="s">
        <v>677</v>
      </c>
      <c r="AA168" s="255" t="s">
        <v>1135</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61</v>
      </c>
      <c r="S169" s="285"/>
      <c r="T169" s="285"/>
      <c r="U169" s="286"/>
      <c r="V169" s="287">
        <v>45674</v>
      </c>
      <c r="W169" s="288"/>
      <c r="X169" s="289"/>
      <c r="Y169" s="290"/>
      <c r="Z169" s="291" t="s">
        <v>677</v>
      </c>
      <c r="AA169" s="255" t="s">
        <v>1135</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61</v>
      </c>
      <c r="S170" s="285"/>
      <c r="T170" s="285"/>
      <c r="U170" s="286"/>
      <c r="V170" s="287">
        <v>45674</v>
      </c>
      <c r="W170" s="288"/>
      <c r="X170" s="289"/>
      <c r="Y170" s="290"/>
      <c r="Z170" s="291" t="s">
        <v>677</v>
      </c>
      <c r="AA170" s="255" t="s">
        <v>1135</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61</v>
      </c>
      <c r="S171" s="285"/>
      <c r="T171" s="285"/>
      <c r="U171" s="286"/>
      <c r="V171" s="287">
        <v>45674</v>
      </c>
      <c r="W171" s="288"/>
      <c r="X171" s="289"/>
      <c r="Y171" s="290"/>
      <c r="Z171" s="291" t="s">
        <v>677</v>
      </c>
      <c r="AA171" s="255" t="s">
        <v>1135</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61</v>
      </c>
      <c r="S172" s="285"/>
      <c r="T172" s="285"/>
      <c r="U172" s="286"/>
      <c r="V172" s="287">
        <v>45674</v>
      </c>
      <c r="W172" s="288"/>
      <c r="X172" s="289"/>
      <c r="Y172" s="290"/>
      <c r="Z172" s="291" t="s">
        <v>677</v>
      </c>
      <c r="AA172" s="255" t="s">
        <v>1135</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61</v>
      </c>
      <c r="S173" s="285"/>
      <c r="T173" s="285"/>
      <c r="U173" s="286"/>
      <c r="V173" s="287">
        <v>45674</v>
      </c>
      <c r="W173" s="288"/>
      <c r="X173" s="289"/>
      <c r="Y173" s="290"/>
      <c r="Z173" s="291" t="s">
        <v>677</v>
      </c>
      <c r="AA173" s="255" t="s">
        <v>1135</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61</v>
      </c>
      <c r="U174" s="266"/>
      <c r="V174" s="270"/>
      <c r="W174" s="271">
        <v>45671</v>
      </c>
      <c r="X174" s="272">
        <v>45672</v>
      </c>
      <c r="Y174" s="184"/>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61</v>
      </c>
      <c r="U175" s="266"/>
      <c r="V175" s="270"/>
      <c r="W175" s="271">
        <v>45671</v>
      </c>
      <c r="X175" s="272">
        <v>45672</v>
      </c>
      <c r="Y175" s="184"/>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61</v>
      </c>
      <c r="U176" s="266"/>
      <c r="V176" s="270"/>
      <c r="W176" s="271">
        <v>45671</v>
      </c>
      <c r="X176" s="272">
        <v>45672</v>
      </c>
      <c r="Y176" s="184"/>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61</v>
      </c>
      <c r="U177" s="266"/>
      <c r="V177" s="270"/>
      <c r="W177" s="271">
        <v>45671</v>
      </c>
      <c r="X177" s="272">
        <v>45672</v>
      </c>
      <c r="Y177" s="184"/>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61</v>
      </c>
      <c r="U178" s="266"/>
      <c r="V178" s="270"/>
      <c r="W178" s="271">
        <v>45671</v>
      </c>
      <c r="X178" s="272">
        <v>45672</v>
      </c>
      <c r="Y178" s="184"/>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61</v>
      </c>
      <c r="U179" s="266"/>
      <c r="V179" s="270"/>
      <c r="W179" s="271">
        <v>45671</v>
      </c>
      <c r="X179" s="272">
        <v>45672</v>
      </c>
      <c r="Y179" s="184"/>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61</v>
      </c>
      <c r="U180" s="266"/>
      <c r="V180" s="270"/>
      <c r="W180" s="271">
        <v>45671</v>
      </c>
      <c r="X180" s="272">
        <v>45672</v>
      </c>
      <c r="Y180" s="184"/>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61</v>
      </c>
      <c r="U181" s="266"/>
      <c r="V181" s="270"/>
      <c r="W181" s="271">
        <v>45671</v>
      </c>
      <c r="X181" s="272">
        <v>45672</v>
      </c>
      <c r="Y181" s="184"/>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61</v>
      </c>
      <c r="U182" s="266"/>
      <c r="V182" s="270"/>
      <c r="W182" s="271">
        <v>45671</v>
      </c>
      <c r="X182" s="272">
        <v>45672</v>
      </c>
      <c r="Y182" s="184"/>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61</v>
      </c>
      <c r="U183" s="266"/>
      <c r="V183" s="270">
        <v>45674</v>
      </c>
      <c r="W183" s="271"/>
      <c r="X183" s="272"/>
      <c r="Y183" s="184"/>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61</v>
      </c>
      <c r="U184" s="266"/>
      <c r="V184" s="270">
        <v>45674</v>
      </c>
      <c r="W184" s="271"/>
      <c r="X184" s="272"/>
      <c r="Y184" s="184"/>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61</v>
      </c>
      <c r="U185" s="266"/>
      <c r="V185" s="270">
        <v>45674</v>
      </c>
      <c r="W185" s="271"/>
      <c r="X185" s="272"/>
      <c r="Y185" s="184"/>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61</v>
      </c>
      <c r="U186" s="266"/>
      <c r="V186" s="270">
        <v>45674</v>
      </c>
      <c r="W186" s="271"/>
      <c r="X186" s="272"/>
      <c r="Y186" s="184"/>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61</v>
      </c>
      <c r="U187" s="266"/>
      <c r="V187" s="270">
        <v>45674</v>
      </c>
      <c r="W187" s="271"/>
      <c r="X187" s="272"/>
      <c r="Y187" s="184"/>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61</v>
      </c>
      <c r="U188" s="266"/>
      <c r="V188" s="270">
        <v>45674</v>
      </c>
      <c r="W188" s="271"/>
      <c r="X188" s="272"/>
      <c r="Y188" s="184"/>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61</v>
      </c>
      <c r="U189" s="266"/>
      <c r="V189" s="270">
        <v>45674</v>
      </c>
      <c r="W189" s="271"/>
      <c r="X189" s="272"/>
      <c r="Y189" s="184"/>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61</v>
      </c>
      <c r="U190" s="266"/>
      <c r="V190" s="273">
        <v>45674</v>
      </c>
      <c r="W190" s="271"/>
      <c r="X190" s="272"/>
      <c r="Y190" s="184"/>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61</v>
      </c>
      <c r="U191" s="266"/>
      <c r="V191" s="270">
        <v>45674</v>
      </c>
      <c r="W191" s="271"/>
      <c r="X191" s="272"/>
      <c r="Y191" s="184"/>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61</v>
      </c>
      <c r="U192" s="266"/>
      <c r="V192" s="270">
        <v>45674</v>
      </c>
      <c r="W192" s="271"/>
      <c r="X192" s="272"/>
      <c r="Y192" s="184"/>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61</v>
      </c>
      <c r="U193" s="266"/>
      <c r="V193" s="270">
        <v>45674</v>
      </c>
      <c r="W193" s="271"/>
      <c r="X193" s="272"/>
      <c r="Y193" s="184"/>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61</v>
      </c>
      <c r="U194" s="266"/>
      <c r="V194" s="270">
        <v>45680</v>
      </c>
      <c r="W194" s="271"/>
      <c r="X194" s="272"/>
      <c r="Y194" s="184"/>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61</v>
      </c>
      <c r="U195" s="266"/>
      <c r="V195" s="270">
        <v>45680</v>
      </c>
      <c r="W195" s="271"/>
      <c r="X195" s="272"/>
      <c r="Y195" s="184"/>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61</v>
      </c>
      <c r="U196" s="266"/>
      <c r="V196" s="270">
        <v>45680</v>
      </c>
      <c r="W196" s="271"/>
      <c r="X196" s="272"/>
      <c r="Y196" s="184"/>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61</v>
      </c>
      <c r="U197" s="266"/>
      <c r="V197" s="270">
        <v>45680</v>
      </c>
      <c r="W197" s="271"/>
      <c r="X197" s="272"/>
      <c r="Y197" s="184"/>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61</v>
      </c>
      <c r="U198" s="266"/>
      <c r="V198" s="270">
        <v>45680</v>
      </c>
      <c r="W198" s="271"/>
      <c r="X198" s="272"/>
      <c r="Y198" s="184"/>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61</v>
      </c>
      <c r="U199" s="266"/>
      <c r="V199" s="270">
        <v>45680</v>
      </c>
      <c r="W199" s="271"/>
      <c r="X199" s="272"/>
      <c r="Y199" s="184"/>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61</v>
      </c>
      <c r="U200" s="266"/>
      <c r="V200" s="270">
        <v>45680</v>
      </c>
      <c r="W200" s="271"/>
      <c r="X200" s="272"/>
      <c r="Y200" s="184"/>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61</v>
      </c>
      <c r="U201" s="266"/>
      <c r="V201" s="270"/>
      <c r="W201" s="271">
        <v>45671</v>
      </c>
      <c r="X201" s="272">
        <v>45672</v>
      </c>
      <c r="Y201" s="184"/>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61</v>
      </c>
      <c r="U202" s="266"/>
      <c r="V202" s="270"/>
      <c r="W202" s="271">
        <v>45671</v>
      </c>
      <c r="X202" s="272">
        <v>45672</v>
      </c>
      <c r="Y202" s="184"/>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61</v>
      </c>
      <c r="U203" s="266"/>
      <c r="V203" s="270">
        <v>45671</v>
      </c>
      <c r="W203" s="271"/>
      <c r="X203" s="272"/>
      <c r="Y203" s="184"/>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61</v>
      </c>
      <c r="U204" s="266"/>
      <c r="V204" s="270">
        <v>45671</v>
      </c>
      <c r="W204" s="271"/>
      <c r="X204" s="272"/>
      <c r="Y204" s="184"/>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61</v>
      </c>
      <c r="U205" s="266"/>
      <c r="V205" s="270"/>
      <c r="W205" s="271">
        <v>45671</v>
      </c>
      <c r="X205" s="272">
        <v>45678</v>
      </c>
      <c r="Y205" s="184"/>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61</v>
      </c>
      <c r="U206" s="266"/>
      <c r="V206" s="273">
        <v>45678</v>
      </c>
      <c r="W206" s="271"/>
      <c r="X206" s="272"/>
      <c r="Y206" s="184"/>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61</v>
      </c>
      <c r="U207" s="266"/>
      <c r="V207" s="270">
        <v>45671</v>
      </c>
      <c r="W207" s="271"/>
      <c r="X207" s="272"/>
      <c r="Y207" s="184"/>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61</v>
      </c>
      <c r="U208" s="266"/>
      <c r="V208" s="270">
        <v>45671</v>
      </c>
      <c r="W208" s="271"/>
      <c r="X208" s="272"/>
      <c r="Y208" s="184"/>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61</v>
      </c>
      <c r="U209" s="266"/>
      <c r="V209" s="270">
        <v>45671</v>
      </c>
      <c r="W209" s="271"/>
      <c r="X209" s="272"/>
      <c r="Y209" s="184"/>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61</v>
      </c>
      <c r="U210" s="266"/>
      <c r="V210" s="270"/>
      <c r="W210" s="271">
        <v>45671</v>
      </c>
      <c r="X210" s="272">
        <v>45678</v>
      </c>
      <c r="Y210" s="184"/>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61</v>
      </c>
      <c r="U211" s="266"/>
      <c r="V211" s="270">
        <v>45671</v>
      </c>
      <c r="W211" s="271"/>
      <c r="X211" s="272"/>
      <c r="Y211" s="184"/>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61</v>
      </c>
      <c r="U212" s="266"/>
      <c r="V212" s="270">
        <v>45671</v>
      </c>
      <c r="W212" s="271"/>
      <c r="X212" s="272"/>
      <c r="Y212" s="184"/>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61</v>
      </c>
      <c r="U213" s="266"/>
      <c r="V213" s="270"/>
      <c r="W213" s="271">
        <v>45671</v>
      </c>
      <c r="X213" s="272">
        <v>45678</v>
      </c>
      <c r="Y213" s="184"/>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61</v>
      </c>
      <c r="U214" s="266"/>
      <c r="V214" s="270">
        <v>45671</v>
      </c>
      <c r="W214" s="271"/>
      <c r="X214" s="272"/>
      <c r="Y214" s="184"/>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61</v>
      </c>
      <c r="U215" s="266"/>
      <c r="V215" s="270">
        <v>45671</v>
      </c>
      <c r="W215" s="271"/>
      <c r="X215" s="272"/>
      <c r="Y215" s="184"/>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61</v>
      </c>
      <c r="U216" s="266"/>
      <c r="V216" s="270">
        <v>45671</v>
      </c>
      <c r="W216" s="271"/>
      <c r="X216" s="272"/>
      <c r="Y216" s="184"/>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61</v>
      </c>
      <c r="U217" s="266"/>
      <c r="V217" s="270">
        <v>45671</v>
      </c>
      <c r="W217" s="271"/>
      <c r="X217" s="272"/>
      <c r="Y217" s="184"/>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61</v>
      </c>
      <c r="U218" s="266"/>
      <c r="V218" s="270">
        <v>45671</v>
      </c>
      <c r="W218" s="271"/>
      <c r="X218" s="272"/>
      <c r="Y218" s="184"/>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61</v>
      </c>
      <c r="U219" s="266"/>
      <c r="V219" s="270">
        <v>45671</v>
      </c>
      <c r="W219" s="271"/>
      <c r="X219" s="272"/>
      <c r="Y219" s="184"/>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61</v>
      </c>
      <c r="U220" s="266"/>
      <c r="V220" s="270">
        <v>45671</v>
      </c>
      <c r="W220" s="271"/>
      <c r="X220" s="272"/>
      <c r="Y220" s="184"/>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78" t="s">
        <v>61</v>
      </c>
      <c r="O221" s="178"/>
      <c r="P221" s="180"/>
      <c r="Q221" s="180"/>
      <c r="R221" s="180"/>
      <c r="S221" s="180"/>
      <c r="T221" s="180"/>
      <c r="U221" s="266"/>
      <c r="V221" s="270">
        <v>45671</v>
      </c>
      <c r="W221" s="271"/>
      <c r="X221" s="272"/>
      <c r="Y221" s="184"/>
      <c r="Z221" s="230" t="s">
        <v>592</v>
      </c>
    </row>
    <row r="222" spans="1:27" ht="11.4" x14ac:dyDescent="0.15">
      <c r="A222" s="175">
        <f t="shared" ref="A222:A226" si="2">ROW()-2</f>
        <v>220</v>
      </c>
      <c r="B222" s="176"/>
      <c r="C222" s="176"/>
      <c r="D222" s="176"/>
      <c r="E222" s="176" t="s">
        <v>851</v>
      </c>
      <c r="F222" s="186" t="s">
        <v>852</v>
      </c>
      <c r="G222" s="257"/>
      <c r="H222" s="227" t="s">
        <v>853</v>
      </c>
      <c r="I222" s="177"/>
      <c r="J222" s="178" t="s">
        <v>61</v>
      </c>
      <c r="K222" s="178"/>
      <c r="L222" s="179"/>
      <c r="M222" s="177"/>
      <c r="N222" s="178"/>
      <c r="O222" s="178"/>
      <c r="P222" s="180"/>
      <c r="Q222" s="180"/>
      <c r="R222" s="180"/>
      <c r="S222" s="180"/>
      <c r="T222" s="180"/>
      <c r="U222" s="266"/>
      <c r="V222" s="270">
        <v>45681</v>
      </c>
      <c r="W222" s="271"/>
      <c r="X222" s="272"/>
      <c r="Y222" s="184"/>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c r="Z223" s="230" t="s">
        <v>854</v>
      </c>
    </row>
    <row r="224" spans="1:27" ht="11.4" x14ac:dyDescent="0.15">
      <c r="A224" s="175">
        <f t="shared" si="2"/>
        <v>222</v>
      </c>
      <c r="B224" s="176"/>
      <c r="C224" s="176"/>
      <c r="D224" s="176"/>
      <c r="E224" s="176" t="s">
        <v>857</v>
      </c>
      <c r="F224" s="186" t="s">
        <v>858</v>
      </c>
      <c r="G224" s="257"/>
      <c r="H224" s="227" t="s">
        <v>853</v>
      </c>
      <c r="I224" s="177"/>
      <c r="J224" s="178" t="s">
        <v>61</v>
      </c>
      <c r="K224" s="178"/>
      <c r="L224" s="179"/>
      <c r="M224" s="177"/>
      <c r="N224" s="178"/>
      <c r="O224" s="178"/>
      <c r="P224" s="180"/>
      <c r="Q224" s="180"/>
      <c r="R224" s="180"/>
      <c r="S224" s="180"/>
      <c r="T224" s="180"/>
      <c r="U224" s="266"/>
      <c r="V224" s="270">
        <v>45681</v>
      </c>
      <c r="W224" s="271"/>
      <c r="X224" s="272"/>
      <c r="Y224" s="184"/>
      <c r="Z224" s="230" t="s">
        <v>854</v>
      </c>
    </row>
    <row r="225" spans="1:26"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c r="Z225" s="230" t="s">
        <v>854</v>
      </c>
    </row>
    <row r="226" spans="1:26" ht="11.4" x14ac:dyDescent="0.15">
      <c r="A226" s="175">
        <f t="shared" si="2"/>
        <v>224</v>
      </c>
      <c r="B226" s="176"/>
      <c r="C226" s="176"/>
      <c r="D226" s="176"/>
      <c r="E226" s="176"/>
      <c r="F226" s="186" t="s">
        <v>861</v>
      </c>
      <c r="G226" s="257"/>
      <c r="H226" s="227" t="s">
        <v>862</v>
      </c>
      <c r="I226" s="177"/>
      <c r="J226" s="178"/>
      <c r="K226" s="178"/>
      <c r="L226" s="179"/>
      <c r="M226" s="177"/>
      <c r="N226" s="178" t="s">
        <v>61</v>
      </c>
      <c r="O226" s="178"/>
      <c r="P226" s="178"/>
      <c r="Q226" s="180"/>
      <c r="R226" s="180"/>
      <c r="S226" s="180"/>
      <c r="T226" s="180"/>
      <c r="U226" s="266"/>
      <c r="V226" s="273">
        <v>45684</v>
      </c>
      <c r="W226" s="271"/>
      <c r="X226" s="272"/>
      <c r="Y226" s="184"/>
      <c r="Z226" s="230" t="s">
        <v>592</v>
      </c>
    </row>
    <row r="227" spans="1:26"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304"/>
      <c r="W227" s="271"/>
      <c r="X227" s="272"/>
      <c r="Y227" s="184"/>
      <c r="Z227" s="185" t="s">
        <v>472</v>
      </c>
    </row>
    <row r="228" spans="1:26"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c r="Z228" s="185" t="s">
        <v>556</v>
      </c>
    </row>
    <row r="229" spans="1:26" ht="11.4" x14ac:dyDescent="0.15">
      <c r="A229" s="175">
        <f t="shared" si="3"/>
        <v>227</v>
      </c>
      <c r="B229" s="176" t="s">
        <v>330</v>
      </c>
      <c r="C229" s="176" t="s">
        <v>331</v>
      </c>
      <c r="D229" s="176" t="s">
        <v>557</v>
      </c>
      <c r="E229" s="186" t="s">
        <v>332</v>
      </c>
      <c r="F229" s="233" t="s">
        <v>1088</v>
      </c>
      <c r="G229" s="258"/>
      <c r="H229" s="228" t="s">
        <v>1093</v>
      </c>
      <c r="I229" s="177"/>
      <c r="J229" s="178"/>
      <c r="K229" s="178"/>
      <c r="L229" s="179"/>
      <c r="M229" s="177"/>
      <c r="N229" s="180" t="s">
        <v>56</v>
      </c>
      <c r="O229" s="178"/>
      <c r="P229" s="180"/>
      <c r="Q229" s="180"/>
      <c r="R229" s="180"/>
      <c r="S229" s="180"/>
      <c r="T229" s="180"/>
      <c r="U229" s="266"/>
      <c r="V229" s="304"/>
      <c r="W229" s="271"/>
      <c r="X229" s="272"/>
      <c r="Y229" s="184"/>
      <c r="Z229" s="185" t="s">
        <v>334</v>
      </c>
    </row>
    <row r="230" spans="1:26"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56</v>
      </c>
      <c r="T230" s="180"/>
      <c r="U230" s="266"/>
      <c r="V230" s="304"/>
      <c r="W230" s="271"/>
      <c r="X230" s="272"/>
      <c r="Y230" s="184"/>
      <c r="Z230" s="229" t="s">
        <v>1092</v>
      </c>
    </row>
    <row r="231" spans="1:26"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56</v>
      </c>
      <c r="T231" s="180"/>
      <c r="U231" s="266"/>
      <c r="V231" s="304"/>
      <c r="W231" s="271"/>
      <c r="X231" s="272"/>
      <c r="Y231" s="184"/>
      <c r="Z231" s="185" t="s">
        <v>562</v>
      </c>
    </row>
    <row r="232" spans="1:26" ht="11.4" x14ac:dyDescent="0.15">
      <c r="A232" s="175">
        <f t="shared" si="3"/>
        <v>230</v>
      </c>
      <c r="B232" s="176"/>
      <c r="C232" s="176" t="s">
        <v>563</v>
      </c>
      <c r="D232" s="176" t="s">
        <v>564</v>
      </c>
      <c r="E232" s="186" t="s">
        <v>332</v>
      </c>
      <c r="F232" s="233" t="s">
        <v>1088</v>
      </c>
      <c r="G232" s="258"/>
      <c r="H232" s="228" t="s">
        <v>1094</v>
      </c>
      <c r="I232" s="177"/>
      <c r="J232" s="178"/>
      <c r="K232" s="178"/>
      <c r="L232" s="179"/>
      <c r="M232" s="177"/>
      <c r="N232" s="180" t="s">
        <v>56</v>
      </c>
      <c r="O232" s="178"/>
      <c r="P232" s="180"/>
      <c r="Q232" s="180"/>
      <c r="R232" s="180"/>
      <c r="S232" s="180"/>
      <c r="T232" s="180"/>
      <c r="U232" s="266"/>
      <c r="V232" s="304"/>
      <c r="W232" s="271"/>
      <c r="X232" s="272"/>
      <c r="Y232" s="184"/>
      <c r="Z232" s="185" t="s">
        <v>334</v>
      </c>
    </row>
    <row r="233" spans="1:26" ht="11.4" x14ac:dyDescent="0.15">
      <c r="A233" s="175">
        <f t="shared" si="3"/>
        <v>231</v>
      </c>
      <c r="B233" s="176"/>
      <c r="C233" s="176"/>
      <c r="D233" s="176"/>
      <c r="E233" s="186" t="s">
        <v>559</v>
      </c>
      <c r="F233" s="233"/>
      <c r="G233" s="258"/>
      <c r="H233" s="228" t="s">
        <v>560</v>
      </c>
      <c r="I233" s="177"/>
      <c r="J233" s="178"/>
      <c r="K233" s="178"/>
      <c r="L233" s="179"/>
      <c r="M233" s="177"/>
      <c r="N233" s="178"/>
      <c r="O233" s="178"/>
      <c r="P233" s="180"/>
      <c r="Q233" s="180"/>
      <c r="R233" s="180"/>
      <c r="S233" s="180" t="s">
        <v>56</v>
      </c>
      <c r="T233" s="180"/>
      <c r="U233" s="266"/>
      <c r="V233" s="304"/>
      <c r="W233" s="271"/>
      <c r="X233" s="272"/>
      <c r="Y233" s="184"/>
      <c r="Z233" s="229" t="s">
        <v>1092</v>
      </c>
    </row>
    <row r="234" spans="1:26" ht="11.4" x14ac:dyDescent="0.15">
      <c r="A234" s="175">
        <f t="shared" si="3"/>
        <v>232</v>
      </c>
      <c r="B234" s="176"/>
      <c r="C234" s="176"/>
      <c r="D234" s="176"/>
      <c r="E234" s="186" t="s">
        <v>566</v>
      </c>
      <c r="F234" s="233"/>
      <c r="G234" s="258"/>
      <c r="H234" s="228" t="s">
        <v>336</v>
      </c>
      <c r="I234" s="177"/>
      <c r="J234" s="178"/>
      <c r="K234" s="178"/>
      <c r="L234" s="179"/>
      <c r="M234" s="177"/>
      <c r="N234" s="178"/>
      <c r="O234" s="178"/>
      <c r="P234" s="180"/>
      <c r="Q234" s="180"/>
      <c r="R234" s="180"/>
      <c r="S234" s="180" t="s">
        <v>56</v>
      </c>
      <c r="T234" s="180"/>
      <c r="U234" s="266"/>
      <c r="V234" s="304"/>
      <c r="W234" s="271"/>
      <c r="X234" s="272"/>
      <c r="Y234" s="184"/>
      <c r="Z234" s="185" t="s">
        <v>567</v>
      </c>
    </row>
    <row r="235" spans="1:26" ht="11.4" x14ac:dyDescent="0.15">
      <c r="A235" s="175">
        <f t="shared" si="3"/>
        <v>233</v>
      </c>
      <c r="B235" s="176"/>
      <c r="C235" s="176" t="s">
        <v>863</v>
      </c>
      <c r="D235" s="186" t="s">
        <v>864</v>
      </c>
      <c r="E235" s="186" t="s">
        <v>865</v>
      </c>
      <c r="F235" s="186" t="s">
        <v>577</v>
      </c>
      <c r="G235" s="259"/>
      <c r="H235" s="228" t="s">
        <v>1143</v>
      </c>
      <c r="I235" s="177"/>
      <c r="J235" s="178"/>
      <c r="K235" s="178"/>
      <c r="L235" s="179"/>
      <c r="M235" s="177"/>
      <c r="N235" s="180"/>
      <c r="O235" s="178"/>
      <c r="P235" s="180"/>
      <c r="Q235" s="180"/>
      <c r="R235" s="180"/>
      <c r="S235" s="180" t="s">
        <v>56</v>
      </c>
      <c r="T235" s="180"/>
      <c r="U235" s="266"/>
      <c r="V235" s="304"/>
      <c r="W235" s="271"/>
      <c r="X235" s="272"/>
      <c r="Y235" s="184"/>
      <c r="Z235" s="185" t="s">
        <v>472</v>
      </c>
    </row>
    <row r="236" spans="1:26" ht="11.4" x14ac:dyDescent="0.15">
      <c r="A236" s="175">
        <f t="shared" si="3"/>
        <v>234</v>
      </c>
      <c r="B236" s="176"/>
      <c r="C236" s="176"/>
      <c r="D236" s="186"/>
      <c r="E236" s="186"/>
      <c r="F236" s="186"/>
      <c r="G236" s="259"/>
      <c r="H236" s="228" t="s">
        <v>866</v>
      </c>
      <c r="I236" s="177"/>
      <c r="J236" s="178"/>
      <c r="K236" s="178"/>
      <c r="L236" s="179"/>
      <c r="M236" s="177"/>
      <c r="N236" s="180"/>
      <c r="O236" s="178"/>
      <c r="P236" s="180"/>
      <c r="Q236" s="180"/>
      <c r="R236" s="180"/>
      <c r="S236" s="180" t="s">
        <v>61</v>
      </c>
      <c r="T236" s="180"/>
      <c r="U236" s="266"/>
      <c r="V236" s="304"/>
      <c r="W236" s="271"/>
      <c r="X236" s="272"/>
      <c r="Y236" s="184"/>
      <c r="Z236" s="229" t="s">
        <v>1092</v>
      </c>
    </row>
    <row r="237" spans="1:26"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61</v>
      </c>
      <c r="U237" s="266"/>
      <c r="V237" s="304"/>
      <c r="W237" s="271"/>
      <c r="X237" s="272"/>
      <c r="Y237" s="184"/>
      <c r="Z237" s="230" t="s">
        <v>869</v>
      </c>
    </row>
    <row r="238" spans="1:26"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61</v>
      </c>
      <c r="T238" s="180"/>
      <c r="U238" s="266"/>
      <c r="V238" s="304"/>
      <c r="W238" s="271"/>
      <c r="X238" s="272"/>
      <c r="Y238" s="184"/>
      <c r="Z238" s="229" t="s">
        <v>1092</v>
      </c>
    </row>
    <row r="239" spans="1:26"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61</v>
      </c>
      <c r="T239" s="180"/>
      <c r="U239" s="266"/>
      <c r="V239" s="270"/>
      <c r="W239" s="271"/>
      <c r="X239" s="272"/>
      <c r="Y239" s="184"/>
      <c r="Z239" s="229" t="s">
        <v>1092</v>
      </c>
    </row>
    <row r="240" spans="1:26"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61</v>
      </c>
      <c r="T240" s="180"/>
      <c r="U240" s="266"/>
      <c r="V240" s="270"/>
      <c r="W240" s="271"/>
      <c r="X240" s="272"/>
      <c r="Y240" s="184"/>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61</v>
      </c>
      <c r="T241" s="180"/>
      <c r="U241" s="266"/>
      <c r="V241" s="270"/>
      <c r="W241" s="271"/>
      <c r="X241" s="272"/>
      <c r="Y241" s="184"/>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56</v>
      </c>
      <c r="T242" s="180"/>
      <c r="U242" s="266"/>
      <c r="V242" s="270"/>
      <c r="W242" s="271"/>
      <c r="X242" s="272"/>
      <c r="Y242" s="184"/>
      <c r="Z242" s="185" t="s">
        <v>883</v>
      </c>
    </row>
    <row r="243" spans="1:27" ht="11.4" x14ac:dyDescent="0.15">
      <c r="A243" s="175">
        <f t="shared" si="3"/>
        <v>241</v>
      </c>
      <c r="B243" s="176"/>
      <c r="C243" s="176"/>
      <c r="D243" s="186"/>
      <c r="E243" s="186"/>
      <c r="F243" s="186" t="s">
        <v>884</v>
      </c>
      <c r="G243" s="259"/>
      <c r="H243" s="228" t="s">
        <v>1138</v>
      </c>
      <c r="I243" s="177"/>
      <c r="J243" s="178"/>
      <c r="K243" s="178"/>
      <c r="L243" s="179"/>
      <c r="M243" s="177"/>
      <c r="N243" s="178"/>
      <c r="O243" s="178"/>
      <c r="P243" s="180"/>
      <c r="Q243" s="180"/>
      <c r="R243" s="180"/>
      <c r="S243" s="180"/>
      <c r="T243" s="180" t="s">
        <v>56</v>
      </c>
      <c r="U243" s="266"/>
      <c r="V243" s="270"/>
      <c r="W243" s="271"/>
      <c r="X243" s="272"/>
      <c r="Y243" s="184"/>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56</v>
      </c>
      <c r="T244" s="180"/>
      <c r="U244" s="266"/>
      <c r="V244" s="270"/>
      <c r="W244" s="271"/>
      <c r="X244" s="272"/>
      <c r="Y244" s="184"/>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77" t="s">
        <v>61</v>
      </c>
      <c r="N246" s="178"/>
      <c r="O246" s="178"/>
      <c r="P246" s="180"/>
      <c r="Q246" s="180"/>
      <c r="R246" s="180"/>
      <c r="S246" s="180"/>
      <c r="T246" s="180"/>
      <c r="U246" s="266"/>
      <c r="V246" s="270">
        <v>45673</v>
      </c>
      <c r="W246" s="271"/>
      <c r="X246" s="272"/>
      <c r="Y246" s="184"/>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56</v>
      </c>
      <c r="Q247" s="180"/>
      <c r="R247" s="180"/>
      <c r="S247" s="180"/>
      <c r="T247" s="180"/>
      <c r="U247" s="266"/>
      <c r="V247" s="270">
        <v>45673</v>
      </c>
      <c r="W247" s="271"/>
      <c r="X247" s="272"/>
      <c r="Y247" s="184"/>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56</v>
      </c>
      <c r="R248" s="180"/>
      <c r="S248" s="180"/>
      <c r="T248" s="180"/>
      <c r="U248" s="266"/>
      <c r="V248" s="270">
        <v>45673</v>
      </c>
      <c r="W248" s="271"/>
      <c r="X248" s="272"/>
      <c r="Y248" s="184"/>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77" t="s">
        <v>61</v>
      </c>
      <c r="N249" s="178"/>
      <c r="O249" s="178"/>
      <c r="P249" s="180"/>
      <c r="Q249" s="180"/>
      <c r="R249" s="180"/>
      <c r="S249" s="180"/>
      <c r="T249" s="180"/>
      <c r="U249" s="266"/>
      <c r="V249" s="270">
        <v>45673</v>
      </c>
      <c r="W249" s="271"/>
      <c r="X249" s="272"/>
      <c r="Y249" s="184"/>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56</v>
      </c>
      <c r="Q250" s="180"/>
      <c r="R250" s="180"/>
      <c r="S250" s="180"/>
      <c r="T250" s="180"/>
      <c r="U250" s="266"/>
      <c r="V250" s="270">
        <v>45673</v>
      </c>
      <c r="W250" s="271"/>
      <c r="X250" s="272"/>
      <c r="Y250" s="184"/>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56</v>
      </c>
      <c r="R251" s="180"/>
      <c r="S251" s="180"/>
      <c r="T251" s="180"/>
      <c r="U251" s="266"/>
      <c r="V251" s="270">
        <v>45673</v>
      </c>
      <c r="W251" s="271"/>
      <c r="X251" s="272"/>
      <c r="Y251" s="184"/>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56</v>
      </c>
      <c r="O252" s="178"/>
      <c r="P252" s="180"/>
      <c r="Q252" s="180"/>
      <c r="R252" s="180"/>
      <c r="S252" s="180"/>
      <c r="T252" s="180"/>
      <c r="U252" s="266"/>
      <c r="V252" s="270">
        <v>45673</v>
      </c>
      <c r="W252" s="271"/>
      <c r="X252" s="272"/>
      <c r="Y252" s="184"/>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56</v>
      </c>
      <c r="O253" s="178"/>
      <c r="P253" s="180"/>
      <c r="Q253" s="180"/>
      <c r="R253" s="180"/>
      <c r="S253" s="180"/>
      <c r="T253" s="180"/>
      <c r="U253" s="266"/>
      <c r="V253" s="270">
        <v>45673</v>
      </c>
      <c r="W253" s="271"/>
      <c r="X253" s="272"/>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0"/>
      <c r="V254" s="350" t="s">
        <v>17</v>
      </c>
      <c r="W254" s="350"/>
      <c r="X254" s="351"/>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1"/>
      <c r="V255" s="352"/>
      <c r="W255" s="352"/>
      <c r="X255" s="353"/>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2"/>
      <c r="V256" s="354">
        <f>COUNTA(V3:V253)</f>
        <v>196</v>
      </c>
      <c r="W256" s="356">
        <f>COUNTA(W3:W253)</f>
        <v>22</v>
      </c>
      <c r="X256" s="358">
        <f>COUNTA(X3:X253)</f>
        <v>20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5"/>
      <c r="W257" s="357"/>
      <c r="X257" s="359"/>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1141</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1131</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9" t="s">
        <v>31</v>
      </c>
      <c r="H1" s="370"/>
      <c r="I1" s="370"/>
      <c r="J1" s="370"/>
      <c r="K1" s="370"/>
      <c r="L1" s="370"/>
      <c r="M1" s="370"/>
      <c r="N1" s="370"/>
      <c r="O1" s="371" t="s">
        <v>1027</v>
      </c>
      <c r="P1" s="371"/>
      <c r="Q1" s="371"/>
      <c r="R1" s="371"/>
      <c r="S1" s="374" t="s">
        <v>33</v>
      </c>
      <c r="T1" s="374"/>
      <c r="U1" s="374"/>
      <c r="V1" s="375"/>
      <c r="W1" s="54"/>
      <c r="X1" s="376" t="s">
        <v>1028</v>
      </c>
      <c r="Y1" s="361" t="s">
        <v>1029</v>
      </c>
      <c r="AB1" s="1" t="s">
        <v>1030</v>
      </c>
    </row>
    <row r="2" spans="1:28" s="1" customFormat="1" ht="13.5" customHeight="1" x14ac:dyDescent="0.15">
      <c r="A2" s="61"/>
      <c r="B2" s="64"/>
      <c r="C2" s="64"/>
      <c r="D2" s="64"/>
      <c r="E2" s="64"/>
      <c r="F2" s="67"/>
      <c r="G2" s="364" t="s">
        <v>1031</v>
      </c>
      <c r="H2" s="365"/>
      <c r="I2" s="365"/>
      <c r="J2" s="365"/>
      <c r="K2" s="364"/>
      <c r="L2" s="365"/>
      <c r="M2" s="365"/>
      <c r="N2" s="365"/>
      <c r="O2" s="372"/>
      <c r="P2" s="372"/>
      <c r="Q2" s="372"/>
      <c r="R2" s="372"/>
      <c r="S2" s="366" t="s">
        <v>1032</v>
      </c>
      <c r="T2" s="367"/>
      <c r="U2" s="367"/>
      <c r="V2" s="68"/>
      <c r="W2" s="69"/>
      <c r="X2" s="377"/>
      <c r="Y2" s="362"/>
      <c r="Z2" s="1" t="s">
        <v>1031</v>
      </c>
      <c r="AA2" s="1" t="s">
        <v>1033</v>
      </c>
      <c r="AB2" s="1" t="s">
        <v>1034</v>
      </c>
    </row>
    <row r="3" spans="1:28" s="1" customFormat="1" ht="15" customHeight="1" x14ac:dyDescent="0.15">
      <c r="A3" s="35"/>
      <c r="B3" s="84" t="s">
        <v>1035</v>
      </c>
      <c r="C3" s="59"/>
      <c r="D3" s="59"/>
      <c r="E3" s="59"/>
      <c r="F3" s="36"/>
      <c r="G3" s="368" t="s">
        <v>1033</v>
      </c>
      <c r="H3" s="368"/>
      <c r="I3" s="368"/>
      <c r="J3" s="368"/>
      <c r="K3" s="368" t="s">
        <v>1036</v>
      </c>
      <c r="L3" s="368"/>
      <c r="M3" s="368"/>
      <c r="N3" s="368"/>
      <c r="O3" s="372"/>
      <c r="P3" s="372"/>
      <c r="Q3" s="372"/>
      <c r="R3" s="372"/>
      <c r="S3" s="62"/>
      <c r="T3" s="63"/>
      <c r="U3" s="63"/>
      <c r="V3" s="37"/>
      <c r="W3" s="2"/>
      <c r="X3" s="377"/>
      <c r="Y3" s="362"/>
      <c r="Z3" s="1" t="s">
        <v>1037</v>
      </c>
      <c r="AA3" s="1" t="s">
        <v>1036</v>
      </c>
      <c r="AB3" s="1" t="s">
        <v>1038</v>
      </c>
    </row>
    <row r="4" spans="1:28" s="1" customFormat="1" ht="15" customHeight="1" x14ac:dyDescent="0.15">
      <c r="A4" s="45"/>
      <c r="B4" s="39"/>
      <c r="C4" s="56"/>
      <c r="D4" s="56"/>
      <c r="E4" s="89"/>
      <c r="F4" s="40"/>
      <c r="G4" s="368" t="s">
        <v>1030</v>
      </c>
      <c r="H4" s="368"/>
      <c r="I4" s="368"/>
      <c r="J4" s="368"/>
      <c r="K4" s="368"/>
      <c r="L4" s="368"/>
      <c r="M4" s="368"/>
      <c r="N4" s="368"/>
      <c r="O4" s="373"/>
      <c r="P4" s="373"/>
      <c r="Q4" s="373"/>
      <c r="R4" s="373"/>
      <c r="S4" s="65"/>
      <c r="T4" s="66"/>
      <c r="U4" s="66"/>
      <c r="V4" s="37"/>
      <c r="W4" s="2" t="s">
        <v>1039</v>
      </c>
      <c r="X4" s="377"/>
      <c r="Y4" s="362"/>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8"/>
      <c r="Y5" s="363"/>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6BEBA8-989D-4667-9594-12FF8E929F58}"/>
</file>

<file path=customXml/itemProps2.xml><?xml version="1.0" encoding="utf-8"?>
<ds:datastoreItem xmlns:ds="http://schemas.openxmlformats.org/officeDocument/2006/customXml" ds:itemID="{C3B1A985-4E3A-417E-9A69-802E3198C712}">
  <ds:schemaRefs>
    <ds:schemaRef ds:uri="http://purl.org/dc/elements/1.1/"/>
    <ds:schemaRef ds:uri="http://schemas.openxmlformats.org/package/2006/metadata/core-properties"/>
    <ds:schemaRef ds:uri="cc94ae7b-2025-4ffb-bd04-1297cd213e7a"/>
    <ds:schemaRef ds:uri="http://www.w3.org/XML/1998/namespace"/>
    <ds:schemaRef ds:uri="http://schemas.microsoft.com/office/infopath/2007/PartnerControls"/>
    <ds:schemaRef ds:uri="http://purl.org/dc/dcmitype/"/>
    <ds:schemaRef ds:uri="http://purl.org/dc/terms/"/>
    <ds:schemaRef ds:uri="925fb8bf-6124-4564-9086-bab0bf327637"/>
    <ds:schemaRef ds:uri="http://schemas.microsoft.com/office/2006/documentManagement/types"/>
    <ds:schemaRef ds:uri="http://schemas.microsoft.com/office/2006/metadata/properties"/>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2025-01-27T07:36:20Z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