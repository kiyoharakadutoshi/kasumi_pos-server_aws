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525" documentId="8_{FFF5661D-D548-493C-B837-0D721489715B}" xr6:coauthVersionLast="47" xr6:coauthVersionMax="47" xr10:uidLastSave="{1DB16353-6BB0-40A9-AE24-C739103B6399}"/>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<sst xmlns="http://schemas.openxmlformats.org/spreadsheetml/2006/main" count="5669" uniqueCount="1150">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</sst>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9" fillId="0" borderId="70" xfId="14" applyFont="1" applyFill="1" applyBorder="1" applyAlignment="1">
      <alignment horizontal="left"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501027</xdr:colOff>
      <xdr:row>302</xdr:row>
      <xdr:rowOff>116542</xdr:rowOff>
    </xdr:from>
    <xdr:to>
      <xdr:col>21</xdr:col>
      <xdr:colOff>88651</xdr:colOff>
      <xdr:row>305</xdr:row>
      <xdr:rowOff>134472</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8044956" y="43604330"/>
          <a:ext cx="708213" cy="4482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225612</xdr:colOff>
      <xdr:row>299</xdr:row>
      <xdr:rowOff>16934</xdr:rowOff>
    </xdr:from>
    <xdr:to>
      <xdr:col>24</xdr:col>
      <xdr:colOff>1570319</xdr:colOff>
      <xdr:row>304</xdr:row>
      <xdr:rowOff>25400</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9809012" y="43222334"/>
          <a:ext cx="1801907" cy="728133"/>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3037732</xdr:colOff>
      <xdr:row>246</xdr:row>
      <xdr:rowOff>68599</xdr:rowOff>
    </xdr:from>
    <xdr:to>
      <xdr:col>7</xdr:col>
      <xdr:colOff>5200310</xdr:colOff>
      <xdr:row>251</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241308" y="35524011"/>
          <a:ext cx="2162578" cy="701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38</xdr:row>
      <xdr:rowOff>8966</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2730" y="4733367"/>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xdr:txBody>
    </xdr:sp>
    <xdr:clientData/>
  </xdr:twoCellAnchor>
  <xdr:twoCellAnchor>
    <xdr:from>
      <xdr:col>20</xdr:col>
      <xdr:colOff>528918</xdr:colOff>
      <xdr:row>71</xdr:row>
      <xdr:rowOff>134470</xdr:rowOff>
    </xdr:from>
    <xdr:to>
      <xdr:col>22</xdr:col>
      <xdr:colOff>62753</xdr:colOff>
      <xdr:row>75</xdr:row>
      <xdr:rowOff>44824</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26871" y="10488705"/>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179293</xdr:colOff>
      <xdr:row>62</xdr:row>
      <xdr:rowOff>107576</xdr:rowOff>
    </xdr:from>
    <xdr:to>
      <xdr:col>25</xdr:col>
      <xdr:colOff>1524000</xdr:colOff>
      <xdr:row>67</xdr:row>
      <xdr:rowOff>98612</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55669" y="91708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79</xdr:row>
      <xdr:rowOff>71716</xdr:rowOff>
    </xdr:from>
    <xdr:to>
      <xdr:col>22</xdr:col>
      <xdr:colOff>125508</xdr:colOff>
      <xdr:row>86</xdr:row>
      <xdr:rowOff>35858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3766" y="11573434"/>
          <a:ext cx="699248" cy="9681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73</xdr:row>
      <xdr:rowOff>89646</xdr:rowOff>
    </xdr:from>
    <xdr:to>
      <xdr:col>25</xdr:col>
      <xdr:colOff>1703294</xdr:colOff>
      <xdr:row>77</xdr:row>
      <xdr:rowOff>125506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4963" y="10730752"/>
          <a:ext cx="1801907" cy="60960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573742</xdr:colOff>
      <xdr:row>140</xdr:row>
      <xdr:rowOff>125505</xdr:rowOff>
    </xdr:from>
    <xdr:to>
      <xdr:col>22</xdr:col>
      <xdr:colOff>107577</xdr:colOff>
      <xdr:row>144</xdr:row>
      <xdr:rowOff>35859</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71695" y="20376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125507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46704" y="18906565"/>
          <a:ext cx="1801907" cy="753036"/>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573741</xdr:colOff>
      <xdr:row>221</xdr:row>
      <xdr:rowOff>107577</xdr:rowOff>
    </xdr:from>
    <xdr:to>
      <xdr:col>22</xdr:col>
      <xdr:colOff>107576</xdr:colOff>
      <xdr:row>227</xdr:row>
      <xdr:rowOff>134471</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71694" y="31977106"/>
          <a:ext cx="663388" cy="8875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213</xdr:row>
      <xdr:rowOff>0</xdr:rowOff>
    </xdr:from>
    <xdr:to>
      <xdr:col>25</xdr:col>
      <xdr:colOff>1461247</xdr:colOff>
      <xdr:row>217</xdr:row>
      <xdr:rowOff>134471</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292916" y="307220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573742</xdr:colOff>
      <xdr:row>228</xdr:row>
      <xdr:rowOff>1</xdr:rowOff>
    </xdr:from>
    <xdr:to>
      <xdr:col>22</xdr:col>
      <xdr:colOff>116542</xdr:colOff>
      <xdr:row>233</xdr:row>
      <xdr:rowOff>116541</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5571695" y="32873577"/>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224117</xdr:colOff>
      <xdr:row>218</xdr:row>
      <xdr:rowOff>143434</xdr:rowOff>
    </xdr:from>
    <xdr:to>
      <xdr:col>25</xdr:col>
      <xdr:colOff>1568824</xdr:colOff>
      <xdr:row>223</xdr:row>
      <xdr:rowOff>134470</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7400493" y="31582658"/>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xdr:txBody>
    </xdr:sp>
    <xdr:clientData/>
  </xdr:twoCellAnchor>
  <xdr:twoCellAnchor>
    <xdr:from>
      <xdr:col>20</xdr:col>
      <xdr:colOff>514350</xdr:colOff>
      <xdr:row>243</xdr:row>
      <xdr:rowOff>85725</xdr:rowOff>
    </xdr:from>
    <xdr:to>
      <xdr:col>22</xdr:col>
      <xdr:colOff>133350</xdr:colOff>
      <xdr:row>245</xdr:row>
      <xdr:rowOff>104775</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516225" y="34975800"/>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284068</xdr:colOff>
      <xdr:row>233</xdr:row>
      <xdr:rowOff>64433</xdr:rowOff>
    </xdr:from>
    <xdr:to>
      <xdr:col>25</xdr:col>
      <xdr:colOff>1628775</xdr:colOff>
      <xdr:row>238</xdr:row>
      <xdr:rowOff>55469</xdr:rowOff>
    </xdr:to>
    <xdr:sp macro="" textlink="">
      <xdr:nvSpPr>
        <xdr:cNvPr id="16" name="吹き出し: 折線 15">
          <a:extLst>
            <a:ext uri="{FF2B5EF4-FFF2-40B4-BE49-F238E27FC236}">
              <a16:creationId xmlns:a16="http://schemas.microsoft.com/office/drawing/2014/main" id="{90F9A68B-45E4-4D80-AA1E-E62A0D17A422}"/>
            </a:ext>
          </a:extLst>
        </xdr:cNvPr>
        <xdr:cNvSpPr/>
      </xdr:nvSpPr>
      <xdr:spPr>
        <a:xfrm>
          <a:off x="17457643" y="3352575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57" t="s">
        <v>1094</v>
      </c>
      <c r="U1" s="350" t="s">
        <v>33</v>
      </c>
      <c r="V1" s="350"/>
      <c r="W1" s="350"/>
      <c r="X1" s="334" t="s">
        <v>34</v>
      </c>
      <c r="Y1" s="334" t="s">
        <v>35</v>
      </c>
    </row>
    <row r="2" spans="1:26" s="237" customFormat="1" ht="22.8" x14ac:dyDescent="0.15">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0" t="s">
        <v>17</v>
      </c>
      <c r="V402" s="330"/>
      <c r="W402" s="331"/>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2"/>
      <c r="V403" s="332"/>
      <c r="W403" s="333"/>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6">
        <f>COUNTA(U3:U401)</f>
        <v>382</v>
      </c>
      <c r="V404" s="338">
        <f>COUNTA(V3:V401)</f>
        <v>12</v>
      </c>
      <c r="W404" s="340">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7"/>
      <c r="V405" s="339"/>
      <c r="W405" s="341"/>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294" activePane="bottomLeft" state="frozen"/>
      <selection activeCell="D6" sqref="D6"/>
      <selection pane="bottomLeft" activeCell="W307" sqref="W30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34" t="s">
        <v>1094</v>
      </c>
      <c r="U1" s="350" t="s">
        <v>33</v>
      </c>
      <c r="V1" s="350"/>
      <c r="W1" s="350"/>
      <c r="X1" s="334" t="s">
        <v>34</v>
      </c>
      <c r="Y1" s="334" t="s">
        <v>35</v>
      </c>
      <c r="Z1" s="237"/>
    </row>
    <row r="2" spans="1:26" s="239" customFormat="1" ht="22.8" x14ac:dyDescent="0.15">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992</v>
      </c>
      <c r="N304" s="178"/>
      <c r="O304" s="180"/>
      <c r="P304" s="180"/>
      <c r="Q304" s="180"/>
      <c r="R304" s="180"/>
      <c r="S304" s="180"/>
      <c r="T304" s="266">
        <v>45672</v>
      </c>
      <c r="U304" s="304"/>
      <c r="V304" s="273">
        <v>45673</v>
      </c>
      <c r="W304" s="272"/>
      <c r="X304" s="184" t="s">
        <v>1146</v>
      </c>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992</v>
      </c>
      <c r="S305" s="180"/>
      <c r="T305" s="266">
        <v>45672</v>
      </c>
      <c r="U305" s="304"/>
      <c r="V305" s="297">
        <v>45673</v>
      </c>
      <c r="W305" s="272"/>
      <c r="X305" s="184" t="s">
        <v>1146</v>
      </c>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992</v>
      </c>
      <c r="S306" s="180"/>
      <c r="T306" s="266">
        <v>45672</v>
      </c>
      <c r="U306" s="304"/>
      <c r="V306" s="297">
        <v>45673</v>
      </c>
      <c r="W306" s="272"/>
      <c r="X306" s="184" t="s">
        <v>1146</v>
      </c>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1">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20"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7</v>
      </c>
      <c r="N362" s="193">
        <f t="shared" si="13"/>
        <v>0</v>
      </c>
      <c r="O362" s="193">
        <f t="shared" si="13"/>
        <v>50</v>
      </c>
      <c r="P362" s="193">
        <f t="shared" si="13"/>
        <v>69</v>
      </c>
      <c r="Q362" s="193">
        <f t="shared" si="13"/>
        <v>167</v>
      </c>
      <c r="R362" s="195">
        <f t="shared" si="13"/>
        <v>38</v>
      </c>
      <c r="S362" s="195">
        <f t="shared" si="13"/>
        <v>14</v>
      </c>
      <c r="T362" s="260"/>
      <c r="U362" s="330" t="s">
        <v>17</v>
      </c>
      <c r="V362" s="330"/>
      <c r="W362" s="331"/>
      <c r="X362" s="196" t="s">
        <v>411</v>
      </c>
      <c r="Y362" s="197">
        <f>SUM(H362:S362)</f>
        <v>349</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1</v>
      </c>
      <c r="N363" s="203">
        <f t="shared" si="14"/>
        <v>0</v>
      </c>
      <c r="O363" s="203">
        <f t="shared" si="14"/>
        <v>0</v>
      </c>
      <c r="P363" s="203">
        <f t="shared" si="14"/>
        <v>0</v>
      </c>
      <c r="Q363" s="203">
        <f t="shared" si="14"/>
        <v>0</v>
      </c>
      <c r="R363" s="205">
        <f t="shared" si="14"/>
        <v>2</v>
      </c>
      <c r="S363" s="205">
        <f t="shared" si="14"/>
        <v>0</v>
      </c>
      <c r="T363" s="261"/>
      <c r="U363" s="332"/>
      <c r="V363" s="332"/>
      <c r="W363" s="333"/>
      <c r="X363" s="206" t="s">
        <v>411</v>
      </c>
      <c r="Y363" s="207">
        <f t="shared" ref="Y363:Y365" si="15">SUM(H363:S363)</f>
        <v>3</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36">
        <f>COUNTA(U3:U361)</f>
        <v>328</v>
      </c>
      <c r="V364" s="338">
        <f>COUNTA(V3:V361)</f>
        <v>24</v>
      </c>
      <c r="W364" s="340">
        <f>COUNTA(W3:W361)</f>
        <v>21</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7"/>
      <c r="V365" s="339"/>
      <c r="W365" s="341"/>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G1" zoomScale="80" zoomScaleNormal="80" zoomScaleSheetLayoutView="85" workbookViewId="0">
      <pane ySplit="2" topLeftCell="A208" activePane="bottomLeft" state="frozen"/>
      <selection activeCell="E7" sqref="E7"/>
      <selection pane="bottomLeft" activeCell="V234" sqref="V23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2" t="s">
        <v>24</v>
      </c>
      <c r="B1" s="344" t="s">
        <v>25</v>
      </c>
      <c r="C1" s="346" t="s">
        <v>26</v>
      </c>
      <c r="D1" s="346" t="s">
        <v>27</v>
      </c>
      <c r="E1" s="346" t="s">
        <v>28</v>
      </c>
      <c r="F1" s="348" t="s">
        <v>29</v>
      </c>
      <c r="G1" s="358" t="s">
        <v>1093</v>
      </c>
      <c r="H1" s="351" t="s">
        <v>30</v>
      </c>
      <c r="I1" s="350" t="s">
        <v>31</v>
      </c>
      <c r="J1" s="350"/>
      <c r="K1" s="350"/>
      <c r="L1" s="353"/>
      <c r="M1" s="354" t="s">
        <v>32</v>
      </c>
      <c r="N1" s="355"/>
      <c r="O1" s="355"/>
      <c r="P1" s="356"/>
      <c r="Q1" s="356"/>
      <c r="R1" s="356"/>
      <c r="S1" s="356"/>
      <c r="T1" s="356"/>
      <c r="U1" s="334" t="s">
        <v>1095</v>
      </c>
      <c r="V1" s="350" t="s">
        <v>33</v>
      </c>
      <c r="W1" s="350"/>
      <c r="X1" s="350"/>
      <c r="Y1" s="334" t="s">
        <v>34</v>
      </c>
      <c r="Z1" s="334" t="s">
        <v>35</v>
      </c>
    </row>
    <row r="2" spans="1:28" s="237" customFormat="1" ht="22.8" x14ac:dyDescent="0.15">
      <c r="A2" s="343"/>
      <c r="B2" s="345"/>
      <c r="C2" s="347"/>
      <c r="D2" s="347"/>
      <c r="E2" s="347"/>
      <c r="F2" s="349"/>
      <c r="G2" s="349"/>
      <c r="H2" s="352"/>
      <c r="I2" s="223" t="s">
        <v>36</v>
      </c>
      <c r="J2" s="224" t="s">
        <v>37</v>
      </c>
      <c r="K2" s="225" t="s">
        <v>38</v>
      </c>
      <c r="L2" s="225" t="s">
        <v>39</v>
      </c>
      <c r="M2" s="226" t="s">
        <v>36</v>
      </c>
      <c r="N2" s="225" t="s">
        <v>40</v>
      </c>
      <c r="O2" s="225" t="s">
        <v>41</v>
      </c>
      <c r="P2" s="225" t="s">
        <v>42</v>
      </c>
      <c r="Q2" s="225" t="s">
        <v>43</v>
      </c>
      <c r="R2" s="225" t="s">
        <v>44</v>
      </c>
      <c r="S2" s="225" t="s">
        <v>45</v>
      </c>
      <c r="T2" s="225" t="s">
        <v>46</v>
      </c>
      <c r="U2" s="352"/>
      <c r="V2" s="223" t="s">
        <v>47</v>
      </c>
      <c r="W2" s="224" t="s">
        <v>48</v>
      </c>
      <c r="X2" s="225" t="s">
        <v>49</v>
      </c>
      <c r="Y2" s="335"/>
      <c r="Z2" s="335"/>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t="s">
        <v>1146</v>
      </c>
      <c r="Z227" s="185" t="s">
        <v>472</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185" t="s">
        <v>556</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992</v>
      </c>
      <c r="O229" s="178"/>
      <c r="P229" s="180"/>
      <c r="Q229" s="180"/>
      <c r="R229" s="180"/>
      <c r="S229" s="180"/>
      <c r="T229" s="180"/>
      <c r="U229" s="266"/>
      <c r="V229" s="304"/>
      <c r="W229" s="271">
        <v>45685</v>
      </c>
      <c r="X229" s="272"/>
      <c r="Y229" s="184" t="s">
        <v>1146</v>
      </c>
      <c r="Z229" s="185" t="s">
        <v>334</v>
      </c>
    </row>
    <row r="230" spans="1:27"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992</v>
      </c>
      <c r="T230" s="180"/>
      <c r="U230" s="266"/>
      <c r="V230" s="304"/>
      <c r="W230" s="271">
        <v>45685</v>
      </c>
      <c r="X230" s="272"/>
      <c r="Y230" s="184" t="s">
        <v>1146</v>
      </c>
      <c r="Z230" s="229" t="s">
        <v>1092</v>
      </c>
    </row>
    <row r="231" spans="1:27"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992</v>
      </c>
      <c r="T231" s="180"/>
      <c r="U231" s="266"/>
      <c r="V231" s="304"/>
      <c r="W231" s="271">
        <v>45685</v>
      </c>
      <c r="X231" s="272"/>
      <c r="Y231" s="184" t="s">
        <v>1146</v>
      </c>
      <c r="Z231" s="185" t="s">
        <v>562</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56</v>
      </c>
      <c r="O232" s="283"/>
      <c r="P232" s="285"/>
      <c r="Q232" s="285"/>
      <c r="R232" s="285"/>
      <c r="S232" s="285"/>
      <c r="T232" s="285"/>
      <c r="U232" s="286"/>
      <c r="V232" s="287"/>
      <c r="W232" s="288"/>
      <c r="X232" s="289"/>
      <c r="Y232" s="290" t="s">
        <v>1146</v>
      </c>
      <c r="Z232" s="291" t="s">
        <v>334</v>
      </c>
      <c r="AA232" s="255" t="s">
        <v>1149</v>
      </c>
    </row>
    <row r="233" spans="1:27" ht="11.4" x14ac:dyDescent="0.15">
      <c r="A233" s="278">
        <f t="shared" si="3"/>
        <v>231</v>
      </c>
      <c r="B233" s="311"/>
      <c r="C233" s="311"/>
      <c r="D233" s="311"/>
      <c r="E233" s="312" t="s">
        <v>559</v>
      </c>
      <c r="F233" s="313"/>
      <c r="G233" s="314"/>
      <c r="H233" s="228" t="s">
        <v>560</v>
      </c>
      <c r="I233" s="315"/>
      <c r="J233" s="316"/>
      <c r="K233" s="316"/>
      <c r="L233" s="317"/>
      <c r="M233" s="315"/>
      <c r="N233" s="316"/>
      <c r="O233" s="316"/>
      <c r="P233" s="318"/>
      <c r="Q233" s="318"/>
      <c r="R233" s="318"/>
      <c r="S233" s="318" t="s">
        <v>56</v>
      </c>
      <c r="T233" s="318"/>
      <c r="U233" s="305"/>
      <c r="V233" s="304"/>
      <c r="W233" s="297"/>
      <c r="X233" s="300"/>
      <c r="Y233" s="306" t="s">
        <v>1146</v>
      </c>
      <c r="Z233" s="319"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318" t="s">
        <v>56</v>
      </c>
      <c r="T234" s="318"/>
      <c r="U234" s="305"/>
      <c r="V234" s="304">
        <v>45687</v>
      </c>
      <c r="W234" s="297"/>
      <c r="X234" s="300"/>
      <c r="Y234" s="306" t="s">
        <v>1146</v>
      </c>
      <c r="Z234" s="320"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4</v>
      </c>
      <c r="O254" s="193">
        <f t="shared" si="4"/>
        <v>0</v>
      </c>
      <c r="P254" s="193">
        <f t="shared" si="4"/>
        <v>8</v>
      </c>
      <c r="Q254" s="193">
        <f t="shared" si="4"/>
        <v>18</v>
      </c>
      <c r="R254" s="193">
        <f t="shared" si="4"/>
        <v>128</v>
      </c>
      <c r="S254" s="195">
        <f t="shared" si="4"/>
        <v>17</v>
      </c>
      <c r="T254" s="195">
        <f t="shared" si="4"/>
        <v>50</v>
      </c>
      <c r="U254" s="260"/>
      <c r="V254" s="330" t="s">
        <v>17</v>
      </c>
      <c r="W254" s="330"/>
      <c r="X254" s="331"/>
      <c r="Y254" s="196" t="s">
        <v>411</v>
      </c>
      <c r="Z254" s="197">
        <f>SUM(I254:T254)</f>
        <v>229</v>
      </c>
    </row>
    <row r="255" spans="1:27" s="238" customFormat="1" ht="12" customHeight="1" x14ac:dyDescent="0.25">
      <c r="A255" s="198"/>
      <c r="B255" s="231" t="s">
        <v>412</v>
      </c>
      <c r="C255" s="200">
        <f>Z256</f>
        <v>234</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1</v>
      </c>
      <c r="O255" s="203">
        <f t="shared" si="5"/>
        <v>0</v>
      </c>
      <c r="P255" s="203">
        <f t="shared" si="5"/>
        <v>0</v>
      </c>
      <c r="Q255" s="203">
        <f t="shared" si="5"/>
        <v>0</v>
      </c>
      <c r="R255" s="203">
        <f t="shared" si="5"/>
        <v>2</v>
      </c>
      <c r="S255" s="205">
        <f t="shared" si="5"/>
        <v>2</v>
      </c>
      <c r="T255" s="205">
        <f t="shared" si="5"/>
        <v>0</v>
      </c>
      <c r="U255" s="261"/>
      <c r="V255" s="332"/>
      <c r="W255" s="332"/>
      <c r="X255" s="333"/>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5</v>
      </c>
      <c r="O256" s="203">
        <f t="shared" si="7"/>
        <v>0</v>
      </c>
      <c r="P256" s="203">
        <f t="shared" si="7"/>
        <v>8</v>
      </c>
      <c r="Q256" s="203">
        <f t="shared" si="7"/>
        <v>18</v>
      </c>
      <c r="R256" s="203">
        <f t="shared" ref="R256" si="8">R254+R255</f>
        <v>130</v>
      </c>
      <c r="S256" s="205">
        <f t="shared" ref="S256:T256" si="9">S254+S255</f>
        <v>19</v>
      </c>
      <c r="T256" s="205">
        <f t="shared" si="9"/>
        <v>50</v>
      </c>
      <c r="U256" s="262"/>
      <c r="V256" s="336">
        <f>COUNTA(V3:V253)</f>
        <v>210</v>
      </c>
      <c r="W256" s="338">
        <f>COUNTA(W3:W253)</f>
        <v>25</v>
      </c>
      <c r="X256" s="340">
        <f>COUNTA(X3:X253)</f>
        <v>20</v>
      </c>
      <c r="Y256" s="212" t="s">
        <v>411</v>
      </c>
      <c r="Z256" s="207">
        <f t="shared" si="6"/>
        <v>234</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7"/>
      <c r="W257" s="339"/>
      <c r="X257" s="34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B76E3F-1B94-433E-BD75-C35F37F6A9A8}"/>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http://www.w3.org/XML/1998/namespace"/>
    <ds:schemaRef ds:uri="925fb8bf-6124-4564-9086-bab0bf327637"/>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cc94ae7b-2025-4ffb-bd04-1297cd213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2025-01-30T00:16:30Z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