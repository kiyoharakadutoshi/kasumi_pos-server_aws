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647" documentId="8_{FFF5661D-D548-493C-B837-0D721489715B}" xr6:coauthVersionLast="47" xr6:coauthVersionMax="47" xr10:uidLastSave="{ED74F82D-54BF-443D-93A3-81272ECF4EE5}"/>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<sst xmlns="http://schemas.openxmlformats.org/spreadsheetml/2006/main" count="5671" uniqueCount="1155">
  <si>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</si>
  <si>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</si>
  <si>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</si>
  <si>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</si>
  <si>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</si>
  <si>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</si>
  <si>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</si>
  <si>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</si>
  <si>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</si>
  <si>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</si>
  <si>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</si>
  <si>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</si>
  <si>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</si>
  <si>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</si>
  <si>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</si>
  <si>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</si>
  <si>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</si>
  <si>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</si>
  <si>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</si>
  <si>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</si>
  <si>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</si>
  <si>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</si>
  <si>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</si>
  <si>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</si>
  <si>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</si>
  <si>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</si>
  <si>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</si>
  <si>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</si>
  <si>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</si>
  <si>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</si>
  <si>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</si>
  <si>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</si>
  <si>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</si>
  <si>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</si>
  <si>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</si>
  <si>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</si>
  <si>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</si>
  <si>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</si>
  <si>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</si>
  <si>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</si>
  <si>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</si>
  <si>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</si>
  <si>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</si>
  <si>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</si>
  <si>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</si>
  <si>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</si>
  <si>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</si>
  <si>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</si>
  <si>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</si>
  <si>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</si>
  <si>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</si>
  <si>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</si>
  <si>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</si>
  <si>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</si>
  <si>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</si>
  <si>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</si>
  <si>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</si>
  <si>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</si>
  <si>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</si>
  <si>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</si>
  <si>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</si>
  <si>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</si>
  <si>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</si>
  <si>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</si>
  <si>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</si>
  <si>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</si>
  <si>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</si>
  <si>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</si>
  <si>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</si>
  <si>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</si>
  <si>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</si>
  <si>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</si>
  <si>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</si>
  <si>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</si>
  <si>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</si>
  <si>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</si>
  <si>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</si>
  <si>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</si>
  <si>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</si>
  <si>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</si>
  <si>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</si>
  <si>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</si>
  <si>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</si>
  <si>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</si>
  <si>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</si>
  <si>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</si>
  <si>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</si>
  <si>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</si>
  <si>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</si>
  <si>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</si>
  <si>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</si>
  <si>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</si>
  <si>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</si>
  <si>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</si>
  <si>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</si>
  <si>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</si>
  <si>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</si>
  <si>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</si>
  <si>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</si>
  <si>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</si>
  <si>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</si>
  <si>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</si>
  <si>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</si>
  <si>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</si>
  <si>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</si>
  <si>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</si>
  <si>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</si>
  <si>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</si>
  <si>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</si>
  <si>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</si>
  <si>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</si>
  <si>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</si>
  <si>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</si>
  <si>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</si>
  <si>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</si>
  <si>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</si>
  <si>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</si>
  <si>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</si>
  <si>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</si>
  <si>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</si>
  <si>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</si>
  <si>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</si>
  <si>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</si>
  <si>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</si>
  <si>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</si>
  <si>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</si>
  <si>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</si>
  <si>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</si>
  <si>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</si>
  <si>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</si>
  <si>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</si>
  <si>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</si>
  <si>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</si>
  <si>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</si>
  <si>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</si>
  <si>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</si>
  <si>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</si>
  <si>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</si>
  <si>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</si>
  <si>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</si>
  <si>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</si>
  <si>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</si>
  <si>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</si>
  <si>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</si>
  <si>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</si>
  <si>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</si>
  <si>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</si>
  <si>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</si>
  <si>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</si>
  <si>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</si>
  <si>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</si>
  <si>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</si>
  <si>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</si>
  <si>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</si>
  <si>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</si>
  <si>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</si>
  <si>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</si>
  <si>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</si>
  <si>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</si>
  <si>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</si>
  <si>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</si>
  <si>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</si>
  <si>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</si>
  <si>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</si>
  <si>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</si>
  <si>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</si>
  <si>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</si>
  <si>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</si>
  <si>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</si>
  <si>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</si>
  <si>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</si>
  <si>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</si>
  <si>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</si>
  <si>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</si>
  <si>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</si>
  <si>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</si>
  <si>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</si>
  <si>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</si>
  <si>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</si>
  <si>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</si>
  <si>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</si>
  <si>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</si>
  <si>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</si>
  <si>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</si>
  <si>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</si>
  <si>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</si>
  <si>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</si>
  <si>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</si>
  <si>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</si>
  <si>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</si>
  <si>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</si>
  <si>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</si>
  <si>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</si>
  <si>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</si>
  <si>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</si>
  <si>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</si>
  <si>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</si>
  <si>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</si>
  <si>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</si>
  <si>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</si>
  <si>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</si>
  <si>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</si>
  <si>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</si>
  <si>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</si>
  <si>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</si>
  <si>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</si>
  <si>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</si>
  <si>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</si>
  <si>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</si>
  <si>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</si>
  <si>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</si>
  <si>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</si>
  <si>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</si>
  <si>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</si>
  <si>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</si>
  <si>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</si>
  <si>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</si>
  <si>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</si>
  <si>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</si>
  <si>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</si>
  <si>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</si>
  <si>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</si>
  <si>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</si>
  <si>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</si>
  <si>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</si>
  <si>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</si>
  <si>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</si>
  <si>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</si>
  <si>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</si>
  <si>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</si>
  <si>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</si>
  <si>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</si>
  <si>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</si>
  <si>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</si>
  <si>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</si>
  <si>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</si>
  <si>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</si>
  <si>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</si>
  <si>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</si>
  <si>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</si>
  <si>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</si>
  <si>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</si>
  <si>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</si>
  <si>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</si>
  <si>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</si>
  <si>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</si>
  <si>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</si>
  <si>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</si>
  <si>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</si>
  <si>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</si>
  <si>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</si>
  <si>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</si>
  <si>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</si>
  <si>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</si>
  <si>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</si>
  <si>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</si>
  <si>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</si>
  <si>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</si>
  <si>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</si>
  <si>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</si>
  <si>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</si>
  <si>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</si>
  <si>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</si>
  <si>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</si>
  <si>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</si>
  <si>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</si>
  <si>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</si>
  <si>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</si>
  <si>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</si>
  <si>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</si>
  <si>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</si>
  <si>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</si>
  <si>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</si>
  <si>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</si>
  <si>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</si>
  <si>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</si>
  <si>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</si>
  <si>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</si>
  <si>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</si>
  <si>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</si>
  <si>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</si>
  <si>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</si>
  <si>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</si>
  <si>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</si>
  <si>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</si>
  <si>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</si>
  <si>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</si>
  <si>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</si>
  <si>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</si>
  <si>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</si>
  <si>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</si>
  <si>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</si>
  <si>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</si>
  <si>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</si>
  <si>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</si>
  <si>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</si>
  <si>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</si>
  <si>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</si>
  <si>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</si>
  <si>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</si>
  <si>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</si>
  <si>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</si>
  <si>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</si>
  <si>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</si>
  <si>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</si>
  <si>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</si>
  <si>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</si>
  <si>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</si>
  <si>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</si>
  <si>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</si>
  <si>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</si>
  <si>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</si>
  <si>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</si>
  <si>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</si>
  <si>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</si>
  <si>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</si>
  <si>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</si>
  <si>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</si>
  <si>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</si>
  <si>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</si>
  <si>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</si>
  <si>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</si>
  <si>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</si>
  <si>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</si>
  <si>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</si>
  <si>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</si>
  <si>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</si>
  <si>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</si>
  <si>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</si>
  <si>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</si>
  <si>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</si>
  <si>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</si>
  <si>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</si>
  <si>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</si>
  <si>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</si>
  <si>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</si>
  <si>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</si>
  <si>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</si>
  <si>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</si>
  <si>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</si>
  <si>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</si>
  <si>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</si>
  <si>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</si>
  <si>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</si>
  <si>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</si>
  <si>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</si>
  <si>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</si>
  <si>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</si>
  <si>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</si>
  <si>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</si>
  <si>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</si>
  <si>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</si>
  <si>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</si>
  <si>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</si>
  <si>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</si>
  <si>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</si>
  <si>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</si>
  <si>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</si>
  <si>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</si>
  <si>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</si>
  <si>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</si>
  <si>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</si>
  <si>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</si>
  <si>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</si>
  <si>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</si>
  <si>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</si>
  <si>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</si>
  <si>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</si>
  <si>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</si>
  <si>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</si>
  <si>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</si>
  <si>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</si>
  <si>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</si>
  <si>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</si>
  <si>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</si>
  <si>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</si>
  <si>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</si>
  <si>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</si>
  <si>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</si>
  <si>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</si>
  <si>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</si>
  <si>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</si>
  <si>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</si>
  <si>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</si>
  <si>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</si>
  <si>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</si>
  <si>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</si>
  <si>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</si>
  <si>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</si>
  <si>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</si>
  <si>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</si>
  <si>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</si>
  <si>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</si>
  <si>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</si>
  <si>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</si>
  <si>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</si>
  <si>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</si>
  <si>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</si>
  <si>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</si>
  <si>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</si>
  <si>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</si>
  <si>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</si>
  <si>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</si>
  <si>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</si>
  <si>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</si>
  <si>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</si>
  <si>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</si>
  <si>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</si>
  <si>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</si>
  <si>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</si>
  <si>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</si>
  <si>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</si>
  <si>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</si>
  <si>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</si>
  <si>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</si>
  <si>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</si>
  <si>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</si>
  <si>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</si>
  <si>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</si>
  <si>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</si>
  <si>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</si>
  <si>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</si>
  <si>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</si>
  <si>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</si>
  <si>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</si>
  <si>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</si>
  <si>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</si>
  <si>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</si>
  <si>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</si>
  <si>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</si>
  <si>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</si>
  <si>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</si>
  <si>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</si>
  <si>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</si>
  <si>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</si>
  <si>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</si>
  <si>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</si>
  <si>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</si>
  <si>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</si>
  <si>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</si>
  <si>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</si>
  <si>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</si>
  <si>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</si>
  <si>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</si>
  <si>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</si>
  <si>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</si>
  <si>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</si>
  <si>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</si>
  <si>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</si>
  <si>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</si>
  <si>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</si>
  <si>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</si>
  <si>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</si>
  <si>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</si>
  <si>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</si>
  <si>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</si>
  <si>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</si>
  <si>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</si>
  <si>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</si>
  <si>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</si>
  <si>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</si>
  <si>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</si>
  <si>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</si>
  <si>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</si>
  <si>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</si>
  <si>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</si>
  <si>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</si>
  <si>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</si>
  <si>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</si>
  <si>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</si>
  <si>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</si>
  <si>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</si>
  <si>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</si>
  <si>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</si>
  <si>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</si>
  <si>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</si>
  <si>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</si>
  <si>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</si>
  <si>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</si>
  <si>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</si>
  <si>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</si>
  <si>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</si>
  <si>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</si>
  <si>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</si>
  <si>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</si>
  <si>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</si>
  <si>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</si>
  <si>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</si>
  <si>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</si>
  <si>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</si>
  <si>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</si>
  <si>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</si>
  <si>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</si>
  <si>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</si>
  <si>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</si>
  <si>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</si>
  <si>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</si>
  <si>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</si>
  <si>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</si>
  <si>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</si>
  <si>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</si>
  <si>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</si>
  <si>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</si>
  <si>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</si>
  <si>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</si>
  <si>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</si>
  <si>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</si>
  <si>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</si>
  <si>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</si>
  <si>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</si>
  <si>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</si>
  <si>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</si>
  <si>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</si>
  <si>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</si>
  <si>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</si>
  <si>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</si>
  <si>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</si>
  <si>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</si>
  <si>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</si>
  <si>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</si>
  <si>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</si>
  <si>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</si>
  <si>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</si>
  <si>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</si>
  <si>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</si>
  <si>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</si>
  <si>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</si>
  <si>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</si>
  <si>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</si>
  <si>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</si>
  <si>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</si>
  <si>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</si>
  <si>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</si>
  <si>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</si>
  <si>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</si>
  <si>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</si>
  <si>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</si>
  <si>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</si>
  <si>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</si>
  <si>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</si>
  <si>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</si>
  <si>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</si>
  <si>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</si>
  <si>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</si>
  <si>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</si>
  <si>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</si>
  <si>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</si>
  <si>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</si>
  <si>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</si>
  <si>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</si>
  <si>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</si>
  <si>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</si>
  <si>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</si>
  <si>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</si>
  <si>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</si>
  <si>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</si>
  <si>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</si>
  <si>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</si>
  <si>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</si>
  <si>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</si>
  <si>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</si>
  <si>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</si>
  <si>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</si>
  <si>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</si>
  <si>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</si>
  <si>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</si>
  <si>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</si>
  <si>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</si>
  <si>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</si>
  <si>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</si>
  <si>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</si>
  <si>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</si>
  <si>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</si>
  <si>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</si>
  <si>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</si>
  <si>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</si>
  <si>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</si>
  <si>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</si>
  <si>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</si>
  <si>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</si>
  <si>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</si>
  <si>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</si>
  <si>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</si>
  <si>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</si>
  <si>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</si>
  <si>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</si>
  <si>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</si>
  <si>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</si>
  <si>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</si>
  <si>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</si>
  <si>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</si>
  <si>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</si>
  <si>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</si>
  <si>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</si>
  <si>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</si>
  <si>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</si>
  <si>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</si>
  <si>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</si>
  <si>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</si>
  <si>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</si>
  <si>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</si>
  <si>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</si>
  <si>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</si>
  <si>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</si>
  <si>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</si>
  <si>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</si>
  <si>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</si>
  <si>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</si>
  <si>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</si>
  <si>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</si>
  <si>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</si>
  <si>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</si>
  <si>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</si>
  <si>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</si>
  <si>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</si>
  <si>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</si>
  <si>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</si>
  <si>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</si>
  <si>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</si>
  <si>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</si>
  <si>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</si>
  <si>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</si>
  <si>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</si>
  <si>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</si>
  <si>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</si>
  <si>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</si>
  <si>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</si>
  <si>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</si>
  <si>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</si>
  <si>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</si>
  <si>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</si>
  <si>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</si>
  <si>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</si>
  <si>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</si>
  <si>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</si>
  <si>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</si>
  <si>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</si>
  <si>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</si>
  <si>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</si>
  <si>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</si>
  <si>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</si>
  <si>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</si>
  <si>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</si>
  <si>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</si>
  <si>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</si>
  <si>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</si>
  <si>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</si>
  <si>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</si>
  <si>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</si>
  <si>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</si>
  <si>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</si>
  <si>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</si>
  <si>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</si>
  <si>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</si>
  <si>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</si>
  <si>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</si>
  <si>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</si>
  <si>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</si>
  <si>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</si>
  <si>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</si>
  <si>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</si>
  <si>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</si>
  <si>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</si>
  <si>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</si>
  <si>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</si>
  <si>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</si>
  <si>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</si>
  <si>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</si>
  <si>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</si>
  <si>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</si>
  <si>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</si>
  <si>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</si>
  <si>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</si>
  <si>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</si>
  <si>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</si>
  <si>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</si>
  <si>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</si>
  <si>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</si>
  <si>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</si>
  <si>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</si>
  <si>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</si>
  <si>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</si>
  <si>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</si>
  <si>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</si>
  <si>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</si>
  <si>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</si>
  <si>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</si>
  <si>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</si>
  <si>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</si>
  <si>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</si>
  <si>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</si>
  <si>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</si>
  <si>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</si>
  <si>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</si>
  <si>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</si>
  <si>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</si>
  <si>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</si>
  <si>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</si>
  <si>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</si>
  <si>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</si>
  <si>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</si>
  <si>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</si>
  <si>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</si>
  <si>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</si>
  <si>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</si>
  <si>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</si>
  <si>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</si>
  <si>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</si>
  <si>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</si>
  <si>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</si>
  <si>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</si>
  <si>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</si>
  <si>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</si>
  <si>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</si>
  <si>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</si>
  <si>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</si>
  <si>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</si>
  <si>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</si>
  <si>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</si>
  <si>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</si>
  <si>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</si>
  <si>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</si>
  <si>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</si>
  <si>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</si>
  <si>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</si>
  <si>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</si>
  <si>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</si>
  <si>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</si>
  <si>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</si>
  <si>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</si>
  <si>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</si>
  <si>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</si>
  <si>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</si>
  <si>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</si>
  <si>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</si>
  <si>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</si>
  <si>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</si>
  <si>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</si>
  <si>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</si>
  <si>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</si>
  <si>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</si>
  <si>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</si>
  <si>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</si>
  <si>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</si>
  <si>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</si>
  <si>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</si>
  <si>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</si>
  <si>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</si>
  <si>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</si>
  <si>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</si>
  <si>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</si>
  <si>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</si>
  <si>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</si>
  <si>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</si>
  <si>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</si>
  <si>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</si>
  <si>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</si>
  <si>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</si>
  <si>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</si>
  <si>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</si>
  <si>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</si>
  <si>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</si>
  <si>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</si>
  <si>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</si>
  <si>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</si>
  <si>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</si>
  <si>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</si>
  <si>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</si>
  <si>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</si>
  <si>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</si>
  <si>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</si>
  <si>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</si>
  <si>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</si>
  <si>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</si>
  <si>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</si>
  <si>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</si>
  <si>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</si>
  <si>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</si>
  <si>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</si>
  <si>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</si>
  <si>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</si>
  <si>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</si>
  <si>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</si>
  <si>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</si>
  <si>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</si>
  <si>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</si>
  <si>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</si>
  <si>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</si>
  <si>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</si>
  <si>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</si>
  <si>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</si>
  <si>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</si>
  <si>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</si>
  <si>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</si>
  <si>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</si>
  <si>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</si>
  <si>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</si>
  <si>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</si>
  <si>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</si>
  <si>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</si>
  <si>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</si>
  <si>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</si>
  <si>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</si>
  <si>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</si>
  <si>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</si>
  <si>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</si>
  <si>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</si>
  <si>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</si>
  <si>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</si>
  <si>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</si>
  <si>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</si>
  <si>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</si>
  <si>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</si>
  <si>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</si>
  <si>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</si>
  <si>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</si>
  <si>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</si>
  <si>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</si>
  <si>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</si>
  <si>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</si>
  <si>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</si>
  <si>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</si>
  <si>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</si>
  <si>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</si>
  <si>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</si>
  <si>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</si>
  <si>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</si>
  <si>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</si>
  <si>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</si>
  <si>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</si>
  <si>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</si>
  <si>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</si>
  <si>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</si>
  <si>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</si>
  <si>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</si>
  <si>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</si>
  <si>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</si>
  <si>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</si>
  <si>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</si>
  <si>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</si>
  <si>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</si>
  <si>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</si>
  <si>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</si>
  <si>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</si>
  <si>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</si>
  <si>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</si>
  <si>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</si>
  <si>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</si>
  <si>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</si>
  <si>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</si>
  <si>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</si>
  <si>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</si>
  <si>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</si>
  <si>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</si>
  <si>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</si>
  <si>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</si>
  <si>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</si>
  <si>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</si>
  <si>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</si>
  <si>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</si>
  <si>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</si>
  <si>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</si>
  <si>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</si>
  <si>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</si>
  <si>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</si>
  <si>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</si>
  <si>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</si>
  <si>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</si>
  <si>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</si>
  <si>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</si>
  <si>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</si>
  <si>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</si>
  <si>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</si>
  <si>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</si>
  <si>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</si>
  <si>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</si>
  <si>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</si>
  <si>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</si>
  <si>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</si>
  <si>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</si>
  <si>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</si>
  <si>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</si>
  <si>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</si>
  <si>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</si>
  <si>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</si>
  <si>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</si>
  <si>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</si>
  <si>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</si>
  <si>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</si>
  <si>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</si>
  <si>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</si>
  <si>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</si>
  <si>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</si>
  <si>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</si>
  <si>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</si>
  <si>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</si>
  <si>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</si>
  <si>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</si>
  <si>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</si>
  <si>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</si>
  <si>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</si>
  <si>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</si>
  <si>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</si>
  <si>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</si>
  <si>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</si>
  <si>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</si>
  <si>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</si>
  <si>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</si>
  <si>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</si>
  <si>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</si>
  <si>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</si>
  <si>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</si>
  <si>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</si>
  <si>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</si>
  <si>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</si>
  <si>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</si>
  <si>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</si>
  <si>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</si>
  <si>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</si>
  <si>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</si>
  <si>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</si>
  <si>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</si>
  <si>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</si>
  <si>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</si>
  <si>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</si>
  <si>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</si>
  <si>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</si>
  <si>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</si>
  <si>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</si>
  <si>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</si>
  <si>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</si>
  <si>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</si>
  <si>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</si>
  <si>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</si>
  <si>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</si>
  <si>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</si>
  <si>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</si>
  <si>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</si>
  <si>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</si>
  <si>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</si>
  <si>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</si>
  <si>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</si>
  <si>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</si>
  <si>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</si>
  <si>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</si>
  <si>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</si>
  <si>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</si>
  <si>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</si>
  <si>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</si>
  <si>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</si>
  <si>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</si>
  <si>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</si>
  <si>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</si>
  <si>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</si>
  <si>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</si>
  <si>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</si>
  <si>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</si>
  <si>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</si>
  <si>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</si>
  <si>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</si>
  <si>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</si>
  <si>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</si>
  <si>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</si>
  <si>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</si>
  <si>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</si>
  <si>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</si>
  <si>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</si>
  <si>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</si>
  <si>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</si>
  <si>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</si>
  <si>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</si>
  <si>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</si>
  <si>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</si>
  <si>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</si>
  <si>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</si>
  <si>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</si>
  <si>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</si>
  <si>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</si>
  <si>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</si>
  <si>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</si>
  <si>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</si>
  <si>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</si>
  <si>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</si>
  <si>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</si>
  <si>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</si>
  <si>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</si>
  <si>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</si>
  <si>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</si>
  <si>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</si>
  <si>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</si>
  <si>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</si>
  <si>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</si>
  <si>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</si>
  <si>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</si>
  <si>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</si>
  <si>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</si>
  <si>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</si>
  <si>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</si>
  <si>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</si>
  <si>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</si>
  <si>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</si>
  <si>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</si>
  <si>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</si>
  <si>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</si>
  <si>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</si>
  <si>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</si>
  <si>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</si>
  <si>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</si>
  <si>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</si>
  <si>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</si>
  <si>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</si>
  <si>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</si>
  <si>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</si>
  <si>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</si>
  <si>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</si>
  <si>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</si>
  <si>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</si>
  <si>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</si>
  <si>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</si>
  <si>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</si>
  <si>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</si>
  <si>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</si>
  <si>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</si>
  <si>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</si>
  <si>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</si>
  <si>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</si>
  <si>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</si>
  <si>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</si>
  <si>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</si>
  <si>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</si>
  <si>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</si>
  <si>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</si>
  <si>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</si>
  <si>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</si>
  <si>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</si>
  <si>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</si>
  <si>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</si>
  <si>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</si>
  <si>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</si>
  <si>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</si>
  <si>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</si>
  <si>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</si>
  <si>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</si>
  <si>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</si>
  <si>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</si>
  <si>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</si>
  <si>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</si>
  <si>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</si>
  <si>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</si>
  <si>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</si>
  <si>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</si>
  <si>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</si>
  <si>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</si>
  <si>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</si>
  <si>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</si>
  <si>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</si>
  <si>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</si>
  <si>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</si>
  <si>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</si>
  <si>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</si>
  <si>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</si>
  <si>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</si>
  <si>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</si>
  <si>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</si>
  <si>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</si>
  <si>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</si>
  <si>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</si>
  <si>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</si>
  <si>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</si>
  <si>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</si>
  <si>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</si>
  <si>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</si>
  <si>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</si>
  <si>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</si>
  <si>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</si>
  <si>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</si>
  <si>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</si>
  <si>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</si>
  <si>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</si>
  <si>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</si>
  <si>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</si>
  <si>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</si>
  <si>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</si>
  <si>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</si>
  <si>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</si>
  <si>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</si>
  <si>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</si>
  <si>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</si>
  <si>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</si>
  <si>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</si>
  <si>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</si>
  <si>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</si>
  <si>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</si>
  <si>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</si>
  <si>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</si>
  <si>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</si>
  <si>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</si>
  <si>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</si>
  <si>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</si>
  <si>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</si>
  <si>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</si>
  <si>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</si>
  <si>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</si>
  <si>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</si>
  <si>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</si>
  <si>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</si>
  <si>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</si>
  <si>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</si>
  <si>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</si>
  <si>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</si>
  <si>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</si>
  <si>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</si>
  <si>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</si>
  <si>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</si>
  <si>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</si>
  <si>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</si>
  <si>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</si>
  <si>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</si>
  <si>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</si>
  <si>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</si>
  <si>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</si>
  <si>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</si>
  <si>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</si>
  <si>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</si>
  <si>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</si>
  <si>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</si>
  <si>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</si>
  <si>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</si>
  <si>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</si>
  <si>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</si>
  <si>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</si>
  <si>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</si>
  <si>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</si>
  <si>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</si>
  <si>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</si>
  <si>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</si>
  <si>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</si>
  <si>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</si>
  <si>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</si>
  <si>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</si>
  <si>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</si>
  <si>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</si>
  <si>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</si>
  <si>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</si>
  <si>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t>◯</t>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</si>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</sst>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6">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501028</xdr:colOff>
      <xdr:row>300</xdr:row>
      <xdr:rowOff>116540</xdr:rowOff>
    </xdr:from>
    <xdr:to>
      <xdr:col>21</xdr:col>
      <xdr:colOff>88651</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7959295" y="43465873"/>
          <a:ext cx="713689" cy="3057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274420</xdr:colOff>
      <xdr:row>295</xdr:row>
      <xdr:rowOff>25399</xdr:rowOff>
    </xdr:from>
    <xdr:to>
      <xdr:col>24</xdr:col>
      <xdr:colOff>1619127</xdr:colOff>
      <xdr:row>298</xdr:row>
      <xdr:rowOff>33866</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9857820" y="42655066"/>
          <a:ext cx="1801907" cy="440267"/>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endParaRPr kumimoji="1" lang="en-US" altLang="ja-JP" sz="1100" b="1">
            <a:solidFill>
              <a:srgbClr val="FF0000"/>
            </a:solidFill>
          </a:endParaRPr>
        </a:p>
        <a:p>
          <a:pPr algn="l"/>
          <a:r>
            <a:rPr kumimoji="1" lang="ja-JP" altLang="en-US" sz="1100" b="1">
              <a:solidFill>
                <a:srgbClr val="FF0000"/>
              </a:solidFill>
            </a:rPr>
            <a:t>→蒲田で確認？</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週で</a:t>
          </a:r>
        </a:p>
      </xdr:txBody>
    </xdr:sp>
    <xdr:clientData/>
  </xdr:twoCellAnchor>
  <xdr:twoCellAnchor>
    <xdr:from>
      <xdr:col>19</xdr:col>
      <xdr:colOff>541866</xdr:colOff>
      <xdr:row>332</xdr:row>
      <xdr:rowOff>93133</xdr:rowOff>
    </xdr:from>
    <xdr:to>
      <xdr:col>20</xdr:col>
      <xdr:colOff>558800</xdr:colOff>
      <xdr:row>334</xdr:row>
      <xdr:rowOff>16933</xdr:rowOff>
    </xdr:to>
    <xdr:sp macro="" textlink="">
      <xdr:nvSpPr>
        <xdr:cNvPr id="10" name="正方形/長方形 9">
          <a:extLst>
            <a:ext uri="{FF2B5EF4-FFF2-40B4-BE49-F238E27FC236}">
              <a16:creationId xmlns:a16="http://schemas.microsoft.com/office/drawing/2014/main" id="{E7DCDDAA-2278-DDDD-EC2F-A3E236F6A66F}"/>
            </a:ext>
          </a:extLst>
        </xdr:cNvPr>
        <xdr:cNvSpPr/>
      </xdr:nvSpPr>
      <xdr:spPr>
        <a:xfrm>
          <a:off x="18000133" y="48048333"/>
          <a:ext cx="567267" cy="2116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74209</xdr:colOff>
      <xdr:row>323</xdr:row>
      <xdr:rowOff>39844</xdr:rowOff>
    </xdr:from>
    <xdr:to>
      <xdr:col>24</xdr:col>
      <xdr:colOff>1750609</xdr:colOff>
      <xdr:row>328</xdr:row>
      <xdr:rowOff>30879</xdr:rowOff>
    </xdr:to>
    <xdr:sp macro="" textlink="">
      <xdr:nvSpPr>
        <xdr:cNvPr id="12" name="吹き出し: 折線 2">
          <a:extLst>
            <a:ext uri="{FF2B5EF4-FFF2-40B4-BE49-F238E27FC236}">
              <a16:creationId xmlns:a16="http://schemas.microsoft.com/office/drawing/2014/main" id="{9EDABA96-8833-471F-A35B-DCD98E3EC5F6}"/>
            </a:ext>
          </a:extLst>
        </xdr:cNvPr>
        <xdr:cNvSpPr/>
      </xdr:nvSpPr>
      <xdr:spPr>
        <a:xfrm>
          <a:off x="19657609" y="46699644"/>
          <a:ext cx="2133600" cy="710702"/>
        </a:xfrm>
        <a:prstGeom prst="borderCallout2">
          <a:avLst>
            <a:gd name="adj1" fmla="val 18750"/>
            <a:gd name="adj2" fmla="val -8333"/>
            <a:gd name="adj3" fmla="val 18750"/>
            <a:gd name="adj4" fmla="val -16667"/>
            <a:gd name="adj5" fmla="val 194032"/>
            <a:gd name="adj6" fmla="val -54468"/>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a:t>
          </a:r>
          <a:r>
            <a:rPr kumimoji="1" lang="ja-JP" altLang="en-US" sz="1100" b="1">
              <a:solidFill>
                <a:srgbClr val="FF0000"/>
              </a:solidFill>
            </a:rPr>
            <a:t>変換サーバ改修待ち</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116543</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4717118"/>
          <a:ext cx="648820" cy="137888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75</xdr:row>
      <xdr:rowOff>54349</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1485900</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555813</xdr:colOff>
      <xdr:row>78</xdr:row>
      <xdr:rowOff>128866</xdr:rowOff>
    </xdr:from>
    <xdr:to>
      <xdr:col>22</xdr:col>
      <xdr:colOff>125508</xdr:colOff>
      <xdr:row>85</xdr:row>
      <xdr:rowOff>93008</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5557688" y="11444566"/>
          <a:ext cx="693645" cy="9642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358587</xdr:colOff>
      <xdr:row>74</xdr:row>
      <xdr:rowOff>32496</xdr:rowOff>
    </xdr:from>
    <xdr:to>
      <xdr:col>25</xdr:col>
      <xdr:colOff>1703294</xdr:colOff>
      <xdr:row>78</xdr:row>
      <xdr:rowOff>68356</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7532162" y="10776696"/>
          <a:ext cx="1801907" cy="607360"/>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メルペイ以外</a:t>
          </a:r>
          <a:r>
            <a:rPr kumimoji="1" lang="en-US" altLang="ja-JP" sz="1100" b="1">
              <a:solidFill>
                <a:srgbClr val="FF0000"/>
              </a:solidFill>
            </a:rPr>
            <a:t>OK</a:t>
          </a:r>
        </a:p>
        <a:p>
          <a:pPr algn="l"/>
          <a:r>
            <a:rPr kumimoji="1" lang="ja-JP" altLang="en-US" sz="1100" b="1">
              <a:solidFill>
                <a:srgbClr val="FF0000"/>
              </a:solidFill>
            </a:rPr>
            <a:t>→比較テスト後に確認</a:t>
          </a:r>
          <a:endParaRPr kumimoji="1" lang="en-US" altLang="ja-JP" sz="1100" b="1">
            <a:solidFill>
              <a:srgbClr val="FF0000"/>
            </a:solidFill>
          </a:endParaRPr>
        </a:p>
      </xdr:txBody>
    </xdr:sp>
    <xdr:clientData/>
  </xdr:twoCellAnchor>
  <xdr:twoCellAnchor>
    <xdr:from>
      <xdr:col>20</xdr:col>
      <xdr:colOff>564217</xdr:colOff>
      <xdr:row>140</xdr:row>
      <xdr:rowOff>115980</xdr:rowOff>
    </xdr:from>
    <xdr:to>
      <xdr:col>22</xdr:col>
      <xdr:colOff>98052</xdr:colOff>
      <xdr:row>144</xdr:row>
      <xdr:rowOff>26334</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198903</xdr:colOff>
      <xdr:row>131</xdr:row>
      <xdr:rowOff>99172</xdr:rowOff>
    </xdr:from>
    <xdr:to>
      <xdr:col>25</xdr:col>
      <xdr:colOff>1543610</xdr:colOff>
      <xdr:row>136</xdr:row>
      <xdr:rowOff>135032</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72478" y="189872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545166</xdr:colOff>
      <xdr:row>220</xdr:row>
      <xdr:rowOff>107577</xdr:rowOff>
    </xdr:from>
    <xdr:to>
      <xdr:col>22</xdr:col>
      <xdr:colOff>79001</xdr:colOff>
      <xdr:row>224</xdr:row>
      <xdr:rowOff>114300</xdr:rowOff>
    </xdr:to>
    <xdr:sp macro="" textlink="">
      <xdr:nvSpPr>
        <xdr:cNvPr id="2" name="正方形/長方形 1">
          <a:extLst>
            <a:ext uri="{FF2B5EF4-FFF2-40B4-BE49-F238E27FC236}">
              <a16:creationId xmlns:a16="http://schemas.microsoft.com/office/drawing/2014/main" id="{5B8C956B-1FC8-9025-1F74-E7346217CD3F}"/>
            </a:ext>
          </a:extLst>
        </xdr:cNvPr>
        <xdr:cNvSpPr/>
      </xdr:nvSpPr>
      <xdr:spPr>
        <a:xfrm>
          <a:off x="15547041" y="31711527"/>
          <a:ext cx="657785" cy="5782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211790</xdr:colOff>
      <xdr:row>209</xdr:row>
      <xdr:rowOff>114300</xdr:rowOff>
    </xdr:from>
    <xdr:to>
      <xdr:col>25</xdr:col>
      <xdr:colOff>1556497</xdr:colOff>
      <xdr:row>216</xdr:row>
      <xdr:rowOff>85725</xdr:rowOff>
    </xdr:to>
    <xdr:sp macro="" textlink="">
      <xdr:nvSpPr>
        <xdr:cNvPr id="3" name="吹き出し: 折線 2">
          <a:extLst>
            <a:ext uri="{FF2B5EF4-FFF2-40B4-BE49-F238E27FC236}">
              <a16:creationId xmlns:a16="http://schemas.microsoft.com/office/drawing/2014/main" id="{B4B60A0B-CC47-4F4D-B77E-11F28F702A3B}"/>
            </a:ext>
          </a:extLst>
        </xdr:cNvPr>
        <xdr:cNvSpPr/>
      </xdr:nvSpPr>
      <xdr:spPr>
        <a:xfrm>
          <a:off x="17385365" y="30146625"/>
          <a:ext cx="1801907" cy="971550"/>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システム設定変更</a:t>
          </a:r>
          <a:endParaRPr kumimoji="1" lang="en-US" altLang="ja-JP" sz="1100" b="1">
            <a:solidFill>
              <a:srgbClr val="FF0000"/>
            </a:solidFill>
          </a:endParaRPr>
        </a:p>
        <a:p>
          <a:pPr algn="l"/>
          <a:r>
            <a:rPr kumimoji="1" lang="ja-JP" altLang="en-US" sz="1100" b="1">
              <a:solidFill>
                <a:srgbClr val="FF0000"/>
              </a:solidFill>
            </a:rPr>
            <a:t>コロン区切りは確認可能</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300:999</a:t>
          </a:r>
          <a:r>
            <a:rPr kumimoji="1" lang="ja-JP" altLang="en-US" sz="1100" b="1">
              <a:solidFill>
                <a:srgbClr val="FF0000"/>
              </a:solidFill>
            </a:rPr>
            <a:t>→</a:t>
          </a:r>
          <a:r>
            <a:rPr kumimoji="1" lang="en-US" altLang="ja-JP" sz="1100" b="1">
              <a:solidFill>
                <a:srgbClr val="FF0000"/>
              </a:solidFill>
            </a:rPr>
            <a:t>325,326</a:t>
          </a:r>
        </a:p>
        <a:p>
          <a:pPr algn="l"/>
          <a:r>
            <a:rPr kumimoji="1" lang="en-US" altLang="ja-JP" sz="1100" b="1">
              <a:solidFill>
                <a:srgbClr val="FF0000"/>
              </a:solidFill>
            </a:rPr>
            <a:t>2/3</a:t>
          </a:r>
          <a:r>
            <a:rPr kumimoji="1" lang="ja-JP" altLang="en-US" sz="1100" b="1">
              <a:solidFill>
                <a:srgbClr val="FF0000"/>
              </a:solidFill>
            </a:rPr>
            <a:t>に項目確認</a:t>
          </a:r>
          <a:endParaRPr kumimoji="1" lang="en-US" altLang="ja-JP" sz="1100" b="1">
            <a:solidFill>
              <a:srgbClr val="FF0000"/>
            </a:solidFill>
          </a:endParaRPr>
        </a:p>
      </xdr:txBody>
    </xdr:sp>
    <xdr:clientData/>
  </xdr:twoCellAnchor>
  <xdr:twoCellAnchor>
    <xdr:from>
      <xdr:col>20</xdr:col>
      <xdr:colOff>485775</xdr:colOff>
      <xdr:row>243</xdr:row>
      <xdr:rowOff>76200</xdr:rowOff>
    </xdr:from>
    <xdr:to>
      <xdr:col>22</xdr:col>
      <xdr:colOff>104775</xdr:colOff>
      <xdr:row>245</xdr:row>
      <xdr:rowOff>95250</xdr:rowOff>
    </xdr:to>
    <xdr:sp macro="" textlink="">
      <xdr:nvSpPr>
        <xdr:cNvPr id="9" name="正方形/長方形 8">
          <a:extLst>
            <a:ext uri="{FF2B5EF4-FFF2-40B4-BE49-F238E27FC236}">
              <a16:creationId xmlns:a16="http://schemas.microsoft.com/office/drawing/2014/main" id="{49A19911-F33D-8EDE-BEB8-CBC92DE1C814}"/>
            </a:ext>
          </a:extLst>
        </xdr:cNvPr>
        <xdr:cNvSpPr/>
      </xdr:nvSpPr>
      <xdr:spPr>
        <a:xfrm>
          <a:off x="15487650" y="34966275"/>
          <a:ext cx="742950" cy="3048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293593</xdr:colOff>
      <xdr:row>234</xdr:row>
      <xdr:rowOff>16808</xdr:rowOff>
    </xdr:from>
    <xdr:to>
      <xdr:col>25</xdr:col>
      <xdr:colOff>1638300</xdr:colOff>
      <xdr:row>239</xdr:row>
      <xdr:rowOff>7844</xdr:rowOff>
    </xdr:to>
    <xdr:sp macro="" textlink="">
      <xdr:nvSpPr>
        <xdr:cNvPr id="16" name="吹き出し: 折線 15">
          <a:extLst>
            <a:ext uri="{FF2B5EF4-FFF2-40B4-BE49-F238E27FC236}">
              <a16:creationId xmlns:a16="http://schemas.microsoft.com/office/drawing/2014/main" id="{90F9A68B-45E4-4D80-AA1E-E62A0D17A422}"/>
            </a:ext>
          </a:extLst>
        </xdr:cNvPr>
        <xdr:cNvSpPr/>
      </xdr:nvSpPr>
      <xdr:spPr>
        <a:xfrm>
          <a:off x="17467168" y="33621008"/>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比較テスト終了後確認</a:t>
          </a:r>
          <a:endParaRPr kumimoji="1" lang="en-US" altLang="ja-JP"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4" t="s">
        <v>19</v>
      </c>
      <c r="D7" s="325"/>
      <c r="E7" s="325"/>
      <c r="F7" s="325"/>
      <c r="G7" s="325"/>
      <c r="H7" s="325"/>
      <c r="I7" s="325"/>
      <c r="J7" s="325"/>
      <c r="K7" s="326"/>
    </row>
    <row r="8" spans="3:11" ht="15" customHeight="1" x14ac:dyDescent="0.3">
      <c r="C8" s="172"/>
      <c r="D8" s="173"/>
      <c r="E8" s="173"/>
      <c r="F8" s="173"/>
      <c r="G8" s="173"/>
      <c r="H8" s="173"/>
      <c r="I8" s="173"/>
      <c r="J8" s="173"/>
      <c r="K8" s="174"/>
    </row>
    <row r="9" spans="3:11" ht="35.4" x14ac:dyDescent="0.65">
      <c r="C9" s="321" t="s">
        <v>20</v>
      </c>
      <c r="D9" s="322"/>
      <c r="E9" s="322"/>
      <c r="F9" s="322"/>
      <c r="G9" s="322"/>
      <c r="H9" s="322"/>
      <c r="I9" s="322"/>
      <c r="J9" s="322"/>
      <c r="K9" s="323"/>
    </row>
    <row r="10" spans="3:11" ht="35.4" x14ac:dyDescent="0.65">
      <c r="C10" s="321" t="s">
        <v>21</v>
      </c>
      <c r="D10" s="322"/>
      <c r="E10" s="322"/>
      <c r="F10" s="322"/>
      <c r="G10" s="322"/>
      <c r="H10" s="322"/>
      <c r="I10" s="322"/>
      <c r="J10" s="322"/>
      <c r="K10" s="323"/>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7" t="s">
        <v>22</v>
      </c>
      <c r="F18" s="327"/>
      <c r="G18" s="327"/>
      <c r="H18" s="327"/>
      <c r="I18" s="327"/>
    </row>
    <row r="19" spans="3:9" ht="15" customHeight="1" x14ac:dyDescent="0.3"/>
    <row r="20" spans="3:9" ht="15" customHeight="1" x14ac:dyDescent="0.3"/>
    <row r="21" spans="3:9" ht="18.600000000000001" x14ac:dyDescent="0.35">
      <c r="C21" s="166"/>
      <c r="F21" s="328" t="s">
        <v>23</v>
      </c>
      <c r="G21" s="328"/>
      <c r="H21" s="328"/>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zoomScale="85" zoomScaleNormal="85" zoomScaleSheetLayoutView="100" workbookViewId="0">
      <pane ySplit="2" topLeftCell="A348" activePane="bottomLeft" state="frozen"/>
      <selection activeCell="D6" sqref="D6"/>
      <selection pane="bottomLeft" activeCell="I371" sqref="I371"/>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31" t="s">
        <v>24</v>
      </c>
      <c r="B1" s="333" t="s">
        <v>25</v>
      </c>
      <c r="C1" s="335" t="s">
        <v>26</v>
      </c>
      <c r="D1" s="335" t="s">
        <v>27</v>
      </c>
      <c r="E1" s="335" t="s">
        <v>28</v>
      </c>
      <c r="F1" s="337" t="s">
        <v>29</v>
      </c>
      <c r="G1" s="340" t="s">
        <v>30</v>
      </c>
      <c r="H1" s="339" t="s">
        <v>31</v>
      </c>
      <c r="I1" s="339"/>
      <c r="J1" s="339"/>
      <c r="K1" s="342"/>
      <c r="L1" s="343" t="s">
        <v>32</v>
      </c>
      <c r="M1" s="344"/>
      <c r="N1" s="344"/>
      <c r="O1" s="345"/>
      <c r="P1" s="345"/>
      <c r="Q1" s="345"/>
      <c r="R1" s="345"/>
      <c r="S1" s="345"/>
      <c r="T1" s="346" t="s">
        <v>1094</v>
      </c>
      <c r="U1" s="339" t="s">
        <v>33</v>
      </c>
      <c r="V1" s="339"/>
      <c r="W1" s="339"/>
      <c r="X1" s="329" t="s">
        <v>34</v>
      </c>
      <c r="Y1" s="329" t="s">
        <v>35</v>
      </c>
    </row>
    <row r="2" spans="1:26" s="237" customFormat="1" ht="22.8" x14ac:dyDescent="0.15">
      <c r="A2" s="332"/>
      <c r="B2" s="334"/>
      <c r="C2" s="336"/>
      <c r="D2" s="336"/>
      <c r="E2" s="336"/>
      <c r="F2" s="338"/>
      <c r="G2" s="341"/>
      <c r="H2" s="223" t="s">
        <v>36</v>
      </c>
      <c r="I2" s="224" t="s">
        <v>37</v>
      </c>
      <c r="J2" s="225" t="s">
        <v>38</v>
      </c>
      <c r="K2" s="225" t="s">
        <v>39</v>
      </c>
      <c r="L2" s="226" t="s">
        <v>36</v>
      </c>
      <c r="M2" s="225" t="s">
        <v>40</v>
      </c>
      <c r="N2" s="225" t="s">
        <v>41</v>
      </c>
      <c r="O2" s="225" t="s">
        <v>42</v>
      </c>
      <c r="P2" s="225" t="s">
        <v>43</v>
      </c>
      <c r="Q2" s="225" t="s">
        <v>44</v>
      </c>
      <c r="R2" s="225" t="s">
        <v>45</v>
      </c>
      <c r="S2" s="225" t="s">
        <v>46</v>
      </c>
      <c r="T2" s="341"/>
      <c r="U2" s="223" t="s">
        <v>47</v>
      </c>
      <c r="V2" s="224" t="s">
        <v>48</v>
      </c>
      <c r="W2" s="225" t="s">
        <v>49</v>
      </c>
      <c r="X2" s="330"/>
      <c r="Y2" s="330"/>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1113</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1106</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1107</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1108</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1109</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1114</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1115</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1116</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1117</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1099</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1100</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1103</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1101</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1103</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1102</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1103</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1102</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1103</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1102</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1103</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1096</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1105</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1103</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1103</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1103</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1103</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1103</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1097</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1103</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1103</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47" t="s">
        <v>17</v>
      </c>
      <c r="V402" s="347"/>
      <c r="W402" s="348"/>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49"/>
      <c r="V403" s="349"/>
      <c r="W403" s="350"/>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1">
        <f>COUNTA(U3:U401)</f>
        <v>382</v>
      </c>
      <c r="V404" s="353">
        <f>COUNTA(V3:V401)</f>
        <v>12</v>
      </c>
      <c r="W404" s="355">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2"/>
      <c r="V405" s="354"/>
      <c r="W405" s="356"/>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280" activePane="bottomLeft" state="frozen"/>
      <selection activeCell="D6" sqref="D6"/>
      <selection pane="bottomLeft" activeCell="G293" sqref="G293"/>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31" t="s">
        <v>24</v>
      </c>
      <c r="B1" s="333" t="s">
        <v>25</v>
      </c>
      <c r="C1" s="335" t="s">
        <v>26</v>
      </c>
      <c r="D1" s="335" t="s">
        <v>27</v>
      </c>
      <c r="E1" s="335" t="s">
        <v>28</v>
      </c>
      <c r="F1" s="337" t="s">
        <v>29</v>
      </c>
      <c r="G1" s="340" t="s">
        <v>30</v>
      </c>
      <c r="H1" s="339" t="s">
        <v>31</v>
      </c>
      <c r="I1" s="339"/>
      <c r="J1" s="339"/>
      <c r="K1" s="342"/>
      <c r="L1" s="343" t="s">
        <v>32</v>
      </c>
      <c r="M1" s="344"/>
      <c r="N1" s="344"/>
      <c r="O1" s="345"/>
      <c r="P1" s="345"/>
      <c r="Q1" s="345"/>
      <c r="R1" s="345"/>
      <c r="S1" s="345"/>
      <c r="T1" s="329" t="s">
        <v>1094</v>
      </c>
      <c r="U1" s="339" t="s">
        <v>33</v>
      </c>
      <c r="V1" s="339"/>
      <c r="W1" s="339"/>
      <c r="X1" s="329" t="s">
        <v>34</v>
      </c>
      <c r="Y1" s="329" t="s">
        <v>35</v>
      </c>
      <c r="Z1" s="237"/>
    </row>
    <row r="2" spans="1:26" s="239" customFormat="1" ht="22.8" x14ac:dyDescent="0.15">
      <c r="A2" s="332"/>
      <c r="B2" s="334"/>
      <c r="C2" s="336"/>
      <c r="D2" s="336"/>
      <c r="E2" s="336"/>
      <c r="F2" s="338"/>
      <c r="G2" s="341"/>
      <c r="H2" s="223" t="s">
        <v>36</v>
      </c>
      <c r="I2" s="224" t="s">
        <v>37</v>
      </c>
      <c r="J2" s="225" t="s">
        <v>38</v>
      </c>
      <c r="K2" s="225" t="s">
        <v>39</v>
      </c>
      <c r="L2" s="226" t="s">
        <v>36</v>
      </c>
      <c r="M2" s="225" t="s">
        <v>40</v>
      </c>
      <c r="N2" s="225" t="s">
        <v>41</v>
      </c>
      <c r="O2" s="225" t="s">
        <v>42</v>
      </c>
      <c r="P2" s="225" t="s">
        <v>43</v>
      </c>
      <c r="Q2" s="225" t="s">
        <v>44</v>
      </c>
      <c r="R2" s="225" t="s">
        <v>45</v>
      </c>
      <c r="S2" s="225" t="s">
        <v>46</v>
      </c>
      <c r="T2" s="341"/>
      <c r="U2" s="223" t="s">
        <v>47</v>
      </c>
      <c r="V2" s="224" t="s">
        <v>48</v>
      </c>
      <c r="W2" s="225" t="s">
        <v>49</v>
      </c>
      <c r="X2" s="330"/>
      <c r="Y2" s="330"/>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1066</v>
      </c>
      <c r="Q3" s="180"/>
      <c r="R3" s="180"/>
      <c r="S3" s="180"/>
      <c r="T3" s="266">
        <v>45666</v>
      </c>
      <c r="U3" s="270">
        <v>45666</v>
      </c>
      <c r="V3" s="271"/>
      <c r="W3" s="272"/>
      <c r="X3" s="184" t="s">
        <v>1146</v>
      </c>
      <c r="Y3" s="185" t="s">
        <v>423</v>
      </c>
      <c r="Z3" s="255" t="s">
        <v>1112</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1068</v>
      </c>
      <c r="Q4" s="180"/>
      <c r="R4" s="180"/>
      <c r="S4" s="180"/>
      <c r="T4" s="266">
        <v>45666</v>
      </c>
      <c r="U4" s="270">
        <v>45666</v>
      </c>
      <c r="V4" s="271"/>
      <c r="W4" s="272"/>
      <c r="X4" s="184" t="s">
        <v>1146</v>
      </c>
      <c r="Y4" s="185" t="s">
        <v>425</v>
      </c>
      <c r="Z4" s="255" t="s">
        <v>1112</v>
      </c>
    </row>
    <row r="5" spans="1:26" ht="11.4" x14ac:dyDescent="0.15">
      <c r="A5" s="175">
        <f t="shared" si="0"/>
        <v>3</v>
      </c>
      <c r="B5" s="176"/>
      <c r="C5" s="176"/>
      <c r="D5" s="176"/>
      <c r="E5" s="176" t="s">
        <v>426</v>
      </c>
      <c r="F5" s="186"/>
      <c r="G5" s="227" t="s">
        <v>422</v>
      </c>
      <c r="H5" s="177"/>
      <c r="I5" s="178"/>
      <c r="J5" s="178"/>
      <c r="K5" s="179"/>
      <c r="L5" s="177"/>
      <c r="M5" s="178"/>
      <c r="N5" s="178"/>
      <c r="O5" s="180"/>
      <c r="P5" s="180" t="s">
        <v>1068</v>
      </c>
      <c r="Q5" s="180"/>
      <c r="R5" s="180"/>
      <c r="S5" s="180"/>
      <c r="T5" s="266">
        <v>45666</v>
      </c>
      <c r="U5" s="270">
        <v>45666</v>
      </c>
      <c r="V5" s="271"/>
      <c r="W5" s="272"/>
      <c r="X5" s="184" t="s">
        <v>1146</v>
      </c>
      <c r="Y5" s="185" t="s">
        <v>427</v>
      </c>
      <c r="Z5" s="255" t="s">
        <v>1112</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1068</v>
      </c>
      <c r="Q6" s="180"/>
      <c r="R6" s="180"/>
      <c r="S6" s="180"/>
      <c r="T6" s="266">
        <v>45666</v>
      </c>
      <c r="U6" s="270">
        <v>45666</v>
      </c>
      <c r="V6" s="271"/>
      <c r="W6" s="272"/>
      <c r="X6" s="184" t="s">
        <v>1146</v>
      </c>
      <c r="Y6" s="185" t="s">
        <v>427</v>
      </c>
      <c r="Z6" s="255" t="s">
        <v>1112</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1068</v>
      </c>
      <c r="Q7" s="180"/>
      <c r="R7" s="180"/>
      <c r="S7" s="180"/>
      <c r="T7" s="266">
        <v>45663</v>
      </c>
      <c r="U7" s="270">
        <v>45663</v>
      </c>
      <c r="V7" s="271"/>
      <c r="W7" s="272"/>
      <c r="X7" s="184" t="s">
        <v>1146</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1068</v>
      </c>
      <c r="Q8" s="180"/>
      <c r="R8" s="180"/>
      <c r="S8" s="180"/>
      <c r="T8" s="266">
        <v>45663</v>
      </c>
      <c r="U8" s="270">
        <v>45663</v>
      </c>
      <c r="V8" s="271"/>
      <c r="W8" s="272"/>
      <c r="X8" s="184" t="s">
        <v>1146</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1068</v>
      </c>
      <c r="Q9" s="180"/>
      <c r="R9" s="180"/>
      <c r="S9" s="180"/>
      <c r="T9" s="266">
        <v>45663</v>
      </c>
      <c r="U9" s="270">
        <v>45663</v>
      </c>
      <c r="V9" s="271"/>
      <c r="W9" s="272"/>
      <c r="X9" s="184" t="s">
        <v>1146</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1068</v>
      </c>
      <c r="Q10" s="180"/>
      <c r="R10" s="180"/>
      <c r="S10" s="180"/>
      <c r="T10" s="266">
        <v>45663</v>
      </c>
      <c r="U10" s="273"/>
      <c r="V10" s="271">
        <v>45665</v>
      </c>
      <c r="W10" s="300">
        <v>45673</v>
      </c>
      <c r="X10" s="184" t="s">
        <v>1146</v>
      </c>
      <c r="Y10" s="185" t="s">
        <v>435</v>
      </c>
      <c r="Z10" s="255" t="s">
        <v>1127</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1068</v>
      </c>
      <c r="Q11" s="180"/>
      <c r="R11" s="180"/>
      <c r="S11" s="180"/>
      <c r="T11" s="266">
        <v>45663</v>
      </c>
      <c r="U11" s="273">
        <v>45663</v>
      </c>
      <c r="V11" s="271"/>
      <c r="W11" s="272"/>
      <c r="X11" s="184" t="s">
        <v>1146</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1068</v>
      </c>
      <c r="Q12" s="285"/>
      <c r="R12" s="285"/>
      <c r="S12" s="285"/>
      <c r="T12" s="286">
        <v>45663</v>
      </c>
      <c r="U12" s="287"/>
      <c r="V12" s="288">
        <v>45665</v>
      </c>
      <c r="W12" s="289">
        <v>45673</v>
      </c>
      <c r="X12" s="290" t="s">
        <v>1146</v>
      </c>
      <c r="Y12" s="291" t="s">
        <v>435</v>
      </c>
      <c r="Z12" s="255" t="s">
        <v>1126</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1068</v>
      </c>
      <c r="Q13" s="180"/>
      <c r="R13" s="180"/>
      <c r="S13" s="180"/>
      <c r="T13" s="266">
        <v>45664</v>
      </c>
      <c r="U13" s="270">
        <v>45664</v>
      </c>
      <c r="V13" s="271"/>
      <c r="W13" s="272"/>
      <c r="X13" s="184" t="s">
        <v>1146</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1068</v>
      </c>
      <c r="Q14" s="180"/>
      <c r="R14" s="180"/>
      <c r="S14" s="180"/>
      <c r="T14" s="266">
        <v>45664</v>
      </c>
      <c r="U14" s="270">
        <v>45664</v>
      </c>
      <c r="V14" s="271"/>
      <c r="W14" s="272"/>
      <c r="X14" s="184" t="s">
        <v>1146</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1068</v>
      </c>
      <c r="Q15" s="180"/>
      <c r="R15" s="180"/>
      <c r="S15" s="180"/>
      <c r="T15" s="266">
        <v>45664</v>
      </c>
      <c r="U15" s="270">
        <v>45664</v>
      </c>
      <c r="V15" s="271"/>
      <c r="W15" s="272"/>
      <c r="X15" s="184" t="s">
        <v>1146</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1068</v>
      </c>
      <c r="Q16" s="180"/>
      <c r="R16" s="180"/>
      <c r="S16" s="180"/>
      <c r="T16" s="266">
        <v>45664</v>
      </c>
      <c r="U16" s="270">
        <v>45664</v>
      </c>
      <c r="V16" s="271"/>
      <c r="W16" s="272"/>
      <c r="X16" s="184" t="s">
        <v>1146</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1068</v>
      </c>
      <c r="Q17" s="180"/>
      <c r="R17" s="180"/>
      <c r="S17" s="180"/>
      <c r="T17" s="266">
        <v>45664</v>
      </c>
      <c r="U17" s="270">
        <v>45664</v>
      </c>
      <c r="V17" s="271"/>
      <c r="W17" s="272"/>
      <c r="X17" s="184" t="s">
        <v>1146</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1068</v>
      </c>
      <c r="Q18" s="180"/>
      <c r="R18" s="180"/>
      <c r="S18" s="180"/>
      <c r="T18" s="266">
        <v>45664</v>
      </c>
      <c r="U18" s="270">
        <v>45664</v>
      </c>
      <c r="V18" s="271"/>
      <c r="W18" s="272"/>
      <c r="X18" s="184" t="s">
        <v>1146</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1068</v>
      </c>
      <c r="Q19" s="180"/>
      <c r="R19" s="180"/>
      <c r="S19" s="180"/>
      <c r="T19" s="266">
        <v>45664</v>
      </c>
      <c r="U19" s="270">
        <v>45664</v>
      </c>
      <c r="V19" s="271"/>
      <c r="W19" s="272"/>
      <c r="X19" s="184" t="s">
        <v>1146</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1068</v>
      </c>
      <c r="Q20" s="180"/>
      <c r="R20" s="180"/>
      <c r="S20" s="180"/>
      <c r="T20" s="266">
        <v>45664</v>
      </c>
      <c r="U20" s="270">
        <v>45664</v>
      </c>
      <c r="V20" s="271"/>
      <c r="W20" s="272"/>
      <c r="X20" s="184" t="s">
        <v>1146</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1068</v>
      </c>
      <c r="Q21" s="180"/>
      <c r="R21" s="180"/>
      <c r="S21" s="180"/>
      <c r="T21" s="266">
        <v>45664</v>
      </c>
      <c r="U21" s="270">
        <v>45664</v>
      </c>
      <c r="V21" s="271"/>
      <c r="W21" s="272"/>
      <c r="X21" s="184" t="s">
        <v>1146</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1068</v>
      </c>
      <c r="Q22" s="180"/>
      <c r="R22" s="180"/>
      <c r="S22" s="180"/>
      <c r="T22" s="266">
        <v>45666</v>
      </c>
      <c r="U22" s="270">
        <v>45666</v>
      </c>
      <c r="V22" s="271"/>
      <c r="W22" s="272"/>
      <c r="X22" s="184" t="s">
        <v>1146</v>
      </c>
      <c r="Y22" s="185" t="s">
        <v>435</v>
      </c>
      <c r="Z22" s="255" t="s">
        <v>1112</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1068</v>
      </c>
      <c r="Q23" s="180"/>
      <c r="R23" s="180"/>
      <c r="S23" s="180"/>
      <c r="T23" s="266">
        <v>45665</v>
      </c>
      <c r="U23" s="270">
        <v>45665</v>
      </c>
      <c r="V23" s="271"/>
      <c r="W23" s="272"/>
      <c r="X23" s="184" t="s">
        <v>1146</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1068</v>
      </c>
      <c r="Q24" s="180"/>
      <c r="R24" s="180"/>
      <c r="S24" s="180"/>
      <c r="T24" s="266">
        <v>45665</v>
      </c>
      <c r="U24" s="270">
        <v>45665</v>
      </c>
      <c r="V24" s="271"/>
      <c r="W24" s="272"/>
      <c r="X24" s="184" t="s">
        <v>1146</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1068</v>
      </c>
      <c r="Q25" s="180"/>
      <c r="R25" s="180"/>
      <c r="S25" s="180"/>
      <c r="T25" s="266">
        <v>45665</v>
      </c>
      <c r="U25" s="270">
        <v>45665</v>
      </c>
      <c r="V25" s="271"/>
      <c r="W25" s="272"/>
      <c r="X25" s="184" t="s">
        <v>1146</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1068</v>
      </c>
      <c r="Q26" s="180"/>
      <c r="R26" s="180"/>
      <c r="S26" s="180"/>
      <c r="T26" s="266">
        <v>45665</v>
      </c>
      <c r="U26" s="270">
        <v>45665</v>
      </c>
      <c r="V26" s="271"/>
      <c r="W26" s="272"/>
      <c r="X26" s="184" t="s">
        <v>1146</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1068</v>
      </c>
      <c r="Q27" s="180"/>
      <c r="R27" s="180"/>
      <c r="S27" s="180"/>
      <c r="T27" s="266">
        <v>45665</v>
      </c>
      <c r="U27" s="270">
        <v>45665</v>
      </c>
      <c r="V27" s="271"/>
      <c r="W27" s="272"/>
      <c r="X27" s="184" t="s">
        <v>1146</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1068</v>
      </c>
      <c r="Q28" s="180"/>
      <c r="R28" s="180"/>
      <c r="S28" s="180"/>
      <c r="T28" s="266">
        <v>45665</v>
      </c>
      <c r="U28" s="270">
        <v>45665</v>
      </c>
      <c r="V28" s="271"/>
      <c r="W28" s="272"/>
      <c r="X28" s="184" t="s">
        <v>1146</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1068</v>
      </c>
      <c r="Q29" s="180"/>
      <c r="R29" s="180"/>
      <c r="S29" s="180"/>
      <c r="T29" s="266">
        <v>45665</v>
      </c>
      <c r="U29" s="270">
        <v>45665</v>
      </c>
      <c r="V29" s="271"/>
      <c r="W29" s="272"/>
      <c r="X29" s="184" t="s">
        <v>1146</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1068</v>
      </c>
      <c r="Q30" s="180"/>
      <c r="R30" s="180"/>
      <c r="S30" s="180"/>
      <c r="T30" s="266">
        <v>45665</v>
      </c>
      <c r="U30" s="270">
        <v>45665</v>
      </c>
      <c r="V30" s="271"/>
      <c r="W30" s="272"/>
      <c r="X30" s="184" t="s">
        <v>1146</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1068</v>
      </c>
      <c r="Q31" s="180"/>
      <c r="R31" s="180"/>
      <c r="S31" s="180"/>
      <c r="T31" s="266">
        <v>45665</v>
      </c>
      <c r="U31" s="270">
        <v>45665</v>
      </c>
      <c r="V31" s="271"/>
      <c r="W31" s="272"/>
      <c r="X31" s="184" t="s">
        <v>1146</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1068</v>
      </c>
      <c r="Q32" s="180"/>
      <c r="R32" s="180"/>
      <c r="S32" s="180"/>
      <c r="T32" s="266">
        <v>45665</v>
      </c>
      <c r="U32" s="270">
        <v>45665</v>
      </c>
      <c r="V32" s="271"/>
      <c r="W32" s="272"/>
      <c r="X32" s="184" t="s">
        <v>1146</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1068</v>
      </c>
      <c r="Q33" s="180"/>
      <c r="R33" s="180"/>
      <c r="S33" s="180"/>
      <c r="T33" s="266">
        <v>45665</v>
      </c>
      <c r="U33" s="270">
        <v>45665</v>
      </c>
      <c r="V33" s="271"/>
      <c r="W33" s="272"/>
      <c r="X33" s="184" t="s">
        <v>1146</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1068</v>
      </c>
      <c r="Q34" s="180"/>
      <c r="R34" s="180"/>
      <c r="S34" s="180"/>
      <c r="T34" s="266">
        <v>45665</v>
      </c>
      <c r="U34" s="270">
        <v>45665</v>
      </c>
      <c r="V34" s="276"/>
      <c r="W34" s="272"/>
      <c r="X34" s="184" t="s">
        <v>1146</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1068</v>
      </c>
      <c r="S35" s="180"/>
      <c r="T35" s="266">
        <v>45663</v>
      </c>
      <c r="U35" s="274"/>
      <c r="V35" s="277">
        <v>45663</v>
      </c>
      <c r="W35" s="275">
        <v>45673</v>
      </c>
      <c r="X35" s="184" t="s">
        <v>1146</v>
      </c>
      <c r="Y35" s="185" t="s">
        <v>1110</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1068</v>
      </c>
      <c r="S36" s="180"/>
      <c r="T36" s="266">
        <v>45665</v>
      </c>
      <c r="U36" s="270"/>
      <c r="V36" s="271">
        <v>45665</v>
      </c>
      <c r="W36" s="275">
        <v>45673</v>
      </c>
      <c r="X36" s="184" t="s">
        <v>1146</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1068</v>
      </c>
      <c r="S37" s="180"/>
      <c r="T37" s="266">
        <v>45665</v>
      </c>
      <c r="U37" s="270"/>
      <c r="V37" s="271">
        <v>45665</v>
      </c>
      <c r="W37" s="275">
        <v>45673</v>
      </c>
      <c r="X37" s="184" t="s">
        <v>1146</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1068</v>
      </c>
      <c r="S38" s="180"/>
      <c r="T38" s="266">
        <v>45665</v>
      </c>
      <c r="U38" s="270"/>
      <c r="V38" s="271">
        <v>45665</v>
      </c>
      <c r="W38" s="275">
        <v>45673</v>
      </c>
      <c r="X38" s="184" t="s">
        <v>1146</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1068</v>
      </c>
      <c r="S39" s="180"/>
      <c r="T39" s="266">
        <v>45665</v>
      </c>
      <c r="U39" s="270"/>
      <c r="V39" s="271">
        <v>45665</v>
      </c>
      <c r="W39" s="275">
        <v>45673</v>
      </c>
      <c r="X39" s="184" t="s">
        <v>1146</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1068</v>
      </c>
      <c r="S40" s="180"/>
      <c r="T40" s="266">
        <v>45663</v>
      </c>
      <c r="U40" s="270">
        <v>45663</v>
      </c>
      <c r="V40" s="271"/>
      <c r="W40" s="272"/>
      <c r="X40" s="184" t="s">
        <v>1146</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1068</v>
      </c>
      <c r="S41" s="285"/>
      <c r="T41" s="286">
        <v>45663</v>
      </c>
      <c r="U41" s="287">
        <v>45681</v>
      </c>
      <c r="V41" s="287"/>
      <c r="W41" s="289"/>
      <c r="X41" s="290" t="s">
        <v>1147</v>
      </c>
      <c r="Y41" s="291" t="s">
        <v>474</v>
      </c>
      <c r="Z41" s="255" t="s">
        <v>1140</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1068</v>
      </c>
      <c r="S42" s="285"/>
      <c r="T42" s="286">
        <v>45663</v>
      </c>
      <c r="U42" s="287">
        <v>45681</v>
      </c>
      <c r="V42" s="287"/>
      <c r="W42" s="289"/>
      <c r="X42" s="290" t="s">
        <v>1147</v>
      </c>
      <c r="Y42" s="291" t="s">
        <v>476</v>
      </c>
      <c r="Z42" s="255" t="s">
        <v>1140</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1068</v>
      </c>
      <c r="S43" s="285"/>
      <c r="T43" s="286">
        <v>45663</v>
      </c>
      <c r="U43" s="287">
        <v>45681</v>
      </c>
      <c r="V43" s="287"/>
      <c r="W43" s="289"/>
      <c r="X43" s="290" t="s">
        <v>1147</v>
      </c>
      <c r="Y43" s="291" t="s">
        <v>477</v>
      </c>
      <c r="Z43" s="255" t="s">
        <v>1140</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1068</v>
      </c>
      <c r="S44" s="285"/>
      <c r="T44" s="286">
        <v>45663</v>
      </c>
      <c r="U44" s="287">
        <v>45681</v>
      </c>
      <c r="V44" s="287"/>
      <c r="W44" s="289"/>
      <c r="X44" s="290" t="s">
        <v>1147</v>
      </c>
      <c r="Y44" s="291" t="s">
        <v>67</v>
      </c>
      <c r="Z44" s="255" t="s">
        <v>1140</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1068</v>
      </c>
      <c r="S45" s="180"/>
      <c r="T45" s="266">
        <v>45663</v>
      </c>
      <c r="U45" s="273">
        <v>45666</v>
      </c>
      <c r="V45" s="271"/>
      <c r="W45" s="272"/>
      <c r="X45" s="184" t="s">
        <v>1146</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1068</v>
      </c>
      <c r="S46" s="285"/>
      <c r="T46" s="286">
        <v>45663</v>
      </c>
      <c r="U46" s="287">
        <v>45681</v>
      </c>
      <c r="V46" s="287"/>
      <c r="W46" s="289"/>
      <c r="X46" s="290" t="s">
        <v>1147</v>
      </c>
      <c r="Y46" s="291" t="s">
        <v>71</v>
      </c>
      <c r="Z46" s="255" t="s">
        <v>1140</v>
      </c>
    </row>
    <row r="47" spans="1:27" ht="11.4" x14ac:dyDescent="0.15">
      <c r="A47" s="175">
        <f t="shared" si="2"/>
        <v>45</v>
      </c>
      <c r="B47" s="176"/>
      <c r="C47" s="176"/>
      <c r="D47" s="176"/>
      <c r="E47" s="176" t="s">
        <v>76</v>
      </c>
      <c r="F47" s="186"/>
      <c r="G47" s="227" t="s">
        <v>74</v>
      </c>
      <c r="H47" s="177"/>
      <c r="I47" s="178"/>
      <c r="J47" s="178"/>
      <c r="K47" s="179"/>
      <c r="L47" s="177"/>
      <c r="M47" s="178"/>
      <c r="N47" s="178"/>
      <c r="O47" s="180" t="s">
        <v>1068</v>
      </c>
      <c r="P47" s="180"/>
      <c r="Q47" s="180"/>
      <c r="R47" s="180"/>
      <c r="S47" s="180"/>
      <c r="T47" s="266">
        <v>45663</v>
      </c>
      <c r="U47" s="270">
        <v>45663</v>
      </c>
      <c r="V47" s="271"/>
      <c r="W47" s="272"/>
      <c r="X47" s="184" t="s">
        <v>1146</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1068</v>
      </c>
      <c r="P48" s="180"/>
      <c r="Q48" s="180"/>
      <c r="R48" s="180"/>
      <c r="S48" s="180"/>
      <c r="T48" s="266">
        <v>45666</v>
      </c>
      <c r="U48" s="270"/>
      <c r="V48" s="271">
        <v>45666</v>
      </c>
      <c r="W48" s="272">
        <v>45678</v>
      </c>
      <c r="X48" s="184" t="s">
        <v>1146</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1068</v>
      </c>
      <c r="P49" s="180"/>
      <c r="Q49" s="180"/>
      <c r="R49" s="180"/>
      <c r="S49" s="180"/>
      <c r="T49" s="266">
        <v>45666</v>
      </c>
      <c r="U49" s="270">
        <v>45666</v>
      </c>
      <c r="V49" s="271"/>
      <c r="W49" s="272"/>
      <c r="X49" s="184" t="s">
        <v>1146</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1068</v>
      </c>
      <c r="P50" s="180"/>
      <c r="Q50" s="180"/>
      <c r="R50" s="180"/>
      <c r="S50" s="180"/>
      <c r="T50" s="266">
        <v>45666</v>
      </c>
      <c r="U50" s="270">
        <v>45666</v>
      </c>
      <c r="V50" s="271"/>
      <c r="W50" s="272"/>
      <c r="X50" s="184" t="s">
        <v>1146</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1068</v>
      </c>
      <c r="Q51" s="180"/>
      <c r="R51" s="180"/>
      <c r="S51" s="180"/>
      <c r="T51" s="266">
        <v>45663</v>
      </c>
      <c r="U51" s="270">
        <v>45663</v>
      </c>
      <c r="V51" s="271"/>
      <c r="W51" s="272"/>
      <c r="X51" s="184" t="s">
        <v>1146</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1068</v>
      </c>
      <c r="Q52" s="180"/>
      <c r="R52" s="180"/>
      <c r="S52" s="180"/>
      <c r="T52" s="266">
        <v>45663</v>
      </c>
      <c r="U52" s="270">
        <v>45663</v>
      </c>
      <c r="V52" s="271"/>
      <c r="W52" s="272"/>
      <c r="X52" s="184" t="s">
        <v>1146</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1068</v>
      </c>
      <c r="Q53" s="180"/>
      <c r="R53" s="180"/>
      <c r="S53" s="180"/>
      <c r="T53" s="266">
        <v>45663</v>
      </c>
      <c r="U53" s="273">
        <v>45663</v>
      </c>
      <c r="V53" s="271"/>
      <c r="W53" s="272"/>
      <c r="X53" s="184" t="s">
        <v>1146</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1068</v>
      </c>
      <c r="Q54" s="180"/>
      <c r="R54" s="180"/>
      <c r="S54" s="180"/>
      <c r="T54" s="266">
        <v>45663</v>
      </c>
      <c r="U54" s="273"/>
      <c r="V54" s="271">
        <v>45665</v>
      </c>
      <c r="W54" s="299">
        <v>45673</v>
      </c>
      <c r="X54" s="184" t="s">
        <v>1146</v>
      </c>
      <c r="Y54" s="185" t="s">
        <v>485</v>
      </c>
      <c r="Z54" s="255" t="s">
        <v>1127</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1068</v>
      </c>
      <c r="Q55" s="180"/>
      <c r="R55" s="180"/>
      <c r="S55" s="180"/>
      <c r="T55" s="266">
        <v>45663</v>
      </c>
      <c r="U55" s="273">
        <v>45663</v>
      </c>
      <c r="V55" s="271"/>
      <c r="W55" s="272"/>
      <c r="X55" s="184" t="s">
        <v>1146</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1068</v>
      </c>
      <c r="Q56" s="285"/>
      <c r="R56" s="285"/>
      <c r="S56" s="285"/>
      <c r="T56" s="286">
        <v>45663</v>
      </c>
      <c r="U56" s="287"/>
      <c r="V56" s="288">
        <v>45665</v>
      </c>
      <c r="W56" s="289">
        <v>45673</v>
      </c>
      <c r="X56" s="290" t="s">
        <v>1146</v>
      </c>
      <c r="Y56" s="291" t="s">
        <v>485</v>
      </c>
      <c r="Z56" s="255" t="s">
        <v>1126</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1068</v>
      </c>
      <c r="Q57" s="180"/>
      <c r="R57" s="180"/>
      <c r="S57" s="180"/>
      <c r="T57" s="266">
        <v>45666</v>
      </c>
      <c r="U57" s="270"/>
      <c r="V57" s="297">
        <v>45666</v>
      </c>
      <c r="W57" s="272">
        <v>45671</v>
      </c>
      <c r="X57" s="184" t="s">
        <v>1146</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1068</v>
      </c>
      <c r="Q58" s="180"/>
      <c r="R58" s="180"/>
      <c r="S58" s="180"/>
      <c r="T58" s="266">
        <v>45666</v>
      </c>
      <c r="U58" s="270"/>
      <c r="V58" s="297">
        <v>45666</v>
      </c>
      <c r="W58" s="272">
        <v>45671</v>
      </c>
      <c r="X58" s="184" t="s">
        <v>1146</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1068</v>
      </c>
      <c r="Q59" s="180"/>
      <c r="R59" s="180"/>
      <c r="S59" s="180"/>
      <c r="T59" s="266">
        <v>45666</v>
      </c>
      <c r="U59" s="270"/>
      <c r="V59" s="297">
        <v>45666</v>
      </c>
      <c r="W59" s="272">
        <v>45671</v>
      </c>
      <c r="X59" s="184" t="s">
        <v>1146</v>
      </c>
      <c r="Y59" s="185" t="s">
        <v>1104</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1068</v>
      </c>
      <c r="Q60" s="285"/>
      <c r="R60" s="285"/>
      <c r="S60" s="285"/>
      <c r="T60" s="286"/>
      <c r="U60" s="287">
        <v>45663</v>
      </c>
      <c r="V60" s="288"/>
      <c r="W60" s="289"/>
      <c r="X60" s="290" t="s">
        <v>1146</v>
      </c>
      <c r="Y60" s="291" t="s">
        <v>485</v>
      </c>
      <c r="Z60" s="255" t="s">
        <v>1120</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1068</v>
      </c>
      <c r="Q61" s="285"/>
      <c r="R61" s="285"/>
      <c r="S61" s="285"/>
      <c r="T61" s="286"/>
      <c r="U61" s="287">
        <v>45663</v>
      </c>
      <c r="V61" s="288"/>
      <c r="W61" s="289"/>
      <c r="X61" s="290" t="s">
        <v>1146</v>
      </c>
      <c r="Y61" s="291" t="s">
        <v>485</v>
      </c>
      <c r="Z61" s="255" t="s">
        <v>1120</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1068</v>
      </c>
      <c r="Q62" s="285"/>
      <c r="R62" s="285"/>
      <c r="S62" s="285"/>
      <c r="T62" s="286"/>
      <c r="U62" s="287">
        <v>45663</v>
      </c>
      <c r="V62" s="288"/>
      <c r="W62" s="289"/>
      <c r="X62" s="290" t="s">
        <v>1146</v>
      </c>
      <c r="Y62" s="291" t="s">
        <v>485</v>
      </c>
      <c r="Z62" s="255" t="s">
        <v>1120</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1068</v>
      </c>
      <c r="Q63" s="180"/>
      <c r="R63" s="180"/>
      <c r="S63" s="180"/>
      <c r="T63" s="266">
        <v>45664</v>
      </c>
      <c r="U63" s="270">
        <v>45664</v>
      </c>
      <c r="V63" s="271"/>
      <c r="W63" s="272"/>
      <c r="X63" s="184" t="s">
        <v>1146</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1068</v>
      </c>
      <c r="Q64" s="180"/>
      <c r="R64" s="180"/>
      <c r="S64" s="180"/>
      <c r="T64" s="266">
        <v>45664</v>
      </c>
      <c r="U64" s="270">
        <v>45664</v>
      </c>
      <c r="V64" s="271"/>
      <c r="W64" s="272"/>
      <c r="X64" s="184" t="s">
        <v>1146</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1068</v>
      </c>
      <c r="Q65" s="180"/>
      <c r="R65" s="180"/>
      <c r="S65" s="180"/>
      <c r="T65" s="266">
        <v>45664</v>
      </c>
      <c r="U65" s="270">
        <v>45664</v>
      </c>
      <c r="V65" s="271"/>
      <c r="W65" s="272"/>
      <c r="X65" s="184" t="s">
        <v>1146</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1068</v>
      </c>
      <c r="Q66" s="180"/>
      <c r="R66" s="180"/>
      <c r="S66" s="180"/>
      <c r="T66" s="266">
        <v>45664</v>
      </c>
      <c r="U66" s="270">
        <v>45664</v>
      </c>
      <c r="V66" s="271"/>
      <c r="W66" s="272"/>
      <c r="X66" s="184" t="s">
        <v>1146</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1068</v>
      </c>
      <c r="Q67" s="180"/>
      <c r="R67" s="180"/>
      <c r="S67" s="180"/>
      <c r="T67" s="266">
        <v>45664</v>
      </c>
      <c r="U67" s="270">
        <v>45664</v>
      </c>
      <c r="V67" s="271"/>
      <c r="W67" s="272"/>
      <c r="X67" s="184" t="s">
        <v>1146</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1068</v>
      </c>
      <c r="Q68" s="180"/>
      <c r="R68" s="180"/>
      <c r="S68" s="180"/>
      <c r="T68" s="266">
        <v>45664</v>
      </c>
      <c r="U68" s="270">
        <v>45664</v>
      </c>
      <c r="V68" s="271"/>
      <c r="W68" s="272"/>
      <c r="X68" s="184" t="s">
        <v>1146</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1068</v>
      </c>
      <c r="Q69" s="180"/>
      <c r="R69" s="180"/>
      <c r="S69" s="180"/>
      <c r="T69" s="266">
        <v>45664</v>
      </c>
      <c r="U69" s="270">
        <v>45664</v>
      </c>
      <c r="V69" s="271"/>
      <c r="W69" s="272"/>
      <c r="X69" s="184" t="s">
        <v>1146</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1068</v>
      </c>
      <c r="Q70" s="180"/>
      <c r="R70" s="180"/>
      <c r="S70" s="180"/>
      <c r="T70" s="266">
        <v>45664</v>
      </c>
      <c r="U70" s="270">
        <v>45664</v>
      </c>
      <c r="V70" s="271"/>
      <c r="W70" s="272"/>
      <c r="X70" s="184" t="s">
        <v>1146</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1068</v>
      </c>
      <c r="Q71" s="180"/>
      <c r="R71" s="180"/>
      <c r="S71" s="180"/>
      <c r="T71" s="266">
        <v>45664</v>
      </c>
      <c r="U71" s="270">
        <v>45664</v>
      </c>
      <c r="V71" s="271"/>
      <c r="W71" s="272"/>
      <c r="X71" s="184" t="s">
        <v>1146</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1068</v>
      </c>
      <c r="Q72" s="180"/>
      <c r="R72" s="180"/>
      <c r="S72" s="180"/>
      <c r="T72" s="266">
        <v>45666</v>
      </c>
      <c r="U72" s="270">
        <v>45666</v>
      </c>
      <c r="V72" s="271"/>
      <c r="W72" s="272"/>
      <c r="X72" s="184" t="s">
        <v>1146</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1068</v>
      </c>
      <c r="Q73" s="180"/>
      <c r="R73" s="180"/>
      <c r="S73" s="180"/>
      <c r="T73" s="266">
        <v>45666</v>
      </c>
      <c r="U73" s="270">
        <v>45666</v>
      </c>
      <c r="V73" s="271"/>
      <c r="W73" s="272"/>
      <c r="X73" s="184" t="s">
        <v>1146</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1068</v>
      </c>
      <c r="Q74" s="285"/>
      <c r="R74" s="285"/>
      <c r="S74" s="285"/>
      <c r="T74" s="286">
        <v>45666</v>
      </c>
      <c r="U74" s="287">
        <v>45666</v>
      </c>
      <c r="V74" s="288"/>
      <c r="W74" s="289"/>
      <c r="X74" s="290" t="s">
        <v>1146</v>
      </c>
      <c r="Y74" s="291" t="s">
        <v>485</v>
      </c>
      <c r="Z74" s="255" t="s">
        <v>1121</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1068</v>
      </c>
      <c r="Q75" s="180"/>
      <c r="R75" s="180"/>
      <c r="S75" s="180"/>
      <c r="T75" s="266">
        <v>45665</v>
      </c>
      <c r="U75" s="270">
        <v>45665</v>
      </c>
      <c r="V75" s="271"/>
      <c r="W75" s="272"/>
      <c r="X75" s="184" t="s">
        <v>1146</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1068</v>
      </c>
      <c r="Q76" s="180"/>
      <c r="R76" s="180"/>
      <c r="S76" s="180"/>
      <c r="T76" s="266">
        <v>45665</v>
      </c>
      <c r="U76" s="270">
        <v>45665</v>
      </c>
      <c r="V76" s="271"/>
      <c r="W76" s="272"/>
      <c r="X76" s="184" t="s">
        <v>1146</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1068</v>
      </c>
      <c r="Q77" s="180"/>
      <c r="R77" s="180"/>
      <c r="S77" s="180"/>
      <c r="T77" s="266">
        <v>45665</v>
      </c>
      <c r="U77" s="270">
        <v>45665</v>
      </c>
      <c r="V77" s="271"/>
      <c r="W77" s="272"/>
      <c r="X77" s="184" t="s">
        <v>1146</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1068</v>
      </c>
      <c r="Q78" s="180"/>
      <c r="R78" s="180"/>
      <c r="S78" s="180"/>
      <c r="T78" s="266">
        <v>45665</v>
      </c>
      <c r="U78" s="270">
        <v>45665</v>
      </c>
      <c r="V78" s="271"/>
      <c r="W78" s="272"/>
      <c r="X78" s="184" t="s">
        <v>1146</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1068</v>
      </c>
      <c r="Q79" s="180"/>
      <c r="R79" s="180"/>
      <c r="S79" s="180"/>
      <c r="T79" s="266">
        <v>45665</v>
      </c>
      <c r="U79" s="273">
        <v>45665</v>
      </c>
      <c r="V79" s="271"/>
      <c r="W79" s="272"/>
      <c r="X79" s="184" t="s">
        <v>1146</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1068</v>
      </c>
      <c r="Q80" s="180"/>
      <c r="R80" s="180"/>
      <c r="S80" s="180"/>
      <c r="T80" s="266">
        <v>45665</v>
      </c>
      <c r="U80" s="273">
        <v>45665</v>
      </c>
      <c r="V80" s="271"/>
      <c r="W80" s="272"/>
      <c r="X80" s="184" t="s">
        <v>1146</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1068</v>
      </c>
      <c r="S81" s="180"/>
      <c r="T81" s="266">
        <v>45663</v>
      </c>
      <c r="U81" s="273">
        <v>45663</v>
      </c>
      <c r="V81" s="271"/>
      <c r="W81" s="272"/>
      <c r="X81" s="184" t="s">
        <v>1146</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1068</v>
      </c>
      <c r="S82" s="285"/>
      <c r="T82" s="286">
        <v>45663</v>
      </c>
      <c r="U82" s="287"/>
      <c r="V82" s="288">
        <v>45663</v>
      </c>
      <c r="W82" s="289">
        <v>45681</v>
      </c>
      <c r="X82" s="290" t="s">
        <v>1147</v>
      </c>
      <c r="Y82" s="291" t="s">
        <v>87</v>
      </c>
      <c r="Z82" s="255" t="s">
        <v>1140</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1068</v>
      </c>
      <c r="S83" s="180"/>
      <c r="T83" s="266">
        <v>45663</v>
      </c>
      <c r="U83" s="273">
        <v>45663</v>
      </c>
      <c r="V83" s="271"/>
      <c r="W83" s="272"/>
      <c r="X83" s="184" t="s">
        <v>1146</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1068</v>
      </c>
      <c r="S84" s="285"/>
      <c r="T84" s="286">
        <v>45663</v>
      </c>
      <c r="U84" s="287"/>
      <c r="V84" s="288">
        <v>45663</v>
      </c>
      <c r="W84" s="289">
        <v>45681</v>
      </c>
      <c r="X84" s="290" t="s">
        <v>1147</v>
      </c>
      <c r="Y84" s="291" t="s">
        <v>71</v>
      </c>
      <c r="Z84" s="255" t="s">
        <v>1140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1068</v>
      </c>
      <c r="P85" s="180"/>
      <c r="Q85" s="180"/>
      <c r="R85" s="180"/>
      <c r="S85" s="180"/>
      <c r="T85" s="266">
        <v>45666</v>
      </c>
      <c r="U85" s="273">
        <v>45666</v>
      </c>
      <c r="V85" s="271"/>
      <c r="W85" s="300"/>
      <c r="X85" s="184" t="s">
        <v>1146</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1068</v>
      </c>
      <c r="P86" s="180"/>
      <c r="Q86" s="180"/>
      <c r="R86" s="180"/>
      <c r="S86" s="180"/>
      <c r="T86" s="266">
        <v>45666</v>
      </c>
      <c r="U86" s="270">
        <v>45666</v>
      </c>
      <c r="V86" s="271"/>
      <c r="W86" s="272"/>
      <c r="X86" s="184" t="s">
        <v>1146</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1068</v>
      </c>
      <c r="P87" s="180"/>
      <c r="Q87" s="180"/>
      <c r="R87" s="180"/>
      <c r="S87" s="180"/>
      <c r="T87" s="266">
        <v>45666</v>
      </c>
      <c r="U87" s="270">
        <v>45666</v>
      </c>
      <c r="V87" s="271"/>
      <c r="W87" s="272"/>
      <c r="X87" s="184" t="s">
        <v>1146</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1068</v>
      </c>
      <c r="P88" s="180"/>
      <c r="Q88" s="180"/>
      <c r="R88" s="180"/>
      <c r="S88" s="180"/>
      <c r="T88" s="266">
        <v>45665</v>
      </c>
      <c r="U88" s="270">
        <v>45665</v>
      </c>
      <c r="V88" s="271"/>
      <c r="W88" s="272"/>
      <c r="X88" s="184" t="s">
        <v>1146</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1068</v>
      </c>
      <c r="Q89" s="180"/>
      <c r="R89" s="180"/>
      <c r="S89" s="180"/>
      <c r="T89" s="266">
        <v>45663</v>
      </c>
      <c r="U89" s="270">
        <v>45663</v>
      </c>
      <c r="V89" s="271"/>
      <c r="W89" s="272"/>
      <c r="X89" s="184" t="s">
        <v>1146</v>
      </c>
      <c r="Y89" s="185" t="s">
        <v>1111</v>
      </c>
    </row>
    <row r="90" spans="1:27" ht="11.4" x14ac:dyDescent="0.15">
      <c r="A90" s="175">
        <f t="shared" si="3"/>
        <v>88</v>
      </c>
      <c r="B90" s="176"/>
      <c r="C90" s="176"/>
      <c r="D90" s="176"/>
      <c r="E90" s="176"/>
      <c r="F90" s="186"/>
      <c r="G90" s="227" t="s">
        <v>112</v>
      </c>
      <c r="H90" s="177"/>
      <c r="I90" s="178"/>
      <c r="J90" s="178"/>
      <c r="K90" s="179"/>
      <c r="L90" s="177"/>
      <c r="M90" s="178"/>
      <c r="N90" s="178"/>
      <c r="O90" s="180" t="s">
        <v>1068</v>
      </c>
      <c r="P90" s="180"/>
      <c r="Q90" s="180"/>
      <c r="R90" s="180"/>
      <c r="S90" s="180"/>
      <c r="T90" s="266">
        <v>45663</v>
      </c>
      <c r="U90" s="270">
        <v>45663</v>
      </c>
      <c r="V90" s="271"/>
      <c r="W90" s="272"/>
      <c r="X90" s="184" t="s">
        <v>1146</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1068</v>
      </c>
      <c r="P91" s="180"/>
      <c r="Q91" s="180"/>
      <c r="R91" s="180"/>
      <c r="S91" s="180"/>
      <c r="T91" s="266">
        <v>45663</v>
      </c>
      <c r="U91" s="270">
        <v>45663</v>
      </c>
      <c r="V91" s="271"/>
      <c r="W91" s="272"/>
      <c r="X91" s="184" t="s">
        <v>1146</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1068</v>
      </c>
      <c r="P92" s="180"/>
      <c r="Q92" s="180"/>
      <c r="R92" s="180"/>
      <c r="S92" s="180"/>
      <c r="T92" s="266">
        <v>45663</v>
      </c>
      <c r="U92" s="270">
        <v>45663</v>
      </c>
      <c r="V92" s="271"/>
      <c r="W92" s="272"/>
      <c r="X92" s="184" t="s">
        <v>1146</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1068</v>
      </c>
      <c r="P93" s="180"/>
      <c r="Q93" s="180"/>
      <c r="R93" s="180"/>
      <c r="S93" s="180"/>
      <c r="T93" s="266">
        <v>45663</v>
      </c>
      <c r="U93" s="270">
        <v>45663</v>
      </c>
      <c r="V93" s="271"/>
      <c r="W93" s="272"/>
      <c r="X93" s="184" t="s">
        <v>1146</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1068</v>
      </c>
      <c r="P94" s="180"/>
      <c r="Q94" s="180"/>
      <c r="R94" s="180"/>
      <c r="S94" s="180"/>
      <c r="T94" s="266">
        <v>45663</v>
      </c>
      <c r="U94" s="270">
        <v>45663</v>
      </c>
      <c r="V94" s="271"/>
      <c r="W94" s="272"/>
      <c r="X94" s="184" t="s">
        <v>1146</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1068</v>
      </c>
      <c r="R95" s="180"/>
      <c r="S95" s="180"/>
      <c r="T95" s="266">
        <v>45663</v>
      </c>
      <c r="U95" s="270">
        <v>45663</v>
      </c>
      <c r="V95" s="271"/>
      <c r="W95" s="272"/>
      <c r="X95" s="184" t="s">
        <v>1146</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1068</v>
      </c>
      <c r="R96" s="180"/>
      <c r="S96" s="180"/>
      <c r="T96" s="266">
        <v>45663</v>
      </c>
      <c r="U96" s="270">
        <v>45663</v>
      </c>
      <c r="V96" s="271"/>
      <c r="W96" s="272"/>
      <c r="X96" s="184" t="s">
        <v>1146</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1068</v>
      </c>
      <c r="R97" s="180"/>
      <c r="S97" s="180"/>
      <c r="T97" s="266">
        <v>45663</v>
      </c>
      <c r="U97" s="270">
        <v>45663</v>
      </c>
      <c r="V97" s="271"/>
      <c r="W97" s="272"/>
      <c r="X97" s="184" t="s">
        <v>1146</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1068</v>
      </c>
      <c r="R98" s="180"/>
      <c r="S98" s="180"/>
      <c r="T98" s="266">
        <v>45663</v>
      </c>
      <c r="U98" s="270">
        <v>45663</v>
      </c>
      <c r="V98" s="271"/>
      <c r="W98" s="272"/>
      <c r="X98" s="184" t="s">
        <v>1146</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1068</v>
      </c>
      <c r="R99" s="180"/>
      <c r="S99" s="180"/>
      <c r="T99" s="266">
        <v>45663</v>
      </c>
      <c r="U99" s="270">
        <v>45663</v>
      </c>
      <c r="V99" s="271"/>
      <c r="W99" s="272"/>
      <c r="X99" s="184" t="s">
        <v>1146</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1068</v>
      </c>
      <c r="R100" s="180"/>
      <c r="S100" s="180"/>
      <c r="T100" s="266">
        <v>45663</v>
      </c>
      <c r="U100" s="270">
        <v>45663</v>
      </c>
      <c r="V100" s="271"/>
      <c r="W100" s="272"/>
      <c r="X100" s="184" t="s">
        <v>1146</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1068</v>
      </c>
      <c r="R101" s="180"/>
      <c r="S101" s="180"/>
      <c r="T101" s="266">
        <v>45663</v>
      </c>
      <c r="U101" s="270">
        <v>45663</v>
      </c>
      <c r="V101" s="271"/>
      <c r="W101" s="272"/>
      <c r="X101" s="184" t="s">
        <v>1146</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1068</v>
      </c>
      <c r="R102" s="180"/>
      <c r="S102" s="180"/>
      <c r="T102" s="266">
        <v>45663</v>
      </c>
      <c r="U102" s="270">
        <v>45663</v>
      </c>
      <c r="V102" s="271"/>
      <c r="W102" s="272"/>
      <c r="X102" s="184" t="s">
        <v>1146</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1068</v>
      </c>
      <c r="R103" s="180"/>
      <c r="S103" s="180"/>
      <c r="T103" s="266">
        <v>45663</v>
      </c>
      <c r="U103" s="270">
        <v>45663</v>
      </c>
      <c r="V103" s="271"/>
      <c r="W103" s="272"/>
      <c r="X103" s="184" t="s">
        <v>1146</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1068</v>
      </c>
      <c r="R104" s="180"/>
      <c r="S104" s="180"/>
      <c r="T104" s="266">
        <v>45663</v>
      </c>
      <c r="U104" s="270">
        <v>45663</v>
      </c>
      <c r="V104" s="271"/>
      <c r="W104" s="272"/>
      <c r="X104" s="184" t="s">
        <v>1146</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1068</v>
      </c>
      <c r="R105" s="180"/>
      <c r="S105" s="180"/>
      <c r="T105" s="266">
        <v>45663</v>
      </c>
      <c r="U105" s="270">
        <v>45663</v>
      </c>
      <c r="V105" s="271"/>
      <c r="W105" s="272"/>
      <c r="X105" s="184" t="s">
        <v>1146</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1068</v>
      </c>
      <c r="R106" s="180"/>
      <c r="S106" s="180"/>
      <c r="T106" s="266">
        <v>45663</v>
      </c>
      <c r="U106" s="270">
        <v>45663</v>
      </c>
      <c r="V106" s="271"/>
      <c r="W106" s="272"/>
      <c r="X106" s="184" t="s">
        <v>1146</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1068</v>
      </c>
      <c r="R107" s="180"/>
      <c r="S107" s="180"/>
      <c r="T107" s="266">
        <v>45663</v>
      </c>
      <c r="U107" s="273">
        <v>45665</v>
      </c>
      <c r="V107" s="271"/>
      <c r="W107" s="272"/>
      <c r="X107" s="184" t="s">
        <v>1146</v>
      </c>
      <c r="Y107" s="185" t="str">
        <f>"項目名:"&amp;Z107</f>
        <v>項目名:ＶＦＤ表示名称</v>
      </c>
      <c r="Z107" s="236" t="s">
        <v>1098</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1068</v>
      </c>
      <c r="R108" s="180"/>
      <c r="S108" s="180"/>
      <c r="T108" s="266">
        <v>45663</v>
      </c>
      <c r="U108" s="270">
        <v>45663</v>
      </c>
      <c r="V108" s="271"/>
      <c r="W108" s="272"/>
      <c r="X108" s="184" t="s">
        <v>1146</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1068</v>
      </c>
      <c r="R109" s="180"/>
      <c r="S109" s="180"/>
      <c r="T109" s="266">
        <v>45663</v>
      </c>
      <c r="U109" s="270">
        <v>45663</v>
      </c>
      <c r="V109" s="271"/>
      <c r="W109" s="272"/>
      <c r="X109" s="184" t="s">
        <v>1146</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1068</v>
      </c>
      <c r="R110" s="180"/>
      <c r="S110" s="180"/>
      <c r="T110" s="266">
        <v>45663</v>
      </c>
      <c r="U110" s="270">
        <v>45663</v>
      </c>
      <c r="V110" s="271"/>
      <c r="W110" s="272"/>
      <c r="X110" s="184" t="s">
        <v>1146</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1068</v>
      </c>
      <c r="R111" s="180"/>
      <c r="S111" s="180"/>
      <c r="T111" s="266">
        <v>45663</v>
      </c>
      <c r="U111" s="270">
        <v>45663</v>
      </c>
      <c r="V111" s="271"/>
      <c r="W111" s="272"/>
      <c r="X111" s="184" t="s">
        <v>1146</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1068</v>
      </c>
      <c r="R112" s="180"/>
      <c r="S112" s="180"/>
      <c r="T112" s="266">
        <v>45663</v>
      </c>
      <c r="U112" s="270">
        <v>45663</v>
      </c>
      <c r="V112" s="271"/>
      <c r="W112" s="272"/>
      <c r="X112" s="184" t="s">
        <v>1146</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1068</v>
      </c>
      <c r="R113" s="180"/>
      <c r="S113" s="180"/>
      <c r="T113" s="266">
        <v>45663</v>
      </c>
      <c r="U113" s="270">
        <v>45663</v>
      </c>
      <c r="V113" s="271"/>
      <c r="W113" s="272"/>
      <c r="X113" s="184" t="s">
        <v>1146</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1068</v>
      </c>
      <c r="R114" s="180"/>
      <c r="S114" s="180"/>
      <c r="T114" s="266">
        <v>45663</v>
      </c>
      <c r="U114" s="270">
        <v>45663</v>
      </c>
      <c r="V114" s="271"/>
      <c r="W114" s="272"/>
      <c r="X114" s="184" t="s">
        <v>1146</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1068</v>
      </c>
      <c r="R115" s="180"/>
      <c r="S115" s="180"/>
      <c r="T115" s="266">
        <v>45663</v>
      </c>
      <c r="U115" s="270">
        <v>45663</v>
      </c>
      <c r="V115" s="271"/>
      <c r="W115" s="272"/>
      <c r="X115" s="184" t="s">
        <v>1146</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1068</v>
      </c>
      <c r="R116" s="180"/>
      <c r="S116" s="180"/>
      <c r="T116" s="266">
        <v>45663</v>
      </c>
      <c r="U116" s="270">
        <v>45663</v>
      </c>
      <c r="V116" s="271"/>
      <c r="W116" s="272"/>
      <c r="X116" s="184" t="s">
        <v>1146</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1068</v>
      </c>
      <c r="R117" s="180"/>
      <c r="S117" s="180"/>
      <c r="T117" s="266">
        <v>45663</v>
      </c>
      <c r="U117" s="270">
        <v>45663</v>
      </c>
      <c r="V117" s="271"/>
      <c r="W117" s="272"/>
      <c r="X117" s="184" t="s">
        <v>1146</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1068</v>
      </c>
      <c r="R118" s="180"/>
      <c r="S118" s="180"/>
      <c r="T118" s="266">
        <v>45663</v>
      </c>
      <c r="U118" s="270">
        <v>45663</v>
      </c>
      <c r="V118" s="271"/>
      <c r="W118" s="272"/>
      <c r="X118" s="184" t="s">
        <v>1146</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1068</v>
      </c>
      <c r="R119" s="180"/>
      <c r="S119" s="180"/>
      <c r="T119" s="266">
        <v>45663</v>
      </c>
      <c r="U119" s="270">
        <v>45663</v>
      </c>
      <c r="V119" s="271"/>
      <c r="W119" s="272"/>
      <c r="X119" s="184" t="s">
        <v>1146</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1068</v>
      </c>
      <c r="R120" s="180"/>
      <c r="S120" s="180"/>
      <c r="T120" s="266">
        <v>45663</v>
      </c>
      <c r="U120" s="270">
        <v>45663</v>
      </c>
      <c r="V120" s="271"/>
      <c r="W120" s="272"/>
      <c r="X120" s="184" t="s">
        <v>1146</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1068</v>
      </c>
      <c r="R121" s="180"/>
      <c r="S121" s="180"/>
      <c r="T121" s="266">
        <v>45663</v>
      </c>
      <c r="U121" s="270">
        <v>45663</v>
      </c>
      <c r="V121" s="271"/>
      <c r="W121" s="272"/>
      <c r="X121" s="184" t="s">
        <v>1146</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1068</v>
      </c>
      <c r="R122" s="180"/>
      <c r="S122" s="180"/>
      <c r="T122" s="266">
        <v>45663</v>
      </c>
      <c r="U122" s="270">
        <v>45663</v>
      </c>
      <c r="V122" s="271"/>
      <c r="W122" s="272"/>
      <c r="X122" s="184" t="s">
        <v>1146</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1068</v>
      </c>
      <c r="R123" s="180"/>
      <c r="S123" s="180"/>
      <c r="T123" s="266">
        <v>45663</v>
      </c>
      <c r="U123" s="270">
        <v>45663</v>
      </c>
      <c r="V123" s="271"/>
      <c r="W123" s="272"/>
      <c r="X123" s="184" t="s">
        <v>1146</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1068</v>
      </c>
      <c r="R124" s="180"/>
      <c r="S124" s="180"/>
      <c r="T124" s="266">
        <v>45663</v>
      </c>
      <c r="U124" s="270">
        <v>45663</v>
      </c>
      <c r="V124" s="271"/>
      <c r="W124" s="272"/>
      <c r="X124" s="184" t="s">
        <v>1146</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1068</v>
      </c>
      <c r="Q125" s="180"/>
      <c r="R125" s="180"/>
      <c r="S125" s="180"/>
      <c r="T125" s="266">
        <v>45664</v>
      </c>
      <c r="U125" s="270">
        <v>45664</v>
      </c>
      <c r="V125" s="271"/>
      <c r="W125" s="272"/>
      <c r="X125" s="184" t="s">
        <v>1146</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1068</v>
      </c>
      <c r="P126" s="180"/>
      <c r="Q126" s="180"/>
      <c r="R126" s="180"/>
      <c r="S126" s="180"/>
      <c r="T126" s="266">
        <v>45664</v>
      </c>
      <c r="U126" s="270">
        <v>45664</v>
      </c>
      <c r="V126" s="271"/>
      <c r="W126" s="272"/>
      <c r="X126" s="184" t="s">
        <v>1146</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1068</v>
      </c>
      <c r="P127" s="180"/>
      <c r="Q127" s="180"/>
      <c r="R127" s="180"/>
      <c r="S127" s="180"/>
      <c r="T127" s="266">
        <v>45664</v>
      </c>
      <c r="U127" s="270">
        <v>45664</v>
      </c>
      <c r="V127" s="271"/>
      <c r="W127" s="272"/>
      <c r="X127" s="184" t="s">
        <v>1146</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1068</v>
      </c>
      <c r="P128" s="180"/>
      <c r="Q128" s="180"/>
      <c r="R128" s="180"/>
      <c r="S128" s="180"/>
      <c r="T128" s="266">
        <v>45664</v>
      </c>
      <c r="U128" s="270">
        <v>45664</v>
      </c>
      <c r="V128" s="271"/>
      <c r="W128" s="272"/>
      <c r="X128" s="184" t="s">
        <v>1146</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1068</v>
      </c>
      <c r="P129" s="180"/>
      <c r="Q129" s="180"/>
      <c r="R129" s="180"/>
      <c r="S129" s="180"/>
      <c r="T129" s="266">
        <v>45664</v>
      </c>
      <c r="U129" s="270">
        <v>45664</v>
      </c>
      <c r="V129" s="271"/>
      <c r="W129" s="272"/>
      <c r="X129" s="184" t="s">
        <v>1146</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1068</v>
      </c>
      <c r="P130" s="180"/>
      <c r="Q130" s="180"/>
      <c r="R130" s="180"/>
      <c r="S130" s="180"/>
      <c r="T130" s="266">
        <v>45664</v>
      </c>
      <c r="U130" s="270">
        <v>45664</v>
      </c>
      <c r="V130" s="271"/>
      <c r="W130" s="272"/>
      <c r="X130" s="184" t="s">
        <v>1146</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1068</v>
      </c>
      <c r="R131" s="180"/>
      <c r="S131" s="180"/>
      <c r="T131" s="266">
        <v>45664</v>
      </c>
      <c r="U131" s="270">
        <v>45664</v>
      </c>
      <c r="V131" s="271"/>
      <c r="W131" s="272"/>
      <c r="X131" s="184" t="s">
        <v>1146</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1068</v>
      </c>
      <c r="R132" s="180"/>
      <c r="S132" s="180"/>
      <c r="T132" s="266">
        <v>45664</v>
      </c>
      <c r="U132" s="270">
        <v>45664</v>
      </c>
      <c r="V132" s="271"/>
      <c r="W132" s="272"/>
      <c r="X132" s="184" t="s">
        <v>1146</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1068</v>
      </c>
      <c r="R133" s="180"/>
      <c r="S133" s="180"/>
      <c r="T133" s="266">
        <v>45664</v>
      </c>
      <c r="U133" s="270">
        <v>45664</v>
      </c>
      <c r="V133" s="271"/>
      <c r="W133" s="272"/>
      <c r="X133" s="184" t="s">
        <v>1146</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1068</v>
      </c>
      <c r="R134" s="180"/>
      <c r="S134" s="180"/>
      <c r="T134" s="266">
        <v>45664</v>
      </c>
      <c r="U134" s="270">
        <v>45664</v>
      </c>
      <c r="V134" s="271"/>
      <c r="W134" s="272"/>
      <c r="X134" s="184" t="s">
        <v>1146</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1068</v>
      </c>
      <c r="R135" s="180"/>
      <c r="S135" s="180"/>
      <c r="T135" s="266">
        <v>45664</v>
      </c>
      <c r="U135" s="270">
        <v>45664</v>
      </c>
      <c r="V135" s="271"/>
      <c r="W135" s="272"/>
      <c r="X135" s="184" t="s">
        <v>1146</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1068</v>
      </c>
      <c r="R136" s="180"/>
      <c r="S136" s="180"/>
      <c r="T136" s="266">
        <v>45664</v>
      </c>
      <c r="U136" s="270">
        <v>45664</v>
      </c>
      <c r="V136" s="271"/>
      <c r="W136" s="272"/>
      <c r="X136" s="184" t="s">
        <v>1146</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1068</v>
      </c>
      <c r="R137" s="180"/>
      <c r="S137" s="180"/>
      <c r="T137" s="266">
        <v>45664</v>
      </c>
      <c r="U137" s="270">
        <v>45664</v>
      </c>
      <c r="V137" s="271"/>
      <c r="W137" s="272"/>
      <c r="X137" s="184" t="s">
        <v>1146</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1068</v>
      </c>
      <c r="R138" s="180"/>
      <c r="S138" s="180"/>
      <c r="T138" s="266">
        <v>45664</v>
      </c>
      <c r="U138" s="270">
        <v>45664</v>
      </c>
      <c r="V138" s="271"/>
      <c r="W138" s="272"/>
      <c r="X138" s="184" t="s">
        <v>1146</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1068</v>
      </c>
      <c r="R139" s="180"/>
      <c r="S139" s="180"/>
      <c r="T139" s="266">
        <v>45664</v>
      </c>
      <c r="U139" s="270">
        <v>45664</v>
      </c>
      <c r="V139" s="271"/>
      <c r="W139" s="272"/>
      <c r="X139" s="184" t="s">
        <v>1146</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1068</v>
      </c>
      <c r="R140" s="180"/>
      <c r="S140" s="180"/>
      <c r="T140" s="266">
        <v>45664</v>
      </c>
      <c r="U140" s="270">
        <v>45664</v>
      </c>
      <c r="V140" s="271"/>
      <c r="W140" s="272"/>
      <c r="X140" s="184" t="s">
        <v>1146</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1068</v>
      </c>
      <c r="R141" s="180"/>
      <c r="S141" s="180"/>
      <c r="T141" s="266">
        <v>45664</v>
      </c>
      <c r="U141" s="270">
        <v>45664</v>
      </c>
      <c r="V141" s="271"/>
      <c r="W141" s="272"/>
      <c r="X141" s="184" t="s">
        <v>1146</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1068</v>
      </c>
      <c r="R142" s="180"/>
      <c r="S142" s="180"/>
      <c r="T142" s="266">
        <v>45664</v>
      </c>
      <c r="U142" s="270">
        <v>45664</v>
      </c>
      <c r="V142" s="271"/>
      <c r="W142" s="272"/>
      <c r="X142" s="184" t="s">
        <v>1146</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1068</v>
      </c>
      <c r="R143" s="180"/>
      <c r="S143" s="180"/>
      <c r="T143" s="266">
        <v>45664</v>
      </c>
      <c r="U143" s="270">
        <v>45664</v>
      </c>
      <c r="V143" s="271"/>
      <c r="W143" s="272"/>
      <c r="X143" s="184" t="s">
        <v>1146</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1068</v>
      </c>
      <c r="R144" s="180"/>
      <c r="S144" s="180"/>
      <c r="T144" s="266">
        <v>45664</v>
      </c>
      <c r="U144" s="270">
        <v>45664</v>
      </c>
      <c r="V144" s="271"/>
      <c r="W144" s="272"/>
      <c r="X144" s="184" t="s">
        <v>1146</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1068</v>
      </c>
      <c r="R145" s="180"/>
      <c r="S145" s="180"/>
      <c r="T145" s="266">
        <v>45664</v>
      </c>
      <c r="U145" s="270">
        <v>45664</v>
      </c>
      <c r="V145" s="271"/>
      <c r="W145" s="272"/>
      <c r="X145" s="184" t="s">
        <v>1146</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1068</v>
      </c>
      <c r="R146" s="180"/>
      <c r="S146" s="180"/>
      <c r="T146" s="266">
        <v>45664</v>
      </c>
      <c r="U146" s="270">
        <v>45664</v>
      </c>
      <c r="V146" s="271"/>
      <c r="W146" s="272"/>
      <c r="X146" s="184" t="s">
        <v>1146</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1068</v>
      </c>
      <c r="R147" s="180"/>
      <c r="S147" s="180"/>
      <c r="T147" s="266">
        <v>45664</v>
      </c>
      <c r="U147" s="270">
        <v>45664</v>
      </c>
      <c r="V147" s="271"/>
      <c r="W147" s="272"/>
      <c r="X147" s="184" t="s">
        <v>1146</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1068</v>
      </c>
      <c r="R148" s="180"/>
      <c r="S148" s="180"/>
      <c r="T148" s="266">
        <v>45664</v>
      </c>
      <c r="U148" s="270">
        <v>45664</v>
      </c>
      <c r="V148" s="271"/>
      <c r="W148" s="272"/>
      <c r="X148" s="184" t="s">
        <v>1146</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1068</v>
      </c>
      <c r="R149" s="180"/>
      <c r="S149" s="180"/>
      <c r="T149" s="266">
        <v>45664</v>
      </c>
      <c r="U149" s="270">
        <v>45664</v>
      </c>
      <c r="V149" s="271"/>
      <c r="W149" s="272"/>
      <c r="X149" s="184" t="s">
        <v>1146</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1068</v>
      </c>
      <c r="R150" s="180"/>
      <c r="S150" s="180"/>
      <c r="T150" s="266">
        <v>45664</v>
      </c>
      <c r="U150" s="270">
        <v>45664</v>
      </c>
      <c r="V150" s="271"/>
      <c r="W150" s="272"/>
      <c r="X150" s="184" t="s">
        <v>1146</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1068</v>
      </c>
      <c r="R151" s="180"/>
      <c r="S151" s="180"/>
      <c r="T151" s="266">
        <v>45664</v>
      </c>
      <c r="U151" s="270">
        <v>45664</v>
      </c>
      <c r="V151" s="271"/>
      <c r="W151" s="272"/>
      <c r="X151" s="184" t="s">
        <v>1146</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1068</v>
      </c>
      <c r="R152" s="180"/>
      <c r="S152" s="180"/>
      <c r="T152" s="266">
        <v>45664</v>
      </c>
      <c r="U152" s="270">
        <v>45664</v>
      </c>
      <c r="V152" s="271"/>
      <c r="W152" s="272"/>
      <c r="X152" s="184" t="s">
        <v>1146</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1068</v>
      </c>
      <c r="Q153" s="180"/>
      <c r="R153" s="180"/>
      <c r="S153" s="180"/>
      <c r="T153" s="266">
        <v>45664</v>
      </c>
      <c r="U153" s="270">
        <v>45664</v>
      </c>
      <c r="V153" s="271"/>
      <c r="W153" s="272"/>
      <c r="X153" s="184" t="s">
        <v>1146</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1068</v>
      </c>
      <c r="P154" s="180"/>
      <c r="Q154" s="180"/>
      <c r="R154" s="180"/>
      <c r="S154" s="180"/>
      <c r="T154" s="266">
        <v>45664</v>
      </c>
      <c r="U154" s="270">
        <v>45664</v>
      </c>
      <c r="V154" s="271"/>
      <c r="W154" s="272"/>
      <c r="X154" s="184" t="s">
        <v>1146</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1068</v>
      </c>
      <c r="P155" s="180"/>
      <c r="Q155" s="180"/>
      <c r="R155" s="180"/>
      <c r="S155" s="180"/>
      <c r="T155" s="266">
        <v>45664</v>
      </c>
      <c r="U155" s="270">
        <v>45664</v>
      </c>
      <c r="V155" s="271"/>
      <c r="W155" s="272"/>
      <c r="X155" s="184" t="s">
        <v>1146</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1068</v>
      </c>
      <c r="P156" s="180"/>
      <c r="Q156" s="180"/>
      <c r="R156" s="180"/>
      <c r="S156" s="180"/>
      <c r="T156" s="266">
        <v>45664</v>
      </c>
      <c r="U156" s="270">
        <v>45664</v>
      </c>
      <c r="V156" s="271"/>
      <c r="W156" s="272"/>
      <c r="X156" s="184" t="s">
        <v>1146</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1068</v>
      </c>
      <c r="P157" s="180"/>
      <c r="Q157" s="180"/>
      <c r="R157" s="180"/>
      <c r="S157" s="180"/>
      <c r="T157" s="266">
        <v>45664</v>
      </c>
      <c r="U157" s="270">
        <v>45664</v>
      </c>
      <c r="V157" s="271"/>
      <c r="W157" s="272"/>
      <c r="X157" s="184" t="s">
        <v>1146</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1068</v>
      </c>
      <c r="P158" s="180"/>
      <c r="Q158" s="180"/>
      <c r="R158" s="180"/>
      <c r="S158" s="180"/>
      <c r="T158" s="266">
        <v>45664</v>
      </c>
      <c r="U158" s="270">
        <v>45664</v>
      </c>
      <c r="V158" s="271"/>
      <c r="W158" s="272"/>
      <c r="X158" s="184" t="s">
        <v>1146</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1068</v>
      </c>
      <c r="R159" s="180"/>
      <c r="S159" s="180"/>
      <c r="T159" s="266">
        <v>45664</v>
      </c>
      <c r="U159" s="270">
        <v>45664</v>
      </c>
      <c r="V159" s="271"/>
      <c r="W159" s="272"/>
      <c r="X159" s="184" t="s">
        <v>1146</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1068</v>
      </c>
      <c r="R160" s="180"/>
      <c r="S160" s="180"/>
      <c r="T160" s="266">
        <v>45664</v>
      </c>
      <c r="U160" s="270">
        <v>45664</v>
      </c>
      <c r="V160" s="271"/>
      <c r="W160" s="272"/>
      <c r="X160" s="184" t="s">
        <v>1146</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1068</v>
      </c>
      <c r="R161" s="180"/>
      <c r="S161" s="180"/>
      <c r="T161" s="266">
        <v>45664</v>
      </c>
      <c r="U161" s="270">
        <v>45664</v>
      </c>
      <c r="V161" s="271"/>
      <c r="W161" s="272"/>
      <c r="X161" s="184" t="s">
        <v>1146</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1068</v>
      </c>
      <c r="R162" s="180"/>
      <c r="S162" s="180"/>
      <c r="T162" s="266">
        <v>45664</v>
      </c>
      <c r="U162" s="270">
        <v>45664</v>
      </c>
      <c r="V162" s="271"/>
      <c r="W162" s="272"/>
      <c r="X162" s="184" t="s">
        <v>1146</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1068</v>
      </c>
      <c r="R163" s="180"/>
      <c r="S163" s="180"/>
      <c r="T163" s="266">
        <v>45664</v>
      </c>
      <c r="U163" s="270">
        <v>45664</v>
      </c>
      <c r="V163" s="271"/>
      <c r="W163" s="272"/>
      <c r="X163" s="184" t="s">
        <v>1146</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1068</v>
      </c>
      <c r="R164" s="180"/>
      <c r="S164" s="180"/>
      <c r="T164" s="266">
        <v>45664</v>
      </c>
      <c r="U164" s="270">
        <v>45664</v>
      </c>
      <c r="V164" s="271"/>
      <c r="W164" s="272"/>
      <c r="X164" s="184" t="s">
        <v>1146</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1068</v>
      </c>
      <c r="R165" s="180"/>
      <c r="S165" s="180"/>
      <c r="T165" s="266">
        <v>45664</v>
      </c>
      <c r="U165" s="270">
        <v>45664</v>
      </c>
      <c r="V165" s="271"/>
      <c r="W165" s="272"/>
      <c r="X165" s="184" t="s">
        <v>1146</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1068</v>
      </c>
      <c r="R166" s="180"/>
      <c r="S166" s="180"/>
      <c r="T166" s="266">
        <v>45664</v>
      </c>
      <c r="U166" s="270">
        <v>45664</v>
      </c>
      <c r="V166" s="271"/>
      <c r="W166" s="272"/>
      <c r="X166" s="184" t="s">
        <v>1146</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1068</v>
      </c>
      <c r="R167" s="180"/>
      <c r="S167" s="180"/>
      <c r="T167" s="266">
        <v>45664</v>
      </c>
      <c r="U167" s="270">
        <v>45664</v>
      </c>
      <c r="V167" s="271"/>
      <c r="W167" s="272"/>
      <c r="X167" s="184" t="s">
        <v>1146</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1068</v>
      </c>
      <c r="R168" s="180"/>
      <c r="S168" s="180"/>
      <c r="T168" s="266">
        <v>45664</v>
      </c>
      <c r="U168" s="270">
        <v>45664</v>
      </c>
      <c r="V168" s="271"/>
      <c r="W168" s="272"/>
      <c r="X168" s="184" t="s">
        <v>1146</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1068</v>
      </c>
      <c r="R169" s="180"/>
      <c r="S169" s="180"/>
      <c r="T169" s="266">
        <v>45664</v>
      </c>
      <c r="U169" s="270">
        <v>45664</v>
      </c>
      <c r="V169" s="271"/>
      <c r="W169" s="272"/>
      <c r="X169" s="184" t="s">
        <v>1146</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1068</v>
      </c>
      <c r="R170" s="180"/>
      <c r="S170" s="180"/>
      <c r="T170" s="266">
        <v>45664</v>
      </c>
      <c r="U170" s="270">
        <v>45664</v>
      </c>
      <c r="V170" s="271"/>
      <c r="W170" s="272"/>
      <c r="X170" s="184" t="s">
        <v>1146</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1068</v>
      </c>
      <c r="R171" s="180"/>
      <c r="S171" s="180"/>
      <c r="T171" s="266">
        <v>45664</v>
      </c>
      <c r="U171" s="270">
        <v>45664</v>
      </c>
      <c r="V171" s="271"/>
      <c r="W171" s="272"/>
      <c r="X171" s="184" t="s">
        <v>1146</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1068</v>
      </c>
      <c r="R172" s="180"/>
      <c r="S172" s="180"/>
      <c r="T172" s="266">
        <v>45664</v>
      </c>
      <c r="U172" s="270">
        <v>45664</v>
      </c>
      <c r="V172" s="271"/>
      <c r="W172" s="272"/>
      <c r="X172" s="184" t="s">
        <v>1146</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1068</v>
      </c>
      <c r="R173" s="180"/>
      <c r="S173" s="180"/>
      <c r="T173" s="266">
        <v>45664</v>
      </c>
      <c r="U173" s="270">
        <v>45664</v>
      </c>
      <c r="V173" s="271"/>
      <c r="W173" s="272"/>
      <c r="X173" s="184" t="s">
        <v>1146</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1068</v>
      </c>
      <c r="R174" s="180"/>
      <c r="S174" s="180"/>
      <c r="T174" s="266">
        <v>45664</v>
      </c>
      <c r="U174" s="270">
        <v>45664</v>
      </c>
      <c r="V174" s="271"/>
      <c r="W174" s="272"/>
      <c r="X174" s="184" t="s">
        <v>1146</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1068</v>
      </c>
      <c r="R175" s="180"/>
      <c r="S175" s="180"/>
      <c r="T175" s="266">
        <v>45664</v>
      </c>
      <c r="U175" s="270">
        <v>45664</v>
      </c>
      <c r="V175" s="271"/>
      <c r="W175" s="272"/>
      <c r="X175" s="184" t="s">
        <v>1146</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1068</v>
      </c>
      <c r="R176" s="180"/>
      <c r="S176" s="180"/>
      <c r="T176" s="266">
        <v>45664</v>
      </c>
      <c r="U176" s="270">
        <v>45664</v>
      </c>
      <c r="V176" s="271"/>
      <c r="W176" s="272"/>
      <c r="X176" s="184" t="s">
        <v>1146</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1068</v>
      </c>
      <c r="R177" s="180"/>
      <c r="S177" s="180"/>
      <c r="T177" s="266">
        <v>45664</v>
      </c>
      <c r="U177" s="270">
        <v>45664</v>
      </c>
      <c r="V177" s="271"/>
      <c r="W177" s="272"/>
      <c r="X177" s="184" t="s">
        <v>1146</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1068</v>
      </c>
      <c r="R178" s="180"/>
      <c r="S178" s="180"/>
      <c r="T178" s="266">
        <v>45664</v>
      </c>
      <c r="U178" s="270">
        <v>45664</v>
      </c>
      <c r="V178" s="271"/>
      <c r="W178" s="272"/>
      <c r="X178" s="184" t="s">
        <v>1146</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1068</v>
      </c>
      <c r="R179" s="180"/>
      <c r="S179" s="180"/>
      <c r="T179" s="266">
        <v>45664</v>
      </c>
      <c r="U179" s="270">
        <v>45664</v>
      </c>
      <c r="V179" s="271"/>
      <c r="W179" s="272"/>
      <c r="X179" s="184" t="s">
        <v>1146</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1068</v>
      </c>
      <c r="R180" s="180"/>
      <c r="S180" s="180"/>
      <c r="T180" s="266">
        <v>45664</v>
      </c>
      <c r="U180" s="270">
        <v>45664</v>
      </c>
      <c r="V180" s="271"/>
      <c r="W180" s="272"/>
      <c r="X180" s="184" t="s">
        <v>1146</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1068</v>
      </c>
      <c r="R181" s="180"/>
      <c r="S181" s="180"/>
      <c r="T181" s="266">
        <v>45664</v>
      </c>
      <c r="U181" s="270">
        <v>45664</v>
      </c>
      <c r="V181" s="271"/>
      <c r="W181" s="272"/>
      <c r="X181" s="184" t="s">
        <v>1146</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1068</v>
      </c>
      <c r="R182" s="180"/>
      <c r="S182" s="180"/>
      <c r="T182" s="266">
        <v>45664</v>
      </c>
      <c r="U182" s="270">
        <v>45664</v>
      </c>
      <c r="V182" s="271"/>
      <c r="W182" s="272"/>
      <c r="X182" s="184" t="s">
        <v>1146</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1068</v>
      </c>
      <c r="R183" s="180"/>
      <c r="S183" s="180"/>
      <c r="T183" s="266">
        <v>45664</v>
      </c>
      <c r="U183" s="270">
        <v>45664</v>
      </c>
      <c r="V183" s="271"/>
      <c r="W183" s="272"/>
      <c r="X183" s="184" t="s">
        <v>1146</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1068</v>
      </c>
      <c r="R184" s="180"/>
      <c r="S184" s="180"/>
      <c r="T184" s="266">
        <v>45664</v>
      </c>
      <c r="U184" s="270">
        <v>45664</v>
      </c>
      <c r="V184" s="271"/>
      <c r="W184" s="272"/>
      <c r="X184" s="184" t="s">
        <v>1146</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1068</v>
      </c>
      <c r="R185" s="180"/>
      <c r="S185" s="180"/>
      <c r="T185" s="266">
        <v>45664</v>
      </c>
      <c r="U185" s="270">
        <v>45664</v>
      </c>
      <c r="V185" s="271"/>
      <c r="W185" s="272"/>
      <c r="X185" s="184" t="s">
        <v>1146</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1068</v>
      </c>
      <c r="R186" s="180"/>
      <c r="S186" s="180"/>
      <c r="T186" s="266">
        <v>45664</v>
      </c>
      <c r="U186" s="270">
        <v>45664</v>
      </c>
      <c r="V186" s="271"/>
      <c r="W186" s="272"/>
      <c r="X186" s="184" t="s">
        <v>1146</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1068</v>
      </c>
      <c r="R187" s="180"/>
      <c r="S187" s="180"/>
      <c r="T187" s="266">
        <v>45664</v>
      </c>
      <c r="U187" s="270">
        <v>45664</v>
      </c>
      <c r="V187" s="271"/>
      <c r="W187" s="272"/>
      <c r="X187" s="184" t="s">
        <v>1146</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1068</v>
      </c>
      <c r="R188" s="180"/>
      <c r="S188" s="180"/>
      <c r="T188" s="266">
        <v>45664</v>
      </c>
      <c r="U188" s="270">
        <v>45664</v>
      </c>
      <c r="V188" s="271"/>
      <c r="W188" s="272"/>
      <c r="X188" s="184" t="s">
        <v>1146</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1068</v>
      </c>
      <c r="R189" s="180"/>
      <c r="S189" s="180"/>
      <c r="T189" s="266">
        <v>45664</v>
      </c>
      <c r="U189" s="273"/>
      <c r="V189" s="271">
        <v>45664</v>
      </c>
      <c r="W189" s="272">
        <v>45673</v>
      </c>
      <c r="X189" s="184" t="s">
        <v>1146</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1068</v>
      </c>
      <c r="R190" s="180"/>
      <c r="S190" s="180"/>
      <c r="T190" s="266">
        <v>45664</v>
      </c>
      <c r="U190" s="270">
        <v>45664</v>
      </c>
      <c r="V190" s="271"/>
      <c r="W190" s="272"/>
      <c r="X190" s="184" t="s">
        <v>1146</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1068</v>
      </c>
      <c r="R191" s="180"/>
      <c r="S191" s="180"/>
      <c r="T191" s="266">
        <v>45664</v>
      </c>
      <c r="U191" s="270">
        <v>45664</v>
      </c>
      <c r="V191" s="271"/>
      <c r="W191" s="272"/>
      <c r="X191" s="184" t="s">
        <v>1146</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1068</v>
      </c>
      <c r="Q192" s="180"/>
      <c r="R192" s="180"/>
      <c r="S192" s="180"/>
      <c r="T192" s="266">
        <v>45665</v>
      </c>
      <c r="U192" s="270">
        <v>45665</v>
      </c>
      <c r="V192" s="271"/>
      <c r="W192" s="272"/>
      <c r="X192" s="184" t="s">
        <v>1146</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1068</v>
      </c>
      <c r="P193" s="180"/>
      <c r="Q193" s="180"/>
      <c r="R193" s="180"/>
      <c r="S193" s="180"/>
      <c r="T193" s="266">
        <v>45665</v>
      </c>
      <c r="U193" s="270">
        <v>45665</v>
      </c>
      <c r="V193" s="271"/>
      <c r="W193" s="272"/>
      <c r="X193" s="184" t="s">
        <v>1146</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1068</v>
      </c>
      <c r="P194" s="180"/>
      <c r="Q194" s="180"/>
      <c r="R194" s="180"/>
      <c r="S194" s="180"/>
      <c r="T194" s="266">
        <v>45665</v>
      </c>
      <c r="U194" s="270">
        <v>45665</v>
      </c>
      <c r="V194" s="271"/>
      <c r="W194" s="272"/>
      <c r="X194" s="184" t="s">
        <v>1146</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1068</v>
      </c>
      <c r="P195" s="180"/>
      <c r="Q195" s="180"/>
      <c r="R195" s="180"/>
      <c r="S195" s="180"/>
      <c r="T195" s="266">
        <v>45665</v>
      </c>
      <c r="U195" s="270">
        <v>45665</v>
      </c>
      <c r="V195" s="271"/>
      <c r="W195" s="272"/>
      <c r="X195" s="184" t="s">
        <v>1146</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1068</v>
      </c>
      <c r="P196" s="180"/>
      <c r="Q196" s="180"/>
      <c r="R196" s="180"/>
      <c r="S196" s="180"/>
      <c r="T196" s="266">
        <v>45665</v>
      </c>
      <c r="U196" s="270">
        <v>45665</v>
      </c>
      <c r="V196" s="271"/>
      <c r="W196" s="272"/>
      <c r="X196" s="184" t="s">
        <v>1146</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1068</v>
      </c>
      <c r="P197" s="180"/>
      <c r="Q197" s="180"/>
      <c r="R197" s="180"/>
      <c r="S197" s="180"/>
      <c r="T197" s="266">
        <v>45665</v>
      </c>
      <c r="U197" s="270">
        <v>45665</v>
      </c>
      <c r="V197" s="271"/>
      <c r="W197" s="272"/>
      <c r="X197" s="184" t="s">
        <v>1146</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1068</v>
      </c>
      <c r="R198" s="180"/>
      <c r="S198" s="180"/>
      <c r="T198" s="266">
        <v>45665</v>
      </c>
      <c r="U198" s="270">
        <v>45665</v>
      </c>
      <c r="V198" s="271"/>
      <c r="W198" s="272"/>
      <c r="X198" s="184" t="s">
        <v>1146</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1068</v>
      </c>
      <c r="R199" s="180"/>
      <c r="S199" s="180"/>
      <c r="T199" s="266">
        <v>45665</v>
      </c>
      <c r="U199" s="270">
        <v>45665</v>
      </c>
      <c r="V199" s="271"/>
      <c r="W199" s="272"/>
      <c r="X199" s="184" t="s">
        <v>1146</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1068</v>
      </c>
      <c r="R200" s="180"/>
      <c r="S200" s="180"/>
      <c r="T200" s="266">
        <v>45665</v>
      </c>
      <c r="U200" s="270">
        <v>45665</v>
      </c>
      <c r="V200" s="271"/>
      <c r="W200" s="272"/>
      <c r="X200" s="184" t="s">
        <v>1146</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1068</v>
      </c>
      <c r="R201" s="180"/>
      <c r="S201" s="180"/>
      <c r="T201" s="266">
        <v>45665</v>
      </c>
      <c r="U201" s="270">
        <v>45665</v>
      </c>
      <c r="V201" s="271"/>
      <c r="W201" s="272"/>
      <c r="X201" s="184" t="s">
        <v>1146</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1068</v>
      </c>
      <c r="R202" s="180"/>
      <c r="S202" s="180"/>
      <c r="T202" s="266">
        <v>45665</v>
      </c>
      <c r="U202" s="270">
        <v>45665</v>
      </c>
      <c r="V202" s="271"/>
      <c r="W202" s="272"/>
      <c r="X202" s="184" t="s">
        <v>1146</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1068</v>
      </c>
      <c r="R203" s="180"/>
      <c r="S203" s="180"/>
      <c r="T203" s="266">
        <v>45665</v>
      </c>
      <c r="U203" s="270">
        <v>45665</v>
      </c>
      <c r="V203" s="271"/>
      <c r="W203" s="272"/>
      <c r="X203" s="184" t="s">
        <v>1146</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1068</v>
      </c>
      <c r="R204" s="180"/>
      <c r="S204" s="180"/>
      <c r="T204" s="266">
        <v>45665</v>
      </c>
      <c r="U204" s="270">
        <v>45665</v>
      </c>
      <c r="V204" s="271"/>
      <c r="W204" s="272"/>
      <c r="X204" s="184" t="s">
        <v>1146</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1068</v>
      </c>
      <c r="R205" s="180"/>
      <c r="S205" s="180"/>
      <c r="T205" s="266">
        <v>45665</v>
      </c>
      <c r="U205" s="270">
        <v>45665</v>
      </c>
      <c r="V205" s="271"/>
      <c r="W205" s="272"/>
      <c r="X205" s="184" t="s">
        <v>1146</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1068</v>
      </c>
      <c r="R206" s="180"/>
      <c r="S206" s="180"/>
      <c r="T206" s="266">
        <v>45665</v>
      </c>
      <c r="U206" s="270">
        <v>45665</v>
      </c>
      <c r="V206" s="271"/>
      <c r="W206" s="272"/>
      <c r="X206" s="184" t="s">
        <v>1146</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1068</v>
      </c>
      <c r="R207" s="180"/>
      <c r="S207" s="180"/>
      <c r="T207" s="266">
        <v>45665</v>
      </c>
      <c r="U207" s="270">
        <v>45665</v>
      </c>
      <c r="V207" s="271"/>
      <c r="W207" s="272"/>
      <c r="X207" s="184" t="s">
        <v>1146</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1068</v>
      </c>
      <c r="R208" s="180"/>
      <c r="S208" s="180"/>
      <c r="T208" s="266">
        <v>45665</v>
      </c>
      <c r="U208" s="270">
        <v>45665</v>
      </c>
      <c r="V208" s="271"/>
      <c r="W208" s="272"/>
      <c r="X208" s="184" t="s">
        <v>1146</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1068</v>
      </c>
      <c r="R209" s="180"/>
      <c r="S209" s="180"/>
      <c r="T209" s="266">
        <v>45665</v>
      </c>
      <c r="U209" s="270">
        <v>45665</v>
      </c>
      <c r="V209" s="271"/>
      <c r="W209" s="272"/>
      <c r="X209" s="184" t="s">
        <v>1146</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1068</v>
      </c>
      <c r="R210" s="180"/>
      <c r="S210" s="180"/>
      <c r="T210" s="266">
        <v>45665</v>
      </c>
      <c r="U210" s="270">
        <v>45665</v>
      </c>
      <c r="V210" s="271"/>
      <c r="W210" s="272"/>
      <c r="X210" s="184" t="s">
        <v>1146</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1068</v>
      </c>
      <c r="R211" s="180"/>
      <c r="S211" s="180"/>
      <c r="T211" s="266">
        <v>45665</v>
      </c>
      <c r="U211" s="270">
        <v>45665</v>
      </c>
      <c r="V211" s="271"/>
      <c r="W211" s="272"/>
      <c r="X211" s="184" t="s">
        <v>1146</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1068</v>
      </c>
      <c r="R212" s="180"/>
      <c r="S212" s="180"/>
      <c r="T212" s="266">
        <v>45665</v>
      </c>
      <c r="U212" s="270">
        <v>45665</v>
      </c>
      <c r="V212" s="271"/>
      <c r="W212" s="272"/>
      <c r="X212" s="184" t="s">
        <v>1146</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1068</v>
      </c>
      <c r="R213" s="180"/>
      <c r="S213" s="180"/>
      <c r="T213" s="266">
        <v>45665</v>
      </c>
      <c r="U213" s="270">
        <v>45665</v>
      </c>
      <c r="V213" s="271"/>
      <c r="W213" s="272"/>
      <c r="X213" s="184" t="s">
        <v>1146</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1068</v>
      </c>
      <c r="R214" s="180"/>
      <c r="S214" s="180"/>
      <c r="T214" s="266">
        <v>45665</v>
      </c>
      <c r="U214" s="270">
        <v>45665</v>
      </c>
      <c r="V214" s="271"/>
      <c r="W214" s="272"/>
      <c r="X214" s="184" t="s">
        <v>1146</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1068</v>
      </c>
      <c r="R215" s="180"/>
      <c r="S215" s="180"/>
      <c r="T215" s="266">
        <v>45665</v>
      </c>
      <c r="U215" s="270">
        <v>45665</v>
      </c>
      <c r="V215" s="271"/>
      <c r="W215" s="272"/>
      <c r="X215" s="184" t="s">
        <v>1146</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1068</v>
      </c>
      <c r="R216" s="180"/>
      <c r="S216" s="180"/>
      <c r="T216" s="266">
        <v>45665</v>
      </c>
      <c r="U216" s="270">
        <v>45665</v>
      </c>
      <c r="V216" s="271"/>
      <c r="W216" s="272"/>
      <c r="X216" s="184" t="s">
        <v>1146</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1068</v>
      </c>
      <c r="R217" s="180"/>
      <c r="S217" s="180"/>
      <c r="T217" s="266">
        <v>45665</v>
      </c>
      <c r="U217" s="270">
        <v>45665</v>
      </c>
      <c r="V217" s="271"/>
      <c r="W217" s="272"/>
      <c r="X217" s="184" t="s">
        <v>1146</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1068</v>
      </c>
      <c r="R218" s="180"/>
      <c r="S218" s="180"/>
      <c r="T218" s="266">
        <v>45665</v>
      </c>
      <c r="U218" s="270">
        <v>45665</v>
      </c>
      <c r="V218" s="271"/>
      <c r="W218" s="272"/>
      <c r="X218" s="184" t="s">
        <v>1146</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1068</v>
      </c>
      <c r="R219" s="180"/>
      <c r="S219" s="180"/>
      <c r="T219" s="266">
        <v>45665</v>
      </c>
      <c r="U219" s="270">
        <v>45665</v>
      </c>
      <c r="V219" s="271"/>
      <c r="W219" s="272"/>
      <c r="X219" s="184" t="s">
        <v>1146</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1068</v>
      </c>
      <c r="R220" s="180"/>
      <c r="S220" s="180"/>
      <c r="T220" s="266">
        <v>45665</v>
      </c>
      <c r="U220" s="270">
        <v>45665</v>
      </c>
      <c r="V220" s="271"/>
      <c r="W220" s="272"/>
      <c r="X220" s="184" t="s">
        <v>1146</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1068</v>
      </c>
      <c r="R221" s="180"/>
      <c r="S221" s="180"/>
      <c r="T221" s="266">
        <v>45665</v>
      </c>
      <c r="U221" s="270">
        <v>45665</v>
      </c>
      <c r="V221" s="271"/>
      <c r="W221" s="272"/>
      <c r="X221" s="184" t="s">
        <v>1146</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1068</v>
      </c>
      <c r="R222" s="180"/>
      <c r="S222" s="180"/>
      <c r="T222" s="266">
        <v>45665</v>
      </c>
      <c r="U222" s="270">
        <v>45665</v>
      </c>
      <c r="V222" s="271"/>
      <c r="W222" s="272"/>
      <c r="X222" s="184" t="s">
        <v>1146</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1068</v>
      </c>
      <c r="R223" s="180"/>
      <c r="S223" s="180"/>
      <c r="T223" s="266">
        <v>45665</v>
      </c>
      <c r="U223" s="270">
        <v>45665</v>
      </c>
      <c r="V223" s="271"/>
      <c r="W223" s="272"/>
      <c r="X223" s="184" t="s">
        <v>1146</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1068</v>
      </c>
      <c r="R224" s="180"/>
      <c r="S224" s="180"/>
      <c r="T224" s="266">
        <v>45665</v>
      </c>
      <c r="U224" s="270">
        <v>45665</v>
      </c>
      <c r="V224" s="271"/>
      <c r="W224" s="272"/>
      <c r="X224" s="184" t="s">
        <v>1146</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1068</v>
      </c>
      <c r="R225" s="180"/>
      <c r="S225" s="180"/>
      <c r="T225" s="266">
        <v>45665</v>
      </c>
      <c r="U225" s="270">
        <v>45665</v>
      </c>
      <c r="V225" s="271"/>
      <c r="W225" s="272"/>
      <c r="X225" s="184" t="s">
        <v>1146</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1068</v>
      </c>
      <c r="R226" s="180"/>
      <c r="S226" s="180"/>
      <c r="T226" s="266">
        <v>45665</v>
      </c>
      <c r="U226" s="270">
        <v>45665</v>
      </c>
      <c r="V226" s="271"/>
      <c r="W226" s="272"/>
      <c r="X226" s="184" t="s">
        <v>1146</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1068</v>
      </c>
      <c r="R227" s="180"/>
      <c r="S227" s="180"/>
      <c r="T227" s="266">
        <v>45665</v>
      </c>
      <c r="U227" s="270">
        <v>45665</v>
      </c>
      <c r="V227" s="271"/>
      <c r="W227" s="272"/>
      <c r="X227" s="184" t="s">
        <v>1146</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1068</v>
      </c>
      <c r="R228" s="180"/>
      <c r="S228" s="180"/>
      <c r="T228" s="266">
        <v>45665</v>
      </c>
      <c r="U228" s="270">
        <v>45665</v>
      </c>
      <c r="V228" s="271"/>
      <c r="W228" s="272"/>
      <c r="X228" s="184" t="s">
        <v>1146</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1068</v>
      </c>
      <c r="R229" s="180"/>
      <c r="S229" s="180"/>
      <c r="T229" s="266">
        <v>45665</v>
      </c>
      <c r="U229" s="270">
        <v>45665</v>
      </c>
      <c r="V229" s="271"/>
      <c r="W229" s="272"/>
      <c r="X229" s="184" t="s">
        <v>1146</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1068</v>
      </c>
      <c r="R230" s="180"/>
      <c r="S230" s="180"/>
      <c r="T230" s="266">
        <v>45665</v>
      </c>
      <c r="U230" s="270">
        <v>45665</v>
      </c>
      <c r="V230" s="271"/>
      <c r="W230" s="272"/>
      <c r="X230" s="184" t="s">
        <v>1146</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1068</v>
      </c>
      <c r="R231" s="180"/>
      <c r="S231" s="180"/>
      <c r="T231" s="266">
        <v>45665</v>
      </c>
      <c r="U231" s="270">
        <v>45665</v>
      </c>
      <c r="V231" s="271"/>
      <c r="W231" s="272"/>
      <c r="X231" s="184" t="s">
        <v>1146</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1068</v>
      </c>
      <c r="R232" s="180"/>
      <c r="S232" s="180"/>
      <c r="T232" s="266">
        <v>45665</v>
      </c>
      <c r="U232" s="270">
        <v>45665</v>
      </c>
      <c r="V232" s="271"/>
      <c r="W232" s="272"/>
      <c r="X232" s="184" t="s">
        <v>1146</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1068</v>
      </c>
      <c r="R233" s="180"/>
      <c r="S233" s="180"/>
      <c r="T233" s="266">
        <v>45665</v>
      </c>
      <c r="U233" s="270">
        <v>45665</v>
      </c>
      <c r="V233" s="271"/>
      <c r="W233" s="272"/>
      <c r="X233" s="184" t="s">
        <v>1146</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1068</v>
      </c>
      <c r="R234" s="180"/>
      <c r="S234" s="180"/>
      <c r="T234" s="266">
        <v>45665</v>
      </c>
      <c r="U234" s="270">
        <v>45665</v>
      </c>
      <c r="V234" s="271"/>
      <c r="W234" s="272"/>
      <c r="X234" s="184" t="s">
        <v>1146</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1068</v>
      </c>
      <c r="R235" s="180"/>
      <c r="S235" s="180"/>
      <c r="T235" s="266">
        <v>45665</v>
      </c>
      <c r="U235" s="270">
        <v>45665</v>
      </c>
      <c r="V235" s="271"/>
      <c r="W235" s="272"/>
      <c r="X235" s="184" t="s">
        <v>1146</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1068</v>
      </c>
      <c r="R236" s="180"/>
      <c r="S236" s="180"/>
      <c r="T236" s="266">
        <v>45665</v>
      </c>
      <c r="U236" s="270">
        <v>45665</v>
      </c>
      <c r="V236" s="271"/>
      <c r="W236" s="272"/>
      <c r="X236" s="184" t="s">
        <v>1146</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1068</v>
      </c>
      <c r="R237" s="180"/>
      <c r="S237" s="180"/>
      <c r="T237" s="266">
        <v>45665</v>
      </c>
      <c r="U237" s="270">
        <v>45665</v>
      </c>
      <c r="V237" s="271"/>
      <c r="W237" s="272"/>
      <c r="X237" s="184" t="s">
        <v>1146</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1068</v>
      </c>
      <c r="R238" s="180"/>
      <c r="S238" s="180"/>
      <c r="T238" s="266">
        <v>45665</v>
      </c>
      <c r="U238" s="270">
        <v>45665</v>
      </c>
      <c r="V238" s="271"/>
      <c r="W238" s="272"/>
      <c r="X238" s="184" t="s">
        <v>1146</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1068</v>
      </c>
      <c r="R239" s="180"/>
      <c r="S239" s="180"/>
      <c r="T239" s="266">
        <v>45665</v>
      </c>
      <c r="U239" s="270">
        <v>45665</v>
      </c>
      <c r="V239" s="271"/>
      <c r="W239" s="272"/>
      <c r="X239" s="184" t="s">
        <v>1146</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1068</v>
      </c>
      <c r="R240" s="180"/>
      <c r="S240" s="180"/>
      <c r="T240" s="266">
        <v>45665</v>
      </c>
      <c r="U240" s="270">
        <v>45665</v>
      </c>
      <c r="V240" s="271"/>
      <c r="W240" s="272"/>
      <c r="X240" s="184" t="s">
        <v>1146</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1068</v>
      </c>
      <c r="R241" s="180"/>
      <c r="S241" s="180"/>
      <c r="T241" s="266">
        <v>45665</v>
      </c>
      <c r="U241" s="270">
        <v>45665</v>
      </c>
      <c r="V241" s="271"/>
      <c r="W241" s="272"/>
      <c r="X241" s="184" t="s">
        <v>1146</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1068</v>
      </c>
      <c r="R242" s="180"/>
      <c r="S242" s="180"/>
      <c r="T242" s="266">
        <v>45665</v>
      </c>
      <c r="U242" s="270">
        <v>45665</v>
      </c>
      <c r="V242" s="271"/>
      <c r="W242" s="272"/>
      <c r="X242" s="184" t="s">
        <v>1146</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1068</v>
      </c>
      <c r="R243" s="180"/>
      <c r="S243" s="180"/>
      <c r="T243" s="266">
        <v>45665</v>
      </c>
      <c r="U243" s="270">
        <v>45665</v>
      </c>
      <c r="V243" s="271"/>
      <c r="W243" s="272"/>
      <c r="X243" s="184" t="s">
        <v>1146</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1068</v>
      </c>
      <c r="R244" s="180"/>
      <c r="S244" s="180"/>
      <c r="T244" s="266">
        <v>45665</v>
      </c>
      <c r="U244" s="270">
        <v>45665</v>
      </c>
      <c r="V244" s="271"/>
      <c r="W244" s="272"/>
      <c r="X244" s="184" t="s">
        <v>1146</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1068</v>
      </c>
      <c r="R245" s="180"/>
      <c r="S245" s="180"/>
      <c r="T245" s="266">
        <v>45665</v>
      </c>
      <c r="U245" s="270">
        <v>45665</v>
      </c>
      <c r="V245" s="271"/>
      <c r="W245" s="272"/>
      <c r="X245" s="184" t="s">
        <v>1146</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1068</v>
      </c>
      <c r="R246" s="180"/>
      <c r="S246" s="180"/>
      <c r="T246" s="266">
        <v>45665</v>
      </c>
      <c r="U246" s="273"/>
      <c r="V246" s="271">
        <v>45664</v>
      </c>
      <c r="W246" s="272">
        <v>45673</v>
      </c>
      <c r="X246" s="184" t="s">
        <v>1146</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1068</v>
      </c>
      <c r="R247" s="180"/>
      <c r="S247" s="180"/>
      <c r="T247" s="266">
        <v>45665</v>
      </c>
      <c r="U247" s="270">
        <v>45665</v>
      </c>
      <c r="V247" s="271"/>
      <c r="W247" s="272"/>
      <c r="X247" s="184" t="s">
        <v>1146</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1068</v>
      </c>
      <c r="R248" s="180"/>
      <c r="S248" s="180"/>
      <c r="T248" s="266">
        <v>45665</v>
      </c>
      <c r="U248" s="270">
        <v>45665</v>
      </c>
      <c r="V248" s="271"/>
      <c r="W248" s="272"/>
      <c r="X248" s="184" t="s">
        <v>1146</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1068</v>
      </c>
      <c r="Q249" s="180"/>
      <c r="R249" s="180"/>
      <c r="S249" s="180"/>
      <c r="T249" s="266">
        <v>45665</v>
      </c>
      <c r="U249" s="270">
        <v>45665</v>
      </c>
      <c r="V249" s="271"/>
      <c r="W249" s="272"/>
      <c r="X249" s="184" t="s">
        <v>1146</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1068</v>
      </c>
      <c r="P250" s="180"/>
      <c r="Q250" s="180"/>
      <c r="R250" s="180"/>
      <c r="S250" s="180"/>
      <c r="T250" s="266">
        <v>45665</v>
      </c>
      <c r="U250" s="270">
        <v>45665</v>
      </c>
      <c r="V250" s="271"/>
      <c r="W250" s="272"/>
      <c r="X250" s="184" t="s">
        <v>1146</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1068</v>
      </c>
      <c r="P251" s="180"/>
      <c r="Q251" s="180"/>
      <c r="R251" s="180"/>
      <c r="S251" s="180"/>
      <c r="T251" s="266">
        <v>45665</v>
      </c>
      <c r="U251" s="270">
        <v>45665</v>
      </c>
      <c r="V251" s="271"/>
      <c r="W251" s="272"/>
      <c r="X251" s="184" t="s">
        <v>1146</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1068</v>
      </c>
      <c r="P252" s="180"/>
      <c r="Q252" s="180"/>
      <c r="R252" s="180"/>
      <c r="S252" s="180"/>
      <c r="T252" s="266">
        <v>45665</v>
      </c>
      <c r="U252" s="270">
        <v>45665</v>
      </c>
      <c r="V252" s="271"/>
      <c r="W252" s="272"/>
      <c r="X252" s="184" t="s">
        <v>1146</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1068</v>
      </c>
      <c r="P253" s="180"/>
      <c r="Q253" s="180"/>
      <c r="R253" s="180"/>
      <c r="S253" s="180"/>
      <c r="T253" s="266">
        <v>45665</v>
      </c>
      <c r="U253" s="270">
        <v>45665</v>
      </c>
      <c r="V253" s="271"/>
      <c r="W253" s="272"/>
      <c r="X253" s="184" t="s">
        <v>1146</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1068</v>
      </c>
      <c r="P254" s="180"/>
      <c r="Q254" s="180"/>
      <c r="R254" s="180"/>
      <c r="S254" s="180"/>
      <c r="T254" s="266">
        <v>45665</v>
      </c>
      <c r="U254" s="270">
        <v>45665</v>
      </c>
      <c r="V254" s="271"/>
      <c r="W254" s="272"/>
      <c r="X254" s="184" t="s">
        <v>1146</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1068</v>
      </c>
      <c r="R255" s="180"/>
      <c r="S255" s="180"/>
      <c r="T255" s="266">
        <v>45665</v>
      </c>
      <c r="U255" s="270">
        <v>45665</v>
      </c>
      <c r="V255" s="271"/>
      <c r="W255" s="272"/>
      <c r="X255" s="184" t="s">
        <v>1146</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1068</v>
      </c>
      <c r="R256" s="180"/>
      <c r="S256" s="180"/>
      <c r="T256" s="266">
        <v>45665</v>
      </c>
      <c r="U256" s="270">
        <v>45665</v>
      </c>
      <c r="V256" s="271"/>
      <c r="W256" s="272"/>
      <c r="X256" s="184" t="s">
        <v>1146</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1068</v>
      </c>
      <c r="R257" s="180"/>
      <c r="S257" s="180"/>
      <c r="T257" s="266">
        <v>45665</v>
      </c>
      <c r="U257" s="270">
        <v>45665</v>
      </c>
      <c r="V257" s="271"/>
      <c r="W257" s="272"/>
      <c r="X257" s="184" t="s">
        <v>1146</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1068</v>
      </c>
      <c r="R258" s="180"/>
      <c r="S258" s="180"/>
      <c r="T258" s="266">
        <v>45665</v>
      </c>
      <c r="U258" s="270">
        <v>45665</v>
      </c>
      <c r="V258" s="271"/>
      <c r="W258" s="272"/>
      <c r="X258" s="184" t="s">
        <v>1146</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1068</v>
      </c>
      <c r="R259" s="180"/>
      <c r="S259" s="180"/>
      <c r="T259" s="266">
        <v>45665</v>
      </c>
      <c r="U259" s="270">
        <v>45665</v>
      </c>
      <c r="V259" s="271"/>
      <c r="W259" s="272"/>
      <c r="X259" s="184" t="s">
        <v>1146</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1068</v>
      </c>
      <c r="R260" s="180"/>
      <c r="S260" s="180"/>
      <c r="T260" s="266">
        <v>45665</v>
      </c>
      <c r="U260" s="270">
        <v>45665</v>
      </c>
      <c r="V260" s="271"/>
      <c r="W260" s="272"/>
      <c r="X260" s="184" t="s">
        <v>1146</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1068</v>
      </c>
      <c r="R261" s="180"/>
      <c r="S261" s="180"/>
      <c r="T261" s="266">
        <v>45665</v>
      </c>
      <c r="U261" s="270">
        <v>45665</v>
      </c>
      <c r="V261" s="271"/>
      <c r="W261" s="272"/>
      <c r="X261" s="184" t="s">
        <v>1146</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1068</v>
      </c>
      <c r="R262" s="180"/>
      <c r="S262" s="180"/>
      <c r="T262" s="266">
        <v>45665</v>
      </c>
      <c r="U262" s="270">
        <v>45665</v>
      </c>
      <c r="V262" s="271"/>
      <c r="W262" s="272"/>
      <c r="X262" s="184" t="s">
        <v>1146</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1068</v>
      </c>
      <c r="R263" s="180"/>
      <c r="S263" s="180"/>
      <c r="T263" s="266">
        <v>45665</v>
      </c>
      <c r="U263" s="270">
        <v>45665</v>
      </c>
      <c r="V263" s="271"/>
      <c r="W263" s="272"/>
      <c r="X263" s="184" t="s">
        <v>1146</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1068</v>
      </c>
      <c r="R264" s="180"/>
      <c r="S264" s="180"/>
      <c r="T264" s="266">
        <v>45665</v>
      </c>
      <c r="U264" s="270">
        <v>45665</v>
      </c>
      <c r="V264" s="271"/>
      <c r="W264" s="272"/>
      <c r="X264" s="184" t="s">
        <v>1146</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1068</v>
      </c>
      <c r="R265" s="180"/>
      <c r="S265" s="180"/>
      <c r="T265" s="266">
        <v>45665</v>
      </c>
      <c r="U265" s="270">
        <v>45665</v>
      </c>
      <c r="V265" s="271"/>
      <c r="W265" s="272"/>
      <c r="X265" s="184" t="s">
        <v>1146</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1068</v>
      </c>
      <c r="R266" s="180"/>
      <c r="S266" s="180"/>
      <c r="T266" s="266">
        <v>45665</v>
      </c>
      <c r="U266" s="270">
        <v>45665</v>
      </c>
      <c r="V266" s="271"/>
      <c r="W266" s="272"/>
      <c r="X266" s="184" t="s">
        <v>1146</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1068</v>
      </c>
      <c r="R267" s="180"/>
      <c r="S267" s="180"/>
      <c r="T267" s="266">
        <v>45665</v>
      </c>
      <c r="U267" s="270">
        <v>45665</v>
      </c>
      <c r="V267" s="271"/>
      <c r="W267" s="272"/>
      <c r="X267" s="184" t="s">
        <v>1146</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1068</v>
      </c>
      <c r="R268" s="180"/>
      <c r="S268" s="180"/>
      <c r="T268" s="266">
        <v>45665</v>
      </c>
      <c r="U268" s="270">
        <v>45665</v>
      </c>
      <c r="V268" s="271"/>
      <c r="W268" s="272"/>
      <c r="X268" s="184" t="s">
        <v>1146</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1068</v>
      </c>
      <c r="R269" s="180"/>
      <c r="S269" s="180"/>
      <c r="T269" s="266">
        <v>45665</v>
      </c>
      <c r="U269" s="270">
        <v>45665</v>
      </c>
      <c r="V269" s="271"/>
      <c r="W269" s="272"/>
      <c r="X269" s="184" t="s">
        <v>1146</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1068</v>
      </c>
      <c r="R270" s="180"/>
      <c r="S270" s="180"/>
      <c r="T270" s="266">
        <v>45665</v>
      </c>
      <c r="U270" s="270">
        <v>45665</v>
      </c>
      <c r="V270" s="271"/>
      <c r="W270" s="272"/>
      <c r="X270" s="184" t="s">
        <v>1146</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1068</v>
      </c>
      <c r="R271" s="180"/>
      <c r="S271" s="180"/>
      <c r="T271" s="266">
        <v>45665</v>
      </c>
      <c r="U271" s="270">
        <v>45665</v>
      </c>
      <c r="V271" s="271"/>
      <c r="W271" s="272"/>
      <c r="X271" s="184" t="s">
        <v>1146</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1068</v>
      </c>
      <c r="R272" s="180"/>
      <c r="S272" s="180"/>
      <c r="T272" s="266">
        <v>45665</v>
      </c>
      <c r="U272" s="270">
        <v>45665</v>
      </c>
      <c r="V272" s="271"/>
      <c r="W272" s="272"/>
      <c r="X272" s="184" t="s">
        <v>1146</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1068</v>
      </c>
      <c r="R273" s="180"/>
      <c r="S273" s="180"/>
      <c r="T273" s="266">
        <v>45665</v>
      </c>
      <c r="U273" s="270">
        <v>45665</v>
      </c>
      <c r="V273" s="271"/>
      <c r="W273" s="272"/>
      <c r="X273" s="184" t="s">
        <v>1146</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1068</v>
      </c>
      <c r="R274" s="180"/>
      <c r="S274" s="180"/>
      <c r="T274" s="266">
        <v>45665</v>
      </c>
      <c r="U274" s="270">
        <v>45665</v>
      </c>
      <c r="V274" s="271"/>
      <c r="W274" s="272"/>
      <c r="X274" s="184" t="s">
        <v>1146</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1068</v>
      </c>
      <c r="R275" s="180"/>
      <c r="S275" s="180"/>
      <c r="T275" s="266">
        <v>45665</v>
      </c>
      <c r="U275" s="270">
        <v>45665</v>
      </c>
      <c r="V275" s="271"/>
      <c r="W275" s="272"/>
      <c r="X275" s="184" t="s">
        <v>1146</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1068</v>
      </c>
      <c r="R276" s="180"/>
      <c r="S276" s="180"/>
      <c r="T276" s="266">
        <v>45665</v>
      </c>
      <c r="U276" s="270">
        <v>45665</v>
      </c>
      <c r="V276" s="271"/>
      <c r="W276" s="272"/>
      <c r="X276" s="184" t="s">
        <v>1146</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1068</v>
      </c>
      <c r="R277" s="180"/>
      <c r="S277" s="180"/>
      <c r="T277" s="266">
        <v>45665</v>
      </c>
      <c r="U277" s="270">
        <v>45665</v>
      </c>
      <c r="V277" s="271"/>
      <c r="W277" s="272"/>
      <c r="X277" s="184" t="s">
        <v>1146</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1068</v>
      </c>
      <c r="R278" s="180"/>
      <c r="S278" s="180"/>
      <c r="T278" s="266">
        <v>45665</v>
      </c>
      <c r="U278" s="270">
        <v>45665</v>
      </c>
      <c r="V278" s="271"/>
      <c r="W278" s="272"/>
      <c r="X278" s="184" t="s">
        <v>1146</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1068</v>
      </c>
      <c r="R279" s="180"/>
      <c r="S279" s="180"/>
      <c r="T279" s="266">
        <v>45665</v>
      </c>
      <c r="U279" s="270">
        <v>45665</v>
      </c>
      <c r="V279" s="271"/>
      <c r="W279" s="272"/>
      <c r="X279" s="184" t="s">
        <v>1146</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1068</v>
      </c>
      <c r="R280" s="180"/>
      <c r="S280" s="180"/>
      <c r="T280" s="266">
        <v>45665</v>
      </c>
      <c r="U280" s="270">
        <v>45665</v>
      </c>
      <c r="V280" s="271"/>
      <c r="W280" s="272"/>
      <c r="X280" s="184" t="s">
        <v>1146</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1068</v>
      </c>
      <c r="R281" s="180"/>
      <c r="S281" s="180"/>
      <c r="T281" s="266">
        <v>45665</v>
      </c>
      <c r="U281" s="270">
        <v>45665</v>
      </c>
      <c r="V281" s="271"/>
      <c r="W281" s="272"/>
      <c r="X281" s="184" t="s">
        <v>1146</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1068</v>
      </c>
      <c r="R282" s="180"/>
      <c r="S282" s="180"/>
      <c r="T282" s="266">
        <v>45665</v>
      </c>
      <c r="U282" s="270">
        <v>45665</v>
      </c>
      <c r="V282" s="271"/>
      <c r="W282" s="272"/>
      <c r="X282" s="184" t="s">
        <v>1146</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1068</v>
      </c>
      <c r="R283" s="180"/>
      <c r="S283" s="180"/>
      <c r="T283" s="266">
        <v>45665</v>
      </c>
      <c r="U283" s="273"/>
      <c r="V283" s="271">
        <v>45664</v>
      </c>
      <c r="W283" s="272">
        <v>45673</v>
      </c>
      <c r="X283" s="184" t="s">
        <v>1146</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1068</v>
      </c>
      <c r="R284" s="180"/>
      <c r="S284" s="180"/>
      <c r="T284" s="266">
        <v>45665</v>
      </c>
      <c r="U284" s="270">
        <v>45665</v>
      </c>
      <c r="V284" s="271"/>
      <c r="W284" s="272"/>
      <c r="X284" s="184" t="s">
        <v>1146</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1068</v>
      </c>
      <c r="R285" s="180"/>
      <c r="S285" s="180"/>
      <c r="T285" s="266">
        <v>45665</v>
      </c>
      <c r="U285" s="270">
        <v>45665</v>
      </c>
      <c r="V285" s="271"/>
      <c r="W285" s="272"/>
      <c r="X285" s="184" t="s">
        <v>1146</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1068</v>
      </c>
      <c r="T286" s="266">
        <v>45666</v>
      </c>
      <c r="U286" s="270">
        <v>45666</v>
      </c>
      <c r="V286" s="271"/>
      <c r="W286" s="272"/>
      <c r="X286" s="184" t="s">
        <v>1146</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1068</v>
      </c>
      <c r="T287" s="266">
        <v>45666</v>
      </c>
      <c r="U287" s="270">
        <v>45666</v>
      </c>
      <c r="V287" s="271"/>
      <c r="W287" s="272"/>
      <c r="X287" s="184" t="s">
        <v>1146</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1068</v>
      </c>
      <c r="T288" s="266">
        <v>45666</v>
      </c>
      <c r="U288" s="270">
        <v>45666</v>
      </c>
      <c r="V288" s="271"/>
      <c r="W288" s="272"/>
      <c r="X288" s="184" t="s">
        <v>1146</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1068</v>
      </c>
      <c r="T289" s="266">
        <v>45666</v>
      </c>
      <c r="U289" s="270">
        <v>45666</v>
      </c>
      <c r="V289" s="271"/>
      <c r="W289" s="272"/>
      <c r="X289" s="184" t="s">
        <v>1146</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1068</v>
      </c>
      <c r="T290" s="266">
        <v>45666</v>
      </c>
      <c r="U290" s="270">
        <v>45666</v>
      </c>
      <c r="V290" s="271"/>
      <c r="W290" s="272"/>
      <c r="X290" s="184" t="s">
        <v>1146</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1068</v>
      </c>
      <c r="T291" s="266">
        <v>45666</v>
      </c>
      <c r="U291" s="270">
        <v>45666</v>
      </c>
      <c r="V291" s="271"/>
      <c r="W291" s="272"/>
      <c r="X291" s="184" t="s">
        <v>1146</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1068</v>
      </c>
      <c r="T292" s="266">
        <v>45666</v>
      </c>
      <c r="U292" s="270">
        <v>45666</v>
      </c>
      <c r="V292" s="271"/>
      <c r="W292" s="272"/>
      <c r="X292" s="184" t="s">
        <v>1146</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1068</v>
      </c>
      <c r="T293" s="266">
        <v>45666</v>
      </c>
      <c r="U293" s="270">
        <v>45666</v>
      </c>
      <c r="V293" s="271"/>
      <c r="W293" s="272"/>
      <c r="X293" s="184" t="s">
        <v>1146</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1068</v>
      </c>
      <c r="T294" s="266">
        <v>45666</v>
      </c>
      <c r="U294" s="270">
        <v>45666</v>
      </c>
      <c r="V294" s="271"/>
      <c r="W294" s="272"/>
      <c r="X294" s="184" t="s">
        <v>1146</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1068</v>
      </c>
      <c r="T295" s="266">
        <v>45666</v>
      </c>
      <c r="U295" s="270">
        <v>45666</v>
      </c>
      <c r="V295" s="271"/>
      <c r="W295" s="272"/>
      <c r="X295" s="184" t="s">
        <v>1146</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1068</v>
      </c>
      <c r="T296" s="266">
        <v>45666</v>
      </c>
      <c r="U296" s="270">
        <v>45666</v>
      </c>
      <c r="V296" s="271"/>
      <c r="W296" s="272"/>
      <c r="X296" s="184" t="s">
        <v>1146</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1068</v>
      </c>
      <c r="T297" s="266">
        <v>45666</v>
      </c>
      <c r="U297" s="270">
        <v>45666</v>
      </c>
      <c r="V297" s="271"/>
      <c r="W297" s="272"/>
      <c r="X297" s="184" t="s">
        <v>1146</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1068</v>
      </c>
      <c r="T298" s="266">
        <v>45666</v>
      </c>
      <c r="U298" s="270">
        <v>45666</v>
      </c>
      <c r="V298" s="271"/>
      <c r="W298" s="272"/>
      <c r="X298" s="184" t="s">
        <v>1146</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1068</v>
      </c>
      <c r="T299" s="266">
        <v>45666</v>
      </c>
      <c r="U299" s="270">
        <v>45666</v>
      </c>
      <c r="V299" s="271"/>
      <c r="W299" s="272"/>
      <c r="X299" s="184" t="s">
        <v>1146</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1068</v>
      </c>
      <c r="P300" s="180"/>
      <c r="Q300" s="180"/>
      <c r="R300" s="180"/>
      <c r="S300" s="180"/>
      <c r="T300" s="266">
        <v>45666</v>
      </c>
      <c r="U300" s="270">
        <v>45666</v>
      </c>
      <c r="V300" s="271"/>
      <c r="W300" s="272"/>
      <c r="X300" s="184" t="s">
        <v>1146</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1068</v>
      </c>
      <c r="P301" s="180"/>
      <c r="Q301" s="180"/>
      <c r="R301" s="180"/>
      <c r="S301" s="180"/>
      <c r="T301" s="266">
        <v>45666</v>
      </c>
      <c r="U301" s="270">
        <v>45666</v>
      </c>
      <c r="V301" s="271"/>
      <c r="W301" s="272"/>
      <c r="X301" s="184" t="s">
        <v>1146</v>
      </c>
      <c r="Y301" s="230"/>
    </row>
    <row r="302" spans="1:26" ht="11.4" x14ac:dyDescent="0.15">
      <c r="A302" s="175">
        <f>ROW()-2</f>
        <v>300</v>
      </c>
      <c r="B302" s="176" t="s">
        <v>50</v>
      </c>
      <c r="C302" s="176" t="s">
        <v>325</v>
      </c>
      <c r="D302" s="176" t="s">
        <v>325</v>
      </c>
      <c r="E302" s="176" t="s">
        <v>326</v>
      </c>
      <c r="F302" s="233" t="s">
        <v>1153</v>
      </c>
      <c r="G302" s="227" t="s">
        <v>327</v>
      </c>
      <c r="H302" s="177"/>
      <c r="I302" s="178"/>
      <c r="J302" s="178"/>
      <c r="K302" s="179"/>
      <c r="L302" s="177"/>
      <c r="M302" s="178"/>
      <c r="N302" s="178"/>
      <c r="O302" s="180"/>
      <c r="P302" s="180"/>
      <c r="Q302" s="180"/>
      <c r="R302" s="180" t="s">
        <v>61</v>
      </c>
      <c r="S302" s="180"/>
      <c r="T302" s="266">
        <v>45694</v>
      </c>
      <c r="U302" s="304"/>
      <c r="V302" s="297"/>
      <c r="W302" s="272"/>
      <c r="X302" s="184" t="s">
        <v>1146</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6">
        <v>45694</v>
      </c>
      <c r="U303" s="304"/>
      <c r="V303" s="297"/>
      <c r="W303" s="272"/>
      <c r="X303" s="184" t="s">
        <v>1146</v>
      </c>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1068</v>
      </c>
      <c r="N304" s="178"/>
      <c r="O304" s="180"/>
      <c r="P304" s="180"/>
      <c r="Q304" s="180"/>
      <c r="R304" s="180"/>
      <c r="S304" s="180"/>
      <c r="T304" s="266">
        <v>45672</v>
      </c>
      <c r="U304" s="273"/>
      <c r="V304" s="273">
        <v>45673</v>
      </c>
      <c r="W304" s="272">
        <v>45688</v>
      </c>
      <c r="X304" s="184" t="s">
        <v>1146</v>
      </c>
      <c r="Y304" s="185" t="s">
        <v>334</v>
      </c>
    </row>
    <row r="305" spans="1:26" s="236" customFormat="1" ht="11.4" x14ac:dyDescent="0.15">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1068</v>
      </c>
      <c r="S305" s="285"/>
      <c r="T305" s="286">
        <v>45672</v>
      </c>
      <c r="U305" s="287"/>
      <c r="V305" s="288">
        <v>45673</v>
      </c>
      <c r="W305" s="289">
        <v>45687</v>
      </c>
      <c r="X305" s="290" t="s">
        <v>1146</v>
      </c>
      <c r="Y305" s="296" t="s">
        <v>1092</v>
      </c>
      <c r="Z305" s="255" t="s">
        <v>1135</v>
      </c>
    </row>
    <row r="306" spans="1:26" s="236" customFormat="1" ht="11.4" x14ac:dyDescent="0.15">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1068</v>
      </c>
      <c r="S306" s="285"/>
      <c r="T306" s="286">
        <v>45672</v>
      </c>
      <c r="U306" s="287"/>
      <c r="V306" s="288">
        <v>45673</v>
      </c>
      <c r="W306" s="289">
        <v>45687</v>
      </c>
      <c r="X306" s="290" t="s">
        <v>1146</v>
      </c>
      <c r="Y306" s="291" t="s">
        <v>562</v>
      </c>
      <c r="Z306" s="255" t="s">
        <v>1150</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1068</v>
      </c>
      <c r="N307" s="283"/>
      <c r="O307" s="285"/>
      <c r="P307" s="285"/>
      <c r="Q307" s="285"/>
      <c r="R307" s="285"/>
      <c r="S307" s="285"/>
      <c r="T307" s="286">
        <v>45672</v>
      </c>
      <c r="U307" s="287"/>
      <c r="V307" s="288">
        <v>45679</v>
      </c>
      <c r="W307" s="288">
        <v>45679</v>
      </c>
      <c r="X307" s="290" t="s">
        <v>1146</v>
      </c>
      <c r="Y307" s="291" t="s">
        <v>334</v>
      </c>
      <c r="Z307" s="255" t="s">
        <v>1134</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1068</v>
      </c>
      <c r="S308" s="285"/>
      <c r="T308" s="286">
        <v>45672</v>
      </c>
      <c r="U308" s="287"/>
      <c r="V308" s="288">
        <v>45679</v>
      </c>
      <c r="W308" s="288">
        <v>45679</v>
      </c>
      <c r="X308" s="290" t="s">
        <v>1146</v>
      </c>
      <c r="Y308" s="296" t="s">
        <v>1092</v>
      </c>
      <c r="Z308" s="255" t="s">
        <v>1135</v>
      </c>
    </row>
    <row r="309" spans="1:26" s="236" customFormat="1" ht="11.4" x14ac:dyDescent="0.15">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1068</v>
      </c>
      <c r="S309" s="318"/>
      <c r="T309" s="305">
        <v>45672</v>
      </c>
      <c r="U309" s="273"/>
      <c r="V309" s="297">
        <v>45679</v>
      </c>
      <c r="W309" s="297">
        <v>45687</v>
      </c>
      <c r="X309" s="306" t="s">
        <v>1146</v>
      </c>
      <c r="Y309" s="319" t="s">
        <v>567</v>
      </c>
      <c r="Z309" s="255"/>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1068</v>
      </c>
      <c r="S310" s="180"/>
      <c r="T310" s="266">
        <v>45672</v>
      </c>
      <c r="U310" s="270">
        <v>45667</v>
      </c>
      <c r="V310" s="271"/>
      <c r="W310" s="272"/>
      <c r="X310" s="184" t="s">
        <v>1146</v>
      </c>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1068</v>
      </c>
      <c r="S311" s="180"/>
      <c r="T311" s="266">
        <v>45667</v>
      </c>
      <c r="U311" s="270">
        <v>45667</v>
      </c>
      <c r="V311" s="271"/>
      <c r="W311" s="272"/>
      <c r="X311" s="184" t="s">
        <v>1146</v>
      </c>
      <c r="Y311" s="185" t="s">
        <v>1119</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1068</v>
      </c>
      <c r="S312" s="285"/>
      <c r="T312" s="286">
        <v>45667</v>
      </c>
      <c r="U312" s="287">
        <v>45663</v>
      </c>
      <c r="V312" s="288"/>
      <c r="W312" s="289"/>
      <c r="X312" s="290" t="s">
        <v>1146</v>
      </c>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1068</v>
      </c>
      <c r="S313" s="285"/>
      <c r="T313" s="286">
        <v>45667</v>
      </c>
      <c r="U313" s="287">
        <v>45663</v>
      </c>
      <c r="V313" s="288"/>
      <c r="W313" s="289"/>
      <c r="X313" s="290" t="s">
        <v>1146</v>
      </c>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t="s">
        <v>1146</v>
      </c>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1146</v>
      </c>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1068</v>
      </c>
      <c r="S316" s="180"/>
      <c r="T316" s="266">
        <v>45667</v>
      </c>
      <c r="U316" s="270">
        <v>45667</v>
      </c>
      <c r="V316" s="271"/>
      <c r="W316" s="272"/>
      <c r="X316" s="184" t="s">
        <v>1146</v>
      </c>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1068</v>
      </c>
      <c r="S317" s="180"/>
      <c r="T317" s="266">
        <v>45667</v>
      </c>
      <c r="U317" s="270">
        <v>45667</v>
      </c>
      <c r="V317" s="271"/>
      <c r="W317" s="272"/>
      <c r="X317" s="184" t="s">
        <v>1146</v>
      </c>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1068</v>
      </c>
      <c r="S318" s="180"/>
      <c r="T318" s="266">
        <v>45667</v>
      </c>
      <c r="U318" s="270">
        <v>45667</v>
      </c>
      <c r="V318" s="271"/>
      <c r="W318" s="272"/>
      <c r="X318" s="184" t="s">
        <v>1146</v>
      </c>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1068</v>
      </c>
      <c r="S319" s="180"/>
      <c r="T319" s="266">
        <v>45667</v>
      </c>
      <c r="U319" s="270">
        <v>45667</v>
      </c>
      <c r="V319" s="271"/>
      <c r="W319" s="272"/>
      <c r="X319" s="184" t="s">
        <v>1146</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1068</v>
      </c>
      <c r="S320" s="180"/>
      <c r="T320" s="266">
        <v>45667</v>
      </c>
      <c r="U320" s="270">
        <v>45667</v>
      </c>
      <c r="V320" s="271"/>
      <c r="W320" s="272"/>
      <c r="X320" s="184" t="s">
        <v>1146</v>
      </c>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1068</v>
      </c>
      <c r="S321" s="180"/>
      <c r="T321" s="266">
        <v>45667</v>
      </c>
      <c r="U321" s="270">
        <v>45667</v>
      </c>
      <c r="V321" s="271"/>
      <c r="W321" s="272"/>
      <c r="X321" s="184" t="s">
        <v>1146</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1068</v>
      </c>
      <c r="S322" s="180"/>
      <c r="T322" s="266">
        <v>45667</v>
      </c>
      <c r="U322" s="270">
        <v>45667</v>
      </c>
      <c r="V322" s="271"/>
      <c r="W322" s="272"/>
      <c r="X322" s="184" t="s">
        <v>1146</v>
      </c>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1068</v>
      </c>
      <c r="S323" s="180"/>
      <c r="T323" s="266">
        <v>45667</v>
      </c>
      <c r="U323" s="270">
        <v>45667</v>
      </c>
      <c r="V323" s="271"/>
      <c r="W323" s="272"/>
      <c r="X323" s="184" t="s">
        <v>1146</v>
      </c>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1068</v>
      </c>
      <c r="S324" s="180"/>
      <c r="T324" s="266">
        <v>45667</v>
      </c>
      <c r="U324" s="270">
        <v>45667</v>
      </c>
      <c r="V324" s="271"/>
      <c r="W324" s="272"/>
      <c r="X324" s="184" t="s">
        <v>1146</v>
      </c>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1068</v>
      </c>
      <c r="S325" s="180"/>
      <c r="T325" s="266">
        <v>45667</v>
      </c>
      <c r="U325" s="270">
        <v>45667</v>
      </c>
      <c r="V325" s="271"/>
      <c r="W325" s="272"/>
      <c r="X325" s="184" t="s">
        <v>1146</v>
      </c>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1068</v>
      </c>
      <c r="S326" s="180"/>
      <c r="T326" s="266">
        <v>45667</v>
      </c>
      <c r="U326" s="270">
        <v>45667</v>
      </c>
      <c r="V326" s="271"/>
      <c r="W326" s="272"/>
      <c r="X326" s="184" t="s">
        <v>1146</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1068</v>
      </c>
      <c r="S327" s="180"/>
      <c r="T327" s="266">
        <v>45667</v>
      </c>
      <c r="U327" s="270">
        <v>45667</v>
      </c>
      <c r="V327" s="271"/>
      <c r="W327" s="272"/>
      <c r="X327" s="184" t="s">
        <v>1146</v>
      </c>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1068</v>
      </c>
      <c r="S328" s="180"/>
      <c r="T328" s="266">
        <v>45667</v>
      </c>
      <c r="U328" s="270">
        <v>45667</v>
      </c>
      <c r="V328" s="271"/>
      <c r="W328" s="272"/>
      <c r="X328" s="184" t="s">
        <v>1146</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1068</v>
      </c>
      <c r="S329" s="180"/>
      <c r="T329" s="266">
        <v>45667</v>
      </c>
      <c r="U329" s="270">
        <v>45667</v>
      </c>
      <c r="V329" s="271"/>
      <c r="W329" s="272"/>
      <c r="X329" s="184" t="s">
        <v>1146</v>
      </c>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1068</v>
      </c>
      <c r="S330" s="180"/>
      <c r="T330" s="266">
        <v>45667</v>
      </c>
      <c r="U330" s="270">
        <v>45667</v>
      </c>
      <c r="V330" s="271"/>
      <c r="W330" s="272"/>
      <c r="X330" s="184" t="s">
        <v>1146</v>
      </c>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1068</v>
      </c>
      <c r="S331" s="180"/>
      <c r="T331" s="266">
        <v>45667</v>
      </c>
      <c r="U331" s="270">
        <v>45667</v>
      </c>
      <c r="V331" s="271"/>
      <c r="W331" s="272"/>
      <c r="X331" s="184" t="s">
        <v>1146</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1068</v>
      </c>
      <c r="P332" s="180"/>
      <c r="Q332" s="180"/>
      <c r="R332" s="180"/>
      <c r="S332" s="180"/>
      <c r="T332" s="266">
        <v>45672</v>
      </c>
      <c r="U332" s="273">
        <v>45681</v>
      </c>
      <c r="V332" s="271"/>
      <c r="W332" s="272"/>
      <c r="X332" s="184" t="s">
        <v>1146</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1068</v>
      </c>
      <c r="P333" s="180"/>
      <c r="Q333" s="180"/>
      <c r="R333" s="180"/>
      <c r="S333" s="180"/>
      <c r="T333" s="266">
        <v>45672</v>
      </c>
      <c r="U333" s="273">
        <v>45684</v>
      </c>
      <c r="V333" s="271"/>
      <c r="W333" s="272"/>
      <c r="X333" s="184" t="s">
        <v>1146</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t="s">
        <v>1146</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1068</v>
      </c>
      <c r="P335" s="180"/>
      <c r="Q335" s="180"/>
      <c r="R335" s="180"/>
      <c r="S335" s="180"/>
      <c r="T335" s="266">
        <v>45672</v>
      </c>
      <c r="U335" s="273">
        <v>45681</v>
      </c>
      <c r="V335" s="271"/>
      <c r="W335" s="272"/>
      <c r="X335" s="184" t="s">
        <v>1146</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1146</v>
      </c>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t="s">
        <v>1146</v>
      </c>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1068</v>
      </c>
      <c r="P338" s="180"/>
      <c r="Q338" s="180"/>
      <c r="R338" s="180"/>
      <c r="S338" s="180"/>
      <c r="T338" s="266">
        <v>45667</v>
      </c>
      <c r="U338" s="270">
        <v>45667</v>
      </c>
      <c r="V338" s="271"/>
      <c r="W338" s="272"/>
      <c r="X338" s="184" t="s">
        <v>1146</v>
      </c>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1068</v>
      </c>
      <c r="P339" s="180"/>
      <c r="Q339" s="180"/>
      <c r="R339" s="180"/>
      <c r="S339" s="180"/>
      <c r="T339" s="266">
        <v>45667</v>
      </c>
      <c r="U339" s="270">
        <v>45667</v>
      </c>
      <c r="V339" s="271"/>
      <c r="W339" s="272"/>
      <c r="X339" s="184" t="s">
        <v>1146</v>
      </c>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1068</v>
      </c>
      <c r="P340" s="180"/>
      <c r="Q340" s="180"/>
      <c r="R340" s="180"/>
      <c r="S340" s="180"/>
      <c r="T340" s="266">
        <v>45667</v>
      </c>
      <c r="U340" s="270">
        <v>45667</v>
      </c>
      <c r="V340" s="271"/>
      <c r="W340" s="272"/>
      <c r="X340" s="184" t="s">
        <v>1146</v>
      </c>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1068</v>
      </c>
      <c r="P341" s="180"/>
      <c r="Q341" s="180"/>
      <c r="R341" s="180"/>
      <c r="S341" s="180"/>
      <c r="T341" s="266">
        <v>45667</v>
      </c>
      <c r="U341" s="270">
        <v>45667</v>
      </c>
      <c r="V341" s="271"/>
      <c r="W341" s="272"/>
      <c r="X341" s="184" t="s">
        <v>1146</v>
      </c>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1068</v>
      </c>
      <c r="P342" s="180"/>
      <c r="Q342" s="180"/>
      <c r="R342" s="180"/>
      <c r="S342" s="180"/>
      <c r="T342" s="266">
        <v>45667</v>
      </c>
      <c r="U342" s="270">
        <v>45667</v>
      </c>
      <c r="V342" s="271"/>
      <c r="W342" s="272"/>
      <c r="X342" s="184" t="s">
        <v>1146</v>
      </c>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1068</v>
      </c>
      <c r="P343" s="180"/>
      <c r="Q343" s="180"/>
      <c r="R343" s="180"/>
      <c r="S343" s="180"/>
      <c r="T343" s="266">
        <v>45667</v>
      </c>
      <c r="U343" s="292">
        <v>45667</v>
      </c>
      <c r="V343" s="271"/>
      <c r="W343" s="272"/>
      <c r="X343" s="184" t="s">
        <v>1146</v>
      </c>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1068</v>
      </c>
      <c r="N344" s="178"/>
      <c r="O344" s="180"/>
      <c r="P344" s="180"/>
      <c r="Q344" s="180"/>
      <c r="R344" s="180"/>
      <c r="S344" s="180"/>
      <c r="T344" s="266">
        <v>45667</v>
      </c>
      <c r="U344" s="292">
        <v>45667</v>
      </c>
      <c r="V344" s="271"/>
      <c r="W344" s="272"/>
      <c r="X344" s="184" t="s">
        <v>1146</v>
      </c>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1068</v>
      </c>
      <c r="P345" s="180"/>
      <c r="Q345" s="180"/>
      <c r="R345" s="180"/>
      <c r="S345" s="180"/>
      <c r="T345" s="266">
        <v>45667</v>
      </c>
      <c r="U345" s="292">
        <v>45667</v>
      </c>
      <c r="V345" s="271"/>
      <c r="W345" s="272"/>
      <c r="X345" s="184" t="s">
        <v>1146</v>
      </c>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1068</v>
      </c>
      <c r="P346" s="180"/>
      <c r="Q346" s="180"/>
      <c r="R346" s="180"/>
      <c r="S346" s="180"/>
      <c r="T346" s="266">
        <v>45667</v>
      </c>
      <c r="U346" s="292">
        <v>45667</v>
      </c>
      <c r="V346" s="271"/>
      <c r="W346" s="272"/>
      <c r="X346" s="184" t="s">
        <v>1146</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1068</v>
      </c>
      <c r="N347" s="283"/>
      <c r="O347" s="285"/>
      <c r="P347" s="285"/>
      <c r="Q347" s="285"/>
      <c r="R347" s="285"/>
      <c r="S347" s="285"/>
      <c r="T347" s="286">
        <v>45667</v>
      </c>
      <c r="U347" s="298">
        <v>45667</v>
      </c>
      <c r="V347" s="288"/>
      <c r="W347" s="289"/>
      <c r="X347" s="290" t="s">
        <v>1146</v>
      </c>
      <c r="Y347" s="291" t="s">
        <v>592</v>
      </c>
      <c r="Z347" s="255" t="s">
        <v>1122</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80" t="s">
        <v>1068</v>
      </c>
      <c r="M348" s="178"/>
      <c r="N348" s="178"/>
      <c r="O348" s="180"/>
      <c r="P348" s="180"/>
      <c r="Q348" s="180"/>
      <c r="R348" s="180"/>
      <c r="S348" s="180"/>
      <c r="T348" s="293">
        <v>45666</v>
      </c>
      <c r="U348" s="292">
        <v>45666</v>
      </c>
      <c r="V348" s="271"/>
      <c r="W348" s="272"/>
      <c r="X348" s="184" t="s">
        <v>1146</v>
      </c>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1068</v>
      </c>
      <c r="P349" s="180"/>
      <c r="Q349" s="180"/>
      <c r="R349" s="180"/>
      <c r="S349" s="180"/>
      <c r="T349" s="293">
        <v>45666</v>
      </c>
      <c r="U349" s="292">
        <v>45666</v>
      </c>
      <c r="V349" s="271"/>
      <c r="W349" s="272"/>
      <c r="X349" s="184" t="s">
        <v>1146</v>
      </c>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80" t="s">
        <v>1068</v>
      </c>
      <c r="M350" s="178"/>
      <c r="N350" s="178"/>
      <c r="O350" s="180"/>
      <c r="P350" s="180"/>
      <c r="Q350" s="180"/>
      <c r="R350" s="180"/>
      <c r="S350" s="180"/>
      <c r="T350" s="293">
        <v>45666</v>
      </c>
      <c r="U350" s="292">
        <v>45666</v>
      </c>
      <c r="V350" s="271"/>
      <c r="W350" s="272"/>
      <c r="X350" s="184" t="s">
        <v>1146</v>
      </c>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1068</v>
      </c>
      <c r="P351" s="180"/>
      <c r="Q351" s="180"/>
      <c r="R351" s="180"/>
      <c r="S351" s="180"/>
      <c r="T351" s="293">
        <v>45666</v>
      </c>
      <c r="U351" s="292">
        <v>45666</v>
      </c>
      <c r="V351" s="271"/>
      <c r="W351" s="272"/>
      <c r="X351" s="184" t="s">
        <v>1146</v>
      </c>
      <c r="Y351" s="229" t="s">
        <v>1118</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1068</v>
      </c>
      <c r="Q352" s="180"/>
      <c r="R352" s="180"/>
      <c r="S352" s="180"/>
      <c r="T352" s="293">
        <v>45666</v>
      </c>
      <c r="U352" s="292">
        <v>45666</v>
      </c>
      <c r="V352" s="271"/>
      <c r="W352" s="272"/>
      <c r="X352" s="184" t="s">
        <v>1146</v>
      </c>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1068</v>
      </c>
      <c r="N353" s="178"/>
      <c r="O353" s="180"/>
      <c r="P353" s="180"/>
      <c r="Q353" s="180"/>
      <c r="R353" s="180"/>
      <c r="S353" s="180"/>
      <c r="T353" s="293">
        <v>45666</v>
      </c>
      <c r="U353" s="292">
        <v>45666</v>
      </c>
      <c r="V353" s="271"/>
      <c r="W353" s="272"/>
      <c r="X353" s="184" t="s">
        <v>1146</v>
      </c>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1068</v>
      </c>
      <c r="N354" s="178"/>
      <c r="O354" s="180"/>
      <c r="P354" s="180"/>
      <c r="Q354" s="180"/>
      <c r="R354" s="180"/>
      <c r="S354" s="180"/>
      <c r="T354" s="293">
        <v>45666</v>
      </c>
      <c r="U354" s="292">
        <v>45666</v>
      </c>
      <c r="V354" s="271"/>
      <c r="W354" s="272"/>
      <c r="X354" s="184" t="s">
        <v>1146</v>
      </c>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80" t="s">
        <v>1068</v>
      </c>
      <c r="M355" s="178"/>
      <c r="N355" s="178"/>
      <c r="O355" s="180"/>
      <c r="P355" s="180"/>
      <c r="Q355" s="180"/>
      <c r="R355" s="180"/>
      <c r="S355" s="180"/>
      <c r="T355" s="266">
        <v>45667</v>
      </c>
      <c r="U355" s="292">
        <v>45667</v>
      </c>
      <c r="V355" s="271"/>
      <c r="W355" s="272"/>
      <c r="X355" s="184" t="s">
        <v>1146</v>
      </c>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1068</v>
      </c>
      <c r="P356" s="180"/>
      <c r="Q356" s="180"/>
      <c r="R356" s="180"/>
      <c r="S356" s="180"/>
      <c r="T356" s="266">
        <v>45667</v>
      </c>
      <c r="U356" s="270">
        <v>45667</v>
      </c>
      <c r="V356" s="271"/>
      <c r="W356" s="272"/>
      <c r="X356" s="184" t="s">
        <v>1146</v>
      </c>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80" t="s">
        <v>1068</v>
      </c>
      <c r="M357" s="178"/>
      <c r="N357" s="178"/>
      <c r="O357" s="180"/>
      <c r="P357" s="180"/>
      <c r="Q357" s="180"/>
      <c r="R357" s="180"/>
      <c r="S357" s="180"/>
      <c r="T357" s="266">
        <v>45667</v>
      </c>
      <c r="U357" s="270">
        <v>45667</v>
      </c>
      <c r="V357" s="271"/>
      <c r="W357" s="272"/>
      <c r="X357" s="184" t="s">
        <v>1146</v>
      </c>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1068</v>
      </c>
      <c r="P358" s="180"/>
      <c r="Q358" s="180"/>
      <c r="R358" s="180"/>
      <c r="S358" s="180"/>
      <c r="T358" s="266">
        <v>45667</v>
      </c>
      <c r="U358" s="270">
        <v>45667</v>
      </c>
      <c r="V358" s="271"/>
      <c r="W358" s="272"/>
      <c r="X358" s="184" t="s">
        <v>1146</v>
      </c>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1068</v>
      </c>
      <c r="Q359" s="180"/>
      <c r="R359" s="180"/>
      <c r="S359" s="180"/>
      <c r="T359" s="266">
        <v>45667</v>
      </c>
      <c r="U359" s="270">
        <v>45667</v>
      </c>
      <c r="V359" s="271"/>
      <c r="W359" s="272"/>
      <c r="X359" s="184" t="s">
        <v>1146</v>
      </c>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1068</v>
      </c>
      <c r="N360" s="178"/>
      <c r="O360" s="180"/>
      <c r="P360" s="180"/>
      <c r="Q360" s="180"/>
      <c r="R360" s="180"/>
      <c r="S360" s="180"/>
      <c r="T360" s="266">
        <v>45667</v>
      </c>
      <c r="U360" s="270">
        <v>45667</v>
      </c>
      <c r="V360" s="271"/>
      <c r="W360" s="272"/>
      <c r="X360" s="184" t="s">
        <v>1146</v>
      </c>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1068</v>
      </c>
      <c r="N361" s="178"/>
      <c r="O361" s="180"/>
      <c r="P361" s="180"/>
      <c r="Q361" s="180"/>
      <c r="R361" s="180"/>
      <c r="S361" s="180"/>
      <c r="T361" s="266">
        <v>45667</v>
      </c>
      <c r="U361" s="270">
        <v>45667</v>
      </c>
      <c r="V361" s="271"/>
      <c r="W361" s="272"/>
      <c r="X361" s="184" t="s">
        <v>1146</v>
      </c>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50</v>
      </c>
      <c r="P362" s="193">
        <f t="shared" si="13"/>
        <v>69</v>
      </c>
      <c r="Q362" s="193">
        <f t="shared" si="13"/>
        <v>167</v>
      </c>
      <c r="R362" s="195">
        <f t="shared" si="13"/>
        <v>40</v>
      </c>
      <c r="S362" s="195">
        <f t="shared" si="13"/>
        <v>14</v>
      </c>
      <c r="T362" s="260"/>
      <c r="U362" s="347" t="s">
        <v>17</v>
      </c>
      <c r="V362" s="347"/>
      <c r="W362" s="348"/>
      <c r="X362" s="196" t="s">
        <v>411</v>
      </c>
      <c r="Y362" s="197">
        <f>SUM(H362:S362)</f>
        <v>352</v>
      </c>
      <c r="Z362" s="238"/>
    </row>
    <row r="363" spans="1:26" s="241" customFormat="1" ht="12" customHeight="1" x14ac:dyDescent="0.25">
      <c r="A363" s="198"/>
      <c r="B363" s="231" t="s">
        <v>412</v>
      </c>
      <c r="C363" s="200">
        <f>Y364</f>
        <v>352</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49"/>
      <c r="V363" s="349"/>
      <c r="W363" s="350"/>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50</v>
      </c>
      <c r="P364" s="203">
        <f t="shared" si="17"/>
        <v>69</v>
      </c>
      <c r="Q364" s="203">
        <f t="shared" si="17"/>
        <v>167</v>
      </c>
      <c r="R364" s="205">
        <f t="shared" si="17"/>
        <v>40</v>
      </c>
      <c r="S364" s="205">
        <f t="shared" si="17"/>
        <v>14</v>
      </c>
      <c r="T364" s="262"/>
      <c r="U364" s="351">
        <f>COUNTA(U3:U361)</f>
        <v>328</v>
      </c>
      <c r="V364" s="353">
        <f>COUNTA(V3:V361)</f>
        <v>24</v>
      </c>
      <c r="W364" s="355">
        <f>COUNTA(W3:W361)</f>
        <v>24</v>
      </c>
      <c r="X364" s="212" t="s">
        <v>411</v>
      </c>
      <c r="Y364" s="207">
        <f t="shared" si="15"/>
        <v>352</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2"/>
      <c r="V365" s="354"/>
      <c r="W365" s="356"/>
      <c r="X365" s="221" t="s">
        <v>411</v>
      </c>
      <c r="Y365" s="222">
        <f t="shared" si="15"/>
        <v>359</v>
      </c>
      <c r="Z365" s="238"/>
    </row>
  </sheetData>
  <autoFilter ref="U2:W2" xr:uid="{8C2307B7-35AF-4EEF-A595-EFF0399CCCB1}"/>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topLeftCell="E1" zoomScale="80" zoomScaleNormal="80" zoomScaleSheetLayoutView="85" workbookViewId="0">
      <pane ySplit="2" topLeftCell="A208" activePane="bottomLeft" state="frozen"/>
      <selection activeCell="E7" sqref="E7"/>
      <selection pane="bottomLeft" activeCell="Z225" sqref="Z225"/>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31" t="s">
        <v>24</v>
      </c>
      <c r="B1" s="333" t="s">
        <v>25</v>
      </c>
      <c r="C1" s="335" t="s">
        <v>26</v>
      </c>
      <c r="D1" s="335" t="s">
        <v>27</v>
      </c>
      <c r="E1" s="335" t="s">
        <v>28</v>
      </c>
      <c r="F1" s="337" t="s">
        <v>29</v>
      </c>
      <c r="G1" s="357" t="s">
        <v>1093</v>
      </c>
      <c r="H1" s="340" t="s">
        <v>30</v>
      </c>
      <c r="I1" s="339" t="s">
        <v>31</v>
      </c>
      <c r="J1" s="339"/>
      <c r="K1" s="339"/>
      <c r="L1" s="342"/>
      <c r="M1" s="343" t="s">
        <v>32</v>
      </c>
      <c r="N1" s="344"/>
      <c r="O1" s="344"/>
      <c r="P1" s="345"/>
      <c r="Q1" s="345"/>
      <c r="R1" s="345"/>
      <c r="S1" s="345"/>
      <c r="T1" s="345"/>
      <c r="U1" s="329" t="s">
        <v>1095</v>
      </c>
      <c r="V1" s="339" t="s">
        <v>33</v>
      </c>
      <c r="W1" s="339"/>
      <c r="X1" s="339"/>
      <c r="Y1" s="329" t="s">
        <v>34</v>
      </c>
      <c r="Z1" s="329" t="s">
        <v>35</v>
      </c>
    </row>
    <row r="2" spans="1:28" s="237" customFormat="1" ht="22.8" x14ac:dyDescent="0.15">
      <c r="A2" s="332"/>
      <c r="B2" s="334"/>
      <c r="C2" s="336"/>
      <c r="D2" s="336"/>
      <c r="E2" s="336"/>
      <c r="F2" s="338"/>
      <c r="G2" s="338"/>
      <c r="H2" s="341"/>
      <c r="I2" s="223" t="s">
        <v>36</v>
      </c>
      <c r="J2" s="224" t="s">
        <v>37</v>
      </c>
      <c r="K2" s="225" t="s">
        <v>38</v>
      </c>
      <c r="L2" s="225" t="s">
        <v>39</v>
      </c>
      <c r="M2" s="226" t="s">
        <v>36</v>
      </c>
      <c r="N2" s="225" t="s">
        <v>40</v>
      </c>
      <c r="O2" s="225" t="s">
        <v>41</v>
      </c>
      <c r="P2" s="225" t="s">
        <v>42</v>
      </c>
      <c r="Q2" s="225" t="s">
        <v>43</v>
      </c>
      <c r="R2" s="225" t="s">
        <v>44</v>
      </c>
      <c r="S2" s="225" t="s">
        <v>45</v>
      </c>
      <c r="T2" s="225" t="s">
        <v>46</v>
      </c>
      <c r="U2" s="341"/>
      <c r="V2" s="223" t="s">
        <v>47</v>
      </c>
      <c r="W2" s="224" t="s">
        <v>48</v>
      </c>
      <c r="X2" s="225" t="s">
        <v>49</v>
      </c>
      <c r="Y2" s="330"/>
      <c r="Z2" s="330"/>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1066</v>
      </c>
      <c r="R3" s="180"/>
      <c r="S3" s="180"/>
      <c r="T3" s="180"/>
      <c r="U3" s="266">
        <v>45671</v>
      </c>
      <c r="V3" s="273">
        <v>45671</v>
      </c>
      <c r="W3" s="271"/>
      <c r="X3" s="272"/>
      <c r="Y3" s="184" t="s">
        <v>1146</v>
      </c>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1066</v>
      </c>
      <c r="R4" s="180"/>
      <c r="S4" s="180"/>
      <c r="T4" s="180"/>
      <c r="U4" s="266">
        <v>45671</v>
      </c>
      <c r="V4" s="273">
        <v>45671</v>
      </c>
      <c r="W4" s="271"/>
      <c r="X4" s="272"/>
      <c r="Y4" s="184" t="s">
        <v>1146</v>
      </c>
      <c r="Z4" s="229" t="s">
        <v>1124</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1066</v>
      </c>
      <c r="R5" s="180"/>
      <c r="S5" s="180"/>
      <c r="T5" s="180"/>
      <c r="U5" s="266">
        <v>45671</v>
      </c>
      <c r="V5" s="273">
        <v>45671</v>
      </c>
      <c r="W5" s="271"/>
      <c r="X5" s="272"/>
      <c r="Y5" s="184" t="s">
        <v>1146</v>
      </c>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1066</v>
      </c>
      <c r="R6" s="180"/>
      <c r="S6" s="180"/>
      <c r="T6" s="180"/>
      <c r="U6" s="266">
        <v>45671</v>
      </c>
      <c r="V6" s="270">
        <v>45671</v>
      </c>
      <c r="W6" s="271"/>
      <c r="X6" s="272"/>
      <c r="Y6" s="184" t="s">
        <v>1146</v>
      </c>
      <c r="Z6" s="229" t="s">
        <v>1124</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1066</v>
      </c>
      <c r="R7" s="180"/>
      <c r="S7" s="180"/>
      <c r="T7" s="180"/>
      <c r="U7" s="266">
        <v>45671</v>
      </c>
      <c r="V7" s="270">
        <v>45671</v>
      </c>
      <c r="W7" s="271"/>
      <c r="X7" s="272"/>
      <c r="Y7" s="184" t="s">
        <v>1146</v>
      </c>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1066</v>
      </c>
      <c r="T8" s="180"/>
      <c r="U8" s="266">
        <v>45671</v>
      </c>
      <c r="V8" s="270">
        <v>45671</v>
      </c>
      <c r="W8" s="271"/>
      <c r="X8" s="272"/>
      <c r="Y8" s="184" t="s">
        <v>1146</v>
      </c>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1066</v>
      </c>
      <c r="T9" s="180"/>
      <c r="U9" s="266">
        <v>45671</v>
      </c>
      <c r="V9" s="270">
        <v>45671</v>
      </c>
      <c r="W9" s="271"/>
      <c r="X9" s="272"/>
      <c r="Y9" s="184" t="s">
        <v>1146</v>
      </c>
      <c r="Z9" s="185" t="s">
        <v>626</v>
      </c>
    </row>
    <row r="10" spans="1:28" ht="11.4" x14ac:dyDescent="0.15">
      <c r="A10" s="278">
        <f t="shared" si="1"/>
        <v>8</v>
      </c>
      <c r="B10" s="279"/>
      <c r="C10" s="279"/>
      <c r="D10" s="279"/>
      <c r="E10" s="279" t="s">
        <v>627</v>
      </c>
      <c r="F10" s="280"/>
      <c r="G10" s="301"/>
      <c r="H10" s="281" t="s">
        <v>64</v>
      </c>
      <c r="I10" s="282"/>
      <c r="J10" s="283"/>
      <c r="K10" s="283"/>
      <c r="L10" s="284"/>
      <c r="M10" s="282"/>
      <c r="N10" s="283"/>
      <c r="O10" s="283"/>
      <c r="P10" s="285"/>
      <c r="Q10" s="285"/>
      <c r="R10" s="285"/>
      <c r="S10" s="285" t="s">
        <v>1066</v>
      </c>
      <c r="T10" s="285"/>
      <c r="U10" s="286">
        <v>45671</v>
      </c>
      <c r="V10" s="287">
        <v>45681</v>
      </c>
      <c r="W10" s="288"/>
      <c r="X10" s="289"/>
      <c r="Y10" s="290" t="s">
        <v>1147</v>
      </c>
      <c r="Z10" s="291" t="s">
        <v>628</v>
      </c>
      <c r="AA10" s="255" t="s">
        <v>1140</v>
      </c>
    </row>
    <row r="11" spans="1:28" ht="11.4" x14ac:dyDescent="0.15">
      <c r="A11" s="278">
        <f t="shared" si="1"/>
        <v>9</v>
      </c>
      <c r="B11" s="279"/>
      <c r="C11" s="279"/>
      <c r="D11" s="279"/>
      <c r="E11" s="279" t="s">
        <v>629</v>
      </c>
      <c r="F11" s="280"/>
      <c r="G11" s="301"/>
      <c r="H11" s="281" t="s">
        <v>64</v>
      </c>
      <c r="I11" s="282"/>
      <c r="J11" s="283"/>
      <c r="K11" s="283"/>
      <c r="L11" s="284"/>
      <c r="M11" s="282"/>
      <c r="N11" s="283"/>
      <c r="O11" s="283"/>
      <c r="P11" s="285"/>
      <c r="Q11" s="285"/>
      <c r="R11" s="285"/>
      <c r="S11" s="285" t="s">
        <v>1066</v>
      </c>
      <c r="T11" s="285"/>
      <c r="U11" s="286">
        <v>45671</v>
      </c>
      <c r="V11" s="287">
        <v>45681</v>
      </c>
      <c r="W11" s="288"/>
      <c r="X11" s="289"/>
      <c r="Y11" s="290" t="s">
        <v>1147</v>
      </c>
      <c r="Z11" s="291" t="s">
        <v>630</v>
      </c>
      <c r="AA11" s="255" t="s">
        <v>1140</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1066</v>
      </c>
      <c r="T12" s="180"/>
      <c r="U12" s="266">
        <v>45671</v>
      </c>
      <c r="V12" s="273"/>
      <c r="W12" s="271">
        <v>45671</v>
      </c>
      <c r="X12" s="272">
        <v>45680</v>
      </c>
      <c r="Y12" s="184" t="s">
        <v>1146</v>
      </c>
      <c r="Z12" s="185" t="s">
        <v>632</v>
      </c>
      <c r="AA12" s="236" t="s">
        <v>65</v>
      </c>
      <c r="AB12" s="255" t="s">
        <v>1125</v>
      </c>
    </row>
    <row r="13" spans="1:28" ht="11.4" x14ac:dyDescent="0.15">
      <c r="A13" s="278">
        <f t="shared" si="1"/>
        <v>11</v>
      </c>
      <c r="B13" s="279"/>
      <c r="C13" s="279"/>
      <c r="D13" s="279"/>
      <c r="E13" s="279" t="s">
        <v>633</v>
      </c>
      <c r="F13" s="280"/>
      <c r="G13" s="301"/>
      <c r="H13" s="281" t="s">
        <v>64</v>
      </c>
      <c r="I13" s="282"/>
      <c r="J13" s="283"/>
      <c r="K13" s="283"/>
      <c r="L13" s="284"/>
      <c r="M13" s="282"/>
      <c r="N13" s="283"/>
      <c r="O13" s="283"/>
      <c r="P13" s="285"/>
      <c r="Q13" s="285"/>
      <c r="R13" s="285"/>
      <c r="S13" s="285" t="s">
        <v>1066</v>
      </c>
      <c r="T13" s="285"/>
      <c r="U13" s="286">
        <v>45671</v>
      </c>
      <c r="V13" s="287">
        <v>45681</v>
      </c>
      <c r="W13" s="288"/>
      <c r="X13" s="289"/>
      <c r="Y13" s="290" t="s">
        <v>1147</v>
      </c>
      <c r="Z13" s="291" t="s">
        <v>634</v>
      </c>
      <c r="AA13" s="255" t="s">
        <v>1140</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1066</v>
      </c>
      <c r="Q14" s="180"/>
      <c r="R14" s="180"/>
      <c r="S14" s="180"/>
      <c r="T14" s="180"/>
      <c r="U14" s="266">
        <v>45671</v>
      </c>
      <c r="V14" s="270">
        <v>45671</v>
      </c>
      <c r="W14" s="271"/>
      <c r="X14" s="272"/>
      <c r="Y14" s="184" t="s">
        <v>1146</v>
      </c>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1066</v>
      </c>
      <c r="Q15" s="180"/>
      <c r="R15" s="180"/>
      <c r="S15" s="180"/>
      <c r="T15" s="180"/>
      <c r="U15" s="266">
        <v>45671</v>
      </c>
      <c r="V15" s="270">
        <v>45671</v>
      </c>
      <c r="W15" s="271"/>
      <c r="X15" s="272"/>
      <c r="Y15" s="184" t="s">
        <v>1146</v>
      </c>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1066</v>
      </c>
      <c r="Q16" s="180"/>
      <c r="R16" s="180"/>
      <c r="S16" s="180"/>
      <c r="T16" s="180"/>
      <c r="U16" s="266">
        <v>45671</v>
      </c>
      <c r="V16" s="270">
        <v>45671</v>
      </c>
      <c r="W16" s="271"/>
      <c r="X16" s="272"/>
      <c r="Y16" s="184" t="s">
        <v>1146</v>
      </c>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1066</v>
      </c>
      <c r="R17" s="180"/>
      <c r="S17" s="180"/>
      <c r="T17" s="180"/>
      <c r="U17" s="266">
        <v>45671</v>
      </c>
      <c r="V17" s="270">
        <v>45671</v>
      </c>
      <c r="W17" s="271"/>
      <c r="X17" s="272"/>
      <c r="Y17" s="184" t="s">
        <v>1146</v>
      </c>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1066</v>
      </c>
      <c r="T18" s="180"/>
      <c r="U18" s="266">
        <v>45671</v>
      </c>
      <c r="V18" s="270">
        <v>45671</v>
      </c>
      <c r="W18" s="271"/>
      <c r="X18" s="272"/>
      <c r="Y18" s="184" t="s">
        <v>1146</v>
      </c>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1066</v>
      </c>
      <c r="T19" s="180"/>
      <c r="U19" s="266">
        <v>45671</v>
      </c>
      <c r="V19" s="270">
        <v>45671</v>
      </c>
      <c r="W19" s="271"/>
      <c r="X19" s="272"/>
      <c r="Y19" s="184" t="s">
        <v>1146</v>
      </c>
      <c r="Z19" s="185" t="s">
        <v>644</v>
      </c>
      <c r="AA19" s="236" t="s">
        <v>65</v>
      </c>
    </row>
    <row r="20" spans="1:27" ht="11.4" x14ac:dyDescent="0.15">
      <c r="A20" s="278">
        <f t="shared" si="1"/>
        <v>18</v>
      </c>
      <c r="B20" s="279"/>
      <c r="C20" s="279"/>
      <c r="D20" s="279"/>
      <c r="E20" s="279" t="s">
        <v>629</v>
      </c>
      <c r="F20" s="280"/>
      <c r="G20" s="301"/>
      <c r="H20" s="281" t="s">
        <v>64</v>
      </c>
      <c r="I20" s="282"/>
      <c r="J20" s="283"/>
      <c r="K20" s="283"/>
      <c r="L20" s="284"/>
      <c r="M20" s="282"/>
      <c r="N20" s="283"/>
      <c r="O20" s="283"/>
      <c r="P20" s="285"/>
      <c r="Q20" s="285"/>
      <c r="R20" s="285"/>
      <c r="S20" s="285" t="s">
        <v>1066</v>
      </c>
      <c r="T20" s="285"/>
      <c r="U20" s="286">
        <v>45671</v>
      </c>
      <c r="V20" s="287">
        <v>45681</v>
      </c>
      <c r="W20" s="288"/>
      <c r="X20" s="289"/>
      <c r="Y20" s="290" t="s">
        <v>1147</v>
      </c>
      <c r="Z20" s="291" t="s">
        <v>645</v>
      </c>
      <c r="AA20" s="255" t="s">
        <v>1140</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1066</v>
      </c>
      <c r="Q21" s="180"/>
      <c r="R21" s="180"/>
      <c r="S21" s="180"/>
      <c r="T21" s="180"/>
      <c r="U21" s="266">
        <v>45671</v>
      </c>
      <c r="V21" s="270">
        <v>45671</v>
      </c>
      <c r="W21" s="271"/>
      <c r="X21" s="272"/>
      <c r="Y21" s="184" t="s">
        <v>1146</v>
      </c>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1066</v>
      </c>
      <c r="Q22" s="180"/>
      <c r="R22" s="180"/>
      <c r="S22" s="180"/>
      <c r="T22" s="180"/>
      <c r="U22" s="266">
        <v>45671</v>
      </c>
      <c r="V22" s="270">
        <v>45671</v>
      </c>
      <c r="W22" s="271"/>
      <c r="X22" s="272"/>
      <c r="Y22" s="184" t="s">
        <v>1146</v>
      </c>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1066</v>
      </c>
      <c r="Q23" s="180"/>
      <c r="R23" s="180"/>
      <c r="S23" s="180"/>
      <c r="T23" s="180"/>
      <c r="U23" s="266">
        <v>45671</v>
      </c>
      <c r="V23" s="270">
        <v>45671</v>
      </c>
      <c r="W23" s="271"/>
      <c r="X23" s="272"/>
      <c r="Y23" s="184" t="s">
        <v>1146</v>
      </c>
      <c r="Z23" s="185" t="s">
        <v>1123</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1066</v>
      </c>
      <c r="R24" s="180"/>
      <c r="S24" s="180"/>
      <c r="T24" s="180"/>
      <c r="U24" s="266">
        <v>45671</v>
      </c>
      <c r="V24" s="270">
        <v>45671</v>
      </c>
      <c r="W24" s="271"/>
      <c r="X24" s="272"/>
      <c r="Y24" s="184" t="s">
        <v>1146</v>
      </c>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1066</v>
      </c>
      <c r="R25" s="180"/>
      <c r="S25" s="180"/>
      <c r="T25" s="180"/>
      <c r="U25" s="266">
        <v>45671</v>
      </c>
      <c r="V25" s="270">
        <v>45671</v>
      </c>
      <c r="W25" s="271"/>
      <c r="X25" s="272"/>
      <c r="Y25" s="184" t="s">
        <v>1146</v>
      </c>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1066</v>
      </c>
      <c r="R26" s="180"/>
      <c r="S26" s="180"/>
      <c r="T26" s="180"/>
      <c r="U26" s="266">
        <v>45671</v>
      </c>
      <c r="V26" s="270">
        <v>45671</v>
      </c>
      <c r="W26" s="271"/>
      <c r="X26" s="272"/>
      <c r="Y26" s="184" t="s">
        <v>1146</v>
      </c>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1066</v>
      </c>
      <c r="R27" s="180"/>
      <c r="S27" s="180"/>
      <c r="T27" s="180"/>
      <c r="U27" s="266">
        <v>45671</v>
      </c>
      <c r="V27" s="270">
        <v>45671</v>
      </c>
      <c r="W27" s="271"/>
      <c r="X27" s="272"/>
      <c r="Y27" s="184" t="s">
        <v>1146</v>
      </c>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1066</v>
      </c>
      <c r="R28" s="180"/>
      <c r="S28" s="180"/>
      <c r="T28" s="180"/>
      <c r="U28" s="266">
        <v>45671</v>
      </c>
      <c r="V28" s="270">
        <v>45671</v>
      </c>
      <c r="W28" s="271"/>
      <c r="X28" s="272"/>
      <c r="Y28" s="184" t="s">
        <v>1146</v>
      </c>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1066</v>
      </c>
      <c r="R29" s="180"/>
      <c r="S29" s="180"/>
      <c r="T29" s="180"/>
      <c r="U29" s="266">
        <v>45671</v>
      </c>
      <c r="V29" s="270">
        <v>45671</v>
      </c>
      <c r="W29" s="271"/>
      <c r="X29" s="272"/>
      <c r="Y29" s="184" t="s">
        <v>1146</v>
      </c>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1066</v>
      </c>
      <c r="R30" s="180"/>
      <c r="S30" s="180"/>
      <c r="T30" s="180"/>
      <c r="U30" s="266">
        <v>45671</v>
      </c>
      <c r="V30" s="270">
        <v>45671</v>
      </c>
      <c r="W30" s="271"/>
      <c r="X30" s="272"/>
      <c r="Y30" s="184" t="s">
        <v>1146</v>
      </c>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1066</v>
      </c>
      <c r="R31" s="180"/>
      <c r="S31" s="180"/>
      <c r="T31" s="180"/>
      <c r="U31" s="266">
        <v>45671</v>
      </c>
      <c r="V31" s="270">
        <v>45671</v>
      </c>
      <c r="W31" s="271"/>
      <c r="X31" s="272"/>
      <c r="Y31" s="184" t="s">
        <v>1146</v>
      </c>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1066</v>
      </c>
      <c r="R32" s="180"/>
      <c r="S32" s="180"/>
      <c r="T32" s="180"/>
      <c r="U32" s="266">
        <v>45671</v>
      </c>
      <c r="V32" s="270">
        <v>45678</v>
      </c>
      <c r="W32" s="271"/>
      <c r="X32" s="272"/>
      <c r="Y32" s="184" t="s">
        <v>1146</v>
      </c>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1144</v>
      </c>
      <c r="R33" s="180"/>
      <c r="S33" s="180"/>
      <c r="T33" s="180"/>
      <c r="U33" s="266">
        <v>45671</v>
      </c>
      <c r="V33" s="304"/>
      <c r="W33" s="271"/>
      <c r="X33" s="272"/>
      <c r="Y33" s="184" t="s">
        <v>1146</v>
      </c>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1066</v>
      </c>
      <c r="R34" s="180"/>
      <c r="S34" s="180"/>
      <c r="T34" s="180"/>
      <c r="U34" s="266">
        <v>45671</v>
      </c>
      <c r="V34" s="273">
        <v>45681</v>
      </c>
      <c r="W34" s="271"/>
      <c r="X34" s="272"/>
      <c r="Y34" s="184" t="s">
        <v>1146</v>
      </c>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1066</v>
      </c>
      <c r="U35" s="266">
        <v>45671</v>
      </c>
      <c r="V35" s="270">
        <v>45671</v>
      </c>
      <c r="W35" s="271"/>
      <c r="X35" s="272"/>
      <c r="Y35" s="184" t="s">
        <v>1146</v>
      </c>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1066</v>
      </c>
      <c r="S36" s="180"/>
      <c r="T36" s="180"/>
      <c r="U36" s="305"/>
      <c r="V36" s="273">
        <v>45678</v>
      </c>
      <c r="W36" s="297"/>
      <c r="X36" s="300"/>
      <c r="Y36" s="306" t="s">
        <v>1146</v>
      </c>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t="s">
        <v>1146</v>
      </c>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t="s">
        <v>1146</v>
      </c>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992</v>
      </c>
      <c r="S39" s="180"/>
      <c r="T39" s="180"/>
      <c r="U39" s="305"/>
      <c r="V39" s="304"/>
      <c r="W39" s="297">
        <v>45681</v>
      </c>
      <c r="X39" s="300"/>
      <c r="Y39" s="306" t="s">
        <v>1146</v>
      </c>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1066</v>
      </c>
      <c r="S40" s="180"/>
      <c r="T40" s="180"/>
      <c r="U40" s="305"/>
      <c r="V40" s="273">
        <v>45681</v>
      </c>
      <c r="W40" s="297"/>
      <c r="X40" s="300"/>
      <c r="Y40" s="306" t="s">
        <v>1146</v>
      </c>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992</v>
      </c>
      <c r="S41" s="180"/>
      <c r="T41" s="180"/>
      <c r="U41" s="305"/>
      <c r="V41" s="304"/>
      <c r="W41" s="297">
        <v>45681</v>
      </c>
      <c r="X41" s="300"/>
      <c r="Y41" s="306" t="s">
        <v>1146</v>
      </c>
      <c r="Z41" s="185" t="s">
        <v>677</v>
      </c>
      <c r="AA41" s="255" t="s">
        <v>1138</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1066</v>
      </c>
      <c r="S42" s="180"/>
      <c r="T42" s="180"/>
      <c r="U42" s="305"/>
      <c r="V42" s="273">
        <v>45678</v>
      </c>
      <c r="W42" s="297"/>
      <c r="X42" s="300"/>
      <c r="Y42" s="306" t="s">
        <v>1146</v>
      </c>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1066</v>
      </c>
      <c r="S43" s="180"/>
      <c r="T43" s="180"/>
      <c r="U43" s="305"/>
      <c r="V43" s="273">
        <v>45678</v>
      </c>
      <c r="W43" s="297"/>
      <c r="X43" s="300"/>
      <c r="Y43" s="306" t="s">
        <v>1146</v>
      </c>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1066</v>
      </c>
      <c r="S44" s="180"/>
      <c r="T44" s="180"/>
      <c r="U44" s="305"/>
      <c r="V44" s="273">
        <v>45678</v>
      </c>
      <c r="W44" s="297"/>
      <c r="X44" s="300"/>
      <c r="Y44" s="306" t="s">
        <v>1146</v>
      </c>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1066</v>
      </c>
      <c r="S45" s="180"/>
      <c r="T45" s="180"/>
      <c r="U45" s="305"/>
      <c r="V45" s="273">
        <v>45678</v>
      </c>
      <c r="W45" s="297"/>
      <c r="X45" s="300"/>
      <c r="Y45" s="306" t="s">
        <v>1146</v>
      </c>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1066</v>
      </c>
      <c r="S46" s="180"/>
      <c r="T46" s="180"/>
      <c r="U46" s="305"/>
      <c r="V46" s="273">
        <v>45678</v>
      </c>
      <c r="W46" s="297"/>
      <c r="X46" s="300"/>
      <c r="Y46" s="306" t="s">
        <v>1146</v>
      </c>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1066</v>
      </c>
      <c r="S47" s="180"/>
      <c r="T47" s="180"/>
      <c r="U47" s="305"/>
      <c r="V47" s="273">
        <v>45678</v>
      </c>
      <c r="W47" s="297"/>
      <c r="X47" s="300"/>
      <c r="Y47" s="306" t="s">
        <v>1146</v>
      </c>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1066</v>
      </c>
      <c r="S48" s="180"/>
      <c r="T48" s="180"/>
      <c r="U48" s="305"/>
      <c r="V48" s="273">
        <v>45678</v>
      </c>
      <c r="W48" s="297"/>
      <c r="X48" s="300"/>
      <c r="Y48" s="306" t="s">
        <v>1146</v>
      </c>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1066</v>
      </c>
      <c r="S49" s="180"/>
      <c r="T49" s="180"/>
      <c r="U49" s="305"/>
      <c r="V49" s="273">
        <v>45678</v>
      </c>
      <c r="W49" s="297"/>
      <c r="X49" s="300"/>
      <c r="Y49" s="306" t="s">
        <v>1146</v>
      </c>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1066</v>
      </c>
      <c r="S50" s="180"/>
      <c r="T50" s="180"/>
      <c r="U50" s="305"/>
      <c r="V50" s="273">
        <v>45678</v>
      </c>
      <c r="W50" s="297"/>
      <c r="X50" s="300"/>
      <c r="Y50" s="306" t="s">
        <v>1146</v>
      </c>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1066</v>
      </c>
      <c r="S51" s="180"/>
      <c r="T51" s="180"/>
      <c r="U51" s="305"/>
      <c r="V51" s="273">
        <v>45678</v>
      </c>
      <c r="W51" s="297"/>
      <c r="X51" s="300"/>
      <c r="Y51" s="306" t="s">
        <v>1146</v>
      </c>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1066</v>
      </c>
      <c r="S52" s="180"/>
      <c r="T52" s="180"/>
      <c r="U52" s="305"/>
      <c r="V52" s="273">
        <v>45678</v>
      </c>
      <c r="W52" s="297"/>
      <c r="X52" s="300"/>
      <c r="Y52" s="306" t="s">
        <v>1146</v>
      </c>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1066</v>
      </c>
      <c r="S53" s="180"/>
      <c r="T53" s="180"/>
      <c r="U53" s="305"/>
      <c r="V53" s="273">
        <v>45678</v>
      </c>
      <c r="W53" s="297"/>
      <c r="X53" s="300"/>
      <c r="Y53" s="306" t="s">
        <v>1146</v>
      </c>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1066</v>
      </c>
      <c r="S54" s="180"/>
      <c r="T54" s="180"/>
      <c r="U54" s="305"/>
      <c r="V54" s="273">
        <v>45678</v>
      </c>
      <c r="W54" s="297"/>
      <c r="X54" s="300"/>
      <c r="Y54" s="306" t="s">
        <v>1146</v>
      </c>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1066</v>
      </c>
      <c r="S55" s="180"/>
      <c r="T55" s="180"/>
      <c r="U55" s="305"/>
      <c r="V55" s="273">
        <v>45678</v>
      </c>
      <c r="W55" s="297"/>
      <c r="X55" s="300"/>
      <c r="Y55" s="306" t="s">
        <v>1146</v>
      </c>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1066</v>
      </c>
      <c r="S56" s="180"/>
      <c r="T56" s="180"/>
      <c r="U56" s="305"/>
      <c r="V56" s="273">
        <v>45678</v>
      </c>
      <c r="W56" s="297"/>
      <c r="X56" s="300"/>
      <c r="Y56" s="306" t="s">
        <v>1146</v>
      </c>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1066</v>
      </c>
      <c r="S57" s="180"/>
      <c r="T57" s="180"/>
      <c r="U57" s="305"/>
      <c r="V57" s="273">
        <v>45678</v>
      </c>
      <c r="W57" s="297"/>
      <c r="X57" s="300"/>
      <c r="Y57" s="306" t="s">
        <v>1146</v>
      </c>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1066</v>
      </c>
      <c r="S58" s="180"/>
      <c r="T58" s="180"/>
      <c r="U58" s="305"/>
      <c r="V58" s="273">
        <v>45679</v>
      </c>
      <c r="W58" s="297"/>
      <c r="X58" s="300"/>
      <c r="Y58" s="306" t="s">
        <v>1146</v>
      </c>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1066</v>
      </c>
      <c r="S59" s="180"/>
      <c r="T59" s="180"/>
      <c r="U59" s="305"/>
      <c r="V59" s="273">
        <v>45678</v>
      </c>
      <c r="W59" s="297"/>
      <c r="X59" s="300"/>
      <c r="Y59" s="306" t="s">
        <v>1146</v>
      </c>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1066</v>
      </c>
      <c r="S60" s="180"/>
      <c r="T60" s="180"/>
      <c r="U60" s="305"/>
      <c r="V60" s="273">
        <v>45679</v>
      </c>
      <c r="W60" s="297"/>
      <c r="X60" s="300"/>
      <c r="Y60" s="306" t="s">
        <v>1146</v>
      </c>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1066</v>
      </c>
      <c r="S61" s="180"/>
      <c r="T61" s="180"/>
      <c r="U61" s="305"/>
      <c r="V61" s="273">
        <v>45679</v>
      </c>
      <c r="W61" s="297"/>
      <c r="X61" s="300"/>
      <c r="Y61" s="306" t="s">
        <v>1146</v>
      </c>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1066</v>
      </c>
      <c r="S62" s="180"/>
      <c r="T62" s="180"/>
      <c r="U62" s="305"/>
      <c r="V62" s="273">
        <v>45680</v>
      </c>
      <c r="W62" s="297"/>
      <c r="X62" s="300"/>
      <c r="Y62" s="306" t="s">
        <v>1146</v>
      </c>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1066</v>
      </c>
      <c r="S63" s="285"/>
      <c r="T63" s="285"/>
      <c r="U63" s="286"/>
      <c r="V63" s="287">
        <v>45681</v>
      </c>
      <c r="W63" s="288"/>
      <c r="X63" s="289"/>
      <c r="Y63" s="290" t="s">
        <v>1146</v>
      </c>
      <c r="Z63" s="291" t="s">
        <v>677</v>
      </c>
      <c r="AA63" s="255" t="s">
        <v>1143</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1066</v>
      </c>
      <c r="S64" s="180"/>
      <c r="T64" s="180"/>
      <c r="U64" s="305"/>
      <c r="V64" s="273">
        <v>45679</v>
      </c>
      <c r="W64" s="297"/>
      <c r="X64" s="300"/>
      <c r="Y64" s="306" t="s">
        <v>1146</v>
      </c>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1066</v>
      </c>
      <c r="S65" s="180"/>
      <c r="T65" s="180"/>
      <c r="U65" s="305"/>
      <c r="V65" s="273">
        <v>45679</v>
      </c>
      <c r="W65" s="297"/>
      <c r="X65" s="300"/>
      <c r="Y65" s="306" t="s">
        <v>1146</v>
      </c>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1066</v>
      </c>
      <c r="S66" s="180"/>
      <c r="T66" s="180"/>
      <c r="U66" s="305"/>
      <c r="V66" s="273">
        <v>45679</v>
      </c>
      <c r="W66" s="297"/>
      <c r="X66" s="300"/>
      <c r="Y66" s="306" t="s">
        <v>1146</v>
      </c>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1066</v>
      </c>
      <c r="S67" s="285"/>
      <c r="T67" s="285"/>
      <c r="U67" s="286"/>
      <c r="V67" s="287">
        <v>45679</v>
      </c>
      <c r="W67" s="288"/>
      <c r="X67" s="289"/>
      <c r="Y67" s="290" t="s">
        <v>1146</v>
      </c>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1066</v>
      </c>
      <c r="S68" s="180"/>
      <c r="T68" s="180"/>
      <c r="U68" s="305"/>
      <c r="V68" s="273">
        <v>45679</v>
      </c>
      <c r="W68" s="297"/>
      <c r="X68" s="300"/>
      <c r="Y68" s="306" t="s">
        <v>1146</v>
      </c>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1066</v>
      </c>
      <c r="S69" s="180"/>
      <c r="T69" s="180"/>
      <c r="U69" s="305"/>
      <c r="V69" s="273">
        <v>45679</v>
      </c>
      <c r="W69" s="297"/>
      <c r="X69" s="300"/>
      <c r="Y69" s="306" t="s">
        <v>1146</v>
      </c>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1066</v>
      </c>
      <c r="S70" s="180"/>
      <c r="T70" s="180"/>
      <c r="U70" s="305"/>
      <c r="V70" s="273">
        <v>45679</v>
      </c>
      <c r="W70" s="297"/>
      <c r="X70" s="300"/>
      <c r="Y70" s="306" t="s">
        <v>1146</v>
      </c>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1066</v>
      </c>
      <c r="S71" s="180"/>
      <c r="T71" s="180"/>
      <c r="U71" s="305"/>
      <c r="V71" s="273">
        <v>45679</v>
      </c>
      <c r="W71" s="297"/>
      <c r="X71" s="300"/>
      <c r="Y71" s="306" t="s">
        <v>1146</v>
      </c>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1066</v>
      </c>
      <c r="S72" s="180"/>
      <c r="T72" s="180"/>
      <c r="U72" s="305"/>
      <c r="V72" s="273">
        <v>45679</v>
      </c>
      <c r="W72" s="297"/>
      <c r="X72" s="300"/>
      <c r="Y72" s="306" t="s">
        <v>1146</v>
      </c>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t="s">
        <v>1146</v>
      </c>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1066</v>
      </c>
      <c r="S74" s="180"/>
      <c r="T74" s="180"/>
      <c r="U74" s="305"/>
      <c r="V74" s="273"/>
      <c r="W74" s="297">
        <v>45679</v>
      </c>
      <c r="X74" s="300">
        <v>45681</v>
      </c>
      <c r="Y74" s="306" t="s">
        <v>1146</v>
      </c>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t="s">
        <v>1146</v>
      </c>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1066</v>
      </c>
      <c r="S76" s="180"/>
      <c r="T76" s="180"/>
      <c r="U76" s="305"/>
      <c r="V76" s="273">
        <v>45679</v>
      </c>
      <c r="W76" s="297"/>
      <c r="X76" s="300"/>
      <c r="Y76" s="306" t="s">
        <v>1146</v>
      </c>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1066</v>
      </c>
      <c r="S77" s="180"/>
      <c r="T77" s="180"/>
      <c r="U77" s="305"/>
      <c r="V77" s="273">
        <v>45678</v>
      </c>
      <c r="W77" s="297"/>
      <c r="X77" s="300"/>
      <c r="Y77" s="306" t="s">
        <v>1146</v>
      </c>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1066</v>
      </c>
      <c r="S78" s="180"/>
      <c r="T78" s="180"/>
      <c r="U78" s="305"/>
      <c r="V78" s="273"/>
      <c r="W78" s="297">
        <v>45678</v>
      </c>
      <c r="X78" s="300">
        <v>45681</v>
      </c>
      <c r="Y78" s="306" t="s">
        <v>1146</v>
      </c>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1066</v>
      </c>
      <c r="S79" s="180"/>
      <c r="T79" s="180"/>
      <c r="U79" s="305"/>
      <c r="V79" s="273"/>
      <c r="W79" s="297">
        <v>45678</v>
      </c>
      <c r="X79" s="300">
        <v>45681</v>
      </c>
      <c r="Y79" s="306" t="s">
        <v>1146</v>
      </c>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1066</v>
      </c>
      <c r="S80" s="180"/>
      <c r="T80" s="180"/>
      <c r="U80" s="305"/>
      <c r="V80" s="273"/>
      <c r="W80" s="297">
        <v>45678</v>
      </c>
      <c r="X80" s="300">
        <v>45681</v>
      </c>
      <c r="Y80" s="306" t="s">
        <v>1146</v>
      </c>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1066</v>
      </c>
      <c r="S81" s="180"/>
      <c r="T81" s="180"/>
      <c r="U81" s="305"/>
      <c r="V81" s="273">
        <v>45684</v>
      </c>
      <c r="W81" s="297"/>
      <c r="X81" s="300"/>
      <c r="Y81" s="306" t="s">
        <v>1146</v>
      </c>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1066</v>
      </c>
      <c r="S82" s="180"/>
      <c r="T82" s="180"/>
      <c r="U82" s="305"/>
      <c r="V82" s="273">
        <v>45686</v>
      </c>
      <c r="W82" s="297"/>
      <c r="X82" s="300"/>
      <c r="Y82" s="306" t="s">
        <v>1146</v>
      </c>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1066</v>
      </c>
      <c r="S83" s="180"/>
      <c r="T83" s="180"/>
      <c r="U83" s="305"/>
      <c r="V83" s="273">
        <v>45684</v>
      </c>
      <c r="W83" s="297"/>
      <c r="X83" s="300"/>
      <c r="Y83" s="306" t="s">
        <v>1146</v>
      </c>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c r="W84" s="297"/>
      <c r="X84" s="300"/>
      <c r="Y84" s="306" t="s">
        <v>1146</v>
      </c>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304"/>
      <c r="W85" s="297"/>
      <c r="X85" s="300"/>
      <c r="Y85" s="306" t="s">
        <v>1146</v>
      </c>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1066</v>
      </c>
      <c r="S86" s="180"/>
      <c r="T86" s="180"/>
      <c r="U86" s="305"/>
      <c r="V86" s="273">
        <v>45686</v>
      </c>
      <c r="W86" s="297"/>
      <c r="X86" s="300"/>
      <c r="Y86" s="306" t="s">
        <v>1146</v>
      </c>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1066</v>
      </c>
      <c r="S87" s="285"/>
      <c r="T87" s="285"/>
      <c r="U87" s="286"/>
      <c r="V87" s="287">
        <v>45679</v>
      </c>
      <c r="W87" s="288"/>
      <c r="X87" s="289"/>
      <c r="Y87" s="290" t="s">
        <v>1146</v>
      </c>
      <c r="Z87" s="291" t="s">
        <v>677</v>
      </c>
      <c r="AA87" s="255" t="s">
        <v>1132</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1066</v>
      </c>
      <c r="S88" s="285"/>
      <c r="T88" s="285"/>
      <c r="U88" s="286"/>
      <c r="V88" s="287">
        <v>45679</v>
      </c>
      <c r="W88" s="288"/>
      <c r="X88" s="289"/>
      <c r="Y88" s="290" t="s">
        <v>1146</v>
      </c>
      <c r="Z88" s="291" t="s">
        <v>677</v>
      </c>
      <c r="AA88" s="255" t="s">
        <v>1132</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1066</v>
      </c>
      <c r="S89" s="285"/>
      <c r="T89" s="285"/>
      <c r="U89" s="286"/>
      <c r="V89" s="287">
        <v>45679</v>
      </c>
      <c r="W89" s="288"/>
      <c r="X89" s="289"/>
      <c r="Y89" s="290" t="s">
        <v>1146</v>
      </c>
      <c r="Z89" s="291" t="s">
        <v>677</v>
      </c>
      <c r="AA89" s="255" t="s">
        <v>1132</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1066</v>
      </c>
      <c r="S90" s="285"/>
      <c r="T90" s="285"/>
      <c r="U90" s="286"/>
      <c r="V90" s="287">
        <v>45679</v>
      </c>
      <c r="W90" s="288"/>
      <c r="X90" s="289"/>
      <c r="Y90" s="290" t="s">
        <v>1146</v>
      </c>
      <c r="Z90" s="291" t="s">
        <v>677</v>
      </c>
      <c r="AA90" s="255" t="s">
        <v>1132</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1066</v>
      </c>
      <c r="S91" s="180"/>
      <c r="T91" s="180"/>
      <c r="U91" s="305"/>
      <c r="V91" s="273">
        <v>45680</v>
      </c>
      <c r="W91" s="297"/>
      <c r="X91" s="300"/>
      <c r="Y91" s="306" t="s">
        <v>1146</v>
      </c>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1066</v>
      </c>
      <c r="S92" s="180"/>
      <c r="T92" s="180"/>
      <c r="U92" s="305"/>
      <c r="V92" s="273">
        <v>45680</v>
      </c>
      <c r="W92" s="297"/>
      <c r="X92" s="300"/>
      <c r="Y92" s="306" t="s">
        <v>1146</v>
      </c>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1066</v>
      </c>
      <c r="S93" s="180"/>
      <c r="T93" s="180"/>
      <c r="U93" s="305"/>
      <c r="V93" s="273">
        <v>45680</v>
      </c>
      <c r="W93" s="297"/>
      <c r="X93" s="300"/>
      <c r="Y93" s="306" t="s">
        <v>1146</v>
      </c>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1066</v>
      </c>
      <c r="S94" s="180"/>
      <c r="T94" s="180"/>
      <c r="U94" s="305"/>
      <c r="V94" s="273">
        <v>45680</v>
      </c>
      <c r="W94" s="297"/>
      <c r="X94" s="300"/>
      <c r="Y94" s="306" t="s">
        <v>1146</v>
      </c>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1066</v>
      </c>
      <c r="S95" s="180"/>
      <c r="T95" s="180"/>
      <c r="U95" s="305"/>
      <c r="V95" s="273">
        <v>45680</v>
      </c>
      <c r="W95" s="297"/>
      <c r="X95" s="300"/>
      <c r="Y95" s="306" t="s">
        <v>1146</v>
      </c>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1066</v>
      </c>
      <c r="S96" s="180"/>
      <c r="T96" s="180"/>
      <c r="U96" s="305"/>
      <c r="V96" s="273">
        <v>45681</v>
      </c>
      <c r="W96" s="297"/>
      <c r="X96" s="300"/>
      <c r="Y96" s="306" t="s">
        <v>1146</v>
      </c>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1066</v>
      </c>
      <c r="S97" s="285"/>
      <c r="T97" s="285"/>
      <c r="U97" s="286"/>
      <c r="V97" s="287">
        <v>45678</v>
      </c>
      <c r="W97" s="288"/>
      <c r="X97" s="289"/>
      <c r="Y97" s="290" t="s">
        <v>1146</v>
      </c>
      <c r="Z97" s="291" t="s">
        <v>677</v>
      </c>
      <c r="AA97" s="255" t="s">
        <v>1133</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1066</v>
      </c>
      <c r="S98" s="285"/>
      <c r="T98" s="285"/>
      <c r="U98" s="286"/>
      <c r="V98" s="287">
        <v>45678</v>
      </c>
      <c r="W98" s="288"/>
      <c r="X98" s="289"/>
      <c r="Y98" s="290" t="s">
        <v>1146</v>
      </c>
      <c r="Z98" s="291" t="s">
        <v>677</v>
      </c>
      <c r="AA98" s="255" t="s">
        <v>1133</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1066</v>
      </c>
      <c r="S99" s="285"/>
      <c r="T99" s="285"/>
      <c r="U99" s="286"/>
      <c r="V99" s="287">
        <v>45678</v>
      </c>
      <c r="W99" s="288"/>
      <c r="X99" s="289"/>
      <c r="Y99" s="290" t="s">
        <v>1146</v>
      </c>
      <c r="Z99" s="291" t="s">
        <v>677</v>
      </c>
      <c r="AA99" s="255" t="s">
        <v>1133</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1066</v>
      </c>
      <c r="S100" s="285"/>
      <c r="T100" s="285"/>
      <c r="U100" s="286"/>
      <c r="V100" s="287">
        <v>45678</v>
      </c>
      <c r="W100" s="288"/>
      <c r="X100" s="289"/>
      <c r="Y100" s="290" t="s">
        <v>1146</v>
      </c>
      <c r="Z100" s="291" t="s">
        <v>677</v>
      </c>
      <c r="AA100" s="255" t="s">
        <v>1133</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1066</v>
      </c>
      <c r="S101" s="285"/>
      <c r="T101" s="285"/>
      <c r="U101" s="286"/>
      <c r="V101" s="287">
        <v>45678</v>
      </c>
      <c r="W101" s="288"/>
      <c r="X101" s="289"/>
      <c r="Y101" s="290" t="s">
        <v>1146</v>
      </c>
      <c r="Z101" s="291" t="s">
        <v>677</v>
      </c>
      <c r="AA101" s="255" t="s">
        <v>1133</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1066</v>
      </c>
      <c r="S102" s="285"/>
      <c r="T102" s="285"/>
      <c r="U102" s="286"/>
      <c r="V102" s="287">
        <v>45678</v>
      </c>
      <c r="W102" s="288"/>
      <c r="X102" s="289"/>
      <c r="Y102" s="290" t="s">
        <v>1146</v>
      </c>
      <c r="Z102" s="291" t="s">
        <v>677</v>
      </c>
      <c r="AA102" s="255" t="s">
        <v>1133</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1066</v>
      </c>
      <c r="S103" s="285"/>
      <c r="T103" s="285"/>
      <c r="U103" s="286"/>
      <c r="V103" s="287">
        <v>45678</v>
      </c>
      <c r="W103" s="288"/>
      <c r="X103" s="289"/>
      <c r="Y103" s="290" t="s">
        <v>1146</v>
      </c>
      <c r="Z103" s="291" t="s">
        <v>677</v>
      </c>
      <c r="AA103" s="255" t="s">
        <v>1133</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1066</v>
      </c>
      <c r="S104" s="285"/>
      <c r="T104" s="285"/>
      <c r="U104" s="286"/>
      <c r="V104" s="287">
        <v>45678</v>
      </c>
      <c r="W104" s="288"/>
      <c r="X104" s="289"/>
      <c r="Y104" s="290" t="s">
        <v>1146</v>
      </c>
      <c r="Z104" s="291" t="s">
        <v>677</v>
      </c>
      <c r="AA104" s="255" t="s">
        <v>1133</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1066</v>
      </c>
      <c r="S105" s="285"/>
      <c r="T105" s="285"/>
      <c r="U105" s="286"/>
      <c r="V105" s="287">
        <v>45679</v>
      </c>
      <c r="W105" s="288"/>
      <c r="X105" s="289"/>
      <c r="Y105" s="290" t="s">
        <v>1146</v>
      </c>
      <c r="Z105" s="291" t="s">
        <v>677</v>
      </c>
      <c r="AA105" s="255" t="s">
        <v>1130</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1066</v>
      </c>
      <c r="S106" s="285"/>
      <c r="T106" s="285"/>
      <c r="U106" s="286"/>
      <c r="V106" s="287">
        <v>45681</v>
      </c>
      <c r="W106" s="288"/>
      <c r="X106" s="289"/>
      <c r="Y106" s="290" t="s">
        <v>1146</v>
      </c>
      <c r="Z106" s="291" t="s">
        <v>677</v>
      </c>
      <c r="AA106" s="255" t="s">
        <v>1137</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1066</v>
      </c>
      <c r="S107" s="285"/>
      <c r="T107" s="285"/>
      <c r="U107" s="286"/>
      <c r="V107" s="287">
        <v>45681</v>
      </c>
      <c r="W107" s="288"/>
      <c r="X107" s="289"/>
      <c r="Y107" s="290" t="s">
        <v>1146</v>
      </c>
      <c r="Z107" s="291" t="s">
        <v>677</v>
      </c>
      <c r="AA107" s="255" t="s">
        <v>1137</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1066</v>
      </c>
      <c r="S108" s="285"/>
      <c r="T108" s="285"/>
      <c r="U108" s="286"/>
      <c r="V108" s="287">
        <v>45681</v>
      </c>
      <c r="W108" s="288"/>
      <c r="X108" s="289"/>
      <c r="Y108" s="290" t="s">
        <v>1146</v>
      </c>
      <c r="Z108" s="291" t="s">
        <v>677</v>
      </c>
      <c r="AA108" s="255" t="s">
        <v>1137</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1066</v>
      </c>
      <c r="S109" s="285"/>
      <c r="T109" s="285"/>
      <c r="U109" s="286"/>
      <c r="V109" s="287">
        <v>45681</v>
      </c>
      <c r="W109" s="288"/>
      <c r="X109" s="289"/>
      <c r="Y109" s="290" t="s">
        <v>1146</v>
      </c>
      <c r="Z109" s="291" t="s">
        <v>677</v>
      </c>
      <c r="AA109" s="255" t="s">
        <v>1137</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1066</v>
      </c>
      <c r="S110" s="285"/>
      <c r="T110" s="285"/>
      <c r="U110" s="286"/>
      <c r="V110" s="287">
        <v>45681</v>
      </c>
      <c r="W110" s="288"/>
      <c r="X110" s="289"/>
      <c r="Y110" s="290" t="s">
        <v>1146</v>
      </c>
      <c r="Z110" s="291" t="s">
        <v>677</v>
      </c>
      <c r="AA110" s="255" t="s">
        <v>1137</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1066</v>
      </c>
      <c r="S111" s="285"/>
      <c r="T111" s="285"/>
      <c r="U111" s="286"/>
      <c r="V111" s="287">
        <v>45679</v>
      </c>
      <c r="W111" s="288"/>
      <c r="X111" s="289"/>
      <c r="Y111" s="290" t="s">
        <v>1146</v>
      </c>
      <c r="Z111" s="291" t="s">
        <v>677</v>
      </c>
      <c r="AA111" s="255" t="s">
        <v>1131</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1066</v>
      </c>
      <c r="S112" s="180"/>
      <c r="T112" s="180"/>
      <c r="U112" s="305"/>
      <c r="V112" s="273">
        <v>45678</v>
      </c>
      <c r="W112" s="297"/>
      <c r="X112" s="300"/>
      <c r="Y112" s="306" t="s">
        <v>1146</v>
      </c>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1066</v>
      </c>
      <c r="S113" s="180"/>
      <c r="T113" s="180"/>
      <c r="U113" s="305"/>
      <c r="V113" s="273">
        <v>45678</v>
      </c>
      <c r="W113" s="297"/>
      <c r="X113" s="300"/>
      <c r="Y113" s="306" t="s">
        <v>1146</v>
      </c>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1066</v>
      </c>
      <c r="S114" s="180"/>
      <c r="T114" s="180"/>
      <c r="U114" s="305"/>
      <c r="V114" s="273">
        <v>45678</v>
      </c>
      <c r="W114" s="297"/>
      <c r="X114" s="300"/>
      <c r="Y114" s="306" t="s">
        <v>1146</v>
      </c>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1066</v>
      </c>
      <c r="S115" s="180"/>
      <c r="T115" s="180"/>
      <c r="U115" s="305"/>
      <c r="V115" s="273">
        <v>45678</v>
      </c>
      <c r="W115" s="297"/>
      <c r="X115" s="300"/>
      <c r="Y115" s="306" t="s">
        <v>1146</v>
      </c>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1066</v>
      </c>
      <c r="S116" s="180"/>
      <c r="T116" s="180"/>
      <c r="U116" s="305"/>
      <c r="V116" s="273">
        <v>45678</v>
      </c>
      <c r="W116" s="297"/>
      <c r="X116" s="300"/>
      <c r="Y116" s="306" t="s">
        <v>1146</v>
      </c>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1066</v>
      </c>
      <c r="S117" s="180"/>
      <c r="T117" s="180"/>
      <c r="U117" s="305"/>
      <c r="V117" s="273">
        <v>45678</v>
      </c>
      <c r="W117" s="297"/>
      <c r="X117" s="300"/>
      <c r="Y117" s="306" t="s">
        <v>1146</v>
      </c>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1066</v>
      </c>
      <c r="S118" s="180"/>
      <c r="T118" s="180"/>
      <c r="U118" s="305"/>
      <c r="V118" s="273">
        <v>45678</v>
      </c>
      <c r="W118" s="297"/>
      <c r="X118" s="300"/>
      <c r="Y118" s="306" t="s">
        <v>1146</v>
      </c>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1066</v>
      </c>
      <c r="S119" s="180"/>
      <c r="T119" s="180"/>
      <c r="U119" s="305"/>
      <c r="V119" s="273">
        <v>45678</v>
      </c>
      <c r="W119" s="297"/>
      <c r="X119" s="300"/>
      <c r="Y119" s="306" t="s">
        <v>1146</v>
      </c>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1066</v>
      </c>
      <c r="S120" s="180"/>
      <c r="T120" s="180"/>
      <c r="U120" s="305"/>
      <c r="V120" s="273">
        <v>45678</v>
      </c>
      <c r="W120" s="297"/>
      <c r="X120" s="300"/>
      <c r="Y120" s="306" t="s">
        <v>1146</v>
      </c>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1066</v>
      </c>
      <c r="S121" s="180"/>
      <c r="T121" s="180"/>
      <c r="U121" s="305"/>
      <c r="V121" s="273">
        <v>45678</v>
      </c>
      <c r="W121" s="297"/>
      <c r="X121" s="300"/>
      <c r="Y121" s="306" t="s">
        <v>1146</v>
      </c>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1066</v>
      </c>
      <c r="S122" s="180"/>
      <c r="T122" s="180"/>
      <c r="U122" s="305"/>
      <c r="V122" s="273">
        <v>45678</v>
      </c>
      <c r="W122" s="297"/>
      <c r="X122" s="300"/>
      <c r="Y122" s="306" t="s">
        <v>1146</v>
      </c>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1066</v>
      </c>
      <c r="S123" s="180"/>
      <c r="T123" s="180"/>
      <c r="U123" s="305"/>
      <c r="V123" s="273">
        <v>45678</v>
      </c>
      <c r="W123" s="297"/>
      <c r="X123" s="300"/>
      <c r="Y123" s="306" t="s">
        <v>1146</v>
      </c>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1066</v>
      </c>
      <c r="S124" s="180"/>
      <c r="T124" s="180"/>
      <c r="U124" s="305"/>
      <c r="V124" s="273">
        <v>45678</v>
      </c>
      <c r="W124" s="297"/>
      <c r="X124" s="300"/>
      <c r="Y124" s="306" t="s">
        <v>1146</v>
      </c>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1066</v>
      </c>
      <c r="S125" s="180"/>
      <c r="T125" s="180"/>
      <c r="U125" s="305"/>
      <c r="V125" s="273">
        <v>45678</v>
      </c>
      <c r="W125" s="297"/>
      <c r="X125" s="300"/>
      <c r="Y125" s="306" t="s">
        <v>1146</v>
      </c>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1066</v>
      </c>
      <c r="S126" s="180"/>
      <c r="T126" s="180"/>
      <c r="U126" s="305"/>
      <c r="V126" s="273">
        <v>45678</v>
      </c>
      <c r="W126" s="297"/>
      <c r="X126" s="300"/>
      <c r="Y126" s="306" t="s">
        <v>1146</v>
      </c>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1066</v>
      </c>
      <c r="S127" s="180"/>
      <c r="T127" s="180"/>
      <c r="U127" s="305"/>
      <c r="V127" s="273">
        <v>45679</v>
      </c>
      <c r="W127" s="297"/>
      <c r="X127" s="300"/>
      <c r="Y127" s="306" t="s">
        <v>1146</v>
      </c>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1066</v>
      </c>
      <c r="S128" s="180"/>
      <c r="T128" s="180"/>
      <c r="U128" s="305"/>
      <c r="V128" s="273">
        <v>45678</v>
      </c>
      <c r="W128" s="297"/>
      <c r="X128" s="300"/>
      <c r="Y128" s="306" t="s">
        <v>1146</v>
      </c>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1066</v>
      </c>
      <c r="S129" s="180"/>
      <c r="T129" s="180"/>
      <c r="U129" s="305"/>
      <c r="V129" s="273">
        <v>45679</v>
      </c>
      <c r="W129" s="297"/>
      <c r="X129" s="300"/>
      <c r="Y129" s="306" t="s">
        <v>1146</v>
      </c>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1066</v>
      </c>
      <c r="S130" s="180"/>
      <c r="T130" s="180"/>
      <c r="U130" s="305"/>
      <c r="V130" s="273">
        <v>45679</v>
      </c>
      <c r="W130" s="297"/>
      <c r="X130" s="300"/>
      <c r="Y130" s="306" t="s">
        <v>1146</v>
      </c>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1066</v>
      </c>
      <c r="S131" s="180"/>
      <c r="T131" s="180"/>
      <c r="U131" s="305"/>
      <c r="V131" s="273">
        <v>45680</v>
      </c>
      <c r="W131" s="297"/>
      <c r="X131" s="300"/>
      <c r="Y131" s="306" t="s">
        <v>1146</v>
      </c>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1066</v>
      </c>
      <c r="S132" s="285"/>
      <c r="T132" s="285"/>
      <c r="U132" s="286"/>
      <c r="V132" s="287">
        <v>45681</v>
      </c>
      <c r="W132" s="288"/>
      <c r="X132" s="289"/>
      <c r="Y132" s="290" t="s">
        <v>1146</v>
      </c>
      <c r="Z132" s="291" t="s">
        <v>677</v>
      </c>
      <c r="AA132" s="255" t="s">
        <v>1143</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1066</v>
      </c>
      <c r="S133" s="180"/>
      <c r="T133" s="180"/>
      <c r="U133" s="305"/>
      <c r="V133" s="273">
        <v>45679</v>
      </c>
      <c r="W133" s="297"/>
      <c r="X133" s="300"/>
      <c r="Y133" s="306" t="s">
        <v>1146</v>
      </c>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1066</v>
      </c>
      <c r="S134" s="180"/>
      <c r="T134" s="180"/>
      <c r="U134" s="305"/>
      <c r="V134" s="273">
        <v>45679</v>
      </c>
      <c r="W134" s="297"/>
      <c r="X134" s="300"/>
      <c r="Y134" s="306" t="s">
        <v>1146</v>
      </c>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1066</v>
      </c>
      <c r="S135" s="180"/>
      <c r="T135" s="180"/>
      <c r="U135" s="305"/>
      <c r="V135" s="273">
        <v>45679</v>
      </c>
      <c r="W135" s="297"/>
      <c r="X135" s="300"/>
      <c r="Y135" s="306" t="s">
        <v>1146</v>
      </c>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1066</v>
      </c>
      <c r="S136" s="285"/>
      <c r="T136" s="285"/>
      <c r="U136" s="286"/>
      <c r="V136" s="287">
        <v>45679</v>
      </c>
      <c r="W136" s="288"/>
      <c r="X136" s="289"/>
      <c r="Y136" s="290" t="s">
        <v>1146</v>
      </c>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1066</v>
      </c>
      <c r="S137" s="180"/>
      <c r="T137" s="180"/>
      <c r="U137" s="305"/>
      <c r="V137" s="273">
        <v>45679</v>
      </c>
      <c r="W137" s="297"/>
      <c r="X137" s="300"/>
      <c r="Y137" s="306" t="s">
        <v>1146</v>
      </c>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1066</v>
      </c>
      <c r="S138" s="180"/>
      <c r="T138" s="180"/>
      <c r="U138" s="305"/>
      <c r="V138" s="273">
        <v>45679</v>
      </c>
      <c r="W138" s="297"/>
      <c r="X138" s="300"/>
      <c r="Y138" s="306" t="s">
        <v>1146</v>
      </c>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1066</v>
      </c>
      <c r="S139" s="180"/>
      <c r="T139" s="180"/>
      <c r="U139" s="305"/>
      <c r="V139" s="273">
        <v>45679</v>
      </c>
      <c r="W139" s="297"/>
      <c r="X139" s="300"/>
      <c r="Y139" s="306" t="s">
        <v>1146</v>
      </c>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1066</v>
      </c>
      <c r="S140" s="180"/>
      <c r="T140" s="180"/>
      <c r="U140" s="305"/>
      <c r="V140" s="273">
        <v>45679</v>
      </c>
      <c r="W140" s="297"/>
      <c r="X140" s="300"/>
      <c r="Y140" s="306" t="s">
        <v>1146</v>
      </c>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1066</v>
      </c>
      <c r="S141" s="180"/>
      <c r="T141" s="180"/>
      <c r="U141" s="305"/>
      <c r="V141" s="273">
        <v>45679</v>
      </c>
      <c r="W141" s="297"/>
      <c r="X141" s="300"/>
      <c r="Y141" s="306" t="s">
        <v>1146</v>
      </c>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t="s">
        <v>1146</v>
      </c>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1066</v>
      </c>
      <c r="S143" s="180"/>
      <c r="T143" s="180"/>
      <c r="U143" s="305"/>
      <c r="V143" s="273"/>
      <c r="W143" s="297">
        <v>45679</v>
      </c>
      <c r="X143" s="300">
        <v>45681</v>
      </c>
      <c r="Y143" s="306" t="s">
        <v>1146</v>
      </c>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t="s">
        <v>1146</v>
      </c>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1066</v>
      </c>
      <c r="S145" s="180"/>
      <c r="T145" s="180"/>
      <c r="U145" s="305"/>
      <c r="V145" s="273">
        <v>45679</v>
      </c>
      <c r="W145" s="297"/>
      <c r="X145" s="300"/>
      <c r="Y145" s="306" t="s">
        <v>1146</v>
      </c>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1066</v>
      </c>
      <c r="S146" s="180"/>
      <c r="T146" s="180"/>
      <c r="U146" s="305"/>
      <c r="V146" s="297">
        <v>45679</v>
      </c>
      <c r="W146" s="297"/>
      <c r="X146" s="300"/>
      <c r="Y146" s="306" t="s">
        <v>1146</v>
      </c>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1066</v>
      </c>
      <c r="S147" s="285"/>
      <c r="T147" s="285"/>
      <c r="U147" s="286"/>
      <c r="V147" s="287">
        <v>45678</v>
      </c>
      <c r="W147" s="288"/>
      <c r="X147" s="289"/>
      <c r="Y147" s="290" t="s">
        <v>1146</v>
      </c>
      <c r="Z147" s="291" t="s">
        <v>677</v>
      </c>
      <c r="AA147" s="255" t="s">
        <v>1128</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1066</v>
      </c>
      <c r="S148" s="285"/>
      <c r="T148" s="285"/>
      <c r="U148" s="286"/>
      <c r="V148" s="287">
        <v>45678</v>
      </c>
      <c r="W148" s="288"/>
      <c r="X148" s="289"/>
      <c r="Y148" s="290" t="s">
        <v>1146</v>
      </c>
      <c r="Z148" s="291" t="s">
        <v>677</v>
      </c>
      <c r="AA148" s="255" t="s">
        <v>1128</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1066</v>
      </c>
      <c r="S149" s="285"/>
      <c r="T149" s="285"/>
      <c r="U149" s="286"/>
      <c r="V149" s="287">
        <v>45678</v>
      </c>
      <c r="W149" s="288"/>
      <c r="X149" s="289"/>
      <c r="Y149" s="290" t="s">
        <v>1146</v>
      </c>
      <c r="Z149" s="291" t="s">
        <v>677</v>
      </c>
      <c r="AA149" s="255" t="s">
        <v>1128</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1066</v>
      </c>
      <c r="S150" s="285"/>
      <c r="T150" s="285"/>
      <c r="U150" s="286"/>
      <c r="V150" s="287">
        <v>45684</v>
      </c>
      <c r="W150" s="288"/>
      <c r="X150" s="289"/>
      <c r="Y150" s="290" t="s">
        <v>1146</v>
      </c>
      <c r="Z150" s="291" t="s">
        <v>677</v>
      </c>
      <c r="AA150" s="255" t="s">
        <v>1142</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1066</v>
      </c>
      <c r="S151" s="285"/>
      <c r="T151" s="285"/>
      <c r="U151" s="286"/>
      <c r="V151" s="287">
        <v>45684</v>
      </c>
      <c r="W151" s="288"/>
      <c r="X151" s="289"/>
      <c r="Y151" s="290" t="s">
        <v>1146</v>
      </c>
      <c r="Z151" s="291" t="s">
        <v>677</v>
      </c>
      <c r="AA151" s="255" t="s">
        <v>1142</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1066</v>
      </c>
      <c r="S152" s="285"/>
      <c r="T152" s="285"/>
      <c r="U152" s="286"/>
      <c r="V152" s="287">
        <v>45684</v>
      </c>
      <c r="W152" s="288"/>
      <c r="X152" s="289"/>
      <c r="Y152" s="290" t="s">
        <v>1146</v>
      </c>
      <c r="Z152" s="291" t="s">
        <v>677</v>
      </c>
      <c r="AA152" s="255" t="s">
        <v>1142</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1066</v>
      </c>
      <c r="S153" s="285"/>
      <c r="T153" s="285"/>
      <c r="U153" s="286"/>
      <c r="V153" s="287">
        <v>45684</v>
      </c>
      <c r="W153" s="288"/>
      <c r="X153" s="289"/>
      <c r="Y153" s="290" t="s">
        <v>1146</v>
      </c>
      <c r="Z153" s="291" t="s">
        <v>677</v>
      </c>
      <c r="AA153" s="255" t="s">
        <v>1142</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1066</v>
      </c>
      <c r="S154" s="285"/>
      <c r="T154" s="285"/>
      <c r="U154" s="286"/>
      <c r="V154" s="287">
        <v>45684</v>
      </c>
      <c r="W154" s="288"/>
      <c r="X154" s="289"/>
      <c r="Y154" s="290" t="s">
        <v>1146</v>
      </c>
      <c r="Z154" s="291" t="s">
        <v>677</v>
      </c>
      <c r="AA154" s="255" t="s">
        <v>1142</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1066</v>
      </c>
      <c r="S155" s="180"/>
      <c r="T155" s="180"/>
      <c r="U155" s="305"/>
      <c r="V155" s="273">
        <v>45686</v>
      </c>
      <c r="W155" s="297"/>
      <c r="X155" s="300"/>
      <c r="Y155" s="306" t="s">
        <v>1146</v>
      </c>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1066</v>
      </c>
      <c r="S156" s="285"/>
      <c r="T156" s="285"/>
      <c r="U156" s="286"/>
      <c r="V156" s="287">
        <v>45679</v>
      </c>
      <c r="W156" s="288"/>
      <c r="X156" s="289"/>
      <c r="Y156" s="290" t="s">
        <v>1146</v>
      </c>
      <c r="Z156" s="291" t="s">
        <v>677</v>
      </c>
      <c r="AA156" s="255" t="s">
        <v>1132</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1066</v>
      </c>
      <c r="S157" s="285"/>
      <c r="T157" s="285"/>
      <c r="U157" s="286"/>
      <c r="V157" s="287">
        <v>45679</v>
      </c>
      <c r="W157" s="288"/>
      <c r="X157" s="289"/>
      <c r="Y157" s="290" t="s">
        <v>1146</v>
      </c>
      <c r="Z157" s="291" t="s">
        <v>677</v>
      </c>
      <c r="AA157" s="255" t="s">
        <v>1132</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1066</v>
      </c>
      <c r="S158" s="285"/>
      <c r="T158" s="285"/>
      <c r="U158" s="286"/>
      <c r="V158" s="287">
        <v>45679</v>
      </c>
      <c r="W158" s="288"/>
      <c r="X158" s="289"/>
      <c r="Y158" s="290" t="s">
        <v>1146</v>
      </c>
      <c r="Z158" s="291" t="s">
        <v>677</v>
      </c>
      <c r="AA158" s="255" t="s">
        <v>1132</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1066</v>
      </c>
      <c r="S159" s="285"/>
      <c r="T159" s="285"/>
      <c r="U159" s="286"/>
      <c r="V159" s="287">
        <v>45679</v>
      </c>
      <c r="W159" s="288"/>
      <c r="X159" s="289"/>
      <c r="Y159" s="290" t="s">
        <v>1146</v>
      </c>
      <c r="Z159" s="291" t="s">
        <v>677</v>
      </c>
      <c r="AA159" s="255" t="s">
        <v>1132</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1066</v>
      </c>
      <c r="S160" s="180"/>
      <c r="T160" s="180"/>
      <c r="U160" s="305"/>
      <c r="V160" s="273">
        <v>45680</v>
      </c>
      <c r="W160" s="297"/>
      <c r="X160" s="300"/>
      <c r="Y160" s="306" t="s">
        <v>1146</v>
      </c>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1066</v>
      </c>
      <c r="S161" s="180"/>
      <c r="T161" s="180"/>
      <c r="U161" s="305"/>
      <c r="V161" s="273">
        <v>45680</v>
      </c>
      <c r="W161" s="297"/>
      <c r="X161" s="300"/>
      <c r="Y161" s="306" t="s">
        <v>1146</v>
      </c>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1066</v>
      </c>
      <c r="S162" s="180"/>
      <c r="T162" s="180"/>
      <c r="U162" s="305"/>
      <c r="V162" s="273">
        <v>45680</v>
      </c>
      <c r="W162" s="297"/>
      <c r="X162" s="300"/>
      <c r="Y162" s="306" t="s">
        <v>1146</v>
      </c>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1066</v>
      </c>
      <c r="S163" s="180"/>
      <c r="T163" s="180"/>
      <c r="U163" s="305"/>
      <c r="V163" s="273">
        <v>45680</v>
      </c>
      <c r="W163" s="297"/>
      <c r="X163" s="300"/>
      <c r="Y163" s="306" t="s">
        <v>1146</v>
      </c>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1066</v>
      </c>
      <c r="S164" s="180"/>
      <c r="T164" s="180"/>
      <c r="U164" s="305"/>
      <c r="V164" s="273">
        <v>45680</v>
      </c>
      <c r="W164" s="297"/>
      <c r="X164" s="300"/>
      <c r="Y164" s="306" t="s">
        <v>1146</v>
      </c>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1066</v>
      </c>
      <c r="S165" s="180"/>
      <c r="T165" s="180"/>
      <c r="U165" s="305"/>
      <c r="V165" s="273">
        <v>45681</v>
      </c>
      <c r="W165" s="297"/>
      <c r="X165" s="300"/>
      <c r="Y165" s="306" t="s">
        <v>1146</v>
      </c>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1066</v>
      </c>
      <c r="S166" s="285"/>
      <c r="T166" s="285"/>
      <c r="U166" s="286"/>
      <c r="V166" s="287">
        <v>45674</v>
      </c>
      <c r="W166" s="288"/>
      <c r="X166" s="289"/>
      <c r="Y166" s="290" t="s">
        <v>1146</v>
      </c>
      <c r="Z166" s="291" t="s">
        <v>677</v>
      </c>
      <c r="AA166" s="255" t="s">
        <v>1133</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1066</v>
      </c>
      <c r="S167" s="285"/>
      <c r="T167" s="285"/>
      <c r="U167" s="286"/>
      <c r="V167" s="287">
        <v>45674</v>
      </c>
      <c r="W167" s="288"/>
      <c r="X167" s="289"/>
      <c r="Y167" s="290" t="s">
        <v>1146</v>
      </c>
      <c r="Z167" s="291" t="s">
        <v>677</v>
      </c>
      <c r="AA167" s="255" t="s">
        <v>1133</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1066</v>
      </c>
      <c r="S168" s="285"/>
      <c r="T168" s="285"/>
      <c r="U168" s="286"/>
      <c r="V168" s="287">
        <v>45674</v>
      </c>
      <c r="W168" s="288"/>
      <c r="X168" s="289"/>
      <c r="Y168" s="290" t="s">
        <v>1146</v>
      </c>
      <c r="Z168" s="291" t="s">
        <v>677</v>
      </c>
      <c r="AA168" s="255" t="s">
        <v>1133</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1066</v>
      </c>
      <c r="S169" s="285"/>
      <c r="T169" s="285"/>
      <c r="U169" s="286"/>
      <c r="V169" s="287">
        <v>45674</v>
      </c>
      <c r="W169" s="288"/>
      <c r="X169" s="289"/>
      <c r="Y169" s="290" t="s">
        <v>1146</v>
      </c>
      <c r="Z169" s="291" t="s">
        <v>677</v>
      </c>
      <c r="AA169" s="255" t="s">
        <v>1133</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1066</v>
      </c>
      <c r="S170" s="285"/>
      <c r="T170" s="285"/>
      <c r="U170" s="286"/>
      <c r="V170" s="287">
        <v>45674</v>
      </c>
      <c r="W170" s="288"/>
      <c r="X170" s="289"/>
      <c r="Y170" s="290" t="s">
        <v>1146</v>
      </c>
      <c r="Z170" s="291" t="s">
        <v>677</v>
      </c>
      <c r="AA170" s="255" t="s">
        <v>1133</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1066</v>
      </c>
      <c r="S171" s="285"/>
      <c r="T171" s="285"/>
      <c r="U171" s="286"/>
      <c r="V171" s="287">
        <v>45674</v>
      </c>
      <c r="W171" s="288"/>
      <c r="X171" s="289"/>
      <c r="Y171" s="290" t="s">
        <v>1146</v>
      </c>
      <c r="Z171" s="291" t="s">
        <v>677</v>
      </c>
      <c r="AA171" s="255" t="s">
        <v>1133</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1066</v>
      </c>
      <c r="S172" s="285"/>
      <c r="T172" s="285"/>
      <c r="U172" s="286"/>
      <c r="V172" s="287">
        <v>45674</v>
      </c>
      <c r="W172" s="288"/>
      <c r="X172" s="289"/>
      <c r="Y172" s="290" t="s">
        <v>1146</v>
      </c>
      <c r="Z172" s="291" t="s">
        <v>677</v>
      </c>
      <c r="AA172" s="255" t="s">
        <v>1133</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1066</v>
      </c>
      <c r="S173" s="285"/>
      <c r="T173" s="285"/>
      <c r="U173" s="286"/>
      <c r="V173" s="287">
        <v>45674</v>
      </c>
      <c r="W173" s="288"/>
      <c r="X173" s="289"/>
      <c r="Y173" s="290" t="s">
        <v>1146</v>
      </c>
      <c r="Z173" s="291" t="s">
        <v>677</v>
      </c>
      <c r="AA173" s="255" t="s">
        <v>1133</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1066</v>
      </c>
      <c r="U174" s="266"/>
      <c r="V174" s="270"/>
      <c r="W174" s="271">
        <v>45671</v>
      </c>
      <c r="X174" s="272">
        <v>45672</v>
      </c>
      <c r="Y174" s="184" t="s">
        <v>1146</v>
      </c>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1066</v>
      </c>
      <c r="U175" s="266"/>
      <c r="V175" s="270"/>
      <c r="W175" s="271">
        <v>45671</v>
      </c>
      <c r="X175" s="272">
        <v>45672</v>
      </c>
      <c r="Y175" s="184" t="s">
        <v>1146</v>
      </c>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1066</v>
      </c>
      <c r="U176" s="266"/>
      <c r="V176" s="270"/>
      <c r="W176" s="271">
        <v>45671</v>
      </c>
      <c r="X176" s="272">
        <v>45672</v>
      </c>
      <c r="Y176" s="184" t="s">
        <v>1146</v>
      </c>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1066</v>
      </c>
      <c r="U177" s="266"/>
      <c r="V177" s="270"/>
      <c r="W177" s="271">
        <v>45671</v>
      </c>
      <c r="X177" s="272">
        <v>45672</v>
      </c>
      <c r="Y177" s="184" t="s">
        <v>1146</v>
      </c>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1066</v>
      </c>
      <c r="U178" s="266"/>
      <c r="V178" s="270"/>
      <c r="W178" s="271">
        <v>45671</v>
      </c>
      <c r="X178" s="272">
        <v>45672</v>
      </c>
      <c r="Y178" s="184" t="s">
        <v>1146</v>
      </c>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1066</v>
      </c>
      <c r="U179" s="266"/>
      <c r="V179" s="270"/>
      <c r="W179" s="271">
        <v>45671</v>
      </c>
      <c r="X179" s="272">
        <v>45672</v>
      </c>
      <c r="Y179" s="184" t="s">
        <v>1146</v>
      </c>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1066</v>
      </c>
      <c r="U180" s="266"/>
      <c r="V180" s="270"/>
      <c r="W180" s="271">
        <v>45671</v>
      </c>
      <c r="X180" s="272">
        <v>45672</v>
      </c>
      <c r="Y180" s="184" t="s">
        <v>1146</v>
      </c>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1066</v>
      </c>
      <c r="U181" s="266"/>
      <c r="V181" s="270"/>
      <c r="W181" s="271">
        <v>45671</v>
      </c>
      <c r="X181" s="272">
        <v>45672</v>
      </c>
      <c r="Y181" s="184" t="s">
        <v>1146</v>
      </c>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1066</v>
      </c>
      <c r="U182" s="266"/>
      <c r="V182" s="270"/>
      <c r="W182" s="271">
        <v>45671</v>
      </c>
      <c r="X182" s="272">
        <v>45672</v>
      </c>
      <c r="Y182" s="184" t="s">
        <v>1146</v>
      </c>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1066</v>
      </c>
      <c r="U183" s="266"/>
      <c r="V183" s="270">
        <v>45674</v>
      </c>
      <c r="W183" s="271"/>
      <c r="X183" s="272"/>
      <c r="Y183" s="184" t="s">
        <v>1146</v>
      </c>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1066</v>
      </c>
      <c r="U184" s="266"/>
      <c r="V184" s="270">
        <v>45674</v>
      </c>
      <c r="W184" s="271"/>
      <c r="X184" s="272"/>
      <c r="Y184" s="184" t="s">
        <v>1146</v>
      </c>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1066</v>
      </c>
      <c r="U185" s="266"/>
      <c r="V185" s="270">
        <v>45674</v>
      </c>
      <c r="W185" s="271"/>
      <c r="X185" s="272"/>
      <c r="Y185" s="184" t="s">
        <v>1146</v>
      </c>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1066</v>
      </c>
      <c r="U186" s="266"/>
      <c r="V186" s="270">
        <v>45674</v>
      </c>
      <c r="W186" s="271"/>
      <c r="X186" s="272"/>
      <c r="Y186" s="184" t="s">
        <v>1146</v>
      </c>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1066</v>
      </c>
      <c r="U187" s="266"/>
      <c r="V187" s="270">
        <v>45674</v>
      </c>
      <c r="W187" s="271"/>
      <c r="X187" s="272"/>
      <c r="Y187" s="184" t="s">
        <v>1146</v>
      </c>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1066</v>
      </c>
      <c r="U188" s="266"/>
      <c r="V188" s="270">
        <v>45674</v>
      </c>
      <c r="W188" s="271"/>
      <c r="X188" s="272"/>
      <c r="Y188" s="184" t="s">
        <v>1146</v>
      </c>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1066</v>
      </c>
      <c r="U189" s="266"/>
      <c r="V189" s="270">
        <v>45674</v>
      </c>
      <c r="W189" s="271"/>
      <c r="X189" s="272"/>
      <c r="Y189" s="184" t="s">
        <v>1146</v>
      </c>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1066</v>
      </c>
      <c r="U190" s="266"/>
      <c r="V190" s="273">
        <v>45674</v>
      </c>
      <c r="W190" s="271"/>
      <c r="X190" s="272"/>
      <c r="Y190" s="184" t="s">
        <v>1146</v>
      </c>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1066</v>
      </c>
      <c r="U191" s="266"/>
      <c r="V191" s="270">
        <v>45674</v>
      </c>
      <c r="W191" s="271"/>
      <c r="X191" s="272"/>
      <c r="Y191" s="184" t="s">
        <v>1146</v>
      </c>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1066</v>
      </c>
      <c r="U192" s="266"/>
      <c r="V192" s="270">
        <v>45674</v>
      </c>
      <c r="W192" s="271"/>
      <c r="X192" s="272"/>
      <c r="Y192" s="184" t="s">
        <v>1146</v>
      </c>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1066</v>
      </c>
      <c r="U193" s="266"/>
      <c r="V193" s="270">
        <v>45674</v>
      </c>
      <c r="W193" s="271"/>
      <c r="X193" s="272"/>
      <c r="Y193" s="184" t="s">
        <v>1146</v>
      </c>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1066</v>
      </c>
      <c r="U194" s="266"/>
      <c r="V194" s="270">
        <v>45680</v>
      </c>
      <c r="W194" s="271"/>
      <c r="X194" s="272"/>
      <c r="Y194" s="184" t="s">
        <v>1146</v>
      </c>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1066</v>
      </c>
      <c r="U195" s="266"/>
      <c r="V195" s="270">
        <v>45680</v>
      </c>
      <c r="W195" s="271"/>
      <c r="X195" s="272"/>
      <c r="Y195" s="184" t="s">
        <v>1146</v>
      </c>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1066</v>
      </c>
      <c r="U196" s="266"/>
      <c r="V196" s="270">
        <v>45680</v>
      </c>
      <c r="W196" s="271"/>
      <c r="X196" s="272"/>
      <c r="Y196" s="184" t="s">
        <v>1146</v>
      </c>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1066</v>
      </c>
      <c r="U197" s="266"/>
      <c r="V197" s="270">
        <v>45680</v>
      </c>
      <c r="W197" s="271"/>
      <c r="X197" s="272"/>
      <c r="Y197" s="184" t="s">
        <v>1146</v>
      </c>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1066</v>
      </c>
      <c r="U198" s="266"/>
      <c r="V198" s="270">
        <v>45680</v>
      </c>
      <c r="W198" s="271"/>
      <c r="X198" s="272"/>
      <c r="Y198" s="184" t="s">
        <v>1146</v>
      </c>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1066</v>
      </c>
      <c r="U199" s="266"/>
      <c r="V199" s="270">
        <v>45680</v>
      </c>
      <c r="W199" s="271"/>
      <c r="X199" s="272"/>
      <c r="Y199" s="184" t="s">
        <v>1146</v>
      </c>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1066</v>
      </c>
      <c r="U200" s="266"/>
      <c r="V200" s="270">
        <v>45680</v>
      </c>
      <c r="W200" s="271"/>
      <c r="X200" s="272"/>
      <c r="Y200" s="184" t="s">
        <v>1146</v>
      </c>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1066</v>
      </c>
      <c r="U201" s="266"/>
      <c r="V201" s="270"/>
      <c r="W201" s="271">
        <v>45671</v>
      </c>
      <c r="X201" s="272">
        <v>45672</v>
      </c>
      <c r="Y201" s="184" t="s">
        <v>1146</v>
      </c>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1066</v>
      </c>
      <c r="U202" s="266"/>
      <c r="V202" s="270"/>
      <c r="W202" s="271">
        <v>45671</v>
      </c>
      <c r="X202" s="272">
        <v>45672</v>
      </c>
      <c r="Y202" s="184" t="s">
        <v>1146</v>
      </c>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1066</v>
      </c>
      <c r="U203" s="266"/>
      <c r="V203" s="270">
        <v>45671</v>
      </c>
      <c r="W203" s="271"/>
      <c r="X203" s="272"/>
      <c r="Y203" s="184" t="s">
        <v>1146</v>
      </c>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1066</v>
      </c>
      <c r="U204" s="266"/>
      <c r="V204" s="270">
        <v>45671</v>
      </c>
      <c r="W204" s="271"/>
      <c r="X204" s="272"/>
      <c r="Y204" s="184" t="s">
        <v>1146</v>
      </c>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1066</v>
      </c>
      <c r="U205" s="266"/>
      <c r="V205" s="270"/>
      <c r="W205" s="271">
        <v>45671</v>
      </c>
      <c r="X205" s="272">
        <v>45678</v>
      </c>
      <c r="Y205" s="184" t="s">
        <v>1146</v>
      </c>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1066</v>
      </c>
      <c r="U206" s="266"/>
      <c r="V206" s="273">
        <v>45678</v>
      </c>
      <c r="W206" s="271"/>
      <c r="X206" s="272"/>
      <c r="Y206" s="184" t="s">
        <v>1146</v>
      </c>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1066</v>
      </c>
      <c r="U207" s="266"/>
      <c r="V207" s="270">
        <v>45671</v>
      </c>
      <c r="W207" s="271"/>
      <c r="X207" s="272"/>
      <c r="Y207" s="184" t="s">
        <v>1146</v>
      </c>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1066</v>
      </c>
      <c r="U208" s="266"/>
      <c r="V208" s="270">
        <v>45671</v>
      </c>
      <c r="W208" s="271"/>
      <c r="X208" s="272"/>
      <c r="Y208" s="184" t="s">
        <v>1146</v>
      </c>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1066</v>
      </c>
      <c r="U209" s="266"/>
      <c r="V209" s="270">
        <v>45671</v>
      </c>
      <c r="W209" s="271"/>
      <c r="X209" s="272"/>
      <c r="Y209" s="184" t="s">
        <v>1146</v>
      </c>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1066</v>
      </c>
      <c r="U210" s="266"/>
      <c r="V210" s="270"/>
      <c r="W210" s="271">
        <v>45671</v>
      </c>
      <c r="X210" s="272">
        <v>45678</v>
      </c>
      <c r="Y210" s="184" t="s">
        <v>1146</v>
      </c>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1066</v>
      </c>
      <c r="U211" s="266"/>
      <c r="V211" s="270">
        <v>45671</v>
      </c>
      <c r="W211" s="271"/>
      <c r="X211" s="272"/>
      <c r="Y211" s="184" t="s">
        <v>1146</v>
      </c>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1066</v>
      </c>
      <c r="U212" s="266"/>
      <c r="V212" s="270">
        <v>45671</v>
      </c>
      <c r="W212" s="271"/>
      <c r="X212" s="272"/>
      <c r="Y212" s="184" t="s">
        <v>1146</v>
      </c>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1066</v>
      </c>
      <c r="U213" s="266"/>
      <c r="V213" s="270"/>
      <c r="W213" s="271">
        <v>45671</v>
      </c>
      <c r="X213" s="272">
        <v>45678</v>
      </c>
      <c r="Y213" s="184" t="s">
        <v>1146</v>
      </c>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1066</v>
      </c>
      <c r="U214" s="266"/>
      <c r="V214" s="270">
        <v>45671</v>
      </c>
      <c r="W214" s="271"/>
      <c r="X214" s="272"/>
      <c r="Y214" s="184" t="s">
        <v>1146</v>
      </c>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1066</v>
      </c>
      <c r="U215" s="266"/>
      <c r="V215" s="270">
        <v>45671</v>
      </c>
      <c r="W215" s="271"/>
      <c r="X215" s="272"/>
      <c r="Y215" s="184" t="s">
        <v>1146</v>
      </c>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1066</v>
      </c>
      <c r="U216" s="266"/>
      <c r="V216" s="270">
        <v>45671</v>
      </c>
      <c r="W216" s="271"/>
      <c r="X216" s="272"/>
      <c r="Y216" s="184" t="s">
        <v>1146</v>
      </c>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1066</v>
      </c>
      <c r="U217" s="266"/>
      <c r="V217" s="270">
        <v>45671</v>
      </c>
      <c r="W217" s="271"/>
      <c r="X217" s="272"/>
      <c r="Y217" s="184" t="s">
        <v>1146</v>
      </c>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1066</v>
      </c>
      <c r="U218" s="266"/>
      <c r="V218" s="270">
        <v>45671</v>
      </c>
      <c r="W218" s="271"/>
      <c r="X218" s="272"/>
      <c r="Y218" s="184" t="s">
        <v>1146</v>
      </c>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1066</v>
      </c>
      <c r="U219" s="266"/>
      <c r="V219" s="270">
        <v>45671</v>
      </c>
      <c r="W219" s="271"/>
      <c r="X219" s="272"/>
      <c r="Y219" s="184" t="s">
        <v>1146</v>
      </c>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1066</v>
      </c>
      <c r="U220" s="266"/>
      <c r="V220" s="270">
        <v>45671</v>
      </c>
      <c r="W220" s="271"/>
      <c r="X220" s="272"/>
      <c r="Y220" s="184" t="s">
        <v>1146</v>
      </c>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80" t="s">
        <v>1066</v>
      </c>
      <c r="O221" s="178"/>
      <c r="P221" s="180"/>
      <c r="Q221" s="180"/>
      <c r="R221" s="180"/>
      <c r="S221" s="180"/>
      <c r="T221" s="180"/>
      <c r="U221" s="266"/>
      <c r="V221" s="270">
        <v>45671</v>
      </c>
      <c r="W221" s="271"/>
      <c r="X221" s="272"/>
      <c r="Y221" s="184" t="s">
        <v>1146</v>
      </c>
      <c r="Z221" s="230" t="s">
        <v>592</v>
      </c>
    </row>
    <row r="222" spans="1:27" ht="11.4" x14ac:dyDescent="0.15">
      <c r="A222" s="175">
        <f t="shared" ref="A222:A226" si="2">ROW()-2</f>
        <v>220</v>
      </c>
      <c r="B222" s="176"/>
      <c r="C222" s="176"/>
      <c r="D222" s="176"/>
      <c r="E222" s="176" t="s">
        <v>851</v>
      </c>
      <c r="F222" s="186" t="s">
        <v>852</v>
      </c>
      <c r="G222" s="257"/>
      <c r="H222" s="227" t="s">
        <v>853</v>
      </c>
      <c r="I222" s="177"/>
      <c r="J222" s="180" t="s">
        <v>1066</v>
      </c>
      <c r="K222" s="178"/>
      <c r="L222" s="179"/>
      <c r="M222" s="177"/>
      <c r="N222" s="178"/>
      <c r="O222" s="178"/>
      <c r="P222" s="180"/>
      <c r="Q222" s="180"/>
      <c r="R222" s="180"/>
      <c r="S222" s="180"/>
      <c r="T222" s="180"/>
      <c r="U222" s="266"/>
      <c r="V222" s="270">
        <v>45681</v>
      </c>
      <c r="W222" s="271"/>
      <c r="X222" s="272"/>
      <c r="Y222" s="184" t="s">
        <v>1146</v>
      </c>
      <c r="Z222" s="230" t="s">
        <v>854</v>
      </c>
    </row>
    <row r="223" spans="1:27" ht="11.4" x14ac:dyDescent="0.15">
      <c r="A223" s="175">
        <f t="shared" si="2"/>
        <v>221</v>
      </c>
      <c r="B223" s="176"/>
      <c r="C223" s="176"/>
      <c r="D223" s="176"/>
      <c r="E223" s="176" t="s">
        <v>855</v>
      </c>
      <c r="F223" s="186" t="s">
        <v>856</v>
      </c>
      <c r="G223" s="257"/>
      <c r="H223" s="227" t="s">
        <v>853</v>
      </c>
      <c r="I223" s="177"/>
      <c r="J223" s="178" t="s">
        <v>61</v>
      </c>
      <c r="K223" s="178"/>
      <c r="L223" s="179"/>
      <c r="M223" s="177"/>
      <c r="N223" s="178"/>
      <c r="O223" s="178"/>
      <c r="P223" s="180"/>
      <c r="Q223" s="180"/>
      <c r="R223" s="180"/>
      <c r="S223" s="180"/>
      <c r="T223" s="180"/>
      <c r="U223" s="266"/>
      <c r="V223" s="304"/>
      <c r="W223" s="271"/>
      <c r="X223" s="272"/>
      <c r="Y223" s="184" t="s">
        <v>1146</v>
      </c>
      <c r="Z223" s="230" t="s">
        <v>854</v>
      </c>
    </row>
    <row r="224" spans="1:27" ht="11.4" x14ac:dyDescent="0.15">
      <c r="A224" s="175">
        <f t="shared" si="2"/>
        <v>222</v>
      </c>
      <c r="B224" s="176"/>
      <c r="C224" s="176"/>
      <c r="D224" s="176"/>
      <c r="E224" s="176" t="s">
        <v>857</v>
      </c>
      <c r="F224" s="186" t="s">
        <v>858</v>
      </c>
      <c r="G224" s="257"/>
      <c r="H224" s="227" t="s">
        <v>853</v>
      </c>
      <c r="I224" s="177"/>
      <c r="J224" s="180" t="s">
        <v>1066</v>
      </c>
      <c r="K224" s="178"/>
      <c r="L224" s="179"/>
      <c r="M224" s="177"/>
      <c r="N224" s="178"/>
      <c r="O224" s="178"/>
      <c r="P224" s="180"/>
      <c r="Q224" s="180"/>
      <c r="R224" s="180"/>
      <c r="S224" s="180"/>
      <c r="T224" s="180"/>
      <c r="U224" s="266"/>
      <c r="V224" s="270">
        <v>45681</v>
      </c>
      <c r="W224" s="271"/>
      <c r="X224" s="272"/>
      <c r="Y224" s="184" t="s">
        <v>1146</v>
      </c>
      <c r="Z224" s="230" t="s">
        <v>854</v>
      </c>
    </row>
    <row r="225" spans="1:27" ht="11.4" x14ac:dyDescent="0.15">
      <c r="A225" s="175">
        <f t="shared" si="2"/>
        <v>223</v>
      </c>
      <c r="B225" s="176"/>
      <c r="C225" s="176"/>
      <c r="D225" s="176"/>
      <c r="E225" s="176" t="s">
        <v>859</v>
      </c>
      <c r="F225" s="186" t="s">
        <v>860</v>
      </c>
      <c r="G225" s="257"/>
      <c r="H225" s="227" t="s">
        <v>853</v>
      </c>
      <c r="I225" s="177"/>
      <c r="J225" s="178" t="s">
        <v>61</v>
      </c>
      <c r="K225" s="178"/>
      <c r="L225" s="179"/>
      <c r="M225" s="177"/>
      <c r="N225" s="178"/>
      <c r="O225" s="178"/>
      <c r="P225" s="180"/>
      <c r="Q225" s="180"/>
      <c r="R225" s="180"/>
      <c r="S225" s="180"/>
      <c r="T225" s="180"/>
      <c r="U225" s="266"/>
      <c r="V225" s="304"/>
      <c r="W225" s="271"/>
      <c r="X225" s="272"/>
      <c r="Y225" s="184" t="s">
        <v>1146</v>
      </c>
      <c r="Z225" s="230" t="s">
        <v>854</v>
      </c>
    </row>
    <row r="226" spans="1:27" ht="11.4" x14ac:dyDescent="0.15">
      <c r="A226" s="175">
        <f t="shared" si="2"/>
        <v>224</v>
      </c>
      <c r="B226" s="176"/>
      <c r="C226" s="176"/>
      <c r="D226" s="176"/>
      <c r="E226" s="176"/>
      <c r="F226" s="186" t="s">
        <v>861</v>
      </c>
      <c r="G226" s="257"/>
      <c r="H226" s="227" t="s">
        <v>862</v>
      </c>
      <c r="I226" s="177"/>
      <c r="J226" s="178"/>
      <c r="K226" s="178"/>
      <c r="L226" s="179"/>
      <c r="M226" s="177"/>
      <c r="N226" s="180" t="s">
        <v>1066</v>
      </c>
      <c r="O226" s="178"/>
      <c r="P226" s="178"/>
      <c r="Q226" s="180"/>
      <c r="R226" s="180"/>
      <c r="S226" s="180"/>
      <c r="T226" s="180"/>
      <c r="U226" s="266"/>
      <c r="V226" s="273">
        <v>45684</v>
      </c>
      <c r="W226" s="271"/>
      <c r="X226" s="272"/>
      <c r="Y226" s="184" t="s">
        <v>1146</v>
      </c>
      <c r="Z226" s="230" t="s">
        <v>592</v>
      </c>
    </row>
    <row r="227" spans="1:27" ht="11.4" x14ac:dyDescent="0.15">
      <c r="A227" s="175">
        <f t="shared" ref="A227:A253" si="3">ROW()-2</f>
        <v>225</v>
      </c>
      <c r="B227" s="176" t="s">
        <v>50</v>
      </c>
      <c r="C227" s="176" t="s">
        <v>325</v>
      </c>
      <c r="D227" s="176" t="s">
        <v>325</v>
      </c>
      <c r="E227" s="176" t="s">
        <v>326</v>
      </c>
      <c r="F227" s="186" t="s">
        <v>54</v>
      </c>
      <c r="G227" s="257"/>
      <c r="H227" s="227" t="s">
        <v>1154</v>
      </c>
      <c r="I227" s="177"/>
      <c r="J227" s="178"/>
      <c r="K227" s="178"/>
      <c r="L227" s="179"/>
      <c r="M227" s="177"/>
      <c r="N227" s="178"/>
      <c r="O227" s="178"/>
      <c r="P227" s="180"/>
      <c r="Q227" s="180"/>
      <c r="R227" s="180"/>
      <c r="S227" s="180" t="s">
        <v>61</v>
      </c>
      <c r="T227" s="180"/>
      <c r="U227" s="266"/>
      <c r="V227" s="304"/>
      <c r="W227" s="271"/>
      <c r="X227" s="272"/>
      <c r="Y227" s="184" t="s">
        <v>1146</v>
      </c>
      <c r="Z227" s="229" t="s">
        <v>1151</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56</v>
      </c>
      <c r="Q228" s="180"/>
      <c r="R228" s="180"/>
      <c r="S228" s="180"/>
      <c r="T228" s="180"/>
      <c r="U228" s="266"/>
      <c r="V228" s="304"/>
      <c r="W228" s="271"/>
      <c r="X228" s="272"/>
      <c r="Y228" s="184" t="s">
        <v>1146</v>
      </c>
      <c r="Z228" s="229" t="s">
        <v>1152</v>
      </c>
    </row>
    <row r="229" spans="1:27" ht="11.4" x14ac:dyDescent="0.15">
      <c r="A229" s="175">
        <f t="shared" si="3"/>
        <v>227</v>
      </c>
      <c r="B229" s="176" t="s">
        <v>330</v>
      </c>
      <c r="C229" s="176" t="s">
        <v>331</v>
      </c>
      <c r="D229" s="176" t="s">
        <v>557</v>
      </c>
      <c r="E229" s="186" t="s">
        <v>332</v>
      </c>
      <c r="F229" s="233" t="s">
        <v>1088</v>
      </c>
      <c r="G229" s="258"/>
      <c r="H229" s="228" t="s">
        <v>1145</v>
      </c>
      <c r="I229" s="177"/>
      <c r="J229" s="178"/>
      <c r="K229" s="178"/>
      <c r="L229" s="179"/>
      <c r="M229" s="177"/>
      <c r="N229" s="180" t="s">
        <v>1066</v>
      </c>
      <c r="O229" s="178"/>
      <c r="P229" s="180"/>
      <c r="Q229" s="180"/>
      <c r="R229" s="180"/>
      <c r="S229" s="180"/>
      <c r="T229" s="180"/>
      <c r="U229" s="266"/>
      <c r="V229" s="273"/>
      <c r="W229" s="271">
        <v>45685</v>
      </c>
      <c r="X229" s="272">
        <v>45688</v>
      </c>
      <c r="Y229" s="184" t="s">
        <v>1146</v>
      </c>
      <c r="Z229" s="185" t="s">
        <v>334</v>
      </c>
    </row>
    <row r="230" spans="1:27" ht="11.4" x14ac:dyDescent="0.15">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992</v>
      </c>
      <c r="T230" s="285"/>
      <c r="U230" s="286"/>
      <c r="V230" s="287"/>
      <c r="W230" s="288">
        <v>45685</v>
      </c>
      <c r="X230" s="289"/>
      <c r="Y230" s="290" t="s">
        <v>1146</v>
      </c>
      <c r="Z230" s="296" t="s">
        <v>1092</v>
      </c>
    </row>
    <row r="231" spans="1:27" ht="11.4" x14ac:dyDescent="0.15">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992</v>
      </c>
      <c r="T231" s="285"/>
      <c r="U231" s="286"/>
      <c r="V231" s="287"/>
      <c r="W231" s="288">
        <v>45685</v>
      </c>
      <c r="X231" s="289"/>
      <c r="Y231" s="290" t="s">
        <v>1146</v>
      </c>
      <c r="Z231" s="291" t="s">
        <v>562</v>
      </c>
    </row>
    <row r="232" spans="1:27" ht="11.4" x14ac:dyDescent="0.15">
      <c r="A232" s="278">
        <f t="shared" si="3"/>
        <v>230</v>
      </c>
      <c r="B232" s="279"/>
      <c r="C232" s="279" t="s">
        <v>563</v>
      </c>
      <c r="D232" s="279" t="s">
        <v>564</v>
      </c>
      <c r="E232" s="280" t="s">
        <v>332</v>
      </c>
      <c r="F232" s="295" t="s">
        <v>1088</v>
      </c>
      <c r="G232" s="310"/>
      <c r="H232" s="294" t="s">
        <v>1145</v>
      </c>
      <c r="I232" s="282"/>
      <c r="J232" s="283"/>
      <c r="K232" s="283"/>
      <c r="L232" s="284"/>
      <c r="M232" s="282"/>
      <c r="N232" s="285" t="s">
        <v>1068</v>
      </c>
      <c r="O232" s="283"/>
      <c r="P232" s="285"/>
      <c r="Q232" s="285"/>
      <c r="R232" s="285"/>
      <c r="S232" s="285"/>
      <c r="T232" s="285"/>
      <c r="U232" s="286"/>
      <c r="V232" s="287">
        <v>45687</v>
      </c>
      <c r="W232" s="288"/>
      <c r="X232" s="289"/>
      <c r="Y232" s="290" t="s">
        <v>1146</v>
      </c>
      <c r="Z232" s="291" t="s">
        <v>334</v>
      </c>
      <c r="AA232" s="255" t="s">
        <v>1149</v>
      </c>
    </row>
    <row r="233" spans="1:27" ht="11.4" x14ac:dyDescent="0.15">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1068</v>
      </c>
      <c r="T233" s="285"/>
      <c r="U233" s="286"/>
      <c r="V233" s="287">
        <v>45687</v>
      </c>
      <c r="W233" s="288"/>
      <c r="X233" s="289"/>
      <c r="Y233" s="290" t="s">
        <v>1146</v>
      </c>
      <c r="Z233" s="296" t="s">
        <v>1092</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1066</v>
      </c>
      <c r="T234" s="318"/>
      <c r="U234" s="305"/>
      <c r="V234" s="273">
        <v>45687</v>
      </c>
      <c r="W234" s="297"/>
      <c r="X234" s="300"/>
      <c r="Y234" s="306" t="s">
        <v>1146</v>
      </c>
      <c r="Z234" s="319" t="s">
        <v>567</v>
      </c>
    </row>
    <row r="235" spans="1:27" ht="11.4" x14ac:dyDescent="0.15">
      <c r="A235" s="175">
        <f t="shared" si="3"/>
        <v>233</v>
      </c>
      <c r="B235" s="176"/>
      <c r="C235" s="176" t="s">
        <v>863</v>
      </c>
      <c r="D235" s="186" t="s">
        <v>864</v>
      </c>
      <c r="E235" s="186" t="s">
        <v>865</v>
      </c>
      <c r="F235" s="186" t="s">
        <v>577</v>
      </c>
      <c r="G235" s="259"/>
      <c r="H235" s="228" t="s">
        <v>1141</v>
      </c>
      <c r="I235" s="177"/>
      <c r="J235" s="178"/>
      <c r="K235" s="178"/>
      <c r="L235" s="179"/>
      <c r="M235" s="177"/>
      <c r="N235" s="180"/>
      <c r="O235" s="178"/>
      <c r="P235" s="180"/>
      <c r="Q235" s="180"/>
      <c r="R235" s="180"/>
      <c r="S235" s="180" t="s">
        <v>1066</v>
      </c>
      <c r="T235" s="180"/>
      <c r="U235" s="266"/>
      <c r="V235" s="273">
        <v>45686</v>
      </c>
      <c r="W235" s="271"/>
      <c r="X235" s="272"/>
      <c r="Y235" s="184" t="s">
        <v>1146</v>
      </c>
      <c r="Z235" s="185" t="s">
        <v>472</v>
      </c>
    </row>
    <row r="236" spans="1:27" ht="11.4" x14ac:dyDescent="0.15">
      <c r="A236" s="278">
        <f t="shared" si="3"/>
        <v>234</v>
      </c>
      <c r="B236" s="279"/>
      <c r="C236" s="279"/>
      <c r="D236" s="280"/>
      <c r="E236" s="280"/>
      <c r="F236" s="280"/>
      <c r="G236" s="309"/>
      <c r="H236" s="294" t="s">
        <v>866</v>
      </c>
      <c r="I236" s="282"/>
      <c r="J236" s="283"/>
      <c r="K236" s="283"/>
      <c r="L236" s="284"/>
      <c r="M236" s="282"/>
      <c r="N236" s="285"/>
      <c r="O236" s="283"/>
      <c r="P236" s="285"/>
      <c r="Q236" s="285"/>
      <c r="R236" s="285"/>
      <c r="S236" s="285" t="s">
        <v>1068</v>
      </c>
      <c r="T236" s="285"/>
      <c r="U236" s="286"/>
      <c r="V236" s="287">
        <v>45686</v>
      </c>
      <c r="W236" s="288"/>
      <c r="X236" s="289"/>
      <c r="Y236" s="290" t="s">
        <v>1146</v>
      </c>
      <c r="Z236" s="296" t="s">
        <v>1092</v>
      </c>
      <c r="AA236" s="255" t="s">
        <v>1148</v>
      </c>
    </row>
    <row r="237" spans="1:27"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1066</v>
      </c>
      <c r="U237" s="266"/>
      <c r="V237" s="273">
        <v>45686</v>
      </c>
      <c r="W237" s="271"/>
      <c r="X237" s="272"/>
      <c r="Y237" s="184" t="s">
        <v>1146</v>
      </c>
      <c r="Z237" s="230" t="s">
        <v>869</v>
      </c>
    </row>
    <row r="238" spans="1:27"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1066</v>
      </c>
      <c r="T238" s="180"/>
      <c r="U238" s="266"/>
      <c r="V238" s="273">
        <v>45686</v>
      </c>
      <c r="W238" s="271"/>
      <c r="X238" s="272"/>
      <c r="Y238" s="184" t="s">
        <v>1146</v>
      </c>
      <c r="Z238" s="229" t="s">
        <v>1092</v>
      </c>
    </row>
    <row r="239" spans="1:27"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1066</v>
      </c>
      <c r="T239" s="180"/>
      <c r="U239" s="266"/>
      <c r="V239" s="273">
        <v>45685</v>
      </c>
      <c r="W239" s="271"/>
      <c r="X239" s="272"/>
      <c r="Y239" s="184" t="s">
        <v>1146</v>
      </c>
      <c r="Z239" s="229" t="s">
        <v>1092</v>
      </c>
    </row>
    <row r="240" spans="1:27"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1066</v>
      </c>
      <c r="T240" s="180"/>
      <c r="U240" s="266"/>
      <c r="V240" s="273">
        <v>45685</v>
      </c>
      <c r="W240" s="271"/>
      <c r="X240" s="272"/>
      <c r="Y240" s="184" t="s">
        <v>1146</v>
      </c>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1066</v>
      </c>
      <c r="T241" s="180"/>
      <c r="U241" s="266"/>
      <c r="V241" s="270">
        <v>45685</v>
      </c>
      <c r="W241" s="271"/>
      <c r="X241" s="272"/>
      <c r="Y241" s="184" t="s">
        <v>1146</v>
      </c>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1066</v>
      </c>
      <c r="T242" s="180"/>
      <c r="U242" s="266"/>
      <c r="V242" s="270">
        <v>45685</v>
      </c>
      <c r="W242" s="271"/>
      <c r="X242" s="272"/>
      <c r="Y242" s="184" t="s">
        <v>1146</v>
      </c>
      <c r="Z242" s="185" t="s">
        <v>883</v>
      </c>
    </row>
    <row r="243" spans="1:27" ht="11.4" x14ac:dyDescent="0.15">
      <c r="A243" s="175">
        <f t="shared" si="3"/>
        <v>241</v>
      </c>
      <c r="B243" s="176"/>
      <c r="C243" s="176"/>
      <c r="D243" s="186"/>
      <c r="E243" s="186"/>
      <c r="F243" s="186" t="s">
        <v>884</v>
      </c>
      <c r="G243" s="259"/>
      <c r="H243" s="228" t="s">
        <v>1136</v>
      </c>
      <c r="I243" s="177"/>
      <c r="J243" s="178"/>
      <c r="K243" s="178"/>
      <c r="L243" s="179"/>
      <c r="M243" s="177"/>
      <c r="N243" s="178"/>
      <c r="O243" s="178"/>
      <c r="P243" s="180"/>
      <c r="Q243" s="180"/>
      <c r="R243" s="180"/>
      <c r="S243" s="180"/>
      <c r="T243" s="180" t="s">
        <v>1066</v>
      </c>
      <c r="U243" s="266"/>
      <c r="V243" s="273">
        <v>45685</v>
      </c>
      <c r="W243" s="271"/>
      <c r="X243" s="272"/>
      <c r="Y243" s="184" t="s">
        <v>1146</v>
      </c>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1066</v>
      </c>
      <c r="T244" s="180"/>
      <c r="U244" s="266"/>
      <c r="V244" s="270">
        <v>45685</v>
      </c>
      <c r="W244" s="271"/>
      <c r="X244" s="272"/>
      <c r="Y244" s="184" t="s">
        <v>1146</v>
      </c>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56</v>
      </c>
      <c r="U245" s="266"/>
      <c r="V245" s="304"/>
      <c r="W245" s="271"/>
      <c r="X245" s="272"/>
      <c r="Y245" s="184" t="s">
        <v>1146</v>
      </c>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80" t="s">
        <v>1066</v>
      </c>
      <c r="N246" s="178"/>
      <c r="O246" s="178"/>
      <c r="P246" s="180"/>
      <c r="Q246" s="180"/>
      <c r="R246" s="180"/>
      <c r="S246" s="180"/>
      <c r="T246" s="180"/>
      <c r="U246" s="266"/>
      <c r="V246" s="270">
        <v>45673</v>
      </c>
      <c r="W246" s="271"/>
      <c r="X246" s="272"/>
      <c r="Y246" s="184" t="s">
        <v>1146</v>
      </c>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1066</v>
      </c>
      <c r="Q247" s="180"/>
      <c r="R247" s="180"/>
      <c r="S247" s="180"/>
      <c r="T247" s="180"/>
      <c r="U247" s="266"/>
      <c r="V247" s="270">
        <v>45673</v>
      </c>
      <c r="W247" s="271"/>
      <c r="X247" s="272"/>
      <c r="Y247" s="184" t="s">
        <v>1146</v>
      </c>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1066</v>
      </c>
      <c r="R248" s="180"/>
      <c r="S248" s="180"/>
      <c r="T248" s="180"/>
      <c r="U248" s="266"/>
      <c r="V248" s="270">
        <v>45673</v>
      </c>
      <c r="W248" s="271"/>
      <c r="X248" s="272"/>
      <c r="Y248" s="184" t="s">
        <v>1146</v>
      </c>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80" t="s">
        <v>1066</v>
      </c>
      <c r="N249" s="178"/>
      <c r="O249" s="178"/>
      <c r="P249" s="180"/>
      <c r="Q249" s="180"/>
      <c r="R249" s="180"/>
      <c r="S249" s="180"/>
      <c r="T249" s="180"/>
      <c r="U249" s="266"/>
      <c r="V249" s="270">
        <v>45673</v>
      </c>
      <c r="W249" s="271"/>
      <c r="X249" s="272"/>
      <c r="Y249" s="184" t="s">
        <v>1146</v>
      </c>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1066</v>
      </c>
      <c r="Q250" s="180"/>
      <c r="R250" s="180"/>
      <c r="S250" s="180"/>
      <c r="T250" s="180"/>
      <c r="U250" s="266"/>
      <c r="V250" s="270">
        <v>45673</v>
      </c>
      <c r="W250" s="271"/>
      <c r="X250" s="272"/>
      <c r="Y250" s="184" t="s">
        <v>1146</v>
      </c>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1066</v>
      </c>
      <c r="R251" s="180"/>
      <c r="S251" s="180"/>
      <c r="T251" s="180"/>
      <c r="U251" s="266"/>
      <c r="V251" s="270">
        <v>45673</v>
      </c>
      <c r="W251" s="271"/>
      <c r="X251" s="272"/>
      <c r="Y251" s="184" t="s">
        <v>1146</v>
      </c>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1066</v>
      </c>
      <c r="O252" s="178"/>
      <c r="P252" s="180"/>
      <c r="Q252" s="180"/>
      <c r="R252" s="180"/>
      <c r="S252" s="180"/>
      <c r="T252" s="180"/>
      <c r="U252" s="266"/>
      <c r="V252" s="270">
        <v>45673</v>
      </c>
      <c r="W252" s="271"/>
      <c r="X252" s="272"/>
      <c r="Y252" s="184" t="s">
        <v>1146</v>
      </c>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1066</v>
      </c>
      <c r="O253" s="178"/>
      <c r="P253" s="180"/>
      <c r="Q253" s="180"/>
      <c r="R253" s="180"/>
      <c r="S253" s="180"/>
      <c r="T253" s="180"/>
      <c r="U253" s="266"/>
      <c r="V253" s="270">
        <v>45673</v>
      </c>
      <c r="W253" s="271"/>
      <c r="X253" s="272"/>
      <c r="Y253" s="184" t="s">
        <v>1146</v>
      </c>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2</v>
      </c>
      <c r="K254" s="193">
        <f t="shared" si="4"/>
        <v>0</v>
      </c>
      <c r="L254" s="194">
        <f t="shared" si="4"/>
        <v>0</v>
      </c>
      <c r="M254" s="192">
        <f t="shared" si="4"/>
        <v>2</v>
      </c>
      <c r="N254" s="193">
        <f t="shared" si="4"/>
        <v>6</v>
      </c>
      <c r="O254" s="193">
        <f t="shared" si="4"/>
        <v>0</v>
      </c>
      <c r="P254" s="193">
        <f t="shared" si="4"/>
        <v>8</v>
      </c>
      <c r="Q254" s="193">
        <f t="shared" si="4"/>
        <v>18</v>
      </c>
      <c r="R254" s="193">
        <f t="shared" si="4"/>
        <v>128</v>
      </c>
      <c r="S254" s="195">
        <f t="shared" si="4"/>
        <v>19</v>
      </c>
      <c r="T254" s="195">
        <f t="shared" si="4"/>
        <v>50</v>
      </c>
      <c r="U254" s="260"/>
      <c r="V254" s="347" t="s">
        <v>17</v>
      </c>
      <c r="W254" s="347"/>
      <c r="X254" s="348"/>
      <c r="Y254" s="196" t="s">
        <v>411</v>
      </c>
      <c r="Z254" s="197">
        <f>SUM(I254:T254)</f>
        <v>233</v>
      </c>
    </row>
    <row r="255" spans="1:27" s="238" customFormat="1" ht="12" customHeight="1" x14ac:dyDescent="0.25">
      <c r="A255" s="198"/>
      <c r="B255" s="231" t="s">
        <v>412</v>
      </c>
      <c r="C255" s="200">
        <f>Z256</f>
        <v>237</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2</v>
      </c>
      <c r="S255" s="205">
        <f t="shared" si="5"/>
        <v>2</v>
      </c>
      <c r="T255" s="205">
        <f t="shared" si="5"/>
        <v>0</v>
      </c>
      <c r="U255" s="261"/>
      <c r="V255" s="349"/>
      <c r="W255" s="349"/>
      <c r="X255" s="350"/>
      <c r="Y255" s="206" t="s">
        <v>411</v>
      </c>
      <c r="Z255" s="207">
        <f t="shared" ref="Z255:Z257" si="6">SUM(I255:T255)</f>
        <v>4</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2</v>
      </c>
      <c r="K256" s="203">
        <f t="shared" si="7"/>
        <v>0</v>
      </c>
      <c r="L256" s="204">
        <f t="shared" si="7"/>
        <v>0</v>
      </c>
      <c r="M256" s="202">
        <f t="shared" si="7"/>
        <v>2</v>
      </c>
      <c r="N256" s="203">
        <f t="shared" si="7"/>
        <v>6</v>
      </c>
      <c r="O256" s="203">
        <f t="shared" si="7"/>
        <v>0</v>
      </c>
      <c r="P256" s="203">
        <f t="shared" si="7"/>
        <v>8</v>
      </c>
      <c r="Q256" s="203">
        <f t="shared" si="7"/>
        <v>18</v>
      </c>
      <c r="R256" s="203">
        <f t="shared" ref="R256" si="8">R254+R255</f>
        <v>130</v>
      </c>
      <c r="S256" s="205">
        <f t="shared" ref="S256:T256" si="9">S254+S255</f>
        <v>21</v>
      </c>
      <c r="T256" s="205">
        <f t="shared" si="9"/>
        <v>50</v>
      </c>
      <c r="U256" s="262"/>
      <c r="V256" s="351">
        <f>COUNTA(V3:V253)</f>
        <v>212</v>
      </c>
      <c r="W256" s="353">
        <f>COUNTA(W3:W253)</f>
        <v>25</v>
      </c>
      <c r="X256" s="355">
        <f>COUNTA(X3:X253)</f>
        <v>21</v>
      </c>
      <c r="Y256" s="212" t="s">
        <v>411</v>
      </c>
      <c r="Z256" s="207">
        <f t="shared" si="6"/>
        <v>237</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2"/>
      <c r="W257" s="354"/>
      <c r="X257" s="356"/>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1139</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1129</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6" t="s">
        <v>31</v>
      </c>
      <c r="H1" s="367"/>
      <c r="I1" s="367"/>
      <c r="J1" s="367"/>
      <c r="K1" s="367"/>
      <c r="L1" s="367"/>
      <c r="M1" s="367"/>
      <c r="N1" s="367"/>
      <c r="O1" s="368" t="s">
        <v>1027</v>
      </c>
      <c r="P1" s="368"/>
      <c r="Q1" s="368"/>
      <c r="R1" s="368"/>
      <c r="S1" s="371" t="s">
        <v>33</v>
      </c>
      <c r="T1" s="371"/>
      <c r="U1" s="371"/>
      <c r="V1" s="372"/>
      <c r="W1" s="54"/>
      <c r="X1" s="373" t="s">
        <v>1028</v>
      </c>
      <c r="Y1" s="358" t="s">
        <v>1029</v>
      </c>
      <c r="AB1" s="1" t="s">
        <v>1030</v>
      </c>
    </row>
    <row r="2" spans="1:28" s="1" customFormat="1" ht="13.5" customHeight="1" x14ac:dyDescent="0.15">
      <c r="A2" s="61"/>
      <c r="B2" s="64"/>
      <c r="C2" s="64"/>
      <c r="D2" s="64"/>
      <c r="E2" s="64"/>
      <c r="F2" s="67"/>
      <c r="G2" s="361" t="s">
        <v>1031</v>
      </c>
      <c r="H2" s="362"/>
      <c r="I2" s="362"/>
      <c r="J2" s="362"/>
      <c r="K2" s="361"/>
      <c r="L2" s="362"/>
      <c r="M2" s="362"/>
      <c r="N2" s="362"/>
      <c r="O2" s="369"/>
      <c r="P2" s="369"/>
      <c r="Q2" s="369"/>
      <c r="R2" s="369"/>
      <c r="S2" s="363" t="s">
        <v>1032</v>
      </c>
      <c r="T2" s="364"/>
      <c r="U2" s="364"/>
      <c r="V2" s="68"/>
      <c r="W2" s="69"/>
      <c r="X2" s="374"/>
      <c r="Y2" s="359"/>
      <c r="Z2" s="1" t="s">
        <v>1031</v>
      </c>
      <c r="AA2" s="1" t="s">
        <v>1033</v>
      </c>
      <c r="AB2" s="1" t="s">
        <v>1034</v>
      </c>
    </row>
    <row r="3" spans="1:28" s="1" customFormat="1" ht="15" customHeight="1" x14ac:dyDescent="0.15">
      <c r="A3" s="35"/>
      <c r="B3" s="84" t="s">
        <v>1035</v>
      </c>
      <c r="C3" s="59"/>
      <c r="D3" s="59"/>
      <c r="E3" s="59"/>
      <c r="F3" s="36"/>
      <c r="G3" s="365" t="s">
        <v>1033</v>
      </c>
      <c r="H3" s="365"/>
      <c r="I3" s="365"/>
      <c r="J3" s="365"/>
      <c r="K3" s="365" t="s">
        <v>1036</v>
      </c>
      <c r="L3" s="365"/>
      <c r="M3" s="365"/>
      <c r="N3" s="365"/>
      <c r="O3" s="369"/>
      <c r="P3" s="369"/>
      <c r="Q3" s="369"/>
      <c r="R3" s="369"/>
      <c r="S3" s="62"/>
      <c r="T3" s="63"/>
      <c r="U3" s="63"/>
      <c r="V3" s="37"/>
      <c r="W3" s="2"/>
      <c r="X3" s="374"/>
      <c r="Y3" s="359"/>
      <c r="Z3" s="1" t="s">
        <v>1037</v>
      </c>
      <c r="AA3" s="1" t="s">
        <v>1036</v>
      </c>
      <c r="AB3" s="1" t="s">
        <v>1038</v>
      </c>
    </row>
    <row r="4" spans="1:28" s="1" customFormat="1" ht="15" customHeight="1" x14ac:dyDescent="0.15">
      <c r="A4" s="45"/>
      <c r="B4" s="39"/>
      <c r="C4" s="56"/>
      <c r="D4" s="56"/>
      <c r="E4" s="89"/>
      <c r="F4" s="40"/>
      <c r="G4" s="365" t="s">
        <v>1030</v>
      </c>
      <c r="H4" s="365"/>
      <c r="I4" s="365"/>
      <c r="J4" s="365"/>
      <c r="K4" s="365"/>
      <c r="L4" s="365"/>
      <c r="M4" s="365"/>
      <c r="N4" s="365"/>
      <c r="O4" s="370"/>
      <c r="P4" s="370"/>
      <c r="Q4" s="370"/>
      <c r="R4" s="370"/>
      <c r="S4" s="65"/>
      <c r="T4" s="66"/>
      <c r="U4" s="66"/>
      <c r="V4" s="37"/>
      <c r="W4" s="2" t="s">
        <v>1039</v>
      </c>
      <c r="X4" s="374"/>
      <c r="Y4" s="359"/>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75"/>
      <c r="Y5" s="360"/>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2B4A9AC7-2674-4855-90E8-4777302937F3}"/>
</file>

<file path=customXml/itemProps3.xml><?xml version="1.0" encoding="utf-8"?>
<ds:datastoreItem xmlns:ds="http://schemas.openxmlformats.org/officeDocument/2006/customXml" ds:itemID="{C3B1A985-4E3A-417E-9A69-802E3198C712}">
  <ds:schemaRefs>
    <ds:schemaRef ds:uri="http://schemas.openxmlformats.org/package/2006/metadata/core-properties"/>
    <ds:schemaRef ds:uri="http://schemas.microsoft.com/office/2006/metadata/properties"/>
    <ds:schemaRef ds:uri="http://purl.org/dc/elements/1.1/"/>
    <ds:schemaRef ds:uri="http://www.w3.org/XML/1998/namespace"/>
    <ds:schemaRef ds:uri="http://schemas.microsoft.com/office/2006/documentManagement/types"/>
    <ds:schemaRef ds:uri="http://schemas.microsoft.com/office/infopath/2007/PartnerControls"/>
    <ds:schemaRef ds:uri="http://purl.org/dc/terms/"/>
    <ds:schemaRef ds:uri="cc94ae7b-2025-4ffb-bd04-1297cd213e7a"/>
    <ds:schemaRef ds:uri="925fb8bf-6124-4564-9086-bab0bf327637"/>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2025-01-31T01:34:48Z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