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743" documentId="8_{FFF5661D-D548-493C-B837-0D721489715B}" xr6:coauthVersionLast="47" xr6:coauthVersionMax="47" xr10:uidLastSave="{31369ED4-93F2-492F-9F6A-362C4DA636FA}"/>
  <bookViews>
    <workbookView xWindow="-108" yWindow="-108" windowWidth="23256" windowHeight="12720"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<sst xmlns="http://schemas.openxmlformats.org/spreadsheetml/2006/main" count="5673" uniqueCount="1156">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</sst>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1094</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387</v>
      </c>
      <c r="V404" s="354">
        <f>COUNTA(V3:V401)</f>
        <v>12</v>
      </c>
      <c r="W404" s="356">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3" activePane="bottomLeft" state="frozen"/>
      <selection activeCell="D6" sqref="D6"/>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1094</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233" t="s">
        <v>1153</v>
      </c>
      <c r="G302" s="227" t="s">
        <v>327</v>
      </c>
      <c r="H302" s="177"/>
      <c r="I302" s="178"/>
      <c r="J302" s="178"/>
      <c r="K302" s="179"/>
      <c r="L302" s="177"/>
      <c r="M302" s="178"/>
      <c r="N302" s="178"/>
      <c r="O302" s="180"/>
      <c r="P302" s="180"/>
      <c r="Q302" s="180"/>
      <c r="R302" s="180" t="s">
        <v>1068</v>
      </c>
      <c r="S302" s="180"/>
      <c r="T302" s="266">
        <v>45694</v>
      </c>
      <c r="U302" s="273">
        <v>45691</v>
      </c>
      <c r="V302" s="297"/>
      <c r="W302" s="272"/>
      <c r="X302" s="184" t="s">
        <v>1147</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1068</v>
      </c>
      <c r="P303" s="180"/>
      <c r="Q303" s="180"/>
      <c r="R303" s="180"/>
      <c r="S303" s="180"/>
      <c r="T303" s="266">
        <v>45694</v>
      </c>
      <c r="U303" s="273">
        <v>45691</v>
      </c>
      <c r="V303" s="297"/>
      <c r="W303" s="272"/>
      <c r="X303" s="184" t="s">
        <v>1147</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1146</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1146</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1146</v>
      </c>
      <c r="Y306" s="291" t="s">
        <v>562</v>
      </c>
      <c r="Z306" s="255" t="s">
        <v>1150</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51</v>
      </c>
      <c r="P362" s="193">
        <f t="shared" si="13"/>
        <v>69</v>
      </c>
      <c r="Q362" s="193">
        <f t="shared" si="13"/>
        <v>167</v>
      </c>
      <c r="R362" s="195">
        <f t="shared" si="13"/>
        <v>41</v>
      </c>
      <c r="S362" s="195">
        <f t="shared" si="13"/>
        <v>14</v>
      </c>
      <c r="T362" s="260"/>
      <c r="U362" s="348" t="s">
        <v>17</v>
      </c>
      <c r="V362" s="348"/>
      <c r="W362" s="349"/>
      <c r="X362" s="196" t="s">
        <v>411</v>
      </c>
      <c r="Y362" s="197">
        <f>SUM(H362:S362)</f>
        <v>354</v>
      </c>
      <c r="Z362" s="238"/>
    </row>
    <row r="363" spans="1:26" s="241" customFormat="1" ht="12" customHeight="1" x14ac:dyDescent="0.25">
      <c r="A363" s="198"/>
      <c r="B363" s="231" t="s">
        <v>412</v>
      </c>
      <c r="C363" s="200">
        <f>Y364</f>
        <v>354</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51</v>
      </c>
      <c r="P364" s="203">
        <f t="shared" si="17"/>
        <v>69</v>
      </c>
      <c r="Q364" s="203">
        <f t="shared" si="17"/>
        <v>167</v>
      </c>
      <c r="R364" s="205">
        <f t="shared" si="17"/>
        <v>41</v>
      </c>
      <c r="S364" s="205">
        <f t="shared" si="17"/>
        <v>14</v>
      </c>
      <c r="T364" s="262"/>
      <c r="U364" s="352">
        <f>COUNTA(U3:U361)</f>
        <v>330</v>
      </c>
      <c r="V364" s="354">
        <f>COUNTA(V3:V361)</f>
        <v>24</v>
      </c>
      <c r="W364" s="356">
        <f>COUNTA(W3:W361)</f>
        <v>24</v>
      </c>
      <c r="X364" s="212" t="s">
        <v>411</v>
      </c>
      <c r="Y364" s="207">
        <f t="shared" si="15"/>
        <v>354</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0" zoomScaleNormal="80" zoomScaleSheetLayoutView="85" workbookViewId="0">
      <pane ySplit="2" topLeftCell="A55" activePane="bottomLeft" state="frozen"/>
      <selection activeCell="E7" sqref="E7"/>
      <selection pane="bottomLeft" activeCell="N79" sqref="N7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1093</v>
      </c>
      <c r="H1" s="341" t="s">
        <v>30</v>
      </c>
      <c r="I1" s="340" t="s">
        <v>31</v>
      </c>
      <c r="J1" s="340"/>
      <c r="K1" s="340"/>
      <c r="L1" s="343"/>
      <c r="M1" s="344" t="s">
        <v>32</v>
      </c>
      <c r="N1" s="345"/>
      <c r="O1" s="345"/>
      <c r="P1" s="346"/>
      <c r="Q1" s="346"/>
      <c r="R1" s="346"/>
      <c r="S1" s="346"/>
      <c r="T1" s="346"/>
      <c r="U1" s="330" t="s">
        <v>1095</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21"/>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21"/>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v>45693</v>
      </c>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80" t="s">
        <v>1066</v>
      </c>
      <c r="K223" s="178"/>
      <c r="L223" s="179"/>
      <c r="M223" s="177"/>
      <c r="N223" s="178"/>
      <c r="O223" s="178"/>
      <c r="P223" s="180"/>
      <c r="Q223" s="180"/>
      <c r="R223" s="180"/>
      <c r="S223" s="180"/>
      <c r="T223" s="180"/>
      <c r="U223" s="266"/>
      <c r="V223" s="273">
        <v>45691</v>
      </c>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3">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80" t="s">
        <v>1066</v>
      </c>
      <c r="K225" s="178"/>
      <c r="L225" s="179"/>
      <c r="M225" s="177"/>
      <c r="N225" s="178"/>
      <c r="O225" s="178"/>
      <c r="P225" s="180"/>
      <c r="Q225" s="180"/>
      <c r="R225" s="180"/>
      <c r="S225" s="180"/>
      <c r="T225" s="180"/>
      <c r="U225" s="266"/>
      <c r="V225" s="273">
        <v>45691</v>
      </c>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1154</v>
      </c>
      <c r="I227" s="177"/>
      <c r="J227" s="178"/>
      <c r="K227" s="178"/>
      <c r="L227" s="179"/>
      <c r="M227" s="177"/>
      <c r="N227" s="178"/>
      <c r="O227" s="178"/>
      <c r="P227" s="180"/>
      <c r="Q227" s="180"/>
      <c r="R227" s="180"/>
      <c r="S227" s="180" t="s">
        <v>1066</v>
      </c>
      <c r="T227" s="180"/>
      <c r="U227" s="266"/>
      <c r="V227" s="273">
        <v>45691</v>
      </c>
      <c r="W227" s="271"/>
      <c r="X227" s="272"/>
      <c r="Y227" s="184" t="s">
        <v>1147</v>
      </c>
      <c r="Z227" s="229" t="s">
        <v>1151</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1066</v>
      </c>
      <c r="Q228" s="180"/>
      <c r="R228" s="180"/>
      <c r="S228" s="180"/>
      <c r="T228" s="180"/>
      <c r="U228" s="266"/>
      <c r="V228" s="273">
        <v>45691</v>
      </c>
      <c r="W228" s="271"/>
      <c r="X228" s="272"/>
      <c r="Y228" s="184" t="s">
        <v>1147</v>
      </c>
      <c r="Z228" s="229" t="s">
        <v>1152</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1066</v>
      </c>
      <c r="O229" s="178"/>
      <c r="P229" s="180"/>
      <c r="Q229" s="180"/>
      <c r="R229" s="180"/>
      <c r="S229" s="180"/>
      <c r="T229" s="180"/>
      <c r="U229" s="266"/>
      <c r="V229" s="273"/>
      <c r="W229" s="271">
        <v>45685</v>
      </c>
      <c r="X229" s="272">
        <v>45688</v>
      </c>
      <c r="Y229" s="184" t="s">
        <v>1146</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1068</v>
      </c>
      <c r="T230" s="285"/>
      <c r="U230" s="286"/>
      <c r="V230" s="287"/>
      <c r="W230" s="288">
        <v>45685</v>
      </c>
      <c r="X230" s="289">
        <v>45687</v>
      </c>
      <c r="Y230" s="290" t="s">
        <v>1146</v>
      </c>
      <c r="Z230" s="296" t="s">
        <v>1092</v>
      </c>
      <c r="AA230" s="255" t="s">
        <v>1155</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1068</v>
      </c>
      <c r="T231" s="285"/>
      <c r="U231" s="286"/>
      <c r="V231" s="287"/>
      <c r="W231" s="288">
        <v>45685</v>
      </c>
      <c r="X231" s="289">
        <v>45687</v>
      </c>
      <c r="Y231" s="290" t="s">
        <v>1146</v>
      </c>
      <c r="Z231" s="291" t="s">
        <v>562</v>
      </c>
      <c r="AA231" s="255" t="s">
        <v>1150</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1068</v>
      </c>
      <c r="O232" s="283"/>
      <c r="P232" s="285"/>
      <c r="Q232" s="285"/>
      <c r="R232" s="285"/>
      <c r="S232" s="285"/>
      <c r="T232" s="285"/>
      <c r="U232" s="286"/>
      <c r="V232" s="287">
        <v>45687</v>
      </c>
      <c r="W232" s="288"/>
      <c r="X232" s="289"/>
      <c r="Y232" s="290" t="s">
        <v>1146</v>
      </c>
      <c r="Z232" s="291" t="s">
        <v>334</v>
      </c>
      <c r="AA232" s="255" t="s">
        <v>1149</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1146</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1146</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1068</v>
      </c>
      <c r="U245" s="266"/>
      <c r="V245" s="273">
        <v>45692</v>
      </c>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18</v>
      </c>
      <c r="R254" s="193">
        <f t="shared" si="4"/>
        <v>128</v>
      </c>
      <c r="S254" s="195">
        <f t="shared" si="4"/>
        <v>22</v>
      </c>
      <c r="T254" s="195">
        <f t="shared" si="4"/>
        <v>51</v>
      </c>
      <c r="U254" s="260"/>
      <c r="V254" s="348" t="s">
        <v>17</v>
      </c>
      <c r="W254" s="348"/>
      <c r="X254" s="349"/>
      <c r="Y254" s="196" t="s">
        <v>411</v>
      </c>
      <c r="Z254" s="197">
        <f>SUM(I254:T254)</f>
        <v>240</v>
      </c>
    </row>
    <row r="255" spans="1:27" s="238" customFormat="1" ht="12" customHeight="1" x14ac:dyDescent="0.25">
      <c r="A255" s="198"/>
      <c r="B255" s="231" t="s">
        <v>412</v>
      </c>
      <c r="C255" s="200">
        <f>Z256</f>
        <v>242</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0</v>
      </c>
      <c r="T255" s="205">
        <f t="shared" si="5"/>
        <v>0</v>
      </c>
      <c r="U255" s="261"/>
      <c r="V255" s="350"/>
      <c r="W255" s="350"/>
      <c r="X255" s="351"/>
      <c r="Y255" s="206" t="s">
        <v>411</v>
      </c>
      <c r="Z255" s="207">
        <f t="shared" ref="Z255:Z257" si="6">SUM(I255:T255)</f>
        <v>2</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18</v>
      </c>
      <c r="R256" s="203">
        <f t="shared" ref="R256" si="8">R254+R255</f>
        <v>130</v>
      </c>
      <c r="S256" s="205">
        <f t="shared" ref="S256:T256" si="9">S254+S255</f>
        <v>22</v>
      </c>
      <c r="T256" s="205">
        <f t="shared" si="9"/>
        <v>51</v>
      </c>
      <c r="U256" s="262"/>
      <c r="V256" s="352">
        <f>COUNTA(V3:V253)</f>
        <v>218</v>
      </c>
      <c r="W256" s="354">
        <f>COUNTA(W3:W253)</f>
        <v>25</v>
      </c>
      <c r="X256" s="356">
        <f>COUNTA(X3:X253)</f>
        <v>23</v>
      </c>
      <c r="Y256" s="212" t="s">
        <v>411</v>
      </c>
      <c r="Z256" s="207">
        <f t="shared" si="6"/>
        <v>242</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1027</v>
      </c>
      <c r="P1" s="369"/>
      <c r="Q1" s="369"/>
      <c r="R1" s="369"/>
      <c r="S1" s="372" t="s">
        <v>33</v>
      </c>
      <c r="T1" s="372"/>
      <c r="U1" s="372"/>
      <c r="V1" s="373"/>
      <c r="W1" s="54"/>
      <c r="X1" s="374" t="s">
        <v>1028</v>
      </c>
      <c r="Y1" s="359" t="s">
        <v>1029</v>
      </c>
      <c r="AB1" s="1" t="s">
        <v>1030</v>
      </c>
    </row>
    <row r="2" spans="1:28" s="1" customFormat="1" ht="13.5" customHeight="1" x14ac:dyDescent="0.15">
      <c r="A2" s="61"/>
      <c r="B2" s="64"/>
      <c r="C2" s="64"/>
      <c r="D2" s="64"/>
      <c r="E2" s="64"/>
      <c r="F2" s="67"/>
      <c r="G2" s="362" t="s">
        <v>1031</v>
      </c>
      <c r="H2" s="363"/>
      <c r="I2" s="363"/>
      <c r="J2" s="363"/>
      <c r="K2" s="362"/>
      <c r="L2" s="363"/>
      <c r="M2" s="363"/>
      <c r="N2" s="363"/>
      <c r="O2" s="370"/>
      <c r="P2" s="370"/>
      <c r="Q2" s="370"/>
      <c r="R2" s="370"/>
      <c r="S2" s="364" t="s">
        <v>1032</v>
      </c>
      <c r="T2" s="365"/>
      <c r="U2" s="365"/>
      <c r="V2" s="68"/>
      <c r="W2" s="69"/>
      <c r="X2" s="375"/>
      <c r="Y2" s="360"/>
      <c r="Z2" s="1" t="s">
        <v>1031</v>
      </c>
      <c r="AA2" s="1" t="s">
        <v>1033</v>
      </c>
      <c r="AB2" s="1" t="s">
        <v>1034</v>
      </c>
    </row>
    <row r="3" spans="1:28" s="1" customFormat="1" ht="15" customHeight="1" x14ac:dyDescent="0.15">
      <c r="A3" s="35"/>
      <c r="B3" s="84" t="s">
        <v>1035</v>
      </c>
      <c r="C3" s="59"/>
      <c r="D3" s="59"/>
      <c r="E3" s="59"/>
      <c r="F3" s="36"/>
      <c r="G3" s="366" t="s">
        <v>1033</v>
      </c>
      <c r="H3" s="366"/>
      <c r="I3" s="366"/>
      <c r="J3" s="366"/>
      <c r="K3" s="366" t="s">
        <v>1036</v>
      </c>
      <c r="L3" s="366"/>
      <c r="M3" s="366"/>
      <c r="N3" s="366"/>
      <c r="O3" s="370"/>
      <c r="P3" s="370"/>
      <c r="Q3" s="370"/>
      <c r="R3" s="370"/>
      <c r="S3" s="62"/>
      <c r="T3" s="63"/>
      <c r="U3" s="63"/>
      <c r="V3" s="37"/>
      <c r="W3" s="2"/>
      <c r="X3" s="375"/>
      <c r="Y3" s="360"/>
      <c r="Z3" s="1" t="s">
        <v>1037</v>
      </c>
      <c r="AA3" s="1" t="s">
        <v>1036</v>
      </c>
      <c r="AB3" s="1" t="s">
        <v>1038</v>
      </c>
    </row>
    <row r="4" spans="1:28" s="1" customFormat="1" ht="15" customHeight="1" x14ac:dyDescent="0.15">
      <c r="A4" s="45"/>
      <c r="B4" s="39"/>
      <c r="C4" s="56"/>
      <c r="D4" s="56"/>
      <c r="E4" s="89"/>
      <c r="F4" s="40"/>
      <c r="G4" s="366" t="s">
        <v>1030</v>
      </c>
      <c r="H4" s="366"/>
      <c r="I4" s="366"/>
      <c r="J4" s="366"/>
      <c r="K4" s="366"/>
      <c r="L4" s="366"/>
      <c r="M4" s="366"/>
      <c r="N4" s="366"/>
      <c r="O4" s="371"/>
      <c r="P4" s="371"/>
      <c r="Q4" s="371"/>
      <c r="R4" s="371"/>
      <c r="S4" s="65"/>
      <c r="T4" s="66"/>
      <c r="U4" s="66"/>
      <c r="V4" s="37"/>
      <c r="W4" s="2" t="s">
        <v>1039</v>
      </c>
      <c r="X4" s="375"/>
      <c r="Y4" s="360"/>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6"/>
      <c r="Y5" s="361"/>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925fb8bf-6124-4564-9086-bab0bf32763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c94ae7b-2025-4ffb-bd04-1297cd213e7a"/>
    <ds:schemaRef ds:uri="http://www.w3.org/XML/1998/namespace"/>
    <ds:schemaRef ds:uri="http://purl.org/dc/dcmityp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8306154C-D61C-4B9A-ADF4-7583056297A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2025-02-05T01:33:41Z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