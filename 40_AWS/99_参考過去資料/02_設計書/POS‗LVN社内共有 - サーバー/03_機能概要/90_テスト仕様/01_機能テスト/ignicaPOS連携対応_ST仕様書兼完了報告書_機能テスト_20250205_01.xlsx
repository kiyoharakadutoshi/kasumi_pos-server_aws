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759" documentId="8_{FFF5661D-D548-493C-B837-0D721489715B}" xr6:coauthVersionLast="47" xr6:coauthVersionMax="47" xr10:uidLastSave="{3B77FAFB-DB94-4BB9-9A31-619461D7270B}"/>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<sst xmlns="http://schemas.openxmlformats.org/spreadsheetml/2006/main" count="5674" uniqueCount="1156">
  <si>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</si>
  <si>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</si>
  <si>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</si>
  <si>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</si>
  <si>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</si>
  <si>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</si>
  <si>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</si>
  <si>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</si>
  <si>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</si>
  <si>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</si>
  <si>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</si>
  <si>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</si>
  <si>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</si>
  <si>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</si>
  <si>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</si>
  <si>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</si>
  <si>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</si>
  <si>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</si>
  <si>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</si>
  <si>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</si>
  <si>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</si>
  <si>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</si>
  <si>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</si>
  <si>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</si>
  <si>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</si>
  <si>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</si>
  <si>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</si>
  <si>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</si>
  <si>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</si>
  <si>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</si>
  <si>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</si>
  <si>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</si>
  <si>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</si>
  <si>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</si>
  <si>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</si>
  <si>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</si>
  <si>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</si>
  <si>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</si>
  <si>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</si>
  <si>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</si>
  <si>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</si>
  <si>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</si>
  <si>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</si>
  <si>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</si>
  <si>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</si>
  <si>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</si>
  <si>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</si>
  <si>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</si>
  <si>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</si>
  <si>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</si>
  <si>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</si>
  <si>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</si>
  <si>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</si>
  <si>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</si>
  <si>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</si>
  <si>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</si>
  <si>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</si>
  <si>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</si>
  <si>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</si>
  <si>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</si>
  <si>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</si>
  <si>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</si>
  <si>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</si>
  <si>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</si>
  <si>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</si>
  <si>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</si>
  <si>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</si>
  <si>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</si>
  <si>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</si>
  <si>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</si>
  <si>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</si>
  <si>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</si>
  <si>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</si>
  <si>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</si>
  <si>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</si>
  <si>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</si>
  <si>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</si>
  <si>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</si>
  <si>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</si>
  <si>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</si>
  <si>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</si>
  <si>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</si>
  <si>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</si>
  <si>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</si>
  <si>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</si>
  <si>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</si>
  <si>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</si>
  <si>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</si>
  <si>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</si>
  <si>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</si>
  <si>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</si>
  <si>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</si>
  <si>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</si>
  <si>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</si>
  <si>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</si>
  <si>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</si>
  <si>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</si>
  <si>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</si>
  <si>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</si>
  <si>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</si>
  <si>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</si>
  <si>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</si>
  <si>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</si>
  <si>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</si>
  <si>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</si>
  <si>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</si>
  <si>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</si>
  <si>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</si>
  <si>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</si>
  <si>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</si>
  <si>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</si>
  <si>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</si>
  <si>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</si>
  <si>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</si>
  <si>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</si>
  <si>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</si>
  <si>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</si>
  <si>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</si>
  <si>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</si>
  <si>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</si>
  <si>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</si>
  <si>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</si>
  <si>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</si>
  <si>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</si>
  <si>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</si>
  <si>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</si>
  <si>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</si>
  <si>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</si>
  <si>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</si>
  <si>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</si>
  <si>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</si>
  <si>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</si>
  <si>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</si>
  <si>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</si>
  <si>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</si>
  <si>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</si>
  <si>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</si>
  <si>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</si>
  <si>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</si>
  <si>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</si>
  <si>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</si>
  <si>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</si>
  <si>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</si>
  <si>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</si>
  <si>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</si>
  <si>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</si>
  <si>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</si>
  <si>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</si>
  <si>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</si>
  <si>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</si>
  <si>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</si>
  <si>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</si>
  <si>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</si>
  <si>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</si>
  <si>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</si>
  <si>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</si>
  <si>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</si>
  <si>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</si>
  <si>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</si>
  <si>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</si>
  <si>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</si>
  <si>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</si>
  <si>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</si>
  <si>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</si>
  <si>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</si>
  <si>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</si>
  <si>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</si>
  <si>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</si>
  <si>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</si>
  <si>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</si>
  <si>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</si>
  <si>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</si>
  <si>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</si>
  <si>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</si>
  <si>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</si>
  <si>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</si>
  <si>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</si>
  <si>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</si>
  <si>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</si>
  <si>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</si>
  <si>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</si>
  <si>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</si>
  <si>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</si>
  <si>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</si>
  <si>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</si>
  <si>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</si>
  <si>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</si>
  <si>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</si>
  <si>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</si>
  <si>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</si>
  <si>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</si>
  <si>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</si>
  <si>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</si>
  <si>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</si>
  <si>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</si>
  <si>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</si>
  <si>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</si>
  <si>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</si>
  <si>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</si>
  <si>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</si>
  <si>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</si>
  <si>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</si>
  <si>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</si>
  <si>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</si>
  <si>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</si>
  <si>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</si>
  <si>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</si>
  <si>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</si>
  <si>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</si>
  <si>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</si>
  <si>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</si>
  <si>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</si>
  <si>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</si>
  <si>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</si>
  <si>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</si>
  <si>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</si>
  <si>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</si>
  <si>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</si>
  <si>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</si>
  <si>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</si>
  <si>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</si>
  <si>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</si>
  <si>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</si>
  <si>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</si>
  <si>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</si>
  <si>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</si>
  <si>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</si>
  <si>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</si>
  <si>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</si>
  <si>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</si>
  <si>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</si>
  <si>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</si>
  <si>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</si>
  <si>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</si>
  <si>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</si>
  <si>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</si>
  <si>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</si>
  <si>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</si>
  <si>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</si>
  <si>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</si>
  <si>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</si>
  <si>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</si>
  <si>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</si>
  <si>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</si>
  <si>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</si>
  <si>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</si>
  <si>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</si>
  <si>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</si>
  <si>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</si>
  <si>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</si>
  <si>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</si>
  <si>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</si>
  <si>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</si>
  <si>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</si>
  <si>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</si>
  <si>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</si>
  <si>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</si>
  <si>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</si>
  <si>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</si>
  <si>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</si>
  <si>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</si>
  <si>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</si>
  <si>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</si>
  <si>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</si>
  <si>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</si>
  <si>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</si>
  <si>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</si>
  <si>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</si>
  <si>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</si>
  <si>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</si>
  <si>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</si>
  <si>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</si>
  <si>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</si>
  <si>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</si>
  <si>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</si>
  <si>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</si>
  <si>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</si>
  <si>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</si>
  <si>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</si>
  <si>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</si>
  <si>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</si>
  <si>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</si>
  <si>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</si>
  <si>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</si>
  <si>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</si>
  <si>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</si>
  <si>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</si>
  <si>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</si>
  <si>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</si>
  <si>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</si>
  <si>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</si>
  <si>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</si>
  <si>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</si>
  <si>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</si>
  <si>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</si>
  <si>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</si>
  <si>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</si>
  <si>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</si>
  <si>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</si>
  <si>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</si>
  <si>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</si>
  <si>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</si>
  <si>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</si>
  <si>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</si>
  <si>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</si>
  <si>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</si>
  <si>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</si>
  <si>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</si>
  <si>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</si>
  <si>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</si>
  <si>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</si>
  <si>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</si>
  <si>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</si>
  <si>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</si>
  <si>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</si>
  <si>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</si>
  <si>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</si>
  <si>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</si>
  <si>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</si>
  <si>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</si>
  <si>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</si>
  <si>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</si>
  <si>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</si>
  <si>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</si>
  <si>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</si>
  <si>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</si>
  <si>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</si>
  <si>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</si>
  <si>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</si>
  <si>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</si>
  <si>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</si>
  <si>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</si>
  <si>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</si>
  <si>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</si>
  <si>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</si>
  <si>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</si>
  <si>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</si>
  <si>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</si>
  <si>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</si>
  <si>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</si>
  <si>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</si>
  <si>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</si>
  <si>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</si>
  <si>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</si>
  <si>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</si>
  <si>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</si>
  <si>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</si>
  <si>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</si>
  <si>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</si>
  <si>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</si>
  <si>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</si>
  <si>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</si>
  <si>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</si>
  <si>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</si>
  <si>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</si>
  <si>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</si>
  <si>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</si>
  <si>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</si>
  <si>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</si>
  <si>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</si>
  <si>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</si>
  <si>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</si>
  <si>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</si>
  <si>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</si>
  <si>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</si>
  <si>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</si>
  <si>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</si>
  <si>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</si>
  <si>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</si>
  <si>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</si>
  <si>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</si>
  <si>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</si>
  <si>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</si>
  <si>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</si>
  <si>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</si>
  <si>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</si>
  <si>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</si>
  <si>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</si>
  <si>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</si>
  <si>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</si>
  <si>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</si>
  <si>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</si>
  <si>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</si>
  <si>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</si>
  <si>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</si>
  <si>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</si>
  <si>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</si>
  <si>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</si>
  <si>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</si>
  <si>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</si>
  <si>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</si>
  <si>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</si>
  <si>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</si>
  <si>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</si>
  <si>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</si>
  <si>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</si>
  <si>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</si>
  <si>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</si>
  <si>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</si>
  <si>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</si>
  <si>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</si>
  <si>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</si>
  <si>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</si>
  <si>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</si>
  <si>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</si>
  <si>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</si>
  <si>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</si>
  <si>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</si>
  <si>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</si>
  <si>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</si>
  <si>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</si>
  <si>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</si>
  <si>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</si>
  <si>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</si>
  <si>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</si>
  <si>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</si>
  <si>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</si>
  <si>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</si>
  <si>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</si>
  <si>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</si>
  <si>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</si>
  <si>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</si>
  <si>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</si>
  <si>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</si>
  <si>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</si>
  <si>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</si>
  <si>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</si>
  <si>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</si>
  <si>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</si>
  <si>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</si>
  <si>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</si>
  <si>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</si>
  <si>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</si>
  <si>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</si>
  <si>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</si>
  <si>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</si>
  <si>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</si>
  <si>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</si>
  <si>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</si>
  <si>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</si>
  <si>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</si>
  <si>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</si>
  <si>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</si>
  <si>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</si>
  <si>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</si>
  <si>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</si>
  <si>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</si>
  <si>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</si>
  <si>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</si>
  <si>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</si>
  <si>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</si>
  <si>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</si>
  <si>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</si>
  <si>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</si>
  <si>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</si>
  <si>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</si>
  <si>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</si>
  <si>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</si>
  <si>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</si>
  <si>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</si>
  <si>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</si>
  <si>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</si>
  <si>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</si>
  <si>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</si>
  <si>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</si>
  <si>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</si>
  <si>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</si>
  <si>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</si>
  <si>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</si>
  <si>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</si>
  <si>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</si>
  <si>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</si>
  <si>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</si>
  <si>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</si>
  <si>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</si>
  <si>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</si>
  <si>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</si>
  <si>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</si>
  <si>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</si>
  <si>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</si>
  <si>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</si>
  <si>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</si>
  <si>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</si>
  <si>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</si>
  <si>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</si>
  <si>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</si>
  <si>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</si>
  <si>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</si>
  <si>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</si>
  <si>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</si>
  <si>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</si>
  <si>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</si>
  <si>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</si>
  <si>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</si>
  <si>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</si>
  <si>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</si>
  <si>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</si>
  <si>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</si>
  <si>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</si>
  <si>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</si>
  <si>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</si>
  <si>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</si>
  <si>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</si>
  <si>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</si>
  <si>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</si>
  <si>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</si>
  <si>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</si>
  <si>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</si>
  <si>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</si>
  <si>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</si>
  <si>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</si>
  <si>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</si>
  <si>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</si>
  <si>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</si>
  <si>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</si>
  <si>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</si>
  <si>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</si>
  <si>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</si>
  <si>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</si>
  <si>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</si>
  <si>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</si>
  <si>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</si>
  <si>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</si>
  <si>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</si>
  <si>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</si>
  <si>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</si>
  <si>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</si>
  <si>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</si>
  <si>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</si>
  <si>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</si>
  <si>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</si>
  <si>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</si>
  <si>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</si>
  <si>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</si>
  <si>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</si>
  <si>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</si>
  <si>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</si>
  <si>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</si>
  <si>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</si>
  <si>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</si>
  <si>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</si>
  <si>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</si>
  <si>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</si>
  <si>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</si>
  <si>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</si>
  <si>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</si>
  <si>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</si>
  <si>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</si>
  <si>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</si>
  <si>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</si>
  <si>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</si>
  <si>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</si>
  <si>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</si>
  <si>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</si>
  <si>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</si>
  <si>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</si>
  <si>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</si>
  <si>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</si>
  <si>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</si>
  <si>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</si>
  <si>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</si>
  <si>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</si>
  <si>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</si>
  <si>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</si>
  <si>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</si>
  <si>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</si>
  <si>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</si>
  <si>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</si>
  <si>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</si>
  <si>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</si>
  <si>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</si>
  <si>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</si>
  <si>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</si>
  <si>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</si>
  <si>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</si>
  <si>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</si>
  <si>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</si>
  <si>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</si>
  <si>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</si>
  <si>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</si>
  <si>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</si>
  <si>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</si>
  <si>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</si>
  <si>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</si>
  <si>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</si>
  <si>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</si>
  <si>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</si>
  <si>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</si>
  <si>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</si>
  <si>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</si>
  <si>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</si>
  <si>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</si>
  <si>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</si>
  <si>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</si>
  <si>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</si>
  <si>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</si>
  <si>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</si>
  <si>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</si>
  <si>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</si>
  <si>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</si>
  <si>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</si>
  <si>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</si>
  <si>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</si>
  <si>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</si>
  <si>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</si>
  <si>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</si>
  <si>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</si>
  <si>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</si>
  <si>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</si>
  <si>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</si>
  <si>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</si>
  <si>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</si>
  <si>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</si>
  <si>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</si>
  <si>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</si>
  <si>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</si>
  <si>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</si>
  <si>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</si>
  <si>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</si>
  <si>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</si>
  <si>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</si>
  <si>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</si>
  <si>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</si>
  <si>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</si>
  <si>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</si>
  <si>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</si>
  <si>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</si>
  <si>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</si>
  <si>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</si>
  <si>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</si>
  <si>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</si>
  <si>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</si>
  <si>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</si>
  <si>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</si>
  <si>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</si>
  <si>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</si>
  <si>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</si>
  <si>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</si>
  <si>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</si>
  <si>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</si>
  <si>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</si>
  <si>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</si>
  <si>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</si>
  <si>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</si>
  <si>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</si>
  <si>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</si>
  <si>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</si>
  <si>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</si>
  <si>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</si>
  <si>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</si>
  <si>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</si>
  <si>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</si>
  <si>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</si>
  <si>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</si>
  <si>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</si>
  <si>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</si>
  <si>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</si>
  <si>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</si>
  <si>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</si>
  <si>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</si>
  <si>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</si>
  <si>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</si>
  <si>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</si>
  <si>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</si>
  <si>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</si>
  <si>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</si>
  <si>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</si>
  <si>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</si>
  <si>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</si>
  <si>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</si>
  <si>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</si>
  <si>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</si>
  <si>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</si>
  <si>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</si>
  <si>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</si>
  <si>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</si>
  <si>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</si>
  <si>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</si>
  <si>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</si>
  <si>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</si>
  <si>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</si>
  <si>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</si>
  <si>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</si>
  <si>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</si>
  <si>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</si>
  <si>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</si>
  <si>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</si>
  <si>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</si>
  <si>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</si>
  <si>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</si>
  <si>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</si>
  <si>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</si>
  <si>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</si>
  <si>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</si>
  <si>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</si>
  <si>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</si>
  <si>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</si>
  <si>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</si>
  <si>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</si>
  <si>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</si>
  <si>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</si>
  <si>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</si>
  <si>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</si>
  <si>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</si>
  <si>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</si>
  <si>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</si>
  <si>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</si>
  <si>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</si>
  <si>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</si>
  <si>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</si>
  <si>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</si>
  <si>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</si>
  <si>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</si>
  <si>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</si>
  <si>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</si>
  <si>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</si>
  <si>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</si>
  <si>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</si>
  <si>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</si>
  <si>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</si>
  <si>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</si>
  <si>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</si>
  <si>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</si>
  <si>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</si>
  <si>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</si>
  <si>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</si>
  <si>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</si>
  <si>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</si>
  <si>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</si>
  <si>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</si>
  <si>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</si>
  <si>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</si>
  <si>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</si>
  <si>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</si>
  <si>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</si>
  <si>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</si>
  <si>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</si>
  <si>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</si>
  <si>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</si>
  <si>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</si>
  <si>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</si>
  <si>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</si>
  <si>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</si>
  <si>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</si>
  <si>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</si>
  <si>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</si>
  <si>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</si>
  <si>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</si>
  <si>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</si>
  <si>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</si>
  <si>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</si>
  <si>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</si>
  <si>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</si>
  <si>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</si>
  <si>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</si>
  <si>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</si>
  <si>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</si>
  <si>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</si>
  <si>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</si>
  <si>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</si>
  <si>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</si>
  <si>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</si>
  <si>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</si>
  <si>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</si>
  <si>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</si>
  <si>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</si>
  <si>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</si>
  <si>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</si>
  <si>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</si>
  <si>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</si>
  <si>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</si>
  <si>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</si>
  <si>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</si>
  <si>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</si>
  <si>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</si>
  <si>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</si>
  <si>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</si>
  <si>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</si>
  <si>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</si>
  <si>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</si>
  <si>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</si>
  <si>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</si>
  <si>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</si>
  <si>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</si>
  <si>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</si>
  <si>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</si>
  <si>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</si>
  <si>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</si>
  <si>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</si>
  <si>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</si>
  <si>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</si>
  <si>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</si>
  <si>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</si>
  <si>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</si>
  <si>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</si>
  <si>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</si>
  <si>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</si>
  <si>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</si>
  <si>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</si>
  <si>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</si>
  <si>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</si>
  <si>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</si>
  <si>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</si>
  <si>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</si>
  <si>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</si>
  <si>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</si>
  <si>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</si>
  <si>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</si>
  <si>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</si>
  <si>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</si>
  <si>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</si>
  <si>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</si>
  <si>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</si>
  <si>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</si>
  <si>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</si>
  <si>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</si>
  <si>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</si>
  <si>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</si>
  <si>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</si>
  <si>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</si>
  <si>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</si>
  <si>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</si>
  <si>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</si>
  <si>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</si>
  <si>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</si>
  <si>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</si>
  <si>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</si>
  <si>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</si>
  <si>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</si>
  <si>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</si>
  <si>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</si>
  <si>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</si>
  <si>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</si>
  <si>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</si>
  <si>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</si>
  <si>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</si>
  <si>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</si>
  <si>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</si>
  <si>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</si>
  <si>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</si>
  <si>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</si>
  <si>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</si>
  <si>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</si>
  <si>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</si>
  <si>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</si>
  <si>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</si>
  <si>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</si>
  <si>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</si>
  <si>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</si>
  <si>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</si>
  <si>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</si>
  <si>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</si>
  <si>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</si>
  <si>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</si>
  <si>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</si>
  <si>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</si>
  <si>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</si>
  <si>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</si>
  <si>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</si>
  <si>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</si>
  <si>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</si>
  <si>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</si>
  <si>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</si>
  <si>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</si>
  <si>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</si>
  <si>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</si>
  <si>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</si>
  <si>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</si>
  <si>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</si>
  <si>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</si>
  <si>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</si>
  <si>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</si>
  <si>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</si>
  <si>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</si>
  <si>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</si>
  <si>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</si>
  <si>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</si>
  <si>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</si>
  <si>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</si>
  <si>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</si>
  <si>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</si>
  <si>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</si>
  <si>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</si>
  <si>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</si>
  <si>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</si>
  <si>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</si>
  <si>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</si>
  <si>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</si>
  <si>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</si>
  <si>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</si>
  <si>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</si>
  <si>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</si>
  <si>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</si>
  <si>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</si>
  <si>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</si>
  <si>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</si>
  <si>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</si>
  <si>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</si>
  <si>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</si>
  <si>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</si>
  <si>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</si>
  <si>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</si>
  <si>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</si>
  <si>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</si>
  <si>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</si>
  <si>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</si>
  <si>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</si>
  <si>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</si>
  <si>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</si>
  <si>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</si>
  <si>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</si>
  <si>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</si>
  <si>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</si>
  <si>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</si>
  <si>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</si>
  <si>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</si>
  <si>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</si>
  <si>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</si>
  <si>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</si>
  <si>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</si>
  <si>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</si>
  <si>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</si>
  <si>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</si>
  <si>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</si>
  <si>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</si>
  <si>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</si>
  <si>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</si>
  <si>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</si>
  <si>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</si>
  <si>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</si>
  <si>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</si>
  <si>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</si>
  <si>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</si>
  <si>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</si>
  <si>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</si>
  <si>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</si>
  <si>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</si>
  <si>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</si>
  <si>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</si>
  <si>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</si>
  <si>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</si>
  <si>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</si>
  <si>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</si>
  <si>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</si>
  <si>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</si>
  <si>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</si>
  <si>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</si>
  <si>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</si>
  <si>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</si>
  <si>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</si>
  <si>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</si>
  <si>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</si>
  <si>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</si>
  <si>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</si>
  <si>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</si>
  <si>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</si>
  <si>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</si>
  <si>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</si>
  <si>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</si>
  <si>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</si>
  <si>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</si>
  <si>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</si>
  <si>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</si>
  <si>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</si>
  <si>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</si>
  <si>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</si>
  <si>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</si>
  <si>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</si>
  <si>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</si>
  <si>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</si>
  <si>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</si>
  <si>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</si>
  <si>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</si>
  <si>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</si>
  <si>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</si>
  <si>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</si>
  <si>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</si>
  <si>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</si>
  <si>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</si>
  <si>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</si>
  <si>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</si>
  <si>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</si>
  <si>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</si>
  <si>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</si>
  <si>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</si>
  <si>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</si>
  <si>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</si>
  <si>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</si>
  <si>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</si>
  <si>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</si>
  <si>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</si>
  <si>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</si>
  <si>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</si>
  <si>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</si>
  <si>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</si>
  <si>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</si>
  <si>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</si>
  <si>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</si>
  <si>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</si>
  <si>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</si>
  <si>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</si>
  <si>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</si>
  <si>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</si>
  <si>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</si>
  <si>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</si>
  <si>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</si>
  <si>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</si>
  <si>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</si>
  <si>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</si>
  <si>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</si>
  <si>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</si>
  <si>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</si>
  <si>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</si>
  <si>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</si>
  <si>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</si>
  <si>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</si>
  <si>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</si>
  <si>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</si>
  <si>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</si>
  <si>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</si>
  <si>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</si>
  <si>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</si>
  <si>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</si>
  <si>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</si>
  <si>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</si>
  <si>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</si>
  <si>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</si>
  <si>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</si>
  <si>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</si>
  <si>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</si>
  <si>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</si>
  <si>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</si>
  <si>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</si>
  <si>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</si>
  <si>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</si>
  <si>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</si>
  <si>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</si>
  <si>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</si>
  <si>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</si>
  <si>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</si>
  <si>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</si>
  <si>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</si>
  <si>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</si>
  <si>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</si>
  <si>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</si>
  <si>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</si>
  <si>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</si>
  <si>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</si>
  <si>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</si>
  <si>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</si>
  <si>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</si>
  <si>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</si>
  <si>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</si>
  <si>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</si>
  <si>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</si>
  <si>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</si>
  <si>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</si>
  <si>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</si>
  <si>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</si>
  <si>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</si>
  <si>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</si>
  <si>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</si>
  <si>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</si>
  <si>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</si>
  <si>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</si>
  <si>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</si>
  <si>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</si>
  <si>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</si>
  <si>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</si>
  <si>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</si>
  <si>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</si>
  <si>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</si>
  <si>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</si>
  <si>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</si>
  <si>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</si>
  <si>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</si>
  <si>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</si>
  <si>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</si>
  <si>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</si>
  <si>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</si>
  <si>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</si>
  <si>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</si>
  <si>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</si>
  <si>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</si>
  <si>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</si>
  <si>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</si>
  <si>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</si>
  <si>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</si>
  <si>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</si>
  <si>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</si>
  <si>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</si>
  <si>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</si>
  <si>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</si>
  <si>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</si>
  <si>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</si>
  <si>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</si>
  <si>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</si>
  <si>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</si>
  <si>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</si>
  <si>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</si>
  <si>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</si>
  <si>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</si>
  <si>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</si>
  <si>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</si>
  <si>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</si>
  <si>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</si>
  <si>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</si>
  <si>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</si>
  <si>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</si>
  <si>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</si>
  <si>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</si>
  <si>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</si>
  <si>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</si>
  <si>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</si>
  <si>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</si>
  <si>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</si>
  <si>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</si>
  <si>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</si>
  <si>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</si>
  <si>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</si>
  <si>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</si>
  <si>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</si>
  <si>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</si>
  <si>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</si>
  <si>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</si>
  <si>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</si>
  <si>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</si>
  <si>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</si>
  <si>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</si>
  <si>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</si>
  <si>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</si>
  <si>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</si>
  <si>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</si>
  <si>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</si>
  <si>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</si>
  <si>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</si>
  <si>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</si>
  <si>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</si>
  <si>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</si>
  <si>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</si>
  <si>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</si>
  <si>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</si>
  <si>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</si>
  <si>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</si>
  <si>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</si>
  <si>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</si>
  <si>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</si>
  <si>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</si>
  <si>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</si>
  <si>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</si>
  <si>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</si>
  <si>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</si>
  <si>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</si>
  <si>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</si>
  <si>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</si>
  <si>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トラン出てない</t>
    <rPh sb="3" eb="4">
      <t>デ</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</si>
</sst>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5" t="s">
        <v>19</v>
      </c>
      <c r="D7" s="326"/>
      <c r="E7" s="326"/>
      <c r="F7" s="326"/>
      <c r="G7" s="326"/>
      <c r="H7" s="326"/>
      <c r="I7" s="326"/>
      <c r="J7" s="326"/>
      <c r="K7" s="327"/>
    </row>
    <row r="8" spans="3:11" ht="15" customHeight="1" x14ac:dyDescent="0.3">
      <c r="C8" s="172"/>
      <c r="D8" s="173"/>
      <c r="E8" s="173"/>
      <c r="F8" s="173"/>
      <c r="G8" s="173"/>
      <c r="H8" s="173"/>
      <c r="I8" s="173"/>
      <c r="J8" s="173"/>
      <c r="K8" s="174"/>
    </row>
    <row r="9" spans="3:11" ht="35.4" x14ac:dyDescent="0.65">
      <c r="C9" s="322" t="s">
        <v>20</v>
      </c>
      <c r="D9" s="323"/>
      <c r="E9" s="323"/>
      <c r="F9" s="323"/>
      <c r="G9" s="323"/>
      <c r="H9" s="323"/>
      <c r="I9" s="323"/>
      <c r="J9" s="323"/>
      <c r="K9" s="324"/>
    </row>
    <row r="10" spans="3:11" ht="35.4" x14ac:dyDescent="0.65">
      <c r="C10" s="322" t="s">
        <v>21</v>
      </c>
      <c r="D10" s="323"/>
      <c r="E10" s="323"/>
      <c r="F10" s="323"/>
      <c r="G10" s="323"/>
      <c r="H10" s="323"/>
      <c r="I10" s="323"/>
      <c r="J10" s="323"/>
      <c r="K10" s="324"/>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8" t="s">
        <v>22</v>
      </c>
      <c r="F18" s="328"/>
      <c r="G18" s="328"/>
      <c r="H18" s="328"/>
      <c r="I18" s="328"/>
    </row>
    <row r="19" spans="3:9" ht="15" customHeight="1" x14ac:dyDescent="0.3"/>
    <row r="20" spans="3:9" ht="15" customHeight="1" x14ac:dyDescent="0.3"/>
    <row r="21" spans="3:9" ht="18.600000000000001" x14ac:dyDescent="0.35">
      <c r="C21" s="166"/>
      <c r="F21" s="329" t="s">
        <v>23</v>
      </c>
      <c r="G21" s="329"/>
      <c r="H21" s="329"/>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1094</v>
      </c>
      <c r="U1" s="340" t="s">
        <v>33</v>
      </c>
      <c r="V1" s="340"/>
      <c r="W1" s="340"/>
      <c r="X1" s="330" t="s">
        <v>34</v>
      </c>
      <c r="Y1" s="330" t="s">
        <v>35</v>
      </c>
    </row>
    <row r="2" spans="1:26" s="237"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387</v>
      </c>
      <c r="V404" s="354">
        <f>COUNTA(V3:V401)</f>
        <v>12</v>
      </c>
      <c r="W404" s="356">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opLeftCell="F1" zoomScale="85" zoomScaleNormal="85" zoomScaleSheetLayoutView="100" workbookViewId="0">
      <pane ySplit="2" topLeftCell="A329" activePane="bottomLeft" state="frozen"/>
      <selection activeCell="D6" sqref="D6"/>
      <selection pane="bottomLeft" activeCell="U328" sqref="U328"/>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1094</v>
      </c>
      <c r="U1" s="340" t="s">
        <v>33</v>
      </c>
      <c r="V1" s="340"/>
      <c r="W1" s="340"/>
      <c r="X1" s="330" t="s">
        <v>34</v>
      </c>
      <c r="Y1" s="330" t="s">
        <v>35</v>
      </c>
      <c r="Z1" s="237"/>
    </row>
    <row r="2" spans="1:26" s="239" customFormat="1" ht="22.8" x14ac:dyDescent="0.15">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1145</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1145</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1145</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1145</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1145</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1145</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1145</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1145</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1145</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1145</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1145</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1145</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1145</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1145</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1145</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1145</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1145</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1145</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1145</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1145</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1145</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1145</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1145</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1145</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1145</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1145</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1145</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1145</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1145</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1145</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1145</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1145</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1145</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1145</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1145</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1145</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1145</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1145</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1146</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1146</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1146</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1146</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1145</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1146</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1145</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1145</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1145</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1145</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1145</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1145</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1145</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1145</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1145</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1145</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1145</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1145</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1145</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1145</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1145</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1145</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1145</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1145</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1145</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1145</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1145</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1145</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1145</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1145</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1145</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1145</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1145</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1145</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1145</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1145</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1145</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1145</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1145</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1145</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1145</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1146</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1145</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1146</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1145</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1145</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1145</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1145</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1145</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1145</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1145</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1145</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1145</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1145</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1145</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1145</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1145</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1145</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1145</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1145</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1145</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1145</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1145</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1145</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1145</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1145</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1145</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1145</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1145</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1145</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1145</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1145</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1145</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1145</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1145</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1145</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1145</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1145</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1145</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1145</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1145</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1145</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1145</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1145</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1145</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1145</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1145</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1145</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1145</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1145</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1145</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1145</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1145</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1145</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1145</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1145</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1145</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1145</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1145</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1145</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1145</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1145</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1145</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1145</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1145</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1145</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1145</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1145</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1145</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1145</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1145</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1145</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1145</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1145</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1145</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1145</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1145</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1145</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1145</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1145</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1145</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1145</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1145</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1145</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1145</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1145</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1145</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1145</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1145</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1145</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1145</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1145</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1145</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1145</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1145</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1145</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1145</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1145</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1145</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1145</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1145</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1145</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1145</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1145</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1145</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1145</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1145</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1145</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1145</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1145</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1145</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1145</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1145</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1145</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1145</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1145</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1145</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1145</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1145</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1145</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1145</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1145</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1145</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1145</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1145</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1145</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1145</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1145</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1145</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1145</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1145</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1145</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1145</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1145</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1145</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1145</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1145</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1145</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1145</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1145</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1145</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1145</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1145</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1145</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1145</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1145</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1145</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1145</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1145</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1145</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1145</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1145</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1145</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1145</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1145</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1145</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1145</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1145</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1145</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1145</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1145</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1145</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1145</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1145</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1145</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1145</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1145</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1145</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1145</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1145</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1145</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1145</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1145</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1145</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1145</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1145</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1145</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1145</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1145</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1145</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1145</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1145</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1145</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1145</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1145</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1145</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1145</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1145</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1145</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1145</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1145</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1145</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1145</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1145</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1145</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1145</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1145</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1145</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1145</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1145</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1145</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1145</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1145</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1145</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1145</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1145</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1145</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1145</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1145</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1145</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1145</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1145</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1145</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1145</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1145</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1145</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1145</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1145</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1145</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1145</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1145</v>
      </c>
      <c r="Y301" s="230"/>
    </row>
    <row r="302" spans="1:26" ht="11.4" x14ac:dyDescent="0.15">
      <c r="A302" s="175">
        <f>ROW()-2</f>
        <v>300</v>
      </c>
      <c r="B302" s="176" t="s">
        <v>50</v>
      </c>
      <c r="C302" s="176" t="s">
        <v>325</v>
      </c>
      <c r="D302" s="176" t="s">
        <v>325</v>
      </c>
      <c r="E302" s="176" t="s">
        <v>326</v>
      </c>
      <c r="F302" s="233" t="s">
        <v>1152</v>
      </c>
      <c r="G302" s="227" t="s">
        <v>327</v>
      </c>
      <c r="H302" s="177"/>
      <c r="I302" s="178"/>
      <c r="J302" s="178"/>
      <c r="K302" s="179"/>
      <c r="L302" s="177"/>
      <c r="M302" s="178"/>
      <c r="N302" s="178"/>
      <c r="O302" s="180"/>
      <c r="P302" s="180"/>
      <c r="Q302" s="180"/>
      <c r="R302" s="180" t="s">
        <v>1068</v>
      </c>
      <c r="S302" s="180"/>
      <c r="T302" s="266">
        <v>45694</v>
      </c>
      <c r="U302" s="273">
        <v>45691</v>
      </c>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1068</v>
      </c>
      <c r="P303" s="180"/>
      <c r="Q303" s="180"/>
      <c r="R303" s="180"/>
      <c r="S303" s="180"/>
      <c r="T303" s="266">
        <v>45694</v>
      </c>
      <c r="U303" s="273">
        <v>45691</v>
      </c>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1145</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1145</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1145</v>
      </c>
      <c r="Y306" s="291" t="s">
        <v>562</v>
      </c>
      <c r="Z306" s="255" t="s">
        <v>1149</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1145</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1145</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1145</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1145</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1145</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1145</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1145</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1145</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1145</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1145</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1145</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1145</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1145</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1145</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1145</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1145</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1145</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1145</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1145</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1145</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1145</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1145</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1145</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1145</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1145</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1145</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1145</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1068</v>
      </c>
      <c r="P334" s="180"/>
      <c r="Q334" s="180"/>
      <c r="R334" s="180"/>
      <c r="S334" s="180"/>
      <c r="T334" s="266">
        <v>45672</v>
      </c>
      <c r="U334" s="273">
        <v>45693</v>
      </c>
      <c r="V334" s="271"/>
      <c r="W334" s="272"/>
      <c r="X334" s="184" t="s">
        <v>1145</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1145</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1145</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1145</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1145</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1145</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1145</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1145</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1145</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1145</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1145</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1145</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1145</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1145</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1145</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1145</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1145</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1145</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1145</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1145</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1145</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1145</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1145</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1145</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1145</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1145</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1145</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1145</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48" t="s">
        <v>17</v>
      </c>
      <c r="V362" s="348"/>
      <c r="W362" s="349"/>
      <c r="X362" s="196" t="s">
        <v>411</v>
      </c>
      <c r="Y362" s="197">
        <f>SUM(H362:S362)</f>
        <v>355</v>
      </c>
      <c r="Z362" s="238"/>
    </row>
    <row r="363" spans="1:26" s="241" customFormat="1" ht="12" customHeight="1" x14ac:dyDescent="0.25">
      <c r="A363" s="198"/>
      <c r="B363" s="231" t="s">
        <v>412</v>
      </c>
      <c r="C363" s="200">
        <f>Y364</f>
        <v>355</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52</v>
      </c>
      <c r="P364" s="203">
        <f t="shared" si="17"/>
        <v>69</v>
      </c>
      <c r="Q364" s="203">
        <f t="shared" si="17"/>
        <v>167</v>
      </c>
      <c r="R364" s="205">
        <f t="shared" si="17"/>
        <v>41</v>
      </c>
      <c r="S364" s="205">
        <f t="shared" si="17"/>
        <v>14</v>
      </c>
      <c r="T364" s="262"/>
      <c r="U364" s="352">
        <f>COUNTA(U3:U361)</f>
        <v>331</v>
      </c>
      <c r="V364" s="354">
        <f>COUNTA(V3:V361)</f>
        <v>24</v>
      </c>
      <c r="W364" s="356">
        <f>COUNTA(W3:W361)</f>
        <v>24</v>
      </c>
      <c r="X364" s="212" t="s">
        <v>411</v>
      </c>
      <c r="Y364" s="207">
        <f t="shared" si="15"/>
        <v>355</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D1" zoomScale="80" zoomScaleNormal="80" zoomScaleSheetLayoutView="85" workbookViewId="0">
      <pane ySplit="2" topLeftCell="A12" activePane="bottomLeft" state="frozen"/>
      <selection activeCell="E7" sqref="E7"/>
      <selection pane="bottomLeft" activeCell="X37" sqref="X37"/>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2" t="s">
        <v>24</v>
      </c>
      <c r="B1" s="334" t="s">
        <v>25</v>
      </c>
      <c r="C1" s="336" t="s">
        <v>26</v>
      </c>
      <c r="D1" s="336" t="s">
        <v>27</v>
      </c>
      <c r="E1" s="336" t="s">
        <v>28</v>
      </c>
      <c r="F1" s="338" t="s">
        <v>29</v>
      </c>
      <c r="G1" s="358" t="s">
        <v>1093</v>
      </c>
      <c r="H1" s="341" t="s">
        <v>30</v>
      </c>
      <c r="I1" s="340" t="s">
        <v>31</v>
      </c>
      <c r="J1" s="340"/>
      <c r="K1" s="340"/>
      <c r="L1" s="343"/>
      <c r="M1" s="344" t="s">
        <v>32</v>
      </c>
      <c r="N1" s="345"/>
      <c r="O1" s="345"/>
      <c r="P1" s="346"/>
      <c r="Q1" s="346"/>
      <c r="R1" s="346"/>
      <c r="S1" s="346"/>
      <c r="T1" s="346"/>
      <c r="U1" s="330" t="s">
        <v>1095</v>
      </c>
      <c r="V1" s="340" t="s">
        <v>33</v>
      </c>
      <c r="W1" s="340"/>
      <c r="X1" s="340"/>
      <c r="Y1" s="330" t="s">
        <v>34</v>
      </c>
      <c r="Z1" s="330" t="s">
        <v>35</v>
      </c>
    </row>
    <row r="2" spans="1:28" s="237" customFormat="1" ht="22.8" x14ac:dyDescent="0.15">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1145</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1145</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1145</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1145</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1145</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1145</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1145</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1146</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1146</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1145</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1146</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1145</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1145</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1145</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1145</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1145</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1145</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1146</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1145</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1145</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1145</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1145</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1145</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1145</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1145</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1145</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1145</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1145</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1145</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1145</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1066</v>
      </c>
      <c r="R33" s="180"/>
      <c r="S33" s="180"/>
      <c r="T33" s="180"/>
      <c r="U33" s="266">
        <v>45671</v>
      </c>
      <c r="V33" s="304">
        <v>45693</v>
      </c>
      <c r="W33" s="271"/>
      <c r="X33" s="272"/>
      <c r="Y33" s="184" t="s">
        <v>1145</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1145</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1145</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1145</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273"/>
      <c r="W37" s="297">
        <v>45693</v>
      </c>
      <c r="X37" s="321"/>
      <c r="Y37" s="306" t="s">
        <v>1145</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1145</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273"/>
      <c r="W39" s="297">
        <v>45681</v>
      </c>
      <c r="X39" s="321"/>
      <c r="Y39" s="306" t="s">
        <v>1145</v>
      </c>
      <c r="Z39" s="185" t="s">
        <v>677</v>
      </c>
      <c r="AA39" s="255" t="s">
        <v>1155</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1145</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273"/>
      <c r="W41" s="297">
        <v>45681</v>
      </c>
      <c r="X41" s="321"/>
      <c r="Y41" s="306" t="s">
        <v>1145</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1145</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1145</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1145</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1145</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1145</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1145</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1145</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1145</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1145</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1145</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1145</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1145</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1145</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1145</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1145</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1145</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1145</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1145</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1145</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1145</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1145</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1145</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1145</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1145</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1145</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1145</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1145</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1145</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1145</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1145</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1145</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1145</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1145</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1145</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1145</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1145</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1145</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1145</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1145</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1145</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1145</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1145</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1066</v>
      </c>
      <c r="S84" s="180"/>
      <c r="T84" s="180"/>
      <c r="U84" s="305"/>
      <c r="V84" s="273">
        <v>45693</v>
      </c>
      <c r="W84" s="297"/>
      <c r="X84" s="300"/>
      <c r="Y84" s="306" t="s">
        <v>1145</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1145</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1145</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1145</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1145</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1145</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1145</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1145</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1145</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1145</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1145</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1145</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1145</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1145</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1145</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1145</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1145</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1145</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1145</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1145</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1145</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1145</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1145</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1145</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1145</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1145</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1145</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1145</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1145</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1145</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1145</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1145</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1145</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1145</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1145</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1145</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1145</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1145</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1145</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1145</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1145</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1145</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1145</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1145</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1145</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1145</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1145</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1145</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1145</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1145</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1145</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1145</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1145</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1145</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1145</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1145</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1145</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1145</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1145</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1145</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1145</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1145</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1145</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1145</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1145</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1145</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1145</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1145</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1145</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1145</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1145</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1145</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1145</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1145</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1145</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1145</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1145</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1145</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1145</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1145</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1145</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1145</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1145</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1145</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1145</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1145</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1145</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1145</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1145</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1145</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1145</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1145</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1145</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1145</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1145</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1145</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1145</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1145</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1145</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1145</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1145</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1145</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1145</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1145</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1145</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1145</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1145</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1145</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1145</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1145</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1145</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1145</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1145</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1145</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1145</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1145</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1145</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1145</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1145</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1145</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1145</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1145</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1145</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1145</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1145</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1145</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1145</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1145</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1145</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1145</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1145</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1145</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1145</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1145</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1145</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1145</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1145</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1145</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1145</v>
      </c>
      <c r="Z222" s="230" t="s">
        <v>854</v>
      </c>
    </row>
    <row r="223" spans="1:27" ht="11.4" x14ac:dyDescent="0.15">
      <c r="A223" s="175">
        <f t="shared" si="2"/>
        <v>221</v>
      </c>
      <c r="B223" s="176"/>
      <c r="C223" s="176"/>
      <c r="D223" s="176"/>
      <c r="E223" s="176" t="s">
        <v>855</v>
      </c>
      <c r="F223" s="186" t="s">
        <v>856</v>
      </c>
      <c r="G223" s="257"/>
      <c r="H223" s="227" t="s">
        <v>853</v>
      </c>
      <c r="I223" s="177"/>
      <c r="J223" s="180" t="s">
        <v>1066</v>
      </c>
      <c r="K223" s="178"/>
      <c r="L223" s="179"/>
      <c r="M223" s="177"/>
      <c r="N223" s="178"/>
      <c r="O223" s="178"/>
      <c r="P223" s="180"/>
      <c r="Q223" s="180"/>
      <c r="R223" s="180"/>
      <c r="S223" s="180"/>
      <c r="T223" s="180"/>
      <c r="U223" s="266"/>
      <c r="V223" s="273">
        <v>45691</v>
      </c>
      <c r="W223" s="271"/>
      <c r="X223" s="272"/>
      <c r="Y223" s="184" t="s">
        <v>1145</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3">
        <v>45681</v>
      </c>
      <c r="W224" s="271"/>
      <c r="X224" s="272"/>
      <c r="Y224" s="184" t="s">
        <v>1145</v>
      </c>
      <c r="Z224" s="230" t="s">
        <v>854</v>
      </c>
    </row>
    <row r="225" spans="1:27" ht="11.4" x14ac:dyDescent="0.15">
      <c r="A225" s="175">
        <f t="shared" si="2"/>
        <v>223</v>
      </c>
      <c r="B225" s="176"/>
      <c r="C225" s="176"/>
      <c r="D225" s="176"/>
      <c r="E225" s="176" t="s">
        <v>859</v>
      </c>
      <c r="F225" s="186" t="s">
        <v>860</v>
      </c>
      <c r="G225" s="257"/>
      <c r="H225" s="227" t="s">
        <v>853</v>
      </c>
      <c r="I225" s="177"/>
      <c r="J225" s="180" t="s">
        <v>1066</v>
      </c>
      <c r="K225" s="178"/>
      <c r="L225" s="179"/>
      <c r="M225" s="177"/>
      <c r="N225" s="178"/>
      <c r="O225" s="178"/>
      <c r="P225" s="180"/>
      <c r="Q225" s="180"/>
      <c r="R225" s="180"/>
      <c r="S225" s="180"/>
      <c r="T225" s="180"/>
      <c r="U225" s="266"/>
      <c r="V225" s="273">
        <v>45691</v>
      </c>
      <c r="W225" s="271"/>
      <c r="X225" s="272"/>
      <c r="Y225" s="184" t="s">
        <v>1145</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1145</v>
      </c>
      <c r="Z226" s="230" t="s">
        <v>592</v>
      </c>
    </row>
    <row r="227" spans="1:27" ht="11.4" x14ac:dyDescent="0.15">
      <c r="A227" s="175">
        <f t="shared" ref="A227:A253" si="3">ROW()-2</f>
        <v>225</v>
      </c>
      <c r="B227" s="176" t="s">
        <v>50</v>
      </c>
      <c r="C227" s="176" t="s">
        <v>325</v>
      </c>
      <c r="D227" s="176" t="s">
        <v>325</v>
      </c>
      <c r="E227" s="176" t="s">
        <v>326</v>
      </c>
      <c r="F227" s="186" t="s">
        <v>54</v>
      </c>
      <c r="G227" s="257"/>
      <c r="H227" s="227" t="s">
        <v>1153</v>
      </c>
      <c r="I227" s="177"/>
      <c r="J227" s="178"/>
      <c r="K227" s="178"/>
      <c r="L227" s="179"/>
      <c r="M227" s="177"/>
      <c r="N227" s="178"/>
      <c r="O227" s="178"/>
      <c r="P227" s="180"/>
      <c r="Q227" s="180"/>
      <c r="R227" s="180"/>
      <c r="S227" s="180" t="s">
        <v>1066</v>
      </c>
      <c r="T227" s="180"/>
      <c r="U227" s="266"/>
      <c r="V227" s="273">
        <v>45691</v>
      </c>
      <c r="W227" s="271"/>
      <c r="X227" s="272"/>
      <c r="Y227" s="184" t="s">
        <v>1146</v>
      </c>
      <c r="Z227" s="229" t="s">
        <v>1150</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1066</v>
      </c>
      <c r="Q228" s="180"/>
      <c r="R228" s="180"/>
      <c r="S228" s="180"/>
      <c r="T228" s="180"/>
      <c r="U228" s="266"/>
      <c r="V228" s="273">
        <v>45691</v>
      </c>
      <c r="W228" s="271"/>
      <c r="X228" s="272"/>
      <c r="Y228" s="184" t="s">
        <v>1146</v>
      </c>
      <c r="Z228" s="229" t="s">
        <v>1151</v>
      </c>
    </row>
    <row r="229" spans="1:27" ht="11.4" x14ac:dyDescent="0.15">
      <c r="A229" s="175">
        <f t="shared" si="3"/>
        <v>227</v>
      </c>
      <c r="B229" s="176" t="s">
        <v>330</v>
      </c>
      <c r="C229" s="176" t="s">
        <v>331</v>
      </c>
      <c r="D229" s="176" t="s">
        <v>557</v>
      </c>
      <c r="E229" s="186" t="s">
        <v>332</v>
      </c>
      <c r="F229" s="233" t="s">
        <v>1088</v>
      </c>
      <c r="G229" s="258"/>
      <c r="H229" s="228" t="s">
        <v>1144</v>
      </c>
      <c r="I229" s="177"/>
      <c r="J229" s="178"/>
      <c r="K229" s="178"/>
      <c r="L229" s="179"/>
      <c r="M229" s="177"/>
      <c r="N229" s="180" t="s">
        <v>1066</v>
      </c>
      <c r="O229" s="178"/>
      <c r="P229" s="180"/>
      <c r="Q229" s="180"/>
      <c r="R229" s="180"/>
      <c r="S229" s="180"/>
      <c r="T229" s="180"/>
      <c r="U229" s="266"/>
      <c r="V229" s="273"/>
      <c r="W229" s="271">
        <v>45685</v>
      </c>
      <c r="X229" s="272">
        <v>45688</v>
      </c>
      <c r="Y229" s="184" t="s">
        <v>1145</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1068</v>
      </c>
      <c r="T230" s="285"/>
      <c r="U230" s="286"/>
      <c r="V230" s="287"/>
      <c r="W230" s="288">
        <v>45685</v>
      </c>
      <c r="X230" s="289">
        <v>45687</v>
      </c>
      <c r="Y230" s="290" t="s">
        <v>1145</v>
      </c>
      <c r="Z230" s="296" t="s">
        <v>1092</v>
      </c>
      <c r="AA230" s="255" t="s">
        <v>1154</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1068</v>
      </c>
      <c r="T231" s="285"/>
      <c r="U231" s="286"/>
      <c r="V231" s="287"/>
      <c r="W231" s="288">
        <v>45685</v>
      </c>
      <c r="X231" s="289">
        <v>45687</v>
      </c>
      <c r="Y231" s="290" t="s">
        <v>1145</v>
      </c>
      <c r="Z231" s="291" t="s">
        <v>562</v>
      </c>
      <c r="AA231" s="255" t="s">
        <v>1149</v>
      </c>
    </row>
    <row r="232" spans="1:27" ht="11.4" x14ac:dyDescent="0.15">
      <c r="A232" s="278">
        <f t="shared" si="3"/>
        <v>230</v>
      </c>
      <c r="B232" s="279"/>
      <c r="C232" s="279" t="s">
        <v>563</v>
      </c>
      <c r="D232" s="279" t="s">
        <v>564</v>
      </c>
      <c r="E232" s="280" t="s">
        <v>332</v>
      </c>
      <c r="F232" s="295" t="s">
        <v>1088</v>
      </c>
      <c r="G232" s="310"/>
      <c r="H232" s="294" t="s">
        <v>1144</v>
      </c>
      <c r="I232" s="282"/>
      <c r="J232" s="283"/>
      <c r="K232" s="283"/>
      <c r="L232" s="284"/>
      <c r="M232" s="282"/>
      <c r="N232" s="285" t="s">
        <v>1068</v>
      </c>
      <c r="O232" s="283"/>
      <c r="P232" s="285"/>
      <c r="Q232" s="285"/>
      <c r="R232" s="285"/>
      <c r="S232" s="285"/>
      <c r="T232" s="285"/>
      <c r="U232" s="286"/>
      <c r="V232" s="287">
        <v>45687</v>
      </c>
      <c r="W232" s="288"/>
      <c r="X232" s="289"/>
      <c r="Y232" s="290" t="s">
        <v>1145</v>
      </c>
      <c r="Z232" s="291" t="s">
        <v>334</v>
      </c>
      <c r="AA232" s="255" t="s">
        <v>1148</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1145</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1145</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1145</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1145</v>
      </c>
      <c r="Z236" s="296" t="s">
        <v>1092</v>
      </c>
      <c r="AA236" s="255" t="s">
        <v>1147</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1145</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1145</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1145</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1145</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1145</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1145</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1145</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1145</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1068</v>
      </c>
      <c r="U245" s="266"/>
      <c r="V245" s="273">
        <v>45692</v>
      </c>
      <c r="W245" s="271"/>
      <c r="X245" s="272"/>
      <c r="Y245" s="184" t="s">
        <v>1145</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1145</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1145</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1145</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1145</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1145</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1145</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1145</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1145</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129</v>
      </c>
      <c r="S254" s="195">
        <f t="shared" si="4"/>
        <v>22</v>
      </c>
      <c r="T254" s="195">
        <f t="shared" si="4"/>
        <v>51</v>
      </c>
      <c r="U254" s="260"/>
      <c r="V254" s="348" t="s">
        <v>17</v>
      </c>
      <c r="W254" s="348"/>
      <c r="X254" s="349"/>
      <c r="Y254" s="196" t="s">
        <v>411</v>
      </c>
      <c r="Z254" s="197">
        <f>SUM(I254:T254)</f>
        <v>242</v>
      </c>
    </row>
    <row r="255" spans="1:27" s="238" customFormat="1" ht="12" customHeight="1" x14ac:dyDescent="0.25">
      <c r="A255" s="198"/>
      <c r="B255" s="231" t="s">
        <v>412</v>
      </c>
      <c r="C255" s="200">
        <f>Z256</f>
        <v>244</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0</v>
      </c>
      <c r="T255" s="205">
        <f t="shared" si="5"/>
        <v>0</v>
      </c>
      <c r="U255" s="261"/>
      <c r="V255" s="350"/>
      <c r="W255" s="350"/>
      <c r="X255" s="351"/>
      <c r="Y255" s="206" t="s">
        <v>411</v>
      </c>
      <c r="Z255" s="207">
        <f t="shared" ref="Z255:Z257" si="6">SUM(I255:T255)</f>
        <v>2</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131</v>
      </c>
      <c r="S256" s="205">
        <f t="shared" ref="S256:T256" si="9">S254+S255</f>
        <v>22</v>
      </c>
      <c r="T256" s="205">
        <f t="shared" si="9"/>
        <v>51</v>
      </c>
      <c r="U256" s="262"/>
      <c r="V256" s="352">
        <f>COUNTA(V3:V253)</f>
        <v>219</v>
      </c>
      <c r="W256" s="354">
        <f>COUNTA(W3:W253)</f>
        <v>26</v>
      </c>
      <c r="X256" s="356">
        <f>COUNTA(X3:X253)</f>
        <v>23</v>
      </c>
      <c r="Y256" s="212" t="s">
        <v>411</v>
      </c>
      <c r="Z256" s="207">
        <f t="shared" si="6"/>
        <v>244</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7" t="s">
        <v>31</v>
      </c>
      <c r="H1" s="368"/>
      <c r="I1" s="368"/>
      <c r="J1" s="368"/>
      <c r="K1" s="368"/>
      <c r="L1" s="368"/>
      <c r="M1" s="368"/>
      <c r="N1" s="368"/>
      <c r="O1" s="369" t="s">
        <v>1027</v>
      </c>
      <c r="P1" s="369"/>
      <c r="Q1" s="369"/>
      <c r="R1" s="369"/>
      <c r="S1" s="372" t="s">
        <v>33</v>
      </c>
      <c r="T1" s="372"/>
      <c r="U1" s="372"/>
      <c r="V1" s="373"/>
      <c r="W1" s="54"/>
      <c r="X1" s="374" t="s">
        <v>1028</v>
      </c>
      <c r="Y1" s="359" t="s">
        <v>1029</v>
      </c>
      <c r="AB1" s="1" t="s">
        <v>1030</v>
      </c>
    </row>
    <row r="2" spans="1:28" s="1" customFormat="1" ht="13.5" customHeight="1" x14ac:dyDescent="0.15">
      <c r="A2" s="61"/>
      <c r="B2" s="64"/>
      <c r="C2" s="64"/>
      <c r="D2" s="64"/>
      <c r="E2" s="64"/>
      <c r="F2" s="67"/>
      <c r="G2" s="362" t="s">
        <v>1031</v>
      </c>
      <c r="H2" s="363"/>
      <c r="I2" s="363"/>
      <c r="J2" s="363"/>
      <c r="K2" s="362"/>
      <c r="L2" s="363"/>
      <c r="M2" s="363"/>
      <c r="N2" s="363"/>
      <c r="O2" s="370"/>
      <c r="P2" s="370"/>
      <c r="Q2" s="370"/>
      <c r="R2" s="370"/>
      <c r="S2" s="364" t="s">
        <v>1032</v>
      </c>
      <c r="T2" s="365"/>
      <c r="U2" s="365"/>
      <c r="V2" s="68"/>
      <c r="W2" s="69"/>
      <c r="X2" s="375"/>
      <c r="Y2" s="360"/>
      <c r="Z2" s="1" t="s">
        <v>1031</v>
      </c>
      <c r="AA2" s="1" t="s">
        <v>1033</v>
      </c>
      <c r="AB2" s="1" t="s">
        <v>1034</v>
      </c>
    </row>
    <row r="3" spans="1:28" s="1" customFormat="1" ht="15" customHeight="1" x14ac:dyDescent="0.15">
      <c r="A3" s="35"/>
      <c r="B3" s="84" t="s">
        <v>1035</v>
      </c>
      <c r="C3" s="59"/>
      <c r="D3" s="59"/>
      <c r="E3" s="59"/>
      <c r="F3" s="36"/>
      <c r="G3" s="366" t="s">
        <v>1033</v>
      </c>
      <c r="H3" s="366"/>
      <c r="I3" s="366"/>
      <c r="J3" s="366"/>
      <c r="K3" s="366" t="s">
        <v>1036</v>
      </c>
      <c r="L3" s="366"/>
      <c r="M3" s="366"/>
      <c r="N3" s="366"/>
      <c r="O3" s="370"/>
      <c r="P3" s="370"/>
      <c r="Q3" s="370"/>
      <c r="R3" s="370"/>
      <c r="S3" s="62"/>
      <c r="T3" s="63"/>
      <c r="U3" s="63"/>
      <c r="V3" s="37"/>
      <c r="W3" s="2"/>
      <c r="X3" s="375"/>
      <c r="Y3" s="360"/>
      <c r="Z3" s="1" t="s">
        <v>1037</v>
      </c>
      <c r="AA3" s="1" t="s">
        <v>1036</v>
      </c>
      <c r="AB3" s="1" t="s">
        <v>1038</v>
      </c>
    </row>
    <row r="4" spans="1:28" s="1" customFormat="1" ht="15" customHeight="1" x14ac:dyDescent="0.15">
      <c r="A4" s="45"/>
      <c r="B4" s="39"/>
      <c r="C4" s="56"/>
      <c r="D4" s="56"/>
      <c r="E4" s="89"/>
      <c r="F4" s="40"/>
      <c r="G4" s="366" t="s">
        <v>1030</v>
      </c>
      <c r="H4" s="366"/>
      <c r="I4" s="366"/>
      <c r="J4" s="366"/>
      <c r="K4" s="366"/>
      <c r="L4" s="366"/>
      <c r="M4" s="366"/>
      <c r="N4" s="366"/>
      <c r="O4" s="371"/>
      <c r="P4" s="371"/>
      <c r="Q4" s="371"/>
      <c r="R4" s="371"/>
      <c r="S4" s="65"/>
      <c r="T4" s="66"/>
      <c r="U4" s="66"/>
      <c r="V4" s="37"/>
      <c r="W4" s="2" t="s">
        <v>1039</v>
      </c>
      <c r="X4" s="375"/>
      <c r="Y4" s="360"/>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6"/>
      <c r="Y5" s="361"/>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microsoft.com/office/infopath/2007/PartnerControls"/>
    <ds:schemaRef ds:uri="http://www.w3.org/XML/1998/namespace"/>
    <ds:schemaRef ds:uri="http://purl.org/dc/terms/"/>
    <ds:schemaRef ds:uri="http://schemas.microsoft.com/office/2006/documentManagement/types"/>
    <ds:schemaRef ds:uri="http://purl.org/dc/elements/1.1/"/>
    <ds:schemaRef ds:uri="http://schemas.microsoft.com/office/2006/metadata/properties"/>
    <ds:schemaRef ds:uri="http://purl.org/dc/dcmitype/"/>
    <ds:schemaRef ds:uri="http://schemas.openxmlformats.org/package/2006/metadata/core-properties"/>
    <ds:schemaRef ds:uri="cc94ae7b-2025-4ffb-bd04-1297cd213e7a"/>
    <ds:schemaRef ds:uri="925fb8bf-6124-4564-9086-bab0bf327637"/>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E6D59C7D-1E10-4EAF-9812-43A8310BBF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2025-02-06T00:31:07Z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