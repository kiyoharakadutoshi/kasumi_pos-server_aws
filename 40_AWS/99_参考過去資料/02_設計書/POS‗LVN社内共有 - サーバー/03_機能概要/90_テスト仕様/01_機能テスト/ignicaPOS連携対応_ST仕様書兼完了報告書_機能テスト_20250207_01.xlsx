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24" documentId="8_{FFF5661D-D548-493C-B837-0D721489715B}" xr6:coauthVersionLast="47" xr6:coauthVersionMax="47" xr10:uidLastSave="{85FE7E1F-BF7B-4E12-B463-ABD9C664FC9A}"/>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<sst xmlns="http://schemas.openxmlformats.org/spreadsheetml/2006/main" count="5675" uniqueCount="1158">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</sst>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商品階層自動値引障害有</a:t>
          </a: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3" t="s">
        <v>0</v>
      </c>
    </row>
    <row r="4" spans="2:5">
      <c r="B4" s="253" t="s">
        <v>1</v>
      </c>
    </row>
    <row r="5" spans="2:5">
      <c r="B5" s="252" t="s">
        <v>2</v>
      </c>
      <c r="C5" s="253" t="s">
        <v>3</v>
      </c>
    </row>
    <row r="6" spans="2:5">
      <c r="B6" s="252" t="s">
        <v>4</v>
      </c>
      <c r="C6" s="252" t="s">
        <v>2</v>
      </c>
      <c r="D6" s="253" t="s">
        <v>5</v>
      </c>
    </row>
    <row r="7" spans="2:5">
      <c r="B7" s="252" t="s">
        <v>4</v>
      </c>
      <c r="C7" s="252" t="s">
        <v>4</v>
      </c>
      <c r="D7" s="252" t="s">
        <v>2</v>
      </c>
      <c r="E7" s="253" t="s">
        <v>6</v>
      </c>
    </row>
    <row r="8" spans="2:5">
      <c r="B8" s="252" t="s">
        <v>4</v>
      </c>
      <c r="C8" s="252" t="s">
        <v>4</v>
      </c>
      <c r="D8" s="252" t="s">
        <v>2</v>
      </c>
      <c r="E8" s="253" t="s">
        <v>7</v>
      </c>
    </row>
    <row r="9" spans="2:5">
      <c r="B9" s="252" t="s">
        <v>4</v>
      </c>
      <c r="C9" s="252" t="s">
        <v>2</v>
      </c>
      <c r="D9" s="253" t="s">
        <v>8</v>
      </c>
    </row>
    <row r="10" spans="2:5">
      <c r="B10" s="252" t="s">
        <v>4</v>
      </c>
      <c r="C10" s="252" t="s">
        <v>2</v>
      </c>
      <c r="D10" s="253" t="s">
        <v>9</v>
      </c>
    </row>
    <row r="11" spans="2:5">
      <c r="B11" s="252" t="s">
        <v>4</v>
      </c>
      <c r="C11" s="252" t="s">
        <v>2</v>
      </c>
      <c r="D11" s="253" t="s">
        <v>10</v>
      </c>
    </row>
    <row r="12" spans="2:5">
      <c r="B12" s="252" t="s">
        <v>4</v>
      </c>
      <c r="C12" s="252"/>
      <c r="D12" s="253"/>
    </row>
    <row r="13" spans="2:5">
      <c r="B13" s="252" t="s">
        <v>2</v>
      </c>
      <c r="C13" s="253" t="s">
        <v>11</v>
      </c>
    </row>
    <row r="14" spans="2:5">
      <c r="B14" s="252" t="s">
        <v>4</v>
      </c>
      <c r="C14" s="252" t="s">
        <v>2</v>
      </c>
      <c r="D14" s="253" t="s">
        <v>5</v>
      </c>
    </row>
    <row r="15" spans="2:5">
      <c r="B15" s="252" t="s">
        <v>4</v>
      </c>
      <c r="C15" s="252" t="s">
        <v>4</v>
      </c>
      <c r="D15" s="252" t="s">
        <v>2</v>
      </c>
      <c r="E15" s="253" t="s">
        <v>6</v>
      </c>
    </row>
    <row r="16" spans="2:5">
      <c r="B16" s="252" t="s">
        <v>4</v>
      </c>
      <c r="C16" s="252" t="s">
        <v>4</v>
      </c>
      <c r="D16" s="252" t="s">
        <v>2</v>
      </c>
      <c r="E16" s="253" t="s">
        <v>7</v>
      </c>
    </row>
    <row r="17" spans="2:5">
      <c r="B17" s="252" t="s">
        <v>4</v>
      </c>
      <c r="C17" s="252" t="s">
        <v>2</v>
      </c>
      <c r="D17" s="253" t="s">
        <v>8</v>
      </c>
    </row>
    <row r="18" spans="2:5">
      <c r="B18" s="252" t="s">
        <v>4</v>
      </c>
      <c r="C18" s="252" t="s">
        <v>2</v>
      </c>
      <c r="D18" s="253" t="s">
        <v>9</v>
      </c>
    </row>
    <row r="19" spans="2:5">
      <c r="B19" s="252" t="s">
        <v>4</v>
      </c>
      <c r="C19" s="252" t="s">
        <v>2</v>
      </c>
      <c r="D19" s="253" t="s">
        <v>10</v>
      </c>
    </row>
    <row r="20" spans="2:5">
      <c r="B20" s="252" t="s">
        <v>4</v>
      </c>
      <c r="C20" s="252"/>
      <c r="D20" s="253"/>
    </row>
    <row r="21" spans="2:5">
      <c r="B21" s="252" t="s">
        <v>2</v>
      </c>
      <c r="C21" s="253" t="s">
        <v>12</v>
      </c>
    </row>
    <row r="22" spans="2:5">
      <c r="C22" s="252" t="s">
        <v>2</v>
      </c>
      <c r="D22" s="253" t="s">
        <v>5</v>
      </c>
    </row>
    <row r="23" spans="2:5">
      <c r="B23" s="252"/>
      <c r="C23" s="252" t="s">
        <v>4</v>
      </c>
      <c r="D23" s="252" t="s">
        <v>2</v>
      </c>
      <c r="E23" s="253" t="s">
        <v>6</v>
      </c>
    </row>
    <row r="24" spans="2:5">
      <c r="B24" s="252"/>
      <c r="C24" s="252" t="s">
        <v>4</v>
      </c>
      <c r="D24" s="252" t="s">
        <v>2</v>
      </c>
      <c r="E24" s="253" t="s">
        <v>7</v>
      </c>
    </row>
    <row r="25" spans="2:5">
      <c r="C25" s="252" t="s">
        <v>2</v>
      </c>
      <c r="D25" s="253" t="s">
        <v>8</v>
      </c>
    </row>
    <row r="26" spans="2:5">
      <c r="C26" s="252" t="s">
        <v>2</v>
      </c>
      <c r="D26" s="253" t="s">
        <v>9</v>
      </c>
    </row>
    <row r="27" spans="2:5">
      <c r="C27" s="252" t="s">
        <v>2</v>
      </c>
      <c r="D27" s="253" t="s">
        <v>10</v>
      </c>
    </row>
    <row r="29" spans="2:5">
      <c r="B29" s="253" t="s">
        <v>13</v>
      </c>
    </row>
    <row r="31" spans="2:5">
      <c r="B31" s="253" t="s">
        <v>14</v>
      </c>
      <c r="E31" s="235">
        <f>全件マスタ連携!$C$405</f>
        <v>399</v>
      </c>
    </row>
    <row r="32" spans="2:5">
      <c r="B32" s="253" t="s">
        <v>15</v>
      </c>
      <c r="E32" s="235">
        <f>差分マスタ連携!$C$365</f>
        <v>359</v>
      </c>
    </row>
    <row r="33" spans="2:5">
      <c r="B33" s="253" t="s">
        <v>16</v>
      </c>
      <c r="E33" s="235">
        <f>トラン実績連携!$C$257</f>
        <v>251</v>
      </c>
    </row>
    <row r="34" spans="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325" t="s">
        <v>19</v>
      </c>
      <c r="D7" s="326"/>
      <c r="E7" s="326"/>
      <c r="F7" s="326"/>
      <c r="G7" s="326"/>
      <c r="H7" s="326"/>
      <c r="I7" s="326"/>
      <c r="J7" s="326"/>
      <c r="K7" s="327"/>
    </row>
    <row r="8" spans="3:11" ht="15" customHeight="1">
      <c r="C8" s="172"/>
      <c r="D8" s="173"/>
      <c r="E8" s="173"/>
      <c r="F8" s="173"/>
      <c r="G8" s="173"/>
      <c r="H8" s="173"/>
      <c r="I8" s="173"/>
      <c r="J8" s="173"/>
      <c r="K8" s="174"/>
    </row>
    <row r="9" spans="3:11" ht="35.4">
      <c r="C9" s="322" t="s">
        <v>20</v>
      </c>
      <c r="D9" s="323"/>
      <c r="E9" s="323"/>
      <c r="F9" s="323"/>
      <c r="G9" s="323"/>
      <c r="H9" s="323"/>
      <c r="I9" s="323"/>
      <c r="J9" s="323"/>
      <c r="K9" s="324"/>
    </row>
    <row r="10" spans="3:11" ht="35.4">
      <c r="C10" s="322" t="s">
        <v>21</v>
      </c>
      <c r="D10" s="323"/>
      <c r="E10" s="323"/>
      <c r="F10" s="323"/>
      <c r="G10" s="323"/>
      <c r="H10" s="323"/>
      <c r="I10" s="323"/>
      <c r="J10" s="323"/>
      <c r="K10" s="324"/>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28" t="s">
        <v>22</v>
      </c>
      <c r="F18" s="328"/>
      <c r="G18" s="328"/>
      <c r="H18" s="328"/>
      <c r="I18" s="328"/>
    </row>
    <row r="19" spans="3:9" ht="15" customHeight="1"/>
    <row r="20" spans="3:9" ht="15" customHeight="1"/>
    <row r="21" spans="3:9" ht="18.600000000000001">
      <c r="C21" s="166"/>
      <c r="F21" s="329" t="s">
        <v>23</v>
      </c>
      <c r="G21" s="329"/>
      <c r="H21" s="329"/>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57" t="s">
        <v>1093</v>
      </c>
      <c r="U1" s="350" t="s">
        <v>33</v>
      </c>
      <c r="V1" s="350"/>
      <c r="W1" s="350"/>
      <c r="X1" s="334" t="s">
        <v>34</v>
      </c>
      <c r="Y1" s="334" t="s">
        <v>35</v>
      </c>
    </row>
    <row r="2" spans="1:26" s="237" customFormat="1" ht="22.8">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0" t="s">
        <v>17</v>
      </c>
      <c r="V402" s="330"/>
      <c r="W402" s="331"/>
      <c r="X402" s="196" t="s">
        <v>411</v>
      </c>
      <c r="Y402" s="197">
        <f>SUM(H402:S402)</f>
        <v>0</v>
      </c>
    </row>
    <row r="403" spans="1:25" s="238" customFormat="1" ht="12" customHeight="1">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2"/>
      <c r="V403" s="332"/>
      <c r="W403" s="333"/>
      <c r="X403" s="206" t="s">
        <v>411</v>
      </c>
      <c r="Y403" s="207">
        <f t="shared" ref="Y403:Y405" si="27">SUM(H403:S403)</f>
        <v>0</v>
      </c>
    </row>
    <row r="404" spans="1:25" s="238" customFormat="1" ht="12" customHeight="1">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6">
        <f>COUNTA(U3:U401)</f>
        <v>388</v>
      </c>
      <c r="V404" s="338">
        <f>COUNTA(V3:V401)</f>
        <v>11</v>
      </c>
      <c r="W404" s="340">
        <f>COUNTA(W3:W401)</f>
        <v>11</v>
      </c>
      <c r="X404" s="212" t="s">
        <v>411</v>
      </c>
      <c r="Y404" s="207">
        <f t="shared" si="27"/>
        <v>0</v>
      </c>
    </row>
    <row r="405" spans="1:25" s="238" customFormat="1" ht="12" customHeight="1">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7"/>
      <c r="V405" s="339"/>
      <c r="W405" s="341"/>
      <c r="X405" s="221" t="s">
        <v>411</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12" activePane="bottomLeft" state="frozen"/>
      <selection activeCell="D6" sqref="D6"/>
      <selection pane="bottomLeft" activeCell="Y340" sqref="Y340"/>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34" t="s">
        <v>1093</v>
      </c>
      <c r="U1" s="350" t="s">
        <v>33</v>
      </c>
      <c r="V1" s="350"/>
      <c r="W1" s="350"/>
      <c r="X1" s="334" t="s">
        <v>34</v>
      </c>
      <c r="Y1" s="334" t="s">
        <v>35</v>
      </c>
      <c r="Z1" s="237"/>
    </row>
    <row r="2" spans="1:26" s="239" customFormat="1" ht="22.8">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c r="Z2" s="237"/>
    </row>
    <row r="3" spans="1:26" ht="11.4">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1143</v>
      </c>
      <c r="Y336" s="185" t="s">
        <v>1155</v>
      </c>
    </row>
    <row r="337" spans="1:26" ht="11.4">
      <c r="A337" s="175">
        <f t="shared" si="11"/>
        <v>335</v>
      </c>
      <c r="B337" s="176"/>
      <c r="C337" s="176"/>
      <c r="D337" s="176"/>
      <c r="E337" s="176" t="s">
        <v>563</v>
      </c>
      <c r="F337" s="186" t="s">
        <v>584</v>
      </c>
      <c r="G337" s="228" t="s">
        <v>583</v>
      </c>
      <c r="H337" s="177"/>
      <c r="I337" s="178"/>
      <c r="J337" s="178"/>
      <c r="K337" s="179"/>
      <c r="L337" s="177"/>
      <c r="M337" s="178"/>
      <c r="N337" s="178"/>
      <c r="O337" s="180" t="s">
        <v>56</v>
      </c>
      <c r="P337" s="180"/>
      <c r="Q337" s="180"/>
      <c r="R337" s="180"/>
      <c r="S337" s="180"/>
      <c r="T337" s="305"/>
      <c r="U337" s="304"/>
      <c r="V337" s="271"/>
      <c r="W337" s="272"/>
      <c r="X337" s="184" t="s">
        <v>1143</v>
      </c>
      <c r="Y337" s="185" t="s">
        <v>1156</v>
      </c>
    </row>
    <row r="338" spans="1:26" s="236" customFormat="1" ht="11.4">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30" t="s">
        <v>17</v>
      </c>
      <c r="V362" s="330"/>
      <c r="W362" s="331"/>
      <c r="X362" s="196" t="s">
        <v>411</v>
      </c>
      <c r="Y362" s="197">
        <f>SUM(H362:S362)</f>
        <v>355</v>
      </c>
      <c r="Z362" s="238"/>
    </row>
    <row r="363" spans="1:26" s="241" customFormat="1" ht="12" customHeight="1">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2"/>
      <c r="V363" s="332"/>
      <c r="W363" s="333"/>
      <c r="X363" s="206" t="s">
        <v>411</v>
      </c>
      <c r="Y363" s="207">
        <f t="shared" ref="Y363:Y365" si="15">SUM(H363:S363)</f>
        <v>0</v>
      </c>
      <c r="Z363" s="238"/>
    </row>
    <row r="364" spans="1:26" s="241" customFormat="1" ht="12" customHeight="1">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36">
        <f>COUNTA(U3:U361)</f>
        <v>331</v>
      </c>
      <c r="V364" s="338">
        <f>COUNTA(V3:V361)</f>
        <v>24</v>
      </c>
      <c r="W364" s="340">
        <f>COUNTA(W3:W361)</f>
        <v>24</v>
      </c>
      <c r="X364" s="212" t="s">
        <v>411</v>
      </c>
      <c r="Y364" s="207">
        <f t="shared" si="15"/>
        <v>355</v>
      </c>
      <c r="Z364" s="238"/>
    </row>
    <row r="365" spans="1:26" s="241" customFormat="1" ht="12" customHeight="1">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7"/>
      <c r="V365" s="339"/>
      <c r="W365" s="341"/>
      <c r="X365" s="221" t="s">
        <v>411</v>
      </c>
      <c r="Y365" s="222">
        <f t="shared" si="15"/>
        <v>359</v>
      </c>
      <c r="Z365" s="238"/>
    </row>
  </sheetData>
  <autoFilter ref="U2:W2" xr:uid="{8C2307B7-35AF-4EEF-A595-EFF0399CCCB1}"/>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C1" zoomScale="80" zoomScaleNormal="80" zoomScaleSheetLayoutView="85" workbookViewId="0">
      <pane ySplit="2" topLeftCell="A113" activePane="bottomLeft" state="frozen"/>
      <selection activeCell="E7" sqref="E7"/>
      <selection pane="bottomLeft" activeCell="R76" sqref="R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c r="A1" s="342" t="s">
        <v>24</v>
      </c>
      <c r="B1" s="344" t="s">
        <v>25</v>
      </c>
      <c r="C1" s="346" t="s">
        <v>26</v>
      </c>
      <c r="D1" s="346" t="s">
        <v>27</v>
      </c>
      <c r="E1" s="346" t="s">
        <v>28</v>
      </c>
      <c r="F1" s="348" t="s">
        <v>29</v>
      </c>
      <c r="G1" s="358" t="s">
        <v>1092</v>
      </c>
      <c r="H1" s="351" t="s">
        <v>30</v>
      </c>
      <c r="I1" s="350" t="s">
        <v>31</v>
      </c>
      <c r="J1" s="350"/>
      <c r="K1" s="350"/>
      <c r="L1" s="353"/>
      <c r="M1" s="354" t="s">
        <v>32</v>
      </c>
      <c r="N1" s="355"/>
      <c r="O1" s="355"/>
      <c r="P1" s="356"/>
      <c r="Q1" s="356"/>
      <c r="R1" s="356"/>
      <c r="S1" s="356"/>
      <c r="T1" s="356"/>
      <c r="U1" s="334" t="s">
        <v>1094</v>
      </c>
      <c r="V1" s="350" t="s">
        <v>33</v>
      </c>
      <c r="W1" s="350"/>
      <c r="X1" s="350"/>
      <c r="Y1" s="334" t="s">
        <v>34</v>
      </c>
      <c r="Z1" s="334" t="s">
        <v>35</v>
      </c>
    </row>
    <row r="2" spans="1:28" s="237" customFormat="1" ht="22.8">
      <c r="A2" s="343"/>
      <c r="B2" s="345"/>
      <c r="C2" s="347"/>
      <c r="D2" s="347"/>
      <c r="E2" s="347"/>
      <c r="F2" s="349"/>
      <c r="G2" s="349"/>
      <c r="H2" s="352"/>
      <c r="I2" s="223" t="s">
        <v>36</v>
      </c>
      <c r="J2" s="224" t="s">
        <v>37</v>
      </c>
      <c r="K2" s="225" t="s">
        <v>38</v>
      </c>
      <c r="L2" s="225" t="s">
        <v>39</v>
      </c>
      <c r="M2" s="226" t="s">
        <v>36</v>
      </c>
      <c r="N2" s="225" t="s">
        <v>40</v>
      </c>
      <c r="O2" s="225" t="s">
        <v>41</v>
      </c>
      <c r="P2" s="225" t="s">
        <v>42</v>
      </c>
      <c r="Q2" s="225" t="s">
        <v>43</v>
      </c>
      <c r="R2" s="225" t="s">
        <v>44</v>
      </c>
      <c r="S2" s="225" t="s">
        <v>45</v>
      </c>
      <c r="T2" s="225" t="s">
        <v>46</v>
      </c>
      <c r="U2" s="352"/>
      <c r="V2" s="223" t="s">
        <v>47</v>
      </c>
      <c r="W2" s="224" t="s">
        <v>48</v>
      </c>
      <c r="X2" s="225" t="s">
        <v>49</v>
      </c>
      <c r="Y2" s="335"/>
      <c r="Z2" s="335"/>
    </row>
    <row r="3" spans="1:28" ht="11.4">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c r="A37" s="175">
        <f t="shared" si="1"/>
        <v>35</v>
      </c>
      <c r="B37" s="176"/>
      <c r="C37" s="176"/>
      <c r="D37" s="176"/>
      <c r="E37" s="176" t="s">
        <v>677</v>
      </c>
      <c r="F37" s="186"/>
      <c r="G37" s="257"/>
      <c r="H37" s="227" t="s">
        <v>675</v>
      </c>
      <c r="I37" s="177"/>
      <c r="J37" s="178"/>
      <c r="K37" s="178"/>
      <c r="L37" s="179"/>
      <c r="M37" s="177"/>
      <c r="N37" s="178"/>
      <c r="O37" s="178"/>
      <c r="P37" s="180"/>
      <c r="Q37" s="180"/>
      <c r="R37" s="180" t="s">
        <v>61</v>
      </c>
      <c r="S37" s="180"/>
      <c r="T37" s="180"/>
      <c r="U37" s="305"/>
      <c r="V37" s="273"/>
      <c r="W37" s="297">
        <v>45693</v>
      </c>
      <c r="X37" s="321"/>
      <c r="Y37" s="306" t="s">
        <v>1143</v>
      </c>
      <c r="Z37" s="185" t="s">
        <v>676</v>
      </c>
      <c r="AA37" s="255" t="s">
        <v>1154</v>
      </c>
    </row>
    <row r="38" spans="1:27" ht="11.4">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1153</v>
      </c>
    </row>
    <row r="40" spans="1:27" ht="11.4">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row>
    <row r="74" spans="1:27" ht="11.4">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c r="A75" s="175">
        <f t="shared" si="1"/>
        <v>73</v>
      </c>
      <c r="B75" s="176"/>
      <c r="C75" s="176"/>
      <c r="D75" s="176"/>
      <c r="E75" s="176" t="s">
        <v>719</v>
      </c>
      <c r="F75" s="186"/>
      <c r="G75" s="257"/>
      <c r="H75" s="227" t="s">
        <v>675</v>
      </c>
      <c r="I75" s="177"/>
      <c r="J75" s="178"/>
      <c r="K75" s="178"/>
      <c r="L75" s="179"/>
      <c r="M75" s="177"/>
      <c r="N75" s="178"/>
      <c r="O75" s="178"/>
      <c r="P75" s="180"/>
      <c r="Q75" s="180"/>
      <c r="R75" s="180" t="s">
        <v>991</v>
      </c>
      <c r="S75" s="180"/>
      <c r="T75" s="180"/>
      <c r="U75" s="305"/>
      <c r="V75" s="304"/>
      <c r="W75" s="297">
        <v>45695</v>
      </c>
      <c r="X75" s="300"/>
      <c r="Y75" s="306" t="s">
        <v>1143</v>
      </c>
      <c r="Z75" s="185" t="s">
        <v>676</v>
      </c>
    </row>
    <row r="76" spans="1:27" ht="11.4">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61</v>
      </c>
      <c r="S142" s="180"/>
      <c r="T142" s="180"/>
      <c r="U142" s="305"/>
      <c r="V142" s="304"/>
      <c r="W142" s="297"/>
      <c r="X142" s="300"/>
      <c r="Y142" s="306" t="s">
        <v>1143</v>
      </c>
      <c r="Z142" s="185" t="s">
        <v>676</v>
      </c>
    </row>
    <row r="143" spans="1:27" ht="11.4">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61</v>
      </c>
      <c r="S144" s="180"/>
      <c r="T144" s="180"/>
      <c r="U144" s="305"/>
      <c r="V144" s="304"/>
      <c r="W144" s="297"/>
      <c r="X144" s="300"/>
      <c r="Y144" s="306" t="s">
        <v>1143</v>
      </c>
      <c r="Z144" s="185" t="s">
        <v>676</v>
      </c>
    </row>
    <row r="145" spans="1:27" ht="11.4">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130</v>
      </c>
      <c r="S254" s="195">
        <f t="shared" si="4"/>
        <v>22</v>
      </c>
      <c r="T254" s="195">
        <f t="shared" si="4"/>
        <v>51</v>
      </c>
      <c r="U254" s="260"/>
      <c r="V254" s="330" t="s">
        <v>17</v>
      </c>
      <c r="W254" s="330"/>
      <c r="X254" s="331"/>
      <c r="Y254" s="196" t="s">
        <v>411</v>
      </c>
      <c r="Z254" s="197">
        <f>SUM(I254:T254)</f>
        <v>243</v>
      </c>
    </row>
    <row r="255" spans="1:27" s="238" customFormat="1" ht="12" customHeight="1">
      <c r="A255" s="198"/>
      <c r="B255" s="231" t="s">
        <v>412</v>
      </c>
      <c r="C255" s="200">
        <f>Z256</f>
        <v>247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4</v>
      </c>
      <c r="S255" s="205">
        <f t="shared" si="5"/>
        <v>0</v>
      </c>
      <c r="T255" s="205">
        <f t="shared" si="5"/>
        <v>0</v>
      </c>
      <c r="U255" s="261"/>
      <c r="V255" s="332"/>
      <c r="W255" s="332"/>
      <c r="X255" s="333"/>
      <c r="Y255" s="206" t="s">
        <v>411</v>
      </c>
      <c r="Z255" s="207">
        <f t="shared" ref="Z255:Z257" si="6">SUM(I255:T255)</f>
        <v>4</v>
      </c>
    </row>
    <row r="256" spans="1:27" s="238" customFormat="1" ht="12" customHeight="1">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134</v>
      </c>
      <c r="S256" s="205">
        <f t="shared" ref="S256:T256" si="9">S254+S255</f>
        <v>22</v>
      </c>
      <c r="T256" s="205">
        <f t="shared" si="9"/>
        <v>51</v>
      </c>
      <c r="U256" s="262"/>
      <c r="V256" s="336">
        <f>COUNTA(V3:V253)</f>
        <v>220</v>
      </c>
      <c r="W256" s="338">
        <f>COUNTA(W3:W253)</f>
        <v>28</v>
      </c>
      <c r="X256" s="340">
        <f>COUNTA(X3:X253)</f>
        <v>23</v>
      </c>
      <c r="Y256" s="212" t="s">
        <v>411</v>
      </c>
      <c r="Z256" s="207">
        <f t="shared" si="6"/>
        <v>247</v>
      </c>
    </row>
    <row r="257" spans="1:50" s="238" customFormat="1" ht="12" customHeight="1">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7"/>
      <c r="W257" s="339"/>
      <c r="X257" s="34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897</v>
      </c>
    </row>
    <row r="4" spans="2:33">
      <c r="B4" s="235" t="s">
        <v>898</v>
      </c>
      <c r="E4" s="235" t="s">
        <v>899</v>
      </c>
      <c r="J4" s="235" t="s">
        <v>900</v>
      </c>
      <c r="N4" s="235" t="s">
        <v>901</v>
      </c>
      <c r="S4" s="235" t="s">
        <v>902</v>
      </c>
      <c r="X4" s="235" t="s">
        <v>903</v>
      </c>
      <c r="AC4" s="235" t="s">
        <v>904</v>
      </c>
    </row>
    <row r="6" spans="2:33" ht="13.2" thickBot="1">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c r="B18" s="244" t="s">
        <v>778</v>
      </c>
      <c r="C18" s="243"/>
      <c r="E18" s="242" t="s">
        <v>681</v>
      </c>
      <c r="F18" s="235" t="s">
        <v>61</v>
      </c>
      <c r="G18" s="235" t="s">
        <v>922</v>
      </c>
      <c r="H18" s="243"/>
      <c r="N18" s="242" t="s">
        <v>977</v>
      </c>
      <c r="P18" s="235" t="s">
        <v>915</v>
      </c>
      <c r="Q18" s="243"/>
      <c r="X18" s="242" t="s">
        <v>978</v>
      </c>
      <c r="Y18" s="303" t="s">
        <v>1157</v>
      </c>
      <c r="Z18" s="235" t="s">
        <v>929</v>
      </c>
      <c r="AA18" s="243"/>
      <c r="AC18" s="242" t="s">
        <v>971</v>
      </c>
      <c r="AD18" s="235" t="s">
        <v>979</v>
      </c>
      <c r="AE18" s="235" t="s">
        <v>61</v>
      </c>
      <c r="AF18" s="235" t="s">
        <v>922</v>
      </c>
      <c r="AG18" s="243"/>
    </row>
    <row r="19" spans="2:33">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c r="B21" s="242" t="s">
        <v>782</v>
      </c>
      <c r="C21" s="243" t="s">
        <v>984</v>
      </c>
      <c r="E21" s="242" t="s">
        <v>985</v>
      </c>
      <c r="F21" s="235" t="s">
        <v>61</v>
      </c>
      <c r="G21" s="235" t="s">
        <v>922</v>
      </c>
      <c r="H21" s="243"/>
      <c r="AC21" s="242"/>
      <c r="AF21" s="235" t="s">
        <v>950</v>
      </c>
      <c r="AG21" s="243"/>
    </row>
    <row r="22" spans="2:33">
      <c r="B22" s="242" t="s">
        <v>784</v>
      </c>
      <c r="C22" s="243" t="s">
        <v>986</v>
      </c>
      <c r="E22" s="242"/>
      <c r="G22" s="235" t="s">
        <v>915</v>
      </c>
      <c r="H22" s="243"/>
      <c r="AC22" s="242" t="s">
        <v>971</v>
      </c>
      <c r="AD22" s="235" t="s">
        <v>987</v>
      </c>
      <c r="AE22" s="235" t="s">
        <v>61</v>
      </c>
      <c r="AF22" s="235" t="s">
        <v>922</v>
      </c>
      <c r="AG22" s="243"/>
    </row>
    <row r="23" spans="2:33">
      <c r="B23" s="242" t="s">
        <v>787</v>
      </c>
      <c r="C23" s="243" t="s">
        <v>988</v>
      </c>
      <c r="E23" s="242"/>
      <c r="G23" s="235" t="s">
        <v>932</v>
      </c>
      <c r="H23" s="243"/>
      <c r="AC23" s="242"/>
      <c r="AF23" s="235" t="s">
        <v>950</v>
      </c>
      <c r="AG23" s="243"/>
    </row>
    <row r="24" spans="2:33">
      <c r="B24" s="242" t="s">
        <v>789</v>
      </c>
      <c r="C24" s="243" t="s">
        <v>989</v>
      </c>
      <c r="E24" s="242" t="s">
        <v>990</v>
      </c>
      <c r="F24" s="235" t="s">
        <v>991</v>
      </c>
      <c r="G24" s="235" t="s">
        <v>914</v>
      </c>
      <c r="H24" s="243"/>
      <c r="AC24" s="242" t="s">
        <v>971</v>
      </c>
      <c r="AD24" s="235" t="s">
        <v>992</v>
      </c>
      <c r="AE24" s="235" t="s">
        <v>61</v>
      </c>
      <c r="AF24" s="235" t="s">
        <v>922</v>
      </c>
      <c r="AG24" s="243"/>
    </row>
    <row r="25" spans="2:33">
      <c r="B25" s="242" t="s">
        <v>791</v>
      </c>
      <c r="C25" s="243" t="s">
        <v>993</v>
      </c>
      <c r="E25" s="242" t="s">
        <v>994</v>
      </c>
      <c r="F25" s="235" t="s">
        <v>991</v>
      </c>
      <c r="G25" s="235" t="s">
        <v>914</v>
      </c>
      <c r="H25" s="243"/>
      <c r="AC25" s="242"/>
      <c r="AF25" s="235" t="s">
        <v>950</v>
      </c>
      <c r="AG25" s="243"/>
    </row>
    <row r="26" spans="2:33">
      <c r="B26" s="242" t="s">
        <v>793</v>
      </c>
      <c r="C26" s="243" t="s">
        <v>995</v>
      </c>
      <c r="E26" s="245" t="s">
        <v>996</v>
      </c>
      <c r="F26" s="250" t="s">
        <v>991</v>
      </c>
      <c r="G26" s="250" t="s">
        <v>914</v>
      </c>
      <c r="H26" s="246"/>
      <c r="AC26" s="242" t="s">
        <v>997</v>
      </c>
      <c r="AD26" s="235" t="s">
        <v>998</v>
      </c>
      <c r="AE26" s="235" t="s">
        <v>61</v>
      </c>
      <c r="AF26" s="235" t="s">
        <v>950</v>
      </c>
      <c r="AG26" s="243"/>
    </row>
    <row r="27" spans="2:33">
      <c r="B27" s="242" t="s">
        <v>796</v>
      </c>
      <c r="C27" s="243" t="s">
        <v>999</v>
      </c>
      <c r="AC27" s="242"/>
      <c r="AF27" s="235" t="s">
        <v>1000</v>
      </c>
      <c r="AG27" s="243"/>
    </row>
    <row r="28" spans="2:33">
      <c r="B28" s="242" t="s">
        <v>798</v>
      </c>
      <c r="C28" s="243" t="s">
        <v>1001</v>
      </c>
      <c r="AC28" s="242" t="s">
        <v>997</v>
      </c>
      <c r="AD28" s="235" t="s">
        <v>1002</v>
      </c>
      <c r="AE28" s="235" t="s">
        <v>61</v>
      </c>
      <c r="AF28" s="235" t="s">
        <v>950</v>
      </c>
      <c r="AG28" s="243" t="s">
        <v>1003</v>
      </c>
    </row>
    <row r="29" spans="2:33">
      <c r="B29" s="242" t="s">
        <v>800</v>
      </c>
      <c r="C29" s="243" t="s">
        <v>1004</v>
      </c>
      <c r="AC29" s="242"/>
      <c r="AF29" s="235" t="s">
        <v>1000</v>
      </c>
      <c r="AG29" s="243"/>
    </row>
    <row r="30" spans="2:33">
      <c r="B30" s="242" t="s">
        <v>802</v>
      </c>
      <c r="C30" s="243" t="s">
        <v>1005</v>
      </c>
      <c r="AC30" s="242" t="s">
        <v>997</v>
      </c>
      <c r="AD30" s="235" t="s">
        <v>942</v>
      </c>
      <c r="AE30" s="235" t="s">
        <v>61</v>
      </c>
      <c r="AF30" s="235" t="s">
        <v>950</v>
      </c>
      <c r="AG30" s="243" t="s">
        <v>1003</v>
      </c>
    </row>
    <row r="31" spans="2:33">
      <c r="B31" s="242" t="s">
        <v>804</v>
      </c>
      <c r="C31" s="243" t="s">
        <v>1001</v>
      </c>
      <c r="AC31" s="242"/>
      <c r="AF31" s="235" t="s">
        <v>1000</v>
      </c>
      <c r="AG31" s="243"/>
    </row>
    <row r="32" spans="2:33">
      <c r="B32" s="242" t="s">
        <v>805</v>
      </c>
      <c r="C32" s="243" t="s">
        <v>1006</v>
      </c>
      <c r="AC32" s="242" t="s">
        <v>997</v>
      </c>
      <c r="AD32" s="235" t="s">
        <v>1007</v>
      </c>
      <c r="AE32" s="235" t="s">
        <v>61</v>
      </c>
      <c r="AF32" s="235" t="s">
        <v>950</v>
      </c>
      <c r="AG32" s="243" t="s">
        <v>1003</v>
      </c>
    </row>
    <row r="33" spans="2:33">
      <c r="B33" s="245" t="s">
        <v>807</v>
      </c>
      <c r="C33" s="246" t="s">
        <v>1008</v>
      </c>
      <c r="AC33" s="242"/>
      <c r="AF33" s="235" t="s">
        <v>1000</v>
      </c>
      <c r="AG33" s="243"/>
    </row>
    <row r="34" spans="2:33">
      <c r="AC34" s="242" t="s">
        <v>997</v>
      </c>
      <c r="AD34" s="235" t="s">
        <v>992</v>
      </c>
      <c r="AE34" s="235" t="s">
        <v>61</v>
      </c>
      <c r="AF34" s="235" t="s">
        <v>950</v>
      </c>
      <c r="AG34" s="243" t="s">
        <v>1003</v>
      </c>
    </row>
    <row r="35" spans="2:33">
      <c r="AC35" s="242"/>
      <c r="AF35" s="235" t="s">
        <v>1000</v>
      </c>
      <c r="AG35" s="243"/>
    </row>
    <row r="36" spans="2:33">
      <c r="AC36" s="242" t="s">
        <v>1009</v>
      </c>
      <c r="AD36" s="235" t="s">
        <v>1010</v>
      </c>
      <c r="AE36" s="235" t="s">
        <v>61</v>
      </c>
      <c r="AF36" s="235" t="s">
        <v>931</v>
      </c>
      <c r="AG36" s="243"/>
    </row>
    <row r="37" spans="2:33">
      <c r="AC37" s="242" t="s">
        <v>1009</v>
      </c>
      <c r="AD37" s="235" t="s">
        <v>1011</v>
      </c>
      <c r="AE37" s="235" t="s">
        <v>61</v>
      </c>
      <c r="AF37" s="235" t="s">
        <v>931</v>
      </c>
      <c r="AG37" s="243"/>
    </row>
    <row r="38" spans="2:33">
      <c r="AC38" s="242" t="s">
        <v>1009</v>
      </c>
      <c r="AD38" s="235" t="s">
        <v>1012</v>
      </c>
      <c r="AE38" s="235" t="s">
        <v>61</v>
      </c>
      <c r="AF38" s="235" t="s">
        <v>931</v>
      </c>
      <c r="AG38" s="243"/>
    </row>
    <row r="39" spans="2:33">
      <c r="AC39" s="242" t="s">
        <v>1009</v>
      </c>
      <c r="AD39" s="235" t="s">
        <v>1013</v>
      </c>
      <c r="AE39" s="235" t="s">
        <v>61</v>
      </c>
      <c r="AF39" s="235" t="s">
        <v>931</v>
      </c>
      <c r="AG39" s="243"/>
    </row>
    <row r="40" spans="2:33">
      <c r="AC40" s="242" t="s">
        <v>1014</v>
      </c>
      <c r="AE40" s="235" t="s">
        <v>61</v>
      </c>
      <c r="AF40" s="235" t="s">
        <v>914</v>
      </c>
      <c r="AG40" s="243"/>
    </row>
    <row r="41" spans="2:33">
      <c r="AC41" s="242" t="s">
        <v>1015</v>
      </c>
      <c r="AE41" s="235" t="s">
        <v>61</v>
      </c>
      <c r="AF41" s="235" t="s">
        <v>931</v>
      </c>
      <c r="AG41" s="243"/>
    </row>
    <row r="42" spans="2:33">
      <c r="AC42" s="242" t="s">
        <v>1016</v>
      </c>
      <c r="AD42" s="235" t="s">
        <v>1017</v>
      </c>
      <c r="AE42" s="235" t="s">
        <v>991</v>
      </c>
      <c r="AF42" s="235" t="s">
        <v>931</v>
      </c>
      <c r="AG42" s="243"/>
    </row>
    <row r="43" spans="2:33">
      <c r="AC43" s="242" t="s">
        <v>1016</v>
      </c>
      <c r="AD43" s="235" t="s">
        <v>1018</v>
      </c>
      <c r="AE43" s="235" t="s">
        <v>991</v>
      </c>
      <c r="AF43" s="235" t="s">
        <v>931</v>
      </c>
      <c r="AG43" s="243"/>
    </row>
    <row r="44" spans="2:33">
      <c r="AC44" s="242" t="s">
        <v>1016</v>
      </c>
      <c r="AD44" s="235" t="s">
        <v>1019</v>
      </c>
      <c r="AE44" s="235" t="s">
        <v>991</v>
      </c>
      <c r="AF44" s="235" t="s">
        <v>931</v>
      </c>
      <c r="AG44" s="243"/>
    </row>
    <row r="45" spans="2:33">
      <c r="AC45" s="242" t="s">
        <v>1016</v>
      </c>
      <c r="AD45" s="235" t="s">
        <v>1020</v>
      </c>
      <c r="AE45" s="235" t="s">
        <v>991</v>
      </c>
      <c r="AF45" s="235" t="s">
        <v>931</v>
      </c>
      <c r="AG45" s="243"/>
    </row>
    <row r="46" spans="2:33">
      <c r="AC46" s="242" t="s">
        <v>1016</v>
      </c>
      <c r="AD46" s="235" t="s">
        <v>1021</v>
      </c>
      <c r="AE46" s="235" t="s">
        <v>991</v>
      </c>
      <c r="AF46" s="235" t="s">
        <v>931</v>
      </c>
      <c r="AG46" s="243"/>
    </row>
    <row r="47" spans="2:33">
      <c r="AC47" s="242" t="s">
        <v>1022</v>
      </c>
      <c r="AD47" s="235" t="s">
        <v>1023</v>
      </c>
      <c r="AE47" s="235" t="s">
        <v>991</v>
      </c>
      <c r="AF47" s="235" t="s">
        <v>931</v>
      </c>
      <c r="AG47" s="243"/>
    </row>
    <row r="48" spans="2:33">
      <c r="AC48" s="242" t="s">
        <v>1022</v>
      </c>
      <c r="AD48" s="235" t="s">
        <v>1024</v>
      </c>
      <c r="AE48" s="235" t="s">
        <v>991</v>
      </c>
      <c r="AF48" s="235" t="s">
        <v>931</v>
      </c>
      <c r="AG48" s="243"/>
    </row>
    <row r="49" spans="29:33">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1079</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7076A1-C102-4BF7-8300-58277EB1BD78}"/>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http://schemas.microsoft.com/office/2006/metadata/properties"/>
    <ds:schemaRef ds:uri="cc94ae7b-2025-4ffb-bd04-1297cd213e7a"/>
    <ds:schemaRef ds:uri="http://purl.org/dc/dcmitype/"/>
    <ds:schemaRef ds:uri="http://purl.org/dc/elements/1.1/"/>
    <ds:schemaRef ds:uri="925fb8bf-6124-4564-9086-bab0bf327637"/>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2025-02-07T07:33:44Z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