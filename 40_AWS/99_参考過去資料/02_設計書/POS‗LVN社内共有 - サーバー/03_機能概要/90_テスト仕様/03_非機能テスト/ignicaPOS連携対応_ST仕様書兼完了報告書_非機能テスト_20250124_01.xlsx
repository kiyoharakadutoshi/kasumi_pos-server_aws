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515" documentId="13_ncr:1_{283C6665-16C0-4A3E-AE36-B371DBE4F1BE}" xr6:coauthVersionLast="47" xr6:coauthVersionMax="47" xr10:uidLastSave="{689D8A81-E69A-4150-9B65-1D42C09FCA62}"/>
  <bookViews>
    <workbookView xWindow="-108" yWindow="-108" windowWidth="23256" windowHeight="12720"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'性能テスト(ignicaPOS連携プログラム適用後)'!$A$4:$Y$149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<sst xmlns="http://schemas.openxmlformats.org/spreadsheetml/2006/main" count="2102" uniqueCount="375">
  <si>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</si>
  <si>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</si>
  <si>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</si>
  <si>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</si>
  <si>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</si>
  <si>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</si>
  <si>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</si>
  <si>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</si>
  <si>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</si>
  <si>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</si>
  <si>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</si>
  <si>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</si>
  <si>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</si>
  <si>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</si>
  <si>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</si>
  <si>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</si>
  <si>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</si>
  <si>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</si>
  <si>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</si>
  <si>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</si>
  <si>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</si>
  <si>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</si>
  <si>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</si>
  <si>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</si>
  <si>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</si>
  <si>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</si>
  <si>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</si>
  <si>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</si>
  <si>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</si>
  <si>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</si>
  <si>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</si>
  <si>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</si>
  <si>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</si>
  <si>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</si>
  <si>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</si>
  <si>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</si>
  <si>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</si>
  <si>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</si>
  <si>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</si>
  <si>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</si>
  <si>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</si>
  <si>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</si>
  <si>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</si>
  <si>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</si>
  <si>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</si>
  <si>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</si>
  <si>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</si>
  <si>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</si>
  <si>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</si>
  <si>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</si>
  <si>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</si>
  <si>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</si>
  <si>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</si>
  <si>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</si>
  <si>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</si>
  <si>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</si>
  <si>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</si>
  <si>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</si>
  <si>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</si>
  <si>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</si>
  <si>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</si>
  <si>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</si>
  <si>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</si>
  <si>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</si>
  <si>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</si>
  <si>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</si>
  <si>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</si>
  <si>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</si>
  <si>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</si>
  <si>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</si>
  <si>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</si>
  <si>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</si>
  <si>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</si>
  <si>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</si>
  <si>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</si>
  <si>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</si>
  <si>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</si>
  <si>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</si>
  <si>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</si>
  <si>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</si>
  <si>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</si>
  <si>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</si>
  <si>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</si>
  <si>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</si>
  <si>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</si>
  <si>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</si>
  <si>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</si>
  <si>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</si>
  <si>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</si>
  <si>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</si>
  <si>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</si>
  <si>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</si>
  <si>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</si>
  <si>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</si>
  <si>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</si>
  <si>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</si>
  <si>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</si>
  <si>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</si>
  <si>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</si>
  <si>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</si>
  <si>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</si>
  <si>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</si>
  <si>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</si>
  <si>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</si>
  <si>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</si>
  <si>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</si>
  <si>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</si>
  <si>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</si>
  <si>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</si>
  <si>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</si>
  <si>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</si>
  <si>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</si>
  <si>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</si>
  <si>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</si>
  <si>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</si>
  <si>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</si>
  <si>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</si>
  <si>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</si>
  <si>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</si>
  <si>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</si>
  <si>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</si>
  <si>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</si>
  <si>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</si>
  <si>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</si>
  <si>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</si>
  <si>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</si>
  <si>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</si>
  <si>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</si>
  <si>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</si>
  <si>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</si>
  <si>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</si>
  <si>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</si>
  <si>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</si>
  <si>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</si>
  <si>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</si>
  <si>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</si>
  <si>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</si>
  <si>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</si>
  <si>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</si>
  <si>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</si>
  <si>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</si>
  <si>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</si>
  <si>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</si>
  <si>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</si>
  <si>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</si>
  <si>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</si>
  <si>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</si>
  <si>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</si>
  <si>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</si>
  <si>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</si>
  <si>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</si>
  <si>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</si>
  <si>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</si>
  <si>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</si>
  <si>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</si>
  <si>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</si>
  <si>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</si>
  <si>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</si>
  <si>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</si>
  <si>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</si>
  <si>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</si>
  <si>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</si>
  <si>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</si>
  <si>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</si>
  <si>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</si>
  <si>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</si>
  <si>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</si>
  <si>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</si>
  <si>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</si>
  <si>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</si>
  <si>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</si>
  <si>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</si>
  <si>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</si>
  <si>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</si>
  <si>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</si>
  <si>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</si>
  <si>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</si>
  <si>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</si>
  <si>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</si>
  <si>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</si>
  <si>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</si>
  <si>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</si>
  <si>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</si>
  <si>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</si>
  <si>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</si>
  <si>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</si>
  <si>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</si>
  <si>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</si>
  <si>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</si>
  <si>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</si>
  <si>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</si>
  <si>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</si>
  <si>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</si>
  <si>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</si>
  <si>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</si>
  <si>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</si>
  <si>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</si>
  <si>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</si>
  <si>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</si>
  <si>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</si>
  <si>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</si>
  <si>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</si>
  <si>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</si>
  <si>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</si>
  <si>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</si>
  <si>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</si>
  <si>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</si>
  <si>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</si>
  <si>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</si>
  <si>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</si>
  <si>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</si>
  <si>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</si>
  <si>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</si>
  <si>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</si>
  <si>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</si>
  <si>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</si>
  <si>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</si>
  <si>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</si>
  <si>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</si>
  <si>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</si>
  <si>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</si>
  <si>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</si>
  <si>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</si>
  <si>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</si>
  <si>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</si>
  <si>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</si>
  <si>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</si>
  <si>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</si>
  <si>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</si>
  <si>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</si>
  <si>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</si>
  <si>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</si>
  <si>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</si>
  <si>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</si>
  <si>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</si>
  <si>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</si>
  <si>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</si>
  <si>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</si>
  <si>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差分マスタデータ連携
(通常データ連携時)</t>
    <rPh sb="0" eb="2">
      <t>サブン</t>
    </rPh>
    <rPh sb="8" eb="10">
      <t>レンケイ</t>
    </rPh>
    <rPh sb="12" eb="14">
      <t>ツウジョウ</t>
    </rPh>
    <rPh sb="17" eb="20">
      <t>レンケイジ</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</si>
  <si>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</si>
  <si>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</si>
  <si>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</si>
  <si>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</si>
  <si>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</si>
  <si>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</si>
  <si>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</si>
  <si>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</si>
  <si>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</si>
  <si>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</si>
  <si>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</si>
  <si>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</si>
  <si>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</si>
  <si>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</si>
  <si>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</si>
  <si>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</si>
  <si>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</si>
  <si>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</si>
  <si>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</si>
  <si>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</si>
  <si>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</si>
  <si>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</si>
  <si>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</si>
  <si>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</si>
  <si>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</si>
  <si>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</si>
  <si>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</si>
  <si>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</si>
  <si>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</si>
  <si>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</si>
  <si>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</si>
  <si>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</si>
  <si>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</si>
  <si>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</si>
  <si>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</si>
  <si>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</si>
  <si>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</si>
  <si>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</si>
  <si>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</si>
  <si>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</si>
  <si>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</si>
  <si>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</si>
  <si>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</si>
  <si>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</si>
  <si>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</si>
  <si>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</si>
  <si>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</si>
  <si>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</si>
  <si>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</si>
  <si>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</si>
  <si>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</si>
  <si>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</si>
  <si>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</si>
  <si>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</si>
  <si>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</si>
  <si>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</si>
  <si>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</si>
  <si>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</si>
  <si>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</si>
  <si>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</si>
  <si>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</si>
  <si>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</si>
  <si>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</si>
  <si>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</si>
  <si>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</si>
  <si>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</si>
  <si>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</si>
  <si>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</si>
  <si>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</si>
  <si>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</si>
  <si>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</si>
  <si>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</si>
  <si>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</si>
  <si>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</si>
  <si>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</si>
  <si>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</si>
  <si>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</si>
  <si>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</si>
  <si>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</si>
  <si>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</si>
  <si>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</si>
  <si>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</si>
  <si>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</si>
  <si>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</si>
  <si>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</si>
  <si>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</si>
  <si>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</si>
  <si>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</si>
  <si>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</si>
  <si>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</si>
  <si>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</si>
  <si>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</si>
  <si>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</si>
  <si>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</si>
  <si>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</si>
  <si>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</si>
  <si>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</si>
  <si>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</si>
  <si>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</si>
  <si>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</si>
  <si>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</si>
  <si>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</si>
  <si>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</si>
  <si>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</si>
  <si>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</si>
  <si>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</si>
  <si>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</si>
  <si>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</si>
  <si>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</si>
  <si>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</si>
  <si>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</si>
  <si>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</si>
  <si>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</si>
  <si>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閉店処理の処理時間を以下に記載する
[]分</t>
    <rPh sb="0" eb="2">
      <t>ヘイテン</t>
    </rPh>
    <rPh sb="2" eb="4">
      <t>ショリ</t>
    </rPh>
    <rPh sb="5" eb="9">
      <t>ショリジカン</t>
    </rPh>
    <rPh sb="10" eb="12">
      <t>イカ</t>
    </rPh>
    <rPh sb="13" eb="15">
      <t>キサイ</t>
    </rPh>
    <rPh sb="20" eb="21">
      <t>ブン</t>
    </rPh>
    <phoneticPr fontId="11"/>
  </si>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</sst>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2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A12" activePane="bottomLeft" state="frozen"/>
      <selection activeCell="B8" sqref="B8"/>
      <selection pane="bottomLeft" activeCell="T6" sqref="T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287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16" t="s">
        <v>11</v>
      </c>
      <c r="G3" s="193" t="s">
        <v>282</v>
      </c>
      <c r="H3" s="195" t="s">
        <v>12</v>
      </c>
      <c r="I3" s="195"/>
      <c r="J3" s="195"/>
      <c r="K3" s="196"/>
      <c r="L3" s="197" t="s">
        <v>13</v>
      </c>
      <c r="M3" s="198"/>
      <c r="N3" s="198"/>
      <c r="O3" s="199"/>
      <c r="P3" s="199"/>
      <c r="Q3" s="199"/>
      <c r="R3" s="199"/>
      <c r="S3" s="199"/>
      <c r="T3" s="193" t="s">
        <v>368</v>
      </c>
      <c r="U3" s="195" t="s">
        <v>14</v>
      </c>
      <c r="V3" s="195"/>
      <c r="W3" s="195"/>
      <c r="X3" s="193" t="s">
        <v>15</v>
      </c>
      <c r="Y3" s="193" t="s">
        <v>16</v>
      </c>
    </row>
    <row r="4" spans="1:25" s="1" customFormat="1" ht="22.8" x14ac:dyDescent="0.15">
      <c r="A4" s="209"/>
      <c r="B4" s="211"/>
      <c r="C4" s="213"/>
      <c r="D4" s="213"/>
      <c r="E4" s="215"/>
      <c r="F4" s="217"/>
      <c r="G4" s="194"/>
      <c r="H4" s="137" t="s">
        <v>17</v>
      </c>
      <c r="I4" s="138" t="s">
        <v>18</v>
      </c>
      <c r="J4" s="98" t="s">
        <v>19</v>
      </c>
      <c r="K4" s="98" t="s">
        <v>20</v>
      </c>
      <c r="L4" s="140" t="s">
        <v>17</v>
      </c>
      <c r="M4" s="98" t="s">
        <v>21</v>
      </c>
      <c r="N4" s="98" t="s">
        <v>22</v>
      </c>
      <c r="O4" s="98" t="s">
        <v>23</v>
      </c>
      <c r="P4" s="98" t="s">
        <v>24</v>
      </c>
      <c r="Q4" s="98" t="s">
        <v>25</v>
      </c>
      <c r="R4" s="98" t="s">
        <v>26</v>
      </c>
      <c r="S4" s="98" t="s">
        <v>27</v>
      </c>
      <c r="T4" s="202"/>
      <c r="U4" s="137" t="s">
        <v>28</v>
      </c>
      <c r="V4" s="138" t="s">
        <v>29</v>
      </c>
      <c r="W4" s="98" t="s">
        <v>30</v>
      </c>
      <c r="X4" s="203"/>
      <c r="Y4" s="203"/>
    </row>
    <row r="5" spans="1:25" ht="11.4" x14ac:dyDescent="0.15">
      <c r="A5" s="141">
        <f>ROW()-4</f>
        <v>1</v>
      </c>
      <c r="B5" s="142" t="s">
        <v>31</v>
      </c>
      <c r="C5" s="142" t="s">
        <v>32</v>
      </c>
      <c r="D5" s="142" t="s">
        <v>172</v>
      </c>
      <c r="E5" s="143" t="s">
        <v>284</v>
      </c>
      <c r="F5" s="108" t="s">
        <v>42</v>
      </c>
      <c r="G5" s="119"/>
      <c r="H5" s="144"/>
      <c r="I5" s="145"/>
      <c r="J5" s="145"/>
      <c r="K5" s="146"/>
      <c r="L5" s="144"/>
      <c r="M5" s="147"/>
      <c r="N5" s="145"/>
      <c r="O5" s="147"/>
      <c r="P5" s="147"/>
      <c r="Q5" s="147"/>
      <c r="R5" s="148"/>
      <c r="S5" s="146"/>
      <c r="T5" s="170"/>
      <c r="U5" s="149"/>
      <c r="V5" s="150"/>
      <c r="W5" s="151"/>
      <c r="X5" s="152"/>
      <c r="Y5" s="153"/>
    </row>
    <row r="6" spans="1:25" ht="22.8" x14ac:dyDescent="0.15">
      <c r="A6" s="141">
        <f t="shared" ref="A6:A54" si="0">ROW()-4</f>
        <v>2</v>
      </c>
      <c r="B6" s="20"/>
      <c r="C6" s="20"/>
      <c r="D6" s="20"/>
      <c r="E6" s="30" t="s">
        <v>33</v>
      </c>
      <c r="F6" s="108" t="s">
        <v>290</v>
      </c>
      <c r="G6" s="119"/>
      <c r="H6" s="21"/>
      <c r="I6" s="22"/>
      <c r="J6" s="22"/>
      <c r="K6" s="23"/>
      <c r="L6" s="21"/>
      <c r="M6" s="24" t="s">
        <v>35</v>
      </c>
      <c r="N6" s="22"/>
      <c r="O6" s="24"/>
      <c r="P6" s="24"/>
      <c r="Q6" s="24"/>
      <c r="R6" s="100"/>
      <c r="S6" s="23"/>
      <c r="T6" s="171"/>
      <c r="U6" s="25"/>
      <c r="V6" s="26"/>
      <c r="W6" s="27"/>
      <c r="X6" s="28"/>
      <c r="Y6" s="74"/>
    </row>
    <row r="7" spans="1:25" ht="11.4" x14ac:dyDescent="0.15">
      <c r="A7" s="141">
        <f t="shared" si="0"/>
        <v>3</v>
      </c>
      <c r="B7" s="20"/>
      <c r="C7" s="20"/>
      <c r="D7" s="20"/>
      <c r="E7" s="96" t="s">
        <v>36</v>
      </c>
      <c r="F7" s="109" t="s">
        <v>37</v>
      </c>
      <c r="G7" s="120"/>
      <c r="H7" s="21"/>
      <c r="I7" s="22"/>
      <c r="J7" s="22"/>
      <c r="K7" s="23"/>
      <c r="L7" s="21"/>
      <c r="M7" s="24" t="s">
        <v>35</v>
      </c>
      <c r="N7" s="22"/>
      <c r="O7" s="24"/>
      <c r="P7" s="24"/>
      <c r="Q7" s="24"/>
      <c r="R7" s="100"/>
      <c r="S7" s="23"/>
      <c r="T7" s="171"/>
      <c r="U7" s="25"/>
      <c r="V7" s="26"/>
      <c r="W7" s="27"/>
      <c r="X7" s="28"/>
      <c r="Y7" s="74"/>
    </row>
    <row r="8" spans="1:25" ht="11.4" x14ac:dyDescent="0.15">
      <c r="A8" s="141">
        <f t="shared" si="0"/>
        <v>4</v>
      </c>
      <c r="B8" s="20"/>
      <c r="C8" s="20"/>
      <c r="D8" s="20"/>
      <c r="E8" s="96" t="s">
        <v>43</v>
      </c>
      <c r="F8" s="109" t="s">
        <v>37</v>
      </c>
      <c r="G8" s="120"/>
      <c r="H8" s="21"/>
      <c r="I8" s="22"/>
      <c r="J8" s="22"/>
      <c r="K8" s="23"/>
      <c r="L8" s="21"/>
      <c r="M8" s="24" t="s">
        <v>35</v>
      </c>
      <c r="N8" s="22"/>
      <c r="O8" s="24"/>
      <c r="P8" s="24"/>
      <c r="Q8" s="24"/>
      <c r="R8" s="100"/>
      <c r="S8" s="23"/>
      <c r="T8" s="171"/>
      <c r="U8" s="25"/>
      <c r="V8" s="26"/>
      <c r="W8" s="27"/>
      <c r="X8" s="28"/>
      <c r="Y8" s="95"/>
    </row>
    <row r="9" spans="1:25" ht="11.4" x14ac:dyDescent="0.15">
      <c r="A9" s="141">
        <f t="shared" si="0"/>
        <v>5</v>
      </c>
      <c r="B9" s="20"/>
      <c r="C9" s="20"/>
      <c r="D9" s="20"/>
      <c r="E9" s="96" t="s">
        <v>44</v>
      </c>
      <c r="F9" s="109" t="s">
        <v>45</v>
      </c>
      <c r="G9" s="120"/>
      <c r="H9" s="21"/>
      <c r="I9" s="22"/>
      <c r="J9" s="22"/>
      <c r="K9" s="23"/>
      <c r="L9" s="21"/>
      <c r="M9" s="24" t="s">
        <v>35</v>
      </c>
      <c r="N9" s="22"/>
      <c r="O9" s="24"/>
      <c r="P9" s="24"/>
      <c r="Q9" s="24"/>
      <c r="R9" s="22"/>
      <c r="S9" s="23"/>
      <c r="T9" s="171"/>
      <c r="U9" s="25"/>
      <c r="V9" s="26"/>
      <c r="W9" s="27"/>
      <c r="X9" s="28"/>
      <c r="Y9" s="95"/>
    </row>
    <row r="10" spans="1:25" ht="11.4" x14ac:dyDescent="0.15">
      <c r="A10" s="141">
        <f t="shared" si="0"/>
        <v>6</v>
      </c>
      <c r="B10" s="20"/>
      <c r="C10" s="20"/>
      <c r="D10" s="20"/>
      <c r="E10" s="96"/>
      <c r="F10" s="109" t="s">
        <v>46</v>
      </c>
      <c r="G10" s="120"/>
      <c r="H10" s="21"/>
      <c r="I10" s="22"/>
      <c r="J10" s="22"/>
      <c r="K10" s="23"/>
      <c r="L10" s="21"/>
      <c r="M10" s="24" t="s">
        <v>35</v>
      </c>
      <c r="N10" s="22"/>
      <c r="O10" s="24"/>
      <c r="P10" s="24"/>
      <c r="Q10" s="24"/>
      <c r="R10" s="22"/>
      <c r="S10" s="23"/>
      <c r="T10" s="171"/>
      <c r="U10" s="25"/>
      <c r="V10" s="26"/>
      <c r="W10" s="27"/>
      <c r="X10" s="28"/>
      <c r="Y10" s="95"/>
    </row>
    <row r="11" spans="1:25" ht="15" customHeight="1" x14ac:dyDescent="0.15">
      <c r="A11" s="141">
        <f t="shared" si="0"/>
        <v>7</v>
      </c>
      <c r="B11" s="20"/>
      <c r="C11" s="20"/>
      <c r="D11" s="20"/>
      <c r="E11" s="96" t="s">
        <v>201</v>
      </c>
      <c r="F11" s="109" t="s">
        <v>170</v>
      </c>
      <c r="G11" s="120"/>
      <c r="H11" s="21"/>
      <c r="I11" s="22"/>
      <c r="J11" s="22"/>
      <c r="K11" s="23"/>
      <c r="L11" s="21"/>
      <c r="M11" s="22"/>
      <c r="N11" s="22"/>
      <c r="O11" s="24"/>
      <c r="P11" s="24"/>
      <c r="Q11" s="24"/>
      <c r="R11" s="22" t="s">
        <v>35</v>
      </c>
      <c r="S11" s="23"/>
      <c r="T11" s="171"/>
      <c r="U11" s="25"/>
      <c r="V11" s="26"/>
      <c r="W11" s="27"/>
      <c r="X11" s="28"/>
      <c r="Y11" s="95" t="s">
        <v>199</v>
      </c>
    </row>
    <row r="12" spans="1:25" ht="33.6" customHeight="1" x14ac:dyDescent="0.15">
      <c r="A12" s="141">
        <f t="shared" si="0"/>
        <v>8</v>
      </c>
      <c r="B12" s="20"/>
      <c r="C12" s="20"/>
      <c r="D12" s="20"/>
      <c r="E12" s="75"/>
      <c r="F12" s="108" t="s">
        <v>78</v>
      </c>
      <c r="G12" s="119"/>
      <c r="H12" s="21"/>
      <c r="I12" s="22"/>
      <c r="J12" s="22"/>
      <c r="K12" s="23"/>
      <c r="L12" s="21"/>
      <c r="M12" s="22"/>
      <c r="N12" s="22"/>
      <c r="O12" s="24"/>
      <c r="P12" s="24"/>
      <c r="Q12" s="24"/>
      <c r="R12" s="22" t="s">
        <v>35</v>
      </c>
      <c r="S12" s="23"/>
      <c r="T12" s="171"/>
      <c r="U12" s="25"/>
      <c r="V12" s="26"/>
      <c r="W12" s="27"/>
      <c r="X12" s="28"/>
      <c r="Y12" s="95" t="s">
        <v>199</v>
      </c>
    </row>
    <row r="13" spans="1:25" ht="33.6" customHeight="1" x14ac:dyDescent="0.15">
      <c r="A13" s="141">
        <f t="shared" si="0"/>
        <v>9</v>
      </c>
      <c r="B13" s="20"/>
      <c r="C13" s="20"/>
      <c r="D13" s="20"/>
      <c r="E13" s="75"/>
      <c r="F13" s="109" t="s">
        <v>229</v>
      </c>
      <c r="G13" s="121"/>
      <c r="H13" s="21"/>
      <c r="I13" s="22"/>
      <c r="J13" s="22"/>
      <c r="K13" s="23"/>
      <c r="L13" s="21"/>
      <c r="M13" s="22"/>
      <c r="N13" s="22"/>
      <c r="O13" s="24"/>
      <c r="P13" s="24"/>
      <c r="Q13" s="24"/>
      <c r="R13" s="22" t="s">
        <v>35</v>
      </c>
      <c r="S13" s="23"/>
      <c r="T13" s="171"/>
      <c r="U13" s="25"/>
      <c r="V13" s="26"/>
      <c r="W13" s="27"/>
      <c r="X13" s="28"/>
      <c r="Y13" s="95" t="s">
        <v>199</v>
      </c>
    </row>
    <row r="14" spans="1:25" ht="11.4" x14ac:dyDescent="0.15">
      <c r="A14" s="141">
        <f t="shared" si="0"/>
        <v>10</v>
      </c>
      <c r="B14" s="20"/>
      <c r="C14" s="20" t="s">
        <v>52</v>
      </c>
      <c r="D14" s="20" t="s">
        <v>173</v>
      </c>
      <c r="E14" s="96" t="s">
        <v>285</v>
      </c>
      <c r="F14" s="109" t="s">
        <v>42</v>
      </c>
      <c r="G14" s="119"/>
      <c r="H14" s="78"/>
      <c r="I14" s="79"/>
      <c r="J14" s="79"/>
      <c r="K14" s="80"/>
      <c r="L14" s="78"/>
      <c r="M14" s="81"/>
      <c r="N14" s="79"/>
      <c r="O14" s="81"/>
      <c r="P14" s="81"/>
      <c r="Q14" s="81"/>
      <c r="R14" s="101"/>
      <c r="S14" s="80"/>
      <c r="T14" s="172"/>
      <c r="U14" s="82"/>
      <c r="V14" s="83"/>
      <c r="W14" s="84"/>
      <c r="X14" s="85"/>
      <c r="Y14" s="95"/>
    </row>
    <row r="15" spans="1:25" ht="22.8" x14ac:dyDescent="0.15">
      <c r="A15" s="141">
        <f t="shared" si="0"/>
        <v>11</v>
      </c>
      <c r="B15" s="20"/>
      <c r="C15" s="20"/>
      <c r="D15" s="20"/>
      <c r="E15" s="30" t="s">
        <v>33</v>
      </c>
      <c r="F15" s="109" t="s">
        <v>291</v>
      </c>
      <c r="G15" s="119"/>
      <c r="H15" s="21"/>
      <c r="I15" s="22"/>
      <c r="J15" s="22"/>
      <c r="K15" s="23"/>
      <c r="L15" s="21"/>
      <c r="M15" s="24" t="s">
        <v>35</v>
      </c>
      <c r="N15" s="22"/>
      <c r="O15" s="24"/>
      <c r="P15" s="24"/>
      <c r="Q15" s="24"/>
      <c r="R15" s="100"/>
      <c r="S15" s="23"/>
      <c r="T15" s="171"/>
      <c r="U15" s="25"/>
      <c r="V15" s="26"/>
      <c r="W15" s="27"/>
      <c r="X15" s="28"/>
      <c r="Y15" s="95"/>
    </row>
    <row r="16" spans="1:25" ht="11.4" x14ac:dyDescent="0.15">
      <c r="A16" s="141">
        <f t="shared" si="0"/>
        <v>12</v>
      </c>
      <c r="B16" s="20"/>
      <c r="C16" s="20"/>
      <c r="D16" s="20"/>
      <c r="E16" s="96" t="s">
        <v>36</v>
      </c>
      <c r="F16" s="109" t="s">
        <v>37</v>
      </c>
      <c r="G16" s="120"/>
      <c r="H16" s="21"/>
      <c r="I16" s="22"/>
      <c r="J16" s="22"/>
      <c r="K16" s="23"/>
      <c r="L16" s="21"/>
      <c r="M16" s="24" t="s">
        <v>35</v>
      </c>
      <c r="N16" s="22"/>
      <c r="O16" s="24"/>
      <c r="P16" s="24"/>
      <c r="Q16" s="24"/>
      <c r="R16" s="100"/>
      <c r="S16" s="23"/>
      <c r="T16" s="171"/>
      <c r="U16" s="25"/>
      <c r="V16" s="26"/>
      <c r="W16" s="27"/>
      <c r="X16" s="28"/>
      <c r="Y16" s="95"/>
    </row>
    <row r="17" spans="1:25" ht="11.4" x14ac:dyDescent="0.15">
      <c r="A17" s="141">
        <f t="shared" si="0"/>
        <v>13</v>
      </c>
      <c r="B17" s="20"/>
      <c r="C17" s="20"/>
      <c r="D17" s="20"/>
      <c r="E17" s="96" t="s">
        <v>43</v>
      </c>
      <c r="F17" s="109" t="s">
        <v>37</v>
      </c>
      <c r="G17" s="120"/>
      <c r="H17" s="21"/>
      <c r="I17" s="22"/>
      <c r="J17" s="22"/>
      <c r="K17" s="23"/>
      <c r="L17" s="21"/>
      <c r="M17" s="24" t="s">
        <v>35</v>
      </c>
      <c r="N17" s="22"/>
      <c r="O17" s="24"/>
      <c r="P17" s="24"/>
      <c r="Q17" s="24"/>
      <c r="R17" s="100"/>
      <c r="S17" s="23"/>
      <c r="T17" s="171"/>
      <c r="U17" s="25"/>
      <c r="V17" s="26"/>
      <c r="W17" s="27"/>
      <c r="X17" s="28"/>
      <c r="Y17" s="95"/>
    </row>
    <row r="18" spans="1:25" ht="11.4" x14ac:dyDescent="0.15">
      <c r="A18" s="141">
        <f t="shared" si="0"/>
        <v>14</v>
      </c>
      <c r="B18" s="20"/>
      <c r="C18" s="20"/>
      <c r="D18" s="20"/>
      <c r="E18" s="96" t="s">
        <v>44</v>
      </c>
      <c r="F18" s="109" t="s">
        <v>45</v>
      </c>
      <c r="G18" s="120"/>
      <c r="H18" s="21"/>
      <c r="I18" s="22"/>
      <c r="J18" s="22"/>
      <c r="K18" s="23"/>
      <c r="L18" s="21"/>
      <c r="M18" s="24" t="s">
        <v>35</v>
      </c>
      <c r="N18" s="22"/>
      <c r="O18" s="24"/>
      <c r="P18" s="24"/>
      <c r="Q18" s="24"/>
      <c r="R18" s="22"/>
      <c r="S18" s="23"/>
      <c r="T18" s="171"/>
      <c r="U18" s="25"/>
      <c r="V18" s="26"/>
      <c r="W18" s="27"/>
      <c r="X18" s="28"/>
      <c r="Y18" s="95"/>
    </row>
    <row r="19" spans="1:25" ht="11.4" x14ac:dyDescent="0.15">
      <c r="A19" s="141">
        <f t="shared" si="0"/>
        <v>15</v>
      </c>
      <c r="B19" s="20"/>
      <c r="C19" s="20"/>
      <c r="D19" s="20"/>
      <c r="E19" s="96"/>
      <c r="F19" s="109" t="s">
        <v>46</v>
      </c>
      <c r="G19" s="120"/>
      <c r="H19" s="21"/>
      <c r="I19" s="22"/>
      <c r="J19" s="22"/>
      <c r="K19" s="23"/>
      <c r="L19" s="21"/>
      <c r="M19" s="24" t="s">
        <v>35</v>
      </c>
      <c r="N19" s="22"/>
      <c r="O19" s="24"/>
      <c r="P19" s="24"/>
      <c r="Q19" s="24"/>
      <c r="R19" s="22"/>
      <c r="S19" s="23"/>
      <c r="T19" s="171"/>
      <c r="U19" s="25"/>
      <c r="V19" s="26"/>
      <c r="W19" s="27"/>
      <c r="X19" s="28"/>
      <c r="Y19" s="95"/>
    </row>
    <row r="20" spans="1:25" ht="15" customHeight="1" x14ac:dyDescent="0.15">
      <c r="A20" s="141">
        <f t="shared" si="0"/>
        <v>16</v>
      </c>
      <c r="B20" s="20"/>
      <c r="C20" s="20"/>
      <c r="D20" s="20"/>
      <c r="E20" s="96" t="s">
        <v>202</v>
      </c>
      <c r="F20" s="109" t="s">
        <v>47</v>
      </c>
      <c r="G20" s="120"/>
      <c r="H20" s="21"/>
      <c r="I20" s="22"/>
      <c r="J20" s="22"/>
      <c r="K20" s="23"/>
      <c r="L20" s="21"/>
      <c r="M20" s="22"/>
      <c r="N20" s="22"/>
      <c r="O20" s="24"/>
      <c r="P20" s="24"/>
      <c r="Q20" s="24"/>
      <c r="R20" s="22" t="s">
        <v>35</v>
      </c>
      <c r="S20" s="23"/>
      <c r="T20" s="171"/>
      <c r="U20" s="25"/>
      <c r="V20" s="26"/>
      <c r="W20" s="27"/>
      <c r="X20" s="28"/>
      <c r="Y20" s="95" t="s">
        <v>199</v>
      </c>
    </row>
    <row r="21" spans="1:25" ht="33.6" customHeight="1" x14ac:dyDescent="0.15">
      <c r="A21" s="141">
        <f t="shared" si="0"/>
        <v>17</v>
      </c>
      <c r="B21" s="20"/>
      <c r="C21" s="20"/>
      <c r="D21" s="20"/>
      <c r="E21" s="96"/>
      <c r="F21" s="109" t="s">
        <v>53</v>
      </c>
      <c r="G21" s="119"/>
      <c r="H21" s="21"/>
      <c r="I21" s="22"/>
      <c r="J21" s="22"/>
      <c r="K21" s="23"/>
      <c r="L21" s="21"/>
      <c r="M21" s="22"/>
      <c r="N21" s="22"/>
      <c r="O21" s="24"/>
      <c r="P21" s="24"/>
      <c r="Q21" s="24"/>
      <c r="R21" s="22" t="s">
        <v>35</v>
      </c>
      <c r="S21" s="23"/>
      <c r="T21" s="171"/>
      <c r="U21" s="25"/>
      <c r="V21" s="26"/>
      <c r="W21" s="27"/>
      <c r="X21" s="28"/>
      <c r="Y21" s="95" t="s">
        <v>199</v>
      </c>
    </row>
    <row r="22" spans="1:25" ht="33.6" customHeight="1" x14ac:dyDescent="0.15">
      <c r="A22" s="141">
        <f t="shared" si="0"/>
        <v>18</v>
      </c>
      <c r="B22" s="20"/>
      <c r="C22" s="20"/>
      <c r="D22" s="20"/>
      <c r="E22" s="96"/>
      <c r="F22" s="109" t="s">
        <v>352</v>
      </c>
      <c r="G22" s="121"/>
      <c r="H22" s="21"/>
      <c r="I22" s="22"/>
      <c r="J22" s="22"/>
      <c r="K22" s="23"/>
      <c r="L22" s="21"/>
      <c r="M22" s="22"/>
      <c r="N22" s="22"/>
      <c r="O22" s="24"/>
      <c r="P22" s="24"/>
      <c r="Q22" s="24"/>
      <c r="R22" s="22" t="s">
        <v>35</v>
      </c>
      <c r="S22" s="23"/>
      <c r="T22" s="171"/>
      <c r="U22" s="25"/>
      <c r="V22" s="26"/>
      <c r="W22" s="27"/>
      <c r="X22" s="28"/>
      <c r="Y22" s="95" t="s">
        <v>199</v>
      </c>
    </row>
    <row r="23" spans="1:25" ht="22.8" x14ac:dyDescent="0.15">
      <c r="A23" s="141">
        <f t="shared" si="0"/>
        <v>19</v>
      </c>
      <c r="B23" s="20"/>
      <c r="C23" s="20" t="s">
        <v>55</v>
      </c>
      <c r="D23" s="169" t="s">
        <v>205</v>
      </c>
      <c r="E23" s="96" t="s">
        <v>33</v>
      </c>
      <c r="F23" s="109" t="s">
        <v>34</v>
      </c>
      <c r="G23" s="119"/>
      <c r="H23" s="21"/>
      <c r="I23" s="22"/>
      <c r="J23" s="22"/>
      <c r="K23" s="23"/>
      <c r="L23" s="21"/>
      <c r="M23" s="24" t="s">
        <v>35</v>
      </c>
      <c r="N23" s="22"/>
      <c r="O23" s="24"/>
      <c r="P23" s="24"/>
      <c r="Q23" s="24"/>
      <c r="R23" s="22"/>
      <c r="S23" s="23"/>
      <c r="T23" s="171"/>
      <c r="U23" s="25"/>
      <c r="V23" s="26"/>
      <c r="W23" s="27"/>
      <c r="X23" s="28"/>
      <c r="Y23" s="95"/>
    </row>
    <row r="24" spans="1:25" ht="11.4" x14ac:dyDescent="0.15">
      <c r="A24" s="141">
        <f t="shared" si="0"/>
        <v>20</v>
      </c>
      <c r="B24" s="20"/>
      <c r="C24" s="20"/>
      <c r="D24" s="102"/>
      <c r="E24" s="75" t="s">
        <v>232</v>
      </c>
      <c r="F24" s="109" t="s">
        <v>231</v>
      </c>
      <c r="G24" s="119"/>
      <c r="H24" s="21"/>
      <c r="I24" s="22"/>
      <c r="J24" s="22"/>
      <c r="K24" s="23"/>
      <c r="L24" s="21"/>
      <c r="M24" s="24"/>
      <c r="N24" s="22" t="s">
        <v>35</v>
      </c>
      <c r="O24" s="22"/>
      <c r="P24" s="24"/>
      <c r="Q24" s="24"/>
      <c r="R24" s="22"/>
      <c r="S24" s="23"/>
      <c r="T24" s="171"/>
      <c r="U24" s="25"/>
      <c r="V24" s="26"/>
      <c r="W24" s="27"/>
      <c r="X24" s="28"/>
      <c r="Y24" s="95" t="s">
        <v>228</v>
      </c>
    </row>
    <row r="25" spans="1:25" ht="22.8" x14ac:dyDescent="0.15">
      <c r="A25" s="141">
        <f t="shared" si="0"/>
        <v>21</v>
      </c>
      <c r="B25" s="20"/>
      <c r="C25" s="20"/>
      <c r="D25" s="20"/>
      <c r="E25" s="104"/>
      <c r="F25" s="109" t="s">
        <v>240</v>
      </c>
      <c r="G25" s="120"/>
      <c r="H25" s="21"/>
      <c r="I25" s="22"/>
      <c r="J25" s="22"/>
      <c r="K25" s="23"/>
      <c r="L25" s="21"/>
      <c r="M25" s="24" t="s">
        <v>35</v>
      </c>
      <c r="N25" s="22"/>
      <c r="O25" s="24"/>
      <c r="P25" s="24"/>
      <c r="Q25" s="24"/>
      <c r="R25" s="100"/>
      <c r="S25" s="23"/>
      <c r="T25" s="171"/>
      <c r="U25" s="25"/>
      <c r="V25" s="26"/>
      <c r="W25" s="27"/>
      <c r="X25" s="28"/>
      <c r="Y25" s="95"/>
    </row>
    <row r="26" spans="1:25" ht="11.4" x14ac:dyDescent="0.15">
      <c r="A26" s="141">
        <f t="shared" si="0"/>
        <v>22</v>
      </c>
      <c r="B26" s="20" t="s">
        <v>77</v>
      </c>
      <c r="C26" s="20" t="s">
        <v>32</v>
      </c>
      <c r="D26" s="20" t="s">
        <v>172</v>
      </c>
      <c r="E26" s="96" t="s">
        <v>284</v>
      </c>
      <c r="F26" s="108" t="s">
        <v>42</v>
      </c>
      <c r="G26" s="119"/>
      <c r="H26" s="78"/>
      <c r="I26" s="79"/>
      <c r="J26" s="79"/>
      <c r="K26" s="80"/>
      <c r="L26" s="78"/>
      <c r="M26" s="81"/>
      <c r="N26" s="79"/>
      <c r="O26" s="81"/>
      <c r="P26" s="81"/>
      <c r="Q26" s="81"/>
      <c r="R26" s="101"/>
      <c r="S26" s="80"/>
      <c r="T26" s="172"/>
      <c r="U26" s="82"/>
      <c r="V26" s="83"/>
      <c r="W26" s="84"/>
      <c r="X26" s="85"/>
      <c r="Y26" s="95" t="s">
        <v>353</v>
      </c>
    </row>
    <row r="27" spans="1:25" ht="11.4" x14ac:dyDescent="0.15">
      <c r="A27" s="141">
        <f t="shared" si="0"/>
        <v>23</v>
      </c>
      <c r="B27" s="20"/>
      <c r="C27" s="20"/>
      <c r="D27" s="20"/>
      <c r="E27" s="96" t="s">
        <v>33</v>
      </c>
      <c r="F27" s="108" t="s">
        <v>292</v>
      </c>
      <c r="G27" s="119"/>
      <c r="H27" s="21"/>
      <c r="I27" s="22"/>
      <c r="J27" s="22"/>
      <c r="K27" s="23"/>
      <c r="L27" s="21"/>
      <c r="M27" s="24" t="s">
        <v>35</v>
      </c>
      <c r="N27" s="22"/>
      <c r="O27" s="24"/>
      <c r="P27" s="24"/>
      <c r="Q27" s="24"/>
      <c r="R27" s="100"/>
      <c r="S27" s="23"/>
      <c r="T27" s="171"/>
      <c r="U27" s="25"/>
      <c r="V27" s="26"/>
      <c r="W27" s="27"/>
      <c r="X27" s="28"/>
      <c r="Y27" s="95" t="s">
        <v>353</v>
      </c>
    </row>
    <row r="28" spans="1:25" ht="11.4" x14ac:dyDescent="0.15">
      <c r="A28" s="141">
        <f t="shared" si="0"/>
        <v>24</v>
      </c>
      <c r="B28" s="20"/>
      <c r="C28" s="20"/>
      <c r="D28" s="20"/>
      <c r="E28" s="96" t="s">
        <v>36</v>
      </c>
      <c r="F28" s="109" t="s">
        <v>37</v>
      </c>
      <c r="G28" s="120"/>
      <c r="H28" s="21"/>
      <c r="I28" s="22"/>
      <c r="J28" s="22"/>
      <c r="K28" s="23"/>
      <c r="L28" s="21"/>
      <c r="M28" s="24" t="s">
        <v>35</v>
      </c>
      <c r="N28" s="22"/>
      <c r="O28" s="24"/>
      <c r="P28" s="24"/>
      <c r="Q28" s="24"/>
      <c r="R28" s="100"/>
      <c r="S28" s="23"/>
      <c r="T28" s="171"/>
      <c r="U28" s="25"/>
      <c r="V28" s="26"/>
      <c r="W28" s="27"/>
      <c r="X28" s="28"/>
      <c r="Y28" s="95" t="s">
        <v>353</v>
      </c>
    </row>
    <row r="29" spans="1:25" ht="11.4" x14ac:dyDescent="0.15">
      <c r="A29" s="141">
        <f t="shared" si="0"/>
        <v>25</v>
      </c>
      <c r="B29" s="20"/>
      <c r="C29" s="20"/>
      <c r="D29" s="20"/>
      <c r="E29" s="96" t="s">
        <v>43</v>
      </c>
      <c r="F29" s="109" t="s">
        <v>37</v>
      </c>
      <c r="G29" s="120"/>
      <c r="H29" s="21"/>
      <c r="I29" s="22"/>
      <c r="J29" s="22"/>
      <c r="K29" s="23"/>
      <c r="L29" s="21"/>
      <c r="M29" s="24" t="s">
        <v>35</v>
      </c>
      <c r="N29" s="22"/>
      <c r="O29" s="24"/>
      <c r="P29" s="24"/>
      <c r="Q29" s="24"/>
      <c r="R29" s="100"/>
      <c r="S29" s="23"/>
      <c r="T29" s="171"/>
      <c r="U29" s="25"/>
      <c r="V29" s="26"/>
      <c r="W29" s="27"/>
      <c r="X29" s="28"/>
      <c r="Y29" s="95" t="s">
        <v>353</v>
      </c>
    </row>
    <row r="30" spans="1:25" ht="11.4" x14ac:dyDescent="0.15">
      <c r="A30" s="141">
        <f t="shared" si="0"/>
        <v>26</v>
      </c>
      <c r="B30" s="20"/>
      <c r="C30" s="20"/>
      <c r="D30" s="20"/>
      <c r="E30" s="96" t="s">
        <v>44</v>
      </c>
      <c r="F30" s="109" t="s">
        <v>45</v>
      </c>
      <c r="G30" s="120"/>
      <c r="H30" s="21"/>
      <c r="I30" s="22"/>
      <c r="J30" s="22"/>
      <c r="K30" s="23"/>
      <c r="L30" s="21"/>
      <c r="M30" s="24" t="s">
        <v>35</v>
      </c>
      <c r="N30" s="22"/>
      <c r="O30" s="24"/>
      <c r="P30" s="24"/>
      <c r="Q30" s="24"/>
      <c r="R30" s="22"/>
      <c r="S30" s="23"/>
      <c r="T30" s="171"/>
      <c r="U30" s="25"/>
      <c r="V30" s="26"/>
      <c r="W30" s="27"/>
      <c r="X30" s="28"/>
      <c r="Y30" s="95" t="s">
        <v>353</v>
      </c>
    </row>
    <row r="31" spans="1:25" ht="11.4" x14ac:dyDescent="0.15">
      <c r="A31" s="141">
        <f t="shared" si="0"/>
        <v>27</v>
      </c>
      <c r="B31" s="20"/>
      <c r="C31" s="20"/>
      <c r="D31" s="20"/>
      <c r="E31" s="96"/>
      <c r="F31" s="109" t="s">
        <v>46</v>
      </c>
      <c r="G31" s="120"/>
      <c r="H31" s="21"/>
      <c r="I31" s="22"/>
      <c r="J31" s="22"/>
      <c r="K31" s="23"/>
      <c r="L31" s="21"/>
      <c r="M31" s="24" t="s">
        <v>35</v>
      </c>
      <c r="N31" s="22"/>
      <c r="O31" s="24"/>
      <c r="P31" s="24"/>
      <c r="Q31" s="24"/>
      <c r="R31" s="22"/>
      <c r="S31" s="23"/>
      <c r="T31" s="171"/>
      <c r="U31" s="25"/>
      <c r="V31" s="26"/>
      <c r="W31" s="27"/>
      <c r="X31" s="28"/>
      <c r="Y31" s="95" t="s">
        <v>353</v>
      </c>
    </row>
    <row r="32" spans="1:25" ht="15" customHeight="1" x14ac:dyDescent="0.15">
      <c r="A32" s="141">
        <f t="shared" si="0"/>
        <v>28</v>
      </c>
      <c r="B32" s="20"/>
      <c r="C32" s="20"/>
      <c r="D32" s="20"/>
      <c r="E32" s="96" t="s">
        <v>201</v>
      </c>
      <c r="F32" s="109" t="s">
        <v>170</v>
      </c>
      <c r="G32" s="120"/>
      <c r="H32" s="21"/>
      <c r="I32" s="22"/>
      <c r="J32" s="22"/>
      <c r="K32" s="23"/>
      <c r="L32" s="21"/>
      <c r="M32" s="22"/>
      <c r="N32" s="22"/>
      <c r="O32" s="24"/>
      <c r="P32" s="24"/>
      <c r="Q32" s="24"/>
      <c r="R32" s="22" t="s">
        <v>35</v>
      </c>
      <c r="S32" s="23"/>
      <c r="T32" s="171"/>
      <c r="U32" s="25"/>
      <c r="V32" s="26"/>
      <c r="W32" s="27"/>
      <c r="X32" s="28"/>
      <c r="Y32" s="95" t="s">
        <v>353</v>
      </c>
    </row>
    <row r="33" spans="1:25" ht="23.4" customHeight="1" x14ac:dyDescent="0.15">
      <c r="A33" s="141">
        <f t="shared" si="0"/>
        <v>29</v>
      </c>
      <c r="B33" s="20"/>
      <c r="C33" s="20"/>
      <c r="D33" s="20"/>
      <c r="E33" s="30"/>
      <c r="F33" s="109" t="s">
        <v>78</v>
      </c>
      <c r="G33" s="119"/>
      <c r="H33" s="21"/>
      <c r="I33" s="22"/>
      <c r="J33" s="22"/>
      <c r="K33" s="23"/>
      <c r="L33" s="21"/>
      <c r="M33" s="22"/>
      <c r="N33" s="22"/>
      <c r="O33" s="24"/>
      <c r="P33" s="24"/>
      <c r="Q33" s="24"/>
      <c r="R33" s="22" t="s">
        <v>35</v>
      </c>
      <c r="S33" s="23"/>
      <c r="T33" s="171"/>
      <c r="U33" s="25"/>
      <c r="V33" s="26"/>
      <c r="W33" s="27"/>
      <c r="X33" s="28"/>
      <c r="Y33" s="95" t="s">
        <v>353</v>
      </c>
    </row>
    <row r="34" spans="1:25" ht="33.6" customHeight="1" x14ac:dyDescent="0.15">
      <c r="A34" s="141">
        <f t="shared" si="0"/>
        <v>30</v>
      </c>
      <c r="B34" s="20"/>
      <c r="C34" s="20"/>
      <c r="D34" s="20"/>
      <c r="E34" s="75"/>
      <c r="F34" s="109" t="s">
        <v>229</v>
      </c>
      <c r="G34" s="121"/>
      <c r="H34" s="21"/>
      <c r="I34" s="22"/>
      <c r="J34" s="22"/>
      <c r="K34" s="23"/>
      <c r="L34" s="21"/>
      <c r="M34" s="22"/>
      <c r="N34" s="22"/>
      <c r="O34" s="24"/>
      <c r="P34" s="24"/>
      <c r="Q34" s="24"/>
      <c r="R34" s="22" t="s">
        <v>35</v>
      </c>
      <c r="S34" s="23"/>
      <c r="T34" s="171"/>
      <c r="U34" s="25"/>
      <c r="V34" s="26"/>
      <c r="W34" s="27"/>
      <c r="X34" s="28"/>
      <c r="Y34" s="95" t="s">
        <v>353</v>
      </c>
    </row>
    <row r="35" spans="1:25" ht="11.4" x14ac:dyDescent="0.15">
      <c r="A35" s="141">
        <f t="shared" si="0"/>
        <v>31</v>
      </c>
      <c r="B35" s="20"/>
      <c r="C35" s="20" t="s">
        <v>52</v>
      </c>
      <c r="D35" s="20" t="s">
        <v>173</v>
      </c>
      <c r="E35" s="96" t="s">
        <v>285</v>
      </c>
      <c r="F35" s="109" t="s">
        <v>42</v>
      </c>
      <c r="G35" s="119"/>
      <c r="H35" s="78"/>
      <c r="I35" s="79"/>
      <c r="J35" s="79"/>
      <c r="K35" s="80"/>
      <c r="L35" s="78"/>
      <c r="M35" s="81"/>
      <c r="N35" s="79"/>
      <c r="O35" s="81"/>
      <c r="P35" s="81"/>
      <c r="Q35" s="81"/>
      <c r="R35" s="101"/>
      <c r="S35" s="80"/>
      <c r="T35" s="172"/>
      <c r="U35" s="82"/>
      <c r="V35" s="83"/>
      <c r="W35" s="84"/>
      <c r="X35" s="85"/>
      <c r="Y35" s="95" t="s">
        <v>354</v>
      </c>
    </row>
    <row r="36" spans="1:25" ht="11.4" x14ac:dyDescent="0.15">
      <c r="A36" s="141">
        <f t="shared" si="0"/>
        <v>32</v>
      </c>
      <c r="B36" s="20"/>
      <c r="C36" s="20"/>
      <c r="D36" s="20"/>
      <c r="E36" s="30" t="s">
        <v>33</v>
      </c>
      <c r="F36" s="109" t="s">
        <v>293</v>
      </c>
      <c r="G36" s="119"/>
      <c r="H36" s="21"/>
      <c r="I36" s="22"/>
      <c r="J36" s="22"/>
      <c r="K36" s="23"/>
      <c r="L36" s="21"/>
      <c r="M36" s="24" t="s">
        <v>35</v>
      </c>
      <c r="N36" s="22"/>
      <c r="O36" s="24"/>
      <c r="P36" s="24"/>
      <c r="Q36" s="24"/>
      <c r="R36" s="100"/>
      <c r="S36" s="23"/>
      <c r="T36" s="171"/>
      <c r="U36" s="25"/>
      <c r="V36" s="26"/>
      <c r="W36" s="27"/>
      <c r="X36" s="28"/>
      <c r="Y36" s="95" t="s">
        <v>354</v>
      </c>
    </row>
    <row r="37" spans="1:25" ht="11.4" x14ac:dyDescent="0.15">
      <c r="A37" s="141">
        <f t="shared" si="0"/>
        <v>33</v>
      </c>
      <c r="B37" s="20"/>
      <c r="C37" s="20"/>
      <c r="D37" s="20"/>
      <c r="E37" s="96" t="s">
        <v>36</v>
      </c>
      <c r="F37" s="109" t="s">
        <v>37</v>
      </c>
      <c r="G37" s="120"/>
      <c r="H37" s="21"/>
      <c r="I37" s="22"/>
      <c r="J37" s="22"/>
      <c r="K37" s="23"/>
      <c r="L37" s="21"/>
      <c r="M37" s="24" t="s">
        <v>35</v>
      </c>
      <c r="N37" s="22"/>
      <c r="O37" s="24"/>
      <c r="P37" s="24"/>
      <c r="Q37" s="24"/>
      <c r="R37" s="100"/>
      <c r="S37" s="23"/>
      <c r="T37" s="171"/>
      <c r="U37" s="25"/>
      <c r="V37" s="26"/>
      <c r="W37" s="27"/>
      <c r="X37" s="28"/>
      <c r="Y37" s="95" t="s">
        <v>354</v>
      </c>
    </row>
    <row r="38" spans="1:25" ht="11.4" x14ac:dyDescent="0.15">
      <c r="A38" s="141">
        <f t="shared" si="0"/>
        <v>34</v>
      </c>
      <c r="B38" s="20"/>
      <c r="C38" s="20"/>
      <c r="D38" s="20"/>
      <c r="E38" s="96" t="s">
        <v>43</v>
      </c>
      <c r="F38" s="109" t="s">
        <v>37</v>
      </c>
      <c r="G38" s="120"/>
      <c r="H38" s="21"/>
      <c r="I38" s="22"/>
      <c r="J38" s="22"/>
      <c r="K38" s="23"/>
      <c r="L38" s="21"/>
      <c r="M38" s="24" t="s">
        <v>35</v>
      </c>
      <c r="N38" s="22"/>
      <c r="O38" s="24"/>
      <c r="P38" s="24"/>
      <c r="Q38" s="24"/>
      <c r="R38" s="100"/>
      <c r="S38" s="23"/>
      <c r="T38" s="171"/>
      <c r="U38" s="25"/>
      <c r="V38" s="26"/>
      <c r="W38" s="27"/>
      <c r="X38" s="28"/>
      <c r="Y38" s="95" t="s">
        <v>354</v>
      </c>
    </row>
    <row r="39" spans="1:25" ht="11.4" x14ac:dyDescent="0.15">
      <c r="A39" s="141">
        <f t="shared" si="0"/>
        <v>35</v>
      </c>
      <c r="B39" s="20"/>
      <c r="C39" s="20"/>
      <c r="D39" s="20"/>
      <c r="E39" s="96" t="s">
        <v>44</v>
      </c>
      <c r="F39" s="109" t="s">
        <v>45</v>
      </c>
      <c r="G39" s="120"/>
      <c r="H39" s="21"/>
      <c r="I39" s="22"/>
      <c r="J39" s="22"/>
      <c r="K39" s="23"/>
      <c r="L39" s="21"/>
      <c r="M39" s="24" t="s">
        <v>35</v>
      </c>
      <c r="N39" s="22"/>
      <c r="O39" s="24"/>
      <c r="P39" s="24"/>
      <c r="Q39" s="24"/>
      <c r="R39" s="22"/>
      <c r="S39" s="23"/>
      <c r="T39" s="171"/>
      <c r="U39" s="25"/>
      <c r="V39" s="26"/>
      <c r="W39" s="27"/>
      <c r="X39" s="28"/>
      <c r="Y39" s="95" t="s">
        <v>354</v>
      </c>
    </row>
    <row r="40" spans="1:25" ht="11.4" x14ac:dyDescent="0.15">
      <c r="A40" s="141">
        <f t="shared" si="0"/>
        <v>36</v>
      </c>
      <c r="B40" s="20"/>
      <c r="C40" s="20"/>
      <c r="D40" s="20"/>
      <c r="E40" s="96"/>
      <c r="F40" s="109" t="s">
        <v>46</v>
      </c>
      <c r="G40" s="120"/>
      <c r="H40" s="21"/>
      <c r="I40" s="22"/>
      <c r="J40" s="22"/>
      <c r="K40" s="23"/>
      <c r="L40" s="21"/>
      <c r="M40" s="24" t="s">
        <v>35</v>
      </c>
      <c r="N40" s="22"/>
      <c r="O40" s="24"/>
      <c r="P40" s="24"/>
      <c r="Q40" s="24"/>
      <c r="R40" s="22"/>
      <c r="S40" s="23"/>
      <c r="T40" s="171"/>
      <c r="U40" s="25"/>
      <c r="V40" s="26"/>
      <c r="W40" s="27"/>
      <c r="X40" s="28"/>
      <c r="Y40" s="95" t="s">
        <v>354</v>
      </c>
    </row>
    <row r="41" spans="1:25" ht="15" customHeight="1" x14ac:dyDescent="0.15">
      <c r="A41" s="141">
        <f t="shared" si="0"/>
        <v>37</v>
      </c>
      <c r="B41" s="20"/>
      <c r="C41" s="20"/>
      <c r="D41" s="20"/>
      <c r="E41" s="96" t="s">
        <v>202</v>
      </c>
      <c r="F41" s="109" t="s">
        <v>170</v>
      </c>
      <c r="G41" s="120"/>
      <c r="H41" s="21"/>
      <c r="I41" s="22"/>
      <c r="J41" s="22"/>
      <c r="K41" s="23"/>
      <c r="L41" s="21"/>
      <c r="M41" s="22"/>
      <c r="N41" s="22"/>
      <c r="O41" s="24"/>
      <c r="P41" s="24"/>
      <c r="Q41" s="24"/>
      <c r="R41" s="22" t="s">
        <v>35</v>
      </c>
      <c r="S41" s="23"/>
      <c r="T41" s="171"/>
      <c r="U41" s="25"/>
      <c r="V41" s="26"/>
      <c r="W41" s="27"/>
      <c r="X41" s="28"/>
      <c r="Y41" s="95" t="s">
        <v>354</v>
      </c>
    </row>
    <row r="42" spans="1:25" ht="22.8" x14ac:dyDescent="0.15">
      <c r="A42" s="141">
        <f t="shared" si="0"/>
        <v>38</v>
      </c>
      <c r="B42" s="20"/>
      <c r="C42" s="20"/>
      <c r="D42" s="20"/>
      <c r="E42" s="96"/>
      <c r="F42" s="109" t="s">
        <v>80</v>
      </c>
      <c r="G42" s="119"/>
      <c r="H42" s="21"/>
      <c r="I42" s="22"/>
      <c r="J42" s="22"/>
      <c r="K42" s="23"/>
      <c r="L42" s="21"/>
      <c r="M42" s="22"/>
      <c r="N42" s="22"/>
      <c r="O42" s="24"/>
      <c r="P42" s="24"/>
      <c r="Q42" s="24"/>
      <c r="R42" s="22" t="s">
        <v>35</v>
      </c>
      <c r="S42" s="23"/>
      <c r="T42" s="171"/>
      <c r="U42" s="25"/>
      <c r="V42" s="26"/>
      <c r="W42" s="27"/>
      <c r="X42" s="28"/>
      <c r="Y42" s="95" t="s">
        <v>354</v>
      </c>
    </row>
    <row r="43" spans="1:25" ht="33.6" customHeight="1" x14ac:dyDescent="0.15">
      <c r="A43" s="141">
        <f t="shared" si="0"/>
        <v>39</v>
      </c>
      <c r="B43" s="20"/>
      <c r="C43" s="20"/>
      <c r="D43" s="20"/>
      <c r="E43" s="75"/>
      <c r="F43" s="109" t="s">
        <v>230</v>
      </c>
      <c r="G43" s="121"/>
      <c r="H43" s="21"/>
      <c r="I43" s="22"/>
      <c r="J43" s="22"/>
      <c r="K43" s="23"/>
      <c r="L43" s="21"/>
      <c r="M43" s="22"/>
      <c r="N43" s="22"/>
      <c r="O43" s="24"/>
      <c r="P43" s="24"/>
      <c r="Q43" s="24"/>
      <c r="R43" s="22" t="s">
        <v>35</v>
      </c>
      <c r="S43" s="23"/>
      <c r="T43" s="171"/>
      <c r="U43" s="25"/>
      <c r="V43" s="26"/>
      <c r="W43" s="27"/>
      <c r="X43" s="28"/>
      <c r="Y43" s="95" t="s">
        <v>354</v>
      </c>
    </row>
    <row r="44" spans="1:25" ht="22.8" x14ac:dyDescent="0.15">
      <c r="A44" s="141">
        <f t="shared" si="0"/>
        <v>40</v>
      </c>
      <c r="B44" s="20"/>
      <c r="C44" s="20" t="s">
        <v>84</v>
      </c>
      <c r="D44" s="169" t="s">
        <v>177</v>
      </c>
      <c r="E44" s="96" t="s">
        <v>56</v>
      </c>
      <c r="F44" s="109" t="s">
        <v>37</v>
      </c>
      <c r="G44" s="120"/>
      <c r="H44" s="21"/>
      <c r="I44" s="22"/>
      <c r="J44" s="22"/>
      <c r="K44" s="23"/>
      <c r="L44" s="21"/>
      <c r="M44" s="24" t="s">
        <v>35</v>
      </c>
      <c r="N44" s="22"/>
      <c r="O44" s="24"/>
      <c r="P44" s="24"/>
      <c r="Q44" s="24"/>
      <c r="R44" s="100"/>
      <c r="S44" s="23"/>
      <c r="T44" s="171"/>
      <c r="U44" s="25"/>
      <c r="V44" s="26"/>
      <c r="W44" s="27"/>
      <c r="X44" s="28"/>
      <c r="Y44" s="95"/>
    </row>
    <row r="45" spans="1:25" ht="11.4" x14ac:dyDescent="0.15">
      <c r="A45" s="141">
        <f t="shared" si="0"/>
        <v>41</v>
      </c>
      <c r="B45" s="20"/>
      <c r="C45" s="20"/>
      <c r="D45" s="169"/>
      <c r="E45" s="96" t="s">
        <v>85</v>
      </c>
      <c r="F45" s="109" t="s">
        <v>37</v>
      </c>
      <c r="G45" s="120"/>
      <c r="H45" s="21"/>
      <c r="I45" s="22"/>
      <c r="J45" s="22"/>
      <c r="K45" s="23"/>
      <c r="L45" s="21"/>
      <c r="M45" s="24" t="s">
        <v>35</v>
      </c>
      <c r="N45" s="22"/>
      <c r="O45" s="24"/>
      <c r="P45" s="24"/>
      <c r="Q45" s="24"/>
      <c r="R45" s="100"/>
      <c r="S45" s="23"/>
      <c r="T45" s="171"/>
      <c r="U45" s="25"/>
      <c r="V45" s="26"/>
      <c r="W45" s="27"/>
      <c r="X45" s="28"/>
      <c r="Y45" s="95"/>
    </row>
    <row r="46" spans="1:25" ht="11.4" x14ac:dyDescent="0.15">
      <c r="A46" s="141">
        <f t="shared" si="0"/>
        <v>42</v>
      </c>
      <c r="B46" s="20"/>
      <c r="C46" s="20"/>
      <c r="D46" s="169"/>
      <c r="E46" s="96" t="s">
        <v>92</v>
      </c>
      <c r="F46" s="109" t="s">
        <v>37</v>
      </c>
      <c r="G46" s="120"/>
      <c r="H46" s="21"/>
      <c r="I46" s="22"/>
      <c r="J46" s="22"/>
      <c r="K46" s="23"/>
      <c r="L46" s="21"/>
      <c r="M46" s="24" t="s">
        <v>35</v>
      </c>
      <c r="N46" s="22"/>
      <c r="O46" s="24"/>
      <c r="P46" s="24"/>
      <c r="Q46" s="24"/>
      <c r="R46" s="100"/>
      <c r="S46" s="23"/>
      <c r="T46" s="171"/>
      <c r="U46" s="25"/>
      <c r="V46" s="26"/>
      <c r="W46" s="27"/>
      <c r="X46" s="28"/>
      <c r="Y46" s="95"/>
    </row>
    <row r="47" spans="1:25" ht="11.4" x14ac:dyDescent="0.15">
      <c r="A47" s="141">
        <f t="shared" si="0"/>
        <v>43</v>
      </c>
      <c r="B47" s="20"/>
      <c r="C47" s="20"/>
      <c r="D47" s="169"/>
      <c r="E47" s="96" t="s">
        <v>93</v>
      </c>
      <c r="F47" s="109" t="s">
        <v>88</v>
      </c>
      <c r="G47" s="120"/>
      <c r="H47" s="21"/>
      <c r="I47" s="22"/>
      <c r="J47" s="22"/>
      <c r="K47" s="23"/>
      <c r="L47" s="21"/>
      <c r="M47" s="24" t="s">
        <v>35</v>
      </c>
      <c r="N47" s="22"/>
      <c r="O47" s="24"/>
      <c r="P47" s="24"/>
      <c r="Q47" s="24"/>
      <c r="R47" s="100"/>
      <c r="S47" s="23"/>
      <c r="T47" s="171"/>
      <c r="U47" s="25"/>
      <c r="V47" s="26"/>
      <c r="W47" s="27"/>
      <c r="X47" s="28"/>
      <c r="Y47" s="95"/>
    </row>
    <row r="48" spans="1:25" ht="11.4" x14ac:dyDescent="0.15">
      <c r="A48" s="141">
        <f t="shared" si="0"/>
        <v>44</v>
      </c>
      <c r="B48" s="20"/>
      <c r="C48" s="20"/>
      <c r="D48" s="169"/>
      <c r="E48" s="96" t="s">
        <v>89</v>
      </c>
      <c r="F48" s="109" t="s">
        <v>94</v>
      </c>
      <c r="G48" s="120"/>
      <c r="H48" s="21"/>
      <c r="I48" s="22"/>
      <c r="J48" s="22"/>
      <c r="K48" s="23"/>
      <c r="L48" s="21"/>
      <c r="M48" s="24" t="s">
        <v>35</v>
      </c>
      <c r="N48" s="22"/>
      <c r="O48" s="24"/>
      <c r="P48" s="24"/>
      <c r="Q48" s="24"/>
      <c r="R48" s="100"/>
      <c r="S48" s="23"/>
      <c r="T48" s="171"/>
      <c r="U48" s="25"/>
      <c r="V48" s="26"/>
      <c r="W48" s="27"/>
      <c r="X48" s="28"/>
      <c r="Y48" s="95"/>
    </row>
    <row r="49" spans="1:25" ht="11.4" x14ac:dyDescent="0.15">
      <c r="A49" s="141">
        <f t="shared" si="0"/>
        <v>45</v>
      </c>
      <c r="B49" s="20"/>
      <c r="C49" s="20"/>
      <c r="D49" s="169"/>
      <c r="E49" s="96" t="s">
        <v>233</v>
      </c>
      <c r="F49" s="109" t="s">
        <v>42</v>
      </c>
      <c r="G49" s="120"/>
      <c r="H49" s="86"/>
      <c r="I49" s="79"/>
      <c r="J49" s="79"/>
      <c r="K49" s="80"/>
      <c r="L49" s="78"/>
      <c r="M49" s="81"/>
      <c r="N49" s="79"/>
      <c r="O49" s="81"/>
      <c r="P49" s="81"/>
      <c r="Q49" s="81"/>
      <c r="R49" s="101"/>
      <c r="S49" s="80"/>
      <c r="T49" s="172"/>
      <c r="U49" s="82"/>
      <c r="V49" s="83"/>
      <c r="W49" s="84"/>
      <c r="X49" s="85"/>
      <c r="Y49" s="95" t="s">
        <v>234</v>
      </c>
    </row>
    <row r="50" spans="1:25" ht="22.8" x14ac:dyDescent="0.15">
      <c r="A50" s="141">
        <f t="shared" si="0"/>
        <v>46</v>
      </c>
      <c r="B50" s="20"/>
      <c r="C50" s="20"/>
      <c r="D50" s="169" t="s">
        <v>178</v>
      </c>
      <c r="E50" s="96" t="s">
        <v>56</v>
      </c>
      <c r="F50" s="109" t="s">
        <v>37</v>
      </c>
      <c r="G50" s="120"/>
      <c r="H50" s="21"/>
      <c r="I50" s="22"/>
      <c r="J50" s="22"/>
      <c r="K50" s="23"/>
      <c r="L50" s="21"/>
      <c r="M50" s="24" t="s">
        <v>35</v>
      </c>
      <c r="N50" s="22"/>
      <c r="O50" s="24"/>
      <c r="P50" s="24"/>
      <c r="Q50" s="24"/>
      <c r="R50" s="100"/>
      <c r="S50" s="23"/>
      <c r="T50" s="171"/>
      <c r="U50" s="25"/>
      <c r="V50" s="26"/>
      <c r="W50" s="27"/>
      <c r="X50" s="28"/>
      <c r="Y50" s="95"/>
    </row>
    <row r="51" spans="1:25" ht="11.4" x14ac:dyDescent="0.15">
      <c r="A51" s="141">
        <f t="shared" si="0"/>
        <v>47</v>
      </c>
      <c r="B51" s="20"/>
      <c r="C51" s="20"/>
      <c r="D51" s="20"/>
      <c r="E51" s="96" t="s">
        <v>85</v>
      </c>
      <c r="F51" s="109" t="s">
        <v>37</v>
      </c>
      <c r="G51" s="120"/>
      <c r="H51" s="21"/>
      <c r="I51" s="22"/>
      <c r="J51" s="22"/>
      <c r="K51" s="23"/>
      <c r="L51" s="21"/>
      <c r="M51" s="24" t="s">
        <v>35</v>
      </c>
      <c r="N51" s="22"/>
      <c r="O51" s="24"/>
      <c r="P51" s="24"/>
      <c r="Q51" s="24"/>
      <c r="R51" s="100"/>
      <c r="S51" s="23"/>
      <c r="T51" s="171"/>
      <c r="U51" s="25"/>
      <c r="V51" s="26"/>
      <c r="W51" s="27"/>
      <c r="X51" s="28"/>
      <c r="Y51" s="95"/>
    </row>
    <row r="52" spans="1:25" ht="11.4" x14ac:dyDescent="0.15">
      <c r="A52" s="141">
        <f t="shared" si="0"/>
        <v>48</v>
      </c>
      <c r="B52" s="20"/>
      <c r="C52" s="20"/>
      <c r="D52" s="20"/>
      <c r="E52" s="96" t="s">
        <v>92</v>
      </c>
      <c r="F52" s="109" t="s">
        <v>37</v>
      </c>
      <c r="G52" s="120"/>
      <c r="H52" s="21"/>
      <c r="I52" s="22"/>
      <c r="J52" s="22"/>
      <c r="K52" s="23"/>
      <c r="L52" s="21"/>
      <c r="M52" s="24" t="s">
        <v>35</v>
      </c>
      <c r="N52" s="22"/>
      <c r="O52" s="24"/>
      <c r="P52" s="24"/>
      <c r="Q52" s="24"/>
      <c r="R52" s="100"/>
      <c r="S52" s="23"/>
      <c r="T52" s="171"/>
      <c r="U52" s="25"/>
      <c r="V52" s="26"/>
      <c r="W52" s="27"/>
      <c r="X52" s="28"/>
      <c r="Y52" s="95"/>
    </row>
    <row r="53" spans="1:25" ht="11.4" x14ac:dyDescent="0.15">
      <c r="A53" s="141">
        <f t="shared" si="0"/>
        <v>49</v>
      </c>
      <c r="B53" s="20"/>
      <c r="C53" s="20"/>
      <c r="D53" s="20"/>
      <c r="E53" s="96" t="s">
        <v>93</v>
      </c>
      <c r="F53" s="109" t="s">
        <v>88</v>
      </c>
      <c r="G53" s="120"/>
      <c r="H53" s="21"/>
      <c r="I53" s="22"/>
      <c r="J53" s="22"/>
      <c r="K53" s="23"/>
      <c r="L53" s="21"/>
      <c r="M53" s="24" t="s">
        <v>35</v>
      </c>
      <c r="N53" s="22"/>
      <c r="O53" s="24"/>
      <c r="P53" s="24"/>
      <c r="Q53" s="24"/>
      <c r="R53" s="100"/>
      <c r="S53" s="23"/>
      <c r="T53" s="171"/>
      <c r="U53" s="25"/>
      <c r="V53" s="26"/>
      <c r="W53" s="27"/>
      <c r="X53" s="28"/>
      <c r="Y53" s="95"/>
    </row>
    <row r="54" spans="1:25" ht="24" customHeight="1" x14ac:dyDescent="0.15">
      <c r="A54" s="141">
        <f t="shared" si="0"/>
        <v>50</v>
      </c>
      <c r="B54" s="20"/>
      <c r="C54" s="20"/>
      <c r="D54" s="20"/>
      <c r="E54" s="96" t="s">
        <v>89</v>
      </c>
      <c r="F54" s="109" t="s">
        <v>235</v>
      </c>
      <c r="G54" s="120"/>
      <c r="H54" s="21"/>
      <c r="I54" s="22"/>
      <c r="J54" s="22"/>
      <c r="K54" s="23"/>
      <c r="L54" s="21"/>
      <c r="M54" s="24" t="s">
        <v>35</v>
      </c>
      <c r="N54" s="22"/>
      <c r="O54" s="24"/>
      <c r="P54" s="24"/>
      <c r="Q54" s="24"/>
      <c r="R54" s="136"/>
      <c r="S54" s="23"/>
      <c r="T54" s="171"/>
      <c r="U54" s="25"/>
      <c r="V54" s="26"/>
      <c r="W54" s="27"/>
      <c r="X54" s="28"/>
      <c r="Y54" s="95"/>
    </row>
    <row r="55" spans="1:25"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5"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5"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5"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5"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5"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5"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5"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5" s="3" customFormat="1" ht="12" customHeight="1" x14ac:dyDescent="0.25">
      <c r="A63" s="32"/>
      <c r="B63" s="33"/>
      <c r="C63" s="34"/>
      <c r="D63" s="34"/>
      <c r="E63" s="33"/>
      <c r="F63" s="107" t="s">
        <v>109</v>
      </c>
      <c r="G63" s="35"/>
      <c r="H63" s="112">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73"/>
      <c r="U63" s="204" t="s">
        <v>110</v>
      </c>
      <c r="V63" s="204"/>
      <c r="W63" s="205"/>
      <c r="X63" s="40" t="s">
        <v>111</v>
      </c>
      <c r="Y63" s="41">
        <f>SUM(H63:S63)</f>
        <v>0</v>
      </c>
    </row>
    <row r="64" spans="1:25" s="3" customFormat="1" ht="12" customHeight="1" x14ac:dyDescent="0.25">
      <c r="A64" s="42"/>
      <c r="B64" s="43" t="s">
        <v>112</v>
      </c>
      <c r="C64" s="44">
        <f>Y65</f>
        <v>0</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206"/>
      <c r="V64" s="206"/>
      <c r="W64" s="207"/>
      <c r="X64" s="50" t="s">
        <v>111</v>
      </c>
      <c r="Y64" s="51">
        <f t="shared" ref="Y64:Y66" si="4">SUM(H64:S64)</f>
        <v>0</v>
      </c>
    </row>
    <row r="65" spans="1:25"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00"/>
      <c r="U65" s="187">
        <f>COUNTA(U5:U62)</f>
        <v>0</v>
      </c>
      <c r="V65" s="189">
        <f>COUNTA(V5:V62)</f>
        <v>0</v>
      </c>
      <c r="W65" s="191">
        <f>COUNTA(W5:W62)</f>
        <v>0</v>
      </c>
      <c r="X65" s="56" t="s">
        <v>111</v>
      </c>
      <c r="Y65" s="51">
        <f t="shared" si="4"/>
        <v>0</v>
      </c>
    </row>
    <row r="66" spans="1:25"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01"/>
      <c r="U66" s="188"/>
      <c r="V66" s="190"/>
      <c r="W66" s="192"/>
      <c r="X66" s="65" t="s">
        <v>111</v>
      </c>
      <c r="Y66" s="66">
        <f t="shared" si="4"/>
        <v>45</v>
      </c>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zoomScale="85" zoomScaleNormal="110" zoomScaleSheetLayoutView="85" workbookViewId="0">
      <pane ySplit="4" topLeftCell="A119" activePane="bottomLeft" state="frozen"/>
      <selection activeCell="B8" sqref="B8"/>
      <selection pane="bottomLeft" activeCell="H4" sqref="A4:XFD4"/>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287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32</v>
      </c>
      <c r="D5" s="20" t="s">
        <v>171</v>
      </c>
      <c r="E5" s="96" t="s">
        <v>33</v>
      </c>
      <c r="F5" s="97" t="s">
        <v>34</v>
      </c>
      <c r="G5" s="119"/>
      <c r="H5" s="21"/>
      <c r="I5" s="22"/>
      <c r="J5" s="22"/>
      <c r="K5" s="23"/>
      <c r="L5" s="21"/>
      <c r="M5" s="24" t="s">
        <v>35</v>
      </c>
      <c r="N5" s="22"/>
      <c r="O5" s="24"/>
      <c r="P5" s="24"/>
      <c r="Q5" s="24"/>
      <c r="R5" s="100"/>
      <c r="S5" s="23"/>
      <c r="T5" s="171"/>
      <c r="U5" s="25">
        <v>45680</v>
      </c>
      <c r="V5" s="26"/>
      <c r="W5" s="27"/>
      <c r="X5" s="28"/>
      <c r="Y5" s="95"/>
    </row>
    <row r="6" spans="1:25" ht="11.4"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c r="Y6" s="95"/>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c r="Y7" s="95"/>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c r="Y8" s="95"/>
    </row>
    <row r="9" spans="1:25" ht="11.4" x14ac:dyDescent="0.15">
      <c r="A9" s="19">
        <f t="shared" si="0"/>
        <v>5</v>
      </c>
      <c r="B9" s="20"/>
      <c r="C9" s="20"/>
      <c r="D9" s="20"/>
      <c r="E9" s="96" t="s">
        <v>351</v>
      </c>
      <c r="F9" s="97" t="s">
        <v>41</v>
      </c>
      <c r="G9" s="120"/>
      <c r="H9" s="21"/>
      <c r="I9" s="22"/>
      <c r="J9" s="22"/>
      <c r="K9" s="23"/>
      <c r="L9" s="21"/>
      <c r="M9" s="24" t="s">
        <v>35</v>
      </c>
      <c r="N9" s="22"/>
      <c r="O9" s="24"/>
      <c r="P9" s="24"/>
      <c r="Q9" s="24"/>
      <c r="R9" s="22"/>
      <c r="S9" s="23"/>
      <c r="T9" s="171"/>
      <c r="U9" s="25">
        <v>45680</v>
      </c>
      <c r="V9" s="26"/>
      <c r="W9" s="27"/>
      <c r="X9" s="28"/>
      <c r="Y9" s="95"/>
    </row>
    <row r="10" spans="1:25" ht="11.4" x14ac:dyDescent="0.15">
      <c r="A10" s="19">
        <f t="shared" si="0"/>
        <v>6</v>
      </c>
      <c r="B10" s="20"/>
      <c r="C10" s="20"/>
      <c r="D10" s="20" t="s">
        <v>172</v>
      </c>
      <c r="E10" s="96" t="s">
        <v>294</v>
      </c>
      <c r="F10" s="97" t="s">
        <v>42</v>
      </c>
      <c r="G10" s="120"/>
      <c r="H10" s="78"/>
      <c r="I10" s="79"/>
      <c r="J10" s="79"/>
      <c r="K10" s="80"/>
      <c r="L10" s="78"/>
      <c r="M10" s="81"/>
      <c r="N10" s="79"/>
      <c r="O10" s="81"/>
      <c r="P10" s="81"/>
      <c r="Q10" s="81"/>
      <c r="R10" s="101"/>
      <c r="S10" s="80"/>
      <c r="T10" s="172"/>
      <c r="U10" s="82"/>
      <c r="V10" s="83"/>
      <c r="W10" s="84"/>
      <c r="X10" s="85"/>
      <c r="Y10" s="95"/>
    </row>
    <row r="11" spans="1:25" ht="22.8" x14ac:dyDescent="0.15">
      <c r="A11" s="19">
        <f t="shared" si="0"/>
        <v>7</v>
      </c>
      <c r="B11" s="20"/>
      <c r="C11" s="20"/>
      <c r="D11" s="20"/>
      <c r="E11" s="96" t="s">
        <v>33</v>
      </c>
      <c r="F11" s="97" t="s">
        <v>295</v>
      </c>
      <c r="G11" s="120"/>
      <c r="H11" s="21"/>
      <c r="I11" s="22"/>
      <c r="J11" s="22"/>
      <c r="K11" s="23"/>
      <c r="L11" s="21"/>
      <c r="M11" s="24" t="s">
        <v>35</v>
      </c>
      <c r="N11" s="22"/>
      <c r="O11" s="24"/>
      <c r="P11" s="24"/>
      <c r="Q11" s="24"/>
      <c r="R11" s="100"/>
      <c r="S11" s="23"/>
      <c r="T11" s="171"/>
      <c r="U11" s="25">
        <v>45680</v>
      </c>
      <c r="V11" s="26"/>
      <c r="W11" s="27"/>
      <c r="X11" s="28"/>
      <c r="Y11" s="95"/>
    </row>
    <row r="12" spans="1:25" ht="11.4"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c r="Y12" s="95"/>
    </row>
    <row r="13" spans="1:25" ht="11.4"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c r="Y13" s="95"/>
    </row>
    <row r="14" spans="1:25" ht="11.4"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c r="Y14" s="95"/>
    </row>
    <row r="15" spans="1:25" ht="11.4"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c r="Y15" s="95"/>
    </row>
    <row r="16" spans="1:25" ht="22.8" x14ac:dyDescent="0.15">
      <c r="A16" s="19">
        <f t="shared" si="0"/>
        <v>12</v>
      </c>
      <c r="B16" s="20"/>
      <c r="C16" s="20"/>
      <c r="D16" s="20"/>
      <c r="E16" s="96" t="s">
        <v>200</v>
      </c>
      <c r="F16" s="97" t="s">
        <v>170</v>
      </c>
      <c r="G16" s="120"/>
      <c r="H16" s="21"/>
      <c r="I16" s="22"/>
      <c r="J16" s="22"/>
      <c r="K16" s="23"/>
      <c r="L16" s="21"/>
      <c r="M16" s="24"/>
      <c r="N16" s="22"/>
      <c r="O16" s="24"/>
      <c r="P16" s="24"/>
      <c r="Q16" s="24"/>
      <c r="R16" s="22" t="s">
        <v>35</v>
      </c>
      <c r="S16" s="23"/>
      <c r="T16" s="171"/>
      <c r="U16" s="25">
        <v>45680</v>
      </c>
      <c r="V16" s="26"/>
      <c r="W16" s="27"/>
      <c r="X16" s="28"/>
      <c r="Y16" s="95" t="s">
        <v>198</v>
      </c>
    </row>
    <row r="17" spans="1:25" ht="15" customHeight="1" x14ac:dyDescent="0.15">
      <c r="A17" s="19">
        <f t="shared" si="0"/>
        <v>13</v>
      </c>
      <c r="B17" s="20"/>
      <c r="C17" s="20"/>
      <c r="D17" s="20"/>
      <c r="E17" s="96" t="s">
        <v>201</v>
      </c>
      <c r="F17" s="97" t="s">
        <v>170</v>
      </c>
      <c r="G17" s="120"/>
      <c r="H17" s="21"/>
      <c r="I17" s="22"/>
      <c r="J17" s="22"/>
      <c r="K17" s="23"/>
      <c r="L17" s="21"/>
      <c r="M17" s="22"/>
      <c r="N17" s="22"/>
      <c r="O17" s="24"/>
      <c r="P17" s="24"/>
      <c r="Q17" s="24"/>
      <c r="R17" s="22" t="s">
        <v>35</v>
      </c>
      <c r="S17" s="23"/>
      <c r="T17" s="171"/>
      <c r="U17" s="176"/>
      <c r="V17" s="177"/>
      <c r="W17" s="178"/>
      <c r="X17" s="28"/>
      <c r="Y17" s="95" t="s">
        <v>199</v>
      </c>
    </row>
    <row r="18" spans="1:25" ht="33.6"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c r="Y18" s="95" t="s">
        <v>199</v>
      </c>
    </row>
    <row r="19" spans="1:25" ht="33.6" customHeight="1" x14ac:dyDescent="0.15">
      <c r="A19" s="19">
        <f t="shared" si="0"/>
        <v>15</v>
      </c>
      <c r="B19" s="20"/>
      <c r="C19" s="20"/>
      <c r="D19" s="20"/>
      <c r="E19" s="96"/>
      <c r="F19" s="97" t="s">
        <v>236</v>
      </c>
      <c r="G19" s="120"/>
      <c r="H19" s="21"/>
      <c r="I19" s="22"/>
      <c r="J19" s="22"/>
      <c r="K19" s="23"/>
      <c r="L19" s="21"/>
      <c r="M19" s="22"/>
      <c r="N19" s="22"/>
      <c r="O19" s="24"/>
      <c r="P19" s="24"/>
      <c r="Q19" s="24"/>
      <c r="R19" s="22" t="s">
        <v>35</v>
      </c>
      <c r="S19" s="23"/>
      <c r="T19" s="171"/>
      <c r="U19" s="176"/>
      <c r="V19" s="177"/>
      <c r="W19" s="178"/>
      <c r="X19" s="28"/>
      <c r="Y19" s="95" t="s">
        <v>199</v>
      </c>
    </row>
    <row r="20" spans="1:25" ht="34.200000000000003" x14ac:dyDescent="0.15">
      <c r="A20" s="19">
        <f t="shared" si="0"/>
        <v>16</v>
      </c>
      <c r="B20" s="20"/>
      <c r="C20" s="20"/>
      <c r="D20" s="20"/>
      <c r="E20" s="96" t="s">
        <v>48</v>
      </c>
      <c r="F20" s="97" t="s">
        <v>318</v>
      </c>
      <c r="G20" s="120"/>
      <c r="H20" s="21"/>
      <c r="I20" s="22"/>
      <c r="J20" s="22"/>
      <c r="K20" s="23"/>
      <c r="L20" s="21"/>
      <c r="M20" s="22"/>
      <c r="N20" s="22"/>
      <c r="O20" s="24"/>
      <c r="P20" s="24"/>
      <c r="Q20" s="24"/>
      <c r="R20" s="22" t="s">
        <v>35</v>
      </c>
      <c r="S20" s="23"/>
      <c r="T20" s="171"/>
      <c r="U20" s="176"/>
      <c r="V20" s="177"/>
      <c r="W20" s="178"/>
      <c r="X20" s="28"/>
      <c r="Y20" s="95" t="s">
        <v>199</v>
      </c>
    </row>
    <row r="21" spans="1:25" ht="34.200000000000003" x14ac:dyDescent="0.15">
      <c r="A21" s="19">
        <f t="shared" si="0"/>
        <v>17</v>
      </c>
      <c r="B21" s="20"/>
      <c r="C21" s="20"/>
      <c r="D21" s="20"/>
      <c r="E21" s="96" t="s">
        <v>49</v>
      </c>
      <c r="F21" s="97" t="s">
        <v>318</v>
      </c>
      <c r="G21" s="119"/>
      <c r="H21" s="21"/>
      <c r="I21" s="22"/>
      <c r="J21" s="22"/>
      <c r="K21" s="23"/>
      <c r="L21" s="21"/>
      <c r="M21" s="22"/>
      <c r="N21" s="22"/>
      <c r="O21" s="24"/>
      <c r="P21" s="24"/>
      <c r="Q21" s="24"/>
      <c r="R21" s="22" t="s">
        <v>35</v>
      </c>
      <c r="S21" s="23"/>
      <c r="T21" s="171"/>
      <c r="U21" s="176"/>
      <c r="V21" s="177"/>
      <c r="W21" s="178"/>
      <c r="X21" s="28"/>
      <c r="Y21" s="95" t="s">
        <v>199</v>
      </c>
    </row>
    <row r="22" spans="1:25" ht="34.200000000000003" x14ac:dyDescent="0.15">
      <c r="A22" s="19">
        <f t="shared" si="0"/>
        <v>18</v>
      </c>
      <c r="B22" s="20"/>
      <c r="C22" s="20"/>
      <c r="D22" s="20"/>
      <c r="E22" s="96" t="s">
        <v>50</v>
      </c>
      <c r="F22" s="97" t="s">
        <v>318</v>
      </c>
      <c r="G22" s="121"/>
      <c r="H22" s="21"/>
      <c r="I22" s="22"/>
      <c r="J22" s="22"/>
      <c r="K22" s="23"/>
      <c r="L22" s="21"/>
      <c r="M22" s="22"/>
      <c r="N22" s="22"/>
      <c r="O22" s="24"/>
      <c r="P22" s="24"/>
      <c r="Q22" s="24"/>
      <c r="R22" s="22" t="s">
        <v>35</v>
      </c>
      <c r="S22" s="23"/>
      <c r="T22" s="171"/>
      <c r="U22" s="176"/>
      <c r="V22" s="177"/>
      <c r="W22" s="178"/>
      <c r="X22" s="28"/>
      <c r="Y22" s="95" t="s">
        <v>199</v>
      </c>
    </row>
    <row r="23" spans="1:25" ht="34.200000000000003" x14ac:dyDescent="0.15">
      <c r="A23" s="19">
        <f t="shared" si="0"/>
        <v>19</v>
      </c>
      <c r="B23" s="20"/>
      <c r="C23" s="20"/>
      <c r="D23" s="20"/>
      <c r="E23" s="96" t="s">
        <v>51</v>
      </c>
      <c r="F23" s="97" t="s">
        <v>318</v>
      </c>
      <c r="G23" s="119"/>
      <c r="H23" s="21"/>
      <c r="I23" s="22"/>
      <c r="J23" s="22"/>
      <c r="K23" s="23"/>
      <c r="L23" s="21"/>
      <c r="M23" s="22"/>
      <c r="N23" s="22"/>
      <c r="O23" s="24"/>
      <c r="P23" s="24"/>
      <c r="Q23" s="24"/>
      <c r="R23" s="22" t="s">
        <v>35</v>
      </c>
      <c r="S23" s="23"/>
      <c r="T23" s="171"/>
      <c r="U23" s="176"/>
      <c r="V23" s="177"/>
      <c r="W23" s="178"/>
      <c r="X23" s="28"/>
      <c r="Y23" s="95" t="s">
        <v>199</v>
      </c>
    </row>
    <row r="24" spans="1:25" ht="22.8" x14ac:dyDescent="0.15">
      <c r="A24" s="19">
        <f t="shared" si="0"/>
        <v>20</v>
      </c>
      <c r="B24" s="20"/>
      <c r="C24" s="20" t="s">
        <v>52</v>
      </c>
      <c r="D24" s="20" t="s">
        <v>171</v>
      </c>
      <c r="E24" s="96" t="s">
        <v>33</v>
      </c>
      <c r="F24" s="97" t="s">
        <v>34</v>
      </c>
      <c r="G24" s="119"/>
      <c r="H24" s="21"/>
      <c r="I24" s="22"/>
      <c r="J24" s="22"/>
      <c r="K24" s="23"/>
      <c r="L24" s="21"/>
      <c r="M24" s="24" t="s">
        <v>35</v>
      </c>
      <c r="N24" s="22"/>
      <c r="O24" s="24"/>
      <c r="P24" s="24"/>
      <c r="Q24" s="24"/>
      <c r="R24" s="22"/>
      <c r="S24" s="23"/>
      <c r="T24" s="171"/>
      <c r="U24" s="25">
        <v>45680</v>
      </c>
      <c r="V24" s="26"/>
      <c r="W24" s="27"/>
      <c r="X24" s="28"/>
      <c r="Y24" s="95"/>
    </row>
    <row r="25" spans="1:25" ht="11.4"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c r="Y25" s="95"/>
    </row>
    <row r="26" spans="1:25" ht="11.4"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c r="Y26" s="95"/>
    </row>
    <row r="27" spans="1:25" ht="11.4"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c r="Y27" s="95"/>
    </row>
    <row r="28" spans="1:25" ht="11.4" x14ac:dyDescent="0.15">
      <c r="A28" s="19">
        <f t="shared" si="0"/>
        <v>24</v>
      </c>
      <c r="B28" s="20"/>
      <c r="C28" s="20"/>
      <c r="D28" s="20"/>
      <c r="E28" s="96" t="s">
        <v>351</v>
      </c>
      <c r="F28" s="97" t="s">
        <v>41</v>
      </c>
      <c r="G28" s="120"/>
      <c r="H28" s="21"/>
      <c r="I28" s="22"/>
      <c r="J28" s="22"/>
      <c r="K28" s="23"/>
      <c r="L28" s="21"/>
      <c r="M28" s="24" t="s">
        <v>35</v>
      </c>
      <c r="N28" s="22"/>
      <c r="O28" s="24"/>
      <c r="P28" s="24"/>
      <c r="Q28" s="24"/>
      <c r="R28" s="22"/>
      <c r="S28" s="23"/>
      <c r="T28" s="171"/>
      <c r="U28" s="25">
        <v>45680</v>
      </c>
      <c r="V28" s="26"/>
      <c r="W28" s="27"/>
      <c r="X28" s="28"/>
      <c r="Y28" s="95"/>
    </row>
    <row r="29" spans="1:25" ht="11.4" x14ac:dyDescent="0.15">
      <c r="A29" s="19">
        <f t="shared" si="0"/>
        <v>25</v>
      </c>
      <c r="B29" s="20"/>
      <c r="C29" s="20"/>
      <c r="D29" s="20" t="s">
        <v>173</v>
      </c>
      <c r="E29" s="96" t="s">
        <v>296</v>
      </c>
      <c r="F29" s="97" t="s">
        <v>42</v>
      </c>
      <c r="G29" s="120"/>
      <c r="H29" s="78"/>
      <c r="I29" s="79"/>
      <c r="J29" s="79"/>
      <c r="K29" s="80"/>
      <c r="L29" s="78"/>
      <c r="M29" s="81"/>
      <c r="N29" s="79"/>
      <c r="O29" s="81"/>
      <c r="P29" s="81"/>
      <c r="Q29" s="81"/>
      <c r="R29" s="101"/>
      <c r="S29" s="80"/>
      <c r="T29" s="172"/>
      <c r="U29" s="82"/>
      <c r="V29" s="83"/>
      <c r="W29" s="84"/>
      <c r="X29" s="85"/>
      <c r="Y29" s="95"/>
    </row>
    <row r="30" spans="1:25" ht="22.8" x14ac:dyDescent="0.15">
      <c r="A30" s="19">
        <f t="shared" si="0"/>
        <v>26</v>
      </c>
      <c r="B30" s="20"/>
      <c r="C30" s="20"/>
      <c r="D30" s="20"/>
      <c r="E30" s="96" t="s">
        <v>33</v>
      </c>
      <c r="F30" s="97" t="s">
        <v>297</v>
      </c>
      <c r="G30" s="120"/>
      <c r="H30" s="21"/>
      <c r="I30" s="22"/>
      <c r="J30" s="22"/>
      <c r="K30" s="23"/>
      <c r="L30" s="21"/>
      <c r="M30" s="24" t="s">
        <v>35</v>
      </c>
      <c r="N30" s="22"/>
      <c r="O30" s="24"/>
      <c r="P30" s="24"/>
      <c r="Q30" s="24"/>
      <c r="R30" s="100"/>
      <c r="S30" s="23"/>
      <c r="T30" s="171"/>
      <c r="U30" s="25">
        <v>45680</v>
      </c>
      <c r="V30" s="26"/>
      <c r="W30" s="27"/>
      <c r="X30" s="28"/>
      <c r="Y30" s="95"/>
    </row>
    <row r="31" spans="1:25" ht="11.4"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c r="Y31" s="95"/>
    </row>
    <row r="32" spans="1:25" ht="11.4"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c r="Y32" s="95"/>
    </row>
    <row r="33" spans="1:25" ht="11.4"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c r="Y33" s="95"/>
    </row>
    <row r="34" spans="1:25" ht="11.4"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c r="Y34" s="95"/>
    </row>
    <row r="35" spans="1:25" ht="15" customHeight="1" x14ac:dyDescent="0.15">
      <c r="A35" s="19">
        <f t="shared" si="0"/>
        <v>31</v>
      </c>
      <c r="B35" s="20"/>
      <c r="C35" s="20"/>
      <c r="D35" s="20"/>
      <c r="E35" s="96" t="s">
        <v>202</v>
      </c>
      <c r="F35" s="97" t="s">
        <v>47</v>
      </c>
      <c r="G35" s="119"/>
      <c r="H35" s="21"/>
      <c r="I35" s="22"/>
      <c r="J35" s="22"/>
      <c r="K35" s="23"/>
      <c r="L35" s="21"/>
      <c r="M35" s="22"/>
      <c r="N35" s="22"/>
      <c r="O35" s="24"/>
      <c r="P35" s="24"/>
      <c r="Q35" s="24"/>
      <c r="R35" s="22" t="s">
        <v>35</v>
      </c>
      <c r="S35" s="23"/>
      <c r="T35" s="171"/>
      <c r="U35" s="25">
        <v>45680</v>
      </c>
      <c r="V35" s="26"/>
      <c r="W35" s="27"/>
      <c r="X35" s="28"/>
      <c r="Y35" s="95" t="s">
        <v>199</v>
      </c>
    </row>
    <row r="36" spans="1:25" ht="33.6" customHeight="1" x14ac:dyDescent="0.15">
      <c r="A36" s="19">
        <f t="shared" si="0"/>
        <v>32</v>
      </c>
      <c r="B36" s="20"/>
      <c r="C36" s="20"/>
      <c r="D36" s="20"/>
      <c r="E36" s="96"/>
      <c r="F36" s="97" t="s">
        <v>298</v>
      </c>
      <c r="G36" s="119"/>
      <c r="H36" s="21"/>
      <c r="I36" s="22"/>
      <c r="J36" s="22"/>
      <c r="K36" s="23"/>
      <c r="L36" s="21"/>
      <c r="M36" s="22"/>
      <c r="N36" s="22"/>
      <c r="O36" s="24"/>
      <c r="P36" s="24"/>
      <c r="Q36" s="24"/>
      <c r="R36" s="22" t="s">
        <v>35</v>
      </c>
      <c r="S36" s="23"/>
      <c r="T36" s="171"/>
      <c r="U36" s="25">
        <v>45680</v>
      </c>
      <c r="V36" s="26"/>
      <c r="W36" s="27"/>
      <c r="X36" s="28"/>
      <c r="Y36" s="95" t="s">
        <v>199</v>
      </c>
    </row>
    <row r="37" spans="1:25" ht="33.6" customHeight="1" x14ac:dyDescent="0.15">
      <c r="A37" s="19">
        <f t="shared" si="0"/>
        <v>33</v>
      </c>
      <c r="B37" s="20"/>
      <c r="C37" s="20"/>
      <c r="D37" s="20"/>
      <c r="E37" s="96"/>
      <c r="F37" s="97" t="s">
        <v>237</v>
      </c>
      <c r="G37" s="120"/>
      <c r="H37" s="21"/>
      <c r="I37" s="22"/>
      <c r="J37" s="22"/>
      <c r="K37" s="23"/>
      <c r="L37" s="21"/>
      <c r="M37" s="22"/>
      <c r="N37" s="22"/>
      <c r="O37" s="24"/>
      <c r="P37" s="24"/>
      <c r="Q37" s="24"/>
      <c r="R37" s="22" t="s">
        <v>35</v>
      </c>
      <c r="S37" s="23"/>
      <c r="T37" s="171"/>
      <c r="U37" s="176"/>
      <c r="V37" s="177"/>
      <c r="W37" s="178"/>
      <c r="X37" s="28"/>
      <c r="Y37" s="95" t="s">
        <v>199</v>
      </c>
    </row>
    <row r="38" spans="1:25" ht="34.200000000000003" x14ac:dyDescent="0.15">
      <c r="A38" s="19">
        <f t="shared" si="0"/>
        <v>34</v>
      </c>
      <c r="B38" s="20"/>
      <c r="C38" s="20"/>
      <c r="D38" s="20"/>
      <c r="E38" s="96" t="s">
        <v>54</v>
      </c>
      <c r="F38" s="97" t="s">
        <v>318</v>
      </c>
      <c r="G38" s="120"/>
      <c r="H38" s="21"/>
      <c r="I38" s="22"/>
      <c r="J38" s="22"/>
      <c r="K38" s="23"/>
      <c r="L38" s="21"/>
      <c r="M38" s="22"/>
      <c r="N38" s="22"/>
      <c r="O38" s="24"/>
      <c r="P38" s="24"/>
      <c r="Q38" s="24"/>
      <c r="R38" s="22" t="s">
        <v>35</v>
      </c>
      <c r="S38" s="23"/>
      <c r="T38" s="171"/>
      <c r="U38" s="176"/>
      <c r="V38" s="177"/>
      <c r="W38" s="178"/>
      <c r="X38" s="28"/>
      <c r="Y38" s="95" t="s">
        <v>199</v>
      </c>
    </row>
    <row r="39" spans="1:25" ht="22.8" x14ac:dyDescent="0.15">
      <c r="A39" s="19">
        <f t="shared" si="0"/>
        <v>35</v>
      </c>
      <c r="B39" s="20"/>
      <c r="C39" s="20" t="s">
        <v>55</v>
      </c>
      <c r="D39" s="20" t="s">
        <v>171</v>
      </c>
      <c r="E39" s="96" t="s">
        <v>33</v>
      </c>
      <c r="F39" s="97" t="s">
        <v>34</v>
      </c>
      <c r="G39" s="120"/>
      <c r="H39" s="21"/>
      <c r="I39" s="22"/>
      <c r="J39" s="22"/>
      <c r="K39" s="23"/>
      <c r="L39" s="21"/>
      <c r="M39" s="24" t="s">
        <v>35</v>
      </c>
      <c r="N39" s="22"/>
      <c r="O39" s="24"/>
      <c r="P39" s="24"/>
      <c r="Q39" s="24"/>
      <c r="R39" s="22"/>
      <c r="S39" s="23"/>
      <c r="T39" s="171"/>
      <c r="U39" s="25">
        <v>45680</v>
      </c>
      <c r="V39" s="26"/>
      <c r="W39" s="27"/>
      <c r="X39" s="28"/>
      <c r="Y39" s="95"/>
    </row>
    <row r="40" spans="1:25" ht="11.4"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c r="Y40" s="95"/>
    </row>
    <row r="41" spans="1:25" ht="11.4"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c r="Y41" s="95"/>
    </row>
    <row r="42" spans="1:25" ht="11.4"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c r="Y42" s="95"/>
    </row>
    <row r="43" spans="1:25" ht="11.4" x14ac:dyDescent="0.15">
      <c r="A43" s="19">
        <f t="shared" si="0"/>
        <v>39</v>
      </c>
      <c r="B43" s="20"/>
      <c r="C43" s="20"/>
      <c r="D43" s="20"/>
      <c r="E43" s="96" t="s">
        <v>351</v>
      </c>
      <c r="F43" s="97" t="s">
        <v>41</v>
      </c>
      <c r="G43" s="121"/>
      <c r="H43" s="21"/>
      <c r="I43" s="22"/>
      <c r="J43" s="22"/>
      <c r="K43" s="23"/>
      <c r="L43" s="21"/>
      <c r="M43" s="24" t="s">
        <v>35</v>
      </c>
      <c r="N43" s="22"/>
      <c r="O43" s="24"/>
      <c r="P43" s="24"/>
      <c r="Q43" s="24"/>
      <c r="R43" s="22"/>
      <c r="S43" s="23"/>
      <c r="T43" s="171"/>
      <c r="U43" s="25">
        <v>45680</v>
      </c>
      <c r="V43" s="26"/>
      <c r="W43" s="27"/>
      <c r="X43" s="28"/>
      <c r="Y43" s="95"/>
    </row>
    <row r="44" spans="1:25" ht="22.8" x14ac:dyDescent="0.15">
      <c r="A44" s="19">
        <f t="shared" si="0"/>
        <v>40</v>
      </c>
      <c r="B44" s="20"/>
      <c r="C44" s="20"/>
      <c r="D44" s="169" t="s">
        <v>238</v>
      </c>
      <c r="E44" s="96" t="s">
        <v>56</v>
      </c>
      <c r="F44" s="97" t="s">
        <v>37</v>
      </c>
      <c r="G44" s="120"/>
      <c r="H44" s="21"/>
      <c r="I44" s="22"/>
      <c r="J44" s="22"/>
      <c r="K44" s="23"/>
      <c r="L44" s="21"/>
      <c r="M44" s="24" t="s">
        <v>35</v>
      </c>
      <c r="N44" s="22"/>
      <c r="O44" s="24"/>
      <c r="P44" s="24"/>
      <c r="Q44" s="24"/>
      <c r="R44" s="100"/>
      <c r="S44" s="23"/>
      <c r="T44" s="171"/>
      <c r="U44" s="25">
        <v>45680</v>
      </c>
      <c r="V44" s="26"/>
      <c r="W44" s="27"/>
      <c r="X44" s="28"/>
      <c r="Y44" s="95"/>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c r="Y45" s="95"/>
    </row>
    <row r="46" spans="1:25" ht="11.4"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c r="Y46" s="95"/>
    </row>
    <row r="47" spans="1:25" ht="45.6"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c r="Y47" s="95"/>
    </row>
    <row r="48" spans="1:25" ht="11.4"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c r="Y48" s="95"/>
    </row>
    <row r="49" spans="1:25" ht="11.4"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c r="Y49" s="95"/>
    </row>
    <row r="50" spans="1:25" ht="11.4"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c r="Y50" s="95"/>
    </row>
    <row r="51" spans="1:25" ht="57"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c r="Y51" s="95"/>
    </row>
    <row r="52" spans="1:25" ht="11.4"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c r="Y52" s="95"/>
    </row>
    <row r="53" spans="1:25" ht="11.4"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c r="Y53" s="95"/>
    </row>
    <row r="54" spans="1:25" ht="11.4"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c r="Y54" s="95"/>
    </row>
    <row r="55" spans="1:25" ht="11.4"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c r="Y55" s="95"/>
    </row>
    <row r="56" spans="1:25" ht="11.4"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c r="Y56" s="95"/>
    </row>
    <row r="57" spans="1:25" ht="11.4" x14ac:dyDescent="0.15">
      <c r="A57" s="19">
        <f t="shared" si="0"/>
        <v>53</v>
      </c>
      <c r="B57" s="20"/>
      <c r="C57" s="20"/>
      <c r="D57" s="20"/>
      <c r="E57" s="96" t="s">
        <v>300</v>
      </c>
      <c r="F57" s="97" t="s">
        <v>74</v>
      </c>
      <c r="G57" s="122"/>
      <c r="H57" s="21"/>
      <c r="I57" s="22"/>
      <c r="J57" s="22"/>
      <c r="K57" s="23"/>
      <c r="L57" s="21"/>
      <c r="M57" s="24" t="s">
        <v>35</v>
      </c>
      <c r="N57" s="22"/>
      <c r="O57" s="24"/>
      <c r="P57" s="24"/>
      <c r="Q57" s="24"/>
      <c r="R57" s="22"/>
      <c r="S57" s="23"/>
      <c r="T57" s="171"/>
      <c r="U57" s="25">
        <v>45680</v>
      </c>
      <c r="V57" s="26"/>
      <c r="W57" s="27"/>
      <c r="X57" s="28"/>
      <c r="Y57" s="95"/>
    </row>
    <row r="58" spans="1:25" ht="22.8" x14ac:dyDescent="0.15">
      <c r="A58" s="19">
        <f t="shared" si="0"/>
        <v>54</v>
      </c>
      <c r="B58" s="20"/>
      <c r="C58" s="20"/>
      <c r="D58" s="20"/>
      <c r="E58" s="96" t="s">
        <v>75</v>
      </c>
      <c r="F58" s="97" t="s">
        <v>170</v>
      </c>
      <c r="G58" s="122"/>
      <c r="H58" s="21"/>
      <c r="I58" s="22"/>
      <c r="J58" s="22"/>
      <c r="K58" s="23"/>
      <c r="L58" s="21"/>
      <c r="M58" s="24"/>
      <c r="N58" s="22"/>
      <c r="O58" s="24"/>
      <c r="P58" s="24"/>
      <c r="Q58" s="24"/>
      <c r="R58" s="22" t="s">
        <v>35</v>
      </c>
      <c r="S58" s="23"/>
      <c r="T58" s="171"/>
      <c r="U58" s="25">
        <v>45681</v>
      </c>
      <c r="V58" s="26"/>
      <c r="W58" s="27"/>
      <c r="X58" s="28"/>
      <c r="Y58" s="95" t="s">
        <v>204</v>
      </c>
    </row>
    <row r="59" spans="1:25" ht="34.200000000000003" x14ac:dyDescent="0.15">
      <c r="A59" s="19">
        <f t="shared" si="0"/>
        <v>55</v>
      </c>
      <c r="B59" s="20"/>
      <c r="C59" s="20"/>
      <c r="D59" s="20"/>
      <c r="E59" s="96" t="s">
        <v>76</v>
      </c>
      <c r="F59" s="97" t="s">
        <v>239</v>
      </c>
      <c r="G59" s="122"/>
      <c r="H59" s="21"/>
      <c r="I59" s="22"/>
      <c r="J59" s="22"/>
      <c r="K59" s="23"/>
      <c r="L59" s="21"/>
      <c r="M59" s="22"/>
      <c r="N59" s="22"/>
      <c r="O59" s="24"/>
      <c r="P59" s="24"/>
      <c r="Q59" s="24"/>
      <c r="R59" s="22" t="s">
        <v>35</v>
      </c>
      <c r="S59" s="23"/>
      <c r="T59" s="171"/>
      <c r="U59" s="176"/>
      <c r="V59" s="177"/>
      <c r="W59" s="178"/>
      <c r="X59" s="28"/>
      <c r="Y59" s="95" t="s">
        <v>204</v>
      </c>
    </row>
    <row r="60" spans="1:25" ht="22.8" x14ac:dyDescent="0.15">
      <c r="A60" s="19">
        <f t="shared" si="0"/>
        <v>56</v>
      </c>
      <c r="B60" s="20"/>
      <c r="C60" s="20"/>
      <c r="D60" s="169" t="s">
        <v>205</v>
      </c>
      <c r="E60" s="96" t="s">
        <v>232</v>
      </c>
      <c r="F60" s="97" t="s">
        <v>231</v>
      </c>
      <c r="G60" s="122"/>
      <c r="H60" s="21"/>
      <c r="I60" s="22"/>
      <c r="J60" s="22"/>
      <c r="K60" s="23"/>
      <c r="L60" s="21"/>
      <c r="M60" s="24"/>
      <c r="N60" s="22" t="s">
        <v>35</v>
      </c>
      <c r="O60" s="22"/>
      <c r="P60" s="24"/>
      <c r="Q60" s="24"/>
      <c r="R60" s="22"/>
      <c r="S60" s="23"/>
      <c r="T60" s="171"/>
      <c r="U60" s="176"/>
      <c r="V60" s="177"/>
      <c r="W60" s="178"/>
      <c r="X60" s="28"/>
      <c r="Y60" s="95" t="s">
        <v>228</v>
      </c>
    </row>
    <row r="61" spans="1:25" ht="22.8" x14ac:dyDescent="0.15">
      <c r="A61" s="19">
        <f t="shared" si="0"/>
        <v>57</v>
      </c>
      <c r="B61" s="20"/>
      <c r="C61" s="20"/>
      <c r="D61" s="20"/>
      <c r="E61" s="104"/>
      <c r="F61" s="97" t="s">
        <v>240</v>
      </c>
      <c r="G61" s="122"/>
      <c r="H61" s="21"/>
      <c r="I61" s="22"/>
      <c r="J61" s="22"/>
      <c r="K61" s="23"/>
      <c r="L61" s="21"/>
      <c r="M61" s="24" t="s">
        <v>35</v>
      </c>
      <c r="N61" s="22"/>
      <c r="O61" s="24"/>
      <c r="P61" s="24"/>
      <c r="Q61" s="24"/>
      <c r="R61" s="100"/>
      <c r="S61" s="23"/>
      <c r="T61" s="171"/>
      <c r="U61" s="176"/>
      <c r="V61" s="177"/>
      <c r="W61" s="178"/>
      <c r="X61" s="28"/>
      <c r="Y61" s="95"/>
    </row>
    <row r="62" spans="1:25" ht="22.8" x14ac:dyDescent="0.15">
      <c r="A62" s="19">
        <f t="shared" si="0"/>
        <v>58</v>
      </c>
      <c r="B62" s="20"/>
      <c r="C62" s="20"/>
      <c r="D62" s="20"/>
      <c r="E62" s="96" t="s">
        <v>75</v>
      </c>
      <c r="F62" s="97" t="s">
        <v>170</v>
      </c>
      <c r="G62" s="120"/>
      <c r="H62" s="21"/>
      <c r="I62" s="22"/>
      <c r="J62" s="22"/>
      <c r="K62" s="23"/>
      <c r="L62" s="21"/>
      <c r="M62" s="24"/>
      <c r="N62" s="22"/>
      <c r="O62" s="24"/>
      <c r="P62" s="24"/>
      <c r="Q62" s="24"/>
      <c r="R62" s="22" t="s">
        <v>35</v>
      </c>
      <c r="S62" s="23"/>
      <c r="T62" s="171"/>
      <c r="U62" s="176"/>
      <c r="V62" s="177"/>
      <c r="W62" s="178"/>
      <c r="X62" s="28"/>
      <c r="Y62" s="95" t="s">
        <v>204</v>
      </c>
    </row>
    <row r="63" spans="1:25" ht="34.200000000000003" x14ac:dyDescent="0.15">
      <c r="A63" s="19">
        <f t="shared" si="0"/>
        <v>59</v>
      </c>
      <c r="B63" s="20"/>
      <c r="C63" s="20"/>
      <c r="D63" s="20"/>
      <c r="E63" s="96" t="s">
        <v>76</v>
      </c>
      <c r="F63" s="97" t="s">
        <v>241</v>
      </c>
      <c r="G63" s="120"/>
      <c r="H63" s="21"/>
      <c r="I63" s="22"/>
      <c r="J63" s="22"/>
      <c r="K63" s="23"/>
      <c r="L63" s="21"/>
      <c r="M63" s="22"/>
      <c r="N63" s="22"/>
      <c r="O63" s="24"/>
      <c r="P63" s="24"/>
      <c r="Q63" s="24"/>
      <c r="R63" s="22" t="s">
        <v>35</v>
      </c>
      <c r="S63" s="23"/>
      <c r="T63" s="171"/>
      <c r="U63" s="176"/>
      <c r="V63" s="177"/>
      <c r="W63" s="178"/>
      <c r="X63" s="28"/>
      <c r="Y63" s="95" t="s">
        <v>204</v>
      </c>
    </row>
    <row r="64" spans="1:25" ht="57" x14ac:dyDescent="0.15">
      <c r="A64" s="19">
        <f t="shared" si="0"/>
        <v>60</v>
      </c>
      <c r="B64" s="20"/>
      <c r="C64" s="20"/>
      <c r="D64" s="169" t="s">
        <v>242</v>
      </c>
      <c r="E64" s="96" t="s">
        <v>232</v>
      </c>
      <c r="F64" s="97" t="s">
        <v>231</v>
      </c>
      <c r="G64" s="120"/>
      <c r="H64" s="21"/>
      <c r="I64" s="22"/>
      <c r="J64" s="22"/>
      <c r="K64" s="23"/>
      <c r="L64" s="21"/>
      <c r="M64" s="24"/>
      <c r="N64" s="22" t="s">
        <v>35</v>
      </c>
      <c r="O64" s="22"/>
      <c r="P64" s="24"/>
      <c r="Q64" s="24"/>
      <c r="R64" s="22"/>
      <c r="S64" s="23"/>
      <c r="T64" s="171"/>
      <c r="U64" s="176"/>
      <c r="V64" s="177"/>
      <c r="W64" s="178"/>
      <c r="X64" s="28"/>
      <c r="Y64" s="95" t="s">
        <v>253</v>
      </c>
    </row>
    <row r="65" spans="1:25" ht="34.200000000000003" x14ac:dyDescent="0.15">
      <c r="A65" s="19">
        <f t="shared" si="0"/>
        <v>61</v>
      </c>
      <c r="B65" s="20"/>
      <c r="C65" s="20"/>
      <c r="D65" s="20"/>
      <c r="E65" s="96" t="s">
        <v>75</v>
      </c>
      <c r="F65" s="97" t="s">
        <v>203</v>
      </c>
      <c r="G65" s="120"/>
      <c r="H65" s="21"/>
      <c r="I65" s="22"/>
      <c r="J65" s="22"/>
      <c r="K65" s="23"/>
      <c r="L65" s="21"/>
      <c r="M65" s="24"/>
      <c r="N65" s="22"/>
      <c r="O65" s="24"/>
      <c r="P65" s="24"/>
      <c r="Q65" s="24"/>
      <c r="R65" s="22" t="s">
        <v>35</v>
      </c>
      <c r="S65" s="23"/>
      <c r="T65" s="171"/>
      <c r="U65" s="176"/>
      <c r="V65" s="177"/>
      <c r="W65" s="178"/>
      <c r="X65" s="28"/>
      <c r="Y65" s="95" t="s">
        <v>252</v>
      </c>
    </row>
    <row r="66" spans="1:25" ht="22.8" x14ac:dyDescent="0.15">
      <c r="A66" s="19">
        <f t="shared" si="0"/>
        <v>62</v>
      </c>
      <c r="B66" s="20"/>
      <c r="C66" s="20"/>
      <c r="D66" s="20"/>
      <c r="E66" s="104" t="s">
        <v>299</v>
      </c>
      <c r="F66" s="97" t="s">
        <v>37</v>
      </c>
      <c r="G66" s="120"/>
      <c r="H66" s="21"/>
      <c r="I66" s="22"/>
      <c r="J66" s="22"/>
      <c r="K66" s="23"/>
      <c r="L66" s="21"/>
      <c r="M66" s="24" t="s">
        <v>35</v>
      </c>
      <c r="N66" s="22"/>
      <c r="O66" s="24"/>
      <c r="P66" s="24"/>
      <c r="Q66" s="24"/>
      <c r="R66" s="100"/>
      <c r="S66" s="23"/>
      <c r="T66" s="171"/>
      <c r="U66" s="176"/>
      <c r="V66" s="177"/>
      <c r="W66" s="178"/>
      <c r="X66" s="28"/>
      <c r="Y66" s="95"/>
    </row>
    <row r="67" spans="1:25" ht="22.8" x14ac:dyDescent="0.15">
      <c r="A67" s="19">
        <f t="shared" si="0"/>
        <v>63</v>
      </c>
      <c r="B67" s="20"/>
      <c r="C67" s="20"/>
      <c r="D67" s="20"/>
      <c r="E67" s="104" t="s">
        <v>243</v>
      </c>
      <c r="F67" s="97" t="s">
        <v>37</v>
      </c>
      <c r="G67" s="120"/>
      <c r="H67" s="21"/>
      <c r="I67" s="22"/>
      <c r="J67" s="22"/>
      <c r="K67" s="23"/>
      <c r="L67" s="21"/>
      <c r="M67" s="24" t="s">
        <v>35</v>
      </c>
      <c r="N67" s="22"/>
      <c r="O67" s="24"/>
      <c r="P67" s="24"/>
      <c r="Q67" s="24"/>
      <c r="R67" s="100"/>
      <c r="S67" s="23"/>
      <c r="T67" s="171"/>
      <c r="U67" s="176"/>
      <c r="V67" s="177"/>
      <c r="W67" s="178"/>
      <c r="X67" s="28"/>
      <c r="Y67" s="95"/>
    </row>
    <row r="68" spans="1:25" ht="22.8" x14ac:dyDescent="0.15">
      <c r="A68" s="19">
        <f t="shared" si="0"/>
        <v>64</v>
      </c>
      <c r="B68" s="20"/>
      <c r="C68" s="20"/>
      <c r="D68" s="20"/>
      <c r="E68" s="104" t="s">
        <v>244</v>
      </c>
      <c r="F68" s="97" t="s">
        <v>59</v>
      </c>
      <c r="G68" s="120"/>
      <c r="H68" s="21"/>
      <c r="I68" s="22"/>
      <c r="J68" s="22"/>
      <c r="K68" s="23"/>
      <c r="L68" s="21"/>
      <c r="M68" s="24" t="s">
        <v>35</v>
      </c>
      <c r="N68" s="22"/>
      <c r="O68" s="24"/>
      <c r="P68" s="24"/>
      <c r="Q68" s="24"/>
      <c r="R68" s="22"/>
      <c r="S68" s="23"/>
      <c r="T68" s="171"/>
      <c r="U68" s="176"/>
      <c r="V68" s="177"/>
      <c r="W68" s="178"/>
      <c r="X68" s="28"/>
      <c r="Y68" s="95"/>
    </row>
    <row r="69" spans="1:25" ht="57" x14ac:dyDescent="0.15">
      <c r="A69" s="19">
        <f t="shared" si="0"/>
        <v>65</v>
      </c>
      <c r="B69" s="20"/>
      <c r="C69" s="20"/>
      <c r="D69" s="20"/>
      <c r="E69" s="104" t="s">
        <v>245</v>
      </c>
      <c r="F69" s="97" t="s">
        <v>61</v>
      </c>
      <c r="G69" s="120"/>
      <c r="H69" s="21"/>
      <c r="I69" s="22"/>
      <c r="J69" s="22"/>
      <c r="K69" s="23"/>
      <c r="L69" s="21"/>
      <c r="M69" s="24" t="s">
        <v>35</v>
      </c>
      <c r="N69" s="22"/>
      <c r="O69" s="24"/>
      <c r="P69" s="24"/>
      <c r="Q69" s="24"/>
      <c r="R69" s="22"/>
      <c r="S69" s="23"/>
      <c r="T69" s="171"/>
      <c r="U69" s="176"/>
      <c r="V69" s="177"/>
      <c r="W69" s="178"/>
      <c r="X69" s="28"/>
      <c r="Y69" s="95"/>
    </row>
    <row r="70" spans="1:25" ht="22.8" x14ac:dyDescent="0.15">
      <c r="A70" s="19">
        <f t="shared" ref="A70:A133" si="1">ROW()-4</f>
        <v>66</v>
      </c>
      <c r="B70" s="20"/>
      <c r="C70" s="20"/>
      <c r="D70" s="20"/>
      <c r="E70" s="104" t="s">
        <v>246</v>
      </c>
      <c r="F70" s="97" t="s">
        <v>37</v>
      </c>
      <c r="G70" s="120"/>
      <c r="H70" s="21"/>
      <c r="I70" s="22"/>
      <c r="J70" s="22"/>
      <c r="K70" s="23"/>
      <c r="L70" s="21"/>
      <c r="M70" s="24" t="s">
        <v>35</v>
      </c>
      <c r="N70" s="22"/>
      <c r="O70" s="24"/>
      <c r="P70" s="24"/>
      <c r="Q70" s="24"/>
      <c r="R70" s="22"/>
      <c r="S70" s="23"/>
      <c r="T70" s="171"/>
      <c r="U70" s="176"/>
      <c r="V70" s="177"/>
      <c r="W70" s="178"/>
      <c r="X70" s="28"/>
      <c r="Y70" s="95"/>
    </row>
    <row r="71" spans="1:25" ht="22.8" x14ac:dyDescent="0.15">
      <c r="A71" s="19">
        <f t="shared" si="1"/>
        <v>67</v>
      </c>
      <c r="B71" s="20"/>
      <c r="C71" s="20"/>
      <c r="D71" s="20"/>
      <c r="E71" s="104" t="s">
        <v>247</v>
      </c>
      <c r="F71" s="97" t="s">
        <v>64</v>
      </c>
      <c r="G71" s="120"/>
      <c r="H71" s="21"/>
      <c r="I71" s="22"/>
      <c r="J71" s="22"/>
      <c r="K71" s="23"/>
      <c r="L71" s="21"/>
      <c r="M71" s="24" t="s">
        <v>35</v>
      </c>
      <c r="N71" s="22"/>
      <c r="O71" s="24"/>
      <c r="P71" s="24"/>
      <c r="Q71" s="24"/>
      <c r="R71" s="22"/>
      <c r="S71" s="23"/>
      <c r="T71" s="171"/>
      <c r="U71" s="176"/>
      <c r="V71" s="177"/>
      <c r="W71" s="178"/>
      <c r="X71" s="28"/>
      <c r="Y71" s="95"/>
    </row>
    <row r="72" spans="1:25" ht="22.8" x14ac:dyDescent="0.15">
      <c r="A72" s="19">
        <f t="shared" si="1"/>
        <v>68</v>
      </c>
      <c r="B72" s="20"/>
      <c r="C72" s="20"/>
      <c r="D72" s="20"/>
      <c r="E72" s="104" t="s">
        <v>248</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x14ac:dyDescent="0.15">
      <c r="A73" s="19">
        <f t="shared" si="1"/>
        <v>69</v>
      </c>
      <c r="B73" s="20"/>
      <c r="C73" s="20"/>
      <c r="D73" s="20"/>
      <c r="E73" s="104" t="s">
        <v>321</v>
      </c>
      <c r="F73" s="97" t="s">
        <v>68</v>
      </c>
      <c r="G73" s="120"/>
      <c r="H73" s="21"/>
      <c r="I73" s="22"/>
      <c r="J73" s="22"/>
      <c r="K73" s="23"/>
      <c r="L73" s="21"/>
      <c r="M73" s="24" t="s">
        <v>35</v>
      </c>
      <c r="N73" s="22"/>
      <c r="O73" s="24"/>
      <c r="P73" s="24"/>
      <c r="Q73" s="24"/>
      <c r="R73" s="22"/>
      <c r="S73" s="23"/>
      <c r="T73" s="171"/>
      <c r="U73" s="176"/>
      <c r="V73" s="177"/>
      <c r="W73" s="178"/>
      <c r="X73" s="28"/>
      <c r="Y73" s="95"/>
    </row>
    <row r="74" spans="1:25" ht="22.8" x14ac:dyDescent="0.15">
      <c r="A74" s="19">
        <f t="shared" si="1"/>
        <v>70</v>
      </c>
      <c r="B74" s="20"/>
      <c r="C74" s="20"/>
      <c r="D74" s="20"/>
      <c r="E74" s="104" t="s">
        <v>247</v>
      </c>
      <c r="F74" s="97" t="s">
        <v>69</v>
      </c>
      <c r="G74" s="120"/>
      <c r="H74" s="21"/>
      <c r="I74" s="22"/>
      <c r="J74" s="22"/>
      <c r="K74" s="23"/>
      <c r="L74" s="21"/>
      <c r="M74" s="24" t="s">
        <v>35</v>
      </c>
      <c r="N74" s="22"/>
      <c r="O74" s="24"/>
      <c r="P74" s="24"/>
      <c r="Q74" s="24"/>
      <c r="R74" s="22"/>
      <c r="S74" s="23"/>
      <c r="T74" s="171"/>
      <c r="U74" s="176"/>
      <c r="V74" s="177"/>
      <c r="W74" s="178"/>
      <c r="X74" s="28"/>
      <c r="Y74" s="95"/>
    </row>
    <row r="75" spans="1:25" ht="22.8" x14ac:dyDescent="0.15">
      <c r="A75" s="19">
        <f t="shared" si="1"/>
        <v>71</v>
      </c>
      <c r="B75" s="20"/>
      <c r="C75" s="20"/>
      <c r="D75" s="20"/>
      <c r="E75" s="104" t="s">
        <v>249</v>
      </c>
      <c r="F75" s="97" t="s">
        <v>71</v>
      </c>
      <c r="G75" s="120"/>
      <c r="H75" s="21"/>
      <c r="I75" s="22"/>
      <c r="J75" s="22"/>
      <c r="K75" s="23"/>
      <c r="L75" s="21"/>
      <c r="M75" s="24" t="s">
        <v>35</v>
      </c>
      <c r="N75" s="22"/>
      <c r="O75" s="24"/>
      <c r="P75" s="24"/>
      <c r="Q75" s="24"/>
      <c r="R75" s="22"/>
      <c r="S75" s="23"/>
      <c r="T75" s="171"/>
      <c r="U75" s="176"/>
      <c r="V75" s="177"/>
      <c r="W75" s="178"/>
      <c r="X75" s="28"/>
      <c r="Y75" s="95"/>
    </row>
    <row r="76" spans="1:25" ht="22.8" x14ac:dyDescent="0.15">
      <c r="A76" s="19">
        <f t="shared" si="1"/>
        <v>72</v>
      </c>
      <c r="B76" s="20"/>
      <c r="C76" s="20"/>
      <c r="D76" s="20"/>
      <c r="E76" s="104" t="s">
        <v>250</v>
      </c>
      <c r="F76" s="97" t="s">
        <v>37</v>
      </c>
      <c r="G76" s="120"/>
      <c r="H76" s="21"/>
      <c r="I76" s="22"/>
      <c r="J76" s="22"/>
      <c r="K76" s="23"/>
      <c r="L76" s="21"/>
      <c r="M76" s="24" t="s">
        <v>35</v>
      </c>
      <c r="N76" s="22"/>
      <c r="O76" s="24"/>
      <c r="P76" s="24"/>
      <c r="Q76" s="24"/>
      <c r="R76" s="100"/>
      <c r="S76" s="23"/>
      <c r="T76" s="171"/>
      <c r="U76" s="176"/>
      <c r="V76" s="177"/>
      <c r="W76" s="178"/>
      <c r="X76" s="28"/>
      <c r="Y76" s="95"/>
    </row>
    <row r="77" spans="1:25" ht="22.8" x14ac:dyDescent="0.15">
      <c r="A77" s="19">
        <f t="shared" si="1"/>
        <v>73</v>
      </c>
      <c r="B77" s="20"/>
      <c r="C77" s="20"/>
      <c r="D77" s="20"/>
      <c r="E77" s="104" t="s">
        <v>243</v>
      </c>
      <c r="F77" s="97" t="s">
        <v>37</v>
      </c>
      <c r="G77" s="120"/>
      <c r="H77" s="21"/>
      <c r="I77" s="22"/>
      <c r="J77" s="22"/>
      <c r="K77" s="23"/>
      <c r="L77" s="21"/>
      <c r="M77" s="24" t="s">
        <v>35</v>
      </c>
      <c r="N77" s="22"/>
      <c r="O77" s="24"/>
      <c r="P77" s="24"/>
      <c r="Q77" s="24"/>
      <c r="R77" s="100"/>
      <c r="S77" s="23"/>
      <c r="T77" s="171"/>
      <c r="U77" s="176"/>
      <c r="V77" s="177"/>
      <c r="W77" s="178"/>
      <c r="X77" s="28"/>
      <c r="Y77" s="95"/>
    </row>
    <row r="78" spans="1:25" ht="22.8" x14ac:dyDescent="0.15">
      <c r="A78" s="19">
        <f t="shared" si="1"/>
        <v>74</v>
      </c>
      <c r="B78" s="20"/>
      <c r="C78" s="20"/>
      <c r="D78" s="20"/>
      <c r="E78" s="104" t="s">
        <v>251</v>
      </c>
      <c r="F78" s="97" t="s">
        <v>73</v>
      </c>
      <c r="G78" s="120"/>
      <c r="H78" s="21"/>
      <c r="I78" s="22"/>
      <c r="J78" s="22"/>
      <c r="K78" s="23"/>
      <c r="L78" s="21"/>
      <c r="M78" s="24" t="s">
        <v>35</v>
      </c>
      <c r="N78" s="22"/>
      <c r="O78" s="24"/>
      <c r="P78" s="24"/>
      <c r="Q78" s="24"/>
      <c r="R78" s="22"/>
      <c r="S78" s="23"/>
      <c r="T78" s="171"/>
      <c r="U78" s="176"/>
      <c r="V78" s="177"/>
      <c r="W78" s="178"/>
      <c r="X78" s="28"/>
      <c r="Y78" s="95"/>
    </row>
    <row r="79" spans="1:25" ht="22.8"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x14ac:dyDescent="0.15">
      <c r="A80" s="19">
        <f t="shared" si="1"/>
        <v>76</v>
      </c>
      <c r="B80" s="20"/>
      <c r="C80" s="20"/>
      <c r="D80" s="20"/>
      <c r="E80" s="96" t="s">
        <v>75</v>
      </c>
      <c r="F80" s="97" t="s">
        <v>170</v>
      </c>
      <c r="G80" s="120"/>
      <c r="H80" s="21"/>
      <c r="I80" s="22"/>
      <c r="J80" s="22"/>
      <c r="K80" s="23"/>
      <c r="L80" s="21"/>
      <c r="M80" s="24"/>
      <c r="N80" s="22"/>
      <c r="O80" s="24"/>
      <c r="P80" s="24"/>
      <c r="Q80" s="24"/>
      <c r="R80" s="22" t="s">
        <v>35</v>
      </c>
      <c r="S80" s="23"/>
      <c r="T80" s="171"/>
      <c r="U80" s="176"/>
      <c r="V80" s="177"/>
      <c r="W80" s="178"/>
      <c r="X80" s="28"/>
      <c r="Y80" s="95" t="s">
        <v>355</v>
      </c>
    </row>
    <row r="81" spans="1:25" ht="11.4"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x14ac:dyDescent="0.15">
      <c r="A84" s="19">
        <f t="shared" si="1"/>
        <v>80</v>
      </c>
      <c r="B84" s="20"/>
      <c r="C84" s="20"/>
      <c r="D84" s="20"/>
      <c r="E84" s="96" t="s">
        <v>301</v>
      </c>
      <c r="F84" s="97" t="s">
        <v>302</v>
      </c>
      <c r="G84" s="120"/>
      <c r="H84" s="21"/>
      <c r="I84" s="22"/>
      <c r="J84" s="22"/>
      <c r="K84" s="23"/>
      <c r="L84" s="21"/>
      <c r="M84" s="24" t="s">
        <v>35</v>
      </c>
      <c r="N84" s="22"/>
      <c r="O84" s="24"/>
      <c r="P84" s="24"/>
      <c r="Q84" s="24"/>
      <c r="R84" s="22"/>
      <c r="S84" s="23"/>
      <c r="T84" s="171"/>
      <c r="U84" s="176"/>
      <c r="V84" s="177"/>
      <c r="W84" s="178"/>
      <c r="X84" s="28"/>
      <c r="Y84" s="95"/>
    </row>
    <row r="85" spans="1:25" ht="22.8" x14ac:dyDescent="0.15">
      <c r="A85" s="19">
        <f t="shared" si="1"/>
        <v>81</v>
      </c>
      <c r="B85" s="20" t="s">
        <v>77</v>
      </c>
      <c r="C85" s="20" t="s">
        <v>32</v>
      </c>
      <c r="D85" s="20" t="s">
        <v>171</v>
      </c>
      <c r="E85" s="96" t="s">
        <v>33</v>
      </c>
      <c r="F85" s="97" t="s">
        <v>34</v>
      </c>
      <c r="G85" s="120"/>
      <c r="H85" s="21"/>
      <c r="I85" s="22"/>
      <c r="J85" s="22"/>
      <c r="K85" s="23"/>
      <c r="L85" s="21"/>
      <c r="M85" s="24" t="s">
        <v>35</v>
      </c>
      <c r="N85" s="22"/>
      <c r="O85" s="24"/>
      <c r="P85" s="24"/>
      <c r="Q85" s="24"/>
      <c r="R85" s="22"/>
      <c r="S85" s="23"/>
      <c r="T85" s="171"/>
      <c r="U85" s="25">
        <v>45680</v>
      </c>
      <c r="V85" s="26"/>
      <c r="W85" s="27"/>
      <c r="X85" s="28"/>
      <c r="Y85" s="95"/>
    </row>
    <row r="86" spans="1:25" ht="11.4"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c r="Y86" s="95"/>
    </row>
    <row r="87" spans="1:25" ht="11.4"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c r="Y87" s="95"/>
    </row>
    <row r="88" spans="1:25" ht="11.4"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c r="Y88" s="95"/>
    </row>
    <row r="89" spans="1:25" ht="11.4" x14ac:dyDescent="0.15">
      <c r="A89" s="19">
        <f t="shared" si="1"/>
        <v>85</v>
      </c>
      <c r="B89" s="20"/>
      <c r="C89" s="20"/>
      <c r="D89" s="20"/>
      <c r="E89" s="96" t="s">
        <v>169</v>
      </c>
      <c r="F89" s="97" t="s">
        <v>41</v>
      </c>
      <c r="G89" s="120"/>
      <c r="H89" s="21"/>
      <c r="I89" s="22"/>
      <c r="J89" s="22"/>
      <c r="K89" s="23"/>
      <c r="L89" s="21"/>
      <c r="M89" s="24" t="s">
        <v>35</v>
      </c>
      <c r="N89" s="22"/>
      <c r="O89" s="24"/>
      <c r="P89" s="24"/>
      <c r="Q89" s="24"/>
      <c r="R89" s="22"/>
      <c r="S89" s="23"/>
      <c r="T89" s="171"/>
      <c r="U89" s="25">
        <v>45680</v>
      </c>
      <c r="V89" s="26"/>
      <c r="W89" s="27"/>
      <c r="X89" s="28"/>
      <c r="Y89" s="95"/>
    </row>
    <row r="90" spans="1:25" ht="11.4" x14ac:dyDescent="0.15">
      <c r="A90" s="19">
        <f t="shared" si="1"/>
        <v>86</v>
      </c>
      <c r="B90" s="20"/>
      <c r="C90" s="20"/>
      <c r="D90" s="20" t="s">
        <v>172</v>
      </c>
      <c r="E90" s="96" t="s">
        <v>294</v>
      </c>
      <c r="F90" s="97" t="s">
        <v>42</v>
      </c>
      <c r="G90" s="120"/>
      <c r="H90" s="78"/>
      <c r="I90" s="79"/>
      <c r="J90" s="79"/>
      <c r="K90" s="80"/>
      <c r="L90" s="78"/>
      <c r="M90" s="81"/>
      <c r="N90" s="79"/>
      <c r="O90" s="81"/>
      <c r="P90" s="81"/>
      <c r="Q90" s="81"/>
      <c r="R90" s="101"/>
      <c r="S90" s="80"/>
      <c r="T90" s="172"/>
      <c r="U90" s="82"/>
      <c r="V90" s="83"/>
      <c r="W90" s="84"/>
      <c r="X90" s="85"/>
      <c r="Y90" s="95" t="s">
        <v>356</v>
      </c>
    </row>
    <row r="91" spans="1:25" ht="22.8" x14ac:dyDescent="0.15">
      <c r="A91" s="19">
        <f t="shared" si="1"/>
        <v>87</v>
      </c>
      <c r="B91" s="20"/>
      <c r="C91" s="20"/>
      <c r="D91" s="20"/>
      <c r="E91" s="96" t="s">
        <v>33</v>
      </c>
      <c r="F91" s="97" t="s">
        <v>295</v>
      </c>
      <c r="G91" s="120"/>
      <c r="H91" s="21"/>
      <c r="I91" s="22"/>
      <c r="J91" s="22"/>
      <c r="K91" s="23"/>
      <c r="L91" s="21"/>
      <c r="M91" s="24" t="s">
        <v>35</v>
      </c>
      <c r="N91" s="22"/>
      <c r="O91" s="24"/>
      <c r="P91" s="24"/>
      <c r="Q91" s="24"/>
      <c r="R91" s="100"/>
      <c r="S91" s="23"/>
      <c r="T91" s="171"/>
      <c r="U91" s="25">
        <v>45680</v>
      </c>
      <c r="V91" s="26"/>
      <c r="W91" s="27"/>
      <c r="X91" s="28"/>
      <c r="Y91" s="95" t="s">
        <v>356</v>
      </c>
    </row>
    <row r="92" spans="1:25" ht="11.4"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c r="Y92" s="95" t="s">
        <v>356</v>
      </c>
    </row>
    <row r="93" spans="1:25" ht="11.4"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c r="Y93" s="95" t="s">
        <v>356</v>
      </c>
    </row>
    <row r="94" spans="1:25" ht="11.4"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c r="Y94" s="95" t="s">
        <v>356</v>
      </c>
    </row>
    <row r="95" spans="1:25" ht="11.4"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25">
        <v>45681</v>
      </c>
      <c r="V95" s="26"/>
      <c r="W95" s="27"/>
      <c r="X95" s="28"/>
      <c r="Y95" s="95" t="s">
        <v>356</v>
      </c>
    </row>
    <row r="96" spans="1:25" ht="15" customHeight="1" x14ac:dyDescent="0.15">
      <c r="A96" s="19">
        <f t="shared" si="1"/>
        <v>92</v>
      </c>
      <c r="B96" s="20"/>
      <c r="C96" s="20"/>
      <c r="D96" s="20"/>
      <c r="E96" s="96" t="s">
        <v>201</v>
      </c>
      <c r="F96" s="97" t="s">
        <v>170</v>
      </c>
      <c r="G96" s="120"/>
      <c r="H96" s="21"/>
      <c r="I96" s="22"/>
      <c r="J96" s="22"/>
      <c r="K96" s="23"/>
      <c r="L96" s="21"/>
      <c r="M96" s="22"/>
      <c r="N96" s="22"/>
      <c r="O96" s="24"/>
      <c r="P96" s="24"/>
      <c r="Q96" s="24"/>
      <c r="R96" s="22" t="s">
        <v>35</v>
      </c>
      <c r="S96" s="23"/>
      <c r="T96" s="171"/>
      <c r="U96" s="25">
        <v>45681</v>
      </c>
      <c r="V96" s="26"/>
      <c r="W96" s="27"/>
      <c r="X96" s="28"/>
      <c r="Y96" s="95" t="s">
        <v>356</v>
      </c>
    </row>
    <row r="97" spans="1:25" ht="23.4"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25">
        <v>45681</v>
      </c>
      <c r="V97" s="26"/>
      <c r="W97" s="27"/>
      <c r="X97" s="28"/>
      <c r="Y97" s="95" t="s">
        <v>356</v>
      </c>
    </row>
    <row r="98" spans="1:25" ht="33.6" customHeight="1" x14ac:dyDescent="0.15">
      <c r="A98" s="19">
        <f t="shared" si="1"/>
        <v>94</v>
      </c>
      <c r="B98" s="20"/>
      <c r="C98" s="20"/>
      <c r="D98" s="20"/>
      <c r="E98" s="96"/>
      <c r="F98" s="97" t="s">
        <v>254</v>
      </c>
      <c r="G98" s="120"/>
      <c r="H98" s="21"/>
      <c r="I98" s="22"/>
      <c r="J98" s="22"/>
      <c r="K98" s="23"/>
      <c r="L98" s="21"/>
      <c r="M98" s="22"/>
      <c r="N98" s="22"/>
      <c r="O98" s="24"/>
      <c r="P98" s="24"/>
      <c r="Q98" s="24"/>
      <c r="R98" s="22" t="s">
        <v>35</v>
      </c>
      <c r="S98" s="23"/>
      <c r="T98" s="171"/>
      <c r="U98" s="176"/>
      <c r="V98" s="177"/>
      <c r="W98" s="178"/>
      <c r="X98" s="28"/>
      <c r="Y98" s="95" t="s">
        <v>356</v>
      </c>
    </row>
    <row r="99" spans="1:25" ht="45.6" x14ac:dyDescent="0.15">
      <c r="A99" s="19">
        <f t="shared" si="1"/>
        <v>95</v>
      </c>
      <c r="B99" s="20"/>
      <c r="C99" s="20"/>
      <c r="D99" s="20"/>
      <c r="E99" s="96" t="s">
        <v>322</v>
      </c>
      <c r="F99" s="97" t="s">
        <v>319</v>
      </c>
      <c r="G99" s="120"/>
      <c r="H99" s="21"/>
      <c r="I99" s="22"/>
      <c r="J99" s="22"/>
      <c r="K99" s="23"/>
      <c r="L99" s="21"/>
      <c r="M99" s="22"/>
      <c r="N99" s="22"/>
      <c r="O99" s="24"/>
      <c r="P99" s="24"/>
      <c r="Q99" s="24"/>
      <c r="R99" s="22" t="s">
        <v>35</v>
      </c>
      <c r="S99" s="23"/>
      <c r="T99" s="171"/>
      <c r="U99" s="176"/>
      <c r="V99" s="177"/>
      <c r="W99" s="178"/>
      <c r="X99" s="28"/>
      <c r="Y99" s="95" t="s">
        <v>199</v>
      </c>
    </row>
    <row r="100" spans="1:25" ht="45.6" x14ac:dyDescent="0.15">
      <c r="A100" s="19">
        <f t="shared" si="1"/>
        <v>96</v>
      </c>
      <c r="B100" s="20"/>
      <c r="C100" s="20"/>
      <c r="D100" s="20"/>
      <c r="E100" s="96" t="s">
        <v>79</v>
      </c>
      <c r="F100" s="97" t="s">
        <v>319</v>
      </c>
      <c r="G100" s="120"/>
      <c r="H100" s="21"/>
      <c r="I100" s="22"/>
      <c r="J100" s="22"/>
      <c r="K100" s="23"/>
      <c r="L100" s="21"/>
      <c r="M100" s="22"/>
      <c r="N100" s="22"/>
      <c r="O100" s="24"/>
      <c r="P100" s="24"/>
      <c r="Q100" s="24"/>
      <c r="R100" s="22" t="s">
        <v>35</v>
      </c>
      <c r="S100" s="23"/>
      <c r="T100" s="171"/>
      <c r="U100" s="176"/>
      <c r="V100" s="177"/>
      <c r="W100" s="178"/>
      <c r="X100" s="28"/>
      <c r="Y100" s="95" t="s">
        <v>199</v>
      </c>
    </row>
    <row r="101" spans="1:25" ht="45.6" x14ac:dyDescent="0.15">
      <c r="A101" s="19">
        <f t="shared" si="1"/>
        <v>97</v>
      </c>
      <c r="B101" s="20"/>
      <c r="C101" s="20"/>
      <c r="D101" s="20"/>
      <c r="E101" s="96" t="s">
        <v>323</v>
      </c>
      <c r="F101" s="97" t="s">
        <v>319</v>
      </c>
      <c r="G101" s="120"/>
      <c r="H101" s="21"/>
      <c r="I101" s="22"/>
      <c r="J101" s="22"/>
      <c r="K101" s="23"/>
      <c r="L101" s="21"/>
      <c r="M101" s="22"/>
      <c r="N101" s="22"/>
      <c r="O101" s="24"/>
      <c r="P101" s="24"/>
      <c r="Q101" s="24"/>
      <c r="R101" s="22" t="s">
        <v>35</v>
      </c>
      <c r="S101" s="23"/>
      <c r="T101" s="171"/>
      <c r="U101" s="176"/>
      <c r="V101" s="177"/>
      <c r="W101" s="178"/>
      <c r="X101" s="28"/>
      <c r="Y101" s="95" t="s">
        <v>199</v>
      </c>
    </row>
    <row r="102" spans="1:25" ht="45.6" x14ac:dyDescent="0.15">
      <c r="A102" s="19">
        <f t="shared" si="1"/>
        <v>98</v>
      </c>
      <c r="B102" s="20"/>
      <c r="C102" s="20"/>
      <c r="D102" s="20"/>
      <c r="E102" s="96" t="s">
        <v>324</v>
      </c>
      <c r="F102" s="97" t="s">
        <v>319</v>
      </c>
      <c r="G102" s="120"/>
      <c r="H102" s="21"/>
      <c r="I102" s="22"/>
      <c r="J102" s="22"/>
      <c r="K102" s="23"/>
      <c r="L102" s="21"/>
      <c r="M102" s="22"/>
      <c r="N102" s="22"/>
      <c r="O102" s="24"/>
      <c r="P102" s="24"/>
      <c r="Q102" s="24"/>
      <c r="R102" s="22" t="s">
        <v>35</v>
      </c>
      <c r="S102" s="23"/>
      <c r="T102" s="171"/>
      <c r="U102" s="176"/>
      <c r="V102" s="177"/>
      <c r="W102" s="178"/>
      <c r="X102" s="28"/>
      <c r="Y102" s="95" t="s">
        <v>199</v>
      </c>
    </row>
    <row r="103" spans="1:25" ht="22.8" x14ac:dyDescent="0.15">
      <c r="A103" s="19">
        <f t="shared" si="1"/>
        <v>99</v>
      </c>
      <c r="B103" s="20"/>
      <c r="C103" s="20" t="s">
        <v>52</v>
      </c>
      <c r="D103" s="20" t="s">
        <v>171</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c r="Y103" s="95"/>
    </row>
    <row r="104" spans="1:25" ht="11.4"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c r="Y104" s="95"/>
    </row>
    <row r="105" spans="1:25" ht="11.4"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c r="Y105" s="95"/>
    </row>
    <row r="106" spans="1:25" ht="11.4"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c r="Y106" s="95"/>
    </row>
    <row r="107" spans="1:25" ht="11.4" x14ac:dyDescent="0.15">
      <c r="A107" s="19">
        <f t="shared" si="1"/>
        <v>103</v>
      </c>
      <c r="B107" s="20"/>
      <c r="C107" s="20"/>
      <c r="D107" s="20"/>
      <c r="E107" s="96" t="s">
        <v>169</v>
      </c>
      <c r="F107" s="97" t="s">
        <v>41</v>
      </c>
      <c r="G107" s="120"/>
      <c r="H107" s="21"/>
      <c r="I107" s="22"/>
      <c r="J107" s="22"/>
      <c r="K107" s="23"/>
      <c r="L107" s="21"/>
      <c r="M107" s="24" t="s">
        <v>35</v>
      </c>
      <c r="N107" s="22"/>
      <c r="O107" s="24"/>
      <c r="P107" s="24"/>
      <c r="Q107" s="24"/>
      <c r="R107" s="22"/>
      <c r="S107" s="23"/>
      <c r="T107" s="171"/>
      <c r="U107" s="25">
        <v>45680</v>
      </c>
      <c r="V107" s="26"/>
      <c r="W107" s="27"/>
      <c r="X107" s="28"/>
      <c r="Y107" s="95"/>
    </row>
    <row r="108" spans="1:25" ht="11.4" x14ac:dyDescent="0.15">
      <c r="A108" s="19">
        <f t="shared" si="1"/>
        <v>104</v>
      </c>
      <c r="B108" s="20"/>
      <c r="C108" s="20"/>
      <c r="D108" s="20" t="s">
        <v>173</v>
      </c>
      <c r="E108" s="96" t="s">
        <v>296</v>
      </c>
      <c r="F108" s="97" t="s">
        <v>42</v>
      </c>
      <c r="G108" s="120"/>
      <c r="H108" s="78"/>
      <c r="I108" s="79"/>
      <c r="J108" s="79"/>
      <c r="K108" s="80"/>
      <c r="L108" s="78"/>
      <c r="M108" s="81"/>
      <c r="N108" s="79"/>
      <c r="O108" s="81"/>
      <c r="P108" s="81"/>
      <c r="Q108" s="81"/>
      <c r="R108" s="101"/>
      <c r="S108" s="80"/>
      <c r="T108" s="172"/>
      <c r="U108" s="82"/>
      <c r="V108" s="83"/>
      <c r="W108" s="84"/>
      <c r="X108" s="85"/>
      <c r="Y108" s="95" t="s">
        <v>354</v>
      </c>
    </row>
    <row r="109" spans="1:25" ht="22.8" x14ac:dyDescent="0.15">
      <c r="A109" s="19">
        <f t="shared" si="1"/>
        <v>105</v>
      </c>
      <c r="B109" s="20"/>
      <c r="C109" s="20"/>
      <c r="D109" s="20"/>
      <c r="E109" s="96" t="s">
        <v>33</v>
      </c>
      <c r="F109" s="97" t="s">
        <v>297</v>
      </c>
      <c r="G109" s="120"/>
      <c r="H109" s="21"/>
      <c r="I109" s="22"/>
      <c r="J109" s="22"/>
      <c r="K109" s="23"/>
      <c r="L109" s="21"/>
      <c r="M109" s="24" t="s">
        <v>35</v>
      </c>
      <c r="N109" s="22"/>
      <c r="O109" s="24"/>
      <c r="P109" s="24"/>
      <c r="Q109" s="24"/>
      <c r="R109" s="100"/>
      <c r="S109" s="23"/>
      <c r="T109" s="171"/>
      <c r="U109" s="25">
        <v>45680</v>
      </c>
      <c r="V109" s="26"/>
      <c r="W109" s="27"/>
      <c r="X109" s="28"/>
      <c r="Y109" s="95" t="s">
        <v>354</v>
      </c>
    </row>
    <row r="110" spans="1:25" ht="11.4"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c r="Y110" s="95" t="s">
        <v>354</v>
      </c>
    </row>
    <row r="111" spans="1:25" ht="11.4"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c r="Y111" s="95" t="s">
        <v>354</v>
      </c>
    </row>
    <row r="112" spans="1:25" ht="11.4"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c r="Y112" s="95" t="s">
        <v>354</v>
      </c>
    </row>
    <row r="113" spans="1:25" ht="11.4"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c r="Y113" s="95" t="s">
        <v>354</v>
      </c>
    </row>
    <row r="114" spans="1:25" ht="15" customHeight="1" x14ac:dyDescent="0.15">
      <c r="A114" s="19">
        <f t="shared" si="1"/>
        <v>110</v>
      </c>
      <c r="B114" s="20"/>
      <c r="C114" s="20"/>
      <c r="D114" s="20"/>
      <c r="E114" s="96" t="s">
        <v>202</v>
      </c>
      <c r="F114" s="97" t="s">
        <v>170</v>
      </c>
      <c r="G114" s="120"/>
      <c r="H114" s="21"/>
      <c r="I114" s="22"/>
      <c r="J114" s="22"/>
      <c r="K114" s="23"/>
      <c r="L114" s="21"/>
      <c r="M114" s="22"/>
      <c r="N114" s="22"/>
      <c r="O114" s="24"/>
      <c r="P114" s="24"/>
      <c r="Q114" s="24"/>
      <c r="R114" s="22" t="s">
        <v>35</v>
      </c>
      <c r="S114" s="23"/>
      <c r="T114" s="171"/>
      <c r="U114" s="25">
        <v>45681</v>
      </c>
      <c r="V114" s="26"/>
      <c r="W114" s="27"/>
      <c r="X114" s="28"/>
      <c r="Y114" s="95" t="s">
        <v>199</v>
      </c>
    </row>
    <row r="115" spans="1:25" ht="22.8"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25">
        <v>45681</v>
      </c>
      <c r="V115" s="26"/>
      <c r="W115" s="27"/>
      <c r="X115" s="28"/>
      <c r="Y115" s="95" t="s">
        <v>199</v>
      </c>
    </row>
    <row r="116" spans="1:25" ht="33.6" customHeight="1" x14ac:dyDescent="0.15">
      <c r="A116" s="19">
        <f t="shared" si="1"/>
        <v>112</v>
      </c>
      <c r="B116" s="20"/>
      <c r="C116" s="20"/>
      <c r="D116" s="20"/>
      <c r="E116" s="96"/>
      <c r="F116" s="97" t="s">
        <v>255</v>
      </c>
      <c r="G116" s="120"/>
      <c r="H116" s="21"/>
      <c r="I116" s="22"/>
      <c r="J116" s="22"/>
      <c r="K116" s="23"/>
      <c r="L116" s="21"/>
      <c r="M116" s="22"/>
      <c r="N116" s="22"/>
      <c r="O116" s="24"/>
      <c r="P116" s="24"/>
      <c r="Q116" s="24"/>
      <c r="R116" s="22" t="s">
        <v>35</v>
      </c>
      <c r="S116" s="23"/>
      <c r="T116" s="171"/>
      <c r="U116" s="176"/>
      <c r="V116" s="177"/>
      <c r="W116" s="178"/>
      <c r="X116" s="28"/>
      <c r="Y116" s="95" t="s">
        <v>199</v>
      </c>
    </row>
    <row r="117" spans="1:25" ht="34.200000000000003" x14ac:dyDescent="0.15">
      <c r="A117" s="19">
        <f t="shared" si="1"/>
        <v>113</v>
      </c>
      <c r="B117" s="20"/>
      <c r="C117" s="20"/>
      <c r="D117" s="20"/>
      <c r="E117" s="96" t="s">
        <v>81</v>
      </c>
      <c r="F117" s="97" t="s">
        <v>320</v>
      </c>
      <c r="G117" s="120"/>
      <c r="H117" s="21"/>
      <c r="I117" s="22"/>
      <c r="J117" s="22"/>
      <c r="K117" s="23"/>
      <c r="L117" s="21"/>
      <c r="M117" s="22"/>
      <c r="N117" s="22"/>
      <c r="O117" s="24"/>
      <c r="P117" s="24"/>
      <c r="Q117" s="24"/>
      <c r="R117" s="22" t="s">
        <v>35</v>
      </c>
      <c r="S117" s="23"/>
      <c r="T117" s="171"/>
      <c r="U117" s="176"/>
      <c r="V117" s="177"/>
      <c r="W117" s="178"/>
      <c r="X117" s="28"/>
      <c r="Y117" s="95" t="s">
        <v>199</v>
      </c>
    </row>
    <row r="118" spans="1:25" ht="34.200000000000003" x14ac:dyDescent="0.15">
      <c r="A118" s="19">
        <f t="shared" si="1"/>
        <v>114</v>
      </c>
      <c r="B118" s="20"/>
      <c r="C118" s="20"/>
      <c r="D118" s="20"/>
      <c r="E118" s="96" t="s">
        <v>82</v>
      </c>
      <c r="F118" s="97" t="s">
        <v>320</v>
      </c>
      <c r="G118" s="120"/>
      <c r="H118" s="21"/>
      <c r="I118" s="22"/>
      <c r="J118" s="22"/>
      <c r="K118" s="23"/>
      <c r="L118" s="21"/>
      <c r="M118" s="22"/>
      <c r="N118" s="22"/>
      <c r="O118" s="24"/>
      <c r="P118" s="24"/>
      <c r="Q118" s="24"/>
      <c r="R118" s="22" t="s">
        <v>35</v>
      </c>
      <c r="S118" s="23"/>
      <c r="T118" s="171"/>
      <c r="U118" s="176"/>
      <c r="V118" s="177"/>
      <c r="W118" s="178"/>
      <c r="X118" s="28"/>
      <c r="Y118" s="95" t="s">
        <v>199</v>
      </c>
    </row>
    <row r="119" spans="1:25" ht="34.200000000000003" x14ac:dyDescent="0.15">
      <c r="A119" s="19">
        <f t="shared" si="1"/>
        <v>115</v>
      </c>
      <c r="B119" s="20"/>
      <c r="C119" s="20"/>
      <c r="D119" s="20"/>
      <c r="E119" s="96" t="s">
        <v>83</v>
      </c>
      <c r="F119" s="97" t="s">
        <v>320</v>
      </c>
      <c r="G119" s="120"/>
      <c r="H119" s="21"/>
      <c r="I119" s="22"/>
      <c r="J119" s="22"/>
      <c r="K119" s="23"/>
      <c r="L119" s="21"/>
      <c r="M119" s="22"/>
      <c r="N119" s="22"/>
      <c r="O119" s="24"/>
      <c r="P119" s="24"/>
      <c r="Q119" s="24"/>
      <c r="R119" s="22" t="s">
        <v>35</v>
      </c>
      <c r="S119" s="23"/>
      <c r="T119" s="171"/>
      <c r="U119" s="176"/>
      <c r="V119" s="177"/>
      <c r="W119" s="178"/>
      <c r="X119" s="28"/>
      <c r="Y119" s="95" t="s">
        <v>199</v>
      </c>
    </row>
    <row r="120" spans="1:25" ht="22.8" x14ac:dyDescent="0.15">
      <c r="A120" s="19">
        <f t="shared" si="1"/>
        <v>116</v>
      </c>
      <c r="B120" s="20"/>
      <c r="C120" s="20" t="s">
        <v>84</v>
      </c>
      <c r="D120" s="20" t="s">
        <v>171</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c r="Y120" s="95"/>
    </row>
    <row r="121" spans="1:25" ht="11.4"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c r="Y121" s="95"/>
    </row>
    <row r="122" spans="1:25" ht="11.4"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c r="Y122" s="95"/>
    </row>
    <row r="123" spans="1:25" ht="11.4"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c r="Y123" s="95"/>
    </row>
    <row r="124" spans="1:25" ht="11.4" x14ac:dyDescent="0.15">
      <c r="A124" s="19">
        <f t="shared" si="1"/>
        <v>120</v>
      </c>
      <c r="B124" s="20"/>
      <c r="C124" s="20"/>
      <c r="D124" s="20"/>
      <c r="E124" s="96" t="s">
        <v>169</v>
      </c>
      <c r="F124" s="97" t="s">
        <v>41</v>
      </c>
      <c r="G124" s="120"/>
      <c r="H124" s="21"/>
      <c r="I124" s="22"/>
      <c r="J124" s="22"/>
      <c r="K124" s="23"/>
      <c r="L124" s="21"/>
      <c r="M124" s="24" t="s">
        <v>35</v>
      </c>
      <c r="N124" s="22"/>
      <c r="O124" s="24"/>
      <c r="P124" s="24"/>
      <c r="Q124" s="24"/>
      <c r="R124" s="22"/>
      <c r="S124" s="23"/>
      <c r="T124" s="171"/>
      <c r="U124" s="25">
        <v>45680</v>
      </c>
      <c r="V124" s="26"/>
      <c r="W124" s="27"/>
      <c r="X124" s="28"/>
      <c r="Y124" s="95"/>
    </row>
    <row r="125" spans="1:25" ht="22.8" x14ac:dyDescent="0.15">
      <c r="A125" s="19">
        <f t="shared" si="1"/>
        <v>121</v>
      </c>
      <c r="B125" s="20"/>
      <c r="C125" s="20"/>
      <c r="D125" s="169" t="s">
        <v>177</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c r="Y125" s="95" t="s">
        <v>174</v>
      </c>
    </row>
    <row r="126" spans="1:25" ht="11.4"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c r="Y126" s="95" t="s">
        <v>174</v>
      </c>
    </row>
    <row r="127" spans="1:25" ht="11.4"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c r="Y127" s="95" t="s">
        <v>174</v>
      </c>
    </row>
    <row r="128" spans="1:25" ht="11.4"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c r="Y128" s="95" t="s">
        <v>174</v>
      </c>
    </row>
    <row r="129" spans="1:25" ht="11.4"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c r="Y129" s="95" t="s">
        <v>174</v>
      </c>
    </row>
    <row r="130" spans="1:25" ht="12.6" x14ac:dyDescent="0.15">
      <c r="A130" s="19">
        <f t="shared" si="1"/>
        <v>126</v>
      </c>
      <c r="B130" s="20"/>
      <c r="C130" s="20"/>
      <c r="D130" s="169"/>
      <c r="E130" s="96" t="s">
        <v>105</v>
      </c>
      <c r="F130" s="97" t="s">
        <v>42</v>
      </c>
      <c r="G130" s="126" t="s">
        <v>283</v>
      </c>
      <c r="H130" s="86"/>
      <c r="I130" s="79"/>
      <c r="J130" s="79"/>
      <c r="K130" s="80"/>
      <c r="L130" s="78"/>
      <c r="M130" s="81"/>
      <c r="N130" s="79"/>
      <c r="O130" s="81"/>
      <c r="P130" s="81"/>
      <c r="Q130" s="81"/>
      <c r="R130" s="101"/>
      <c r="S130" s="80"/>
      <c r="T130" s="172"/>
      <c r="U130" s="82"/>
      <c r="V130" s="83"/>
      <c r="W130" s="84"/>
      <c r="X130" s="85"/>
      <c r="Y130" s="95" t="s">
        <v>256</v>
      </c>
    </row>
    <row r="131" spans="1:25" ht="22.8" x14ac:dyDescent="0.15">
      <c r="A131" s="19">
        <f t="shared" si="1"/>
        <v>127</v>
      </c>
      <c r="B131" s="20"/>
      <c r="C131" s="20"/>
      <c r="D131" s="169" t="s">
        <v>178</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c r="Y131" s="95" t="s">
        <v>175</v>
      </c>
    </row>
    <row r="132" spans="1:25" ht="11.4"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c r="Y132" s="95" t="s">
        <v>175</v>
      </c>
    </row>
    <row r="133" spans="1:25" ht="11.4"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c r="Y133" s="95" t="s">
        <v>175</v>
      </c>
    </row>
    <row r="134" spans="1:25" ht="11.4"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c r="Y134" s="95" t="s">
        <v>175</v>
      </c>
    </row>
    <row r="135" spans="1:25" ht="24" customHeight="1" x14ac:dyDescent="0.15">
      <c r="A135" s="19">
        <f t="shared" si="2"/>
        <v>131</v>
      </c>
      <c r="B135" s="20"/>
      <c r="C135" s="20"/>
      <c r="D135" s="169"/>
      <c r="E135" s="96" t="s">
        <v>89</v>
      </c>
      <c r="F135" s="97" t="s">
        <v>357</v>
      </c>
      <c r="G135" s="120"/>
      <c r="H135" s="21"/>
      <c r="I135" s="22"/>
      <c r="J135" s="22"/>
      <c r="K135" s="23"/>
      <c r="L135" s="21"/>
      <c r="M135" s="24" t="s">
        <v>35</v>
      </c>
      <c r="N135" s="22"/>
      <c r="O135" s="24"/>
      <c r="P135" s="24"/>
      <c r="Q135" s="24"/>
      <c r="R135" s="100"/>
      <c r="S135" s="23"/>
      <c r="T135" s="171"/>
      <c r="U135" s="25">
        <v>45680</v>
      </c>
      <c r="V135" s="26"/>
      <c r="W135" s="27"/>
      <c r="X135" s="28"/>
      <c r="Y135" s="95" t="s">
        <v>175</v>
      </c>
    </row>
    <row r="136" spans="1:25" ht="22.8" x14ac:dyDescent="0.15">
      <c r="A136" s="19">
        <f t="shared" si="2"/>
        <v>132</v>
      </c>
      <c r="B136" s="20"/>
      <c r="C136" s="20"/>
      <c r="D136" s="169" t="s">
        <v>257</v>
      </c>
      <c r="E136" s="96" t="s">
        <v>107</v>
      </c>
      <c r="F136" s="97" t="s">
        <v>170</v>
      </c>
      <c r="G136" s="120"/>
      <c r="H136" s="21"/>
      <c r="I136" s="22"/>
      <c r="J136" s="22"/>
      <c r="K136" s="23"/>
      <c r="L136" s="21"/>
      <c r="M136" s="22"/>
      <c r="N136" s="22"/>
      <c r="O136" s="24"/>
      <c r="P136" s="24"/>
      <c r="Q136" s="24"/>
      <c r="R136" s="22" t="s">
        <v>35</v>
      </c>
      <c r="S136" s="23"/>
      <c r="T136" s="171"/>
      <c r="U136" s="25">
        <v>45681</v>
      </c>
      <c r="V136" s="26"/>
      <c r="W136" s="27"/>
      <c r="X136" s="28"/>
      <c r="Y136" s="95" t="s">
        <v>179</v>
      </c>
    </row>
    <row r="137" spans="1:25" ht="22.8" x14ac:dyDescent="0.15">
      <c r="A137" s="19">
        <f t="shared" si="2"/>
        <v>133</v>
      </c>
      <c r="B137" s="20"/>
      <c r="C137" s="20"/>
      <c r="D137" s="20"/>
      <c r="E137" s="96" t="s">
        <v>108</v>
      </c>
      <c r="F137" s="97" t="s">
        <v>325</v>
      </c>
      <c r="G137" s="135"/>
      <c r="H137" s="21"/>
      <c r="I137" s="22"/>
      <c r="J137" s="22"/>
      <c r="K137" s="23"/>
      <c r="L137" s="21"/>
      <c r="M137" s="22"/>
      <c r="N137" s="22"/>
      <c r="O137" s="24"/>
      <c r="P137" s="24"/>
      <c r="Q137" s="24"/>
      <c r="R137" s="106" t="s">
        <v>35</v>
      </c>
      <c r="S137" s="23"/>
      <c r="T137" s="171"/>
      <c r="U137" s="25">
        <v>45681</v>
      </c>
      <c r="V137" s="26"/>
      <c r="W137" s="27"/>
      <c r="X137" s="28"/>
      <c r="Y137" s="95" t="s">
        <v>179</v>
      </c>
    </row>
    <row r="138" spans="1:25" ht="11.4"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204" t="s">
        <v>110</v>
      </c>
      <c r="V146" s="204"/>
      <c r="W146" s="205"/>
      <c r="X146" s="40" t="s">
        <v>111</v>
      </c>
      <c r="Y146" s="41">
        <f>SUM(H146:S146)</f>
        <v>0</v>
      </c>
    </row>
    <row r="147" spans="1:25" s="3" customFormat="1" ht="12"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206"/>
      <c r="V147" s="206"/>
      <c r="W147" s="207"/>
      <c r="X147" s="50" t="s">
        <v>111</v>
      </c>
      <c r="Y147" s="51">
        <f t="shared" ref="Y147:Y149" si="6">SUM(H147:S147)</f>
        <v>0</v>
      </c>
    </row>
    <row r="148" spans="1:25" s="3" customFormat="1" ht="12"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00"/>
      <c r="U148" s="187">
        <f>COUNTA(U5:U145)</f>
        <v>85</v>
      </c>
      <c r="V148" s="189">
        <f>COUNTA(V5:V145)</f>
        <v>0</v>
      </c>
      <c r="W148" s="191">
        <f>COUNTA(W5:W145)</f>
        <v>0</v>
      </c>
      <c r="X148" s="56" t="s">
        <v>111</v>
      </c>
      <c r="Y148" s="51">
        <f t="shared" si="6"/>
        <v>0</v>
      </c>
    </row>
    <row r="149" spans="1:25" s="3" customFormat="1" ht="12"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01"/>
      <c r="U149" s="188"/>
      <c r="V149" s="190"/>
      <c r="W149" s="192"/>
      <c r="X149" s="65" t="s">
        <v>111</v>
      </c>
      <c r="Y149" s="66">
        <f t="shared" si="6"/>
        <v>128</v>
      </c>
    </row>
  </sheetData>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zoomScale="85" zoomScaleNormal="110" zoomScaleSheetLayoutView="85" workbookViewId="0">
      <pane ySplit="4" topLeftCell="A56" activePane="bottomLeft" state="frozen"/>
      <selection activeCell="B8" sqref="B8"/>
      <selection pane="bottomLeft" activeCell="Y32" sqref="Y3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316</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118</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303</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370</v>
      </c>
      <c r="G10" s="126" t="s">
        <v>283</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371</v>
      </c>
      <c r="G19" s="126" t="s">
        <v>283</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372</v>
      </c>
      <c r="G25" s="126" t="s">
        <v>283</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176"/>
      <c r="V30" s="177"/>
      <c r="W30" s="178"/>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176"/>
      <c r="V31" s="177"/>
      <c r="W31" s="178"/>
      <c r="X31" s="28"/>
      <c r="Y31" s="29"/>
    </row>
    <row r="32" spans="1:25" ht="45.6" x14ac:dyDescent="0.15">
      <c r="A32" s="19">
        <f t="shared" si="0"/>
        <v>28</v>
      </c>
      <c r="B32" s="20"/>
      <c r="C32" s="20"/>
      <c r="D32" s="20"/>
      <c r="E32" s="96" t="s">
        <v>124</v>
      </c>
      <c r="F32" s="97" t="s">
        <v>307</v>
      </c>
      <c r="G32" s="126" t="s">
        <v>283</v>
      </c>
      <c r="H32" s="21"/>
      <c r="I32" s="22"/>
      <c r="J32" s="22"/>
      <c r="K32" s="23"/>
      <c r="L32" s="76"/>
      <c r="M32" s="24" t="s">
        <v>35</v>
      </c>
      <c r="N32" s="22"/>
      <c r="O32" s="24"/>
      <c r="P32" s="24"/>
      <c r="Q32" s="24"/>
      <c r="R32" s="22"/>
      <c r="S32" s="23"/>
      <c r="T32" s="171">
        <v>45314</v>
      </c>
      <c r="U32" s="176"/>
      <c r="V32" s="177"/>
      <c r="W32" s="178"/>
      <c r="X32" s="28"/>
      <c r="Y32" s="29"/>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222</v>
      </c>
      <c r="C40" s="20"/>
      <c r="D40" s="20"/>
      <c r="E40" s="77" t="s">
        <v>119</v>
      </c>
      <c r="F40" s="71" t="s">
        <v>120</v>
      </c>
      <c r="G40" s="126" t="s">
        <v>283</v>
      </c>
      <c r="H40" s="86"/>
      <c r="I40" s="87"/>
      <c r="J40" s="87"/>
      <c r="K40" s="88"/>
      <c r="L40" s="89"/>
      <c r="M40" s="90"/>
      <c r="N40" s="87"/>
      <c r="O40" s="90"/>
      <c r="P40" s="90"/>
      <c r="Q40" s="90"/>
      <c r="R40" s="90"/>
      <c r="S40" s="88"/>
      <c r="T40" s="175"/>
      <c r="U40" s="91"/>
      <c r="V40" s="92"/>
      <c r="W40" s="93"/>
      <c r="X40" s="94"/>
      <c r="Y40" s="29" t="s">
        <v>308</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209</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210</v>
      </c>
      <c r="F44" s="97" t="s">
        <v>211</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304</v>
      </c>
      <c r="G46" s="126" t="s">
        <v>283</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258</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305</v>
      </c>
      <c r="G56" s="126" t="s">
        <v>283</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306</v>
      </c>
      <c r="G62" s="126" t="s">
        <v>283</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258</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307</v>
      </c>
      <c r="G70" s="126" t="s">
        <v>283</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258</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212</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213</v>
      </c>
      <c r="F74" s="97" t="s">
        <v>214</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215</v>
      </c>
      <c r="F75" s="97" t="s">
        <v>216</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258</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217</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219</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218</v>
      </c>
      <c r="F79" s="97" t="s">
        <v>220</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258</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223</v>
      </c>
      <c r="C81" s="20"/>
      <c r="D81" s="20"/>
      <c r="E81" s="30" t="s">
        <v>259</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180</v>
      </c>
      <c r="D82" s="20"/>
      <c r="E82" s="30" t="s">
        <v>309</v>
      </c>
      <c r="F82" s="97" t="s">
        <v>312</v>
      </c>
      <c r="G82" s="120"/>
      <c r="H82" s="21"/>
      <c r="I82" s="22"/>
      <c r="J82" s="22"/>
      <c r="K82" s="23"/>
      <c r="L82" s="21"/>
      <c r="M82" s="24" t="s">
        <v>35</v>
      </c>
      <c r="N82" s="22"/>
      <c r="O82" s="24"/>
      <c r="P82" s="24"/>
      <c r="Q82" s="24"/>
      <c r="R82" s="22"/>
      <c r="S82" s="23"/>
      <c r="T82" s="171">
        <v>45315</v>
      </c>
      <c r="U82" s="25"/>
      <c r="V82" s="26"/>
      <c r="W82" s="27"/>
      <c r="X82" s="28"/>
      <c r="Y82" s="95" t="s">
        <v>260</v>
      </c>
    </row>
    <row r="83" spans="1:25" ht="11.4" x14ac:dyDescent="0.15">
      <c r="A83" s="19">
        <f t="shared" si="1"/>
        <v>79</v>
      </c>
      <c r="B83" s="20"/>
      <c r="C83" s="20" t="s">
        <v>181</v>
      </c>
      <c r="D83" s="20"/>
      <c r="E83" s="30"/>
      <c r="F83" s="97" t="s">
        <v>313</v>
      </c>
      <c r="G83" s="120"/>
      <c r="H83" s="21"/>
      <c r="I83" s="22"/>
      <c r="J83" s="22"/>
      <c r="K83" s="23"/>
      <c r="L83" s="21"/>
      <c r="M83" s="24" t="s">
        <v>35</v>
      </c>
      <c r="N83" s="22"/>
      <c r="O83" s="24"/>
      <c r="P83" s="24"/>
      <c r="Q83" s="24"/>
      <c r="R83" s="22"/>
      <c r="S83" s="23"/>
      <c r="T83" s="171">
        <v>45315</v>
      </c>
      <c r="U83" s="25"/>
      <c r="V83" s="26"/>
      <c r="W83" s="27"/>
      <c r="X83" s="28"/>
      <c r="Y83" s="95" t="s">
        <v>261</v>
      </c>
    </row>
    <row r="84" spans="1:25" ht="11.4" x14ac:dyDescent="0.15">
      <c r="A84" s="19">
        <f t="shared" si="1"/>
        <v>80</v>
      </c>
      <c r="B84" s="20"/>
      <c r="C84" s="20" t="s">
        <v>182</v>
      </c>
      <c r="D84" s="20"/>
      <c r="E84" s="30"/>
      <c r="F84" s="97" t="s">
        <v>314</v>
      </c>
      <c r="G84" s="120"/>
      <c r="H84" s="21"/>
      <c r="I84" s="22"/>
      <c r="J84" s="22"/>
      <c r="K84" s="23"/>
      <c r="L84" s="21"/>
      <c r="M84" s="24" t="s">
        <v>35</v>
      </c>
      <c r="N84" s="22"/>
      <c r="O84" s="24"/>
      <c r="P84" s="24"/>
      <c r="Q84" s="24"/>
      <c r="R84" s="22"/>
      <c r="S84" s="23"/>
      <c r="T84" s="171">
        <v>45315</v>
      </c>
      <c r="U84" s="25"/>
      <c r="V84" s="26"/>
      <c r="W84" s="27"/>
      <c r="X84" s="28"/>
      <c r="Y84" s="95" t="s">
        <v>263</v>
      </c>
    </row>
    <row r="85" spans="1:25" ht="22.8" x14ac:dyDescent="0.15">
      <c r="A85" s="19">
        <f t="shared" si="1"/>
        <v>81</v>
      </c>
      <c r="B85" s="20"/>
      <c r="C85" s="20" t="s">
        <v>310</v>
      </c>
      <c r="D85" s="20"/>
      <c r="E85" s="30"/>
      <c r="F85" s="97" t="s">
        <v>315</v>
      </c>
      <c r="G85" s="120"/>
      <c r="H85" s="21"/>
      <c r="I85" s="22"/>
      <c r="J85" s="22"/>
      <c r="K85" s="23"/>
      <c r="L85" s="21"/>
      <c r="M85" s="24" t="s">
        <v>35</v>
      </c>
      <c r="N85" s="22"/>
      <c r="O85" s="24"/>
      <c r="P85" s="24"/>
      <c r="Q85" s="24"/>
      <c r="R85" s="22"/>
      <c r="S85" s="23"/>
      <c r="T85" s="171">
        <v>45315</v>
      </c>
      <c r="U85" s="25"/>
      <c r="V85" s="26"/>
      <c r="W85" s="27"/>
      <c r="X85" s="28"/>
      <c r="Y85" s="95" t="s">
        <v>311</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176</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184</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185</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186</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187</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188</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189</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190</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191</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204" t="s">
        <v>110</v>
      </c>
      <c r="V134" s="204"/>
      <c r="W134" s="205"/>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206"/>
      <c r="V135" s="206"/>
      <c r="W135" s="207"/>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00"/>
      <c r="U136" s="187">
        <f>COUNTA(U5:U133)</f>
        <v>32</v>
      </c>
      <c r="V136" s="189">
        <f>COUNTA(V5:V133)</f>
        <v>0</v>
      </c>
      <c r="W136" s="191">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01"/>
      <c r="U137" s="188"/>
      <c r="V137" s="190"/>
      <c r="W137" s="192"/>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4"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317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358</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c r="U6" s="25">
        <v>45680</v>
      </c>
      <c r="V6" s="26"/>
      <c r="W6" s="27"/>
      <c r="X6" s="28"/>
      <c r="Y6" s="29" t="s">
        <v>358</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358</v>
      </c>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c r="U8" s="25">
        <v>45680</v>
      </c>
      <c r="V8" s="26"/>
      <c r="W8" s="27"/>
      <c r="X8" s="28"/>
      <c r="Y8" s="29" t="s">
        <v>358</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358</v>
      </c>
    </row>
    <row r="10" spans="1:25" ht="45.6" x14ac:dyDescent="0.15">
      <c r="A10" s="19">
        <f t="shared" si="0"/>
        <v>6</v>
      </c>
      <c r="B10" s="20"/>
      <c r="C10" s="20"/>
      <c r="D10" s="20"/>
      <c r="E10" s="96" t="s">
        <v>124</v>
      </c>
      <c r="F10" s="97" t="s">
        <v>304</v>
      </c>
      <c r="G10" s="126" t="s">
        <v>283</v>
      </c>
      <c r="H10" s="21"/>
      <c r="I10" s="22"/>
      <c r="J10" s="22"/>
      <c r="K10" s="23"/>
      <c r="L10" s="21"/>
      <c r="M10" s="24" t="s">
        <v>35</v>
      </c>
      <c r="N10" s="22"/>
      <c r="O10" s="24"/>
      <c r="P10" s="24"/>
      <c r="Q10" s="24"/>
      <c r="R10" s="100"/>
      <c r="S10" s="23"/>
      <c r="T10" s="171"/>
      <c r="U10" s="25">
        <v>45680</v>
      </c>
      <c r="V10" s="26"/>
      <c r="W10" s="27"/>
      <c r="X10" s="28"/>
      <c r="Y10" s="29" t="s">
        <v>358</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358</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358</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358</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358</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358</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358</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358</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358</v>
      </c>
    </row>
    <row r="19" spans="1:25" ht="45.6" x14ac:dyDescent="0.15">
      <c r="A19" s="19">
        <f t="shared" si="0"/>
        <v>15</v>
      </c>
      <c r="B19" s="20"/>
      <c r="C19" s="103"/>
      <c r="D19" s="20"/>
      <c r="E19" s="96" t="s">
        <v>63</v>
      </c>
      <c r="F19" s="97" t="s">
        <v>371</v>
      </c>
      <c r="G19" s="126" t="s">
        <v>283</v>
      </c>
      <c r="H19" s="21"/>
      <c r="I19" s="22"/>
      <c r="J19" s="22"/>
      <c r="K19" s="23"/>
      <c r="L19" s="21"/>
      <c r="M19" s="24" t="s">
        <v>35</v>
      </c>
      <c r="N19" s="22"/>
      <c r="O19" s="24"/>
      <c r="P19" s="24"/>
      <c r="Q19" s="24"/>
      <c r="R19" s="22"/>
      <c r="S19" s="23"/>
      <c r="T19" s="171"/>
      <c r="U19" s="25">
        <v>45680</v>
      </c>
      <c r="V19" s="26"/>
      <c r="W19" s="27"/>
      <c r="X19" s="28"/>
      <c r="Y19" s="29" t="s">
        <v>358</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358</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358</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358</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358</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358</v>
      </c>
    </row>
    <row r="25" spans="1:25" ht="45.6" x14ac:dyDescent="0.15">
      <c r="A25" s="19">
        <f t="shared" si="0"/>
        <v>21</v>
      </c>
      <c r="B25" s="20"/>
      <c r="C25" s="103"/>
      <c r="D25" s="20"/>
      <c r="E25" s="96" t="s">
        <v>63</v>
      </c>
      <c r="F25" s="97" t="s">
        <v>373</v>
      </c>
      <c r="G25" s="126" t="s">
        <v>283</v>
      </c>
      <c r="H25" s="21"/>
      <c r="I25" s="22"/>
      <c r="J25" s="22"/>
      <c r="K25" s="23"/>
      <c r="L25" s="21"/>
      <c r="M25" s="24" t="s">
        <v>35</v>
      </c>
      <c r="N25" s="22"/>
      <c r="O25" s="24"/>
      <c r="P25" s="24"/>
      <c r="Q25" s="24"/>
      <c r="R25" s="22"/>
      <c r="S25" s="23"/>
      <c r="T25" s="171"/>
      <c r="U25" s="25">
        <v>45680</v>
      </c>
      <c r="V25" s="26"/>
      <c r="W25" s="27"/>
      <c r="X25" s="28"/>
      <c r="Y25" s="29" t="s">
        <v>358</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358</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358</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358</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358</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358</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358</v>
      </c>
    </row>
    <row r="32" spans="1:25" ht="45.6" x14ac:dyDescent="0.15">
      <c r="A32" s="19">
        <f t="shared" si="0"/>
        <v>28</v>
      </c>
      <c r="B32" s="20"/>
      <c r="C32" s="20"/>
      <c r="D32" s="20"/>
      <c r="E32" s="96" t="s">
        <v>124</v>
      </c>
      <c r="F32" s="97" t="s">
        <v>307</v>
      </c>
      <c r="G32" s="126" t="s">
        <v>283</v>
      </c>
      <c r="H32" s="21"/>
      <c r="I32" s="22"/>
      <c r="J32" s="22"/>
      <c r="K32" s="23"/>
      <c r="L32" s="76"/>
      <c r="M32" s="24" t="s">
        <v>35</v>
      </c>
      <c r="N32" s="22"/>
      <c r="O32" s="24"/>
      <c r="P32" s="24"/>
      <c r="Q32" s="24"/>
      <c r="R32" s="22"/>
      <c r="S32" s="23"/>
      <c r="T32" s="171"/>
      <c r="U32" s="25"/>
      <c r="V32" s="26"/>
      <c r="W32" s="27"/>
      <c r="X32" s="28"/>
      <c r="Y32" s="29" t="s">
        <v>358</v>
      </c>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358</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358</v>
      </c>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c r="U35" s="25">
        <v>45680</v>
      </c>
      <c r="V35" s="26"/>
      <c r="W35" s="27"/>
      <c r="X35" s="28"/>
      <c r="Y35" s="29" t="s">
        <v>358</v>
      </c>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c r="U36" s="25">
        <v>45680</v>
      </c>
      <c r="V36" s="26"/>
      <c r="W36" s="27"/>
      <c r="X36" s="28"/>
      <c r="Y36" s="29" t="s">
        <v>358</v>
      </c>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358</v>
      </c>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c r="U38" s="25">
        <v>45680</v>
      </c>
      <c r="V38" s="26"/>
      <c r="W38" s="27"/>
      <c r="X38" s="28"/>
      <c r="Y38" s="29" t="s">
        <v>358</v>
      </c>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c r="U39" s="25">
        <v>45680</v>
      </c>
      <c r="V39" s="26"/>
      <c r="W39" s="27"/>
      <c r="X39" s="28"/>
      <c r="Y39" s="29" t="s">
        <v>358</v>
      </c>
    </row>
    <row r="40" spans="1:25" ht="22.8" x14ac:dyDescent="0.15">
      <c r="A40" s="19">
        <f t="shared" si="0"/>
        <v>36</v>
      </c>
      <c r="B40" s="20" t="s">
        <v>264</v>
      </c>
      <c r="C40" s="20"/>
      <c r="D40" s="102"/>
      <c r="E40" s="30" t="s">
        <v>224</v>
      </c>
      <c r="F40" s="97" t="s">
        <v>360</v>
      </c>
      <c r="G40" s="126"/>
      <c r="H40" s="21"/>
      <c r="I40" s="22"/>
      <c r="J40" s="22"/>
      <c r="K40" s="23"/>
      <c r="L40" s="21"/>
      <c r="M40" s="24" t="s">
        <v>35</v>
      </c>
      <c r="N40" s="22"/>
      <c r="O40" s="24"/>
      <c r="P40" s="24"/>
      <c r="Q40" s="24"/>
      <c r="R40" s="22"/>
      <c r="S40" s="23"/>
      <c r="T40" s="171"/>
      <c r="U40" s="25"/>
      <c r="V40" s="26"/>
      <c r="W40" s="27"/>
      <c r="X40" s="28"/>
      <c r="Y40" s="95" t="s">
        <v>225</v>
      </c>
    </row>
    <row r="41" spans="1:25" ht="22.8" x14ac:dyDescent="0.15">
      <c r="A41" s="19">
        <f t="shared" si="0"/>
        <v>37</v>
      </c>
      <c r="B41" s="20"/>
      <c r="C41" s="20"/>
      <c r="D41" s="30"/>
      <c r="E41" s="30" t="s">
        <v>226</v>
      </c>
      <c r="F41" s="97" t="s">
        <v>42</v>
      </c>
      <c r="G41" s="126" t="s">
        <v>283</v>
      </c>
      <c r="H41" s="78"/>
      <c r="I41" s="79"/>
      <c r="J41" s="79"/>
      <c r="K41" s="80"/>
      <c r="L41" s="81"/>
      <c r="M41" s="79"/>
      <c r="N41" s="79"/>
      <c r="O41" s="81"/>
      <c r="P41" s="81"/>
      <c r="Q41" s="81"/>
      <c r="R41" s="81"/>
      <c r="S41" s="80"/>
      <c r="T41" s="172"/>
      <c r="U41" s="82"/>
      <c r="V41" s="83"/>
      <c r="W41" s="84"/>
      <c r="X41" s="85"/>
      <c r="Y41" s="95" t="s">
        <v>359</v>
      </c>
    </row>
    <row r="42" spans="1:25" ht="22.8" x14ac:dyDescent="0.15">
      <c r="A42" s="19">
        <f t="shared" si="0"/>
        <v>38</v>
      </c>
      <c r="B42" s="20" t="s">
        <v>265</v>
      </c>
      <c r="C42" s="20"/>
      <c r="D42" s="102"/>
      <c r="E42" s="30" t="s">
        <v>227</v>
      </c>
      <c r="F42" s="97" t="s">
        <v>361</v>
      </c>
      <c r="G42" s="119"/>
      <c r="H42" s="21"/>
      <c r="I42" s="22"/>
      <c r="J42" s="22"/>
      <c r="K42" s="23"/>
      <c r="L42" s="21"/>
      <c r="M42" s="24" t="s">
        <v>35</v>
      </c>
      <c r="N42" s="22"/>
      <c r="O42" s="24"/>
      <c r="P42" s="24"/>
      <c r="Q42" s="24"/>
      <c r="R42" s="22"/>
      <c r="S42" s="23"/>
      <c r="T42" s="171"/>
      <c r="U42" s="25"/>
      <c r="V42" s="26"/>
      <c r="W42" s="27"/>
      <c r="X42" s="28"/>
      <c r="Y42" s="95" t="s">
        <v>225</v>
      </c>
    </row>
    <row r="43" spans="1:25" ht="34.200000000000003" x14ac:dyDescent="0.15">
      <c r="A43" s="19">
        <f t="shared" si="0"/>
        <v>39</v>
      </c>
      <c r="B43" s="20" t="s">
        <v>272</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209</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210</v>
      </c>
      <c r="F46" s="97" t="s">
        <v>211</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304</v>
      </c>
      <c r="G48" s="126" t="s">
        <v>283</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258</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305</v>
      </c>
      <c r="G58" s="126" t="s">
        <v>283</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306</v>
      </c>
      <c r="G64" s="126" t="s">
        <v>283</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258</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307</v>
      </c>
      <c r="G72" s="126" t="s">
        <v>283</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258</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212</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213</v>
      </c>
      <c r="F76" s="97" t="s">
        <v>214</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215</v>
      </c>
      <c r="F77" s="97" t="s">
        <v>216</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258</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217</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219</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218</v>
      </c>
      <c r="F81" s="97" t="s">
        <v>220</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258</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223</v>
      </c>
      <c r="C83" s="20"/>
      <c r="D83" s="20"/>
      <c r="E83" s="30" t="s">
        <v>259</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180</v>
      </c>
      <c r="D84" s="20"/>
      <c r="E84" s="30" t="s">
        <v>262</v>
      </c>
      <c r="F84" s="97" t="s">
        <v>312</v>
      </c>
      <c r="G84" s="120"/>
      <c r="H84" s="21"/>
      <c r="I84" s="22"/>
      <c r="J84" s="22"/>
      <c r="K84" s="23"/>
      <c r="L84" s="21"/>
      <c r="M84" s="24" t="s">
        <v>35</v>
      </c>
      <c r="N84" s="22"/>
      <c r="O84" s="24"/>
      <c r="P84" s="24"/>
      <c r="Q84" s="24"/>
      <c r="R84" s="22"/>
      <c r="S84" s="23"/>
      <c r="T84" s="171"/>
      <c r="U84" s="25"/>
      <c r="V84" s="26"/>
      <c r="W84" s="27"/>
      <c r="X84" s="28"/>
      <c r="Y84" s="95" t="s">
        <v>260</v>
      </c>
    </row>
    <row r="85" spans="1:25" ht="11.4" x14ac:dyDescent="0.15">
      <c r="A85" s="19">
        <f t="shared" si="1"/>
        <v>81</v>
      </c>
      <c r="B85" s="20"/>
      <c r="C85" s="20" t="s">
        <v>181</v>
      </c>
      <c r="D85" s="20"/>
      <c r="E85" s="30"/>
      <c r="F85" s="97" t="s">
        <v>313</v>
      </c>
      <c r="G85" s="120"/>
      <c r="H85" s="21"/>
      <c r="I85" s="22"/>
      <c r="J85" s="22"/>
      <c r="K85" s="23"/>
      <c r="L85" s="21"/>
      <c r="M85" s="24" t="s">
        <v>35</v>
      </c>
      <c r="N85" s="22"/>
      <c r="O85" s="24"/>
      <c r="P85" s="24"/>
      <c r="Q85" s="24"/>
      <c r="R85" s="22"/>
      <c r="S85" s="23"/>
      <c r="T85" s="171"/>
      <c r="U85" s="25"/>
      <c r="V85" s="26"/>
      <c r="W85" s="27"/>
      <c r="X85" s="28"/>
      <c r="Y85" s="95" t="s">
        <v>261</v>
      </c>
    </row>
    <row r="86" spans="1:25" ht="11.4" x14ac:dyDescent="0.15">
      <c r="A86" s="19">
        <f t="shared" si="1"/>
        <v>82</v>
      </c>
      <c r="B86" s="20"/>
      <c r="C86" s="20" t="s">
        <v>182</v>
      </c>
      <c r="D86" s="20"/>
      <c r="E86" s="30"/>
      <c r="F86" s="97" t="s">
        <v>314</v>
      </c>
      <c r="G86" s="120"/>
      <c r="H86" s="21"/>
      <c r="I86" s="22"/>
      <c r="J86" s="22"/>
      <c r="K86" s="23"/>
      <c r="L86" s="21"/>
      <c r="M86" s="24" t="s">
        <v>35</v>
      </c>
      <c r="N86" s="22"/>
      <c r="O86" s="24"/>
      <c r="P86" s="24"/>
      <c r="Q86" s="24"/>
      <c r="R86" s="22"/>
      <c r="S86" s="23"/>
      <c r="T86" s="171"/>
      <c r="U86" s="25"/>
      <c r="V86" s="26"/>
      <c r="W86" s="27"/>
      <c r="X86" s="28"/>
      <c r="Y86" s="95" t="s">
        <v>263</v>
      </c>
    </row>
    <row r="87" spans="1:25" ht="22.8" x14ac:dyDescent="0.15">
      <c r="A87" s="19">
        <f t="shared" si="1"/>
        <v>83</v>
      </c>
      <c r="B87" s="20"/>
      <c r="C87" s="20" t="s">
        <v>183</v>
      </c>
      <c r="D87" s="20"/>
      <c r="E87" s="30"/>
      <c r="F87" s="97" t="s">
        <v>326</v>
      </c>
      <c r="G87" s="120"/>
      <c r="H87" s="21"/>
      <c r="I87" s="22"/>
      <c r="J87" s="22"/>
      <c r="K87" s="23"/>
      <c r="L87" s="21"/>
      <c r="M87" s="24" t="s">
        <v>35</v>
      </c>
      <c r="N87" s="22"/>
      <c r="O87" s="24"/>
      <c r="P87" s="24"/>
      <c r="Q87" s="24"/>
      <c r="R87" s="22"/>
      <c r="S87" s="23"/>
      <c r="T87" s="171"/>
      <c r="U87" s="25"/>
      <c r="V87" s="26"/>
      <c r="W87" s="27"/>
      <c r="X87" s="28"/>
      <c r="Y87" s="95" t="s">
        <v>311</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266</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267</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268</v>
      </c>
      <c r="F93" s="97" t="s">
        <v>269</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270</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271</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176</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327</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184</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328</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185</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329</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186</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330</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187</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331</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188</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332</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189</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333</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190</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334</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191</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335</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204" t="s">
        <v>110</v>
      </c>
      <c r="V141" s="204"/>
      <c r="W141" s="205"/>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206"/>
      <c r="V142" s="206"/>
      <c r="W142" s="207"/>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00"/>
      <c r="U143" s="187">
        <f>COUNTA(U5:U140)</f>
        <v>32</v>
      </c>
      <c r="V143" s="189">
        <f>COUNTA(V5:V140)</f>
        <v>0</v>
      </c>
      <c r="W143" s="191">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01"/>
      <c r="U144" s="188"/>
      <c r="V144" s="190"/>
      <c r="W144" s="192"/>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Normal="110" zoomScaleSheetLayoutView="100" workbookViewId="0">
      <pane ySplit="4" topLeftCell="A16" activePane="bottomLeft" state="frozen"/>
      <selection activeCell="B8" sqref="B8"/>
      <selection pane="bottomLeft" activeCell="T31" sqref="T3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286</v>
      </c>
      <c r="C1" s="157" t="s">
        <v>336</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368</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273</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351</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294</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295</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192</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v>45681</v>
      </c>
      <c r="V13" s="26"/>
      <c r="W13" s="27"/>
      <c r="X13" s="28"/>
      <c r="Y13" s="74"/>
    </row>
    <row r="14" spans="1:25" ht="58.95" customHeight="1" x14ac:dyDescent="0.15">
      <c r="A14" s="19">
        <f t="shared" si="0"/>
        <v>10</v>
      </c>
      <c r="B14" s="20"/>
      <c r="C14" s="20"/>
      <c r="D14" s="20"/>
      <c r="E14" s="30" t="s">
        <v>374</v>
      </c>
      <c r="F14" s="71" t="s">
        <v>161</v>
      </c>
      <c r="G14" s="119"/>
      <c r="H14" s="21"/>
      <c r="I14" s="22"/>
      <c r="J14" s="22"/>
      <c r="K14" s="23"/>
      <c r="L14" s="21"/>
      <c r="M14" s="24" t="s">
        <v>35</v>
      </c>
      <c r="N14" s="22"/>
      <c r="O14" s="24"/>
      <c r="P14" s="24"/>
      <c r="Q14" s="24"/>
      <c r="R14" s="100"/>
      <c r="S14" s="23"/>
      <c r="T14" s="171"/>
      <c r="U14" s="25">
        <v>45681</v>
      </c>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v>45681</v>
      </c>
      <c r="V15" s="26"/>
      <c r="W15" s="27"/>
      <c r="X15" s="28"/>
      <c r="Y15" s="74"/>
    </row>
    <row r="16" spans="1:25" ht="102.6" x14ac:dyDescent="0.15">
      <c r="A16" s="19">
        <f t="shared" si="0"/>
        <v>12</v>
      </c>
      <c r="B16" s="20"/>
      <c r="C16" s="20" t="s">
        <v>274</v>
      </c>
      <c r="D16" s="20"/>
      <c r="E16" s="30" t="s">
        <v>162</v>
      </c>
      <c r="F16" s="71" t="s">
        <v>163</v>
      </c>
      <c r="G16" s="126"/>
      <c r="H16" s="21"/>
      <c r="I16" s="22"/>
      <c r="J16" s="22"/>
      <c r="K16" s="23"/>
      <c r="L16" s="21"/>
      <c r="M16" s="24"/>
      <c r="N16" s="22"/>
      <c r="O16" s="24" t="s">
        <v>35</v>
      </c>
      <c r="P16" s="24"/>
      <c r="Q16" s="24"/>
      <c r="R16" s="22"/>
      <c r="S16" s="23"/>
      <c r="T16" s="171"/>
      <c r="U16" s="25"/>
      <c r="V16" s="26"/>
      <c r="W16" s="27"/>
      <c r="X16" s="28"/>
      <c r="Y16" s="29" t="s">
        <v>337</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164</v>
      </c>
      <c r="F18" s="71" t="s">
        <v>165</v>
      </c>
      <c r="G18" s="119"/>
      <c r="H18" s="21"/>
      <c r="I18" s="22"/>
      <c r="J18" s="22"/>
      <c r="K18" s="23"/>
      <c r="L18" s="21"/>
      <c r="M18" s="24"/>
      <c r="N18" s="22"/>
      <c r="O18" s="24" t="s">
        <v>35</v>
      </c>
      <c r="P18" s="24"/>
      <c r="Q18" s="24"/>
      <c r="R18" s="22"/>
      <c r="S18" s="23"/>
      <c r="T18" s="171"/>
      <c r="U18" s="25"/>
      <c r="V18" s="26"/>
      <c r="W18" s="27"/>
      <c r="X18" s="28"/>
      <c r="Y18" s="29" t="s">
        <v>166</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193</v>
      </c>
      <c r="F20" s="71" t="s">
        <v>194</v>
      </c>
      <c r="G20" s="120"/>
      <c r="H20" s="21"/>
      <c r="I20" s="22"/>
      <c r="J20" s="22"/>
      <c r="K20" s="23"/>
      <c r="L20" s="21"/>
      <c r="M20" s="24"/>
      <c r="N20" s="22"/>
      <c r="O20" s="24" t="s">
        <v>35</v>
      </c>
      <c r="P20" s="24"/>
      <c r="Q20" s="24"/>
      <c r="R20" s="22"/>
      <c r="S20" s="23"/>
      <c r="T20" s="171"/>
      <c r="U20" s="25"/>
      <c r="V20" s="26"/>
      <c r="W20" s="27"/>
      <c r="X20" s="28"/>
      <c r="Y20" s="29" t="s">
        <v>167</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275</v>
      </c>
      <c r="D22" s="102"/>
      <c r="E22" s="30" t="s">
        <v>207</v>
      </c>
      <c r="F22" s="71" t="s">
        <v>362</v>
      </c>
      <c r="G22" s="120"/>
      <c r="H22" s="21"/>
      <c r="I22" s="22"/>
      <c r="J22" s="22"/>
      <c r="K22" s="23"/>
      <c r="L22" s="21"/>
      <c r="M22" s="24" t="s">
        <v>35</v>
      </c>
      <c r="N22" s="22"/>
      <c r="O22" s="24"/>
      <c r="P22" s="24"/>
      <c r="Q22" s="24"/>
      <c r="R22" s="22"/>
      <c r="S22" s="23"/>
      <c r="T22" s="171"/>
      <c r="U22" s="25"/>
      <c r="V22" s="26"/>
      <c r="W22" s="27"/>
      <c r="X22" s="28"/>
      <c r="Y22" s="95" t="s">
        <v>206</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276</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338</v>
      </c>
      <c r="F32" s="97" t="s">
        <v>277</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278</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208</v>
      </c>
      <c r="F34" s="71" t="s">
        <v>363</v>
      </c>
      <c r="G34" s="121"/>
      <c r="H34" s="21"/>
      <c r="I34" s="22"/>
      <c r="J34" s="22"/>
      <c r="K34" s="23"/>
      <c r="L34" s="21"/>
      <c r="M34" s="24" t="s">
        <v>35</v>
      </c>
      <c r="N34" s="22"/>
      <c r="O34" s="24"/>
      <c r="P34" s="24"/>
      <c r="Q34" s="24"/>
      <c r="R34" s="22"/>
      <c r="S34" s="23"/>
      <c r="T34" s="171"/>
      <c r="U34" s="25"/>
      <c r="V34" s="26"/>
      <c r="W34" s="27"/>
      <c r="X34" s="28"/>
      <c r="Y34" s="95" t="s">
        <v>206</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340</v>
      </c>
      <c r="F38" s="97" t="s">
        <v>339</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279</v>
      </c>
      <c r="D39" s="30"/>
      <c r="E39" s="30" t="s">
        <v>196</v>
      </c>
      <c r="F39" s="71" t="s">
        <v>168</v>
      </c>
      <c r="G39" s="126" t="s">
        <v>283</v>
      </c>
      <c r="H39" s="21"/>
      <c r="I39" s="22"/>
      <c r="J39" s="22"/>
      <c r="K39" s="23"/>
      <c r="L39" s="21"/>
      <c r="M39" s="24"/>
      <c r="N39" s="22"/>
      <c r="O39" s="24" t="s">
        <v>35</v>
      </c>
      <c r="P39" s="24"/>
      <c r="Q39" s="24"/>
      <c r="R39" s="22"/>
      <c r="S39" s="23"/>
      <c r="T39" s="171"/>
      <c r="U39" s="25"/>
      <c r="V39" s="26"/>
      <c r="W39" s="27"/>
      <c r="X39" s="28"/>
      <c r="Y39" s="29" t="s">
        <v>364</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197</v>
      </c>
      <c r="F41" s="71" t="s">
        <v>195</v>
      </c>
      <c r="G41" s="120"/>
      <c r="H41" s="21"/>
      <c r="I41" s="22"/>
      <c r="J41" s="22"/>
      <c r="K41" s="23"/>
      <c r="L41" s="21"/>
      <c r="M41" s="24"/>
      <c r="N41" s="22"/>
      <c r="O41" s="24" t="s">
        <v>35</v>
      </c>
      <c r="P41" s="24"/>
      <c r="Q41" s="24"/>
      <c r="R41" s="22"/>
      <c r="S41" s="23"/>
      <c r="T41" s="171"/>
      <c r="U41" s="25"/>
      <c r="V41" s="26"/>
      <c r="W41" s="27"/>
      <c r="X41" s="28"/>
      <c r="Y41" s="29" t="s">
        <v>365</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341</v>
      </c>
      <c r="G43" s="120"/>
      <c r="H43" s="21"/>
      <c r="I43" s="22"/>
      <c r="J43" s="22"/>
      <c r="K43" s="23"/>
      <c r="L43" s="21"/>
      <c r="M43" s="24" t="s">
        <v>35</v>
      </c>
      <c r="N43" s="22"/>
      <c r="O43" s="24"/>
      <c r="P43" s="24"/>
      <c r="Q43" s="24"/>
      <c r="R43" s="24"/>
      <c r="S43" s="23"/>
      <c r="T43" s="171"/>
      <c r="U43" s="25"/>
      <c r="V43" s="26"/>
      <c r="W43" s="27"/>
      <c r="X43" s="28"/>
      <c r="Y43" s="95" t="s">
        <v>281</v>
      </c>
    </row>
    <row r="44" spans="1:25" ht="22.8" x14ac:dyDescent="0.15">
      <c r="A44" s="19">
        <f t="shared" si="0"/>
        <v>40</v>
      </c>
      <c r="B44" s="20"/>
      <c r="C44" s="20" t="s">
        <v>280</v>
      </c>
      <c r="D44" s="30"/>
      <c r="E44" s="30" t="s">
        <v>224</v>
      </c>
      <c r="F44" s="71" t="s">
        <v>366</v>
      </c>
      <c r="G44" s="120"/>
      <c r="H44" s="21"/>
      <c r="I44" s="22"/>
      <c r="J44" s="22"/>
      <c r="K44" s="23"/>
      <c r="L44" s="21"/>
      <c r="M44" s="24" t="s">
        <v>35</v>
      </c>
      <c r="N44" s="22"/>
      <c r="O44" s="24"/>
      <c r="P44" s="24"/>
      <c r="Q44" s="24"/>
      <c r="R44" s="24"/>
      <c r="S44" s="23"/>
      <c r="T44" s="171"/>
      <c r="U44" s="25"/>
      <c r="V44" s="26"/>
      <c r="W44" s="27"/>
      <c r="X44" s="28"/>
      <c r="Y44" s="29" t="s">
        <v>367</v>
      </c>
    </row>
    <row r="45" spans="1:25" ht="12.6" x14ac:dyDescent="0.15">
      <c r="A45" s="19">
        <f t="shared" si="0"/>
        <v>41</v>
      </c>
      <c r="B45" s="20"/>
      <c r="C45" s="20"/>
      <c r="D45" s="30"/>
      <c r="E45" s="30" t="s">
        <v>226</v>
      </c>
      <c r="F45" s="71" t="s">
        <v>42</v>
      </c>
      <c r="G45" s="126" t="s">
        <v>283</v>
      </c>
      <c r="H45" s="78"/>
      <c r="I45" s="79"/>
      <c r="J45" s="79"/>
      <c r="K45" s="80"/>
      <c r="L45" s="78"/>
      <c r="M45" s="81"/>
      <c r="N45" s="79"/>
      <c r="O45" s="81"/>
      <c r="P45" s="81"/>
      <c r="Q45" s="81"/>
      <c r="R45" s="81"/>
      <c r="S45" s="80"/>
      <c r="T45" s="172"/>
      <c r="U45" s="82"/>
      <c r="V45" s="83"/>
      <c r="W45" s="84"/>
      <c r="X45" s="85"/>
      <c r="Y45" s="29" t="s">
        <v>367</v>
      </c>
    </row>
    <row r="46" spans="1:25" ht="22.8" x14ac:dyDescent="0.15">
      <c r="A46" s="19">
        <f t="shared" si="0"/>
        <v>42</v>
      </c>
      <c r="B46" s="20"/>
      <c r="C46" s="20"/>
      <c r="D46" s="30"/>
      <c r="E46" s="30" t="s">
        <v>227</v>
      </c>
      <c r="F46" s="71" t="s">
        <v>361</v>
      </c>
      <c r="G46" s="122"/>
      <c r="H46" s="21"/>
      <c r="I46" s="22"/>
      <c r="J46" s="22"/>
      <c r="K46" s="23"/>
      <c r="L46" s="21"/>
      <c r="M46" s="24" t="s">
        <v>35</v>
      </c>
      <c r="N46" s="22"/>
      <c r="O46" s="24"/>
      <c r="P46" s="24"/>
      <c r="Q46" s="24"/>
      <c r="R46" s="24"/>
      <c r="S46" s="23"/>
      <c r="T46" s="171"/>
      <c r="U46" s="25"/>
      <c r="V46" s="26"/>
      <c r="W46" s="27"/>
      <c r="X46" s="28"/>
      <c r="Y46" s="29" t="s">
        <v>367</v>
      </c>
    </row>
    <row r="47" spans="1:25" ht="12.6" x14ac:dyDescent="0.15">
      <c r="A47" s="19">
        <f t="shared" si="0"/>
        <v>43</v>
      </c>
      <c r="B47" s="20" t="s">
        <v>150</v>
      </c>
      <c r="C47" s="169" t="s">
        <v>266</v>
      </c>
      <c r="D47" s="20"/>
      <c r="E47" s="96" t="s">
        <v>56</v>
      </c>
      <c r="F47" s="97" t="s">
        <v>37</v>
      </c>
      <c r="G47" s="126"/>
      <c r="H47" s="21"/>
      <c r="I47" s="22"/>
      <c r="J47" s="22"/>
      <c r="K47" s="23"/>
      <c r="L47" s="21"/>
      <c r="M47" s="24" t="s">
        <v>35</v>
      </c>
      <c r="N47" s="22"/>
      <c r="O47" s="24"/>
      <c r="P47" s="24"/>
      <c r="Q47" s="24"/>
      <c r="R47" s="100"/>
      <c r="S47" s="23"/>
      <c r="T47" s="171"/>
      <c r="U47" s="25"/>
      <c r="V47" s="26"/>
      <c r="W47" s="27"/>
      <c r="X47" s="28"/>
      <c r="Y47" s="29" t="s">
        <v>367</v>
      </c>
    </row>
    <row r="48" spans="1:25" ht="11.4" x14ac:dyDescent="0.15">
      <c r="A48" s="19">
        <f t="shared" si="0"/>
        <v>44</v>
      </c>
      <c r="B48" s="20"/>
      <c r="C48" s="20"/>
      <c r="D48" s="20"/>
      <c r="E48" s="96" t="s">
        <v>267</v>
      </c>
      <c r="F48" s="97" t="s">
        <v>37</v>
      </c>
      <c r="G48" s="122"/>
      <c r="H48" s="21"/>
      <c r="I48" s="22"/>
      <c r="J48" s="22"/>
      <c r="K48" s="23"/>
      <c r="L48" s="21"/>
      <c r="M48" s="24" t="s">
        <v>35</v>
      </c>
      <c r="N48" s="22"/>
      <c r="O48" s="24"/>
      <c r="P48" s="24"/>
      <c r="Q48" s="24"/>
      <c r="R48" s="100"/>
      <c r="S48" s="23"/>
      <c r="T48" s="171"/>
      <c r="U48" s="25"/>
      <c r="V48" s="26"/>
      <c r="W48" s="27"/>
      <c r="X48" s="28"/>
      <c r="Y48" s="29" t="s">
        <v>367</v>
      </c>
    </row>
    <row r="49" spans="1:25" ht="12.6" x14ac:dyDescent="0.15">
      <c r="A49" s="19">
        <f t="shared" si="0"/>
        <v>45</v>
      </c>
      <c r="B49" s="20"/>
      <c r="C49" s="20"/>
      <c r="D49" s="20"/>
      <c r="E49" s="96" t="s">
        <v>268</v>
      </c>
      <c r="F49" s="97" t="s">
        <v>269</v>
      </c>
      <c r="G49" s="126" t="s">
        <v>283</v>
      </c>
      <c r="H49" s="21"/>
      <c r="I49" s="22"/>
      <c r="J49" s="22"/>
      <c r="K49" s="23"/>
      <c r="L49" s="21"/>
      <c r="M49" s="24" t="s">
        <v>35</v>
      </c>
      <c r="N49" s="22"/>
      <c r="O49" s="24"/>
      <c r="P49" s="24"/>
      <c r="Q49" s="24"/>
      <c r="R49" s="100"/>
      <c r="S49" s="23"/>
      <c r="T49" s="171"/>
      <c r="U49" s="25"/>
      <c r="V49" s="26"/>
      <c r="W49" s="27"/>
      <c r="X49" s="28"/>
      <c r="Y49" s="29" t="s">
        <v>367</v>
      </c>
    </row>
    <row r="50" spans="1:25" ht="11.4" x14ac:dyDescent="0.15">
      <c r="A50" s="19">
        <f t="shared" si="0"/>
        <v>46</v>
      </c>
      <c r="B50" s="20"/>
      <c r="C50" s="20"/>
      <c r="D50" s="20"/>
      <c r="E50" s="96"/>
      <c r="F50" s="97" t="s">
        <v>270</v>
      </c>
      <c r="G50" s="122"/>
      <c r="H50" s="21"/>
      <c r="I50" s="22"/>
      <c r="J50" s="22"/>
      <c r="K50" s="23"/>
      <c r="L50" s="21"/>
      <c r="M50" s="24" t="s">
        <v>35</v>
      </c>
      <c r="N50" s="22"/>
      <c r="O50" s="24"/>
      <c r="P50" s="24"/>
      <c r="Q50" s="24"/>
      <c r="R50" s="100"/>
      <c r="S50" s="23"/>
      <c r="T50" s="171"/>
      <c r="U50" s="25"/>
      <c r="V50" s="26"/>
      <c r="W50" s="27"/>
      <c r="X50" s="28"/>
      <c r="Y50" s="29" t="s">
        <v>367</v>
      </c>
    </row>
    <row r="51" spans="1:25" ht="11.4" x14ac:dyDescent="0.15">
      <c r="A51" s="19">
        <f t="shared" si="0"/>
        <v>47</v>
      </c>
      <c r="B51" s="20"/>
      <c r="C51" s="20" t="s">
        <v>176</v>
      </c>
      <c r="D51" s="20"/>
      <c r="E51" s="96" t="s">
        <v>56</v>
      </c>
      <c r="F51" s="97" t="s">
        <v>37</v>
      </c>
      <c r="G51" s="122"/>
      <c r="H51" s="21"/>
      <c r="I51" s="22"/>
      <c r="J51" s="22"/>
      <c r="K51" s="23"/>
      <c r="L51" s="21"/>
      <c r="M51" s="24" t="s">
        <v>35</v>
      </c>
      <c r="N51" s="22"/>
      <c r="O51" s="24"/>
      <c r="P51" s="24"/>
      <c r="Q51" s="24"/>
      <c r="R51" s="100"/>
      <c r="S51" s="23"/>
      <c r="T51" s="171"/>
      <c r="U51" s="25"/>
      <c r="V51" s="26"/>
      <c r="W51" s="27"/>
      <c r="X51" s="28"/>
      <c r="Y51" s="29" t="s">
        <v>367</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c r="V52" s="26"/>
      <c r="W52" s="27"/>
      <c r="X52" s="28"/>
      <c r="Y52" s="29" t="s">
        <v>367</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c r="V53" s="26"/>
      <c r="W53" s="27"/>
      <c r="X53" s="28"/>
      <c r="Y53" s="29" t="s">
        <v>367</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c r="V54" s="26"/>
      <c r="W54" s="27"/>
      <c r="X54" s="28"/>
      <c r="Y54" s="29" t="s">
        <v>367</v>
      </c>
    </row>
    <row r="55" spans="1:25" ht="22.8" x14ac:dyDescent="0.15">
      <c r="A55" s="19">
        <f t="shared" si="0"/>
        <v>51</v>
      </c>
      <c r="B55" s="20"/>
      <c r="C55" s="20"/>
      <c r="D55" s="20"/>
      <c r="E55" s="96" t="s">
        <v>89</v>
      </c>
      <c r="F55" s="97" t="s">
        <v>342</v>
      </c>
      <c r="G55" s="126" t="s">
        <v>283</v>
      </c>
      <c r="H55" s="21"/>
      <c r="I55" s="22"/>
      <c r="J55" s="22"/>
      <c r="K55" s="23"/>
      <c r="L55" s="21"/>
      <c r="M55" s="24" t="s">
        <v>35</v>
      </c>
      <c r="N55" s="22"/>
      <c r="O55" s="24"/>
      <c r="P55" s="24"/>
      <c r="Q55" s="24"/>
      <c r="R55" s="100"/>
      <c r="S55" s="23"/>
      <c r="T55" s="171"/>
      <c r="U55" s="25"/>
      <c r="V55" s="26"/>
      <c r="W55" s="27"/>
      <c r="X55" s="28"/>
      <c r="Y55" s="29" t="s">
        <v>367</v>
      </c>
    </row>
    <row r="56" spans="1:25" ht="11.4" x14ac:dyDescent="0.15">
      <c r="A56" s="19">
        <f t="shared" si="0"/>
        <v>52</v>
      </c>
      <c r="B56" s="20"/>
      <c r="C56" s="20" t="s">
        <v>184</v>
      </c>
      <c r="D56" s="20"/>
      <c r="E56" s="96" t="s">
        <v>56</v>
      </c>
      <c r="F56" s="97" t="s">
        <v>37</v>
      </c>
      <c r="G56" s="120"/>
      <c r="H56" s="21"/>
      <c r="I56" s="22"/>
      <c r="J56" s="22"/>
      <c r="K56" s="23"/>
      <c r="L56" s="21"/>
      <c r="M56" s="24" t="s">
        <v>35</v>
      </c>
      <c r="N56" s="22"/>
      <c r="O56" s="24"/>
      <c r="P56" s="24"/>
      <c r="Q56" s="24"/>
      <c r="R56" s="100"/>
      <c r="S56" s="23"/>
      <c r="T56" s="171"/>
      <c r="U56" s="25"/>
      <c r="V56" s="26"/>
      <c r="W56" s="27"/>
      <c r="X56" s="28"/>
      <c r="Y56" s="29" t="s">
        <v>367</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c r="V57" s="26"/>
      <c r="W57" s="27"/>
      <c r="X57" s="28"/>
      <c r="Y57" s="29" t="s">
        <v>367</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c r="V58" s="26"/>
      <c r="W58" s="27"/>
      <c r="X58" s="28"/>
      <c r="Y58" s="29" t="s">
        <v>367</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c r="V59" s="26"/>
      <c r="W59" s="27"/>
      <c r="X59" s="28"/>
      <c r="Y59" s="29" t="s">
        <v>367</v>
      </c>
    </row>
    <row r="60" spans="1:25" ht="22.8" x14ac:dyDescent="0.15">
      <c r="A60" s="19">
        <f t="shared" si="0"/>
        <v>56</v>
      </c>
      <c r="B60" s="20"/>
      <c r="C60" s="20"/>
      <c r="D60" s="20"/>
      <c r="E60" s="96" t="s">
        <v>89</v>
      </c>
      <c r="F60" s="97" t="s">
        <v>343</v>
      </c>
      <c r="G60" s="120"/>
      <c r="H60" s="21"/>
      <c r="I60" s="22"/>
      <c r="J60" s="22"/>
      <c r="K60" s="23"/>
      <c r="L60" s="21"/>
      <c r="M60" s="24" t="s">
        <v>35</v>
      </c>
      <c r="N60" s="22"/>
      <c r="O60" s="24"/>
      <c r="P60" s="24"/>
      <c r="Q60" s="24"/>
      <c r="R60" s="100"/>
      <c r="S60" s="23"/>
      <c r="T60" s="171"/>
      <c r="U60" s="25"/>
      <c r="V60" s="26"/>
      <c r="W60" s="27"/>
      <c r="X60" s="28"/>
      <c r="Y60" s="29" t="s">
        <v>367</v>
      </c>
    </row>
    <row r="61" spans="1:25" ht="12.6" x14ac:dyDescent="0.15">
      <c r="A61" s="19">
        <f t="shared" ref="A61:A95" si="1">ROW()-4</f>
        <v>57</v>
      </c>
      <c r="B61" s="20"/>
      <c r="C61" s="20" t="s">
        <v>185</v>
      </c>
      <c r="D61" s="20"/>
      <c r="E61" s="96" t="s">
        <v>56</v>
      </c>
      <c r="F61" s="97" t="s">
        <v>37</v>
      </c>
      <c r="G61" s="126"/>
      <c r="H61" s="21"/>
      <c r="I61" s="22"/>
      <c r="J61" s="22"/>
      <c r="K61" s="23"/>
      <c r="L61" s="21"/>
      <c r="M61" s="24" t="s">
        <v>35</v>
      </c>
      <c r="N61" s="22"/>
      <c r="O61" s="24"/>
      <c r="P61" s="24"/>
      <c r="Q61" s="24"/>
      <c r="R61" s="100"/>
      <c r="S61" s="23"/>
      <c r="T61" s="171"/>
      <c r="U61" s="25"/>
      <c r="V61" s="26"/>
      <c r="W61" s="27"/>
      <c r="X61" s="28"/>
      <c r="Y61" s="29" t="s">
        <v>367</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c r="V62" s="26"/>
      <c r="W62" s="27"/>
      <c r="X62" s="28"/>
      <c r="Y62" s="29" t="s">
        <v>367</v>
      </c>
    </row>
    <row r="63" spans="1:25" ht="12.6" x14ac:dyDescent="0.15">
      <c r="A63" s="19">
        <f t="shared" si="1"/>
        <v>59</v>
      </c>
      <c r="B63" s="20"/>
      <c r="C63" s="20"/>
      <c r="D63" s="20"/>
      <c r="E63" s="96" t="s">
        <v>92</v>
      </c>
      <c r="F63" s="97" t="s">
        <v>37</v>
      </c>
      <c r="G63" s="126" t="s">
        <v>283</v>
      </c>
      <c r="H63" s="21"/>
      <c r="I63" s="22"/>
      <c r="J63" s="22"/>
      <c r="K63" s="23"/>
      <c r="L63" s="21"/>
      <c r="M63" s="24" t="s">
        <v>35</v>
      </c>
      <c r="N63" s="22"/>
      <c r="O63" s="24"/>
      <c r="P63" s="24"/>
      <c r="Q63" s="24"/>
      <c r="R63" s="100"/>
      <c r="S63" s="23"/>
      <c r="T63" s="171"/>
      <c r="U63" s="25"/>
      <c r="V63" s="26"/>
      <c r="W63" s="27"/>
      <c r="X63" s="28"/>
      <c r="Y63" s="29" t="s">
        <v>367</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c r="V64" s="26"/>
      <c r="W64" s="27"/>
      <c r="X64" s="28"/>
      <c r="Y64" s="29" t="s">
        <v>367</v>
      </c>
    </row>
    <row r="65" spans="1:25" ht="22.8" x14ac:dyDescent="0.15">
      <c r="A65" s="19">
        <f t="shared" si="1"/>
        <v>61</v>
      </c>
      <c r="B65" s="20"/>
      <c r="C65" s="20"/>
      <c r="D65" s="20"/>
      <c r="E65" s="96" t="s">
        <v>89</v>
      </c>
      <c r="F65" s="97" t="s">
        <v>344</v>
      </c>
      <c r="G65" s="120"/>
      <c r="H65" s="21"/>
      <c r="I65" s="22"/>
      <c r="J65" s="22"/>
      <c r="K65" s="23"/>
      <c r="L65" s="21"/>
      <c r="M65" s="24" t="s">
        <v>35</v>
      </c>
      <c r="N65" s="22"/>
      <c r="O65" s="24"/>
      <c r="P65" s="24"/>
      <c r="Q65" s="24"/>
      <c r="R65" s="100"/>
      <c r="S65" s="23"/>
      <c r="T65" s="171"/>
      <c r="U65" s="25"/>
      <c r="V65" s="26"/>
      <c r="W65" s="27"/>
      <c r="X65" s="28"/>
      <c r="Y65" s="29" t="s">
        <v>367</v>
      </c>
    </row>
    <row r="66" spans="1:25" ht="11.4" x14ac:dyDescent="0.15">
      <c r="A66" s="19">
        <f t="shared" si="1"/>
        <v>62</v>
      </c>
      <c r="B66" s="20"/>
      <c r="C66" s="20" t="s">
        <v>186</v>
      </c>
      <c r="D66" s="20"/>
      <c r="E66" s="96" t="s">
        <v>36</v>
      </c>
      <c r="F66" s="97" t="s">
        <v>37</v>
      </c>
      <c r="G66" s="120"/>
      <c r="H66" s="21"/>
      <c r="I66" s="22"/>
      <c r="J66" s="22"/>
      <c r="K66" s="23"/>
      <c r="L66" s="21"/>
      <c r="M66" s="24" t="s">
        <v>35</v>
      </c>
      <c r="N66" s="22"/>
      <c r="O66" s="24"/>
      <c r="P66" s="24"/>
      <c r="Q66" s="24"/>
      <c r="R66" s="100"/>
      <c r="S66" s="23"/>
      <c r="T66" s="171"/>
      <c r="U66" s="25"/>
      <c r="V66" s="26"/>
      <c r="W66" s="27"/>
      <c r="X66" s="28"/>
      <c r="Y66" s="29" t="s">
        <v>367</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c r="V67" s="26"/>
      <c r="W67" s="27"/>
      <c r="X67" s="28"/>
      <c r="Y67" s="29" t="s">
        <v>367</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c r="V68" s="26"/>
      <c r="W68" s="27"/>
      <c r="X68" s="28"/>
      <c r="Y68" s="29" t="s">
        <v>367</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c r="V69" s="26"/>
      <c r="W69" s="27"/>
      <c r="X69" s="28"/>
      <c r="Y69" s="29" t="s">
        <v>367</v>
      </c>
    </row>
    <row r="70" spans="1:25" ht="22.8" x14ac:dyDescent="0.15">
      <c r="A70" s="19">
        <f t="shared" si="1"/>
        <v>66</v>
      </c>
      <c r="B70" s="20"/>
      <c r="C70" s="20"/>
      <c r="D70" s="20"/>
      <c r="E70" s="96" t="s">
        <v>89</v>
      </c>
      <c r="F70" s="97" t="s">
        <v>345</v>
      </c>
      <c r="G70" s="120"/>
      <c r="H70" s="21"/>
      <c r="I70" s="22"/>
      <c r="J70" s="22"/>
      <c r="K70" s="23"/>
      <c r="L70" s="21"/>
      <c r="M70" s="24" t="s">
        <v>35</v>
      </c>
      <c r="N70" s="22"/>
      <c r="O70" s="24"/>
      <c r="P70" s="24"/>
      <c r="Q70" s="24"/>
      <c r="R70" s="100"/>
      <c r="S70" s="23"/>
      <c r="T70" s="171"/>
      <c r="U70" s="25"/>
      <c r="V70" s="26"/>
      <c r="W70" s="27"/>
      <c r="X70" s="28"/>
      <c r="Y70" s="29" t="s">
        <v>367</v>
      </c>
    </row>
    <row r="71" spans="1:25" ht="11.4" x14ac:dyDescent="0.15">
      <c r="A71" s="19">
        <f t="shared" si="1"/>
        <v>67</v>
      </c>
      <c r="B71" s="20"/>
      <c r="C71" s="20" t="s">
        <v>187</v>
      </c>
      <c r="D71" s="20"/>
      <c r="E71" s="96" t="s">
        <v>56</v>
      </c>
      <c r="F71" s="97" t="s">
        <v>37</v>
      </c>
      <c r="G71" s="120"/>
      <c r="H71" s="21"/>
      <c r="I71" s="22"/>
      <c r="J71" s="22"/>
      <c r="K71" s="23"/>
      <c r="L71" s="21"/>
      <c r="M71" s="24" t="s">
        <v>35</v>
      </c>
      <c r="N71" s="22"/>
      <c r="O71" s="24"/>
      <c r="P71" s="24"/>
      <c r="Q71" s="24"/>
      <c r="R71" s="100"/>
      <c r="S71" s="23"/>
      <c r="T71" s="171"/>
      <c r="U71" s="25"/>
      <c r="V71" s="26"/>
      <c r="W71" s="27"/>
      <c r="X71" s="28"/>
      <c r="Y71" s="29" t="s">
        <v>367</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c r="V72" s="26"/>
      <c r="W72" s="27"/>
      <c r="X72" s="28"/>
      <c r="Y72" s="29" t="s">
        <v>367</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c r="V73" s="26"/>
      <c r="W73" s="27"/>
      <c r="X73" s="28"/>
      <c r="Y73" s="29" t="s">
        <v>367</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c r="V74" s="26"/>
      <c r="W74" s="27"/>
      <c r="X74" s="28"/>
      <c r="Y74" s="29" t="s">
        <v>367</v>
      </c>
    </row>
    <row r="75" spans="1:25" ht="22.8" x14ac:dyDescent="0.15">
      <c r="A75" s="19">
        <f t="shared" si="1"/>
        <v>71</v>
      </c>
      <c r="B75" s="20"/>
      <c r="C75" s="20"/>
      <c r="D75" s="20"/>
      <c r="E75" s="96" t="s">
        <v>89</v>
      </c>
      <c r="F75" s="97" t="s">
        <v>346</v>
      </c>
      <c r="G75" s="120"/>
      <c r="H75" s="21"/>
      <c r="I75" s="22"/>
      <c r="J75" s="22"/>
      <c r="K75" s="23"/>
      <c r="L75" s="21"/>
      <c r="M75" s="24" t="s">
        <v>35</v>
      </c>
      <c r="N75" s="22"/>
      <c r="O75" s="24"/>
      <c r="P75" s="24"/>
      <c r="Q75" s="24"/>
      <c r="R75" s="100"/>
      <c r="S75" s="23"/>
      <c r="T75" s="171"/>
      <c r="U75" s="25"/>
      <c r="V75" s="26"/>
      <c r="W75" s="27"/>
      <c r="X75" s="28"/>
      <c r="Y75" s="29" t="s">
        <v>367</v>
      </c>
    </row>
    <row r="76" spans="1:25" ht="11.4" x14ac:dyDescent="0.15">
      <c r="A76" s="19">
        <f t="shared" si="1"/>
        <v>72</v>
      </c>
      <c r="B76" s="20"/>
      <c r="C76" s="20" t="s">
        <v>188</v>
      </c>
      <c r="D76" s="20"/>
      <c r="E76" s="96" t="s">
        <v>56</v>
      </c>
      <c r="F76" s="97" t="s">
        <v>37</v>
      </c>
      <c r="G76" s="120"/>
      <c r="H76" s="21"/>
      <c r="I76" s="22"/>
      <c r="J76" s="22"/>
      <c r="K76" s="23"/>
      <c r="L76" s="21"/>
      <c r="M76" s="24" t="s">
        <v>35</v>
      </c>
      <c r="N76" s="22"/>
      <c r="O76" s="24"/>
      <c r="P76" s="24"/>
      <c r="Q76" s="24"/>
      <c r="R76" s="100"/>
      <c r="S76" s="23"/>
      <c r="T76" s="171"/>
      <c r="U76" s="25"/>
      <c r="V76" s="26"/>
      <c r="W76" s="27"/>
      <c r="X76" s="28"/>
      <c r="Y76" s="29" t="s">
        <v>367</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c r="V77" s="26"/>
      <c r="W77" s="27"/>
      <c r="X77" s="28"/>
      <c r="Y77" s="29" t="s">
        <v>367</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c r="V78" s="26"/>
      <c r="W78" s="27"/>
      <c r="X78" s="28"/>
      <c r="Y78" s="29" t="s">
        <v>367</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c r="V79" s="26"/>
      <c r="W79" s="27"/>
      <c r="X79" s="28"/>
      <c r="Y79" s="29" t="s">
        <v>367</v>
      </c>
    </row>
    <row r="80" spans="1:25" ht="22.8" x14ac:dyDescent="0.15">
      <c r="A80" s="19">
        <f t="shared" si="1"/>
        <v>76</v>
      </c>
      <c r="B80" s="20"/>
      <c r="C80" s="20"/>
      <c r="D80" s="20"/>
      <c r="E80" s="96" t="s">
        <v>89</v>
      </c>
      <c r="F80" s="97" t="s">
        <v>347</v>
      </c>
      <c r="G80" s="120"/>
      <c r="H80" s="21"/>
      <c r="I80" s="22"/>
      <c r="J80" s="22"/>
      <c r="K80" s="23"/>
      <c r="L80" s="21"/>
      <c r="M80" s="24" t="s">
        <v>35</v>
      </c>
      <c r="N80" s="22"/>
      <c r="O80" s="24"/>
      <c r="P80" s="24"/>
      <c r="Q80" s="24"/>
      <c r="R80" s="100"/>
      <c r="S80" s="23"/>
      <c r="T80" s="171"/>
      <c r="U80" s="25"/>
      <c r="V80" s="26"/>
      <c r="W80" s="27"/>
      <c r="X80" s="28"/>
      <c r="Y80" s="29" t="s">
        <v>367</v>
      </c>
    </row>
    <row r="81" spans="1:25" ht="11.4" x14ac:dyDescent="0.15">
      <c r="A81" s="19">
        <f t="shared" si="1"/>
        <v>77</v>
      </c>
      <c r="B81" s="20"/>
      <c r="C81" s="20" t="s">
        <v>189</v>
      </c>
      <c r="D81" s="20"/>
      <c r="E81" s="96" t="s">
        <v>36</v>
      </c>
      <c r="F81" s="97" t="s">
        <v>37</v>
      </c>
      <c r="G81" s="120"/>
      <c r="H81" s="21"/>
      <c r="I81" s="22"/>
      <c r="J81" s="22"/>
      <c r="K81" s="23"/>
      <c r="L81" s="21"/>
      <c r="M81" s="24" t="s">
        <v>35</v>
      </c>
      <c r="N81" s="22"/>
      <c r="O81" s="24"/>
      <c r="P81" s="24"/>
      <c r="Q81" s="24"/>
      <c r="R81" s="100"/>
      <c r="S81" s="23"/>
      <c r="T81" s="171"/>
      <c r="U81" s="25"/>
      <c r="V81" s="26"/>
      <c r="W81" s="27"/>
      <c r="X81" s="28"/>
      <c r="Y81" s="29" t="s">
        <v>367</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c r="V82" s="26"/>
      <c r="W82" s="27"/>
      <c r="X82" s="28"/>
      <c r="Y82" s="29" t="s">
        <v>367</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c r="V83" s="26"/>
      <c r="W83" s="27"/>
      <c r="X83" s="28"/>
      <c r="Y83" s="29" t="s">
        <v>367</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c r="V84" s="26"/>
      <c r="W84" s="27"/>
      <c r="X84" s="28"/>
      <c r="Y84" s="29" t="s">
        <v>367</v>
      </c>
    </row>
    <row r="85" spans="1:25" ht="22.8" x14ac:dyDescent="0.15">
      <c r="A85" s="19">
        <f t="shared" si="1"/>
        <v>81</v>
      </c>
      <c r="B85" s="20"/>
      <c r="C85" s="20"/>
      <c r="D85" s="20"/>
      <c r="E85" s="96" t="s">
        <v>89</v>
      </c>
      <c r="F85" s="97" t="s">
        <v>348</v>
      </c>
      <c r="G85" s="120"/>
      <c r="H85" s="21"/>
      <c r="I85" s="22"/>
      <c r="J85" s="22"/>
      <c r="K85" s="23"/>
      <c r="L85" s="21"/>
      <c r="M85" s="24" t="s">
        <v>35</v>
      </c>
      <c r="N85" s="22"/>
      <c r="O85" s="24"/>
      <c r="P85" s="24"/>
      <c r="Q85" s="24"/>
      <c r="R85" s="100"/>
      <c r="S85" s="23"/>
      <c r="T85" s="171"/>
      <c r="U85" s="25"/>
      <c r="V85" s="26"/>
      <c r="W85" s="27"/>
      <c r="X85" s="28"/>
      <c r="Y85" s="29" t="s">
        <v>367</v>
      </c>
    </row>
    <row r="86" spans="1:25" ht="11.4" x14ac:dyDescent="0.15">
      <c r="A86" s="19">
        <f t="shared" si="1"/>
        <v>82</v>
      </c>
      <c r="B86" s="20"/>
      <c r="C86" s="20" t="s">
        <v>190</v>
      </c>
      <c r="D86" s="20"/>
      <c r="E86" s="96" t="s">
        <v>36</v>
      </c>
      <c r="F86" s="97" t="s">
        <v>37</v>
      </c>
      <c r="G86" s="120"/>
      <c r="H86" s="21"/>
      <c r="I86" s="22"/>
      <c r="J86" s="22"/>
      <c r="K86" s="23"/>
      <c r="L86" s="21"/>
      <c r="M86" s="24" t="s">
        <v>35</v>
      </c>
      <c r="N86" s="22"/>
      <c r="O86" s="24"/>
      <c r="P86" s="24"/>
      <c r="Q86" s="24"/>
      <c r="R86" s="100"/>
      <c r="S86" s="23"/>
      <c r="T86" s="171"/>
      <c r="U86" s="25"/>
      <c r="V86" s="26"/>
      <c r="W86" s="27"/>
      <c r="X86" s="28"/>
      <c r="Y86" s="29" t="s">
        <v>367</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c r="V87" s="26"/>
      <c r="W87" s="27"/>
      <c r="X87" s="28"/>
      <c r="Y87" s="29" t="s">
        <v>367</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c r="V88" s="26"/>
      <c r="W88" s="27"/>
      <c r="X88" s="28"/>
      <c r="Y88" s="29" t="s">
        <v>367</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c r="V89" s="26"/>
      <c r="W89" s="27"/>
      <c r="X89" s="28"/>
      <c r="Y89" s="29" t="s">
        <v>367</v>
      </c>
    </row>
    <row r="90" spans="1:25" ht="22.8" x14ac:dyDescent="0.15">
      <c r="A90" s="19">
        <f t="shared" si="1"/>
        <v>86</v>
      </c>
      <c r="B90" s="20"/>
      <c r="C90" s="20"/>
      <c r="D90" s="20"/>
      <c r="E90" s="96" t="s">
        <v>89</v>
      </c>
      <c r="F90" s="97" t="s">
        <v>349</v>
      </c>
      <c r="G90" s="120"/>
      <c r="H90" s="21"/>
      <c r="I90" s="22"/>
      <c r="J90" s="22"/>
      <c r="K90" s="23"/>
      <c r="L90" s="21"/>
      <c r="M90" s="24" t="s">
        <v>35</v>
      </c>
      <c r="N90" s="22"/>
      <c r="O90" s="24"/>
      <c r="P90" s="24"/>
      <c r="Q90" s="24"/>
      <c r="R90" s="100"/>
      <c r="S90" s="23"/>
      <c r="T90" s="171"/>
      <c r="U90" s="25"/>
      <c r="V90" s="26"/>
      <c r="W90" s="27"/>
      <c r="X90" s="28"/>
      <c r="Y90" s="29" t="s">
        <v>367</v>
      </c>
    </row>
    <row r="91" spans="1:25" ht="11.4" x14ac:dyDescent="0.15">
      <c r="A91" s="19">
        <f t="shared" si="1"/>
        <v>87</v>
      </c>
      <c r="B91" s="20"/>
      <c r="C91" s="20" t="s">
        <v>191</v>
      </c>
      <c r="D91" s="20"/>
      <c r="E91" s="96" t="s">
        <v>36</v>
      </c>
      <c r="F91" s="97" t="s">
        <v>37</v>
      </c>
      <c r="G91" s="120"/>
      <c r="H91" s="21"/>
      <c r="I91" s="22"/>
      <c r="J91" s="22"/>
      <c r="K91" s="23"/>
      <c r="L91" s="21"/>
      <c r="M91" s="24" t="s">
        <v>35</v>
      </c>
      <c r="N91" s="22"/>
      <c r="O91" s="24"/>
      <c r="P91" s="24"/>
      <c r="Q91" s="24"/>
      <c r="R91" s="100"/>
      <c r="S91" s="23"/>
      <c r="T91" s="171"/>
      <c r="U91" s="25"/>
      <c r="V91" s="26"/>
      <c r="W91" s="27"/>
      <c r="X91" s="28"/>
      <c r="Y91" s="29" t="s">
        <v>367</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c r="V92" s="26"/>
      <c r="W92" s="27"/>
      <c r="X92" s="28"/>
      <c r="Y92" s="29" t="s">
        <v>367</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c r="V93" s="26"/>
      <c r="W93" s="27"/>
      <c r="X93" s="28"/>
      <c r="Y93" s="29" t="s">
        <v>367</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c r="V94" s="26"/>
      <c r="W94" s="27"/>
      <c r="X94" s="28"/>
      <c r="Y94" s="29" t="s">
        <v>367</v>
      </c>
    </row>
    <row r="95" spans="1:25" ht="22.8" x14ac:dyDescent="0.15">
      <c r="A95" s="19">
        <f t="shared" si="1"/>
        <v>91</v>
      </c>
      <c r="B95" s="20"/>
      <c r="C95" s="20"/>
      <c r="D95" s="20"/>
      <c r="E95" s="96" t="s">
        <v>89</v>
      </c>
      <c r="F95" s="97" t="s">
        <v>350</v>
      </c>
      <c r="G95" s="130"/>
      <c r="H95" s="21"/>
      <c r="I95" s="22"/>
      <c r="J95" s="22"/>
      <c r="K95" s="23"/>
      <c r="L95" s="21"/>
      <c r="M95" s="24" t="s">
        <v>35</v>
      </c>
      <c r="N95" s="22"/>
      <c r="O95" s="24"/>
      <c r="P95" s="24"/>
      <c r="Q95" s="24"/>
      <c r="R95" s="100"/>
      <c r="S95" s="23"/>
      <c r="T95" s="171"/>
      <c r="U95" s="25"/>
      <c r="V95" s="26"/>
      <c r="W95" s="27"/>
      <c r="X95" s="28"/>
      <c r="Y95" s="29" t="s">
        <v>367</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204" t="s">
        <v>110</v>
      </c>
      <c r="V96" s="204"/>
      <c r="W96" s="205"/>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206"/>
      <c r="V97" s="206"/>
      <c r="W97" s="207"/>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00"/>
      <c r="U98" s="187">
        <f>COUNTA(U5:U95)</f>
        <v>10</v>
      </c>
      <c r="V98" s="189">
        <f>COUNTA(V5:V95)</f>
        <v>0</v>
      </c>
      <c r="W98" s="191">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01"/>
      <c r="U99" s="188"/>
      <c r="V99" s="190"/>
      <c r="W99" s="192"/>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55b7a9d6-bcaa-4a9d-b1c7-8801531a7bf3"/>
    <ds:schemaRef ds:uri="e85bf11c-610f-4c75-b4c1-3f2e492bcdf6"/>
    <ds:schemaRef ds:uri="http://www.w3.org/XML/1998/namespace"/>
    <ds:schemaRef ds:uri="http://purl.org/dc/dcmitype/"/>
  </ds:schemaRefs>
</ds:datastoreItem>
</file>

<file path=customXml/itemProps3.xml><?xml version="1.0" encoding="utf-8"?>
<ds:datastoreItem xmlns:ds="http://schemas.openxmlformats.org/officeDocument/2006/customXml" ds:itemID="{76F991A1-A0C9-4E5E-AC85-DE11308BB1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2025-01-24T02:05:47Z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