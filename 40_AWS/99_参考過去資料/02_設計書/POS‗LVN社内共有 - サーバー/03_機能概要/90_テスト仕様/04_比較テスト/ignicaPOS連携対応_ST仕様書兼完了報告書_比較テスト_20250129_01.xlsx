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308" documentId="13_ncr:1_{83417ED8-4D23-47BB-99B2-FB19FA0558F2}" xr6:coauthVersionLast="47" xr6:coauthVersionMax="47" xr10:uidLastSave="{25D355F0-0094-4B6E-B034-CC144EFB5D7B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<sst xmlns="http://schemas.openxmlformats.org/spreadsheetml/2006/main" count="1634" uniqueCount="389">
  <si>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</si>
  <si>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</si>
  <si>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</si>
  <si>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</si>
  <si>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</si>
  <si>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</si>
  <si>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</si>
  <si>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</si>
  <si>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</si>
  <si>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</si>
  <si>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</si>
  <si>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</si>
  <si>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</si>
  <si>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</si>
  <si>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</si>
  <si>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</si>
  <si>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</si>
  <si>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</si>
  <si>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</si>
  <si>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</si>
  <si>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</si>
  <si>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</si>
  <si>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</si>
  <si>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</si>
  <si>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</si>
  <si>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</si>
  <si>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</si>
  <si>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</si>
  <si>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</si>
  <si>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</si>
  <si>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</si>
  <si>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</si>
  <si>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</si>
  <si>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</si>
  <si>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</si>
  <si>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</si>
  <si>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</si>
  <si>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</si>
  <si>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</si>
  <si>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</si>
  <si>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</si>
  <si>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</si>
  <si>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</si>
  <si>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</si>
  <si>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</si>
  <si>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</si>
  <si>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</si>
  <si>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</si>
  <si>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</si>
  <si>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</si>
  <si>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</si>
  <si>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</si>
  <si>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</si>
  <si>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</si>
  <si>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</si>
  <si>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</si>
  <si>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</si>
  <si>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</si>
  <si>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</si>
  <si>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</si>
  <si>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</si>
  <si>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</si>
  <si>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</si>
  <si>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</si>
  <si>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</si>
  <si>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</si>
  <si>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</si>
  <si>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</si>
  <si>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</si>
  <si>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</si>
  <si>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</si>
  <si>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</si>
  <si>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</si>
  <si>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</si>
  <si>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</si>
  <si>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</si>
  <si>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</si>
  <si>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</si>
  <si>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</si>
  <si>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</si>
  <si>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</si>
  <si>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</si>
  <si>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</si>
  <si>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</si>
  <si>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</si>
  <si>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</si>
  <si>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</si>
  <si>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</si>
  <si>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</si>
  <si>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</si>
  <si>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</si>
  <si>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</si>
  <si>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</si>
  <si>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</si>
  <si>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</si>
  <si>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</si>
  <si>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</si>
  <si>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</si>
  <si>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</si>
  <si>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</si>
  <si>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</si>
  <si>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</si>
  <si>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</si>
  <si>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</si>
  <si>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</si>
  <si>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</si>
  <si>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</si>
  <si>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</si>
  <si>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</si>
  <si>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</si>
  <si>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</si>
  <si>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</si>
  <si>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</si>
  <si>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</si>
  <si>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</si>
  <si>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</si>
  <si>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</si>
  <si>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</si>
  <si>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</si>
  <si>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</si>
  <si>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</si>
  <si>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</si>
  <si>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</si>
  <si>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</si>
  <si>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</si>
  <si>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</si>
  <si>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</si>
  <si>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</si>
  <si>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</si>
  <si>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</si>
  <si>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</si>
  <si>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</si>
  <si>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</si>
  <si>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</si>
  <si>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</si>
  <si>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</si>
  <si>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</si>
  <si>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</si>
  <si>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</si>
  <si>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</si>
  <si>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</si>
  <si>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</si>
  <si>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</si>
  <si>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</si>
  <si>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</si>
  <si>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</si>
  <si>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</si>
  <si>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</si>
  <si>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</si>
  <si>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</si>
  <si>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</si>
  <si>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</si>
  <si>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</si>
  <si>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</si>
  <si>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</si>
  <si>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</si>
  <si>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</si>
  <si>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</si>
  <si>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</si>
  <si>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</si>
  <si>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</si>
  <si>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</si>
  <si>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</si>
  <si>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</si>
  <si>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</si>
  <si>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</si>
  <si>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</si>
  <si>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</si>
  <si>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</si>
  <si>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</si>
  <si>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</si>
  <si>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</si>
  <si>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</si>
  <si>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</si>
  <si>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</si>
  <si>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</si>
  <si>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</si>
  <si>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</si>
  <si>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</si>
  <si>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</si>
  <si>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</si>
  <si>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</si>
  <si>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</si>
  <si>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</si>
  <si>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</si>
  <si>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</si>
  <si>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</si>
  <si>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</si>
  <si>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</si>
  <si>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</si>
  <si>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</si>
  <si>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</si>
  <si>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</si>
  <si>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</si>
  <si>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</si>
  <si>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</si>
  <si>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</si>
  <si>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</si>
  <si>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</si>
  <si>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</si>
  <si>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</si>
  <si>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</si>
  <si>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</si>
  <si>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</si>
  <si>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</si>
  <si>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</si>
  <si>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</si>
  <si>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</si>
  <si>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</si>
  <si>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</si>
  <si>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</si>
  <si>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</si>
  <si>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</si>
  <si>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</si>
  <si>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</si>
  <si>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</si>
  <si>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</si>
  <si>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</si>
  <si>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</si>
  <si>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</si>
  <si>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</si>
  <si>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</si>
  <si>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</si>
  <si>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</si>
  <si>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</si>
  <si>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</si>
  <si>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</si>
  <si>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</si>
  <si>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</si>
  <si>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</si>
  <si>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</si>
  <si>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</si>
  <si>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</si>
  <si>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</si>
  <si>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</si>
  <si>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</si>
  <si>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</si>
  <si>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</si>
  <si>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</si>
  <si>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</si>
  <si>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</si>
  <si>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</si>
  <si>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</si>
  <si>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</si>
  <si>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</si>
  <si>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</si>
  <si>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</si>
  <si>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</si>
  <si>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</si>
  <si>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</si>
  <si>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</si>
  <si>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</si>
  <si>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</si>
  <si>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</si>
  <si>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</si>
  <si>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</si>
  <si>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</si>
  <si>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</si>
  <si>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</si>
  <si>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</si>
  <si>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</si>
  <si>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</si>
  <si>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</si>
  <si>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</si>
  <si>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</si>
  <si>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</si>
  <si>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</si>
  <si>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</si>
  <si>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</si>
  <si>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</si>
  <si>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</si>
  <si>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</si>
  <si>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</si>
  <si>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</si>
  <si>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</si>
  <si>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</si>
  <si>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</si>
  <si>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</si>
  <si>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</si>
  <si>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</si>
  <si>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</si>
  <si>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</si>
  <si>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</si>
  <si>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</si>
  <si>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</si>
  <si>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</si>
  <si>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</si>
  <si>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</si>
  <si>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</si>
  <si>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</si>
  <si>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</si>
  <si>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</si>
  <si>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</si>
  <si>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</si>
  <si>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</si>
  <si>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</si>
  <si>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</si>
  <si>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</si>
  <si>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</si>
  <si>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</si>
  <si>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</si>
  <si>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</si>
  <si>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</si>
  <si>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</si>
  <si>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</si>
  <si>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</si>
  <si>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</si>
  <si>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</si>
  <si>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</si>
  <si>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</si>
  <si>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</si>
  <si>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</si>
  <si>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</si>
  <si>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</si>
  <si>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</si>
  <si>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</si>
  <si>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</si>
  <si>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</si>
  <si>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</si>
  <si>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</si>
  <si>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</si>
  <si>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</si>
  <si>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</si>
  <si>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</si>
  <si>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</si>
  <si>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</si>
  <si>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</si>
  <si>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</si>
  <si>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</si>
  <si>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</si>
  <si>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</si>
  <si>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</si>
  <si>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</si>
  <si>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</si>
  <si>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</si>
  <si>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</si>
  <si>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</si>
  <si>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</si>
  <si>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</si>
  <si>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</si>
  <si>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</si>
  <si>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</si>
  <si>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</si>
  <si>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</si>
  <si>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</si>
  <si>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</si>
  <si>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</si>
  <si>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</si>
  <si>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</si>
  <si>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</si>
  <si>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</si>
  <si>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</si>
  <si>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</si>
  <si>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</si>
  <si>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</si>
  <si>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</si>
  <si>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</si>
  <si>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</si>
  <si>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</si>
  <si>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</si>
  <si>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</si>
  <si>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</si>
  <si>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</si>
  <si>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</si>
  <si>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</si>
  <si>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</si>
  <si>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</si>
  <si>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</si>
  <si>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</si>
  <si>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</si>
  <si>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</si>
  <si>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</si>
  <si>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</si>
  <si>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</si>
  <si>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</si>
  <si>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</si>
  <si>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</si>
  <si>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</si>
  <si>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</si>
  <si>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</si>
  <si>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</si>
  <si>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</si>
  <si>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</si>
  <si>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</si>
  <si>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</si>
  <si>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</si>
  <si>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</si>
  <si>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</si>
  <si>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;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</si>
</sst>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" x14ac:dyDescent="0.65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6" t="s">
        <v>4</v>
      </c>
      <c r="F18" s="116"/>
      <c r="G18" s="116"/>
      <c r="H18" s="116"/>
      <c r="I18" s="116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7" t="s">
        <v>5</v>
      </c>
      <c r="G21" s="117"/>
      <c r="H21" s="117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Normal="110" zoomScaleSheetLayoutView="100" workbookViewId="0">
      <pane ySplit="2" topLeftCell="A4" activePane="bottomLeft" state="frozen"/>
      <selection activeCell="B8" sqref="B8"/>
      <selection pane="bottomLeft" activeCell="C13" sqref="C1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6" t="s">
        <v>10</v>
      </c>
      <c r="F1" s="12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4"/>
      <c r="S1" s="137" t="s">
        <v>14</v>
      </c>
      <c r="T1" s="128" t="s">
        <v>15</v>
      </c>
      <c r="U1" s="128"/>
      <c r="V1" s="128"/>
      <c r="W1" s="118" t="s">
        <v>16</v>
      </c>
      <c r="X1" s="118" t="s">
        <v>17</v>
      </c>
    </row>
    <row r="2" spans="1:24" s="1" customFormat="1" ht="22.8" x14ac:dyDescent="0.15">
      <c r="A2" s="121"/>
      <c r="B2" s="123"/>
      <c r="C2" s="125"/>
      <c r="D2" s="125"/>
      <c r="E2" s="127"/>
      <c r="F2" s="13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38"/>
      <c r="T2" s="71" t="s">
        <v>29</v>
      </c>
      <c r="U2" s="72" t="s">
        <v>30</v>
      </c>
      <c r="V2" s="73" t="s">
        <v>31</v>
      </c>
      <c r="W2" s="119"/>
      <c r="X2" s="119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" x14ac:dyDescent="0.1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39" t="s">
        <v>58</v>
      </c>
      <c r="U18" s="139"/>
      <c r="V18" s="140"/>
      <c r="W18" s="42" t="s">
        <v>59</v>
      </c>
      <c r="X18" s="43">
        <f>SUM(G18:R18)</f>
        <v>0</v>
      </c>
    </row>
    <row r="19" spans="1:24" s="3" customFormat="1" ht="12" customHeight="1" x14ac:dyDescent="0.25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1"/>
      <c r="U19" s="141"/>
      <c r="V19" s="142"/>
      <c r="W19" s="52" t="s">
        <v>59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35"/>
      <c r="T20" s="143">
        <f>COUNTA(T3:T17)</f>
        <v>2</v>
      </c>
      <c r="U20" s="145">
        <f>COUNTA(U3:U17)</f>
        <v>0</v>
      </c>
      <c r="V20" s="147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 x14ac:dyDescent="0.25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6"/>
      <c r="T21" s="144"/>
      <c r="U21" s="146"/>
      <c r="V21" s="148"/>
      <c r="W21" s="67" t="s">
        <v>59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T12" sqref="T12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4"/>
      <c r="S1" s="137" t="s">
        <v>14</v>
      </c>
      <c r="T1" s="128" t="s">
        <v>15</v>
      </c>
      <c r="U1" s="128"/>
      <c r="V1" s="128"/>
      <c r="W1" s="118" t="s">
        <v>16</v>
      </c>
      <c r="X1" s="69"/>
    </row>
    <row r="2" spans="1:24" s="1" customFormat="1" ht="18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38"/>
      <c r="T2" s="71" t="s">
        <v>29</v>
      </c>
      <c r="U2" s="72" t="s">
        <v>30</v>
      </c>
      <c r="V2" s="73" t="s">
        <v>31</v>
      </c>
      <c r="W2" s="119"/>
      <c r="X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78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78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39" t="s">
        <v>58</v>
      </c>
      <c r="U14" s="139"/>
      <c r="V14" s="140"/>
      <c r="W14" s="42" t="s">
        <v>59</v>
      </c>
      <c r="X14" s="43">
        <f>SUM(G14:R14)</f>
        <v>0</v>
      </c>
    </row>
    <row r="15" spans="1:24" s="3" customFormat="1" ht="12" customHeight="1" x14ac:dyDescent="0.25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1"/>
      <c r="U15" s="141"/>
      <c r="V15" s="142"/>
      <c r="W15" s="52" t="s">
        <v>59</v>
      </c>
      <c r="X15" s="53">
        <f>SUM(G15:R15)</f>
        <v>0</v>
      </c>
    </row>
    <row r="16" spans="1:24" s="3" customFormat="1" ht="12" customHeight="1" x14ac:dyDescent="0.25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5"/>
      <c r="T16" s="143">
        <f>COUNTA(T3:T13)</f>
        <v>8</v>
      </c>
      <c r="U16" s="145">
        <f>COUNTA(U3:U13)</f>
        <v>0</v>
      </c>
      <c r="V16" s="147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 x14ac:dyDescent="0.25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6"/>
      <c r="T17" s="144"/>
      <c r="U17" s="146"/>
      <c r="V17" s="148"/>
      <c r="W17" s="67" t="s">
        <v>59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R8" sqref="R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39" t="s">
        <v>58</v>
      </c>
      <c r="T10" s="139"/>
      <c r="U10" s="140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1"/>
      <c r="T11" s="141"/>
      <c r="U11" s="142"/>
      <c r="V11" s="52" t="s">
        <v>59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5"/>
      <c r="S12" s="143">
        <f>COUNTA(S3:S9)</f>
        <v>4</v>
      </c>
      <c r="T12" s="145">
        <f>COUNTA(T3:T9)</f>
        <v>0</v>
      </c>
      <c r="U12" s="147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6"/>
      <c r="S13" s="144"/>
      <c r="T13" s="146"/>
      <c r="U13" s="148"/>
      <c r="V13" s="67" t="s">
        <v>59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G3" sqref="G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39" t="s">
        <v>58</v>
      </c>
      <c r="T10" s="139"/>
      <c r="U10" s="140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1"/>
      <c r="T11" s="141"/>
      <c r="U11" s="142"/>
      <c r="V11" s="52" t="s">
        <v>59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45">
        <f>COUNTA(T3:T9)</f>
        <v>0</v>
      </c>
      <c r="U12" s="147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46"/>
      <c r="U13" s="148"/>
      <c r="V13" s="67" t="s">
        <v>59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tabSelected="1" view="pageBreakPreview" topLeftCell="E1" zoomScale="98" zoomScaleNormal="110" zoomScaleSheetLayoutView="98" workbookViewId="0">
      <pane ySplit="2" topLeftCell="A45" activePane="bottomLeft" state="frozen"/>
      <selection activeCell="B8" sqref="B8"/>
      <selection pane="bottomLeft" activeCell="S49" sqref="S4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45687</v>
      </c>
      <c r="T4" s="27"/>
      <c r="U4" s="28"/>
      <c r="V4" s="29"/>
      <c r="W4" s="30"/>
    </row>
    <row r="5" spans="1:23" ht="22.8" x14ac:dyDescent="0.15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98</v>
      </c>
    </row>
    <row r="6" spans="1:23" ht="22.8" x14ac:dyDescent="0.15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101</v>
      </c>
    </row>
    <row r="7" spans="1:23" ht="22.8" x14ac:dyDescent="0.15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103</v>
      </c>
    </row>
    <row r="8" spans="1:23" ht="22.8" x14ac:dyDescent="0.15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105</v>
      </c>
    </row>
    <row r="9" spans="1:23" ht="22.8" x14ac:dyDescent="0.15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107</v>
      </c>
    </row>
    <row r="10" spans="1:23" ht="22.8" x14ac:dyDescent="0.15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109</v>
      </c>
    </row>
    <row r="11" spans="1:23" ht="22.8" x14ac:dyDescent="0.15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111</v>
      </c>
    </row>
    <row r="12" spans="1:23" ht="11.4" x14ac:dyDescent="0.1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" x14ac:dyDescent="0.1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" x14ac:dyDescent="0.1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" x14ac:dyDescent="0.1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" x14ac:dyDescent="0.1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" x14ac:dyDescent="0.1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" x14ac:dyDescent="0.1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8" x14ac:dyDescent="0.15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127</v>
      </c>
    </row>
    <row r="20" spans="1:23" ht="11.4" x14ac:dyDescent="0.1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" x14ac:dyDescent="0.1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" x14ac:dyDescent="0.1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8" x14ac:dyDescent="0.15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135</v>
      </c>
    </row>
    <row r="24" spans="1:23" ht="22.8" x14ac:dyDescent="0.15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137</v>
      </c>
    </row>
    <row r="25" spans="1:23" ht="22.8" x14ac:dyDescent="0.15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139</v>
      </c>
    </row>
    <row r="26" spans="1:23" ht="22.8" x14ac:dyDescent="0.15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141</v>
      </c>
    </row>
    <row r="27" spans="1:23" ht="22.8" x14ac:dyDescent="0.15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143</v>
      </c>
    </row>
    <row r="28" spans="1:23" ht="22.8" x14ac:dyDescent="0.15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145</v>
      </c>
    </row>
    <row r="29" spans="1:23" ht="22.8" x14ac:dyDescent="0.15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147</v>
      </c>
    </row>
    <row r="30" spans="1:23" ht="22.8" x14ac:dyDescent="0.15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149</v>
      </c>
    </row>
    <row r="31" spans="1:23" ht="22.8" x14ac:dyDescent="0.15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151</v>
      </c>
    </row>
    <row r="32" spans="1:23" ht="22.8" x14ac:dyDescent="0.15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153</v>
      </c>
    </row>
    <row r="33" spans="1:23" ht="22.8" x14ac:dyDescent="0.15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155</v>
      </c>
    </row>
    <row r="34" spans="1:23" ht="22.8" x14ac:dyDescent="0.15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157</v>
      </c>
    </row>
    <row r="35" spans="1:23" ht="22.8" x14ac:dyDescent="0.15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159</v>
      </c>
    </row>
    <row r="36" spans="1:23" ht="22.8" x14ac:dyDescent="0.15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161</v>
      </c>
    </row>
    <row r="37" spans="1:23" ht="22.8" x14ac:dyDescent="0.15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163</v>
      </c>
    </row>
    <row r="38" spans="1:23" ht="22.8" x14ac:dyDescent="0.15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165</v>
      </c>
    </row>
    <row r="39" spans="1:23" ht="11.4" x14ac:dyDescent="0.1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" x14ac:dyDescent="0.1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98</v>
      </c>
    </row>
    <row r="44" spans="1:23" ht="22.8" x14ac:dyDescent="0.15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101</v>
      </c>
    </row>
    <row r="45" spans="1:23" ht="22.8" x14ac:dyDescent="0.15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103</v>
      </c>
    </row>
    <row r="46" spans="1:23" ht="22.8" x14ac:dyDescent="0.15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105</v>
      </c>
    </row>
    <row r="47" spans="1:23" ht="22.8" x14ac:dyDescent="0.15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107</v>
      </c>
    </row>
    <row r="48" spans="1:23" ht="22.8" x14ac:dyDescent="0.15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109</v>
      </c>
    </row>
    <row r="49" spans="1:23" ht="22.8" x14ac:dyDescent="0.15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111</v>
      </c>
    </row>
    <row r="50" spans="1:23" ht="11.4" x14ac:dyDescent="0.1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" x14ac:dyDescent="0.1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" x14ac:dyDescent="0.1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" x14ac:dyDescent="0.1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" x14ac:dyDescent="0.1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" x14ac:dyDescent="0.1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" x14ac:dyDescent="0.1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8" x14ac:dyDescent="0.15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" x14ac:dyDescent="0.1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" x14ac:dyDescent="0.1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" x14ac:dyDescent="0.1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8" x14ac:dyDescent="0.15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135</v>
      </c>
    </row>
    <row r="62" spans="1:23" ht="22.8" x14ac:dyDescent="0.15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137</v>
      </c>
    </row>
    <row r="63" spans="1:23" ht="22.8" x14ac:dyDescent="0.15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139</v>
      </c>
    </row>
    <row r="64" spans="1:23" ht="22.8" x14ac:dyDescent="0.15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141</v>
      </c>
    </row>
    <row r="65" spans="1:23" ht="22.8" x14ac:dyDescent="0.15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143</v>
      </c>
    </row>
    <row r="66" spans="1:23" ht="22.8" x14ac:dyDescent="0.15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145</v>
      </c>
    </row>
    <row r="67" spans="1:23" ht="22.8" x14ac:dyDescent="0.15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147</v>
      </c>
    </row>
    <row r="68" spans="1:23" ht="22.8" x14ac:dyDescent="0.15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149</v>
      </c>
    </row>
    <row r="69" spans="1:23" ht="22.8" x14ac:dyDescent="0.15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151</v>
      </c>
    </row>
    <row r="70" spans="1:23" ht="22.8" x14ac:dyDescent="0.15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153</v>
      </c>
    </row>
    <row r="71" spans="1:23" ht="22.8" x14ac:dyDescent="0.15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155</v>
      </c>
    </row>
    <row r="72" spans="1:23" ht="22.8" x14ac:dyDescent="0.15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157</v>
      </c>
    </row>
    <row r="73" spans="1:23" ht="22.8" x14ac:dyDescent="0.15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159</v>
      </c>
    </row>
    <row r="74" spans="1:23" ht="22.8" x14ac:dyDescent="0.15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161</v>
      </c>
    </row>
    <row r="75" spans="1:23" ht="22.8" x14ac:dyDescent="0.15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163</v>
      </c>
    </row>
    <row r="76" spans="1:23" ht="22.8" x14ac:dyDescent="0.15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165</v>
      </c>
    </row>
    <row r="77" spans="1:23" ht="11.4" x14ac:dyDescent="0.1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 t="s">
        <v>388</v>
      </c>
      <c r="T77" s="27"/>
      <c r="U77" s="28"/>
      <c r="V77" s="29"/>
      <c r="W77" s="30" t="s">
        <v>166</v>
      </c>
    </row>
    <row r="78" spans="1:23" ht="11.4" x14ac:dyDescent="0.1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39" t="s">
        <v>58</v>
      </c>
      <c r="T115" s="139"/>
      <c r="U115" s="140"/>
      <c r="V115" s="42" t="s">
        <v>59</v>
      </c>
      <c r="W115" s="43">
        <f>SUM(G115:Q115)</f>
        <v>0</v>
      </c>
    </row>
    <row r="116" spans="1:23" s="3" customFormat="1" ht="12" customHeight="1" x14ac:dyDescent="0.25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1"/>
      <c r="T116" s="141"/>
      <c r="U116" s="142"/>
      <c r="V116" s="52" t="s">
        <v>59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5"/>
      <c r="S117" s="143">
        <f>COUNTA(S3:S114)</f>
        <v>49</v>
      </c>
      <c r="T117" s="145">
        <f>COUNTA(T3:T114)</f>
        <v>0</v>
      </c>
      <c r="U117" s="147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 x14ac:dyDescent="0.25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6"/>
      <c r="S118" s="144"/>
      <c r="T118" s="146"/>
      <c r="U118" s="148"/>
      <c r="V118" s="67" t="s">
        <v>59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3" activePane="bottomLeft" state="frozen"/>
      <selection activeCell="B8" sqref="B8"/>
      <selection pane="bottomLeft" activeCell="S53" sqref="S5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0" t="s">
        <v>6</v>
      </c>
      <c r="B1" s="122" t="s">
        <v>7</v>
      </c>
      <c r="C1" s="124" t="s">
        <v>8</v>
      </c>
      <c r="D1" s="124" t="s">
        <v>9</v>
      </c>
      <c r="E1" s="124" t="s">
        <v>10</v>
      </c>
      <c r="F1" s="149" t="s">
        <v>11</v>
      </c>
      <c r="G1" s="128" t="s">
        <v>12</v>
      </c>
      <c r="H1" s="128"/>
      <c r="I1" s="128"/>
      <c r="J1" s="131"/>
      <c r="K1" s="132" t="s">
        <v>13</v>
      </c>
      <c r="L1" s="133"/>
      <c r="M1" s="133"/>
      <c r="N1" s="134"/>
      <c r="O1" s="134"/>
      <c r="P1" s="134"/>
      <c r="Q1" s="134"/>
      <c r="R1" s="137" t="s">
        <v>14</v>
      </c>
      <c r="S1" s="128" t="s">
        <v>15</v>
      </c>
      <c r="T1" s="128"/>
      <c r="U1" s="128"/>
      <c r="V1" s="118" t="s">
        <v>16</v>
      </c>
      <c r="W1" s="69"/>
    </row>
    <row r="2" spans="1:23" s="1" customFormat="1" ht="15" customHeight="1" x14ac:dyDescent="0.15">
      <c r="A2" s="121"/>
      <c r="B2" s="123"/>
      <c r="C2" s="125"/>
      <c r="D2" s="125"/>
      <c r="E2" s="125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8"/>
      <c r="S2" s="71" t="s">
        <v>29</v>
      </c>
      <c r="T2" s="72" t="s">
        <v>30</v>
      </c>
      <c r="U2" s="73" t="s">
        <v>31</v>
      </c>
      <c r="V2" s="119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39" t="s">
        <v>58</v>
      </c>
      <c r="T94" s="139"/>
      <c r="U94" s="140"/>
      <c r="V94" s="42" t="s">
        <v>59</v>
      </c>
      <c r="W94" s="43">
        <f>SUM(G94:Q94)</f>
        <v>0</v>
      </c>
    </row>
    <row r="95" spans="1:23" s="3" customFormat="1" ht="12" customHeight="1" x14ac:dyDescent="0.25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1"/>
      <c r="T95" s="141"/>
      <c r="U95" s="142"/>
      <c r="V95" s="52" t="s">
        <v>59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5"/>
      <c r="S96" s="143">
        <f>COUNTA(S3:S91)</f>
        <v>60</v>
      </c>
      <c r="T96" s="145">
        <f>COUNTA(T3:T91)</f>
        <v>0</v>
      </c>
      <c r="U96" s="147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 x14ac:dyDescent="0.25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6"/>
      <c r="S97" s="144"/>
      <c r="T97" s="146"/>
      <c r="U97" s="148"/>
      <c r="V97" s="67" t="s">
        <v>59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238</v>
      </c>
    </row>
    <row r="4" spans="2:33" x14ac:dyDescent="0.25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2" thickBot="1" x14ac:dyDescent="0.3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2" thickTop="1" x14ac:dyDescent="0.25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 x14ac:dyDescent="0.25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 x14ac:dyDescent="0.25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 x14ac:dyDescent="0.25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 x14ac:dyDescent="0.25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 x14ac:dyDescent="0.25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 x14ac:dyDescent="0.25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 x14ac:dyDescent="0.25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 x14ac:dyDescent="0.25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 x14ac:dyDescent="0.25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 x14ac:dyDescent="0.25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 x14ac:dyDescent="0.25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 x14ac:dyDescent="0.25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 x14ac:dyDescent="0.25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 x14ac:dyDescent="0.25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 x14ac:dyDescent="0.25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 x14ac:dyDescent="0.25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 x14ac:dyDescent="0.25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 x14ac:dyDescent="0.25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 x14ac:dyDescent="0.25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 x14ac:dyDescent="0.25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 x14ac:dyDescent="0.25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 x14ac:dyDescent="0.25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 x14ac:dyDescent="0.25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 x14ac:dyDescent="0.25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 x14ac:dyDescent="0.25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 x14ac:dyDescent="0.25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 x14ac:dyDescent="0.25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 x14ac:dyDescent="0.25">
      <c r="AC35" s="81"/>
      <c r="AF35" s="77" t="s">
        <v>362</v>
      </c>
      <c r="AG35" s="82"/>
    </row>
    <row r="36" spans="2:33" x14ac:dyDescent="0.25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 x14ac:dyDescent="0.25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 x14ac:dyDescent="0.25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 x14ac:dyDescent="0.25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 x14ac:dyDescent="0.25">
      <c r="AC40" s="81" t="s">
        <v>376</v>
      </c>
      <c r="AE40" s="77" t="s">
        <v>267</v>
      </c>
      <c r="AF40" s="77" t="s">
        <v>257</v>
      </c>
      <c r="AG40" s="82"/>
    </row>
    <row r="41" spans="2:33" x14ac:dyDescent="0.25">
      <c r="AC41" s="81" t="s">
        <v>377</v>
      </c>
      <c r="AE41" s="77" t="s">
        <v>267</v>
      </c>
      <c r="AF41" s="77" t="s">
        <v>278</v>
      </c>
      <c r="AG41" s="82"/>
    </row>
    <row r="42" spans="2:33" x14ac:dyDescent="0.25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 x14ac:dyDescent="0.25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 x14ac:dyDescent="0.25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 x14ac:dyDescent="0.25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 x14ac:dyDescent="0.25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 x14ac:dyDescent="0.25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 x14ac:dyDescent="0.25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 x14ac:dyDescent="0.25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http://schemas.microsoft.com/office/2006/metadata/properties"/>
    <ds:schemaRef ds:uri="http://purl.org/dc/terms/"/>
    <ds:schemaRef ds:uri="55b7a9d6-bcaa-4a9d-b1c7-8801531a7bf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85bf11c-610f-4c75-b4c1-3f2e492bcd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62F5A3-5AC4-4B1E-812B-2046EB1BD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2025-01-30T04:11:06Z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