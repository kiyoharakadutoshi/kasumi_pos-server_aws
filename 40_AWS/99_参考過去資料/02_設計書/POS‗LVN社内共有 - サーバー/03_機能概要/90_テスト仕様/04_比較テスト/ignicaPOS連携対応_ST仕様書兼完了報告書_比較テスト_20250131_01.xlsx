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424" documentId="13_ncr:1_{83417ED8-4D23-47BB-99B2-FB19FA0558F2}" xr6:coauthVersionLast="47" xr6:coauthVersionMax="47" xr10:uidLastSave="{877D3055-BECE-4B6B-911A-A148670CCB42}"/>
  <bookViews>
    <workbookView xWindow="-96" yWindow="-96" windowWidth="23232" windowHeight="12696" tabRatio="789" activeTab="6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 concurrentManualCount="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<sst xmlns="http://schemas.openxmlformats.org/spreadsheetml/2006/main" count="1653" uniqueCount="395">
  <si>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</si>
  <si>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</si>
  <si>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</si>
  <si>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</si>
  <si>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</si>
  <si>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</si>
  <si>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</si>
  <si>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</si>
  <si>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</si>
  <si>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</si>
  <si>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</si>
  <si>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</si>
  <si>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</si>
  <si>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</si>
  <si>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</si>
  <si>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</si>
  <si>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</si>
  <si>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</si>
  <si>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</si>
  <si>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</si>
  <si>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</si>
  <si>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</si>
  <si>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</si>
  <si>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</si>
  <si>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</si>
  <si>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</si>
  <si>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</si>
  <si>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</si>
  <si>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</si>
  <si>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</si>
  <si>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</si>
  <si>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</si>
  <si>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</si>
  <si>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</si>
  <si>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</si>
  <si>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</si>
  <si>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</si>
  <si>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</si>
  <si>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</si>
  <si>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</si>
  <si>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</si>
  <si>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</si>
  <si>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</si>
  <si>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</si>
  <si>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</si>
  <si>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</si>
  <si>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</si>
  <si>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</si>
  <si>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</si>
  <si>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</si>
  <si>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</si>
  <si>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</si>
  <si>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</si>
  <si>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</si>
  <si>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</si>
  <si>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</si>
  <si>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</si>
  <si>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</si>
  <si>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</si>
  <si>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</si>
  <si>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</si>
  <si>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</si>
  <si>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</si>
  <si>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</si>
  <si>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</si>
  <si>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</si>
  <si>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</si>
  <si>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</si>
  <si>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</si>
  <si>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</si>
  <si>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</si>
  <si>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</si>
  <si>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</si>
  <si>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</si>
  <si>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</si>
  <si>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</si>
  <si>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</si>
  <si>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</si>
  <si>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</si>
  <si>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</si>
  <si>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</si>
  <si>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</si>
  <si>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</si>
  <si>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</si>
  <si>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</si>
  <si>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</si>
  <si>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</si>
  <si>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</si>
  <si>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</si>
  <si>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</si>
  <si>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</si>
  <si>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</si>
  <si>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</si>
  <si>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</si>
  <si>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</si>
  <si>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</si>
  <si>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</si>
  <si>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</si>
  <si>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</si>
  <si>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</si>
  <si>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</si>
  <si>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</si>
  <si>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</si>
  <si>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</si>
  <si>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</si>
  <si>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</si>
  <si>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</si>
  <si>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</si>
  <si>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</si>
  <si>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</si>
  <si>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</si>
  <si>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</si>
  <si>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</si>
  <si>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</si>
  <si>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</si>
  <si>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</si>
  <si>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</si>
  <si>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</si>
  <si>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</si>
  <si>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</si>
  <si>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</si>
  <si>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</si>
  <si>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</si>
  <si>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</si>
  <si>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</si>
  <si>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</si>
  <si>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</si>
  <si>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</si>
  <si>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</si>
  <si>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</si>
  <si>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</si>
  <si>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</si>
  <si>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</si>
  <si>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</si>
  <si>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</si>
  <si>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</si>
  <si>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</si>
  <si>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</si>
  <si>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</si>
  <si>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</si>
  <si>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</si>
  <si>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</si>
  <si>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</si>
  <si>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</si>
  <si>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</si>
  <si>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</si>
  <si>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</si>
  <si>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</si>
  <si>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</si>
  <si>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</si>
  <si>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</si>
  <si>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</si>
  <si>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</si>
  <si>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</si>
  <si>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</si>
  <si>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</si>
  <si>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</si>
  <si>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</si>
  <si>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</si>
  <si>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</si>
  <si>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</si>
  <si>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</si>
  <si>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</si>
  <si>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</si>
  <si>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</si>
  <si>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</si>
  <si>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</si>
  <si>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</si>
  <si>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</si>
  <si>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</si>
  <si>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</si>
  <si>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</si>
  <si>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</si>
  <si>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</si>
  <si>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</si>
  <si>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</si>
  <si>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</si>
  <si>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</si>
  <si>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</si>
  <si>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</si>
  <si>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</si>
  <si>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</si>
  <si>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</si>
  <si>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</si>
  <si>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</si>
  <si>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</si>
  <si>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</si>
  <si>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</si>
  <si>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</si>
  <si>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</si>
  <si>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</si>
  <si>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</si>
  <si>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</si>
  <si>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</si>
  <si>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</si>
  <si>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</si>
  <si>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</si>
  <si>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</si>
  <si>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</si>
  <si>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</si>
  <si>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</si>
  <si>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</si>
  <si>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</si>
  <si>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</si>
  <si>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</si>
  <si>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</si>
  <si>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</si>
  <si>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</si>
  <si>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</si>
  <si>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</si>
  <si>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</si>
  <si>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</si>
  <si>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</si>
  <si>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</si>
  <si>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</si>
  <si>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</si>
  <si>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</si>
  <si>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</si>
  <si>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</si>
  <si>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</si>
  <si>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</si>
  <si>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</si>
  <si>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</si>
  <si>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</si>
  <si>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</si>
  <si>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</si>
  <si>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</si>
  <si>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</si>
  <si>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</si>
  <si>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</si>
  <si>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</si>
  <si>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</si>
  <si>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</si>
  <si>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</si>
  <si>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</si>
  <si>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</si>
  <si>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</si>
  <si>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</si>
  <si>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</si>
  <si>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</si>
  <si>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</si>
  <si>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</si>
  <si>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</si>
  <si>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</si>
  <si>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</si>
  <si>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</si>
  <si>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</si>
  <si>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</si>
  <si>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</si>
  <si>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</si>
  <si>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</si>
  <si>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</si>
  <si>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</si>
  <si>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</si>
  <si>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</si>
  <si>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</si>
  <si>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</si>
  <si>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</si>
  <si>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</si>
  <si>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</si>
  <si>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</si>
  <si>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</si>
  <si>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</si>
  <si>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</si>
  <si>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</si>
  <si>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</si>
  <si>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</si>
  <si>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</si>
  <si>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</si>
  <si>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</si>
  <si>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</si>
  <si>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</si>
  <si>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</si>
  <si>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</si>
  <si>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</si>
  <si>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</si>
  <si>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</si>
  <si>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</si>
  <si>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</si>
  <si>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</si>
  <si>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</si>
  <si>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</si>
  <si>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</si>
  <si>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</si>
  <si>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</si>
  <si>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</si>
  <si>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</si>
  <si>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</si>
  <si>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</si>
  <si>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</si>
  <si>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</si>
  <si>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</si>
  <si>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</si>
  <si>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</si>
  <si>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</si>
  <si>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</si>
  <si>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</si>
  <si>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</si>
  <si>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</si>
  <si>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</si>
  <si>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</si>
  <si>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</si>
  <si>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</si>
  <si>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</si>
  <si>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</si>
  <si>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</si>
  <si>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</si>
  <si>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</si>
  <si>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</si>
  <si>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</si>
  <si>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</si>
  <si>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</si>
  <si>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</si>
  <si>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</si>
  <si>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</si>
  <si>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</si>
  <si>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</si>
  <si>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</si>
  <si>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</si>
  <si>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</si>
  <si>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</si>
  <si>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</si>
  <si>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</si>
  <si>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</si>
  <si>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</si>
  <si>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</si>
  <si>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</si>
  <si>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</si>
  <si>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</si>
  <si>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</si>
  <si>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</si>
  <si>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</si>
  <si>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</si>
  <si>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</si>
  <si>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</si>
  <si>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</si>
  <si>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</si>
  <si>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</si>
  <si>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</si>
  <si>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</si>
  <si>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</si>
  <si>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</si>
  <si>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</si>
  <si>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</si>
  <si>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</si>
  <si>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</si>
  <si>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</si>
  <si>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</si>
  <si>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</si>
  <si>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</si>
  <si>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</si>
  <si>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</si>
  <si>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</si>
  <si>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</si>
  <si>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</si>
  <si>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</si>
  <si>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</si>
  <si>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</si>
  <si>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</si>
  <si>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</si>
  <si>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</si>
  <si>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</si>
  <si>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</si>
  <si>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</si>
  <si>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</si>
  <si>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</si>
  <si>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</si>
  <si>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</si>
  <si>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</si>
  <si>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</si>
  <si>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</si>
  <si>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</si>
  <si>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</si>
  <si>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</si>
  <si>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</si>
  <si>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</si>
  <si>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</si>
  <si>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</si>
  <si>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</si>
  <si>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</si>
  <si>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</si>
  <si>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</si>
  <si>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</si>
  <si>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</si>
  <si>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</si>
  <si>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</si>
  <si>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</si>
  <si>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</si>
  <si>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</si>
  <si>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</si>
  <si>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</si>
  <si>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</si>
  <si>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</si>
  <si>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〇</t>
    <phoneticPr fontId="12"/>
  </si>
  <si>
    <t>2/3に再度確認</t>
    <rPh sb="4" eb="6">
      <t>サイド</t>
    </rPh>
    <rPh sb="6" eb="8">
      <t>カクニン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</si>
</sst>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4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4" t="s">
        <v>1</v>
      </c>
      <c r="D7" s="115"/>
      <c r="E7" s="115"/>
      <c r="F7" s="115"/>
      <c r="G7" s="115"/>
      <c r="H7" s="115"/>
      <c r="I7" s="115"/>
      <c r="J7" s="115"/>
      <c r="K7" s="116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1" t="s">
        <v>2</v>
      </c>
      <c r="D9" s="112"/>
      <c r="E9" s="112"/>
      <c r="F9" s="112"/>
      <c r="G9" s="112"/>
      <c r="H9" s="112"/>
      <c r="I9" s="112"/>
      <c r="J9" s="112"/>
      <c r="K9" s="113"/>
    </row>
    <row r="10" spans="3:11" ht="35.4" x14ac:dyDescent="0.65">
      <c r="C10" s="111" t="s">
        <v>3</v>
      </c>
      <c r="D10" s="112"/>
      <c r="E10" s="112"/>
      <c r="F10" s="112"/>
      <c r="G10" s="112"/>
      <c r="H10" s="112"/>
      <c r="I10" s="112"/>
      <c r="J10" s="112"/>
      <c r="K10" s="113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7" t="s">
        <v>4</v>
      </c>
      <c r="F18" s="117"/>
      <c r="G18" s="117"/>
      <c r="H18" s="117"/>
      <c r="I18" s="117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8" t="s">
        <v>5</v>
      </c>
      <c r="G21" s="118"/>
      <c r="H21" s="118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zoomScale="75" zoomScaleNormal="110" zoomScaleSheetLayoutView="75" workbookViewId="0">
      <pane ySplit="2" topLeftCell="A3" activePane="bottomLeft" state="frozen"/>
      <selection activeCell="B8" sqref="B8"/>
      <selection pane="bottomLeft" activeCell="X7" sqref="X7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41" t="s">
        <v>10</v>
      </c>
      <c r="F1" s="144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49"/>
      <c r="S1" s="121" t="s">
        <v>14</v>
      </c>
      <c r="T1" s="143" t="s">
        <v>15</v>
      </c>
      <c r="U1" s="143"/>
      <c r="V1" s="143"/>
      <c r="W1" s="127" t="s">
        <v>16</v>
      </c>
      <c r="X1" s="127" t="s">
        <v>17</v>
      </c>
    </row>
    <row r="2" spans="1:24" s="1" customFormat="1" ht="22.8" x14ac:dyDescent="0.15">
      <c r="A2" s="136"/>
      <c r="B2" s="138"/>
      <c r="C2" s="140"/>
      <c r="D2" s="140"/>
      <c r="E2" s="142"/>
      <c r="F2" s="145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2"/>
      <c r="T2" s="71" t="s">
        <v>29</v>
      </c>
      <c r="U2" s="72" t="s">
        <v>30</v>
      </c>
      <c r="V2" s="73" t="s">
        <v>31</v>
      </c>
      <c r="W2" s="128"/>
      <c r="X2" s="128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6"/>
      <c r="U7" s="27"/>
      <c r="V7" s="28">
        <v>45687</v>
      </c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7"/>
      <c r="V8" s="28">
        <v>45687</v>
      </c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7"/>
      <c r="V9" s="28">
        <v>45687</v>
      </c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>
        <v>45691</v>
      </c>
      <c r="T16" s="26"/>
      <c r="U16" s="27"/>
      <c r="V16" s="28">
        <v>45688</v>
      </c>
      <c r="W16" s="29"/>
      <c r="X16" s="30" t="s">
        <v>394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>
        <v>45691</v>
      </c>
      <c r="T17" s="26"/>
      <c r="U17" s="27"/>
      <c r="V17" s="28">
        <v>45688</v>
      </c>
      <c r="W17" s="29"/>
      <c r="X17" s="30" t="s">
        <v>394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8</v>
      </c>
      <c r="Q18" s="41">
        <f t="shared" si="2"/>
        <v>0</v>
      </c>
      <c r="R18" s="40">
        <f t="shared" si="2"/>
        <v>0</v>
      </c>
      <c r="S18" s="108"/>
      <c r="T18" s="123" t="s">
        <v>52</v>
      </c>
      <c r="U18" s="123"/>
      <c r="V18" s="124"/>
      <c r="W18" s="42" t="s">
        <v>53</v>
      </c>
      <c r="X18" s="43">
        <f>SUM(G18:R18)</f>
        <v>12</v>
      </c>
    </row>
    <row r="19" spans="1:24" s="3" customFormat="1" ht="12" customHeight="1" x14ac:dyDescent="0.25">
      <c r="A19" s="44"/>
      <c r="B19" s="45" t="s">
        <v>54</v>
      </c>
      <c r="C19" s="46">
        <f>X20</f>
        <v>12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5"/>
      <c r="U19" s="125"/>
      <c r="V19" s="126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8</v>
      </c>
      <c r="Q20" s="51">
        <f t="shared" si="5"/>
        <v>0</v>
      </c>
      <c r="R20" s="50">
        <f t="shared" si="5"/>
        <v>0</v>
      </c>
      <c r="S20" s="119"/>
      <c r="T20" s="129">
        <f>COUNTA(T3:T17)</f>
        <v>3</v>
      </c>
      <c r="U20" s="131">
        <f>COUNTA(U3:U17)</f>
        <v>0</v>
      </c>
      <c r="V20" s="133">
        <f>COUNTA(V3:V17)</f>
        <v>10</v>
      </c>
      <c r="W20" s="58" t="s">
        <v>53</v>
      </c>
      <c r="X20" s="53">
        <f t="shared" si="4"/>
        <v>12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20"/>
      <c r="T21" s="130"/>
      <c r="U21" s="132"/>
      <c r="V21" s="134"/>
      <c r="W21" s="67" t="s">
        <v>53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D24" sqref="D2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49"/>
      <c r="S1" s="121" t="s">
        <v>14</v>
      </c>
      <c r="T1" s="143" t="s">
        <v>15</v>
      </c>
      <c r="U1" s="143"/>
      <c r="V1" s="143"/>
      <c r="W1" s="127" t="s">
        <v>16</v>
      </c>
      <c r="X1" s="69"/>
    </row>
    <row r="2" spans="1:24" s="1" customFormat="1" ht="18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22"/>
      <c r="T2" s="71" t="s">
        <v>29</v>
      </c>
      <c r="U2" s="72" t="s">
        <v>30</v>
      </c>
      <c r="V2" s="73" t="s">
        <v>31</v>
      </c>
      <c r="W2" s="128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/>
      <c r="V13" s="28"/>
      <c r="W13" s="29"/>
      <c r="X13" s="30"/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3" t="s">
        <v>52</v>
      </c>
      <c r="U14" s="123"/>
      <c r="V14" s="124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5"/>
      <c r="U15" s="125"/>
      <c r="V15" s="126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19"/>
      <c r="T16" s="129">
        <f>COUNTA(T3:T13)</f>
        <v>8</v>
      </c>
      <c r="U16" s="131">
        <f>COUNTA(U3:U13)</f>
        <v>0</v>
      </c>
      <c r="V16" s="133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20"/>
      <c r="T17" s="130"/>
      <c r="U17" s="132"/>
      <c r="V17" s="134"/>
      <c r="W17" s="67" t="s">
        <v>53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P9" sqref="P9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3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2" t="s">
        <v>393</v>
      </c>
      <c r="O9" s="25"/>
      <c r="P9" s="25"/>
      <c r="Q9" s="24"/>
      <c r="R9" s="106"/>
      <c r="S9" s="26"/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2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3" t="s">
        <v>52</v>
      </c>
      <c r="T10" s="123"/>
      <c r="U10" s="124"/>
      <c r="V10" s="42" t="s">
        <v>53</v>
      </c>
      <c r="W10" s="43">
        <f>SUM(G10:Q10)</f>
        <v>3</v>
      </c>
    </row>
    <row r="11" spans="1:23" s="3" customFormat="1" ht="12" customHeight="1" x14ac:dyDescent="0.25">
      <c r="A11" s="44"/>
      <c r="B11" s="45" t="s">
        <v>54</v>
      </c>
      <c r="C11" s="46">
        <f>W12</f>
        <v>3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5"/>
      <c r="T11" s="125"/>
      <c r="U11" s="126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2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19"/>
      <c r="S12" s="129">
        <f>COUNTA(S3:S9)</f>
        <v>4</v>
      </c>
      <c r="T12" s="131">
        <f>COUNTA(T3:T9)</f>
        <v>0</v>
      </c>
      <c r="U12" s="133">
        <f>COUNTA(U3:U9)</f>
        <v>0</v>
      </c>
      <c r="V12" s="58" t="s">
        <v>53</v>
      </c>
      <c r="W12" s="53">
        <f t="shared" si="5"/>
        <v>3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20"/>
      <c r="S13" s="130"/>
      <c r="T13" s="132"/>
      <c r="U13" s="134"/>
      <c r="V13" s="67" t="s">
        <v>53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3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3" t="s">
        <v>52</v>
      </c>
      <c r="T10" s="123"/>
      <c r="U10" s="124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5"/>
      <c r="T11" s="125"/>
      <c r="U11" s="126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2"/>
      <c r="S12" s="152">
        <f>COUNTA(S3:S9)</f>
        <v>0</v>
      </c>
      <c r="T12" s="131">
        <f>COUNTA(T3:T9)</f>
        <v>0</v>
      </c>
      <c r="U12" s="133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3"/>
      <c r="S13" s="153"/>
      <c r="T13" s="132"/>
      <c r="U13" s="134"/>
      <c r="V13" s="67" t="s">
        <v>53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view="pageBreakPreview" zoomScale="98" zoomScaleNormal="110" zoomScaleSheetLayoutView="98" workbookViewId="0">
      <pane ySplit="2" topLeftCell="A66" activePane="bottomLeft" state="frozen"/>
      <selection activeCell="B8" sqref="B8"/>
      <selection pane="bottomLeft" activeCell="S38" activeCellId="16" sqref="S19 S23 S24 S25 S26 S27 S28 S29 S30 S31 S32 S33 S34 S35 S36 S37 S38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4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113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3" t="s">
        <v>52</v>
      </c>
      <c r="T115" s="123"/>
      <c r="U115" s="124"/>
      <c r="V115" s="42" t="s">
        <v>53</v>
      </c>
      <c r="W115" s="43">
        <f>SUM(G115:Q115)</f>
        <v>50</v>
      </c>
    </row>
    <row r="116" spans="1:23" s="3" customFormat="1" ht="12" customHeight="1" x14ac:dyDescent="0.25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5"/>
      <c r="T116" s="125"/>
      <c r="U116" s="126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19"/>
      <c r="S117" s="129">
        <f>COUNTA(S3:S114)</f>
        <v>72</v>
      </c>
      <c r="T117" s="131">
        <f>COUNTA(T3:T114)</f>
        <v>0</v>
      </c>
      <c r="U117" s="133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20"/>
      <c r="S118" s="130"/>
      <c r="T118" s="132"/>
      <c r="U118" s="134"/>
      <c r="V118" s="67" t="s">
        <v>53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tabSelected="1" view="pageBreakPreview" zoomScale="85" zoomScaleNormal="110" zoomScaleSheetLayoutView="85" workbookViewId="0">
      <pane ySplit="2" topLeftCell="A63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3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38</v>
      </c>
      <c r="M85" s="23"/>
      <c r="N85" s="25"/>
      <c r="O85" s="25"/>
      <c r="P85" s="25"/>
      <c r="Q85" s="24"/>
      <c r="R85" s="106">
        <v>45325</v>
      </c>
      <c r="S85" s="26"/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38</v>
      </c>
      <c r="M87" s="23"/>
      <c r="N87" s="25"/>
      <c r="O87" s="25"/>
      <c r="P87" s="25"/>
      <c r="Q87" s="24"/>
      <c r="R87" s="106">
        <v>45325</v>
      </c>
      <c r="S87" s="26"/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38</v>
      </c>
      <c r="M88" s="23"/>
      <c r="N88" s="25"/>
      <c r="O88" s="25"/>
      <c r="P88" s="25"/>
      <c r="Q88" s="24"/>
      <c r="R88" s="106">
        <v>45325</v>
      </c>
      <c r="S88" s="26"/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38</v>
      </c>
      <c r="M90" s="23"/>
      <c r="N90" s="25"/>
      <c r="O90" s="25"/>
      <c r="P90" s="25"/>
      <c r="Q90" s="24"/>
      <c r="R90" s="106">
        <v>45325</v>
      </c>
      <c r="S90" s="26"/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38</v>
      </c>
      <c r="M91" s="23"/>
      <c r="N91" s="25"/>
      <c r="O91" s="25"/>
      <c r="P91" s="25"/>
      <c r="Q91" s="24"/>
      <c r="R91" s="106">
        <v>45325</v>
      </c>
      <c r="S91" s="26"/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82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3" t="s">
        <v>52</v>
      </c>
      <c r="T94" s="123"/>
      <c r="U94" s="124"/>
      <c r="V94" s="42" t="s">
        <v>53</v>
      </c>
      <c r="W94" s="43">
        <f>SUM(G94:Q94)</f>
        <v>84</v>
      </c>
    </row>
    <row r="95" spans="1:23" s="3" customFormat="1" ht="12" customHeight="1" x14ac:dyDescent="0.25">
      <c r="A95" s="44"/>
      <c r="B95" s="45" t="s">
        <v>54</v>
      </c>
      <c r="C95" s="46">
        <f>W96</f>
        <v>84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5"/>
      <c r="T95" s="125"/>
      <c r="U95" s="126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82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19"/>
      <c r="S96" s="129">
        <f>COUNTA(S3:S91)</f>
        <v>82</v>
      </c>
      <c r="T96" s="131">
        <f>COUNTA(T3:T91)</f>
        <v>0</v>
      </c>
      <c r="U96" s="133">
        <f>COUNTA(U3:U91)</f>
        <v>0</v>
      </c>
      <c r="V96" s="58" t="s">
        <v>53</v>
      </c>
      <c r="W96" s="53">
        <f t="shared" si="7"/>
        <v>84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20"/>
      <c r="S97" s="130"/>
      <c r="T97" s="132"/>
      <c r="U97" s="134"/>
      <c r="V97" s="67" t="s">
        <v>53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1A985-4E3A-417E-9A69-802E3198C712}">
  <ds:schemaRefs>
    <ds:schemaRef ds:uri="http://purl.org/dc/elements/1.1/"/>
    <ds:schemaRef ds:uri="http://schemas.microsoft.com/office/2006/metadata/properties"/>
    <ds:schemaRef ds:uri="http://purl.org/dc/terms/"/>
    <ds:schemaRef ds:uri="e85bf11c-610f-4c75-b4c1-3f2e492bcdf6"/>
    <ds:schemaRef ds:uri="http://schemas.microsoft.com/office/2006/documentManagement/types"/>
    <ds:schemaRef ds:uri="http://schemas.microsoft.com/office/infopath/2007/PartnerControls"/>
    <ds:schemaRef ds:uri="55b7a9d6-bcaa-4a9d-b1c7-8801531a7bf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5C8C41-5CF4-4531-9BA0-F6C694DE86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Yoshino, Toya/吉野 柊也</cp:lastModifiedBy>
  <cp:revision/>
  <dcterms:created xsi:type="dcterms:W3CDTF">1997-07-11T07:53:19Z</dcterms:created>
  <dcterms:modified xsi:type="dcterms:W3CDTF">2025-02-03T02:41:04Z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0x010100E9C9A0A944670C40B3577B9A3C159E6D</vt:lpwstr>
  </property>
  <property fmtid="{D5CDD505-2E9C-101B-9397-08002B2CF9AE}" pid="10" name="MediaServiceImageTags">
    <vt:lpwstr/>
  </property>
</Properties>
</file>