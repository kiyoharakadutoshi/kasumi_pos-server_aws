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438" documentId="13_ncr:1_{83417ED8-4D23-47BB-99B2-FB19FA0558F2}" xr6:coauthVersionLast="47" xr6:coauthVersionMax="47" xr10:uidLastSave="{22759EAA-ACE4-4CB1-B558-6FA7E5838763}"/>
  <bookViews>
    <workbookView xWindow="-108" yWindow="-108" windowWidth="23256" windowHeight="12576" tabRatio="789" activeTab="2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<sst xmlns="http://schemas.openxmlformats.org/spreadsheetml/2006/main" count="1654" uniqueCount="396">
  <si>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</si>
  <si>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</si>
  <si>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</si>
  <si>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</si>
  <si>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</si>
  <si>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</si>
  <si>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</si>
  <si>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</si>
  <si>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</si>
  <si>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</si>
  <si>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</si>
  <si>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</si>
  <si>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</si>
  <si>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</si>
  <si>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</si>
  <si>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</si>
  <si>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</si>
  <si>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</si>
  <si>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</si>
  <si>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</si>
  <si>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</si>
  <si>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</si>
  <si>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</si>
  <si>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</si>
  <si>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</si>
  <si>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</si>
  <si>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</si>
  <si>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</si>
  <si>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</si>
  <si>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</si>
  <si>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</si>
  <si>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</si>
  <si>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</si>
  <si>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</si>
  <si>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</si>
  <si>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</si>
  <si>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</si>
  <si>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</si>
  <si>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</si>
  <si>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</si>
  <si>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</si>
  <si>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</si>
  <si>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</si>
  <si>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</si>
  <si>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</si>
  <si>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</si>
  <si>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</si>
  <si>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</si>
  <si>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</si>
  <si>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</si>
  <si>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</si>
  <si>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</si>
  <si>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</si>
  <si>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</si>
  <si>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</si>
  <si>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</si>
  <si>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</si>
  <si>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</si>
  <si>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</si>
  <si>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</si>
  <si>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</si>
  <si>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</si>
  <si>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</si>
  <si>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</si>
  <si>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</si>
  <si>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</si>
  <si>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</si>
  <si>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</si>
  <si>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</si>
  <si>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</si>
  <si>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</si>
  <si>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</si>
  <si>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</si>
  <si>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</si>
  <si>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</si>
  <si>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</si>
  <si>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</si>
  <si>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</si>
  <si>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</si>
  <si>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</si>
  <si>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</si>
  <si>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</si>
  <si>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</si>
  <si>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</si>
  <si>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</si>
  <si>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</si>
  <si>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</si>
  <si>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</si>
  <si>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</si>
  <si>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</si>
  <si>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</si>
  <si>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</si>
  <si>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</si>
  <si>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</si>
  <si>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</si>
  <si>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</si>
  <si>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</si>
  <si>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</si>
  <si>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</si>
  <si>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</si>
  <si>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</si>
  <si>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</si>
  <si>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</si>
  <si>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</si>
  <si>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</si>
  <si>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</si>
  <si>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</si>
  <si>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</si>
  <si>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</si>
  <si>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</si>
  <si>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</si>
  <si>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</si>
  <si>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</si>
  <si>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</si>
  <si>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</si>
  <si>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</si>
  <si>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</si>
  <si>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</si>
  <si>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</si>
  <si>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</si>
  <si>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</si>
  <si>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</si>
  <si>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</si>
  <si>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</si>
  <si>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</si>
  <si>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</si>
  <si>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</si>
  <si>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</si>
  <si>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</si>
  <si>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</si>
  <si>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</si>
  <si>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</si>
  <si>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</si>
  <si>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</si>
  <si>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</si>
  <si>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</si>
  <si>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</si>
  <si>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</si>
  <si>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</si>
  <si>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</si>
  <si>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</si>
  <si>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</si>
  <si>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</si>
  <si>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</si>
  <si>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</si>
  <si>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</si>
  <si>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</si>
  <si>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</si>
  <si>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</si>
  <si>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</si>
  <si>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</si>
  <si>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</si>
  <si>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</si>
  <si>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</si>
  <si>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</si>
  <si>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</si>
  <si>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</si>
  <si>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</si>
  <si>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</si>
  <si>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</si>
  <si>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</si>
  <si>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</si>
  <si>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</si>
  <si>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</si>
  <si>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</si>
  <si>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</si>
  <si>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</si>
  <si>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</si>
  <si>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</si>
  <si>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</si>
  <si>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</si>
  <si>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</si>
  <si>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</si>
  <si>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</si>
  <si>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</si>
  <si>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</si>
  <si>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</si>
  <si>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</si>
  <si>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</si>
  <si>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</si>
  <si>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</si>
  <si>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</si>
  <si>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</si>
  <si>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</si>
  <si>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</si>
  <si>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</si>
  <si>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</si>
  <si>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</si>
  <si>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</si>
  <si>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</si>
  <si>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</si>
  <si>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</si>
  <si>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</si>
  <si>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</si>
  <si>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</si>
  <si>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</si>
  <si>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</si>
  <si>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</si>
  <si>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</si>
  <si>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</si>
  <si>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</si>
  <si>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</si>
  <si>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</si>
  <si>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</si>
  <si>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</si>
  <si>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</si>
  <si>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</si>
  <si>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</si>
  <si>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</si>
  <si>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</si>
  <si>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</si>
  <si>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</si>
  <si>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</si>
  <si>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</si>
  <si>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</si>
  <si>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</si>
  <si>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</si>
  <si>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</si>
  <si>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</si>
  <si>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</si>
  <si>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</si>
  <si>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</si>
  <si>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</si>
  <si>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</si>
  <si>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</si>
  <si>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</si>
  <si>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</si>
  <si>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</si>
  <si>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</si>
  <si>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</si>
  <si>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</si>
  <si>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</si>
  <si>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</si>
  <si>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</si>
  <si>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</si>
  <si>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</si>
  <si>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</si>
  <si>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</si>
  <si>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</si>
  <si>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</si>
  <si>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</si>
  <si>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</si>
  <si>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</si>
  <si>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</si>
  <si>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</si>
  <si>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</si>
  <si>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</si>
  <si>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</si>
  <si>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</si>
  <si>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</si>
  <si>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</si>
  <si>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</si>
  <si>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</si>
  <si>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</si>
  <si>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</si>
  <si>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</si>
  <si>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</si>
  <si>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</si>
  <si>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</si>
  <si>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</si>
  <si>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</si>
  <si>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</si>
  <si>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</si>
  <si>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</si>
  <si>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</si>
  <si>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</si>
  <si>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</si>
  <si>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</si>
  <si>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</si>
  <si>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</si>
  <si>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</si>
  <si>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</si>
  <si>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</si>
  <si>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</si>
  <si>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</si>
  <si>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</si>
  <si>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</si>
  <si>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</si>
  <si>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</si>
  <si>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</si>
  <si>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</si>
  <si>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</si>
  <si>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</si>
  <si>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</si>
  <si>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</si>
  <si>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</si>
  <si>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</si>
  <si>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</si>
  <si>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</si>
  <si>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</si>
  <si>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</si>
  <si>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</si>
  <si>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</si>
  <si>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</si>
  <si>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</si>
  <si>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</si>
  <si>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</si>
  <si>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</si>
  <si>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</si>
  <si>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</si>
  <si>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</si>
  <si>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</si>
  <si>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</si>
  <si>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</si>
  <si>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</si>
  <si>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</si>
  <si>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</si>
  <si>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</si>
  <si>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</si>
  <si>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</si>
  <si>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</si>
  <si>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</si>
  <si>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</si>
  <si>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</si>
  <si>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</si>
  <si>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</si>
  <si>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</si>
  <si>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</si>
  <si>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</si>
  <si>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</si>
  <si>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</si>
  <si>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</si>
  <si>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</si>
  <si>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</si>
  <si>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</si>
  <si>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</si>
  <si>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</si>
  <si>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</si>
  <si>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</si>
  <si>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</si>
  <si>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</si>
  <si>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</si>
  <si>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</si>
  <si>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</si>
  <si>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</si>
  <si>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</si>
  <si>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</si>
  <si>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</si>
  <si>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</si>
  <si>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</si>
  <si>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</si>
  <si>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</si>
  <si>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</si>
  <si>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</si>
  <si>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</si>
  <si>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</si>
  <si>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</si>
  <si>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</si>
  <si>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</si>
  <si>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</si>
  <si>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</si>
  <si>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</si>
  <si>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</si>
  <si>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</si>
  <si>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</si>
  <si>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</si>
  <si>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</si>
  <si>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</si>
  <si>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</si>
  <si>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</si>
  <si>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</si>
  <si>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</si>
  <si>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</si>
  <si>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</si>
  <si>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</si>
  <si>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</si>
  <si>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</si>
  <si>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</si>
  <si>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</si>
  <si>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</si>
  <si>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</si>
  <si>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</si>
  <si>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</si>
  <si>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</si>
  <si>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</si>
  <si>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</si>
  <si>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</si>
  <si>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</si>
  <si>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</si>
  <si>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</si>
  <si>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</si>
  <si>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</si>
  <si>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</si>
  <si>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</si>
  <si>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</si>
  <si>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</si>
  <si>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</si>
  <si>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</si>
  <si>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</si>
  <si>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</si>
  <si>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</si>
  <si>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</si>
  <si>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</si>
  <si>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2/3に再度確認</t>
    <rPh sb="4" eb="6">
      <t>サイド</t>
    </rPh>
    <rPh sb="6" eb="8">
      <t>カクニン</t>
    </rPh>
    <phoneticPr fontId="12"/>
  </si>
  <si>
    <t>ignicaPOS</t>
    <phoneticPr fontId="12"/>
  </si>
  <si>
    <t>ignicaの伝票No.が正しくない</t>
    <rPh sb="7" eb="9">
      <t>デンピョウ</t>
    </rPh>
    <rPh sb="13" eb="14">
      <t>タダ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</si>
</sst>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4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/>
  <cols>
    <col min="1" max="16384" width="12" style="5"/>
  </cols>
  <sheetData>
    <row r="3" spans="3:11" ht="15.6" thickBot="1"/>
    <row r="4" spans="3:11" ht="23.4" thickTop="1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>
      <c r="C5" s="8"/>
      <c r="K5" s="9"/>
    </row>
    <row r="6" spans="3:11">
      <c r="C6" s="8"/>
      <c r="K6" s="9"/>
    </row>
    <row r="7" spans="3:11" ht="35.4">
      <c r="C7" s="114" t="s">
        <v>1</v>
      </c>
      <c r="D7" s="115"/>
      <c r="E7" s="115"/>
      <c r="F7" s="115"/>
      <c r="G7" s="115"/>
      <c r="H7" s="115"/>
      <c r="I7" s="115"/>
      <c r="J7" s="115"/>
      <c r="K7" s="116"/>
    </row>
    <row r="8" spans="3:11" ht="15" customHeight="1">
      <c r="C8" s="16"/>
      <c r="D8" s="17"/>
      <c r="E8" s="17"/>
      <c r="F8" s="17"/>
      <c r="G8" s="17"/>
      <c r="H8" s="17"/>
      <c r="I8" s="17"/>
      <c r="J8" s="17"/>
      <c r="K8" s="18"/>
    </row>
    <row r="9" spans="3:11" ht="35.4">
      <c r="C9" s="111" t="s">
        <v>2</v>
      </c>
      <c r="D9" s="112"/>
      <c r="E9" s="112"/>
      <c r="F9" s="112"/>
      <c r="G9" s="112"/>
      <c r="H9" s="112"/>
      <c r="I9" s="112"/>
      <c r="J9" s="112"/>
      <c r="K9" s="113"/>
    </row>
    <row r="10" spans="3:11" ht="35.4">
      <c r="C10" s="111" t="s">
        <v>3</v>
      </c>
      <c r="D10" s="112"/>
      <c r="E10" s="112"/>
      <c r="F10" s="112"/>
      <c r="G10" s="112"/>
      <c r="H10" s="112"/>
      <c r="I10" s="112"/>
      <c r="J10" s="112"/>
      <c r="K10" s="113"/>
    </row>
    <row r="11" spans="3:11">
      <c r="C11" s="8"/>
      <c r="K11" s="9"/>
    </row>
    <row r="12" spans="3:11" ht="15" customHeight="1" thickBot="1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/>
    <row r="14" spans="3:11" ht="15" customHeight="1"/>
    <row r="15" spans="3:11" ht="15" customHeight="1"/>
    <row r="16" spans="3:11" ht="15" customHeight="1"/>
    <row r="17" spans="3:9" ht="15" customHeight="1"/>
    <row r="18" spans="3:9" ht="18.600000000000001">
      <c r="E18" s="117" t="s">
        <v>4</v>
      </c>
      <c r="F18" s="117"/>
      <c r="G18" s="117"/>
      <c r="H18" s="117"/>
      <c r="I18" s="117"/>
    </row>
    <row r="19" spans="3:9" ht="15" customHeight="1"/>
    <row r="20" spans="3:9" ht="15" customHeight="1"/>
    <row r="21" spans="3:9" ht="18.600000000000001">
      <c r="C21" s="10"/>
      <c r="F21" s="118" t="s">
        <v>5</v>
      </c>
      <c r="G21" s="118"/>
      <c r="H21" s="118"/>
    </row>
    <row r="22" spans="3:9" ht="15" customHeight="1">
      <c r="C22" s="10"/>
      <c r="F22" s="11"/>
      <c r="G22" s="11"/>
      <c r="H22" s="11"/>
    </row>
    <row r="23" spans="3:9" ht="15" customHeight="1">
      <c r="C23" s="10"/>
      <c r="F23" s="11"/>
    </row>
    <row r="24" spans="3:9" ht="15" customHeight="1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zoomScale="75" zoomScaleNormal="110" zoomScaleSheetLayoutView="75" workbookViewId="0">
      <pane ySplit="2" topLeftCell="A4" activePane="bottomLeft" state="frozen"/>
      <selection activeCell="B8" sqref="B8"/>
      <selection pane="bottomLeft" activeCell="P16" sqref="P16"/>
    </sheetView>
  </sheetViews>
  <sheetFormatPr defaultColWidth="9.375" defaultRowHeight="9" customHeight="1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7" t="s">
        <v>10</v>
      </c>
      <c r="F1" s="13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5"/>
      <c r="S1" s="138" t="s">
        <v>14</v>
      </c>
      <c r="T1" s="129" t="s">
        <v>15</v>
      </c>
      <c r="U1" s="129"/>
      <c r="V1" s="129"/>
      <c r="W1" s="119" t="s">
        <v>16</v>
      </c>
      <c r="X1" s="119" t="s">
        <v>17</v>
      </c>
    </row>
    <row r="2" spans="1:24" s="1" customFormat="1" ht="22.8">
      <c r="A2" s="122"/>
      <c r="B2" s="124"/>
      <c r="C2" s="126"/>
      <c r="D2" s="126"/>
      <c r="E2" s="128"/>
      <c r="F2" s="13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39"/>
      <c r="T2" s="71" t="s">
        <v>29</v>
      </c>
      <c r="U2" s="72" t="s">
        <v>30</v>
      </c>
      <c r="V2" s="73" t="s">
        <v>31</v>
      </c>
      <c r="W2" s="120"/>
      <c r="X2" s="120"/>
    </row>
    <row r="3" spans="1:24" ht="22.8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6"/>
      <c r="U7" s="27"/>
      <c r="V7" s="28">
        <v>45687</v>
      </c>
      <c r="W7" s="29"/>
      <c r="X7" s="30"/>
    </row>
    <row r="8" spans="1:24" ht="11.4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7"/>
      <c r="V8" s="28">
        <v>45687</v>
      </c>
      <c r="W8" s="29"/>
      <c r="X8" s="30"/>
    </row>
    <row r="9" spans="1:24" ht="11.4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7"/>
      <c r="V9" s="28">
        <v>45687</v>
      </c>
      <c r="W9" s="29"/>
      <c r="X9" s="30"/>
    </row>
    <row r="10" spans="1:24" ht="11.4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>
        <v>45688</v>
      </c>
      <c r="W15" s="29"/>
      <c r="X15" s="30"/>
    </row>
    <row r="16" spans="1:24" ht="11.4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>
        <v>45691</v>
      </c>
      <c r="T16" s="26"/>
      <c r="U16" s="27"/>
      <c r="V16" s="28">
        <v>45688</v>
      </c>
      <c r="W16" s="29"/>
      <c r="X16" s="30" t="s">
        <v>393</v>
      </c>
    </row>
    <row r="17" spans="1:24" ht="11.4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>
        <v>45691</v>
      </c>
      <c r="T17" s="26"/>
      <c r="U17" s="27"/>
      <c r="V17" s="28">
        <v>45688</v>
      </c>
      <c r="W17" s="29"/>
      <c r="X17" s="30" t="s">
        <v>393</v>
      </c>
    </row>
    <row r="18" spans="1:24" s="3" customFormat="1" ht="12" customHeight="1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8</v>
      </c>
      <c r="Q18" s="41">
        <f t="shared" si="2"/>
        <v>0</v>
      </c>
      <c r="R18" s="40">
        <f t="shared" si="2"/>
        <v>0</v>
      </c>
      <c r="S18" s="108"/>
      <c r="T18" s="140" t="s">
        <v>52</v>
      </c>
      <c r="U18" s="140"/>
      <c r="V18" s="141"/>
      <c r="W18" s="42" t="s">
        <v>53</v>
      </c>
      <c r="X18" s="43">
        <f>SUM(G18:R18)</f>
        <v>12</v>
      </c>
    </row>
    <row r="19" spans="1:24" s="3" customFormat="1" ht="12" customHeight="1">
      <c r="A19" s="44"/>
      <c r="B19" s="45" t="s">
        <v>54</v>
      </c>
      <c r="C19" s="46">
        <f>X20</f>
        <v>12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42"/>
      <c r="U19" s="142"/>
      <c r="V19" s="143"/>
      <c r="W19" s="52" t="s">
        <v>53</v>
      </c>
      <c r="X19" s="53">
        <f t="shared" ref="X19:X21" si="4">SUM(G19:R19)</f>
        <v>0</v>
      </c>
    </row>
    <row r="20" spans="1:24" s="3" customFormat="1" ht="12" customHeight="1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8</v>
      </c>
      <c r="Q20" s="51">
        <f t="shared" si="5"/>
        <v>0</v>
      </c>
      <c r="R20" s="50">
        <f t="shared" si="5"/>
        <v>0</v>
      </c>
      <c r="S20" s="136"/>
      <c r="T20" s="144">
        <f>COUNTA(T3:T17)</f>
        <v>3</v>
      </c>
      <c r="U20" s="146">
        <f>COUNTA(U3:U17)</f>
        <v>0</v>
      </c>
      <c r="V20" s="148">
        <f>COUNTA(V3:V17)</f>
        <v>10</v>
      </c>
      <c r="W20" s="58" t="s">
        <v>53</v>
      </c>
      <c r="X20" s="53">
        <f t="shared" si="4"/>
        <v>12</v>
      </c>
    </row>
    <row r="21" spans="1:24" s="3" customFormat="1" ht="12" customHeight="1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37"/>
      <c r="T21" s="145"/>
      <c r="U21" s="147"/>
      <c r="V21" s="149"/>
      <c r="W21" s="67" t="s">
        <v>53</v>
      </c>
      <c r="X21" s="68">
        <f t="shared" si="4"/>
        <v>15</v>
      </c>
    </row>
  </sheetData>
  <mergeCells count="17">
    <mergeCell ref="S20:S21"/>
    <mergeCell ref="S1:S2"/>
    <mergeCell ref="T18:V19"/>
    <mergeCell ref="W1:W2"/>
    <mergeCell ref="T20:T21"/>
    <mergeCell ref="U20:U21"/>
    <mergeCell ref="V20:V21"/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tabSelected="1" view="pageBreakPreview" topLeftCell="E1" zoomScaleNormal="110" zoomScaleSheetLayoutView="100" workbookViewId="0">
      <pane ySplit="2" topLeftCell="A3" activePane="bottomLeft" state="frozen"/>
      <selection activeCell="B8" sqref="B8"/>
      <selection pane="bottomLeft" activeCell="X14" sqref="X14"/>
    </sheetView>
  </sheetViews>
  <sheetFormatPr defaultColWidth="9.375" defaultRowHeight="9" customHeight="1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5" t="s">
        <v>10</v>
      </c>
      <c r="F1" s="15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5"/>
      <c r="S1" s="138" t="s">
        <v>14</v>
      </c>
      <c r="T1" s="129" t="s">
        <v>15</v>
      </c>
      <c r="U1" s="129"/>
      <c r="V1" s="129"/>
      <c r="W1" s="119" t="s">
        <v>16</v>
      </c>
      <c r="X1" s="69"/>
    </row>
    <row r="2" spans="1:24" s="1" customFormat="1" ht="18">
      <c r="A2" s="122"/>
      <c r="B2" s="124"/>
      <c r="C2" s="126"/>
      <c r="D2" s="126"/>
      <c r="E2" s="126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39"/>
      <c r="T2" s="71" t="s">
        <v>29</v>
      </c>
      <c r="U2" s="72" t="s">
        <v>30</v>
      </c>
      <c r="V2" s="73" t="s">
        <v>31</v>
      </c>
      <c r="W2" s="120"/>
      <c r="X2" s="70"/>
    </row>
    <row r="3" spans="1:24" ht="22.8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>
      <c r="A9" s="19">
        <f t="shared" si="0"/>
        <v>7</v>
      </c>
      <c r="B9" s="20" t="s">
        <v>394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>
        <v>45695</v>
      </c>
      <c r="V13" s="28"/>
      <c r="W13" s="29"/>
      <c r="X13" s="30" t="s">
        <v>395</v>
      </c>
    </row>
    <row r="14" spans="1:24" s="3" customFormat="1" ht="12" customHeight="1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40" t="s">
        <v>52</v>
      </c>
      <c r="U14" s="140"/>
      <c r="V14" s="141"/>
      <c r="W14" s="42" t="s">
        <v>53</v>
      </c>
      <c r="X14" s="43">
        <f>SUM(G14:R14)</f>
        <v>8</v>
      </c>
    </row>
    <row r="15" spans="1:24" s="3" customFormat="1" ht="12" customHeight="1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42"/>
      <c r="U15" s="142"/>
      <c r="V15" s="143"/>
      <c r="W15" s="52" t="s">
        <v>53</v>
      </c>
      <c r="X15" s="53">
        <f>SUM(G15:R15)</f>
        <v>0</v>
      </c>
    </row>
    <row r="16" spans="1:24" s="3" customFormat="1" ht="12" customHeight="1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36"/>
      <c r="T16" s="144">
        <f>COUNTA(T3:T13)</f>
        <v>8</v>
      </c>
      <c r="U16" s="146">
        <f>COUNTA(U3:U13)</f>
        <v>1</v>
      </c>
      <c r="V16" s="148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37"/>
      <c r="T17" s="145"/>
      <c r="U17" s="147"/>
      <c r="V17" s="149"/>
      <c r="W17" s="67" t="s">
        <v>53</v>
      </c>
      <c r="X17" s="68">
        <f>SUM(G17:R17)</f>
        <v>9</v>
      </c>
    </row>
  </sheetData>
  <mergeCells count="16">
    <mergeCell ref="T16:T17"/>
    <mergeCell ref="U16:U17"/>
    <mergeCell ref="V16:V17"/>
    <mergeCell ref="F1:F2"/>
    <mergeCell ref="G1:J1"/>
    <mergeCell ref="K1:R1"/>
    <mergeCell ref="T1:V1"/>
    <mergeCell ref="S16:S17"/>
    <mergeCell ref="S1:S2"/>
    <mergeCell ref="W1:W2"/>
    <mergeCell ref="T14:V1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topLeftCell="D1" zoomScaleNormal="110" zoomScaleSheetLayoutView="100" workbookViewId="0">
      <pane ySplit="2" topLeftCell="A3" activePane="bottomLeft" state="frozen"/>
      <selection activeCell="B8" sqref="B8"/>
      <selection pane="bottomLeft" activeCell="E26" sqref="E26"/>
    </sheetView>
  </sheetViews>
  <sheetFormatPr defaultColWidth="9.375" defaultRowHeight="9" customHeight="1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5" t="s">
        <v>10</v>
      </c>
      <c r="F1" s="15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8" t="s">
        <v>14</v>
      </c>
      <c r="S1" s="129" t="s">
        <v>15</v>
      </c>
      <c r="T1" s="129"/>
      <c r="U1" s="129"/>
      <c r="V1" s="119" t="s">
        <v>16</v>
      </c>
      <c r="W1" s="69"/>
    </row>
    <row r="2" spans="1:23" s="1" customFormat="1" ht="15" customHeight="1">
      <c r="A2" s="122"/>
      <c r="B2" s="124"/>
      <c r="C2" s="126"/>
      <c r="D2" s="126"/>
      <c r="E2" s="126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9"/>
      <c r="S2" s="71" t="s">
        <v>29</v>
      </c>
      <c r="T2" s="72" t="s">
        <v>30</v>
      </c>
      <c r="U2" s="73" t="s">
        <v>31</v>
      </c>
      <c r="V2" s="120"/>
      <c r="W2" s="70"/>
    </row>
    <row r="3" spans="1:23" ht="22.8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/>
      <c r="S9" s="26">
        <v>45694</v>
      </c>
      <c r="T9" s="27"/>
      <c r="U9" s="28"/>
      <c r="V9" s="29"/>
      <c r="W9" s="30"/>
    </row>
    <row r="10" spans="1:23" s="3" customFormat="1" ht="12" customHeight="1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1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3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40" t="s">
        <v>52</v>
      </c>
      <c r="T10" s="140"/>
      <c r="U10" s="141"/>
      <c r="V10" s="42" t="s">
        <v>53</v>
      </c>
      <c r="W10" s="43">
        <f>SUM(G10:Q10)</f>
        <v>4</v>
      </c>
    </row>
    <row r="11" spans="1:23" s="3" customFormat="1" ht="12" customHeight="1">
      <c r="A11" s="44"/>
      <c r="B11" s="45" t="s">
        <v>54</v>
      </c>
      <c r="C11" s="46">
        <f>W12</f>
        <v>4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42"/>
      <c r="T11" s="142"/>
      <c r="U11" s="143"/>
      <c r="V11" s="52" t="s">
        <v>53</v>
      </c>
      <c r="W11" s="53">
        <f t="shared" ref="W11:W13" si="5">SUM(G11:Q11)</f>
        <v>0</v>
      </c>
    </row>
    <row r="12" spans="1:23" s="3" customFormat="1" ht="12" customHeight="1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1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3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36"/>
      <c r="S12" s="144">
        <f>COUNTA(S3:S9)</f>
        <v>5</v>
      </c>
      <c r="T12" s="146">
        <f>COUNTA(T3:T9)</f>
        <v>0</v>
      </c>
      <c r="U12" s="148">
        <f>COUNTA(U3:U9)</f>
        <v>0</v>
      </c>
      <c r="V12" s="58" t="s">
        <v>53</v>
      </c>
      <c r="W12" s="53">
        <f t="shared" si="5"/>
        <v>4</v>
      </c>
    </row>
    <row r="13" spans="1:23" s="3" customFormat="1" ht="12" customHeight="1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37"/>
      <c r="S13" s="145"/>
      <c r="T13" s="147"/>
      <c r="U13" s="149"/>
      <c r="V13" s="67" t="s">
        <v>53</v>
      </c>
      <c r="W13" s="68">
        <f t="shared" si="5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5" t="s">
        <v>10</v>
      </c>
      <c r="F1" s="15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8" t="s">
        <v>14</v>
      </c>
      <c r="S1" s="129" t="s">
        <v>15</v>
      </c>
      <c r="T1" s="129"/>
      <c r="U1" s="129"/>
      <c r="V1" s="119" t="s">
        <v>16</v>
      </c>
      <c r="W1" s="69"/>
    </row>
    <row r="2" spans="1:23" s="1" customFormat="1" ht="15" customHeight="1">
      <c r="A2" s="122"/>
      <c r="B2" s="124"/>
      <c r="C2" s="126"/>
      <c r="D2" s="126"/>
      <c r="E2" s="126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9"/>
      <c r="S2" s="71" t="s">
        <v>29</v>
      </c>
      <c r="T2" s="72" t="s">
        <v>30</v>
      </c>
      <c r="U2" s="73" t="s">
        <v>31</v>
      </c>
      <c r="V2" s="120"/>
      <c r="W2" s="70"/>
    </row>
    <row r="3" spans="1:23" ht="22.8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40" t="s">
        <v>52</v>
      </c>
      <c r="T10" s="140"/>
      <c r="U10" s="141"/>
      <c r="V10" s="42" t="s">
        <v>53</v>
      </c>
      <c r="W10" s="43">
        <f>SUM(G10:Q10)</f>
        <v>0</v>
      </c>
    </row>
    <row r="11" spans="1:23" s="3" customFormat="1" ht="12" customHeight="1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42"/>
      <c r="T11" s="142"/>
      <c r="U11" s="143"/>
      <c r="V11" s="52" t="s">
        <v>53</v>
      </c>
      <c r="W11" s="53">
        <f t="shared" ref="W11:W13" si="7">SUM(G11:Q11)</f>
        <v>0</v>
      </c>
    </row>
    <row r="12" spans="1:23" s="3" customFormat="1" ht="12" customHeight="1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2"/>
      <c r="S12" s="152">
        <f>COUNTA(S3:S9)</f>
        <v>0</v>
      </c>
      <c r="T12" s="146">
        <f>COUNTA(T3:T9)</f>
        <v>0</v>
      </c>
      <c r="U12" s="148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3"/>
      <c r="S13" s="153"/>
      <c r="T13" s="147"/>
      <c r="U13" s="149"/>
      <c r="V13" s="67" t="s">
        <v>53</v>
      </c>
      <c r="W13" s="68">
        <f t="shared" si="7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view="pageBreakPreview" zoomScale="98" zoomScaleNormal="110" zoomScaleSheetLayoutView="98" workbookViewId="0">
      <pane ySplit="2" topLeftCell="A85" activePane="bottomLeft" state="frozen"/>
      <selection activeCell="B8" sqref="B8"/>
      <selection pane="bottomLeft" activeCell="S38" activeCellId="16" sqref="S19 S23 S24 S25 S26 S27 S28 S29 S30 S31 S32 S33 S34 S35 S36 S37 S38"/>
    </sheetView>
  </sheetViews>
  <sheetFormatPr defaultColWidth="9.375" defaultRowHeight="9" customHeight="1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5" t="s">
        <v>10</v>
      </c>
      <c r="F1" s="15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8" t="s">
        <v>14</v>
      </c>
      <c r="S1" s="129" t="s">
        <v>15</v>
      </c>
      <c r="T1" s="129"/>
      <c r="U1" s="129"/>
      <c r="V1" s="119" t="s">
        <v>16</v>
      </c>
      <c r="W1" s="69"/>
    </row>
    <row r="2" spans="1:24" s="1" customFormat="1" ht="15" customHeight="1">
      <c r="A2" s="122"/>
      <c r="B2" s="124"/>
      <c r="C2" s="126"/>
      <c r="D2" s="126"/>
      <c r="E2" s="126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9"/>
      <c r="S2" s="71" t="s">
        <v>29</v>
      </c>
      <c r="T2" s="72" t="s">
        <v>30</v>
      </c>
      <c r="U2" s="73" t="s">
        <v>31</v>
      </c>
      <c r="V2" s="120"/>
      <c r="W2" s="70"/>
    </row>
    <row r="3" spans="1:24" ht="22.8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162</v>
      </c>
    </row>
    <row r="41" spans="1:23" ht="22.8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113</v>
      </c>
      <c r="X53" s="110" t="s">
        <v>383</v>
      </c>
    </row>
    <row r="54" spans="1:24" ht="11.4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162</v>
      </c>
    </row>
    <row r="79" spans="1:23" ht="22.8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48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40" t="s">
        <v>52</v>
      </c>
      <c r="T115" s="140"/>
      <c r="U115" s="141"/>
      <c r="V115" s="42" t="s">
        <v>53</v>
      </c>
      <c r="W115" s="43">
        <f>SUM(G115:Q115)</f>
        <v>50</v>
      </c>
    </row>
    <row r="116" spans="1:23" s="3" customFormat="1" ht="12" customHeight="1">
      <c r="A116" s="44"/>
      <c r="B116" s="45" t="s">
        <v>54</v>
      </c>
      <c r="C116" s="46">
        <f>W117</f>
        <v>50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42"/>
      <c r="T116" s="142"/>
      <c r="U116" s="143"/>
      <c r="V116" s="52" t="s">
        <v>53</v>
      </c>
      <c r="W116" s="53">
        <f t="shared" ref="W116:W118" si="5">SUM(G116:Q116)</f>
        <v>0</v>
      </c>
    </row>
    <row r="117" spans="1:23" s="3" customFormat="1" ht="12" customHeight="1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48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36"/>
      <c r="S117" s="144">
        <f>COUNTA(S3:S114)</f>
        <v>72</v>
      </c>
      <c r="T117" s="146">
        <f>COUNTA(T3:T114)</f>
        <v>0</v>
      </c>
      <c r="U117" s="148">
        <f>COUNTA(U3:U114)</f>
        <v>0</v>
      </c>
      <c r="V117" s="58" t="s">
        <v>53</v>
      </c>
      <c r="W117" s="53">
        <f t="shared" si="5"/>
        <v>50</v>
      </c>
    </row>
    <row r="118" spans="1:23" s="3" customFormat="1" ht="12" customHeight="1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37"/>
      <c r="S118" s="145"/>
      <c r="T118" s="147"/>
      <c r="U118" s="149"/>
      <c r="V118" s="67" t="s">
        <v>53</v>
      </c>
      <c r="W118" s="68">
        <f t="shared" si="5"/>
        <v>110</v>
      </c>
    </row>
  </sheetData>
  <mergeCells count="16"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  <mergeCell ref="V1:V2"/>
    <mergeCell ref="S115:U116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64" activePane="bottomLeft" state="frozen"/>
      <selection activeCell="B8" sqref="B8"/>
      <selection pane="bottomLeft" activeCell="W80" sqref="W80"/>
    </sheetView>
  </sheetViews>
  <sheetFormatPr defaultColWidth="9.375" defaultRowHeight="9" customHeight="1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>
      <c r="A1" s="121" t="s">
        <v>6</v>
      </c>
      <c r="B1" s="123" t="s">
        <v>7</v>
      </c>
      <c r="C1" s="125" t="s">
        <v>8</v>
      </c>
      <c r="D1" s="125" t="s">
        <v>9</v>
      </c>
      <c r="E1" s="125" t="s">
        <v>10</v>
      </c>
      <c r="F1" s="150" t="s">
        <v>11</v>
      </c>
      <c r="G1" s="129" t="s">
        <v>12</v>
      </c>
      <c r="H1" s="129"/>
      <c r="I1" s="129"/>
      <c r="J1" s="132"/>
      <c r="K1" s="133" t="s">
        <v>13</v>
      </c>
      <c r="L1" s="134"/>
      <c r="M1" s="134"/>
      <c r="N1" s="135"/>
      <c r="O1" s="135"/>
      <c r="P1" s="135"/>
      <c r="Q1" s="135"/>
      <c r="R1" s="138" t="s">
        <v>14</v>
      </c>
      <c r="S1" s="129" t="s">
        <v>15</v>
      </c>
      <c r="T1" s="129"/>
      <c r="U1" s="129"/>
      <c r="V1" s="119" t="s">
        <v>16</v>
      </c>
      <c r="W1" s="69"/>
    </row>
    <row r="2" spans="1:23" s="1" customFormat="1" ht="15" customHeight="1">
      <c r="A2" s="122"/>
      <c r="B2" s="124"/>
      <c r="C2" s="126"/>
      <c r="D2" s="126"/>
      <c r="E2" s="126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39"/>
      <c r="S2" s="71" t="s">
        <v>29</v>
      </c>
      <c r="T2" s="72" t="s">
        <v>30</v>
      </c>
      <c r="U2" s="73" t="s">
        <v>31</v>
      </c>
      <c r="V2" s="120"/>
      <c r="W2" s="70"/>
    </row>
    <row r="3" spans="1:23" ht="22.8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391</v>
      </c>
      <c r="M85" s="23"/>
      <c r="N85" s="25"/>
      <c r="O85" s="25"/>
      <c r="P85" s="25"/>
      <c r="Q85" s="24"/>
      <c r="R85" s="106">
        <v>45325</v>
      </c>
      <c r="S85" s="26">
        <v>45695</v>
      </c>
      <c r="T85" s="27"/>
      <c r="U85" s="28"/>
      <c r="V85" s="29"/>
      <c r="W85" s="30"/>
    </row>
    <row r="86" spans="1:23" ht="11.4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391</v>
      </c>
      <c r="M87" s="23"/>
      <c r="N87" s="25"/>
      <c r="O87" s="25"/>
      <c r="P87" s="25"/>
      <c r="Q87" s="24"/>
      <c r="R87" s="106">
        <v>45325</v>
      </c>
      <c r="S87" s="26">
        <v>45695</v>
      </c>
      <c r="T87" s="27"/>
      <c r="U87" s="28"/>
      <c r="V87" s="29"/>
      <c r="W87" s="30"/>
    </row>
    <row r="88" spans="1:23" ht="11.4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391</v>
      </c>
      <c r="M88" s="23"/>
      <c r="N88" s="25"/>
      <c r="O88" s="25"/>
      <c r="P88" s="25"/>
      <c r="Q88" s="24"/>
      <c r="R88" s="106">
        <v>45325</v>
      </c>
      <c r="S88" s="26">
        <v>45695</v>
      </c>
      <c r="T88" s="27"/>
      <c r="U88" s="28"/>
      <c r="V88" s="29"/>
      <c r="W88" s="30"/>
    </row>
    <row r="89" spans="1:23" ht="11.4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391</v>
      </c>
      <c r="M90" s="23"/>
      <c r="N90" s="25"/>
      <c r="O90" s="25"/>
      <c r="P90" s="25"/>
      <c r="Q90" s="24"/>
      <c r="R90" s="106">
        <v>45325</v>
      </c>
      <c r="S90" s="26">
        <v>45695</v>
      </c>
      <c r="T90" s="27"/>
      <c r="U90" s="28"/>
      <c r="V90" s="29"/>
      <c r="W90" s="30"/>
    </row>
    <row r="91" spans="1:23" ht="11.4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391</v>
      </c>
      <c r="M91" s="23"/>
      <c r="N91" s="25"/>
      <c r="O91" s="25"/>
      <c r="P91" s="25"/>
      <c r="Q91" s="24"/>
      <c r="R91" s="106">
        <v>45325</v>
      </c>
      <c r="S91" s="26">
        <v>45695</v>
      </c>
      <c r="T91" s="27"/>
      <c r="U91" s="28"/>
      <c r="V91" s="29"/>
      <c r="W91" s="30"/>
    </row>
    <row r="92" spans="1:23" ht="11.4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87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40" t="s">
        <v>52</v>
      </c>
      <c r="T94" s="140"/>
      <c r="U94" s="141"/>
      <c r="V94" s="42" t="s">
        <v>53</v>
      </c>
      <c r="W94" s="43">
        <f>SUM(G94:Q94)</f>
        <v>89</v>
      </c>
    </row>
    <row r="95" spans="1:23" s="3" customFormat="1" ht="12" customHeight="1">
      <c r="A95" s="44"/>
      <c r="B95" s="45" t="s">
        <v>54</v>
      </c>
      <c r="C95" s="46">
        <f>W96</f>
        <v>89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42"/>
      <c r="T95" s="142"/>
      <c r="U95" s="143"/>
      <c r="V95" s="52" t="s">
        <v>53</v>
      </c>
      <c r="W95" s="53">
        <f t="shared" ref="W95:W97" si="7">SUM(G95:Q95)</f>
        <v>0</v>
      </c>
    </row>
    <row r="96" spans="1:23" s="3" customFormat="1" ht="12" customHeight="1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87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36"/>
      <c r="S96" s="144">
        <f>COUNTA(S3:S91)</f>
        <v>87</v>
      </c>
      <c r="T96" s="146">
        <f>COUNTA(T3:T91)</f>
        <v>0</v>
      </c>
      <c r="U96" s="148">
        <f>COUNTA(U3:U91)</f>
        <v>0</v>
      </c>
      <c r="V96" s="58" t="s">
        <v>53</v>
      </c>
      <c r="W96" s="53">
        <f t="shared" si="7"/>
        <v>89</v>
      </c>
    </row>
    <row r="97" spans="1:23" s="3" customFormat="1" ht="12" customHeight="1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37"/>
      <c r="S97" s="145"/>
      <c r="T97" s="147"/>
      <c r="U97" s="149"/>
      <c r="V97" s="67" t="s">
        <v>53</v>
      </c>
      <c r="W97" s="68">
        <f t="shared" si="7"/>
        <v>89</v>
      </c>
    </row>
  </sheetData>
  <mergeCells count="16">
    <mergeCell ref="S96:S97"/>
    <mergeCell ref="T96:T97"/>
    <mergeCell ref="U96:U97"/>
    <mergeCell ref="F1:F2"/>
    <mergeCell ref="G1:J1"/>
    <mergeCell ref="K1:Q1"/>
    <mergeCell ref="S1:U1"/>
    <mergeCell ref="R96:R97"/>
    <mergeCell ref="R1:R2"/>
    <mergeCell ref="V1:V2"/>
    <mergeCell ref="S94:U9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>
      <c r="B2" s="77" t="s">
        <v>232</v>
      </c>
    </row>
    <row r="4" spans="2:33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>
      <c r="AC35" s="81"/>
      <c r="AF35" s="77" t="s">
        <v>356</v>
      </c>
      <c r="AG35" s="82"/>
    </row>
    <row r="36" spans="2:33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>
      <c r="AC40" s="81" t="s">
        <v>370</v>
      </c>
      <c r="AE40" s="77" t="s">
        <v>261</v>
      </c>
      <c r="AF40" s="77" t="s">
        <v>251</v>
      </c>
      <c r="AG40" s="82"/>
    </row>
    <row r="41" spans="2:33">
      <c r="AC41" s="81" t="s">
        <v>371</v>
      </c>
      <c r="AE41" s="77" t="s">
        <v>261</v>
      </c>
      <c r="AF41" s="77" t="s">
        <v>272</v>
      </c>
      <c r="AG41" s="82"/>
    </row>
    <row r="42" spans="2:33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36C053B-41CB-43AB-8087-549E61F85B79}"/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B1A985-4E3A-417E-9A69-802E3198C712}">
  <ds:schemaRefs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e85bf11c-610f-4c75-b4c1-3f2e492bcdf6"/>
    <ds:schemaRef ds:uri="http://purl.org/dc/terms/"/>
    <ds:schemaRef ds:uri="http://schemas.microsoft.com/office/2006/metadata/properties"/>
    <ds:schemaRef ds:uri="http://schemas.openxmlformats.org/package/2006/metadata/core-properties"/>
    <ds:schemaRef ds:uri="55b7a9d6-bcaa-4a9d-b1c7-8801531a7bf3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Fujimura, Hitoshi/藤村 均</cp:lastModifiedBy>
  <cp:revision/>
  <dcterms:created xsi:type="dcterms:W3CDTF">1997-07-11T07:53:19Z</dcterms:created>
  <dcterms:modified xsi:type="dcterms:W3CDTF">2025-02-07T07:33:35Z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