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506" documentId="13_ncr:1_{83417ED8-4D23-47BB-99B2-FB19FA0558F2}" xr6:coauthVersionLast="47" xr6:coauthVersionMax="47" xr10:uidLastSave="{09FF540C-DF1D-4C07-987C-C684F2E4D5A6}"/>
  <bookViews>
    <workbookView xWindow="228" yWindow="348" windowWidth="22788" windowHeight="11940" tabRatio="789" activeTab="5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<sst xmlns="http://schemas.openxmlformats.org/spreadsheetml/2006/main" count="1690" uniqueCount="431">
  <si>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</si>
  <si>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</si>
  <si>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</si>
  <si>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</si>
  <si>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</si>
  <si>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</si>
  <si>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</si>
  <si>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</si>
  <si>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</si>
  <si>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</si>
  <si>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</si>
  <si>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</si>
  <si>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</si>
  <si>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</si>
  <si>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</si>
  <si>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</si>
  <si>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</si>
  <si>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</si>
  <si>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</si>
  <si>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</si>
  <si>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</si>
  <si>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</si>
  <si>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</si>
  <si>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</si>
  <si>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</si>
  <si>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</si>
  <si>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</si>
  <si>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</si>
  <si>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</si>
  <si>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</si>
  <si>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</si>
  <si>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</si>
  <si>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</si>
  <si>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</si>
  <si>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</si>
  <si>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</si>
  <si>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</si>
  <si>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</si>
  <si>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</si>
  <si>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</si>
  <si>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</si>
  <si>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</si>
  <si>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</si>
  <si>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</si>
  <si>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</si>
  <si>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</si>
  <si>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</si>
  <si>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</si>
  <si>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</si>
  <si>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</si>
  <si>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</si>
  <si>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</si>
  <si>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</si>
  <si>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</si>
  <si>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</si>
  <si>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</si>
  <si>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</si>
  <si>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</si>
  <si>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</si>
  <si>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</si>
  <si>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</si>
  <si>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</si>
  <si>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</si>
  <si>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</si>
  <si>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</si>
  <si>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</si>
  <si>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</si>
  <si>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</si>
  <si>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</si>
  <si>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</si>
  <si>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</si>
  <si>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</si>
  <si>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</si>
  <si>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</si>
  <si>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</si>
  <si>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</si>
  <si>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</si>
  <si>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</si>
  <si>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</si>
  <si>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</si>
  <si>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</si>
  <si>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</si>
  <si>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</si>
  <si>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</si>
  <si>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</si>
  <si>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</si>
  <si>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</si>
  <si>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</si>
  <si>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</si>
  <si>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</si>
  <si>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</si>
  <si>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</si>
  <si>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</si>
  <si>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</si>
  <si>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</si>
  <si>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</si>
  <si>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</si>
  <si>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</si>
  <si>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</si>
  <si>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</si>
  <si>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</si>
  <si>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</si>
  <si>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</si>
  <si>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</si>
  <si>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</si>
  <si>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</si>
  <si>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</si>
  <si>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</si>
  <si>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</si>
  <si>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</si>
  <si>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</si>
  <si>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</si>
  <si>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</si>
  <si>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</si>
  <si>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</si>
  <si>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</si>
  <si>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</si>
  <si>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</si>
  <si>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</si>
  <si>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</si>
  <si>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</si>
  <si>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</si>
  <si>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</si>
  <si>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</si>
  <si>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</si>
  <si>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</si>
  <si>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</si>
  <si>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</si>
  <si>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</si>
  <si>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</si>
  <si>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</si>
  <si>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</si>
  <si>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</si>
  <si>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</si>
  <si>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</si>
  <si>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</si>
  <si>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</si>
  <si>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</si>
  <si>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</si>
  <si>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</si>
  <si>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</si>
  <si>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</si>
  <si>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</si>
  <si>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</si>
  <si>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</si>
  <si>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</si>
  <si>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</si>
  <si>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</si>
  <si>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</si>
  <si>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</si>
  <si>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</si>
  <si>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</si>
  <si>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</si>
  <si>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</si>
  <si>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</si>
  <si>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</si>
  <si>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</si>
  <si>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</si>
  <si>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</si>
  <si>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</si>
  <si>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</si>
  <si>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</si>
  <si>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</si>
  <si>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</si>
  <si>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</si>
  <si>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</si>
  <si>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</si>
  <si>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</si>
  <si>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</si>
  <si>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</si>
  <si>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</si>
  <si>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</si>
  <si>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</si>
  <si>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</si>
  <si>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</si>
  <si>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</si>
  <si>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</si>
  <si>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</si>
  <si>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</si>
  <si>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</si>
  <si>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</si>
  <si>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</si>
  <si>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</si>
  <si>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</si>
  <si>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</si>
  <si>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</si>
  <si>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</si>
  <si>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</si>
  <si>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</si>
  <si>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</si>
  <si>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</si>
  <si>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</si>
  <si>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</si>
  <si>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</si>
  <si>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</si>
  <si>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</si>
  <si>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</si>
  <si>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</si>
  <si>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</si>
  <si>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</si>
  <si>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</si>
  <si>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</si>
  <si>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</si>
  <si>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</si>
  <si>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</si>
  <si>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</si>
  <si>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</si>
  <si>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</si>
  <si>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</si>
  <si>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</si>
  <si>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</si>
  <si>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</si>
  <si>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</si>
  <si>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</si>
  <si>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</si>
  <si>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</si>
  <si>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</si>
  <si>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</si>
  <si>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</si>
  <si>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</si>
  <si>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</si>
  <si>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</si>
  <si>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</si>
  <si>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</si>
  <si>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</si>
  <si>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</si>
  <si>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</si>
  <si>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</si>
  <si>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</si>
  <si>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</si>
  <si>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</si>
  <si>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</si>
  <si>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</si>
  <si>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</si>
  <si>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</si>
  <si>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</si>
  <si>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</si>
  <si>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</si>
  <si>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</si>
  <si>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</si>
  <si>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</si>
  <si>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</si>
  <si>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</si>
  <si>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</si>
  <si>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</si>
  <si>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</si>
  <si>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</si>
  <si>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</si>
  <si>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</si>
  <si>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</si>
  <si>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</si>
  <si>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</si>
  <si>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</si>
  <si>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</si>
  <si>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</si>
  <si>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</si>
  <si>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</si>
  <si>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</si>
  <si>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</si>
  <si>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</si>
  <si>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</si>
  <si>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</si>
  <si>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</si>
  <si>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</si>
  <si>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</si>
  <si>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</si>
  <si>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</si>
  <si>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</si>
  <si>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</si>
  <si>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</si>
  <si>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</si>
  <si>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</si>
  <si>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</si>
  <si>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</si>
  <si>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</si>
  <si>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</si>
  <si>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</si>
  <si>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</si>
  <si>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</si>
  <si>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</si>
  <si>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</si>
  <si>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</si>
  <si>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</si>
  <si>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</si>
  <si>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</si>
  <si>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</si>
  <si>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</si>
  <si>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</si>
  <si>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</si>
  <si>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</si>
  <si>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</si>
  <si>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</si>
  <si>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</si>
  <si>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</si>
  <si>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</si>
  <si>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</si>
  <si>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</si>
  <si>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</si>
  <si>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</si>
  <si>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</si>
  <si>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</si>
  <si>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</si>
  <si>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</si>
  <si>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</si>
  <si>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</si>
  <si>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</si>
  <si>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</si>
  <si>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</si>
  <si>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</si>
  <si>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</si>
  <si>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</si>
  <si>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</si>
  <si>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</si>
  <si>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</si>
  <si>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</si>
  <si>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</si>
  <si>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</si>
  <si>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</si>
  <si>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</si>
  <si>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</si>
  <si>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</si>
  <si>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</si>
  <si>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</si>
  <si>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</si>
  <si>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</si>
  <si>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</si>
  <si>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</si>
  <si>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</si>
  <si>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</si>
  <si>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</si>
  <si>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</si>
  <si>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</si>
  <si>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</si>
  <si>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</si>
  <si>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</si>
  <si>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</si>
  <si>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</si>
  <si>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</si>
  <si>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</si>
  <si>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</si>
  <si>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</si>
  <si>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</si>
  <si>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</si>
  <si>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</si>
  <si>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</si>
  <si>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</si>
  <si>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</si>
  <si>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</si>
  <si>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</si>
  <si>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</si>
  <si>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</si>
  <si>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</si>
  <si>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</si>
  <si>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</si>
  <si>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</si>
  <si>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</si>
  <si>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</si>
  <si>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</si>
  <si>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</si>
  <si>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</si>
  <si>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</si>
  <si>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</si>
  <si>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</si>
  <si>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</si>
  <si>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</si>
  <si>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</si>
  <si>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</si>
  <si>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</si>
  <si>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</si>
  <si>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</si>
  <si>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</si>
  <si>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</si>
  <si>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</si>
  <si>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</si>
  <si>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</si>
  <si>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</si>
  <si>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</si>
  <si>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</si>
  <si>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</si>
  <si>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</si>
  <si>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</si>
  <si>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</si>
  <si>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</si>
  <si>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</si>
  <si>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</si>
  <si>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</si>
  <si>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</si>
  <si>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</si>
  <si>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</si>
  <si>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</si>
  <si>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</si>
  <si>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</si>
  <si>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</si>
  <si>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2/3に再度確認</t>
    <rPh sb="4" eb="6">
      <t>サイド</t>
    </rPh>
    <rPh sb="6" eb="8">
      <t>カクニン</t>
    </rPh>
    <phoneticPr fontId="12"/>
  </si>
  <si>
    <t>ignicaPOS</t>
    <phoneticPr fontId="12"/>
  </si>
  <si>
    <t>ignicaの伝票No.が正しくない</t>
    <rPh sb="7" eb="9">
      <t>デンピョウ</t>
    </rPh>
    <rPh sb="13" eb="14">
      <t>タダ</t>
    </rPh>
    <phoneticPr fontId="12"/>
  </si>
  <si>
    <t>CTKY_CCR_TRN_TM_COM</t>
    <phoneticPr fontId="12"/>
  </si>
  <si>
    <t>CTKY_CCR_TRN_TM_SALE_ALL</t>
    <phoneticPr fontId="12"/>
  </si>
  <si>
    <t>CTKY_CCR_TRN_TM_SALE</t>
    <phoneticPr fontId="12"/>
  </si>
  <si>
    <t>CTKY_CCR_BMN_TM_DISC</t>
    <phoneticPr fontId="12"/>
  </si>
  <si>
    <t>CTKY_CCR_BMN_TM_COM</t>
    <phoneticPr fontId="12"/>
  </si>
  <si>
    <t>CTKY_CCR_PLU_TM_SALE_ALL</t>
    <phoneticPr fontId="12"/>
  </si>
  <si>
    <t>CTKY_CCR_BMN_TM_SALE_ALL</t>
    <phoneticPr fontId="12"/>
  </si>
  <si>
    <t>CTKY_CCR_TRN_TM_COM_ALL</t>
    <phoneticPr fontId="12"/>
  </si>
  <si>
    <t>CTKY_CCR_PLU_TM_DISC_ALL</t>
    <phoneticPr fontId="12"/>
  </si>
  <si>
    <t>CTKY_CCR_BMN_TM_DISC_ALL</t>
    <phoneticPr fontId="12"/>
  </si>
  <si>
    <t>CTKY_CCR_BMN_TM_COM_ALL</t>
    <phoneticPr fontId="12"/>
  </si>
  <si>
    <t>ALL_TRANSACTION.DAT</t>
    <phoneticPr fontId="12"/>
  </si>
  <si>
    <t>SLSMIO</t>
    <phoneticPr fontId="12"/>
  </si>
  <si>
    <t>EVNTDTLLOG</t>
    <phoneticPr fontId="12"/>
  </si>
  <si>
    <t>RPTSLSSTOR</t>
    <phoneticPr fontId="12"/>
  </si>
  <si>
    <t>RPTSLSDPT</t>
    <phoneticPr fontId="12"/>
  </si>
  <si>
    <t>ACTREGI</t>
    <phoneticPr fontId="12"/>
  </si>
  <si>
    <t>CTKY_ITEM_ADD_DATA.txt</t>
    <phoneticPr fontId="12"/>
  </si>
  <si>
    <t>CR_TRAN.DAT</t>
    <phoneticPr fontId="12"/>
  </si>
  <si>
    <t>SLSITEMDAY</t>
    <phoneticPr fontId="12"/>
  </si>
  <si>
    <t>Txt_PluTmPr60.txt</t>
    <phoneticPr fontId="12"/>
  </si>
  <si>
    <r>
      <t xml:space="preserve">CTKY_CCR_PLU_TM_SALE
</t>
    </r>
    <r>
      <rPr>
        <sz val="8"/>
        <color rgb="FFFF0000"/>
        <rFont val="Meiryo UI"/>
        <family val="3"/>
        <charset val="128"/>
      </rPr>
      <t>ignica：企画コード未設定、単品の税額が１円違う</t>
    </r>
    <rPh sb="28" eb="30">
      <t>キカク</t>
    </rPh>
    <rPh sb="33" eb="36">
      <t>ミセッテイ</t>
    </rPh>
    <rPh sb="37" eb="39">
      <t>タンピン</t>
    </rPh>
    <rPh sb="40" eb="42">
      <t>ゼイガク</t>
    </rPh>
    <rPh sb="44" eb="45">
      <t>エン</t>
    </rPh>
    <rPh sb="45" eb="46">
      <t>チガ</t>
    </rPh>
    <phoneticPr fontId="12"/>
  </si>
  <si>
    <r>
      <t xml:space="preserve">CTKY_CCR_BMN_TM_SALE
</t>
    </r>
    <r>
      <rPr>
        <sz val="8"/>
        <color rgb="FFFF0000"/>
        <rFont val="Meiryo UI"/>
        <family val="3"/>
        <charset val="128"/>
      </rPr>
      <t>ignica：企画コード未設定</t>
    </r>
    <phoneticPr fontId="12"/>
  </si>
  <si>
    <r>
      <t xml:space="preserve">CTKY_CCR_PLU_TM_DISC
</t>
    </r>
    <r>
      <rPr>
        <sz val="8"/>
        <color rgb="FFFF0000"/>
        <rFont val="Meiryo UI"/>
        <family val="3"/>
        <charset val="128"/>
      </rPr>
      <t>ignica：企画コード未設定、DISC_IDが異なる？</t>
    </r>
    <rPh sb="45" eb="46">
      <t>コト</t>
    </rPh>
    <phoneticPr fontId="12"/>
  </si>
  <si>
    <t>CTKY_CCR_PLU_TM_SALE</t>
    <phoneticPr fontId="12"/>
  </si>
  <si>
    <t>CTKY_CCR_PLU_TM_DISC</t>
    <phoneticPr fontId="12"/>
  </si>
  <si>
    <t>SLSDPTDAY</t>
    <phoneticPr fontId="12"/>
  </si>
  <si>
    <t>SLSDPTTIME</t>
    <phoneticPr fontId="12"/>
  </si>
  <si>
    <t>SLSITEMTIME</t>
    <phoneticPr fontId="12"/>
  </si>
  <si>
    <r>
      <t xml:space="preserve">ACTDPT
</t>
    </r>
    <r>
      <rPr>
        <sz val="8"/>
        <color rgb="FFFF0000"/>
        <rFont val="Meiryo UI"/>
        <family val="3"/>
        <charset val="128"/>
      </rPr>
      <t>ignica：商品階層別日報と数値が合わない</t>
    </r>
    <rPh sb="14" eb="16">
      <t>ショウヒン</t>
    </rPh>
    <rPh sb="16" eb="18">
      <t>カイソウ</t>
    </rPh>
    <rPh sb="18" eb="19">
      <t>ベツ</t>
    </rPh>
    <rPh sb="19" eb="21">
      <t>ニッポウ</t>
    </rPh>
    <rPh sb="22" eb="24">
      <t>スウチ</t>
    </rPh>
    <rPh sb="25" eb="26">
      <t>ア</t>
    </rPh>
    <phoneticPr fontId="12"/>
  </si>
  <si>
    <r>
      <t xml:space="preserve">ACTSTOR
</t>
    </r>
    <r>
      <rPr>
        <sz val="8"/>
        <color rgb="FFFF0000"/>
        <rFont val="Meiryo UI"/>
        <family val="3"/>
        <charset val="128"/>
      </rPr>
      <t>ignica：精算確定報と数値が合わない</t>
    </r>
    <rPh sb="15" eb="17">
      <t>セイサン</t>
    </rPh>
    <rPh sb="17" eb="20">
      <t>カクテイホウ</t>
    </rPh>
    <rPh sb="21" eb="23">
      <t>スウチ</t>
    </rPh>
    <phoneticPr fontId="12"/>
  </si>
  <si>
    <r>
      <t xml:space="preserve">RSTYDTL
</t>
    </r>
    <r>
      <rPr>
        <sz val="8"/>
        <color rgb="FFFF0000"/>
        <rFont val="Meiryo UI"/>
        <family val="3"/>
        <charset val="128"/>
      </rPr>
      <t>ignica：商品階層別日報とクレジット売上の数値が合わない</t>
    </r>
    <rPh sb="28" eb="30">
      <t>ウリアゲ</t>
    </rPh>
    <phoneticPr fontId="12"/>
  </si>
  <si>
    <r>
      <t xml:space="preserve">CTKY_SUBDISC_DATA.dat
</t>
    </r>
    <r>
      <rPr>
        <sz val="8"/>
        <color rgb="FFFF0000"/>
        <rFont val="Meiryo UI"/>
        <family val="3"/>
        <charset val="128"/>
      </rPr>
      <t>テストデータなし</t>
    </r>
    <phoneticPr fontId="12"/>
  </si>
  <si>
    <r>
      <t xml:space="preserve">SLSITEMDAYADD
</t>
    </r>
    <r>
      <rPr>
        <sz val="8"/>
        <color rgb="FFFF0000"/>
        <rFont val="Meiryo UI"/>
        <family val="3"/>
        <charset val="128"/>
      </rPr>
      <t>ignica側のデータ無し</t>
    </r>
    <rPh sb="20" eb="21">
      <t>ガワ</t>
    </rPh>
    <rPh sb="25" eb="26">
      <t>ナ</t>
    </rPh>
    <phoneticPr fontId="12"/>
  </si>
  <si>
    <r>
      <t xml:space="preserve">SLSITEMDAY
</t>
    </r>
    <r>
      <rPr>
        <sz val="8"/>
        <color rgb="FFFF0000"/>
        <rFont val="Meiryo UI"/>
        <family val="3"/>
        <charset val="128"/>
      </rPr>
      <t>項番97と同件でいいか？</t>
    </r>
    <rPh sb="11" eb="13">
      <t>コウバン</t>
    </rPh>
    <rPh sb="16" eb="18">
      <t>ドウケン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</si>
</sst>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30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  <font>
      <sz val="8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5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26" fillId="0" borderId="49" xfId="14" applyFont="1" applyBorder="1" applyAlignment="1">
      <alignment horizontal="left" vertical="center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5" t="s">
        <v>1</v>
      </c>
      <c r="D7" s="116"/>
      <c r="E7" s="116"/>
      <c r="F7" s="116"/>
      <c r="G7" s="116"/>
      <c r="H7" s="116"/>
      <c r="I7" s="116"/>
      <c r="J7" s="116"/>
      <c r="K7" s="117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2" t="s">
        <v>2</v>
      </c>
      <c r="D9" s="113"/>
      <c r="E9" s="113"/>
      <c r="F9" s="113"/>
      <c r="G9" s="113"/>
      <c r="H9" s="113"/>
      <c r="I9" s="113"/>
      <c r="J9" s="113"/>
      <c r="K9" s="114"/>
    </row>
    <row r="10" spans="3:11" ht="35.4" x14ac:dyDescent="0.65">
      <c r="C10" s="112" t="s">
        <v>3</v>
      </c>
      <c r="D10" s="113"/>
      <c r="E10" s="113"/>
      <c r="F10" s="113"/>
      <c r="G10" s="113"/>
      <c r="H10" s="113"/>
      <c r="I10" s="113"/>
      <c r="J10" s="113"/>
      <c r="K10" s="114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8" t="s">
        <v>4</v>
      </c>
      <c r="F18" s="118"/>
      <c r="G18" s="118"/>
      <c r="H18" s="118"/>
      <c r="I18" s="118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9" t="s">
        <v>5</v>
      </c>
      <c r="G21" s="119"/>
      <c r="H21" s="119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view="pageBreakPreview" zoomScale="75" zoomScaleNormal="110" zoomScaleSheetLayoutView="75" workbookViewId="0">
      <pane ySplit="2" topLeftCell="A4" activePane="bottomLeft" state="frozen"/>
      <selection activeCell="B8" sqref="B8"/>
      <selection pane="bottomLeft" activeCell="P15" sqref="P15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8" t="s">
        <v>10</v>
      </c>
      <c r="F1" s="13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6"/>
      <c r="S1" s="139" t="s">
        <v>14</v>
      </c>
      <c r="T1" s="130" t="s">
        <v>15</v>
      </c>
      <c r="U1" s="130"/>
      <c r="V1" s="130"/>
      <c r="W1" s="120" t="s">
        <v>16</v>
      </c>
      <c r="X1" s="120" t="s">
        <v>17</v>
      </c>
    </row>
    <row r="2" spans="1:24" s="1" customFormat="1" ht="22.8" x14ac:dyDescent="0.15">
      <c r="A2" s="123"/>
      <c r="B2" s="125"/>
      <c r="C2" s="127"/>
      <c r="D2" s="127"/>
      <c r="E2" s="129"/>
      <c r="F2" s="13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40"/>
      <c r="T2" s="71" t="s">
        <v>29</v>
      </c>
      <c r="U2" s="72" t="s">
        <v>30</v>
      </c>
      <c r="V2" s="73" t="s">
        <v>31</v>
      </c>
      <c r="W2" s="121"/>
      <c r="X2" s="121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6"/>
      <c r="U7" s="27"/>
      <c r="V7" s="28">
        <v>45687</v>
      </c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7"/>
      <c r="V8" s="28">
        <v>45687</v>
      </c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7"/>
      <c r="V9" s="28">
        <v>45687</v>
      </c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38</v>
      </c>
      <c r="Q15" s="25"/>
      <c r="R15" s="24"/>
      <c r="S15" s="106"/>
      <c r="T15" s="26"/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38</v>
      </c>
      <c r="Q16" s="25"/>
      <c r="R16" s="24"/>
      <c r="S16" s="106">
        <v>45691</v>
      </c>
      <c r="T16" s="26"/>
      <c r="U16" s="27"/>
      <c r="V16" s="28">
        <v>45688</v>
      </c>
      <c r="W16" s="29"/>
      <c r="X16" s="30" t="s">
        <v>393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38</v>
      </c>
      <c r="Q17" s="25"/>
      <c r="R17" s="24"/>
      <c r="S17" s="106">
        <v>45691</v>
      </c>
      <c r="T17" s="26"/>
      <c r="U17" s="27"/>
      <c r="V17" s="28">
        <v>45688</v>
      </c>
      <c r="W17" s="29"/>
      <c r="X17" s="30" t="s">
        <v>393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8</v>
      </c>
      <c r="Q18" s="41">
        <f t="shared" si="2"/>
        <v>0</v>
      </c>
      <c r="R18" s="40">
        <f t="shared" si="2"/>
        <v>0</v>
      </c>
      <c r="S18" s="108"/>
      <c r="T18" s="141" t="s">
        <v>52</v>
      </c>
      <c r="U18" s="141"/>
      <c r="V18" s="142"/>
      <c r="W18" s="42" t="s">
        <v>53</v>
      </c>
      <c r="X18" s="43">
        <f>SUM(G18:R18)</f>
        <v>12</v>
      </c>
    </row>
    <row r="19" spans="1:24" s="3" customFormat="1" ht="12" customHeight="1" x14ac:dyDescent="0.25">
      <c r="A19" s="44"/>
      <c r="B19" s="45" t="s">
        <v>54</v>
      </c>
      <c r="C19" s="46">
        <f>X20</f>
        <v>12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43"/>
      <c r="U19" s="143"/>
      <c r="V19" s="144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8</v>
      </c>
      <c r="Q20" s="51">
        <f t="shared" si="5"/>
        <v>0</v>
      </c>
      <c r="R20" s="50">
        <f t="shared" si="5"/>
        <v>0</v>
      </c>
      <c r="S20" s="137"/>
      <c r="T20" s="145">
        <f>COUNTA(T3:T17)</f>
        <v>3</v>
      </c>
      <c r="U20" s="147">
        <f>COUNTA(U3:U17)</f>
        <v>0</v>
      </c>
      <c r="V20" s="149">
        <f>COUNTA(V3:V17)</f>
        <v>10</v>
      </c>
      <c r="W20" s="58" t="s">
        <v>53</v>
      </c>
      <c r="X20" s="53">
        <f t="shared" si="4"/>
        <v>12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38"/>
      <c r="T21" s="146"/>
      <c r="U21" s="148"/>
      <c r="V21" s="150"/>
      <c r="W21" s="67" t="s">
        <v>53</v>
      </c>
      <c r="X21" s="68">
        <f t="shared" si="4"/>
        <v>15</v>
      </c>
    </row>
  </sheetData>
  <mergeCells count="17">
    <mergeCell ref="S20:S21"/>
    <mergeCell ref="S1:S2"/>
    <mergeCell ref="T18:V19"/>
    <mergeCell ref="W1:W2"/>
    <mergeCell ref="T20:T21"/>
    <mergeCell ref="U20:U21"/>
    <mergeCell ref="V20:V21"/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topLeftCell="E1" zoomScaleNormal="110" zoomScaleSheetLayoutView="100" workbookViewId="0">
      <pane ySplit="2" topLeftCell="A3" activePane="bottomLeft" state="frozen"/>
      <selection activeCell="B8" sqref="B8"/>
      <selection pane="bottomLeft" activeCell="X14" sqref="X1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6"/>
      <c r="S1" s="139" t="s">
        <v>14</v>
      </c>
      <c r="T1" s="130" t="s">
        <v>15</v>
      </c>
      <c r="U1" s="130"/>
      <c r="V1" s="130"/>
      <c r="W1" s="120" t="s">
        <v>16</v>
      </c>
      <c r="X1" s="69"/>
    </row>
    <row r="2" spans="1:24" s="1" customFormat="1" ht="18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40"/>
      <c r="T2" s="71" t="s">
        <v>29</v>
      </c>
      <c r="U2" s="72" t="s">
        <v>30</v>
      </c>
      <c r="V2" s="73" t="s">
        <v>31</v>
      </c>
      <c r="W2" s="121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394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>
        <v>45695</v>
      </c>
      <c r="V13" s="28"/>
      <c r="W13" s="29"/>
      <c r="X13" s="30" t="s">
        <v>395</v>
      </c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41" t="s">
        <v>52</v>
      </c>
      <c r="U14" s="141"/>
      <c r="V14" s="142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43"/>
      <c r="U15" s="143"/>
      <c r="V15" s="144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37"/>
      <c r="T16" s="145">
        <f>COUNTA(T3:T13)</f>
        <v>8</v>
      </c>
      <c r="U16" s="147">
        <f>COUNTA(U3:U13)</f>
        <v>1</v>
      </c>
      <c r="V16" s="149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38"/>
      <c r="T17" s="146"/>
      <c r="U17" s="148"/>
      <c r="V17" s="150"/>
      <c r="W17" s="67" t="s">
        <v>53</v>
      </c>
      <c r="X17" s="68">
        <f>SUM(G17:R17)</f>
        <v>9</v>
      </c>
    </row>
  </sheetData>
  <mergeCells count="16">
    <mergeCell ref="T16:T17"/>
    <mergeCell ref="U16:U17"/>
    <mergeCell ref="V16:V17"/>
    <mergeCell ref="F1:F2"/>
    <mergeCell ref="G1:J1"/>
    <mergeCell ref="K1:R1"/>
    <mergeCell ref="T1:V1"/>
    <mergeCell ref="S16:S17"/>
    <mergeCell ref="S1:S2"/>
    <mergeCell ref="W1:W2"/>
    <mergeCell ref="T14:V1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topLeftCell="D1" zoomScaleNormal="110" zoomScaleSheetLayoutView="100" workbookViewId="0">
      <pane ySplit="2" topLeftCell="A3" activePane="bottomLeft" state="frozen"/>
      <selection activeCell="B8" sqref="B8"/>
      <selection pane="bottomLeft" activeCell="E26" sqref="E26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3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/>
      <c r="S9" s="26">
        <v>45694</v>
      </c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1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3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41" t="s">
        <v>52</v>
      </c>
      <c r="T10" s="141"/>
      <c r="U10" s="142"/>
      <c r="V10" s="42" t="s">
        <v>53</v>
      </c>
      <c r="W10" s="43">
        <f>SUM(G10:Q10)</f>
        <v>4</v>
      </c>
    </row>
    <row r="11" spans="1:23" s="3" customFormat="1" ht="12" customHeight="1" x14ac:dyDescent="0.25">
      <c r="A11" s="44"/>
      <c r="B11" s="45" t="s">
        <v>54</v>
      </c>
      <c r="C11" s="46">
        <f>W12</f>
        <v>4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43"/>
      <c r="T11" s="143"/>
      <c r="U11" s="144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1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3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37"/>
      <c r="S12" s="145">
        <f>COUNTA(S3:S9)</f>
        <v>5</v>
      </c>
      <c r="T12" s="147">
        <f>COUNTA(T3:T9)</f>
        <v>0</v>
      </c>
      <c r="U12" s="149">
        <f>COUNTA(U3:U9)</f>
        <v>0</v>
      </c>
      <c r="V12" s="58" t="s">
        <v>53</v>
      </c>
      <c r="W12" s="53">
        <f t="shared" si="5"/>
        <v>4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38"/>
      <c r="S13" s="146"/>
      <c r="T13" s="148"/>
      <c r="U13" s="150"/>
      <c r="V13" s="67" t="s">
        <v>53</v>
      </c>
      <c r="W13" s="68">
        <f t="shared" si="5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3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41" t="s">
        <v>52</v>
      </c>
      <c r="T10" s="141"/>
      <c r="U10" s="142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43"/>
      <c r="T11" s="143"/>
      <c r="U11" s="144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3"/>
      <c r="S12" s="153">
        <f>COUNTA(S3:S9)</f>
        <v>0</v>
      </c>
      <c r="T12" s="147">
        <f>COUNTA(T3:T9)</f>
        <v>0</v>
      </c>
      <c r="U12" s="149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4"/>
      <c r="S13" s="154"/>
      <c r="T13" s="148"/>
      <c r="U13" s="150"/>
      <c r="V13" s="67" t="s">
        <v>53</v>
      </c>
      <c r="W13" s="68">
        <f t="shared" si="7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tabSelected="1" view="pageBreakPreview" topLeftCell="B1" zoomScale="85" zoomScaleNormal="110" zoomScaleSheetLayoutView="85" workbookViewId="0">
      <pane ySplit="2" topLeftCell="A92" activePane="bottomLeft" state="frozen"/>
      <selection activeCell="B8" sqref="B8"/>
      <selection pane="bottomLeft" activeCell="D114" sqref="D11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4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/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397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/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>
        <v>45698</v>
      </c>
      <c r="U79" s="28"/>
      <c r="V79" s="29"/>
      <c r="W79" s="30" t="s">
        <v>417</v>
      </c>
    </row>
    <row r="80" spans="1:23" ht="22.8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>
        <v>45698</v>
      </c>
      <c r="U80" s="28"/>
      <c r="V80" s="29"/>
      <c r="W80" s="30" t="s">
        <v>418</v>
      </c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>
        <v>45698</v>
      </c>
      <c r="T81" s="26"/>
      <c r="U81" s="28"/>
      <c r="V81" s="29"/>
      <c r="W81" s="30" t="s">
        <v>396</v>
      </c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>
        <v>45698</v>
      </c>
      <c r="T82" s="26"/>
      <c r="U82" s="28"/>
      <c r="V82" s="29"/>
      <c r="W82" s="30" t="s">
        <v>398</v>
      </c>
    </row>
    <row r="83" spans="1:23" ht="22.8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>
        <v>45698</v>
      </c>
      <c r="U83" s="28"/>
      <c r="V83" s="29"/>
      <c r="W83" s="30" t="s">
        <v>419</v>
      </c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>
        <v>45698</v>
      </c>
      <c r="T84" s="26"/>
      <c r="U84" s="28"/>
      <c r="V84" s="29"/>
      <c r="W84" s="30" t="s">
        <v>399</v>
      </c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>
        <v>45698</v>
      </c>
      <c r="T85" s="26"/>
      <c r="U85" s="28"/>
      <c r="V85" s="29"/>
      <c r="W85" s="30" t="s">
        <v>400</v>
      </c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>
        <v>45698</v>
      </c>
      <c r="U86" s="28"/>
      <c r="V86" s="29"/>
      <c r="W86" s="30" t="s">
        <v>401</v>
      </c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6">
        <v>45698</v>
      </c>
      <c r="U87" s="28"/>
      <c r="V87" s="29"/>
      <c r="W87" s="30" t="s">
        <v>402</v>
      </c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>
        <v>45698</v>
      </c>
      <c r="T88" s="26"/>
      <c r="U88" s="28"/>
      <c r="V88" s="29"/>
      <c r="W88" s="30" t="s">
        <v>403</v>
      </c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>
        <v>45698</v>
      </c>
      <c r="T89" s="26"/>
      <c r="U89" s="28"/>
      <c r="V89" s="29"/>
      <c r="W89" s="30" t="s">
        <v>397</v>
      </c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6">
        <v>45698</v>
      </c>
      <c r="U90" s="28"/>
      <c r="V90" s="29"/>
      <c r="W90" s="30" t="s">
        <v>404</v>
      </c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>
        <v>45698</v>
      </c>
      <c r="T91" s="26"/>
      <c r="U91" s="28"/>
      <c r="V91" s="29"/>
      <c r="W91" s="30" t="s">
        <v>405</v>
      </c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>
        <v>45698</v>
      </c>
      <c r="T92" s="26"/>
      <c r="U92" s="28"/>
      <c r="V92" s="29"/>
      <c r="W92" s="30" t="s">
        <v>406</v>
      </c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/>
      <c r="T93" s="27"/>
      <c r="U93" s="28"/>
      <c r="V93" s="29"/>
      <c r="W93" s="30" t="s">
        <v>407</v>
      </c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>
        <v>45700</v>
      </c>
      <c r="U94" s="28"/>
      <c r="V94" s="29"/>
      <c r="W94" s="111" t="s">
        <v>420</v>
      </c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>
        <v>45700</v>
      </c>
      <c r="T95" s="27"/>
      <c r="U95" s="28"/>
      <c r="V95" s="29"/>
      <c r="W95" s="111" t="s">
        <v>396</v>
      </c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>
        <v>45700</v>
      </c>
      <c r="U96" s="28"/>
      <c r="V96" s="29"/>
      <c r="W96" s="111" t="s">
        <v>421</v>
      </c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7">
        <v>45700</v>
      </c>
      <c r="T97" s="27"/>
      <c r="U97" s="28"/>
      <c r="V97" s="29"/>
      <c r="W97" s="111" t="s">
        <v>422</v>
      </c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7">
        <v>45700</v>
      </c>
      <c r="T98" s="27"/>
      <c r="U98" s="28"/>
      <c r="V98" s="29"/>
      <c r="W98" s="111" t="s">
        <v>423</v>
      </c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7">
        <v>45700</v>
      </c>
      <c r="T99" s="27"/>
      <c r="U99" s="28"/>
      <c r="V99" s="29"/>
      <c r="W99" s="111" t="s">
        <v>415</v>
      </c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7">
        <v>45700</v>
      </c>
      <c r="T100" s="27"/>
      <c r="U100" s="28"/>
      <c r="V100" s="29"/>
      <c r="W100" s="111" t="s">
        <v>424</v>
      </c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>
        <v>45700</v>
      </c>
      <c r="T101" s="26"/>
      <c r="U101" s="28"/>
      <c r="V101" s="29"/>
      <c r="W101" s="30" t="s">
        <v>408</v>
      </c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>
        <v>45700</v>
      </c>
      <c r="T102" s="26"/>
      <c r="U102" s="28"/>
      <c r="V102" s="29"/>
      <c r="W102" s="30" t="s">
        <v>409</v>
      </c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>
        <v>45700</v>
      </c>
      <c r="T103" s="26"/>
      <c r="U103" s="28"/>
      <c r="V103" s="29"/>
      <c r="W103" s="30" t="s">
        <v>410</v>
      </c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>
        <v>45700</v>
      </c>
      <c r="T104" s="26"/>
      <c r="U104" s="28"/>
      <c r="V104" s="29"/>
      <c r="W104" s="30" t="s">
        <v>411</v>
      </c>
    </row>
    <row r="105" spans="1:23" ht="11.4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>
        <v>45700</v>
      </c>
      <c r="U105" s="28"/>
      <c r="V105" s="29"/>
      <c r="W105" s="30" t="s">
        <v>412</v>
      </c>
    </row>
    <row r="106" spans="1:23" ht="22.8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>
        <v>45700</v>
      </c>
      <c r="U106" s="28"/>
      <c r="V106" s="29"/>
      <c r="W106" s="30" t="s">
        <v>426</v>
      </c>
    </row>
    <row r="107" spans="1:23" ht="22.8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>
        <v>45700</v>
      </c>
      <c r="U107" s="28"/>
      <c r="V107" s="29"/>
      <c r="W107" s="30" t="s">
        <v>425</v>
      </c>
    </row>
    <row r="108" spans="1:23" ht="22.8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>
        <v>45700</v>
      </c>
      <c r="U108" s="28"/>
      <c r="V108" s="29"/>
      <c r="W108" s="30" t="s">
        <v>427</v>
      </c>
    </row>
    <row r="109" spans="1:23" ht="22.8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26"/>
      <c r="T109" s="27"/>
      <c r="U109" s="28"/>
      <c r="V109" s="29"/>
      <c r="W109" s="30" t="s">
        <v>428</v>
      </c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>
        <v>45700</v>
      </c>
      <c r="T110" s="27"/>
      <c r="U110" s="28"/>
      <c r="V110" s="29"/>
      <c r="W110" s="30" t="s">
        <v>413</v>
      </c>
    </row>
    <row r="111" spans="1:23" ht="22.8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26"/>
      <c r="T111" s="27"/>
      <c r="U111" s="28"/>
      <c r="V111" s="29"/>
      <c r="W111" s="30" t="s">
        <v>429</v>
      </c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>
        <v>45700</v>
      </c>
      <c r="T112" s="27"/>
      <c r="U112" s="28"/>
      <c r="V112" s="29"/>
      <c r="W112" s="30" t="s">
        <v>414</v>
      </c>
    </row>
    <row r="113" spans="1:23" ht="22.8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/>
      <c r="T113" s="27"/>
      <c r="U113" s="28"/>
      <c r="V113" s="29"/>
      <c r="W113" s="30" t="s">
        <v>430</v>
      </c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/>
      <c r="T114" s="27"/>
      <c r="U114" s="28"/>
      <c r="V114" s="29"/>
      <c r="W114" s="30" t="s">
        <v>416</v>
      </c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48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41" t="s">
        <v>52</v>
      </c>
      <c r="T115" s="141"/>
      <c r="U115" s="142"/>
      <c r="V115" s="42" t="s">
        <v>53</v>
      </c>
      <c r="W115" s="43">
        <f>SUM(G115:Q115)</f>
        <v>50</v>
      </c>
    </row>
    <row r="116" spans="1:23" s="3" customFormat="1" ht="12" customHeight="1" x14ac:dyDescent="0.25">
      <c r="A116" s="44"/>
      <c r="B116" s="45" t="s">
        <v>54</v>
      </c>
      <c r="C116" s="46">
        <f>W117</f>
        <v>50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43"/>
      <c r="T116" s="143"/>
      <c r="U116" s="144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48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37"/>
      <c r="S117" s="145">
        <f>COUNTA(S3:S114)</f>
        <v>91</v>
      </c>
      <c r="T117" s="147">
        <f>COUNTA(T3:T114)</f>
        <v>12</v>
      </c>
      <c r="U117" s="149">
        <f>COUNTA(U3:U114)</f>
        <v>0</v>
      </c>
      <c r="V117" s="58" t="s">
        <v>53</v>
      </c>
      <c r="W117" s="53">
        <f t="shared" si="5"/>
        <v>50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38"/>
      <c r="S118" s="146"/>
      <c r="T118" s="148"/>
      <c r="U118" s="150"/>
      <c r="V118" s="67" t="s">
        <v>53</v>
      </c>
      <c r="W118" s="68">
        <f t="shared" si="5"/>
        <v>110</v>
      </c>
    </row>
  </sheetData>
  <mergeCells count="16"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  <mergeCell ref="V1:V2"/>
    <mergeCell ref="S115:U116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64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3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391</v>
      </c>
      <c r="M85" s="23"/>
      <c r="N85" s="25"/>
      <c r="O85" s="25"/>
      <c r="P85" s="25"/>
      <c r="Q85" s="24"/>
      <c r="R85" s="106">
        <v>45325</v>
      </c>
      <c r="S85" s="26">
        <v>45695</v>
      </c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391</v>
      </c>
      <c r="M87" s="23"/>
      <c r="N87" s="25"/>
      <c r="O87" s="25"/>
      <c r="P87" s="25"/>
      <c r="Q87" s="24"/>
      <c r="R87" s="106">
        <v>45325</v>
      </c>
      <c r="S87" s="26">
        <v>45695</v>
      </c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391</v>
      </c>
      <c r="M88" s="23"/>
      <c r="N88" s="25"/>
      <c r="O88" s="25"/>
      <c r="P88" s="25"/>
      <c r="Q88" s="24"/>
      <c r="R88" s="106">
        <v>45325</v>
      </c>
      <c r="S88" s="26">
        <v>45695</v>
      </c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391</v>
      </c>
      <c r="M90" s="23"/>
      <c r="N90" s="25"/>
      <c r="O90" s="25"/>
      <c r="P90" s="25"/>
      <c r="Q90" s="24"/>
      <c r="R90" s="106">
        <v>45325</v>
      </c>
      <c r="S90" s="26">
        <v>45695</v>
      </c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391</v>
      </c>
      <c r="M91" s="23"/>
      <c r="N91" s="25"/>
      <c r="O91" s="25"/>
      <c r="P91" s="25"/>
      <c r="Q91" s="24"/>
      <c r="R91" s="106">
        <v>45325</v>
      </c>
      <c r="S91" s="26">
        <v>45695</v>
      </c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87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41" t="s">
        <v>52</v>
      </c>
      <c r="T94" s="141"/>
      <c r="U94" s="142"/>
      <c r="V94" s="42" t="s">
        <v>53</v>
      </c>
      <c r="W94" s="43">
        <f>SUM(G94:Q94)</f>
        <v>89</v>
      </c>
    </row>
    <row r="95" spans="1:23" s="3" customFormat="1" ht="12" customHeight="1" x14ac:dyDescent="0.25">
      <c r="A95" s="44"/>
      <c r="B95" s="45" t="s">
        <v>54</v>
      </c>
      <c r="C95" s="46">
        <f>W96</f>
        <v>89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43"/>
      <c r="T95" s="143"/>
      <c r="U95" s="144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87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37"/>
      <c r="S96" s="145">
        <f>COUNTA(S3:S91)</f>
        <v>87</v>
      </c>
      <c r="T96" s="147">
        <f>COUNTA(T3:T91)</f>
        <v>0</v>
      </c>
      <c r="U96" s="149">
        <f>COUNTA(U3:U91)</f>
        <v>0</v>
      </c>
      <c r="V96" s="58" t="s">
        <v>53</v>
      </c>
      <c r="W96" s="53">
        <f t="shared" si="7"/>
        <v>89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38"/>
      <c r="S97" s="146"/>
      <c r="T97" s="148"/>
      <c r="U97" s="150"/>
      <c r="V97" s="67" t="s">
        <v>53</v>
      </c>
      <c r="W97" s="68">
        <f t="shared" si="7"/>
        <v>89</v>
      </c>
    </row>
  </sheetData>
  <mergeCells count="16">
    <mergeCell ref="S96:S97"/>
    <mergeCell ref="T96:T97"/>
    <mergeCell ref="U96:U97"/>
    <mergeCell ref="F1:F2"/>
    <mergeCell ref="G1:J1"/>
    <mergeCell ref="K1:Q1"/>
    <mergeCell ref="S1:U1"/>
    <mergeCell ref="R96:R97"/>
    <mergeCell ref="R1:R2"/>
    <mergeCell ref="V1:V2"/>
    <mergeCell ref="S94:U9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B1A985-4E3A-417E-9A69-802E3198C712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55b7a9d6-bcaa-4a9d-b1c7-8801531a7bf3"/>
    <ds:schemaRef ds:uri="e85bf11c-610f-4c75-b4c1-3f2e492bcdf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B3E3F89-4BE2-4124-A603-B6897448FA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Fujimura, Hitoshi/藤村 均</cp:lastModifiedBy>
  <cp:revision/>
  <dcterms:created xsi:type="dcterms:W3CDTF">1997-07-11T07:53:19Z</dcterms:created>
  <dcterms:modified xsi:type="dcterms:W3CDTF">2025-02-12T08:34:21Z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0x010100E9C9A0A944670C40B3577B9A3C159E6D</vt:lpwstr>
  </property>
  <property fmtid="{D5CDD505-2E9C-101B-9397-08002B2CF9AE}" pid="10" name="MediaServiceImageTags">
    <vt:lpwstr/>
  </property>
</Properties>
</file>