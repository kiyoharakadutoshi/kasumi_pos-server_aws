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559" documentId="13_ncr:1_{83417ED8-4D23-47BB-99B2-FB19FA0558F2}" xr6:coauthVersionLast="47" xr6:coauthVersionMax="47" xr10:uidLastSave="{530925D5-EFEA-48DC-9A34-5F536A04CCA2}"/>
  <bookViews>
    <workbookView xWindow="-108" yWindow="-108" windowWidth="23256" windowHeight="12576" tabRatio="789" activeTab="5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<sst xmlns="http://schemas.openxmlformats.org/spreadsheetml/2006/main" count="1690" uniqueCount="431">
  <si>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</si>
  <si>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</si>
  <si>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</si>
  <si>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</si>
  <si>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</si>
  <si>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</si>
  <si>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</si>
  <si>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</si>
  <si>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</si>
  <si>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</si>
  <si>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</si>
  <si>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</si>
  <si>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</si>
  <si>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</si>
  <si>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</si>
  <si>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</si>
  <si>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</si>
  <si>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</si>
  <si>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</si>
  <si>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</si>
  <si>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</si>
  <si>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</si>
  <si>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</si>
  <si>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</si>
  <si>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</si>
  <si>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</si>
  <si>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</si>
  <si>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</si>
  <si>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</si>
  <si>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</si>
  <si>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</si>
  <si>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</si>
  <si>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</si>
  <si>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</si>
  <si>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</si>
  <si>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</si>
  <si>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</si>
  <si>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</si>
  <si>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</si>
  <si>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</si>
  <si>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</si>
  <si>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</si>
  <si>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</si>
  <si>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</si>
  <si>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</si>
  <si>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</si>
  <si>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</si>
  <si>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</si>
  <si>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</si>
  <si>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</si>
  <si>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</si>
  <si>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</si>
  <si>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</si>
  <si>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</si>
  <si>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</si>
  <si>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</si>
  <si>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</si>
  <si>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</si>
  <si>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</si>
  <si>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</si>
  <si>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</si>
  <si>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</si>
  <si>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</si>
  <si>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</si>
  <si>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</si>
  <si>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</si>
  <si>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</si>
  <si>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</si>
  <si>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</si>
  <si>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</si>
  <si>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</si>
  <si>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</si>
  <si>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</si>
  <si>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</si>
  <si>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</si>
  <si>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</si>
  <si>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</si>
  <si>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</si>
  <si>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</si>
  <si>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</si>
  <si>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</si>
  <si>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</si>
  <si>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</si>
  <si>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</si>
  <si>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</si>
  <si>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</si>
  <si>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</si>
  <si>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</si>
  <si>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</si>
  <si>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</si>
  <si>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</si>
  <si>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</si>
  <si>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</si>
  <si>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</si>
  <si>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</si>
  <si>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</si>
  <si>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</si>
  <si>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</si>
  <si>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</si>
  <si>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</si>
  <si>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</si>
  <si>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</si>
  <si>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</si>
  <si>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</si>
  <si>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</si>
  <si>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</si>
  <si>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</si>
  <si>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</si>
  <si>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</si>
  <si>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</si>
  <si>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</si>
  <si>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</si>
  <si>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</si>
  <si>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</si>
  <si>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</si>
  <si>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</si>
  <si>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</si>
  <si>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</si>
  <si>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</si>
  <si>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</si>
  <si>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</si>
  <si>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</si>
  <si>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</si>
  <si>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</si>
  <si>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</si>
  <si>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</si>
  <si>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</si>
  <si>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</si>
  <si>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</si>
  <si>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</si>
  <si>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</si>
  <si>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</si>
  <si>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</si>
  <si>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</si>
  <si>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</si>
  <si>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</si>
  <si>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</si>
  <si>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</si>
  <si>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</si>
  <si>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</si>
  <si>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</si>
  <si>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</si>
  <si>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</si>
  <si>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</si>
  <si>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</si>
  <si>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</si>
  <si>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</si>
  <si>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</si>
  <si>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</si>
  <si>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</si>
  <si>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</si>
  <si>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</si>
  <si>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</si>
  <si>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</si>
  <si>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</si>
  <si>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</si>
  <si>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</si>
  <si>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</si>
  <si>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</si>
  <si>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</si>
  <si>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</si>
  <si>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</si>
  <si>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</si>
  <si>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</si>
  <si>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</si>
  <si>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</si>
  <si>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</si>
  <si>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</si>
  <si>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</si>
  <si>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</si>
  <si>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</si>
  <si>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</si>
  <si>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</si>
  <si>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</si>
  <si>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</si>
  <si>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</si>
  <si>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</si>
  <si>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</si>
  <si>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</si>
  <si>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</si>
  <si>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</si>
  <si>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</si>
  <si>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</si>
  <si>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</si>
  <si>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</si>
  <si>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</si>
  <si>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</si>
  <si>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</si>
  <si>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</si>
  <si>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</si>
  <si>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</si>
  <si>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</si>
  <si>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</si>
  <si>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</si>
  <si>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</si>
  <si>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</si>
  <si>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</si>
  <si>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</si>
  <si>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</si>
  <si>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</si>
  <si>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</si>
  <si>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</si>
  <si>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</si>
  <si>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</si>
  <si>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</si>
  <si>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</si>
  <si>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</si>
  <si>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</si>
  <si>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</si>
  <si>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</si>
  <si>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</si>
  <si>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</si>
  <si>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</si>
  <si>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</si>
  <si>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</si>
  <si>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</si>
  <si>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</si>
  <si>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</si>
  <si>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</si>
  <si>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</si>
  <si>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</si>
  <si>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</si>
  <si>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</si>
  <si>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</si>
  <si>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</si>
  <si>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</si>
  <si>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</si>
  <si>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</si>
  <si>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</si>
  <si>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</si>
  <si>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</si>
  <si>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</si>
  <si>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</si>
  <si>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</si>
  <si>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</si>
  <si>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</si>
  <si>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</si>
  <si>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</si>
  <si>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</si>
  <si>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</si>
  <si>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</si>
  <si>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</si>
  <si>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</si>
  <si>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</si>
  <si>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</si>
  <si>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</si>
  <si>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</si>
  <si>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</si>
  <si>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</si>
  <si>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</si>
  <si>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</si>
  <si>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</si>
  <si>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</si>
  <si>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</si>
  <si>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</si>
  <si>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</si>
  <si>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</si>
  <si>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</si>
  <si>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</si>
  <si>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</si>
  <si>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</si>
  <si>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</si>
  <si>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</si>
  <si>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</si>
  <si>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</si>
  <si>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</si>
  <si>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</si>
  <si>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</si>
  <si>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</si>
  <si>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</si>
  <si>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</si>
  <si>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</si>
  <si>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</si>
  <si>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</si>
  <si>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</si>
  <si>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</si>
  <si>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</si>
  <si>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</si>
  <si>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</si>
  <si>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</si>
  <si>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</si>
  <si>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</si>
  <si>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</si>
  <si>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</si>
  <si>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</si>
  <si>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</si>
  <si>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</si>
  <si>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</si>
  <si>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</si>
  <si>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</si>
  <si>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</si>
  <si>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</si>
  <si>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</si>
  <si>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</si>
  <si>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</si>
  <si>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</si>
  <si>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</si>
  <si>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</si>
  <si>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</si>
  <si>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</si>
  <si>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</si>
  <si>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</si>
  <si>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</si>
  <si>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</si>
  <si>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</si>
  <si>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</si>
  <si>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</si>
  <si>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</si>
  <si>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</si>
  <si>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</si>
  <si>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</si>
  <si>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</si>
  <si>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</si>
  <si>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</si>
  <si>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</si>
  <si>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</si>
  <si>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</si>
  <si>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</si>
  <si>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</si>
  <si>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</si>
  <si>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</si>
  <si>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</si>
  <si>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</si>
  <si>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</si>
  <si>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</si>
  <si>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</si>
  <si>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</si>
  <si>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</si>
  <si>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</si>
  <si>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</si>
  <si>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</si>
  <si>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</si>
  <si>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</si>
  <si>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</si>
  <si>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</si>
  <si>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</si>
  <si>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</si>
  <si>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</si>
  <si>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</si>
  <si>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</si>
  <si>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</si>
  <si>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</si>
  <si>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</si>
  <si>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</si>
  <si>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</si>
  <si>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</si>
  <si>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</si>
  <si>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</si>
  <si>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</si>
  <si>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</si>
  <si>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</si>
  <si>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</si>
  <si>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</si>
  <si>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</si>
  <si>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</si>
  <si>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</si>
  <si>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</si>
  <si>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</si>
  <si>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</si>
  <si>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</si>
  <si>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</si>
  <si>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</si>
  <si>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</si>
  <si>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</si>
  <si>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</si>
  <si>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</si>
  <si>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</si>
  <si>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</si>
  <si>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</si>
  <si>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</si>
  <si>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</si>
  <si>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</si>
  <si>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</si>
  <si>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</si>
  <si>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</si>
  <si>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</si>
  <si>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</si>
  <si>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</si>
  <si>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</si>
  <si>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</si>
  <si>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</si>
  <si>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</si>
  <si>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</si>
  <si>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</si>
  <si>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</si>
  <si>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</si>
  <si>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</si>
  <si>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</si>
  <si>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</si>
  <si>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</si>
  <si>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</si>
  <si>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</si>
  <si>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</si>
  <si>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</si>
  <si>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</si>
  <si>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</si>
  <si>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</si>
  <si>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</si>
  <si>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</si>
  <si>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</si>
  <si>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</si>
  <si>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</si>
  <si>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</si>
  <si>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</si>
  <si>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</si>
  <si>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</si>
  <si>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</si>
  <si>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</si>
  <si>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</si>
  <si>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</si>
  <si>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</si>
  <si>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</si>
  <si>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CTKY_ITEM_ADD_DATA.txt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</si>
  <si>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</si>
  <si>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</si>
  <si>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</si>
  <si>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</si>
  <si>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</si>
  <si>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</si>
  <si>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</si>
  <si>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</si>
  <si>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</si>
  <si>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</si>
  <si>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</si>
  <si>
    <r>
      <t xml:space="preserve">ACTDPT
</t>
    </r>
    <r>
      <rPr>
        <sz val="8"/>
        <color rgb="FFFF0000"/>
        <rFont val="Meiryo UI"/>
        <family val="3"/>
        <charset val="128"/>
      </rPr>
      <t>ignica：商品階層別日報と数値が合わない</t>
    </r>
    <rPh sb="14" eb="16">
      <t>ショウヒン</t>
    </rPh>
    <rPh sb="16" eb="18">
      <t>カイソウ</t>
    </rPh>
    <rPh sb="18" eb="19">
      <t>ベツ</t>
    </rPh>
    <rPh sb="19" eb="21">
      <t>ニッポウ</t>
    </rPh>
    <rPh sb="22" eb="24">
      <t>スウチ</t>
    </rPh>
    <rPh sb="25" eb="26">
      <t>ア</t>
    </rPh>
    <phoneticPr fontId="12"/>
  </si>
  <si>
    <r>
      <t xml:space="preserve">ACTSTOR
</t>
    </r>
    <r>
      <rPr>
        <sz val="8"/>
        <color rgb="FFFF0000"/>
        <rFont val="Meiryo UI"/>
        <family val="3"/>
        <charset val="128"/>
      </rPr>
      <t>ignica：精算確定報と数値が合わない</t>
    </r>
    <rPh sb="15" eb="17">
      <t>セイサン</t>
    </rPh>
    <rPh sb="17" eb="20">
      <t>カクテイホウ</t>
    </rPh>
    <rPh sb="21" eb="23">
      <t>スウチ</t>
    </rPh>
    <phoneticPr fontId="12"/>
  </si>
  <si>
    <r>
      <t xml:space="preserve">RSTYDTL
</t>
    </r>
    <r>
      <rPr>
        <sz val="8"/>
        <color rgb="FFFF0000"/>
        <rFont val="Meiryo UI"/>
        <family val="3"/>
        <charset val="128"/>
      </rPr>
      <t>ignica：商品階層別日報とクレジット売上の数値が合わない</t>
    </r>
    <rPh sb="28" eb="30">
      <t>ウリアゲ</t>
    </rPh>
    <phoneticPr fontId="12"/>
  </si>
  <si>
    <r>
      <t xml:space="preserve">SLSITEMDAY
</t>
    </r>
    <r>
      <rPr>
        <sz val="8"/>
        <color rgb="FFFF0000"/>
        <rFont val="Meiryo UI"/>
        <family val="3"/>
        <charset val="128"/>
      </rPr>
      <t>項番97と同件でいいか？</t>
    </r>
    <rPh sb="11" eb="13">
      <t>コウバン</t>
    </rPh>
    <rPh sb="16" eb="18">
      <t>ドウケン</t>
    </rPh>
    <phoneticPr fontId="12"/>
  </si>
  <si>
    <r>
      <t xml:space="preserve">CTKY_SUBDISC_DATA.dat
</t>
    </r>
    <r>
      <rPr>
        <sz val="8"/>
        <color rgb="FFFF0000"/>
        <rFont val="Meiryo UI"/>
        <family val="3"/>
        <charset val="128"/>
      </rPr>
      <t>テストデータなし（すべて０）</t>
    </r>
    <phoneticPr fontId="12"/>
  </si>
  <si>
    <r>
      <t xml:space="preserve">ACTREGI
</t>
    </r>
    <r>
      <rPr>
        <sz val="8"/>
        <color rgb="FFFF0000"/>
        <rFont val="Meiryo UI"/>
        <family val="3"/>
        <charset val="128"/>
      </rPr>
      <t>ignica：一部の項目に符号がない</t>
    </r>
    <rPh sb="15" eb="17">
      <t>イチブ</t>
    </rPh>
    <rPh sb="18" eb="20">
      <t>コウモク</t>
    </rPh>
    <rPh sb="21" eb="23">
      <t>フゴウ</t>
    </rPh>
    <phoneticPr fontId="12"/>
  </si>
  <si>
    <r>
      <t xml:space="preserve">SLSITEMDAYADD
</t>
    </r>
    <r>
      <rPr>
        <sz val="8"/>
        <color rgb="FFFF0000"/>
        <rFont val="Meiryo UI"/>
        <family val="3"/>
        <charset val="128"/>
      </rPr>
      <t>8桁JANコードの下1桁が0になっている（2/17再テスト⇒OK）</t>
    </r>
    <rPh sb="15" eb="16">
      <t>ケタ</t>
    </rPh>
    <rPh sb="23" eb="24">
      <t>シモ</t>
    </rPh>
    <rPh sb="25" eb="26">
      <t>ケタ</t>
    </rPh>
    <rPh sb="39" eb="40">
      <t>サイ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</si>
</sst>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6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176" fontId="22" fillId="5" borderId="41" xfId="14" applyNumberFormat="1" applyFont="1" applyFill="1" applyBorder="1" applyAlignment="1">
      <alignment horizontal="center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6" t="s">
        <v>1</v>
      </c>
      <c r="D7" s="117"/>
      <c r="E7" s="117"/>
      <c r="F7" s="117"/>
      <c r="G7" s="117"/>
      <c r="H7" s="117"/>
      <c r="I7" s="117"/>
      <c r="J7" s="117"/>
      <c r="K7" s="118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3" t="s">
        <v>2</v>
      </c>
      <c r="D9" s="114"/>
      <c r="E9" s="114"/>
      <c r="F9" s="114"/>
      <c r="G9" s="114"/>
      <c r="H9" s="114"/>
      <c r="I9" s="114"/>
      <c r="J9" s="114"/>
      <c r="K9" s="115"/>
    </row>
    <row r="10" spans="3:11" ht="35.4" x14ac:dyDescent="0.65">
      <c r="C10" s="113" t="s">
        <v>3</v>
      </c>
      <c r="D10" s="114"/>
      <c r="E10" s="114"/>
      <c r="F10" s="114"/>
      <c r="G10" s="114"/>
      <c r="H10" s="114"/>
      <c r="I10" s="114"/>
      <c r="J10" s="114"/>
      <c r="K10" s="115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9" t="s">
        <v>4</v>
      </c>
      <c r="F18" s="119"/>
      <c r="G18" s="119"/>
      <c r="H18" s="119"/>
      <c r="I18" s="119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20" t="s">
        <v>5</v>
      </c>
      <c r="G21" s="120"/>
      <c r="H21" s="120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topLeftCell="C1" zoomScale="75" zoomScaleNormal="110" zoomScaleSheetLayoutView="75" workbookViewId="0">
      <pane ySplit="2" topLeftCell="A3" activePane="bottomLeft" state="frozen"/>
      <selection activeCell="B8" sqref="B8"/>
      <selection pane="bottomLeft" activeCell="R16" sqref="R1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9" t="s">
        <v>10</v>
      </c>
      <c r="F1" s="13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37"/>
      <c r="S1" s="140" t="s">
        <v>14</v>
      </c>
      <c r="T1" s="131" t="s">
        <v>15</v>
      </c>
      <c r="U1" s="131"/>
      <c r="V1" s="131"/>
      <c r="W1" s="121" t="s">
        <v>16</v>
      </c>
      <c r="X1" s="121" t="s">
        <v>17</v>
      </c>
    </row>
    <row r="2" spans="1:24" s="1" customFormat="1" ht="22.8" x14ac:dyDescent="0.15">
      <c r="A2" s="124"/>
      <c r="B2" s="126"/>
      <c r="C2" s="128"/>
      <c r="D2" s="128"/>
      <c r="E2" s="130"/>
      <c r="F2" s="13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41"/>
      <c r="T2" s="71" t="s">
        <v>29</v>
      </c>
      <c r="U2" s="72" t="s">
        <v>30</v>
      </c>
      <c r="V2" s="73" t="s">
        <v>31</v>
      </c>
      <c r="W2" s="122"/>
      <c r="X2" s="122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8">
        <v>45687</v>
      </c>
      <c r="U7" s="27"/>
      <c r="V7" s="28"/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8">
        <v>45687</v>
      </c>
      <c r="V8" s="28"/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8">
        <v>45687</v>
      </c>
      <c r="V9" s="28"/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391</v>
      </c>
      <c r="Q15" s="25"/>
      <c r="R15" s="24"/>
      <c r="S15" s="106"/>
      <c r="T15" s="26">
        <v>45701</v>
      </c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250</v>
      </c>
      <c r="Q16" s="25"/>
      <c r="R16" s="24"/>
      <c r="S16" s="106">
        <v>45691</v>
      </c>
      <c r="U16" s="27">
        <v>45702</v>
      </c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391</v>
      </c>
      <c r="Q17" s="25"/>
      <c r="R17" s="24"/>
      <c r="S17" s="106">
        <v>45691</v>
      </c>
      <c r="T17" s="26">
        <v>45701</v>
      </c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10</v>
      </c>
      <c r="Q18" s="41">
        <f t="shared" si="2"/>
        <v>0</v>
      </c>
      <c r="R18" s="40">
        <f t="shared" si="2"/>
        <v>0</v>
      </c>
      <c r="S18" s="108"/>
      <c r="T18" s="142" t="s">
        <v>52</v>
      </c>
      <c r="U18" s="142"/>
      <c r="V18" s="143"/>
      <c r="W18" s="42" t="s">
        <v>53</v>
      </c>
      <c r="X18" s="43">
        <f>SUM(G18:R18)</f>
        <v>14</v>
      </c>
    </row>
    <row r="19" spans="1:24" s="3" customFormat="1" ht="12" customHeight="1" x14ac:dyDescent="0.25">
      <c r="A19" s="44"/>
      <c r="B19" s="45" t="s">
        <v>54</v>
      </c>
      <c r="C19" s="46">
        <f>X20</f>
        <v>14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4"/>
      <c r="U19" s="144"/>
      <c r="V19" s="145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10</v>
      </c>
      <c r="Q20" s="51">
        <f t="shared" si="5"/>
        <v>0</v>
      </c>
      <c r="R20" s="50">
        <f t="shared" si="5"/>
        <v>0</v>
      </c>
      <c r="S20" s="138"/>
      <c r="T20" s="146">
        <f>COUNTA(T3:T17)</f>
        <v>6</v>
      </c>
      <c r="U20" s="148">
        <f>COUNTA(U3:U17)</f>
        <v>3</v>
      </c>
      <c r="V20" s="150">
        <f>COUNTA(V3:V17)</f>
        <v>7</v>
      </c>
      <c r="W20" s="58" t="s">
        <v>53</v>
      </c>
      <c r="X20" s="53">
        <f t="shared" si="4"/>
        <v>14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9"/>
      <c r="T21" s="147"/>
      <c r="U21" s="149"/>
      <c r="V21" s="151"/>
      <c r="W21" s="67" t="s">
        <v>53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O8" sqref="O8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37"/>
      <c r="S1" s="140" t="s">
        <v>14</v>
      </c>
      <c r="T1" s="131" t="s">
        <v>15</v>
      </c>
      <c r="U1" s="131"/>
      <c r="V1" s="131"/>
      <c r="W1" s="121" t="s">
        <v>16</v>
      </c>
      <c r="X1" s="69"/>
    </row>
    <row r="2" spans="1:24" s="1" customFormat="1" ht="18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41"/>
      <c r="T2" s="71" t="s">
        <v>29</v>
      </c>
      <c r="U2" s="72" t="s">
        <v>30</v>
      </c>
      <c r="V2" s="73" t="s">
        <v>31</v>
      </c>
      <c r="W2" s="122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42" t="s">
        <v>52</v>
      </c>
      <c r="U14" s="142"/>
      <c r="V14" s="143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4"/>
      <c r="U15" s="144"/>
      <c r="V15" s="145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8"/>
      <c r="T16" s="146">
        <f>COUNTA(T3:T13)</f>
        <v>8</v>
      </c>
      <c r="U16" s="148">
        <f>COUNTA(U3:U13)</f>
        <v>1</v>
      </c>
      <c r="V16" s="150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9"/>
      <c r="T17" s="147"/>
      <c r="U17" s="149"/>
      <c r="V17" s="151"/>
      <c r="W17" s="67" t="s">
        <v>53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G7" sqref="G7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391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2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42" t="s">
        <v>52</v>
      </c>
      <c r="T10" s="142"/>
      <c r="U10" s="143"/>
      <c r="V10" s="42" t="s">
        <v>53</v>
      </c>
      <c r="W10" s="43">
        <f>SUM(G10:Q10)</f>
        <v>5</v>
      </c>
    </row>
    <row r="11" spans="1:23" s="3" customFormat="1" ht="12" customHeight="1" x14ac:dyDescent="0.25">
      <c r="A11" s="44"/>
      <c r="B11" s="45" t="s">
        <v>54</v>
      </c>
      <c r="C11" s="46">
        <f>W12</f>
        <v>5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4"/>
      <c r="T11" s="144"/>
      <c r="U11" s="145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2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8"/>
      <c r="S12" s="146">
        <f>COUNTA(S3:S9)</f>
        <v>5</v>
      </c>
      <c r="T12" s="148">
        <f>COUNTA(T3:T9)</f>
        <v>0</v>
      </c>
      <c r="U12" s="150">
        <f>COUNTA(U3:U9)</f>
        <v>0</v>
      </c>
      <c r="V12" s="58" t="s">
        <v>53</v>
      </c>
      <c r="W12" s="53">
        <f t="shared" si="5"/>
        <v>5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9"/>
      <c r="S13" s="147"/>
      <c r="T13" s="149"/>
      <c r="U13" s="151"/>
      <c r="V13" s="67" t="s">
        <v>53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42" t="s">
        <v>52</v>
      </c>
      <c r="T10" s="142"/>
      <c r="U10" s="143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4"/>
      <c r="T11" s="144"/>
      <c r="U11" s="145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4"/>
      <c r="S12" s="154">
        <f>COUNTA(S3:S9)</f>
        <v>0</v>
      </c>
      <c r="T12" s="148">
        <f>COUNTA(T3:T9)</f>
        <v>0</v>
      </c>
      <c r="U12" s="150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5"/>
      <c r="S13" s="155"/>
      <c r="T13" s="149"/>
      <c r="U13" s="151"/>
      <c r="V13" s="67" t="s">
        <v>53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tabSelected="1" view="pageBreakPreview" topLeftCell="C1" zoomScale="85" zoomScaleNormal="110" zoomScaleSheetLayoutView="85" workbookViewId="0">
      <pane ySplit="2" topLeftCell="A95" activePane="bottomLeft" state="frozen"/>
      <selection activeCell="B8" sqref="B8"/>
      <selection pane="bottomLeft" activeCell="W111" sqref="W111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4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391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391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391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391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391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391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391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391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391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391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391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391</v>
      </c>
      <c r="O40" s="25"/>
      <c r="P40" s="25"/>
      <c r="Q40" s="24"/>
      <c r="R40" s="106">
        <v>45320</v>
      </c>
      <c r="S40" s="26">
        <v>45701</v>
      </c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391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391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391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391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391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391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391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391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391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391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391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391</v>
      </c>
      <c r="O78" s="25"/>
      <c r="P78" s="25"/>
      <c r="Q78" s="24"/>
      <c r="R78" s="106">
        <v>45321</v>
      </c>
      <c r="S78" s="26">
        <v>45701</v>
      </c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416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417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391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391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418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391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391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391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391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391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391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391</v>
      </c>
      <c r="O93" s="25"/>
      <c r="P93" s="25"/>
      <c r="Q93" s="24"/>
      <c r="R93" s="106">
        <v>45322</v>
      </c>
      <c r="S93" s="26">
        <v>45701</v>
      </c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419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391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420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391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421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391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422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391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414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391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423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391</v>
      </c>
      <c r="O101" s="25"/>
      <c r="P101" s="25"/>
      <c r="Q101" s="24"/>
      <c r="R101" s="106">
        <v>45322</v>
      </c>
      <c r="S101" s="26">
        <v>45700</v>
      </c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391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391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391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22.8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429</v>
      </c>
    </row>
    <row r="106" spans="1:23" ht="22.8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>
        <v>45700</v>
      </c>
      <c r="U106" s="28"/>
      <c r="V106" s="29"/>
      <c r="W106" s="30" t="s">
        <v>425</v>
      </c>
    </row>
    <row r="107" spans="1:23" ht="22.8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>
        <v>45700</v>
      </c>
      <c r="U107" s="28"/>
      <c r="V107" s="29"/>
      <c r="W107" s="30" t="s">
        <v>424</v>
      </c>
    </row>
    <row r="108" spans="1:23" ht="22.8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>
        <v>45700</v>
      </c>
      <c r="U108" s="28"/>
      <c r="V108" s="29"/>
      <c r="W108" s="30" t="s">
        <v>426</v>
      </c>
    </row>
    <row r="109" spans="1:23" ht="22.8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112">
        <v>45705</v>
      </c>
      <c r="T109" s="27"/>
      <c r="U109" s="28"/>
      <c r="V109" s="29"/>
      <c r="W109" s="30" t="s">
        <v>428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391</v>
      </c>
      <c r="O110" s="25"/>
      <c r="P110" s="25"/>
      <c r="Q110" s="24"/>
      <c r="R110" s="106">
        <v>45322</v>
      </c>
      <c r="S110" s="26">
        <v>45700</v>
      </c>
      <c r="T110" s="27"/>
      <c r="U110" s="28"/>
      <c r="V110" s="29"/>
      <c r="W110" s="30" t="s">
        <v>412</v>
      </c>
    </row>
    <row r="111" spans="1:23" ht="22.8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112"/>
      <c r="T111" s="27">
        <v>45705</v>
      </c>
      <c r="U111" s="28">
        <v>45706</v>
      </c>
      <c r="V111" s="29"/>
      <c r="W111" s="30" t="s">
        <v>430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391</v>
      </c>
      <c r="O112" s="25"/>
      <c r="P112" s="25"/>
      <c r="Q112" s="24"/>
      <c r="R112" s="106">
        <v>45322</v>
      </c>
      <c r="S112" s="26">
        <v>45700</v>
      </c>
      <c r="T112" s="27"/>
      <c r="U112" s="28"/>
      <c r="V112" s="29"/>
      <c r="W112" s="30" t="s">
        <v>413</v>
      </c>
    </row>
    <row r="113" spans="1:23" ht="22.8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391</v>
      </c>
      <c r="O113" s="25"/>
      <c r="P113" s="25"/>
      <c r="Q113" s="24"/>
      <c r="R113" s="106">
        <v>45322</v>
      </c>
      <c r="S113" s="26">
        <v>45701</v>
      </c>
      <c r="T113" s="27"/>
      <c r="U113" s="28"/>
      <c r="V113" s="29"/>
      <c r="W113" s="30" t="s">
        <v>427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391</v>
      </c>
      <c r="O114" s="25"/>
      <c r="P114" s="25"/>
      <c r="Q114" s="24"/>
      <c r="R114" s="106">
        <v>45322</v>
      </c>
      <c r="S114" s="26">
        <v>45701</v>
      </c>
      <c r="T114" s="27"/>
      <c r="U114" s="28"/>
      <c r="V114" s="29"/>
      <c r="W114" s="30" t="s">
        <v>415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94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42" t="s">
        <v>52</v>
      </c>
      <c r="T115" s="142"/>
      <c r="U115" s="143"/>
      <c r="V115" s="42" t="s">
        <v>53</v>
      </c>
      <c r="W115" s="43">
        <f>SUM(G115:Q115)</f>
        <v>96</v>
      </c>
    </row>
    <row r="116" spans="1:23" s="3" customFormat="1" ht="12" customHeight="1" x14ac:dyDescent="0.25">
      <c r="A116" s="44"/>
      <c r="B116" s="45" t="s">
        <v>54</v>
      </c>
      <c r="C116" s="46">
        <f>W117</f>
        <v>96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4"/>
      <c r="T116" s="144"/>
      <c r="U116" s="145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94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8"/>
      <c r="S117" s="146">
        <f>COUNTA(S3:S114)</f>
        <v>97</v>
      </c>
      <c r="T117" s="148">
        <f>COUNTA(T3:T114)</f>
        <v>13</v>
      </c>
      <c r="U117" s="150">
        <f>COUNTA(U3:U114)</f>
        <v>1</v>
      </c>
      <c r="V117" s="58" t="s">
        <v>53</v>
      </c>
      <c r="W117" s="53">
        <f t="shared" si="5"/>
        <v>96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9"/>
      <c r="S118" s="147"/>
      <c r="T118" s="149"/>
      <c r="U118" s="151"/>
      <c r="V118" s="67" t="s">
        <v>53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5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42" t="s">
        <v>52</v>
      </c>
      <c r="T94" s="142"/>
      <c r="U94" s="143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4"/>
      <c r="T95" s="144"/>
      <c r="U95" s="145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8"/>
      <c r="S96" s="146">
        <f>COUNTA(S3:S91)</f>
        <v>87</v>
      </c>
      <c r="T96" s="148">
        <f>COUNTA(T3:T91)</f>
        <v>0</v>
      </c>
      <c r="U96" s="150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9"/>
      <c r="S97" s="147"/>
      <c r="T97" s="149"/>
      <c r="U97" s="151"/>
      <c r="V97" s="67" t="s">
        <v>53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259FC9-BF2A-4895-AF73-24F3728E0DCC}"/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B1A985-4E3A-417E-9A69-802E3198C712}">
  <ds:schemaRefs>
    <ds:schemaRef ds:uri="http://schemas.microsoft.com/office/2006/documentManagement/types"/>
    <ds:schemaRef ds:uri="http://purl.org/dc/terms/"/>
    <ds:schemaRef ds:uri="55b7a9d6-bcaa-4a9d-b1c7-8801531a7bf3"/>
    <ds:schemaRef ds:uri="http://purl.org/dc/dcmitype/"/>
    <ds:schemaRef ds:uri="http://schemas.microsoft.com/office/infopath/2007/PartnerControls"/>
    <ds:schemaRef ds:uri="e85bf11c-610f-4c75-b4c1-3f2e492bcdf6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2025-02-18T00:45:18Z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