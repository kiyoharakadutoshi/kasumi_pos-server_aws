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Downloads\20240416\"/>
    </mc:Choice>
  </mc:AlternateContent>
  <xr:revisionPtr revIDLastSave="195" documentId="13_ncr:1_{F4389632-9AD7-4F12-B41E-5E82077E9236}" xr6:coauthVersionLast="47" xr6:coauthVersionMax="47" xr10:uidLastSave="{10E013A2-953D-433C-A275-B0A87A2FFF23}"/>
  <bookViews>
    <workbookView xWindow="-96" yWindow="-96" windowWidth="23232" windowHeight="13992" xr2:uid="{A2F21439-195E-4112-BA1F-EC9A867DC05C}"/>
  </bookViews>
  <sheets>
    <sheet name="夜間バッチ" sheetId="5" r:id="rId1"/>
    <sheet name="Sheet1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5" l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2" i="5"/>
  <c r="A3" i="5" s="1"/>
  <c r="A4" i="5"/>
  <c r="A5" i="5" s="1"/>
  <c r="A6" i="5" l="1"/>
  <c r="A7" i="5" s="1"/>
  <c r="A8" i="5" s="1"/>
</calcChain>
</file>

<file path=xl/sharedStrings.xml><?xml version="1.0" encoding="utf-8"?>
<sst xmlns="http://schemas.openxmlformats.org/spreadsheetml/2006/main" count="74" uniqueCount="70">
  <si>
    <t>項番</t>
  </si>
  <si>
    <t>バッチ処理</t>
  </si>
  <si>
    <t>機能</t>
  </si>
  <si>
    <t>内容</t>
  </si>
  <si>
    <t>備考</t>
    <rPh sb="0" eb="2">
      <t>ビコウ</t>
    </rPh>
    <phoneticPr fontId="1"/>
  </si>
  <si>
    <t>共通</t>
  </si>
  <si>
    <t>仕様打合せ</t>
  </si>
  <si>
    <t>期間満了マスタ削除
S&amp;G連携</t>
  </si>
  <si>
    <t xml:space="preserve">特売マスタ、ミッククスマッチマスタ、プロモーションマスタ
</t>
  </si>
  <si>
    <t xml:space="preserve">＜ストコン更新処理＞
・ストコンマスタ：終了日から7日経過の特売マスタ、ミックスマッチマスタ、プロモーションマスタの削除
※ カテゴリ値引・割引マスタの削除について検討要（カスミ内部）　
・日次スマートPOSマスタ連携：全件削除（送信マスタ・区分＝洗替）を行い、全て送信
</t>
  </si>
  <si>
    <t>※富士通（VTI)連携時間帯の確認</t>
  </si>
  <si>
    <t>マスタ整合性</t>
  </si>
  <si>
    <t>特売、ミックスマッチ</t>
  </si>
  <si>
    <t>・特売登録があり商品マスタ未登録商品一覧出力
・商品マスタとの関連チェックは行わない。</t>
  </si>
  <si>
    <t>S&amp;G連携サーバの再起動対応</t>
  </si>
  <si>
    <t>S&amp;G連携サーバーを月１回再起動を行う</t>
    <rPh sb="3" eb="5">
      <t>レンケイ</t>
    </rPh>
    <rPh sb="10" eb="11">
      <t>ツキ</t>
    </rPh>
    <rPh sb="12" eb="13">
      <t>カイ</t>
    </rPh>
    <rPh sb="13" eb="16">
      <t>サイキドウ</t>
    </rPh>
    <rPh sb="17" eb="18">
      <t>オコナ</t>
    </rPh>
    <phoneticPr fontId="1"/>
  </si>
  <si>
    <t>・第２月曜AM５時位で検討　※ストコン処理、S&amp;G連携マスタ処理影響確認要</t>
  </si>
  <si>
    <t>OC（BIPROGY）マスタ取込</t>
  </si>
  <si>
    <t>OCマスタ取込処理
※BIPROGYより配信</t>
  </si>
  <si>
    <t>・OCマスタ配信時間は２１時３０分　
・OC配信遅延時対応（OCマスタ作成遅延時の翌日マスタマージ取込（夜間）必要か？）
　※ 日中取込が可能あれば不要？
・取込時間帯
・取込はPOSマスタ配信時間迄　※ POS起動時間　
・取込はスマートPOSサーバーへの連携時間完了の確認
・月次マスタ　予算マスタ取込日　毎月末５営業日前　※臨時配信もあるので受信時は取込処理起動
・マスタ取込後受信環境はクリアを行う。
・P003配信時間　※ シャープ社確認</t>
  </si>
  <si>
    <t>移送仕様書あり※BIPROGY社様との打合せ時に接続仕様を含め再確認</t>
  </si>
  <si>
    <t>OC（BIPROGY）連携実績作成</t>
    <rPh sb="11" eb="13">
      <t>レンケイ</t>
    </rPh>
    <rPh sb="13" eb="15">
      <t>ジッセキ</t>
    </rPh>
    <rPh sb="15" eb="17">
      <t>サクセイ</t>
    </rPh>
    <phoneticPr fontId="1"/>
  </si>
  <si>
    <t>OC連携実績作成処理
※BIPROGYより受信起動</t>
  </si>
  <si>
    <t>・2時00分迄に実績ファイルを作成　※ 受信後のファイルクリアはどちらが行っているか
・2時10分の配信時間迄に処理が間合わなかった場合リカバリ処理
 　レジ精算実績未作成分を7時迄に作成　７時よりBIPROGY社再受信
　レジ精算実績以外は翌日の配信データに含めて配信　
　※経費実績確認要：BIPROGY社様確認要</t>
  </si>
  <si>
    <t>S&amp;G連携マスタ連携</t>
  </si>
  <si>
    <t>マスタ連携処理
※ストコンから送信</t>
  </si>
  <si>
    <t>・特売マスタ、ミックスマッチマスタは洗替。その他マスタは差分（追記、更新、削除）データを送信
・日中商品洗替可否確認
　全件データ連携（洗替）夜間（自動）・日中処理（手動）
　※ VTI社様に制限内容確認要（時間帯、件数等）</t>
  </si>
  <si>
    <t>BTI社様との打合せ時に接続仕様を含め確認要</t>
  </si>
  <si>
    <t>UDO連携実績作成</t>
    <rPh sb="3" eb="5">
      <t>レンケイ</t>
    </rPh>
    <rPh sb="5" eb="7">
      <t>ジッセキ</t>
    </rPh>
    <rPh sb="7" eb="9">
      <t>サクセイ</t>
    </rPh>
    <phoneticPr fontId="1"/>
  </si>
  <si>
    <t>※【UDO連携実績作成】参照（未作成）</t>
    <rPh sb="12" eb="14">
      <t>サンショウ</t>
    </rPh>
    <rPh sb="15" eb="18">
      <t>ミサクセイ</t>
    </rPh>
    <phoneticPr fontId="1"/>
  </si>
  <si>
    <t>UDOとの打合せ時に接続仕様を含め確認要</t>
  </si>
  <si>
    <t>アイネス社様向け実績作成</t>
    <rPh sb="4" eb="5">
      <t>シャ</t>
    </rPh>
    <rPh sb="5" eb="6">
      <t>サマ</t>
    </rPh>
    <rPh sb="6" eb="7">
      <t>ム</t>
    </rPh>
    <rPh sb="8" eb="10">
      <t>ジッセキ</t>
    </rPh>
    <rPh sb="10" eb="12">
      <t>サクセイ</t>
    </rPh>
    <phoneticPr fontId="1"/>
  </si>
  <si>
    <t>・POS分析情報（ヘッダー、明細、クレジット）
※ レコード区分【６０】対応版仕様追加要
・スーパーストリーム</t>
  </si>
  <si>
    <t>・POS売上明細
・作成遅延時にリカバリ処理</t>
  </si>
  <si>
    <t>移送仕様書あり※アイネス社様との打合せ時に接続仕様を含め再確認</t>
  </si>
  <si>
    <t>GC企画社様向け実績作成</t>
    <rPh sb="2" eb="4">
      <t>キカク</t>
    </rPh>
    <rPh sb="4" eb="5">
      <t>シャ</t>
    </rPh>
    <rPh sb="5" eb="6">
      <t>サマ</t>
    </rPh>
    <rPh sb="6" eb="7">
      <t>ム</t>
    </rPh>
    <rPh sb="8" eb="10">
      <t>ジッセキ</t>
    </rPh>
    <rPh sb="10" eb="12">
      <t>サクセイ</t>
    </rPh>
    <phoneticPr fontId="1"/>
  </si>
  <si>
    <t>GC企画社様向けクレジット売上情報（営業日単位）連携</t>
  </si>
  <si>
    <t>・クレジット売上情報（営業日単位）</t>
  </si>
  <si>
    <t>移送仕様書あり※GC企画様との打合せ時に接続仕様を含め再確認</t>
  </si>
  <si>
    <t>ダイソー社様マスタ取込</t>
    <rPh sb="4" eb="5">
      <t>シャ</t>
    </rPh>
    <rPh sb="5" eb="6">
      <t>サマ</t>
    </rPh>
    <rPh sb="9" eb="11">
      <t>トリコミ</t>
    </rPh>
    <phoneticPr fontId="1"/>
  </si>
  <si>
    <t>ダイソー社様商品マスタ取込（日次）
分類マスタ取込（不定期）</t>
  </si>
  <si>
    <t>・カスミ・ダイソー社様マスタ重複商品扱い対応
・ダイソー様向け売上実績内容</t>
    <rPh sb="9" eb="10">
      <t>シャ</t>
    </rPh>
    <rPh sb="10" eb="11">
      <t>サマ</t>
    </rPh>
    <rPh sb="14" eb="16">
      <t>ジュウフク</t>
    </rPh>
    <rPh sb="16" eb="18">
      <t>ショウヒン</t>
    </rPh>
    <rPh sb="18" eb="19">
      <t>アツカ</t>
    </rPh>
    <rPh sb="20" eb="22">
      <t>タイオウ</t>
    </rPh>
    <rPh sb="28" eb="29">
      <t>サマ</t>
    </rPh>
    <rPh sb="29" eb="30">
      <t>ム</t>
    </rPh>
    <rPh sb="31" eb="33">
      <t>ウリアゲ</t>
    </rPh>
    <rPh sb="33" eb="35">
      <t>ジッセキ</t>
    </rPh>
    <rPh sb="35" eb="37">
      <t>ナイヨウ</t>
    </rPh>
    <phoneticPr fontId="1"/>
  </si>
  <si>
    <t>ダイソー社様との打合せ時に接続仕様を含め確認要</t>
  </si>
  <si>
    <t>ダイソー社様向け実績作成</t>
    <rPh sb="4" eb="5">
      <t>シャ</t>
    </rPh>
    <rPh sb="5" eb="6">
      <t>サマ</t>
    </rPh>
    <rPh sb="6" eb="7">
      <t>ム</t>
    </rPh>
    <rPh sb="8" eb="10">
      <t>ジッセキ</t>
    </rPh>
    <rPh sb="10" eb="12">
      <t>サクセイ</t>
    </rPh>
    <phoneticPr fontId="1"/>
  </si>
  <si>
    <t>※【ダイソー社様向け実績作成】参照（未作成）</t>
  </si>
  <si>
    <t>OC連携ダイソー売上集計</t>
    <rPh sb="2" eb="4">
      <t>レンケイ</t>
    </rPh>
    <rPh sb="8" eb="10">
      <t>ウリアゲ</t>
    </rPh>
    <rPh sb="10" eb="12">
      <t>シュウケイ</t>
    </rPh>
    <phoneticPr fontId="1"/>
  </si>
  <si>
    <t>※【OC連携実績作成】参照（未作成）</t>
    <rPh sb="4" eb="6">
      <t>レンケイ</t>
    </rPh>
    <rPh sb="6" eb="8">
      <t>ジッセキ</t>
    </rPh>
    <rPh sb="8" eb="10">
      <t>サクセイ</t>
    </rPh>
    <rPh sb="11" eb="13">
      <t>サンショウ</t>
    </rPh>
    <rPh sb="14" eb="17">
      <t>ミサクセイ</t>
    </rPh>
    <phoneticPr fontId="1"/>
  </si>
  <si>
    <t>・ダイソー売上部門を２５部門としてOC向け【単品売上実績】に固定商品で集計
※ POS売上は１３部門　OC連携時に２５部門に集約</t>
    <rPh sb="5" eb="7">
      <t>ウリアゲ</t>
    </rPh>
    <rPh sb="7" eb="9">
      <t>ブモン</t>
    </rPh>
    <rPh sb="12" eb="14">
      <t>ブモン</t>
    </rPh>
    <rPh sb="19" eb="20">
      <t>ム</t>
    </rPh>
    <rPh sb="22" eb="24">
      <t>タンピン</t>
    </rPh>
    <rPh sb="24" eb="26">
      <t>ウリアゲ</t>
    </rPh>
    <rPh sb="26" eb="28">
      <t>ジッセキ</t>
    </rPh>
    <rPh sb="30" eb="32">
      <t>コテイ</t>
    </rPh>
    <rPh sb="32" eb="34">
      <t>ショウヒン</t>
    </rPh>
    <rPh sb="35" eb="37">
      <t>シュウケイ</t>
    </rPh>
    <rPh sb="43" eb="45">
      <t>ウリアゲ</t>
    </rPh>
    <rPh sb="48" eb="50">
      <t>ブモン</t>
    </rPh>
    <rPh sb="53" eb="55">
      <t>レンケイ</t>
    </rPh>
    <rPh sb="55" eb="56">
      <t>ジ</t>
    </rPh>
    <rPh sb="59" eb="61">
      <t>ブモン</t>
    </rPh>
    <rPh sb="62" eb="64">
      <t>シュウヤク</t>
    </rPh>
    <phoneticPr fontId="1"/>
  </si>
  <si>
    <t>ウエルシア社様マスタ取込</t>
    <rPh sb="5" eb="6">
      <t>シャ</t>
    </rPh>
    <rPh sb="6" eb="7">
      <t>サマ</t>
    </rPh>
    <rPh sb="10" eb="12">
      <t>トリコミ</t>
    </rPh>
    <phoneticPr fontId="1"/>
  </si>
  <si>
    <t>※【ウエルシア社様マスタ取込】参照（未作成）</t>
    <rPh sb="15" eb="17">
      <t>サンショウ</t>
    </rPh>
    <rPh sb="18" eb="21">
      <t>ミサクセイ</t>
    </rPh>
    <phoneticPr fontId="1"/>
  </si>
  <si>
    <r>
      <rPr>
        <sz val="11"/>
        <color rgb="FF000000"/>
        <rFont val="メイリオ"/>
      </rPr>
      <t xml:space="preserve">
</t>
    </r>
    <r>
      <rPr>
        <sz val="11"/>
        <color rgb="FF000000"/>
        <rFont val="メイリオ"/>
      </rPr>
      <t>・カスミ・ダイソー社様マスタ重複商品扱い対応／カスミ扱い不可（医薬品）対応
・ダイソー様向け売上実績内容</t>
    </r>
  </si>
  <si>
    <t>ウエルシア社様との打合せ時に接続仕様を含め確認要</t>
  </si>
  <si>
    <t>ウエルシア社様向け実績作成</t>
    <rPh sb="5" eb="6">
      <t>シャ</t>
    </rPh>
    <rPh sb="6" eb="7">
      <t>サマ</t>
    </rPh>
    <rPh sb="7" eb="8">
      <t>ム</t>
    </rPh>
    <rPh sb="9" eb="11">
      <t>ジッセキ</t>
    </rPh>
    <rPh sb="11" eb="13">
      <t>サクセイ</t>
    </rPh>
    <phoneticPr fontId="1"/>
  </si>
  <si>
    <t>※【ウエルシア社様向け実績作成】参照（未作成）</t>
    <rPh sb="16" eb="18">
      <t>サンショウ</t>
    </rPh>
    <rPh sb="19" eb="22">
      <t>ミサクセイ</t>
    </rPh>
    <phoneticPr fontId="1"/>
  </si>
  <si>
    <t>シャープ社様連携マスタ</t>
  </si>
  <si>
    <t>※【シャープ社様マスタ連携】参照（未作成）</t>
  </si>
  <si>
    <t>・シャープPOP用マスタ連携（S&amp;G連携マスタと同内容）</t>
  </si>
  <si>
    <t>新店対応</t>
  </si>
  <si>
    <t>新店環境構築　マスタ</t>
  </si>
  <si>
    <t>「コピー元店番」、「コピー先店番」を指定して夜間バッチでマスタコピー処理を行う。
※ 店マスタに項目（「コピー元店番」、「コピー先店番」）を持たせる。コピー次期検討要（カスミ内容：事前特売、
※ コピー元店番存在チェック、コピー店番存在チェック
※コピー対象マスタ洗出し　階層マスタ、プロモーションマスタ（先頭２桁が「99」を対象）作成次期</t>
  </si>
  <si>
    <t>部門追加</t>
  </si>
  <si>
    <t>処理名</t>
  </si>
  <si>
    <t>アラート内容</t>
  </si>
  <si>
    <t>アラートメール内容</t>
  </si>
  <si>
    <t>備考</t>
  </si>
  <si>
    <t>OCマスタ取込
商品マスタ</t>
  </si>
  <si>
    <t>OC連携マスタが０件、OC連携マスタファイルがない場合
※０件で作成されるか、マスタファイルがないのかBIPROGY社に確認要。</t>
  </si>
  <si>
    <t>OC商品マスタ取込が作成されていません。OCでのマスタ作成内容の確認を行って下さい。</t>
  </si>
  <si>
    <t>営業店舗のマスタが０件の場合。</t>
  </si>
  <si>
    <t>OC商品マスタにNNN(999)の作成されていません。OCでのマスタ作成内容の確認を行って下さい。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</si>
</sst>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rgb="FF242424"/>
      <name val="Meiryo UI"/>
      <charset val="1"/>
    </font>
    <font>
      <sz val="14"/>
      <color theme="1"/>
      <name val="メイリオ"/>
    </font>
    <font>
      <sz val="11"/>
      <color theme="1"/>
      <name val="メイリオ"/>
    </font>
    <font>
      <sz val="11"/>
      <color rgb="FF000000"/>
      <name val="メイリオ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</cellXfs>
  <cellStyles count="1">
    <cellStyle name="標準" xfId="0" builtinId="0"/>
  </cellStyles>
  <dxfs count="9"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メイリオ"/>
      </font>
    </dxf>
    <dxf>
      <font>
        <sz val="14"/>
        <name val="メイリオ"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752CF-7714-4DD0-832E-1C7F81B931B8}" name="テーブル14" displayName="テーブル14" ref="A1:E36" totalsRowShown="0" headerRowDxfId="8" dataDxfId="7" headerRowBorderDxfId="5" tableBorderDxfId="6">
  <autoFilter ref="A1:E36" xr:uid="{672DCF36-636B-4C82-A65E-1F2F0C98C9B1}"/>
  <tableColumns count="5">
    <tableColumn id="1" xr3:uid="{8A420BAC-1AFB-49F0-A030-D12B3B06365F}" name="項番" dataDxfId="4">
      <calculatedColumnFormula>IF(ISNUMBER(A1),A1+1,1)</calculatedColumnFormula>
    </tableColumn>
    <tableColumn id="2" xr3:uid="{7638BD63-1DC8-4252-835B-8094DC8D5990}" name="バッチ処理" dataDxfId="3"/>
    <tableColumn id="3" xr3:uid="{D5C6182F-8433-4E06-8292-D71BF5E26F3D}" name="機能" dataDxfId="2"/>
    <tableColumn id="4" xr3:uid="{A137781E-A162-416A-861D-DBAF4990B082}" name="内容" dataDxfId="1"/>
    <tableColumn id="5" xr3:uid="{524FAA81-5FCD-4E2C-A3DE-51B639D70DD6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BE5-E054-4173-ADA4-0064AD85175D}">
  <sheetPr>
    <pageSetUpPr fitToPage="1"/>
  </sheetPr>
  <dimension ref="A1:E38"/>
  <sheetViews>
    <sheetView tabSelected="1" topLeftCell="B1" zoomScale="90" zoomScaleNormal="90" workbookViewId="0">
      <selection activeCell="D6" sqref="D6"/>
    </sheetView>
  </sheetViews>
  <sheetFormatPr defaultColWidth="9" defaultRowHeight="17.45"/>
  <cols>
    <col min="1" max="1" width="8.25" style="2" customWidth="1"/>
    <col min="2" max="2" width="31.5" style="2" customWidth="1"/>
    <col min="3" max="3" width="86.625" style="2" customWidth="1"/>
    <col min="4" max="4" width="103" style="2" customWidth="1"/>
    <col min="5" max="5" width="114.75" style="2" customWidth="1"/>
    <col min="6" max="16384" width="9" style="2"/>
  </cols>
  <sheetData>
    <row r="1" spans="1:5" ht="21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>
      <c r="A2" s="3">
        <f t="shared" ref="A2" si="0">IF(ISNUMBER(#REF!),#REF!+1,1)</f>
        <v>1</v>
      </c>
      <c r="B2" s="10" t="s">
        <v>5</v>
      </c>
      <c r="C2" s="10" t="s">
        <v>6</v>
      </c>
      <c r="D2" s="9"/>
      <c r="E2" s="9"/>
    </row>
    <row r="3" spans="1:5" ht="92.25">
      <c r="A3" s="3">
        <f t="shared" ref="A3:A36" si="1">IF(ISNUMBER(A2),A2+1,1)</f>
        <v>2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5" ht="36.75">
      <c r="A4" s="3">
        <f t="shared" si="1"/>
        <v>3</v>
      </c>
      <c r="B4" s="12" t="s">
        <v>11</v>
      </c>
      <c r="C4" s="12" t="s">
        <v>12</v>
      </c>
      <c r="D4" s="12" t="s">
        <v>13</v>
      </c>
      <c r="E4" s="12"/>
    </row>
    <row r="5" spans="1:5" ht="18.75">
      <c r="A5" s="3">
        <f t="shared" si="1"/>
        <v>4</v>
      </c>
      <c r="B5" s="3" t="s">
        <v>14</v>
      </c>
      <c r="C5" s="3" t="s">
        <v>15</v>
      </c>
      <c r="D5" s="4" t="s">
        <v>16</v>
      </c>
      <c r="E5" s="3"/>
    </row>
    <row r="6" spans="1:5" ht="165.75">
      <c r="A6" s="3">
        <f t="shared" si="1"/>
        <v>5</v>
      </c>
      <c r="B6" s="3" t="s">
        <v>17</v>
      </c>
      <c r="C6" s="4" t="s">
        <v>18</v>
      </c>
      <c r="D6" s="11" t="s">
        <v>19</v>
      </c>
      <c r="E6" s="3" t="s">
        <v>20</v>
      </c>
    </row>
    <row r="7" spans="1:5" ht="92.25">
      <c r="A7" s="3">
        <f t="shared" si="1"/>
        <v>6</v>
      </c>
      <c r="B7" s="3" t="s">
        <v>21</v>
      </c>
      <c r="C7" s="4" t="s">
        <v>22</v>
      </c>
      <c r="D7" s="4" t="s">
        <v>23</v>
      </c>
      <c r="E7" s="3" t="s">
        <v>20</v>
      </c>
    </row>
    <row r="8" spans="1:5" ht="73.5">
      <c r="A8" s="3">
        <f t="shared" si="1"/>
        <v>7</v>
      </c>
      <c r="B8" s="3" t="s">
        <v>24</v>
      </c>
      <c r="C8" s="4" t="s">
        <v>25</v>
      </c>
      <c r="D8" s="4" t="s">
        <v>26</v>
      </c>
      <c r="E8" s="4" t="s">
        <v>27</v>
      </c>
    </row>
    <row r="9" spans="1:5" ht="18.75">
      <c r="A9" s="3">
        <f t="shared" si="1"/>
        <v>8</v>
      </c>
      <c r="B9" s="14"/>
      <c r="C9" s="12"/>
      <c r="D9" s="12"/>
      <c r="E9" s="12"/>
    </row>
    <row r="10" spans="1:5" ht="18.75">
      <c r="A10" s="3">
        <f t="shared" si="1"/>
        <v>9</v>
      </c>
      <c r="B10" s="3" t="s">
        <v>28</v>
      </c>
      <c r="C10" s="3" t="s">
        <v>29</v>
      </c>
      <c r="D10" s="4"/>
      <c r="E10" s="4" t="s">
        <v>30</v>
      </c>
    </row>
    <row r="11" spans="1:5" ht="55.5">
      <c r="A11" s="3">
        <f t="shared" si="1"/>
        <v>10</v>
      </c>
      <c r="B11" s="3" t="s">
        <v>31</v>
      </c>
      <c r="C11" s="4" t="s">
        <v>32</v>
      </c>
      <c r="D11" s="4" t="s">
        <v>33</v>
      </c>
      <c r="E11" s="3" t="s">
        <v>34</v>
      </c>
    </row>
    <row r="12" spans="1:5" ht="18.75">
      <c r="A12" s="3">
        <f t="shared" si="1"/>
        <v>11</v>
      </c>
      <c r="B12" s="3" t="s">
        <v>35</v>
      </c>
      <c r="C12" s="3" t="s">
        <v>36</v>
      </c>
      <c r="D12" s="4" t="s">
        <v>37</v>
      </c>
      <c r="E12" s="3" t="s">
        <v>38</v>
      </c>
    </row>
    <row r="13" spans="1:5" ht="36.75">
      <c r="A13" s="3">
        <f t="shared" si="1"/>
        <v>12</v>
      </c>
      <c r="B13" s="3" t="s">
        <v>39</v>
      </c>
      <c r="C13" s="4" t="s">
        <v>40</v>
      </c>
      <c r="D13" s="4" t="s">
        <v>41</v>
      </c>
      <c r="E13" s="4" t="s">
        <v>42</v>
      </c>
    </row>
    <row r="14" spans="1:5" ht="18.75">
      <c r="A14" s="3">
        <f t="shared" si="1"/>
        <v>13</v>
      </c>
      <c r="B14" s="3" t="s">
        <v>43</v>
      </c>
      <c r="C14" s="3" t="s">
        <v>44</v>
      </c>
      <c r="D14" s="4"/>
      <c r="E14" s="4" t="s">
        <v>42</v>
      </c>
    </row>
    <row r="15" spans="1:5" ht="34.9">
      <c r="A15" s="3">
        <f t="shared" si="1"/>
        <v>14</v>
      </c>
      <c r="B15" s="3" t="s">
        <v>45</v>
      </c>
      <c r="C15" s="3" t="s">
        <v>46</v>
      </c>
      <c r="D15" s="4" t="s">
        <v>47</v>
      </c>
      <c r="E15" s="3"/>
    </row>
    <row r="16" spans="1:5" ht="55.5">
      <c r="A16" s="3">
        <f t="shared" si="1"/>
        <v>15</v>
      </c>
      <c r="B16" s="3" t="s">
        <v>48</v>
      </c>
      <c r="C16" s="3" t="s">
        <v>49</v>
      </c>
      <c r="D16" s="13" t="s">
        <v>50</v>
      </c>
      <c r="E16" s="4" t="s">
        <v>51</v>
      </c>
    </row>
    <row r="17" spans="1:5" ht="18.75">
      <c r="A17" s="3">
        <f t="shared" si="1"/>
        <v>16</v>
      </c>
      <c r="B17" s="3" t="s">
        <v>52</v>
      </c>
      <c r="C17" s="3" t="s">
        <v>53</v>
      </c>
      <c r="D17" s="5"/>
      <c r="E17" s="4" t="s">
        <v>51</v>
      </c>
    </row>
    <row r="18" spans="1:5">
      <c r="A18" s="3">
        <f t="shared" si="1"/>
        <v>17</v>
      </c>
      <c r="B18" s="3" t="s">
        <v>54</v>
      </c>
      <c r="C18" s="3" t="s">
        <v>55</v>
      </c>
      <c r="D18" s="3" t="s">
        <v>56</v>
      </c>
      <c r="E18" s="3"/>
    </row>
    <row r="19" spans="1:5" ht="73.5">
      <c r="A19" s="3">
        <f t="shared" si="1"/>
        <v>18</v>
      </c>
      <c r="B19" s="3" t="s">
        <v>57</v>
      </c>
      <c r="C19" s="3" t="s">
        <v>58</v>
      </c>
      <c r="D19" s="4" t="s">
        <v>59</v>
      </c>
      <c r="E19" s="3"/>
    </row>
    <row r="20" spans="1:5">
      <c r="A20" s="3">
        <f t="shared" si="1"/>
        <v>19</v>
      </c>
      <c r="B20" s="3" t="s">
        <v>60</v>
      </c>
      <c r="C20" s="3"/>
      <c r="D20" s="4"/>
      <c r="E20" s="3"/>
    </row>
    <row r="21" spans="1:5">
      <c r="A21" s="3">
        <f t="shared" si="1"/>
        <v>20</v>
      </c>
      <c r="B21" s="3"/>
      <c r="C21" s="3"/>
      <c r="D21" s="4"/>
      <c r="E21" s="3"/>
    </row>
    <row r="22" spans="1:5">
      <c r="A22" s="3">
        <f t="shared" si="1"/>
        <v>21</v>
      </c>
      <c r="B22" s="3"/>
      <c r="C22" s="3"/>
      <c r="D22" s="4"/>
      <c r="E22" s="4"/>
    </row>
    <row r="23" spans="1:5">
      <c r="A23" s="3">
        <f t="shared" si="1"/>
        <v>22</v>
      </c>
      <c r="B23" s="3"/>
      <c r="C23" s="3"/>
      <c r="D23" s="4"/>
      <c r="E23" s="4"/>
    </row>
    <row r="24" spans="1:5">
      <c r="A24" s="3">
        <f t="shared" si="1"/>
        <v>23</v>
      </c>
      <c r="B24" s="3"/>
      <c r="C24" s="3"/>
      <c r="D24" s="3"/>
      <c r="E24" s="3"/>
    </row>
    <row r="25" spans="1:5">
      <c r="A25" s="3">
        <f t="shared" si="1"/>
        <v>24</v>
      </c>
      <c r="B25" s="3"/>
      <c r="C25" s="3"/>
      <c r="D25" s="4"/>
      <c r="E25" s="3"/>
    </row>
    <row r="26" spans="1:5">
      <c r="A26" s="3">
        <f t="shared" si="1"/>
        <v>25</v>
      </c>
      <c r="B26" s="3"/>
      <c r="C26" s="3"/>
      <c r="D26" s="3"/>
      <c r="E26" s="3"/>
    </row>
    <row r="27" spans="1:5">
      <c r="A27" s="3">
        <f t="shared" si="1"/>
        <v>26</v>
      </c>
      <c r="B27" s="3"/>
      <c r="C27" s="3"/>
      <c r="D27" s="3"/>
      <c r="E27" s="3"/>
    </row>
    <row r="28" spans="1:5">
      <c r="A28" s="3">
        <f t="shared" si="1"/>
        <v>27</v>
      </c>
      <c r="B28" s="3"/>
      <c r="C28" s="3"/>
      <c r="D28" s="3"/>
      <c r="E28" s="3"/>
    </row>
    <row r="29" spans="1:5">
      <c r="A29" s="3">
        <f t="shared" si="1"/>
        <v>28</v>
      </c>
      <c r="B29" s="3"/>
      <c r="C29" s="3"/>
      <c r="D29" s="3"/>
      <c r="E29" s="3"/>
    </row>
    <row r="30" spans="1:5">
      <c r="A30" s="3">
        <f t="shared" si="1"/>
        <v>29</v>
      </c>
      <c r="B30" s="3"/>
      <c r="C30" s="3"/>
      <c r="D30" s="3"/>
      <c r="E30" s="3"/>
    </row>
    <row r="31" spans="1:5">
      <c r="A31" s="3">
        <f t="shared" si="1"/>
        <v>30</v>
      </c>
      <c r="B31" s="3"/>
      <c r="C31" s="3"/>
      <c r="D31" s="3"/>
      <c r="E31" s="3"/>
    </row>
    <row r="32" spans="1:5">
      <c r="A32" s="3">
        <f t="shared" si="1"/>
        <v>31</v>
      </c>
      <c r="B32" s="3"/>
      <c r="C32" s="3"/>
      <c r="D32" s="3"/>
      <c r="E32" s="4"/>
    </row>
    <row r="33" spans="1:5">
      <c r="A33" s="3">
        <f t="shared" si="1"/>
        <v>32</v>
      </c>
      <c r="B33" s="3"/>
      <c r="C33" s="3"/>
      <c r="D33" s="3"/>
      <c r="E33" s="3"/>
    </row>
    <row r="34" spans="1:5">
      <c r="A34" s="3">
        <f t="shared" si="1"/>
        <v>33</v>
      </c>
      <c r="B34" s="3"/>
      <c r="C34" s="3"/>
      <c r="D34" s="3"/>
      <c r="E34" s="3"/>
    </row>
    <row r="35" spans="1:5">
      <c r="A35" s="3">
        <f t="shared" si="1"/>
        <v>34</v>
      </c>
      <c r="B35" s="3"/>
      <c r="C35" s="3"/>
      <c r="D35" s="3"/>
      <c r="E35" s="3"/>
    </row>
    <row r="36" spans="1:5">
      <c r="A36" s="3">
        <f t="shared" si="1"/>
        <v>35</v>
      </c>
      <c r="B36" s="3"/>
      <c r="C36" s="3"/>
      <c r="D36" s="3"/>
      <c r="E36" s="3"/>
    </row>
    <row r="37" spans="1:5" ht="18.75"/>
    <row r="38" spans="1:5" ht="18.75"/>
  </sheetData>
  <phoneticPr fontId="1"/>
  <pageMargins left="0.51181102362204722" right="0.31496062992125984" top="0.74803149606299213" bottom="0.55118110236220474" header="0.31496062992125984" footer="0.31496062992125984"/>
  <pageSetup paperSize="9" scale="5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DBC7-0CE5-4010-B8E6-2E7069E821CF}">
  <dimension ref="A1:D3"/>
  <sheetViews>
    <sheetView workbookViewId="0"/>
  </sheetViews>
  <sheetFormatPr defaultRowHeight="18.75"/>
  <cols>
    <col min="1" max="1" width="12.625" bestFit="1" customWidth="1"/>
    <col min="2" max="2" width="64.25" customWidth="1"/>
    <col min="3" max="3" width="93.375" bestFit="1" customWidth="1"/>
    <col min="4" max="4" width="5.375" bestFit="1" customWidth="1"/>
  </cols>
  <sheetData>
    <row r="1" spans="1:4">
      <c r="A1" s="6" t="s">
        <v>61</v>
      </c>
      <c r="B1" s="6" t="s">
        <v>62</v>
      </c>
      <c r="C1" s="6" t="s">
        <v>63</v>
      </c>
      <c r="D1" t="s">
        <v>64</v>
      </c>
    </row>
    <row r="2" spans="1:4" ht="45">
      <c r="A2" s="7" t="s">
        <v>65</v>
      </c>
      <c r="B2" s="8" t="s">
        <v>66</v>
      </c>
      <c r="C2" s="6" t="s">
        <v>67</v>
      </c>
    </row>
    <row r="3" spans="1:4" ht="31.5">
      <c r="A3" s="7" t="s">
        <v>65</v>
      </c>
      <c r="B3" s="6" t="s">
        <v>68</v>
      </c>
      <c r="C3" s="6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AA7A920A-9221-4C8C-8CE7-F2EB1D4918E1}"/>
</file>

<file path=customXml/itemProps2.xml><?xml version="1.0" encoding="utf-8"?>
<ds:datastoreItem xmlns:ds="http://schemas.openxmlformats.org/officeDocument/2006/customXml" ds:itemID="{DBFE1A67-C448-46EB-95C7-1F855B8E7207}"/>
</file>

<file path=customXml/itemProps3.xml><?xml version="1.0" encoding="utf-8"?>
<ds:datastoreItem xmlns:ds="http://schemas.openxmlformats.org/officeDocument/2006/customXml" ds:itemID="{CAE82A0B-53E3-4BC5-916F-E230942D4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2022-04-19T19:46:46Z</dcterms:created>
  <dcterms:modified xsi:type="dcterms:W3CDTF">2025-01-07T06:46:08Z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