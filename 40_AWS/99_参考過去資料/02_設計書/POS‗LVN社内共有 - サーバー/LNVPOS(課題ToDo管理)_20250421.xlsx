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24226"/>
  <mc:AlternateContent xmlns:mc="http://schemas.openxmlformats.org/markup-compatibility/2006">
    <mc:Choice Requires="x15">
      <x15ac:absPath xmlns:x15ac="http://schemas.microsoft.com/office/spreadsheetml/2010/11/ac" url="C:\Users\ohtani\Downloads\"/>
    </mc:Choice>
  </mc:AlternateContent>
  <xr:revisionPtr revIDLastSave="37" documentId="13_ncr:1_{36D695E6-78AC-494D-BF18-C26CE324852C}" xr6:coauthVersionLast="47" xr6:coauthVersionMax="47" xr10:uidLastSave="{6F72C89A-EBEC-4C23-A859-80199EF7EC49}"/>
  <bookViews>
    <workbookView xWindow="2400" yWindow="2130" windowWidth="14400" windowHeight="7280" tabRatio="868" xr2:uid="{00000000-000D-0000-FFFF-FFFF00000000}"/>
  </bookViews>
  <sheets>
    <sheet name="課題・ToDo" sheetId="1" r:id="rId1"/>
  </sheets>
  <definedNames>
    <definedName name="_10Ｂ２_" hidden="1">{"ＰＬ明細",#N/A,TRUE,"ＰＬ";"平残ＢＳ",#N/A,TRUE,"ＢＳ";"試験",#N/A,TRUE,"会員"}</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2_" hidden="1">{"ＰＬ明細",#N/A,TRUE,"ＰＬ";"平残ＢＳ",#N/A,TRUE,"ＢＳ";"試験",#N/A,TRUE,"会員"}</definedName>
    <definedName name="_xlnm._FilterDatabase" localSheetId="0" hidden="1">課題・ToDo!$A$4:$R$83</definedName>
    <definedName name="_xlnm.Print_Area" localSheetId="0">課題・ToDo!$A$1:$R$83</definedName>
    <definedName name="_xlnm.Print_Titles" localSheetId="0">課題・ToDo!$1:$4</definedName>
    <definedName name="Z_03B18C13_CDDF_4C30_8142_D64377C73B01_.wvu.FilterData" localSheetId="0" hidden="1">課題・ToDo!$A$4:$R$82</definedName>
    <definedName name="Z_03B18C13_CDDF_4C30_8142_D64377C73B01_.wvu.PrintArea" localSheetId="0" hidden="1">課題・ToDo!$A$1:$R$4</definedName>
    <definedName name="Z_08BD7F9F_5EE5_49B4_A57E_3AA05BABFEAD_.wvu.FilterData" localSheetId="0" hidden="1">課題・ToDo!$A$4:$R$82</definedName>
    <definedName name="Z_1E74C8C6_F17D_416B_8574_04851C6530CA_.wvu.FilterData" localSheetId="0" hidden="1">課題・ToDo!$A$4:$R$82</definedName>
    <definedName name="Z_69BE827F_8453_463D_9629_240F6DA2F534_.wvu.FilterData" localSheetId="0" hidden="1">課題・ToDo!$A$4:$R$82</definedName>
    <definedName name="Z_77FDD869_F79F_495E_9A27_AC0C837A7FD0_.wvu.FilterData" localSheetId="0" hidden="1">課題・ToDo!$A$4:$R$82</definedName>
    <definedName name="Z_E74948B7_4D66_4273_BE80_E7B6632322D5_.wvu.FilterData" localSheetId="0" hidden="1">課題・ToDo!$A$4:$R$82</definedName>
    <definedName name="Z_E7CC7833_BCD6_48D4_94F1_CBEF85BBB720_.wvu.FilterData" localSheetId="0" hidden="1">課題・ToDo!$A$4:$R$82</definedName>
  </definedNames>
  <calcPr calcId="191028"/>
  <customWorkbookViews>
    <customWorkbookView name="IS:坂本 幸輝 - 個人用ビュー" guid="{1E74C8C6-F17D-416B-8574-04851C6530CA}" mergeInterval="0" personalView="1" maximized="1" windowWidth="1362" windowHeight="534" activeSheetId="1"/>
    <customWorkbookView name="IS：五十嵐 - 個人用ビュー" guid="{E7CC7833-BCD6-48D4-94F1-CBEF85BBB720}" mergeInterval="0" personalView="1" maximized="1" windowWidth="1362" windowHeight="520" activeSheetId="1"/>
    <customWorkbookView name="IMAI - 個人用ビュー" guid="{E74948B7-4D66-4273-BE80-E7B6632322D5}" mergeInterval="0" personalView="1" maximized="1" windowWidth="1362" windowHeight="520" activeSheetId="1"/>
    <customWorkbookView name="入口 和幸 - 個人用ビュー" guid="{08BD7F9F-5EE5-49B4-A57E-3AA05BABFEAD}" mergeInterval="0" personalView="1" maximized="1" windowWidth="1362" windowHeight="538" activeSheetId="1"/>
    <customWorkbookView name="CRESCO - 個人用ビュー" guid="{03B18C13-CDDF-4C30-8142-D64377C73B01}" mergeInterval="0" personalView="1" xWindow="27" yWindow="110" windowWidth="1828" windowHeight="69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1" l="1"/>
  <c r="A8" i="1"/>
  <c r="A14" i="1"/>
  <c r="A13" i="1"/>
  <c r="A11" i="1"/>
  <c r="A9" i="1"/>
  <c r="A83" i="1" l="1"/>
  <c r="J3" i="1"/>
  <c r="K3" i="1" s="1"/>
  <c r="A78" i="1"/>
  <c r="A79" i="1"/>
  <c r="A80" i="1"/>
  <c r="A81" i="1"/>
  <c r="A82" i="1"/>
  <c r="A77" i="1"/>
  <c r="A76" i="1"/>
  <c r="A75" i="1"/>
  <c r="A73" i="1" l="1"/>
  <c r="A29" i="1"/>
  <c r="A30" i="1"/>
  <c r="A31" i="1"/>
  <c r="A32" i="1"/>
  <c r="A33" i="1"/>
  <c r="A16" i="1" l="1"/>
  <c r="A15" i="1"/>
  <c r="A12" i="1"/>
  <c r="A7" i="1"/>
  <c r="A26" i="1"/>
  <c r="A25" i="1"/>
  <c r="A24" i="1"/>
  <c r="A23" i="1"/>
  <c r="A22" i="1"/>
  <c r="A21" i="1"/>
  <c r="A20" i="1"/>
  <c r="A19" i="1"/>
  <c r="A18" i="1"/>
  <c r="A17" i="1"/>
  <c r="A6" i="1"/>
  <c r="A5" i="1"/>
  <c r="A74" i="1"/>
  <c r="A72" i="1"/>
  <c r="A71" i="1"/>
  <c r="A70" i="1"/>
  <c r="A69" i="1"/>
  <c r="A68" i="1"/>
  <c r="A63" i="1"/>
  <c r="A62" i="1"/>
  <c r="A67" i="1"/>
  <c r="A66" i="1"/>
  <c r="A65" i="1"/>
  <c r="A64"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28" i="1"/>
  <c r="A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PS-P 早坂  一王</author>
  </authors>
  <commentList>
    <comment ref="Q4" authorId="0" shapeId="0" xr:uid="{00000000-0006-0000-0000-000001000000}">
      <text>
        <r>
          <rPr>
            <b/>
            <sz val="9"/>
            <color indexed="81"/>
            <rFont val="MS P ゴシック"/>
            <family val="3"/>
            <charset val="128"/>
          </rPr>
          <t>PS-P 早坂  一王:</t>
        </r>
        <r>
          <rPr>
            <sz val="9"/>
            <color indexed="81"/>
            <rFont val="MS P ゴシック"/>
            <family val="3"/>
            <charset val="128"/>
          </rPr>
          <t xml:space="preserve">
課題対応完了日を記入</t>
        </r>
      </text>
    </comment>
  </commentList>
</comments>
</file>

<file path=xl/sharedStrings.xml><?xml version="1.0" encoding="utf-8"?>
<sst xmlns="http://schemas.openxmlformats.org/spreadsheetml/2006/main" count="155" uniqueCount="81">
  <si>
    <t>（仮称）LVNPOS課題管理一覧</t>
    <rPh sb="1" eb="3">
      <t>カショウ</t>
    </rPh>
    <rPh sb="10" eb="12">
      <t>カダイ</t>
    </rPh>
    <rPh sb="12" eb="14">
      <t>カンリ</t>
    </rPh>
    <rPh sb="14" eb="16">
      <t>イチラン</t>
    </rPh>
    <phoneticPr fontId="7"/>
  </si>
  <si>
    <t>完了</t>
    <rPh sb="0" eb="2">
      <t>カンリョウ</t>
    </rPh>
    <phoneticPr fontId="7"/>
  </si>
  <si>
    <t>未完了</t>
    <rPh sb="0" eb="3">
      <t>ミカンリョウ</t>
    </rPh>
    <phoneticPr fontId="7"/>
  </si>
  <si>
    <t>課題/ToDo管理表</t>
    <phoneticPr fontId="7"/>
  </si>
  <si>
    <t>No</t>
    <phoneticPr fontId="7"/>
  </si>
  <si>
    <t>区分</t>
    <rPh sb="0" eb="2">
      <t>クブン</t>
    </rPh>
    <phoneticPr fontId="7"/>
  </si>
  <si>
    <t>重要度</t>
    <rPh sb="0" eb="3">
      <t>ジュウヨウド</t>
    </rPh>
    <phoneticPr fontId="7"/>
  </si>
  <si>
    <t>緊急度</t>
    <rPh sb="0" eb="3">
      <t>キンキュウド</t>
    </rPh>
    <phoneticPr fontId="7"/>
  </si>
  <si>
    <t>題名</t>
    <rPh sb="0" eb="2">
      <t>ダイメイ</t>
    </rPh>
    <phoneticPr fontId="7"/>
  </si>
  <si>
    <t>内容</t>
    <rPh sb="0" eb="2">
      <t>ナイヨウ</t>
    </rPh>
    <phoneticPr fontId="7"/>
  </si>
  <si>
    <t>完了基準</t>
    <rPh sb="0" eb="2">
      <t>カンリョウ</t>
    </rPh>
    <rPh sb="2" eb="4">
      <t>キジュン</t>
    </rPh>
    <phoneticPr fontId="7"/>
  </si>
  <si>
    <t>対応履歴</t>
    <rPh sb="0" eb="2">
      <t>タイオウ</t>
    </rPh>
    <rPh sb="2" eb="4">
      <t>リレキ</t>
    </rPh>
    <phoneticPr fontId="7"/>
  </si>
  <si>
    <t>結論</t>
    <rPh sb="0" eb="2">
      <t>ケツロン</t>
    </rPh>
    <phoneticPr fontId="7"/>
  </si>
  <si>
    <t>状況</t>
    <rPh sb="0" eb="2">
      <t>ジョウキョウ</t>
    </rPh>
    <phoneticPr fontId="7"/>
  </si>
  <si>
    <t>登録者</t>
    <rPh sb="0" eb="3">
      <t>トウロクシャ</t>
    </rPh>
    <phoneticPr fontId="7"/>
  </si>
  <si>
    <t>登録日</t>
    <rPh sb="0" eb="3">
      <t>トウロクビ</t>
    </rPh>
    <phoneticPr fontId="7"/>
  </si>
  <si>
    <t>更新者</t>
    <rPh sb="0" eb="3">
      <t>コウシンシャ</t>
    </rPh>
    <phoneticPr fontId="7"/>
  </si>
  <si>
    <t>更新日</t>
    <rPh sb="0" eb="2">
      <t>コウシン</t>
    </rPh>
    <rPh sb="2" eb="3">
      <t>ビ</t>
    </rPh>
    <phoneticPr fontId="7"/>
  </si>
  <si>
    <t>対応者</t>
    <rPh sb="0" eb="2">
      <t>タイオウ</t>
    </rPh>
    <rPh sb="2" eb="3">
      <t>シャ</t>
    </rPh>
    <phoneticPr fontId="7"/>
  </si>
  <si>
    <t>期日</t>
    <rPh sb="0" eb="2">
      <t>キジツ</t>
    </rPh>
    <phoneticPr fontId="7"/>
  </si>
  <si>
    <t>対応日</t>
    <rPh sb="0" eb="2">
      <t>タイオウ</t>
    </rPh>
    <rPh sb="2" eb="3">
      <t>ビ</t>
    </rPh>
    <phoneticPr fontId="7"/>
  </si>
  <si>
    <t>備考</t>
    <rPh sb="0" eb="2">
      <t>ビコウ</t>
    </rPh>
    <phoneticPr fontId="7"/>
  </si>
  <si>
    <t>QA</t>
  </si>
  <si>
    <t>高</t>
  </si>
  <si>
    <t>【プロジェクト概要について】
POS Server 2.0 に関する役割について</t>
    <rPh sb="7" eb="9">
      <t>ガイヨウ</t>
    </rPh>
    <rPh sb="31" eb="32">
      <t>カン</t>
    </rPh>
    <rPh sb="34" eb="36">
      <t>ヤクワリ</t>
    </rPh>
    <phoneticPr fontId="7"/>
  </si>
  <si>
    <t xml:space="preserve">「システム全体像_POS-SV.pptx」を拝見しましたが、そもそもの当サービスの役割についてご教示ください。推測として、元々はオンライン版としてPOS状況からリアルタイムの状況把握等々が元々の役割を目指す（=要件）と想像しましたが、それがオフライン版だとPOSマスターデータの授配信/生成になっているように見受けられるので、本来目指すべき役割について正しく認識したいです。
</t>
    <rPh sb="22" eb="24">
      <t>ハイケン</t>
    </rPh>
    <rPh sb="35" eb="36">
      <t>トウ</t>
    </rPh>
    <rPh sb="41" eb="43">
      <t>ヤクワリ</t>
    </rPh>
    <rPh sb="48" eb="50">
      <t>キョウジ</t>
    </rPh>
    <rPh sb="55" eb="57">
      <t>スイソク</t>
    </rPh>
    <rPh sb="61" eb="63">
      <t>モトモト</t>
    </rPh>
    <rPh sb="69" eb="70">
      <t>バン</t>
    </rPh>
    <rPh sb="76" eb="78">
      <t>ジョウキョウ</t>
    </rPh>
    <rPh sb="87" eb="89">
      <t>ジョウキョウ</t>
    </rPh>
    <rPh sb="89" eb="91">
      <t>ハアク</t>
    </rPh>
    <rPh sb="91" eb="93">
      <t>トウトウ</t>
    </rPh>
    <rPh sb="94" eb="96">
      <t>モトモト</t>
    </rPh>
    <rPh sb="97" eb="99">
      <t>ヤクワリ</t>
    </rPh>
    <rPh sb="100" eb="102">
      <t>メザ</t>
    </rPh>
    <rPh sb="105" eb="107">
      <t>ヨウケン</t>
    </rPh>
    <rPh sb="109" eb="111">
      <t>ソウゾウ</t>
    </rPh>
    <rPh sb="125" eb="126">
      <t>バン</t>
    </rPh>
    <rPh sb="139" eb="140">
      <t>ジュ</t>
    </rPh>
    <rPh sb="140" eb="142">
      <t>ハイシン</t>
    </rPh>
    <rPh sb="143" eb="145">
      <t>セイセイ</t>
    </rPh>
    <rPh sb="154" eb="156">
      <t>ミウ</t>
    </rPh>
    <rPh sb="163" eb="165">
      <t>ホンライ</t>
    </rPh>
    <rPh sb="165" eb="167">
      <t>メザ</t>
    </rPh>
    <rPh sb="170" eb="172">
      <t>ヤクワリ</t>
    </rPh>
    <rPh sb="176" eb="177">
      <t>タダ</t>
    </rPh>
    <rPh sb="179" eb="181">
      <t>ニンシキ</t>
    </rPh>
    <phoneticPr fontId="7"/>
  </si>
  <si>
    <t>POS Server 2.0の役割を示すドキュメントもしくは、回答をいただくこと</t>
    <rPh sb="15" eb="17">
      <t>ヤクワリ</t>
    </rPh>
    <rPh sb="18" eb="19">
      <t>シメ</t>
    </rPh>
    <rPh sb="31" eb="33">
      <t>カイトウ</t>
    </rPh>
    <phoneticPr fontId="7"/>
  </si>
  <si>
    <t>4/21:きよはら
当初は、オンライン版での導入を予定しておりました。しかしながら、４月第一週目から１店舗目に導入したところ、想定していたより通信状況の不具合によるエラーが発生したために導入を中止し、オフライン版での再導入をへとリスケになりました。</t>
  </si>
  <si>
    <t>未着手</t>
  </si>
  <si>
    <t>CRESCO
遠藤</t>
    <rPh sb="7" eb="9">
      <t>エンドウ</t>
    </rPh>
    <phoneticPr fontId="7"/>
  </si>
  <si>
    <t>ルビナ様</t>
    <rPh sb="3" eb="4">
      <t>サマ</t>
    </rPh>
    <phoneticPr fontId="7"/>
  </si>
  <si>
    <t>【プロジェクト概要について】
オフライン版機能開発の経緯について</t>
    <rPh sb="20" eb="21">
      <t>バン</t>
    </rPh>
    <rPh sb="21" eb="23">
      <t>キノウ</t>
    </rPh>
    <rPh sb="23" eb="25">
      <t>カイハツ</t>
    </rPh>
    <rPh sb="26" eb="28">
      <t>ケイイ</t>
    </rPh>
    <phoneticPr fontId="7"/>
  </si>
  <si>
    <t>元々オンライン版を開発していたが、今回オフライン版に急遽開発することになったと認識しております。具体的にどのような経緯から判断に至ったのか教示ください。</t>
    <rPh sb="0" eb="2">
      <t>モトモト</t>
    </rPh>
    <rPh sb="7" eb="8">
      <t>バン</t>
    </rPh>
    <rPh sb="9" eb="11">
      <t>カイハツ</t>
    </rPh>
    <rPh sb="17" eb="19">
      <t>コンカイ</t>
    </rPh>
    <rPh sb="24" eb="25">
      <t>バン</t>
    </rPh>
    <rPh sb="26" eb="28">
      <t>キュウキョ</t>
    </rPh>
    <rPh sb="28" eb="30">
      <t>カイハツ</t>
    </rPh>
    <rPh sb="39" eb="41">
      <t>ニンシキ</t>
    </rPh>
    <rPh sb="48" eb="51">
      <t>グタイテキ</t>
    </rPh>
    <rPh sb="57" eb="59">
      <t>ケイイ</t>
    </rPh>
    <rPh sb="61" eb="63">
      <t>ハンダン</t>
    </rPh>
    <rPh sb="64" eb="65">
      <t>イタ</t>
    </rPh>
    <rPh sb="69" eb="71">
      <t>キョウジ</t>
    </rPh>
    <phoneticPr fontId="7"/>
  </si>
  <si>
    <t>オフライン版機能開発の経緯の回答をいただくこと</t>
    <rPh sb="14" eb="16">
      <t>カイトウ</t>
    </rPh>
    <phoneticPr fontId="7"/>
  </si>
  <si>
    <t>【プロジェクト概要について】
オフライン版開発についてのエンドユーザーの合意形成状況について</t>
    <rPh sb="20" eb="21">
      <t>バン</t>
    </rPh>
    <rPh sb="21" eb="23">
      <t>カイハツ</t>
    </rPh>
    <rPh sb="36" eb="38">
      <t>ゴウイ</t>
    </rPh>
    <rPh sb="38" eb="40">
      <t>ケイセイ</t>
    </rPh>
    <rPh sb="40" eb="42">
      <t>ジョウキョウ</t>
    </rPh>
    <phoneticPr fontId="7"/>
  </si>
  <si>
    <t>プロジェクト計画や設計状態などを見るとオフライン版構築に関しては立ち上げたばかりと印象を受けております。この構築指針についてはエンドユーザーと合意形成がされた状態でのスタートであると認識すればよいでしょうか。</t>
    <rPh sb="6" eb="8">
      <t>ケイカク</t>
    </rPh>
    <rPh sb="9" eb="11">
      <t>セッケイ</t>
    </rPh>
    <rPh sb="11" eb="13">
      <t>ジョウタイ</t>
    </rPh>
    <rPh sb="16" eb="17">
      <t>ミ</t>
    </rPh>
    <rPh sb="24" eb="25">
      <t>バン</t>
    </rPh>
    <rPh sb="25" eb="27">
      <t>コウチク</t>
    </rPh>
    <rPh sb="28" eb="29">
      <t>カン</t>
    </rPh>
    <rPh sb="32" eb="33">
      <t>タ</t>
    </rPh>
    <rPh sb="34" eb="35">
      <t>ア</t>
    </rPh>
    <rPh sb="41" eb="43">
      <t>インショウ</t>
    </rPh>
    <rPh sb="44" eb="45">
      <t>ウ</t>
    </rPh>
    <rPh sb="54" eb="56">
      <t>コウチク</t>
    </rPh>
    <rPh sb="56" eb="58">
      <t>シシン</t>
    </rPh>
    <rPh sb="71" eb="73">
      <t>ゴウイ</t>
    </rPh>
    <rPh sb="73" eb="75">
      <t>ケイセイ</t>
    </rPh>
    <rPh sb="79" eb="81">
      <t>ジョウタイ</t>
    </rPh>
    <rPh sb="91" eb="93">
      <t>ニンシキ</t>
    </rPh>
    <phoneticPr fontId="7"/>
  </si>
  <si>
    <t>エンドユーザーとの合意形成状態を確認できること</t>
    <rPh sb="9" eb="13">
      <t>ゴウイケイセイ</t>
    </rPh>
    <rPh sb="13" eb="15">
      <t>ジョウタイ</t>
    </rPh>
    <rPh sb="16" eb="18">
      <t>カクニン</t>
    </rPh>
    <phoneticPr fontId="7"/>
  </si>
  <si>
    <t>4/21：きよはら　エンドユーザーと、基本方向性については合意しています。詳細については今後のお打ち合わせにて予定しています。</t>
  </si>
  <si>
    <t>今月の4月中に、エンドユーザーと合意形成を目指します。そのためにビジネス要件を定義することから開始します。</t>
  </si>
  <si>
    <t xml:space="preserve">【プロジェクト概要について】
オンライン/オフライン版の関係性について
</t>
    <rPh sb="26" eb="27">
      <t>バン</t>
    </rPh>
    <rPh sb="28" eb="31">
      <t>カンケイセイ</t>
    </rPh>
    <phoneticPr fontId="7"/>
  </si>
  <si>
    <t xml:space="preserve">認識齟齬があったら恐縮ですが、現在オンライン版は存在している認識です。
その場合、システムとしてどういう使い分けとなり、それぞれの接点はどうなるのかという関係性についてご教示ください。
</t>
    <rPh sb="0" eb="2">
      <t>ニンシキ</t>
    </rPh>
    <rPh sb="2" eb="4">
      <t>ソゴ</t>
    </rPh>
    <rPh sb="9" eb="11">
      <t>キョウシュク</t>
    </rPh>
    <rPh sb="15" eb="17">
      <t>ゲンザイ</t>
    </rPh>
    <rPh sb="22" eb="23">
      <t>バン</t>
    </rPh>
    <rPh sb="24" eb="26">
      <t>ソンザイ</t>
    </rPh>
    <rPh sb="30" eb="32">
      <t>ニンシキ</t>
    </rPh>
    <rPh sb="38" eb="40">
      <t>バアイ</t>
    </rPh>
    <rPh sb="52" eb="53">
      <t>ツカ</t>
    </rPh>
    <rPh sb="54" eb="55">
      <t>ワ</t>
    </rPh>
    <rPh sb="65" eb="67">
      <t>セッテン</t>
    </rPh>
    <rPh sb="77" eb="80">
      <t>カンケイセイ</t>
    </rPh>
    <rPh sb="85" eb="87">
      <t>キョウジ</t>
    </rPh>
    <phoneticPr fontId="7"/>
  </si>
  <si>
    <t>オンライン/オフライン版の関係性が整理されること</t>
    <rPh sb="11" eb="12">
      <t>バン</t>
    </rPh>
    <rPh sb="13" eb="16">
      <t>カンケイセイ</t>
    </rPh>
    <rPh sb="17" eb="19">
      <t>セイリ</t>
    </rPh>
    <phoneticPr fontId="7"/>
  </si>
  <si>
    <t>4/21：きよはら 今後、オンライン版の使用はありません。</t>
  </si>
  <si>
    <t>オンライン版は、今後サービスで利用されません。オフライン版が完成するまでの間、開発チームがオンライン版の環境で開発を行うことは想定しています。</t>
  </si>
  <si>
    <t>低</t>
  </si>
  <si>
    <t>【プロジェクト体制について】
エンドユーザーを含めたプロジェクト体制について</t>
    <rPh sb="7" eb="9">
      <t>タイセイ</t>
    </rPh>
    <rPh sb="23" eb="24">
      <t>フク</t>
    </rPh>
    <rPh sb="32" eb="34">
      <t>タイセイ</t>
    </rPh>
    <phoneticPr fontId="7"/>
  </si>
  <si>
    <t>現時点において、貴社および（弊社含む）エンドユーザー体制について把握できておりません。特に結合試験などを実施する際、どこ会社との調整が必要だったりする関わり合いが生じることが想定されるため、体制図などの情報提供をお願いします。</t>
    <rPh sb="0" eb="3">
      <t>ゲンジテン</t>
    </rPh>
    <rPh sb="8" eb="10">
      <t>キシャ</t>
    </rPh>
    <rPh sb="14" eb="16">
      <t>ヘイシャ</t>
    </rPh>
    <rPh sb="16" eb="17">
      <t>フク</t>
    </rPh>
    <rPh sb="26" eb="28">
      <t>タイセイ</t>
    </rPh>
    <rPh sb="32" eb="34">
      <t>ハアク</t>
    </rPh>
    <rPh sb="43" eb="44">
      <t>トク</t>
    </rPh>
    <rPh sb="45" eb="47">
      <t>ケツゴウ</t>
    </rPh>
    <rPh sb="47" eb="49">
      <t>シケン</t>
    </rPh>
    <rPh sb="52" eb="54">
      <t>ジッシ</t>
    </rPh>
    <rPh sb="56" eb="57">
      <t>サイ</t>
    </rPh>
    <rPh sb="60" eb="62">
      <t>カイシャ</t>
    </rPh>
    <rPh sb="64" eb="66">
      <t>チョウセイ</t>
    </rPh>
    <rPh sb="67" eb="69">
      <t>ヒツヨウ</t>
    </rPh>
    <rPh sb="75" eb="76">
      <t>カカ</t>
    </rPh>
    <rPh sb="78" eb="79">
      <t>ア</t>
    </rPh>
    <rPh sb="81" eb="82">
      <t>ショウ</t>
    </rPh>
    <rPh sb="87" eb="89">
      <t>ソウテイ</t>
    </rPh>
    <rPh sb="95" eb="97">
      <t>タイセイ</t>
    </rPh>
    <rPh sb="97" eb="98">
      <t>ズ</t>
    </rPh>
    <rPh sb="101" eb="103">
      <t>ジョウホウ</t>
    </rPh>
    <rPh sb="103" eb="105">
      <t>テイキョウ</t>
    </rPh>
    <rPh sb="107" eb="108">
      <t>ネガ</t>
    </rPh>
    <phoneticPr fontId="7"/>
  </si>
  <si>
    <t>プロジェクト体制が明確になること</t>
    <rPh sb="6" eb="8">
      <t>タイセイ</t>
    </rPh>
    <rPh sb="9" eb="11">
      <t>メイカク</t>
    </rPh>
    <phoneticPr fontId="7"/>
  </si>
  <si>
    <t xml:space="preserve">4/21：きよはら
エンドユーザーは、いなげや様各店とそのお客様になります。いなげや様内、開発窓口はいなげや様情報システム部。その上位組織に、USMH様　システム部になります。
商流的には、弊社と、USMH様との契約になります。
データ連携については、いなげや様基幹システム（管理不明）→POSServer既存(管理：富士通)→Scan＆Go(管理：富士通＆VTI)→POSアプリ（Luvina）となり、POSServer既存には、POS機既存(管理：富士通)も使用しているために、Luvina製のPOS機と富士通製のPOS機とで、売価、実績ともに、常に同じ価格でなければならないのがマストです。
ただし、日中の売価変更の反映は、最長で５分のタイムラグまでは、OKです。
</t>
  </si>
  <si>
    <t>今月中にエンドユーザ―様と確認いたします。</t>
  </si>
  <si>
    <t>【コミュニケーション方法について】
作業を進めるにあたってのコミュニケーションについて</t>
    <rPh sb="10" eb="12">
      <t>ホウホウ</t>
    </rPh>
    <rPh sb="18" eb="20">
      <t>サギョウ</t>
    </rPh>
    <rPh sb="21" eb="22">
      <t>スス</t>
    </rPh>
    <phoneticPr fontId="7"/>
  </si>
  <si>
    <t>4/16の打合せでは特に取り決めていなかったのでご教示ください。
基本的にオンライン作業になる認識ですので、以下のような場面でコミュケーションを取る必要あると思いますが、今回においては貴社推奨ツールを使わせていただきたく。
---
・週次進捗などの定例MTG（進捗報告や課題検討など）
　→Web会議
・日々のコミュニケーション
　→チャット
・ファイル共有
　→オンラインストレージ
※例えば、貴社がTeamsの利用可能であれば、弊社メンバーをゲスト参加させていただくなど</t>
  </si>
  <si>
    <t>役割分担を合意すること</t>
    <rPh sb="0" eb="4">
      <t>ヤクワリブンタン</t>
    </rPh>
    <rPh sb="5" eb="7">
      <t>ゴウイ</t>
    </rPh>
    <phoneticPr fontId="7"/>
  </si>
  <si>
    <t>はい、招致しました。
具体的なツールについては、確認してから回答します。
日々のコミュニケーションに関しては、場面によっては、チャットだけではなく、オンラインでつなげた状態で会話することもお願いしたいです。</t>
  </si>
  <si>
    <t>【役割分担について】
インフラ作業における分担について</t>
    <rPh sb="1" eb="3">
      <t>ヤクワリ</t>
    </rPh>
    <rPh sb="3" eb="5">
      <t>ブンタン</t>
    </rPh>
    <rPh sb="15" eb="17">
      <t>サギョウ</t>
    </rPh>
    <rPh sb="21" eb="23">
      <t>ブンタン</t>
    </rPh>
    <phoneticPr fontId="7"/>
  </si>
  <si>
    <t xml:space="preserve">現時点においてどのような役割分担とするか明確になっておりませんので整理をさせてください。
4/16の打合せの際の話より、以下が基本的な分担を想定しておりますが認識齟齬内でしょうか。
---
エンドユーザーとの会議/スケジュールやタスク調整等：
　ルビナ社主体（弊社は必要に応じて参加）
弊社作業レビューおよび承認：
　ルビナ社（レビューを依頼する際は弊社内でレビューが完了したもの）
アプリ側IT/PT/ST支援：
　ルビナ社主体でトラブル発生時などの対応が弊社
</t>
  </si>
  <si>
    <t>はい、その認識であっております。</t>
  </si>
  <si>
    <t>【作成物について#1】
作業期間中の作成物について</t>
    <rPh sb="1" eb="3">
      <t>サクセイ</t>
    </rPh>
    <rPh sb="3" eb="4">
      <t>ブツ</t>
    </rPh>
    <rPh sb="12" eb="14">
      <t>サギョウ</t>
    </rPh>
    <rPh sb="14" eb="17">
      <t>キカンチュウ</t>
    </rPh>
    <rPh sb="18" eb="20">
      <t>サクセイ</t>
    </rPh>
    <rPh sb="20" eb="21">
      <t>ブツ</t>
    </rPh>
    <phoneticPr fontId="7"/>
  </si>
  <si>
    <t>4/16の打合せの際の話より、以下の作成物を想定しました。
認識齟齬が無いかご確認ください。
---
AWS設計書（エンドユーザー納品対象）
- 全体構成図
- 機能別サービス利用方針（7つのマイルストーンに基づく機能）
インフラコード（ルビナ様提供物）
- Teraform（現時点）
実機（エンドユーザー納品対象）
- POS Server 2.0(オフライン)一式</t>
    <rPh sb="15" eb="17">
      <t>イカ</t>
    </rPh>
    <rPh sb="18" eb="20">
      <t>サクセイ</t>
    </rPh>
    <rPh sb="20" eb="21">
      <t>ブツ</t>
    </rPh>
    <rPh sb="22" eb="24">
      <t>ソウテイ</t>
    </rPh>
    <rPh sb="30" eb="32">
      <t>ニンシキ</t>
    </rPh>
    <rPh sb="32" eb="34">
      <t>ソゴ</t>
    </rPh>
    <rPh sb="35" eb="36">
      <t>ナ</t>
    </rPh>
    <rPh sb="39" eb="41">
      <t>カクニン</t>
    </rPh>
    <rPh sb="54" eb="56">
      <t>セッケイ</t>
    </rPh>
    <rPh sb="56" eb="57">
      <t>ショ</t>
    </rPh>
    <rPh sb="65" eb="67">
      <t>ノウヒン</t>
    </rPh>
    <rPh sb="67" eb="69">
      <t>タイショウ</t>
    </rPh>
    <rPh sb="73" eb="75">
      <t>ゼンタイ</t>
    </rPh>
    <rPh sb="75" eb="78">
      <t>コウセイズ</t>
    </rPh>
    <rPh sb="81" eb="83">
      <t>キノウ</t>
    </rPh>
    <rPh sb="83" eb="84">
      <t>ベツ</t>
    </rPh>
    <rPh sb="88" eb="90">
      <t>リヨウ</t>
    </rPh>
    <rPh sb="90" eb="92">
      <t>ホウシン</t>
    </rPh>
    <rPh sb="104" eb="105">
      <t>モト</t>
    </rPh>
    <rPh sb="107" eb="109">
      <t>キノウ</t>
    </rPh>
    <rPh sb="122" eb="123">
      <t>サマ</t>
    </rPh>
    <rPh sb="123" eb="125">
      <t>テイキョウ</t>
    </rPh>
    <rPh sb="125" eb="126">
      <t>ブツ</t>
    </rPh>
    <rPh sb="139" eb="142">
      <t>ゲンジテン</t>
    </rPh>
    <rPh sb="144" eb="146">
      <t>ジッキ</t>
    </rPh>
    <rPh sb="183" eb="185">
      <t>イッシキ</t>
    </rPh>
    <phoneticPr fontId="7"/>
  </si>
  <si>
    <t>作成物を合意すること</t>
    <rPh sb="0" eb="2">
      <t>サクセイ</t>
    </rPh>
    <rPh sb="2" eb="3">
      <t>ブツ</t>
    </rPh>
    <rPh sb="4" eb="6">
      <t>ゴウイ</t>
    </rPh>
    <phoneticPr fontId="7"/>
  </si>
  <si>
    <t>追加で下記もお願いしたいです。
・インフラレベルのテスト項目書
・監視項目書
・インフラレベルの運用マニュアル（例えば、Terraformデプロイ方法、監視追加方法など）</t>
  </si>
  <si>
    <t>【作成物について#2】
作成物の粒度について</t>
    <rPh sb="1" eb="3">
      <t>サクセイ</t>
    </rPh>
    <rPh sb="3" eb="4">
      <t>ブツ</t>
    </rPh>
    <rPh sb="12" eb="14">
      <t>サクセイ</t>
    </rPh>
    <rPh sb="14" eb="15">
      <t>ブツ</t>
    </rPh>
    <rPh sb="16" eb="18">
      <t>リュウド</t>
    </rPh>
    <phoneticPr fontId="7"/>
  </si>
  <si>
    <t>貴社で現在作成している設計書の粒度について把握したいので、納品想定としているドキュメントを提供していただけないでしょうか。またファイルフォーマット（.xlsxなど）の指定もいただける有難いです。</t>
    <rPh sb="0" eb="2">
      <t>キシャ</t>
    </rPh>
    <rPh sb="3" eb="5">
      <t>ゲンザイ</t>
    </rPh>
    <rPh sb="5" eb="7">
      <t>サクセイ</t>
    </rPh>
    <rPh sb="11" eb="13">
      <t>セッケイ</t>
    </rPh>
    <rPh sb="13" eb="14">
      <t>ショ</t>
    </rPh>
    <rPh sb="15" eb="17">
      <t>リュウド</t>
    </rPh>
    <rPh sb="21" eb="23">
      <t>ハアク</t>
    </rPh>
    <rPh sb="29" eb="31">
      <t>ノウヒン</t>
    </rPh>
    <rPh sb="31" eb="33">
      <t>ソウテイ</t>
    </rPh>
    <rPh sb="45" eb="47">
      <t>テイキョウ</t>
    </rPh>
    <rPh sb="83" eb="85">
      <t>シテイ</t>
    </rPh>
    <rPh sb="91" eb="93">
      <t>アリガタ</t>
    </rPh>
    <phoneticPr fontId="7"/>
  </si>
  <si>
    <t>作成物の粒度について</t>
    <rPh sb="0" eb="2">
      <t>サクセイ</t>
    </rPh>
    <rPh sb="2" eb="3">
      <t>ブツ</t>
    </rPh>
    <rPh sb="4" eb="6">
      <t>リュウド</t>
    </rPh>
    <phoneticPr fontId="7"/>
  </si>
  <si>
    <t>今回、インフラコード化されるので、基本的に設計書は不要と考えています。
※任意ですが、Terraformから構成図を出力する方法が効果的であれば、この方法を活用したいと考えています。
https://blog.mmmcorp.co.jp/2023/07/26/generating-architecture-diagram-from-terraform-code/</t>
  </si>
  <si>
    <t>【作成物について#3】
テスト仕様書について</t>
    <rPh sb="1" eb="3">
      <t>サクセイ</t>
    </rPh>
    <rPh sb="3" eb="4">
      <t>ブツ</t>
    </rPh>
    <rPh sb="15" eb="18">
      <t>シヨウショ</t>
    </rPh>
    <phoneticPr fontId="7"/>
  </si>
  <si>
    <t>インフラ環境品質を向上させるためにテストが必須であると思いますが、現時点の作成物には指定がありませんでした。これは任意に作成して進める想定ですが、指定されなかったのは何か意図されるものはありますでしょうか。</t>
    <rPh sb="4" eb="6">
      <t>カンキョウ</t>
    </rPh>
    <rPh sb="6" eb="8">
      <t>ヒンシツ</t>
    </rPh>
    <rPh sb="9" eb="11">
      <t>コウジョウ</t>
    </rPh>
    <rPh sb="21" eb="23">
      <t>ヒッス</t>
    </rPh>
    <rPh sb="27" eb="28">
      <t>オモ</t>
    </rPh>
    <rPh sb="33" eb="36">
      <t>ゲンジテン</t>
    </rPh>
    <rPh sb="37" eb="39">
      <t>サクセイ</t>
    </rPh>
    <rPh sb="39" eb="40">
      <t>ブツ</t>
    </rPh>
    <rPh sb="42" eb="44">
      <t>シテイ</t>
    </rPh>
    <rPh sb="57" eb="59">
      <t>ニンイ</t>
    </rPh>
    <rPh sb="60" eb="62">
      <t>サクセイ</t>
    </rPh>
    <rPh sb="64" eb="65">
      <t>スス</t>
    </rPh>
    <rPh sb="67" eb="69">
      <t>ソウテイ</t>
    </rPh>
    <rPh sb="73" eb="75">
      <t>シテイ</t>
    </rPh>
    <rPh sb="83" eb="84">
      <t>ナニ</t>
    </rPh>
    <rPh sb="85" eb="87">
      <t>イト</t>
    </rPh>
    <phoneticPr fontId="7"/>
  </si>
  <si>
    <t>インフラレベルのテストも想定しております。</t>
  </si>
  <si>
    <t>【スケジュールについて】
インフラマイルストーンについて</t>
    <phoneticPr fontId="7"/>
  </si>
  <si>
    <t>現時点では5月から参画し9/1リリースに向け、アプリ側などと一体となり進める認識です。現在アプリおよび結合試験に向けた対向システムご担当企業との調整もあると思いますが、大きな枠組みとしてインフラ観点では以下のようなイメージで良いでしょうか。
---
5月：インフラ設計
6月：インフラ構築/設計（1,2,3）
7月：インフラ構築/設計（4,5,6）
8月：アプリテスト支援（7）
9月：引継ドキュメント作成およびルビナ引継
※上記番号は、「POS Server 2.0 インフラ構成見直し計画」スライド4のマイルストーン</t>
  </si>
  <si>
    <t>インフラ作業のマイルストーンの認識があること</t>
    <rPh sb="4" eb="6">
      <t>サギョウ</t>
    </rPh>
    <rPh sb="15" eb="17">
      <t>ニンシキ</t>
    </rPh>
    <phoneticPr fontId="7"/>
  </si>
  <si>
    <t>スケジュールについては、５月上旬に再度見積もる予定です。（御社が参加したあと）
今の私のイメージは次の通りです。
5-7月：インフラ設計/構築
8月：監視/負荷試験
9月：引継ドキュメント作成およびルビナ引継</t>
  </si>
  <si>
    <t>【インフラ設計前提について】
オフライン環境構築にあたっての前工程のドキュメントについて</t>
    <rPh sb="5" eb="7">
      <t>セッケイ</t>
    </rPh>
    <rPh sb="7" eb="9">
      <t>ゼンテイ</t>
    </rPh>
    <rPh sb="20" eb="22">
      <t>カンキョウ</t>
    </rPh>
    <rPh sb="22" eb="24">
      <t>コウチク</t>
    </rPh>
    <rPh sb="30" eb="33">
      <t>ゼンコウテイ</t>
    </rPh>
    <phoneticPr fontId="7"/>
  </si>
  <si>
    <t xml:space="preserve">前工程で要件定義を実施していると想定しておりますが、具体的にどのような内容が要求されているかご教示ください。存在するとしてもオンライン版だと思いますが、それでも良いので情報提供をお願いいたします。
また非機能について、レベルにもよりますが、例えばIPA提供の非機能要求グレードに記載される内容などがあれば、同様に提供をお願いします。
システム構築の上流工程強化（非機能要求グレード）紹介ページ
https://www.ipa.go.jp/archive/digital/iot-en-ci/jyouryuu/hikinou/ent03-b.html
</t>
    <rPh sb="0" eb="3">
      <t>ゼンコウテイ</t>
    </rPh>
    <rPh sb="4" eb="6">
      <t>ヨウケン</t>
    </rPh>
    <rPh sb="6" eb="8">
      <t>テイギ</t>
    </rPh>
    <rPh sb="9" eb="11">
      <t>ジッシ</t>
    </rPh>
    <rPh sb="16" eb="18">
      <t>ソウテイ</t>
    </rPh>
    <rPh sb="26" eb="29">
      <t>グタイテキ</t>
    </rPh>
    <rPh sb="35" eb="37">
      <t>ナイヨウ</t>
    </rPh>
    <rPh sb="38" eb="40">
      <t>ヨウキュウ</t>
    </rPh>
    <rPh sb="47" eb="49">
      <t>キョウジ</t>
    </rPh>
    <rPh sb="54" eb="56">
      <t>ソンザイ</t>
    </rPh>
    <rPh sb="67" eb="68">
      <t>バン</t>
    </rPh>
    <rPh sb="70" eb="71">
      <t>オモ</t>
    </rPh>
    <rPh sb="80" eb="81">
      <t>ヨ</t>
    </rPh>
    <rPh sb="84" eb="86">
      <t>ジョウホウ</t>
    </rPh>
    <rPh sb="86" eb="88">
      <t>テイキョウ</t>
    </rPh>
    <rPh sb="90" eb="91">
      <t>ネガ</t>
    </rPh>
    <rPh sb="101" eb="102">
      <t>ヒ</t>
    </rPh>
    <rPh sb="102" eb="104">
      <t>キノウ</t>
    </rPh>
    <rPh sb="120" eb="121">
      <t>タト</t>
    </rPh>
    <rPh sb="126" eb="128">
      <t>テイキョウ</t>
    </rPh>
    <rPh sb="129" eb="132">
      <t>ヒキノウ</t>
    </rPh>
    <rPh sb="132" eb="134">
      <t>ヨウキュウ</t>
    </rPh>
    <rPh sb="139" eb="141">
      <t>キサイ</t>
    </rPh>
    <rPh sb="144" eb="146">
      <t>ナイヨウ</t>
    </rPh>
    <rPh sb="153" eb="155">
      <t>ドウヨウ</t>
    </rPh>
    <rPh sb="156" eb="158">
      <t>テイキョウ</t>
    </rPh>
    <rPh sb="160" eb="161">
      <t>ネガ</t>
    </rPh>
    <phoneticPr fontId="7"/>
  </si>
  <si>
    <t>非機能要求の認識合意</t>
    <rPh sb="0" eb="5">
      <t>ヒキノウヨウキュウ</t>
    </rPh>
    <rPh sb="6" eb="8">
      <t>ニンシキ</t>
    </rPh>
    <rPh sb="8" eb="10">
      <t>ゴウイ</t>
    </rPh>
    <phoneticPr fontId="7"/>
  </si>
  <si>
    <t>4/21：きよはら
オンライン版では、AWSとの連携については、起動時の設定取得と、レシートジャーナル（電子帳簿保存）のみを想定しており、オンプレミス環境で、２年ほど提供していた機能を、AWS側への移行という認識で、極小規模を想定していたために、細かく要件定義、設計書などは存在していません。アプリ側とのAPI連携２項目程度でした。</t>
  </si>
  <si>
    <t>【背景について】
　オフラインシステム導入に至った経緯</t>
    <rPh sb="1" eb="3">
      <t>ハイケイ</t>
    </rPh>
    <rPh sb="19" eb="21">
      <t>ドウニュウ</t>
    </rPh>
    <rPh sb="22" eb="23">
      <t>イタ</t>
    </rPh>
    <rPh sb="25" eb="27">
      <t>ケイイ</t>
    </rPh>
    <phoneticPr fontId="7"/>
  </si>
  <si>
    <t>　オンラインシステムのどこに問題があって、オフラインシステムの開発に踏み切ったのか、そのあたりの経緯についておしえてください。</t>
  </si>
  <si>
    <t>情報の入手</t>
    <rPh sb="0" eb="2">
      <t>ジョウホウ</t>
    </rPh>
    <rPh sb="3" eb="5">
      <t>ニュウシュ</t>
    </rPh>
    <phoneticPr fontId="7"/>
  </si>
  <si>
    <t>4/21：きよはら
①売価変更の遅延：店舗への売価変更指示は、POSServer（既存：富士通）にて行い、Scan＆Goサーバー（VTI＆富士通）へ連携され、オンライン版POSには、都度、商品スキャン時に売価をWEBAPIで確認する使用でしたが、POSServerとScan＆Goサーバーへの連携に不具合があり、売価が反映されないことが発生。お客様に店頭表示価格より高い価格で販売する事態が、20件ほど発生させてしまった。
②自動釣銭機に現金が呑み込まれる：お客様より自動釣銭機にて現金をお預かりするが、お預かりした金額を送信する先に、WEBAPIがエラーとなってしまい、後処理に不具合が生じ、結果としてお預かり金が、自動釣銭機に飲み込まれ、別途サービスカウンターより出金して対応となる自体となってしまった。
③POSアプリと、Luvinaのサーバー間での疎通不具合が発生し、土曜日に15:00より一時間程度止める事態を発生させてしまった。
機能的には、ジャーナルとアプリのLOGを保存する機能での不具合。</t>
  </si>
  <si>
    <t>CRESCO
畠</t>
    <rPh sb="7" eb="8">
      <t>ハタ</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</si>
</sst>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mm/dd"/>
  </numFmts>
  <fonts count="22">
    <font>
      <sz val="11"/>
      <color theme="1"/>
      <name val="Calibri"/>
      <family val="3"/>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Calibri"/>
      <family val="2"/>
      <charset val="128"/>
      <scheme val="minor"/>
    </font>
    <font>
      <sz val="11"/>
      <color theme="1"/>
      <name val="メイリオ"/>
      <family val="2"/>
      <charset val="128"/>
    </font>
    <font>
      <sz val="11"/>
      <color theme="1"/>
      <name val="メイリオ"/>
      <family val="2"/>
      <charset val="128"/>
    </font>
    <font>
      <sz val="6"/>
      <name val="ＭＳ Ｐゴシック"/>
      <family val="3"/>
      <charset val="128"/>
    </font>
    <font>
      <sz val="10"/>
      <name val="Meiryo UI"/>
      <family val="3"/>
      <charset val="128"/>
    </font>
    <font>
      <sz val="9"/>
      <color indexed="81"/>
      <name val="MS P ゴシック"/>
      <family val="3"/>
      <charset val="128"/>
    </font>
    <font>
      <b/>
      <sz val="9"/>
      <color indexed="81"/>
      <name val="MS P ゴシック"/>
      <family val="3"/>
      <charset val="128"/>
    </font>
    <font>
      <b/>
      <u/>
      <sz val="10"/>
      <name val="Meiryo UI"/>
      <family val="3"/>
      <charset val="128"/>
    </font>
    <font>
      <u/>
      <sz val="11"/>
      <color theme="10"/>
      <name val="Calibri"/>
      <family val="3"/>
      <charset val="128"/>
      <scheme val="minor"/>
    </font>
    <font>
      <sz val="10"/>
      <name val="ＭＳ Ｐ明朝"/>
      <family val="1"/>
      <charset val="128"/>
    </font>
    <font>
      <sz val="10"/>
      <name val="MS UI Gothic"/>
      <family val="3"/>
      <charset val="128"/>
    </font>
    <font>
      <sz val="10"/>
      <color theme="1"/>
      <name val="Calibri"/>
      <family val="3"/>
      <charset val="128"/>
      <scheme val="minor"/>
    </font>
    <font>
      <sz val="11"/>
      <name val="Calibri"/>
      <family val="2"/>
    </font>
    <font>
      <sz val="10"/>
      <color theme="1"/>
      <name val="Meiryo"/>
      <family val="2"/>
      <charset val="128"/>
    </font>
    <font>
      <sz val="11"/>
      <color theme="1"/>
      <name val="Calibri"/>
      <family val="2"/>
      <scheme val="minor"/>
    </font>
    <font>
      <sz val="12"/>
      <color theme="1"/>
      <name val="Calibri"/>
      <family val="2"/>
      <charset val="128"/>
      <scheme val="minor"/>
    </font>
    <font>
      <b/>
      <sz val="10"/>
      <name val="Meiryo UI"/>
      <family val="3"/>
      <charset val="128"/>
    </font>
    <font>
      <sz val="8"/>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s>
  <cellStyleXfs count="16">
    <xf numFmtId="0" fontId="0" fillId="0" borderId="0"/>
    <xf numFmtId="0" fontId="6" fillId="0" borderId="0">
      <alignment vertical="center"/>
    </xf>
    <xf numFmtId="0" fontId="5" fillId="0" borderId="0">
      <alignment vertical="center"/>
    </xf>
    <xf numFmtId="0" fontId="5" fillId="0" borderId="0">
      <alignment vertical="center"/>
    </xf>
    <xf numFmtId="0" fontId="12" fillId="0" borderId="0" applyNumberFormat="0" applyFill="0" applyBorder="0" applyAlignment="0" applyProtection="0"/>
    <xf numFmtId="0" fontId="4" fillId="0" borderId="0">
      <alignment vertical="center"/>
    </xf>
    <xf numFmtId="0" fontId="13" fillId="0" borderId="0"/>
    <xf numFmtId="0" fontId="14" fillId="0" borderId="0">
      <alignment vertical="center"/>
    </xf>
    <xf numFmtId="0" fontId="15" fillId="0" borderId="0">
      <alignment vertical="center"/>
    </xf>
    <xf numFmtId="0" fontId="3" fillId="0" borderId="0">
      <alignment vertical="center"/>
    </xf>
    <xf numFmtId="0" fontId="16" fillId="0" borderId="0">
      <alignment vertical="center"/>
    </xf>
    <xf numFmtId="0" fontId="2" fillId="0" borderId="0">
      <alignment vertical="center"/>
    </xf>
    <xf numFmtId="0" fontId="17" fillId="0" borderId="0">
      <alignment vertical="center"/>
    </xf>
    <xf numFmtId="0" fontId="18" fillId="0" borderId="0"/>
    <xf numFmtId="0" fontId="19" fillId="0" borderId="0">
      <alignment vertical="center"/>
    </xf>
    <xf numFmtId="0" fontId="1" fillId="0" borderId="0">
      <alignment vertical="center"/>
    </xf>
  </cellStyleXfs>
  <cellXfs count="24">
    <xf numFmtId="0" fontId="0" fillId="0" borderId="0" xfId="0"/>
    <xf numFmtId="0" fontId="8" fillId="0" borderId="0" xfId="0" applyFont="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center" vertical="center"/>
    </xf>
    <xf numFmtId="0" fontId="8" fillId="0" borderId="3" xfId="0" applyFont="1" applyBorder="1" applyAlignment="1">
      <alignment horizontal="center" vertical="top"/>
    </xf>
    <xf numFmtId="0" fontId="8" fillId="0" borderId="1" xfId="0" applyFont="1" applyBorder="1" applyAlignment="1">
      <alignment horizontal="left" vertical="top" wrapText="1"/>
    </xf>
    <xf numFmtId="0" fontId="11" fillId="0" borderId="0" xfId="0" applyFont="1" applyAlignment="1">
      <alignment horizontal="left" vertical="top"/>
    </xf>
    <xf numFmtId="0" fontId="8" fillId="0" borderId="0" xfId="0" applyFont="1" applyAlignment="1">
      <alignment horizontal="center" vertical="top"/>
    </xf>
    <xf numFmtId="0" fontId="8" fillId="0" borderId="1" xfId="0" applyFont="1" applyBorder="1" applyAlignment="1">
      <alignment horizontal="center" vertical="top"/>
    </xf>
    <xf numFmtId="164" fontId="8" fillId="0" borderId="0" xfId="0" applyNumberFormat="1" applyFont="1" applyAlignment="1">
      <alignment horizontal="center" vertical="top"/>
    </xf>
    <xf numFmtId="0" fontId="8" fillId="2" borderId="2" xfId="0" applyFont="1" applyFill="1" applyBorder="1" applyAlignment="1">
      <alignment horizontal="center" vertical="top"/>
    </xf>
    <xf numFmtId="164" fontId="8" fillId="2" borderId="2" xfId="0" applyNumberFormat="1" applyFont="1" applyFill="1" applyBorder="1" applyAlignment="1">
      <alignment horizontal="center" vertical="top"/>
    </xf>
    <xf numFmtId="164" fontId="8" fillId="0" borderId="1" xfId="0" applyNumberFormat="1" applyFont="1" applyBorder="1" applyAlignment="1">
      <alignment horizontal="center" vertical="top" wrapText="1"/>
    </xf>
    <xf numFmtId="164" fontId="8" fillId="0" borderId="1" xfId="0" applyNumberFormat="1" applyFont="1" applyBorder="1" applyAlignment="1">
      <alignment horizontal="center" vertical="top"/>
    </xf>
    <xf numFmtId="164" fontId="8" fillId="0" borderId="3" xfId="0" applyNumberFormat="1" applyFont="1" applyBorder="1" applyAlignment="1">
      <alignment horizontal="center" vertical="top"/>
    </xf>
    <xf numFmtId="0" fontId="8" fillId="0" borderId="3" xfId="0" applyFont="1" applyBorder="1" applyAlignment="1">
      <alignment horizontal="center" vertical="top" wrapText="1"/>
    </xf>
    <xf numFmtId="0" fontId="8" fillId="0" borderId="1" xfId="4" applyFont="1" applyFill="1" applyBorder="1" applyAlignment="1">
      <alignment horizontal="left" vertical="top" wrapText="1"/>
    </xf>
    <xf numFmtId="14" fontId="8" fillId="0" borderId="1" xfId="0" applyNumberFormat="1" applyFont="1" applyBorder="1" applyAlignment="1">
      <alignment horizontal="left" vertical="top" wrapText="1"/>
    </xf>
    <xf numFmtId="0" fontId="8" fillId="3" borderId="2" xfId="0" applyFont="1" applyFill="1" applyBorder="1" applyAlignment="1">
      <alignment horizontal="center" vertical="top"/>
    </xf>
    <xf numFmtId="0" fontId="8" fillId="3" borderId="2" xfId="0" applyFont="1" applyFill="1" applyBorder="1" applyAlignment="1">
      <alignment horizontal="left" vertical="center" wrapText="1"/>
    </xf>
    <xf numFmtId="164" fontId="8" fillId="3" borderId="2" xfId="0" applyNumberFormat="1" applyFont="1" applyFill="1" applyBorder="1" applyAlignment="1">
      <alignment horizontal="center" vertical="top"/>
    </xf>
    <xf numFmtId="0" fontId="20" fillId="0" borderId="0" xfId="0" applyFont="1" applyAlignment="1">
      <alignment horizontal="left" vertical="top"/>
    </xf>
    <xf numFmtId="0" fontId="21" fillId="0" borderId="1" xfId="0" applyFont="1" applyBorder="1" applyAlignment="1">
      <alignment horizontal="left" vertical="top" wrapText="1"/>
    </xf>
    <xf numFmtId="164" fontId="8" fillId="0" borderId="3" xfId="0" applyNumberFormat="1" applyFont="1" applyBorder="1" applyAlignment="1">
      <alignment horizontal="center" vertical="top" wrapText="1"/>
    </xf>
  </cellXfs>
  <cellStyles count="16">
    <cellStyle name="Hyperlink" xfId="4" builtinId="8"/>
    <cellStyle name="Normal" xfId="0" builtinId="0"/>
    <cellStyle name="標準 2" xfId="1" xr:uid="{00000000-0005-0000-0000-000002000000}"/>
    <cellStyle name="標準 2 2" xfId="3" xr:uid="{00000000-0005-0000-0000-000003000000}"/>
    <cellStyle name="標準 2 3" xfId="7" xr:uid="{00000000-0005-0000-0000-000004000000}"/>
    <cellStyle name="標準 2 4" xfId="10" xr:uid="{00000000-0005-0000-0000-000005000000}"/>
    <cellStyle name="標準 3" xfId="2" xr:uid="{00000000-0005-0000-0000-000006000000}"/>
    <cellStyle name="標準 3 2" xfId="8" xr:uid="{00000000-0005-0000-0000-000007000000}"/>
    <cellStyle name="標準 33" xfId="6" xr:uid="{00000000-0005-0000-0000-000008000000}"/>
    <cellStyle name="標準 4" xfId="5" xr:uid="{00000000-0005-0000-0000-000009000000}"/>
    <cellStyle name="標準 5" xfId="9" xr:uid="{00000000-0005-0000-0000-00000A000000}"/>
    <cellStyle name="標準 5 2" xfId="11" xr:uid="{00000000-0005-0000-0000-00000B000000}"/>
    <cellStyle name="標準 6" xfId="12" xr:uid="{00000000-0005-0000-0000-00000C000000}"/>
    <cellStyle name="標準 7" xfId="13" xr:uid="{00000000-0005-0000-0000-00000D000000}"/>
    <cellStyle name="標準 8" xfId="14" xr:uid="{00000000-0005-0000-0000-00000E000000}"/>
    <cellStyle name="標準 9" xfId="15" xr:uid="{F086BE39-A3EC-406D-B321-DEBD90CE96B0}"/>
  </cellStyles>
  <dxfs count="5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Medium9"/>
  <colors>
    <mruColors>
      <color rgb="FF3333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7</xdr:col>
      <xdr:colOff>67236</xdr:colOff>
      <xdr:row>82</xdr:row>
      <xdr:rowOff>4986617</xdr:rowOff>
    </xdr:from>
    <xdr:ext cx="6801971" cy="3115235"/>
    <xdr:sp macro="" textlink="">
      <xdr:nvSpPr>
        <xdr:cNvPr id="2" name="テキスト ボックス 1">
          <a:extLst>
            <a:ext uri="{FF2B5EF4-FFF2-40B4-BE49-F238E27FC236}">
              <a16:creationId xmlns:a16="http://schemas.microsoft.com/office/drawing/2014/main" id="{9BA42EA5-1B9E-40C3-89DF-F5A6C18F526A}"/>
            </a:ext>
          </a:extLst>
        </xdr:cNvPr>
        <xdr:cNvSpPr txBox="1"/>
      </xdr:nvSpPr>
      <xdr:spPr>
        <a:xfrm>
          <a:off x="10499912" y="146864293"/>
          <a:ext cx="6801971" cy="3115235"/>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▼背景</a:t>
          </a:r>
          <a:endParaRPr kumimoji="1" lang="en-US" altLang="ja-JP" sz="1100"/>
        </a:p>
        <a:p>
          <a:r>
            <a:rPr kumimoji="1" lang="en-US" altLang="ja-JP" sz="1100"/>
            <a:t>R5</a:t>
          </a:r>
          <a:r>
            <a:rPr kumimoji="1" lang="ja-JP" altLang="en-US" sz="1100"/>
            <a:t>運用保守事業社である</a:t>
          </a:r>
          <a:r>
            <a:rPr kumimoji="1" lang="en-US" altLang="ja-JP" sz="1100"/>
            <a:t>KDC</a:t>
          </a:r>
          <a:r>
            <a:rPr kumimoji="1" lang="ja-JP" altLang="en-US" sz="1100"/>
            <a:t>様から受領したソースコードについて、</a:t>
          </a:r>
          <a:r>
            <a:rPr kumimoji="1" lang="en-US" altLang="ja-JP" sz="1100"/>
            <a:t>R5</a:t>
          </a:r>
          <a:r>
            <a:rPr kumimoji="1" lang="ja-JP" altLang="en-US" sz="1100"/>
            <a:t> </a:t>
          </a:r>
          <a:r>
            <a:rPr kumimoji="1" lang="en-US" altLang="ja-JP" sz="1100"/>
            <a:t>AWS</a:t>
          </a:r>
          <a:r>
            <a:rPr kumimoji="1" lang="ja-JP" altLang="en-US" sz="1100"/>
            <a:t>への移行業務を担当するクレスコにてビルドして生成した実行</a:t>
          </a:r>
          <a:r>
            <a:rPr kumimoji="1" lang="en-US" altLang="ja-JP" sz="1100"/>
            <a:t>PG</a:t>
          </a:r>
          <a:r>
            <a:rPr kumimoji="1" lang="ja-JP" altLang="en-US" sz="1100"/>
            <a:t>で検証を進めていたが、一部機能でエラーが発生し問合せをしたところ提供されたソースコードについては開発中のものであったことが判明した。判明するタイミングが遅かったため、</a:t>
          </a:r>
          <a:r>
            <a:rPr kumimoji="1" lang="en-US" altLang="ja-JP" sz="1100"/>
            <a:t>AWS</a:t>
          </a:r>
          <a:r>
            <a:rPr kumimoji="1" lang="ja-JP" altLang="en-US" sz="1100"/>
            <a:t>への移行については移行前のオンプレ環境で稼働していた実行</a:t>
          </a:r>
          <a:r>
            <a:rPr kumimoji="1" lang="en-US" altLang="ja-JP" sz="1100"/>
            <a:t>PG</a:t>
          </a:r>
          <a:r>
            <a:rPr kumimoji="1" lang="ja-JP" altLang="en-US" sz="1100"/>
            <a:t>をそのまま</a:t>
          </a:r>
          <a:r>
            <a:rPr kumimoji="1" lang="en-US" altLang="ja-JP" sz="1100"/>
            <a:t>AWS</a:t>
          </a:r>
          <a:r>
            <a:rPr kumimoji="1" lang="ja-JP" altLang="en-US" sz="1100"/>
            <a:t>環境に移す方式で移行を実施している。</a:t>
          </a:r>
          <a:endParaRPr kumimoji="1" lang="en-US" altLang="ja-JP" sz="1100"/>
        </a:p>
        <a:p>
          <a:r>
            <a:rPr kumimoji="1" lang="ja-JP" altLang="en-US" sz="1100"/>
            <a:t>そのため、引継いだソースコードから生成した実行</a:t>
          </a:r>
          <a:r>
            <a:rPr kumimoji="1" lang="en-US" altLang="ja-JP" sz="1100"/>
            <a:t>PG</a:t>
          </a:r>
          <a:r>
            <a:rPr kumimoji="1" lang="ja-JP" altLang="en-US" sz="1100"/>
            <a:t>については</a:t>
          </a:r>
          <a:r>
            <a:rPr kumimoji="1" lang="en-US" altLang="ja-JP" sz="1100"/>
            <a:t>AWS</a:t>
          </a:r>
          <a:r>
            <a:rPr kumimoji="1" lang="ja-JP" altLang="en-US" sz="1100"/>
            <a:t>環境には配置していない状態となる。（本番環境、開発環境の両方とも）</a:t>
          </a:r>
          <a:br>
            <a:rPr kumimoji="1" lang="en-US" altLang="ja-JP" sz="1100"/>
          </a:br>
          <a:endParaRPr kumimoji="1" lang="en-US" altLang="ja-JP" sz="1100"/>
        </a:p>
        <a:p>
          <a:r>
            <a:rPr kumimoji="1" lang="ja-JP" altLang="en-US" sz="1100"/>
            <a:t>移行後、あらためて提供されたソースコードについて問題無いか確認していたところ、課題</a:t>
          </a:r>
          <a:r>
            <a:rPr kumimoji="1" lang="en-US" altLang="ja-JP" sz="1100"/>
            <a:t>No22</a:t>
          </a:r>
          <a:r>
            <a:rPr kumimoji="1" lang="ja-JP" altLang="en-US" sz="1100"/>
            <a:t>の問題が発生した。</a:t>
          </a:r>
          <a:endParaRPr kumimoji="1" lang="en-US" altLang="ja-JP" sz="1100"/>
        </a:p>
        <a:p>
          <a:endParaRPr kumimoji="1" lang="en-US" altLang="ja-JP" sz="1100"/>
        </a:p>
        <a:p>
          <a:r>
            <a:rPr kumimoji="1" lang="ja-JP" altLang="en-US" sz="1100"/>
            <a:t>▼引継事項</a:t>
          </a:r>
          <a:endParaRPr kumimoji="1" lang="en-US" altLang="ja-JP" sz="1100"/>
        </a:p>
        <a:p>
          <a:r>
            <a:rPr kumimoji="1" lang="ja-JP" altLang="en-US" sz="1100"/>
            <a:t>市町村クライアント</a:t>
          </a:r>
          <a:r>
            <a:rPr kumimoji="1" lang="en-US" altLang="ja-JP" sz="1100"/>
            <a:t>PG</a:t>
          </a:r>
          <a:r>
            <a:rPr kumimoji="1" lang="ja-JP" altLang="en-US" sz="1100"/>
            <a:t>にて一部機能で</a:t>
          </a:r>
          <a:r>
            <a:rPr kumimoji="1" lang="en-US" altLang="ja-JP" sz="1100"/>
            <a:t>INI</a:t>
          </a:r>
          <a:r>
            <a:rPr kumimoji="1" lang="ja-JP" altLang="en-US" sz="1100"/>
            <a:t>ファイルの内容を参照していない箇所があり、本件も開発中のものでは無いか</a:t>
          </a:r>
          <a:r>
            <a:rPr kumimoji="1" lang="en-US" altLang="ja-JP" sz="1100"/>
            <a:t>KDC</a:t>
          </a:r>
          <a:r>
            <a:rPr kumimoji="1" lang="ja-JP" altLang="en-US" sz="1100"/>
            <a:t>様に確認している状態です。回答によってどのように今後進めていくか農林水産省様と協議の上、対応を進めてください。（</a:t>
          </a:r>
          <a:r>
            <a:rPr kumimoji="1" lang="en-US" altLang="ja-JP" sz="1100"/>
            <a:t>3/26(</a:t>
          </a:r>
          <a:r>
            <a:rPr kumimoji="1" lang="ja-JP" altLang="en-US" sz="1100"/>
            <a:t>火</a:t>
          </a:r>
          <a:r>
            <a:rPr kumimoji="1" lang="en-US" altLang="ja-JP" sz="1100"/>
            <a:t>)</a:t>
          </a:r>
          <a:r>
            <a:rPr kumimoji="1" lang="ja-JP" altLang="en-US" sz="1100"/>
            <a:t>に回答受領。受領ファイルは「</a:t>
          </a:r>
          <a:r>
            <a:rPr kumimoji="1" lang="en-US" altLang="ja-JP" sz="1100"/>
            <a:t>R5</a:t>
          </a:r>
          <a:r>
            <a:rPr kumimoji="1" lang="ja-JP" altLang="en-US" sz="1100"/>
            <a:t>マチムラ移行等業務</a:t>
          </a:r>
          <a:r>
            <a:rPr kumimoji="1" lang="en-US" altLang="ja-JP" sz="1100"/>
            <a:t>(</a:t>
          </a:r>
          <a:r>
            <a:rPr kumimoji="1" lang="ja-JP" altLang="en-US" sz="1100"/>
            <a:t>課題</a:t>
          </a:r>
          <a:r>
            <a:rPr kumimoji="1" lang="en-US" altLang="ja-JP" sz="1100"/>
            <a:t>ToDo</a:t>
          </a:r>
          <a:r>
            <a:rPr kumimoji="1" lang="ja-JP" altLang="en-US" sz="1100"/>
            <a:t>管理</a:t>
          </a:r>
          <a:r>
            <a:rPr kumimoji="1" lang="en-US" altLang="ja-JP" sz="1100"/>
            <a:t>)_</a:t>
          </a:r>
          <a:r>
            <a:rPr kumimoji="1" lang="ja-JP" altLang="en-US" sz="1100"/>
            <a:t>別紙</a:t>
          </a:r>
          <a:r>
            <a:rPr kumimoji="1" lang="en-US" altLang="ja-JP" sz="1100"/>
            <a:t>(</a:t>
          </a:r>
          <a:r>
            <a:rPr kumimoji="1" lang="ja-JP" altLang="en-US" sz="1100"/>
            <a:t>農水省様向け課題</a:t>
          </a:r>
          <a:r>
            <a:rPr kumimoji="1" lang="en-US" altLang="ja-JP" sz="1100"/>
            <a:t>No74)_</a:t>
          </a:r>
          <a:r>
            <a:rPr kumimoji="1" lang="ja-JP" altLang="en-US" sz="1100"/>
            <a:t>確認内容と対応案</a:t>
          </a:r>
          <a:r>
            <a:rPr kumimoji="1" lang="en-US" altLang="ja-JP" sz="1100"/>
            <a:t>.docx</a:t>
          </a:r>
          <a:r>
            <a:rPr kumimoji="1" lang="ja-JP" altLang="en-US" sz="1100"/>
            <a:t>」をご参照ください。</a:t>
          </a:r>
          <a:endParaRPr kumimoji="1" lang="en-US" altLang="ja-JP"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3"/>
  <sheetViews>
    <sheetView showGridLines="0" tabSelected="1" view="pageBreakPreview" zoomScale="130" zoomScaleNormal="70" zoomScaleSheetLayoutView="130" workbookViewId="0">
      <pane xSplit="6" ySplit="4" topLeftCell="G9" activePane="bottomRight" state="frozen"/>
      <selection pane="bottomRight" activeCell="E8" sqref="E8:E9"/>
      <selection pane="bottomLeft" activeCell="A5" sqref="A5"/>
      <selection pane="topRight" activeCell="G1" sqref="G1"/>
    </sheetView>
  </sheetViews>
  <sheetFormatPr defaultColWidth="9" defaultRowHeight="13.5"/>
  <cols>
    <col min="1" max="1" width="5.625" style="7" customWidth="1"/>
    <col min="2" max="4" width="8.625" style="7" customWidth="1"/>
    <col min="5" max="5" width="47.5" style="1" customWidth="1"/>
    <col min="6" max="6" width="60.625" style="1" customWidth="1"/>
    <col min="7" max="7" width="30.625" style="1" customWidth="1"/>
    <col min="8" max="8" width="91.5" style="1" customWidth="1"/>
    <col min="9" max="9" width="38.125" style="1" customWidth="1"/>
    <col min="10" max="11" width="8.625" style="7" customWidth="1"/>
    <col min="12" max="12" width="12.625" style="9" customWidth="1"/>
    <col min="13" max="13" width="8.625" style="9" customWidth="1"/>
    <col min="14" max="14" width="12.625" style="9" customWidth="1"/>
    <col min="15" max="15" width="8.625" style="7" customWidth="1"/>
    <col min="16" max="16" width="11" style="9" bestFit="1" customWidth="1"/>
    <col min="17" max="17" width="10.5" style="9" customWidth="1"/>
    <col min="18" max="18" width="40.625" style="1" customWidth="1"/>
    <col min="19" max="16384" width="9" style="3"/>
  </cols>
  <sheetData>
    <row r="1" spans="1:18">
      <c r="A1" s="6" t="s">
        <v>0</v>
      </c>
      <c r="J1" s="7" t="s">
        <v>1</v>
      </c>
      <c r="K1" s="7" t="s">
        <v>2</v>
      </c>
    </row>
    <row r="2" spans="1:18">
      <c r="A2" s="6"/>
    </row>
    <row r="3" spans="1:18">
      <c r="A3" s="21" t="s">
        <v>3</v>
      </c>
      <c r="J3" s="7">
        <f>COUNTIF(J4:J893,"完了")</f>
        <v>0</v>
      </c>
      <c r="K3" s="7">
        <f>COUNTA(J5:J893)-J3</f>
        <v>13</v>
      </c>
    </row>
    <row r="4" spans="1:18">
      <c r="A4" s="18" t="s">
        <v>4</v>
      </c>
      <c r="B4" s="18" t="s">
        <v>5</v>
      </c>
      <c r="C4" s="18" t="s">
        <v>6</v>
      </c>
      <c r="D4" s="18" t="s">
        <v>7</v>
      </c>
      <c r="E4" s="19" t="s">
        <v>8</v>
      </c>
      <c r="F4" s="19" t="s">
        <v>9</v>
      </c>
      <c r="G4" s="19" t="s">
        <v>10</v>
      </c>
      <c r="H4" s="19" t="s">
        <v>11</v>
      </c>
      <c r="I4" s="19" t="s">
        <v>12</v>
      </c>
      <c r="J4" s="18" t="s">
        <v>13</v>
      </c>
      <c r="K4" s="18" t="s">
        <v>14</v>
      </c>
      <c r="L4" s="20" t="s">
        <v>15</v>
      </c>
      <c r="M4" s="20" t="s">
        <v>16</v>
      </c>
      <c r="N4" s="20" t="s">
        <v>17</v>
      </c>
      <c r="O4" s="10" t="s">
        <v>18</v>
      </c>
      <c r="P4" s="11" t="s">
        <v>19</v>
      </c>
      <c r="Q4" s="11" t="s">
        <v>20</v>
      </c>
      <c r="R4" s="19" t="s">
        <v>21</v>
      </c>
    </row>
    <row r="5" spans="1:18" ht="90.75" customHeight="1">
      <c r="A5" s="8">
        <f t="shared" ref="A5:A26" si="0">ROW()-4</f>
        <v>1</v>
      </c>
      <c r="B5" s="8" t="s">
        <v>22</v>
      </c>
      <c r="C5" s="8" t="s">
        <v>23</v>
      </c>
      <c r="D5" s="8" t="s">
        <v>23</v>
      </c>
      <c r="E5" s="5" t="s">
        <v>24</v>
      </c>
      <c r="F5" s="5" t="s">
        <v>25</v>
      </c>
      <c r="G5" s="5" t="s">
        <v>26</v>
      </c>
      <c r="H5" s="5" t="s">
        <v>27</v>
      </c>
      <c r="I5" s="5"/>
      <c r="J5" s="8" t="s">
        <v>28</v>
      </c>
      <c r="K5" s="12" t="s">
        <v>29</v>
      </c>
      <c r="L5" s="13">
        <v>45764</v>
      </c>
      <c r="M5" s="12"/>
      <c r="N5" s="13"/>
      <c r="O5" s="12" t="s">
        <v>30</v>
      </c>
      <c r="P5" s="12">
        <v>45769</v>
      </c>
      <c r="Q5" s="13"/>
      <c r="R5" s="5"/>
    </row>
    <row r="6" spans="1:18" ht="65.25" customHeight="1">
      <c r="A6" s="8">
        <f t="shared" si="0"/>
        <v>2</v>
      </c>
      <c r="B6" s="8" t="s">
        <v>22</v>
      </c>
      <c r="C6" s="8" t="s">
        <v>23</v>
      </c>
      <c r="D6" s="8" t="s">
        <v>23</v>
      </c>
      <c r="E6" s="5" t="s">
        <v>31</v>
      </c>
      <c r="F6" s="5" t="s">
        <v>32</v>
      </c>
      <c r="G6" s="5" t="s">
        <v>33</v>
      </c>
      <c r="H6" s="5" t="s">
        <v>27</v>
      </c>
      <c r="I6" s="5"/>
      <c r="J6" s="8" t="s">
        <v>28</v>
      </c>
      <c r="K6" s="12" t="s">
        <v>29</v>
      </c>
      <c r="L6" s="13">
        <v>45764</v>
      </c>
      <c r="M6" s="12"/>
      <c r="N6" s="13"/>
      <c r="O6" s="12" t="s">
        <v>30</v>
      </c>
      <c r="P6" s="12">
        <v>45769</v>
      </c>
      <c r="Q6" s="13"/>
      <c r="R6" s="5"/>
    </row>
    <row r="7" spans="1:18" ht="65.25" customHeight="1">
      <c r="A7" s="8">
        <f t="shared" si="0"/>
        <v>3</v>
      </c>
      <c r="B7" s="8" t="s">
        <v>22</v>
      </c>
      <c r="C7" s="8" t="s">
        <v>23</v>
      </c>
      <c r="D7" s="8" t="s">
        <v>23</v>
      </c>
      <c r="E7" s="5" t="s">
        <v>34</v>
      </c>
      <c r="F7" s="5" t="s">
        <v>35</v>
      </c>
      <c r="G7" s="5" t="s">
        <v>36</v>
      </c>
      <c r="H7" s="5" t="s">
        <v>37</v>
      </c>
      <c r="I7" s="16" t="s">
        <v>38</v>
      </c>
      <c r="J7" s="8" t="s">
        <v>28</v>
      </c>
      <c r="K7" s="12" t="s">
        <v>29</v>
      </c>
      <c r="L7" s="13">
        <v>45764</v>
      </c>
      <c r="M7" s="12"/>
      <c r="N7" s="13"/>
      <c r="O7" s="12" t="s">
        <v>30</v>
      </c>
      <c r="P7" s="12">
        <v>45769</v>
      </c>
      <c r="Q7" s="13"/>
      <c r="R7" s="5"/>
    </row>
    <row r="8" spans="1:18" ht="55.5">
      <c r="A8" s="8">
        <f t="shared" si="0"/>
        <v>4</v>
      </c>
      <c r="B8" s="8" t="s">
        <v>22</v>
      </c>
      <c r="C8" s="8" t="s">
        <v>23</v>
      </c>
      <c r="D8" s="8" t="s">
        <v>23</v>
      </c>
      <c r="E8" s="5" t="s">
        <v>39</v>
      </c>
      <c r="F8" s="5" t="s">
        <v>40</v>
      </c>
      <c r="G8" s="5" t="s">
        <v>41</v>
      </c>
      <c r="H8" s="5" t="s">
        <v>42</v>
      </c>
      <c r="I8" s="5" t="s">
        <v>43</v>
      </c>
      <c r="J8" s="8" t="s">
        <v>28</v>
      </c>
      <c r="K8" s="12" t="s">
        <v>29</v>
      </c>
      <c r="L8" s="13">
        <v>45764</v>
      </c>
      <c r="M8" s="12"/>
      <c r="N8" s="13"/>
      <c r="O8" s="12" t="s">
        <v>30</v>
      </c>
      <c r="P8" s="12">
        <v>45769</v>
      </c>
      <c r="Q8" s="13"/>
      <c r="R8" s="5"/>
    </row>
    <row r="9" spans="1:18" ht="65.25" customHeight="1">
      <c r="A9" s="8">
        <f t="shared" si="0"/>
        <v>5</v>
      </c>
      <c r="B9" s="8" t="s">
        <v>22</v>
      </c>
      <c r="C9" s="8" t="s">
        <v>23</v>
      </c>
      <c r="D9" s="8" t="s">
        <v>44</v>
      </c>
      <c r="E9" s="5" t="s">
        <v>45</v>
      </c>
      <c r="F9" s="5" t="s">
        <v>46</v>
      </c>
      <c r="G9" s="5" t="s">
        <v>47</v>
      </c>
      <c r="H9" s="5" t="s">
        <v>48</v>
      </c>
      <c r="I9" s="16" t="s">
        <v>49</v>
      </c>
      <c r="J9" s="8" t="s">
        <v>28</v>
      </c>
      <c r="K9" s="12" t="s">
        <v>29</v>
      </c>
      <c r="L9" s="13">
        <v>45764</v>
      </c>
      <c r="M9" s="12"/>
      <c r="N9" s="13"/>
      <c r="O9" s="12" t="s">
        <v>30</v>
      </c>
      <c r="P9" s="12">
        <v>45772</v>
      </c>
      <c r="Q9" s="13"/>
      <c r="R9" s="5"/>
    </row>
    <row r="10" spans="1:18" ht="186.75" customHeight="1">
      <c r="A10" s="8">
        <f t="shared" si="0"/>
        <v>6</v>
      </c>
      <c r="B10" s="8" t="s">
        <v>22</v>
      </c>
      <c r="C10" s="8" t="s">
        <v>23</v>
      </c>
      <c r="D10" s="8" t="s">
        <v>44</v>
      </c>
      <c r="E10" s="5" t="s">
        <v>50</v>
      </c>
      <c r="F10" s="5" t="s">
        <v>51</v>
      </c>
      <c r="G10" s="5" t="s">
        <v>52</v>
      </c>
      <c r="H10" s="5"/>
      <c r="I10" s="16" t="s">
        <v>53</v>
      </c>
      <c r="J10" s="8" t="s">
        <v>28</v>
      </c>
      <c r="K10" s="12" t="s">
        <v>29</v>
      </c>
      <c r="L10" s="13">
        <v>45764</v>
      </c>
      <c r="M10" s="12"/>
      <c r="N10" s="13"/>
      <c r="O10" s="12" t="s">
        <v>30</v>
      </c>
      <c r="P10" s="12">
        <v>45772</v>
      </c>
      <c r="Q10" s="13"/>
      <c r="R10" s="5"/>
    </row>
    <row r="11" spans="1:18" ht="152.25" customHeight="1">
      <c r="A11" s="8">
        <f t="shared" si="0"/>
        <v>7</v>
      </c>
      <c r="B11" s="8" t="s">
        <v>22</v>
      </c>
      <c r="C11" s="8" t="s">
        <v>23</v>
      </c>
      <c r="D11" s="8" t="s">
        <v>44</v>
      </c>
      <c r="E11" s="5" t="s">
        <v>54</v>
      </c>
      <c r="F11" s="5" t="s">
        <v>55</v>
      </c>
      <c r="G11" s="5" t="s">
        <v>52</v>
      </c>
      <c r="H11" s="5"/>
      <c r="I11" s="16" t="s">
        <v>56</v>
      </c>
      <c r="J11" s="8" t="s">
        <v>28</v>
      </c>
      <c r="K11" s="12" t="s">
        <v>29</v>
      </c>
      <c r="L11" s="13">
        <v>45764</v>
      </c>
      <c r="M11" s="12"/>
      <c r="N11" s="13"/>
      <c r="O11" s="12" t="s">
        <v>30</v>
      </c>
      <c r="P11" s="12">
        <v>45772</v>
      </c>
      <c r="Q11" s="13"/>
      <c r="R11" s="5"/>
    </row>
    <row r="12" spans="1:18" ht="159.75" customHeight="1">
      <c r="A12" s="8">
        <f t="shared" si="0"/>
        <v>8</v>
      </c>
      <c r="B12" s="8" t="s">
        <v>22</v>
      </c>
      <c r="C12" s="8" t="s">
        <v>23</v>
      </c>
      <c r="D12" s="8" t="s">
        <v>44</v>
      </c>
      <c r="E12" s="5" t="s">
        <v>57</v>
      </c>
      <c r="F12" s="5" t="s">
        <v>58</v>
      </c>
      <c r="G12" s="5" t="s">
        <v>59</v>
      </c>
      <c r="H12" s="5"/>
      <c r="I12" s="16" t="s">
        <v>60</v>
      </c>
      <c r="J12" s="8" t="s">
        <v>28</v>
      </c>
      <c r="K12" s="12" t="s">
        <v>29</v>
      </c>
      <c r="L12" s="13">
        <v>45764</v>
      </c>
      <c r="M12" s="12"/>
      <c r="N12" s="13"/>
      <c r="O12" s="12" t="s">
        <v>30</v>
      </c>
      <c r="P12" s="12">
        <v>45772</v>
      </c>
      <c r="Q12" s="13"/>
      <c r="R12" s="5"/>
    </row>
    <row r="13" spans="1:18" ht="110.45" customHeight="1">
      <c r="A13" s="8">
        <f t="shared" si="0"/>
        <v>9</v>
      </c>
      <c r="B13" s="8" t="s">
        <v>22</v>
      </c>
      <c r="C13" s="8" t="s">
        <v>23</v>
      </c>
      <c r="D13" s="8" t="s">
        <v>44</v>
      </c>
      <c r="E13" s="5" t="s">
        <v>61</v>
      </c>
      <c r="F13" s="5" t="s">
        <v>62</v>
      </c>
      <c r="G13" s="5" t="s">
        <v>63</v>
      </c>
      <c r="H13" s="5"/>
      <c r="I13" s="16" t="s">
        <v>64</v>
      </c>
      <c r="J13" s="8" t="s">
        <v>28</v>
      </c>
      <c r="K13" s="12" t="s">
        <v>29</v>
      </c>
      <c r="L13" s="13">
        <v>45764</v>
      </c>
      <c r="M13" s="12"/>
      <c r="N13" s="13"/>
      <c r="O13" s="12" t="s">
        <v>30</v>
      </c>
      <c r="P13" s="12">
        <v>45772</v>
      </c>
      <c r="Q13" s="13"/>
      <c r="R13" s="5"/>
    </row>
    <row r="14" spans="1:18" ht="65.25" customHeight="1">
      <c r="A14" s="8">
        <f t="shared" si="0"/>
        <v>10</v>
      </c>
      <c r="B14" s="8" t="s">
        <v>22</v>
      </c>
      <c r="C14" s="8" t="s">
        <v>23</v>
      </c>
      <c r="D14" s="8" t="s">
        <v>44</v>
      </c>
      <c r="E14" s="5" t="s">
        <v>65</v>
      </c>
      <c r="F14" s="5" t="s">
        <v>66</v>
      </c>
      <c r="G14" s="5" t="s">
        <v>59</v>
      </c>
      <c r="H14" s="5"/>
      <c r="I14" s="16" t="s">
        <v>67</v>
      </c>
      <c r="J14" s="8" t="s">
        <v>28</v>
      </c>
      <c r="K14" s="12" t="s">
        <v>29</v>
      </c>
      <c r="L14" s="13">
        <v>45764</v>
      </c>
      <c r="M14" s="12"/>
      <c r="N14" s="13"/>
      <c r="O14" s="12" t="s">
        <v>30</v>
      </c>
      <c r="P14" s="12">
        <v>45772</v>
      </c>
      <c r="Q14" s="13"/>
      <c r="R14" s="5"/>
    </row>
    <row r="15" spans="1:18" ht="151.5" customHeight="1">
      <c r="A15" s="8">
        <f t="shared" si="0"/>
        <v>11</v>
      </c>
      <c r="B15" s="8" t="s">
        <v>22</v>
      </c>
      <c r="C15" s="8" t="s">
        <v>23</v>
      </c>
      <c r="D15" s="8" t="s">
        <v>23</v>
      </c>
      <c r="E15" s="5" t="s">
        <v>68</v>
      </c>
      <c r="F15" s="5" t="s">
        <v>69</v>
      </c>
      <c r="G15" s="5" t="s">
        <v>70</v>
      </c>
      <c r="H15" s="5"/>
      <c r="I15" s="5" t="s">
        <v>71</v>
      </c>
      <c r="J15" s="8" t="s">
        <v>28</v>
      </c>
      <c r="K15" s="12" t="s">
        <v>29</v>
      </c>
      <c r="L15" s="13">
        <v>45764</v>
      </c>
      <c r="M15" s="12"/>
      <c r="N15" s="13"/>
      <c r="O15" s="12" t="s">
        <v>30</v>
      </c>
      <c r="P15" s="12">
        <v>45772</v>
      </c>
      <c r="Q15" s="13"/>
      <c r="R15" s="5"/>
    </row>
    <row r="16" spans="1:18" ht="121.5" customHeight="1">
      <c r="A16" s="8">
        <f t="shared" si="0"/>
        <v>12</v>
      </c>
      <c r="B16" s="8" t="s">
        <v>22</v>
      </c>
      <c r="C16" s="8" t="s">
        <v>23</v>
      </c>
      <c r="D16" s="8" t="s">
        <v>23</v>
      </c>
      <c r="E16" s="5" t="s">
        <v>72</v>
      </c>
      <c r="F16" s="5" t="s">
        <v>73</v>
      </c>
      <c r="G16" s="5" t="s">
        <v>74</v>
      </c>
      <c r="H16" s="5" t="s">
        <v>75</v>
      </c>
      <c r="I16" s="5"/>
      <c r="J16" s="8" t="s">
        <v>28</v>
      </c>
      <c r="K16" s="12" t="s">
        <v>29</v>
      </c>
      <c r="L16" s="13">
        <v>45764</v>
      </c>
      <c r="M16" s="12"/>
      <c r="N16" s="13"/>
      <c r="O16" s="12" t="s">
        <v>30</v>
      </c>
      <c r="P16" s="12">
        <v>45772</v>
      </c>
      <c r="Q16" s="13"/>
      <c r="R16" s="5"/>
    </row>
    <row r="17" spans="1:18" ht="51" customHeight="1">
      <c r="A17" s="8">
        <f t="shared" si="0"/>
        <v>13</v>
      </c>
      <c r="B17" s="8" t="s">
        <v>22</v>
      </c>
      <c r="C17" s="8" t="s">
        <v>23</v>
      </c>
      <c r="D17" s="8" t="s">
        <v>23</v>
      </c>
      <c r="E17" s="5" t="s">
        <v>76</v>
      </c>
      <c r="F17" s="5" t="s">
        <v>77</v>
      </c>
      <c r="G17" s="5" t="s">
        <v>78</v>
      </c>
      <c r="H17" s="5" t="s">
        <v>79</v>
      </c>
      <c r="I17" s="16"/>
      <c r="J17" s="8" t="s">
        <v>28</v>
      </c>
      <c r="K17" s="12" t="s">
        <v>80</v>
      </c>
      <c r="L17" s="13">
        <v>45767</v>
      </c>
      <c r="M17" s="12"/>
      <c r="N17" s="13"/>
      <c r="O17" s="12" t="s">
        <v>30</v>
      </c>
      <c r="P17" s="12">
        <v>45772</v>
      </c>
      <c r="Q17" s="13"/>
      <c r="R17" s="5"/>
    </row>
    <row r="18" spans="1:18">
      <c r="A18" s="8">
        <f t="shared" si="0"/>
        <v>14</v>
      </c>
      <c r="B18" s="8"/>
      <c r="C18" s="8"/>
      <c r="D18" s="8"/>
      <c r="E18" s="5"/>
      <c r="F18" s="5"/>
      <c r="G18" s="5"/>
      <c r="H18" s="5"/>
      <c r="I18" s="5"/>
      <c r="J18" s="8"/>
      <c r="K18" s="12"/>
      <c r="L18" s="13"/>
      <c r="M18" s="12"/>
      <c r="N18" s="13"/>
      <c r="O18" s="12"/>
      <c r="P18" s="12"/>
      <c r="Q18" s="13"/>
      <c r="R18" s="5"/>
    </row>
    <row r="19" spans="1:18">
      <c r="A19" s="8">
        <f t="shared" si="0"/>
        <v>15</v>
      </c>
      <c r="B19" s="8"/>
      <c r="C19" s="8"/>
      <c r="D19" s="8"/>
      <c r="E19" s="5"/>
      <c r="F19" s="5"/>
      <c r="G19" s="5"/>
      <c r="H19" s="5"/>
      <c r="I19" s="5"/>
      <c r="J19" s="8"/>
      <c r="K19" s="12"/>
      <c r="L19" s="13"/>
      <c r="M19" s="12"/>
      <c r="N19" s="13"/>
      <c r="O19" s="12"/>
      <c r="P19" s="12"/>
      <c r="Q19" s="13"/>
      <c r="R19" s="5"/>
    </row>
    <row r="20" spans="1:18">
      <c r="A20" s="8">
        <f t="shared" si="0"/>
        <v>16</v>
      </c>
      <c r="B20" s="8"/>
      <c r="C20" s="8"/>
      <c r="D20" s="8"/>
      <c r="E20" s="5"/>
      <c r="F20" s="5"/>
      <c r="G20" s="5"/>
      <c r="H20" s="5"/>
      <c r="I20" s="5"/>
      <c r="J20" s="8"/>
      <c r="K20" s="12"/>
      <c r="L20" s="13"/>
      <c r="M20" s="12"/>
      <c r="N20" s="13"/>
      <c r="O20" s="12"/>
      <c r="P20" s="12"/>
      <c r="Q20" s="13"/>
      <c r="R20" s="5"/>
    </row>
    <row r="21" spans="1:18">
      <c r="A21" s="8">
        <f t="shared" si="0"/>
        <v>17</v>
      </c>
      <c r="B21" s="8"/>
      <c r="C21" s="8"/>
      <c r="D21" s="8"/>
      <c r="E21" s="5"/>
      <c r="F21" s="5"/>
      <c r="G21" s="5"/>
      <c r="H21" s="5"/>
      <c r="I21" s="16"/>
      <c r="J21" s="8"/>
      <c r="K21" s="12"/>
      <c r="L21" s="13"/>
      <c r="M21" s="12"/>
      <c r="N21" s="13"/>
      <c r="O21" s="12"/>
      <c r="P21" s="12"/>
      <c r="Q21" s="13"/>
      <c r="R21" s="5"/>
    </row>
    <row r="22" spans="1:18">
      <c r="A22" s="8">
        <f t="shared" si="0"/>
        <v>18</v>
      </c>
      <c r="B22" s="8"/>
      <c r="C22" s="8"/>
      <c r="D22" s="8"/>
      <c r="E22" s="5"/>
      <c r="F22" s="5"/>
      <c r="G22" s="5"/>
      <c r="H22" s="17"/>
      <c r="I22" s="16"/>
      <c r="J22" s="8"/>
      <c r="K22" s="12"/>
      <c r="L22" s="13"/>
      <c r="M22" s="12"/>
      <c r="N22" s="13"/>
      <c r="O22" s="12"/>
      <c r="P22" s="12"/>
      <c r="Q22" s="13"/>
      <c r="R22" s="5"/>
    </row>
    <row r="23" spans="1:18">
      <c r="A23" s="8">
        <f t="shared" si="0"/>
        <v>19</v>
      </c>
      <c r="B23" s="8"/>
      <c r="C23" s="8"/>
      <c r="D23" s="8"/>
      <c r="E23" s="5"/>
      <c r="F23" s="5"/>
      <c r="G23" s="5"/>
      <c r="H23" s="17"/>
      <c r="I23" s="16"/>
      <c r="J23" s="8"/>
      <c r="K23" s="12"/>
      <c r="L23" s="13"/>
      <c r="M23" s="12"/>
      <c r="N23" s="13"/>
      <c r="O23" s="12"/>
      <c r="P23" s="12"/>
      <c r="Q23" s="13"/>
      <c r="R23" s="5"/>
    </row>
    <row r="24" spans="1:18">
      <c r="A24" s="8">
        <f t="shared" si="0"/>
        <v>20</v>
      </c>
      <c r="B24" s="8"/>
      <c r="C24" s="8"/>
      <c r="D24" s="8"/>
      <c r="E24" s="5"/>
      <c r="F24" s="5"/>
      <c r="G24" s="5"/>
      <c r="H24" s="5"/>
      <c r="I24" s="16"/>
      <c r="J24" s="8"/>
      <c r="K24" s="12"/>
      <c r="L24" s="13"/>
      <c r="M24" s="12"/>
      <c r="N24" s="13"/>
      <c r="O24" s="12"/>
      <c r="P24" s="12"/>
      <c r="Q24" s="13"/>
      <c r="R24" s="5"/>
    </row>
    <row r="25" spans="1:18">
      <c r="A25" s="8">
        <f t="shared" si="0"/>
        <v>21</v>
      </c>
      <c r="B25" s="8"/>
      <c r="C25" s="8"/>
      <c r="D25" s="8"/>
      <c r="E25" s="5"/>
      <c r="F25" s="5"/>
      <c r="G25" s="5"/>
      <c r="H25" s="5"/>
      <c r="I25" s="16"/>
      <c r="J25" s="8"/>
      <c r="K25" s="12"/>
      <c r="L25" s="13"/>
      <c r="M25" s="12"/>
      <c r="N25" s="13"/>
      <c r="O25" s="12"/>
      <c r="P25" s="12"/>
      <c r="Q25" s="13"/>
      <c r="R25" s="5"/>
    </row>
    <row r="26" spans="1:18">
      <c r="A26" s="8">
        <f t="shared" si="0"/>
        <v>22</v>
      </c>
      <c r="B26" s="8"/>
      <c r="C26" s="8"/>
      <c r="D26" s="8"/>
      <c r="E26" s="5"/>
      <c r="F26" s="5"/>
      <c r="G26" s="5"/>
      <c r="H26" s="17"/>
      <c r="I26" s="5"/>
      <c r="J26" s="8"/>
      <c r="K26" s="12"/>
      <c r="L26" s="13"/>
      <c r="M26" s="12"/>
      <c r="N26" s="13"/>
      <c r="O26" s="12"/>
      <c r="P26" s="12"/>
      <c r="Q26" s="13"/>
      <c r="R26" s="5"/>
    </row>
    <row r="27" spans="1:18">
      <c r="A27" s="8">
        <f>ROW()-4</f>
        <v>23</v>
      </c>
      <c r="B27" s="8"/>
      <c r="C27" s="8"/>
      <c r="D27" s="8"/>
      <c r="E27" s="5"/>
      <c r="F27" s="5"/>
      <c r="G27" s="5"/>
      <c r="H27" s="5"/>
      <c r="I27" s="16"/>
      <c r="J27" s="8"/>
      <c r="K27" s="12"/>
      <c r="L27" s="13"/>
      <c r="M27" s="12"/>
      <c r="N27" s="13"/>
      <c r="O27" s="12"/>
      <c r="P27" s="12"/>
      <c r="Q27" s="13"/>
      <c r="R27" s="5"/>
    </row>
    <row r="28" spans="1:18">
      <c r="A28" s="8">
        <f t="shared" ref="A28:A80" si="1">ROW()-4</f>
        <v>24</v>
      </c>
      <c r="B28" s="8"/>
      <c r="C28" s="8"/>
      <c r="D28" s="8"/>
      <c r="E28" s="5"/>
      <c r="F28" s="5"/>
      <c r="G28" s="5"/>
      <c r="H28" s="22"/>
      <c r="I28" s="16"/>
      <c r="J28" s="8"/>
      <c r="K28" s="12"/>
      <c r="L28" s="13"/>
      <c r="M28" s="12"/>
      <c r="N28" s="13"/>
      <c r="O28" s="12"/>
      <c r="P28" s="12"/>
      <c r="Q28" s="13"/>
      <c r="R28" s="5"/>
    </row>
    <row r="29" spans="1:18">
      <c r="A29" s="8">
        <f t="shared" si="1"/>
        <v>25</v>
      </c>
      <c r="B29" s="8"/>
      <c r="C29" s="8"/>
      <c r="D29" s="8"/>
      <c r="E29" s="5"/>
      <c r="F29" s="5"/>
      <c r="G29" s="5"/>
      <c r="H29" s="5"/>
      <c r="I29" s="5"/>
      <c r="J29" s="8"/>
      <c r="K29" s="12"/>
      <c r="L29" s="13"/>
      <c r="M29" s="12"/>
      <c r="N29" s="13"/>
      <c r="O29" s="12"/>
      <c r="P29" s="12"/>
      <c r="Q29" s="13"/>
      <c r="R29" s="5"/>
    </row>
    <row r="30" spans="1:18">
      <c r="A30" s="8">
        <f t="shared" si="1"/>
        <v>26</v>
      </c>
      <c r="B30" s="8"/>
      <c r="C30" s="8"/>
      <c r="D30" s="8"/>
      <c r="E30" s="5"/>
      <c r="F30" s="5"/>
      <c r="G30" s="5"/>
      <c r="H30" s="5"/>
      <c r="I30" s="16"/>
      <c r="J30" s="8"/>
      <c r="K30" s="12"/>
      <c r="L30" s="13"/>
      <c r="M30" s="12"/>
      <c r="N30" s="13"/>
      <c r="O30" s="12"/>
      <c r="P30" s="12"/>
      <c r="Q30" s="13"/>
      <c r="R30" s="5"/>
    </row>
    <row r="31" spans="1:18">
      <c r="A31" s="8">
        <f t="shared" si="1"/>
        <v>27</v>
      </c>
      <c r="B31" s="8"/>
      <c r="C31" s="8"/>
      <c r="D31" s="8"/>
      <c r="E31" s="5"/>
      <c r="F31" s="5"/>
      <c r="G31" s="5"/>
      <c r="H31" s="5"/>
      <c r="I31" s="16"/>
      <c r="J31" s="8"/>
      <c r="K31" s="12"/>
      <c r="L31" s="13"/>
      <c r="M31" s="12"/>
      <c r="N31" s="13"/>
      <c r="O31" s="12"/>
      <c r="P31" s="12"/>
      <c r="Q31" s="13"/>
      <c r="R31" s="5"/>
    </row>
    <row r="32" spans="1:18">
      <c r="A32" s="8">
        <f t="shared" si="1"/>
        <v>28</v>
      </c>
      <c r="B32" s="8"/>
      <c r="C32" s="8"/>
      <c r="D32" s="8"/>
      <c r="E32" s="5"/>
      <c r="F32" s="5"/>
      <c r="G32" s="5"/>
      <c r="H32" s="5"/>
      <c r="I32" s="16"/>
      <c r="J32" s="8"/>
      <c r="K32" s="12"/>
      <c r="L32" s="13"/>
      <c r="M32" s="12"/>
      <c r="N32" s="13"/>
      <c r="O32" s="12"/>
      <c r="P32" s="12"/>
      <c r="Q32" s="13"/>
      <c r="R32" s="5"/>
    </row>
    <row r="33" spans="1:18">
      <c r="A33" s="8">
        <f t="shared" si="1"/>
        <v>29</v>
      </c>
      <c r="B33" s="8"/>
      <c r="C33" s="8"/>
      <c r="D33" s="8"/>
      <c r="E33" s="5"/>
      <c r="F33" s="5"/>
      <c r="G33" s="5"/>
      <c r="H33" s="5"/>
      <c r="I33" s="16"/>
      <c r="J33" s="8"/>
      <c r="K33" s="12"/>
      <c r="L33" s="13"/>
      <c r="M33" s="12"/>
      <c r="N33" s="13"/>
      <c r="O33" s="12"/>
      <c r="P33" s="12"/>
      <c r="Q33" s="13"/>
      <c r="R33" s="5"/>
    </row>
    <row r="34" spans="1:18">
      <c r="A34" s="8">
        <f t="shared" si="1"/>
        <v>30</v>
      </c>
      <c r="B34" s="8"/>
      <c r="C34" s="8"/>
      <c r="D34" s="8"/>
      <c r="E34" s="5"/>
      <c r="F34" s="5"/>
      <c r="G34" s="5"/>
      <c r="H34" s="5"/>
      <c r="I34" s="5"/>
      <c r="J34" s="8"/>
      <c r="K34" s="12"/>
      <c r="L34" s="12"/>
      <c r="M34" s="12"/>
      <c r="N34" s="13"/>
      <c r="O34" s="12"/>
      <c r="P34" s="12"/>
      <c r="Q34" s="13"/>
      <c r="R34" s="5"/>
    </row>
    <row r="35" spans="1:18">
      <c r="A35" s="8">
        <f t="shared" si="1"/>
        <v>31</v>
      </c>
      <c r="B35" s="8"/>
      <c r="C35" s="8"/>
      <c r="D35" s="8"/>
      <c r="E35" s="5"/>
      <c r="F35" s="5"/>
      <c r="G35" s="5"/>
      <c r="H35" s="17"/>
      <c r="I35" s="5"/>
      <c r="J35" s="8"/>
      <c r="K35" s="12"/>
      <c r="L35" s="12"/>
      <c r="M35" s="12"/>
      <c r="N35" s="13"/>
      <c r="O35" s="12"/>
      <c r="P35" s="12"/>
      <c r="Q35" s="13"/>
      <c r="R35" s="5"/>
    </row>
    <row r="36" spans="1:18">
      <c r="A36" s="8">
        <f t="shared" si="1"/>
        <v>32</v>
      </c>
      <c r="B36" s="8"/>
      <c r="C36" s="8"/>
      <c r="D36" s="8"/>
      <c r="E36" s="5"/>
      <c r="F36" s="5"/>
      <c r="G36" s="5"/>
      <c r="H36" s="5"/>
      <c r="I36" s="5"/>
      <c r="J36" s="8"/>
      <c r="K36" s="12"/>
      <c r="L36" s="13"/>
      <c r="M36" s="12"/>
      <c r="N36" s="13"/>
      <c r="O36" s="12"/>
      <c r="P36" s="12"/>
      <c r="Q36" s="13"/>
      <c r="R36" s="5"/>
    </row>
    <row r="37" spans="1:18">
      <c r="A37" s="8">
        <f t="shared" si="1"/>
        <v>33</v>
      </c>
      <c r="B37" s="8"/>
      <c r="C37" s="8"/>
      <c r="D37" s="8"/>
      <c r="E37" s="5"/>
      <c r="F37" s="5"/>
      <c r="G37" s="5"/>
      <c r="H37" s="5"/>
      <c r="I37" s="5"/>
      <c r="J37" s="8"/>
      <c r="K37" s="12"/>
      <c r="L37" s="13"/>
      <c r="M37" s="12"/>
      <c r="N37" s="13"/>
      <c r="O37" s="12"/>
      <c r="P37" s="12"/>
      <c r="Q37" s="13"/>
      <c r="R37" s="5"/>
    </row>
    <row r="38" spans="1:18">
      <c r="A38" s="8">
        <f t="shared" si="1"/>
        <v>34</v>
      </c>
      <c r="B38" s="8"/>
      <c r="C38" s="8"/>
      <c r="D38" s="8"/>
      <c r="E38" s="5"/>
      <c r="F38" s="5"/>
      <c r="G38" s="5"/>
      <c r="H38" s="5"/>
      <c r="I38" s="16"/>
      <c r="J38" s="8"/>
      <c r="K38" s="12"/>
      <c r="L38" s="13"/>
      <c r="M38" s="12"/>
      <c r="N38" s="13"/>
      <c r="O38" s="12"/>
      <c r="P38" s="12"/>
      <c r="Q38" s="13"/>
      <c r="R38" s="5"/>
    </row>
    <row r="39" spans="1:18">
      <c r="A39" s="8">
        <f t="shared" si="1"/>
        <v>35</v>
      </c>
      <c r="B39" s="8"/>
      <c r="C39" s="8"/>
      <c r="D39" s="8"/>
      <c r="E39" s="5"/>
      <c r="F39" s="5"/>
      <c r="G39" s="5"/>
      <c r="H39" s="5"/>
      <c r="I39" s="16"/>
      <c r="J39" s="8"/>
      <c r="K39" s="12"/>
      <c r="L39" s="13"/>
      <c r="M39" s="12"/>
      <c r="N39" s="13"/>
      <c r="O39" s="12"/>
      <c r="P39" s="12"/>
      <c r="Q39" s="13"/>
      <c r="R39" s="5"/>
    </row>
    <row r="40" spans="1:18">
      <c r="A40" s="8">
        <f t="shared" si="1"/>
        <v>36</v>
      </c>
      <c r="B40" s="8"/>
      <c r="C40" s="8"/>
      <c r="D40" s="8"/>
      <c r="F40" s="5"/>
      <c r="G40" s="5"/>
      <c r="H40" s="5"/>
      <c r="I40" s="5"/>
      <c r="J40" s="8"/>
      <c r="K40" s="12"/>
      <c r="L40" s="13"/>
      <c r="M40" s="12"/>
      <c r="N40" s="13"/>
      <c r="O40" s="12"/>
      <c r="P40" s="12"/>
      <c r="Q40" s="13"/>
      <c r="R40" s="5"/>
    </row>
    <row r="41" spans="1:18">
      <c r="A41" s="8">
        <f t="shared" si="1"/>
        <v>37</v>
      </c>
      <c r="B41" s="8"/>
      <c r="C41" s="8"/>
      <c r="D41" s="8"/>
      <c r="E41" s="5"/>
      <c r="F41" s="5"/>
      <c r="G41" s="5"/>
      <c r="H41" s="5"/>
      <c r="I41" s="5"/>
      <c r="J41" s="8"/>
      <c r="K41" s="12"/>
      <c r="L41" s="13"/>
      <c r="M41" s="12"/>
      <c r="N41" s="13"/>
      <c r="O41" s="12"/>
      <c r="P41" s="12"/>
      <c r="Q41" s="13"/>
      <c r="R41" s="5"/>
    </row>
    <row r="42" spans="1:18">
      <c r="A42" s="8">
        <f t="shared" si="1"/>
        <v>38</v>
      </c>
      <c r="B42" s="8"/>
      <c r="C42" s="8"/>
      <c r="D42" s="8"/>
      <c r="E42" s="5"/>
      <c r="F42" s="5"/>
      <c r="G42" s="5"/>
      <c r="H42" s="5"/>
      <c r="I42" s="16"/>
      <c r="J42" s="8"/>
      <c r="K42" s="12"/>
      <c r="L42" s="13"/>
      <c r="M42" s="12"/>
      <c r="N42" s="13"/>
      <c r="O42" s="12"/>
      <c r="P42" s="12"/>
      <c r="Q42" s="13"/>
      <c r="R42" s="5"/>
    </row>
    <row r="43" spans="1:18">
      <c r="A43" s="8">
        <f t="shared" si="1"/>
        <v>39</v>
      </c>
      <c r="B43" s="8"/>
      <c r="C43" s="8"/>
      <c r="D43" s="8"/>
      <c r="E43" s="5"/>
      <c r="F43" s="5"/>
      <c r="G43" s="5"/>
      <c r="H43" s="17"/>
      <c r="I43" s="5"/>
      <c r="J43" s="8"/>
      <c r="K43" s="12"/>
      <c r="L43" s="13"/>
      <c r="M43" s="12"/>
      <c r="N43" s="13"/>
      <c r="O43" s="12"/>
      <c r="P43" s="12"/>
      <c r="Q43" s="13"/>
      <c r="R43" s="5"/>
    </row>
    <row r="44" spans="1:18">
      <c r="A44" s="8">
        <f t="shared" si="1"/>
        <v>40</v>
      </c>
      <c r="B44" s="8"/>
      <c r="C44" s="8"/>
      <c r="D44" s="8"/>
      <c r="E44" s="5"/>
      <c r="F44" s="5"/>
      <c r="G44" s="5"/>
      <c r="H44" s="5"/>
      <c r="I44" s="5"/>
      <c r="J44" s="8"/>
      <c r="K44" s="12"/>
      <c r="L44" s="13"/>
      <c r="M44" s="12"/>
      <c r="N44" s="13"/>
      <c r="O44" s="12"/>
      <c r="P44" s="12"/>
      <c r="Q44" s="13"/>
      <c r="R44" s="5"/>
    </row>
    <row r="45" spans="1:18">
      <c r="A45" s="8">
        <f t="shared" si="1"/>
        <v>41</v>
      </c>
      <c r="B45" s="8"/>
      <c r="C45" s="8"/>
      <c r="D45" s="8"/>
      <c r="E45" s="5"/>
      <c r="F45" s="5"/>
      <c r="G45" s="5"/>
      <c r="H45" s="5"/>
      <c r="I45" s="5"/>
      <c r="J45" s="8"/>
      <c r="K45" s="12"/>
      <c r="L45" s="13"/>
      <c r="M45" s="12"/>
      <c r="N45" s="13"/>
      <c r="O45" s="12"/>
      <c r="P45" s="12"/>
      <c r="Q45" s="13"/>
      <c r="R45" s="5"/>
    </row>
    <row r="46" spans="1:18">
      <c r="A46" s="8">
        <f t="shared" si="1"/>
        <v>42</v>
      </c>
      <c r="B46" s="8"/>
      <c r="C46" s="8"/>
      <c r="D46" s="8"/>
      <c r="E46" s="5"/>
      <c r="F46" s="5"/>
      <c r="G46" s="5"/>
      <c r="H46" s="5"/>
      <c r="I46" s="16"/>
      <c r="J46" s="8"/>
      <c r="K46" s="12"/>
      <c r="L46" s="13"/>
      <c r="M46" s="12"/>
      <c r="N46" s="13"/>
      <c r="O46" s="12"/>
      <c r="P46" s="12"/>
      <c r="Q46" s="13"/>
      <c r="R46" s="5"/>
    </row>
    <row r="47" spans="1:18">
      <c r="A47" s="8">
        <f t="shared" si="1"/>
        <v>43</v>
      </c>
      <c r="B47" s="8"/>
      <c r="C47" s="8"/>
      <c r="D47" s="8"/>
      <c r="E47" s="5"/>
      <c r="F47" s="5"/>
      <c r="G47" s="5"/>
      <c r="H47" s="17"/>
      <c r="I47" s="5"/>
      <c r="J47" s="8"/>
      <c r="K47" s="12"/>
      <c r="L47" s="13"/>
      <c r="M47" s="12"/>
      <c r="N47" s="13"/>
      <c r="O47" s="12"/>
      <c r="P47" s="12"/>
      <c r="Q47" s="13"/>
      <c r="R47" s="5"/>
    </row>
    <row r="48" spans="1:18">
      <c r="A48" s="8">
        <f t="shared" si="1"/>
        <v>44</v>
      </c>
      <c r="B48" s="8"/>
      <c r="C48" s="8"/>
      <c r="D48" s="8"/>
      <c r="E48" s="5"/>
      <c r="F48" s="5"/>
      <c r="G48" s="5"/>
      <c r="H48" s="5"/>
      <c r="I48" s="5"/>
      <c r="J48" s="8"/>
      <c r="K48" s="12"/>
      <c r="L48" s="13"/>
      <c r="M48" s="12"/>
      <c r="N48" s="13"/>
      <c r="O48" s="12"/>
      <c r="P48" s="13"/>
      <c r="Q48" s="13"/>
      <c r="R48" s="5"/>
    </row>
    <row r="49" spans="1:18">
      <c r="A49" s="8">
        <f t="shared" si="1"/>
        <v>45</v>
      </c>
      <c r="B49" s="8"/>
      <c r="C49" s="8"/>
      <c r="D49" s="8"/>
      <c r="E49" s="5"/>
      <c r="F49" s="5"/>
      <c r="G49" s="5"/>
      <c r="H49" s="5"/>
      <c r="I49" s="5"/>
      <c r="J49" s="8"/>
      <c r="K49" s="12"/>
      <c r="L49" s="13"/>
      <c r="M49" s="12"/>
      <c r="N49" s="13"/>
      <c r="O49" s="12"/>
      <c r="P49" s="12"/>
      <c r="Q49" s="13"/>
      <c r="R49" s="5"/>
    </row>
    <row r="50" spans="1:18">
      <c r="A50" s="8">
        <f t="shared" si="1"/>
        <v>46</v>
      </c>
      <c r="B50" s="8"/>
      <c r="C50" s="8"/>
      <c r="D50" s="8"/>
      <c r="E50" s="5"/>
      <c r="F50" s="5"/>
      <c r="G50" s="5"/>
      <c r="H50" s="5"/>
      <c r="I50" s="5"/>
      <c r="J50" s="8"/>
      <c r="K50" s="12"/>
      <c r="L50" s="13"/>
      <c r="M50" s="12"/>
      <c r="N50" s="13"/>
      <c r="O50" s="12"/>
      <c r="P50" s="12"/>
      <c r="Q50" s="13"/>
      <c r="R50" s="5"/>
    </row>
    <row r="51" spans="1:18">
      <c r="A51" s="8">
        <f t="shared" si="1"/>
        <v>47</v>
      </c>
      <c r="B51" s="8"/>
      <c r="C51" s="8"/>
      <c r="D51" s="8"/>
      <c r="E51" s="5"/>
      <c r="F51" s="5"/>
      <c r="G51" s="5"/>
      <c r="H51" s="5"/>
      <c r="I51" s="5"/>
      <c r="J51" s="8"/>
      <c r="K51" s="12"/>
      <c r="L51" s="13"/>
      <c r="M51" s="12"/>
      <c r="N51" s="13"/>
      <c r="O51" s="12"/>
      <c r="P51" s="12"/>
      <c r="Q51" s="13"/>
      <c r="R51" s="5"/>
    </row>
    <row r="52" spans="1:18">
      <c r="A52" s="8">
        <f t="shared" si="1"/>
        <v>48</v>
      </c>
      <c r="B52" s="8"/>
      <c r="C52" s="8"/>
      <c r="D52" s="8"/>
      <c r="E52" s="5"/>
      <c r="F52" s="5"/>
      <c r="G52" s="5"/>
      <c r="H52" s="5"/>
      <c r="I52" s="5"/>
      <c r="J52" s="8"/>
      <c r="K52" s="12"/>
      <c r="L52" s="13"/>
      <c r="M52" s="12"/>
      <c r="N52" s="13"/>
      <c r="O52" s="12"/>
      <c r="P52" s="12"/>
      <c r="Q52" s="13"/>
      <c r="R52" s="5"/>
    </row>
    <row r="53" spans="1:18">
      <c r="A53" s="8">
        <f t="shared" si="1"/>
        <v>49</v>
      </c>
      <c r="B53" s="8"/>
      <c r="C53" s="8"/>
      <c r="D53" s="8"/>
      <c r="E53" s="5"/>
      <c r="F53" s="5"/>
      <c r="G53" s="5"/>
      <c r="H53" s="5"/>
      <c r="I53" s="5"/>
      <c r="J53" s="8"/>
      <c r="K53" s="12"/>
      <c r="L53" s="13"/>
      <c r="M53" s="12"/>
      <c r="N53" s="13"/>
      <c r="O53" s="12"/>
      <c r="P53" s="13"/>
      <c r="Q53" s="13"/>
      <c r="R53" s="5"/>
    </row>
    <row r="54" spans="1:18">
      <c r="A54" s="8">
        <f t="shared" si="1"/>
        <v>50</v>
      </c>
      <c r="B54" s="8"/>
      <c r="C54" s="8"/>
      <c r="D54" s="8"/>
      <c r="E54" s="5"/>
      <c r="F54" s="5"/>
      <c r="G54" s="5"/>
      <c r="H54" s="5"/>
      <c r="I54" s="5"/>
      <c r="J54" s="8"/>
      <c r="K54" s="12"/>
      <c r="L54" s="13"/>
      <c r="M54" s="12"/>
      <c r="N54" s="13"/>
      <c r="O54" s="12"/>
      <c r="P54" s="13"/>
      <c r="Q54" s="13"/>
      <c r="R54" s="5"/>
    </row>
    <row r="55" spans="1:18">
      <c r="A55" s="8">
        <f t="shared" si="1"/>
        <v>51</v>
      </c>
      <c r="B55" s="8"/>
      <c r="C55" s="8"/>
      <c r="D55" s="8"/>
      <c r="E55" s="5"/>
      <c r="F55" s="5"/>
      <c r="G55" s="5"/>
      <c r="H55" s="5"/>
      <c r="I55" s="5"/>
      <c r="J55" s="8"/>
      <c r="K55" s="12"/>
      <c r="L55" s="13"/>
      <c r="M55" s="12"/>
      <c r="N55" s="13"/>
      <c r="O55" s="12"/>
      <c r="P55" s="13"/>
      <c r="Q55" s="13"/>
      <c r="R55" s="5"/>
    </row>
    <row r="56" spans="1:18">
      <c r="A56" s="8">
        <f t="shared" si="1"/>
        <v>52</v>
      </c>
      <c r="B56" s="8"/>
      <c r="C56" s="8"/>
      <c r="D56" s="8"/>
      <c r="E56" s="5"/>
      <c r="F56" s="5"/>
      <c r="G56" s="5"/>
      <c r="H56" s="5"/>
      <c r="I56" s="5"/>
      <c r="J56" s="8"/>
      <c r="K56" s="12"/>
      <c r="L56" s="13"/>
      <c r="M56" s="12"/>
      <c r="N56" s="13"/>
      <c r="O56" s="12"/>
      <c r="P56" s="13"/>
      <c r="Q56" s="13"/>
      <c r="R56" s="5"/>
    </row>
    <row r="57" spans="1:18">
      <c r="A57" s="8">
        <f t="shared" si="1"/>
        <v>53</v>
      </c>
      <c r="B57" s="8"/>
      <c r="C57" s="8"/>
      <c r="D57" s="8"/>
      <c r="E57" s="5"/>
      <c r="F57" s="5"/>
      <c r="G57" s="5"/>
      <c r="H57" s="5"/>
      <c r="I57" s="5"/>
      <c r="J57" s="8"/>
      <c r="K57" s="12"/>
      <c r="L57" s="13"/>
      <c r="M57" s="12"/>
      <c r="N57" s="13"/>
      <c r="O57" s="12"/>
      <c r="P57" s="12"/>
      <c r="Q57" s="13"/>
      <c r="R57" s="5"/>
    </row>
    <row r="58" spans="1:18">
      <c r="A58" s="8">
        <f t="shared" si="1"/>
        <v>54</v>
      </c>
      <c r="B58" s="8"/>
      <c r="C58" s="8"/>
      <c r="D58" s="8"/>
      <c r="E58" s="5"/>
      <c r="F58" s="5"/>
      <c r="G58" s="5"/>
      <c r="H58" s="5"/>
      <c r="I58" s="5"/>
      <c r="J58" s="8"/>
      <c r="K58" s="12"/>
      <c r="L58" s="13"/>
      <c r="M58" s="12"/>
      <c r="N58" s="13"/>
      <c r="O58" s="12"/>
      <c r="P58" s="13"/>
      <c r="Q58" s="13"/>
      <c r="R58" s="5"/>
    </row>
    <row r="59" spans="1:18">
      <c r="A59" s="8">
        <f t="shared" si="1"/>
        <v>55</v>
      </c>
      <c r="B59" s="8"/>
      <c r="C59" s="8"/>
      <c r="D59" s="8"/>
      <c r="E59" s="5"/>
      <c r="F59" s="5"/>
      <c r="G59" s="5"/>
      <c r="H59" s="5"/>
      <c r="I59" s="5"/>
      <c r="J59" s="8"/>
      <c r="K59" s="12"/>
      <c r="L59" s="13"/>
      <c r="M59" s="12"/>
      <c r="N59" s="13"/>
      <c r="O59" s="12"/>
      <c r="P59" s="13"/>
      <c r="Q59" s="13"/>
      <c r="R59" s="5"/>
    </row>
    <row r="60" spans="1:18">
      <c r="A60" s="8">
        <f t="shared" si="1"/>
        <v>56</v>
      </c>
      <c r="B60" s="8"/>
      <c r="C60" s="8"/>
      <c r="D60" s="8"/>
      <c r="E60" s="5"/>
      <c r="F60" s="5"/>
      <c r="G60" s="5"/>
      <c r="H60" s="5"/>
      <c r="I60" s="5"/>
      <c r="J60" s="8"/>
      <c r="K60" s="12"/>
      <c r="L60" s="13"/>
      <c r="M60" s="12"/>
      <c r="N60" s="13"/>
      <c r="O60" s="12"/>
      <c r="P60" s="13"/>
      <c r="Q60" s="13"/>
      <c r="R60" s="5"/>
    </row>
    <row r="61" spans="1:18">
      <c r="A61" s="8">
        <f t="shared" si="1"/>
        <v>57</v>
      </c>
      <c r="B61" s="8"/>
      <c r="C61" s="8"/>
      <c r="D61" s="8"/>
      <c r="E61" s="5"/>
      <c r="F61" s="5"/>
      <c r="G61" s="5"/>
      <c r="H61" s="5"/>
      <c r="I61" s="5"/>
      <c r="J61" s="8"/>
      <c r="K61" s="12"/>
      <c r="L61" s="13"/>
      <c r="M61" s="12"/>
      <c r="N61" s="13"/>
      <c r="O61" s="12"/>
      <c r="P61" s="13"/>
      <c r="Q61" s="13"/>
      <c r="R61" s="5"/>
    </row>
    <row r="62" spans="1:18">
      <c r="A62" s="8">
        <f t="shared" si="1"/>
        <v>58</v>
      </c>
      <c r="B62" s="8"/>
      <c r="C62" s="8"/>
      <c r="D62" s="8"/>
      <c r="E62" s="5"/>
      <c r="F62" s="5"/>
      <c r="G62" s="5"/>
      <c r="H62" s="5"/>
      <c r="I62" s="5"/>
      <c r="J62" s="8"/>
      <c r="K62" s="12"/>
      <c r="L62" s="13"/>
      <c r="M62" s="12"/>
      <c r="N62" s="13"/>
      <c r="O62" s="12"/>
      <c r="P62" s="13"/>
      <c r="Q62" s="13"/>
      <c r="R62" s="5"/>
    </row>
    <row r="63" spans="1:18">
      <c r="A63" s="8">
        <f t="shared" si="1"/>
        <v>59</v>
      </c>
      <c r="B63" s="8"/>
      <c r="C63" s="8"/>
      <c r="D63" s="8"/>
      <c r="E63" s="5"/>
      <c r="F63" s="5"/>
      <c r="G63" s="5"/>
      <c r="H63" s="5"/>
      <c r="I63" s="5"/>
      <c r="J63" s="8"/>
      <c r="K63" s="12"/>
      <c r="L63" s="13"/>
      <c r="M63" s="12"/>
      <c r="N63" s="13"/>
      <c r="O63" s="12"/>
      <c r="P63" s="13"/>
      <c r="Q63" s="13"/>
      <c r="R63" s="5"/>
    </row>
    <row r="64" spans="1:18">
      <c r="A64" s="8">
        <f t="shared" si="1"/>
        <v>60</v>
      </c>
      <c r="B64" s="8"/>
      <c r="C64" s="8"/>
      <c r="D64" s="8"/>
      <c r="E64" s="5"/>
      <c r="F64" s="5"/>
      <c r="G64" s="5"/>
      <c r="H64" s="5"/>
      <c r="I64" s="5"/>
      <c r="J64" s="8"/>
      <c r="K64" s="12"/>
      <c r="L64" s="13"/>
      <c r="M64" s="12"/>
      <c r="N64" s="13"/>
      <c r="O64" s="12"/>
      <c r="P64" s="13"/>
      <c r="Q64" s="13"/>
      <c r="R64" s="5"/>
    </row>
    <row r="65" spans="1:18">
      <c r="A65" s="8">
        <f t="shared" si="1"/>
        <v>61</v>
      </c>
      <c r="B65" s="8"/>
      <c r="C65" s="8"/>
      <c r="D65" s="8"/>
      <c r="E65" s="5"/>
      <c r="F65" s="5"/>
      <c r="G65" s="5"/>
      <c r="H65" s="5"/>
      <c r="I65" s="5"/>
      <c r="J65" s="8"/>
      <c r="K65" s="12"/>
      <c r="L65" s="13"/>
      <c r="M65" s="12"/>
      <c r="N65" s="13"/>
      <c r="O65" s="12"/>
      <c r="P65" s="13"/>
      <c r="Q65" s="13"/>
      <c r="R65" s="5"/>
    </row>
    <row r="66" spans="1:18">
      <c r="A66" s="8">
        <f t="shared" si="1"/>
        <v>62</v>
      </c>
      <c r="B66" s="8"/>
      <c r="C66" s="8"/>
      <c r="D66" s="8"/>
      <c r="E66" s="5"/>
      <c r="F66" s="5"/>
      <c r="G66" s="5"/>
      <c r="H66" s="5"/>
      <c r="I66" s="5"/>
      <c r="J66" s="8"/>
      <c r="K66" s="12"/>
      <c r="L66" s="13"/>
      <c r="M66" s="12"/>
      <c r="N66" s="13"/>
      <c r="O66" s="12"/>
      <c r="P66" s="13"/>
      <c r="Q66" s="13"/>
      <c r="R66" s="5"/>
    </row>
    <row r="67" spans="1:18">
      <c r="A67" s="8">
        <f t="shared" si="1"/>
        <v>63</v>
      </c>
      <c r="B67" s="8"/>
      <c r="C67" s="8"/>
      <c r="D67" s="8"/>
      <c r="E67" s="5"/>
      <c r="F67" s="5"/>
      <c r="G67" s="5"/>
      <c r="H67" s="5"/>
      <c r="I67" s="5"/>
      <c r="J67" s="8"/>
      <c r="K67" s="12"/>
      <c r="L67" s="13"/>
      <c r="M67" s="12"/>
      <c r="N67" s="13"/>
      <c r="O67" s="12"/>
      <c r="P67" s="13"/>
      <c r="Q67" s="13"/>
      <c r="R67" s="5"/>
    </row>
    <row r="68" spans="1:18">
      <c r="A68" s="8">
        <f t="shared" si="1"/>
        <v>64</v>
      </c>
      <c r="B68" s="8"/>
      <c r="C68" s="8"/>
      <c r="D68" s="8"/>
      <c r="E68" s="5"/>
      <c r="F68" s="5"/>
      <c r="G68" s="5"/>
      <c r="H68" s="5"/>
      <c r="I68" s="5"/>
      <c r="J68" s="8"/>
      <c r="K68" s="12"/>
      <c r="L68" s="13"/>
      <c r="M68" s="12"/>
      <c r="N68" s="13"/>
      <c r="O68" s="12"/>
      <c r="P68" s="13"/>
      <c r="Q68" s="13"/>
      <c r="R68" s="5"/>
    </row>
    <row r="69" spans="1:18">
      <c r="A69" s="8">
        <f t="shared" si="1"/>
        <v>65</v>
      </c>
      <c r="B69" s="8"/>
      <c r="C69" s="8"/>
      <c r="D69" s="8"/>
      <c r="E69" s="5"/>
      <c r="F69" s="5"/>
      <c r="G69" s="5"/>
      <c r="H69" s="5"/>
      <c r="I69" s="5"/>
      <c r="J69" s="8"/>
      <c r="K69" s="12"/>
      <c r="L69" s="13"/>
      <c r="M69" s="12"/>
      <c r="N69" s="13"/>
      <c r="O69" s="12"/>
      <c r="P69" s="13"/>
      <c r="Q69" s="13"/>
      <c r="R69" s="5"/>
    </row>
    <row r="70" spans="1:18">
      <c r="A70" s="8">
        <f t="shared" si="1"/>
        <v>66</v>
      </c>
      <c r="B70" s="8"/>
      <c r="C70" s="8"/>
      <c r="D70" s="8"/>
      <c r="E70" s="5"/>
      <c r="F70" s="5"/>
      <c r="G70" s="5"/>
      <c r="H70" s="5"/>
      <c r="I70" s="5"/>
      <c r="J70" s="8"/>
      <c r="K70" s="12"/>
      <c r="L70" s="13"/>
      <c r="M70" s="12"/>
      <c r="N70" s="13"/>
      <c r="O70" s="12"/>
      <c r="P70" s="13"/>
      <c r="Q70" s="13"/>
      <c r="R70" s="5"/>
    </row>
    <row r="71" spans="1:18">
      <c r="A71" s="8">
        <f t="shared" si="1"/>
        <v>67</v>
      </c>
      <c r="B71" s="8"/>
      <c r="C71" s="8"/>
      <c r="D71" s="8"/>
      <c r="E71" s="5"/>
      <c r="F71" s="5"/>
      <c r="G71" s="5"/>
      <c r="H71" s="5"/>
      <c r="I71" s="5"/>
      <c r="J71" s="8"/>
      <c r="K71" s="12"/>
      <c r="L71" s="13"/>
      <c r="M71" s="12"/>
      <c r="N71" s="13"/>
      <c r="O71" s="12"/>
      <c r="P71" s="13"/>
      <c r="Q71" s="13"/>
      <c r="R71" s="5"/>
    </row>
    <row r="72" spans="1:18">
      <c r="A72" s="8">
        <f t="shared" si="1"/>
        <v>68</v>
      </c>
      <c r="B72" s="8"/>
      <c r="C72" s="8"/>
      <c r="D72" s="8"/>
      <c r="E72" s="5"/>
      <c r="F72" s="5"/>
      <c r="G72" s="5"/>
      <c r="H72" s="5"/>
      <c r="I72" s="5"/>
      <c r="J72" s="8"/>
      <c r="K72" s="12"/>
      <c r="L72" s="13"/>
      <c r="M72" s="12"/>
      <c r="N72" s="13"/>
      <c r="O72" s="12"/>
      <c r="P72" s="13"/>
      <c r="Q72" s="13"/>
      <c r="R72" s="5"/>
    </row>
    <row r="73" spans="1:18">
      <c r="A73" s="8">
        <f t="shared" si="1"/>
        <v>69</v>
      </c>
      <c r="B73" s="8"/>
      <c r="C73" s="8"/>
      <c r="D73" s="8"/>
      <c r="E73" s="5"/>
      <c r="F73" s="5"/>
      <c r="G73" s="5"/>
      <c r="H73" s="5"/>
      <c r="I73" s="5"/>
      <c r="J73" s="8"/>
      <c r="K73" s="12"/>
      <c r="L73" s="13"/>
      <c r="M73" s="12"/>
      <c r="N73" s="13"/>
      <c r="O73" s="12"/>
      <c r="P73" s="13"/>
      <c r="Q73" s="13"/>
      <c r="R73" s="5"/>
    </row>
    <row r="74" spans="1:18">
      <c r="A74" s="8">
        <f t="shared" si="1"/>
        <v>70</v>
      </c>
      <c r="B74" s="8"/>
      <c r="C74" s="8"/>
      <c r="D74" s="8"/>
      <c r="E74" s="5"/>
      <c r="F74" s="5"/>
      <c r="G74" s="5"/>
      <c r="H74" s="5"/>
      <c r="I74" s="5"/>
      <c r="J74" s="8"/>
      <c r="K74" s="12"/>
      <c r="L74" s="13"/>
      <c r="M74" s="12"/>
      <c r="N74" s="13"/>
      <c r="O74" s="12"/>
      <c r="P74" s="13"/>
      <c r="Q74" s="13"/>
      <c r="R74" s="5"/>
    </row>
    <row r="75" spans="1:18">
      <c r="A75" s="8">
        <f t="shared" ref="A75:A82" si="2">ROW()-4</f>
        <v>71</v>
      </c>
      <c r="B75" s="8"/>
      <c r="C75" s="8"/>
      <c r="D75" s="8"/>
      <c r="E75" s="5"/>
      <c r="F75" s="5"/>
      <c r="G75" s="5"/>
      <c r="H75" s="5"/>
      <c r="I75" s="5"/>
      <c r="J75" s="8"/>
      <c r="K75" s="12"/>
      <c r="L75" s="13"/>
      <c r="M75" s="12"/>
      <c r="N75" s="13"/>
      <c r="O75" s="12"/>
      <c r="P75" s="13"/>
      <c r="Q75" s="13"/>
      <c r="R75" s="5"/>
    </row>
    <row r="76" spans="1:18">
      <c r="A76" s="8">
        <f t="shared" si="2"/>
        <v>72</v>
      </c>
      <c r="B76" s="8"/>
      <c r="C76" s="8"/>
      <c r="D76" s="8"/>
      <c r="E76" s="5"/>
      <c r="F76" s="5"/>
      <c r="G76" s="5"/>
      <c r="H76" s="5"/>
      <c r="I76" s="5"/>
      <c r="J76" s="8"/>
      <c r="K76" s="12"/>
      <c r="L76" s="13"/>
      <c r="M76" s="12"/>
      <c r="N76" s="13"/>
      <c r="O76" s="12"/>
      <c r="P76" s="13"/>
      <c r="Q76" s="13"/>
      <c r="R76" s="5"/>
    </row>
    <row r="77" spans="1:18">
      <c r="A77" s="8">
        <f t="shared" si="2"/>
        <v>73</v>
      </c>
      <c r="B77" s="8"/>
      <c r="C77" s="8"/>
      <c r="D77" s="8"/>
      <c r="E77" s="5"/>
      <c r="F77" s="5"/>
      <c r="G77" s="5"/>
      <c r="H77" s="5"/>
      <c r="I77" s="5"/>
      <c r="J77" s="8"/>
      <c r="K77" s="12"/>
      <c r="L77" s="13"/>
      <c r="M77" s="12"/>
      <c r="N77" s="13"/>
      <c r="O77" s="12"/>
      <c r="P77" s="13"/>
      <c r="Q77" s="13"/>
      <c r="R77" s="5"/>
    </row>
    <row r="78" spans="1:18">
      <c r="A78" s="8">
        <f t="shared" si="1"/>
        <v>74</v>
      </c>
      <c r="B78" s="8"/>
      <c r="C78" s="8"/>
      <c r="D78" s="8"/>
      <c r="E78" s="5"/>
      <c r="F78" s="5"/>
      <c r="G78" s="5"/>
      <c r="H78" s="5"/>
      <c r="I78" s="5"/>
      <c r="J78" s="8"/>
      <c r="K78" s="12"/>
      <c r="L78" s="13"/>
      <c r="M78" s="12"/>
      <c r="N78" s="13"/>
      <c r="O78" s="12"/>
      <c r="P78" s="13"/>
      <c r="Q78" s="13"/>
      <c r="R78" s="5"/>
    </row>
    <row r="79" spans="1:18">
      <c r="A79" s="8">
        <f t="shared" si="1"/>
        <v>75</v>
      </c>
      <c r="B79" s="8"/>
      <c r="C79" s="8"/>
      <c r="D79" s="8"/>
      <c r="E79" s="5"/>
      <c r="F79" s="5"/>
      <c r="G79" s="5"/>
      <c r="H79" s="5"/>
      <c r="I79" s="5"/>
      <c r="J79" s="8"/>
      <c r="K79" s="12"/>
      <c r="L79" s="13"/>
      <c r="M79" s="12"/>
      <c r="N79" s="13"/>
      <c r="O79" s="12"/>
      <c r="P79" s="13"/>
      <c r="Q79" s="13"/>
      <c r="R79" s="5"/>
    </row>
    <row r="80" spans="1:18">
      <c r="A80" s="8">
        <f t="shared" si="1"/>
        <v>76</v>
      </c>
      <c r="B80" s="8"/>
      <c r="C80" s="8"/>
      <c r="D80" s="8"/>
      <c r="E80" s="5"/>
      <c r="F80" s="5"/>
      <c r="G80" s="5"/>
      <c r="H80" s="5"/>
      <c r="I80" s="5"/>
      <c r="J80" s="8"/>
      <c r="K80" s="12"/>
      <c r="L80" s="13"/>
      <c r="M80" s="12"/>
      <c r="N80" s="13"/>
      <c r="O80" s="12"/>
      <c r="P80" s="13"/>
      <c r="Q80" s="13"/>
      <c r="R80" s="5"/>
    </row>
    <row r="81" spans="1:18">
      <c r="A81" s="8">
        <f t="shared" si="2"/>
        <v>77</v>
      </c>
      <c r="B81" s="8"/>
      <c r="C81" s="8"/>
      <c r="D81" s="8"/>
      <c r="E81" s="5"/>
      <c r="F81" s="5"/>
      <c r="G81" s="5"/>
      <c r="H81" s="22"/>
      <c r="I81" s="5"/>
      <c r="J81" s="8"/>
      <c r="K81" s="12"/>
      <c r="L81" s="13"/>
      <c r="M81" s="12"/>
      <c r="N81" s="13"/>
      <c r="O81" s="12"/>
      <c r="P81" s="13"/>
      <c r="Q81" s="13"/>
      <c r="R81" s="5"/>
    </row>
    <row r="82" spans="1:18">
      <c r="A82" s="4">
        <f t="shared" si="2"/>
        <v>78</v>
      </c>
      <c r="B82" s="4"/>
      <c r="C82" s="4"/>
      <c r="D82" s="4"/>
      <c r="E82" s="2"/>
      <c r="F82" s="2"/>
      <c r="G82" s="2"/>
      <c r="H82" s="2"/>
      <c r="I82" s="2"/>
      <c r="J82" s="4"/>
      <c r="K82" s="23"/>
      <c r="L82" s="14"/>
      <c r="M82" s="23"/>
      <c r="N82" s="14"/>
      <c r="O82" s="15"/>
      <c r="P82" s="14"/>
      <c r="Q82" s="14"/>
      <c r="R82" s="2"/>
    </row>
    <row r="83" spans="1:18">
      <c r="A83" s="8">
        <f>ROW()-4</f>
        <v>79</v>
      </c>
      <c r="B83" s="8"/>
      <c r="C83" s="8"/>
      <c r="D83" s="8"/>
      <c r="E83" s="5"/>
      <c r="F83" s="5"/>
      <c r="G83" s="5"/>
      <c r="H83" s="5"/>
      <c r="I83" s="5"/>
      <c r="J83" s="8"/>
      <c r="K83" s="12"/>
      <c r="L83" s="13"/>
      <c r="M83" s="12"/>
      <c r="N83" s="13"/>
      <c r="O83" s="12"/>
      <c r="P83" s="12"/>
      <c r="Q83" s="13"/>
      <c r="R83" s="5"/>
    </row>
  </sheetData>
  <autoFilter ref="A4:R83" xr:uid="{00000000-0001-0000-0000-000000000000}"/>
  <customSheetViews>
    <customSheetView guid="{1E74C8C6-F17D-416B-8574-04851C6530CA}" scale="70" showPageBreaks="1" fitToPage="1" showAutoFilter="1" view="pageBreakPreview">
      <pane ySplit="3" topLeftCell="A13" activePane="bottomLeft" state="frozenSplit"/>
      <selection pane="bottomLeft" activeCell="A16" sqref="A16"/>
      <pageMargins left="0" right="0" top="0" bottom="0" header="0" footer="0"/>
      <pageSetup paperSize="9" scale="55" fitToHeight="0" orientation="landscape" r:id="rId1"/>
      <autoFilter ref="A3:N104" xr:uid="{2FC810E2-DF75-4122-95C4-C5C59E951EB2}"/>
    </customSheetView>
    <customSheetView guid="{E7CC7833-BCD6-48D4-94F1-CBEF85BBB720}" scale="70" showPageBreaks="1" fitToPage="1" showAutoFilter="1" view="pageBreakPreview">
      <pane ySplit="3" topLeftCell="A4" activePane="bottomLeft" state="frozenSplit"/>
      <selection pane="bottomLeft"/>
      <pageMargins left="0" right="0" top="0" bottom="0" header="0" footer="0"/>
      <pageSetup paperSize="9" scale="58" fitToHeight="0" orientation="landscape" r:id="rId2"/>
      <autoFilter ref="B1:O1" xr:uid="{3F3CDA54-E01F-4651-A14C-6210108AFBFC}"/>
    </customSheetView>
    <customSheetView guid="{E74948B7-4D66-4273-BE80-E7B6632322D5}" scale="90" showPageBreaks="1" fitToPage="1" showAutoFilter="1" view="pageBreakPreview">
      <pane ySplit="3" topLeftCell="A4" activePane="bottomLeft" state="frozenSplit"/>
      <selection pane="bottomLeft"/>
      <rowBreaks count="2" manualBreakCount="2">
        <brk id="14" max="16383" man="1"/>
        <brk id="67" max="13" man="1"/>
      </rowBreaks>
      <pageMargins left="0" right="0" top="0" bottom="0" header="0" footer="0"/>
      <pageSetup paperSize="9" scale="56" fitToHeight="0" orientation="landscape" r:id="rId3"/>
      <autoFilter ref="A3:N104" xr:uid="{84E68DC4-F2E9-4D92-8C7A-52887E20B7DC}"/>
    </customSheetView>
    <customSheetView guid="{08BD7F9F-5EE5-49B4-A57E-3AA05BABFEAD}" scale="70" showPageBreaks="1" fitToPage="1" showAutoFilter="1" view="pageBreakPreview">
      <pane ySplit="3" topLeftCell="A4" activePane="bottomLeft" state="frozenSplit"/>
      <selection pane="bottomLeft" activeCell="J6" sqref="J6"/>
      <pageMargins left="0" right="0" top="0" bottom="0" header="0" footer="0"/>
      <pageSetup paperSize="9" scale="55" fitToHeight="0" orientation="landscape" r:id="rId4"/>
      <autoFilter ref="A3:N104" xr:uid="{82C447DC-C1DC-4F6F-9F0C-BBCA72A479AC}"/>
    </customSheetView>
    <customSheetView guid="{03B18C13-CDDF-4C30-8142-D64377C73B01}" scale="90" showPageBreaks="1" fitToPage="1" printArea="1" showAutoFilter="1" view="pageBreakPreview" topLeftCell="A17">
      <selection activeCell="E20" sqref="E20"/>
      <rowBreaks count="1" manualBreakCount="1">
        <brk id="12" max="13" man="1"/>
      </rowBreaks>
      <pageMargins left="0" right="0" top="0" bottom="0" header="0" footer="0"/>
      <pageSetup paperSize="9" scale="55" fitToHeight="0" orientation="landscape" r:id="rId5"/>
      <autoFilter ref="A3:N104" xr:uid="{F492209B-31E1-4DDF-9CC6-107BCFEF3FDF}"/>
    </customSheetView>
  </customSheetViews>
  <phoneticPr fontId="7"/>
  <conditionalFormatting sqref="A5:R10 A11:I15 J11:P49 Q11:R50 F16:I22 E16:E23 A16:A62 A64:D74 O67:O74 G70:H74 A72:F74 I74:N74 P74:R74 A75:R77 B78:R78 A78:D80 J78:O80">
    <cfRule type="expression" dxfId="54" priority="3870">
      <formula>$J5="完了"</formula>
    </cfRule>
  </conditionalFormatting>
  <conditionalFormatting sqref="A81:R83">
    <cfRule type="expression" dxfId="53" priority="5">
      <formula>$J81="完了"</formula>
    </cfRule>
  </conditionalFormatting>
  <conditionalFormatting sqref="B16:D28">
    <cfRule type="expression" dxfId="52" priority="4">
      <formula>$J16="完了"</formula>
    </cfRule>
  </conditionalFormatting>
  <conditionalFormatting sqref="B34:D62">
    <cfRule type="expression" dxfId="51" priority="94">
      <formula>$J34="完了"</formula>
    </cfRule>
  </conditionalFormatting>
  <conditionalFormatting sqref="B79:G80">
    <cfRule type="expression" dxfId="50" priority="2977">
      <formula>$J79="完了"</formula>
    </cfRule>
  </conditionalFormatting>
  <conditionalFormatting sqref="B29:I33">
    <cfRule type="expression" dxfId="49" priority="144">
      <formula>$J29="完了"</formula>
    </cfRule>
  </conditionalFormatting>
  <conditionalFormatting sqref="C54:D62">
    <cfRule type="expression" dxfId="48" priority="95">
      <formula>$J54="完了"</formula>
    </cfRule>
  </conditionalFormatting>
  <conditionalFormatting sqref="C64:D66">
    <cfRule type="expression" dxfId="47" priority="71">
      <formula>$J64="完了"</formula>
    </cfRule>
  </conditionalFormatting>
  <conditionalFormatting sqref="E27:E37">
    <cfRule type="expression" dxfId="46" priority="148">
      <formula>$J27="完了"</formula>
    </cfRule>
  </conditionalFormatting>
  <conditionalFormatting sqref="E39">
    <cfRule type="expression" dxfId="45" priority="7928">
      <formula>$J39="完了"</formula>
    </cfRule>
  </conditionalFormatting>
  <conditionalFormatting sqref="E41:E43">
    <cfRule type="expression" dxfId="44" priority="1107">
      <formula>$J41="完了"</formula>
    </cfRule>
  </conditionalFormatting>
  <conditionalFormatting sqref="E45:E57">
    <cfRule type="expression" dxfId="43" priority="121">
      <formula>$J45="完了"</formula>
    </cfRule>
  </conditionalFormatting>
  <conditionalFormatting sqref="E64:E67">
    <cfRule type="expression" dxfId="42" priority="77">
      <formula>$J64="完了"</formula>
    </cfRule>
  </conditionalFormatting>
  <conditionalFormatting sqref="E71:E72">
    <cfRule type="expression" dxfId="41" priority="3244">
      <formula>$J71="完了"</formula>
    </cfRule>
  </conditionalFormatting>
  <conditionalFormatting sqref="E27:F27">
    <cfRule type="expression" dxfId="40" priority="1465">
      <formula>$J27="完了"</formula>
    </cfRule>
  </conditionalFormatting>
  <conditionalFormatting sqref="E61:F62">
    <cfRule type="expression" dxfId="39" priority="98">
      <formula>$J61="完了"</formula>
    </cfRule>
  </conditionalFormatting>
  <conditionalFormatting sqref="E23:I24">
    <cfRule type="expression" dxfId="38" priority="216">
      <formula>$J23="完了"</formula>
    </cfRule>
  </conditionalFormatting>
  <conditionalFormatting sqref="E44:I44">
    <cfRule type="expression" dxfId="37" priority="105">
      <formula>$J44="完了"</formula>
    </cfRule>
  </conditionalFormatting>
  <conditionalFormatting sqref="E68:I68">
    <cfRule type="expression" dxfId="36" priority="2827">
      <formula>$J68="完了"</formula>
    </cfRule>
  </conditionalFormatting>
  <conditionalFormatting sqref="E50:P50">
    <cfRule type="expression" dxfId="35" priority="112">
      <formula>$J50="完了"</formula>
    </cfRule>
  </conditionalFormatting>
  <conditionalFormatting sqref="F25:F27">
    <cfRule type="expression" dxfId="34" priority="296">
      <formula>$J25="完了"</formula>
    </cfRule>
  </conditionalFormatting>
  <conditionalFormatting sqref="F29:F37">
    <cfRule type="expression" dxfId="33" priority="154">
      <formula>$J29="完了"</formula>
    </cfRule>
  </conditionalFormatting>
  <conditionalFormatting sqref="F45:F54">
    <cfRule type="expression" dxfId="32" priority="115">
      <formula>$J45="完了"</formula>
    </cfRule>
  </conditionalFormatting>
  <conditionalFormatting sqref="F56">
    <cfRule type="expression" dxfId="31" priority="4446">
      <formula>$J56="完了"</formula>
    </cfRule>
  </conditionalFormatting>
  <conditionalFormatting sqref="F59:F61">
    <cfRule type="expression" dxfId="30" priority="6647">
      <formula>$J59="完了"</formula>
    </cfRule>
  </conditionalFormatting>
  <conditionalFormatting sqref="F67:I67">
    <cfRule type="expression" dxfId="29" priority="84">
      <formula>$J67="完了"</formula>
    </cfRule>
  </conditionalFormatting>
  <conditionalFormatting sqref="F64:R66">
    <cfRule type="expression" dxfId="28" priority="64">
      <formula>$J64="完了"</formula>
    </cfRule>
  </conditionalFormatting>
  <conditionalFormatting sqref="G26:G27">
    <cfRule type="expression" dxfId="27" priority="348">
      <formula>$J26="完了"</formula>
    </cfRule>
  </conditionalFormatting>
  <conditionalFormatting sqref="G47:G60">
    <cfRule type="expression" dxfId="26" priority="728">
      <formula>$J47="完了"</formula>
    </cfRule>
  </conditionalFormatting>
  <conditionalFormatting sqref="G34:I43">
    <cfRule type="expression" dxfId="25" priority="104">
      <formula>$J34="完了"</formula>
    </cfRule>
  </conditionalFormatting>
  <conditionalFormatting sqref="G45:I46">
    <cfRule type="expression" dxfId="24" priority="116">
      <formula>$J45="完了"</formula>
    </cfRule>
  </conditionalFormatting>
  <conditionalFormatting sqref="G62:I62">
    <cfRule type="expression" dxfId="23" priority="92">
      <formula>$J62="完了"</formula>
    </cfRule>
  </conditionalFormatting>
  <conditionalFormatting sqref="G69:J69">
    <cfRule type="expression" dxfId="22" priority="58">
      <formula>$J69="完了"</formula>
    </cfRule>
  </conditionalFormatting>
  <conditionalFormatting sqref="H25:H28">
    <cfRule type="expression" dxfId="21" priority="141">
      <formula>$J25="完了"</formula>
    </cfRule>
  </conditionalFormatting>
  <conditionalFormatting sqref="H79:H81">
    <cfRule type="expression" dxfId="20" priority="26">
      <formula>$J79="完了"</formula>
    </cfRule>
  </conditionalFormatting>
  <conditionalFormatting sqref="H47:I49">
    <cfRule type="expression" dxfId="19" priority="778">
      <formula>$J47="完了"</formula>
    </cfRule>
  </conditionalFormatting>
  <conditionalFormatting sqref="H51:L57 E58:J60">
    <cfRule type="expression" dxfId="18" priority="109">
      <formula>$J51="完了"</formula>
    </cfRule>
  </conditionalFormatting>
  <conditionalFormatting sqref="H73:R73">
    <cfRule type="expression" dxfId="17" priority="51">
      <formula>$J73="完了"</formula>
    </cfRule>
  </conditionalFormatting>
  <conditionalFormatting sqref="I21:I28 E25:G26 F28:G28 E38:F38 F39:F43 F46:G47 E51:G52 E53:F54 F55:G55 F57:I57 G61:J61 A63:I63 E69:F71">
    <cfRule type="expression" dxfId="16" priority="7926">
      <formula>$J21="完了"</formula>
    </cfRule>
  </conditionalFormatting>
  <conditionalFormatting sqref="I70:J72">
    <cfRule type="expression" dxfId="15" priority="406">
      <formula>$J70="完了"</formula>
    </cfRule>
  </conditionalFormatting>
  <conditionalFormatting sqref="I80:M80 O80:R80">
    <cfRule type="expression" dxfId="14" priority="3008">
      <formula>$J80="完了"</formula>
    </cfRule>
  </conditionalFormatting>
  <conditionalFormatting sqref="I79:R79">
    <cfRule type="expression" dxfId="13" priority="27">
      <formula>$J79="完了"</formula>
    </cfRule>
  </conditionalFormatting>
  <conditionalFormatting sqref="J62:J63 J67:J68">
    <cfRule type="expression" dxfId="12" priority="401">
      <formula>$J62="完了"</formula>
    </cfRule>
  </conditionalFormatting>
  <conditionalFormatting sqref="J81:M81">
    <cfRule type="expression" dxfId="11" priority="20">
      <formula>$J81="完了"</formula>
    </cfRule>
  </conditionalFormatting>
  <conditionalFormatting sqref="K80:K82">
    <cfRule type="expression" dxfId="10" priority="19">
      <formula>$J80="完了"</formula>
    </cfRule>
  </conditionalFormatting>
  <conditionalFormatting sqref="K58:L63">
    <cfRule type="expression" dxfId="9" priority="91">
      <formula>$J58="完了"</formula>
    </cfRule>
  </conditionalFormatting>
  <conditionalFormatting sqref="K67:N72">
    <cfRule type="expression" dxfId="8" priority="55">
      <formula>$J67="完了"</formula>
    </cfRule>
  </conditionalFormatting>
  <conditionalFormatting sqref="M80:M82">
    <cfRule type="expression" dxfId="7" priority="16">
      <formula>$J80="完了"</formula>
    </cfRule>
  </conditionalFormatting>
  <conditionalFormatting sqref="M51:P55">
    <cfRule type="expression" dxfId="6" priority="102">
      <formula>$J51="完了"</formula>
    </cfRule>
  </conditionalFormatting>
  <conditionalFormatting sqref="M56:R63">
    <cfRule type="expression" dxfId="5" priority="67">
      <formula>$J56="完了"</formula>
    </cfRule>
  </conditionalFormatting>
  <conditionalFormatting sqref="N56">
    <cfRule type="expression" dxfId="4" priority="66">
      <formula>$J56="完了"</formula>
    </cfRule>
  </conditionalFormatting>
  <conditionalFormatting sqref="O81">
    <cfRule type="expression" dxfId="3" priority="13">
      <formula>$J81="完了"</formula>
    </cfRule>
  </conditionalFormatting>
  <conditionalFormatting sqref="P67:R72">
    <cfRule type="expression" dxfId="2" priority="53">
      <formula>$J67="完了"</formula>
    </cfRule>
  </conditionalFormatting>
  <conditionalFormatting sqref="Q51:Q57">
    <cfRule type="expression" dxfId="1" priority="101">
      <formula>$J51="完了"</formula>
    </cfRule>
  </conditionalFormatting>
  <conditionalFormatting sqref="R51:R55">
    <cfRule type="expression" dxfId="0" priority="3629">
      <formula>$J51="完了"</formula>
    </cfRule>
  </conditionalFormatting>
  <dataValidations count="5">
    <dataValidation type="list" allowBlank="1" showInputMessage="1" showErrorMessage="1" sqref="B83" xr:uid="{76EC71B3-ADE7-4BFC-A7E3-1B70499B8D41}">
      <formula1>"ToDo,課題,QA"</formula1>
    </dataValidation>
    <dataValidation type="list" allowBlank="1" showInputMessage="1" showErrorMessage="1" sqref="J83" xr:uid="{540B5B60-FECF-48F8-9CA6-D6C4FE18D85F}">
      <formula1>"未着手,対応中,完了"</formula1>
    </dataValidation>
    <dataValidation type="list" allowBlank="1" showInputMessage="1" showErrorMessage="1" sqref="J5:J82" xr:uid="{00000000-0002-0000-0000-000000000000}">
      <formula1>"未着手,対応中,完了,保留"</formula1>
    </dataValidation>
    <dataValidation type="list" allowBlank="1" showInputMessage="1" showErrorMessage="1" sqref="C5:D83" xr:uid="{00000000-0002-0000-0000-000001000000}">
      <formula1>"高,低"</formula1>
    </dataValidation>
    <dataValidation type="list" allowBlank="1" showInputMessage="1" showErrorMessage="1" sqref="B5:B82" xr:uid="{00000000-0002-0000-0000-000002000000}">
      <formula1>"ToDo,課題,QA,リスク,インシデント"</formula1>
    </dataValidation>
  </dataValidations>
  <pageMargins left="0.27559055118110237" right="0.15748031496062992" top="0.59055118110236227" bottom="0.35433070866141736" header="0.31496062992125984" footer="0.31496062992125984"/>
  <pageSetup paperSize="8" scale="50" fitToHeight="0" orientation="landscape" r:id="rId6"/>
  <headerFooter>
    <oddFooter>&amp;P / &amp;N ページ</oddFooter>
  </headerFooter>
  <rowBreaks count="2" manualBreakCount="2">
    <brk id="21" max="17" man="1"/>
    <brk id="55" max="17" man="1"/>
  </rowBreaks>
  <drawing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4221D1D-D0EA-4D43-BB0F-0A8B814E3E48}"/>
</file>

<file path=customXml/itemProps2.xml><?xml version="1.0" encoding="utf-8"?>
<ds:datastoreItem xmlns:ds="http://schemas.openxmlformats.org/officeDocument/2006/customXml" ds:itemID="{46D9AD7C-5B28-4FA7-9C82-E28FDACF71D1}"/>
</file>

<file path=customXml/itemProps3.xml><?xml version="1.0" encoding="utf-8"?>
<ds:datastoreItem xmlns:ds="http://schemas.openxmlformats.org/officeDocument/2006/customXml" ds:itemID="{48C58CB7-66BD-4CA1-BE2F-D151A6A468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日吉 晶子(HIYOSHI Akiko)</dc:creator>
  <cp:keywords/>
  <dc:description/>
  <cp:lastModifiedBy>Ho Hoang Hai</cp:lastModifiedBy>
  <cp:revision/>
  <dcterms:created xsi:type="dcterms:W3CDTF">2006-09-16T00:00:00Z</dcterms:created>
  <dcterms:modified xsi:type="dcterms:W3CDTF">2025-04-21T10:31:45Z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