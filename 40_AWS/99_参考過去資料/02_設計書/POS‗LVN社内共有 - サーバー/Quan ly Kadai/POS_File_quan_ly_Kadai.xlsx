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16"/>
  <workbookPr codeName="ThisWorkbook"/>
  <mc:AlternateContent xmlns:mc="http://schemas.openxmlformats.org/markup-compatibility/2006">
    <mc:Choice Requires="x15">
      <x15ac:absPath xmlns:x15ac="http://schemas.microsoft.com/office/spreadsheetml/2010/11/ac" url="E:\Projects\POS System\40_management\43_risk_issue\2025\"/>
    </mc:Choice>
  </mc:AlternateContent>
  <xr:revisionPtr revIDLastSave="222" documentId="13_ncr:1_{A1F53A3F-DD6C-451B-8DA5-64E5DB57D8F4}" xr6:coauthVersionLast="47" xr6:coauthVersionMax="47" xr10:uidLastSave="{9E381F37-7BA3-404A-9FE2-D3B3E660DD56}"/>
  <bookViews>
    <workbookView xWindow="-120" yWindow="-120" windowWidth="29040" windowHeight="15720" tabRatio="621" firstSheet="1" activeTab="1" xr2:uid="{00000000-000D-0000-FFFF-FFFF00000000}"/>
  </bookViews>
  <sheets>
    <sheet name="Guideline" sheetId="2" r:id="rId1"/>
    <sheet name="Cụm POS" sheetId="4" r:id="rId2"/>
    <sheet name="Master" sheetId="3" state="hidden" r:id="rId3"/>
  </sheets>
  <definedNames>
    <definedName name="_xlnm._FilterDatabase" localSheetId="1" hidden="1">'Cụm POS'!$B$4:$T$4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4" l="1"/>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 i="4"/>
</calcChain>
</file>

<file path=xl/sharedStrings.xml><?xml version="1.0" encoding="utf-8"?>
<sst xmlns="http://schemas.openxmlformats.org/spreadsheetml/2006/main" count="201" uniqueCount="118">
  <si>
    <t>Khái quát</t>
  </si>
  <si>
    <t>Kadai là hướng tiếp cận, cách xử lý đối với các vấn đề, các chủ đề hay các bài tập đang được đưa ra trao đổi trong dự án</t>
  </si>
  <si>
    <t>Mục đích quản lý kadai</t>
  </si>
  <si>
    <t>Theo dõi, quản lý các danh mục  1 cách tập trung, hiệu quả, đầy đủ</t>
  </si>
  <si>
    <t>Thông tin được truyền tải thông suốt, chính xác</t>
  </si>
  <si>
    <t>Ai là người log kadai</t>
  </si>
  <si>
    <t>PMs</t>
  </si>
  <si>
    <t>Flow log kadai</t>
  </si>
  <si>
    <t>Các PIC trên log nội dung các vấn đề, các chủ đề cần trao đổi vào cột màu vàng, và thông báo đến nhóm dự án, tag assignee</t>
  </si>
  <si>
    <t>Tần suất: ngay khi detect hoặc phát sinh chủ đề cần trao đổi, theo dõi</t>
  </si>
  <si>
    <t>Assignee phản hồi và update status (hoặc nội dung confirm)</t>
  </si>
  <si>
    <t>Trường hợp chưa thể trả lời, phải đợi xác nhận thì update status tương ứng</t>
  </si>
  <si>
    <t>Khi status là "Done" thì PIC log kadai hoặc người confirm phải log vào cột "Người xác nhận" và "Ngày xác nhận", đồng thời update status của kadai</t>
  </si>
  <si>
    <t>Cách thức triển khai</t>
  </si>
  <si>
    <t>Các PM chủ động update kadai sẽ report KH vào ngày thứ 4 (hoặc thứ 5)</t>
  </si>
  <si>
    <t>Trao đổi nội bộ các kadai vào buổi họp nội bộ của cụm dự án (hàng tuần). Mục tiêu:</t>
  </si>
  <si>
    <t>- Rà soát, update status các kadai hiện tại, thống nhất action tiếp theo</t>
  </si>
  <si>
    <t>- Đồng bộ thông tin giữa các dự án</t>
  </si>
  <si>
    <t>- Trao đổi, phát hiện sớm risk, issue</t>
  </si>
  <si>
    <t>Các nội dung thống nhất sau khi trao đổi sẽ đồng bộ vs Mr.K</t>
  </si>
  <si>
    <t xml:space="preserve">Bảng Quản  lý Kadai cụm POS
</t>
  </si>
  <si>
    <t>NO</t>
  </si>
  <si>
    <t>Category</t>
  </si>
  <si>
    <t>Nội dung Kadai</t>
  </si>
  <si>
    <t>Chi tiết</t>
  </si>
  <si>
    <t>Nguồn</t>
  </si>
  <si>
    <t>Ngày request</t>
  </si>
  <si>
    <t>Kì hạn mong muốn hoàn thành</t>
  </si>
  <si>
    <t>Người log</t>
  </si>
  <si>
    <t>Ngày log</t>
  </si>
  <si>
    <t>Team</t>
  </si>
  <si>
    <t>Priority</t>
  </si>
  <si>
    <t>Assignee</t>
  </si>
  <si>
    <t>Approve</t>
  </si>
  <si>
    <t>Nội dung confirm/Action/Giải pháp</t>
  </si>
  <si>
    <t>Deadline (nội bộ)</t>
  </si>
  <si>
    <r>
      <rPr>
        <b/>
        <sz val="14"/>
        <color rgb="FF000000"/>
        <rFont val="Times New Roman"/>
      </rPr>
      <t xml:space="preserve">Cờ báo trễ?
</t>
    </r>
    <r>
      <rPr>
        <b/>
        <sz val="14"/>
        <color rgb="FFFF0000"/>
        <rFont val="Times New Roman"/>
      </rPr>
      <t>TRUE --&gt; Trễ</t>
    </r>
  </si>
  <si>
    <t>Người xác nhận</t>
  </si>
  <si>
    <t>Ngày xác nhận</t>
  </si>
  <si>
    <t>Status</t>
  </si>
  <si>
    <t>Schedule</t>
  </si>
  <si>
    <t>Detail schedule: Cần bổ sung theo comment của KH
--&gt; Kì hạn 10/04 (thứ Năm)</t>
  </si>
  <si>
    <t>1/ Cần bổ sung PDA vào schedule phát triển cho cửa hàng LABO
2/ Một số task test của KH Kasumi không thể thực hiện
3/ Thời điểm Kasumi có máy: chậm nhất là 31/7 có máy, để 1 tháng 8, Kasumi có thể bắt đầu test tích hợp được
Ngoài ra, Sakaki mong muốn được chia sẻ tiến độ hàng ngày</t>
  </si>
  <si>
    <t>Mr.Sasaki (Kasumi)</t>
  </si>
  <si>
    <t>XoaLT</t>
  </si>
  <si>
    <t>POS Server</t>
  </si>
  <si>
    <t>Medium</t>
  </si>
  <si>
    <t>Đức Anh
Tuyến</t>
  </si>
  <si>
    <r>
      <rPr>
        <sz val="14"/>
        <color rgb="FF000000"/>
        <rFont val="Times New Roman"/>
      </rPr>
      <t xml:space="preserve">1/ Xác nhận phạm vi với khách hàng ==&gt; Output cần: đầy đủ, chính xác
S1.Lấy input: Sơn TT -- done
S2. Lí giải, làm rõ ingput
2.. Estimate bổ sung
4/ Lên Master schedule
5/ Lên detail schedule
Lưu ý: 
</t>
    </r>
    <r>
      <rPr>
        <sz val="14"/>
        <color rgb="FFFF0000"/>
        <rFont val="Times New Roman"/>
      </rPr>
      <t xml:space="preserve">Note 1. Bổ sung phần PDA vào cửa hàng LABO
Note 2. Nhanh chóng thể hiện output với khách hàng
</t>
    </r>
  </si>
  <si>
    <t>In Progress</t>
  </si>
  <si>
    <t>Cửa hàng Inageya:  Mr.Ando  Mong muốn của khách hàng là xong trước Obon
--&gt; Khách hàng sẽ đưa vào sử dụng dịp lễ Obon (giữa tháng 8/2025)</t>
  </si>
  <si>
    <t>1/ Cần tạo Detail Schedule cho cả cửa hàng Inageya</t>
  </si>
  <si>
    <t>Mr.Ando (USMH)</t>
  </si>
  <si>
    <t>Chung cụm POS</t>
  </si>
  <si>
    <t>High</t>
  </si>
  <si>
    <t>Đức Anh
Tuyến
Đạt</t>
  </si>
  <si>
    <t>New</t>
  </si>
  <si>
    <t>Issue</t>
  </si>
  <si>
    <t xml:space="preserve">Báo cáo khách hàng sự cố ngày 6 tháng 4
</t>
  </si>
  <si>
    <t>Thứ 5 tuần này bác Sumino bên usmh muốn họp với bên server để review tình trạng cấu trúc AWS đang xây dựng, review các setting.
Buổi đó bác muốn hỏi người vận hành hệ thống. Phía LVN chuẩn bị người làm thiết kế với vận hành + bse.</t>
  </si>
  <si>
    <t>Mr.Sumino
(USMH)</t>
  </si>
  <si>
    <t>POS -Team
SD
Pre-Sale</t>
  </si>
  <si>
    <t>Mr.Kiyohara
Mr.Ohtani</t>
  </si>
  <si>
    <t>Dự án sẽ làm báo cáo chi tiết và họp với bác ấy vào chiều mai ạ 
Dự kiến 
1/ 15h VN chiều mai có bản báo cáo VN
2/ 17h VN chiếu mai có bản báo cáo JP và họp với Kiyohara
3/ Họp với KH USMH (Mr.Sumino + một số người)</t>
  </si>
  <si>
    <t>Done</t>
  </si>
  <si>
    <t>Configuration</t>
  </si>
  <si>
    <t>Cần nhanh chóng thống nhất với USMH về thiết kế INFRA cho hệ thống POS</t>
  </si>
  <si>
    <t>1/ Thiết kế INFRA mới cho hệ thống</t>
  </si>
  <si>
    <t>Nội bộ</t>
  </si>
  <si>
    <t>Mr.Ohtani</t>
  </si>
  <si>
    <t>Risk</t>
  </si>
  <si>
    <t>Môi trường Product (Honban), Nguy cơ sập bật kì lúc nào nếu dung lượng ổ window full</t>
  </si>
  <si>
    <t>Môi trường Product (Honban) - có thể bị sập khi Dung lượng ổ cứng của server tới ngưỡng nguy hiểm (90% Memory)</t>
  </si>
  <si>
    <t>1/ Định kỳ checklog hàng ngày: doing
Tài liệu report 1 tiếng/lần
https://luvinavn.sharepoint.com/:x:/r/sites/POSLVN/_layouts/15/Doc2.aspx?action=edit&amp;sourcedoc=%7B1bbd258c-8408-4226-b42b-d5f663aeb553%7D&amp;wdOrigin=TEAMS-MAGLEV.teamsSdk_ns.rwc&amp;wdExp=TEAMS-TREATMENT&amp;wdhostclicktime=1744447921314&amp;web=1
2/ Chuẩn bị phương án backup log, dùng cho trường hợp cần ứng phó luôn
done
3/ Thảo luận với chuyên gia về phương án triệt để
--&gt; Đưa vấn đề cần xử lí cho Ohtani xem xét khi lên giải pháp Kiến trúc AWS</t>
  </si>
  <si>
    <t>Xây dựng cơ cấu đối ứng sự cố 24/24</t>
  </si>
  <si>
    <t>Bác K vừa giao thêm task tạo cơ cấu đối ứng sự cố 24/24 từ hệ thống sẽ alert đến Sơn rồi fw cho mọi người.</t>
  </si>
  <si>
    <t>Mr.Kiyohara</t>
  </si>
  <si>
    <t>Mr.Ohtani
Mr.Kiyohara</t>
  </si>
  <si>
    <t xml:space="preserve">1/ Lên cơ cấu đối ứng theo request cho request này --&gt; Plan vận hành
===&gt; Đang phối hợp với QA &amp; PMO đề xây dựng
2/ Xin thời gian thảo luận với Mr.K, Mr.Ohtani </t>
  </si>
  <si>
    <r>
      <t xml:space="preserve">Chuẩn bị tài liệu về sự cố để Mr.Sumino nói chuyện với Mr.Yamamoto
</t>
    </r>
    <r>
      <rPr>
        <sz val="14"/>
        <color rgb="FFFF0000"/>
        <rFont val="Times New Roman"/>
        <family val="1"/>
      </rPr>
      <t>Ngày họp: 21/04/2025; 16h ~ 17h VN</t>
    </r>
  </si>
  <si>
    <t>Tôi muốn Luvina tổng hợp lại tài liệu bối cảnh câu chuyện để tôi nói chuyện vs Yamamoto (như những gì mà kiyohara đã nói trc đó)</t>
  </si>
  <si>
    <t>ALL</t>
  </si>
  <si>
    <t>1/ Chuẩn bị tài liệu về sự cố để Mr.Sumino nói chuyện với Mr.Yamamoto
2/ Đại diện phía Luvina tham gia họp
Mr.Lương, Mr.Kiyohara, Mr.Ohtani, XoaLT, Sơn TT</t>
  </si>
  <si>
    <t>IP lạ truy cập hệ thống</t>
  </si>
  <si>
    <t>Về việc ip lạ truy cập vào hệ thống bác muốn biết việc setting chặn các IP bên ngoài vào, chỉ định chỉ cho IP của LVN và USMH truyy cập vào thôi thì làm có nhanh không. LVN chốt action đưa cho anh otani góp ý xong có thể trao đổi luôn với khách hàng.</t>
  </si>
  <si>
    <t>Kiyohara</t>
  </si>
  <si>
    <t>Low</t>
  </si>
  <si>
    <t>Ohtani</t>
  </si>
  <si>
    <r>
      <rPr>
        <sz val="14"/>
        <color rgb="FF000000"/>
        <rFont val="Times New Roman"/>
      </rPr>
      <t xml:space="preserve">1/ Chuẩn bị tài liệu giải pháp chi tiết:
https://luvinavn.sharepoint.com/:w:/s/POSLVN/EaLPUFkGvohHkKTPR1zM3kMBF0BzfepvBrstXJwWgQ1PhA?e=zuTksv
==&gt; Đã xong
</t>
    </r>
    <r>
      <rPr>
        <sz val="14"/>
        <color rgb="FFFF0000"/>
        <rFont val="Times New Roman"/>
      </rPr>
      <t>2/ Lập danh sách IP được phép truy cập 
--&gt; Sử dụng range IP: 10.0.0.0/8 và 127.0.0.1 --&gt; Done
3/ Tiến hành họp thông qua action xử lý ==&gt; 15/4/2025 
--&gt; Chốt phương án:
- Tạo security groups mới
- Thiết định deny các IP truy cập trái phép quá 200 lần/ngày. Chỉ định cổng mà các IP này đang truy cập
- Thiết định security group cho bastion
→ Sau khi tìm hiểu thì Đức Anh thấy AWS chỉ hỗ trợ tạo white list, không hỗ trợ tạo black list nên đang hỏi lại Otani. Team vẫn đang keep action theo dõi tình trạng server và báo cáo trong trường hợp khẩn cấp.</t>
    </r>
  </si>
  <si>
    <t>Others</t>
  </si>
  <si>
    <t>Hôm trước điều tra thì S3 hiện tại vẫn dùng domain chứ chưa sử dụng IP -&gt; Vẫn có nguy cơ ip bị đổi doamin không vào được -&gt; để nguyên như hiện tại được ko, lvn định xử lý thế nào, bao giờ xử lý xong.</t>
  </si>
  <si>
    <t>Anh DD</t>
  </si>
  <si>
    <r>
      <rPr>
        <sz val="14"/>
        <color rgb="FF000000"/>
        <rFont val="Times New Roman"/>
      </rPr>
      <t xml:space="preserve">1/ Hỏi Ohtani về giải pháp
Hiện tại chưa có giải pháp gì
</t>
    </r>
    <r>
      <rPr>
        <sz val="14"/>
        <color rgb="FFFF0000"/>
        <rFont val="Times New Roman"/>
      </rPr>
      <t>Dự kiến: 15/4/2025
Do xác suất đổi IP là k cao nên:
Hiện tại, 1h/lần kiểm tra xem có truy cập được không. Nếu không được do bị đổi IP thì restart nginx bằng tay.</t>
    </r>
  </si>
  <si>
    <t>Yêu cầu</t>
  </si>
  <si>
    <t>Log Tomcat</t>
  </si>
  <si>
    <t>Log tomcat rotation: việc đổi tên file thôi thì sẽ không thể giải phóng dung lượng được. Việc tạo thêm ổ cứng để lưu file log có khả thi không, tốn kém ko, làm nhanh được không?</t>
  </si>
  <si>
    <r>
      <rPr>
        <sz val="14"/>
        <color rgb="FF000000"/>
        <rFont val="Times New Roman"/>
      </rPr>
      <t xml:space="preserve">1. Việc bổ sung thêm ổ cứng có thể làm được: sử dụng EBS
2. Tốn kém hay không: chi phí rẻ ~3-4USD/tháng cho 30GB thêm
3. Làm nhanh không: chưa thực hiện nên không đánh giá được
Hỏi Thêm Ohtani về phương án khác
</t>
    </r>
    <r>
      <rPr>
        <sz val="14"/>
        <color rgb="FFFF0000"/>
        <rFont val="Times New Roman"/>
      </rPr>
      <t>Dự kiến: 15/4/2025
Vì chỉ chạy môi trường honban đến hết 9r tối mai nên cứ tiếp tục theo dõi
Trường hợp phát sinh log nhiều thì thực hiện bat, lấy log về và restart lại tomcat</t>
    </r>
  </si>
  <si>
    <t>Tổng hợp yêu cầu hệ thống</t>
  </si>
  <si>
    <t>Về đnyc để tạp thiết kế infra mới cần list hết các hạng mục yêu cầu nguyện vọng của khách hàng đối với infra mới. Việc này cần tổng hợp lại các tài liệu đã nhận từ kh, các cuộc họp đã họp với kh -&gt; bác K cần biết action và mốc có thể đưa ra thông tin này</t>
  </si>
  <si>
    <t>Output: tài liệu định nghĩa yêu cầu thiết kế infra
Các action thực hiện:
1/ Lấy thông tin quá khứ đã tổng hợp (8/2024) --&gt; Done
2/ Update, bổ sung thông tin đến thời điểm hiện tại --&gt; Done
3/ Xác nhận thêm với Mr.K
4/ Kiyohara đã reply trên team, gửi thêm hình ảnh mô tả yêu cầu</t>
  </si>
  <si>
    <t>Resource</t>
  </si>
  <si>
    <t>Thiếu hụt nguồn lực giao tiếp (gồm cả số lượng và chất lượng)</t>
  </si>
  <si>
    <t xml:space="preserve">1/ Thay thế cho Mai Anh (thôi việc  vào cuối tháng 4)
2/ Thay thế cho Nguyễn Tiến Huy (cũng có dự định xin thôi việc, liên lạc ngày 14/4/2025) -- DEV 1 đang trao đổi
</t>
  </si>
  <si>
    <t>1/ Đào tạo nhân sự BSE mới (Nguyễn Chiến Thắng) thay thế cho Mai Anh: doing (dự kiến hết tháng 4)
2/ Tuyển bổ sung nhân sự Front PM thay thế Huy
Nếu Hồ Hoàng Hải join vào rồi thì chỉ cần bổ sung BSE hoặc BrSE middle</t>
  </si>
  <si>
    <t>Cost</t>
  </si>
  <si>
    <t>Rủi ro vượt budget 20 vạn/tháng</t>
  </si>
  <si>
    <t>Chi phí AWS đang vượt budget. dự kiến sẽ tầm 2,000$ trong tháng này,
Mình có thể:
1. tắt các EC2 cũ để tránh lãng phí
2. Tắt bớt instance read của RDS</t>
  </si>
  <si>
    <t>1/ Bổ sung các lí do dẫn tới việc tăng số tiền để giải thích được với khách hàng
ví du: tăng memory, ...
2/ Các tài nguyên định tắt đi, xóa đi 
==&gt; Đánh giá chắc chắn không ảnh hưởng
==&gt; Thể hiện bằng hình ảnh trực quan
==&gt; Đi  giải thích cho bác Kiyohara
3/ Tiến hành theo nội dung thống nhất tại 2/ với Mr.Kiyohara</t>
  </si>
  <si>
    <t>Họp khách hàng: chuẩn bị họp, người tham gia họp, agenda họp -- chưa thực hiện theo phân công</t>
  </si>
  <si>
    <t xml:space="preserve">1/ Về  chuẩn bị:
+ chưa chuẩn bị sẵn data,  kịch bản hop
+ Cơ cấu: chỉ có BSE, không thấy người phụ trách đầu việc xuất hiện, mãi sau mới thấy
2/ </t>
  </si>
  <si>
    <t>POS Android</t>
  </si>
  <si>
    <t>Internal</t>
  </si>
  <si>
    <t>POS Windows</t>
  </si>
  <si>
    <t>External</t>
  </si>
  <si>
    <t>Pending</t>
  </si>
  <si>
    <t>Closed</t>
  </si>
  <si>
    <t>Stakeholder</t>
  </si>
  <si>
    <t>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</si>
</sst>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14"/>
      <color theme="1"/>
      <name val="Times New Roman"/>
      <family val="1"/>
    </font>
    <font>
      <b/>
      <sz val="14"/>
      <color theme="1"/>
      <name val="Times New Roman"/>
      <family val="1"/>
    </font>
    <font>
      <sz val="14"/>
      <color rgb="FFFF0000"/>
      <name val="Times New Roman"/>
      <family val="1"/>
    </font>
    <font>
      <sz val="14"/>
      <color rgb="FF000000"/>
      <name val="Times New Roman"/>
    </font>
    <font>
      <sz val="14"/>
      <color rgb="FFFF0000"/>
      <name val="Times New Roman"/>
    </font>
    <font>
      <sz val="14"/>
      <color theme="1"/>
      <name val="Times New Roman"/>
    </font>
    <font>
      <b/>
      <sz val="14"/>
      <color rgb="FF000000"/>
      <name val="Times New Roman"/>
    </font>
    <font>
      <b/>
      <sz val="14"/>
      <color rgb="FFFF0000"/>
      <name val="Times New Roman"/>
    </font>
    <font>
      <sz val="14"/>
      <color rgb="FF000000"/>
      <name val="Times New Roman"/>
      <family val="1"/>
    </font>
  </fonts>
  <fills count="8">
    <fill>
      <patternFill patternType="none"/>
    </fill>
    <fill>
      <patternFill patternType="gray125"/>
    </fill>
    <fill>
      <patternFill patternType="solid">
        <fgColor theme="4" tint="0.59999389629810485"/>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24">
    <xf numFmtId="0" fontId="0" fillId="0" borderId="0" xfId="0"/>
    <xf numFmtId="0" fontId="0" fillId="0" borderId="0" xfId="0" quotePrefix="1"/>
    <xf numFmtId="0" fontId="1" fillId="0" borderId="0" xfId="0" applyFont="1"/>
    <xf numFmtId="0" fontId="2" fillId="0" borderId="0" xfId="0" applyFont="1" applyAlignment="1">
      <alignment horizontal="center" vertical="center" wrapText="1"/>
    </xf>
    <xf numFmtId="0" fontId="3" fillId="0" borderId="0" xfId="0" applyFont="1" applyAlignment="1">
      <alignment vertical="center"/>
    </xf>
    <xf numFmtId="0" fontId="2" fillId="0" borderId="0" xfId="0" applyFont="1" applyAlignment="1">
      <alignment vertical="center" wrapText="1"/>
    </xf>
    <xf numFmtId="0" fontId="3" fillId="3" borderId="1" xfId="0" applyFont="1" applyFill="1" applyBorder="1" applyAlignment="1">
      <alignment horizontal="center" vertical="top" wrapText="1"/>
    </xf>
    <xf numFmtId="0" fontId="3" fillId="2"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0" borderId="0" xfId="0" applyFont="1" applyAlignment="1">
      <alignment horizontal="center" vertical="top"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top" wrapText="1"/>
    </xf>
    <xf numFmtId="14" fontId="2" fillId="0" borderId="1"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vertical="top" wrapText="1"/>
    </xf>
    <xf numFmtId="14" fontId="2" fillId="3" borderId="1" xfId="0" applyNumberFormat="1" applyFont="1" applyFill="1" applyBorder="1" applyAlignment="1">
      <alignment horizontal="center" vertical="center" wrapText="1"/>
    </xf>
    <xf numFmtId="0" fontId="2" fillId="0" borderId="0" xfId="0" applyFont="1" applyAlignment="1">
      <alignment horizontal="left" vertical="center" wrapText="1"/>
    </xf>
    <xf numFmtId="0" fontId="7" fillId="0" borderId="1" xfId="0" applyFont="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7" borderId="1" xfId="0" applyFont="1" applyFill="1" applyBorder="1" applyAlignment="1">
      <alignment horizontal="center" vertical="center" wrapText="1"/>
    </xf>
  </cellXfs>
  <cellStyles count="1">
    <cellStyle name="Normal" xfId="0" builtinId="0"/>
  </cellStyles>
  <dxfs count="4">
    <dxf>
      <fill>
        <patternFill>
          <bgColor theme="0" tint="-0.34998626667073579"/>
        </patternFill>
      </fill>
    </dxf>
    <dxf>
      <fill>
        <patternFill>
          <bgColor theme="5" tint="0.59996337778862885"/>
        </patternFill>
      </fill>
    </dxf>
    <dxf>
      <fill>
        <patternFill>
          <bgColor theme="7"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18</xdr:row>
      <xdr:rowOff>0</xdr:rowOff>
    </xdr:from>
    <xdr:to>
      <xdr:col>5</xdr:col>
      <xdr:colOff>981075</xdr:colOff>
      <xdr:row>18</xdr:row>
      <xdr:rowOff>1981200</xdr:rowOff>
    </xdr:to>
    <xdr:pic>
      <xdr:nvPicPr>
        <xdr:cNvPr id="2" name="Picture 1">
          <a:extLst>
            <a:ext uri="{FF2B5EF4-FFF2-40B4-BE49-F238E27FC236}">
              <a16:creationId xmlns:a16="http://schemas.microsoft.com/office/drawing/2014/main" id="{21BB7012-2175-3D7D-3848-9466FF511C80}"/>
            </a:ext>
          </a:extLst>
        </xdr:cNvPr>
        <xdr:cNvPicPr>
          <a:picLocks noChangeAspect="1"/>
        </xdr:cNvPicPr>
      </xdr:nvPicPr>
      <xdr:blipFill>
        <a:blip xmlns:r="http://schemas.openxmlformats.org/officeDocument/2006/relationships" r:embed="rId1"/>
        <a:stretch>
          <a:fillRect/>
        </a:stretch>
      </xdr:blipFill>
      <xdr:spPr>
        <a:xfrm>
          <a:off x="3857625" y="27774900"/>
          <a:ext cx="4562475"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49D0-05DB-431E-A7F8-445FCA92924D}">
  <sheetPr codeName="Sheet1"/>
  <dimension ref="B2:D27"/>
  <sheetViews>
    <sheetView workbookViewId="0"/>
  </sheetViews>
  <sheetFormatPr defaultColWidth="2.7109375" defaultRowHeight="15"/>
  <cols>
    <col min="1" max="1" width="2.7109375" customWidth="1"/>
  </cols>
  <sheetData>
    <row r="2" spans="2:4">
      <c r="B2" s="2" t="s">
        <v>0</v>
      </c>
    </row>
    <row r="3" spans="2:4">
      <c r="C3" t="s">
        <v>1</v>
      </c>
    </row>
    <row r="5" spans="2:4">
      <c r="B5" s="2" t="s">
        <v>2</v>
      </c>
    </row>
    <row r="6" spans="2:4">
      <c r="C6" t="s">
        <v>3</v>
      </c>
    </row>
    <row r="7" spans="2:4">
      <c r="C7" t="s">
        <v>4</v>
      </c>
    </row>
    <row r="9" spans="2:4">
      <c r="B9" s="2" t="s">
        <v>5</v>
      </c>
    </row>
    <row r="10" spans="2:4">
      <c r="C10" t="s">
        <v>6</v>
      </c>
    </row>
    <row r="12" spans="2:4">
      <c r="B12" s="2" t="s">
        <v>7</v>
      </c>
    </row>
    <row r="13" spans="2:4">
      <c r="C13" t="s">
        <v>8</v>
      </c>
    </row>
    <row r="14" spans="2:4">
      <c r="D14" t="s">
        <v>9</v>
      </c>
    </row>
    <row r="15" spans="2:4">
      <c r="C15" t="s">
        <v>10</v>
      </c>
    </row>
    <row r="16" spans="2:4">
      <c r="D16" t="s">
        <v>11</v>
      </c>
    </row>
    <row r="17" spans="2:4">
      <c r="C17" t="s">
        <v>12</v>
      </c>
    </row>
    <row r="19" spans="2:4">
      <c r="B19" s="2" t="s">
        <v>13</v>
      </c>
    </row>
    <row r="20" spans="2:4">
      <c r="B20" s="2"/>
      <c r="C20" s="1" t="s">
        <v>14</v>
      </c>
    </row>
    <row r="21" spans="2:4">
      <c r="B21" s="2"/>
      <c r="C21" t="s">
        <v>15</v>
      </c>
    </row>
    <row r="22" spans="2:4">
      <c r="D22" s="1" t="s">
        <v>16</v>
      </c>
    </row>
    <row r="23" spans="2:4">
      <c r="D23" s="1" t="s">
        <v>17</v>
      </c>
    </row>
    <row r="24" spans="2:4">
      <c r="D24" s="1" t="s">
        <v>18</v>
      </c>
    </row>
    <row r="25" spans="2:4">
      <c r="C25" t="s">
        <v>19</v>
      </c>
    </row>
    <row r="27" spans="2:4" ht="14.25" customHeight="1">
      <c r="C2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E5BC8-7AB2-4740-A307-D8AD7CE13A19}">
  <sheetPr codeName="Sheet2">
    <pageSetUpPr fitToPage="1"/>
  </sheetPr>
  <dimension ref="B1:T54"/>
  <sheetViews>
    <sheetView showGridLines="0" tabSelected="1" zoomScale="80" zoomScaleNormal="80" workbookViewId="0">
      <pane xSplit="5" ySplit="4" topLeftCell="F17" activePane="bottomRight" state="frozen"/>
      <selection pane="bottomRight" activeCell="E27" sqref="E27"/>
      <selection pane="bottomLeft" activeCell="A3" sqref="A3"/>
      <selection pane="topRight" activeCell="F1" sqref="F1"/>
    </sheetView>
  </sheetViews>
  <sheetFormatPr defaultRowHeight="18.75"/>
  <cols>
    <col min="1" max="1" width="1.5703125" style="5" customWidth="1"/>
    <col min="2" max="2" width="5.5703125" style="3" customWidth="1"/>
    <col min="3" max="3" width="12.5703125" style="18" customWidth="1"/>
    <col min="4" max="4" width="38.140625" style="5" customWidth="1"/>
    <col min="5" max="5" width="53.7109375" style="5" customWidth="1"/>
    <col min="6" max="6" width="17" style="5" customWidth="1"/>
    <col min="7" max="7" width="13" style="5" customWidth="1"/>
    <col min="8" max="8" width="15.28515625" style="5" customWidth="1"/>
    <col min="9" max="9" width="12.7109375" style="3" customWidth="1"/>
    <col min="10" max="10" width="16.7109375" style="5" customWidth="1"/>
    <col min="11" max="11" width="8.140625" style="5" customWidth="1"/>
    <col min="12" max="12" width="12.140625" style="5" customWidth="1"/>
    <col min="13" max="13" width="14.42578125" style="3" customWidth="1"/>
    <col min="14" max="14" width="9.28515625" style="3" customWidth="1"/>
    <col min="15" max="15" width="81.140625" style="5" customWidth="1"/>
    <col min="16" max="16" width="14.42578125" style="5" customWidth="1"/>
    <col min="17" max="17" width="17.7109375" style="5" customWidth="1"/>
    <col min="18" max="18" width="9.5703125" style="5" bestFit="1" customWidth="1"/>
    <col min="19" max="19" width="8.85546875" style="5" bestFit="1" customWidth="1"/>
    <col min="20" max="20" width="14.42578125" style="3" customWidth="1"/>
    <col min="21" max="16384" width="9.140625" style="5"/>
  </cols>
  <sheetData>
    <row r="1" spans="2:20" ht="9.75" customHeight="1"/>
    <row r="2" spans="2:20">
      <c r="C2" s="4" t="s">
        <v>20</v>
      </c>
    </row>
    <row r="3" spans="2:20" ht="11.25" customHeight="1"/>
    <row r="4" spans="2:20" s="9" customFormat="1" ht="53.25" customHeight="1">
      <c r="B4" s="6" t="s">
        <v>21</v>
      </c>
      <c r="C4" s="6" t="s">
        <v>22</v>
      </c>
      <c r="D4" s="6" t="s">
        <v>23</v>
      </c>
      <c r="E4" s="6" t="s">
        <v>24</v>
      </c>
      <c r="F4" s="6" t="s">
        <v>25</v>
      </c>
      <c r="G4" s="6" t="s">
        <v>26</v>
      </c>
      <c r="H4" s="6" t="s">
        <v>27</v>
      </c>
      <c r="I4" s="6" t="s">
        <v>28</v>
      </c>
      <c r="J4" s="6" t="s">
        <v>29</v>
      </c>
      <c r="K4" s="6" t="s">
        <v>30</v>
      </c>
      <c r="L4" s="6" t="s">
        <v>31</v>
      </c>
      <c r="M4" s="6" t="s">
        <v>32</v>
      </c>
      <c r="N4" s="6" t="s">
        <v>33</v>
      </c>
      <c r="O4" s="7" t="s">
        <v>34</v>
      </c>
      <c r="P4" s="7" t="s">
        <v>35</v>
      </c>
      <c r="Q4" s="7" t="s">
        <v>36</v>
      </c>
      <c r="R4" s="8" t="s">
        <v>37</v>
      </c>
      <c r="S4" s="8" t="s">
        <v>38</v>
      </c>
      <c r="T4" s="8" t="s">
        <v>39</v>
      </c>
    </row>
    <row r="5" spans="2:20" ht="194.25" customHeight="1">
      <c r="B5" s="10">
        <v>1</v>
      </c>
      <c r="C5" s="11" t="s">
        <v>40</v>
      </c>
      <c r="D5" s="12" t="s">
        <v>41</v>
      </c>
      <c r="E5" s="12" t="s">
        <v>42</v>
      </c>
      <c r="F5" s="10" t="s">
        <v>43</v>
      </c>
      <c r="G5" s="13">
        <v>45750</v>
      </c>
      <c r="H5" s="13">
        <v>45761</v>
      </c>
      <c r="I5" s="10" t="s">
        <v>44</v>
      </c>
      <c r="J5" s="13">
        <v>45755</v>
      </c>
      <c r="K5" s="13" t="s">
        <v>45</v>
      </c>
      <c r="L5" s="13" t="s">
        <v>46</v>
      </c>
      <c r="M5" s="10" t="s">
        <v>47</v>
      </c>
      <c r="N5" s="10" t="s">
        <v>44</v>
      </c>
      <c r="O5" s="19" t="s">
        <v>48</v>
      </c>
      <c r="P5" s="10"/>
      <c r="Q5" s="23" t="str">
        <f ca="1">IF(AND(H5&lt;&gt;"",T5&lt;&gt;"Closed",H5&lt;TODAY()),"TRUE","FALSE")</f>
        <v>TRUE</v>
      </c>
      <c r="R5" s="10"/>
      <c r="S5" s="10"/>
      <c r="T5" s="10" t="s">
        <v>49</v>
      </c>
    </row>
    <row r="6" spans="2:20" ht="120" customHeight="1">
      <c r="B6" s="10">
        <v>2</v>
      </c>
      <c r="C6" s="11" t="s">
        <v>40</v>
      </c>
      <c r="D6" s="12" t="s">
        <v>50</v>
      </c>
      <c r="E6" s="12" t="s">
        <v>51</v>
      </c>
      <c r="F6" s="10" t="s">
        <v>52</v>
      </c>
      <c r="G6" s="13">
        <v>45750</v>
      </c>
      <c r="H6" s="13"/>
      <c r="I6" s="10" t="s">
        <v>44</v>
      </c>
      <c r="J6" s="13">
        <v>45755</v>
      </c>
      <c r="K6" s="13" t="s">
        <v>53</v>
      </c>
      <c r="L6" s="13" t="s">
        <v>54</v>
      </c>
      <c r="M6" s="10" t="s">
        <v>55</v>
      </c>
      <c r="N6" s="10" t="s">
        <v>44</v>
      </c>
      <c r="O6" s="12"/>
      <c r="P6" s="10"/>
      <c r="Q6" s="23" t="str">
        <f t="shared" ref="Q6:Q54" ca="1" si="0">IF(AND(H6&lt;&gt;"",T6&lt;&gt;"Closed",H6&lt;TODAY()),"TRUE","FALSE")</f>
        <v>FALSE</v>
      </c>
      <c r="R6" s="10"/>
      <c r="S6" s="10"/>
      <c r="T6" s="10" t="s">
        <v>56</v>
      </c>
    </row>
    <row r="7" spans="2:20" ht="122.25" customHeight="1">
      <c r="B7" s="14">
        <v>3</v>
      </c>
      <c r="C7" s="15" t="s">
        <v>57</v>
      </c>
      <c r="D7" s="16" t="s">
        <v>58</v>
      </c>
      <c r="E7" s="16" t="s">
        <v>59</v>
      </c>
      <c r="F7" s="14" t="s">
        <v>60</v>
      </c>
      <c r="G7" s="17">
        <v>45757</v>
      </c>
      <c r="H7" s="17"/>
      <c r="I7" s="14" t="s">
        <v>44</v>
      </c>
      <c r="J7" s="17">
        <v>45755</v>
      </c>
      <c r="K7" s="17" t="s">
        <v>45</v>
      </c>
      <c r="L7" s="17" t="s">
        <v>54</v>
      </c>
      <c r="M7" s="14" t="s">
        <v>61</v>
      </c>
      <c r="N7" s="14" t="s">
        <v>62</v>
      </c>
      <c r="O7" s="16" t="s">
        <v>63</v>
      </c>
      <c r="P7" s="17">
        <v>45757</v>
      </c>
      <c r="Q7" s="22" t="str">
        <f t="shared" ca="1" si="0"/>
        <v>FALSE</v>
      </c>
      <c r="R7" s="14"/>
      <c r="S7" s="14"/>
      <c r="T7" s="14" t="s">
        <v>64</v>
      </c>
    </row>
    <row r="8" spans="2:20" ht="86.25" customHeight="1">
      <c r="B8" s="10">
        <v>4</v>
      </c>
      <c r="C8" s="11" t="s">
        <v>65</v>
      </c>
      <c r="D8" s="12" t="s">
        <v>66</v>
      </c>
      <c r="E8" s="12" t="s">
        <v>67</v>
      </c>
      <c r="F8" s="10" t="s">
        <v>68</v>
      </c>
      <c r="G8" s="13"/>
      <c r="H8" s="13"/>
      <c r="I8" s="10" t="s">
        <v>44</v>
      </c>
      <c r="J8" s="13">
        <v>45755</v>
      </c>
      <c r="K8" s="13" t="s">
        <v>53</v>
      </c>
      <c r="L8" s="13" t="s">
        <v>54</v>
      </c>
      <c r="M8" s="10" t="s">
        <v>61</v>
      </c>
      <c r="N8" s="10" t="s">
        <v>69</v>
      </c>
      <c r="O8" s="12"/>
      <c r="P8" s="10"/>
      <c r="Q8" s="23" t="str">
        <f t="shared" ca="1" si="0"/>
        <v>FALSE</v>
      </c>
      <c r="R8" s="10"/>
      <c r="S8" s="10"/>
      <c r="T8" s="10" t="s">
        <v>49</v>
      </c>
    </row>
    <row r="9" spans="2:20" ht="233.25" customHeight="1">
      <c r="B9" s="10">
        <v>5</v>
      </c>
      <c r="C9" s="11" t="s">
        <v>70</v>
      </c>
      <c r="D9" s="12" t="s">
        <v>71</v>
      </c>
      <c r="E9" s="12" t="s">
        <v>72</v>
      </c>
      <c r="F9" s="10" t="s">
        <v>68</v>
      </c>
      <c r="G9" s="13">
        <v>45759</v>
      </c>
      <c r="H9" s="13"/>
      <c r="I9" s="10" t="s">
        <v>44</v>
      </c>
      <c r="J9" s="10"/>
      <c r="K9" s="13" t="s">
        <v>45</v>
      </c>
      <c r="L9" s="13" t="s">
        <v>46</v>
      </c>
      <c r="M9" s="10"/>
      <c r="N9" s="10"/>
      <c r="O9" s="12" t="s">
        <v>73</v>
      </c>
      <c r="P9" s="10"/>
      <c r="Q9" s="23" t="str">
        <f t="shared" ca="1" si="0"/>
        <v>FALSE</v>
      </c>
      <c r="R9" s="10"/>
      <c r="S9" s="10"/>
      <c r="T9" s="10" t="s">
        <v>49</v>
      </c>
    </row>
    <row r="10" spans="2:20" ht="75.75" customHeight="1">
      <c r="B10" s="10">
        <v>6</v>
      </c>
      <c r="C10" s="11" t="s">
        <v>40</v>
      </c>
      <c r="D10" s="12" t="s">
        <v>74</v>
      </c>
      <c r="E10" s="12" t="s">
        <v>75</v>
      </c>
      <c r="F10" s="10" t="s">
        <v>76</v>
      </c>
      <c r="G10" s="13">
        <v>45758</v>
      </c>
      <c r="H10" s="13">
        <v>45765</v>
      </c>
      <c r="I10" s="10" t="s">
        <v>44</v>
      </c>
      <c r="J10" s="13">
        <v>45759</v>
      </c>
      <c r="K10" s="13" t="s">
        <v>53</v>
      </c>
      <c r="L10" s="13" t="s">
        <v>54</v>
      </c>
      <c r="M10" s="10" t="s">
        <v>44</v>
      </c>
      <c r="N10" s="10" t="s">
        <v>77</v>
      </c>
      <c r="O10" s="12" t="s">
        <v>78</v>
      </c>
      <c r="P10" s="10"/>
      <c r="Q10" s="23" t="str">
        <f t="shared" ca="1" si="0"/>
        <v>TRUE</v>
      </c>
      <c r="R10" s="10"/>
      <c r="S10" s="10"/>
      <c r="T10" s="10" t="s">
        <v>49</v>
      </c>
    </row>
    <row r="11" spans="2:20" ht="96" customHeight="1">
      <c r="B11" s="10">
        <v>7</v>
      </c>
      <c r="C11" s="11" t="s">
        <v>57</v>
      </c>
      <c r="D11" s="12" t="s">
        <v>79</v>
      </c>
      <c r="E11" s="12" t="s">
        <v>80</v>
      </c>
      <c r="F11" s="10" t="s">
        <v>60</v>
      </c>
      <c r="G11" s="13">
        <v>45757</v>
      </c>
      <c r="H11" s="10"/>
      <c r="I11" s="10" t="s">
        <v>44</v>
      </c>
      <c r="J11" s="13">
        <v>45759</v>
      </c>
      <c r="K11" s="13" t="s">
        <v>53</v>
      </c>
      <c r="L11" s="13" t="s">
        <v>54</v>
      </c>
      <c r="M11" s="10" t="s">
        <v>81</v>
      </c>
      <c r="N11" s="10"/>
      <c r="O11" s="12" t="s">
        <v>82</v>
      </c>
      <c r="P11" s="10"/>
      <c r="Q11" s="23" t="str">
        <f t="shared" ca="1" si="0"/>
        <v>FALSE</v>
      </c>
      <c r="R11" s="10"/>
      <c r="S11" s="10"/>
      <c r="T11" s="10" t="s">
        <v>56</v>
      </c>
    </row>
    <row r="12" spans="2:20" ht="343.5" customHeight="1">
      <c r="B12" s="10">
        <v>8</v>
      </c>
      <c r="C12" s="11" t="s">
        <v>57</v>
      </c>
      <c r="D12" s="20" t="s">
        <v>83</v>
      </c>
      <c r="E12" s="20" t="s">
        <v>84</v>
      </c>
      <c r="F12" s="10" t="s">
        <v>85</v>
      </c>
      <c r="G12" s="13">
        <v>45761</v>
      </c>
      <c r="H12" s="13"/>
      <c r="I12" s="10" t="s">
        <v>44</v>
      </c>
      <c r="J12" s="13">
        <v>45761</v>
      </c>
      <c r="K12" s="13" t="s">
        <v>53</v>
      </c>
      <c r="L12" s="13" t="s">
        <v>86</v>
      </c>
      <c r="M12" s="10" t="s">
        <v>44</v>
      </c>
      <c r="N12" s="10" t="s">
        <v>87</v>
      </c>
      <c r="O12" s="19" t="s">
        <v>88</v>
      </c>
      <c r="P12" s="10"/>
      <c r="Q12" s="23" t="str">
        <f t="shared" ca="1" si="0"/>
        <v>FALSE</v>
      </c>
      <c r="R12" s="10"/>
      <c r="S12" s="10"/>
      <c r="T12" s="10" t="s">
        <v>49</v>
      </c>
    </row>
    <row r="13" spans="2:20" ht="132.75" customHeight="1">
      <c r="B13" s="10">
        <v>9</v>
      </c>
      <c r="C13" s="11" t="s">
        <v>89</v>
      </c>
      <c r="D13" s="12"/>
      <c r="E13" s="12" t="s">
        <v>90</v>
      </c>
      <c r="F13" s="10" t="s">
        <v>85</v>
      </c>
      <c r="G13" s="13">
        <v>45761</v>
      </c>
      <c r="H13" s="13"/>
      <c r="I13" s="10" t="s">
        <v>44</v>
      </c>
      <c r="J13" s="13">
        <v>45761</v>
      </c>
      <c r="K13" s="13" t="s">
        <v>53</v>
      </c>
      <c r="L13" s="13" t="s">
        <v>46</v>
      </c>
      <c r="M13" s="10" t="s">
        <v>91</v>
      </c>
      <c r="N13" s="10" t="s">
        <v>87</v>
      </c>
      <c r="O13" s="19" t="s">
        <v>92</v>
      </c>
      <c r="P13" s="10"/>
      <c r="Q13" s="23" t="str">
        <f t="shared" ca="1" si="0"/>
        <v>FALSE</v>
      </c>
      <c r="R13" s="10"/>
      <c r="S13" s="10"/>
      <c r="T13" s="10" t="s">
        <v>49</v>
      </c>
    </row>
    <row r="14" spans="2:20" ht="165" customHeight="1">
      <c r="B14" s="10">
        <v>10</v>
      </c>
      <c r="C14" s="11" t="s">
        <v>93</v>
      </c>
      <c r="D14" s="12" t="s">
        <v>94</v>
      </c>
      <c r="E14" s="12" t="s">
        <v>95</v>
      </c>
      <c r="F14" s="10" t="s">
        <v>85</v>
      </c>
      <c r="G14" s="13">
        <v>45761</v>
      </c>
      <c r="H14" s="13"/>
      <c r="I14" s="10" t="s">
        <v>44</v>
      </c>
      <c r="J14" s="13">
        <v>45761</v>
      </c>
      <c r="K14" s="13" t="s">
        <v>53</v>
      </c>
      <c r="L14" s="13" t="s">
        <v>46</v>
      </c>
      <c r="M14" s="10" t="s">
        <v>91</v>
      </c>
      <c r="N14" s="10" t="s">
        <v>87</v>
      </c>
      <c r="O14" s="19" t="s">
        <v>96</v>
      </c>
      <c r="P14" s="10"/>
      <c r="Q14" s="23" t="str">
        <f t="shared" ca="1" si="0"/>
        <v>FALSE</v>
      </c>
      <c r="R14" s="10"/>
      <c r="S14" s="10"/>
      <c r="T14" s="10" t="s">
        <v>49</v>
      </c>
    </row>
    <row r="15" spans="2:20" ht="163.5" customHeight="1">
      <c r="B15" s="10">
        <v>11</v>
      </c>
      <c r="C15" s="11" t="s">
        <v>93</v>
      </c>
      <c r="D15" s="12" t="s">
        <v>97</v>
      </c>
      <c r="E15" s="12" t="s">
        <v>98</v>
      </c>
      <c r="F15" s="10" t="s">
        <v>85</v>
      </c>
      <c r="G15" s="13">
        <v>45761</v>
      </c>
      <c r="H15" s="13">
        <v>45762</v>
      </c>
      <c r="I15" s="10" t="s">
        <v>44</v>
      </c>
      <c r="J15" s="13">
        <v>45761</v>
      </c>
      <c r="K15" s="13" t="s">
        <v>53</v>
      </c>
      <c r="L15" s="13" t="s">
        <v>54</v>
      </c>
      <c r="M15" s="10" t="s">
        <v>91</v>
      </c>
      <c r="N15" s="10" t="s">
        <v>85</v>
      </c>
      <c r="O15" s="12" t="s">
        <v>99</v>
      </c>
      <c r="P15" s="10"/>
      <c r="Q15" s="23" t="str">
        <f t="shared" ca="1" si="0"/>
        <v>TRUE</v>
      </c>
      <c r="R15" s="10"/>
      <c r="S15" s="10"/>
      <c r="T15" s="10" t="s">
        <v>49</v>
      </c>
    </row>
    <row r="16" spans="2:20" ht="112.5">
      <c r="B16" s="10">
        <v>12</v>
      </c>
      <c r="C16" s="11" t="s">
        <v>100</v>
      </c>
      <c r="D16" s="12" t="s">
        <v>101</v>
      </c>
      <c r="E16" s="12" t="s">
        <v>102</v>
      </c>
      <c r="F16" s="10" t="s">
        <v>68</v>
      </c>
      <c r="G16" s="13">
        <v>45762</v>
      </c>
      <c r="H16" s="13">
        <v>45762</v>
      </c>
      <c r="I16" s="10" t="s">
        <v>44</v>
      </c>
      <c r="J16" s="10"/>
      <c r="K16" s="13" t="s">
        <v>53</v>
      </c>
      <c r="L16" s="13" t="s">
        <v>54</v>
      </c>
      <c r="M16" s="10" t="s">
        <v>44</v>
      </c>
      <c r="N16" s="21"/>
      <c r="O16" s="12" t="s">
        <v>103</v>
      </c>
      <c r="P16" s="10"/>
      <c r="Q16" s="23" t="str">
        <f t="shared" ca="1" si="0"/>
        <v>TRUE</v>
      </c>
      <c r="R16" s="10"/>
      <c r="S16" s="10"/>
      <c r="T16" s="10" t="s">
        <v>49</v>
      </c>
    </row>
    <row r="17" spans="2:20" ht="155.25" customHeight="1">
      <c r="B17" s="10">
        <v>13</v>
      </c>
      <c r="C17" s="11" t="s">
        <v>104</v>
      </c>
      <c r="D17" s="12" t="s">
        <v>105</v>
      </c>
      <c r="E17" s="12" t="s">
        <v>106</v>
      </c>
      <c r="F17" s="10" t="s">
        <v>68</v>
      </c>
      <c r="G17" s="13">
        <v>45763</v>
      </c>
      <c r="H17" s="10"/>
      <c r="I17" s="10" t="s">
        <v>44</v>
      </c>
      <c r="J17" s="10"/>
      <c r="K17" s="13" t="s">
        <v>45</v>
      </c>
      <c r="L17" s="13" t="s">
        <v>46</v>
      </c>
      <c r="M17" s="10" t="s">
        <v>91</v>
      </c>
      <c r="N17" s="10" t="s">
        <v>85</v>
      </c>
      <c r="O17" s="12" t="s">
        <v>107</v>
      </c>
      <c r="P17" s="10"/>
      <c r="Q17" s="23" t="str">
        <f t="shared" ca="1" si="0"/>
        <v>FALSE</v>
      </c>
      <c r="R17" s="10"/>
      <c r="S17" s="10"/>
      <c r="T17" s="10" t="s">
        <v>56</v>
      </c>
    </row>
    <row r="18" spans="2:20" ht="93.75">
      <c r="B18" s="10">
        <v>14</v>
      </c>
      <c r="C18" s="11" t="s">
        <v>89</v>
      </c>
      <c r="D18" s="12" t="s">
        <v>108</v>
      </c>
      <c r="E18" s="12" t="s">
        <v>109</v>
      </c>
      <c r="F18" s="10" t="s">
        <v>68</v>
      </c>
      <c r="G18" s="13">
        <v>45764</v>
      </c>
      <c r="H18" s="10"/>
      <c r="I18" s="10" t="s">
        <v>44</v>
      </c>
      <c r="J18" s="10"/>
      <c r="K18" s="13" t="s">
        <v>45</v>
      </c>
      <c r="L18" s="13"/>
      <c r="M18" s="10"/>
      <c r="N18" s="10"/>
      <c r="O18" s="12"/>
      <c r="P18" s="10"/>
      <c r="Q18" s="23" t="str">
        <f t="shared" ca="1" si="0"/>
        <v>FALSE</v>
      </c>
      <c r="R18" s="10"/>
      <c r="S18" s="10"/>
      <c r="T18" s="10"/>
    </row>
    <row r="19" spans="2:20" ht="168" customHeight="1">
      <c r="B19" s="10">
        <v>15</v>
      </c>
      <c r="C19" s="11"/>
      <c r="D19" s="12"/>
      <c r="E19" s="12"/>
      <c r="F19" s="10"/>
      <c r="G19" s="10"/>
      <c r="H19" s="10"/>
      <c r="I19" s="10"/>
      <c r="J19" s="10"/>
      <c r="K19" s="13"/>
      <c r="L19" s="13"/>
      <c r="M19" s="10"/>
      <c r="N19" s="10"/>
      <c r="O19" s="12"/>
      <c r="P19" s="10"/>
      <c r="Q19" s="23" t="str">
        <f t="shared" ca="1" si="0"/>
        <v>FALSE</v>
      </c>
      <c r="R19" s="10"/>
      <c r="S19" s="10"/>
      <c r="T19" s="10"/>
    </row>
    <row r="20" spans="2:20">
      <c r="B20" s="10">
        <v>16</v>
      </c>
      <c r="C20" s="11"/>
      <c r="D20" s="12"/>
      <c r="E20" s="12"/>
      <c r="F20" s="10"/>
      <c r="G20" s="10"/>
      <c r="H20" s="10"/>
      <c r="I20" s="10"/>
      <c r="J20" s="10"/>
      <c r="K20" s="13"/>
      <c r="L20" s="13"/>
      <c r="M20" s="10"/>
      <c r="N20" s="10"/>
      <c r="O20" s="12"/>
      <c r="P20" s="10"/>
      <c r="Q20" s="23" t="str">
        <f t="shared" ca="1" si="0"/>
        <v>FALSE</v>
      </c>
      <c r="R20" s="10"/>
      <c r="S20" s="10"/>
      <c r="T20" s="10"/>
    </row>
    <row r="21" spans="2:20">
      <c r="B21" s="10">
        <v>17</v>
      </c>
      <c r="C21" s="11"/>
      <c r="D21" s="12"/>
      <c r="E21" s="12"/>
      <c r="F21" s="10"/>
      <c r="G21" s="10"/>
      <c r="H21" s="10"/>
      <c r="I21" s="10"/>
      <c r="J21" s="10"/>
      <c r="K21" s="13"/>
      <c r="L21" s="13"/>
      <c r="M21" s="10"/>
      <c r="N21" s="10"/>
      <c r="O21" s="12"/>
      <c r="P21" s="10"/>
      <c r="Q21" s="23" t="str">
        <f t="shared" ca="1" si="0"/>
        <v>FALSE</v>
      </c>
      <c r="R21" s="10"/>
      <c r="S21" s="10"/>
      <c r="T21" s="10"/>
    </row>
    <row r="22" spans="2:20">
      <c r="B22" s="10">
        <v>18</v>
      </c>
      <c r="C22" s="11"/>
      <c r="D22" s="12"/>
      <c r="E22" s="12"/>
      <c r="F22" s="10"/>
      <c r="G22" s="10"/>
      <c r="H22" s="10"/>
      <c r="I22" s="10"/>
      <c r="J22" s="10"/>
      <c r="K22" s="13"/>
      <c r="L22" s="13"/>
      <c r="M22" s="10"/>
      <c r="N22" s="10"/>
      <c r="O22" s="12"/>
      <c r="P22" s="10"/>
      <c r="Q22" s="23" t="str">
        <f t="shared" ca="1" si="0"/>
        <v>FALSE</v>
      </c>
      <c r="R22" s="10"/>
      <c r="S22" s="10"/>
      <c r="T22" s="10"/>
    </row>
    <row r="23" spans="2:20">
      <c r="B23" s="10">
        <v>19</v>
      </c>
      <c r="C23" s="11"/>
      <c r="D23" s="12"/>
      <c r="E23" s="12"/>
      <c r="F23" s="10"/>
      <c r="G23" s="10"/>
      <c r="H23" s="10"/>
      <c r="I23" s="10"/>
      <c r="J23" s="10"/>
      <c r="K23" s="13"/>
      <c r="L23" s="13"/>
      <c r="M23" s="10"/>
      <c r="N23" s="10"/>
      <c r="O23" s="12"/>
      <c r="P23" s="10"/>
      <c r="Q23" s="23" t="str">
        <f t="shared" ca="1" si="0"/>
        <v>FALSE</v>
      </c>
      <c r="R23" s="10"/>
      <c r="S23" s="10"/>
      <c r="T23" s="10"/>
    </row>
    <row r="24" spans="2:20">
      <c r="B24" s="10">
        <v>20</v>
      </c>
      <c r="C24" s="11"/>
      <c r="D24" s="12"/>
      <c r="E24" s="12"/>
      <c r="F24" s="10"/>
      <c r="G24" s="10"/>
      <c r="H24" s="10"/>
      <c r="I24" s="10"/>
      <c r="J24" s="10"/>
      <c r="K24" s="13"/>
      <c r="L24" s="13"/>
      <c r="M24" s="10"/>
      <c r="N24" s="10"/>
      <c r="O24" s="12"/>
      <c r="P24" s="10"/>
      <c r="Q24" s="23" t="str">
        <f t="shared" ca="1" si="0"/>
        <v>FALSE</v>
      </c>
      <c r="R24" s="10"/>
      <c r="S24" s="10"/>
      <c r="T24" s="10"/>
    </row>
    <row r="25" spans="2:20">
      <c r="B25" s="10">
        <v>21</v>
      </c>
      <c r="C25" s="11"/>
      <c r="D25" s="12"/>
      <c r="E25" s="12"/>
      <c r="F25" s="10"/>
      <c r="G25" s="10"/>
      <c r="H25" s="10"/>
      <c r="I25" s="10"/>
      <c r="J25" s="10"/>
      <c r="K25" s="13"/>
      <c r="L25" s="13"/>
      <c r="M25" s="10"/>
      <c r="N25" s="10"/>
      <c r="O25" s="12"/>
      <c r="P25" s="10"/>
      <c r="Q25" s="23" t="str">
        <f t="shared" ca="1" si="0"/>
        <v>FALSE</v>
      </c>
      <c r="R25" s="10"/>
      <c r="S25" s="10"/>
      <c r="T25" s="10"/>
    </row>
    <row r="26" spans="2:20">
      <c r="B26" s="10">
        <v>22</v>
      </c>
      <c r="C26" s="11"/>
      <c r="D26" s="12"/>
      <c r="E26" s="12"/>
      <c r="F26" s="10"/>
      <c r="G26" s="10"/>
      <c r="H26" s="10"/>
      <c r="I26" s="10"/>
      <c r="J26" s="10"/>
      <c r="K26" s="13"/>
      <c r="L26" s="13"/>
      <c r="M26" s="10"/>
      <c r="N26" s="10"/>
      <c r="O26" s="12"/>
      <c r="P26" s="10"/>
      <c r="Q26" s="23" t="str">
        <f t="shared" ca="1" si="0"/>
        <v>FALSE</v>
      </c>
      <c r="R26" s="10"/>
      <c r="S26" s="10"/>
      <c r="T26" s="10"/>
    </row>
    <row r="27" spans="2:20">
      <c r="B27" s="10">
        <v>23</v>
      </c>
      <c r="C27" s="11"/>
      <c r="D27" s="12"/>
      <c r="E27" s="12"/>
      <c r="F27" s="10"/>
      <c r="G27" s="10"/>
      <c r="H27" s="10"/>
      <c r="I27" s="10"/>
      <c r="J27" s="10"/>
      <c r="K27" s="13"/>
      <c r="L27" s="13"/>
      <c r="M27" s="10"/>
      <c r="N27" s="10"/>
      <c r="O27" s="12"/>
      <c r="P27" s="10"/>
      <c r="Q27" s="23" t="str">
        <f t="shared" ca="1" si="0"/>
        <v>FALSE</v>
      </c>
      <c r="R27" s="10"/>
      <c r="S27" s="10"/>
      <c r="T27" s="10"/>
    </row>
    <row r="28" spans="2:20">
      <c r="B28" s="10">
        <v>24</v>
      </c>
      <c r="C28" s="11"/>
      <c r="D28" s="12"/>
      <c r="E28" s="12"/>
      <c r="F28" s="10"/>
      <c r="G28" s="10"/>
      <c r="H28" s="10"/>
      <c r="I28" s="10"/>
      <c r="J28" s="10"/>
      <c r="K28" s="13"/>
      <c r="L28" s="13"/>
      <c r="M28" s="10"/>
      <c r="N28" s="10"/>
      <c r="O28" s="12"/>
      <c r="P28" s="10"/>
      <c r="Q28" s="23" t="str">
        <f t="shared" ca="1" si="0"/>
        <v>FALSE</v>
      </c>
      <c r="R28" s="10"/>
      <c r="S28" s="10"/>
      <c r="T28" s="10"/>
    </row>
    <row r="29" spans="2:20">
      <c r="B29" s="10">
        <v>25</v>
      </c>
      <c r="C29" s="11"/>
      <c r="D29" s="12"/>
      <c r="E29" s="12"/>
      <c r="F29" s="10"/>
      <c r="G29" s="10"/>
      <c r="H29" s="10"/>
      <c r="I29" s="10"/>
      <c r="J29" s="10"/>
      <c r="K29" s="13"/>
      <c r="L29" s="13"/>
      <c r="M29" s="10"/>
      <c r="N29" s="10"/>
      <c r="O29" s="12"/>
      <c r="P29" s="10"/>
      <c r="Q29" s="23" t="str">
        <f t="shared" ca="1" si="0"/>
        <v>FALSE</v>
      </c>
      <c r="R29" s="10"/>
      <c r="S29" s="10"/>
      <c r="T29" s="10"/>
    </row>
    <row r="30" spans="2:20">
      <c r="B30" s="10">
        <v>26</v>
      </c>
      <c r="C30" s="11"/>
      <c r="D30" s="12"/>
      <c r="E30" s="12"/>
      <c r="F30" s="10"/>
      <c r="G30" s="10"/>
      <c r="H30" s="10"/>
      <c r="I30" s="10"/>
      <c r="J30" s="10"/>
      <c r="K30" s="13"/>
      <c r="L30" s="13"/>
      <c r="M30" s="10"/>
      <c r="N30" s="10"/>
      <c r="O30" s="12"/>
      <c r="P30" s="10"/>
      <c r="Q30" s="23" t="str">
        <f t="shared" ca="1" si="0"/>
        <v>FALSE</v>
      </c>
      <c r="R30" s="10"/>
      <c r="S30" s="10"/>
      <c r="T30" s="10"/>
    </row>
    <row r="31" spans="2:20">
      <c r="B31" s="10">
        <v>27</v>
      </c>
      <c r="C31" s="11"/>
      <c r="D31" s="12"/>
      <c r="E31" s="12"/>
      <c r="F31" s="10"/>
      <c r="G31" s="10"/>
      <c r="H31" s="10"/>
      <c r="I31" s="10"/>
      <c r="J31" s="10"/>
      <c r="K31" s="13"/>
      <c r="L31" s="13"/>
      <c r="M31" s="10"/>
      <c r="N31" s="10"/>
      <c r="O31" s="12"/>
      <c r="P31" s="10"/>
      <c r="Q31" s="23" t="str">
        <f t="shared" ca="1" si="0"/>
        <v>FALSE</v>
      </c>
      <c r="R31" s="10"/>
      <c r="S31" s="10"/>
      <c r="T31" s="10"/>
    </row>
    <row r="32" spans="2:20">
      <c r="B32" s="10">
        <v>28</v>
      </c>
      <c r="C32" s="11"/>
      <c r="D32" s="12"/>
      <c r="E32" s="12"/>
      <c r="F32" s="10"/>
      <c r="G32" s="10"/>
      <c r="H32" s="10"/>
      <c r="I32" s="10"/>
      <c r="J32" s="10"/>
      <c r="K32" s="13"/>
      <c r="L32" s="13"/>
      <c r="M32" s="10"/>
      <c r="N32" s="10"/>
      <c r="O32" s="12"/>
      <c r="P32" s="10"/>
      <c r="Q32" s="23" t="str">
        <f t="shared" ca="1" si="0"/>
        <v>FALSE</v>
      </c>
      <c r="R32" s="10"/>
      <c r="S32" s="10"/>
      <c r="T32" s="10"/>
    </row>
    <row r="33" spans="2:20">
      <c r="B33" s="10">
        <v>29</v>
      </c>
      <c r="C33" s="11"/>
      <c r="D33" s="12"/>
      <c r="E33" s="12"/>
      <c r="F33" s="10"/>
      <c r="G33" s="10"/>
      <c r="H33" s="10"/>
      <c r="I33" s="10"/>
      <c r="J33" s="10"/>
      <c r="K33" s="13"/>
      <c r="L33" s="13"/>
      <c r="M33" s="10"/>
      <c r="N33" s="10"/>
      <c r="O33" s="12"/>
      <c r="P33" s="10"/>
      <c r="Q33" s="23" t="str">
        <f t="shared" ca="1" si="0"/>
        <v>FALSE</v>
      </c>
      <c r="R33" s="10"/>
      <c r="S33" s="10"/>
      <c r="T33" s="10"/>
    </row>
    <row r="34" spans="2:20">
      <c r="B34" s="10">
        <v>30</v>
      </c>
      <c r="C34" s="11"/>
      <c r="D34" s="12"/>
      <c r="E34" s="12"/>
      <c r="F34" s="10"/>
      <c r="G34" s="10"/>
      <c r="H34" s="10"/>
      <c r="I34" s="10"/>
      <c r="J34" s="10"/>
      <c r="K34" s="13"/>
      <c r="L34" s="13"/>
      <c r="M34" s="10"/>
      <c r="N34" s="10"/>
      <c r="O34" s="12"/>
      <c r="P34" s="10"/>
      <c r="Q34" s="23" t="str">
        <f t="shared" ca="1" si="0"/>
        <v>FALSE</v>
      </c>
      <c r="R34" s="10"/>
      <c r="S34" s="10"/>
      <c r="T34" s="10"/>
    </row>
    <row r="35" spans="2:20">
      <c r="B35" s="10">
        <v>31</v>
      </c>
      <c r="C35" s="11"/>
      <c r="D35" s="12"/>
      <c r="E35" s="12"/>
      <c r="F35" s="10"/>
      <c r="G35" s="10"/>
      <c r="H35" s="10"/>
      <c r="I35" s="10"/>
      <c r="J35" s="10"/>
      <c r="K35" s="13"/>
      <c r="L35" s="13"/>
      <c r="M35" s="10"/>
      <c r="N35" s="10"/>
      <c r="O35" s="12"/>
      <c r="P35" s="10"/>
      <c r="Q35" s="23" t="str">
        <f t="shared" ca="1" si="0"/>
        <v>FALSE</v>
      </c>
      <c r="R35" s="10"/>
      <c r="S35" s="10"/>
      <c r="T35" s="10"/>
    </row>
    <row r="36" spans="2:20">
      <c r="B36" s="10">
        <v>32</v>
      </c>
      <c r="C36" s="11"/>
      <c r="D36" s="12"/>
      <c r="E36" s="12"/>
      <c r="F36" s="10"/>
      <c r="G36" s="10"/>
      <c r="H36" s="10"/>
      <c r="I36" s="10"/>
      <c r="J36" s="10"/>
      <c r="K36" s="13"/>
      <c r="L36" s="13"/>
      <c r="M36" s="10"/>
      <c r="N36" s="10"/>
      <c r="O36" s="12"/>
      <c r="P36" s="10"/>
      <c r="Q36" s="23" t="str">
        <f t="shared" ca="1" si="0"/>
        <v>FALSE</v>
      </c>
      <c r="R36" s="10"/>
      <c r="S36" s="10"/>
      <c r="T36" s="10"/>
    </row>
    <row r="37" spans="2:20">
      <c r="B37" s="10">
        <v>33</v>
      </c>
      <c r="C37" s="11"/>
      <c r="D37" s="12"/>
      <c r="E37" s="12"/>
      <c r="F37" s="10"/>
      <c r="G37" s="10"/>
      <c r="H37" s="10"/>
      <c r="I37" s="10"/>
      <c r="J37" s="10"/>
      <c r="K37" s="13"/>
      <c r="L37" s="13"/>
      <c r="M37" s="10"/>
      <c r="N37" s="10"/>
      <c r="O37" s="12"/>
      <c r="P37" s="10"/>
      <c r="Q37" s="23" t="str">
        <f t="shared" ca="1" si="0"/>
        <v>FALSE</v>
      </c>
      <c r="R37" s="10"/>
      <c r="S37" s="10"/>
      <c r="T37" s="10"/>
    </row>
    <row r="38" spans="2:20">
      <c r="B38" s="10">
        <v>34</v>
      </c>
      <c r="C38" s="11"/>
      <c r="D38" s="12"/>
      <c r="E38" s="12"/>
      <c r="F38" s="10"/>
      <c r="G38" s="10"/>
      <c r="H38" s="10"/>
      <c r="I38" s="10"/>
      <c r="J38" s="10"/>
      <c r="K38" s="13"/>
      <c r="L38" s="13"/>
      <c r="M38" s="10"/>
      <c r="N38" s="10"/>
      <c r="O38" s="12"/>
      <c r="P38" s="10"/>
      <c r="Q38" s="23" t="str">
        <f t="shared" ca="1" si="0"/>
        <v>FALSE</v>
      </c>
      <c r="R38" s="10"/>
      <c r="S38" s="10"/>
      <c r="T38" s="10"/>
    </row>
    <row r="39" spans="2:20">
      <c r="B39" s="10">
        <v>35</v>
      </c>
      <c r="C39" s="11"/>
      <c r="D39" s="12"/>
      <c r="E39" s="12"/>
      <c r="F39" s="10"/>
      <c r="G39" s="10"/>
      <c r="H39" s="10"/>
      <c r="I39" s="10"/>
      <c r="J39" s="10"/>
      <c r="K39" s="13"/>
      <c r="L39" s="13"/>
      <c r="M39" s="10"/>
      <c r="N39" s="10"/>
      <c r="O39" s="12"/>
      <c r="P39" s="10"/>
      <c r="Q39" s="23" t="str">
        <f t="shared" ca="1" si="0"/>
        <v>FALSE</v>
      </c>
      <c r="R39" s="10"/>
      <c r="S39" s="10"/>
      <c r="T39" s="10"/>
    </row>
    <row r="40" spans="2:20">
      <c r="B40" s="10">
        <v>36</v>
      </c>
      <c r="C40" s="11"/>
      <c r="D40" s="12"/>
      <c r="E40" s="12"/>
      <c r="F40" s="10"/>
      <c r="G40" s="10"/>
      <c r="H40" s="10"/>
      <c r="I40" s="10"/>
      <c r="J40" s="10"/>
      <c r="K40" s="13"/>
      <c r="L40" s="13"/>
      <c r="M40" s="10"/>
      <c r="N40" s="10"/>
      <c r="O40" s="12"/>
      <c r="P40" s="10"/>
      <c r="Q40" s="23" t="str">
        <f t="shared" ca="1" si="0"/>
        <v>FALSE</v>
      </c>
      <c r="R40" s="10"/>
      <c r="S40" s="10"/>
      <c r="T40" s="10"/>
    </row>
    <row r="41" spans="2:20">
      <c r="B41" s="10">
        <v>37</v>
      </c>
      <c r="C41" s="11"/>
      <c r="D41" s="12"/>
      <c r="E41" s="12"/>
      <c r="F41" s="10"/>
      <c r="G41" s="10"/>
      <c r="H41" s="10"/>
      <c r="I41" s="10"/>
      <c r="J41" s="10"/>
      <c r="K41" s="13"/>
      <c r="L41" s="13"/>
      <c r="M41" s="10"/>
      <c r="N41" s="10"/>
      <c r="O41" s="12"/>
      <c r="P41" s="10"/>
      <c r="Q41" s="23" t="str">
        <f t="shared" ca="1" si="0"/>
        <v>FALSE</v>
      </c>
      <c r="R41" s="10"/>
      <c r="S41" s="10"/>
      <c r="T41" s="10"/>
    </row>
    <row r="42" spans="2:20">
      <c r="B42" s="10">
        <v>38</v>
      </c>
      <c r="C42" s="11"/>
      <c r="D42" s="12"/>
      <c r="E42" s="12"/>
      <c r="F42" s="10"/>
      <c r="G42" s="10"/>
      <c r="H42" s="10"/>
      <c r="I42" s="10"/>
      <c r="J42" s="10"/>
      <c r="K42" s="13"/>
      <c r="L42" s="13"/>
      <c r="M42" s="10"/>
      <c r="N42" s="10"/>
      <c r="O42" s="12"/>
      <c r="P42" s="10"/>
      <c r="Q42" s="23" t="str">
        <f t="shared" ca="1" si="0"/>
        <v>FALSE</v>
      </c>
      <c r="R42" s="10"/>
      <c r="S42" s="10"/>
      <c r="T42" s="10"/>
    </row>
    <row r="43" spans="2:20">
      <c r="B43" s="10">
        <v>39</v>
      </c>
      <c r="C43" s="11"/>
      <c r="D43" s="12"/>
      <c r="E43" s="12"/>
      <c r="F43" s="10"/>
      <c r="G43" s="10"/>
      <c r="H43" s="10"/>
      <c r="I43" s="10"/>
      <c r="J43" s="10"/>
      <c r="K43" s="13"/>
      <c r="L43" s="13"/>
      <c r="M43" s="10"/>
      <c r="N43" s="10"/>
      <c r="O43" s="12"/>
      <c r="P43" s="10"/>
      <c r="Q43" s="23" t="str">
        <f t="shared" ca="1" si="0"/>
        <v>FALSE</v>
      </c>
      <c r="R43" s="10"/>
      <c r="S43" s="10"/>
      <c r="T43" s="10"/>
    </row>
    <row r="44" spans="2:20">
      <c r="B44" s="10">
        <v>40</v>
      </c>
      <c r="C44" s="11"/>
      <c r="D44" s="12"/>
      <c r="E44" s="12"/>
      <c r="F44" s="10"/>
      <c r="G44" s="10"/>
      <c r="H44" s="10"/>
      <c r="I44" s="10"/>
      <c r="J44" s="10"/>
      <c r="K44" s="13"/>
      <c r="L44" s="13"/>
      <c r="M44" s="10"/>
      <c r="N44" s="10"/>
      <c r="O44" s="12"/>
      <c r="P44" s="10"/>
      <c r="Q44" s="23" t="str">
        <f t="shared" ca="1" si="0"/>
        <v>FALSE</v>
      </c>
      <c r="R44" s="10"/>
      <c r="S44" s="10"/>
      <c r="T44" s="10"/>
    </row>
    <row r="45" spans="2:20">
      <c r="B45" s="10">
        <v>41</v>
      </c>
      <c r="C45" s="11"/>
      <c r="D45" s="12"/>
      <c r="E45" s="12"/>
      <c r="F45" s="10"/>
      <c r="G45" s="10"/>
      <c r="H45" s="10"/>
      <c r="I45" s="10"/>
      <c r="J45" s="10"/>
      <c r="K45" s="13"/>
      <c r="L45" s="13"/>
      <c r="M45" s="10"/>
      <c r="N45" s="10"/>
      <c r="O45" s="12"/>
      <c r="P45" s="10"/>
      <c r="Q45" s="23" t="str">
        <f t="shared" ca="1" si="0"/>
        <v>FALSE</v>
      </c>
      <c r="R45" s="10"/>
      <c r="S45" s="10"/>
      <c r="T45" s="10"/>
    </row>
    <row r="46" spans="2:20">
      <c r="B46" s="10">
        <v>42</v>
      </c>
      <c r="C46" s="11"/>
      <c r="D46" s="12"/>
      <c r="E46" s="12"/>
      <c r="F46" s="10"/>
      <c r="G46" s="10"/>
      <c r="H46" s="10"/>
      <c r="I46" s="10"/>
      <c r="J46" s="10"/>
      <c r="K46" s="13"/>
      <c r="L46" s="13"/>
      <c r="M46" s="10"/>
      <c r="N46" s="10"/>
      <c r="O46" s="12"/>
      <c r="P46" s="10"/>
      <c r="Q46" s="23" t="str">
        <f t="shared" ca="1" si="0"/>
        <v>FALSE</v>
      </c>
      <c r="R46" s="10"/>
      <c r="S46" s="10"/>
      <c r="T46" s="10"/>
    </row>
    <row r="47" spans="2:20">
      <c r="B47" s="10">
        <v>43</v>
      </c>
      <c r="C47" s="11"/>
      <c r="D47" s="12"/>
      <c r="E47" s="12"/>
      <c r="F47" s="10"/>
      <c r="G47" s="10"/>
      <c r="H47" s="10"/>
      <c r="I47" s="10"/>
      <c r="J47" s="10"/>
      <c r="K47" s="13"/>
      <c r="L47" s="13"/>
      <c r="M47" s="10"/>
      <c r="N47" s="10"/>
      <c r="O47" s="12"/>
      <c r="P47" s="10"/>
      <c r="Q47" s="23" t="str">
        <f t="shared" ca="1" si="0"/>
        <v>FALSE</v>
      </c>
      <c r="R47" s="10"/>
      <c r="S47" s="10"/>
      <c r="T47" s="10"/>
    </row>
    <row r="48" spans="2:20">
      <c r="B48" s="10">
        <v>44</v>
      </c>
      <c r="C48" s="11"/>
      <c r="D48" s="12"/>
      <c r="E48" s="12"/>
      <c r="F48" s="10"/>
      <c r="G48" s="10"/>
      <c r="H48" s="10"/>
      <c r="I48" s="10"/>
      <c r="J48" s="10"/>
      <c r="K48" s="13"/>
      <c r="L48" s="13"/>
      <c r="M48" s="10"/>
      <c r="N48" s="10"/>
      <c r="O48" s="12"/>
      <c r="P48" s="10"/>
      <c r="Q48" s="23" t="str">
        <f t="shared" ca="1" si="0"/>
        <v>FALSE</v>
      </c>
      <c r="R48" s="10"/>
      <c r="S48" s="10"/>
      <c r="T48" s="10"/>
    </row>
    <row r="49" spans="2:20">
      <c r="B49" s="10">
        <v>45</v>
      </c>
      <c r="C49" s="11"/>
      <c r="D49" s="12"/>
      <c r="E49" s="12"/>
      <c r="F49" s="10"/>
      <c r="G49" s="10"/>
      <c r="H49" s="10"/>
      <c r="I49" s="10"/>
      <c r="J49" s="10"/>
      <c r="K49" s="13"/>
      <c r="L49" s="13"/>
      <c r="M49" s="10"/>
      <c r="N49" s="10"/>
      <c r="O49" s="12"/>
      <c r="P49" s="10"/>
      <c r="Q49" s="23" t="str">
        <f t="shared" ca="1" si="0"/>
        <v>FALSE</v>
      </c>
      <c r="R49" s="10"/>
      <c r="S49" s="10"/>
      <c r="T49" s="10"/>
    </row>
    <row r="50" spans="2:20">
      <c r="B50" s="10">
        <v>46</v>
      </c>
      <c r="C50" s="11"/>
      <c r="D50" s="12"/>
      <c r="E50" s="12"/>
      <c r="F50" s="10"/>
      <c r="G50" s="10"/>
      <c r="H50" s="10"/>
      <c r="I50" s="10"/>
      <c r="J50" s="10"/>
      <c r="K50" s="13"/>
      <c r="L50" s="13"/>
      <c r="M50" s="10"/>
      <c r="N50" s="10"/>
      <c r="O50" s="12"/>
      <c r="P50" s="10"/>
      <c r="Q50" s="23" t="str">
        <f t="shared" ca="1" si="0"/>
        <v>FALSE</v>
      </c>
      <c r="R50" s="10"/>
      <c r="S50" s="10"/>
      <c r="T50" s="10"/>
    </row>
    <row r="51" spans="2:20">
      <c r="B51" s="10">
        <v>47</v>
      </c>
      <c r="C51" s="11"/>
      <c r="D51" s="12"/>
      <c r="E51" s="12"/>
      <c r="F51" s="10"/>
      <c r="G51" s="10"/>
      <c r="H51" s="10"/>
      <c r="I51" s="10"/>
      <c r="J51" s="10"/>
      <c r="K51" s="13"/>
      <c r="L51" s="13"/>
      <c r="M51" s="10"/>
      <c r="N51" s="10"/>
      <c r="O51" s="12"/>
      <c r="P51" s="10"/>
      <c r="Q51" s="23" t="str">
        <f t="shared" ca="1" si="0"/>
        <v>FALSE</v>
      </c>
      <c r="R51" s="10"/>
      <c r="S51" s="10"/>
      <c r="T51" s="10"/>
    </row>
    <row r="52" spans="2:20">
      <c r="B52" s="10">
        <v>48</v>
      </c>
      <c r="C52" s="11"/>
      <c r="D52" s="12"/>
      <c r="E52" s="12"/>
      <c r="F52" s="10"/>
      <c r="G52" s="10"/>
      <c r="H52" s="10"/>
      <c r="I52" s="10"/>
      <c r="J52" s="10"/>
      <c r="K52" s="13"/>
      <c r="L52" s="13"/>
      <c r="M52" s="10"/>
      <c r="N52" s="10"/>
      <c r="O52" s="12"/>
      <c r="P52" s="10"/>
      <c r="Q52" s="23" t="str">
        <f t="shared" ca="1" si="0"/>
        <v>FALSE</v>
      </c>
      <c r="R52" s="10"/>
      <c r="S52" s="10"/>
      <c r="T52" s="10"/>
    </row>
    <row r="53" spans="2:20">
      <c r="B53" s="10">
        <v>49</v>
      </c>
      <c r="C53" s="11"/>
      <c r="D53" s="12"/>
      <c r="E53" s="12"/>
      <c r="F53" s="10"/>
      <c r="G53" s="10"/>
      <c r="H53" s="10"/>
      <c r="I53" s="10"/>
      <c r="J53" s="10"/>
      <c r="K53" s="13"/>
      <c r="L53" s="13"/>
      <c r="M53" s="10"/>
      <c r="N53" s="10"/>
      <c r="O53" s="12"/>
      <c r="P53" s="10"/>
      <c r="Q53" s="23" t="str">
        <f t="shared" ca="1" si="0"/>
        <v>FALSE</v>
      </c>
      <c r="R53" s="10"/>
      <c r="S53" s="10"/>
      <c r="T53" s="10"/>
    </row>
    <row r="54" spans="2:20">
      <c r="B54" s="10">
        <v>50</v>
      </c>
      <c r="C54" s="11"/>
      <c r="D54" s="12"/>
      <c r="E54" s="12"/>
      <c r="F54" s="10"/>
      <c r="G54" s="10"/>
      <c r="H54" s="10"/>
      <c r="I54" s="10"/>
      <c r="J54" s="10"/>
      <c r="K54" s="13"/>
      <c r="L54" s="13"/>
      <c r="M54" s="10"/>
      <c r="N54" s="10"/>
      <c r="O54" s="12"/>
      <c r="P54" s="10"/>
      <c r="Q54" s="23" t="str">
        <f t="shared" ca="1" si="0"/>
        <v>FALSE</v>
      </c>
      <c r="R54" s="10"/>
      <c r="S54" s="10"/>
      <c r="T54" s="10"/>
    </row>
  </sheetData>
  <autoFilter ref="B4:T4" xr:uid="{56AE5BC8-7AB2-4740-A307-D8AD7CE13A19}"/>
  <conditionalFormatting sqref="C5:T54">
    <cfRule type="cellIs" dxfId="3" priority="1" operator="equal">
      <formula>"Done"</formula>
    </cfRule>
    <cfRule type="cellIs" dxfId="2" priority="2" operator="equal">
      <formula>"In Progress"</formula>
    </cfRule>
    <cfRule type="cellIs" dxfId="1" priority="3" operator="equal">
      <formula>"New"</formula>
    </cfRule>
    <cfRule type="cellIs" dxfId="0" priority="4" operator="equal">
      <formula>"Closed"</formula>
    </cfRule>
  </conditionalFormatting>
  <dataValidations count="2">
    <dataValidation type="list" allowBlank="1" showInputMessage="1" showErrorMessage="1" sqref="K5:K54" xr:uid="{5A82CBCD-FFD6-43AC-85DE-84C5CFF2A205}">
      <formula1>"Chung cụm POS, POS Server, POS Application"</formula1>
    </dataValidation>
    <dataValidation type="list" allowBlank="1" showInputMessage="1" showErrorMessage="1" sqref="L5:L54" xr:uid="{DF74E1B2-049F-4195-86B1-790860E3B583}">
      <formula1>"High,Medium,Low"</formula1>
    </dataValidation>
  </dataValidations>
  <pageMargins left="0.7" right="0.7" top="0.75" bottom="0.75" header="0.3" footer="0.3"/>
  <pageSetup scale="38" fitToHeight="0"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BB92EBE1-A363-47CA-9271-7B3D3B332572}">
          <x14:formula1>
            <xm:f>Master!$D$1:$D$6</xm:f>
          </x14:formula1>
          <xm:sqref>T5:T54</xm:sqref>
        </x14:dataValidation>
        <x14:dataValidation type="list" allowBlank="1" showInputMessage="1" showErrorMessage="1" xr:uid="{FBB285D1-8289-40F9-B2F0-733F0A849FA4}">
          <x14:formula1>
            <xm:f>Master!$C$1:$C$10</xm:f>
          </x14:formula1>
          <xm:sqref>C5:C54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FB7FB-FB47-4C42-B869-F07063820D23}">
  <sheetPr codeName="Sheet3"/>
  <dimension ref="A1:D10"/>
  <sheetViews>
    <sheetView workbookViewId="0"/>
  </sheetViews>
  <sheetFormatPr defaultRowHeight="15"/>
  <cols>
    <col min="1" max="1" width="14.5703125" customWidth="1"/>
    <col min="2" max="2" width="12.7109375" customWidth="1"/>
    <col min="3" max="3" width="13.28515625" bestFit="1" customWidth="1"/>
    <col min="4" max="4" width="10.7109375" bestFit="1" customWidth="1"/>
  </cols>
  <sheetData>
    <row r="1" spans="1:4">
      <c r="A1" t="s">
        <v>110</v>
      </c>
      <c r="B1" t="s">
        <v>111</v>
      </c>
      <c r="C1" t="s">
        <v>93</v>
      </c>
      <c r="D1" t="s">
        <v>56</v>
      </c>
    </row>
    <row r="2" spans="1:4">
      <c r="A2" t="s">
        <v>112</v>
      </c>
      <c r="B2" t="s">
        <v>113</v>
      </c>
      <c r="C2" t="s">
        <v>70</v>
      </c>
      <c r="D2" t="s">
        <v>49</v>
      </c>
    </row>
    <row r="3" spans="1:4">
      <c r="C3" t="s">
        <v>57</v>
      </c>
      <c r="D3" t="s">
        <v>64</v>
      </c>
    </row>
    <row r="4" spans="1:4">
      <c r="C4" t="s">
        <v>100</v>
      </c>
      <c r="D4" t="s">
        <v>114</v>
      </c>
    </row>
    <row r="5" spans="1:4">
      <c r="C5" t="s">
        <v>40</v>
      </c>
      <c r="D5" t="s">
        <v>115</v>
      </c>
    </row>
    <row r="6" spans="1:4">
      <c r="C6" t="s">
        <v>116</v>
      </c>
    </row>
    <row r="7" spans="1:4">
      <c r="C7" t="s">
        <v>104</v>
      </c>
    </row>
    <row r="8" spans="1:4">
      <c r="C8" t="s">
        <v>117</v>
      </c>
    </row>
    <row r="9" spans="1:4">
      <c r="C9" t="s">
        <v>65</v>
      </c>
    </row>
    <row r="10" spans="1:4">
      <c r="C10" t="s">
        <v>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9853A1-853C-4739-8AD6-4228BFFD8381}"/>
</file>

<file path=customXml/itemProps2.xml><?xml version="1.0" encoding="utf-8"?>
<ds:datastoreItem xmlns:ds="http://schemas.openxmlformats.org/officeDocument/2006/customXml" ds:itemID="{7B71A4AA-9A5A-4294-82CE-AF5678FF00C2}"/>
</file>

<file path=customXml/itemProps3.xml><?xml version="1.0" encoding="utf-8"?>
<ds:datastoreItem xmlns:ds="http://schemas.openxmlformats.org/officeDocument/2006/customXml" ds:itemID="{4BBC950E-AD0C-4A28-8E69-982CBDA413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Tien Huy</dc:creator>
  <cp:keywords/>
  <dc:description/>
  <cp:lastModifiedBy>Le Thi Xoa</cp:lastModifiedBy>
  <cp:revision/>
  <dcterms:created xsi:type="dcterms:W3CDTF">2015-06-05T18:17:20Z</dcterms:created>
  <dcterms:modified xsi:type="dcterms:W3CDTF">2025-04-21T02:55:29Z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