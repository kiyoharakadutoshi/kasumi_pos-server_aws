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mc:AlternateContent xmlns:mc="http://schemas.openxmlformats.org/markup-compatibility/2006">
    <mc:Choice Requires="x15">
      <x15ac:absPath xmlns:x15ac="http://schemas.microsoft.com/office/spreadsheetml/2010/11/ac" url="https://luvinavn.sharepoint.com/sites/POS_LVNCresco/Shared Documents/一般/02.管理/レビュー記録/基本設計/"/>
    </mc:Choice>
  </mc:AlternateContent>
  <xr:revisionPtr revIDLastSave="14" documentId="13_ncr:1_{041640E6-9B66-45FD-AD97-66F9C897B3F4}" xr6:coauthVersionLast="47" xr6:coauthVersionMax="47" xr10:uidLastSave="{6353D010-1AEE-4C62-95B8-99F247430B1D}"/>
  <bookViews>
    <workbookView xWindow="-110" yWindow="-110" windowWidth="19420" windowHeight="10300" tabRatio="687" firstSheet="1" activeTab="1" xr2:uid="{00000000-000D-0000-FFFF-FFFF00000000}"/>
  </bookViews>
  <sheets>
    <sheet name="表紙" sheetId="8" r:id="rId1"/>
    <sheet name="レビュー記録" sheetId="9" r:id="rId2"/>
  </sheets>
  <definedNames>
    <definedName name="_Key1" localSheetId="1" hidden="1">#REF!</definedName>
    <definedName name="_Key1" localSheetId="0" hidden="1">#REF!</definedName>
    <definedName name="_Key1" hidden="1">#REF!</definedName>
    <definedName name="_Order1" hidden="1">255</definedName>
    <definedName name="_Sort" localSheetId="1" hidden="1">#REF!</definedName>
    <definedName name="_Sort" localSheetId="0" hidden="1">#REF!</definedName>
    <definedName name="_Sort" hidden="1">#REF!</definedName>
    <definedName name="_xlnm.Print_Area" localSheetId="1">レビュー記録!$A$1:$M$56</definedName>
    <definedName name="_xlnm.Print_Area" localSheetId="0">表紙!$A$1:$BB$28</definedName>
    <definedName name="_xlnm.Print_Titles" localSheetId="1">レビュー記録!$1:$3</definedName>
    <definedName name="Z_BC41761E_A065_4A00_98FA_E45FBE75440C_.wvu.PrintArea" localSheetId="1" hidden="1">レビュー記録!$A$1:$M$31</definedName>
    <definedName name="業務">表紙!$B$16:$B$28</definedName>
    <definedName name="原因分類">表紙!$Y$16:$Y$26</definedName>
    <definedName name="指摘区分">表紙!$O$16:$O$23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9" l="1"/>
  <c r="A29" i="9"/>
  <c r="A28" i="9"/>
  <c r="A27" i="9"/>
  <c r="A26" i="9"/>
  <c r="A25" i="9"/>
  <c r="A24" i="9"/>
  <c r="A23" i="9"/>
  <c r="A22" i="9"/>
  <c r="A21" i="9"/>
  <c r="A20" i="9"/>
  <c r="A19" i="9"/>
  <c r="A18" i="9"/>
  <c r="A17" i="9"/>
  <c r="A16" i="9"/>
  <c r="A15" i="9"/>
  <c r="A14" i="9"/>
  <c r="A13" i="9"/>
  <c r="A12" i="9"/>
  <c r="A11" i="9"/>
  <c r="A10" i="9"/>
  <c r="P6" i="8" l="1"/>
  <c r="I11" i="8" l="1"/>
  <c r="AX4" i="8" l="1"/>
  <c r="AS4" i="8"/>
  <c r="AA4" i="8"/>
  <c r="P5" i="8"/>
  <c r="A52" i="9" l="1"/>
  <c r="A51" i="9"/>
  <c r="A50" i="9"/>
  <c r="A49" i="9"/>
  <c r="A48" i="9"/>
  <c r="A47" i="9"/>
  <c r="A46" i="9"/>
  <c r="A45" i="9"/>
  <c r="A44" i="9"/>
  <c r="A43" i="9"/>
  <c r="A42" i="9"/>
  <c r="A41" i="9"/>
  <c r="A40" i="9"/>
  <c r="A39" i="9"/>
  <c r="A38" i="9"/>
  <c r="A37" i="9"/>
  <c r="A36" i="9"/>
  <c r="A7" i="9" l="1"/>
  <c r="A8" i="9"/>
  <c r="A9" i="9"/>
  <c r="A31" i="9"/>
  <c r="A32" i="9"/>
  <c r="A33" i="9"/>
  <c r="A34" i="9"/>
  <c r="A35" i="9"/>
  <c r="A53" i="9"/>
  <c r="A54" i="9"/>
  <c r="A55" i="9"/>
  <c r="A56" i="9"/>
  <c r="A6" i="9"/>
  <c r="A11" i="8" l="1"/>
  <c r="E11" i="8"/>
</calcChain>
</file>

<file path=xl/sharedStrings.xml><?xml version="1.0" encoding="utf-8"?>
<sst xmlns="http://schemas.openxmlformats.org/spreadsheetml/2006/main" count="218" uniqueCount="106">
  <si>
    <t>プロジェクト名</t>
    <rPh sb="6" eb="7">
      <t>メイ</t>
    </rPh>
    <phoneticPr fontId="58"/>
  </si>
  <si>
    <t>環境</t>
    <rPh sb="0" eb="2">
      <t>カンキョウ</t>
    </rPh>
    <phoneticPr fontId="58"/>
  </si>
  <si>
    <t>局面</t>
    <rPh sb="0" eb="2">
      <t>キョクメン</t>
    </rPh>
    <phoneticPr fontId="58"/>
  </si>
  <si>
    <t>ドキュメントタイトル</t>
    <phoneticPr fontId="57"/>
  </si>
  <si>
    <t>成果物</t>
    <rPh sb="0" eb="3">
      <t>セイカブツ</t>
    </rPh>
    <phoneticPr fontId="58"/>
  </si>
  <si>
    <t>成果物作成者</t>
    <rPh sb="0" eb="3">
      <t>セイカブツ</t>
    </rPh>
    <rPh sb="3" eb="6">
      <t>サクセイシャ</t>
    </rPh>
    <phoneticPr fontId="57"/>
  </si>
  <si>
    <t>レビュー者</t>
    <rPh sb="4" eb="5">
      <t>シャ</t>
    </rPh>
    <phoneticPr fontId="57"/>
  </si>
  <si>
    <t>オフライン版POSサーバー2.0</t>
  </si>
  <si>
    <t>共通</t>
    <rPh sb="0" eb="1">
      <t>キョウツウ</t>
    </rPh>
    <phoneticPr fontId="58"/>
  </si>
  <si>
    <t>基本設計</t>
    <rPh sb="0" eb="4">
      <t>キホンセッケイ</t>
    </rPh>
    <phoneticPr fontId="57"/>
  </si>
  <si>
    <t>レビュー記録</t>
    <rPh sb="4" eb="6">
      <t>キロク</t>
    </rPh>
    <phoneticPr fontId="57"/>
  </si>
  <si>
    <t>POSオフライン_基本設計書.xlsx</t>
    <rPh sb="9" eb="11">
      <t>キホン</t>
    </rPh>
    <rPh sb="11" eb="13">
      <t>セッケイ</t>
    </rPh>
    <rPh sb="13" eb="14">
      <t>ショ</t>
    </rPh>
    <phoneticPr fontId="57"/>
  </si>
  <si>
    <t>CRESCO</t>
    <phoneticPr fontId="57"/>
  </si>
  <si>
    <t>業務</t>
    <rPh sb="0" eb="2">
      <t>ギョウム</t>
    </rPh>
    <phoneticPr fontId="57"/>
  </si>
  <si>
    <t>ページ数</t>
    <rPh sb="3" eb="4">
      <t>スウ</t>
    </rPh>
    <phoneticPr fontId="57"/>
  </si>
  <si>
    <t>単位はhour、対面レビューで実施した場合は参加者数を掛ける。</t>
    <rPh sb="0" eb="2">
      <t>タンイ</t>
    </rPh>
    <rPh sb="8" eb="10">
      <t>タイメン</t>
    </rPh>
    <rPh sb="15" eb="17">
      <t>ジッシ</t>
    </rPh>
    <rPh sb="19" eb="21">
      <t>バアイ</t>
    </rPh>
    <rPh sb="22" eb="25">
      <t>サンカシャ</t>
    </rPh>
    <rPh sb="25" eb="26">
      <t>スウ</t>
    </rPh>
    <rPh sb="27" eb="28">
      <t>カ</t>
    </rPh>
    <phoneticPr fontId="57"/>
  </si>
  <si>
    <t>合計</t>
    <rPh sb="0" eb="2">
      <t>ゴウケイ</t>
    </rPh>
    <phoneticPr fontId="57"/>
  </si>
  <si>
    <t>1回目</t>
    <rPh sb="1" eb="3">
      <t>カイメ</t>
    </rPh>
    <phoneticPr fontId="57"/>
  </si>
  <si>
    <t>2回目</t>
    <rPh sb="1" eb="3">
      <t>カイメ</t>
    </rPh>
    <phoneticPr fontId="57"/>
  </si>
  <si>
    <t>3回目</t>
    <rPh sb="1" eb="3">
      <t>カイメ</t>
    </rPh>
    <phoneticPr fontId="57"/>
  </si>
  <si>
    <t>4回目</t>
    <rPh sb="1" eb="3">
      <t>カイメ</t>
    </rPh>
    <phoneticPr fontId="57"/>
  </si>
  <si>
    <t>5回目</t>
    <rPh sb="1" eb="3">
      <t>カイメ</t>
    </rPh>
    <phoneticPr fontId="57"/>
  </si>
  <si>
    <t>レビュー時間</t>
    <rPh sb="4" eb="6">
      <t>ジカン</t>
    </rPh>
    <phoneticPr fontId="57"/>
  </si>
  <si>
    <t>対応時間</t>
    <rPh sb="0" eb="2">
      <t>タイオウ</t>
    </rPh>
    <rPh sb="2" eb="4">
      <t>ジカン</t>
    </rPh>
    <phoneticPr fontId="57"/>
  </si>
  <si>
    <t>回数</t>
    <rPh sb="0" eb="2">
      <t>カイスウ</t>
    </rPh>
    <phoneticPr fontId="57"/>
  </si>
  <si>
    <t>←時間を入力</t>
    <rPh sb="1" eb="3">
      <t>ジカン</t>
    </rPh>
    <rPh sb="4" eb="6">
      <t>ニュウリョク</t>
    </rPh>
    <phoneticPr fontId="57"/>
  </si>
  <si>
    <t>指摘区分</t>
    <rPh sb="0" eb="2">
      <t>シテキ</t>
    </rPh>
    <rPh sb="2" eb="4">
      <t>クブン</t>
    </rPh>
    <phoneticPr fontId="57"/>
  </si>
  <si>
    <t>原因分類</t>
    <rPh sb="0" eb="2">
      <t>ゲンイン</t>
    </rPh>
    <rPh sb="2" eb="4">
      <t>ブンルイ</t>
    </rPh>
    <phoneticPr fontId="57"/>
  </si>
  <si>
    <t>発生元</t>
    <rPh sb="0" eb="2">
      <t>ハッセイ</t>
    </rPh>
    <rPh sb="2" eb="3">
      <t>モト</t>
    </rPh>
    <phoneticPr fontId="57"/>
  </si>
  <si>
    <t>記載漏れ・誤り</t>
    <rPh sb="0" eb="2">
      <t>キサイ</t>
    </rPh>
    <rPh sb="2" eb="3">
      <t>モ</t>
    </rPh>
    <rPh sb="5" eb="6">
      <t>アヤマ</t>
    </rPh>
    <phoneticPr fontId="57"/>
  </si>
  <si>
    <t>ケアレスミス</t>
    <phoneticPr fontId="57"/>
  </si>
  <si>
    <t>作成者／レビュー者</t>
    <rPh sb="0" eb="2">
      <t>サクセイ</t>
    </rPh>
    <rPh sb="2" eb="3">
      <t>シャ</t>
    </rPh>
    <rPh sb="8" eb="9">
      <t>シャ</t>
    </rPh>
    <phoneticPr fontId="57"/>
  </si>
  <si>
    <t>表現・文言の改善</t>
    <rPh sb="0" eb="2">
      <t>ヒョウゲン</t>
    </rPh>
    <rPh sb="3" eb="5">
      <t>モンゴン</t>
    </rPh>
    <rPh sb="6" eb="8">
      <t>カイゼン</t>
    </rPh>
    <phoneticPr fontId="57"/>
  </si>
  <si>
    <t>実装方式理解不足</t>
    <rPh sb="0" eb="2">
      <t>ジッソウ</t>
    </rPh>
    <rPh sb="2" eb="4">
      <t>ホウシキ</t>
    </rPh>
    <rPh sb="4" eb="6">
      <t>リカイ</t>
    </rPh>
    <rPh sb="6" eb="8">
      <t>フソク</t>
    </rPh>
    <phoneticPr fontId="57"/>
  </si>
  <si>
    <t>標準化違反</t>
    <rPh sb="0" eb="3">
      <t>ヒョウジュンカ</t>
    </rPh>
    <rPh sb="3" eb="5">
      <t>イハン</t>
    </rPh>
    <phoneticPr fontId="57"/>
  </si>
  <si>
    <t>要件定義の漏れ・誤り</t>
    <rPh sb="0" eb="2">
      <t>ヨウケン</t>
    </rPh>
    <rPh sb="2" eb="4">
      <t>テイギ</t>
    </rPh>
    <rPh sb="5" eb="6">
      <t>モ</t>
    </rPh>
    <rPh sb="8" eb="9">
      <t>アヤマ</t>
    </rPh>
    <phoneticPr fontId="57"/>
  </si>
  <si>
    <t>インプット</t>
    <phoneticPr fontId="57"/>
  </si>
  <si>
    <t>設計漏れ・誤り</t>
    <rPh sb="0" eb="2">
      <t>セッケイ</t>
    </rPh>
    <rPh sb="2" eb="3">
      <t>モ</t>
    </rPh>
    <rPh sb="5" eb="6">
      <t>アヤマ</t>
    </rPh>
    <phoneticPr fontId="57"/>
  </si>
  <si>
    <t>要件・業務理解不足</t>
    <rPh sb="0" eb="2">
      <t>ヨウケン</t>
    </rPh>
    <rPh sb="3" eb="5">
      <t>ギョウム</t>
    </rPh>
    <rPh sb="5" eb="7">
      <t>リカイ</t>
    </rPh>
    <rPh sb="7" eb="9">
      <t>フソク</t>
    </rPh>
    <phoneticPr fontId="57"/>
  </si>
  <si>
    <t>設計改善</t>
    <rPh sb="0" eb="2">
      <t>セッケイ</t>
    </rPh>
    <rPh sb="2" eb="4">
      <t>カイゼン</t>
    </rPh>
    <phoneticPr fontId="57"/>
  </si>
  <si>
    <t>既存システム理解不足</t>
    <rPh sb="0" eb="2">
      <t>キゾン</t>
    </rPh>
    <rPh sb="6" eb="8">
      <t>リカイ</t>
    </rPh>
    <rPh sb="8" eb="10">
      <t>フソク</t>
    </rPh>
    <phoneticPr fontId="57"/>
  </si>
  <si>
    <t>要件追加</t>
    <rPh sb="0" eb="2">
      <t>ヨウケン</t>
    </rPh>
    <rPh sb="2" eb="4">
      <t>ツイカ</t>
    </rPh>
    <phoneticPr fontId="57"/>
  </si>
  <si>
    <t>顧客要望</t>
    <rPh sb="0" eb="2">
      <t>コキャク</t>
    </rPh>
    <rPh sb="2" eb="4">
      <t>ヨウボウ</t>
    </rPh>
    <phoneticPr fontId="57"/>
  </si>
  <si>
    <t>顧客</t>
    <rPh sb="0" eb="2">
      <t>コキャク</t>
    </rPh>
    <phoneticPr fontId="57"/>
  </si>
  <si>
    <t>連絡・アドバイス</t>
    <rPh sb="0" eb="2">
      <t>レンラク</t>
    </rPh>
    <phoneticPr fontId="57"/>
  </si>
  <si>
    <t>外部ベンダ要因</t>
    <rPh sb="0" eb="2">
      <t>ガイブ</t>
    </rPh>
    <rPh sb="5" eb="7">
      <t>ヨウイン</t>
    </rPh>
    <phoneticPr fontId="57"/>
  </si>
  <si>
    <t>外部ベンダ</t>
    <rPh sb="0" eb="2">
      <t>ガイブ</t>
    </rPh>
    <phoneticPr fontId="57"/>
  </si>
  <si>
    <t>指摘誤り</t>
    <rPh sb="0" eb="2">
      <t>シテキ</t>
    </rPh>
    <rPh sb="2" eb="3">
      <t>アヤマ</t>
    </rPh>
    <phoneticPr fontId="57"/>
  </si>
  <si>
    <t>並行案件要因</t>
    <rPh sb="0" eb="2">
      <t>ヘイコウ</t>
    </rPh>
    <rPh sb="2" eb="4">
      <t>アンケン</t>
    </rPh>
    <rPh sb="4" eb="6">
      <t>ヨウイン</t>
    </rPh>
    <phoneticPr fontId="57"/>
  </si>
  <si>
    <t>並行案件（保守含む）</t>
    <rPh sb="0" eb="2">
      <t>ヘイコウ</t>
    </rPh>
    <rPh sb="2" eb="4">
      <t>アンケン</t>
    </rPh>
    <rPh sb="5" eb="7">
      <t>ホシュ</t>
    </rPh>
    <rPh sb="7" eb="8">
      <t>フク</t>
    </rPh>
    <phoneticPr fontId="57"/>
  </si>
  <si>
    <t>他設計書の漏れ・誤り</t>
    <rPh sb="0" eb="1">
      <t>ホカ</t>
    </rPh>
    <rPh sb="1" eb="4">
      <t>セッケイショ</t>
    </rPh>
    <rPh sb="5" eb="6">
      <t>モ</t>
    </rPh>
    <rPh sb="8" eb="9">
      <t>アヤマ</t>
    </rPh>
    <phoneticPr fontId="57"/>
  </si>
  <si>
    <t>周知連絡不足</t>
    <rPh sb="0" eb="2">
      <t>シュウチ</t>
    </rPh>
    <rPh sb="2" eb="4">
      <t>レンラク</t>
    </rPh>
    <rPh sb="4" eb="6">
      <t>フソク</t>
    </rPh>
    <phoneticPr fontId="57"/>
  </si>
  <si>
    <t>チーム／ルール</t>
    <phoneticPr fontId="57"/>
  </si>
  <si>
    <t>（対象外）</t>
    <rPh sb="1" eb="4">
      <t>タイショウガイ</t>
    </rPh>
    <phoneticPr fontId="57"/>
  </si>
  <si>
    <t>-</t>
    <phoneticPr fontId="57"/>
  </si>
  <si>
    <t>No.</t>
    <phoneticPr fontId="58"/>
  </si>
  <si>
    <t>回</t>
    <rPh sb="0" eb="1">
      <t>カイ</t>
    </rPh>
    <phoneticPr fontId="57"/>
  </si>
  <si>
    <t>指摘日</t>
    <rPh sb="0" eb="2">
      <t>シテキ</t>
    </rPh>
    <rPh sb="2" eb="3">
      <t>ビ</t>
    </rPh>
    <phoneticPr fontId="58"/>
  </si>
  <si>
    <t>指摘者</t>
    <rPh sb="0" eb="2">
      <t>シテキ</t>
    </rPh>
    <rPh sb="2" eb="3">
      <t>シャ</t>
    </rPh>
    <phoneticPr fontId="58"/>
  </si>
  <si>
    <t>指摘事項</t>
    <rPh sb="0" eb="2">
      <t>シテキ</t>
    </rPh>
    <rPh sb="2" eb="4">
      <t>ジコウ</t>
    </rPh>
    <phoneticPr fontId="58"/>
  </si>
  <si>
    <t>指摘区分</t>
    <rPh sb="0" eb="2">
      <t>シテキ</t>
    </rPh>
    <rPh sb="2" eb="4">
      <t>クブン</t>
    </rPh>
    <phoneticPr fontId="58"/>
  </si>
  <si>
    <t>原因分類</t>
    <rPh sb="0" eb="2">
      <t>ゲンイン</t>
    </rPh>
    <rPh sb="2" eb="4">
      <t>ブンルイ</t>
    </rPh>
    <phoneticPr fontId="58"/>
  </si>
  <si>
    <t>指摘
誤り</t>
    <rPh sb="0" eb="2">
      <t>シテキ</t>
    </rPh>
    <rPh sb="3" eb="4">
      <t>アヤマ</t>
    </rPh>
    <phoneticPr fontId="57"/>
  </si>
  <si>
    <t>対応内容</t>
    <rPh sb="0" eb="2">
      <t>タイオウ</t>
    </rPh>
    <rPh sb="2" eb="4">
      <t>ナイヨウ</t>
    </rPh>
    <phoneticPr fontId="58"/>
  </si>
  <si>
    <t>対応
完了日</t>
    <rPh sb="0" eb="2">
      <t>タイオウ</t>
    </rPh>
    <rPh sb="3" eb="5">
      <t>カンリョウ</t>
    </rPh>
    <rPh sb="5" eb="6">
      <t>ヒ</t>
    </rPh>
    <phoneticPr fontId="58"/>
  </si>
  <si>
    <t>確認者</t>
    <rPh sb="0" eb="2">
      <t>カクニン</t>
    </rPh>
    <rPh sb="2" eb="3">
      <t>シャ</t>
    </rPh>
    <phoneticPr fontId="58"/>
  </si>
  <si>
    <t>結果</t>
    <rPh sb="0" eb="2">
      <t>ケッカ</t>
    </rPh>
    <phoneticPr fontId="57"/>
  </si>
  <si>
    <t>確認日</t>
    <rPh sb="0" eb="2">
      <t>カクニン</t>
    </rPh>
    <rPh sb="2" eb="3">
      <t>ビ</t>
    </rPh>
    <phoneticPr fontId="58"/>
  </si>
  <si>
    <t>遠藤</t>
    <rPh sb="0" eb="2">
      <t>エンドウ</t>
    </rPh>
    <phoneticPr fontId="57"/>
  </si>
  <si>
    <t xml:space="preserve">表紙
---
・ドキュメント名を正確に記載すること
・「#VALUE!」の是正
・作成日を正しく記載
・更新日の書式を作成日と同じにすること
・版管理番号を正しく記載すること（ドラフト0.1、初版1.0など）
</t>
    <rPh sb="0" eb="2">
      <t>ヒョウシ</t>
    </rPh>
    <rPh sb="14" eb="15">
      <t>メイ</t>
    </rPh>
    <rPh sb="16" eb="18">
      <t>セイカク</t>
    </rPh>
    <rPh sb="19" eb="21">
      <t>キサイ</t>
    </rPh>
    <rPh sb="37" eb="39">
      <t>ゼセイ</t>
    </rPh>
    <rPh sb="41" eb="44">
      <t>サクセイビ</t>
    </rPh>
    <rPh sb="45" eb="46">
      <t>タダ</t>
    </rPh>
    <rPh sb="48" eb="50">
      <t>キサイ</t>
    </rPh>
    <rPh sb="52" eb="55">
      <t>コウシンビ</t>
    </rPh>
    <rPh sb="56" eb="58">
      <t>ショシキ</t>
    </rPh>
    <rPh sb="59" eb="62">
      <t>サクセイビ</t>
    </rPh>
    <rPh sb="63" eb="64">
      <t>オナ</t>
    </rPh>
    <rPh sb="72" eb="73">
      <t>ハン</t>
    </rPh>
    <rPh sb="73" eb="75">
      <t>カンリ</t>
    </rPh>
    <rPh sb="75" eb="77">
      <t>バンゴウ</t>
    </rPh>
    <rPh sb="78" eb="79">
      <t>タダ</t>
    </rPh>
    <rPh sb="81" eb="83">
      <t>キサイ</t>
    </rPh>
    <rPh sb="96" eb="97">
      <t>ショ</t>
    </rPh>
    <rPh sb="97" eb="98">
      <t>バン</t>
    </rPh>
    <phoneticPr fontId="57"/>
  </si>
  <si>
    <t>ケアレスミス</t>
  </si>
  <si>
    <t xml:space="preserve">変更履歴
---
・版管理番号を正しく記載すること（ドラフト0.1、初版1.0など）
</t>
    <rPh sb="0" eb="2">
      <t>ヘンコウ</t>
    </rPh>
    <rPh sb="2" eb="4">
      <t>リレキ</t>
    </rPh>
    <phoneticPr fontId="57"/>
  </si>
  <si>
    <t xml:space="preserve">目次
---
・各章の中身と目次は一致させるようにして下さい
</t>
    <rPh sb="0" eb="2">
      <t>モクジ</t>
    </rPh>
    <rPh sb="8" eb="10">
      <t>カクショウ</t>
    </rPh>
    <rPh sb="11" eb="13">
      <t>ナカミ</t>
    </rPh>
    <rPh sb="14" eb="16">
      <t>モクジ</t>
    </rPh>
    <rPh sb="17" eb="19">
      <t>イッチ</t>
    </rPh>
    <rPh sb="27" eb="28">
      <t>クダ</t>
    </rPh>
    <phoneticPr fontId="57"/>
  </si>
  <si>
    <t xml:space="preserve">０．１．案件の目的
---
・各屋号と表現されている内容（カスミなど）を明確にすること
</t>
    <rPh sb="15" eb="16">
      <t>カク</t>
    </rPh>
    <rPh sb="16" eb="18">
      <t>ヤゴウ</t>
    </rPh>
    <rPh sb="19" eb="21">
      <t>ヒョウゲン</t>
    </rPh>
    <rPh sb="26" eb="28">
      <t>ナイヨウ</t>
    </rPh>
    <rPh sb="36" eb="38">
      <t>メイカク</t>
    </rPh>
    <phoneticPr fontId="57"/>
  </si>
  <si>
    <t xml:space="preserve">０．１．案件の目的
---
・目的の認識が誤っていますので、すべて見直してください。
オンラインからオフラインになったという経緯など説明などしていると思います。またAWSリセラーの話は関係ありません。
・箇条書きと思われますが、「・」などなく、区切りが分からない。
</t>
    <rPh sb="15" eb="17">
      <t>モクテキ</t>
    </rPh>
    <rPh sb="18" eb="20">
      <t>ニンシキ</t>
    </rPh>
    <rPh sb="21" eb="22">
      <t>アヤマ</t>
    </rPh>
    <rPh sb="33" eb="35">
      <t>ミナオ</t>
    </rPh>
    <rPh sb="62" eb="64">
      <t>ケイイ</t>
    </rPh>
    <rPh sb="66" eb="68">
      <t>セツメイ</t>
    </rPh>
    <rPh sb="75" eb="76">
      <t>オモ</t>
    </rPh>
    <rPh sb="90" eb="91">
      <t>ハナシ</t>
    </rPh>
    <rPh sb="92" eb="94">
      <t>カンケイ</t>
    </rPh>
    <rPh sb="102" eb="105">
      <t>カジョウガ</t>
    </rPh>
    <rPh sb="107" eb="108">
      <t>オモ</t>
    </rPh>
    <rPh sb="122" eb="124">
      <t>クギ</t>
    </rPh>
    <rPh sb="126" eb="127">
      <t>ワ</t>
    </rPh>
    <phoneticPr fontId="57"/>
  </si>
  <si>
    <t xml:space="preserve">０．２．本書の記述範囲
---
・具体的に記載してください。
「本書では、AWSに関する基本設計を記述範囲とする。」という表現は非常に曖昧です。ドキュメント体系が事前にあれば記載できる内容になりますが、無いと思いますので、何をどこまで何が記載されている内容なのか
明らかにすること。
</t>
    <rPh sb="17" eb="20">
      <t>グタイテキ</t>
    </rPh>
    <rPh sb="21" eb="23">
      <t>キサイ</t>
    </rPh>
    <rPh sb="61" eb="63">
      <t>ヒョウゲン</t>
    </rPh>
    <rPh sb="64" eb="66">
      <t>ヒジョウ</t>
    </rPh>
    <rPh sb="67" eb="69">
      <t>アイマイ</t>
    </rPh>
    <rPh sb="78" eb="80">
      <t>タイケイ</t>
    </rPh>
    <rPh sb="81" eb="83">
      <t>ジゼン</t>
    </rPh>
    <rPh sb="87" eb="89">
      <t>キサイ</t>
    </rPh>
    <rPh sb="92" eb="94">
      <t>ナイヨウ</t>
    </rPh>
    <rPh sb="101" eb="102">
      <t>ナ</t>
    </rPh>
    <rPh sb="104" eb="105">
      <t>オモ</t>
    </rPh>
    <rPh sb="111" eb="112">
      <t>ナニ</t>
    </rPh>
    <rPh sb="117" eb="118">
      <t>ナニ</t>
    </rPh>
    <rPh sb="119" eb="121">
      <t>キサイ</t>
    </rPh>
    <rPh sb="126" eb="128">
      <t>ナイヨウ</t>
    </rPh>
    <rPh sb="132" eb="133">
      <t>アキ</t>
    </rPh>
    <phoneticPr fontId="57"/>
  </si>
  <si>
    <t xml:space="preserve">０．０．基本方針
---
０．３．の誤り？
</t>
    <rPh sb="18" eb="19">
      <t>アヤマ</t>
    </rPh>
    <phoneticPr fontId="57"/>
  </si>
  <si>
    <t xml:space="preserve">０．０．基本方針
---
目的に対しての方針という整理なっておらず、AWS視点での設計方針になっており機能視点になっていて記載内容自体が不適切。後続の章で、再度方針とあるので機能に関することはそこに書くべき。
・15-16行目
「責任共有モデルに準じた実装・・・」「AWSのベストプラクティス」は、AWS Well-Archに準じた設計とする、とすることで包含できませんか。
・17行目
 - 何故？東京リージョンを使うのか。国内スーパーを対象にするためなど記載できるはず。
 - 災対考慮しないとは何故か？大阪リージョンにバックアップを取得など考慮が必要無いかなど確認が必要。
・18-19行目
 - お客様の業務環境はクローズなのでその旨に関して書くべき。
・20行目以降
　- 機能よりのため見直し
</t>
    <rPh sb="13" eb="15">
      <t>モクテキ</t>
    </rPh>
    <rPh sb="16" eb="17">
      <t>タイ</t>
    </rPh>
    <rPh sb="20" eb="22">
      <t>ホウシン</t>
    </rPh>
    <rPh sb="25" eb="27">
      <t>セイリ</t>
    </rPh>
    <rPh sb="37" eb="39">
      <t>シテン</t>
    </rPh>
    <rPh sb="41" eb="43">
      <t>セッケイ</t>
    </rPh>
    <rPh sb="43" eb="45">
      <t>ホウシン</t>
    </rPh>
    <rPh sb="51" eb="53">
      <t>キノウ</t>
    </rPh>
    <rPh sb="53" eb="55">
      <t>シテン</t>
    </rPh>
    <rPh sb="61" eb="63">
      <t>キサイ</t>
    </rPh>
    <rPh sb="63" eb="65">
      <t>ナイヨウ</t>
    </rPh>
    <rPh sb="65" eb="67">
      <t>ジタイ</t>
    </rPh>
    <rPh sb="68" eb="71">
      <t>フテキセツ</t>
    </rPh>
    <rPh sb="72" eb="74">
      <t>コウゾク</t>
    </rPh>
    <rPh sb="75" eb="76">
      <t>ショウ</t>
    </rPh>
    <rPh sb="78" eb="80">
      <t>サイド</t>
    </rPh>
    <rPh sb="80" eb="82">
      <t>ホウシン</t>
    </rPh>
    <rPh sb="87" eb="89">
      <t>キノウ</t>
    </rPh>
    <rPh sb="90" eb="91">
      <t>カン</t>
    </rPh>
    <rPh sb="99" eb="100">
      <t>カ</t>
    </rPh>
    <rPh sb="112" eb="114">
      <t>ギョウメ</t>
    </rPh>
    <rPh sb="116" eb="118">
      <t>セキニン</t>
    </rPh>
    <rPh sb="118" eb="120">
      <t>キョウユウ</t>
    </rPh>
    <rPh sb="124" eb="125">
      <t>ジュン</t>
    </rPh>
    <rPh sb="127" eb="129">
      <t>ジッソウ</t>
    </rPh>
    <rPh sb="164" eb="165">
      <t>ジュン</t>
    </rPh>
    <rPh sb="167" eb="169">
      <t>セッケイ</t>
    </rPh>
    <rPh sb="179" eb="181">
      <t>ホウガン</t>
    </rPh>
    <rPh sb="192" eb="194">
      <t>ギョウメ</t>
    </rPh>
    <rPh sb="198" eb="200">
      <t>ナゼ</t>
    </rPh>
    <rPh sb="201" eb="203">
      <t>トウキョウ</t>
    </rPh>
    <rPh sb="209" eb="210">
      <t>ツカ</t>
    </rPh>
    <rPh sb="214" eb="216">
      <t>コクナイ</t>
    </rPh>
    <rPh sb="221" eb="223">
      <t>タイショウ</t>
    </rPh>
    <rPh sb="230" eb="232">
      <t>キサイ</t>
    </rPh>
    <rPh sb="242" eb="244">
      <t>サイタイ</t>
    </rPh>
    <rPh sb="244" eb="246">
      <t>コウリョ</t>
    </rPh>
    <rPh sb="251" eb="253">
      <t>ナゼ</t>
    </rPh>
    <rPh sb="255" eb="257">
      <t>オオサカ</t>
    </rPh>
    <rPh sb="270" eb="272">
      <t>シュトク</t>
    </rPh>
    <rPh sb="274" eb="276">
      <t>コウリョ</t>
    </rPh>
    <rPh sb="277" eb="279">
      <t>ヒツヨウ</t>
    </rPh>
    <rPh sb="279" eb="280">
      <t>ナ</t>
    </rPh>
    <rPh sb="284" eb="286">
      <t>カクニン</t>
    </rPh>
    <rPh sb="287" eb="289">
      <t>ヒツヨウ</t>
    </rPh>
    <rPh sb="304" eb="306">
      <t>キャクサマ</t>
    </rPh>
    <rPh sb="307" eb="309">
      <t>ギョウム</t>
    </rPh>
    <rPh sb="309" eb="311">
      <t>カンキョウ</t>
    </rPh>
    <rPh sb="321" eb="322">
      <t>ムネ</t>
    </rPh>
    <rPh sb="323" eb="324">
      <t>カン</t>
    </rPh>
    <rPh sb="326" eb="327">
      <t>カ</t>
    </rPh>
    <rPh sb="335" eb="337">
      <t>ギョウメ</t>
    </rPh>
    <rPh sb="337" eb="339">
      <t>イコウ</t>
    </rPh>
    <rPh sb="343" eb="345">
      <t>キノウ</t>
    </rPh>
    <rPh sb="350" eb="352">
      <t>ミナオ</t>
    </rPh>
    <phoneticPr fontId="57"/>
  </si>
  <si>
    <t xml:space="preserve">０．３．前提条件
---
・30-31行目
　- 記載不要（今のところ無し？という表現するぐらいなら書かない）
</t>
    <rPh sb="19" eb="21">
      <t>ギョウメ</t>
    </rPh>
    <rPh sb="25" eb="27">
      <t>キサイ</t>
    </rPh>
    <rPh sb="27" eb="29">
      <t>フヨウ</t>
    </rPh>
    <rPh sb="30" eb="31">
      <t>イマ</t>
    </rPh>
    <rPh sb="35" eb="36">
      <t>ナ</t>
    </rPh>
    <rPh sb="41" eb="43">
      <t>ヒョウゲン</t>
    </rPh>
    <rPh sb="50" eb="51">
      <t>カ</t>
    </rPh>
    <phoneticPr fontId="57"/>
  </si>
  <si>
    <t xml:space="preserve">２．1．AWSアカウント（1）
---
・11行名
　- ルビナ社と記載したいなら、「Luvina software Joinstock Company（以降、ルビナ社と記載）」という表現にすること
・12行目
　- 「本番環境と開発環境で・・・」とあるが、環境面毎に分離するとかの表現に見直すこと。
・13行目
　- ルビナ社の管理をという部分を具体的にすること（発行、支払い請求、セキュリティ考慮など）。リセラーでないので管理すべきことを明確にすること。
</t>
    <rPh sb="23" eb="24">
      <t>ギョウ</t>
    </rPh>
    <rPh sb="24" eb="25">
      <t>メイ</t>
    </rPh>
    <rPh sb="32" eb="33">
      <t>シャ</t>
    </rPh>
    <rPh sb="34" eb="36">
      <t>キサイ</t>
    </rPh>
    <rPh sb="77" eb="79">
      <t>イコウ</t>
    </rPh>
    <rPh sb="83" eb="84">
      <t>シャ</t>
    </rPh>
    <rPh sb="85" eb="87">
      <t>キサイ</t>
    </rPh>
    <rPh sb="92" eb="94">
      <t>ヒョウゲン</t>
    </rPh>
    <rPh sb="103" eb="105">
      <t>ギョウメ</t>
    </rPh>
    <rPh sb="129" eb="132">
      <t>カンキョウメン</t>
    </rPh>
    <rPh sb="132" eb="133">
      <t>ゴト</t>
    </rPh>
    <rPh sb="134" eb="136">
      <t>ブンリ</t>
    </rPh>
    <rPh sb="141" eb="143">
      <t>ヒョウゲン</t>
    </rPh>
    <rPh sb="144" eb="146">
      <t>ミナオ</t>
    </rPh>
    <rPh sb="154" eb="156">
      <t>ギョウメ</t>
    </rPh>
    <rPh sb="163" eb="164">
      <t>シャ</t>
    </rPh>
    <rPh sb="165" eb="167">
      <t>カンリ</t>
    </rPh>
    <rPh sb="171" eb="173">
      <t>ブブン</t>
    </rPh>
    <rPh sb="174" eb="177">
      <t>グタイテキ</t>
    </rPh>
    <rPh sb="183" eb="185">
      <t>ハッコウ</t>
    </rPh>
    <rPh sb="186" eb="188">
      <t>シハラ</t>
    </rPh>
    <rPh sb="189" eb="191">
      <t>セイキュウ</t>
    </rPh>
    <rPh sb="198" eb="200">
      <t>コウリョ</t>
    </rPh>
    <rPh sb="213" eb="215">
      <t>カンリ</t>
    </rPh>
    <rPh sb="221" eb="223">
      <t>メイカク</t>
    </rPh>
    <phoneticPr fontId="57"/>
  </si>
  <si>
    <t xml:space="preserve">２．1．AWSアカウント（2）
---
・一覧になっていない。
・スパイク環境という説明が良く分からない。一般用語でないので明確にすること。
・AndroiPoSとは何なのかも明確にすること。
</t>
    <rPh sb="21" eb="23">
      <t>イチラン</t>
    </rPh>
    <rPh sb="37" eb="39">
      <t>カンキョウ</t>
    </rPh>
    <rPh sb="42" eb="44">
      <t>セツメイ</t>
    </rPh>
    <rPh sb="45" eb="46">
      <t>ヨ</t>
    </rPh>
    <rPh sb="47" eb="48">
      <t>ワ</t>
    </rPh>
    <rPh sb="53" eb="55">
      <t>イッパン</t>
    </rPh>
    <rPh sb="55" eb="57">
      <t>ヨウゴ</t>
    </rPh>
    <rPh sb="62" eb="64">
      <t>メイカク</t>
    </rPh>
    <rPh sb="83" eb="84">
      <t>ナン</t>
    </rPh>
    <rPh sb="88" eb="90">
      <t>メイカク</t>
    </rPh>
    <phoneticPr fontId="57"/>
  </si>
  <si>
    <t xml:space="preserve">２．1．AWSアカウント（3）
・管理概要というが管理している内容になっていない。AWSのIDに関するオブジェクトの構成図（体系？）ではないのか。
・アカウント管理者、ルートユーザー、AWSユーザー管理者、IAMユーザーというアクターの役割を書かないと意図が分からない。特に、AWSのオブジェクトと実在の人物（開発者など）を明確にすること。
※絵ではなく一覧で整理したほうが近道では？
</t>
    <rPh sb="17" eb="19">
      <t>カンリ</t>
    </rPh>
    <rPh sb="19" eb="21">
      <t>ガイヨウ</t>
    </rPh>
    <rPh sb="25" eb="27">
      <t>カンリ</t>
    </rPh>
    <rPh sb="31" eb="33">
      <t>ナイヨウ</t>
    </rPh>
    <rPh sb="48" eb="49">
      <t>カン</t>
    </rPh>
    <rPh sb="80" eb="83">
      <t>カンリシャ</t>
    </rPh>
    <rPh sb="99" eb="101">
      <t>カンリ</t>
    </rPh>
    <rPh sb="101" eb="102">
      <t>シャ</t>
    </rPh>
    <rPh sb="118" eb="120">
      <t>ヤクワリ</t>
    </rPh>
    <rPh sb="121" eb="122">
      <t>カ</t>
    </rPh>
    <rPh sb="126" eb="128">
      <t>イト</t>
    </rPh>
    <rPh sb="129" eb="130">
      <t>ワ</t>
    </rPh>
    <rPh sb="135" eb="136">
      <t>トク</t>
    </rPh>
    <rPh sb="149" eb="151">
      <t>ジツザイ</t>
    </rPh>
    <rPh sb="152" eb="154">
      <t>ジンブツ</t>
    </rPh>
    <rPh sb="155" eb="158">
      <t>カイハツシャ</t>
    </rPh>
    <rPh sb="162" eb="164">
      <t>メイカク</t>
    </rPh>
    <rPh sb="172" eb="173">
      <t>エ</t>
    </rPh>
    <rPh sb="177" eb="179">
      <t>イチラン</t>
    </rPh>
    <rPh sb="180" eb="182">
      <t>セイリ</t>
    </rPh>
    <rPh sb="187" eb="189">
      <t>チカミチ</t>
    </rPh>
    <phoneticPr fontId="57"/>
  </si>
  <si>
    <t xml:space="preserve">2．2．IAM設計（1）
---
・IAMユーザーのログインはスイッチロールを用いて、適切なAWSアカウントへのログインに制御する、とかあるのでは。
・59行
　- MFAを適用する主語が無い
・60行
　- 何のこと？
</t>
    <rPh sb="39" eb="40">
      <t>モチ</t>
    </rPh>
    <rPh sb="43" eb="45">
      <t>テキセツ</t>
    </rPh>
    <rPh sb="61" eb="63">
      <t>セイギョ</t>
    </rPh>
    <rPh sb="78" eb="79">
      <t>ギョウ</t>
    </rPh>
    <rPh sb="87" eb="89">
      <t>テキヨウ</t>
    </rPh>
    <rPh sb="91" eb="93">
      <t>シュゴ</t>
    </rPh>
    <rPh sb="94" eb="95">
      <t>ナ</t>
    </rPh>
    <rPh sb="100" eb="101">
      <t>ギョウ</t>
    </rPh>
    <rPh sb="105" eb="106">
      <t>ナン</t>
    </rPh>
    <phoneticPr fontId="57"/>
  </si>
  <si>
    <t xml:space="preserve">2．2．IAM設計（2）
---
#12の指摘と同様
</t>
    <rPh sb="21" eb="23">
      <t>シテキ</t>
    </rPh>
    <rPh sb="24" eb="26">
      <t>ドウヨウ</t>
    </rPh>
    <phoneticPr fontId="57"/>
  </si>
  <si>
    <t xml:space="preserve">2．2．IAM設計（3）
---
・(6)IAMグループが先では？グループがあってポリシー適用して、その状態のグループにユーザーが所属するという考えになると思います。
</t>
    <rPh sb="29" eb="30">
      <t>サキ</t>
    </rPh>
    <rPh sb="45" eb="47">
      <t>テキヨウ</t>
    </rPh>
    <rPh sb="52" eb="54">
      <t>ジョウタイ</t>
    </rPh>
    <rPh sb="65" eb="67">
      <t>ショゾク</t>
    </rPh>
    <rPh sb="72" eb="73">
      <t>カンガ</t>
    </rPh>
    <rPh sb="78" eb="79">
      <t>オモ</t>
    </rPh>
    <phoneticPr fontId="57"/>
  </si>
  <si>
    <t xml:space="preserve">2．2．IAM設計（4）
---
AWSのベストプラクティスに準拠といった形で、AWSのベストプラクティスの内容を引用すること。
</t>
    <rPh sb="31" eb="33">
      <t>ジュンキョ</t>
    </rPh>
    <rPh sb="37" eb="38">
      <t>カタチ</t>
    </rPh>
    <rPh sb="54" eb="56">
      <t>ナイヨウ</t>
    </rPh>
    <rPh sb="57" eb="59">
      <t>インヨウ</t>
    </rPh>
    <phoneticPr fontId="57"/>
  </si>
  <si>
    <t xml:space="preserve">2．2．IAM設計（5）
---
アクター定義が無いので、このポリシーを意図している設定内容の意味が伝わらない。最小権限の原則に則るものとして、役割に応じて＋αとする方針がここの記載されるのでは。
</t>
    <rPh sb="21" eb="23">
      <t>テイギ</t>
    </rPh>
    <rPh sb="24" eb="25">
      <t>ナ</t>
    </rPh>
    <rPh sb="36" eb="38">
      <t>イト</t>
    </rPh>
    <rPh sb="42" eb="44">
      <t>セッテイ</t>
    </rPh>
    <rPh sb="44" eb="46">
      <t>ナイヨウ</t>
    </rPh>
    <rPh sb="47" eb="49">
      <t>イミ</t>
    </rPh>
    <rPh sb="50" eb="51">
      <t>ツタ</t>
    </rPh>
    <rPh sb="56" eb="58">
      <t>サイショウ</t>
    </rPh>
    <rPh sb="58" eb="60">
      <t>ケンゲン</t>
    </rPh>
    <rPh sb="61" eb="63">
      <t>ゲンソク</t>
    </rPh>
    <rPh sb="64" eb="65">
      <t>ノット</t>
    </rPh>
    <rPh sb="72" eb="74">
      <t>ヤクワリ</t>
    </rPh>
    <rPh sb="75" eb="76">
      <t>オウ</t>
    </rPh>
    <rPh sb="83" eb="85">
      <t>ホウシン</t>
    </rPh>
    <rPh sb="89" eb="91">
      <t>キサイ</t>
    </rPh>
    <phoneticPr fontId="57"/>
  </si>
  <si>
    <t xml:space="preserve">2．2．IAM設計（6）
---
#17と同様
</t>
    <rPh sb="21" eb="23">
      <t>ドウヨウ</t>
    </rPh>
    <phoneticPr fontId="57"/>
  </si>
  <si>
    <t xml:space="preserve">2．2．IAM設計（7）
---
最小権限の原則に則るという内容にしないとキリがいので、割当方針を明確にして簡略化してもいいのでは。
</t>
    <rPh sb="17" eb="19">
      <t>サイショウ</t>
    </rPh>
    <rPh sb="19" eb="21">
      <t>ケンゲン</t>
    </rPh>
    <rPh sb="22" eb="24">
      <t>ゲンソク</t>
    </rPh>
    <rPh sb="25" eb="26">
      <t>ノット</t>
    </rPh>
    <rPh sb="30" eb="32">
      <t>ナイヨウ</t>
    </rPh>
    <rPh sb="44" eb="46">
      <t>ワリアテ</t>
    </rPh>
    <rPh sb="46" eb="48">
      <t>ホウシン</t>
    </rPh>
    <rPh sb="49" eb="51">
      <t>メイカク</t>
    </rPh>
    <rPh sb="54" eb="57">
      <t>カンリャクカ</t>
    </rPh>
    <phoneticPr fontId="57"/>
  </si>
  <si>
    <t xml:space="preserve">２．システム構成
---
別紙1.構成図と何が違う？別ファイルで整理しては。
</t>
    <rPh sb="21" eb="22">
      <t>ナニ</t>
    </rPh>
    <rPh sb="23" eb="24">
      <t>チガ</t>
    </rPh>
    <rPh sb="26" eb="27">
      <t>ベツ</t>
    </rPh>
    <rPh sb="32" eb="34">
      <t>セイリ</t>
    </rPh>
    <phoneticPr fontId="57"/>
  </si>
  <si>
    <t xml:space="preserve">３．１．仮想ネットワーク設計(1)
---
・方針を記載していると思いますが、何故そうするのか？が無いと分からない。言い切り方としても表現が足りない。
・IPアドレスはUSMHのレンジから払い出されたものを利用の旨を記載すること。
</t>
    <rPh sb="23" eb="25">
      <t>ホウシン</t>
    </rPh>
    <rPh sb="26" eb="28">
      <t>キサイ</t>
    </rPh>
    <rPh sb="33" eb="34">
      <t>オモ</t>
    </rPh>
    <rPh sb="39" eb="41">
      <t>ナゼ</t>
    </rPh>
    <rPh sb="49" eb="50">
      <t>ナ</t>
    </rPh>
    <rPh sb="52" eb="53">
      <t>ワ</t>
    </rPh>
    <rPh sb="58" eb="59">
      <t>イ</t>
    </rPh>
    <rPh sb="60" eb="61">
      <t>キ</t>
    </rPh>
    <rPh sb="62" eb="63">
      <t>カタ</t>
    </rPh>
    <rPh sb="67" eb="69">
      <t>ヒョウゲン</t>
    </rPh>
    <rPh sb="70" eb="71">
      <t>タ</t>
    </rPh>
    <rPh sb="94" eb="95">
      <t>ハラ</t>
    </rPh>
    <rPh sb="96" eb="97">
      <t>ダ</t>
    </rPh>
    <rPh sb="103" eb="105">
      <t>リヨウ</t>
    </rPh>
    <rPh sb="106" eb="107">
      <t>ムネ</t>
    </rPh>
    <rPh sb="108" eb="110">
      <t>キサイ</t>
    </rPh>
    <phoneticPr fontId="57"/>
  </si>
  <si>
    <t xml:space="preserve">３．１．仮想ネットワーク設計(2)
---
構成図でまとめて表現しては？
</t>
    <rPh sb="22" eb="25">
      <t>コウセイズ</t>
    </rPh>
    <rPh sb="30" eb="32">
      <t>ヒョウゲン</t>
    </rPh>
    <phoneticPr fontId="57"/>
  </si>
  <si>
    <t xml:space="preserve">３．２．VPC／サブネット設計(2)
---
利用例も記載が欲しい。
</t>
    <rPh sb="23" eb="25">
      <t>リヨウ</t>
    </rPh>
    <rPh sb="25" eb="26">
      <t>レイ</t>
    </rPh>
    <rPh sb="27" eb="29">
      <t>キサイ</t>
    </rPh>
    <rPh sb="30" eb="31">
      <t>ホ</t>
    </rPh>
    <phoneticPr fontId="57"/>
  </si>
  <si>
    <t xml:space="preserve">３．２．VPC／サブネット設計(2)-1
---
スパイク環境に本番/ステージングは無い認識です。
</t>
    <rPh sb="29" eb="31">
      <t>カンキョウ</t>
    </rPh>
    <rPh sb="32" eb="34">
      <t>ホンバン</t>
    </rPh>
    <rPh sb="42" eb="43">
      <t>ナ</t>
    </rPh>
    <rPh sb="44" eb="46">
      <t>ニンシキ</t>
    </rPh>
    <phoneticPr fontId="57"/>
  </si>
  <si>
    <t xml:space="preserve">３．３．ルートテーブル設計（１）
---
いる？どこに何通信させるといった一覧で十分では？
</t>
    <rPh sb="27" eb="28">
      <t>ナニ</t>
    </rPh>
    <rPh sb="28" eb="30">
      <t>ツウシン</t>
    </rPh>
    <rPh sb="37" eb="39">
      <t>イチラン</t>
    </rPh>
    <rPh sb="40" eb="42">
      <t>ジュウブン</t>
    </rPh>
    <phoneticPr fontId="57"/>
  </si>
  <si>
    <t xml:space="preserve">３．３．ルートテーブル設計（２）
---
３．３．ルートテーブル設計（１）に包含しては？
</t>
    <rPh sb="38" eb="40">
      <t>ホウガン</t>
    </rPh>
    <phoneticPr fontId="57"/>
  </si>
  <si>
    <t xml:space="preserve">３．４．セキュリティグループ設計
---
（１）（２）要る？必要なのは割当ルールであり、記載が大変なわりには、あまり必要無い気がします。
</t>
    <rPh sb="27" eb="28">
      <t>イ</t>
    </rPh>
    <rPh sb="30" eb="32">
      <t>ヒツヨウ</t>
    </rPh>
    <rPh sb="35" eb="37">
      <t>ワリアテ</t>
    </rPh>
    <rPh sb="44" eb="46">
      <t>キサイ</t>
    </rPh>
    <rPh sb="47" eb="49">
      <t>タイヘン</t>
    </rPh>
    <rPh sb="58" eb="60">
      <t>ヒツヨウ</t>
    </rPh>
    <rPh sb="60" eb="61">
      <t>ナ</t>
    </rPh>
    <rPh sb="62" eb="63">
      <t>キ</t>
    </rPh>
    <phoneticPr fontId="57"/>
  </si>
  <si>
    <t xml:space="preserve">３．５．ネットワークACL設計
---
使わないのでは？共通に相当するSubnetを作った時点で破綻します。
</t>
    <rPh sb="20" eb="21">
      <t>ツカ</t>
    </rPh>
    <rPh sb="28" eb="30">
      <t>キョウツウ</t>
    </rPh>
    <rPh sb="31" eb="33">
      <t>ソウトウ</t>
    </rPh>
    <rPh sb="42" eb="43">
      <t>ツク</t>
    </rPh>
    <rPh sb="45" eb="47">
      <t>ジテン</t>
    </rPh>
    <rPh sb="48" eb="50">
      <t>ハタン</t>
    </rPh>
    <phoneticPr fontId="57"/>
  </si>
  <si>
    <t xml:space="preserve">３．６．VPCエンドポイント設計
---
方針だけで良いのでは？
</t>
    <rPh sb="21" eb="23">
      <t>ホウシン</t>
    </rPh>
    <rPh sb="26" eb="27">
      <t>イ</t>
    </rPh>
    <phoneticPr fontId="57"/>
  </si>
  <si>
    <t xml:space="preserve">３．７．USMH網とのネットワークとの接続設計(1)
---
実施いただく、依頼する、と言った文言は設計ではありません。
</t>
    <rPh sb="31" eb="33">
      <t>ジッシ</t>
    </rPh>
    <rPh sb="38" eb="40">
      <t>イライ</t>
    </rPh>
    <rPh sb="44" eb="45">
      <t>イ</t>
    </rPh>
    <rPh sb="47" eb="49">
      <t>モンゴン</t>
    </rPh>
    <rPh sb="50" eb="52">
      <t>セッケイ</t>
    </rPh>
    <phoneticPr fontId="57"/>
  </si>
  <si>
    <t xml:space="preserve">３．８．外部アクセス設計
---
想定などと言った文言は設計ではない。
</t>
    <rPh sb="17" eb="19">
      <t>ソウテイ</t>
    </rPh>
    <rPh sb="22" eb="23">
      <t>イ</t>
    </rPh>
    <rPh sb="25" eb="27">
      <t>モンゴン</t>
    </rPh>
    <rPh sb="28" eb="30">
      <t>セッケイ</t>
    </rPh>
    <phoneticPr fontId="57"/>
  </si>
  <si>
    <t xml:space="preserve">４．可用性設計
---
未完成に見えるので、全体的に見直してください。
</t>
    <rPh sb="12" eb="15">
      <t>ミカンセイ</t>
    </rPh>
    <rPh sb="16" eb="17">
      <t>ミ</t>
    </rPh>
    <rPh sb="22" eb="25">
      <t>ゼンタイテキ</t>
    </rPh>
    <rPh sb="26" eb="28">
      <t>ミナオ</t>
    </rPh>
    <phoneticPr fontId="57"/>
  </si>
  <si>
    <t>○</t>
  </si>
  <si>
    <t xml:space="preserve">表紙
---
・ドキュメント名を「POS Server」と表記
・「#VALUE!」が表示されないように必要項目入力
・作成日を正しく記載
・更新日の書式を作成日と同じに修正
・版管理番号をドラフト0.1に修正
</t>
    <rPh sb="0" eb="2">
      <t>ヒョウシ</t>
    </rPh>
    <rPh sb="14" eb="15">
      <t>メイ</t>
    </rPh>
    <rPh sb="43" eb="45">
      <t>ヒョウジ</t>
    </rPh>
    <rPh sb="52" eb="56">
      <t>ヒツヨウコウモク</t>
    </rPh>
    <rPh sb="56" eb="58">
      <t>ニュウリョク</t>
    </rPh>
    <rPh sb="60" eb="63">
      <t>サクセイビ</t>
    </rPh>
    <rPh sb="64" eb="65">
      <t>タダ</t>
    </rPh>
    <rPh sb="67" eb="69">
      <t>キサイ</t>
    </rPh>
    <rPh sb="71" eb="74">
      <t>コウシンビ</t>
    </rPh>
    <rPh sb="75" eb="77">
      <t>ショシキ</t>
    </rPh>
    <rPh sb="78" eb="81">
      <t>サクセイビ</t>
    </rPh>
    <rPh sb="82" eb="83">
      <t>オナ</t>
    </rPh>
    <rPh sb="85" eb="87">
      <t>シュウセイ</t>
    </rPh>
    <rPh sb="89" eb="90">
      <t>ハン</t>
    </rPh>
    <rPh sb="90" eb="92">
      <t>カンリ</t>
    </rPh>
    <rPh sb="92" eb="94">
      <t>バンゴウ</t>
    </rPh>
    <rPh sb="103" eb="105">
      <t>シュウセイ</t>
    </rPh>
    <phoneticPr fontId="57"/>
  </si>
  <si>
    <t xml:space="preserve">・版管理番号をドラフト0.1に修正
</t>
    <rPh sb="1" eb="2">
      <t>ハン</t>
    </rPh>
    <rPh sb="2" eb="4">
      <t>カンリ</t>
    </rPh>
    <rPh sb="4" eb="6">
      <t>バンゴウ</t>
    </rPh>
    <rPh sb="15" eb="17">
      <t>シュウセイ</t>
    </rPh>
    <phoneticPr fontId="57"/>
  </si>
  <si>
    <t>一旦保留</t>
    <rPh sb="0" eb="2">
      <t>イッタン</t>
    </rPh>
    <rPh sb="2" eb="4">
      <t>ホリュウ</t>
    </rPh>
    <phoneticPr fontId="5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</si>
</sst>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Red]&quot;¥&quot;\-#,##0"/>
    <numFmt numFmtId="41" formatCode="_ * #,##0_ ;_ * \-#,##0_ ;_ * &quot;-&quot;_ ;_ @_ "/>
    <numFmt numFmtId="43" formatCode="_ * #,##0.00_ ;_ * \-#,##0.00_ ;_ * &quot;-&quot;??_ ;_ @_ "/>
    <numFmt numFmtId="176" formatCode="#,##0;\-#,##0;&quot;-&quot;"/>
    <numFmt numFmtId="177" formatCode="&quot;$&quot;#,##0_);[Red]\(&quot;$&quot;#,##0\)"/>
    <numFmt numFmtId="178" formatCode="0.00000%"/>
    <numFmt numFmtId="179" formatCode="_(* #,##0.00000_);_(* \(#,##0.00000\);_(* &quot;-&quot;??_);_(@_)"/>
    <numFmt numFmtId="180" formatCode="_(* #,##0.000000_);_(* \(#,##0.000000\);_(* &quot;-&quot;??_);_(@_)"/>
    <numFmt numFmtId="181" formatCode="0%\);[Red]\(0%\)"/>
    <numFmt numFmtId="182" formatCode="000"/>
    <numFmt numFmtId="183" formatCode="00000"/>
    <numFmt numFmtId="184" formatCode="yy\.mm\.dd"/>
  </numFmts>
  <fonts count="70">
    <font>
      <sz val="10"/>
      <name val="ＭＳ ゴシック"/>
      <family val="3"/>
      <charset val="128"/>
    </font>
    <font>
      <sz val="11"/>
      <color theme="1"/>
      <name val="ＭＳ Ｐゴシック"/>
      <family val="2"/>
      <charset val="128"/>
      <scheme val="minor"/>
    </font>
    <font>
      <sz val="11"/>
      <color indexed="8"/>
      <name val="ＭＳ Ｐゴシック"/>
      <family val="3"/>
      <charset val="128"/>
    </font>
    <font>
      <sz val="11"/>
      <name val="ＭＳ Ｐゴシック"/>
      <family val="3"/>
      <charset val="128"/>
    </font>
    <font>
      <sz val="12"/>
      <name val="細明朝体"/>
      <family val="3"/>
      <charset val="128"/>
    </font>
    <font>
      <sz val="9"/>
      <name val="ＭＳ 明朝"/>
      <family val="1"/>
      <charset val="128"/>
    </font>
    <font>
      <sz val="12"/>
      <name val="Monaco"/>
      <family val="1"/>
    </font>
    <font>
      <sz val="12"/>
      <name val="ＭＳ ゴシック"/>
      <family val="3"/>
      <charset val="128"/>
    </font>
    <font>
      <sz val="9"/>
      <name val="Arial"/>
      <family val="2"/>
    </font>
    <font>
      <sz val="11"/>
      <color indexed="9"/>
      <name val="ＭＳ Ｐゴシック"/>
      <family val="3"/>
      <charset val="128"/>
    </font>
    <font>
      <sz val="10"/>
      <color indexed="8"/>
      <name val="Arial"/>
      <family val="2"/>
    </font>
    <font>
      <sz val="10"/>
      <name val="Arial"/>
      <family val="2"/>
    </font>
    <font>
      <sz val="10"/>
      <name val="BERNHARD"/>
      <family val="2"/>
    </font>
    <font>
      <sz val="10"/>
      <name val="Helv"/>
      <family val="2"/>
    </font>
    <font>
      <sz val="1"/>
      <color indexed="8"/>
      <name val="Courier"/>
      <family val="3"/>
    </font>
    <font>
      <b/>
      <sz val="1"/>
      <color indexed="8"/>
      <name val="Courier"/>
      <family val="3"/>
    </font>
    <font>
      <sz val="9"/>
      <name val="Times New Roman"/>
      <family val="1"/>
    </font>
    <font>
      <sz val="8"/>
      <name val="Arial"/>
      <family val="2"/>
    </font>
    <font>
      <b/>
      <sz val="12"/>
      <name val="Arial"/>
      <family val="2"/>
    </font>
    <font>
      <sz val="10"/>
      <name val="ＭＳ ゴシック"/>
      <family val="3"/>
      <charset val="128"/>
    </font>
    <font>
      <sz val="11"/>
      <name val="明朝"/>
      <family val="3"/>
      <charset val="128"/>
    </font>
    <font>
      <sz val="7"/>
      <name val="Small Fonts"/>
      <family val="3"/>
      <charset val="128"/>
    </font>
    <font>
      <sz val="11"/>
      <name val="ＭＳ 明朝"/>
      <family val="1"/>
      <charset val="128"/>
    </font>
    <font>
      <sz val="14"/>
      <name val="?? ??"/>
      <family val="1"/>
    </font>
    <font>
      <sz val="9"/>
      <name val="細明朝体"/>
      <family val="3"/>
      <charset val="128"/>
    </font>
    <font>
      <sz val="8"/>
      <color indexed="16"/>
      <name val="Century Schoolbook"/>
      <family val="1"/>
    </font>
    <font>
      <sz val="8"/>
      <name val="Helv"/>
      <family val="2"/>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1"/>
      <name val="Helv"/>
      <family val="2"/>
    </font>
    <font>
      <b/>
      <sz val="9"/>
      <name val="Times New Roman"/>
      <family val="1"/>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明朝"/>
      <family val="1"/>
      <charset val="128"/>
    </font>
    <font>
      <sz val="11"/>
      <name val="ＭＳ Ｐ明朝"/>
      <family val="1"/>
      <charset val="128"/>
    </font>
    <font>
      <b/>
      <sz val="11"/>
      <color indexed="52"/>
      <name val="ＭＳ Ｐゴシック"/>
      <family val="3"/>
      <charset val="128"/>
    </font>
    <font>
      <sz val="11"/>
      <color indexed="10"/>
      <name val="ＭＳ Ｐゴシック"/>
      <family val="3"/>
      <charset val="128"/>
    </font>
    <font>
      <sz val="10"/>
      <name val="ＨＧｺﾞｼｯｸE-PRO"/>
      <family val="3"/>
      <charset val="128"/>
    </font>
    <font>
      <b/>
      <sz val="12"/>
      <name val="標準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i/>
      <sz val="11"/>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sz val="6"/>
      <name val="ＭＳ ゴシック"/>
      <family val="3"/>
      <charset val="128"/>
    </font>
    <font>
      <sz val="6"/>
      <name val="ＭＳ Ｐゴシック"/>
      <family val="3"/>
      <charset val="128"/>
    </font>
    <font>
      <sz val="9"/>
      <name val="ＭＳ Ｐゴシック"/>
      <family val="3"/>
      <charset val="128"/>
    </font>
    <font>
      <sz val="10"/>
      <name val="ＭＳ Ｐゴシック"/>
      <family val="3"/>
      <charset val="128"/>
    </font>
    <font>
      <b/>
      <sz val="10"/>
      <name val="Arial"/>
      <family val="2"/>
    </font>
    <font>
      <b/>
      <sz val="14"/>
      <name val="Arial"/>
      <family val="2"/>
    </font>
    <font>
      <sz val="20"/>
      <name val="HP Logo LG"/>
      <family val="2"/>
    </font>
    <font>
      <b/>
      <sz val="10"/>
      <color indexed="12"/>
      <name val="Times New Roman"/>
      <family val="1"/>
    </font>
    <font>
      <sz val="10"/>
      <color indexed="12"/>
      <name val="Arial"/>
      <family val="2"/>
    </font>
    <font>
      <b/>
      <sz val="8"/>
      <name val="Arial"/>
      <family val="2"/>
    </font>
    <font>
      <sz val="11"/>
      <name val="明朝"/>
      <family val="1"/>
      <charset val="128"/>
    </font>
    <font>
      <sz val="9"/>
      <name val="ＭＳ Ｐゴシック"/>
      <family val="3"/>
      <charset val="128"/>
      <scheme val="major"/>
    </font>
    <font>
      <sz val="9"/>
      <color rgb="FFFF0000"/>
      <name val="ＭＳ Ｐゴシック"/>
      <family val="3"/>
      <charset val="128"/>
      <scheme val="major"/>
    </font>
  </fonts>
  <fills count="46">
    <fill>
      <patternFill patternType="none"/>
    </fill>
    <fill>
      <patternFill patternType="gray125"/>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40"/>
        <bgColor indexed="64"/>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15"/>
      </patternFill>
    </fill>
    <fill>
      <patternFill patternType="solid">
        <fgColor indexed="62"/>
      </patternFill>
    </fill>
    <fill>
      <patternFill patternType="solid">
        <fgColor indexed="55"/>
      </patternFill>
    </fill>
    <fill>
      <patternFill patternType="solid">
        <fgColor indexed="26"/>
      </patternFill>
    </fill>
    <fill>
      <patternFill patternType="solid">
        <fgColor indexed="22"/>
      </patternFill>
    </fill>
    <fill>
      <patternFill patternType="solid">
        <fgColor indexed="65"/>
        <bgColor indexed="64"/>
      </patternFill>
    </fill>
    <fill>
      <patternFill patternType="solid">
        <fgColor theme="2" tint="-9.9978637043366805E-2"/>
        <bgColor indexed="64"/>
      </patternFill>
    </fill>
    <fill>
      <patternFill patternType="solid">
        <fgColor indexed="42"/>
        <bgColor indexed="42"/>
      </patternFill>
    </fill>
    <fill>
      <patternFill patternType="solid">
        <fgColor theme="8"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39997558519241921"/>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4"/>
      </top>
      <bottom style="double">
        <color indexed="64"/>
      </bottom>
      <diagonal/>
    </border>
    <border>
      <left style="thin">
        <color indexed="64"/>
      </left>
      <right style="thin">
        <color indexed="64"/>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medium">
        <color indexed="64"/>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style="thin">
        <color indexed="8"/>
      </left>
      <right/>
      <top/>
      <bottom style="thin">
        <color indexed="8"/>
      </bottom>
      <diagonal/>
    </border>
    <border>
      <left style="medium">
        <color indexed="8"/>
      </left>
      <right style="thin">
        <color indexed="8"/>
      </right>
      <top/>
      <bottom/>
      <diagonal/>
    </border>
    <border>
      <left/>
      <right style="thin">
        <color indexed="8"/>
      </right>
      <top style="thin">
        <color indexed="8"/>
      </top>
      <bottom style="thin">
        <color indexed="8"/>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style="thin">
        <color indexed="64"/>
      </right>
      <top style="medium">
        <color rgb="FFFF0000"/>
      </top>
      <bottom style="medium">
        <color rgb="FFFF0000"/>
      </bottom>
      <diagonal/>
    </border>
    <border>
      <left style="thin">
        <color indexed="64"/>
      </left>
      <right/>
      <top style="medium">
        <color rgb="FFFF0000"/>
      </top>
      <bottom style="medium">
        <color rgb="FFFF0000"/>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right style="medium">
        <color rgb="FFFF0000"/>
      </right>
      <top style="thin">
        <color indexed="64"/>
      </top>
      <bottom style="thin">
        <color indexed="64"/>
      </bottom>
      <diagonal/>
    </border>
  </borders>
  <cellStyleXfs count="242">
    <xf numFmtId="0" fontId="0" fillId="0" borderId="0"/>
    <xf numFmtId="6" fontId="3" fillId="0" borderId="0" applyFont="0" applyFill="0" applyBorder="0" applyAlignment="0" applyProtection="0"/>
    <xf numFmtId="0" fontId="4" fillId="0" borderId="0" applyBorder="0">
      <alignment horizontal="center" vertical="center"/>
    </xf>
    <xf numFmtId="0" fontId="5" fillId="0" borderId="0">
      <alignment vertical="top"/>
    </xf>
    <xf numFmtId="0" fontId="4" fillId="0" borderId="0" applyBorder="0">
      <alignment horizontal="center" vertical="center"/>
    </xf>
    <xf numFmtId="0" fontId="4" fillId="0" borderId="0" applyBorder="0">
      <alignment horizontal="center" vertical="center"/>
    </xf>
    <xf numFmtId="0" fontId="4" fillId="0" borderId="0" applyBorder="0">
      <alignment horizontal="center" vertical="center"/>
    </xf>
    <xf numFmtId="0" fontId="4" fillId="0" borderId="0" applyBorder="0">
      <alignment horizontal="center" vertical="center"/>
    </xf>
    <xf numFmtId="41" fontId="6" fillId="0" borderId="1" applyAlignment="0">
      <alignment horizontal="right"/>
    </xf>
    <xf numFmtId="0" fontId="7" fillId="0" borderId="0">
      <alignment horizontal="left" vertical="top"/>
    </xf>
    <xf numFmtId="0" fontId="8" fillId="2" borderId="0">
      <alignment wrapText="1"/>
    </xf>
    <xf numFmtId="0" fontId="8" fillId="0" borderId="0">
      <alignment wrapText="1"/>
    </xf>
    <xf numFmtId="0" fontId="8" fillId="3" borderId="0" applyNumberFormat="0">
      <alignment horizontal="right" vertical="top" wrapText="1"/>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8" fillId="10" borderId="0">
      <alignment wrapText="1"/>
    </xf>
    <xf numFmtId="0" fontId="8" fillId="0" borderId="0">
      <alignment wrapText="1"/>
    </xf>
    <xf numFmtId="0" fontId="8" fillId="2" borderId="0" applyNumberFormat="0">
      <alignment horizontal="right" vertical="top" wrapText="1"/>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176" fontId="10" fillId="0" borderId="0" applyFill="0" applyBorder="0" applyAlignment="0"/>
    <xf numFmtId="41" fontId="11" fillId="0" borderId="0" applyFont="0" applyFill="0" applyBorder="0" applyAlignment="0" applyProtection="0"/>
    <xf numFmtId="43" fontId="11" fillId="0" borderId="0" applyFont="0" applyFill="0" applyBorder="0" applyAlignment="0" applyProtection="0"/>
    <xf numFmtId="0" fontId="12" fillId="0" borderId="0"/>
    <xf numFmtId="0" fontId="13" fillId="0" borderId="0"/>
    <xf numFmtId="0" fontId="12" fillId="0" borderId="0"/>
    <xf numFmtId="0" fontId="13" fillId="0" borderId="0"/>
    <xf numFmtId="182" fontId="11" fillId="0" borderId="0" applyFont="0" applyFill="0" applyBorder="0" applyAlignment="0" applyProtection="0"/>
    <xf numFmtId="183" fontId="11" fillId="0" borderId="0" applyFont="0" applyFill="0" applyBorder="0" applyAlignment="0" applyProtection="0"/>
    <xf numFmtId="0" fontId="14" fillId="0" borderId="0">
      <protection locked="0"/>
    </xf>
    <xf numFmtId="0" fontId="15" fillId="0" borderId="0">
      <protection locked="0"/>
    </xf>
    <xf numFmtId="0" fontId="15" fillId="0" borderId="0">
      <protection locked="0"/>
    </xf>
    <xf numFmtId="0" fontId="16" fillId="0" borderId="0">
      <alignment horizontal="left"/>
    </xf>
    <xf numFmtId="0" fontId="14" fillId="0" borderId="0">
      <protection locked="0"/>
    </xf>
    <xf numFmtId="0" fontId="14" fillId="0" borderId="0">
      <protection locked="0"/>
    </xf>
    <xf numFmtId="0" fontId="14" fillId="0" borderId="0">
      <protection locked="0"/>
    </xf>
    <xf numFmtId="0" fontId="14" fillId="0" borderId="0">
      <protection locked="0"/>
    </xf>
    <xf numFmtId="0" fontId="14" fillId="0" borderId="0">
      <protection locked="0"/>
    </xf>
    <xf numFmtId="0" fontId="14" fillId="0" borderId="0">
      <protection locked="0"/>
    </xf>
    <xf numFmtId="0" fontId="14" fillId="0" borderId="0">
      <protection locked="0"/>
    </xf>
    <xf numFmtId="0" fontId="14" fillId="0" borderId="0">
      <protection locked="0"/>
    </xf>
    <xf numFmtId="0" fontId="14" fillId="0" borderId="0">
      <protection locked="0"/>
    </xf>
    <xf numFmtId="38" fontId="17" fillId="19" borderId="0" applyNumberFormat="0" applyBorder="0" applyAlignment="0" applyProtection="0"/>
    <xf numFmtId="0" fontId="18" fillId="0" borderId="2" applyNumberFormat="0" applyAlignment="0" applyProtection="0">
      <alignment horizontal="left" vertical="center"/>
    </xf>
    <xf numFmtId="0" fontId="18" fillId="0" borderId="3">
      <alignment horizontal="left" vertical="center"/>
    </xf>
    <xf numFmtId="0" fontId="19" fillId="0" borderId="0" applyBorder="0"/>
    <xf numFmtId="10" fontId="17" fillId="20" borderId="1" applyNumberFormat="0" applyBorder="0" applyAlignment="0" applyProtection="0"/>
    <xf numFmtId="0" fontId="5" fillId="0" borderId="0">
      <alignment vertical="top"/>
    </xf>
    <xf numFmtId="0" fontId="19" fillId="0" borderId="0"/>
    <xf numFmtId="0" fontId="20" fillId="19" borderId="0" applyNumberFormat="0" applyFont="0" applyBorder="0" applyAlignment="0" applyProtection="0"/>
    <xf numFmtId="179" fontId="3" fillId="0" borderId="0" applyFont="0" applyFill="0" applyBorder="0" applyAlignment="0" applyProtection="0"/>
    <xf numFmtId="179" fontId="3" fillId="0" borderId="0" applyFont="0" applyFill="0" applyBorder="0" applyAlignment="0" applyProtection="0"/>
    <xf numFmtId="180" fontId="3" fillId="0" borderId="0" applyFont="0" applyFill="0" applyBorder="0" applyAlignment="0" applyProtection="0"/>
    <xf numFmtId="178" fontId="3" fillId="0" borderId="0" applyFont="0" applyFill="0" applyBorder="0" applyAlignment="0" applyProtection="0"/>
    <xf numFmtId="0" fontId="14" fillId="0" borderId="0">
      <protection locked="0"/>
    </xf>
    <xf numFmtId="37" fontId="21" fillId="0" borderId="0"/>
    <xf numFmtId="177" fontId="22" fillId="0" borderId="0"/>
    <xf numFmtId="0" fontId="11" fillId="0" borderId="0"/>
    <xf numFmtId="0" fontId="23" fillId="0" borderId="0"/>
    <xf numFmtId="181" fontId="11" fillId="0" borderId="0" applyFont="0" applyFill="0" applyBorder="0" applyAlignment="0" applyProtection="0">
      <alignment horizontal="center"/>
      <protection locked="0"/>
    </xf>
    <xf numFmtId="0" fontId="24" fillId="0" borderId="0" applyFont="0" applyBorder="0">
      <alignment vertical="top" wrapText="1"/>
    </xf>
    <xf numFmtId="10" fontId="11" fillId="0" borderId="0" applyFont="0" applyFill="0" applyBorder="0" applyAlignment="0" applyProtection="0"/>
    <xf numFmtId="0" fontId="14" fillId="0" borderId="0">
      <protection locked="0"/>
    </xf>
    <xf numFmtId="4" fontId="16" fillId="0" borderId="0">
      <alignment horizontal="right"/>
    </xf>
    <xf numFmtId="4" fontId="25" fillId="0" borderId="0">
      <alignment horizontal="right"/>
    </xf>
    <xf numFmtId="38" fontId="26" fillId="0" borderId="0"/>
    <xf numFmtId="4" fontId="27" fillId="21" borderId="4" applyNumberFormat="0" applyProtection="0">
      <alignment vertical="center"/>
    </xf>
    <xf numFmtId="4" fontId="28" fillId="10" borderId="4" applyNumberFormat="0" applyProtection="0">
      <alignment vertical="center"/>
    </xf>
    <xf numFmtId="4" fontId="27" fillId="10" borderId="4" applyNumberFormat="0" applyProtection="0">
      <alignment horizontal="left" vertical="center" indent="1"/>
    </xf>
    <xf numFmtId="0" fontId="27" fillId="10" borderId="4" applyNumberFormat="0" applyProtection="0">
      <alignment horizontal="left" vertical="top" indent="1"/>
    </xf>
    <xf numFmtId="4" fontId="27" fillId="22" borderId="0" applyNumberFormat="0" applyProtection="0">
      <alignment horizontal="left" vertical="center" indent="1"/>
    </xf>
    <xf numFmtId="4" fontId="10" fillId="5" borderId="4" applyNumberFormat="0" applyProtection="0">
      <alignment horizontal="right" vertical="center"/>
    </xf>
    <xf numFmtId="4" fontId="10" fillId="12" borderId="4" applyNumberFormat="0" applyProtection="0">
      <alignment horizontal="right" vertical="center"/>
    </xf>
    <xf numFmtId="4" fontId="10" fillId="23" borderId="4" applyNumberFormat="0" applyProtection="0">
      <alignment horizontal="right" vertical="center"/>
    </xf>
    <xf numFmtId="4" fontId="10" fillId="14" borderId="4" applyNumberFormat="0" applyProtection="0">
      <alignment horizontal="right" vertical="center"/>
    </xf>
    <xf numFmtId="4" fontId="10" fillId="18" borderId="4" applyNumberFormat="0" applyProtection="0">
      <alignment horizontal="right" vertical="center"/>
    </xf>
    <xf numFmtId="4" fontId="10" fillId="24" borderId="4" applyNumberFormat="0" applyProtection="0">
      <alignment horizontal="right" vertical="center"/>
    </xf>
    <xf numFmtId="4" fontId="10" fillId="25" borderId="4" applyNumberFormat="0" applyProtection="0">
      <alignment horizontal="right" vertical="center"/>
    </xf>
    <xf numFmtId="4" fontId="10" fillId="26" borderId="4" applyNumberFormat="0" applyProtection="0">
      <alignment horizontal="right" vertical="center"/>
    </xf>
    <xf numFmtId="4" fontId="10" fillId="13" borderId="4" applyNumberFormat="0" applyProtection="0">
      <alignment horizontal="right" vertical="center"/>
    </xf>
    <xf numFmtId="4" fontId="27" fillId="27" borderId="5" applyNumberFormat="0" applyProtection="0">
      <alignment horizontal="left" vertical="center" indent="1"/>
    </xf>
    <xf numFmtId="4" fontId="10" fillId="28" borderId="0" applyNumberFormat="0" applyProtection="0">
      <alignment horizontal="left" vertical="center" indent="1"/>
    </xf>
    <xf numFmtId="4" fontId="29" fillId="29" borderId="0" applyNumberFormat="0" applyProtection="0">
      <alignment horizontal="left" vertical="center" indent="1"/>
    </xf>
    <xf numFmtId="4" fontId="10" fillId="30" borderId="4" applyNumberFormat="0" applyProtection="0">
      <alignment horizontal="right" vertical="center"/>
    </xf>
    <xf numFmtId="4" fontId="10" fillId="28" borderId="0" applyNumberFormat="0" applyProtection="0">
      <alignment horizontal="left" vertical="center" indent="1"/>
    </xf>
    <xf numFmtId="4" fontId="10" fillId="22" borderId="0" applyNumberFormat="0" applyProtection="0">
      <alignment horizontal="left" vertical="center" indent="1"/>
    </xf>
    <xf numFmtId="0" fontId="11" fillId="29" borderId="4" applyNumberFormat="0" applyProtection="0">
      <alignment horizontal="left" vertical="center" indent="1"/>
    </xf>
    <xf numFmtId="0" fontId="11" fillId="29" borderId="4" applyNumberFormat="0" applyProtection="0">
      <alignment horizontal="left" vertical="top" indent="1"/>
    </xf>
    <xf numFmtId="0" fontId="11" fillId="22" borderId="4" applyNumberFormat="0" applyProtection="0">
      <alignment horizontal="left" vertical="center" indent="1"/>
    </xf>
    <xf numFmtId="0" fontId="11" fillId="22" borderId="4" applyNumberFormat="0" applyProtection="0">
      <alignment horizontal="left" vertical="top" indent="1"/>
    </xf>
    <xf numFmtId="0" fontId="11" fillId="31" borderId="4" applyNumberFormat="0" applyProtection="0">
      <alignment horizontal="left" vertical="center" indent="1"/>
    </xf>
    <xf numFmtId="0" fontId="11" fillId="31" borderId="4" applyNumberFormat="0" applyProtection="0">
      <alignment horizontal="left" vertical="top" indent="1"/>
    </xf>
    <xf numFmtId="0" fontId="11" fillId="32" borderId="4" applyNumberFormat="0" applyProtection="0">
      <alignment horizontal="left" vertical="center" indent="1"/>
    </xf>
    <xf numFmtId="0" fontId="11" fillId="32" borderId="4" applyNumberFormat="0" applyProtection="0">
      <alignment horizontal="left" vertical="top" indent="1"/>
    </xf>
    <xf numFmtId="4" fontId="10" fillId="20" borderId="4" applyNumberFormat="0" applyProtection="0">
      <alignment vertical="center"/>
    </xf>
    <xf numFmtId="4" fontId="30" fillId="20" borderId="4" applyNumberFormat="0" applyProtection="0">
      <alignment vertical="center"/>
    </xf>
    <xf numFmtId="4" fontId="10" fillId="20" borderId="4" applyNumberFormat="0" applyProtection="0">
      <alignment horizontal="left" vertical="center" indent="1"/>
    </xf>
    <xf numFmtId="0" fontId="10" fillId="20" borderId="4" applyNumberFormat="0" applyProtection="0">
      <alignment horizontal="left" vertical="top" indent="1"/>
    </xf>
    <xf numFmtId="4" fontId="10" fillId="28" borderId="4" applyNumberFormat="0" applyProtection="0">
      <alignment horizontal="right" vertical="center"/>
    </xf>
    <xf numFmtId="4" fontId="30" fillId="28" borderId="4" applyNumberFormat="0" applyProtection="0">
      <alignment horizontal="right" vertical="center"/>
    </xf>
    <xf numFmtId="4" fontId="10" fillId="30" borderId="4" applyNumberFormat="0" applyProtection="0">
      <alignment horizontal="left" vertical="center" indent="1"/>
    </xf>
    <xf numFmtId="0" fontId="10" fillId="22" borderId="4" applyNumberFormat="0" applyProtection="0">
      <alignment horizontal="left" vertical="top" indent="1"/>
    </xf>
    <xf numFmtId="4" fontId="31" fillId="33" borderId="0" applyNumberFormat="0" applyProtection="0">
      <alignment horizontal="left" vertical="center" indent="1"/>
    </xf>
    <xf numFmtId="4" fontId="32" fillId="28" borderId="4" applyNumberFormat="0" applyProtection="0">
      <alignment horizontal="right" vertical="center"/>
    </xf>
    <xf numFmtId="0" fontId="33" fillId="0" borderId="0">
      <alignment horizontal="left"/>
    </xf>
    <xf numFmtId="0" fontId="34" fillId="0" borderId="0"/>
    <xf numFmtId="0" fontId="35" fillId="0" borderId="0">
      <alignment horizontal="center"/>
    </xf>
    <xf numFmtId="0" fontId="5" fillId="0" borderId="0">
      <alignment vertical="top"/>
    </xf>
    <xf numFmtId="0" fontId="14" fillId="0" borderId="6">
      <protection locked="0"/>
    </xf>
    <xf numFmtId="184" fontId="4" fillId="0" borderId="7" applyFill="0">
      <alignment horizontal="left"/>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35" borderId="8" applyNumberFormat="0" applyAlignment="0" applyProtection="0">
      <alignment vertical="center"/>
    </xf>
    <xf numFmtId="0" fontId="37" fillId="35" borderId="8" applyNumberFormat="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3" fillId="36" borderId="9" applyNumberFormat="0" applyFont="0" applyAlignment="0" applyProtection="0">
      <alignment vertical="center"/>
    </xf>
    <xf numFmtId="0" fontId="3" fillId="36" borderId="9" applyNumberFormat="0" applyFont="0" applyAlignment="0" applyProtection="0">
      <alignment vertical="center"/>
    </xf>
    <xf numFmtId="0" fontId="3" fillId="36" borderId="9" applyNumberFormat="0" applyFont="0" applyAlignment="0" applyProtection="0">
      <alignment vertical="center"/>
    </xf>
    <xf numFmtId="0" fontId="39" fillId="0" borderId="10" applyNumberFormat="0" applyFill="0" applyAlignment="0" applyProtection="0">
      <alignment vertical="center"/>
    </xf>
    <xf numFmtId="0" fontId="39" fillId="0" borderId="10" applyNumberFormat="0" applyFill="0" applyAlignment="0" applyProtection="0">
      <alignment vertical="center"/>
    </xf>
    <xf numFmtId="0" fontId="40" fillId="5" borderId="0" applyNumberFormat="0" applyBorder="0" applyAlignment="0" applyProtection="0">
      <alignment vertical="center"/>
    </xf>
    <xf numFmtId="0" fontId="40" fillId="5" borderId="0" applyNumberFormat="0" applyBorder="0" applyAlignment="0" applyProtection="0">
      <alignment vertical="center"/>
    </xf>
    <xf numFmtId="0" fontId="41" fillId="0" borderId="0">
      <alignment vertical="top"/>
    </xf>
    <xf numFmtId="0" fontId="42" fillId="0" borderId="0"/>
    <xf numFmtId="0" fontId="43" fillId="37" borderId="11" applyNumberFormat="0" applyAlignment="0" applyProtection="0">
      <alignment vertical="center"/>
    </xf>
    <xf numFmtId="0" fontId="43" fillId="37" borderId="11" applyNumberFormat="0" applyAlignment="0" applyProtection="0">
      <alignment vertical="center"/>
    </xf>
    <xf numFmtId="0" fontId="43" fillId="37" borderId="11"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38" fontId="20" fillId="0" borderId="0"/>
    <xf numFmtId="0" fontId="45" fillId="0" borderId="12" applyBorder="0"/>
    <xf numFmtId="0" fontId="46" fillId="0" borderId="0"/>
    <xf numFmtId="0" fontId="47" fillId="0" borderId="13" applyNumberFormat="0" applyFill="0" applyAlignment="0" applyProtection="0">
      <alignment vertical="center"/>
    </xf>
    <xf numFmtId="0" fontId="47" fillId="0" borderId="13" applyNumberFormat="0" applyFill="0" applyAlignment="0" applyProtection="0">
      <alignment vertical="center"/>
    </xf>
    <xf numFmtId="0" fontId="48" fillId="0" borderId="14" applyNumberFormat="0" applyFill="0" applyAlignment="0" applyProtection="0">
      <alignment vertical="center"/>
    </xf>
    <xf numFmtId="0" fontId="48" fillId="0" borderId="14" applyNumberFormat="0" applyFill="0" applyAlignment="0" applyProtection="0">
      <alignment vertical="center"/>
    </xf>
    <xf numFmtId="0" fontId="49" fillId="0" borderId="15" applyNumberFormat="0" applyFill="0" applyAlignment="0" applyProtection="0">
      <alignment vertical="center"/>
    </xf>
    <xf numFmtId="0" fontId="49" fillId="0" borderId="15" applyNumberFormat="0" applyFill="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16">
      <alignment vertical="center"/>
    </xf>
    <xf numFmtId="0" fontId="51" fillId="0" borderId="17" applyNumberFormat="0" applyFill="0" applyAlignment="0" applyProtection="0">
      <alignment vertical="center"/>
    </xf>
    <xf numFmtId="0" fontId="51" fillId="0" borderId="17" applyNumberFormat="0" applyFill="0" applyAlignment="0" applyProtection="0">
      <alignment vertical="center"/>
    </xf>
    <xf numFmtId="0" fontId="51" fillId="0" borderId="17" applyNumberFormat="0" applyFill="0" applyAlignment="0" applyProtection="0">
      <alignment vertical="center"/>
    </xf>
    <xf numFmtId="0" fontId="52" fillId="37" borderId="18" applyNumberFormat="0" applyAlignment="0" applyProtection="0">
      <alignment vertical="center"/>
    </xf>
    <xf numFmtId="0" fontId="52" fillId="37" borderId="18" applyNumberFormat="0" applyAlignment="0" applyProtection="0">
      <alignment vertical="center"/>
    </xf>
    <xf numFmtId="0" fontId="52" fillId="37" borderId="18" applyNumberFormat="0" applyAlignment="0" applyProtection="0">
      <alignment vertical="center"/>
    </xf>
    <xf numFmtId="0" fontId="42" fillId="0" borderId="0"/>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9" borderId="11" applyNumberFormat="0" applyAlignment="0" applyProtection="0">
      <alignment vertical="center"/>
    </xf>
    <xf numFmtId="0" fontId="54" fillId="9" borderId="11" applyNumberFormat="0" applyAlignment="0" applyProtection="0">
      <alignment vertical="center"/>
    </xf>
    <xf numFmtId="0" fontId="54" fillId="9" borderId="11" applyNumberFormat="0" applyAlignment="0" applyProtection="0">
      <alignment vertical="center"/>
    </xf>
    <xf numFmtId="0" fontId="55" fillId="0" borderId="0"/>
    <xf numFmtId="0" fontId="2" fillId="0" borderId="0">
      <alignment vertical="center"/>
    </xf>
    <xf numFmtId="0" fontId="19" fillId="0" borderId="0"/>
    <xf numFmtId="0" fontId="3" fillId="0" borderId="0"/>
    <xf numFmtId="0" fontId="41" fillId="0" borderId="19" applyBorder="0">
      <alignment vertical="top"/>
    </xf>
    <xf numFmtId="0" fontId="55" fillId="0" borderId="0"/>
    <xf numFmtId="0" fontId="22" fillId="0" borderId="0"/>
    <xf numFmtId="0" fontId="56" fillId="6" borderId="0" applyNumberFormat="0" applyBorder="0" applyAlignment="0" applyProtection="0">
      <alignment vertical="center"/>
    </xf>
    <xf numFmtId="0" fontId="56" fillId="6" borderId="0" applyNumberFormat="0" applyBorder="0" applyAlignment="0" applyProtection="0">
      <alignment vertical="center"/>
    </xf>
    <xf numFmtId="0" fontId="3" fillId="0" borderId="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7"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61" fillId="0" borderId="26" applyFill="0" applyBorder="0"/>
    <xf numFmtId="0" fontId="17" fillId="0" borderId="26" applyBorder="0">
      <alignment horizontal="center" vertical="center"/>
    </xf>
    <xf numFmtId="0" fontId="62" fillId="0" borderId="26" applyBorder="0">
      <alignment horizontal="center" vertical="center"/>
    </xf>
    <xf numFmtId="0" fontId="18" fillId="0" borderId="0" applyFill="0" applyBorder="0" applyAlignment="0">
      <alignment vertical="center"/>
    </xf>
    <xf numFmtId="0" fontId="63" fillId="0" borderId="26" applyBorder="0">
      <alignment horizontal="center" vertical="center"/>
    </xf>
    <xf numFmtId="0" fontId="64" fillId="0" borderId="27" applyNumberFormat="0" applyFill="0" applyBorder="0">
      <alignment horizontal="centerContinuous" vertical="center" wrapText="1"/>
      <protection locked="0"/>
    </xf>
    <xf numFmtId="0" fontId="61" fillId="40" borderId="28" applyFill="0" applyBorder="0">
      <alignment horizontal="left" vertical="center"/>
    </xf>
    <xf numFmtId="0" fontId="61" fillId="40" borderId="28" applyFill="0" applyBorder="0">
      <alignment horizontal="center" vertical="center"/>
    </xf>
    <xf numFmtId="0" fontId="61" fillId="40" borderId="29" applyNumberFormat="0" applyFill="0" applyBorder="0" applyProtection="0">
      <alignment horizontal="centerContinuous"/>
    </xf>
    <xf numFmtId="0" fontId="65" fillId="0" borderId="27" applyFill="0" applyBorder="0" applyProtection="0">
      <alignment vertical="center"/>
      <protection locked="0"/>
    </xf>
    <xf numFmtId="0" fontId="17" fillId="0" borderId="0" applyFill="0" applyBorder="0">
      <alignment vertical="center"/>
    </xf>
    <xf numFmtId="0" fontId="66" fillId="40" borderId="30" applyFill="0" applyBorder="0" applyAlignment="0">
      <alignment horizontal="center" vertical="center"/>
    </xf>
    <xf numFmtId="0" fontId="17" fillId="0" borderId="0" applyFill="0" applyBorder="0">
      <alignment horizontal="centerContinuous" vertical="center"/>
    </xf>
    <xf numFmtId="0" fontId="61" fillId="0" borderId="0" applyNumberFormat="0" applyFill="0" applyBorder="0">
      <alignment vertical="center"/>
    </xf>
    <xf numFmtId="38" fontId="67" fillId="0" borderId="0"/>
    <xf numFmtId="38" fontId="67" fillId="0" borderId="0"/>
    <xf numFmtId="38" fontId="67" fillId="0" borderId="0"/>
    <xf numFmtId="38" fontId="67" fillId="0" borderId="0"/>
    <xf numFmtId="0" fontId="3" fillId="0" borderId="0">
      <alignment vertical="center"/>
    </xf>
    <xf numFmtId="0" fontId="3" fillId="0" borderId="0">
      <alignment vertical="center"/>
    </xf>
    <xf numFmtId="0" fontId="1" fillId="0" borderId="0">
      <alignment vertical="center"/>
    </xf>
    <xf numFmtId="0" fontId="60" fillId="0" borderId="0"/>
  </cellStyleXfs>
  <cellXfs count="90">
    <xf numFmtId="0" fontId="0" fillId="0" borderId="0" xfId="0"/>
    <xf numFmtId="0" fontId="59" fillId="38" borderId="0" xfId="201" applyFont="1" applyFill="1"/>
    <xf numFmtId="0" fontId="59" fillId="0" borderId="0" xfId="0" applyFont="1" applyAlignment="1">
      <alignment vertical="center"/>
    </xf>
    <xf numFmtId="0" fontId="59" fillId="41" borderId="1" xfId="241" applyFont="1" applyFill="1" applyBorder="1" applyAlignment="1">
      <alignment horizontal="center" vertical="center"/>
    </xf>
    <xf numFmtId="0" fontId="59" fillId="44" borderId="1" xfId="241" applyFont="1" applyFill="1" applyBorder="1" applyAlignment="1">
      <alignment horizontal="center" vertical="center"/>
    </xf>
    <xf numFmtId="0" fontId="59" fillId="45" borderId="1" xfId="241" applyFont="1" applyFill="1" applyBorder="1" applyAlignment="1">
      <alignment horizontal="center" vertical="center"/>
    </xf>
    <xf numFmtId="0" fontId="59" fillId="42" borderId="1" xfId="241" applyFont="1" applyFill="1" applyBorder="1" applyAlignment="1">
      <alignment horizontal="center" vertical="center" wrapText="1"/>
    </xf>
    <xf numFmtId="0" fontId="59" fillId="42" borderId="1" xfId="241" applyFont="1" applyFill="1" applyBorder="1" applyAlignment="1">
      <alignment horizontal="center" vertical="center"/>
    </xf>
    <xf numFmtId="0" fontId="59" fillId="0" borderId="0" xfId="0" applyFont="1" applyAlignment="1">
      <alignment horizontal="center" vertical="center"/>
    </xf>
    <xf numFmtId="0" fontId="59" fillId="0" borderId="1" xfId="0" applyFont="1" applyBorder="1" applyAlignment="1">
      <alignment vertical="center"/>
    </xf>
    <xf numFmtId="0" fontId="59" fillId="0" borderId="1" xfId="0" applyFont="1" applyBorder="1" applyAlignment="1">
      <alignment horizontal="center" vertical="center"/>
    </xf>
    <xf numFmtId="14" fontId="59" fillId="0" borderId="1" xfId="0" applyNumberFormat="1" applyFont="1" applyBorder="1" applyAlignment="1">
      <alignment horizontal="center" vertical="center"/>
    </xf>
    <xf numFmtId="0" fontId="59" fillId="0" borderId="1" xfId="0" applyFont="1" applyBorder="1" applyAlignment="1">
      <alignment vertical="center" wrapText="1"/>
    </xf>
    <xf numFmtId="0" fontId="68" fillId="38" borderId="0" xfId="201" applyFont="1" applyFill="1"/>
    <xf numFmtId="0" fontId="68" fillId="38" borderId="32" xfId="201" applyFont="1" applyFill="1" applyBorder="1"/>
    <xf numFmtId="0" fontId="68" fillId="41" borderId="16" xfId="201" applyFont="1" applyFill="1" applyBorder="1" applyAlignment="1">
      <alignment vertical="center"/>
    </xf>
    <xf numFmtId="0" fontId="68" fillId="41" borderId="3" xfId="201" applyFont="1" applyFill="1" applyBorder="1" applyAlignment="1">
      <alignment vertical="center"/>
    </xf>
    <xf numFmtId="0" fontId="68" fillId="43" borderId="3" xfId="201" applyFont="1" applyFill="1" applyBorder="1" applyAlignment="1">
      <alignment vertical="center"/>
    </xf>
    <xf numFmtId="0" fontId="68" fillId="43" borderId="21" xfId="201" applyFont="1" applyFill="1" applyBorder="1" applyAlignment="1">
      <alignment vertical="center"/>
    </xf>
    <xf numFmtId="0" fontId="68" fillId="43" borderId="16" xfId="201" applyFont="1" applyFill="1" applyBorder="1" applyAlignment="1">
      <alignment vertical="center"/>
    </xf>
    <xf numFmtId="0" fontId="68" fillId="38" borderId="22" xfId="201" applyFont="1" applyFill="1" applyBorder="1" applyAlignment="1">
      <alignment vertical="center"/>
    </xf>
    <xf numFmtId="0" fontId="68" fillId="38" borderId="0" xfId="201" applyFont="1" applyFill="1" applyAlignment="1">
      <alignment vertical="center"/>
    </xf>
    <xf numFmtId="0" fontId="68" fillId="41" borderId="21" xfId="201" applyFont="1" applyFill="1" applyBorder="1" applyAlignment="1">
      <alignment vertical="center"/>
    </xf>
    <xf numFmtId="0" fontId="68" fillId="44" borderId="16" xfId="201" applyFont="1" applyFill="1" applyBorder="1"/>
    <xf numFmtId="0" fontId="68" fillId="44" borderId="3" xfId="201" applyFont="1" applyFill="1" applyBorder="1"/>
    <xf numFmtId="0" fontId="68" fillId="44" borderId="21" xfId="201" applyFont="1" applyFill="1" applyBorder="1"/>
    <xf numFmtId="0" fontId="68" fillId="45" borderId="16" xfId="201" applyFont="1" applyFill="1" applyBorder="1"/>
    <xf numFmtId="0" fontId="68" fillId="45" borderId="3" xfId="201" applyFont="1" applyFill="1" applyBorder="1"/>
    <xf numFmtId="0" fontId="68" fillId="45" borderId="21" xfId="201" applyFont="1" applyFill="1" applyBorder="1"/>
    <xf numFmtId="0" fontId="68" fillId="38" borderId="3" xfId="201" applyFont="1" applyFill="1" applyBorder="1"/>
    <xf numFmtId="0" fontId="68" fillId="38" borderId="21" xfId="201" applyFont="1" applyFill="1" applyBorder="1"/>
    <xf numFmtId="0" fontId="68" fillId="43" borderId="32" xfId="201" applyFont="1" applyFill="1" applyBorder="1" applyAlignment="1">
      <alignment vertical="center"/>
    </xf>
    <xf numFmtId="0" fontId="68" fillId="43" borderId="20" xfId="201" applyFont="1" applyFill="1" applyBorder="1" applyAlignment="1">
      <alignment vertical="center"/>
    </xf>
    <xf numFmtId="0" fontId="68" fillId="43" borderId="31" xfId="201" applyFont="1" applyFill="1" applyBorder="1" applyAlignment="1">
      <alignment vertical="center"/>
    </xf>
    <xf numFmtId="0" fontId="69" fillId="38" borderId="0" xfId="201" applyFont="1" applyFill="1" applyAlignment="1">
      <alignment vertical="center"/>
    </xf>
    <xf numFmtId="0" fontId="68" fillId="38" borderId="16" xfId="201" applyFont="1" applyFill="1" applyBorder="1" applyAlignment="1">
      <alignment vertical="top"/>
    </xf>
    <xf numFmtId="0" fontId="68" fillId="38" borderId="3" xfId="201" applyFont="1" applyFill="1" applyBorder="1" applyAlignment="1">
      <alignment vertical="top"/>
    </xf>
    <xf numFmtId="0" fontId="68" fillId="38" borderId="21" xfId="201" applyFont="1" applyFill="1" applyBorder="1" applyAlignment="1">
      <alignment vertical="top"/>
    </xf>
    <xf numFmtId="0" fontId="68" fillId="38" borderId="16" xfId="201" applyFont="1" applyFill="1" applyBorder="1"/>
    <xf numFmtId="0" fontId="68" fillId="41" borderId="16" xfId="201" applyFont="1" applyFill="1" applyBorder="1"/>
    <xf numFmtId="0" fontId="68" fillId="41" borderId="3" xfId="201" applyFont="1" applyFill="1" applyBorder="1"/>
    <xf numFmtId="0" fontId="68" fillId="41" borderId="21" xfId="201" applyFont="1" applyFill="1" applyBorder="1"/>
    <xf numFmtId="0" fontId="59" fillId="0" borderId="1" xfId="0" applyFont="1" applyBorder="1" applyAlignment="1">
      <alignment horizontal="center" vertical="center" wrapText="1"/>
    </xf>
    <xf numFmtId="0" fontId="68" fillId="38" borderId="31" xfId="201" quotePrefix="1" applyFont="1" applyFill="1" applyBorder="1" applyAlignment="1">
      <alignment horizontal="center" vertical="center" wrapText="1"/>
    </xf>
    <xf numFmtId="0" fontId="68" fillId="38" borderId="32" xfId="201" applyFont="1" applyFill="1" applyBorder="1" applyAlignment="1">
      <alignment horizontal="center" vertical="center"/>
    </xf>
    <xf numFmtId="0" fontId="68" fillId="38" borderId="20" xfId="201" applyFont="1" applyFill="1" applyBorder="1" applyAlignment="1">
      <alignment horizontal="center" vertical="center"/>
    </xf>
    <xf numFmtId="0" fontId="68" fillId="38" borderId="23" xfId="201" applyFont="1" applyFill="1" applyBorder="1" applyAlignment="1">
      <alignment horizontal="center" vertical="center"/>
    </xf>
    <xf numFmtId="0" fontId="68" fillId="38" borderId="24" xfId="201" applyFont="1" applyFill="1" applyBorder="1" applyAlignment="1">
      <alignment horizontal="center" vertical="center"/>
    </xf>
    <xf numFmtId="0" fontId="68" fillId="38" borderId="25" xfId="201" applyFont="1" applyFill="1" applyBorder="1" applyAlignment="1">
      <alignment horizontal="center" vertical="center"/>
    </xf>
    <xf numFmtId="0" fontId="68" fillId="38" borderId="31" xfId="201" applyFont="1" applyFill="1" applyBorder="1" applyAlignment="1">
      <alignment horizontal="center" vertical="center"/>
    </xf>
    <xf numFmtId="0" fontId="68" fillId="38" borderId="38" xfId="201" applyFont="1" applyFill="1" applyBorder="1" applyAlignment="1">
      <alignment horizontal="center" vertical="center" wrapText="1"/>
    </xf>
    <xf numFmtId="0" fontId="68" fillId="0" borderId="39" xfId="207" applyFont="1" applyBorder="1" applyAlignment="1">
      <alignment horizontal="center" vertical="center"/>
    </xf>
    <xf numFmtId="0" fontId="68" fillId="0" borderId="40" xfId="207" applyFont="1" applyBorder="1" applyAlignment="1">
      <alignment horizontal="center" vertical="center"/>
    </xf>
    <xf numFmtId="0" fontId="68" fillId="0" borderId="41" xfId="207" applyFont="1" applyBorder="1" applyAlignment="1">
      <alignment horizontal="center" vertical="center"/>
    </xf>
    <xf numFmtId="0" fontId="68" fillId="0" borderId="42" xfId="207" applyFont="1" applyBorder="1" applyAlignment="1">
      <alignment horizontal="center" vertical="center"/>
    </xf>
    <xf numFmtId="0" fontId="68" fillId="0" borderId="43" xfId="207" applyFont="1" applyBorder="1" applyAlignment="1">
      <alignment horizontal="center" vertical="center"/>
    </xf>
    <xf numFmtId="0" fontId="68" fillId="39" borderId="16" xfId="201" applyFont="1" applyFill="1" applyBorder="1" applyAlignment="1">
      <alignment horizontal="center" vertical="center"/>
    </xf>
    <xf numFmtId="0" fontId="68" fillId="39" borderId="3" xfId="207" applyFont="1" applyFill="1" applyBorder="1" applyAlignment="1">
      <alignment horizontal="center" vertical="center"/>
    </xf>
    <xf numFmtId="0" fontId="68" fillId="39" borderId="21" xfId="207" applyFont="1" applyFill="1" applyBorder="1" applyAlignment="1">
      <alignment horizontal="center" vertical="center"/>
    </xf>
    <xf numFmtId="0" fontId="68" fillId="39" borderId="31" xfId="201" applyFont="1" applyFill="1" applyBorder="1" applyAlignment="1">
      <alignment horizontal="center" vertical="center"/>
    </xf>
    <xf numFmtId="0" fontId="68" fillId="39" borderId="32" xfId="207" applyFont="1" applyFill="1" applyBorder="1" applyAlignment="1">
      <alignment horizontal="center" vertical="center"/>
    </xf>
    <xf numFmtId="0" fontId="68" fillId="39" borderId="20" xfId="207" applyFont="1" applyFill="1" applyBorder="1" applyAlignment="1">
      <alignment horizontal="center" vertical="center"/>
    </xf>
    <xf numFmtId="0" fontId="68" fillId="38" borderId="39" xfId="201" applyFont="1" applyFill="1" applyBorder="1" applyAlignment="1">
      <alignment horizontal="center" vertical="center"/>
    </xf>
    <xf numFmtId="0" fontId="68" fillId="38" borderId="40" xfId="201" applyFont="1" applyFill="1" applyBorder="1" applyAlignment="1">
      <alignment horizontal="center" vertical="center"/>
    </xf>
    <xf numFmtId="0" fontId="68" fillId="38" borderId="41" xfId="201" applyFont="1" applyFill="1" applyBorder="1" applyAlignment="1">
      <alignment horizontal="center" vertical="center"/>
    </xf>
    <xf numFmtId="0" fontId="68" fillId="38" borderId="42" xfId="201" applyFont="1" applyFill="1" applyBorder="1" applyAlignment="1">
      <alignment horizontal="center" vertical="center"/>
    </xf>
    <xf numFmtId="0" fontId="68" fillId="38" borderId="43" xfId="201" applyFont="1" applyFill="1" applyBorder="1" applyAlignment="1">
      <alignment horizontal="center" vertical="center"/>
    </xf>
    <xf numFmtId="0" fontId="68" fillId="38" borderId="38" xfId="201" applyFont="1" applyFill="1" applyBorder="1" applyAlignment="1">
      <alignment horizontal="center" vertical="center"/>
    </xf>
    <xf numFmtId="0" fontId="68" fillId="39" borderId="31" xfId="201" applyFont="1" applyFill="1" applyBorder="1" applyAlignment="1">
      <alignment horizontal="center"/>
    </xf>
    <xf numFmtId="0" fontId="68" fillId="39" borderId="32" xfId="201" applyFont="1" applyFill="1" applyBorder="1" applyAlignment="1">
      <alignment horizontal="center"/>
    </xf>
    <xf numFmtId="0" fontId="68" fillId="39" borderId="20" xfId="201" applyFont="1" applyFill="1" applyBorder="1" applyAlignment="1">
      <alignment horizontal="center"/>
    </xf>
    <xf numFmtId="0" fontId="68" fillId="39" borderId="16" xfId="207" applyFont="1" applyFill="1" applyBorder="1" applyAlignment="1">
      <alignment horizontal="center" vertical="center"/>
    </xf>
    <xf numFmtId="0" fontId="68" fillId="41" borderId="16" xfId="201" applyFont="1" applyFill="1" applyBorder="1" applyAlignment="1">
      <alignment horizontal="right" vertical="center"/>
    </xf>
    <xf numFmtId="0" fontId="68" fillId="41" borderId="3" xfId="201" applyFont="1" applyFill="1" applyBorder="1" applyAlignment="1">
      <alignment horizontal="right" vertical="center"/>
    </xf>
    <xf numFmtId="0" fontId="68" fillId="38" borderId="37" xfId="201" applyFont="1" applyFill="1" applyBorder="1" applyAlignment="1">
      <alignment horizontal="center" vertical="center"/>
    </xf>
    <xf numFmtId="0" fontId="68" fillId="38" borderId="34" xfId="201" applyFont="1" applyFill="1" applyBorder="1" applyAlignment="1">
      <alignment horizontal="center" vertical="center"/>
    </xf>
    <xf numFmtId="0" fontId="68" fillId="38" borderId="36" xfId="201" applyFont="1" applyFill="1" applyBorder="1" applyAlignment="1">
      <alignment horizontal="center" vertical="center"/>
    </xf>
    <xf numFmtId="0" fontId="68" fillId="38" borderId="16" xfId="201" applyFont="1" applyFill="1" applyBorder="1" applyAlignment="1">
      <alignment horizontal="center" vertical="center"/>
    </xf>
    <xf numFmtId="0" fontId="68" fillId="38" borderId="3" xfId="201" applyFont="1" applyFill="1" applyBorder="1" applyAlignment="1">
      <alignment horizontal="center" vertical="center"/>
    </xf>
    <xf numFmtId="0" fontId="68" fillId="38" borderId="21" xfId="201" applyFont="1" applyFill="1" applyBorder="1" applyAlignment="1">
      <alignment horizontal="center" vertical="center"/>
    </xf>
    <xf numFmtId="0" fontId="68" fillId="38" borderId="33" xfId="201" applyFont="1" applyFill="1" applyBorder="1" applyAlignment="1">
      <alignment horizontal="center" vertical="center"/>
    </xf>
    <xf numFmtId="0" fontId="68" fillId="38" borderId="33" xfId="201" applyFont="1" applyFill="1" applyBorder="1" applyAlignment="1">
      <alignment horizontal="left" vertical="center"/>
    </xf>
    <xf numFmtId="0" fontId="68" fillId="38" borderId="34" xfId="201" applyFont="1" applyFill="1" applyBorder="1" applyAlignment="1">
      <alignment horizontal="left" vertical="center"/>
    </xf>
    <xf numFmtId="0" fontId="68" fillId="38" borderId="35" xfId="201" applyFont="1" applyFill="1" applyBorder="1" applyAlignment="1">
      <alignment horizontal="left" vertical="center"/>
    </xf>
    <xf numFmtId="0" fontId="68" fillId="38" borderId="44" xfId="201" applyFont="1" applyFill="1" applyBorder="1" applyAlignment="1">
      <alignment horizontal="center" vertical="center"/>
    </xf>
    <xf numFmtId="0" fontId="69" fillId="38" borderId="39" xfId="201" applyFont="1" applyFill="1" applyBorder="1" applyAlignment="1">
      <alignment horizontal="center"/>
    </xf>
    <xf numFmtId="0" fontId="68" fillId="38" borderId="35" xfId="201" applyFont="1" applyFill="1" applyBorder="1" applyAlignment="1">
      <alignment horizontal="center" vertical="center"/>
    </xf>
    <xf numFmtId="0" fontId="68" fillId="38" borderId="33" xfId="201" applyFont="1" applyFill="1" applyBorder="1" applyAlignment="1">
      <alignment vertical="center"/>
    </xf>
    <xf numFmtId="0" fontId="68" fillId="38" borderId="34" xfId="201" applyFont="1" applyFill="1" applyBorder="1" applyAlignment="1">
      <alignment vertical="center"/>
    </xf>
    <xf numFmtId="0" fontId="68" fillId="38" borderId="35" xfId="201" applyFont="1" applyFill="1" applyBorder="1" applyAlignment="1">
      <alignment vertical="center"/>
    </xf>
  </cellXfs>
  <cellStyles count="242">
    <cellStyle name="0,0_x000d__x000a_NA_x000d__x000a_" xfId="1" xr:uid="{00000000-0005-0000-0000-000000000000}"/>
    <cellStyle name="1" xfId="2" xr:uid="{00000000-0005-0000-0000-000001000000}"/>
    <cellStyle name="１" xfId="3" xr:uid="{00000000-0005-0000-0000-000002000000}"/>
    <cellStyle name="1_カレンダ－マスタ－ (2)" xfId="4" xr:uid="{00000000-0005-0000-0000-000003000000}"/>
    <cellStyle name="1_作業工程フロー入力例1" xfId="5" xr:uid="{00000000-0005-0000-0000-000004000000}"/>
    <cellStyle name="1_入力例2ﾘｰﾄﾞﾀｲﾑ" xfId="6" xr:uid="{00000000-0005-0000-0000-000005000000}"/>
    <cellStyle name="1_入力例3段取" xfId="7" xr:uid="{00000000-0005-0000-0000-000006000000}"/>
    <cellStyle name="1000" xfId="8" xr:uid="{00000000-0005-0000-0000-000007000000}"/>
    <cellStyle name="12MSご" xfId="9" xr:uid="{00000000-0005-0000-0000-000008000000}"/>
    <cellStyle name="1H" xfId="10" xr:uid="{00000000-0005-0000-0000-000009000000}"/>
    <cellStyle name="1N" xfId="11" xr:uid="{00000000-0005-0000-0000-00000A000000}"/>
    <cellStyle name="1R" xfId="12" xr:uid="{00000000-0005-0000-0000-00000B000000}"/>
    <cellStyle name="20% - アクセント 1" xfId="13" builtinId="30" customBuiltin="1"/>
    <cellStyle name="20% - アクセント 1 2" xfId="14" xr:uid="{00000000-0005-0000-0000-00000D000000}"/>
    <cellStyle name="20% - アクセント 1 3" xfId="208" xr:uid="{00000000-0005-0000-0000-00000E000000}"/>
    <cellStyle name="20% - アクセント 2" xfId="15" builtinId="34" customBuiltin="1"/>
    <cellStyle name="20% - アクセント 2 2" xfId="16" xr:uid="{00000000-0005-0000-0000-000010000000}"/>
    <cellStyle name="20% - アクセント 2 3" xfId="209" xr:uid="{00000000-0005-0000-0000-000011000000}"/>
    <cellStyle name="20% - アクセント 3" xfId="17" builtinId="38" customBuiltin="1"/>
    <cellStyle name="20% - アクセント 3 2" xfId="18" xr:uid="{00000000-0005-0000-0000-000013000000}"/>
    <cellStyle name="20% - アクセント 3 3" xfId="210" xr:uid="{00000000-0005-0000-0000-000014000000}"/>
    <cellStyle name="20% - アクセント 4" xfId="19" builtinId="42" customBuiltin="1"/>
    <cellStyle name="20% - アクセント 4 2" xfId="20" xr:uid="{00000000-0005-0000-0000-000016000000}"/>
    <cellStyle name="20% - アクセント 4 3" xfId="211" xr:uid="{00000000-0005-0000-0000-000017000000}"/>
    <cellStyle name="20% - アクセント 5" xfId="21" builtinId="46" customBuiltin="1"/>
    <cellStyle name="20% - アクセント 5 2" xfId="22" xr:uid="{00000000-0005-0000-0000-000019000000}"/>
    <cellStyle name="20% - アクセント 5 3" xfId="212" xr:uid="{00000000-0005-0000-0000-00001A000000}"/>
    <cellStyle name="20% - アクセント 6" xfId="23" builtinId="50" customBuiltin="1"/>
    <cellStyle name="20% - アクセント 6 2" xfId="24" xr:uid="{00000000-0005-0000-0000-00001C000000}"/>
    <cellStyle name="20% - アクセント 6 3" xfId="213" xr:uid="{00000000-0005-0000-0000-00001D000000}"/>
    <cellStyle name="2H" xfId="25" xr:uid="{00000000-0005-0000-0000-00001E000000}"/>
    <cellStyle name="2N" xfId="26" xr:uid="{00000000-0005-0000-0000-00001F000000}"/>
    <cellStyle name="2R" xfId="27" xr:uid="{00000000-0005-0000-0000-000020000000}"/>
    <cellStyle name="40% - アクセント 1" xfId="28" builtinId="31" customBuiltin="1"/>
    <cellStyle name="40% - アクセント 1 2" xfId="29" xr:uid="{00000000-0005-0000-0000-000022000000}"/>
    <cellStyle name="40% - アクセント 1 3" xfId="214" xr:uid="{00000000-0005-0000-0000-000023000000}"/>
    <cellStyle name="40% - アクセント 2" xfId="30" builtinId="35" customBuiltin="1"/>
    <cellStyle name="40% - アクセント 2 2" xfId="31" xr:uid="{00000000-0005-0000-0000-000025000000}"/>
    <cellStyle name="40% - アクセント 2 3" xfId="215" xr:uid="{00000000-0005-0000-0000-000026000000}"/>
    <cellStyle name="40% - アクセント 3" xfId="32" builtinId="39" customBuiltin="1"/>
    <cellStyle name="40% - アクセント 3 2" xfId="33" xr:uid="{00000000-0005-0000-0000-000028000000}"/>
    <cellStyle name="40% - アクセント 3 3" xfId="216" xr:uid="{00000000-0005-0000-0000-000029000000}"/>
    <cellStyle name="40% - アクセント 4" xfId="34" builtinId="43" customBuiltin="1"/>
    <cellStyle name="40% - アクセント 4 2" xfId="35" xr:uid="{00000000-0005-0000-0000-00002B000000}"/>
    <cellStyle name="40% - アクセント 4 3" xfId="217" xr:uid="{00000000-0005-0000-0000-00002C000000}"/>
    <cellStyle name="40% - アクセント 5" xfId="36" builtinId="47" customBuiltin="1"/>
    <cellStyle name="40% - アクセント 5 2" xfId="37" xr:uid="{00000000-0005-0000-0000-00002E000000}"/>
    <cellStyle name="40% - アクセント 5 3" xfId="218" xr:uid="{00000000-0005-0000-0000-00002F000000}"/>
    <cellStyle name="40% - アクセント 6" xfId="38" builtinId="51" customBuiltin="1"/>
    <cellStyle name="40% - アクセント 6 2" xfId="39" xr:uid="{00000000-0005-0000-0000-000031000000}"/>
    <cellStyle name="40% - アクセント 6 3" xfId="219" xr:uid="{00000000-0005-0000-0000-000032000000}"/>
    <cellStyle name="60% - アクセント 1" xfId="40" builtinId="32" customBuiltin="1"/>
    <cellStyle name="60% - アクセント 1 2" xfId="41" xr:uid="{00000000-0005-0000-0000-000034000000}"/>
    <cellStyle name="60% - アクセント 2" xfId="42" builtinId="36" customBuiltin="1"/>
    <cellStyle name="60% - アクセント 2 2" xfId="43" xr:uid="{00000000-0005-0000-0000-000036000000}"/>
    <cellStyle name="60% - アクセント 3" xfId="44" builtinId="40" customBuiltin="1"/>
    <cellStyle name="60% - アクセント 3 2" xfId="45" xr:uid="{00000000-0005-0000-0000-000038000000}"/>
    <cellStyle name="60% - アクセント 4" xfId="46" builtinId="44" customBuiltin="1"/>
    <cellStyle name="60% - アクセント 4 2" xfId="47" xr:uid="{00000000-0005-0000-0000-00003A000000}"/>
    <cellStyle name="60% - アクセント 5" xfId="48" builtinId="48" customBuiltin="1"/>
    <cellStyle name="60% - アクセント 5 2" xfId="49" xr:uid="{00000000-0005-0000-0000-00003C000000}"/>
    <cellStyle name="60% - アクセント 6" xfId="50" builtinId="52" customBuiltin="1"/>
    <cellStyle name="60% - アクセント 6 2" xfId="51" xr:uid="{00000000-0005-0000-0000-00003E000000}"/>
    <cellStyle name="Calc Currency (0)" xfId="52" xr:uid="{00000000-0005-0000-0000-00003F000000}"/>
    <cellStyle name="Comma [0]_1995" xfId="53" xr:uid="{00000000-0005-0000-0000-000040000000}"/>
    <cellStyle name="Comma_1995" xfId="54" xr:uid="{00000000-0005-0000-0000-000041000000}"/>
    <cellStyle name="Comma0 - Modelo1" xfId="55" xr:uid="{00000000-0005-0000-0000-000042000000}"/>
    <cellStyle name="Comma0 - Style1" xfId="56" xr:uid="{00000000-0005-0000-0000-000043000000}"/>
    <cellStyle name="Comma1 - Modelo2" xfId="57" xr:uid="{00000000-0005-0000-0000-000044000000}"/>
    <cellStyle name="Comma1 - Style2" xfId="58" xr:uid="{00000000-0005-0000-0000-000045000000}"/>
    <cellStyle name="Currency [0]_1995" xfId="59" xr:uid="{00000000-0005-0000-0000-000046000000}"/>
    <cellStyle name="Currency_1995" xfId="60" xr:uid="{00000000-0005-0000-0000-000047000000}"/>
    <cellStyle name="Dia" xfId="61" xr:uid="{00000000-0005-0000-0000-000048000000}"/>
    <cellStyle name="Encabez1" xfId="62" xr:uid="{00000000-0005-0000-0000-000049000000}"/>
    <cellStyle name="Encabez2" xfId="63" xr:uid="{00000000-0005-0000-0000-00004A000000}"/>
    <cellStyle name="entry" xfId="64" xr:uid="{00000000-0005-0000-0000-00004B000000}"/>
    <cellStyle name="F2" xfId="65" xr:uid="{00000000-0005-0000-0000-00004C000000}"/>
    <cellStyle name="F3" xfId="66" xr:uid="{00000000-0005-0000-0000-00004D000000}"/>
    <cellStyle name="F4" xfId="67" xr:uid="{00000000-0005-0000-0000-00004E000000}"/>
    <cellStyle name="F5" xfId="68" xr:uid="{00000000-0005-0000-0000-00004F000000}"/>
    <cellStyle name="F6" xfId="69" xr:uid="{00000000-0005-0000-0000-000050000000}"/>
    <cellStyle name="F7" xfId="70" xr:uid="{00000000-0005-0000-0000-000051000000}"/>
    <cellStyle name="F8" xfId="71" xr:uid="{00000000-0005-0000-0000-000052000000}"/>
    <cellStyle name="Fijo" xfId="72" xr:uid="{00000000-0005-0000-0000-000053000000}"/>
    <cellStyle name="Financiero" xfId="73" xr:uid="{00000000-0005-0000-0000-000054000000}"/>
    <cellStyle name="Grey" xfId="74" xr:uid="{00000000-0005-0000-0000-000055000000}"/>
    <cellStyle name="Header 1" xfId="220" xr:uid="{00000000-0005-0000-0000-000056000000}"/>
    <cellStyle name="Header 2" xfId="221" xr:uid="{00000000-0005-0000-0000-000057000000}"/>
    <cellStyle name="Header Center" xfId="222" xr:uid="{00000000-0005-0000-0000-000058000000}"/>
    <cellStyle name="Header1" xfId="75" xr:uid="{00000000-0005-0000-0000-000059000000}"/>
    <cellStyle name="Header2" xfId="76" xr:uid="{00000000-0005-0000-0000-00005A000000}"/>
    <cellStyle name="Heading 1" xfId="223" xr:uid="{00000000-0005-0000-0000-00005B000000}"/>
    <cellStyle name="HP Logo" xfId="224" xr:uid="{00000000-0005-0000-0000-00005C000000}"/>
    <cellStyle name="IBM(401K)" xfId="77" xr:uid="{00000000-0005-0000-0000-00005D000000}"/>
    <cellStyle name="Input [yellow]" xfId="78" xr:uid="{00000000-0005-0000-0000-00005E000000}"/>
    <cellStyle name="IT計画書 (1)" xfId="79" xr:uid="{00000000-0005-0000-0000-00005F000000}"/>
    <cellStyle name="J401K" xfId="80" xr:uid="{00000000-0005-0000-0000-000060000000}"/>
    <cellStyle name="MFPStyle_Title" xfId="81" xr:uid="{00000000-0005-0000-0000-000061000000}"/>
    <cellStyle name="Millares [0]_10 AVERIAS MASIVAS + ANT" xfId="82" xr:uid="{00000000-0005-0000-0000-000062000000}"/>
    <cellStyle name="Millares_10 AVERIAS MASIVAS + ANT" xfId="83" xr:uid="{00000000-0005-0000-0000-000063000000}"/>
    <cellStyle name="Moneda [0]_10 AVERIAS MASIVAS + ANT" xfId="84" xr:uid="{00000000-0005-0000-0000-000064000000}"/>
    <cellStyle name="Moneda_10 AVERIAS MASIVAS + ANT" xfId="85" xr:uid="{00000000-0005-0000-0000-000065000000}"/>
    <cellStyle name="Monetario" xfId="86" xr:uid="{00000000-0005-0000-0000-000066000000}"/>
    <cellStyle name="no dec" xfId="87" xr:uid="{00000000-0005-0000-0000-000067000000}"/>
    <cellStyle name="Normal - Style1" xfId="88" xr:uid="{00000000-0005-0000-0000-000068000000}"/>
    <cellStyle name="Normal_#18-Internet" xfId="89" xr:uid="{00000000-0005-0000-0000-000069000000}"/>
    <cellStyle name="Normale_2000S TPI TARIFF" xfId="90" xr:uid="{00000000-0005-0000-0000-00006A000000}"/>
    <cellStyle name="NUMERO" xfId="91" xr:uid="{00000000-0005-0000-0000-00006B000000}"/>
    <cellStyle name="ori" xfId="92" xr:uid="{00000000-0005-0000-0000-00006C000000}"/>
    <cellStyle name="Percent [2]" xfId="93" xr:uid="{00000000-0005-0000-0000-00006D000000}"/>
    <cellStyle name="Porcentaje" xfId="94" xr:uid="{00000000-0005-0000-0000-00006E000000}"/>
    <cellStyle name="price" xfId="95" xr:uid="{00000000-0005-0000-0000-00006F000000}"/>
    <cellStyle name="revised" xfId="96" xr:uid="{00000000-0005-0000-0000-000070000000}"/>
    <cellStyle name="RM" xfId="97" xr:uid="{00000000-0005-0000-0000-000071000000}"/>
    <cellStyle name="SAPBEXaggData" xfId="98" xr:uid="{00000000-0005-0000-0000-000072000000}"/>
    <cellStyle name="SAPBEXaggDataEmph" xfId="99" xr:uid="{00000000-0005-0000-0000-000073000000}"/>
    <cellStyle name="SAPBEXaggItem" xfId="100" xr:uid="{00000000-0005-0000-0000-000074000000}"/>
    <cellStyle name="SAPBEXaggItemX" xfId="101" xr:uid="{00000000-0005-0000-0000-000075000000}"/>
    <cellStyle name="SAPBEXchaText" xfId="102" xr:uid="{00000000-0005-0000-0000-000076000000}"/>
    <cellStyle name="SAPBEXexcBad7" xfId="103" xr:uid="{00000000-0005-0000-0000-000077000000}"/>
    <cellStyle name="SAPBEXexcBad8" xfId="104" xr:uid="{00000000-0005-0000-0000-000078000000}"/>
    <cellStyle name="SAPBEXexcBad9" xfId="105" xr:uid="{00000000-0005-0000-0000-000079000000}"/>
    <cellStyle name="SAPBEXexcCritical4" xfId="106" xr:uid="{00000000-0005-0000-0000-00007A000000}"/>
    <cellStyle name="SAPBEXexcCritical5" xfId="107" xr:uid="{00000000-0005-0000-0000-00007B000000}"/>
    <cellStyle name="SAPBEXexcCritical6" xfId="108" xr:uid="{00000000-0005-0000-0000-00007C000000}"/>
    <cellStyle name="SAPBEXexcGood1" xfId="109" xr:uid="{00000000-0005-0000-0000-00007D000000}"/>
    <cellStyle name="SAPBEXexcGood2" xfId="110" xr:uid="{00000000-0005-0000-0000-00007E000000}"/>
    <cellStyle name="SAPBEXexcGood3" xfId="111" xr:uid="{00000000-0005-0000-0000-00007F000000}"/>
    <cellStyle name="SAPBEXfilterDrill" xfId="112" xr:uid="{00000000-0005-0000-0000-000080000000}"/>
    <cellStyle name="SAPBEXfilterItem" xfId="113" xr:uid="{00000000-0005-0000-0000-000081000000}"/>
    <cellStyle name="SAPBEXfilterText" xfId="114" xr:uid="{00000000-0005-0000-0000-000082000000}"/>
    <cellStyle name="SAPBEXformats" xfId="115" xr:uid="{00000000-0005-0000-0000-000083000000}"/>
    <cellStyle name="SAPBEXheaderItem" xfId="116" xr:uid="{00000000-0005-0000-0000-000084000000}"/>
    <cellStyle name="SAPBEXheaderText" xfId="117" xr:uid="{00000000-0005-0000-0000-000085000000}"/>
    <cellStyle name="SAPBEXHLevel0" xfId="118" xr:uid="{00000000-0005-0000-0000-000086000000}"/>
    <cellStyle name="SAPBEXHLevel0X" xfId="119" xr:uid="{00000000-0005-0000-0000-000087000000}"/>
    <cellStyle name="SAPBEXHLevel1" xfId="120" xr:uid="{00000000-0005-0000-0000-000088000000}"/>
    <cellStyle name="SAPBEXHLevel1X" xfId="121" xr:uid="{00000000-0005-0000-0000-000089000000}"/>
    <cellStyle name="SAPBEXHLevel2" xfId="122" xr:uid="{00000000-0005-0000-0000-00008A000000}"/>
    <cellStyle name="SAPBEXHLevel2X" xfId="123" xr:uid="{00000000-0005-0000-0000-00008B000000}"/>
    <cellStyle name="SAPBEXHLevel3" xfId="124" xr:uid="{00000000-0005-0000-0000-00008C000000}"/>
    <cellStyle name="SAPBEXHLevel3X" xfId="125" xr:uid="{00000000-0005-0000-0000-00008D000000}"/>
    <cellStyle name="SAPBEXresData" xfId="126" xr:uid="{00000000-0005-0000-0000-00008E000000}"/>
    <cellStyle name="SAPBEXresDataEmph" xfId="127" xr:uid="{00000000-0005-0000-0000-00008F000000}"/>
    <cellStyle name="SAPBEXresItem" xfId="128" xr:uid="{00000000-0005-0000-0000-000090000000}"/>
    <cellStyle name="SAPBEXresItemX" xfId="129" xr:uid="{00000000-0005-0000-0000-000091000000}"/>
    <cellStyle name="SAPBEXstdData" xfId="130" xr:uid="{00000000-0005-0000-0000-000092000000}"/>
    <cellStyle name="SAPBEXstdDataEmph" xfId="131" xr:uid="{00000000-0005-0000-0000-000093000000}"/>
    <cellStyle name="SAPBEXstdItem" xfId="132" xr:uid="{00000000-0005-0000-0000-000094000000}"/>
    <cellStyle name="SAPBEXstdItemX" xfId="133" xr:uid="{00000000-0005-0000-0000-000095000000}"/>
    <cellStyle name="SAPBEXtitle" xfId="134" xr:uid="{00000000-0005-0000-0000-000096000000}"/>
    <cellStyle name="SAPBEXundefined" xfId="135" xr:uid="{00000000-0005-0000-0000-000097000000}"/>
    <cellStyle name="section" xfId="136" xr:uid="{00000000-0005-0000-0000-000098000000}"/>
    <cellStyle name="subhead" xfId="137" xr:uid="{00000000-0005-0000-0000-000099000000}"/>
    <cellStyle name="Table Entry" xfId="225" xr:uid="{00000000-0005-0000-0000-00009A000000}"/>
    <cellStyle name="Table Heading" xfId="226" xr:uid="{00000000-0005-0000-0000-00009B000000}"/>
    <cellStyle name="Table Heading Center" xfId="227" xr:uid="{00000000-0005-0000-0000-00009C000000}"/>
    <cellStyle name="Table Medium" xfId="228" xr:uid="{00000000-0005-0000-0000-00009D000000}"/>
    <cellStyle name="Table Normal" xfId="229" xr:uid="{00000000-0005-0000-0000-00009E000000}"/>
    <cellStyle name="Table Small" xfId="230" xr:uid="{00000000-0005-0000-0000-00009F000000}"/>
    <cellStyle name="Table Small Bold" xfId="231" xr:uid="{00000000-0005-0000-0000-0000A0000000}"/>
    <cellStyle name="Table Small Center" xfId="232" xr:uid="{00000000-0005-0000-0000-0000A1000000}"/>
    <cellStyle name="Table Title" xfId="233" xr:uid="{00000000-0005-0000-0000-0000A2000000}"/>
    <cellStyle name="title" xfId="138" xr:uid="{00000000-0005-0000-0000-0000A3000000}"/>
    <cellStyle name="todo" xfId="139" xr:uid="{00000000-0005-0000-0000-0000A4000000}"/>
    <cellStyle name="Total" xfId="140" xr:uid="{00000000-0005-0000-0000-0000A5000000}"/>
    <cellStyle name="yy.mm.dd" xfId="141" xr:uid="{00000000-0005-0000-0000-0000A6000000}"/>
    <cellStyle name="アクセント 1" xfId="142" builtinId="29" customBuiltin="1"/>
    <cellStyle name="アクセント 1 2" xfId="143" xr:uid="{00000000-0005-0000-0000-0000A8000000}"/>
    <cellStyle name="アクセント 2" xfId="144" builtinId="33" customBuiltin="1"/>
    <cellStyle name="アクセント 2 2" xfId="145" xr:uid="{00000000-0005-0000-0000-0000AA000000}"/>
    <cellStyle name="アクセント 3" xfId="146" builtinId="37" customBuiltin="1"/>
    <cellStyle name="アクセント 3 2" xfId="147" xr:uid="{00000000-0005-0000-0000-0000AC000000}"/>
    <cellStyle name="アクセント 4" xfId="148" builtinId="41" customBuiltin="1"/>
    <cellStyle name="アクセント 4 2" xfId="149" xr:uid="{00000000-0005-0000-0000-0000AE000000}"/>
    <cellStyle name="アクセント 5" xfId="150" builtinId="45" customBuiltin="1"/>
    <cellStyle name="アクセント 5 2" xfId="151" xr:uid="{00000000-0005-0000-0000-0000B0000000}"/>
    <cellStyle name="アクセント 6" xfId="152" builtinId="49" customBuiltin="1"/>
    <cellStyle name="アクセント 6 2" xfId="153" xr:uid="{00000000-0005-0000-0000-0000B2000000}"/>
    <cellStyle name="タイトル" xfId="154" builtinId="15" customBuiltin="1"/>
    <cellStyle name="タイトル 2" xfId="155" xr:uid="{00000000-0005-0000-0000-0000B4000000}"/>
    <cellStyle name="チェック セル" xfId="156" builtinId="23" customBuiltin="1"/>
    <cellStyle name="チェック セル 2" xfId="157" xr:uid="{00000000-0005-0000-0000-0000B6000000}"/>
    <cellStyle name="どちらでもない" xfId="158" builtinId="28" customBuiltin="1"/>
    <cellStyle name="どちらでもない 2" xfId="159" xr:uid="{00000000-0005-0000-0000-0000B8000000}"/>
    <cellStyle name="メモ" xfId="160" builtinId="10" customBuiltin="1"/>
    <cellStyle name="メモ 2" xfId="161" xr:uid="{00000000-0005-0000-0000-0000BA000000}"/>
    <cellStyle name="メモ 2 2" xfId="162" xr:uid="{00000000-0005-0000-0000-0000BB000000}"/>
    <cellStyle name="リンク セル" xfId="163" builtinId="24" customBuiltin="1"/>
    <cellStyle name="リンク セル 2" xfId="164" xr:uid="{00000000-0005-0000-0000-0000BD000000}"/>
    <cellStyle name="悪い" xfId="165" builtinId="27" customBuiltin="1"/>
    <cellStyle name="悪い 2" xfId="166" xr:uid="{00000000-0005-0000-0000-0000BF000000}"/>
    <cellStyle name="移行計画書" xfId="167" xr:uid="{00000000-0005-0000-0000-0000C0000000}"/>
    <cellStyle name="回答" xfId="168" xr:uid="{00000000-0005-0000-0000-0000C1000000}"/>
    <cellStyle name="計算" xfId="169" builtinId="22" customBuiltin="1"/>
    <cellStyle name="計算 2" xfId="170" xr:uid="{00000000-0005-0000-0000-0000C3000000}"/>
    <cellStyle name="計算 2 2" xfId="171" xr:uid="{00000000-0005-0000-0000-0000C4000000}"/>
    <cellStyle name="警告文" xfId="172" builtinId="11" customBuiltin="1"/>
    <cellStyle name="警告文 2" xfId="173" xr:uid="{00000000-0005-0000-0000-0000C6000000}"/>
    <cellStyle name="桁区切り [##.##]" xfId="174" xr:uid="{00000000-0005-0000-0000-0000C7000000}"/>
    <cellStyle name="桁区切り [##.##] 2" xfId="234" xr:uid="{00000000-0005-0000-0000-0000C8000000}"/>
    <cellStyle name="桁区切り [##.##] 2 2" xfId="235" xr:uid="{00000000-0005-0000-0000-0000C9000000}"/>
    <cellStyle name="桁区切り [##.##] 2 3" xfId="236" xr:uid="{00000000-0005-0000-0000-0000CA000000}"/>
    <cellStyle name="桁区切り [##.##] 3" xfId="237" xr:uid="{00000000-0005-0000-0000-0000CB000000}"/>
    <cellStyle name="桁区切り [0.0]" xfId="175" xr:uid="{00000000-0005-0000-0000-0000CC000000}"/>
    <cellStyle name="見出し" xfId="176" xr:uid="{00000000-0005-0000-0000-0000CD000000}"/>
    <cellStyle name="見出し 1" xfId="177" builtinId="16" customBuiltin="1"/>
    <cellStyle name="見出し 1 2" xfId="178" xr:uid="{00000000-0005-0000-0000-0000CF000000}"/>
    <cellStyle name="見出し 2" xfId="179" builtinId="17" customBuiltin="1"/>
    <cellStyle name="見出し 2 2" xfId="180" xr:uid="{00000000-0005-0000-0000-0000D1000000}"/>
    <cellStyle name="見出し 3" xfId="181" builtinId="18" customBuiltin="1"/>
    <cellStyle name="見出し 3 2" xfId="182" xr:uid="{00000000-0005-0000-0000-0000D3000000}"/>
    <cellStyle name="見出し 4" xfId="183" builtinId="19" customBuiltin="1"/>
    <cellStyle name="見出し 4 2" xfId="184" xr:uid="{00000000-0005-0000-0000-0000D5000000}"/>
    <cellStyle name="質問" xfId="185" xr:uid="{00000000-0005-0000-0000-0000D6000000}"/>
    <cellStyle name="集計" xfId="186" builtinId="25" customBuiltin="1"/>
    <cellStyle name="集計 2" xfId="187" xr:uid="{00000000-0005-0000-0000-0000D8000000}"/>
    <cellStyle name="集計 2 2" xfId="188" xr:uid="{00000000-0005-0000-0000-0000D9000000}"/>
    <cellStyle name="出力" xfId="189" builtinId="21" customBuiltin="1"/>
    <cellStyle name="出力 2" xfId="190" xr:uid="{00000000-0005-0000-0000-0000DB000000}"/>
    <cellStyle name="出力 2 2" xfId="191" xr:uid="{00000000-0005-0000-0000-0000DC000000}"/>
    <cellStyle name="常规_NEWITECCorrespondenceStudySystemTableLayout2002-03-29" xfId="192" xr:uid="{00000000-0005-0000-0000-0000DD000000}"/>
    <cellStyle name="説明文" xfId="193" builtinId="53" customBuiltin="1"/>
    <cellStyle name="説明文 2" xfId="194" xr:uid="{00000000-0005-0000-0000-0000DF000000}"/>
    <cellStyle name="入力" xfId="195" builtinId="20" customBuiltin="1"/>
    <cellStyle name="入力 2" xfId="196" xr:uid="{00000000-0005-0000-0000-0000E1000000}"/>
    <cellStyle name="入力 2 2" xfId="197" xr:uid="{00000000-0005-0000-0000-0000E2000000}"/>
    <cellStyle name="標・_HTL99S" xfId="198" xr:uid="{00000000-0005-0000-0000-0000E3000000}"/>
    <cellStyle name="標準" xfId="0" builtinId="0"/>
    <cellStyle name="標準 2" xfId="199" xr:uid="{00000000-0005-0000-0000-0000E5000000}"/>
    <cellStyle name="標準 2 2" xfId="238" xr:uid="{00000000-0005-0000-0000-0000E6000000}"/>
    <cellStyle name="標準 2 4" xfId="239" xr:uid="{00000000-0005-0000-0000-0000E7000000}"/>
    <cellStyle name="標準 3" xfId="200" xr:uid="{00000000-0005-0000-0000-0000E8000000}"/>
    <cellStyle name="標準 4" xfId="207" xr:uid="{00000000-0005-0000-0000-0000E9000000}"/>
    <cellStyle name="標準 8" xfId="240" xr:uid="{00000000-0005-0000-0000-0000EA000000}"/>
    <cellStyle name="標準_Book1" xfId="241" xr:uid="{00000000-0005-0000-0000-0000EB000000}"/>
    <cellStyle name="標準_KS050500_GBMb00" xfId="201" xr:uid="{00000000-0005-0000-0000-0000EC000000}"/>
    <cellStyle name="標準外部設計" xfId="202" xr:uid="{00000000-0005-0000-0000-0000ED000000}"/>
    <cellStyle name="未定義" xfId="203" xr:uid="{00000000-0005-0000-0000-0000EE000000}"/>
    <cellStyle name="無人" xfId="204" xr:uid="{00000000-0005-0000-0000-0000EF000000}"/>
    <cellStyle name="良い" xfId="205" builtinId="26" customBuiltin="1"/>
    <cellStyle name="良い 2" xfId="206" xr:uid="{00000000-0005-0000-0000-0000F1000000}"/>
  </cellStyles>
  <dxfs count="2">
    <dxf>
      <fill>
        <patternFill>
          <bgColor theme="0" tint="-0.14996795556505021"/>
        </patternFill>
      </fill>
    </dxf>
    <dxf>
      <fill>
        <patternFill>
          <bgColor theme="2" tint="-0.24994659260841701"/>
        </patternFill>
      </fill>
    </dxf>
  </dxfs>
  <tableStyles count="0" defaultTableStyle="TableStyleMedium2" defaultPivotStyle="PivotStyleLight16"/>
  <colors>
    <mruColors>
      <color rgb="FF0000FF"/>
      <color rgb="FF00FF00"/>
      <color rgb="FFDCE6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xdr:colOff>
          <xdr:row>0</xdr:row>
          <xdr:rowOff>3</xdr:rowOff>
        </xdr:from>
        <xdr:to>
          <xdr:col>9</xdr:col>
          <xdr:colOff>454811</xdr:colOff>
          <xdr:row>3</xdr:row>
          <xdr:rowOff>104609</xdr:rowOff>
        </xdr:to>
        <xdr:pic>
          <xdr:nvPicPr>
            <xdr:cNvPr id="6" name="図 5">
              <a:extLst>
                <a:ext uri="{FF2B5EF4-FFF2-40B4-BE49-F238E27FC236}">
                  <a16:creationId xmlns:a16="http://schemas.microsoft.com/office/drawing/2014/main" id="{00000000-0008-0000-0100-000006000000}"/>
                </a:ext>
              </a:extLst>
            </xdr:cNvPr>
            <xdr:cNvPicPr>
              <a:picLocks noChangeAspect="1" noChangeArrowheads="1"/>
              <a:extLst>
                <a:ext uri="{84589F7E-364E-4C9E-8A38-B11213B215E9}">
                  <a14:cameraTool cellRange="表紙!$A$1:$BB$3" spid="_x0000_s2577"/>
                </a:ext>
              </a:extLst>
            </xdr:cNvPicPr>
          </xdr:nvPicPr>
          <xdr:blipFill>
            <a:blip xmlns:r="http://schemas.openxmlformats.org/officeDocument/2006/relationships" r:embed="rId1"/>
            <a:srcRect/>
            <a:stretch>
              <a:fillRect/>
            </a:stretch>
          </xdr:blipFill>
          <xdr:spPr bwMode="auto">
            <a:xfrm>
              <a:off x="3" y="3"/>
              <a:ext cx="12265808" cy="60466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lumMod val="95000"/>
          </a:schemeClr>
        </a:solidFill>
        <a:ln w="12700">
          <a:solidFill>
            <a:sysClr val="windowText" lastClr="000000"/>
          </a:solidFill>
        </a:ln>
      </a:spPr>
      <a:bodyPr vertOverflow="clip" horzOverflow="clip" rtlCol="0" anchor="ctr" anchorCtr="0"/>
      <a:lstStyle>
        <a:defPPr marL="0" marR="0" indent="0" algn="l" defTabSz="914400" eaLnBrk="1" fontAlgn="auto" latinLnBrk="0" hangingPunct="1">
          <a:lnSpc>
            <a:spcPct val="100000"/>
          </a:lnSpc>
          <a:spcBef>
            <a:spcPts val="0"/>
          </a:spcBef>
          <a:spcAft>
            <a:spcPts val="0"/>
          </a:spcAft>
          <a:buClrTx/>
          <a:buSzTx/>
          <a:buFontTx/>
          <a:buNone/>
          <a:tabLst/>
          <a:defRPr kumimoji="1" sz="800" b="1" u="none">
            <a:latin typeface="Meiryo UI" panose="020B0604030504040204" pitchFamily="50" charset="-128"/>
            <a:ea typeface="Meiryo UI" panose="020B0604030504040204" pitchFamily="50" charset="-128"/>
            <a:cs typeface="Meiryo UI" panose="020B0604030504040204" pitchFamily="50" charset="-128"/>
          </a:defRPr>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B28"/>
  <sheetViews>
    <sheetView showGridLines="0" view="pageBreakPreview" zoomScaleNormal="100" zoomScaleSheetLayoutView="100" workbookViewId="0">
      <selection activeCell="X32" sqref="X32"/>
    </sheetView>
  </sheetViews>
  <sheetFormatPr defaultColWidth="3" defaultRowHeight="13.5" customHeight="1"/>
  <cols>
    <col min="1" max="1" width="10.296875" style="13" customWidth="1"/>
    <col min="2" max="2" width="3" style="13"/>
    <col min="3" max="3" width="3" style="13" customWidth="1"/>
    <col min="4" max="28" width="3" style="13"/>
    <col min="29" max="29" width="3" style="13" customWidth="1"/>
    <col min="30" max="30" width="3" style="13"/>
    <col min="31" max="31" width="3" style="13" customWidth="1"/>
    <col min="32" max="16384" width="3" style="13"/>
  </cols>
  <sheetData>
    <row r="1" spans="1:54" ht="13.5" customHeight="1" thickBot="1">
      <c r="A1" s="56" t="s">
        <v>0</v>
      </c>
      <c r="B1" s="57"/>
      <c r="C1" s="57"/>
      <c r="D1" s="57"/>
      <c r="E1" s="57"/>
      <c r="F1" s="57"/>
      <c r="G1" s="57"/>
      <c r="H1" s="58"/>
      <c r="I1" s="56" t="s">
        <v>1</v>
      </c>
      <c r="J1" s="57"/>
      <c r="K1" s="57"/>
      <c r="L1" s="57"/>
      <c r="M1" s="57"/>
      <c r="N1" s="57"/>
      <c r="O1" s="58"/>
      <c r="P1" s="56" t="s">
        <v>2</v>
      </c>
      <c r="Q1" s="57"/>
      <c r="R1" s="57"/>
      <c r="S1" s="57"/>
      <c r="T1" s="58"/>
      <c r="U1" s="71" t="s">
        <v>3</v>
      </c>
      <c r="V1" s="57"/>
      <c r="W1" s="57"/>
      <c r="X1" s="57"/>
      <c r="Y1" s="57"/>
      <c r="Z1" s="58"/>
      <c r="AA1" s="59" t="s">
        <v>4</v>
      </c>
      <c r="AB1" s="60"/>
      <c r="AC1" s="60"/>
      <c r="AD1" s="60"/>
      <c r="AE1" s="60"/>
      <c r="AF1" s="60"/>
      <c r="AG1" s="60"/>
      <c r="AH1" s="60"/>
      <c r="AI1" s="60"/>
      <c r="AJ1" s="60"/>
      <c r="AK1" s="60"/>
      <c r="AL1" s="60"/>
      <c r="AM1" s="60"/>
      <c r="AN1" s="60"/>
      <c r="AO1" s="60"/>
      <c r="AP1" s="60"/>
      <c r="AQ1" s="60"/>
      <c r="AR1" s="61"/>
      <c r="AS1" s="68" t="s">
        <v>5</v>
      </c>
      <c r="AT1" s="69"/>
      <c r="AU1" s="69"/>
      <c r="AV1" s="69"/>
      <c r="AW1" s="69"/>
      <c r="AX1" s="68" t="s">
        <v>6</v>
      </c>
      <c r="AY1" s="69"/>
      <c r="AZ1" s="69"/>
      <c r="BA1" s="69"/>
      <c r="BB1" s="70"/>
    </row>
    <row r="2" spans="1:54" ht="13.5" customHeight="1">
      <c r="A2" s="43" t="s">
        <v>7</v>
      </c>
      <c r="B2" s="44"/>
      <c r="C2" s="44"/>
      <c r="D2" s="44"/>
      <c r="E2" s="44"/>
      <c r="F2" s="44"/>
      <c r="G2" s="44"/>
      <c r="H2" s="45"/>
      <c r="I2" s="43" t="s">
        <v>8</v>
      </c>
      <c r="J2" s="44"/>
      <c r="K2" s="44"/>
      <c r="L2" s="44"/>
      <c r="M2" s="44"/>
      <c r="N2" s="44"/>
      <c r="O2" s="45"/>
      <c r="P2" s="49" t="s">
        <v>9</v>
      </c>
      <c r="Q2" s="44"/>
      <c r="R2" s="44"/>
      <c r="S2" s="44"/>
      <c r="T2" s="44"/>
      <c r="U2" s="49" t="s">
        <v>10</v>
      </c>
      <c r="V2" s="44"/>
      <c r="W2" s="44"/>
      <c r="X2" s="44"/>
      <c r="Y2" s="44"/>
      <c r="Z2" s="44"/>
      <c r="AA2" s="50" t="s">
        <v>11</v>
      </c>
      <c r="AB2" s="51"/>
      <c r="AC2" s="51"/>
      <c r="AD2" s="51"/>
      <c r="AE2" s="51"/>
      <c r="AF2" s="51"/>
      <c r="AG2" s="51"/>
      <c r="AH2" s="51"/>
      <c r="AI2" s="51"/>
      <c r="AJ2" s="51"/>
      <c r="AK2" s="51"/>
      <c r="AL2" s="51"/>
      <c r="AM2" s="51"/>
      <c r="AN2" s="51"/>
      <c r="AO2" s="51"/>
      <c r="AP2" s="51"/>
      <c r="AQ2" s="51"/>
      <c r="AR2" s="52"/>
      <c r="AS2" s="50" t="s">
        <v>12</v>
      </c>
      <c r="AT2" s="62"/>
      <c r="AU2" s="62"/>
      <c r="AV2" s="62"/>
      <c r="AW2" s="63"/>
      <c r="AX2" s="67"/>
      <c r="AY2" s="62"/>
      <c r="AZ2" s="62"/>
      <c r="BA2" s="62"/>
      <c r="BB2" s="63"/>
    </row>
    <row r="3" spans="1:54" ht="13.5" customHeight="1" thickBot="1">
      <c r="A3" s="46"/>
      <c r="B3" s="47"/>
      <c r="C3" s="47"/>
      <c r="D3" s="47"/>
      <c r="E3" s="47"/>
      <c r="F3" s="47"/>
      <c r="G3" s="47"/>
      <c r="H3" s="48"/>
      <c r="I3" s="46"/>
      <c r="J3" s="47"/>
      <c r="K3" s="47"/>
      <c r="L3" s="47"/>
      <c r="M3" s="47"/>
      <c r="N3" s="47"/>
      <c r="O3" s="48"/>
      <c r="P3" s="46"/>
      <c r="Q3" s="47"/>
      <c r="R3" s="47"/>
      <c r="S3" s="47"/>
      <c r="T3" s="47"/>
      <c r="U3" s="46"/>
      <c r="V3" s="47"/>
      <c r="W3" s="47"/>
      <c r="X3" s="47"/>
      <c r="Y3" s="47"/>
      <c r="Z3" s="47"/>
      <c r="AA3" s="53"/>
      <c r="AB3" s="54"/>
      <c r="AC3" s="54"/>
      <c r="AD3" s="54"/>
      <c r="AE3" s="54"/>
      <c r="AF3" s="54"/>
      <c r="AG3" s="54"/>
      <c r="AH3" s="54"/>
      <c r="AI3" s="54"/>
      <c r="AJ3" s="54"/>
      <c r="AK3" s="54"/>
      <c r="AL3" s="54"/>
      <c r="AM3" s="54"/>
      <c r="AN3" s="54"/>
      <c r="AO3" s="54"/>
      <c r="AP3" s="54"/>
      <c r="AQ3" s="54"/>
      <c r="AR3" s="55"/>
      <c r="AS3" s="64"/>
      <c r="AT3" s="65"/>
      <c r="AU3" s="65"/>
      <c r="AV3" s="65"/>
      <c r="AW3" s="66"/>
      <c r="AX3" s="64"/>
      <c r="AY3" s="65"/>
      <c r="AZ3" s="65"/>
      <c r="BA3" s="65"/>
      <c r="BB3" s="66"/>
    </row>
    <row r="4" spans="1:54" ht="13.5" customHeight="1" thickBot="1">
      <c r="A4" s="14"/>
      <c r="B4" s="14"/>
      <c r="C4" s="14"/>
      <c r="D4" s="14"/>
      <c r="E4" s="14"/>
      <c r="F4" s="14"/>
      <c r="G4" s="14"/>
      <c r="H4" s="14"/>
      <c r="I4" s="14"/>
      <c r="J4" s="14"/>
      <c r="K4" s="14"/>
      <c r="L4" s="14"/>
      <c r="M4" s="14"/>
      <c r="N4" s="14"/>
      <c r="O4" s="14"/>
      <c r="P4" s="14"/>
      <c r="Q4" s="14"/>
      <c r="R4" s="14"/>
      <c r="S4" s="14"/>
      <c r="T4" s="14"/>
      <c r="U4" s="14"/>
      <c r="V4" s="14"/>
      <c r="W4" s="14"/>
      <c r="X4" s="14"/>
      <c r="Y4" s="14"/>
      <c r="Z4" s="14"/>
      <c r="AA4" s="85" t="str">
        <f>IF(AA2="","↑対象の成果物を入力してください！","")</f>
        <v/>
      </c>
      <c r="AB4" s="85"/>
      <c r="AC4" s="85"/>
      <c r="AD4" s="85"/>
      <c r="AE4" s="85"/>
      <c r="AF4" s="85"/>
      <c r="AG4" s="85"/>
      <c r="AH4" s="85"/>
      <c r="AI4" s="85"/>
      <c r="AJ4" s="85"/>
      <c r="AK4" s="85"/>
      <c r="AL4" s="85"/>
      <c r="AM4" s="85"/>
      <c r="AN4" s="85"/>
      <c r="AO4" s="85"/>
      <c r="AP4" s="85"/>
      <c r="AQ4" s="85"/>
      <c r="AR4" s="85"/>
      <c r="AS4" s="85" t="str">
        <f>IF(AS2="","↑入力して！","")</f>
        <v/>
      </c>
      <c r="AT4" s="85"/>
      <c r="AU4" s="85"/>
      <c r="AV4" s="85"/>
      <c r="AW4" s="85"/>
      <c r="AX4" s="85" t="str">
        <f>IF(AX2="","↑入力して！","")</f>
        <v>↑入力して！</v>
      </c>
      <c r="AY4" s="85"/>
      <c r="AZ4" s="85"/>
      <c r="BA4" s="85"/>
      <c r="BB4" s="85"/>
    </row>
    <row r="5" spans="1:54" ht="13.5" customHeight="1" thickBot="1">
      <c r="A5" s="72" t="s">
        <v>13</v>
      </c>
      <c r="B5" s="73"/>
      <c r="C5" s="73"/>
      <c r="D5" s="87" t="s">
        <v>7</v>
      </c>
      <c r="E5" s="88"/>
      <c r="F5" s="88"/>
      <c r="G5" s="88"/>
      <c r="H5" s="88"/>
      <c r="I5" s="88"/>
      <c r="J5" s="88"/>
      <c r="K5" s="88"/>
      <c r="L5" s="88"/>
      <c r="M5" s="88"/>
      <c r="N5" s="88"/>
      <c r="O5" s="89"/>
      <c r="P5" s="34" t="str">
        <f>IF(D5="","←業務名を入力してください！","")</f>
        <v/>
      </c>
    </row>
    <row r="6" spans="1:54" ht="13.5" customHeight="1" thickBot="1">
      <c r="A6" s="72" t="s">
        <v>14</v>
      </c>
      <c r="B6" s="73"/>
      <c r="C6" s="73"/>
      <c r="D6" s="81"/>
      <c r="E6" s="82"/>
      <c r="F6" s="82"/>
      <c r="G6" s="82"/>
      <c r="H6" s="82"/>
      <c r="I6" s="82"/>
      <c r="J6" s="82"/>
      <c r="K6" s="82"/>
      <c r="L6" s="82"/>
      <c r="M6" s="82"/>
      <c r="N6" s="82"/>
      <c r="O6" s="83"/>
      <c r="P6" s="34" t="str">
        <f>IF(D6="","←レビュー依頼時にページ数を入力してください！","")</f>
        <v>←レビュー依頼時にページ数を入力してください！</v>
      </c>
    </row>
    <row r="7" spans="1:54" ht="13.5" customHeight="1">
      <c r="D7" s="21"/>
      <c r="E7" s="21"/>
      <c r="F7" s="21"/>
      <c r="G7" s="21"/>
      <c r="H7" s="21"/>
      <c r="I7" s="21"/>
      <c r="J7" s="21"/>
      <c r="K7" s="21"/>
      <c r="L7" s="21"/>
      <c r="M7" s="21"/>
      <c r="N7" s="21"/>
      <c r="O7" s="21"/>
      <c r="P7" s="34"/>
    </row>
    <row r="8" spans="1:54" ht="13.5" customHeight="1">
      <c r="K8" s="13" t="s">
        <v>15</v>
      </c>
    </row>
    <row r="9" spans="1:54" s="21" customFormat="1" ht="13.5" customHeight="1">
      <c r="A9" s="15" t="s">
        <v>16</v>
      </c>
      <c r="B9" s="16"/>
      <c r="C9" s="16"/>
      <c r="D9" s="16"/>
      <c r="E9" s="16"/>
      <c r="F9" s="16"/>
      <c r="G9" s="16"/>
      <c r="H9" s="16"/>
      <c r="I9" s="16"/>
      <c r="J9" s="16"/>
      <c r="K9" s="19" t="s">
        <v>17</v>
      </c>
      <c r="L9" s="17"/>
      <c r="M9" s="17"/>
      <c r="N9" s="17"/>
      <c r="O9" s="17"/>
      <c r="P9" s="17"/>
      <c r="Q9" s="17"/>
      <c r="R9" s="18"/>
      <c r="S9" s="19" t="s">
        <v>18</v>
      </c>
      <c r="T9" s="17"/>
      <c r="U9" s="17"/>
      <c r="V9" s="17"/>
      <c r="W9" s="17"/>
      <c r="X9" s="17"/>
      <c r="Y9" s="17"/>
      <c r="Z9" s="18"/>
      <c r="AA9" s="19" t="s">
        <v>19</v>
      </c>
      <c r="AB9" s="17"/>
      <c r="AC9" s="17"/>
      <c r="AD9" s="17"/>
      <c r="AE9" s="17"/>
      <c r="AF9" s="17"/>
      <c r="AG9" s="17"/>
      <c r="AH9" s="18"/>
      <c r="AI9" s="19" t="s">
        <v>20</v>
      </c>
      <c r="AJ9" s="17"/>
      <c r="AK9" s="17"/>
      <c r="AL9" s="17"/>
      <c r="AM9" s="17"/>
      <c r="AN9" s="17"/>
      <c r="AO9" s="17"/>
      <c r="AP9" s="18"/>
      <c r="AQ9" s="19" t="s">
        <v>21</v>
      </c>
      <c r="AR9" s="17"/>
      <c r="AS9" s="17"/>
      <c r="AT9" s="17"/>
      <c r="AU9" s="17"/>
      <c r="AV9" s="17"/>
      <c r="AW9" s="17"/>
      <c r="AX9" s="18"/>
      <c r="AY9" s="20"/>
    </row>
    <row r="10" spans="1:54" s="21" customFormat="1" ht="13.5" customHeight="1" thickBot="1">
      <c r="A10" s="15" t="s">
        <v>22</v>
      </c>
      <c r="B10" s="16"/>
      <c r="C10" s="16"/>
      <c r="D10" s="22"/>
      <c r="E10" s="15" t="s">
        <v>23</v>
      </c>
      <c r="F10" s="16"/>
      <c r="G10" s="16"/>
      <c r="H10" s="16"/>
      <c r="I10" s="15" t="s">
        <v>24</v>
      </c>
      <c r="J10" s="22"/>
      <c r="K10" s="31" t="s">
        <v>22</v>
      </c>
      <c r="L10" s="31"/>
      <c r="M10" s="31"/>
      <c r="N10" s="32"/>
      <c r="O10" s="33" t="s">
        <v>23</v>
      </c>
      <c r="P10" s="31"/>
      <c r="Q10" s="31"/>
      <c r="R10" s="32"/>
      <c r="S10" s="33" t="s">
        <v>22</v>
      </c>
      <c r="T10" s="31"/>
      <c r="U10" s="31"/>
      <c r="V10" s="32"/>
      <c r="W10" s="33" t="s">
        <v>23</v>
      </c>
      <c r="X10" s="31"/>
      <c r="Y10" s="31"/>
      <c r="Z10" s="32"/>
      <c r="AA10" s="33" t="s">
        <v>22</v>
      </c>
      <c r="AB10" s="31"/>
      <c r="AC10" s="31"/>
      <c r="AD10" s="32"/>
      <c r="AE10" s="33" t="s">
        <v>23</v>
      </c>
      <c r="AF10" s="31"/>
      <c r="AG10" s="31"/>
      <c r="AH10" s="32"/>
      <c r="AI10" s="33" t="s">
        <v>22</v>
      </c>
      <c r="AJ10" s="31"/>
      <c r="AK10" s="31"/>
      <c r="AL10" s="32"/>
      <c r="AM10" s="33" t="s">
        <v>23</v>
      </c>
      <c r="AN10" s="31"/>
      <c r="AO10" s="31"/>
      <c r="AP10" s="32"/>
      <c r="AQ10" s="33" t="s">
        <v>22</v>
      </c>
      <c r="AR10" s="31"/>
      <c r="AS10" s="31"/>
      <c r="AT10" s="32"/>
      <c r="AU10" s="33" t="s">
        <v>23</v>
      </c>
      <c r="AV10" s="31"/>
      <c r="AW10" s="31"/>
      <c r="AX10" s="32"/>
    </row>
    <row r="11" spans="1:54" s="21" customFormat="1" ht="13.5" customHeight="1" thickBot="1">
      <c r="A11" s="77">
        <f>SUM(K11,S11,AA11,AI11,AQ11)</f>
        <v>0</v>
      </c>
      <c r="B11" s="78"/>
      <c r="C11" s="78"/>
      <c r="D11" s="79"/>
      <c r="E11" s="77">
        <f>SUM(O11,W11,AE11,AM11,AU11)</f>
        <v>0</v>
      </c>
      <c r="F11" s="78"/>
      <c r="G11" s="78"/>
      <c r="H11" s="78"/>
      <c r="I11" s="77">
        <f>ROUNDUP(COUNTA(K11:AX11)/2,0)</f>
        <v>0</v>
      </c>
      <c r="J11" s="84"/>
      <c r="K11" s="80"/>
      <c r="L11" s="75"/>
      <c r="M11" s="75"/>
      <c r="N11" s="76"/>
      <c r="O11" s="74"/>
      <c r="P11" s="75"/>
      <c r="Q11" s="75"/>
      <c r="R11" s="76"/>
      <c r="S11" s="74"/>
      <c r="T11" s="75"/>
      <c r="U11" s="75"/>
      <c r="V11" s="76"/>
      <c r="W11" s="74"/>
      <c r="X11" s="75"/>
      <c r="Y11" s="75"/>
      <c r="Z11" s="76"/>
      <c r="AA11" s="74"/>
      <c r="AB11" s="75"/>
      <c r="AC11" s="75"/>
      <c r="AD11" s="76"/>
      <c r="AE11" s="74"/>
      <c r="AF11" s="75"/>
      <c r="AG11" s="75"/>
      <c r="AH11" s="76"/>
      <c r="AI11" s="74"/>
      <c r="AJ11" s="75"/>
      <c r="AK11" s="75"/>
      <c r="AL11" s="76"/>
      <c r="AM11" s="74"/>
      <c r="AN11" s="75"/>
      <c r="AO11" s="75"/>
      <c r="AP11" s="76"/>
      <c r="AQ11" s="74"/>
      <c r="AR11" s="75"/>
      <c r="AS11" s="75"/>
      <c r="AT11" s="76"/>
      <c r="AU11" s="74"/>
      <c r="AV11" s="75"/>
      <c r="AW11" s="75"/>
      <c r="AX11" s="86"/>
      <c r="AY11" s="34" t="s">
        <v>25</v>
      </c>
    </row>
    <row r="12" spans="1:54" s="21" customFormat="1" ht="13.5" customHeight="1"/>
    <row r="13" spans="1:54" s="21" customFormat="1" ht="13.5" customHeight="1"/>
    <row r="14" spans="1:54" s="21" customFormat="1" ht="13.5" customHeight="1"/>
    <row r="15" spans="1:54" ht="13.5" customHeight="1">
      <c r="B15" s="39" t="s">
        <v>13</v>
      </c>
      <c r="C15" s="40"/>
      <c r="D15" s="40"/>
      <c r="E15" s="40"/>
      <c r="F15" s="40"/>
      <c r="G15" s="40"/>
      <c r="H15" s="40"/>
      <c r="I15" s="40"/>
      <c r="J15" s="40"/>
      <c r="K15" s="40"/>
      <c r="L15" s="41"/>
      <c r="O15" s="23" t="s">
        <v>26</v>
      </c>
      <c r="P15" s="24"/>
      <c r="Q15" s="24"/>
      <c r="R15" s="24"/>
      <c r="S15" s="24"/>
      <c r="T15" s="24"/>
      <c r="U15" s="24"/>
      <c r="V15" s="25"/>
      <c r="Y15" s="26" t="s">
        <v>27</v>
      </c>
      <c r="Z15" s="27"/>
      <c r="AA15" s="27"/>
      <c r="AB15" s="27"/>
      <c r="AC15" s="27"/>
      <c r="AD15" s="27"/>
      <c r="AE15" s="27"/>
      <c r="AF15" s="27"/>
      <c r="AG15" s="26" t="s">
        <v>28</v>
      </c>
      <c r="AH15" s="27"/>
      <c r="AI15" s="27"/>
      <c r="AJ15" s="27"/>
      <c r="AK15" s="27"/>
      <c r="AL15" s="27"/>
      <c r="AM15" s="28"/>
    </row>
    <row r="16" spans="1:54" ht="13.5" customHeight="1">
      <c r="B16" s="38"/>
      <c r="C16" s="29"/>
      <c r="D16" s="29"/>
      <c r="E16" s="29"/>
      <c r="F16" s="29"/>
      <c r="G16" s="29"/>
      <c r="H16" s="29"/>
      <c r="I16" s="29"/>
      <c r="J16" s="29"/>
      <c r="K16" s="29"/>
      <c r="L16" s="30"/>
      <c r="O16" s="35" t="s">
        <v>29</v>
      </c>
      <c r="P16" s="29"/>
      <c r="Q16" s="29"/>
      <c r="R16" s="29"/>
      <c r="S16" s="29"/>
      <c r="T16" s="29"/>
      <c r="U16" s="29"/>
      <c r="V16" s="30"/>
      <c r="Y16" s="35" t="s">
        <v>30</v>
      </c>
      <c r="Z16" s="36"/>
      <c r="AA16" s="36"/>
      <c r="AB16" s="36"/>
      <c r="AC16" s="36"/>
      <c r="AD16" s="36"/>
      <c r="AE16" s="36"/>
      <c r="AF16" s="36"/>
      <c r="AG16" s="35" t="s">
        <v>31</v>
      </c>
      <c r="AH16" s="36"/>
      <c r="AI16" s="36"/>
      <c r="AJ16" s="36"/>
      <c r="AK16" s="36"/>
      <c r="AL16" s="36"/>
      <c r="AM16" s="37"/>
    </row>
    <row r="17" spans="2:39" ht="13.5" customHeight="1">
      <c r="B17" s="38"/>
      <c r="C17" s="29"/>
      <c r="D17" s="29"/>
      <c r="E17" s="29"/>
      <c r="F17" s="29"/>
      <c r="G17" s="29"/>
      <c r="H17" s="29"/>
      <c r="I17" s="29"/>
      <c r="J17" s="29"/>
      <c r="K17" s="29"/>
      <c r="L17" s="30"/>
      <c r="O17" s="35" t="s">
        <v>32</v>
      </c>
      <c r="P17" s="29"/>
      <c r="Q17" s="29"/>
      <c r="R17" s="29"/>
      <c r="S17" s="29"/>
      <c r="T17" s="29"/>
      <c r="U17" s="29"/>
      <c r="V17" s="30"/>
      <c r="Y17" s="35" t="s">
        <v>33</v>
      </c>
      <c r="Z17" s="36"/>
      <c r="AA17" s="36"/>
      <c r="AB17" s="36"/>
      <c r="AC17" s="36"/>
      <c r="AD17" s="36"/>
      <c r="AE17" s="36"/>
      <c r="AF17" s="36"/>
      <c r="AG17" s="35" t="s">
        <v>31</v>
      </c>
      <c r="AH17" s="36"/>
      <c r="AI17" s="36"/>
      <c r="AJ17" s="36"/>
      <c r="AK17" s="36"/>
      <c r="AL17" s="36"/>
      <c r="AM17" s="37"/>
    </row>
    <row r="18" spans="2:39" ht="13.5" customHeight="1">
      <c r="B18" s="38"/>
      <c r="C18" s="29"/>
      <c r="D18" s="29"/>
      <c r="E18" s="29"/>
      <c r="F18" s="29"/>
      <c r="G18" s="29"/>
      <c r="H18" s="29"/>
      <c r="I18" s="29"/>
      <c r="J18" s="29"/>
      <c r="K18" s="29"/>
      <c r="L18" s="30"/>
      <c r="O18" s="35" t="s">
        <v>34</v>
      </c>
      <c r="P18" s="29"/>
      <c r="Q18" s="29"/>
      <c r="R18" s="29"/>
      <c r="S18" s="29"/>
      <c r="T18" s="29"/>
      <c r="U18" s="29"/>
      <c r="V18" s="30"/>
      <c r="Y18" s="35" t="s">
        <v>35</v>
      </c>
      <c r="Z18" s="36"/>
      <c r="AA18" s="36"/>
      <c r="AB18" s="36"/>
      <c r="AC18" s="36"/>
      <c r="AD18" s="36"/>
      <c r="AE18" s="36"/>
      <c r="AF18" s="36"/>
      <c r="AG18" s="35" t="s">
        <v>36</v>
      </c>
      <c r="AH18" s="36"/>
      <c r="AI18" s="36"/>
      <c r="AJ18" s="36"/>
      <c r="AK18" s="36"/>
      <c r="AL18" s="36"/>
      <c r="AM18" s="37"/>
    </row>
    <row r="19" spans="2:39" ht="13.5" customHeight="1">
      <c r="B19" s="38"/>
      <c r="C19" s="29"/>
      <c r="D19" s="29"/>
      <c r="E19" s="29"/>
      <c r="F19" s="29"/>
      <c r="G19" s="29"/>
      <c r="H19" s="29"/>
      <c r="I19" s="29"/>
      <c r="J19" s="29"/>
      <c r="K19" s="29"/>
      <c r="L19" s="30"/>
      <c r="O19" s="35" t="s">
        <v>37</v>
      </c>
      <c r="P19" s="29"/>
      <c r="Q19" s="29"/>
      <c r="R19" s="29"/>
      <c r="S19" s="29"/>
      <c r="T19" s="29"/>
      <c r="U19" s="29"/>
      <c r="V19" s="30"/>
      <c r="Y19" s="35" t="s">
        <v>38</v>
      </c>
      <c r="Z19" s="36"/>
      <c r="AA19" s="36"/>
      <c r="AB19" s="36"/>
      <c r="AC19" s="36"/>
      <c r="AD19" s="36"/>
      <c r="AE19" s="36"/>
      <c r="AF19" s="36"/>
      <c r="AG19" s="35" t="s">
        <v>31</v>
      </c>
      <c r="AH19" s="36"/>
      <c r="AI19" s="36"/>
      <c r="AJ19" s="36"/>
      <c r="AK19" s="36"/>
      <c r="AL19" s="36"/>
      <c r="AM19" s="37"/>
    </row>
    <row r="20" spans="2:39" ht="13.5" customHeight="1">
      <c r="B20" s="38"/>
      <c r="C20" s="29"/>
      <c r="D20" s="29"/>
      <c r="E20" s="29"/>
      <c r="F20" s="29"/>
      <c r="G20" s="29"/>
      <c r="H20" s="29"/>
      <c r="I20" s="29"/>
      <c r="J20" s="29"/>
      <c r="K20" s="29"/>
      <c r="L20" s="30"/>
      <c r="O20" s="35" t="s">
        <v>39</v>
      </c>
      <c r="P20" s="29"/>
      <c r="Q20" s="29"/>
      <c r="R20" s="29"/>
      <c r="S20" s="29"/>
      <c r="T20" s="29"/>
      <c r="U20" s="29"/>
      <c r="V20" s="30"/>
      <c r="Y20" s="35" t="s">
        <v>40</v>
      </c>
      <c r="Z20" s="36"/>
      <c r="AA20" s="36"/>
      <c r="AB20" s="36"/>
      <c r="AC20" s="36"/>
      <c r="AD20" s="36"/>
      <c r="AE20" s="36"/>
      <c r="AF20" s="36"/>
      <c r="AG20" s="35" t="s">
        <v>31</v>
      </c>
      <c r="AH20" s="36"/>
      <c r="AI20" s="36"/>
      <c r="AJ20" s="36"/>
      <c r="AK20" s="36"/>
      <c r="AL20" s="36"/>
      <c r="AM20" s="37"/>
    </row>
    <row r="21" spans="2:39" ht="13.5" customHeight="1">
      <c r="B21" s="38"/>
      <c r="C21" s="29"/>
      <c r="D21" s="29"/>
      <c r="E21" s="29"/>
      <c r="F21" s="29"/>
      <c r="G21" s="29"/>
      <c r="H21" s="29"/>
      <c r="I21" s="29"/>
      <c r="J21" s="29"/>
      <c r="K21" s="29"/>
      <c r="L21" s="30"/>
      <c r="O21" s="35" t="s">
        <v>41</v>
      </c>
      <c r="P21" s="29"/>
      <c r="Q21" s="29"/>
      <c r="R21" s="29"/>
      <c r="S21" s="29"/>
      <c r="T21" s="29"/>
      <c r="U21" s="29"/>
      <c r="V21" s="30"/>
      <c r="Y21" s="35" t="s">
        <v>42</v>
      </c>
      <c r="Z21" s="36"/>
      <c r="AA21" s="36"/>
      <c r="AB21" s="36"/>
      <c r="AC21" s="36"/>
      <c r="AD21" s="36"/>
      <c r="AE21" s="36"/>
      <c r="AF21" s="36"/>
      <c r="AG21" s="35" t="s">
        <v>43</v>
      </c>
      <c r="AH21" s="36"/>
      <c r="AI21" s="36"/>
      <c r="AJ21" s="36"/>
      <c r="AK21" s="36"/>
      <c r="AL21" s="36"/>
      <c r="AM21" s="37"/>
    </row>
    <row r="22" spans="2:39" ht="13.5" customHeight="1">
      <c r="B22" s="38"/>
      <c r="C22" s="29"/>
      <c r="D22" s="29"/>
      <c r="E22" s="29"/>
      <c r="F22" s="29"/>
      <c r="G22" s="29"/>
      <c r="H22" s="29"/>
      <c r="I22" s="29"/>
      <c r="J22" s="29"/>
      <c r="K22" s="29"/>
      <c r="L22" s="30"/>
      <c r="O22" s="35" t="s">
        <v>44</v>
      </c>
      <c r="P22" s="29"/>
      <c r="Q22" s="29"/>
      <c r="R22" s="29"/>
      <c r="S22" s="29"/>
      <c r="T22" s="29"/>
      <c r="U22" s="29"/>
      <c r="V22" s="30"/>
      <c r="Y22" s="35" t="s">
        <v>45</v>
      </c>
      <c r="Z22" s="36"/>
      <c r="AA22" s="36"/>
      <c r="AB22" s="36"/>
      <c r="AC22" s="36"/>
      <c r="AD22" s="36"/>
      <c r="AE22" s="36"/>
      <c r="AF22" s="36"/>
      <c r="AG22" s="35" t="s">
        <v>46</v>
      </c>
      <c r="AH22" s="36"/>
      <c r="AI22" s="36"/>
      <c r="AJ22" s="36"/>
      <c r="AK22" s="36"/>
      <c r="AL22" s="36"/>
      <c r="AM22" s="37"/>
    </row>
    <row r="23" spans="2:39" ht="13.5" customHeight="1">
      <c r="B23" s="38"/>
      <c r="C23" s="29"/>
      <c r="D23" s="29"/>
      <c r="E23" s="29"/>
      <c r="F23" s="29"/>
      <c r="G23" s="29"/>
      <c r="H23" s="29"/>
      <c r="I23" s="29"/>
      <c r="J23" s="29"/>
      <c r="K23" s="29"/>
      <c r="L23" s="30"/>
      <c r="O23" s="35" t="s">
        <v>47</v>
      </c>
      <c r="P23" s="29"/>
      <c r="Q23" s="29"/>
      <c r="R23" s="29"/>
      <c r="S23" s="29"/>
      <c r="T23" s="29"/>
      <c r="U23" s="29"/>
      <c r="V23" s="30"/>
      <c r="Y23" s="35" t="s">
        <v>48</v>
      </c>
      <c r="Z23" s="36"/>
      <c r="AA23" s="36"/>
      <c r="AB23" s="36"/>
      <c r="AC23" s="36"/>
      <c r="AD23" s="36"/>
      <c r="AE23" s="36"/>
      <c r="AF23" s="36"/>
      <c r="AG23" s="35" t="s">
        <v>49</v>
      </c>
      <c r="AH23" s="36"/>
      <c r="AI23" s="36"/>
      <c r="AJ23" s="36"/>
      <c r="AK23" s="36"/>
      <c r="AL23" s="36"/>
      <c r="AM23" s="37"/>
    </row>
    <row r="24" spans="2:39" ht="13.5" customHeight="1">
      <c r="B24" s="38"/>
      <c r="C24" s="29"/>
      <c r="D24" s="29"/>
      <c r="E24" s="29"/>
      <c r="F24" s="29"/>
      <c r="G24" s="29"/>
      <c r="H24" s="29"/>
      <c r="I24" s="29"/>
      <c r="J24" s="29"/>
      <c r="K24" s="29"/>
      <c r="L24" s="30"/>
      <c r="Y24" s="35" t="s">
        <v>50</v>
      </c>
      <c r="Z24" s="36"/>
      <c r="AA24" s="36"/>
      <c r="AB24" s="36"/>
      <c r="AC24" s="36"/>
      <c r="AD24" s="36"/>
      <c r="AE24" s="36"/>
      <c r="AF24" s="36"/>
      <c r="AG24" s="35" t="s">
        <v>36</v>
      </c>
      <c r="AH24" s="36"/>
      <c r="AI24" s="36"/>
      <c r="AJ24" s="36"/>
      <c r="AK24" s="36"/>
      <c r="AL24" s="36"/>
      <c r="AM24" s="37"/>
    </row>
    <row r="25" spans="2:39" ht="13.5" customHeight="1">
      <c r="B25" s="38"/>
      <c r="C25" s="29"/>
      <c r="D25" s="29"/>
      <c r="E25" s="29"/>
      <c r="F25" s="29"/>
      <c r="G25" s="29"/>
      <c r="H25" s="29"/>
      <c r="I25" s="29"/>
      <c r="J25" s="29"/>
      <c r="K25" s="29"/>
      <c r="L25" s="30"/>
      <c r="Y25" s="35" t="s">
        <v>51</v>
      </c>
      <c r="Z25" s="36"/>
      <c r="AA25" s="36"/>
      <c r="AB25" s="36"/>
      <c r="AC25" s="36"/>
      <c r="AD25" s="36"/>
      <c r="AE25" s="36"/>
      <c r="AF25" s="36"/>
      <c r="AG25" s="35" t="s">
        <v>52</v>
      </c>
      <c r="AH25" s="36"/>
      <c r="AI25" s="36"/>
      <c r="AJ25" s="36"/>
      <c r="AK25" s="36"/>
      <c r="AL25" s="36"/>
      <c r="AM25" s="37"/>
    </row>
    <row r="26" spans="2:39" ht="13.5" customHeight="1">
      <c r="B26" s="38"/>
      <c r="C26" s="29"/>
      <c r="D26" s="29"/>
      <c r="E26" s="29"/>
      <c r="F26" s="29"/>
      <c r="G26" s="29"/>
      <c r="H26" s="29"/>
      <c r="I26" s="29"/>
      <c r="J26" s="29"/>
      <c r="K26" s="29"/>
      <c r="L26" s="30"/>
      <c r="Y26" s="35" t="s">
        <v>53</v>
      </c>
      <c r="Z26" s="36"/>
      <c r="AA26" s="36"/>
      <c r="AB26" s="36"/>
      <c r="AC26" s="36"/>
      <c r="AD26" s="36"/>
      <c r="AE26" s="36"/>
      <c r="AF26" s="36"/>
      <c r="AG26" s="35" t="s">
        <v>54</v>
      </c>
      <c r="AH26" s="36"/>
      <c r="AI26" s="36"/>
      <c r="AJ26" s="36"/>
      <c r="AK26" s="36"/>
      <c r="AL26" s="36"/>
      <c r="AM26" s="37"/>
    </row>
    <row r="27" spans="2:39" ht="13.5" customHeight="1">
      <c r="B27" s="38"/>
      <c r="C27" s="29"/>
      <c r="D27" s="29"/>
      <c r="E27" s="29"/>
      <c r="F27" s="29"/>
      <c r="G27" s="29"/>
      <c r="H27" s="29"/>
      <c r="I27" s="29"/>
      <c r="J27" s="29"/>
      <c r="K27" s="29"/>
      <c r="L27" s="30"/>
    </row>
    <row r="28" spans="2:39" ht="13.5" customHeight="1">
      <c r="B28" s="38"/>
      <c r="C28" s="29"/>
      <c r="D28" s="29"/>
      <c r="E28" s="29"/>
      <c r="F28" s="29"/>
      <c r="G28" s="29"/>
      <c r="H28" s="29"/>
      <c r="I28" s="29"/>
      <c r="J28" s="29"/>
      <c r="K28" s="29"/>
      <c r="L28" s="30"/>
    </row>
  </sheetData>
  <mergeCells count="34">
    <mergeCell ref="AA4:AR4"/>
    <mergeCell ref="AS4:AW4"/>
    <mergeCell ref="AX4:BB4"/>
    <mergeCell ref="AU11:AX11"/>
    <mergeCell ref="D5:O5"/>
    <mergeCell ref="AQ11:AT11"/>
    <mergeCell ref="A5:C5"/>
    <mergeCell ref="AA11:AD11"/>
    <mergeCell ref="AE11:AH11"/>
    <mergeCell ref="AI11:AL11"/>
    <mergeCell ref="AM11:AP11"/>
    <mergeCell ref="W11:Z11"/>
    <mergeCell ref="A11:D11"/>
    <mergeCell ref="E11:H11"/>
    <mergeCell ref="K11:N11"/>
    <mergeCell ref="O11:R11"/>
    <mergeCell ref="S11:V11"/>
    <mergeCell ref="A6:C6"/>
    <mergeCell ref="D6:O6"/>
    <mergeCell ref="I11:J11"/>
    <mergeCell ref="AS2:AW3"/>
    <mergeCell ref="AX2:BB3"/>
    <mergeCell ref="AS1:AW1"/>
    <mergeCell ref="AX1:BB1"/>
    <mergeCell ref="U2:Z3"/>
    <mergeCell ref="U1:Z1"/>
    <mergeCell ref="A2:H3"/>
    <mergeCell ref="I2:O3"/>
    <mergeCell ref="P2:T3"/>
    <mergeCell ref="AA2:AR3"/>
    <mergeCell ref="A1:H1"/>
    <mergeCell ref="I1:O1"/>
    <mergeCell ref="P1:T1"/>
    <mergeCell ref="AA1:AR1"/>
  </mergeCells>
  <phoneticPr fontId="57"/>
  <dataValidations count="1">
    <dataValidation type="list" allowBlank="1" showInputMessage="1" showErrorMessage="1" sqref="D5:O5" xr:uid="{00000000-0002-0000-0000-000000000000}">
      <formula1>業務</formula1>
    </dataValidation>
  </dataValidations>
  <pageMargins left="0.35" right="0.39370078740157483" top="0.59055118110236227" bottom="0.59055118110236227" header="0.39370078740157483" footer="0.35433070866141736"/>
  <pageSetup paperSize="9" scale="92" fitToHeight="0" orientation="landscape" r:id="rId1"/>
  <headerFooter alignWithMargins="0">
    <oddHeader>&amp;R&amp;8出力日：&amp;D</oddHeader>
    <oddFooter>&amp;C&amp;8&amp;P / &amp;N &amp;R&amp;8&amp;F</oddFooter>
  </headerFooter>
  <colBreaks count="1" manualBreakCount="1">
    <brk id="54" max="27"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O56"/>
  <sheetViews>
    <sheetView showGridLines="0" tabSelected="1" view="pageBreakPreview" zoomScaleNormal="100" zoomScaleSheetLayoutView="100" workbookViewId="0">
      <pane ySplit="5" topLeftCell="A6" activePane="bottomLeft" state="frozenSplit"/>
      <selection activeCell="AA4" sqref="AA4:AR4"/>
      <selection pane="bottomLeft" activeCell="E6" sqref="E6"/>
    </sheetView>
  </sheetViews>
  <sheetFormatPr defaultColWidth="3.69921875" defaultRowHeight="11"/>
  <cols>
    <col min="1" max="1" width="4.3984375" style="2" bestFit="1" customWidth="1"/>
    <col min="2" max="2" width="3.8984375" style="2" bestFit="1" customWidth="1"/>
    <col min="3" max="3" width="11" style="2" bestFit="1" customWidth="1"/>
    <col min="4" max="4" width="10.69921875" style="2" bestFit="1" customWidth="1"/>
    <col min="5" max="5" width="53.69921875" style="2" customWidth="1"/>
    <col min="6" max="6" width="16" style="2" bestFit="1" customWidth="1"/>
    <col min="7" max="7" width="20.69921875" style="2" bestFit="1" customWidth="1"/>
    <col min="8" max="8" width="5.69921875" style="2" bestFit="1" customWidth="1"/>
    <col min="9" max="9" width="50.69921875" style="2" customWidth="1"/>
    <col min="10" max="10" width="11" style="2" bestFit="1" customWidth="1"/>
    <col min="11" max="11" width="10.69921875" style="2" bestFit="1" customWidth="1"/>
    <col min="12" max="12" width="5.69921875" style="2" bestFit="1" customWidth="1"/>
    <col min="13" max="13" width="11" style="2" bestFit="1" customWidth="1"/>
    <col min="14" max="16384" width="3.69921875" style="2"/>
  </cols>
  <sheetData>
    <row r="1" spans="1:15" s="1" customFormat="1" ht="13.5" customHeight="1">
      <c r="A1" s="2"/>
      <c r="B1" s="2"/>
      <c r="C1" s="2"/>
      <c r="D1" s="2"/>
      <c r="E1" s="2"/>
      <c r="F1" s="2"/>
      <c r="G1" s="2"/>
      <c r="H1" s="2"/>
      <c r="I1" s="2"/>
      <c r="J1" s="2"/>
      <c r="K1" s="2"/>
      <c r="L1" s="2"/>
      <c r="M1" s="2"/>
    </row>
    <row r="2" spans="1:15" s="1" customFormat="1" ht="13.5" customHeight="1">
      <c r="A2" s="2"/>
      <c r="B2" s="2"/>
      <c r="C2" s="2"/>
      <c r="D2" s="2"/>
      <c r="E2" s="2"/>
      <c r="F2" s="2"/>
      <c r="G2" s="2"/>
      <c r="H2" s="2"/>
      <c r="I2" s="2"/>
      <c r="J2" s="2"/>
      <c r="K2" s="2"/>
      <c r="L2" s="2"/>
      <c r="M2" s="2"/>
    </row>
    <row r="3" spans="1:15" s="1" customFormat="1" ht="13.5" customHeight="1">
      <c r="A3" s="2"/>
      <c r="B3" s="2"/>
      <c r="C3" s="2"/>
      <c r="D3" s="2"/>
      <c r="E3" s="2"/>
      <c r="F3" s="2"/>
      <c r="G3" s="2"/>
      <c r="H3" s="2"/>
      <c r="I3" s="2"/>
      <c r="J3" s="2"/>
      <c r="K3" s="2"/>
      <c r="L3" s="2"/>
      <c r="M3" s="2"/>
    </row>
    <row r="4" spans="1:15" s="1" customFormat="1" ht="13.5" customHeight="1">
      <c r="A4" s="2"/>
      <c r="B4" s="2"/>
      <c r="C4" s="2"/>
      <c r="D4" s="2"/>
      <c r="E4" s="2"/>
      <c r="F4" s="2"/>
      <c r="G4" s="2"/>
      <c r="H4" s="2"/>
      <c r="I4" s="2"/>
      <c r="J4" s="2"/>
      <c r="K4" s="2"/>
      <c r="L4" s="2"/>
      <c r="M4" s="2"/>
    </row>
    <row r="5" spans="1:15" ht="22">
      <c r="A5" s="3" t="s">
        <v>55</v>
      </c>
      <c r="B5" s="3" t="s">
        <v>56</v>
      </c>
      <c r="C5" s="3" t="s">
        <v>57</v>
      </c>
      <c r="D5" s="3" t="s">
        <v>58</v>
      </c>
      <c r="E5" s="3" t="s">
        <v>59</v>
      </c>
      <c r="F5" s="4" t="s">
        <v>60</v>
      </c>
      <c r="G5" s="5" t="s">
        <v>61</v>
      </c>
      <c r="H5" s="6" t="s">
        <v>62</v>
      </c>
      <c r="I5" s="7" t="s">
        <v>63</v>
      </c>
      <c r="J5" s="6" t="s">
        <v>64</v>
      </c>
      <c r="K5" s="3" t="s">
        <v>65</v>
      </c>
      <c r="L5" s="3" t="s">
        <v>66</v>
      </c>
      <c r="M5" s="3" t="s">
        <v>67</v>
      </c>
      <c r="N5" s="8"/>
    </row>
    <row r="6" spans="1:15" ht="88">
      <c r="A6" s="9">
        <f>ROW()-5</f>
        <v>1</v>
      </c>
      <c r="B6" s="10"/>
      <c r="C6" s="11">
        <v>45800</v>
      </c>
      <c r="D6" s="10" t="s">
        <v>68</v>
      </c>
      <c r="E6" s="12" t="s">
        <v>69</v>
      </c>
      <c r="F6" s="12" t="s">
        <v>29</v>
      </c>
      <c r="G6" s="12" t="s">
        <v>70</v>
      </c>
      <c r="H6" s="10" t="s">
        <v>102</v>
      </c>
      <c r="I6" s="12" t="s">
        <v>103</v>
      </c>
      <c r="J6" s="11">
        <v>45803</v>
      </c>
      <c r="K6" s="42"/>
      <c r="L6" s="10"/>
      <c r="M6" s="11"/>
    </row>
    <row r="7" spans="1:15" ht="44">
      <c r="A7" s="9">
        <f t="shared" ref="A7:A56" si="0">ROW()-5</f>
        <v>2</v>
      </c>
      <c r="B7" s="10"/>
      <c r="C7" s="11">
        <v>45800</v>
      </c>
      <c r="D7" s="10" t="s">
        <v>68</v>
      </c>
      <c r="E7" s="12" t="s">
        <v>71</v>
      </c>
      <c r="F7" s="12" t="s">
        <v>29</v>
      </c>
      <c r="G7" s="12" t="s">
        <v>70</v>
      </c>
      <c r="H7" s="10" t="s">
        <v>102</v>
      </c>
      <c r="I7" s="12" t="s">
        <v>104</v>
      </c>
      <c r="J7" s="11"/>
      <c r="K7" s="42"/>
      <c r="L7" s="10"/>
      <c r="M7" s="11"/>
    </row>
    <row r="8" spans="1:15" ht="44">
      <c r="A8" s="9">
        <f t="shared" si="0"/>
        <v>3</v>
      </c>
      <c r="B8" s="10"/>
      <c r="C8" s="11">
        <v>45800</v>
      </c>
      <c r="D8" s="10" t="s">
        <v>68</v>
      </c>
      <c r="E8" s="12" t="s">
        <v>72</v>
      </c>
      <c r="F8" s="12" t="s">
        <v>29</v>
      </c>
      <c r="G8" s="12" t="s">
        <v>70</v>
      </c>
      <c r="H8" s="10"/>
      <c r="I8" s="12"/>
      <c r="J8" s="11"/>
      <c r="K8" s="42"/>
      <c r="L8" s="10"/>
      <c r="M8" s="11"/>
      <c r="O8" s="2" t="s">
        <v>105</v>
      </c>
    </row>
    <row r="9" spans="1:15" ht="55">
      <c r="A9" s="9">
        <f t="shared" si="0"/>
        <v>4</v>
      </c>
      <c r="B9" s="10"/>
      <c r="C9" s="11">
        <v>45800</v>
      </c>
      <c r="D9" s="10" t="s">
        <v>68</v>
      </c>
      <c r="E9" s="12" t="s">
        <v>73</v>
      </c>
      <c r="F9" s="12" t="s">
        <v>29</v>
      </c>
      <c r="G9" s="12" t="s">
        <v>70</v>
      </c>
      <c r="H9" s="10"/>
      <c r="I9" s="12"/>
      <c r="J9" s="11"/>
      <c r="K9" s="42"/>
      <c r="L9" s="10"/>
      <c r="M9" s="11"/>
      <c r="O9" s="2" t="s">
        <v>105</v>
      </c>
    </row>
    <row r="10" spans="1:15" ht="77">
      <c r="A10" s="9">
        <f t="shared" si="0"/>
        <v>5</v>
      </c>
      <c r="B10" s="10"/>
      <c r="C10" s="11">
        <v>45800</v>
      </c>
      <c r="D10" s="10" t="s">
        <v>68</v>
      </c>
      <c r="E10" s="12" t="s">
        <v>74</v>
      </c>
      <c r="F10" s="12" t="s">
        <v>32</v>
      </c>
      <c r="G10" s="12" t="s">
        <v>33</v>
      </c>
      <c r="H10" s="10"/>
      <c r="I10" s="12"/>
      <c r="J10" s="11"/>
      <c r="K10" s="42"/>
      <c r="L10" s="10"/>
      <c r="M10" s="11"/>
    </row>
    <row r="11" spans="1:15" ht="99">
      <c r="A11" s="9">
        <f t="shared" si="0"/>
        <v>6</v>
      </c>
      <c r="B11" s="10"/>
      <c r="C11" s="11">
        <v>45800</v>
      </c>
      <c r="D11" s="10" t="s">
        <v>68</v>
      </c>
      <c r="E11" s="12" t="s">
        <v>75</v>
      </c>
      <c r="F11" s="12" t="s">
        <v>29</v>
      </c>
      <c r="G11" s="12" t="s">
        <v>70</v>
      </c>
      <c r="H11" s="10"/>
      <c r="I11" s="12"/>
      <c r="J11" s="11"/>
      <c r="K11" s="10"/>
      <c r="L11" s="10"/>
      <c r="M11" s="11"/>
    </row>
    <row r="12" spans="1:15" ht="44">
      <c r="A12" s="9">
        <f t="shared" si="0"/>
        <v>7</v>
      </c>
      <c r="B12" s="10"/>
      <c r="C12" s="11">
        <v>45800</v>
      </c>
      <c r="D12" s="10" t="s">
        <v>68</v>
      </c>
      <c r="E12" s="12" t="s">
        <v>76</v>
      </c>
      <c r="F12" s="12" t="s">
        <v>29</v>
      </c>
      <c r="G12" s="12" t="s">
        <v>70</v>
      </c>
      <c r="H12" s="10"/>
      <c r="I12" s="12"/>
      <c r="J12" s="11"/>
      <c r="K12" s="10"/>
      <c r="L12" s="10"/>
      <c r="M12" s="11"/>
    </row>
    <row r="13" spans="1:15" ht="209">
      <c r="A13" s="9">
        <f t="shared" si="0"/>
        <v>8</v>
      </c>
      <c r="B13" s="10"/>
      <c r="C13" s="11">
        <v>45800</v>
      </c>
      <c r="D13" s="10" t="s">
        <v>68</v>
      </c>
      <c r="E13" s="12" t="s">
        <v>77</v>
      </c>
      <c r="F13" s="12" t="s">
        <v>32</v>
      </c>
      <c r="G13" s="12" t="s">
        <v>33</v>
      </c>
      <c r="H13" s="10"/>
      <c r="I13" s="12"/>
      <c r="J13" s="11"/>
      <c r="K13" s="10"/>
      <c r="L13" s="10"/>
      <c r="M13" s="11"/>
    </row>
    <row r="14" spans="1:15" ht="55">
      <c r="A14" s="9">
        <f t="shared" si="0"/>
        <v>9</v>
      </c>
      <c r="B14" s="10"/>
      <c r="C14" s="11">
        <v>45800</v>
      </c>
      <c r="D14" s="10" t="s">
        <v>68</v>
      </c>
      <c r="E14" s="12" t="s">
        <v>78</v>
      </c>
      <c r="F14" s="12" t="s">
        <v>29</v>
      </c>
      <c r="G14" s="12" t="s">
        <v>70</v>
      </c>
      <c r="H14" s="10"/>
      <c r="I14" s="12"/>
      <c r="J14" s="11"/>
      <c r="K14" s="10"/>
      <c r="L14" s="10"/>
      <c r="M14" s="11"/>
    </row>
    <row r="15" spans="1:15" ht="143">
      <c r="A15" s="9">
        <f t="shared" si="0"/>
        <v>10</v>
      </c>
      <c r="B15" s="10"/>
      <c r="C15" s="11">
        <v>45800</v>
      </c>
      <c r="D15" s="10" t="s">
        <v>68</v>
      </c>
      <c r="E15" s="12" t="s">
        <v>79</v>
      </c>
      <c r="F15" s="12" t="s">
        <v>32</v>
      </c>
      <c r="G15" s="12" t="s">
        <v>70</v>
      </c>
      <c r="H15" s="10"/>
      <c r="I15" s="12"/>
      <c r="J15" s="11"/>
      <c r="K15" s="10"/>
      <c r="L15" s="10"/>
      <c r="M15" s="11"/>
    </row>
    <row r="16" spans="1:15" ht="77">
      <c r="A16" s="9">
        <f t="shared" si="0"/>
        <v>11</v>
      </c>
      <c r="B16" s="10"/>
      <c r="C16" s="11">
        <v>45800</v>
      </c>
      <c r="D16" s="10" t="s">
        <v>68</v>
      </c>
      <c r="E16" s="12" t="s">
        <v>80</v>
      </c>
      <c r="F16" s="12" t="s">
        <v>32</v>
      </c>
      <c r="G16" s="12" t="s">
        <v>70</v>
      </c>
      <c r="H16" s="10"/>
      <c r="I16" s="12"/>
      <c r="J16" s="10"/>
      <c r="K16" s="10"/>
      <c r="L16" s="10"/>
      <c r="M16" s="10"/>
    </row>
    <row r="17" spans="1:13" ht="88">
      <c r="A17" s="9">
        <f t="shared" si="0"/>
        <v>12</v>
      </c>
      <c r="B17" s="10"/>
      <c r="C17" s="11">
        <v>45800</v>
      </c>
      <c r="D17" s="10" t="s">
        <v>68</v>
      </c>
      <c r="E17" s="12" t="s">
        <v>81</v>
      </c>
      <c r="F17" s="12" t="s">
        <v>32</v>
      </c>
      <c r="G17" s="12" t="s">
        <v>70</v>
      </c>
      <c r="H17" s="10"/>
      <c r="I17" s="12"/>
      <c r="J17" s="10"/>
      <c r="K17" s="10"/>
      <c r="L17" s="10"/>
      <c r="M17" s="10"/>
    </row>
    <row r="18" spans="1:13" ht="99">
      <c r="A18" s="9">
        <f t="shared" si="0"/>
        <v>13</v>
      </c>
      <c r="B18" s="10"/>
      <c r="C18" s="11">
        <v>45800</v>
      </c>
      <c r="D18" s="10" t="s">
        <v>68</v>
      </c>
      <c r="E18" s="12" t="s">
        <v>82</v>
      </c>
      <c r="F18" s="12" t="s">
        <v>32</v>
      </c>
      <c r="G18" s="12" t="s">
        <v>70</v>
      </c>
      <c r="H18" s="10"/>
      <c r="I18" s="12"/>
      <c r="J18" s="10"/>
      <c r="K18" s="10"/>
      <c r="L18" s="10"/>
      <c r="M18" s="10"/>
    </row>
    <row r="19" spans="1:13" ht="44">
      <c r="A19" s="9">
        <f t="shared" si="0"/>
        <v>14</v>
      </c>
      <c r="B19" s="10"/>
      <c r="C19" s="11">
        <v>45800</v>
      </c>
      <c r="D19" s="10" t="s">
        <v>68</v>
      </c>
      <c r="E19" s="12" t="s">
        <v>83</v>
      </c>
      <c r="F19" s="12" t="s">
        <v>32</v>
      </c>
      <c r="G19" s="12" t="s">
        <v>70</v>
      </c>
      <c r="H19" s="10"/>
      <c r="I19" s="12"/>
      <c r="J19" s="10"/>
      <c r="K19" s="10"/>
      <c r="L19" s="10"/>
      <c r="M19" s="10"/>
    </row>
    <row r="20" spans="1:13" ht="55">
      <c r="A20" s="9">
        <f t="shared" si="0"/>
        <v>15</v>
      </c>
      <c r="B20" s="10"/>
      <c r="C20" s="11">
        <v>45800</v>
      </c>
      <c r="D20" s="10" t="s">
        <v>68</v>
      </c>
      <c r="E20" s="12" t="s">
        <v>84</v>
      </c>
      <c r="F20" s="12" t="s">
        <v>32</v>
      </c>
      <c r="G20" s="12" t="s">
        <v>70</v>
      </c>
      <c r="H20" s="10"/>
      <c r="I20" s="12"/>
      <c r="J20" s="10"/>
      <c r="K20" s="10"/>
      <c r="L20" s="10"/>
      <c r="M20" s="10"/>
    </row>
    <row r="21" spans="1:13" ht="55">
      <c r="A21" s="9">
        <f t="shared" si="0"/>
        <v>16</v>
      </c>
      <c r="B21" s="10"/>
      <c r="C21" s="11">
        <v>45800</v>
      </c>
      <c r="D21" s="10" t="s">
        <v>68</v>
      </c>
      <c r="E21" s="12" t="s">
        <v>85</v>
      </c>
      <c r="F21" s="12" t="s">
        <v>32</v>
      </c>
      <c r="G21" s="12" t="s">
        <v>70</v>
      </c>
      <c r="H21" s="10"/>
      <c r="I21" s="12"/>
      <c r="J21" s="10"/>
      <c r="K21" s="10"/>
      <c r="L21" s="10"/>
      <c r="M21" s="10"/>
    </row>
    <row r="22" spans="1:13" ht="66">
      <c r="A22" s="9">
        <f t="shared" si="0"/>
        <v>17</v>
      </c>
      <c r="B22" s="10"/>
      <c r="C22" s="11">
        <v>45800</v>
      </c>
      <c r="D22" s="10" t="s">
        <v>68</v>
      </c>
      <c r="E22" s="12" t="s">
        <v>86</v>
      </c>
      <c r="F22" s="12" t="s">
        <v>32</v>
      </c>
      <c r="G22" s="12" t="s">
        <v>70</v>
      </c>
      <c r="H22" s="10"/>
      <c r="I22" s="12"/>
      <c r="J22" s="10"/>
      <c r="K22" s="10"/>
      <c r="L22" s="10"/>
      <c r="M22" s="10"/>
    </row>
    <row r="23" spans="1:13" ht="44">
      <c r="A23" s="9">
        <f t="shared" si="0"/>
        <v>18</v>
      </c>
      <c r="B23" s="10"/>
      <c r="C23" s="11">
        <v>45800</v>
      </c>
      <c r="D23" s="10" t="s">
        <v>68</v>
      </c>
      <c r="E23" s="12" t="s">
        <v>87</v>
      </c>
      <c r="F23" s="12" t="s">
        <v>32</v>
      </c>
      <c r="G23" s="12" t="s">
        <v>70</v>
      </c>
      <c r="H23" s="10"/>
      <c r="I23" s="12"/>
      <c r="J23" s="10"/>
      <c r="K23" s="10"/>
      <c r="L23" s="10"/>
      <c r="M23" s="10"/>
    </row>
    <row r="24" spans="1:13" ht="55">
      <c r="A24" s="9">
        <f t="shared" si="0"/>
        <v>19</v>
      </c>
      <c r="B24" s="10"/>
      <c r="C24" s="11">
        <v>45800</v>
      </c>
      <c r="D24" s="10" t="s">
        <v>68</v>
      </c>
      <c r="E24" s="12" t="s">
        <v>88</v>
      </c>
      <c r="F24" s="12" t="s">
        <v>32</v>
      </c>
      <c r="G24" s="12" t="s">
        <v>70</v>
      </c>
      <c r="H24" s="10"/>
      <c r="I24" s="12"/>
      <c r="J24" s="10"/>
      <c r="K24" s="10"/>
      <c r="L24" s="10"/>
      <c r="M24" s="10"/>
    </row>
    <row r="25" spans="1:13" ht="44">
      <c r="A25" s="9">
        <f t="shared" si="0"/>
        <v>20</v>
      </c>
      <c r="B25" s="10"/>
      <c r="C25" s="11">
        <v>45800</v>
      </c>
      <c r="D25" s="10" t="s">
        <v>68</v>
      </c>
      <c r="E25" s="12" t="s">
        <v>89</v>
      </c>
      <c r="F25" s="12" t="s">
        <v>32</v>
      </c>
      <c r="G25" s="12" t="s">
        <v>70</v>
      </c>
      <c r="H25" s="10"/>
      <c r="I25" s="12"/>
      <c r="J25" s="10"/>
      <c r="K25" s="10"/>
      <c r="L25" s="10"/>
      <c r="M25" s="10"/>
    </row>
    <row r="26" spans="1:13" ht="77">
      <c r="A26" s="9">
        <f t="shared" si="0"/>
        <v>21</v>
      </c>
      <c r="B26" s="10"/>
      <c r="C26" s="11">
        <v>45800</v>
      </c>
      <c r="D26" s="10" t="s">
        <v>68</v>
      </c>
      <c r="E26" s="12" t="s">
        <v>90</v>
      </c>
      <c r="F26" s="12" t="s">
        <v>32</v>
      </c>
      <c r="G26" s="12" t="s">
        <v>70</v>
      </c>
      <c r="H26" s="10"/>
      <c r="I26" s="12"/>
      <c r="J26" s="10"/>
      <c r="K26" s="10"/>
      <c r="L26" s="10"/>
      <c r="M26" s="10"/>
    </row>
    <row r="27" spans="1:13" ht="44">
      <c r="A27" s="9">
        <f t="shared" si="0"/>
        <v>22</v>
      </c>
      <c r="B27" s="10"/>
      <c r="C27" s="11">
        <v>45800</v>
      </c>
      <c r="D27" s="10" t="s">
        <v>68</v>
      </c>
      <c r="E27" s="12" t="s">
        <v>91</v>
      </c>
      <c r="F27" s="12" t="s">
        <v>32</v>
      </c>
      <c r="G27" s="12" t="s">
        <v>70</v>
      </c>
      <c r="H27" s="10"/>
      <c r="I27" s="12"/>
      <c r="J27" s="10"/>
      <c r="K27" s="10"/>
      <c r="L27" s="10"/>
      <c r="M27" s="10"/>
    </row>
    <row r="28" spans="1:13" ht="44">
      <c r="A28" s="9">
        <f t="shared" si="0"/>
        <v>23</v>
      </c>
      <c r="B28" s="10"/>
      <c r="C28" s="11">
        <v>45800</v>
      </c>
      <c r="D28" s="10" t="s">
        <v>68</v>
      </c>
      <c r="E28" s="12" t="s">
        <v>92</v>
      </c>
      <c r="F28" s="12" t="s">
        <v>32</v>
      </c>
      <c r="G28" s="12" t="s">
        <v>70</v>
      </c>
      <c r="H28" s="10"/>
      <c r="I28" s="12"/>
      <c r="J28" s="10"/>
      <c r="K28" s="10"/>
      <c r="L28" s="10"/>
      <c r="M28" s="10"/>
    </row>
    <row r="29" spans="1:13" ht="44">
      <c r="A29" s="9">
        <f t="shared" si="0"/>
        <v>24</v>
      </c>
      <c r="B29" s="10"/>
      <c r="C29" s="11">
        <v>45800</v>
      </c>
      <c r="D29" s="10" t="s">
        <v>68</v>
      </c>
      <c r="E29" s="12" t="s">
        <v>93</v>
      </c>
      <c r="F29" s="12" t="s">
        <v>32</v>
      </c>
      <c r="G29" s="12" t="s">
        <v>70</v>
      </c>
      <c r="H29" s="10"/>
      <c r="I29" s="12"/>
      <c r="J29" s="10"/>
      <c r="K29" s="10"/>
      <c r="L29" s="10"/>
      <c r="M29" s="10"/>
    </row>
    <row r="30" spans="1:13" ht="44">
      <c r="A30" s="9">
        <f t="shared" si="0"/>
        <v>25</v>
      </c>
      <c r="B30" s="10"/>
      <c r="C30" s="11">
        <v>45800</v>
      </c>
      <c r="D30" s="10" t="s">
        <v>68</v>
      </c>
      <c r="E30" s="12" t="s">
        <v>94</v>
      </c>
      <c r="F30" s="12" t="s">
        <v>32</v>
      </c>
      <c r="G30" s="12" t="s">
        <v>70</v>
      </c>
      <c r="H30" s="10"/>
      <c r="I30" s="12"/>
      <c r="J30" s="10"/>
      <c r="K30" s="10"/>
      <c r="L30" s="10"/>
      <c r="M30" s="10"/>
    </row>
    <row r="31" spans="1:13" ht="44">
      <c r="A31" s="9">
        <f t="shared" si="0"/>
        <v>26</v>
      </c>
      <c r="B31" s="10"/>
      <c r="C31" s="11">
        <v>45800</v>
      </c>
      <c r="D31" s="10" t="s">
        <v>68</v>
      </c>
      <c r="E31" s="12" t="s">
        <v>95</v>
      </c>
      <c r="F31" s="12" t="s">
        <v>32</v>
      </c>
      <c r="G31" s="12" t="s">
        <v>70</v>
      </c>
      <c r="H31" s="10"/>
      <c r="I31" s="12"/>
      <c r="J31" s="11"/>
      <c r="K31" s="42"/>
      <c r="L31" s="10"/>
      <c r="M31" s="11"/>
    </row>
    <row r="32" spans="1:13" ht="55">
      <c r="A32" s="9">
        <f t="shared" si="0"/>
        <v>27</v>
      </c>
      <c r="B32" s="10"/>
      <c r="C32" s="11">
        <v>45800</v>
      </c>
      <c r="D32" s="10" t="s">
        <v>68</v>
      </c>
      <c r="E32" s="12" t="s">
        <v>96</v>
      </c>
      <c r="F32" s="12" t="s">
        <v>32</v>
      </c>
      <c r="G32" s="12" t="s">
        <v>70</v>
      </c>
      <c r="H32" s="10"/>
      <c r="I32" s="12"/>
      <c r="J32" s="11"/>
      <c r="K32" s="10"/>
      <c r="L32" s="10"/>
      <c r="M32" s="11"/>
    </row>
    <row r="33" spans="1:13" ht="44">
      <c r="A33" s="9">
        <f t="shared" si="0"/>
        <v>28</v>
      </c>
      <c r="B33" s="10"/>
      <c r="C33" s="11">
        <v>45800</v>
      </c>
      <c r="D33" s="10" t="s">
        <v>68</v>
      </c>
      <c r="E33" s="12" t="s">
        <v>97</v>
      </c>
      <c r="F33" s="12" t="s">
        <v>32</v>
      </c>
      <c r="G33" s="12" t="s">
        <v>70</v>
      </c>
      <c r="H33" s="10"/>
      <c r="I33" s="12"/>
      <c r="J33" s="11"/>
      <c r="K33" s="10"/>
      <c r="L33" s="10"/>
      <c r="M33" s="11"/>
    </row>
    <row r="34" spans="1:13" ht="44">
      <c r="A34" s="9">
        <f t="shared" si="0"/>
        <v>29</v>
      </c>
      <c r="B34" s="10"/>
      <c r="C34" s="11">
        <v>45800</v>
      </c>
      <c r="D34" s="10" t="s">
        <v>68</v>
      </c>
      <c r="E34" s="12" t="s">
        <v>98</v>
      </c>
      <c r="F34" s="12" t="s">
        <v>32</v>
      </c>
      <c r="G34" s="12" t="s">
        <v>70</v>
      </c>
      <c r="H34" s="10"/>
      <c r="I34" s="12"/>
      <c r="J34" s="11"/>
      <c r="K34" s="10"/>
      <c r="L34" s="10"/>
      <c r="M34" s="11"/>
    </row>
    <row r="35" spans="1:13" ht="44">
      <c r="A35" s="9">
        <f t="shared" si="0"/>
        <v>30</v>
      </c>
      <c r="B35" s="10"/>
      <c r="C35" s="11">
        <v>45800</v>
      </c>
      <c r="D35" s="10" t="s">
        <v>68</v>
      </c>
      <c r="E35" s="12" t="s">
        <v>99</v>
      </c>
      <c r="F35" s="12" t="s">
        <v>32</v>
      </c>
      <c r="G35" s="12" t="s">
        <v>70</v>
      </c>
      <c r="H35" s="10"/>
      <c r="I35" s="12"/>
      <c r="J35" s="11"/>
      <c r="K35" s="10"/>
      <c r="L35" s="10"/>
      <c r="M35" s="11"/>
    </row>
    <row r="36" spans="1:13" ht="44">
      <c r="A36" s="9">
        <f t="shared" si="0"/>
        <v>31</v>
      </c>
      <c r="B36" s="10"/>
      <c r="C36" s="11">
        <v>45800</v>
      </c>
      <c r="D36" s="10" t="s">
        <v>68</v>
      </c>
      <c r="E36" s="12" t="s">
        <v>100</v>
      </c>
      <c r="F36" s="12" t="s">
        <v>32</v>
      </c>
      <c r="G36" s="12" t="s">
        <v>70</v>
      </c>
      <c r="H36" s="10"/>
      <c r="I36" s="12"/>
      <c r="J36" s="11"/>
      <c r="K36" s="10"/>
      <c r="L36" s="10"/>
      <c r="M36" s="11"/>
    </row>
    <row r="37" spans="1:13" ht="44">
      <c r="A37" s="9">
        <f t="shared" si="0"/>
        <v>32</v>
      </c>
      <c r="B37" s="10"/>
      <c r="C37" s="11">
        <v>45800</v>
      </c>
      <c r="D37" s="10" t="s">
        <v>68</v>
      </c>
      <c r="E37" s="12" t="s">
        <v>101</v>
      </c>
      <c r="F37" s="12" t="s">
        <v>32</v>
      </c>
      <c r="G37" s="12" t="s">
        <v>70</v>
      </c>
      <c r="H37" s="10"/>
      <c r="I37" s="12"/>
      <c r="J37" s="10"/>
      <c r="K37" s="10"/>
      <c r="L37" s="10"/>
      <c r="M37" s="10"/>
    </row>
    <row r="38" spans="1:13">
      <c r="A38" s="9">
        <f t="shared" si="0"/>
        <v>33</v>
      </c>
      <c r="B38" s="10"/>
      <c r="C38" s="10"/>
      <c r="D38" s="10"/>
      <c r="E38" s="12"/>
      <c r="F38" s="12"/>
      <c r="G38" s="12"/>
      <c r="H38" s="10"/>
      <c r="I38" s="12"/>
      <c r="J38" s="10"/>
      <c r="K38" s="10"/>
      <c r="L38" s="10"/>
      <c r="M38" s="10"/>
    </row>
    <row r="39" spans="1:13">
      <c r="A39" s="9">
        <f t="shared" si="0"/>
        <v>34</v>
      </c>
      <c r="B39" s="10"/>
      <c r="C39" s="10"/>
      <c r="D39" s="10"/>
      <c r="E39" s="12"/>
      <c r="F39" s="12"/>
      <c r="G39" s="12"/>
      <c r="H39" s="10"/>
      <c r="I39" s="12"/>
      <c r="J39" s="10"/>
      <c r="K39" s="10"/>
      <c r="L39" s="10"/>
      <c r="M39" s="10"/>
    </row>
    <row r="40" spans="1:13">
      <c r="A40" s="9">
        <f t="shared" si="0"/>
        <v>35</v>
      </c>
      <c r="B40" s="10"/>
      <c r="C40" s="10"/>
      <c r="D40" s="10"/>
      <c r="E40" s="12"/>
      <c r="F40" s="12"/>
      <c r="G40" s="12"/>
      <c r="H40" s="10"/>
      <c r="I40" s="12"/>
      <c r="J40" s="10"/>
      <c r="K40" s="10"/>
      <c r="L40" s="10"/>
      <c r="M40" s="10"/>
    </row>
    <row r="41" spans="1:13">
      <c r="A41" s="9">
        <f t="shared" si="0"/>
        <v>36</v>
      </c>
      <c r="B41" s="10"/>
      <c r="C41" s="10"/>
      <c r="D41" s="10"/>
      <c r="E41" s="12"/>
      <c r="F41" s="12"/>
      <c r="G41" s="12"/>
      <c r="H41" s="10"/>
      <c r="I41" s="12"/>
      <c r="J41" s="10"/>
      <c r="K41" s="10"/>
      <c r="L41" s="10"/>
      <c r="M41" s="10"/>
    </row>
    <row r="42" spans="1:13">
      <c r="A42" s="9">
        <f t="shared" si="0"/>
        <v>37</v>
      </c>
      <c r="B42" s="10"/>
      <c r="C42" s="10"/>
      <c r="D42" s="10"/>
      <c r="E42" s="12"/>
      <c r="F42" s="12"/>
      <c r="G42" s="12"/>
      <c r="H42" s="10"/>
      <c r="I42" s="12"/>
      <c r="J42" s="10"/>
      <c r="K42" s="10"/>
      <c r="L42" s="10"/>
      <c r="M42" s="10"/>
    </row>
    <row r="43" spans="1:13">
      <c r="A43" s="9">
        <f t="shared" si="0"/>
        <v>38</v>
      </c>
      <c r="B43" s="10"/>
      <c r="C43" s="10"/>
      <c r="D43" s="10"/>
      <c r="E43" s="12"/>
      <c r="F43" s="12"/>
      <c r="G43" s="12"/>
      <c r="H43" s="10"/>
      <c r="I43" s="12"/>
      <c r="J43" s="10"/>
      <c r="K43" s="10"/>
      <c r="L43" s="10"/>
      <c r="M43" s="10"/>
    </row>
    <row r="44" spans="1:13">
      <c r="A44" s="9">
        <f t="shared" si="0"/>
        <v>39</v>
      </c>
      <c r="B44" s="10"/>
      <c r="C44" s="10"/>
      <c r="D44" s="10"/>
      <c r="E44" s="12"/>
      <c r="F44" s="12"/>
      <c r="G44" s="12"/>
      <c r="H44" s="10"/>
      <c r="I44" s="12"/>
      <c r="J44" s="10"/>
      <c r="K44" s="10"/>
      <c r="L44" s="10"/>
      <c r="M44" s="10"/>
    </row>
    <row r="45" spans="1:13">
      <c r="A45" s="9">
        <f t="shared" si="0"/>
        <v>40</v>
      </c>
      <c r="B45" s="10"/>
      <c r="C45" s="10"/>
      <c r="D45" s="10"/>
      <c r="E45" s="12"/>
      <c r="F45" s="12"/>
      <c r="G45" s="12"/>
      <c r="H45" s="10"/>
      <c r="I45" s="12"/>
      <c r="J45" s="10"/>
      <c r="K45" s="10"/>
      <c r="L45" s="10"/>
      <c r="M45" s="10"/>
    </row>
    <row r="46" spans="1:13">
      <c r="A46" s="9">
        <f t="shared" si="0"/>
        <v>41</v>
      </c>
      <c r="B46" s="10"/>
      <c r="C46" s="10"/>
      <c r="D46" s="10"/>
      <c r="E46" s="12"/>
      <c r="F46" s="12"/>
      <c r="G46" s="12"/>
      <c r="H46" s="10"/>
      <c r="I46" s="12"/>
      <c r="J46" s="10"/>
      <c r="K46" s="10"/>
      <c r="L46" s="10"/>
      <c r="M46" s="10"/>
    </row>
    <row r="47" spans="1:13">
      <c r="A47" s="9">
        <f t="shared" si="0"/>
        <v>42</v>
      </c>
      <c r="B47" s="10"/>
      <c r="C47" s="10"/>
      <c r="D47" s="10"/>
      <c r="E47" s="12"/>
      <c r="F47" s="12"/>
      <c r="G47" s="12"/>
      <c r="H47" s="10"/>
      <c r="I47" s="12"/>
      <c r="J47" s="10"/>
      <c r="K47" s="10"/>
      <c r="L47" s="10"/>
      <c r="M47" s="10"/>
    </row>
    <row r="48" spans="1:13">
      <c r="A48" s="9">
        <f t="shared" si="0"/>
        <v>43</v>
      </c>
      <c r="B48" s="10"/>
      <c r="C48" s="10"/>
      <c r="D48" s="10"/>
      <c r="E48" s="12"/>
      <c r="F48" s="12"/>
      <c r="G48" s="12"/>
      <c r="H48" s="10"/>
      <c r="I48" s="12"/>
      <c r="J48" s="10"/>
      <c r="K48" s="10"/>
      <c r="L48" s="10"/>
      <c r="M48" s="10"/>
    </row>
    <row r="49" spans="1:13">
      <c r="A49" s="9">
        <f t="shared" si="0"/>
        <v>44</v>
      </c>
      <c r="B49" s="10"/>
      <c r="C49" s="10"/>
      <c r="D49" s="10"/>
      <c r="E49" s="12"/>
      <c r="F49" s="12"/>
      <c r="G49" s="12"/>
      <c r="H49" s="10"/>
      <c r="I49" s="12"/>
      <c r="J49" s="10"/>
      <c r="K49" s="10"/>
      <c r="L49" s="10"/>
      <c r="M49" s="10"/>
    </row>
    <row r="50" spans="1:13">
      <c r="A50" s="9">
        <f t="shared" si="0"/>
        <v>45</v>
      </c>
      <c r="B50" s="10"/>
      <c r="C50" s="10"/>
      <c r="D50" s="10"/>
      <c r="E50" s="12"/>
      <c r="F50" s="12"/>
      <c r="G50" s="12"/>
      <c r="H50" s="10"/>
      <c r="I50" s="12"/>
      <c r="J50" s="10"/>
      <c r="K50" s="10"/>
      <c r="L50" s="10"/>
      <c r="M50" s="10"/>
    </row>
    <row r="51" spans="1:13">
      <c r="A51" s="9">
        <f t="shared" si="0"/>
        <v>46</v>
      </c>
      <c r="B51" s="10"/>
      <c r="C51" s="10"/>
      <c r="D51" s="10"/>
      <c r="E51" s="12"/>
      <c r="F51" s="12"/>
      <c r="G51" s="12"/>
      <c r="H51" s="10"/>
      <c r="I51" s="12"/>
      <c r="J51" s="10"/>
      <c r="K51" s="10"/>
      <c r="L51" s="10"/>
      <c r="M51" s="10"/>
    </row>
    <row r="52" spans="1:13">
      <c r="A52" s="9">
        <f t="shared" si="0"/>
        <v>47</v>
      </c>
      <c r="B52" s="10"/>
      <c r="C52" s="10"/>
      <c r="D52" s="10"/>
      <c r="E52" s="12"/>
      <c r="F52" s="12"/>
      <c r="G52" s="12"/>
      <c r="H52" s="10"/>
      <c r="I52" s="12"/>
      <c r="J52" s="10"/>
      <c r="K52" s="10"/>
      <c r="L52" s="10"/>
      <c r="M52" s="10"/>
    </row>
    <row r="53" spans="1:13">
      <c r="A53" s="9">
        <f t="shared" si="0"/>
        <v>48</v>
      </c>
      <c r="B53" s="10"/>
      <c r="C53" s="10"/>
      <c r="D53" s="10"/>
      <c r="E53" s="12"/>
      <c r="F53" s="12"/>
      <c r="G53" s="12"/>
      <c r="H53" s="10"/>
      <c r="I53" s="12"/>
      <c r="J53" s="10"/>
      <c r="K53" s="10"/>
      <c r="L53" s="10"/>
      <c r="M53" s="10"/>
    </row>
    <row r="54" spans="1:13">
      <c r="A54" s="9">
        <f t="shared" si="0"/>
        <v>49</v>
      </c>
      <c r="B54" s="10"/>
      <c r="C54" s="10"/>
      <c r="D54" s="10"/>
      <c r="E54" s="12"/>
      <c r="F54" s="12"/>
      <c r="G54" s="12"/>
      <c r="H54" s="10"/>
      <c r="I54" s="12"/>
      <c r="J54" s="10"/>
      <c r="K54" s="10"/>
      <c r="L54" s="10"/>
      <c r="M54" s="10"/>
    </row>
    <row r="55" spans="1:13">
      <c r="A55" s="9">
        <f t="shared" si="0"/>
        <v>50</v>
      </c>
      <c r="B55" s="10"/>
      <c r="C55" s="10"/>
      <c r="D55" s="10"/>
      <c r="E55" s="12"/>
      <c r="F55" s="12"/>
      <c r="G55" s="12"/>
      <c r="H55" s="10"/>
      <c r="I55" s="12"/>
      <c r="J55" s="10"/>
      <c r="K55" s="10"/>
      <c r="L55" s="10"/>
      <c r="M55" s="10"/>
    </row>
    <row r="56" spans="1:13">
      <c r="A56" s="9">
        <f t="shared" si="0"/>
        <v>51</v>
      </c>
      <c r="B56" s="10"/>
      <c r="C56" s="10"/>
      <c r="D56" s="10"/>
      <c r="E56" s="12"/>
      <c r="F56" s="12"/>
      <c r="G56" s="12"/>
      <c r="H56" s="10"/>
      <c r="I56" s="12"/>
      <c r="J56" s="10"/>
      <c r="K56" s="10"/>
      <c r="L56" s="10"/>
      <c r="M56" s="10"/>
    </row>
  </sheetData>
  <phoneticPr fontId="57"/>
  <conditionalFormatting sqref="A6:M56">
    <cfRule type="expression" dxfId="1" priority="1">
      <formula>$L6="NG"</formula>
    </cfRule>
    <cfRule type="expression" dxfId="0" priority="2">
      <formula>$L6="OK"</formula>
    </cfRule>
  </conditionalFormatting>
  <dataValidations count="4">
    <dataValidation type="list" allowBlank="1" showInputMessage="1" showErrorMessage="1" sqref="F6:F56" xr:uid="{00000000-0002-0000-0100-000000000000}">
      <formula1>指摘区分</formula1>
    </dataValidation>
    <dataValidation type="list" allowBlank="1" showInputMessage="1" showErrorMessage="1" sqref="G6:G56" xr:uid="{00000000-0002-0000-0100-000001000000}">
      <formula1>原因分類</formula1>
    </dataValidation>
    <dataValidation type="list" allowBlank="1" showInputMessage="1" showErrorMessage="1" sqref="H6:H56" xr:uid="{00000000-0002-0000-0100-000002000000}">
      <formula1>"○"</formula1>
    </dataValidation>
    <dataValidation type="list" allowBlank="1" showInputMessage="1" showErrorMessage="1" sqref="L6:L56" xr:uid="{00000000-0002-0000-0100-000003000000}">
      <formula1>"OK,NG"</formula1>
    </dataValidation>
  </dataValidations>
  <printOptions horizontalCentered="1"/>
  <pageMargins left="0.39370078740157483" right="0.33" top="0.39370078740157483" bottom="0.19685039370078741" header="0.31496062992125984" footer="7.874015748031496E-2"/>
  <pageSetup paperSize="9" scale="72" fitToHeight="0" orientation="landscape" r:id="rId1"/>
  <headerFooter alignWithMargins="0">
    <oddFooter>&amp;C&amp;"ＭＳ Ｐゴシック,標準"- &amp;P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40F886-D25C-40CC-A0E5-76A891D51F6F}">
  <ds:schemaRefs>
    <ds:schemaRef ds:uri="http://schemas.microsoft.com/sharepoint/v3/contenttype/forms"/>
  </ds:schemaRefs>
</ds:datastoreItem>
</file>

<file path=customXml/itemProps2.xml><?xml version="1.0" encoding="utf-8"?>
<ds:datastoreItem xmlns:ds="http://schemas.openxmlformats.org/officeDocument/2006/customXml" ds:itemID="{B420D837-4383-4A23-8AFA-1F6685275B5E}">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3.xml><?xml version="1.0" encoding="utf-8"?>
<ds:datastoreItem xmlns:ds="http://schemas.openxmlformats.org/officeDocument/2006/customXml" ds:itemID="{2204364A-1B23-4469-B4EA-C7D73DB541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表紙</vt:lpstr>
      <vt:lpstr>レビュー記録</vt:lpstr>
      <vt:lpstr>レビュー記録!Print_Area</vt:lpstr>
      <vt:lpstr>表紙!Print_Area</vt:lpstr>
      <vt:lpstr>レビュー記録!Print_Titles</vt:lpstr>
      <vt:lpstr>業務</vt:lpstr>
      <vt:lpstr>原因分類</vt:lpstr>
      <vt:lpstr>指摘区分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u2000007</dc:creator>
  <cp:keywords/>
  <dc:description/>
  <cp:lastModifiedBy>CB-1 山本 大生</cp:lastModifiedBy>
  <cp:revision/>
  <dcterms:created xsi:type="dcterms:W3CDTF">2013-10-11T07:08:43Z</dcterms:created>
  <dcterms:modified xsi:type="dcterms:W3CDTF">2025-05-28T03:13:11Z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