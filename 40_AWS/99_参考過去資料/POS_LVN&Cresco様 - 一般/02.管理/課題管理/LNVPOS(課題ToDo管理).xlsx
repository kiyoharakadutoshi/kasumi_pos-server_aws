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https://luvinavn.sharepoint.com/sites/POS_LVNCresco/Shared Documents/一般/02.管理/課題管理/"/>
    </mc:Choice>
  </mc:AlternateContent>
  <xr:revisionPtr revIDLastSave="369" documentId="8_{3E42D695-EC1E-40AD-8049-6E995530C7B8}" xr6:coauthVersionLast="47" xr6:coauthVersionMax="47" xr10:uidLastSave="{3142FB7F-99CA-4DD1-8E68-DF0FF534BB52}"/>
  <bookViews>
    <workbookView xWindow="15750" yWindow="-13665" windowWidth="24240" windowHeight="13020" tabRatio="868" xr2:uid="{00000000-000D-0000-FFFF-FFFF00000000}"/>
  </bookViews>
  <sheets>
    <sheet name="課題・ToDo" sheetId="1" r:id="rId1"/>
    <sheet name="役割分担" sheetId="2" r:id="rId2"/>
    <sheet name="スパイク環境パラメータ確認" sheetId="3" r:id="rId3"/>
  </sheets>
  <definedNames>
    <definedName name="_10Ｂ２_" hidden="1">{"ＰＬ明細",#N/A,TRUE,"ＰＬ";"平残ＢＳ",#N/A,TRUE,"ＢＳ";"試験",#N/A,TRUE,"会員"}</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A2_" hidden="1">{"ＰＬ明細",#N/A,TRUE,"ＰＬ";"平残ＢＳ",#N/A,TRUE,"ＢＳ";"試験",#N/A,TRUE,"会員"}</definedName>
    <definedName name="_xlnm._FilterDatabase" localSheetId="0" hidden="1">課題・ToDo!$A$4:$R$83</definedName>
    <definedName name="_xlnm.Print_Area" localSheetId="0">課題・ToDo!$A$1:$R$83</definedName>
    <definedName name="_xlnm.Print_Titles" localSheetId="0">課題・ToDo!$1:$4</definedName>
    <definedName name="Z_03B18C13_CDDF_4C30_8142_D64377C73B01_.wvu.FilterData" localSheetId="0" hidden="1">課題・ToDo!$A$4:$R$82</definedName>
    <definedName name="Z_03B18C13_CDDF_4C30_8142_D64377C73B01_.wvu.PrintArea" localSheetId="0" hidden="1">課題・ToDo!$A$1:$R$4</definedName>
    <definedName name="Z_08BD7F9F_5EE5_49B4_A57E_3AA05BABFEAD_.wvu.FilterData" localSheetId="0" hidden="1">課題・ToDo!$A$4:$R$82</definedName>
    <definedName name="Z_1E74C8C6_F17D_416B_8574_04851C6530CA_.wvu.FilterData" localSheetId="0" hidden="1">課題・ToDo!$A$4:$R$82</definedName>
    <definedName name="Z_69BE827F_8453_463D_9629_240F6DA2F534_.wvu.FilterData" localSheetId="0" hidden="1">課題・ToDo!$A$4:$R$82</definedName>
    <definedName name="Z_77FDD869_F79F_495E_9A27_AC0C837A7FD0_.wvu.FilterData" localSheetId="0" hidden="1">課題・ToDo!$A$4:$R$82</definedName>
    <definedName name="Z_E74948B7_4D66_4273_BE80_E7B6632322D5_.wvu.FilterData" localSheetId="0" hidden="1">課題・ToDo!$A$4:$R$82</definedName>
    <definedName name="Z_E7CC7833_BCD6_48D4_94F1_CBEF85BBB720_.wvu.FilterData" localSheetId="0" hidden="1">課題・ToDo!$A$4:$R$82</definedName>
  </definedNames>
  <calcPr calcId="191028"/>
  <customWorkbookViews>
    <customWorkbookView name="CRESCO - 個人用ビュー" guid="{03B18C13-CDDF-4C30-8142-D64377C73B01}" mergeInterval="0" personalView="1" xWindow="27" yWindow="110" windowWidth="1828" windowHeight="692" activeSheetId="1"/>
    <customWorkbookView name="入口 和幸 - 個人用ビュー" guid="{08BD7F9F-5EE5-49B4-A57E-3AA05BABFEAD}" mergeInterval="0" personalView="1" maximized="1" windowWidth="1362" windowHeight="538" activeSheetId="1"/>
    <customWorkbookView name="IMAI - 個人用ビュー" guid="{E74948B7-4D66-4273-BE80-E7B6632322D5}" mergeInterval="0" personalView="1" maximized="1" windowWidth="1362" windowHeight="520" activeSheetId="1"/>
    <customWorkbookView name="IS：五十嵐 - 個人用ビュー" guid="{E7CC7833-BCD6-48D4-94F1-CBEF85BBB720}" mergeInterval="0" personalView="1" maximized="1" windowWidth="1362" windowHeight="520" activeSheetId="1"/>
    <customWorkbookView name="IS:坂本 幸輝 - 個人用ビュー" guid="{1E74C8C6-F17D-416B-8574-04851C6530CA}" mergeInterval="0" personalView="1" maximized="1" windowWidth="1362" windowHeight="534"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 l="1"/>
  <c r="A8" i="1"/>
  <c r="A14" i="1"/>
  <c r="A13" i="1"/>
  <c r="A11" i="1"/>
  <c r="A9" i="1"/>
  <c r="A83" i="1" l="1"/>
  <c r="J3" i="1"/>
  <c r="K3" i="1" s="1"/>
  <c r="A78" i="1"/>
  <c r="A79" i="1"/>
  <c r="A80" i="1"/>
  <c r="A81" i="1"/>
  <c r="A82" i="1"/>
  <c r="A77" i="1"/>
  <c r="A76" i="1"/>
  <c r="A75" i="1"/>
  <c r="A73" i="1" l="1"/>
  <c r="A29" i="1"/>
  <c r="A30" i="1"/>
  <c r="A31" i="1"/>
  <c r="A32" i="1"/>
  <c r="A33" i="1"/>
  <c r="A16" i="1" l="1"/>
  <c r="A15" i="1"/>
  <c r="A12" i="1"/>
  <c r="A7" i="1"/>
  <c r="A26" i="1"/>
  <c r="A25" i="1"/>
  <c r="A24" i="1"/>
  <c r="A23" i="1"/>
  <c r="A22" i="1"/>
  <c r="A21" i="1"/>
  <c r="A20" i="1"/>
  <c r="A19" i="1"/>
  <c r="A18" i="1"/>
  <c r="A17" i="1"/>
  <c r="A6" i="1"/>
  <c r="A5" i="1"/>
  <c r="A74" i="1"/>
  <c r="A72" i="1"/>
  <c r="A71" i="1"/>
  <c r="A70" i="1"/>
  <c r="A69" i="1"/>
  <c r="A68" i="1"/>
  <c r="A63" i="1"/>
  <c r="A62" i="1"/>
  <c r="A67" i="1"/>
  <c r="A66" i="1"/>
  <c r="A65" i="1"/>
  <c r="A64" i="1"/>
  <c r="A61" i="1"/>
  <c r="A60" i="1"/>
  <c r="A59" i="1"/>
  <c r="A58" i="1"/>
  <c r="A57" i="1"/>
  <c r="A56" i="1"/>
  <c r="A55" i="1"/>
  <c r="A54" i="1"/>
  <c r="A53" i="1"/>
  <c r="A52" i="1"/>
  <c r="A51" i="1"/>
  <c r="A50" i="1"/>
  <c r="A49" i="1"/>
  <c r="A48" i="1"/>
  <c r="A47" i="1"/>
  <c r="A46" i="1"/>
  <c r="A45" i="1"/>
  <c r="A44" i="1"/>
  <c r="A43" i="1"/>
  <c r="A42" i="1"/>
  <c r="A41" i="1"/>
  <c r="A40" i="1"/>
  <c r="A38" i="1"/>
  <c r="A37" i="1"/>
  <c r="A36" i="1"/>
  <c r="A35" i="1"/>
  <c r="A34" i="1"/>
  <c r="A28" i="1"/>
  <c r="A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PS-P 早坂  一王</author>
  </authors>
  <commentList>
    <comment ref="Q4" authorId="0" shapeId="0" xr:uid="{00000000-0006-0000-0000-000001000000}">
      <text>
        <r>
          <rPr>
            <b/>
            <sz val="9"/>
            <color indexed="81"/>
            <rFont val="MS P ゴシック"/>
            <family val="3"/>
            <charset val="128"/>
          </rPr>
          <t>PS-P 早坂  一王:</t>
        </r>
        <r>
          <rPr>
            <sz val="9"/>
            <color indexed="81"/>
            <rFont val="MS P ゴシック"/>
            <family val="3"/>
            <charset val="128"/>
          </rPr>
          <t xml:space="preserve">
課題対応完了日を記入</t>
        </r>
      </text>
    </comment>
  </commentList>
</comments>
</file>

<file path=xl/sharedStrings.xml><?xml version="1.0" encoding="utf-8"?>
<sst xmlns="http://schemas.openxmlformats.org/spreadsheetml/2006/main" count="438" uniqueCount="230">
  <si>
    <t>（仮称）LVNPOS課題管理一覧</t>
    <rPh sb="1" eb="3">
      <t>カショウ</t>
    </rPh>
    <rPh sb="10" eb="12">
      <t>カダイ</t>
    </rPh>
    <rPh sb="12" eb="14">
      <t>カンリ</t>
    </rPh>
    <rPh sb="14" eb="16">
      <t>イチラン</t>
    </rPh>
    <phoneticPr fontId="7"/>
  </si>
  <si>
    <t>完了</t>
    <rPh sb="0" eb="2">
      <t>カンリョウ</t>
    </rPh>
    <phoneticPr fontId="7"/>
  </si>
  <si>
    <t>未完了</t>
    <rPh sb="0" eb="3">
      <t>ミカンリョウ</t>
    </rPh>
    <phoneticPr fontId="7"/>
  </si>
  <si>
    <t>課題/ToDo管理表</t>
    <phoneticPr fontId="7"/>
  </si>
  <si>
    <t>No</t>
    <phoneticPr fontId="7"/>
  </si>
  <si>
    <t>区分</t>
    <rPh sb="0" eb="2">
      <t>クブン</t>
    </rPh>
    <phoneticPr fontId="7"/>
  </si>
  <si>
    <t>重要度</t>
    <rPh sb="0" eb="3">
      <t>ジュウヨウド</t>
    </rPh>
    <phoneticPr fontId="7"/>
  </si>
  <si>
    <t>緊急度</t>
    <rPh sb="0" eb="3">
      <t>キンキュウド</t>
    </rPh>
    <phoneticPr fontId="7"/>
  </si>
  <si>
    <t>題名</t>
    <rPh sb="0" eb="2">
      <t>ダイメイ</t>
    </rPh>
    <phoneticPr fontId="7"/>
  </si>
  <si>
    <t>内容</t>
    <rPh sb="0" eb="2">
      <t>ナイヨウ</t>
    </rPh>
    <phoneticPr fontId="7"/>
  </si>
  <si>
    <t>完了基準</t>
    <rPh sb="0" eb="2">
      <t>カンリョウ</t>
    </rPh>
    <rPh sb="2" eb="4">
      <t>キジュン</t>
    </rPh>
    <phoneticPr fontId="7"/>
  </si>
  <si>
    <t>対応履歴</t>
    <rPh sb="0" eb="2">
      <t>タイオウ</t>
    </rPh>
    <rPh sb="2" eb="4">
      <t>リレキ</t>
    </rPh>
    <phoneticPr fontId="7"/>
  </si>
  <si>
    <t>結論</t>
    <rPh sb="0" eb="2">
      <t>ケツロン</t>
    </rPh>
    <phoneticPr fontId="7"/>
  </si>
  <si>
    <t>状況</t>
    <rPh sb="0" eb="2">
      <t>ジョウキョウ</t>
    </rPh>
    <phoneticPr fontId="7"/>
  </si>
  <si>
    <t>登録者</t>
    <rPh sb="0" eb="3">
      <t>トウロクシャ</t>
    </rPh>
    <phoneticPr fontId="7"/>
  </si>
  <si>
    <t>登録日</t>
    <rPh sb="0" eb="3">
      <t>トウロクビ</t>
    </rPh>
    <phoneticPr fontId="7"/>
  </si>
  <si>
    <t>更新者</t>
    <rPh sb="0" eb="3">
      <t>コウシンシャ</t>
    </rPh>
    <phoneticPr fontId="7"/>
  </si>
  <si>
    <t>更新日</t>
    <rPh sb="0" eb="2">
      <t>コウシン</t>
    </rPh>
    <rPh sb="2" eb="3">
      <t>ビ</t>
    </rPh>
    <phoneticPr fontId="7"/>
  </si>
  <si>
    <t>対応者</t>
    <rPh sb="0" eb="2">
      <t>タイオウ</t>
    </rPh>
    <rPh sb="2" eb="3">
      <t>シャ</t>
    </rPh>
    <phoneticPr fontId="7"/>
  </si>
  <si>
    <t>期日</t>
    <rPh sb="0" eb="2">
      <t>キジツ</t>
    </rPh>
    <phoneticPr fontId="7"/>
  </si>
  <si>
    <t>対応日</t>
    <rPh sb="0" eb="2">
      <t>タイオウ</t>
    </rPh>
    <rPh sb="2" eb="3">
      <t>ビ</t>
    </rPh>
    <phoneticPr fontId="7"/>
  </si>
  <si>
    <t>備考</t>
    <rPh sb="0" eb="2">
      <t>ビコウ</t>
    </rPh>
    <phoneticPr fontId="7"/>
  </si>
  <si>
    <t>QA</t>
  </si>
  <si>
    <t>高</t>
  </si>
  <si>
    <t>【プロジェクト概要について】
POS Server 2.0 に関する役割について</t>
    <rPh sb="7" eb="9">
      <t>ガイヨウ</t>
    </rPh>
    <rPh sb="31" eb="32">
      <t>カン</t>
    </rPh>
    <rPh sb="34" eb="36">
      <t>ヤクワリ</t>
    </rPh>
    <phoneticPr fontId="7"/>
  </si>
  <si>
    <t xml:space="preserve">「システム全体像_POS-SV.pptx」を拝見しましたが、そもそもの当サービスの役割についてご教示ください。推測として、元々はオンライン版としてPOS状況からリアルタイムの状況把握等々が元々の役割を目指す（=要件）と想像しましたが、それがオフライン版だとPOSマスターデータの授配信/生成になっているように見受けられるので、本来目指すべき役割について正しく認識したいです。
</t>
    <rPh sb="22" eb="24">
      <t>ハイケン</t>
    </rPh>
    <rPh sb="35" eb="36">
      <t>トウ</t>
    </rPh>
    <rPh sb="41" eb="43">
      <t>ヤクワリ</t>
    </rPh>
    <rPh sb="48" eb="50">
      <t>キョウジ</t>
    </rPh>
    <rPh sb="55" eb="57">
      <t>スイソク</t>
    </rPh>
    <rPh sb="61" eb="63">
      <t>モトモト</t>
    </rPh>
    <rPh sb="69" eb="70">
      <t>バン</t>
    </rPh>
    <rPh sb="76" eb="78">
      <t>ジョウキョウ</t>
    </rPh>
    <rPh sb="87" eb="89">
      <t>ジョウキョウ</t>
    </rPh>
    <rPh sb="89" eb="91">
      <t>ハアク</t>
    </rPh>
    <rPh sb="91" eb="93">
      <t>トウトウ</t>
    </rPh>
    <rPh sb="94" eb="96">
      <t>モトモト</t>
    </rPh>
    <rPh sb="97" eb="99">
      <t>ヤクワリ</t>
    </rPh>
    <rPh sb="100" eb="102">
      <t>メザ</t>
    </rPh>
    <rPh sb="105" eb="107">
      <t>ヨウケン</t>
    </rPh>
    <rPh sb="109" eb="111">
      <t>ソウゾウ</t>
    </rPh>
    <rPh sb="125" eb="126">
      <t>バン</t>
    </rPh>
    <rPh sb="139" eb="140">
      <t>ジュ</t>
    </rPh>
    <rPh sb="140" eb="142">
      <t>ハイシン</t>
    </rPh>
    <rPh sb="143" eb="145">
      <t>セイセイ</t>
    </rPh>
    <rPh sb="154" eb="156">
      <t>ミウ</t>
    </rPh>
    <rPh sb="163" eb="165">
      <t>ホンライ</t>
    </rPh>
    <rPh sb="165" eb="167">
      <t>メザ</t>
    </rPh>
    <rPh sb="170" eb="172">
      <t>ヤクワリ</t>
    </rPh>
    <rPh sb="176" eb="177">
      <t>タダ</t>
    </rPh>
    <rPh sb="179" eb="181">
      <t>ニンシキ</t>
    </rPh>
    <phoneticPr fontId="7"/>
  </si>
  <si>
    <t>POS Server 2.0の役割を示すドキュメントもしくは、回答をいただくこと</t>
    <rPh sb="15" eb="17">
      <t>ヤクワリ</t>
    </rPh>
    <rPh sb="18" eb="19">
      <t>シメ</t>
    </rPh>
    <rPh sb="31" eb="33">
      <t>カイトウ</t>
    </rPh>
    <phoneticPr fontId="7"/>
  </si>
  <si>
    <r>
      <t xml:space="preserve">4/21:きよはら
当初は、オンライン版での導入を予定しておりました。しかしながら、４月第一週目から１店舗目に導入したところ、想定していたより通信状況の不具合によるエラーが発生したために導入を中止し、オフライン版での再導入をへとリスケになりました。
</t>
    </r>
    <r>
      <rPr>
        <sz val="10"/>
        <color rgb="FF3333FF"/>
        <rFont val="Meiryo UI"/>
        <family val="3"/>
        <charset val="128"/>
      </rPr>
      <t>4/23:クレスコ遠藤
4/23の打合せにて、オンライン/オフライン版の仕組みの理解は以下のとおりです。
認識齟齬の有無の確認、有の場合は補足いただきたく思います。
オンライン：
　POSマスターデータがPOS Server側に存在しており、店舗POSから最新情報をWEBAPIでリアルタイムに参照される仕組み。
オフライン：
　POS Serverとの店舗POSへのファイル連携および店舗POSの売上データ保持する仕組み。</t>
    </r>
    <rPh sb="135" eb="137">
      <t>エンドウ</t>
    </rPh>
    <rPh sb="143" eb="145">
      <t>ウチアワ</t>
    </rPh>
    <rPh sb="160" eb="161">
      <t>バン</t>
    </rPh>
    <rPh sb="162" eb="164">
      <t>シク</t>
    </rPh>
    <rPh sb="166" eb="168">
      <t>リカイ</t>
    </rPh>
    <rPh sb="169" eb="171">
      <t>イカ</t>
    </rPh>
    <rPh sb="179" eb="181">
      <t>ニンシキ</t>
    </rPh>
    <rPh sb="181" eb="183">
      <t>ソゴ</t>
    </rPh>
    <rPh sb="184" eb="186">
      <t>ウム</t>
    </rPh>
    <rPh sb="187" eb="189">
      <t>カクニン</t>
    </rPh>
    <rPh sb="190" eb="191">
      <t>ユウ</t>
    </rPh>
    <rPh sb="192" eb="194">
      <t>バアイ</t>
    </rPh>
    <rPh sb="195" eb="197">
      <t>ホソク</t>
    </rPh>
    <rPh sb="203" eb="204">
      <t>オモ</t>
    </rPh>
    <rPh sb="239" eb="240">
      <t>ガワ</t>
    </rPh>
    <rPh sb="241" eb="243">
      <t>ソンザイ</t>
    </rPh>
    <rPh sb="255" eb="257">
      <t>サイシン</t>
    </rPh>
    <rPh sb="257" eb="259">
      <t>ジョウホウ</t>
    </rPh>
    <rPh sb="274" eb="276">
      <t>サンショウ</t>
    </rPh>
    <rPh sb="279" eb="281">
      <t>シク</t>
    </rPh>
    <rPh sb="304" eb="306">
      <t>テンポ</t>
    </rPh>
    <rPh sb="315" eb="317">
      <t>レンケイ</t>
    </rPh>
    <rPh sb="320" eb="322">
      <t>テンポ</t>
    </rPh>
    <rPh sb="326" eb="328">
      <t>ウリアゲ</t>
    </rPh>
    <rPh sb="331" eb="333">
      <t>ホジ</t>
    </rPh>
    <rPh sb="335" eb="337">
      <t>シク</t>
    </rPh>
    <phoneticPr fontId="7"/>
  </si>
  <si>
    <t>対応中</t>
  </si>
  <si>
    <t>CRESCO
遠藤</t>
    <rPh sb="7" eb="9">
      <t>エンドウ</t>
    </rPh>
    <phoneticPr fontId="7"/>
  </si>
  <si>
    <t>ルビナ様</t>
    <rPh sb="3" eb="4">
      <t>サマ</t>
    </rPh>
    <phoneticPr fontId="7"/>
  </si>
  <si>
    <t>【プロジェクト概要について】
オフライン版機能開発の経緯について</t>
    <rPh sb="20" eb="21">
      <t>バン</t>
    </rPh>
    <rPh sb="21" eb="23">
      <t>キノウ</t>
    </rPh>
    <rPh sb="23" eb="25">
      <t>カイハツ</t>
    </rPh>
    <rPh sb="26" eb="28">
      <t>ケイイ</t>
    </rPh>
    <phoneticPr fontId="7"/>
  </si>
  <si>
    <t>元々オンライン版を開発していたが、今回オフライン版に急遽開発することになったと認識しております。具体的にどのような経緯から判断に至ったのか教示ください。</t>
    <rPh sb="0" eb="2">
      <t>モトモト</t>
    </rPh>
    <rPh sb="7" eb="8">
      <t>バン</t>
    </rPh>
    <rPh sb="9" eb="11">
      <t>カイハツ</t>
    </rPh>
    <rPh sb="17" eb="19">
      <t>コンカイ</t>
    </rPh>
    <rPh sb="24" eb="25">
      <t>バン</t>
    </rPh>
    <rPh sb="26" eb="28">
      <t>キュウキョ</t>
    </rPh>
    <rPh sb="28" eb="30">
      <t>カイハツ</t>
    </rPh>
    <rPh sb="39" eb="41">
      <t>ニンシキ</t>
    </rPh>
    <rPh sb="48" eb="51">
      <t>グタイテキ</t>
    </rPh>
    <rPh sb="57" eb="59">
      <t>ケイイ</t>
    </rPh>
    <rPh sb="61" eb="63">
      <t>ハンダン</t>
    </rPh>
    <rPh sb="64" eb="65">
      <t>イタ</t>
    </rPh>
    <rPh sb="69" eb="71">
      <t>キョウジ</t>
    </rPh>
    <phoneticPr fontId="7"/>
  </si>
  <si>
    <t>オフライン版機能開発の経緯の回答をいただくこと</t>
    <rPh sb="14" eb="16">
      <t>カイトウ</t>
    </rPh>
    <phoneticPr fontId="7"/>
  </si>
  <si>
    <r>
      <t xml:space="preserve">4/21:きよはら
当初は、オンライン版での導入を予定しておりました。しかしながら、４月第一週目から１店舗目に導入したところ、想定していたより通信状況の不具合によるエラーが発生したために導入を中止し、オフライン版での再導入をへとリスケになりました。
</t>
    </r>
    <r>
      <rPr>
        <sz val="10"/>
        <color rgb="FF3333FF"/>
        <rFont val="Meiryo UI"/>
        <family val="3"/>
        <charset val="128"/>
      </rPr>
      <t>4/23:クレスコ遠藤
4/23の打合せに伺ったオンライン版からオフライン版の開発に至った経緯の現時点の理解です。
認識齟齬の有無の確認、有の場合は補足いただきたく思います。
オンライン版だと、POS Serverへのネットワーク不通が生じると店舗POSのレジ業務自体が出来ないリスクが4月初旬から店舗運用時に懸念を現場店長から示された。その背景としてあるのがAWSを利用しているPayPayなどの不具合が4月に発生しており、それがレジ業務で大きな支障があると判断した理由となっている。
その懸念へ対処するためのオフライン版の開発となり、ネットワーク不通時の継続運用対応は当然のことながら、将来展開予定であるカスミがオフラインの仕組みの前倒し導入を見据え、今回この仕組みへの再開発の判断をしている。</t>
    </r>
    <rPh sb="147" eb="148">
      <t>ウカガ</t>
    </rPh>
    <rPh sb="155" eb="156">
      <t>バン</t>
    </rPh>
    <rPh sb="163" eb="164">
      <t>バン</t>
    </rPh>
    <rPh sb="165" eb="167">
      <t>カイハツ</t>
    </rPh>
    <rPh sb="168" eb="169">
      <t>イタ</t>
    </rPh>
    <rPh sb="171" eb="173">
      <t>ケイイ</t>
    </rPh>
    <rPh sb="174" eb="177">
      <t>ゲンジテン</t>
    </rPh>
    <rPh sb="178" eb="180">
      <t>リカイ</t>
    </rPh>
    <rPh sb="220" eb="221">
      <t>バン</t>
    </rPh>
    <rPh sb="271" eb="272">
      <t>ガツ</t>
    </rPh>
    <rPh sb="272" eb="274">
      <t>ショジュン</t>
    </rPh>
    <rPh sb="276" eb="278">
      <t>テンポ</t>
    </rPh>
    <rPh sb="278" eb="280">
      <t>ウンヨウ</t>
    </rPh>
    <rPh sb="280" eb="281">
      <t>ジ</t>
    </rPh>
    <rPh sb="285" eb="287">
      <t>ゲンバ</t>
    </rPh>
    <rPh sb="287" eb="289">
      <t>テンチョウ</t>
    </rPh>
    <rPh sb="291" eb="292">
      <t>シメ</t>
    </rPh>
    <rPh sb="298" eb="300">
      <t>ハイケイ</t>
    </rPh>
    <rPh sb="311" eb="313">
      <t>リヨウ</t>
    </rPh>
    <rPh sb="326" eb="329">
      <t>フグアイ</t>
    </rPh>
    <rPh sb="331" eb="332">
      <t>ガツ</t>
    </rPh>
    <rPh sb="333" eb="335">
      <t>ハッセイ</t>
    </rPh>
    <rPh sb="345" eb="347">
      <t>ギョウム</t>
    </rPh>
    <rPh sb="348" eb="349">
      <t>オオ</t>
    </rPh>
    <rPh sb="351" eb="353">
      <t>シショウ</t>
    </rPh>
    <rPh sb="357" eb="359">
      <t>ハンダン</t>
    </rPh>
    <rPh sb="361" eb="363">
      <t>リユウ</t>
    </rPh>
    <rPh sb="373" eb="375">
      <t>ケネン</t>
    </rPh>
    <rPh sb="376" eb="378">
      <t>タイショ</t>
    </rPh>
    <rPh sb="388" eb="389">
      <t>バン</t>
    </rPh>
    <rPh sb="390" eb="392">
      <t>カイハツ</t>
    </rPh>
    <rPh sb="413" eb="415">
      <t>トウゼン</t>
    </rPh>
    <rPh sb="445" eb="447">
      <t>マエダオ</t>
    </rPh>
    <rPh sb="448" eb="450">
      <t>ドウニュウ</t>
    </rPh>
    <phoneticPr fontId="7"/>
  </si>
  <si>
    <t>【プロジェクト概要について】
オフライン版開発についてのエンドユーザーの合意形成状況について</t>
    <rPh sb="20" eb="21">
      <t>バン</t>
    </rPh>
    <rPh sb="21" eb="23">
      <t>カイハツ</t>
    </rPh>
    <rPh sb="36" eb="38">
      <t>ゴウイ</t>
    </rPh>
    <rPh sb="38" eb="40">
      <t>ケイセイ</t>
    </rPh>
    <rPh sb="40" eb="42">
      <t>ジョウキョウ</t>
    </rPh>
    <phoneticPr fontId="7"/>
  </si>
  <si>
    <t>プロジェクト計画や設計状態などを見るとオフライン版構築に関しては立ち上げたばかりと印象を受けております。この構築指針についてはエンドユーザーと合意形成がされた状態でのスタートであると認識すればよいでしょうか。</t>
    <rPh sb="6" eb="8">
      <t>ケイカク</t>
    </rPh>
    <rPh sb="9" eb="11">
      <t>セッケイ</t>
    </rPh>
    <rPh sb="11" eb="13">
      <t>ジョウタイ</t>
    </rPh>
    <rPh sb="16" eb="17">
      <t>ミ</t>
    </rPh>
    <rPh sb="24" eb="25">
      <t>バン</t>
    </rPh>
    <rPh sb="25" eb="27">
      <t>コウチク</t>
    </rPh>
    <rPh sb="28" eb="29">
      <t>カン</t>
    </rPh>
    <rPh sb="32" eb="33">
      <t>タ</t>
    </rPh>
    <rPh sb="34" eb="35">
      <t>ア</t>
    </rPh>
    <rPh sb="41" eb="43">
      <t>インショウ</t>
    </rPh>
    <rPh sb="44" eb="45">
      <t>ウ</t>
    </rPh>
    <rPh sb="54" eb="56">
      <t>コウチク</t>
    </rPh>
    <rPh sb="56" eb="58">
      <t>シシン</t>
    </rPh>
    <rPh sb="71" eb="73">
      <t>ゴウイ</t>
    </rPh>
    <rPh sb="73" eb="75">
      <t>ケイセイ</t>
    </rPh>
    <rPh sb="79" eb="81">
      <t>ジョウタイ</t>
    </rPh>
    <rPh sb="91" eb="93">
      <t>ニンシキ</t>
    </rPh>
    <phoneticPr fontId="7"/>
  </si>
  <si>
    <t>エンドユーザーとの合意形成状態を確認できること</t>
    <rPh sb="9" eb="13">
      <t>ゴウイケイセイ</t>
    </rPh>
    <rPh sb="13" eb="15">
      <t>ジョウタイ</t>
    </rPh>
    <rPh sb="16" eb="18">
      <t>カクニン</t>
    </rPh>
    <phoneticPr fontId="7"/>
  </si>
  <si>
    <r>
      <t xml:space="preserve">4/21：きよはら　エンドユーザーと、基本方向性については合意しています。詳細については今後のお打ち合わせにて予定しています。
</t>
    </r>
    <r>
      <rPr>
        <sz val="10"/>
        <color rgb="FF3333FF"/>
        <rFont val="Meiryo UI"/>
        <family val="3"/>
        <charset val="128"/>
      </rPr>
      <t>4/22:クレスコ遠藤
オフライン版の構成については合意したと認識しましたが、スケジュールについては9/1リリースで合意という認識で良いでしょうか。詳細は今後とありますが、現時点ではどのような内容がテーマになっているか、ご教示頂ければと思います。</t>
    </r>
    <rPh sb="82" eb="83">
      <t>バン</t>
    </rPh>
    <rPh sb="84" eb="86">
      <t>コウセイ</t>
    </rPh>
    <rPh sb="91" eb="93">
      <t>ゴウイ</t>
    </rPh>
    <rPh sb="96" eb="98">
      <t>ニンシキ</t>
    </rPh>
    <rPh sb="123" eb="125">
      <t>ゴウイ</t>
    </rPh>
    <rPh sb="128" eb="130">
      <t>ニンシキ</t>
    </rPh>
    <rPh sb="131" eb="132">
      <t>ヨ</t>
    </rPh>
    <rPh sb="139" eb="141">
      <t>ショウサイ</t>
    </rPh>
    <rPh sb="142" eb="144">
      <t>コンゴ</t>
    </rPh>
    <rPh sb="151" eb="154">
      <t>ゲンジテン</t>
    </rPh>
    <rPh sb="161" eb="163">
      <t>ナイヨウ</t>
    </rPh>
    <rPh sb="176" eb="179">
      <t>キョウジイタダ</t>
    </rPh>
    <rPh sb="183" eb="184">
      <t>オモ</t>
    </rPh>
    <phoneticPr fontId="7"/>
  </si>
  <si>
    <t xml:space="preserve">【プロジェクト概要について】
オンライン/オフライン版の関係性について
</t>
    <rPh sb="26" eb="27">
      <t>バン</t>
    </rPh>
    <rPh sb="28" eb="31">
      <t>カンケイセイ</t>
    </rPh>
    <phoneticPr fontId="7"/>
  </si>
  <si>
    <t xml:space="preserve">認識齟齬があったら恐縮ですが、現在オンライン版は存在している認識です。
その場合、システムとしてどういう使い分けとなり、それぞれの接点はどうなるのかという関係性についてご教示ください。
</t>
    <rPh sb="0" eb="2">
      <t>ニンシキ</t>
    </rPh>
    <rPh sb="2" eb="4">
      <t>ソゴ</t>
    </rPh>
    <rPh sb="9" eb="11">
      <t>キョウシュク</t>
    </rPh>
    <rPh sb="15" eb="17">
      <t>ゲンザイ</t>
    </rPh>
    <rPh sb="22" eb="23">
      <t>バン</t>
    </rPh>
    <rPh sb="24" eb="26">
      <t>ソンザイ</t>
    </rPh>
    <rPh sb="30" eb="32">
      <t>ニンシキ</t>
    </rPh>
    <rPh sb="38" eb="40">
      <t>バアイ</t>
    </rPh>
    <rPh sb="52" eb="53">
      <t>ツカ</t>
    </rPh>
    <rPh sb="54" eb="55">
      <t>ワ</t>
    </rPh>
    <rPh sb="65" eb="67">
      <t>セッテン</t>
    </rPh>
    <rPh sb="77" eb="80">
      <t>カンケイセイ</t>
    </rPh>
    <rPh sb="85" eb="87">
      <t>キョウジ</t>
    </rPh>
    <phoneticPr fontId="7"/>
  </si>
  <si>
    <t>オンライン/オフライン版の関係性が整理されること</t>
    <rPh sb="11" eb="12">
      <t>バン</t>
    </rPh>
    <rPh sb="13" eb="16">
      <t>カンケイセイ</t>
    </rPh>
    <rPh sb="17" eb="19">
      <t>セイリ</t>
    </rPh>
    <phoneticPr fontId="7"/>
  </si>
  <si>
    <r>
      <t xml:space="preserve">4/21：きよはら 今後、オンライン版の使用はありません。
</t>
    </r>
    <r>
      <rPr>
        <sz val="10"/>
        <color rgb="FF3333FF"/>
        <rFont val="Meiryo UI"/>
        <family val="3"/>
        <charset val="128"/>
      </rPr>
      <t>4/22:クレスコ遠藤
オンライン版の撤去時期はいつぐらいになりますでしょうか？弊社作業期間に含まれるなら把握しておきたいです。</t>
    </r>
    <rPh sb="48" eb="49">
      <t>バン</t>
    </rPh>
    <rPh sb="50" eb="52">
      <t>テッキョ</t>
    </rPh>
    <rPh sb="52" eb="54">
      <t>ジキ</t>
    </rPh>
    <rPh sb="71" eb="73">
      <t>ヘイシャ</t>
    </rPh>
    <rPh sb="73" eb="75">
      <t>サギョウ</t>
    </rPh>
    <rPh sb="75" eb="77">
      <t>キカン</t>
    </rPh>
    <rPh sb="78" eb="79">
      <t>フク</t>
    </rPh>
    <rPh sb="84" eb="86">
      <t>ハアク</t>
    </rPh>
    <phoneticPr fontId="7"/>
  </si>
  <si>
    <t>低</t>
  </si>
  <si>
    <t>【プロジェクト体制について】
エンドユーザーを含めたプロジェクト体制について</t>
    <rPh sb="7" eb="9">
      <t>タイセイ</t>
    </rPh>
    <rPh sb="23" eb="24">
      <t>フク</t>
    </rPh>
    <rPh sb="32" eb="34">
      <t>タイセイ</t>
    </rPh>
    <phoneticPr fontId="7"/>
  </si>
  <si>
    <t>現時点において、貴社および（弊社含む）エンドユーザー体制について把握できておりません。特に結合試験などを実施する際、どこ会社との調整が必要だったりする関わり合いが生じることが想定されるため、体制図などの情報提供をお願いします。</t>
    <rPh sb="0" eb="3">
      <t>ゲンジテン</t>
    </rPh>
    <rPh sb="8" eb="10">
      <t>キシャ</t>
    </rPh>
    <rPh sb="14" eb="16">
      <t>ヘイシャ</t>
    </rPh>
    <rPh sb="16" eb="17">
      <t>フク</t>
    </rPh>
    <rPh sb="26" eb="28">
      <t>タイセイ</t>
    </rPh>
    <rPh sb="32" eb="34">
      <t>ハアク</t>
    </rPh>
    <rPh sb="43" eb="44">
      <t>トク</t>
    </rPh>
    <rPh sb="45" eb="47">
      <t>ケツゴウ</t>
    </rPh>
    <rPh sb="47" eb="49">
      <t>シケン</t>
    </rPh>
    <rPh sb="52" eb="54">
      <t>ジッシ</t>
    </rPh>
    <rPh sb="56" eb="57">
      <t>サイ</t>
    </rPh>
    <rPh sb="60" eb="62">
      <t>カイシャ</t>
    </rPh>
    <rPh sb="64" eb="66">
      <t>チョウセイ</t>
    </rPh>
    <rPh sb="67" eb="69">
      <t>ヒツヨウ</t>
    </rPh>
    <rPh sb="75" eb="76">
      <t>カカ</t>
    </rPh>
    <rPh sb="78" eb="79">
      <t>ア</t>
    </rPh>
    <rPh sb="81" eb="82">
      <t>ショウ</t>
    </rPh>
    <rPh sb="87" eb="89">
      <t>ソウテイ</t>
    </rPh>
    <rPh sb="95" eb="97">
      <t>タイセイ</t>
    </rPh>
    <rPh sb="97" eb="98">
      <t>ズ</t>
    </rPh>
    <rPh sb="101" eb="103">
      <t>ジョウホウ</t>
    </rPh>
    <rPh sb="103" eb="105">
      <t>テイキョウ</t>
    </rPh>
    <rPh sb="107" eb="108">
      <t>ネガ</t>
    </rPh>
    <phoneticPr fontId="7"/>
  </si>
  <si>
    <t>プロジェクト体制が明確になること</t>
    <rPh sb="6" eb="8">
      <t>タイセイ</t>
    </rPh>
    <rPh sb="9" eb="11">
      <t>メイカク</t>
    </rPh>
    <phoneticPr fontId="7"/>
  </si>
  <si>
    <r>
      <t xml:space="preserve">4/21：きよはら
エンドユーザーは、いなげや様各店とそのお客様になります。いなげや様内、開発窓口はいなげや様情報システム部。その上位組織に、USMH様　システム部になります。
商流的には、弊社と、USMH様との契約になります。
データ連携については、いなげや様基幹システム（管理不明）→POSServer既存(管理：富士通)→Scan＆Go(管理：富士通＆VTI)→POSアプリ（Luvina）となり、POSServer既存には、POS機既存(管理：富士通)も使用しているために、Luvina製のPOS機と富士通製のPOS機とで、売価、実績ともに、常に同じ価格でなければならないのがマストです。
ただし、日中の売価変更の反映は、最長で５分のタイムラグまでは、OKです。
</t>
    </r>
    <r>
      <rPr>
        <sz val="10"/>
        <color rgb="FF3333FF"/>
        <rFont val="Meiryo UI"/>
        <family val="3"/>
        <charset val="128"/>
      </rPr>
      <t xml:space="preserve">4/22:クレスコ遠藤
体制については以下と理解しましたが、齟齬無いでしょうか。
---
商流：
　USMH→ルビナ社
体制：
　オーナー（USMH）→開発窓口（いなげや情報システム部）⇔ルビナ社
対向システム：
　Scan＆Go（富士通&amp;VTI）
　いなげやPOSアプリ（いなげや）
</t>
    </r>
    <rPh sb="349" eb="351">
      <t>タイセイ</t>
    </rPh>
    <rPh sb="356" eb="358">
      <t>イカ</t>
    </rPh>
    <rPh sb="359" eb="361">
      <t>リカイ</t>
    </rPh>
    <rPh sb="367" eb="369">
      <t>ソゴ</t>
    </rPh>
    <rPh sb="369" eb="370">
      <t>ナ</t>
    </rPh>
    <rPh sb="382" eb="384">
      <t>ショウリュウ</t>
    </rPh>
    <rPh sb="395" eb="396">
      <t>シャ</t>
    </rPh>
    <rPh sb="397" eb="399">
      <t>タイセイ</t>
    </rPh>
    <rPh sb="413" eb="415">
      <t>カイハツ</t>
    </rPh>
    <rPh sb="415" eb="417">
      <t>マドグチ</t>
    </rPh>
    <rPh sb="422" eb="424">
      <t>ジョウホウ</t>
    </rPh>
    <rPh sb="428" eb="429">
      <t>ブ</t>
    </rPh>
    <rPh sb="434" eb="435">
      <t>シャ</t>
    </rPh>
    <rPh sb="436" eb="438">
      <t>タイコウ</t>
    </rPh>
    <rPh sb="453" eb="456">
      <t>フジツウ</t>
    </rPh>
    <phoneticPr fontId="7"/>
  </si>
  <si>
    <t>【コミュニケーション方法について】
作業を進めるにあたってのコミュニケーションについて</t>
    <rPh sb="10" eb="12">
      <t>ホウホウ</t>
    </rPh>
    <rPh sb="18" eb="20">
      <t>サギョウ</t>
    </rPh>
    <rPh sb="21" eb="22">
      <t>スス</t>
    </rPh>
    <phoneticPr fontId="7"/>
  </si>
  <si>
    <t>4/16の打合せでは特に取り決めていなかったのでご教示ください。
基本的にオンライン作業になる認識ですので、以下のような場面でコミュケーションを取る必要あると思いますが、今回においては貴社推奨ツールを使わせていただきたく。
---
・週次進捗などの定例MTG（進捗報告や課題検討など）
　→Web会議
・日々のコミュニケーション
　→チャット
・ファイル共有
　→オンラインストレージ
※例えば、貴社がTeamsの利用可能であれば、弊社メンバーをゲスト参加させていただくなど</t>
  </si>
  <si>
    <t>役割分担を合意すること</t>
    <rPh sb="0" eb="4">
      <t>ヤクワリブンタン</t>
    </rPh>
    <rPh sb="5" eb="7">
      <t>ゴウイ</t>
    </rPh>
    <phoneticPr fontId="7"/>
  </si>
  <si>
    <t>4/21：おおたに
具体的なツールについては、確認してから回答します。日々のコミュニケーションに関しては、場面によっては、チャットだけではなく、オンラインでつなげた状態で会話することもお願いしたいです。</t>
  </si>
  <si>
    <t>【役割分担について】
インフラ作業における分担について</t>
    <rPh sb="1" eb="3">
      <t>ヤクワリ</t>
    </rPh>
    <rPh sb="3" eb="5">
      <t>ブンタン</t>
    </rPh>
    <rPh sb="15" eb="17">
      <t>サギョウ</t>
    </rPh>
    <rPh sb="21" eb="23">
      <t>ブンタン</t>
    </rPh>
    <phoneticPr fontId="7"/>
  </si>
  <si>
    <t xml:space="preserve">現時点においてどのような役割分担とするか明確になっておりませんので整理をさせてください。
4/16の打合せの際の話より、以下が基本的な分担を想定しておりますが認識齟齬内でしょうか。
---
エンドユーザーとの会議/スケジュールやタスク調整等：
　ルビナ社主体（弊社は必要に応じて参加）
弊社作業レビューおよび承認：
　ルビナ社（レビューを依頼する際は弊社内でレビューが完了したもの）
アプリ側IT/PT/ST支援：
　ルビナ社主体でトラブル発生時などの対応が弊社
</t>
  </si>
  <si>
    <t xml:space="preserve">4/21：おおたに
はい、その認識であっております。
</t>
  </si>
  <si>
    <t>内容に記載の役割分担を基本とする</t>
    <rPh sb="0" eb="2">
      <t>ナイヨウ</t>
    </rPh>
    <rPh sb="3" eb="5">
      <t>キサイ</t>
    </rPh>
    <rPh sb="6" eb="8">
      <t>ヤクワリ</t>
    </rPh>
    <rPh sb="8" eb="10">
      <t>ブンタン</t>
    </rPh>
    <rPh sb="11" eb="13">
      <t>キホン</t>
    </rPh>
    <phoneticPr fontId="7"/>
  </si>
  <si>
    <t>完了</t>
  </si>
  <si>
    <t>【作成物について#1】
作業期間中の作成物について</t>
    <rPh sb="1" eb="3">
      <t>サクセイ</t>
    </rPh>
    <rPh sb="3" eb="4">
      <t>ブツ</t>
    </rPh>
    <rPh sb="12" eb="14">
      <t>サギョウ</t>
    </rPh>
    <rPh sb="14" eb="17">
      <t>キカンチュウ</t>
    </rPh>
    <rPh sb="18" eb="20">
      <t>サクセイ</t>
    </rPh>
    <rPh sb="20" eb="21">
      <t>ブツ</t>
    </rPh>
    <phoneticPr fontId="7"/>
  </si>
  <si>
    <t>4/16の打合せの際の話より、以下の作成物を想定しました。
認識齟齬が無いかご確認ください。
---
AWS設計書（エンドユーザー納品対象）
- 全体構成図
- 機能別サービス利用方針（7つのマイルストーンに基づく機能）
インフラコード（ルビナ様提供物）
- Teraform（現時点）
実機（エンドユーザー納品対象）
- POS Server 2.0(オフライン)一式</t>
    <rPh sb="15" eb="17">
      <t>イカ</t>
    </rPh>
    <rPh sb="18" eb="20">
      <t>サクセイ</t>
    </rPh>
    <rPh sb="20" eb="21">
      <t>ブツ</t>
    </rPh>
    <rPh sb="22" eb="24">
      <t>ソウテイ</t>
    </rPh>
    <rPh sb="30" eb="32">
      <t>ニンシキ</t>
    </rPh>
    <rPh sb="32" eb="34">
      <t>ソゴ</t>
    </rPh>
    <rPh sb="35" eb="36">
      <t>ナ</t>
    </rPh>
    <rPh sb="39" eb="41">
      <t>カクニン</t>
    </rPh>
    <rPh sb="54" eb="56">
      <t>セッケイ</t>
    </rPh>
    <rPh sb="56" eb="57">
      <t>ショ</t>
    </rPh>
    <rPh sb="65" eb="67">
      <t>ノウヒン</t>
    </rPh>
    <rPh sb="67" eb="69">
      <t>タイショウ</t>
    </rPh>
    <rPh sb="73" eb="75">
      <t>ゼンタイ</t>
    </rPh>
    <rPh sb="75" eb="78">
      <t>コウセイズ</t>
    </rPh>
    <rPh sb="81" eb="83">
      <t>キノウ</t>
    </rPh>
    <rPh sb="83" eb="84">
      <t>ベツ</t>
    </rPh>
    <rPh sb="88" eb="90">
      <t>リヨウ</t>
    </rPh>
    <rPh sb="90" eb="92">
      <t>ホウシン</t>
    </rPh>
    <rPh sb="104" eb="105">
      <t>モト</t>
    </rPh>
    <rPh sb="107" eb="109">
      <t>キノウ</t>
    </rPh>
    <rPh sb="122" eb="123">
      <t>サマ</t>
    </rPh>
    <rPh sb="123" eb="125">
      <t>テイキョウ</t>
    </rPh>
    <rPh sb="125" eb="126">
      <t>ブツ</t>
    </rPh>
    <rPh sb="139" eb="142">
      <t>ゲンジテン</t>
    </rPh>
    <rPh sb="144" eb="146">
      <t>ジッキ</t>
    </rPh>
    <rPh sb="183" eb="185">
      <t>イッシキ</t>
    </rPh>
    <phoneticPr fontId="7"/>
  </si>
  <si>
    <t>作成物を合意すること</t>
    <rPh sb="0" eb="2">
      <t>サクセイ</t>
    </rPh>
    <rPh sb="2" eb="3">
      <t>ブツ</t>
    </rPh>
    <rPh sb="4" eb="6">
      <t>ゴウイ</t>
    </rPh>
    <phoneticPr fontId="7"/>
  </si>
  <si>
    <t>4/21：おおたに
追加で下記もお願いしたいです。
・インフラレベルのテスト項目書
・監視項目書
・インフラレベルの運用マニュアル（例えば、Terraformデプロイ方法、監視追加方法など）</t>
    <phoneticPr fontId="7"/>
  </si>
  <si>
    <t>作成物は以下を作成する。
AWS設計書（エンドユーザー納品対象）
- 全体構成図
- 機能別サービス利用方針（7つのマイルストーンに基づく機能）
- インフラレベルのテスト項目書
- 監視項目書
- インフラ運用マニュアル
インフラコード（ルビナ様提供物）
- Teraform（現時点）
実機（エンドユーザー納品対象）
- POS Server 2.0(オフライン)一式</t>
    <rPh sb="0" eb="2">
      <t>サクセイ</t>
    </rPh>
    <rPh sb="2" eb="3">
      <t>ブツ</t>
    </rPh>
    <rPh sb="4" eb="6">
      <t>イカ</t>
    </rPh>
    <rPh sb="7" eb="9">
      <t>サクセイ</t>
    </rPh>
    <rPh sb="104" eb="106">
      <t>ウンヨウ</t>
    </rPh>
    <phoneticPr fontId="7"/>
  </si>
  <si>
    <t>【作成物について#2】
作成物の粒度について</t>
    <rPh sb="1" eb="3">
      <t>サクセイ</t>
    </rPh>
    <rPh sb="3" eb="4">
      <t>ブツ</t>
    </rPh>
    <rPh sb="12" eb="14">
      <t>サクセイ</t>
    </rPh>
    <rPh sb="14" eb="15">
      <t>ブツ</t>
    </rPh>
    <rPh sb="16" eb="18">
      <t>リュウド</t>
    </rPh>
    <phoneticPr fontId="7"/>
  </si>
  <si>
    <t>貴社で現在作成している設計書の粒度について把握したいので、納品想定としているドキュメントを提供していただけないでしょうか。またファイルフォーマット（.xlsxなど）の指定もいただける有難いです。</t>
    <rPh sb="0" eb="2">
      <t>キシャ</t>
    </rPh>
    <rPh sb="3" eb="5">
      <t>ゲンザイ</t>
    </rPh>
    <rPh sb="5" eb="7">
      <t>サクセイ</t>
    </rPh>
    <rPh sb="11" eb="13">
      <t>セッケイ</t>
    </rPh>
    <rPh sb="13" eb="14">
      <t>ショ</t>
    </rPh>
    <rPh sb="15" eb="17">
      <t>リュウド</t>
    </rPh>
    <rPh sb="21" eb="23">
      <t>ハアク</t>
    </rPh>
    <rPh sb="29" eb="31">
      <t>ノウヒン</t>
    </rPh>
    <rPh sb="31" eb="33">
      <t>ソウテイ</t>
    </rPh>
    <rPh sb="45" eb="47">
      <t>テイキョウ</t>
    </rPh>
    <rPh sb="83" eb="85">
      <t>シテイ</t>
    </rPh>
    <rPh sb="91" eb="93">
      <t>アリガタ</t>
    </rPh>
    <phoneticPr fontId="7"/>
  </si>
  <si>
    <t>作成物の粒度について</t>
    <rPh sb="0" eb="2">
      <t>サクセイ</t>
    </rPh>
    <rPh sb="2" eb="3">
      <t>ブツ</t>
    </rPh>
    <rPh sb="4" eb="6">
      <t>リュウド</t>
    </rPh>
    <phoneticPr fontId="7"/>
  </si>
  <si>
    <r>
      <t xml:space="preserve">4/21：おおたに
今回、インフラコード化されるので、基本的に設計書は不要と考えています。
※任意ですが、Terraformから構成図を出力する方法が効果的であれば、この方法を活用したいと考えています。
https://blog.mmmcorp.co.jp/2023/07/26/generating-architecture-diagram-from-terraform-code/
</t>
    </r>
    <r>
      <rPr>
        <sz val="10"/>
        <color rgb="FF3333FF"/>
        <rFont val="Meiryo UI"/>
        <family val="3"/>
        <charset val="128"/>
      </rPr>
      <t xml:space="preserve">4/22:クレスコ遠藤
言葉が足りませんでした。
エンドユーザー向けに貴社がお客様に納品対象となっている設計書の記載粒度を確認させてください。
例）
AWS設計書（エンドユーザー納品対象）
- 全体構成図
- 機能別サービス利用方針（7つのマイルストーンに基づく機能）
</t>
    </r>
    <rPh sb="206" eb="208">
      <t>コトバ</t>
    </rPh>
    <rPh sb="209" eb="210">
      <t>タ</t>
    </rPh>
    <rPh sb="226" eb="227">
      <t>ム</t>
    </rPh>
    <rPh sb="229" eb="231">
      <t>キシャ</t>
    </rPh>
    <rPh sb="233" eb="235">
      <t>キャクサマ</t>
    </rPh>
    <rPh sb="236" eb="238">
      <t>ノウヒン</t>
    </rPh>
    <rPh sb="238" eb="240">
      <t>タイショウ</t>
    </rPh>
    <rPh sb="246" eb="249">
      <t>セッケイショ</t>
    </rPh>
    <rPh sb="250" eb="252">
      <t>キサイ</t>
    </rPh>
    <rPh sb="252" eb="254">
      <t>リュウド</t>
    </rPh>
    <rPh sb="255" eb="257">
      <t>カクニン</t>
    </rPh>
    <rPh sb="266" eb="267">
      <t>レイ</t>
    </rPh>
    <phoneticPr fontId="7"/>
  </si>
  <si>
    <t>【作成物について#3】
テスト仕様書について</t>
    <rPh sb="1" eb="3">
      <t>サクセイ</t>
    </rPh>
    <rPh sb="3" eb="4">
      <t>ブツ</t>
    </rPh>
    <rPh sb="15" eb="18">
      <t>シヨウショ</t>
    </rPh>
    <phoneticPr fontId="7"/>
  </si>
  <si>
    <t>インフラ環境品質を向上させるためにテストが必須であると思いますが、現時点の作成物には指定がありませんでした。これは任意に作成して進める想定ですが、指定されなかったのは何か意図されるものはありますでしょうか。</t>
    <rPh sb="4" eb="6">
      <t>カンキョウ</t>
    </rPh>
    <rPh sb="6" eb="8">
      <t>ヒンシツ</t>
    </rPh>
    <rPh sb="9" eb="11">
      <t>コウジョウ</t>
    </rPh>
    <rPh sb="21" eb="23">
      <t>ヒッス</t>
    </rPh>
    <rPh sb="27" eb="28">
      <t>オモ</t>
    </rPh>
    <rPh sb="33" eb="36">
      <t>ゲンジテン</t>
    </rPh>
    <rPh sb="37" eb="39">
      <t>サクセイ</t>
    </rPh>
    <rPh sb="39" eb="40">
      <t>ブツ</t>
    </rPh>
    <rPh sb="42" eb="44">
      <t>シテイ</t>
    </rPh>
    <rPh sb="57" eb="59">
      <t>ニンイ</t>
    </rPh>
    <rPh sb="60" eb="62">
      <t>サクセイ</t>
    </rPh>
    <rPh sb="64" eb="65">
      <t>スス</t>
    </rPh>
    <rPh sb="67" eb="69">
      <t>ソウテイ</t>
    </rPh>
    <rPh sb="73" eb="75">
      <t>シテイ</t>
    </rPh>
    <rPh sb="83" eb="84">
      <t>ナニ</t>
    </rPh>
    <rPh sb="85" eb="87">
      <t>イト</t>
    </rPh>
    <phoneticPr fontId="7"/>
  </si>
  <si>
    <t>4/21：おおたに
インフラレベルのテストも想定しております。</t>
  </si>
  <si>
    <t>インフラレベルのテスト項目書（UT/IT）を作成</t>
    <rPh sb="22" eb="24">
      <t>サクセイ</t>
    </rPh>
    <phoneticPr fontId="7"/>
  </si>
  <si>
    <t>【スケジュールについて】
インフラマイルストーンについて</t>
    <phoneticPr fontId="7"/>
  </si>
  <si>
    <t>現時点では5月から参画し9/1リリースに向け、アプリ側などと一体となり進める認識です。現在アプリおよび結合試験に向けた対向システムご担当企業との調整もあると思いますが、大きな枠組みとしてインフラ観点では以下のようなイメージで良いでしょうか。
---
5月：インフラ設計
6月：インフラ構築/設計（1,2,3）
7月：インフラ構築/設計（4,5,6）
8月：アプリテスト支援（7）
9月：引継ドキュメント作成およびルビナ引継
※上記番号は、「POS Server 2.0 インフラ構成見直し計画」スライド4のマイルストーン</t>
    <phoneticPr fontId="7"/>
  </si>
  <si>
    <t>インフラ作業のマイルストーンの認識があること</t>
    <rPh sb="4" eb="6">
      <t>サギョウ</t>
    </rPh>
    <rPh sb="15" eb="17">
      <t>ニンシキ</t>
    </rPh>
    <phoneticPr fontId="7"/>
  </si>
  <si>
    <r>
      <t xml:space="preserve">4/21：おおたに
スケジュールについては、５月上旬に見積もる予定です。（御社が参加したあと）
私のイメージは次の通りです。
5-7月：インフラ設計/構築
8月：監視/負荷試験
9月：引継ドキュメント作成およびルビナ引継
</t>
    </r>
    <r>
      <rPr>
        <sz val="10"/>
        <color rgb="FF3333FF"/>
        <rFont val="Meiryo UI"/>
        <family val="3"/>
        <charset val="128"/>
      </rPr>
      <t>4/22:クレスコ遠藤
先日の打合せでは弊社のスケジュール立案を弊社に協力して欲しいとの話がありました。
どのようにスケジュールを見積もるつもりなのか共有いただければお手伝いできる部分があるかもしれませんので、予めいただけるものがあれば共有を願いいます。</t>
    </r>
    <rPh sb="125" eb="127">
      <t>センジツ</t>
    </rPh>
    <rPh sb="128" eb="130">
      <t>ウチアワ</t>
    </rPh>
    <rPh sb="133" eb="135">
      <t>ヘイシャ</t>
    </rPh>
    <rPh sb="142" eb="144">
      <t>リツアン</t>
    </rPh>
    <rPh sb="145" eb="147">
      <t>ヘイシャ</t>
    </rPh>
    <rPh sb="148" eb="150">
      <t>キョウリョク</t>
    </rPh>
    <rPh sb="152" eb="153">
      <t>ホ</t>
    </rPh>
    <rPh sb="157" eb="158">
      <t>ハナシ</t>
    </rPh>
    <rPh sb="178" eb="180">
      <t>ミツ</t>
    </rPh>
    <rPh sb="188" eb="190">
      <t>キョウユウ</t>
    </rPh>
    <rPh sb="197" eb="199">
      <t>テツダ</t>
    </rPh>
    <rPh sb="203" eb="205">
      <t>ブブン</t>
    </rPh>
    <rPh sb="218" eb="219">
      <t>アラカジ</t>
    </rPh>
    <rPh sb="231" eb="233">
      <t>キョウユウ</t>
    </rPh>
    <rPh sb="234" eb="235">
      <t>ネガ</t>
    </rPh>
    <phoneticPr fontId="7"/>
  </si>
  <si>
    <t>【インフラ設計前提について】
オフライン環境構築にあたっての前工程のドキュメントについて</t>
    <rPh sb="5" eb="7">
      <t>セッケイ</t>
    </rPh>
    <rPh sb="7" eb="9">
      <t>ゼンテイ</t>
    </rPh>
    <rPh sb="20" eb="22">
      <t>カンキョウ</t>
    </rPh>
    <rPh sb="22" eb="24">
      <t>コウチク</t>
    </rPh>
    <rPh sb="30" eb="33">
      <t>ゼンコウテイ</t>
    </rPh>
    <phoneticPr fontId="7"/>
  </si>
  <si>
    <t xml:space="preserve">前工程で要件定義を実施していると想定しておりますが、具体的にどのような内容が要求されているかご教示ください。存在するとしてもオンライン版だと思いますが、それでも良いので情報提供をお願いいたします。
また非機能について、レベルにもよりますが、例えばIPA提供の非機能要求グレードに記載される内容などがあれば、同様に提供をお願いします。
システム構築の上流工程強化（非機能要求グレード）紹介ページ
https://www.ipa.go.jp/archive/digital/iot-en-ci/jyouryuu/hikinou/ent03-b.html
</t>
    <rPh sb="0" eb="3">
      <t>ゼンコウテイ</t>
    </rPh>
    <rPh sb="4" eb="6">
      <t>ヨウケン</t>
    </rPh>
    <rPh sb="6" eb="8">
      <t>テイギ</t>
    </rPh>
    <rPh sb="9" eb="11">
      <t>ジッシ</t>
    </rPh>
    <rPh sb="16" eb="18">
      <t>ソウテイ</t>
    </rPh>
    <rPh sb="26" eb="29">
      <t>グタイテキ</t>
    </rPh>
    <rPh sb="35" eb="37">
      <t>ナイヨウ</t>
    </rPh>
    <rPh sb="38" eb="40">
      <t>ヨウキュウ</t>
    </rPh>
    <rPh sb="47" eb="49">
      <t>キョウジ</t>
    </rPh>
    <rPh sb="54" eb="56">
      <t>ソンザイ</t>
    </rPh>
    <rPh sb="67" eb="68">
      <t>バン</t>
    </rPh>
    <rPh sb="70" eb="71">
      <t>オモ</t>
    </rPh>
    <rPh sb="80" eb="81">
      <t>ヨ</t>
    </rPh>
    <rPh sb="84" eb="86">
      <t>ジョウホウ</t>
    </rPh>
    <rPh sb="86" eb="88">
      <t>テイキョウ</t>
    </rPh>
    <rPh sb="90" eb="91">
      <t>ネガ</t>
    </rPh>
    <rPh sb="101" eb="102">
      <t>ヒ</t>
    </rPh>
    <rPh sb="102" eb="104">
      <t>キノウ</t>
    </rPh>
    <rPh sb="120" eb="121">
      <t>タト</t>
    </rPh>
    <rPh sb="126" eb="128">
      <t>テイキョウ</t>
    </rPh>
    <rPh sb="129" eb="132">
      <t>ヒキノウ</t>
    </rPh>
    <rPh sb="132" eb="134">
      <t>ヨウキュウ</t>
    </rPh>
    <rPh sb="139" eb="141">
      <t>キサイ</t>
    </rPh>
    <rPh sb="144" eb="146">
      <t>ナイヨウ</t>
    </rPh>
    <rPh sb="153" eb="155">
      <t>ドウヨウ</t>
    </rPh>
    <rPh sb="156" eb="158">
      <t>テイキョウ</t>
    </rPh>
    <rPh sb="160" eb="161">
      <t>ネガ</t>
    </rPh>
    <phoneticPr fontId="7"/>
  </si>
  <si>
    <t>非機能要求の認識合意</t>
    <rPh sb="0" eb="5">
      <t>ヒキノウヨウキュウ</t>
    </rPh>
    <rPh sb="6" eb="8">
      <t>ニンシキ</t>
    </rPh>
    <rPh sb="8" eb="10">
      <t>ゴウイ</t>
    </rPh>
    <phoneticPr fontId="7"/>
  </si>
  <si>
    <r>
      <t xml:space="preserve">4/21：きよはら
オンライン版では、AWSとの連携については、起動時の設定取得と、レシートジャーナル（電子帳簿保存）のみを想定しており、オンプレミス環境で、２年ほど提供していた機能を、AWS側への移行という認識で、極小規模を想定していたために、細かく要件定義、設計書などは存在していません。アプリ側とのAPI連携２項目程度でした。
</t>
    </r>
    <r>
      <rPr>
        <sz val="10"/>
        <color rgb="FF3333FF"/>
        <rFont val="Meiryo UI"/>
        <family val="3"/>
        <charset val="128"/>
      </rPr>
      <t xml:space="preserve">4/23:クレスコ遠藤
オフライン版設計においてビジネス要件をこれから詰めていくとの話がありましたが、その取っ掛かりとして、UHSM様の他システムでオフライン運用をしている類似のシステムなど参考となるものなど、入手の見込みなどありますでしょうか。個々に確認するとなると時間が足りなくなることを懸念しています。
ドキュメント化されていなくても顧客と合意しているものが最低限必要であり、例えば#5にある「日中の売価変更の反映は、最長で５分のタイムラグまでは、OK」といった、要件一覧でも構いません。
</t>
    </r>
    <rPh sb="185" eb="186">
      <t>バン</t>
    </rPh>
    <rPh sb="186" eb="188">
      <t>セッケイ</t>
    </rPh>
    <rPh sb="196" eb="198">
      <t>ヨウケン</t>
    </rPh>
    <rPh sb="203" eb="204">
      <t>ツ</t>
    </rPh>
    <rPh sb="210" eb="211">
      <t>ハナシ</t>
    </rPh>
    <rPh sb="221" eb="222">
      <t>ト</t>
    </rPh>
    <rPh sb="223" eb="224">
      <t>カ</t>
    </rPh>
    <rPh sb="234" eb="235">
      <t>サマ</t>
    </rPh>
    <rPh sb="236" eb="237">
      <t>タ</t>
    </rPh>
    <rPh sb="247" eb="249">
      <t>ウンヨウ</t>
    </rPh>
    <rPh sb="254" eb="256">
      <t>ルイジ</t>
    </rPh>
    <rPh sb="263" eb="265">
      <t>サンコウ</t>
    </rPh>
    <rPh sb="273" eb="275">
      <t>ニュウシュ</t>
    </rPh>
    <rPh sb="276" eb="278">
      <t>ミコ</t>
    </rPh>
    <rPh sb="291" eb="293">
      <t>ココ</t>
    </rPh>
    <rPh sb="294" eb="296">
      <t>カクニン</t>
    </rPh>
    <rPh sb="302" eb="304">
      <t>ジカン</t>
    </rPh>
    <rPh sb="305" eb="306">
      <t>タ</t>
    </rPh>
    <rPh sb="314" eb="316">
      <t>ケネン</t>
    </rPh>
    <rPh sb="329" eb="330">
      <t>カ</t>
    </rPh>
    <rPh sb="338" eb="340">
      <t>コキャク</t>
    </rPh>
    <rPh sb="341" eb="343">
      <t>ゴウイ</t>
    </rPh>
    <rPh sb="350" eb="353">
      <t>サイテイゲン</t>
    </rPh>
    <rPh sb="353" eb="355">
      <t>ヒツヨウ</t>
    </rPh>
    <rPh sb="359" eb="360">
      <t>タト</t>
    </rPh>
    <rPh sb="403" eb="405">
      <t>ヨウケン</t>
    </rPh>
    <rPh sb="405" eb="407">
      <t>イチラン</t>
    </rPh>
    <rPh sb="409" eb="410">
      <t>カマ</t>
    </rPh>
    <phoneticPr fontId="7"/>
  </si>
  <si>
    <t>【背景について】
オフラインシステム導入に至った経緯</t>
    <rPh sb="1" eb="3">
      <t>ハイケイ</t>
    </rPh>
    <rPh sb="18" eb="20">
      <t>ドウニュウ</t>
    </rPh>
    <rPh sb="21" eb="22">
      <t>イタ</t>
    </rPh>
    <rPh sb="24" eb="26">
      <t>ケイイ</t>
    </rPh>
    <phoneticPr fontId="7"/>
  </si>
  <si>
    <t>オンラインシステムのどこに問題があって、オフラインシステムの開発に踏み切ったのか、そのあたりの経緯についておしえてください。</t>
    <phoneticPr fontId="7"/>
  </si>
  <si>
    <t>情報の入手</t>
    <rPh sb="0" eb="2">
      <t>ジョウホウ</t>
    </rPh>
    <rPh sb="3" eb="5">
      <t>ニュウシュ</t>
    </rPh>
    <phoneticPr fontId="7"/>
  </si>
  <si>
    <r>
      <t xml:space="preserve">4/21：きよはら
①売価変更の遅延：店舗への売価変更指示は、POSServer（既存：富士通）にて行い、Scan＆Goサーバー（VTI＆富士通）へ連携され、オンライン版POSには、都度、商品スキャン時に売価をWEBAPIで確認する使用でしたが、POSServerとScan＆Goサーバーへの連携に不具合があり、売価が反映されないことが発生。お客様に店頭表示価格より高い価格で販売する事態が、20件ほど発生させてしまった。
②自動釣銭機に現金が呑み込まれる：お客様より自動釣銭機にて現金をお預かりするが、お預かりした金額を送信する先に、WEBAPIがエラーとなってしまい、後処理に不具合が生じ、結果としてお預かり金が、自動釣銭機に飲み込まれ、別途サービスカウンターより出金して対応となる自体となってしまった。
③POSアプリと、Luvinaのサーバー間での疎通不具合が発生し、土曜日に15:00より一時間程度止める事態を発生させてしまった。
機能的には、ジャーナルとアプリのLOGを保存する機能での不具合。
</t>
    </r>
    <r>
      <rPr>
        <sz val="10"/>
        <color rgb="FF3333FF"/>
        <rFont val="Meiryo UI"/>
        <family val="3"/>
        <charset val="128"/>
      </rPr>
      <t>4/23:クレスコ遠藤
この3件は①②③はオンライン版のアプリケーションに起因？と読み取れます。
本日お話をいただいたオフライン版導入の経緯（#2）と少し異なる内容に思えますが、何か関連するような事象なのでしょうか。何か関連するようなことがあり得るのならば、オフライン版の開発の際に原因を深掘した上で対策を検討していきたいと考えています。</t>
    </r>
    <rPh sb="470" eb="471">
      <t>ケン</t>
    </rPh>
    <rPh sb="481" eb="482">
      <t>バン</t>
    </rPh>
    <rPh sb="492" eb="494">
      <t>キイン</t>
    </rPh>
    <rPh sb="496" eb="497">
      <t>ヨ</t>
    </rPh>
    <rPh sb="498" eb="499">
      <t>ト</t>
    </rPh>
    <rPh sb="504" eb="506">
      <t>ホンジツ</t>
    </rPh>
    <rPh sb="507" eb="508">
      <t>ハナシ</t>
    </rPh>
    <rPh sb="519" eb="520">
      <t>バン</t>
    </rPh>
    <rPh sb="520" eb="522">
      <t>ドウニュウ</t>
    </rPh>
    <rPh sb="523" eb="525">
      <t>ケイイ</t>
    </rPh>
    <rPh sb="530" eb="531">
      <t>スコ</t>
    </rPh>
    <rPh sb="532" eb="533">
      <t>コト</t>
    </rPh>
    <rPh sb="535" eb="537">
      <t>ナイヨウ</t>
    </rPh>
    <rPh sb="544" eb="545">
      <t>ナニ</t>
    </rPh>
    <rPh sb="546" eb="548">
      <t>カンレン</t>
    </rPh>
    <rPh sb="553" eb="555">
      <t>ジショウ</t>
    </rPh>
    <rPh sb="563" eb="564">
      <t>ナニ</t>
    </rPh>
    <rPh sb="565" eb="567">
      <t>カンレン</t>
    </rPh>
    <rPh sb="577" eb="578">
      <t>エ</t>
    </rPh>
    <rPh sb="589" eb="590">
      <t>バン</t>
    </rPh>
    <rPh sb="591" eb="593">
      <t>カイハツ</t>
    </rPh>
    <rPh sb="594" eb="595">
      <t>サイ</t>
    </rPh>
    <rPh sb="596" eb="598">
      <t>ゲンイン</t>
    </rPh>
    <rPh sb="599" eb="600">
      <t>シン</t>
    </rPh>
    <rPh sb="600" eb="601">
      <t>クツ</t>
    </rPh>
    <rPh sb="603" eb="604">
      <t>ウエ</t>
    </rPh>
    <rPh sb="605" eb="607">
      <t>タイサク</t>
    </rPh>
    <rPh sb="608" eb="610">
      <t>ケントウ</t>
    </rPh>
    <rPh sb="617" eb="618">
      <t>カンガ</t>
    </rPh>
    <phoneticPr fontId="7"/>
  </si>
  <si>
    <t>CRESCO
畠</t>
    <rPh sb="7" eb="8">
      <t>ハタ</t>
    </rPh>
    <phoneticPr fontId="7"/>
  </si>
  <si>
    <t>【現時点の課題について】
貴社認識の課題について</t>
    <rPh sb="1" eb="4">
      <t>ゲンジテン</t>
    </rPh>
    <rPh sb="5" eb="7">
      <t>カダイ</t>
    </rPh>
    <rPh sb="13" eb="15">
      <t>キシャ</t>
    </rPh>
    <rPh sb="15" eb="17">
      <t>ニンシキ</t>
    </rPh>
    <rPh sb="18" eb="20">
      <t>カダイ</t>
    </rPh>
    <phoneticPr fontId="7"/>
  </si>
  <si>
    <t>貴社がオフライン版を構築するにあたって、認識している課題を共有ください。</t>
    <rPh sb="0" eb="2">
      <t>キシャ</t>
    </rPh>
    <rPh sb="8" eb="9">
      <t>バン</t>
    </rPh>
    <rPh sb="10" eb="12">
      <t>コウチク</t>
    </rPh>
    <rPh sb="20" eb="22">
      <t>ニンシキ</t>
    </rPh>
    <rPh sb="26" eb="28">
      <t>カダイ</t>
    </rPh>
    <rPh sb="29" eb="31">
      <t>キョウユウ</t>
    </rPh>
    <phoneticPr fontId="7"/>
  </si>
  <si>
    <t>課題の入手</t>
    <rPh sb="0" eb="2">
      <t>カダイ</t>
    </rPh>
    <rPh sb="3" eb="5">
      <t>ニュウシュ</t>
    </rPh>
    <phoneticPr fontId="7"/>
  </si>
  <si>
    <t>未着手</t>
  </si>
  <si>
    <t>通信経路の帯域について</t>
    <rPh sb="0" eb="2">
      <t>ツウシン</t>
    </rPh>
    <rPh sb="2" eb="4">
      <t>ケイロ</t>
    </rPh>
    <rPh sb="5" eb="7">
      <t>タイイキ</t>
    </rPh>
    <phoneticPr fontId="7"/>
  </si>
  <si>
    <t>オフライン化を実装しているサーバ間の通信経路における帯域（制約）を共有ください。</t>
    <rPh sb="5" eb="6">
      <t>カ</t>
    </rPh>
    <rPh sb="7" eb="9">
      <t>ジッソウ</t>
    </rPh>
    <rPh sb="16" eb="17">
      <t>カン</t>
    </rPh>
    <rPh sb="18" eb="22">
      <t>ツウシンケイロ</t>
    </rPh>
    <rPh sb="26" eb="28">
      <t>タイイキ</t>
    </rPh>
    <rPh sb="29" eb="31">
      <t>セイヤク</t>
    </rPh>
    <rPh sb="33" eb="35">
      <t>キョウユウ</t>
    </rPh>
    <phoneticPr fontId="7"/>
  </si>
  <si>
    <t>通信経路の帯域が明確となっている</t>
    <rPh sb="0" eb="4">
      <t>ツウシンケイロ</t>
    </rPh>
    <rPh sb="5" eb="7">
      <t>タイイキ</t>
    </rPh>
    <rPh sb="8" eb="10">
      <t>メイカク</t>
    </rPh>
    <phoneticPr fontId="7"/>
  </si>
  <si>
    <t>2025/5/14
１６日にお客様に確認予定</t>
    <rPh sb="12" eb="13">
      <t>ニチ</t>
    </rPh>
    <rPh sb="15" eb="17">
      <t>キャクサマ</t>
    </rPh>
    <rPh sb="18" eb="20">
      <t>カクニン</t>
    </rPh>
    <rPh sb="20" eb="22">
      <t>ヨテイ</t>
    </rPh>
    <phoneticPr fontId="7"/>
  </si>
  <si>
    <t>CRECO
山本</t>
    <rPh sb="6" eb="8">
      <t>ヤマモト</t>
    </rPh>
    <phoneticPr fontId="7"/>
  </si>
  <si>
    <t>山本</t>
    <rPh sb="0" eb="2">
      <t>ヤマモト</t>
    </rPh>
    <phoneticPr fontId="7"/>
  </si>
  <si>
    <t>割り当てられたプライベートIPについて</t>
    <rPh sb="0" eb="1">
      <t>ワ</t>
    </rPh>
    <rPh sb="2" eb="3">
      <t>ア</t>
    </rPh>
    <phoneticPr fontId="7"/>
  </si>
  <si>
    <t>いなげや、かすみの現割り振り済みIP帯と構築済みのAWSのVPCでのIP帯について共有をお願いします。</t>
    <rPh sb="9" eb="10">
      <t>ゲン</t>
    </rPh>
    <rPh sb="10" eb="11">
      <t>ワ</t>
    </rPh>
    <rPh sb="12" eb="13">
      <t>フ</t>
    </rPh>
    <rPh sb="14" eb="15">
      <t>ズ</t>
    </rPh>
    <rPh sb="18" eb="19">
      <t>タイ</t>
    </rPh>
    <rPh sb="20" eb="23">
      <t>コウチクズ</t>
    </rPh>
    <rPh sb="36" eb="37">
      <t>タイ</t>
    </rPh>
    <rPh sb="41" eb="43">
      <t>キョウユウ</t>
    </rPh>
    <rPh sb="45" eb="46">
      <t>ネガ</t>
    </rPh>
    <phoneticPr fontId="7"/>
  </si>
  <si>
    <t>本番・ステージングのIP帯が明確になっている</t>
    <rPh sb="0" eb="2">
      <t>ホンバン</t>
    </rPh>
    <rPh sb="12" eb="13">
      <t>タイ</t>
    </rPh>
    <rPh sb="14" eb="16">
      <t>メイカク</t>
    </rPh>
    <phoneticPr fontId="7"/>
  </si>
  <si>
    <t>2025/5/14
オンライン環境のIPについては共有いただきました。
オフライン化で使用するIP帯についてはお客様と調整のうえ、決定する方針とする。
基本は1アカウント、１VPCとするがスパイク環境はどうするか検討中</t>
    <rPh sb="15" eb="17">
      <t>カンキョウ</t>
    </rPh>
    <rPh sb="25" eb="27">
      <t>キョウユウ</t>
    </rPh>
    <rPh sb="42" eb="43">
      <t>カ</t>
    </rPh>
    <rPh sb="44" eb="46">
      <t>シヨウ</t>
    </rPh>
    <rPh sb="50" eb="51">
      <t>タイ</t>
    </rPh>
    <rPh sb="57" eb="59">
      <t>キャクサマ</t>
    </rPh>
    <rPh sb="60" eb="62">
      <t>チョウセイ</t>
    </rPh>
    <rPh sb="66" eb="68">
      <t>ケッテイ</t>
    </rPh>
    <rPh sb="70" eb="72">
      <t>ホウシン</t>
    </rPh>
    <rPh sb="77" eb="79">
      <t>キホン</t>
    </rPh>
    <rPh sb="99" eb="101">
      <t>カンキョウ</t>
    </rPh>
    <rPh sb="107" eb="110">
      <t>ケントウチュウ</t>
    </rPh>
    <phoneticPr fontId="7"/>
  </si>
  <si>
    <t>オンプレミス側の環境把握</t>
    <rPh sb="6" eb="7">
      <t>ガワ</t>
    </rPh>
    <rPh sb="8" eb="10">
      <t>カンキョウ</t>
    </rPh>
    <rPh sb="10" eb="12">
      <t>ハアク</t>
    </rPh>
    <phoneticPr fontId="7"/>
  </si>
  <si>
    <t>AWS上には以下環境を構築予定。
対となるオンプレミス側の環境の情報を提供下さい。
・カスミ本番環境
・カスミステージング環境
・いなげや本番環境
・いなげやステージング環境
・スパイク環境</t>
    <rPh sb="3" eb="4">
      <t>ジョウ</t>
    </rPh>
    <rPh sb="6" eb="8">
      <t>イカ</t>
    </rPh>
    <rPh sb="8" eb="10">
      <t>カンキョウ</t>
    </rPh>
    <rPh sb="11" eb="13">
      <t>コウチク</t>
    </rPh>
    <rPh sb="13" eb="15">
      <t>ヨテイ</t>
    </rPh>
    <rPh sb="17" eb="18">
      <t>ツイ</t>
    </rPh>
    <rPh sb="27" eb="28">
      <t>ガワ</t>
    </rPh>
    <rPh sb="29" eb="31">
      <t>カンキョウ</t>
    </rPh>
    <rPh sb="32" eb="34">
      <t>ジョウホウ</t>
    </rPh>
    <rPh sb="35" eb="37">
      <t>テイキョウ</t>
    </rPh>
    <rPh sb="37" eb="38">
      <t>クダ</t>
    </rPh>
    <rPh sb="47" eb="51">
      <t>ホンバンカンキョウ</t>
    </rPh>
    <rPh sb="62" eb="64">
      <t>カンキョウ</t>
    </rPh>
    <rPh sb="70" eb="74">
      <t>ホンバンカンキョウ</t>
    </rPh>
    <rPh sb="94" eb="96">
      <t>カンキョウ</t>
    </rPh>
    <phoneticPr fontId="7"/>
  </si>
  <si>
    <t>各環境の対となるオンプレミス環境の情報が明確になっていること</t>
    <rPh sb="0" eb="3">
      <t>カクカンキョウ</t>
    </rPh>
    <rPh sb="4" eb="5">
      <t>ツイ</t>
    </rPh>
    <rPh sb="14" eb="16">
      <t>カンキョウ</t>
    </rPh>
    <rPh sb="17" eb="19">
      <t>ジョウホウ</t>
    </rPh>
    <rPh sb="20" eb="22">
      <t>メイカク</t>
    </rPh>
    <phoneticPr fontId="7"/>
  </si>
  <si>
    <t>2025/5/14
お客様ヒアリング予定</t>
    <rPh sb="11" eb="13">
      <t>キャクサマ</t>
    </rPh>
    <rPh sb="18" eb="20">
      <t>ヨテイ</t>
    </rPh>
    <phoneticPr fontId="7"/>
  </si>
  <si>
    <t>拡張性（スケーラビリティ）をどこまで考えるのか</t>
    <rPh sb="0" eb="3">
      <t>カクチョウセイ</t>
    </rPh>
    <rPh sb="18" eb="19">
      <t>カンガ</t>
    </rPh>
    <phoneticPr fontId="7"/>
  </si>
  <si>
    <t>プライベート接続におけるIＰの制約があるので屋号の追加をどう考えるか</t>
    <rPh sb="6" eb="8">
      <t>セツゾク</t>
    </rPh>
    <rPh sb="15" eb="17">
      <t>セイヤク</t>
    </rPh>
    <rPh sb="22" eb="24">
      <t>ヤゴウ</t>
    </rPh>
    <rPh sb="25" eb="27">
      <t>ツイカ</t>
    </rPh>
    <rPh sb="30" eb="31">
      <t>カンガ</t>
    </rPh>
    <phoneticPr fontId="7"/>
  </si>
  <si>
    <t>今後の屋号の対応方針が決まっていること</t>
    <rPh sb="0" eb="2">
      <t>コンゴ</t>
    </rPh>
    <rPh sb="3" eb="5">
      <t>ヤゴウ</t>
    </rPh>
    <rPh sb="6" eb="8">
      <t>タイオウ</t>
    </rPh>
    <rPh sb="8" eb="10">
      <t>ホウシン</t>
    </rPh>
    <rPh sb="11" eb="12">
      <t>キ</t>
    </rPh>
    <phoneticPr fontId="7"/>
  </si>
  <si>
    <t>No１８と合わせて検討する為、クローズとする。</t>
    <rPh sb="5" eb="6">
      <t>ア</t>
    </rPh>
    <rPh sb="9" eb="11">
      <t>ケントウ</t>
    </rPh>
    <rPh sb="13" eb="14">
      <t>タメ</t>
    </rPh>
    <phoneticPr fontId="7"/>
  </si>
  <si>
    <t>ー</t>
    <phoneticPr fontId="7"/>
  </si>
  <si>
    <t>課題</t>
  </si>
  <si>
    <t>アカウントの設計を明確化する
(システムグラウンドデザイン)</t>
    <rPh sb="6" eb="8">
      <t>セッケイ</t>
    </rPh>
    <rPh sb="9" eb="12">
      <t>メイカクカ</t>
    </rPh>
    <phoneticPr fontId="7"/>
  </si>
  <si>
    <t xml:space="preserve">以下パターンが考えられるがどのパターンとするかの方針を決める。
・１アカウント１顧客（複数VPC）
・顧客、環境単位に各１アカウント１VPC）
</t>
    <phoneticPr fontId="7"/>
  </si>
  <si>
    <t>アカウント数、アカウント内のVPCの構成の方針が設計</t>
    <rPh sb="5" eb="6">
      <t>スウ</t>
    </rPh>
    <rPh sb="12" eb="13">
      <t>ナイ</t>
    </rPh>
    <rPh sb="18" eb="20">
      <t>コウセイ</t>
    </rPh>
    <rPh sb="21" eb="23">
      <t>ホウシン</t>
    </rPh>
    <rPh sb="24" eb="26">
      <t>セッケイ</t>
    </rPh>
    <phoneticPr fontId="7"/>
  </si>
  <si>
    <t>屋号単位でアカウントを分けた理由は、障害発生時に影響範囲を分けるという要望があった。
上位の観点から一アカウントに全屋号のデータ管理は1アカウント（システム）に集約できない。
(お客様合意後クローズ)</t>
    <rPh sb="0" eb="2">
      <t>ヤゴウ</t>
    </rPh>
    <rPh sb="2" eb="4">
      <t>タンイ</t>
    </rPh>
    <rPh sb="11" eb="12">
      <t>ワ</t>
    </rPh>
    <rPh sb="14" eb="16">
      <t>リユウ</t>
    </rPh>
    <rPh sb="18" eb="20">
      <t>ショウガイ</t>
    </rPh>
    <rPh sb="20" eb="23">
      <t>ハッセイジ</t>
    </rPh>
    <rPh sb="24" eb="28">
      <t>エイキョウハンイ</t>
    </rPh>
    <rPh sb="29" eb="30">
      <t>ワ</t>
    </rPh>
    <rPh sb="35" eb="37">
      <t>ヨウボウ</t>
    </rPh>
    <rPh sb="44" eb="46">
      <t>ジョウイ</t>
    </rPh>
    <rPh sb="47" eb="49">
      <t>カンテン</t>
    </rPh>
    <rPh sb="51" eb="52">
      <t>イチ</t>
    </rPh>
    <rPh sb="58" eb="61">
      <t>ゼンヤゴウ</t>
    </rPh>
    <rPh sb="65" eb="67">
      <t>カンリ</t>
    </rPh>
    <rPh sb="81" eb="83">
      <t>シュウヤク</t>
    </rPh>
    <rPh sb="91" eb="92">
      <t>キャク</t>
    </rPh>
    <rPh sb="92" eb="93">
      <t>サマ</t>
    </rPh>
    <rPh sb="93" eb="96">
      <t>ゴウイゴ</t>
    </rPh>
    <phoneticPr fontId="7"/>
  </si>
  <si>
    <t>各コンポーネントの処理概要の認識合わせ</t>
    <rPh sb="0" eb="1">
      <t>カク</t>
    </rPh>
    <rPh sb="9" eb="13">
      <t>ショリガイヨウ</t>
    </rPh>
    <rPh sb="14" eb="17">
      <t>ニンシキア</t>
    </rPh>
    <phoneticPr fontId="7"/>
  </si>
  <si>
    <t xml:space="preserve">分散処理マップを使用する要件の詳細を認識するため、分散処理マップの具体的な処理内容を共有お願いします。
</t>
    <rPh sb="8" eb="10">
      <t>シヨウ</t>
    </rPh>
    <rPh sb="12" eb="14">
      <t>ヨウケン</t>
    </rPh>
    <rPh sb="15" eb="17">
      <t>ショウサイ</t>
    </rPh>
    <rPh sb="18" eb="20">
      <t>ニンシキ</t>
    </rPh>
    <rPh sb="25" eb="29">
      <t>ブンサンショリ</t>
    </rPh>
    <rPh sb="33" eb="36">
      <t>グタイテキ</t>
    </rPh>
    <rPh sb="37" eb="41">
      <t>ショリナイヨウ</t>
    </rPh>
    <rPh sb="42" eb="44">
      <t>キョウユウ</t>
    </rPh>
    <rPh sb="45" eb="46">
      <t>ネガ</t>
    </rPh>
    <phoneticPr fontId="7"/>
  </si>
  <si>
    <t>各コンポーネントの処理概要の情報入手</t>
    <rPh sb="0" eb="1">
      <t>カク</t>
    </rPh>
    <rPh sb="9" eb="13">
      <t>ショリガイヨウ</t>
    </rPh>
    <rPh sb="14" eb="16">
      <t>ジョウホウ</t>
    </rPh>
    <rPh sb="16" eb="18">
      <t>ニュウシュ</t>
    </rPh>
    <phoneticPr fontId="7"/>
  </si>
  <si>
    <t>2025/5/14
処理内容について会話。
内容を別途整理中</t>
    <rPh sb="10" eb="14">
      <t>ショリナイヨウ</t>
    </rPh>
    <rPh sb="18" eb="20">
      <t>カイワ</t>
    </rPh>
    <rPh sb="22" eb="24">
      <t>ナイヨウ</t>
    </rPh>
    <rPh sb="25" eb="27">
      <t>ベット</t>
    </rPh>
    <rPh sb="27" eb="29">
      <t>セイリ</t>
    </rPh>
    <rPh sb="29" eb="30">
      <t>チュウ</t>
    </rPh>
    <phoneticPr fontId="7"/>
  </si>
  <si>
    <t>ToDo</t>
  </si>
  <si>
    <t>各コンポーネント単位の役割分担</t>
    <rPh sb="0" eb="1">
      <t>カク</t>
    </rPh>
    <rPh sb="8" eb="10">
      <t>タンイ</t>
    </rPh>
    <rPh sb="11" eb="13">
      <t>ヤクワリ</t>
    </rPh>
    <rPh sb="13" eb="15">
      <t>ブンタン</t>
    </rPh>
    <phoneticPr fontId="7"/>
  </si>
  <si>
    <t>Drow.ioの「M①」のコンポーネント単位で担当範囲を決定する。
ポイント：lambdaの作成、ECSの作業範囲、ファイル送信</t>
    <rPh sb="20" eb="22">
      <t>タンイ</t>
    </rPh>
    <rPh sb="23" eb="27">
      <t>タントウハンイ</t>
    </rPh>
    <rPh sb="28" eb="30">
      <t>ケッテイ</t>
    </rPh>
    <rPh sb="46" eb="48">
      <t>サクセイ</t>
    </rPh>
    <rPh sb="53" eb="55">
      <t>サギョウ</t>
    </rPh>
    <rPh sb="55" eb="57">
      <t>ハンイ</t>
    </rPh>
    <rPh sb="62" eb="64">
      <t>ソウシン</t>
    </rPh>
    <phoneticPr fontId="7"/>
  </si>
  <si>
    <t>各作業担当が明確になっていること</t>
    <rPh sb="0" eb="3">
      <t>カクサギョウ</t>
    </rPh>
    <rPh sb="3" eb="5">
      <t>タントウ</t>
    </rPh>
    <rPh sb="6" eb="8">
      <t>メイカク</t>
    </rPh>
    <phoneticPr fontId="7"/>
  </si>
  <si>
    <t>2025/5/14
別紙、役割分担でひな型を作成
説明をおこない、基本方針は問題ないことを確認。CICDは構築自体が不透明な為、一旦</t>
    <rPh sb="10" eb="12">
      <t>ベッシ</t>
    </rPh>
    <rPh sb="13" eb="15">
      <t>ヤクワリ</t>
    </rPh>
    <rPh sb="15" eb="17">
      <t>ブンタン</t>
    </rPh>
    <rPh sb="20" eb="21">
      <t>ガタ</t>
    </rPh>
    <rPh sb="22" eb="24">
      <t>サクセイ</t>
    </rPh>
    <rPh sb="25" eb="27">
      <t>セツメイ</t>
    </rPh>
    <rPh sb="33" eb="37">
      <t>キホンホウシン</t>
    </rPh>
    <rPh sb="38" eb="40">
      <t>モンダイ</t>
    </rPh>
    <rPh sb="45" eb="47">
      <t>カクニン</t>
    </rPh>
    <rPh sb="53" eb="57">
      <t>コウチクジタイ</t>
    </rPh>
    <rPh sb="58" eb="61">
      <t>フトウメイ</t>
    </rPh>
    <rPh sb="62" eb="63">
      <t>タメ</t>
    </rPh>
    <rPh sb="64" eb="66">
      <t>イッタン</t>
    </rPh>
    <phoneticPr fontId="7"/>
  </si>
  <si>
    <t>AWSサポート窓口</t>
    <rPh sb="7" eb="9">
      <t>マドグチ</t>
    </rPh>
    <phoneticPr fontId="7"/>
  </si>
  <si>
    <t>現在のAWSのサポートレベルを共有ください。
※入っていない場合は契約をお願いいたします。</t>
    <rPh sb="0" eb="2">
      <t>ゲンザイ</t>
    </rPh>
    <rPh sb="15" eb="17">
      <t>キョウユウ</t>
    </rPh>
    <rPh sb="24" eb="25">
      <t>ハイ</t>
    </rPh>
    <rPh sb="30" eb="32">
      <t>バアイ</t>
    </rPh>
    <rPh sb="33" eb="35">
      <t>ケイヤク</t>
    </rPh>
    <rPh sb="37" eb="38">
      <t>ネガ</t>
    </rPh>
    <phoneticPr fontId="7"/>
  </si>
  <si>
    <t xml:space="preserve">サポートの契約が明確になっている
</t>
    <rPh sb="5" eb="7">
      <t>ケイヤク</t>
    </rPh>
    <rPh sb="8" eb="10">
      <t>メイカク</t>
    </rPh>
    <phoneticPr fontId="7"/>
  </si>
  <si>
    <t>2025/5/14
ベーシックプランであることを確認。
対応方針を決定</t>
    <rPh sb="24" eb="26">
      <t>カクニン</t>
    </rPh>
    <rPh sb="28" eb="30">
      <t>タイオウ</t>
    </rPh>
    <rPh sb="30" eb="32">
      <t>ホウシン</t>
    </rPh>
    <rPh sb="33" eb="35">
      <t>ケッテイ</t>
    </rPh>
    <phoneticPr fontId="7"/>
  </si>
  <si>
    <t>作成ドキュメントの認識合わせ</t>
    <rPh sb="0" eb="2">
      <t>サクセイ</t>
    </rPh>
    <rPh sb="9" eb="12">
      <t>ニンシキア</t>
    </rPh>
    <phoneticPr fontId="7"/>
  </si>
  <si>
    <t>作成するドキュメントの構成を認識合わせさせていただきたい</t>
    <rPh sb="0" eb="2">
      <t>サクセイ</t>
    </rPh>
    <rPh sb="11" eb="13">
      <t>コウセイ</t>
    </rPh>
    <rPh sb="14" eb="17">
      <t>ニンシキア</t>
    </rPh>
    <phoneticPr fontId="7"/>
  </si>
  <si>
    <t>作成すべきドキュメントが明確になっていること</t>
    <rPh sb="0" eb="2">
      <t>サクセイ</t>
    </rPh>
    <rPh sb="12" eb="14">
      <t>メイカク</t>
    </rPh>
    <phoneticPr fontId="7"/>
  </si>
  <si>
    <t>インターネットでアクセスしてくるユーザについて</t>
    <phoneticPr fontId="7"/>
  </si>
  <si>
    <t>拠点からのアクセスか？それとも完全インターネットからなのか？閉域網なのか？</t>
    <rPh sb="0" eb="2">
      <t>キョテン</t>
    </rPh>
    <rPh sb="15" eb="17">
      <t>カンゼン</t>
    </rPh>
    <rPh sb="30" eb="33">
      <t>ヘイイキモウ</t>
    </rPh>
    <phoneticPr fontId="7"/>
  </si>
  <si>
    <t>アクセス元が明確になる</t>
    <rPh sb="4" eb="5">
      <t>モト</t>
    </rPh>
    <rPh sb="6" eb="8">
      <t>メイカク</t>
    </rPh>
    <phoneticPr fontId="7"/>
  </si>
  <si>
    <t>アカウントの全体設計を行う</t>
    <rPh sb="6" eb="8">
      <t>ゼンタイ</t>
    </rPh>
    <rPh sb="8" eb="10">
      <t>セッケイ</t>
    </rPh>
    <rPh sb="11" eb="12">
      <t>オコナ</t>
    </rPh>
    <phoneticPr fontId="7"/>
  </si>
  <si>
    <t>以下の観点でPOSオフライン化におけるAWSアカウント設計を行う。
・管理アカウント
　・NWアカウント
　・ユーザ管理アカウント
・システムアカウント</t>
    <rPh sb="0" eb="2">
      <t>イカ</t>
    </rPh>
    <rPh sb="3" eb="5">
      <t>カンテン</t>
    </rPh>
    <rPh sb="14" eb="15">
      <t>カ</t>
    </rPh>
    <rPh sb="27" eb="29">
      <t>セッケイ</t>
    </rPh>
    <rPh sb="30" eb="31">
      <t>オコナ</t>
    </rPh>
    <rPh sb="36" eb="38">
      <t>カンリ</t>
    </rPh>
    <rPh sb="59" eb="61">
      <t>カンリ</t>
    </rPh>
    <phoneticPr fontId="7"/>
  </si>
  <si>
    <t>全体の設計方針の決定</t>
    <rPh sb="0" eb="2">
      <t>ゼンタイ</t>
    </rPh>
    <rPh sb="3" eb="5">
      <t>セッケイ</t>
    </rPh>
    <rPh sb="5" eb="7">
      <t>ホウシン</t>
    </rPh>
    <rPh sb="8" eb="10">
      <t>ケッテイ</t>
    </rPh>
    <phoneticPr fontId="7"/>
  </si>
  <si>
    <t>AWSリセラーの確認</t>
    <rPh sb="8" eb="10">
      <t>カクニン</t>
    </rPh>
    <phoneticPr fontId="7"/>
  </si>
  <si>
    <t>ルビナ様はAWSのリセラーになっているのか。</t>
    <rPh sb="3" eb="4">
      <t>サマ</t>
    </rPh>
    <phoneticPr fontId="7"/>
  </si>
  <si>
    <t>リセラー状況の確認</t>
    <rPh sb="4" eb="6">
      <t>ジョウキョウ</t>
    </rPh>
    <rPh sb="7" eb="9">
      <t>カクニン</t>
    </rPh>
    <phoneticPr fontId="7"/>
  </si>
  <si>
    <t>監視について</t>
    <rPh sb="0" eb="2">
      <t>カンシ</t>
    </rPh>
    <phoneticPr fontId="7"/>
  </si>
  <si>
    <t>通知先はTemasとなりBOTを使う要件がなにかあるか？
※この作り込みが必要になる</t>
  </si>
  <si>
    <t>中</t>
  </si>
  <si>
    <t>親POSについて</t>
    <rPh sb="0" eb="1">
      <t>オヤ</t>
    </rPh>
    <phoneticPr fontId="7"/>
  </si>
  <si>
    <t>パパPOSとママPOSの切り替えがあった場合、送信はどうする想定か</t>
    <rPh sb="12" eb="13">
      <t>キ</t>
    </rPh>
    <rPh sb="14" eb="15">
      <t>カ</t>
    </rPh>
    <rPh sb="20" eb="22">
      <t>バアイ</t>
    </rPh>
    <rPh sb="23" eb="25">
      <t>ソウシン</t>
    </rPh>
    <rPh sb="30" eb="32">
      <t>ソウテイ</t>
    </rPh>
    <phoneticPr fontId="7"/>
  </si>
  <si>
    <t>６月の構築範囲</t>
    <rPh sb="1" eb="2">
      <t>ツキ</t>
    </rPh>
    <rPh sb="3" eb="5">
      <t>コウチク</t>
    </rPh>
    <rPh sb="5" eb="7">
      <t>ハンイ</t>
    </rPh>
    <phoneticPr fontId="7"/>
  </si>
  <si>
    <t>店舗担当者向けWEBアプリの通信のために</t>
    <phoneticPr fontId="7"/>
  </si>
  <si>
    <t>パブリックドメイン
　USMHドメイン使うの？
　このWEBアプリのサブドメイン名は？
　名前解決方式は？
サーバー証明書
　ACMなのかサードパーティーなのか</t>
  </si>
  <si>
    <t>SFTPの設計</t>
    <rPh sb="5" eb="7">
      <t>セッケイ</t>
    </rPh>
    <phoneticPr fontId="7"/>
  </si>
  <si>
    <t>送受信ともにSFTPとなっているが、SSH証明書とユーザー（＋PASS有無）の作成単位（屋号や環境面もある）をどうするのか。
SFTP以外のプロトコルの有無の確認</t>
    <phoneticPr fontId="7"/>
  </si>
  <si>
    <t>アプリとインフラの取り決めの作成</t>
    <rPh sb="9" eb="10">
      <t>ト</t>
    </rPh>
    <rPh sb="11" eb="12">
      <t>キ</t>
    </rPh>
    <rPh sb="14" eb="16">
      <t>サクセイ</t>
    </rPh>
    <phoneticPr fontId="7"/>
  </si>
  <si>
    <t xml:space="preserve">今後の構築におけるアプリ、インフラの取り決めを作成する。
</t>
    <rPh sb="0" eb="2">
      <t>コンゴ</t>
    </rPh>
    <rPh sb="3" eb="5">
      <t>コウチク</t>
    </rPh>
    <rPh sb="18" eb="19">
      <t>ト</t>
    </rPh>
    <rPh sb="20" eb="21">
      <t>キ</t>
    </rPh>
    <rPh sb="23" eb="25">
      <t>サクセイ</t>
    </rPh>
    <phoneticPr fontId="7"/>
  </si>
  <si>
    <t>リソースの停止等の取り決め
AWS設定の変更（アプリ→インフラ）
AWS設定の変更（インフラ→アプリ）</t>
    <rPh sb="5" eb="7">
      <t>テイシ</t>
    </rPh>
    <rPh sb="7" eb="8">
      <t>トウ</t>
    </rPh>
    <rPh sb="9" eb="10">
      <t>ト</t>
    </rPh>
    <rPh sb="11" eb="12">
      <t>キ</t>
    </rPh>
    <rPh sb="17" eb="19">
      <t>セッテイ</t>
    </rPh>
    <rPh sb="20" eb="22">
      <t>ヘンコウ</t>
    </rPh>
    <phoneticPr fontId="7"/>
  </si>
  <si>
    <t>初期構築におけるパラメータについて</t>
  </si>
  <si>
    <t>別シート「」に記載</t>
  </si>
  <si>
    <t>CRECO
毎田</t>
  </si>
  <si>
    <t>役割</t>
    <rPh sb="0" eb="2">
      <t>ヤクワリ</t>
    </rPh>
    <phoneticPr fontId="23"/>
  </si>
  <si>
    <t>インフラの基本的な側の作成はクレスコで対応</t>
    <rPh sb="5" eb="8">
      <t>キホンテキ</t>
    </rPh>
    <rPh sb="9" eb="10">
      <t>ガワ</t>
    </rPh>
    <rPh sb="11" eb="13">
      <t>サクセイ</t>
    </rPh>
    <rPh sb="19" eb="21">
      <t>タイオウ</t>
    </rPh>
    <phoneticPr fontId="23"/>
  </si>
  <si>
    <t>機能に関する部分は責任分解の観点から基本はアプリ側で作成する立て付けとする。</t>
    <rPh sb="0" eb="2">
      <t>キノウ</t>
    </rPh>
    <rPh sb="3" eb="4">
      <t>カン</t>
    </rPh>
    <rPh sb="6" eb="8">
      <t>ブブン</t>
    </rPh>
    <rPh sb="9" eb="13">
      <t>セキニンブンカイ</t>
    </rPh>
    <rPh sb="14" eb="16">
      <t>カンテン</t>
    </rPh>
    <rPh sb="18" eb="20">
      <t>キホン</t>
    </rPh>
    <rPh sb="24" eb="25">
      <t>ガワ</t>
    </rPh>
    <rPh sb="26" eb="28">
      <t>サクセイ</t>
    </rPh>
    <rPh sb="30" eb="31">
      <t>タ</t>
    </rPh>
    <rPh sb="32" eb="33">
      <t>ツ</t>
    </rPh>
    <phoneticPr fontId="23"/>
  </si>
  <si>
    <t>※簡易な部分であれば作成することはできるのですが、機能（業務処理）に関する部分にインフラの作成物があると今後の構築のスピードや担当に支障をきたすことを考慮</t>
    <rPh sb="1" eb="3">
      <t>カンイ</t>
    </rPh>
    <rPh sb="4" eb="6">
      <t>ブブン</t>
    </rPh>
    <rPh sb="10" eb="12">
      <t>サクセイ</t>
    </rPh>
    <rPh sb="25" eb="27">
      <t>キノウ</t>
    </rPh>
    <rPh sb="28" eb="32">
      <t>ギョウムショリ</t>
    </rPh>
    <rPh sb="34" eb="35">
      <t>カン</t>
    </rPh>
    <rPh sb="37" eb="39">
      <t>ブブン</t>
    </rPh>
    <rPh sb="45" eb="47">
      <t>サクセイ</t>
    </rPh>
    <rPh sb="47" eb="48">
      <t>ブツ</t>
    </rPh>
    <rPh sb="52" eb="54">
      <t>コンゴ</t>
    </rPh>
    <rPh sb="55" eb="57">
      <t>コウチク</t>
    </rPh>
    <rPh sb="63" eb="65">
      <t>タントウ</t>
    </rPh>
    <rPh sb="66" eb="68">
      <t>シショウ</t>
    </rPh>
    <rPh sb="75" eb="77">
      <t>コウリョ</t>
    </rPh>
    <phoneticPr fontId="23"/>
  </si>
  <si>
    <t>Gitlabについてはサーバレスで作成する想定。SaaSを利用となると思うので準備をお願いしたいと考えております。</t>
    <rPh sb="17" eb="19">
      <t>サクセイ</t>
    </rPh>
    <rPh sb="21" eb="23">
      <t>ソウテイ</t>
    </rPh>
    <rPh sb="29" eb="31">
      <t>リヨウ</t>
    </rPh>
    <rPh sb="35" eb="36">
      <t>オモ</t>
    </rPh>
    <rPh sb="39" eb="41">
      <t>ジュンビ</t>
    </rPh>
    <rPh sb="43" eb="44">
      <t>ネガ</t>
    </rPh>
    <rPh sb="49" eb="50">
      <t>カンガ</t>
    </rPh>
    <phoneticPr fontId="23"/>
  </si>
  <si>
    <t>コンポーネント単位</t>
    <rPh sb="7" eb="9">
      <t>タンイ</t>
    </rPh>
    <phoneticPr fontId="23"/>
  </si>
  <si>
    <t>S3</t>
    <phoneticPr fontId="23"/>
  </si>
  <si>
    <t>Step Functions</t>
    <phoneticPr fontId="23"/>
  </si>
  <si>
    <t>Lambda</t>
    <phoneticPr fontId="23"/>
  </si>
  <si>
    <t>EventBridge</t>
    <phoneticPr fontId="23"/>
  </si>
  <si>
    <t>ECS</t>
    <phoneticPr fontId="23"/>
  </si>
  <si>
    <t>Gitlab</t>
    <phoneticPr fontId="23"/>
  </si>
  <si>
    <t>CICD</t>
    <phoneticPr fontId="23"/>
  </si>
  <si>
    <t>NW（AWS）</t>
    <phoneticPr fontId="23"/>
  </si>
  <si>
    <t>NW（オンプレ）</t>
    <phoneticPr fontId="23"/>
  </si>
  <si>
    <t>インフラ（ルビナ）</t>
    <phoneticPr fontId="23"/>
  </si>
  <si>
    <t>設計情報提供</t>
    <rPh sb="0" eb="2">
      <t>セッケイ</t>
    </rPh>
    <rPh sb="2" eb="4">
      <t>ジョウホウ</t>
    </rPh>
    <rPh sb="4" eb="6">
      <t>テイキョウ</t>
    </rPh>
    <phoneticPr fontId="23"/>
  </si>
  <si>
    <t>環境準備</t>
    <rPh sb="0" eb="2">
      <t>カンキョウ</t>
    </rPh>
    <rPh sb="2" eb="4">
      <t>ジュンビ</t>
    </rPh>
    <phoneticPr fontId="23"/>
  </si>
  <si>
    <t>顧客調整</t>
    <rPh sb="0" eb="4">
      <t>コキャクチョウセイ</t>
    </rPh>
    <phoneticPr fontId="23"/>
  </si>
  <si>
    <t>インフラ（クレスコ）</t>
    <phoneticPr fontId="23"/>
  </si>
  <si>
    <t>設計/作成
※１</t>
    <rPh sb="0" eb="2">
      <t>セッケイ</t>
    </rPh>
    <rPh sb="3" eb="5">
      <t>サクセイ</t>
    </rPh>
    <phoneticPr fontId="23"/>
  </si>
  <si>
    <t>設計/作成
※１
※２</t>
    <rPh sb="0" eb="2">
      <t>セッケイ</t>
    </rPh>
    <rPh sb="3" eb="5">
      <t>サクセイ</t>
    </rPh>
    <phoneticPr fontId="23"/>
  </si>
  <si>
    <t>-</t>
    <phoneticPr fontId="23"/>
  </si>
  <si>
    <t>7月以降検討</t>
    <rPh sb="1" eb="4">
      <t>ツキイコウ</t>
    </rPh>
    <rPh sb="4" eb="6">
      <t>ケントウ</t>
    </rPh>
    <phoneticPr fontId="23"/>
  </si>
  <si>
    <t>アプリ</t>
    <phoneticPr fontId="23"/>
  </si>
  <si>
    <t>機能実装</t>
    <rPh sb="0" eb="2">
      <t>キノウ</t>
    </rPh>
    <rPh sb="2" eb="4">
      <t>ジッソウ</t>
    </rPh>
    <phoneticPr fontId="23"/>
  </si>
  <si>
    <t>イメージ作成
機能実装</t>
    <rPh sb="4" eb="6">
      <t>サクセイ</t>
    </rPh>
    <rPh sb="7" eb="9">
      <t>キノウ</t>
    </rPh>
    <rPh sb="9" eb="11">
      <t>ジッソウ</t>
    </rPh>
    <phoneticPr fontId="23"/>
  </si>
  <si>
    <t>Docerのイメージ以上</t>
    <rPh sb="10" eb="12">
      <t>イジョウ</t>
    </rPh>
    <phoneticPr fontId="23"/>
  </si>
  <si>
    <t>※1 コンポーネントの作成のみ</t>
    <rPh sb="11" eb="13">
      <t>サクセイ</t>
    </rPh>
    <phoneticPr fontId="23"/>
  </si>
  <si>
    <t>※2 必要に応じて展開の支援</t>
    <rPh sb="3" eb="5">
      <t>ヒツヨウ</t>
    </rPh>
    <rPh sb="6" eb="7">
      <t>オウ</t>
    </rPh>
    <rPh sb="9" eb="11">
      <t>テンカイ</t>
    </rPh>
    <rPh sb="12" eb="14">
      <t>シエン</t>
    </rPh>
    <phoneticPr fontId="23"/>
  </si>
  <si>
    <t>スパイク環境構築にあたり確認すべきパラメータ一覧</t>
    <phoneticPr fontId="23"/>
  </si>
  <si>
    <t>項番</t>
  </si>
  <si>
    <t>リソース</t>
  </si>
  <si>
    <t>確認パラメータ</t>
  </si>
  <si>
    <t>回答内容</t>
  </si>
  <si>
    <t>備考</t>
    <rPh sb="0" eb="2">
      <t>ビコウ</t>
    </rPh>
    <phoneticPr fontId="23"/>
  </si>
  <si>
    <t>回答期日</t>
  </si>
  <si>
    <t>1</t>
  </si>
  <si>
    <t>transfer family</t>
  </si>
  <si>
    <t>SFTPコネクタを使用するか or LambdaでSFTPモジュールをセットアップするか</t>
    <phoneticPr fontId="23"/>
  </si>
  <si>
    <t xml:space="preserve">SFTPモジュールをセットアップする方針
</t>
    <rPh sb="18" eb="20">
      <t>ホウシン</t>
    </rPh>
    <phoneticPr fontId="23"/>
  </si>
  <si>
    <t>Lambda言語の制約を記載する。
5/19
対応言語を調査する。
5/20
sshjのライブラリを使えばSFTP接続はできそう
https://www.fixes.pub/program/873718.html</t>
  </si>
  <si>
    <t>5月23日</t>
  </si>
  <si>
    <t>2</t>
  </si>
  <si>
    <t>送信先のURL（IP or ドメイン）</t>
    <phoneticPr fontId="23"/>
  </si>
  <si>
    <t>5/19
ルビナ様で確認をする</t>
    <rPh sb="8" eb="9">
      <t>サマ</t>
    </rPh>
    <rPh sb="10" eb="12">
      <t>カクニン</t>
    </rPh>
    <phoneticPr fontId="23"/>
  </si>
  <si>
    <t>3</t>
  </si>
  <si>
    <t>送信先のSSH鍵（秘密鍵）情報</t>
    <phoneticPr fontId="23"/>
  </si>
  <si>
    <t>SecretsManagerの構築予定</t>
    <rPh sb="17" eb="19">
      <t>ヨテイ</t>
    </rPh>
    <phoneticPr fontId="23"/>
  </si>
  <si>
    <t>4</t>
  </si>
  <si>
    <t>S3</t>
  </si>
  <si>
    <t>・下記プレフィックスの変更があるか
　・/pos-master-spike/zip/
　・/pos-master-spike/csv/(店舗コード)
　・/pos-master-spike/pos/(店舗コード)</t>
    <rPh sb="1" eb="3">
      <t>カキ</t>
    </rPh>
    <phoneticPr fontId="23"/>
  </si>
  <si>
    <t>　</t>
    <phoneticPr fontId="23"/>
  </si>
  <si>
    <t xml:space="preserve">5/19
クレスコと議論して最終的なプレフィックスを決める。バケットの表をまとめる
</t>
    <rPh sb="35" eb="36">
      <t>ヒョウ</t>
    </rPh>
    <phoneticPr fontId="23"/>
  </si>
  <si>
    <t>5</t>
  </si>
  <si>
    <t>Lambda</t>
  </si>
  <si>
    <t xml:space="preserve">ランタイム（Javaでいいのか。バージョン）
</t>
    <phoneticPr fontId="23"/>
  </si>
  <si>
    <t>Javaで対応</t>
    <rPh sb="5" eb="7">
      <t>タイオウ</t>
    </rPh>
    <phoneticPr fontId="23"/>
  </si>
  <si>
    <t xml:space="preserve">5/19
ルビナ様でJava開発者に確認をする。
</t>
    <rPh sb="8" eb="9">
      <t>サマ</t>
    </rPh>
    <rPh sb="14" eb="16">
      <t>カイハツ</t>
    </rPh>
    <rPh sb="16" eb="17">
      <t>シャ</t>
    </rPh>
    <rPh sb="18" eb="20">
      <t>カクニン</t>
    </rPh>
    <phoneticPr fontId="23"/>
  </si>
  <si>
    <t>6</t>
  </si>
  <si>
    <t>S3イベント通知に代替するか</t>
    <phoneticPr fontId="23"/>
  </si>
  <si>
    <r>
      <rPr>
        <sz val="11"/>
        <color rgb="FF000000"/>
        <rFont val="Yu Gothic"/>
        <family val="3"/>
        <charset val="128"/>
      </rPr>
      <t xml:space="preserve">5/19 こちらでもう一度考慮する
特に問題が無ければ、S3イベントで対応予定
</t>
    </r>
    <r>
      <rPr>
        <sz val="11"/>
        <color rgb="FFFF0000"/>
        <rFont val="Yu Gothic"/>
        <family val="3"/>
        <charset val="128"/>
      </rPr>
      <t>⇒EventBridgeはStepfunctionsをトリガーするため必要</t>
    </r>
  </si>
  <si>
    <t>7</t>
  </si>
  <si>
    <t>ECSTask</t>
  </si>
  <si>
    <t>CPU</t>
  </si>
  <si>
    <t>vCPU１</t>
    <phoneticPr fontId="23"/>
  </si>
  <si>
    <t>5/19
一旦クレスコ側で決める</t>
    <rPh sb="5" eb="7">
      <t>イッタン</t>
    </rPh>
    <rPh sb="11" eb="12">
      <t>ガワ</t>
    </rPh>
    <rPh sb="13" eb="14">
      <t>キ</t>
    </rPh>
    <phoneticPr fontId="23"/>
  </si>
  <si>
    <t>5月30日</t>
  </si>
  <si>
    <t>8</t>
  </si>
  <si>
    <t>メモリ</t>
  </si>
  <si>
    <t>2GiB</t>
    <phoneticPr fontId="23"/>
  </si>
  <si>
    <t>5/19
一旦クレスコ側で決める</t>
    <phoneticPr fontId="23"/>
  </si>
  <si>
    <t>9</t>
  </si>
  <si>
    <t>SecretsManager</t>
    <phoneticPr fontId="23"/>
  </si>
  <si>
    <t>暗号化キーに対するKMSの利用有無
ローテーションの有無</t>
    <phoneticPr fontId="23"/>
  </si>
  <si>
    <t>セキュリティ要件を満たすために、KMSやローテーションは必要　</t>
    <rPh sb="6" eb="8">
      <t>ヨウケン</t>
    </rPh>
    <rPh sb="9" eb="10">
      <t>ミ</t>
    </rPh>
    <rPh sb="28" eb="30">
      <t>ヒツヨウ</t>
    </rPh>
    <phoneticPr fontId="23"/>
  </si>
  <si>
    <t>オフラインの位置づけ送信タイミング</t>
    <rPh sb="6" eb="8">
      <t>イチ</t>
    </rPh>
    <rPh sb="10" eb="12">
      <t>ソウシン</t>
    </rPh>
    <phoneticPr fontId="7"/>
  </si>
  <si>
    <t>電子たな</t>
    <rPh sb="0" eb="2">
      <t>デンシ</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</si>
</sst>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mm/dd"/>
  </numFmts>
  <fonts count="27">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メイリオ"/>
      <family val="2"/>
      <charset val="128"/>
    </font>
    <font>
      <sz val="11"/>
      <color theme="1"/>
      <name val="メイリオ"/>
      <family val="2"/>
      <charset val="128"/>
    </font>
    <font>
      <sz val="6"/>
      <name val="ＭＳ Ｐゴシック"/>
      <family val="3"/>
      <charset val="128"/>
    </font>
    <font>
      <sz val="10"/>
      <name val="Meiryo UI"/>
      <family val="3"/>
      <charset val="128"/>
    </font>
    <font>
      <sz val="9"/>
      <color indexed="81"/>
      <name val="MS P ゴシック"/>
      <family val="3"/>
      <charset val="128"/>
    </font>
    <font>
      <b/>
      <sz val="9"/>
      <color indexed="81"/>
      <name val="MS P ゴシック"/>
      <family val="3"/>
      <charset val="128"/>
    </font>
    <font>
      <b/>
      <u/>
      <sz val="10"/>
      <name val="Meiryo UI"/>
      <family val="3"/>
      <charset val="128"/>
    </font>
    <font>
      <u/>
      <sz val="11"/>
      <color theme="10"/>
      <name val="ＭＳ Ｐゴシック"/>
      <family val="3"/>
      <charset val="128"/>
      <scheme val="minor"/>
    </font>
    <font>
      <sz val="10"/>
      <name val="ＭＳ Ｐ明朝"/>
      <family val="1"/>
      <charset val="128"/>
    </font>
    <font>
      <sz val="10"/>
      <name val="MS UI Gothic"/>
      <family val="3"/>
      <charset val="128"/>
    </font>
    <font>
      <sz val="10"/>
      <color theme="1"/>
      <name val="ＭＳ Ｐゴシック"/>
      <family val="3"/>
      <charset val="128"/>
      <scheme val="minor"/>
    </font>
    <font>
      <sz val="11"/>
      <name val="Calibri"/>
      <family val="2"/>
    </font>
    <font>
      <sz val="10"/>
      <color theme="1"/>
      <name val="Meiryo"/>
      <family val="2"/>
      <charset val="128"/>
    </font>
    <font>
      <sz val="11"/>
      <color theme="1"/>
      <name val="ＭＳ Ｐゴシック"/>
      <family val="2"/>
      <scheme val="minor"/>
    </font>
    <font>
      <sz val="12"/>
      <color theme="1"/>
      <name val="ＭＳ Ｐゴシック"/>
      <family val="2"/>
      <charset val="128"/>
      <scheme val="minor"/>
    </font>
    <font>
      <b/>
      <sz val="10"/>
      <name val="Meiryo UI"/>
      <family val="3"/>
      <charset val="128"/>
    </font>
    <font>
      <sz val="8"/>
      <name val="Meiryo UI"/>
      <family val="3"/>
      <charset val="128"/>
    </font>
    <font>
      <sz val="10"/>
      <color rgb="FF3333FF"/>
      <name val="Meiryo UI"/>
      <family val="3"/>
      <charset val="128"/>
    </font>
    <font>
      <sz val="6"/>
      <name val="ＭＳ Ｐゴシック"/>
      <family val="3"/>
      <charset val="128"/>
      <scheme val="minor"/>
    </font>
    <font>
      <sz val="11"/>
      <color rgb="FFFF0000"/>
      <name val="ＭＳ Ｐゴシック"/>
      <family val="3"/>
      <charset val="128"/>
      <scheme val="minor"/>
    </font>
    <font>
      <sz val="11"/>
      <color rgb="FF000000"/>
      <name val="Yu Gothic"/>
      <family val="3"/>
      <charset val="128"/>
    </font>
    <font>
      <sz val="11"/>
      <color rgb="FFFF0000"/>
      <name val="Yu Gothic"/>
      <family val="3"/>
      <charset val="128"/>
    </font>
  </fonts>
  <fills count="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DDEBF7"/>
        <bgColor rgb="FF000000"/>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6">
    <xf numFmtId="0" fontId="0" fillId="0" borderId="0"/>
    <xf numFmtId="0" fontId="6" fillId="0" borderId="0">
      <alignment vertical="center"/>
    </xf>
    <xf numFmtId="0" fontId="5" fillId="0" borderId="0">
      <alignment vertical="center"/>
    </xf>
    <xf numFmtId="0" fontId="5" fillId="0" borderId="0">
      <alignment vertical="center"/>
    </xf>
    <xf numFmtId="0" fontId="12" fillId="0" borderId="0" applyNumberFormat="0" applyFill="0" applyBorder="0" applyAlignment="0" applyProtection="0"/>
    <xf numFmtId="0" fontId="4" fillId="0" borderId="0">
      <alignment vertical="center"/>
    </xf>
    <xf numFmtId="0" fontId="13" fillId="0" borderId="0"/>
    <xf numFmtId="0" fontId="14" fillId="0" borderId="0">
      <alignment vertical="center"/>
    </xf>
    <xf numFmtId="0" fontId="15" fillId="0" borderId="0">
      <alignment vertical="center"/>
    </xf>
    <xf numFmtId="0" fontId="3" fillId="0" borderId="0">
      <alignment vertical="center"/>
    </xf>
    <xf numFmtId="0" fontId="16" fillId="0" borderId="0">
      <alignment vertical="center"/>
    </xf>
    <xf numFmtId="0" fontId="2" fillId="0" borderId="0">
      <alignment vertical="center"/>
    </xf>
    <xf numFmtId="0" fontId="17" fillId="0" borderId="0">
      <alignment vertical="center"/>
    </xf>
    <xf numFmtId="0" fontId="18" fillId="0" borderId="0"/>
    <xf numFmtId="0" fontId="19" fillId="0" borderId="0">
      <alignment vertical="center"/>
    </xf>
    <xf numFmtId="0" fontId="1" fillId="0" borderId="0">
      <alignment vertical="center"/>
    </xf>
  </cellStyleXfs>
  <cellXfs count="50">
    <xf numFmtId="0" fontId="0" fillId="0" borderId="0" xfId="0"/>
    <xf numFmtId="0" fontId="8" fillId="0" borderId="0" xfId="0" applyFont="1" applyAlignment="1">
      <alignment horizontal="left" vertical="top" wrapText="1"/>
    </xf>
    <xf numFmtId="0" fontId="8" fillId="0" borderId="3" xfId="0" applyFont="1" applyBorder="1" applyAlignment="1">
      <alignment horizontal="left" vertical="top" wrapText="1"/>
    </xf>
    <xf numFmtId="0" fontId="8" fillId="0" borderId="0" xfId="0" applyFont="1" applyAlignment="1">
      <alignment horizontal="center" vertical="center"/>
    </xf>
    <xf numFmtId="0" fontId="8" fillId="0" borderId="3" xfId="0" applyFont="1" applyBorder="1" applyAlignment="1">
      <alignment horizontal="center" vertical="top"/>
    </xf>
    <xf numFmtId="0" fontId="8" fillId="0" borderId="1" xfId="0" applyFont="1" applyBorder="1" applyAlignment="1">
      <alignment horizontal="left" vertical="top" wrapText="1"/>
    </xf>
    <xf numFmtId="0" fontId="11" fillId="0" borderId="0" xfId="0" applyFont="1" applyAlignment="1">
      <alignment horizontal="left" vertical="top"/>
    </xf>
    <xf numFmtId="0" fontId="8" fillId="0" borderId="0" xfId="0" applyFont="1" applyAlignment="1">
      <alignment horizontal="center" vertical="top"/>
    </xf>
    <xf numFmtId="0" fontId="8" fillId="0" borderId="1" xfId="0" applyFont="1" applyBorder="1" applyAlignment="1">
      <alignment horizontal="center" vertical="top"/>
    </xf>
    <xf numFmtId="176" fontId="8" fillId="0" borderId="0" xfId="0" applyNumberFormat="1" applyFont="1" applyAlignment="1">
      <alignment horizontal="center" vertical="top"/>
    </xf>
    <xf numFmtId="0" fontId="8" fillId="2" borderId="2" xfId="0" applyFont="1" applyFill="1" applyBorder="1" applyAlignment="1">
      <alignment horizontal="center" vertical="top"/>
    </xf>
    <xf numFmtId="176" fontId="8" fillId="2" borderId="2" xfId="0" applyNumberFormat="1" applyFont="1" applyFill="1" applyBorder="1" applyAlignment="1">
      <alignment horizontal="center" vertical="top"/>
    </xf>
    <xf numFmtId="176" fontId="8" fillId="0" borderId="1" xfId="0" applyNumberFormat="1" applyFont="1" applyBorder="1" applyAlignment="1">
      <alignment horizontal="center" vertical="top" wrapText="1"/>
    </xf>
    <xf numFmtId="176" fontId="8" fillId="0" borderId="1" xfId="0" applyNumberFormat="1" applyFont="1" applyBorder="1" applyAlignment="1">
      <alignment horizontal="center" vertical="top"/>
    </xf>
    <xf numFmtId="176" fontId="8" fillId="0" borderId="3" xfId="0" applyNumberFormat="1" applyFont="1" applyBorder="1" applyAlignment="1">
      <alignment horizontal="center" vertical="top"/>
    </xf>
    <xf numFmtId="0" fontId="8" fillId="0" borderId="3" xfId="0" applyFont="1" applyBorder="1" applyAlignment="1">
      <alignment horizontal="center" vertical="top" wrapText="1"/>
    </xf>
    <xf numFmtId="0" fontId="8" fillId="0" borderId="1" xfId="4" applyFont="1" applyFill="1" applyBorder="1" applyAlignment="1">
      <alignment horizontal="left" vertical="top" wrapText="1"/>
    </xf>
    <xf numFmtId="14" fontId="8" fillId="0" borderId="1" xfId="0" applyNumberFormat="1" applyFont="1" applyBorder="1" applyAlignment="1">
      <alignment horizontal="left" vertical="top" wrapText="1"/>
    </xf>
    <xf numFmtId="0" fontId="8" fillId="3" borderId="2" xfId="0" applyFont="1" applyFill="1" applyBorder="1" applyAlignment="1">
      <alignment horizontal="center" vertical="top"/>
    </xf>
    <xf numFmtId="0" fontId="8" fillId="3" borderId="2" xfId="0" applyFont="1" applyFill="1" applyBorder="1" applyAlignment="1">
      <alignment horizontal="left" vertical="center" wrapText="1"/>
    </xf>
    <xf numFmtId="176" fontId="8" fillId="3" borderId="2" xfId="0" applyNumberFormat="1" applyFont="1" applyFill="1" applyBorder="1" applyAlignment="1">
      <alignment horizontal="center" vertical="top"/>
    </xf>
    <xf numFmtId="0" fontId="20" fillId="0" borderId="0" xfId="0" applyFont="1" applyAlignment="1">
      <alignment horizontal="left" vertical="top"/>
    </xf>
    <xf numFmtId="0" fontId="21" fillId="0" borderId="1" xfId="0" applyFont="1" applyBorder="1" applyAlignment="1">
      <alignment horizontal="left" vertical="top" wrapText="1"/>
    </xf>
    <xf numFmtId="176" fontId="8" fillId="0" borderId="3" xfId="0" applyNumberFormat="1" applyFont="1" applyBorder="1" applyAlignment="1">
      <alignment horizontal="center" vertical="top" wrapText="1"/>
    </xf>
    <xf numFmtId="0" fontId="22" fillId="0" borderId="1" xfId="4" applyFont="1" applyFill="1" applyBorder="1" applyAlignment="1">
      <alignment horizontal="left" vertical="top" wrapText="1"/>
    </xf>
    <xf numFmtId="0" fontId="22" fillId="0" borderId="1" xfId="0" applyFont="1" applyBorder="1" applyAlignment="1">
      <alignment horizontal="left" vertical="top" wrapText="1"/>
    </xf>
    <xf numFmtId="0" fontId="0" fillId="0" borderId="2" xfId="0" applyBorder="1"/>
    <xf numFmtId="0" fontId="0" fillId="0" borderId="2" xfId="0" applyBorder="1" applyAlignment="1">
      <alignment wrapText="1"/>
    </xf>
    <xf numFmtId="0" fontId="0" fillId="4" borderId="5" xfId="0" applyFill="1" applyBorder="1"/>
    <xf numFmtId="0" fontId="0" fillId="0" borderId="4" xfId="0" applyBorder="1"/>
    <xf numFmtId="0" fontId="24" fillId="0" borderId="2" xfId="0" applyFont="1" applyBorder="1" applyAlignment="1">
      <alignment wrapText="1"/>
    </xf>
    <xf numFmtId="0" fontId="25" fillId="0" borderId="0" xfId="0" applyFont="1"/>
    <xf numFmtId="0" fontId="25" fillId="5" borderId="5" xfId="0" applyFont="1" applyFill="1" applyBorder="1"/>
    <xf numFmtId="0" fontId="25" fillId="5" borderId="6" xfId="0" applyFont="1" applyFill="1" applyBorder="1"/>
    <xf numFmtId="0" fontId="25" fillId="0" borderId="9" xfId="0" applyFont="1" applyBorder="1"/>
    <xf numFmtId="0" fontId="25" fillId="0" borderId="9" xfId="0" applyFont="1" applyBorder="1" applyAlignment="1">
      <alignment wrapText="1"/>
    </xf>
    <xf numFmtId="0" fontId="25" fillId="0" borderId="7" xfId="0" quotePrefix="1" applyFont="1" applyBorder="1"/>
    <xf numFmtId="0" fontId="25" fillId="0" borderId="9" xfId="0" applyFont="1" applyBorder="1" applyAlignment="1">
      <alignment horizontal="left" vertical="top"/>
    </xf>
    <xf numFmtId="0" fontId="25" fillId="0" borderId="8" xfId="0" applyFont="1" applyBorder="1" applyAlignment="1">
      <alignment wrapText="1"/>
    </xf>
    <xf numFmtId="14" fontId="25" fillId="0" borderId="9" xfId="0" applyNumberFormat="1" applyFont="1" applyBorder="1"/>
    <xf numFmtId="0" fontId="25" fillId="6" borderId="9" xfId="0" applyFont="1" applyFill="1" applyBorder="1"/>
    <xf numFmtId="0" fontId="25" fillId="6" borderId="9" xfId="0" applyFont="1" applyFill="1" applyBorder="1" applyAlignment="1">
      <alignment wrapText="1"/>
    </xf>
    <xf numFmtId="0" fontId="25" fillId="2" borderId="9" xfId="0" applyFont="1" applyFill="1" applyBorder="1" applyAlignment="1">
      <alignment wrapText="1"/>
    </xf>
    <xf numFmtId="0" fontId="25" fillId="2" borderId="9" xfId="0" applyFont="1" applyFill="1" applyBorder="1"/>
    <xf numFmtId="0" fontId="25" fillId="2" borderId="7" xfId="0" quotePrefix="1" applyFont="1" applyFill="1" applyBorder="1"/>
    <xf numFmtId="0" fontId="25" fillId="0" borderId="5" xfId="0" applyFont="1" applyBorder="1" applyAlignment="1">
      <alignment horizontal="left" vertical="top"/>
    </xf>
    <xf numFmtId="0" fontId="25" fillId="0" borderId="10" xfId="0" applyFont="1" applyBorder="1" applyAlignment="1">
      <alignment horizontal="left" vertical="top"/>
    </xf>
    <xf numFmtId="0" fontId="25" fillId="0" borderId="7" xfId="0" applyFont="1" applyBorder="1" applyAlignment="1">
      <alignment horizontal="left" vertical="top"/>
    </xf>
    <xf numFmtId="0" fontId="25" fillId="0" borderId="5" xfId="0" applyFont="1" applyBorder="1" applyAlignment="1">
      <alignment vertical="top"/>
    </xf>
    <xf numFmtId="0" fontId="25" fillId="0" borderId="7" xfId="0" applyFont="1" applyBorder="1" applyAlignment="1">
      <alignment vertical="top"/>
    </xf>
  </cellXfs>
  <cellStyles count="16">
    <cellStyle name="ハイパーリンク" xfId="4" builtinId="8"/>
    <cellStyle name="標準" xfId="0" builtinId="0"/>
    <cellStyle name="標準 2" xfId="1" xr:uid="{00000000-0005-0000-0000-000002000000}"/>
    <cellStyle name="標準 2 2" xfId="3" xr:uid="{00000000-0005-0000-0000-000003000000}"/>
    <cellStyle name="標準 2 3" xfId="7" xr:uid="{00000000-0005-0000-0000-000004000000}"/>
    <cellStyle name="標準 2 4" xfId="10" xr:uid="{00000000-0005-0000-0000-000005000000}"/>
    <cellStyle name="標準 3" xfId="2" xr:uid="{00000000-0005-0000-0000-000006000000}"/>
    <cellStyle name="標準 3 2" xfId="8" xr:uid="{00000000-0005-0000-0000-000007000000}"/>
    <cellStyle name="標準 33" xfId="6" xr:uid="{00000000-0005-0000-0000-000008000000}"/>
    <cellStyle name="標準 4" xfId="5" xr:uid="{00000000-0005-0000-0000-000009000000}"/>
    <cellStyle name="標準 5" xfId="9" xr:uid="{00000000-0005-0000-0000-00000A000000}"/>
    <cellStyle name="標準 5 2" xfId="11" xr:uid="{00000000-0005-0000-0000-00000B000000}"/>
    <cellStyle name="標準 6" xfId="12" xr:uid="{00000000-0005-0000-0000-00000C000000}"/>
    <cellStyle name="標準 7" xfId="13" xr:uid="{00000000-0005-0000-0000-00000D000000}"/>
    <cellStyle name="標準 8" xfId="14" xr:uid="{00000000-0005-0000-0000-00000E000000}"/>
    <cellStyle name="標準 9" xfId="15" xr:uid="{F086BE39-A3EC-406D-B321-DEBD90CE96B0}"/>
  </cellStyles>
  <dxfs count="58">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Medium9"/>
  <colors>
    <mruColors>
      <color rgb="FF3333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7</xdr:col>
      <xdr:colOff>67236</xdr:colOff>
      <xdr:row>82</xdr:row>
      <xdr:rowOff>4986617</xdr:rowOff>
    </xdr:from>
    <xdr:ext cx="6801971" cy="3115235"/>
    <xdr:sp macro="" textlink="">
      <xdr:nvSpPr>
        <xdr:cNvPr id="2" name="テキスト ボックス 1">
          <a:extLst>
            <a:ext uri="{FF2B5EF4-FFF2-40B4-BE49-F238E27FC236}">
              <a16:creationId xmlns:a16="http://schemas.microsoft.com/office/drawing/2014/main" id="{9BA42EA5-1B9E-40C3-89DF-F5A6C18F526A}"/>
            </a:ext>
          </a:extLst>
        </xdr:cNvPr>
        <xdr:cNvSpPr txBox="1"/>
      </xdr:nvSpPr>
      <xdr:spPr>
        <a:xfrm>
          <a:off x="10499912" y="146864293"/>
          <a:ext cx="6801971" cy="3115235"/>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▼背景</a:t>
          </a:r>
          <a:endParaRPr kumimoji="1" lang="en-US" altLang="ja-JP" sz="1100"/>
        </a:p>
        <a:p>
          <a:r>
            <a:rPr kumimoji="1" lang="en-US" altLang="ja-JP" sz="1100"/>
            <a:t>R5</a:t>
          </a:r>
          <a:r>
            <a:rPr kumimoji="1" lang="ja-JP" altLang="en-US" sz="1100"/>
            <a:t>運用保守事業社である</a:t>
          </a:r>
          <a:r>
            <a:rPr kumimoji="1" lang="en-US" altLang="ja-JP" sz="1100"/>
            <a:t>KDC</a:t>
          </a:r>
          <a:r>
            <a:rPr kumimoji="1" lang="ja-JP" altLang="en-US" sz="1100"/>
            <a:t>様から受領したソースコードについて、</a:t>
          </a:r>
          <a:r>
            <a:rPr kumimoji="1" lang="en-US" altLang="ja-JP" sz="1100"/>
            <a:t>R5</a:t>
          </a:r>
          <a:r>
            <a:rPr kumimoji="1" lang="ja-JP" altLang="en-US" sz="1100"/>
            <a:t> </a:t>
          </a:r>
          <a:r>
            <a:rPr kumimoji="1" lang="en-US" altLang="ja-JP" sz="1100"/>
            <a:t>AWS</a:t>
          </a:r>
          <a:r>
            <a:rPr kumimoji="1" lang="ja-JP" altLang="en-US" sz="1100"/>
            <a:t>への移行業務を担当するクレスコにてビルドして生成した実行</a:t>
          </a:r>
          <a:r>
            <a:rPr kumimoji="1" lang="en-US" altLang="ja-JP" sz="1100"/>
            <a:t>PG</a:t>
          </a:r>
          <a:r>
            <a:rPr kumimoji="1" lang="ja-JP" altLang="en-US" sz="1100"/>
            <a:t>で検証を進めていたが、一部機能でエラーが発生し問合せをしたところ提供されたソースコードについては開発中のものであったことが判明した。判明するタイミングが遅かったため、</a:t>
          </a:r>
          <a:r>
            <a:rPr kumimoji="1" lang="en-US" altLang="ja-JP" sz="1100"/>
            <a:t>AWS</a:t>
          </a:r>
          <a:r>
            <a:rPr kumimoji="1" lang="ja-JP" altLang="en-US" sz="1100"/>
            <a:t>への移行については移行前のオンプレ環境で稼働していた実行</a:t>
          </a:r>
          <a:r>
            <a:rPr kumimoji="1" lang="en-US" altLang="ja-JP" sz="1100"/>
            <a:t>PG</a:t>
          </a:r>
          <a:r>
            <a:rPr kumimoji="1" lang="ja-JP" altLang="en-US" sz="1100"/>
            <a:t>をそのまま</a:t>
          </a:r>
          <a:r>
            <a:rPr kumimoji="1" lang="en-US" altLang="ja-JP" sz="1100"/>
            <a:t>AWS</a:t>
          </a:r>
          <a:r>
            <a:rPr kumimoji="1" lang="ja-JP" altLang="en-US" sz="1100"/>
            <a:t>環境に移す方式で移行を実施している。</a:t>
          </a:r>
          <a:endParaRPr kumimoji="1" lang="en-US" altLang="ja-JP" sz="1100"/>
        </a:p>
        <a:p>
          <a:r>
            <a:rPr kumimoji="1" lang="ja-JP" altLang="en-US" sz="1100"/>
            <a:t>そのため、引継いだソースコードから生成した実行</a:t>
          </a:r>
          <a:r>
            <a:rPr kumimoji="1" lang="en-US" altLang="ja-JP" sz="1100"/>
            <a:t>PG</a:t>
          </a:r>
          <a:r>
            <a:rPr kumimoji="1" lang="ja-JP" altLang="en-US" sz="1100"/>
            <a:t>については</a:t>
          </a:r>
          <a:r>
            <a:rPr kumimoji="1" lang="en-US" altLang="ja-JP" sz="1100"/>
            <a:t>AWS</a:t>
          </a:r>
          <a:r>
            <a:rPr kumimoji="1" lang="ja-JP" altLang="en-US" sz="1100"/>
            <a:t>環境には配置していない状態となる。（本番環境、開発環境の両方とも）</a:t>
          </a:r>
          <a:br>
            <a:rPr kumimoji="1" lang="en-US" altLang="ja-JP" sz="1100"/>
          </a:br>
          <a:endParaRPr kumimoji="1" lang="en-US" altLang="ja-JP" sz="1100"/>
        </a:p>
        <a:p>
          <a:r>
            <a:rPr kumimoji="1" lang="ja-JP" altLang="en-US" sz="1100"/>
            <a:t>移行後、あらためて提供されたソースコードについて問題無いか確認していたところ、課題</a:t>
          </a:r>
          <a:r>
            <a:rPr kumimoji="1" lang="en-US" altLang="ja-JP" sz="1100"/>
            <a:t>No22</a:t>
          </a:r>
          <a:r>
            <a:rPr kumimoji="1" lang="ja-JP" altLang="en-US" sz="1100"/>
            <a:t>の問題が発生した。</a:t>
          </a:r>
          <a:endParaRPr kumimoji="1" lang="en-US" altLang="ja-JP" sz="1100"/>
        </a:p>
        <a:p>
          <a:endParaRPr kumimoji="1" lang="en-US" altLang="ja-JP" sz="1100"/>
        </a:p>
        <a:p>
          <a:r>
            <a:rPr kumimoji="1" lang="ja-JP" altLang="en-US" sz="1100"/>
            <a:t>▼引継事項</a:t>
          </a:r>
          <a:endParaRPr kumimoji="1" lang="en-US" altLang="ja-JP" sz="1100"/>
        </a:p>
        <a:p>
          <a:r>
            <a:rPr kumimoji="1" lang="ja-JP" altLang="en-US" sz="1100"/>
            <a:t>市町村クライアント</a:t>
          </a:r>
          <a:r>
            <a:rPr kumimoji="1" lang="en-US" altLang="ja-JP" sz="1100"/>
            <a:t>PG</a:t>
          </a:r>
          <a:r>
            <a:rPr kumimoji="1" lang="ja-JP" altLang="en-US" sz="1100"/>
            <a:t>にて一部機能で</a:t>
          </a:r>
          <a:r>
            <a:rPr kumimoji="1" lang="en-US" altLang="ja-JP" sz="1100"/>
            <a:t>INI</a:t>
          </a:r>
          <a:r>
            <a:rPr kumimoji="1" lang="ja-JP" altLang="en-US" sz="1100"/>
            <a:t>ファイルの内容を参照していない箇所があり、本件も開発中のものでは無いか</a:t>
          </a:r>
          <a:r>
            <a:rPr kumimoji="1" lang="en-US" altLang="ja-JP" sz="1100"/>
            <a:t>KDC</a:t>
          </a:r>
          <a:r>
            <a:rPr kumimoji="1" lang="ja-JP" altLang="en-US" sz="1100"/>
            <a:t>様に確認している状態です。回答によってどのように今後進めていくか農林水産省様と協議の上、対応を進めてください。（</a:t>
          </a:r>
          <a:r>
            <a:rPr kumimoji="1" lang="en-US" altLang="ja-JP" sz="1100"/>
            <a:t>3/26(</a:t>
          </a:r>
          <a:r>
            <a:rPr kumimoji="1" lang="ja-JP" altLang="en-US" sz="1100"/>
            <a:t>火</a:t>
          </a:r>
          <a:r>
            <a:rPr kumimoji="1" lang="en-US" altLang="ja-JP" sz="1100"/>
            <a:t>)</a:t>
          </a:r>
          <a:r>
            <a:rPr kumimoji="1" lang="ja-JP" altLang="en-US" sz="1100"/>
            <a:t>に回答受領。受領ファイルは「</a:t>
          </a:r>
          <a:r>
            <a:rPr kumimoji="1" lang="en-US" altLang="ja-JP" sz="1100"/>
            <a:t>R5</a:t>
          </a:r>
          <a:r>
            <a:rPr kumimoji="1" lang="ja-JP" altLang="en-US" sz="1100"/>
            <a:t>マチムラ移行等業務</a:t>
          </a:r>
          <a:r>
            <a:rPr kumimoji="1" lang="en-US" altLang="ja-JP" sz="1100"/>
            <a:t>(</a:t>
          </a:r>
          <a:r>
            <a:rPr kumimoji="1" lang="ja-JP" altLang="en-US" sz="1100"/>
            <a:t>課題</a:t>
          </a:r>
          <a:r>
            <a:rPr kumimoji="1" lang="en-US" altLang="ja-JP" sz="1100"/>
            <a:t>ToDo</a:t>
          </a:r>
          <a:r>
            <a:rPr kumimoji="1" lang="ja-JP" altLang="en-US" sz="1100"/>
            <a:t>管理</a:t>
          </a:r>
          <a:r>
            <a:rPr kumimoji="1" lang="en-US" altLang="ja-JP" sz="1100"/>
            <a:t>)_</a:t>
          </a:r>
          <a:r>
            <a:rPr kumimoji="1" lang="ja-JP" altLang="en-US" sz="1100"/>
            <a:t>別紙</a:t>
          </a:r>
          <a:r>
            <a:rPr kumimoji="1" lang="en-US" altLang="ja-JP" sz="1100"/>
            <a:t>(</a:t>
          </a:r>
          <a:r>
            <a:rPr kumimoji="1" lang="ja-JP" altLang="en-US" sz="1100"/>
            <a:t>農水省様向け課題</a:t>
          </a:r>
          <a:r>
            <a:rPr kumimoji="1" lang="en-US" altLang="ja-JP" sz="1100"/>
            <a:t>No74)_</a:t>
          </a:r>
          <a:r>
            <a:rPr kumimoji="1" lang="ja-JP" altLang="en-US" sz="1100"/>
            <a:t>確認内容と対応案</a:t>
          </a:r>
          <a:r>
            <a:rPr kumimoji="1" lang="en-US" altLang="ja-JP" sz="1100"/>
            <a:t>.docx</a:t>
          </a:r>
          <a:r>
            <a:rPr kumimoji="1" lang="ja-JP" altLang="en-US" sz="1100"/>
            <a:t>」をご参照ください。</a:t>
          </a:r>
          <a:endParaRPr kumimoji="1" lang="en-US" altLang="ja-JP"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rinterSettings" Target="../printerSettings/printerSettings3.bin"/><Relationship Id="rId7"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83"/>
  <sheetViews>
    <sheetView showGridLines="0" tabSelected="1" view="pageBreakPreview" zoomScale="70" zoomScaleNormal="70" zoomScaleSheetLayoutView="70" workbookViewId="0">
      <pane xSplit="6" ySplit="4" topLeftCell="H35" activePane="bottomRight" state="frozen"/>
      <selection pane="topRight" activeCell="G1" sqref="G1"/>
      <selection pane="bottomLeft" activeCell="A5" sqref="A5"/>
      <selection pane="bottomRight" activeCell="F40" sqref="F40"/>
    </sheetView>
  </sheetViews>
  <sheetFormatPr defaultColWidth="9" defaultRowHeight="13.5"/>
  <cols>
    <col min="1" max="1" width="5.54296875" style="7" customWidth="1"/>
    <col min="2" max="4" width="8.54296875" style="7" customWidth="1"/>
    <col min="5" max="5" width="34.81640625" style="1" customWidth="1"/>
    <col min="6" max="6" width="53.1796875" style="1" customWidth="1"/>
    <col min="7" max="7" width="30.54296875" style="1" customWidth="1"/>
    <col min="8" max="8" width="91.453125" style="1" customWidth="1"/>
    <col min="9" max="9" width="38.1796875" style="1" customWidth="1"/>
    <col min="10" max="11" width="8.54296875" style="7" customWidth="1"/>
    <col min="12" max="12" width="12.54296875" style="9" customWidth="1"/>
    <col min="13" max="13" width="8.54296875" style="9" customWidth="1"/>
    <col min="14" max="14" width="12.54296875" style="9" customWidth="1"/>
    <col min="15" max="15" width="8.54296875" style="7" customWidth="1"/>
    <col min="16" max="16" width="11" style="9" bestFit="1" customWidth="1"/>
    <col min="17" max="17" width="10.453125" style="9" customWidth="1"/>
    <col min="18" max="18" width="40.54296875" style="1" customWidth="1"/>
    <col min="19" max="16384" width="9" style="3"/>
  </cols>
  <sheetData>
    <row r="1" spans="1:18">
      <c r="A1" s="6" t="s">
        <v>0</v>
      </c>
      <c r="J1" s="7" t="s">
        <v>1</v>
      </c>
      <c r="K1" s="7" t="s">
        <v>2</v>
      </c>
    </row>
    <row r="2" spans="1:18">
      <c r="A2" s="6"/>
    </row>
    <row r="3" spans="1:18">
      <c r="A3" s="21" t="s">
        <v>3</v>
      </c>
      <c r="J3" s="7">
        <f>COUNTIF(J4:J893,"完了")</f>
        <v>4</v>
      </c>
      <c r="K3" s="7">
        <f>COUNTA(J5:J893)-J3</f>
        <v>27</v>
      </c>
    </row>
    <row r="4" spans="1:18">
      <c r="A4" s="18" t="s">
        <v>4</v>
      </c>
      <c r="B4" s="18" t="s">
        <v>5</v>
      </c>
      <c r="C4" s="18" t="s">
        <v>6</v>
      </c>
      <c r="D4" s="18" t="s">
        <v>7</v>
      </c>
      <c r="E4" s="19" t="s">
        <v>8</v>
      </c>
      <c r="F4" s="19" t="s">
        <v>9</v>
      </c>
      <c r="G4" s="19" t="s">
        <v>10</v>
      </c>
      <c r="H4" s="19" t="s">
        <v>11</v>
      </c>
      <c r="I4" s="19" t="s">
        <v>12</v>
      </c>
      <c r="J4" s="18" t="s">
        <v>13</v>
      </c>
      <c r="K4" s="18" t="s">
        <v>14</v>
      </c>
      <c r="L4" s="20" t="s">
        <v>15</v>
      </c>
      <c r="M4" s="20" t="s">
        <v>16</v>
      </c>
      <c r="N4" s="20" t="s">
        <v>17</v>
      </c>
      <c r="O4" s="10" t="s">
        <v>18</v>
      </c>
      <c r="P4" s="11" t="s">
        <v>19</v>
      </c>
      <c r="Q4" s="11" t="s">
        <v>20</v>
      </c>
      <c r="R4" s="19" t="s">
        <v>21</v>
      </c>
    </row>
    <row r="5" spans="1:18" ht="198.75" customHeight="1">
      <c r="A5" s="8">
        <f t="shared" ref="A5:A26" si="0">ROW()-4</f>
        <v>1</v>
      </c>
      <c r="B5" s="8" t="s">
        <v>22</v>
      </c>
      <c r="C5" s="8" t="s">
        <v>23</v>
      </c>
      <c r="D5" s="8" t="s">
        <v>23</v>
      </c>
      <c r="E5" s="5" t="s">
        <v>24</v>
      </c>
      <c r="F5" s="5" t="s">
        <v>25</v>
      </c>
      <c r="G5" s="5" t="s">
        <v>26</v>
      </c>
      <c r="H5" s="5" t="s">
        <v>27</v>
      </c>
      <c r="I5" s="5"/>
      <c r="J5" s="8" t="s">
        <v>28</v>
      </c>
      <c r="K5" s="12" t="s">
        <v>29</v>
      </c>
      <c r="L5" s="13">
        <v>45764</v>
      </c>
      <c r="M5" s="12" t="s">
        <v>29</v>
      </c>
      <c r="N5" s="13">
        <v>45770</v>
      </c>
      <c r="O5" s="12" t="s">
        <v>30</v>
      </c>
      <c r="P5" s="12">
        <v>45769</v>
      </c>
      <c r="Q5" s="13"/>
      <c r="R5" s="5"/>
    </row>
    <row r="6" spans="1:18" ht="215.25" customHeight="1">
      <c r="A6" s="8">
        <f t="shared" si="0"/>
        <v>2</v>
      </c>
      <c r="B6" s="8" t="s">
        <v>22</v>
      </c>
      <c r="C6" s="8" t="s">
        <v>23</v>
      </c>
      <c r="D6" s="8" t="s">
        <v>23</v>
      </c>
      <c r="E6" s="5" t="s">
        <v>31</v>
      </c>
      <c r="F6" s="5" t="s">
        <v>32</v>
      </c>
      <c r="G6" s="5" t="s">
        <v>33</v>
      </c>
      <c r="H6" s="5" t="s">
        <v>34</v>
      </c>
      <c r="I6" s="5"/>
      <c r="J6" s="8" t="s">
        <v>28</v>
      </c>
      <c r="K6" s="12" t="s">
        <v>29</v>
      </c>
      <c r="L6" s="13">
        <v>45764</v>
      </c>
      <c r="M6" s="12" t="s">
        <v>29</v>
      </c>
      <c r="N6" s="13">
        <v>45770</v>
      </c>
      <c r="O6" s="12" t="s">
        <v>30</v>
      </c>
      <c r="P6" s="12">
        <v>45769</v>
      </c>
      <c r="Q6" s="13"/>
      <c r="R6" s="5"/>
    </row>
    <row r="7" spans="1:18" ht="88.5" customHeight="1">
      <c r="A7" s="8">
        <f t="shared" si="0"/>
        <v>3</v>
      </c>
      <c r="B7" s="8" t="s">
        <v>22</v>
      </c>
      <c r="C7" s="8" t="s">
        <v>23</v>
      </c>
      <c r="D7" s="8" t="s">
        <v>23</v>
      </c>
      <c r="E7" s="5" t="s">
        <v>35</v>
      </c>
      <c r="F7" s="5" t="s">
        <v>36</v>
      </c>
      <c r="G7" s="5" t="s">
        <v>37</v>
      </c>
      <c r="H7" s="5" t="s">
        <v>38</v>
      </c>
      <c r="I7" s="16"/>
      <c r="J7" s="8" t="s">
        <v>28</v>
      </c>
      <c r="K7" s="12" t="s">
        <v>29</v>
      </c>
      <c r="L7" s="13">
        <v>45764</v>
      </c>
      <c r="M7" s="12" t="s">
        <v>29</v>
      </c>
      <c r="N7" s="13">
        <v>45769</v>
      </c>
      <c r="O7" s="12" t="s">
        <v>30</v>
      </c>
      <c r="P7" s="12">
        <v>45769</v>
      </c>
      <c r="Q7" s="13"/>
      <c r="R7" s="5"/>
    </row>
    <row r="8" spans="1:18" ht="67.5">
      <c r="A8" s="8">
        <f t="shared" si="0"/>
        <v>4</v>
      </c>
      <c r="B8" s="8" t="s">
        <v>22</v>
      </c>
      <c r="C8" s="8" t="s">
        <v>23</v>
      </c>
      <c r="D8" s="8" t="s">
        <v>23</v>
      </c>
      <c r="E8" s="5" t="s">
        <v>39</v>
      </c>
      <c r="F8" s="5" t="s">
        <v>40</v>
      </c>
      <c r="G8" s="5" t="s">
        <v>41</v>
      </c>
      <c r="H8" s="5" t="s">
        <v>42</v>
      </c>
      <c r="I8" s="5"/>
      <c r="J8" s="8" t="s">
        <v>28</v>
      </c>
      <c r="K8" s="12" t="s">
        <v>29</v>
      </c>
      <c r="L8" s="13">
        <v>45764</v>
      </c>
      <c r="M8" s="12" t="s">
        <v>29</v>
      </c>
      <c r="N8" s="13">
        <v>45769</v>
      </c>
      <c r="O8" s="12" t="s">
        <v>30</v>
      </c>
      <c r="P8" s="12">
        <v>45769</v>
      </c>
      <c r="Q8" s="13"/>
      <c r="R8" s="5"/>
    </row>
    <row r="9" spans="1:18" ht="291" customHeight="1">
      <c r="A9" s="8">
        <f t="shared" si="0"/>
        <v>5</v>
      </c>
      <c r="B9" s="8" t="s">
        <v>22</v>
      </c>
      <c r="C9" s="8" t="s">
        <v>23</v>
      </c>
      <c r="D9" s="8" t="s">
        <v>43</v>
      </c>
      <c r="E9" s="5" t="s">
        <v>44</v>
      </c>
      <c r="F9" s="5" t="s">
        <v>45</v>
      </c>
      <c r="G9" s="5" t="s">
        <v>46</v>
      </c>
      <c r="H9" s="5" t="s">
        <v>47</v>
      </c>
      <c r="I9" s="16"/>
      <c r="J9" s="8" t="s">
        <v>28</v>
      </c>
      <c r="K9" s="12" t="s">
        <v>29</v>
      </c>
      <c r="L9" s="13">
        <v>45764</v>
      </c>
      <c r="M9" s="12" t="s">
        <v>29</v>
      </c>
      <c r="N9" s="13">
        <v>45769</v>
      </c>
      <c r="O9" s="12" t="s">
        <v>30</v>
      </c>
      <c r="P9" s="12">
        <v>45772</v>
      </c>
      <c r="Q9" s="13"/>
      <c r="R9" s="5"/>
    </row>
    <row r="10" spans="1:18" ht="211.5" customHeight="1">
      <c r="A10" s="8">
        <f t="shared" si="0"/>
        <v>6</v>
      </c>
      <c r="B10" s="8" t="s">
        <v>22</v>
      </c>
      <c r="C10" s="8" t="s">
        <v>23</v>
      </c>
      <c r="D10" s="8" t="s">
        <v>43</v>
      </c>
      <c r="E10" s="5" t="s">
        <v>48</v>
      </c>
      <c r="F10" s="5" t="s">
        <v>49</v>
      </c>
      <c r="G10" s="5" t="s">
        <v>50</v>
      </c>
      <c r="H10" s="5" t="s">
        <v>51</v>
      </c>
      <c r="I10" s="16"/>
      <c r="J10" s="8" t="s">
        <v>28</v>
      </c>
      <c r="K10" s="12" t="s">
        <v>29</v>
      </c>
      <c r="L10" s="13">
        <v>45764</v>
      </c>
      <c r="M10" s="12" t="s">
        <v>29</v>
      </c>
      <c r="N10" s="13">
        <v>45769</v>
      </c>
      <c r="O10" s="12" t="s">
        <v>30</v>
      </c>
      <c r="P10" s="12">
        <v>45772</v>
      </c>
      <c r="Q10" s="13"/>
      <c r="R10" s="5"/>
    </row>
    <row r="11" spans="1:18" ht="179.25" customHeight="1">
      <c r="A11" s="8">
        <f t="shared" si="0"/>
        <v>7</v>
      </c>
      <c r="B11" s="8" t="s">
        <v>22</v>
      </c>
      <c r="C11" s="8" t="s">
        <v>23</v>
      </c>
      <c r="D11" s="8" t="s">
        <v>43</v>
      </c>
      <c r="E11" s="5" t="s">
        <v>52</v>
      </c>
      <c r="F11" s="5" t="s">
        <v>53</v>
      </c>
      <c r="G11" s="5" t="s">
        <v>50</v>
      </c>
      <c r="H11" s="5" t="s">
        <v>54</v>
      </c>
      <c r="I11" s="16" t="s">
        <v>55</v>
      </c>
      <c r="J11" s="8" t="s">
        <v>56</v>
      </c>
      <c r="K11" s="12" t="s">
        <v>29</v>
      </c>
      <c r="L11" s="13">
        <v>45764</v>
      </c>
      <c r="M11" s="12" t="s">
        <v>29</v>
      </c>
      <c r="N11" s="13">
        <v>45769</v>
      </c>
      <c r="O11" s="12" t="s">
        <v>30</v>
      </c>
      <c r="P11" s="12">
        <v>45772</v>
      </c>
      <c r="Q11" s="13">
        <v>45768</v>
      </c>
      <c r="R11" s="5"/>
    </row>
    <row r="12" spans="1:18" ht="190.5" customHeight="1">
      <c r="A12" s="8">
        <f t="shared" si="0"/>
        <v>8</v>
      </c>
      <c r="B12" s="8" t="s">
        <v>22</v>
      </c>
      <c r="C12" s="8" t="s">
        <v>23</v>
      </c>
      <c r="D12" s="8" t="s">
        <v>43</v>
      </c>
      <c r="E12" s="5" t="s">
        <v>57</v>
      </c>
      <c r="F12" s="5" t="s">
        <v>58</v>
      </c>
      <c r="G12" s="5" t="s">
        <v>59</v>
      </c>
      <c r="H12" s="16" t="s">
        <v>60</v>
      </c>
      <c r="I12" s="24" t="s">
        <v>61</v>
      </c>
      <c r="J12" s="8" t="s">
        <v>56</v>
      </c>
      <c r="K12" s="12" t="s">
        <v>29</v>
      </c>
      <c r="L12" s="13">
        <v>45764</v>
      </c>
      <c r="M12" s="12" t="s">
        <v>29</v>
      </c>
      <c r="N12" s="13">
        <v>45769</v>
      </c>
      <c r="O12" s="12" t="s">
        <v>30</v>
      </c>
      <c r="P12" s="12">
        <v>45772</v>
      </c>
      <c r="Q12" s="13">
        <v>45768</v>
      </c>
      <c r="R12" s="5"/>
    </row>
    <row r="13" spans="1:18" ht="185.25" customHeight="1">
      <c r="A13" s="8">
        <f t="shared" si="0"/>
        <v>9</v>
      </c>
      <c r="B13" s="8" t="s">
        <v>22</v>
      </c>
      <c r="C13" s="8" t="s">
        <v>23</v>
      </c>
      <c r="D13" s="8" t="s">
        <v>43</v>
      </c>
      <c r="E13" s="5" t="s">
        <v>62</v>
      </c>
      <c r="F13" s="5" t="s">
        <v>63</v>
      </c>
      <c r="G13" s="5" t="s">
        <v>64</v>
      </c>
      <c r="H13" s="16" t="s">
        <v>65</v>
      </c>
      <c r="I13" s="16"/>
      <c r="J13" s="8" t="s">
        <v>28</v>
      </c>
      <c r="K13" s="12" t="s">
        <v>29</v>
      </c>
      <c r="L13" s="13">
        <v>45764</v>
      </c>
      <c r="M13" s="12" t="s">
        <v>29</v>
      </c>
      <c r="N13" s="13">
        <v>45769</v>
      </c>
      <c r="O13" s="12" t="s">
        <v>30</v>
      </c>
      <c r="P13" s="12">
        <v>45772</v>
      </c>
      <c r="Q13" s="13">
        <v>45768</v>
      </c>
      <c r="R13" s="5"/>
    </row>
    <row r="14" spans="1:18" ht="65.25" customHeight="1">
      <c r="A14" s="8">
        <f t="shared" si="0"/>
        <v>10</v>
      </c>
      <c r="B14" s="8" t="s">
        <v>22</v>
      </c>
      <c r="C14" s="8" t="s">
        <v>23</v>
      </c>
      <c r="D14" s="8" t="s">
        <v>43</v>
      </c>
      <c r="E14" s="5" t="s">
        <v>66</v>
      </c>
      <c r="F14" s="5" t="s">
        <v>67</v>
      </c>
      <c r="G14" s="5" t="s">
        <v>59</v>
      </c>
      <c r="H14" s="5" t="s">
        <v>68</v>
      </c>
      <c r="I14" s="24" t="s">
        <v>69</v>
      </c>
      <c r="J14" s="8" t="s">
        <v>56</v>
      </c>
      <c r="K14" s="12" t="s">
        <v>29</v>
      </c>
      <c r="L14" s="13">
        <v>45764</v>
      </c>
      <c r="M14" s="12" t="s">
        <v>29</v>
      </c>
      <c r="N14" s="13">
        <v>45769</v>
      </c>
      <c r="O14" s="12" t="s">
        <v>30</v>
      </c>
      <c r="P14" s="12">
        <v>45772</v>
      </c>
      <c r="Q14" s="13">
        <v>45768</v>
      </c>
      <c r="R14" s="5"/>
    </row>
    <row r="15" spans="1:18" ht="182.25" customHeight="1">
      <c r="A15" s="8">
        <f t="shared" si="0"/>
        <v>11</v>
      </c>
      <c r="B15" s="8" t="s">
        <v>22</v>
      </c>
      <c r="C15" s="8" t="s">
        <v>23</v>
      </c>
      <c r="D15" s="8" t="s">
        <v>23</v>
      </c>
      <c r="E15" s="5" t="s">
        <v>70</v>
      </c>
      <c r="F15" s="5" t="s">
        <v>71</v>
      </c>
      <c r="G15" s="5" t="s">
        <v>72</v>
      </c>
      <c r="H15" s="5" t="s">
        <v>73</v>
      </c>
      <c r="I15" s="5"/>
      <c r="J15" s="8" t="s">
        <v>28</v>
      </c>
      <c r="K15" s="12" t="s">
        <v>29</v>
      </c>
      <c r="L15" s="13">
        <v>45764</v>
      </c>
      <c r="M15" s="12" t="s">
        <v>29</v>
      </c>
      <c r="N15" s="13">
        <v>45769</v>
      </c>
      <c r="O15" s="12" t="s">
        <v>30</v>
      </c>
      <c r="P15" s="12">
        <v>45772</v>
      </c>
      <c r="Q15" s="13"/>
      <c r="R15" s="5"/>
    </row>
    <row r="16" spans="1:18" ht="162">
      <c r="A16" s="8">
        <f t="shared" si="0"/>
        <v>12</v>
      </c>
      <c r="B16" s="8" t="s">
        <v>22</v>
      </c>
      <c r="C16" s="8" t="s">
        <v>23</v>
      </c>
      <c r="D16" s="8" t="s">
        <v>23</v>
      </c>
      <c r="E16" s="5" t="s">
        <v>74</v>
      </c>
      <c r="F16" s="5" t="s">
        <v>75</v>
      </c>
      <c r="G16" s="5" t="s">
        <v>76</v>
      </c>
      <c r="H16" s="5" t="s">
        <v>77</v>
      </c>
      <c r="I16" s="5"/>
      <c r="J16" s="8" t="s">
        <v>28</v>
      </c>
      <c r="K16" s="12" t="s">
        <v>29</v>
      </c>
      <c r="L16" s="13">
        <v>45764</v>
      </c>
      <c r="M16" s="12" t="s">
        <v>29</v>
      </c>
      <c r="N16" s="13">
        <v>45769</v>
      </c>
      <c r="O16" s="12" t="s">
        <v>30</v>
      </c>
      <c r="P16" s="12">
        <v>45772</v>
      </c>
      <c r="Q16" s="13"/>
      <c r="R16" s="5"/>
    </row>
    <row r="17" spans="1:18" ht="220.5" customHeight="1">
      <c r="A17" s="8">
        <f t="shared" si="0"/>
        <v>13</v>
      </c>
      <c r="B17" s="8" t="s">
        <v>22</v>
      </c>
      <c r="C17" s="8" t="s">
        <v>23</v>
      </c>
      <c r="D17" s="8" t="s">
        <v>23</v>
      </c>
      <c r="E17" s="5" t="s">
        <v>78</v>
      </c>
      <c r="F17" s="5" t="s">
        <v>79</v>
      </c>
      <c r="G17" s="5" t="s">
        <v>80</v>
      </c>
      <c r="H17" s="5" t="s">
        <v>81</v>
      </c>
      <c r="I17" s="16"/>
      <c r="J17" s="8" t="s">
        <v>28</v>
      </c>
      <c r="K17" s="12" t="s">
        <v>82</v>
      </c>
      <c r="L17" s="13">
        <v>45767</v>
      </c>
      <c r="M17" s="12" t="s">
        <v>29</v>
      </c>
      <c r="N17" s="13">
        <v>45770</v>
      </c>
      <c r="O17" s="12" t="s">
        <v>30</v>
      </c>
      <c r="P17" s="12">
        <v>45772</v>
      </c>
      <c r="Q17" s="13"/>
      <c r="R17" s="5"/>
    </row>
    <row r="18" spans="1:18" hidden="1">
      <c r="A18" s="8">
        <f t="shared" si="0"/>
        <v>14</v>
      </c>
      <c r="B18" s="8"/>
      <c r="C18" s="8"/>
      <c r="D18" s="8"/>
      <c r="E18" s="5"/>
      <c r="F18" s="5"/>
      <c r="G18" s="5"/>
      <c r="H18" s="5"/>
      <c r="I18" s="5"/>
      <c r="J18" s="8"/>
      <c r="K18" s="12"/>
      <c r="L18" s="13"/>
      <c r="M18" s="12"/>
      <c r="N18" s="13"/>
      <c r="O18" s="12"/>
      <c r="P18" s="12"/>
      <c r="Q18" s="13"/>
      <c r="R18" s="5"/>
    </row>
    <row r="19" spans="1:18" hidden="1">
      <c r="A19" s="8">
        <f t="shared" si="0"/>
        <v>15</v>
      </c>
      <c r="B19" s="8"/>
      <c r="C19" s="8"/>
      <c r="D19" s="8"/>
      <c r="E19" s="5"/>
      <c r="F19" s="5"/>
      <c r="G19" s="5"/>
      <c r="H19" s="5"/>
      <c r="I19" s="5"/>
      <c r="J19" s="8"/>
      <c r="K19" s="12"/>
      <c r="L19" s="13"/>
      <c r="M19" s="12"/>
      <c r="N19" s="13"/>
      <c r="O19" s="12"/>
      <c r="P19" s="12"/>
      <c r="Q19" s="13"/>
      <c r="R19" s="5"/>
    </row>
    <row r="20" spans="1:18" ht="76.5" customHeight="1">
      <c r="A20" s="8">
        <f t="shared" si="0"/>
        <v>16</v>
      </c>
      <c r="B20" s="8" t="s">
        <v>22</v>
      </c>
      <c r="C20" s="8" t="s">
        <v>23</v>
      </c>
      <c r="D20" s="8" t="s">
        <v>23</v>
      </c>
      <c r="E20" s="25" t="s">
        <v>83</v>
      </c>
      <c r="F20" s="25" t="s">
        <v>84</v>
      </c>
      <c r="G20" s="25" t="s">
        <v>85</v>
      </c>
      <c r="H20" s="5"/>
      <c r="I20" s="5"/>
      <c r="J20" s="8" t="s">
        <v>86</v>
      </c>
      <c r="K20" s="12" t="s">
        <v>29</v>
      </c>
      <c r="L20" s="13">
        <v>45769</v>
      </c>
      <c r="M20" s="12"/>
      <c r="N20" s="13"/>
      <c r="O20" s="12"/>
      <c r="P20" s="12"/>
      <c r="Q20" s="13"/>
      <c r="R20" s="5"/>
    </row>
    <row r="21" spans="1:18" ht="27">
      <c r="A21" s="8">
        <f t="shared" si="0"/>
        <v>17</v>
      </c>
      <c r="B21" s="8" t="s">
        <v>22</v>
      </c>
      <c r="C21" s="8" t="s">
        <v>23</v>
      </c>
      <c r="D21" s="8" t="s">
        <v>43</v>
      </c>
      <c r="E21" s="5" t="s">
        <v>87</v>
      </c>
      <c r="F21" s="5" t="s">
        <v>88</v>
      </c>
      <c r="G21" s="5" t="s">
        <v>89</v>
      </c>
      <c r="H21" s="5" t="s">
        <v>90</v>
      </c>
      <c r="I21" s="16"/>
      <c r="J21" s="8" t="s">
        <v>28</v>
      </c>
      <c r="K21" s="12" t="s">
        <v>91</v>
      </c>
      <c r="L21" s="13">
        <v>45789</v>
      </c>
      <c r="M21" s="12" t="s">
        <v>92</v>
      </c>
      <c r="N21" s="13">
        <v>45789</v>
      </c>
      <c r="O21" s="12"/>
      <c r="P21" s="12"/>
      <c r="Q21" s="13"/>
      <c r="R21" s="5"/>
    </row>
    <row r="22" spans="1:18" ht="67.5">
      <c r="A22" s="8">
        <f t="shared" si="0"/>
        <v>18</v>
      </c>
      <c r="B22" s="8" t="s">
        <v>22</v>
      </c>
      <c r="C22" s="8" t="s">
        <v>23</v>
      </c>
      <c r="D22" s="8" t="s">
        <v>23</v>
      </c>
      <c r="E22" s="5" t="s">
        <v>93</v>
      </c>
      <c r="F22" s="5" t="s">
        <v>94</v>
      </c>
      <c r="G22" s="5" t="s">
        <v>95</v>
      </c>
      <c r="H22" s="17" t="s">
        <v>96</v>
      </c>
      <c r="I22" s="16"/>
      <c r="J22" s="8" t="s">
        <v>28</v>
      </c>
      <c r="K22" s="12" t="s">
        <v>91</v>
      </c>
      <c r="L22" s="13">
        <v>45789</v>
      </c>
      <c r="M22" s="12" t="s">
        <v>92</v>
      </c>
      <c r="N22" s="13">
        <v>45789</v>
      </c>
      <c r="O22" s="12"/>
      <c r="P22" s="12"/>
      <c r="Q22" s="13"/>
      <c r="R22" s="5"/>
    </row>
    <row r="23" spans="1:18" ht="126.65" customHeight="1">
      <c r="A23" s="8">
        <f t="shared" si="0"/>
        <v>19</v>
      </c>
      <c r="B23" s="8" t="s">
        <v>22</v>
      </c>
      <c r="C23" s="8" t="s">
        <v>23</v>
      </c>
      <c r="D23" s="8" t="s">
        <v>43</v>
      </c>
      <c r="E23" s="5" t="s">
        <v>97</v>
      </c>
      <c r="F23" s="5" t="s">
        <v>98</v>
      </c>
      <c r="G23" s="5" t="s">
        <v>99</v>
      </c>
      <c r="H23" s="17" t="s">
        <v>100</v>
      </c>
      <c r="I23" s="16"/>
      <c r="J23" s="8" t="s">
        <v>28</v>
      </c>
      <c r="K23" s="12" t="s">
        <v>91</v>
      </c>
      <c r="L23" s="13">
        <v>45789</v>
      </c>
      <c r="M23" s="12" t="s">
        <v>92</v>
      </c>
      <c r="N23" s="13">
        <v>45789</v>
      </c>
      <c r="O23" s="12"/>
      <c r="P23" s="12"/>
      <c r="Q23" s="13"/>
      <c r="R23" s="5"/>
    </row>
    <row r="24" spans="1:18" ht="27">
      <c r="A24" s="8">
        <f t="shared" si="0"/>
        <v>20</v>
      </c>
      <c r="B24" s="8" t="s">
        <v>22</v>
      </c>
      <c r="C24" s="8" t="s">
        <v>23</v>
      </c>
      <c r="D24" s="8" t="s">
        <v>23</v>
      </c>
      <c r="E24" s="5" t="s">
        <v>101</v>
      </c>
      <c r="F24" s="5" t="s">
        <v>102</v>
      </c>
      <c r="G24" s="5" t="s">
        <v>103</v>
      </c>
      <c r="H24" s="5" t="s">
        <v>104</v>
      </c>
      <c r="I24" s="16" t="s">
        <v>105</v>
      </c>
      <c r="J24" s="8" t="s">
        <v>56</v>
      </c>
      <c r="K24" s="12" t="s">
        <v>91</v>
      </c>
      <c r="L24" s="13">
        <v>45791</v>
      </c>
      <c r="M24" s="12" t="s">
        <v>92</v>
      </c>
      <c r="N24" s="13">
        <v>45791</v>
      </c>
      <c r="O24" s="12" t="s">
        <v>92</v>
      </c>
      <c r="P24" s="12">
        <v>45791</v>
      </c>
      <c r="Q24" s="13">
        <v>45791</v>
      </c>
      <c r="R24" s="5"/>
    </row>
    <row r="25" spans="1:18" ht="81">
      <c r="A25" s="8">
        <f t="shared" si="0"/>
        <v>21</v>
      </c>
      <c r="B25" s="8" t="s">
        <v>106</v>
      </c>
      <c r="C25" s="8" t="s">
        <v>23</v>
      </c>
      <c r="D25" s="8" t="s">
        <v>23</v>
      </c>
      <c r="E25" s="5" t="s">
        <v>107</v>
      </c>
      <c r="F25" s="5" t="s">
        <v>108</v>
      </c>
      <c r="G25" s="5" t="s">
        <v>109</v>
      </c>
      <c r="H25" s="5" t="s">
        <v>110</v>
      </c>
      <c r="I25" s="16"/>
      <c r="J25" s="8" t="s">
        <v>28</v>
      </c>
      <c r="K25" s="12" t="s">
        <v>91</v>
      </c>
      <c r="L25" s="13">
        <v>45789</v>
      </c>
      <c r="M25" s="12" t="s">
        <v>91</v>
      </c>
      <c r="N25" s="13">
        <v>45789</v>
      </c>
      <c r="O25" s="12"/>
      <c r="P25" s="12"/>
      <c r="Q25" s="13"/>
      <c r="R25" s="5"/>
    </row>
    <row r="26" spans="1:18" ht="40.5">
      <c r="A26" s="8">
        <f t="shared" si="0"/>
        <v>22</v>
      </c>
      <c r="B26" s="8" t="s">
        <v>22</v>
      </c>
      <c r="C26" s="8" t="s">
        <v>23</v>
      </c>
      <c r="D26" s="8" t="s">
        <v>23</v>
      </c>
      <c r="E26" s="5" t="s">
        <v>111</v>
      </c>
      <c r="F26" s="5" t="s">
        <v>112</v>
      </c>
      <c r="G26" s="5" t="s">
        <v>113</v>
      </c>
      <c r="H26" s="17" t="s">
        <v>114</v>
      </c>
      <c r="I26" s="5"/>
      <c r="J26" s="8" t="s">
        <v>28</v>
      </c>
      <c r="K26" s="12" t="s">
        <v>91</v>
      </c>
      <c r="L26" s="13">
        <v>45789</v>
      </c>
      <c r="M26" s="12" t="s">
        <v>91</v>
      </c>
      <c r="N26" s="13">
        <v>45789</v>
      </c>
      <c r="O26" s="12"/>
      <c r="P26" s="12"/>
      <c r="Q26" s="13"/>
      <c r="R26" s="5"/>
    </row>
    <row r="27" spans="1:18" ht="40.5">
      <c r="A27" s="8">
        <f>ROW()-4</f>
        <v>23</v>
      </c>
      <c r="B27" s="8" t="s">
        <v>115</v>
      </c>
      <c r="C27" s="8" t="s">
        <v>23</v>
      </c>
      <c r="D27" s="8" t="s">
        <v>23</v>
      </c>
      <c r="E27" s="5" t="s">
        <v>116</v>
      </c>
      <c r="F27" s="5" t="s">
        <v>117</v>
      </c>
      <c r="G27" s="5" t="s">
        <v>118</v>
      </c>
      <c r="H27" s="5" t="s">
        <v>119</v>
      </c>
      <c r="I27" s="16"/>
      <c r="J27" s="8" t="s">
        <v>28</v>
      </c>
      <c r="K27" s="12" t="s">
        <v>91</v>
      </c>
      <c r="L27" s="13">
        <v>45789</v>
      </c>
      <c r="M27" s="12" t="s">
        <v>91</v>
      </c>
      <c r="N27" s="13">
        <v>45791</v>
      </c>
      <c r="O27" s="12" t="s">
        <v>91</v>
      </c>
      <c r="P27" s="12"/>
      <c r="Q27" s="13">
        <v>45792</v>
      </c>
      <c r="R27" s="5"/>
    </row>
    <row r="28" spans="1:18" ht="33">
      <c r="A28" s="8">
        <f t="shared" ref="A28:A80" si="1">ROW()-4</f>
        <v>24</v>
      </c>
      <c r="B28" s="8" t="s">
        <v>22</v>
      </c>
      <c r="C28" s="8" t="s">
        <v>43</v>
      </c>
      <c r="D28" s="8" t="s">
        <v>43</v>
      </c>
      <c r="E28" s="5" t="s">
        <v>120</v>
      </c>
      <c r="F28" s="5" t="s">
        <v>121</v>
      </c>
      <c r="G28" s="5" t="s">
        <v>122</v>
      </c>
      <c r="H28" s="22" t="s">
        <v>123</v>
      </c>
      <c r="I28" s="16"/>
      <c r="J28" s="8" t="s">
        <v>28</v>
      </c>
      <c r="K28" s="12" t="s">
        <v>91</v>
      </c>
      <c r="L28" s="13">
        <v>45789</v>
      </c>
      <c r="M28" s="12" t="s">
        <v>91</v>
      </c>
      <c r="N28" s="13">
        <v>45789</v>
      </c>
      <c r="O28" s="12"/>
      <c r="P28" s="12"/>
      <c r="Q28" s="13"/>
      <c r="R28" s="5"/>
    </row>
    <row r="29" spans="1:18" ht="27">
      <c r="A29" s="8">
        <f t="shared" si="1"/>
        <v>25</v>
      </c>
      <c r="B29" s="8" t="s">
        <v>115</v>
      </c>
      <c r="C29" s="8" t="s">
        <v>43</v>
      </c>
      <c r="D29" s="8" t="s">
        <v>43</v>
      </c>
      <c r="E29" s="5" t="s">
        <v>124</v>
      </c>
      <c r="F29" s="5" t="s">
        <v>125</v>
      </c>
      <c r="G29" s="5" t="s">
        <v>126</v>
      </c>
      <c r="H29" s="5"/>
      <c r="I29" s="5"/>
      <c r="J29" s="8" t="s">
        <v>86</v>
      </c>
      <c r="K29" s="12" t="s">
        <v>91</v>
      </c>
      <c r="L29" s="13">
        <v>45789</v>
      </c>
      <c r="M29" s="12"/>
      <c r="N29" s="13"/>
      <c r="O29" s="12"/>
      <c r="P29" s="12"/>
      <c r="Q29" s="13"/>
      <c r="R29" s="5"/>
    </row>
    <row r="30" spans="1:18" ht="27">
      <c r="A30" s="8">
        <f t="shared" si="1"/>
        <v>26</v>
      </c>
      <c r="B30" s="8" t="s">
        <v>115</v>
      </c>
      <c r="C30" s="8" t="s">
        <v>23</v>
      </c>
      <c r="D30" s="8" t="s">
        <v>43</v>
      </c>
      <c r="E30" s="5" t="s">
        <v>127</v>
      </c>
      <c r="F30" s="5" t="s">
        <v>128</v>
      </c>
      <c r="G30" s="5" t="s">
        <v>129</v>
      </c>
      <c r="H30" s="5"/>
      <c r="I30" s="16"/>
      <c r="J30" s="8" t="s">
        <v>86</v>
      </c>
      <c r="K30" s="12" t="s">
        <v>91</v>
      </c>
      <c r="L30" s="13">
        <v>45791</v>
      </c>
      <c r="M30" s="12"/>
      <c r="N30" s="13"/>
      <c r="O30" s="12"/>
      <c r="P30" s="12"/>
      <c r="Q30" s="13"/>
      <c r="R30" s="5"/>
    </row>
    <row r="31" spans="1:18" ht="81">
      <c r="A31" s="8">
        <f t="shared" si="1"/>
        <v>27</v>
      </c>
      <c r="B31" s="8" t="s">
        <v>115</v>
      </c>
      <c r="C31" s="8" t="s">
        <v>23</v>
      </c>
      <c r="D31" s="8" t="s">
        <v>43</v>
      </c>
      <c r="E31" s="5" t="s">
        <v>130</v>
      </c>
      <c r="F31" s="5" t="s">
        <v>131</v>
      </c>
      <c r="G31" s="5" t="s">
        <v>132</v>
      </c>
      <c r="H31" s="5"/>
      <c r="I31" s="16"/>
      <c r="J31" s="8" t="s">
        <v>86</v>
      </c>
      <c r="K31" s="12" t="s">
        <v>91</v>
      </c>
      <c r="L31" s="13">
        <v>45791</v>
      </c>
      <c r="M31" s="12"/>
      <c r="N31" s="13"/>
      <c r="O31" s="12"/>
      <c r="P31" s="12"/>
      <c r="Q31" s="13"/>
      <c r="R31" s="5"/>
    </row>
    <row r="32" spans="1:18" ht="27">
      <c r="A32" s="8">
        <f t="shared" si="1"/>
        <v>28</v>
      </c>
      <c r="B32" s="8" t="s">
        <v>115</v>
      </c>
      <c r="C32" s="8" t="s">
        <v>23</v>
      </c>
      <c r="D32" s="8" t="s">
        <v>23</v>
      </c>
      <c r="E32" s="5" t="s">
        <v>133</v>
      </c>
      <c r="F32" s="5" t="s">
        <v>134</v>
      </c>
      <c r="G32" s="5" t="s">
        <v>135</v>
      </c>
      <c r="H32" s="5"/>
      <c r="I32" s="16"/>
      <c r="J32" s="8" t="s">
        <v>28</v>
      </c>
      <c r="K32" s="12" t="s">
        <v>91</v>
      </c>
      <c r="L32" s="13">
        <v>45791</v>
      </c>
      <c r="M32" s="12" t="s">
        <v>91</v>
      </c>
      <c r="N32" s="13">
        <v>45789</v>
      </c>
      <c r="O32" s="12"/>
      <c r="P32" s="12"/>
      <c r="Q32" s="13"/>
      <c r="R32" s="5"/>
    </row>
    <row r="33" spans="1:18" ht="40.5">
      <c r="A33" s="8">
        <f t="shared" si="1"/>
        <v>29</v>
      </c>
      <c r="B33" s="8" t="s">
        <v>22</v>
      </c>
      <c r="C33" s="8" t="s">
        <v>23</v>
      </c>
      <c r="D33" s="8" t="s">
        <v>43</v>
      </c>
      <c r="E33" s="5" t="s">
        <v>136</v>
      </c>
      <c r="F33" s="5" t="s">
        <v>137</v>
      </c>
      <c r="G33" s="5"/>
      <c r="H33" s="5"/>
      <c r="I33" s="16"/>
      <c r="J33" s="8" t="s">
        <v>86</v>
      </c>
      <c r="K33" s="12" t="s">
        <v>91</v>
      </c>
      <c r="L33" s="13">
        <v>45791</v>
      </c>
      <c r="M33" s="12"/>
      <c r="N33" s="13"/>
      <c r="O33" s="12"/>
      <c r="P33" s="12"/>
      <c r="Q33" s="13"/>
      <c r="R33" s="5"/>
    </row>
    <row r="34" spans="1:18" ht="27">
      <c r="A34" s="8">
        <f t="shared" si="1"/>
        <v>30</v>
      </c>
      <c r="B34" s="8" t="s">
        <v>22</v>
      </c>
      <c r="C34" s="8" t="s">
        <v>23</v>
      </c>
      <c r="D34" s="8" t="s">
        <v>138</v>
      </c>
      <c r="E34" s="5" t="s">
        <v>139</v>
      </c>
      <c r="F34" s="5" t="s">
        <v>140</v>
      </c>
      <c r="G34" s="5"/>
      <c r="H34" s="5" t="s">
        <v>141</v>
      </c>
      <c r="I34" s="5"/>
      <c r="J34" s="8" t="s">
        <v>86</v>
      </c>
      <c r="K34" s="12" t="s">
        <v>91</v>
      </c>
      <c r="L34" s="13">
        <v>45791</v>
      </c>
      <c r="M34" s="12"/>
      <c r="N34" s="13"/>
      <c r="O34" s="12"/>
      <c r="P34" s="12"/>
      <c r="Q34" s="13"/>
      <c r="R34" s="5"/>
    </row>
    <row r="35" spans="1:18" ht="81">
      <c r="A35" s="8">
        <f t="shared" si="1"/>
        <v>31</v>
      </c>
      <c r="B35" s="8" t="s">
        <v>106</v>
      </c>
      <c r="C35" s="8" t="s">
        <v>23</v>
      </c>
      <c r="D35" s="8" t="s">
        <v>43</v>
      </c>
      <c r="E35" s="5" t="s">
        <v>142</v>
      </c>
      <c r="F35" s="5" t="s">
        <v>143</v>
      </c>
      <c r="G35" s="5"/>
      <c r="H35" s="17"/>
      <c r="I35" s="5"/>
      <c r="J35" s="8" t="s">
        <v>86</v>
      </c>
      <c r="K35" s="12" t="s">
        <v>91</v>
      </c>
      <c r="L35" s="13">
        <v>45791</v>
      </c>
      <c r="M35" s="12"/>
      <c r="N35" s="13"/>
      <c r="O35" s="12"/>
      <c r="P35" s="12"/>
      <c r="Q35" s="13"/>
      <c r="R35" s="5"/>
    </row>
    <row r="36" spans="1:18" ht="40.5">
      <c r="A36" s="8">
        <f t="shared" si="1"/>
        <v>32</v>
      </c>
      <c r="B36" s="8" t="s">
        <v>106</v>
      </c>
      <c r="C36" s="8" t="s">
        <v>23</v>
      </c>
      <c r="D36" s="8" t="s">
        <v>138</v>
      </c>
      <c r="E36" s="5" t="s">
        <v>144</v>
      </c>
      <c r="F36" s="5" t="s">
        <v>145</v>
      </c>
      <c r="G36" s="5"/>
      <c r="H36" s="5"/>
      <c r="I36" s="5"/>
      <c r="J36" s="8" t="s">
        <v>86</v>
      </c>
      <c r="K36" s="12" t="s">
        <v>91</v>
      </c>
      <c r="L36" s="13">
        <v>45791</v>
      </c>
      <c r="M36" s="12"/>
      <c r="N36" s="13"/>
      <c r="O36" s="12"/>
      <c r="P36" s="12"/>
      <c r="Q36" s="13"/>
      <c r="R36" s="5"/>
    </row>
    <row r="37" spans="1:18" ht="40.5">
      <c r="A37" s="8">
        <f t="shared" si="1"/>
        <v>33</v>
      </c>
      <c r="B37" s="8" t="s">
        <v>106</v>
      </c>
      <c r="C37" s="8" t="s">
        <v>23</v>
      </c>
      <c r="D37" s="8" t="s">
        <v>138</v>
      </c>
      <c r="E37" s="5" t="s">
        <v>146</v>
      </c>
      <c r="F37" s="5" t="s">
        <v>147</v>
      </c>
      <c r="G37" s="5" t="s">
        <v>148</v>
      </c>
      <c r="H37" s="5"/>
      <c r="I37" s="5"/>
      <c r="J37" s="8"/>
      <c r="K37" s="12"/>
      <c r="L37" s="13"/>
      <c r="M37" s="12"/>
      <c r="N37" s="13"/>
      <c r="O37" s="12"/>
      <c r="P37" s="12"/>
      <c r="Q37" s="13"/>
      <c r="R37" s="5"/>
    </row>
    <row r="38" spans="1:18" ht="102.75" customHeight="1">
      <c r="A38" s="8">
        <f t="shared" si="1"/>
        <v>34</v>
      </c>
      <c r="B38" s="8" t="s">
        <v>106</v>
      </c>
      <c r="C38" s="8" t="s">
        <v>23</v>
      </c>
      <c r="D38" s="8" t="s">
        <v>23</v>
      </c>
      <c r="E38" s="5" t="s">
        <v>149</v>
      </c>
      <c r="F38" s="5" t="s">
        <v>150</v>
      </c>
      <c r="G38" s="5"/>
      <c r="H38" s="5"/>
      <c r="I38" s="16"/>
      <c r="J38" s="8" t="s">
        <v>86</v>
      </c>
      <c r="K38" s="12" t="s">
        <v>151</v>
      </c>
      <c r="L38" s="13">
        <v>45793</v>
      </c>
      <c r="M38" s="12"/>
      <c r="N38" s="13"/>
      <c r="O38" s="12"/>
      <c r="P38" s="12"/>
      <c r="Q38" s="13"/>
      <c r="R38" s="5"/>
    </row>
    <row r="39" spans="1:18">
      <c r="A39" s="8"/>
      <c r="B39" s="8"/>
      <c r="C39" s="8"/>
      <c r="D39" s="8" t="s">
        <v>138</v>
      </c>
      <c r="E39" s="5" t="s">
        <v>228</v>
      </c>
      <c r="F39" s="5" t="s">
        <v>229</v>
      </c>
      <c r="G39" s="5"/>
      <c r="H39" s="5"/>
      <c r="I39" s="16"/>
      <c r="J39" s="8"/>
      <c r="K39" s="12"/>
      <c r="L39" s="13"/>
      <c r="M39" s="12"/>
      <c r="N39" s="13"/>
      <c r="O39" s="12"/>
      <c r="P39" s="12"/>
      <c r="Q39" s="13"/>
      <c r="R39" s="5"/>
    </row>
    <row r="40" spans="1:18">
      <c r="A40" s="8">
        <f t="shared" si="1"/>
        <v>36</v>
      </c>
      <c r="B40" s="8"/>
      <c r="C40" s="8"/>
      <c r="D40" s="8"/>
      <c r="F40" s="5"/>
      <c r="G40" s="5"/>
      <c r="H40" s="5"/>
      <c r="I40" s="5"/>
      <c r="J40" s="8"/>
      <c r="K40" s="12"/>
      <c r="L40" s="13"/>
      <c r="M40" s="12"/>
      <c r="N40" s="13"/>
      <c r="O40" s="12"/>
      <c r="P40" s="12"/>
      <c r="Q40" s="13"/>
      <c r="R40" s="5"/>
    </row>
    <row r="41" spans="1:18">
      <c r="A41" s="8">
        <f t="shared" si="1"/>
        <v>37</v>
      </c>
      <c r="B41" s="8"/>
      <c r="C41" s="8"/>
      <c r="D41" s="8"/>
      <c r="E41" s="5"/>
      <c r="F41" s="5"/>
      <c r="G41" s="5"/>
      <c r="H41" s="5"/>
      <c r="I41" s="5"/>
      <c r="J41" s="8"/>
      <c r="K41" s="12"/>
      <c r="L41" s="13"/>
      <c r="M41" s="12"/>
      <c r="N41" s="13"/>
      <c r="O41" s="12"/>
      <c r="P41" s="12"/>
      <c r="Q41" s="13"/>
      <c r="R41" s="5"/>
    </row>
    <row r="42" spans="1:18">
      <c r="A42" s="8">
        <f t="shared" si="1"/>
        <v>38</v>
      </c>
      <c r="B42" s="8"/>
      <c r="C42" s="8"/>
      <c r="D42" s="8"/>
      <c r="E42" s="5"/>
      <c r="F42" s="5"/>
      <c r="G42" s="5"/>
      <c r="H42" s="5"/>
      <c r="I42" s="16"/>
      <c r="J42" s="8"/>
      <c r="K42" s="12"/>
      <c r="L42" s="13"/>
      <c r="M42" s="12"/>
      <c r="N42" s="13"/>
      <c r="O42" s="12"/>
      <c r="P42" s="12"/>
      <c r="Q42" s="13"/>
      <c r="R42" s="5"/>
    </row>
    <row r="43" spans="1:18">
      <c r="A43" s="8">
        <f t="shared" si="1"/>
        <v>39</v>
      </c>
      <c r="B43" s="8"/>
      <c r="C43" s="8"/>
      <c r="D43" s="8"/>
      <c r="E43" s="5"/>
      <c r="F43" s="5"/>
      <c r="G43" s="5"/>
      <c r="H43" s="17"/>
      <c r="I43" s="5"/>
      <c r="J43" s="8"/>
      <c r="K43" s="12"/>
      <c r="L43" s="13"/>
      <c r="M43" s="12"/>
      <c r="N43" s="13"/>
      <c r="O43" s="12"/>
      <c r="P43" s="12"/>
      <c r="Q43" s="13"/>
      <c r="R43" s="5"/>
    </row>
    <row r="44" spans="1:18">
      <c r="A44" s="8">
        <f t="shared" si="1"/>
        <v>40</v>
      </c>
      <c r="B44" s="8"/>
      <c r="C44" s="8"/>
      <c r="D44" s="8"/>
      <c r="E44" s="5"/>
      <c r="F44" s="5"/>
      <c r="G44" s="5"/>
      <c r="H44" s="5"/>
      <c r="I44" s="5"/>
      <c r="J44" s="8"/>
      <c r="K44" s="12"/>
      <c r="L44" s="13"/>
      <c r="M44" s="12"/>
      <c r="N44" s="13"/>
      <c r="O44" s="12"/>
      <c r="P44" s="12"/>
      <c r="Q44" s="13"/>
      <c r="R44" s="5"/>
    </row>
    <row r="45" spans="1:18">
      <c r="A45" s="8">
        <f t="shared" si="1"/>
        <v>41</v>
      </c>
      <c r="B45" s="8"/>
      <c r="C45" s="8"/>
      <c r="D45" s="8"/>
      <c r="E45" s="5"/>
      <c r="F45" s="5"/>
      <c r="G45" s="5"/>
      <c r="H45" s="5"/>
      <c r="I45" s="5"/>
      <c r="J45" s="8"/>
      <c r="K45" s="12"/>
      <c r="L45" s="13"/>
      <c r="M45" s="12"/>
      <c r="N45" s="13"/>
      <c r="O45" s="12"/>
      <c r="P45" s="12"/>
      <c r="Q45" s="13"/>
      <c r="R45" s="5"/>
    </row>
    <row r="46" spans="1:18">
      <c r="A46" s="8">
        <f t="shared" si="1"/>
        <v>42</v>
      </c>
      <c r="B46" s="8"/>
      <c r="C46" s="8"/>
      <c r="D46" s="8"/>
      <c r="E46" s="5"/>
      <c r="F46" s="5"/>
      <c r="G46" s="5"/>
      <c r="H46" s="5"/>
      <c r="I46" s="16"/>
      <c r="J46" s="8"/>
      <c r="K46" s="12"/>
      <c r="L46" s="13"/>
      <c r="M46" s="12"/>
      <c r="N46" s="13"/>
      <c r="O46" s="12"/>
      <c r="P46" s="12"/>
      <c r="Q46" s="13"/>
      <c r="R46" s="5"/>
    </row>
    <row r="47" spans="1:18">
      <c r="A47" s="8">
        <f t="shared" si="1"/>
        <v>43</v>
      </c>
      <c r="B47" s="8"/>
      <c r="C47" s="8"/>
      <c r="D47" s="8"/>
      <c r="E47" s="5"/>
      <c r="F47" s="5"/>
      <c r="G47" s="5"/>
      <c r="H47" s="17"/>
      <c r="I47" s="5"/>
      <c r="J47" s="8"/>
      <c r="K47" s="12"/>
      <c r="L47" s="13"/>
      <c r="M47" s="12"/>
      <c r="N47" s="13"/>
      <c r="O47" s="12"/>
      <c r="P47" s="12"/>
      <c r="Q47" s="13"/>
      <c r="R47" s="5"/>
    </row>
    <row r="48" spans="1:18">
      <c r="A48" s="8">
        <f t="shared" si="1"/>
        <v>44</v>
      </c>
      <c r="B48" s="8"/>
      <c r="C48" s="8"/>
      <c r="D48" s="8"/>
      <c r="E48" s="5"/>
      <c r="F48" s="5"/>
      <c r="G48" s="5"/>
      <c r="H48" s="5"/>
      <c r="I48" s="5"/>
      <c r="J48" s="8"/>
      <c r="K48" s="12"/>
      <c r="L48" s="13"/>
      <c r="M48" s="12"/>
      <c r="N48" s="13"/>
      <c r="O48" s="12"/>
      <c r="P48" s="13"/>
      <c r="Q48" s="13"/>
      <c r="R48" s="5"/>
    </row>
    <row r="49" spans="1:18">
      <c r="A49" s="8">
        <f t="shared" si="1"/>
        <v>45</v>
      </c>
      <c r="B49" s="8"/>
      <c r="C49" s="8"/>
      <c r="D49" s="8"/>
      <c r="E49" s="5"/>
      <c r="F49" s="5"/>
      <c r="G49" s="5"/>
      <c r="H49" s="5"/>
      <c r="I49" s="5"/>
      <c r="J49" s="8"/>
      <c r="K49" s="12"/>
      <c r="L49" s="13"/>
      <c r="M49" s="12"/>
      <c r="N49" s="13"/>
      <c r="O49" s="12"/>
      <c r="P49" s="12"/>
      <c r="Q49" s="13"/>
      <c r="R49" s="5"/>
    </row>
    <row r="50" spans="1:18">
      <c r="A50" s="8">
        <f t="shared" si="1"/>
        <v>46</v>
      </c>
      <c r="B50" s="8"/>
      <c r="C50" s="8"/>
      <c r="D50" s="8"/>
      <c r="E50" s="5"/>
      <c r="F50" s="5"/>
      <c r="G50" s="5"/>
      <c r="H50" s="5"/>
      <c r="I50" s="5"/>
      <c r="J50" s="8"/>
      <c r="K50" s="12"/>
      <c r="L50" s="13"/>
      <c r="M50" s="12"/>
      <c r="N50" s="13"/>
      <c r="O50" s="12"/>
      <c r="P50" s="12"/>
      <c r="Q50" s="13"/>
      <c r="R50" s="5"/>
    </row>
    <row r="51" spans="1:18">
      <c r="A51" s="8">
        <f t="shared" si="1"/>
        <v>47</v>
      </c>
      <c r="B51" s="8"/>
      <c r="C51" s="8"/>
      <c r="D51" s="8"/>
      <c r="E51" s="5"/>
      <c r="F51" s="5"/>
      <c r="G51" s="5"/>
      <c r="H51" s="5"/>
      <c r="I51" s="5"/>
      <c r="J51" s="8"/>
      <c r="K51" s="12"/>
      <c r="L51" s="13"/>
      <c r="M51" s="12"/>
      <c r="N51" s="13"/>
      <c r="O51" s="12"/>
      <c r="P51" s="12"/>
      <c r="Q51" s="13"/>
      <c r="R51" s="5"/>
    </row>
    <row r="52" spans="1:18">
      <c r="A52" s="8">
        <f t="shared" si="1"/>
        <v>48</v>
      </c>
      <c r="B52" s="8"/>
      <c r="C52" s="8"/>
      <c r="D52" s="8"/>
      <c r="E52" s="5"/>
      <c r="F52" s="5"/>
      <c r="G52" s="5"/>
      <c r="H52" s="5"/>
      <c r="I52" s="5"/>
      <c r="J52" s="8"/>
      <c r="K52" s="12"/>
      <c r="L52" s="13"/>
      <c r="M52" s="12"/>
      <c r="N52" s="13"/>
      <c r="O52" s="12"/>
      <c r="P52" s="12"/>
      <c r="Q52" s="13"/>
      <c r="R52" s="5"/>
    </row>
    <row r="53" spans="1:18">
      <c r="A53" s="8">
        <f t="shared" si="1"/>
        <v>49</v>
      </c>
      <c r="B53" s="8"/>
      <c r="C53" s="8"/>
      <c r="D53" s="8"/>
      <c r="E53" s="5"/>
      <c r="F53" s="5"/>
      <c r="G53" s="5"/>
      <c r="H53" s="5"/>
      <c r="I53" s="5"/>
      <c r="J53" s="8"/>
      <c r="K53" s="12"/>
      <c r="L53" s="13"/>
      <c r="M53" s="12"/>
      <c r="N53" s="13"/>
      <c r="O53" s="12"/>
      <c r="P53" s="13"/>
      <c r="Q53" s="13"/>
      <c r="R53" s="5"/>
    </row>
    <row r="54" spans="1:18">
      <c r="A54" s="8">
        <f t="shared" si="1"/>
        <v>50</v>
      </c>
      <c r="B54" s="8"/>
      <c r="C54" s="8"/>
      <c r="D54" s="8"/>
      <c r="E54" s="5"/>
      <c r="F54" s="5"/>
      <c r="G54" s="5"/>
      <c r="H54" s="5"/>
      <c r="I54" s="5"/>
      <c r="J54" s="8"/>
      <c r="K54" s="12"/>
      <c r="L54" s="13"/>
      <c r="M54" s="12"/>
      <c r="N54" s="13"/>
      <c r="O54" s="12"/>
      <c r="P54" s="13"/>
      <c r="Q54" s="13"/>
      <c r="R54" s="5"/>
    </row>
    <row r="55" spans="1:18">
      <c r="A55" s="8">
        <f t="shared" si="1"/>
        <v>51</v>
      </c>
      <c r="B55" s="8"/>
      <c r="C55" s="8"/>
      <c r="D55" s="8"/>
      <c r="E55" s="5"/>
      <c r="F55" s="5"/>
      <c r="G55" s="5"/>
      <c r="H55" s="5"/>
      <c r="I55" s="5"/>
      <c r="J55" s="8"/>
      <c r="K55" s="12"/>
      <c r="L55" s="13"/>
      <c r="M55" s="12"/>
      <c r="N55" s="13"/>
      <c r="O55" s="12"/>
      <c r="P55" s="13"/>
      <c r="Q55" s="13"/>
      <c r="R55" s="5"/>
    </row>
    <row r="56" spans="1:18">
      <c r="A56" s="8">
        <f t="shared" si="1"/>
        <v>52</v>
      </c>
      <c r="B56" s="8"/>
      <c r="C56" s="8"/>
      <c r="D56" s="8"/>
      <c r="E56" s="5"/>
      <c r="F56" s="5"/>
      <c r="G56" s="5"/>
      <c r="H56" s="5"/>
      <c r="I56" s="5"/>
      <c r="J56" s="8"/>
      <c r="K56" s="12"/>
      <c r="L56" s="13"/>
      <c r="M56" s="12"/>
      <c r="N56" s="13"/>
      <c r="O56" s="12"/>
      <c r="P56" s="13"/>
      <c r="Q56" s="13"/>
      <c r="R56" s="5"/>
    </row>
    <row r="57" spans="1:18">
      <c r="A57" s="8">
        <f t="shared" si="1"/>
        <v>53</v>
      </c>
      <c r="B57" s="8"/>
      <c r="C57" s="8"/>
      <c r="D57" s="8"/>
      <c r="E57" s="5"/>
      <c r="F57" s="5"/>
      <c r="G57" s="5"/>
      <c r="H57" s="5"/>
      <c r="I57" s="5"/>
      <c r="J57" s="8"/>
      <c r="K57" s="12"/>
      <c r="L57" s="13"/>
      <c r="M57" s="12"/>
      <c r="N57" s="13"/>
      <c r="O57" s="12"/>
      <c r="P57" s="12"/>
      <c r="Q57" s="13"/>
      <c r="R57" s="5"/>
    </row>
    <row r="58" spans="1:18">
      <c r="A58" s="8">
        <f t="shared" si="1"/>
        <v>54</v>
      </c>
      <c r="B58" s="8"/>
      <c r="C58" s="8"/>
      <c r="D58" s="8"/>
      <c r="E58" s="5"/>
      <c r="F58" s="5"/>
      <c r="G58" s="5"/>
      <c r="H58" s="5"/>
      <c r="I58" s="5"/>
      <c r="J58" s="8"/>
      <c r="K58" s="12"/>
      <c r="L58" s="13"/>
      <c r="M58" s="12"/>
      <c r="N58" s="13"/>
      <c r="O58" s="12"/>
      <c r="P58" s="13"/>
      <c r="Q58" s="13"/>
      <c r="R58" s="5"/>
    </row>
    <row r="59" spans="1:18">
      <c r="A59" s="8">
        <f t="shared" si="1"/>
        <v>55</v>
      </c>
      <c r="B59" s="8"/>
      <c r="C59" s="8"/>
      <c r="D59" s="8"/>
      <c r="E59" s="5"/>
      <c r="F59" s="5"/>
      <c r="G59" s="5"/>
      <c r="H59" s="5"/>
      <c r="I59" s="5"/>
      <c r="J59" s="8"/>
      <c r="K59" s="12"/>
      <c r="L59" s="13"/>
      <c r="M59" s="12"/>
      <c r="N59" s="13"/>
      <c r="O59" s="12"/>
      <c r="P59" s="13"/>
      <c r="Q59" s="13"/>
      <c r="R59" s="5"/>
    </row>
    <row r="60" spans="1:18">
      <c r="A60" s="8">
        <f t="shared" si="1"/>
        <v>56</v>
      </c>
      <c r="B60" s="8"/>
      <c r="C60" s="8"/>
      <c r="D60" s="8"/>
      <c r="E60" s="5"/>
      <c r="F60" s="5"/>
      <c r="G60" s="5"/>
      <c r="H60" s="5"/>
      <c r="I60" s="5"/>
      <c r="J60" s="8"/>
      <c r="K60" s="12"/>
      <c r="L60" s="13"/>
      <c r="M60" s="12"/>
      <c r="N60" s="13"/>
      <c r="O60" s="12"/>
      <c r="P60" s="13"/>
      <c r="Q60" s="13"/>
      <c r="R60" s="5"/>
    </row>
    <row r="61" spans="1:18">
      <c r="A61" s="8">
        <f t="shared" si="1"/>
        <v>57</v>
      </c>
      <c r="B61" s="8"/>
      <c r="C61" s="8"/>
      <c r="D61" s="8"/>
      <c r="E61" s="5"/>
      <c r="F61" s="5"/>
      <c r="G61" s="5"/>
      <c r="H61" s="5"/>
      <c r="I61" s="5"/>
      <c r="J61" s="8"/>
      <c r="K61" s="12"/>
      <c r="L61" s="13"/>
      <c r="M61" s="12"/>
      <c r="N61" s="13"/>
      <c r="O61" s="12"/>
      <c r="P61" s="13"/>
      <c r="Q61" s="13"/>
      <c r="R61" s="5"/>
    </row>
    <row r="62" spans="1:18">
      <c r="A62" s="8">
        <f t="shared" si="1"/>
        <v>58</v>
      </c>
      <c r="B62" s="8"/>
      <c r="C62" s="8"/>
      <c r="D62" s="8"/>
      <c r="E62" s="5"/>
      <c r="F62" s="5"/>
      <c r="G62" s="5"/>
      <c r="H62" s="5"/>
      <c r="I62" s="5"/>
      <c r="J62" s="8"/>
      <c r="K62" s="12"/>
      <c r="L62" s="13"/>
      <c r="M62" s="12"/>
      <c r="N62" s="13"/>
      <c r="O62" s="12"/>
      <c r="P62" s="13"/>
      <c r="Q62" s="13"/>
      <c r="R62" s="5"/>
    </row>
    <row r="63" spans="1:18">
      <c r="A63" s="8">
        <f t="shared" si="1"/>
        <v>59</v>
      </c>
      <c r="B63" s="8"/>
      <c r="C63" s="8"/>
      <c r="D63" s="8"/>
      <c r="E63" s="5"/>
      <c r="F63" s="5"/>
      <c r="G63" s="5"/>
      <c r="H63" s="5"/>
      <c r="I63" s="5"/>
      <c r="J63" s="8"/>
      <c r="K63" s="12"/>
      <c r="L63" s="13"/>
      <c r="M63" s="12"/>
      <c r="N63" s="13"/>
      <c r="O63" s="12"/>
      <c r="P63" s="13"/>
      <c r="Q63" s="13"/>
      <c r="R63" s="5"/>
    </row>
    <row r="64" spans="1:18">
      <c r="A64" s="8">
        <f t="shared" si="1"/>
        <v>60</v>
      </c>
      <c r="B64" s="8"/>
      <c r="C64" s="8"/>
      <c r="D64" s="8"/>
      <c r="E64" s="5"/>
      <c r="F64" s="5"/>
      <c r="G64" s="5"/>
      <c r="H64" s="5"/>
      <c r="I64" s="5"/>
      <c r="J64" s="8"/>
      <c r="K64" s="12"/>
      <c r="L64" s="13"/>
      <c r="M64" s="12"/>
      <c r="N64" s="13"/>
      <c r="O64" s="12"/>
      <c r="P64" s="13"/>
      <c r="Q64" s="13"/>
      <c r="R64" s="5"/>
    </row>
    <row r="65" spans="1:18">
      <c r="A65" s="8">
        <f t="shared" si="1"/>
        <v>61</v>
      </c>
      <c r="B65" s="8"/>
      <c r="C65" s="8"/>
      <c r="D65" s="8"/>
      <c r="E65" s="5"/>
      <c r="F65" s="5"/>
      <c r="G65" s="5"/>
      <c r="H65" s="5"/>
      <c r="I65" s="5"/>
      <c r="J65" s="8"/>
      <c r="K65" s="12"/>
      <c r="L65" s="13"/>
      <c r="M65" s="12"/>
      <c r="N65" s="13"/>
      <c r="O65" s="12"/>
      <c r="P65" s="13"/>
      <c r="Q65" s="13"/>
      <c r="R65" s="5"/>
    </row>
    <row r="66" spans="1:18">
      <c r="A66" s="8">
        <f t="shared" si="1"/>
        <v>62</v>
      </c>
      <c r="B66" s="8"/>
      <c r="C66" s="8"/>
      <c r="D66" s="8"/>
      <c r="E66" s="5"/>
      <c r="F66" s="5"/>
      <c r="G66" s="5"/>
      <c r="H66" s="5"/>
      <c r="I66" s="5"/>
      <c r="J66" s="8"/>
      <c r="K66" s="12"/>
      <c r="L66" s="13"/>
      <c r="M66" s="12"/>
      <c r="N66" s="13"/>
      <c r="O66" s="12"/>
      <c r="P66" s="13"/>
      <c r="Q66" s="13"/>
      <c r="R66" s="5"/>
    </row>
    <row r="67" spans="1:18">
      <c r="A67" s="8">
        <f t="shared" si="1"/>
        <v>63</v>
      </c>
      <c r="B67" s="8"/>
      <c r="C67" s="8"/>
      <c r="D67" s="8"/>
      <c r="E67" s="5"/>
      <c r="F67" s="5"/>
      <c r="G67" s="5"/>
      <c r="H67" s="5"/>
      <c r="I67" s="5"/>
      <c r="J67" s="8"/>
      <c r="K67" s="12"/>
      <c r="L67" s="13"/>
      <c r="M67" s="12"/>
      <c r="N67" s="13"/>
      <c r="O67" s="12"/>
      <c r="P67" s="13"/>
      <c r="Q67" s="13"/>
      <c r="R67" s="5"/>
    </row>
    <row r="68" spans="1:18">
      <c r="A68" s="8">
        <f t="shared" si="1"/>
        <v>64</v>
      </c>
      <c r="B68" s="8"/>
      <c r="C68" s="8"/>
      <c r="D68" s="8"/>
      <c r="E68" s="5"/>
      <c r="F68" s="5"/>
      <c r="G68" s="5"/>
      <c r="H68" s="5"/>
      <c r="I68" s="5"/>
      <c r="J68" s="8"/>
      <c r="K68" s="12"/>
      <c r="L68" s="13"/>
      <c r="M68" s="12"/>
      <c r="N68" s="13"/>
      <c r="O68" s="12"/>
      <c r="P68" s="13"/>
      <c r="Q68" s="13"/>
      <c r="R68" s="5"/>
    </row>
    <row r="69" spans="1:18">
      <c r="A69" s="8">
        <f t="shared" si="1"/>
        <v>65</v>
      </c>
      <c r="B69" s="8"/>
      <c r="C69" s="8"/>
      <c r="D69" s="8"/>
      <c r="E69" s="5"/>
      <c r="F69" s="5"/>
      <c r="G69" s="5"/>
      <c r="H69" s="5"/>
      <c r="I69" s="5"/>
      <c r="J69" s="8"/>
      <c r="K69" s="12"/>
      <c r="L69" s="13"/>
      <c r="M69" s="12"/>
      <c r="N69" s="13"/>
      <c r="O69" s="12"/>
      <c r="P69" s="13"/>
      <c r="Q69" s="13"/>
      <c r="R69" s="5"/>
    </row>
    <row r="70" spans="1:18">
      <c r="A70" s="8">
        <f t="shared" si="1"/>
        <v>66</v>
      </c>
      <c r="B70" s="8"/>
      <c r="C70" s="8"/>
      <c r="D70" s="8"/>
      <c r="E70" s="5"/>
      <c r="F70" s="5"/>
      <c r="G70" s="5"/>
      <c r="H70" s="5"/>
      <c r="I70" s="5"/>
      <c r="J70" s="8"/>
      <c r="K70" s="12"/>
      <c r="L70" s="13"/>
      <c r="M70" s="12"/>
      <c r="N70" s="13"/>
      <c r="O70" s="12"/>
      <c r="P70" s="13"/>
      <c r="Q70" s="13"/>
      <c r="R70" s="5"/>
    </row>
    <row r="71" spans="1:18">
      <c r="A71" s="8">
        <f t="shared" si="1"/>
        <v>67</v>
      </c>
      <c r="B71" s="8"/>
      <c r="C71" s="8"/>
      <c r="D71" s="8"/>
      <c r="E71" s="5"/>
      <c r="F71" s="5"/>
      <c r="G71" s="5"/>
      <c r="H71" s="5"/>
      <c r="I71" s="5"/>
      <c r="J71" s="8"/>
      <c r="K71" s="12"/>
      <c r="L71" s="13"/>
      <c r="M71" s="12"/>
      <c r="N71" s="13"/>
      <c r="O71" s="12"/>
      <c r="P71" s="13"/>
      <c r="Q71" s="13"/>
      <c r="R71" s="5"/>
    </row>
    <row r="72" spans="1:18">
      <c r="A72" s="8">
        <f t="shared" si="1"/>
        <v>68</v>
      </c>
      <c r="B72" s="8"/>
      <c r="C72" s="8"/>
      <c r="D72" s="8"/>
      <c r="E72" s="5"/>
      <c r="F72" s="5"/>
      <c r="G72" s="5"/>
      <c r="H72" s="5"/>
      <c r="I72" s="5"/>
      <c r="J72" s="8"/>
      <c r="K72" s="12"/>
      <c r="L72" s="13"/>
      <c r="M72" s="12"/>
      <c r="N72" s="13"/>
      <c r="O72" s="12"/>
      <c r="P72" s="13"/>
      <c r="Q72" s="13"/>
      <c r="R72" s="5"/>
    </row>
    <row r="73" spans="1:18">
      <c r="A73" s="8">
        <f t="shared" si="1"/>
        <v>69</v>
      </c>
      <c r="B73" s="8"/>
      <c r="C73" s="8"/>
      <c r="D73" s="8"/>
      <c r="E73" s="5"/>
      <c r="F73" s="5"/>
      <c r="G73" s="5"/>
      <c r="H73" s="5"/>
      <c r="I73" s="5"/>
      <c r="J73" s="8"/>
      <c r="K73" s="12"/>
      <c r="L73" s="13"/>
      <c r="M73" s="12"/>
      <c r="N73" s="13"/>
      <c r="O73" s="12"/>
      <c r="P73" s="13"/>
      <c r="Q73" s="13"/>
      <c r="R73" s="5"/>
    </row>
    <row r="74" spans="1:18">
      <c r="A74" s="8">
        <f t="shared" si="1"/>
        <v>70</v>
      </c>
      <c r="B74" s="8"/>
      <c r="C74" s="8"/>
      <c r="D74" s="8"/>
      <c r="E74" s="5"/>
      <c r="F74" s="5"/>
      <c r="G74" s="5"/>
      <c r="H74" s="5"/>
      <c r="I74" s="5"/>
      <c r="J74" s="8"/>
      <c r="K74" s="12"/>
      <c r="L74" s="13"/>
      <c r="M74" s="12"/>
      <c r="N74" s="13"/>
      <c r="O74" s="12"/>
      <c r="P74" s="13"/>
      <c r="Q74" s="13"/>
      <c r="R74" s="5"/>
    </row>
    <row r="75" spans="1:18">
      <c r="A75" s="8">
        <f t="shared" ref="A75:A82" si="2">ROW()-4</f>
        <v>71</v>
      </c>
      <c r="B75" s="8"/>
      <c r="C75" s="8"/>
      <c r="D75" s="8"/>
      <c r="E75" s="5"/>
      <c r="F75" s="5"/>
      <c r="G75" s="5"/>
      <c r="H75" s="5"/>
      <c r="I75" s="5"/>
      <c r="J75" s="8"/>
      <c r="K75" s="12"/>
      <c r="L75" s="13"/>
      <c r="M75" s="12"/>
      <c r="N75" s="13"/>
      <c r="O75" s="12"/>
      <c r="P75" s="13"/>
      <c r="Q75" s="13"/>
      <c r="R75" s="5"/>
    </row>
    <row r="76" spans="1:18">
      <c r="A76" s="8">
        <f t="shared" si="2"/>
        <v>72</v>
      </c>
      <c r="B76" s="8"/>
      <c r="C76" s="8"/>
      <c r="D76" s="8"/>
      <c r="E76" s="5"/>
      <c r="F76" s="5"/>
      <c r="G76" s="5"/>
      <c r="H76" s="5"/>
      <c r="I76" s="5"/>
      <c r="J76" s="8"/>
      <c r="K76" s="12"/>
      <c r="L76" s="13"/>
      <c r="M76" s="12"/>
      <c r="N76" s="13"/>
      <c r="O76" s="12"/>
      <c r="P76" s="13"/>
      <c r="Q76" s="13"/>
      <c r="R76" s="5"/>
    </row>
    <row r="77" spans="1:18">
      <c r="A77" s="8">
        <f t="shared" si="2"/>
        <v>73</v>
      </c>
      <c r="B77" s="8"/>
      <c r="C77" s="8"/>
      <c r="D77" s="8"/>
      <c r="E77" s="5"/>
      <c r="F77" s="5"/>
      <c r="G77" s="5"/>
      <c r="H77" s="5"/>
      <c r="I77" s="5"/>
      <c r="J77" s="8"/>
      <c r="K77" s="12"/>
      <c r="L77" s="13"/>
      <c r="M77" s="12"/>
      <c r="N77" s="13"/>
      <c r="O77" s="12"/>
      <c r="P77" s="13"/>
      <c r="Q77" s="13"/>
      <c r="R77" s="5"/>
    </row>
    <row r="78" spans="1:18">
      <c r="A78" s="8">
        <f t="shared" si="1"/>
        <v>74</v>
      </c>
      <c r="B78" s="8"/>
      <c r="C78" s="8"/>
      <c r="D78" s="8"/>
      <c r="E78" s="5"/>
      <c r="F78" s="5"/>
      <c r="G78" s="5"/>
      <c r="H78" s="5"/>
      <c r="I78" s="5"/>
      <c r="J78" s="8"/>
      <c r="K78" s="12"/>
      <c r="L78" s="13"/>
      <c r="M78" s="12"/>
      <c r="N78" s="13"/>
      <c r="O78" s="12"/>
      <c r="P78" s="13"/>
      <c r="Q78" s="13"/>
      <c r="R78" s="5"/>
    </row>
    <row r="79" spans="1:18">
      <c r="A79" s="8">
        <f t="shared" si="1"/>
        <v>75</v>
      </c>
      <c r="B79" s="8"/>
      <c r="C79" s="8"/>
      <c r="D79" s="8"/>
      <c r="E79" s="5"/>
      <c r="F79" s="5"/>
      <c r="G79" s="5"/>
      <c r="H79" s="5"/>
      <c r="I79" s="5"/>
      <c r="J79" s="8"/>
      <c r="K79" s="12"/>
      <c r="L79" s="13"/>
      <c r="M79" s="12"/>
      <c r="N79" s="13"/>
      <c r="O79" s="12"/>
      <c r="P79" s="13"/>
      <c r="Q79" s="13"/>
      <c r="R79" s="5"/>
    </row>
    <row r="80" spans="1:18">
      <c r="A80" s="8">
        <f t="shared" si="1"/>
        <v>76</v>
      </c>
      <c r="B80" s="8"/>
      <c r="C80" s="8"/>
      <c r="D80" s="8"/>
      <c r="E80" s="5"/>
      <c r="F80" s="5"/>
      <c r="G80" s="5"/>
      <c r="H80" s="5"/>
      <c r="I80" s="5"/>
      <c r="J80" s="8"/>
      <c r="K80" s="12"/>
      <c r="L80" s="13"/>
      <c r="M80" s="12"/>
      <c r="N80" s="13"/>
      <c r="O80" s="12"/>
      <c r="P80" s="13"/>
      <c r="Q80" s="13"/>
      <c r="R80" s="5"/>
    </row>
    <row r="81" spans="1:18">
      <c r="A81" s="8">
        <f t="shared" si="2"/>
        <v>77</v>
      </c>
      <c r="B81" s="8"/>
      <c r="C81" s="8"/>
      <c r="D81" s="8"/>
      <c r="E81" s="5"/>
      <c r="F81" s="5"/>
      <c r="G81" s="5"/>
      <c r="H81" s="22"/>
      <c r="I81" s="5"/>
      <c r="J81" s="8"/>
      <c r="K81" s="12"/>
      <c r="L81" s="13"/>
      <c r="M81" s="12"/>
      <c r="N81" s="13"/>
      <c r="O81" s="12"/>
      <c r="P81" s="13"/>
      <c r="Q81" s="13"/>
      <c r="R81" s="5"/>
    </row>
    <row r="82" spans="1:18">
      <c r="A82" s="4">
        <f t="shared" si="2"/>
        <v>78</v>
      </c>
      <c r="B82" s="4"/>
      <c r="C82" s="4"/>
      <c r="D82" s="4"/>
      <c r="E82" s="2"/>
      <c r="F82" s="2"/>
      <c r="G82" s="2"/>
      <c r="H82" s="2"/>
      <c r="I82" s="2"/>
      <c r="J82" s="4"/>
      <c r="K82" s="23"/>
      <c r="L82" s="14"/>
      <c r="M82" s="23"/>
      <c r="N82" s="14"/>
      <c r="O82" s="15"/>
      <c r="P82" s="14"/>
      <c r="Q82" s="14"/>
      <c r="R82" s="2"/>
    </row>
    <row r="83" spans="1:18">
      <c r="A83" s="8">
        <f>ROW()-4</f>
        <v>79</v>
      </c>
      <c r="B83" s="8"/>
      <c r="C83" s="8"/>
      <c r="D83" s="8"/>
      <c r="E83" s="5"/>
      <c r="F83" s="5"/>
      <c r="G83" s="5"/>
      <c r="H83" s="5"/>
      <c r="I83" s="5"/>
      <c r="J83" s="8"/>
      <c r="K83" s="12"/>
      <c r="L83" s="13"/>
      <c r="M83" s="12"/>
      <c r="N83" s="13"/>
      <c r="O83" s="12"/>
      <c r="P83" s="12"/>
      <c r="Q83" s="13"/>
      <c r="R83" s="5"/>
    </row>
  </sheetData>
  <autoFilter ref="A4:R83" xr:uid="{00000000-0001-0000-0000-000000000000}"/>
  <customSheetViews>
    <customSheetView guid="{03B18C13-CDDF-4C30-8142-D64377C73B01}" scale="90" showPageBreaks="1" fitToPage="1" printArea="1" showAutoFilter="1" view="pageBreakPreview" topLeftCell="A17">
      <selection activeCell="E20" sqref="E20"/>
      <rowBreaks count="1" manualBreakCount="1">
        <brk id="12" max="13" man="1"/>
      </rowBreaks>
      <pageMargins left="0" right="0" top="0" bottom="0" header="0" footer="0"/>
      <pageSetup paperSize="9" scale="55" fitToHeight="0" orientation="landscape" r:id="rId1"/>
      <autoFilter ref="A3:N104" xr:uid="{1C477A74-6096-466A-ABFA-38A817E47D3A}"/>
    </customSheetView>
    <customSheetView guid="{08BD7F9F-5EE5-49B4-A57E-3AA05BABFEAD}" scale="70" showPageBreaks="1" fitToPage="1" showAutoFilter="1" view="pageBreakPreview">
      <pane ySplit="3" topLeftCell="A4" activePane="bottomLeft" state="frozenSplit"/>
      <selection pane="bottomLeft" activeCell="J6" sqref="J6"/>
      <pageMargins left="0" right="0" top="0" bottom="0" header="0" footer="0"/>
      <pageSetup paperSize="9" scale="55" fitToHeight="0" orientation="landscape" r:id="rId2"/>
      <autoFilter ref="A3:N104" xr:uid="{99407827-F12E-405F-93E7-676912E2E13B}"/>
    </customSheetView>
    <customSheetView guid="{E74948B7-4D66-4273-BE80-E7B6632322D5}" scale="90" showPageBreaks="1" fitToPage="1" showAutoFilter="1" view="pageBreakPreview">
      <pane ySplit="3" topLeftCell="A4" activePane="bottomLeft" state="frozenSplit"/>
      <selection pane="bottomLeft"/>
      <rowBreaks count="2" manualBreakCount="2">
        <brk id="14" max="16383" man="1"/>
        <brk id="67" max="13" man="1"/>
      </rowBreaks>
      <pageMargins left="0" right="0" top="0" bottom="0" header="0" footer="0"/>
      <pageSetup paperSize="9" scale="56" fitToHeight="0" orientation="landscape" r:id="rId3"/>
      <autoFilter ref="A3:N104" xr:uid="{233AC592-4F28-4E6F-8AF1-42AB2BD9983A}"/>
    </customSheetView>
    <customSheetView guid="{E7CC7833-BCD6-48D4-94F1-CBEF85BBB720}" scale="70" showPageBreaks="1" fitToPage="1" showAutoFilter="1" view="pageBreakPreview">
      <pane ySplit="3" topLeftCell="A4" activePane="bottomLeft" state="frozenSplit"/>
      <selection pane="bottomLeft"/>
      <pageMargins left="0" right="0" top="0" bottom="0" header="0" footer="0"/>
      <pageSetup paperSize="9" scale="58" fitToHeight="0" orientation="landscape" r:id="rId4"/>
      <autoFilter ref="B1:O1" xr:uid="{98F6B55F-CE41-40F4-BA22-43A8168CCE46}"/>
    </customSheetView>
    <customSheetView guid="{1E74C8C6-F17D-416B-8574-04851C6530CA}" scale="70" showPageBreaks="1" fitToPage="1" showAutoFilter="1" view="pageBreakPreview">
      <pane ySplit="3" topLeftCell="A13" activePane="bottomLeft" state="frozenSplit"/>
      <selection pane="bottomLeft" activeCell="A16" sqref="A16"/>
      <pageMargins left="0" right="0" top="0" bottom="0" header="0" footer="0"/>
      <pageSetup paperSize="9" scale="55" fitToHeight="0" orientation="landscape" r:id="rId5"/>
      <autoFilter ref="A3:N104" xr:uid="{5323D975-A677-470E-9F2D-A92C9C6BDB07}"/>
    </customSheetView>
  </customSheetViews>
  <phoneticPr fontId="7"/>
  <conditionalFormatting sqref="A5:R10 A11:I15 J11:P49 Q11:R50 A16:A62 A64:D74 O67:O74 G70:H74 A72:F74 I74:N74 P74:R74 A75:R77 B78:R78 A78:D80 J78:O80">
    <cfRule type="expression" dxfId="57" priority="3893">
      <formula>$J5="完了"</formula>
    </cfRule>
  </conditionalFormatting>
  <conditionalFormatting sqref="A81:R83">
    <cfRule type="expression" dxfId="56" priority="28">
      <formula>$J81="完了"</formula>
    </cfRule>
  </conditionalFormatting>
  <conditionalFormatting sqref="B16:D28">
    <cfRule type="expression" dxfId="55" priority="4">
      <formula>$J16="完了"</formula>
    </cfRule>
  </conditionalFormatting>
  <conditionalFormatting sqref="B32:D62">
    <cfRule type="expression" dxfId="54" priority="1">
      <formula>$J32="完了"</formula>
    </cfRule>
  </conditionalFormatting>
  <conditionalFormatting sqref="B79:G80">
    <cfRule type="expression" dxfId="53" priority="3000">
      <formula>$J79="完了"</formula>
    </cfRule>
  </conditionalFormatting>
  <conditionalFormatting sqref="B29:I31">
    <cfRule type="expression" dxfId="52" priority="2">
      <formula>$J29="完了"</formula>
    </cfRule>
  </conditionalFormatting>
  <conditionalFormatting sqref="C54:D62">
    <cfRule type="expression" dxfId="51" priority="118">
      <formula>$J54="完了"</formula>
    </cfRule>
  </conditionalFormatting>
  <conditionalFormatting sqref="C64:D66">
    <cfRule type="expression" dxfId="50" priority="94">
      <formula>$J64="完了"</formula>
    </cfRule>
  </conditionalFormatting>
  <conditionalFormatting sqref="E23">
    <cfRule type="expression" dxfId="49" priority="12">
      <formula>$J23="完了"</formula>
    </cfRule>
  </conditionalFormatting>
  <conditionalFormatting sqref="E34:E37">
    <cfRule type="expression" dxfId="48" priority="171">
      <formula>$J34="完了"</formula>
    </cfRule>
  </conditionalFormatting>
  <conditionalFormatting sqref="E39">
    <cfRule type="expression" dxfId="47" priority="7951">
      <formula>$J39="完了"</formula>
    </cfRule>
  </conditionalFormatting>
  <conditionalFormatting sqref="E41:E43">
    <cfRule type="expression" dxfId="46" priority="1130">
      <formula>$J41="完了"</formula>
    </cfRule>
  </conditionalFormatting>
  <conditionalFormatting sqref="E45:E57">
    <cfRule type="expression" dxfId="45" priority="144">
      <formula>$J45="完了"</formula>
    </cfRule>
  </conditionalFormatting>
  <conditionalFormatting sqref="E64:E67">
    <cfRule type="expression" dxfId="44" priority="100">
      <formula>$J64="完了"</formula>
    </cfRule>
  </conditionalFormatting>
  <conditionalFormatting sqref="E71:E72">
    <cfRule type="expression" dxfId="43" priority="3267">
      <formula>$J71="完了"</formula>
    </cfRule>
  </conditionalFormatting>
  <conditionalFormatting sqref="E22:F22">
    <cfRule type="expression" dxfId="42" priority="19">
      <formula>$J22="完了"</formula>
    </cfRule>
  </conditionalFormatting>
  <conditionalFormatting sqref="E24:F28">
    <cfRule type="expression" dxfId="41" priority="3">
      <formula>$J24="完了"</formula>
    </cfRule>
  </conditionalFormatting>
  <conditionalFormatting sqref="E32:F33">
    <cfRule type="expression" dxfId="40" priority="14">
      <formula>$J32="完了"</formula>
    </cfRule>
  </conditionalFormatting>
  <conditionalFormatting sqref="E61:F62">
    <cfRule type="expression" dxfId="39" priority="121">
      <formula>$J61="完了"</formula>
    </cfRule>
  </conditionalFormatting>
  <conditionalFormatting sqref="E16:I21">
    <cfRule type="expression" dxfId="38" priority="23">
      <formula>$J16="完了"</formula>
    </cfRule>
  </conditionalFormatting>
  <conditionalFormatting sqref="E44:I44">
    <cfRule type="expression" dxfId="37" priority="128">
      <formula>$J44="完了"</formula>
    </cfRule>
  </conditionalFormatting>
  <conditionalFormatting sqref="E68:I68">
    <cfRule type="expression" dxfId="36" priority="2850">
      <formula>$J68="完了"</formula>
    </cfRule>
  </conditionalFormatting>
  <conditionalFormatting sqref="E50:P50">
    <cfRule type="expression" dxfId="35" priority="135">
      <formula>$J50="完了"</formula>
    </cfRule>
  </conditionalFormatting>
  <conditionalFormatting sqref="F26:F27">
    <cfRule type="expression" dxfId="34" priority="7">
      <formula>$J26="完了"</formula>
    </cfRule>
  </conditionalFormatting>
  <conditionalFormatting sqref="F32:F37">
    <cfRule type="expression" dxfId="33" priority="16">
      <formula>$J32="完了"</formula>
    </cfRule>
  </conditionalFormatting>
  <conditionalFormatting sqref="F45:F54">
    <cfRule type="expression" dxfId="32" priority="138">
      <formula>$J45="完了"</formula>
    </cfRule>
  </conditionalFormatting>
  <conditionalFormatting sqref="F56">
    <cfRule type="expression" dxfId="31" priority="4469">
      <formula>$J56="完了"</formula>
    </cfRule>
  </conditionalFormatting>
  <conditionalFormatting sqref="F59:F61">
    <cfRule type="expression" dxfId="30" priority="6670">
      <formula>$J59="完了"</formula>
    </cfRule>
  </conditionalFormatting>
  <conditionalFormatting sqref="F22:I24">
    <cfRule type="expression" dxfId="29" priority="13">
      <formula>$J22="完了"</formula>
    </cfRule>
  </conditionalFormatting>
  <conditionalFormatting sqref="F67:I67">
    <cfRule type="expression" dxfId="28" priority="107">
      <formula>$J67="完了"</formula>
    </cfRule>
  </conditionalFormatting>
  <conditionalFormatting sqref="F64:R66">
    <cfRule type="expression" dxfId="27" priority="87">
      <formula>$J64="完了"</formula>
    </cfRule>
  </conditionalFormatting>
  <conditionalFormatting sqref="G47:G60">
    <cfRule type="expression" dxfId="26" priority="751">
      <formula>$J47="完了"</formula>
    </cfRule>
  </conditionalFormatting>
  <conditionalFormatting sqref="G25:H28">
    <cfRule type="expression" dxfId="25" priority="164">
      <formula>$J25="完了"</formula>
    </cfRule>
  </conditionalFormatting>
  <conditionalFormatting sqref="G32:I43">
    <cfRule type="expression" dxfId="24" priority="127">
      <formula>$J32="完了"</formula>
    </cfRule>
  </conditionalFormatting>
  <conditionalFormatting sqref="G45:I46">
    <cfRule type="expression" dxfId="23" priority="139">
      <formula>$J45="完了"</formula>
    </cfRule>
  </conditionalFormatting>
  <conditionalFormatting sqref="G62:I62">
    <cfRule type="expression" dxfId="22" priority="115">
      <formula>$J62="完了"</formula>
    </cfRule>
  </conditionalFormatting>
  <conditionalFormatting sqref="G69:J69">
    <cfRule type="expression" dxfId="21" priority="81">
      <formula>$J69="完了"</formula>
    </cfRule>
  </conditionalFormatting>
  <conditionalFormatting sqref="H79:H81">
    <cfRule type="expression" dxfId="20" priority="49">
      <formula>$J79="完了"</formula>
    </cfRule>
  </conditionalFormatting>
  <conditionalFormatting sqref="H47:I49">
    <cfRule type="expression" dxfId="19" priority="801">
      <formula>$J47="完了"</formula>
    </cfRule>
  </conditionalFormatting>
  <conditionalFormatting sqref="H51:L57 E58:J60">
    <cfRule type="expression" dxfId="18" priority="132">
      <formula>$J51="完了"</formula>
    </cfRule>
  </conditionalFormatting>
  <conditionalFormatting sqref="H73:R73">
    <cfRule type="expression" dxfId="17" priority="74">
      <formula>$J73="完了"</formula>
    </cfRule>
  </conditionalFormatting>
  <conditionalFormatting sqref="I21:I28 E38:F38 F39:F43 F46:G47 E51:G52 E53:F54 F55:G55 F57:I57 G61:J61 A63:I63 E69:F71">
    <cfRule type="expression" dxfId="16" priority="7949">
      <formula>$J21="完了"</formula>
    </cfRule>
  </conditionalFormatting>
  <conditionalFormatting sqref="I70:J72">
    <cfRule type="expression" dxfId="15" priority="429">
      <formula>$J70="完了"</formula>
    </cfRule>
  </conditionalFormatting>
  <conditionalFormatting sqref="I80:M80 O80:R80">
    <cfRule type="expression" dxfId="14" priority="3031">
      <formula>$J80="完了"</formula>
    </cfRule>
  </conditionalFormatting>
  <conditionalFormatting sqref="I79:R79">
    <cfRule type="expression" dxfId="13" priority="50">
      <formula>$J79="完了"</formula>
    </cfRule>
  </conditionalFormatting>
  <conditionalFormatting sqref="J62:J63 J67:J68">
    <cfRule type="expression" dxfId="12" priority="424">
      <formula>$J62="完了"</formula>
    </cfRule>
  </conditionalFormatting>
  <conditionalFormatting sqref="J81:M81">
    <cfRule type="expression" dxfId="11" priority="43">
      <formula>$J81="完了"</formula>
    </cfRule>
  </conditionalFormatting>
  <conditionalFormatting sqref="K80:K82">
    <cfRule type="expression" dxfId="10" priority="42">
      <formula>$J80="完了"</formula>
    </cfRule>
  </conditionalFormatting>
  <conditionalFormatting sqref="K58:L63">
    <cfRule type="expression" dxfId="9" priority="114">
      <formula>$J58="完了"</formula>
    </cfRule>
  </conditionalFormatting>
  <conditionalFormatting sqref="K67:N72">
    <cfRule type="expression" dxfId="8" priority="78">
      <formula>$J67="完了"</formula>
    </cfRule>
  </conditionalFormatting>
  <conditionalFormatting sqref="M80:M82">
    <cfRule type="expression" dxfId="7" priority="39">
      <formula>$J80="完了"</formula>
    </cfRule>
  </conditionalFormatting>
  <conditionalFormatting sqref="M51:P55">
    <cfRule type="expression" dxfId="6" priority="125">
      <formula>$J51="完了"</formula>
    </cfRule>
  </conditionalFormatting>
  <conditionalFormatting sqref="M56:R63">
    <cfRule type="expression" dxfId="5" priority="90">
      <formula>$J56="完了"</formula>
    </cfRule>
  </conditionalFormatting>
  <conditionalFormatting sqref="N56">
    <cfRule type="expression" dxfId="4" priority="89">
      <formula>$J56="完了"</formula>
    </cfRule>
  </conditionalFormatting>
  <conditionalFormatting sqref="O81">
    <cfRule type="expression" dxfId="3" priority="36">
      <formula>$J81="完了"</formula>
    </cfRule>
  </conditionalFormatting>
  <conditionalFormatting sqref="P67:R72">
    <cfRule type="expression" dxfId="2" priority="76">
      <formula>$J67="完了"</formula>
    </cfRule>
  </conditionalFormatting>
  <conditionalFormatting sqref="Q51:Q57">
    <cfRule type="expression" dxfId="1" priority="124">
      <formula>$J51="完了"</formula>
    </cfRule>
  </conditionalFormatting>
  <conditionalFormatting sqref="R51:R55">
    <cfRule type="expression" dxfId="0" priority="3652">
      <formula>$J51="完了"</formula>
    </cfRule>
  </conditionalFormatting>
  <dataValidations count="6">
    <dataValidation type="list" allowBlank="1" showInputMessage="1" showErrorMessage="1" sqref="B83" xr:uid="{76EC71B3-ADE7-4BFC-A7E3-1B70499B8D41}">
      <formula1>"ToDo,課題,QA"</formula1>
    </dataValidation>
    <dataValidation type="list" allowBlank="1" showInputMessage="1" showErrorMessage="1" sqref="J83" xr:uid="{540B5B60-FECF-48F8-9CA6-D6C4FE18D85F}">
      <formula1>"未着手,対応中,完了"</formula1>
    </dataValidation>
    <dataValidation type="list" allowBlank="1" showInputMessage="1" showErrorMessage="1" sqref="J5:J82" xr:uid="{00000000-0002-0000-0000-000000000000}">
      <formula1>"未着手,対応中,完了,保留"</formula1>
    </dataValidation>
    <dataValidation type="list" allowBlank="1" showInputMessage="1" showErrorMessage="1" sqref="C5:C83" xr:uid="{00000000-0002-0000-0000-000001000000}">
      <formula1>"高,低"</formula1>
    </dataValidation>
    <dataValidation type="list" allowBlank="1" showInputMessage="1" showErrorMessage="1" sqref="B5:B82" xr:uid="{00000000-0002-0000-0000-000002000000}">
      <formula1>"ToDo,課題,QA,リスク,インシデント"</formula1>
    </dataValidation>
    <dataValidation type="list" allowBlank="1" showInputMessage="1" showErrorMessage="1" sqref="D5:D83" xr:uid="{1555ECE2-0823-4545-9D26-818937ECB4DC}">
      <formula1>"高,中,低"</formula1>
    </dataValidation>
  </dataValidations>
  <pageMargins left="0.27559055118110237" right="0.15748031496062992" top="0.59055118110236227" bottom="0.35433070866141736" header="0.31496062992125984" footer="0.31496062992125984"/>
  <pageSetup paperSize="8" scale="52" fitToHeight="0" orientation="landscape" r:id="rId6"/>
  <headerFooter>
    <oddFooter>&amp;P / &amp;N ページ</oddFooter>
  </headerFooter>
  <rowBreaks count="3" manualBreakCount="3">
    <brk id="12" max="17" man="1"/>
    <brk id="21" max="17" man="1"/>
    <brk id="55" max="17" man="1"/>
  </rowBreaks>
  <drawing r:id="rId7"/>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3B59-3A8F-4B6B-95CD-9EE9DDD90998}">
  <dimension ref="B2:K16"/>
  <sheetViews>
    <sheetView showGridLines="0" zoomScale="90" zoomScaleNormal="90" workbookViewId="0">
      <selection activeCell="C11" sqref="C11"/>
    </sheetView>
  </sheetViews>
  <sheetFormatPr defaultRowHeight="13"/>
  <cols>
    <col min="2" max="2" width="16.81640625" bestFit="1" customWidth="1"/>
    <col min="3" max="3" width="13.54296875" bestFit="1" customWidth="1"/>
    <col min="4" max="4" width="14.453125" bestFit="1" customWidth="1"/>
    <col min="5" max="5" width="29.1796875" bestFit="1" customWidth="1"/>
    <col min="6" max="7" width="13.54296875" bestFit="1" customWidth="1"/>
    <col min="8" max="8" width="19.54296875" bestFit="1" customWidth="1"/>
    <col min="9" max="10" width="13.54296875" bestFit="1" customWidth="1"/>
    <col min="11" max="11" width="13.26953125" bestFit="1" customWidth="1"/>
  </cols>
  <sheetData>
    <row r="2" spans="2:11">
      <c r="B2" t="s">
        <v>152</v>
      </c>
    </row>
    <row r="4" spans="2:11">
      <c r="C4" t="s">
        <v>153</v>
      </c>
    </row>
    <row r="5" spans="2:11">
      <c r="C5" t="s">
        <v>154</v>
      </c>
    </row>
    <row r="6" spans="2:11">
      <c r="C6" t="s">
        <v>155</v>
      </c>
    </row>
    <row r="7" spans="2:11">
      <c r="C7" t="s">
        <v>156</v>
      </c>
    </row>
    <row r="10" spans="2:11">
      <c r="B10" t="s">
        <v>157</v>
      </c>
    </row>
    <row r="11" spans="2:11" ht="13.5" thickBot="1">
      <c r="B11" s="28"/>
      <c r="C11" s="28" t="s">
        <v>158</v>
      </c>
      <c r="D11" s="28" t="s">
        <v>159</v>
      </c>
      <c r="E11" s="28" t="s">
        <v>160</v>
      </c>
      <c r="F11" s="28" t="s">
        <v>161</v>
      </c>
      <c r="G11" s="28" t="s">
        <v>162</v>
      </c>
      <c r="H11" s="28" t="s">
        <v>163</v>
      </c>
      <c r="I11" s="28" t="s">
        <v>164</v>
      </c>
      <c r="J11" s="28" t="s">
        <v>165</v>
      </c>
      <c r="K11" s="28" t="s">
        <v>166</v>
      </c>
    </row>
    <row r="12" spans="2:11" ht="13.5" thickTop="1">
      <c r="B12" s="29" t="s">
        <v>167</v>
      </c>
      <c r="C12" s="29" t="s">
        <v>168</v>
      </c>
      <c r="D12" s="29" t="s">
        <v>168</v>
      </c>
      <c r="E12" s="29" t="s">
        <v>168</v>
      </c>
      <c r="F12" s="29" t="s">
        <v>168</v>
      </c>
      <c r="G12" s="29" t="s">
        <v>168</v>
      </c>
      <c r="H12" s="29" t="s">
        <v>169</v>
      </c>
      <c r="I12" s="29" t="s">
        <v>168</v>
      </c>
      <c r="J12" s="29" t="s">
        <v>168</v>
      </c>
      <c r="K12" s="29" t="s">
        <v>170</v>
      </c>
    </row>
    <row r="13" spans="2:11" ht="39">
      <c r="B13" s="26" t="s">
        <v>171</v>
      </c>
      <c r="C13" s="27" t="s">
        <v>172</v>
      </c>
      <c r="D13" s="27" t="s">
        <v>172</v>
      </c>
      <c r="E13" s="27" t="s">
        <v>172</v>
      </c>
      <c r="F13" s="27" t="s">
        <v>172</v>
      </c>
      <c r="G13" s="27" t="s">
        <v>173</v>
      </c>
      <c r="H13" s="27" t="s">
        <v>174</v>
      </c>
      <c r="I13" s="30" t="s">
        <v>175</v>
      </c>
      <c r="J13" s="27" t="s">
        <v>172</v>
      </c>
      <c r="K13" s="27" t="s">
        <v>174</v>
      </c>
    </row>
    <row r="14" spans="2:11" ht="26">
      <c r="B14" s="26" t="s">
        <v>176</v>
      </c>
      <c r="C14" s="26" t="s">
        <v>174</v>
      </c>
      <c r="D14" s="26" t="s">
        <v>177</v>
      </c>
      <c r="E14" s="26" t="s">
        <v>177</v>
      </c>
      <c r="F14" s="26" t="s">
        <v>177</v>
      </c>
      <c r="G14" s="27" t="s">
        <v>178</v>
      </c>
      <c r="H14" s="26" t="s">
        <v>179</v>
      </c>
      <c r="I14" s="26" t="s">
        <v>174</v>
      </c>
      <c r="J14" s="26" t="s">
        <v>174</v>
      </c>
      <c r="K14" s="26" t="s">
        <v>174</v>
      </c>
    </row>
    <row r="15" spans="2:11">
      <c r="C15" t="s">
        <v>180</v>
      </c>
    </row>
    <row r="16" spans="2:11">
      <c r="C16" t="s">
        <v>181</v>
      </c>
    </row>
  </sheetData>
  <phoneticPr fontId="2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6831-7348-4B0A-84A2-54D677511745}">
  <dimension ref="A1:G13"/>
  <sheetViews>
    <sheetView topLeftCell="A10" zoomScaleNormal="100" workbookViewId="0">
      <selection activeCell="E10" sqref="E10"/>
    </sheetView>
  </sheetViews>
  <sheetFormatPr defaultRowHeight="13"/>
  <cols>
    <col min="1" max="1" width="3.81640625" customWidth="1"/>
    <col min="2" max="2" width="7.7265625" customWidth="1"/>
    <col min="3" max="3" width="13.81640625" customWidth="1"/>
    <col min="4" max="4" width="69.26953125" customWidth="1"/>
    <col min="5" max="5" width="60.26953125" customWidth="1"/>
    <col min="6" max="6" width="43.54296875" customWidth="1"/>
  </cols>
  <sheetData>
    <row r="1" spans="1:7" ht="18">
      <c r="A1" s="31"/>
      <c r="B1" s="31"/>
      <c r="C1" s="31"/>
      <c r="D1" s="31"/>
      <c r="E1" s="31"/>
      <c r="F1" s="31"/>
      <c r="G1" s="31"/>
    </row>
    <row r="2" spans="1:7" ht="18">
      <c r="A2" s="31"/>
      <c r="B2" s="31" t="s">
        <v>182</v>
      </c>
      <c r="C2" s="31"/>
      <c r="D2" s="31"/>
      <c r="E2" s="31"/>
      <c r="F2" s="31"/>
      <c r="G2" s="31"/>
    </row>
    <row r="3" spans="1:7" ht="18">
      <c r="A3" s="31"/>
      <c r="B3" s="31"/>
      <c r="C3" s="31"/>
      <c r="D3" s="31"/>
      <c r="E3" s="31"/>
      <c r="F3" s="31"/>
      <c r="G3" s="31"/>
    </row>
    <row r="4" spans="1:7" ht="18">
      <c r="A4" s="31"/>
      <c r="B4" s="32" t="s">
        <v>183</v>
      </c>
      <c r="C4" s="33" t="s">
        <v>184</v>
      </c>
      <c r="D4" s="33" t="s">
        <v>185</v>
      </c>
      <c r="E4" s="33" t="s">
        <v>186</v>
      </c>
      <c r="F4" s="33" t="s">
        <v>187</v>
      </c>
      <c r="G4" s="33" t="s">
        <v>188</v>
      </c>
    </row>
    <row r="5" spans="1:7" ht="108">
      <c r="A5" s="31"/>
      <c r="B5" s="36" t="s">
        <v>189</v>
      </c>
      <c r="C5" s="45" t="s">
        <v>190</v>
      </c>
      <c r="D5" s="38" t="s">
        <v>191</v>
      </c>
      <c r="E5" s="38" t="s">
        <v>192</v>
      </c>
      <c r="F5" s="42" t="s">
        <v>193</v>
      </c>
      <c r="G5" s="34" t="s">
        <v>194</v>
      </c>
    </row>
    <row r="6" spans="1:7" ht="36">
      <c r="A6" s="31"/>
      <c r="B6" s="36" t="s">
        <v>195</v>
      </c>
      <c r="C6" s="46"/>
      <c r="D6" s="35" t="s">
        <v>196</v>
      </c>
      <c r="E6" s="34"/>
      <c r="F6" s="35" t="s">
        <v>197</v>
      </c>
      <c r="G6" s="34" t="s">
        <v>194</v>
      </c>
    </row>
    <row r="7" spans="1:7" ht="18">
      <c r="A7" s="31"/>
      <c r="B7" s="36" t="s">
        <v>198</v>
      </c>
      <c r="C7" s="47"/>
      <c r="D7" s="35" t="s">
        <v>199</v>
      </c>
      <c r="E7" s="34"/>
      <c r="F7" s="34" t="s">
        <v>200</v>
      </c>
      <c r="G7" s="34" t="s">
        <v>194</v>
      </c>
    </row>
    <row r="8" spans="1:7" ht="89.25" customHeight="1">
      <c r="A8" s="31"/>
      <c r="B8" s="36" t="s">
        <v>201</v>
      </c>
      <c r="C8" s="37" t="s">
        <v>202</v>
      </c>
      <c r="D8" s="35" t="s">
        <v>203</v>
      </c>
      <c r="E8" s="34" t="s">
        <v>204</v>
      </c>
      <c r="F8" s="35" t="s">
        <v>205</v>
      </c>
      <c r="G8" s="34" t="s">
        <v>194</v>
      </c>
    </row>
    <row r="9" spans="1:7" ht="54">
      <c r="A9" s="31"/>
      <c r="B9" s="36" t="s">
        <v>206</v>
      </c>
      <c r="C9" s="34" t="s">
        <v>207</v>
      </c>
      <c r="D9" s="35" t="s">
        <v>208</v>
      </c>
      <c r="E9" s="34" t="s">
        <v>209</v>
      </c>
      <c r="F9" s="35" t="s">
        <v>210</v>
      </c>
      <c r="G9" s="39">
        <v>45800</v>
      </c>
    </row>
    <row r="10" spans="1:7" ht="72">
      <c r="A10" s="31"/>
      <c r="B10" s="44" t="s">
        <v>211</v>
      </c>
      <c r="C10" s="40" t="s">
        <v>161</v>
      </c>
      <c r="D10" s="40" t="s">
        <v>212</v>
      </c>
      <c r="E10" s="40" t="s">
        <v>204</v>
      </c>
      <c r="F10" s="41" t="s">
        <v>213</v>
      </c>
      <c r="G10" s="40" t="s">
        <v>194</v>
      </c>
    </row>
    <row r="11" spans="1:7" ht="36">
      <c r="A11" s="31"/>
      <c r="B11" s="36" t="s">
        <v>214</v>
      </c>
      <c r="C11" s="48" t="s">
        <v>215</v>
      </c>
      <c r="D11" s="35" t="s">
        <v>216</v>
      </c>
      <c r="E11" s="43" t="s">
        <v>217</v>
      </c>
      <c r="F11" s="35" t="s">
        <v>218</v>
      </c>
      <c r="G11" s="34" t="s">
        <v>219</v>
      </c>
    </row>
    <row r="12" spans="1:7" ht="36">
      <c r="A12" s="31"/>
      <c r="B12" s="36" t="s">
        <v>220</v>
      </c>
      <c r="C12" s="49"/>
      <c r="D12" s="35" t="s">
        <v>221</v>
      </c>
      <c r="E12" s="43" t="s">
        <v>222</v>
      </c>
      <c r="F12" s="35" t="s">
        <v>223</v>
      </c>
      <c r="G12" s="34" t="s">
        <v>219</v>
      </c>
    </row>
    <row r="13" spans="1:7" ht="36">
      <c r="A13" s="31"/>
      <c r="B13" s="36" t="s">
        <v>224</v>
      </c>
      <c r="C13" s="34" t="s">
        <v>225</v>
      </c>
      <c r="D13" s="35" t="s">
        <v>226</v>
      </c>
      <c r="E13" s="34" t="s">
        <v>227</v>
      </c>
      <c r="F13" s="34"/>
      <c r="G13" s="34" t="s">
        <v>194</v>
      </c>
    </row>
  </sheetData>
  <mergeCells count="2">
    <mergeCell ref="C5:C7"/>
    <mergeCell ref="C11:C12"/>
  </mergeCells>
  <phoneticPr fontId="2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d13a9ec-4dcc-4bf0-b813-bb41ddf201ec" xsi:nil="true"/>
    <lcf76f155ced4ddcb4097134ff3c332f xmlns="8dbf7540-46e2-4291-999e-80d6200bae7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07a60865d5aa58f0636dceb2dd83281f">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aea82fe451e55694012912181e40c1a8"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C58CB7-66BD-4CA1-BE2F-D151A6A468C7}">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customXml/itemProps2.xml><?xml version="1.0" encoding="utf-8"?>
<ds:datastoreItem xmlns:ds="http://schemas.openxmlformats.org/officeDocument/2006/customXml" ds:itemID="{46D9AD7C-5B28-4FA7-9C82-E28FDACF71D1}">
  <ds:schemaRefs>
    <ds:schemaRef ds:uri="http://schemas.microsoft.com/sharepoint/v3/contenttype/forms"/>
  </ds:schemaRefs>
</ds:datastoreItem>
</file>

<file path=customXml/itemProps3.xml><?xml version="1.0" encoding="utf-8"?>
<ds:datastoreItem xmlns:ds="http://schemas.openxmlformats.org/officeDocument/2006/customXml" ds:itemID="{C027CEEB-31A7-494D-AE6D-224B756B26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bf7540-46e2-4291-999e-80d6200bae7a"/>
    <ds:schemaRef ds:uri="2d13a9ec-4dcc-4bf0-b813-bb41ddf201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課題・ToDo</vt:lpstr>
      <vt:lpstr>役割分担</vt:lpstr>
      <vt:lpstr>スパイク環境パラメータ確認</vt:lpstr>
      <vt:lpstr>課題・ToDo!Print_Area</vt:lpstr>
      <vt:lpstr>課題・ToDo!Print_Titles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日吉 晶子(HIYOSHI Akiko)</dc:creator>
  <cp:keywords/>
  <dc:description/>
  <cp:lastModifiedBy>CB-1 山本 大生</cp:lastModifiedBy>
  <cp:revision/>
  <dcterms:created xsi:type="dcterms:W3CDTF">2006-09-16T00:00:00Z</dcterms:created>
  <dcterms:modified xsi:type="dcterms:W3CDTF">2025-05-23T06:38:47Z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