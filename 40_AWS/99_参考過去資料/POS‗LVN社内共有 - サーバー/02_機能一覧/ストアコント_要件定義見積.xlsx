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/>
  <mc:AlternateContent xmlns:mc="http://schemas.openxmlformats.org/markup-compatibility/2006">
    <mc:Choice Requires="x15">
      <x15ac:absPath xmlns:x15ac="http://schemas.microsoft.com/office/spreadsheetml/2010/11/ac" url="D:\POS SYSTEM\20_plan\02_Estimate\POS Server\"/>
    </mc:Choice>
  </mc:AlternateContent>
  <xr:revisionPtr revIDLastSave="9" documentId="13_ncr:1_{1DF85316-B243-4CA7-A235-E554A01691CA}" xr6:coauthVersionLast="47" xr6:coauthVersionMax="47" xr10:uidLastSave="{27DC24FB-BA70-4ED6-97AA-E65F35C9078C}"/>
  <bookViews>
    <workbookView xWindow="-120" yWindow="-120" windowWidth="29040" windowHeight="15840" activeTab="3" xr2:uid="{00000000-000D-0000-FFFF-FFFF00000000}"/>
  </bookViews>
  <sheets>
    <sheet name="表紙" sheetId="4" r:id="rId1"/>
    <sheet name="改訂履歴" sheetId="3" r:id="rId2"/>
    <sheet name="まとめ" sheetId="18" r:id="rId3"/>
    <sheet name="マスタースケジュール" sheetId="19" r:id="rId4"/>
    <sheet name="機能一覧" sheetId="11" r:id="rId5"/>
    <sheet name="Master" sheetId="12" r:id="rId6"/>
    <sheet name="全体構成図" sheetId="1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" localSheetId="3" hidden="1">#REF!</definedName>
    <definedName name="_" hidden="1">#REF!</definedName>
    <definedName name="_1__123Graph_Bｸﾞﾗﾌ_11" hidden="1">[1]入力用ﾜｰｸＢ!$C$27:$AG$27</definedName>
    <definedName name="_10A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0A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1Ｂ２_" localSheetId="3" hidden="1">{"ＰＬ明細",#N/A,TRUE,"ＰＬ";"平残ＢＳ",#N/A,TRUE,"ＢＳ";"試験",#N/A,TRUE,"会員"}</definedName>
    <definedName name="_11Ｂ２_" hidden="1">{"ＰＬ明細",#N/A,TRUE,"ＰＬ";"平残ＢＳ",#N/A,TRUE,"ＢＳ";"試験",#N/A,TRUE,"会員"}</definedName>
    <definedName name="_12" hidden="1">#REF!</definedName>
    <definedName name="_12Ｄ１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2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3A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3A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3e1_" localSheetId="3" hidden="1">{"'Sheet2 (2)'!$AF$67","'Sheet2 (2)'!$A$1:$Z$82"}</definedName>
    <definedName name="_13e1_" hidden="1">{"'Sheet2 (2)'!$AF$67","'Sheet2 (2)'!$A$1:$Z$82"}</definedName>
    <definedName name="_14Ｂ２_" localSheetId="3" hidden="1">{"ＰＬ明細",#N/A,TRUE,"ＰＬ";"平残ＢＳ",#N/A,TRUE,"ＢＳ";"試験",#N/A,TRUE,"会員"}</definedName>
    <definedName name="_14Ｂ２_" hidden="1">{"ＰＬ明細",#N/A,TRUE,"ＰＬ";"平残ＢＳ",#N/A,TRUE,"ＢＳ";"試験",#N/A,TRUE,"会員"}</definedName>
    <definedName name="_14e2_" localSheetId="3" hidden="1">{"'Sheet2 (2)'!$AF$67","'Sheet2 (2)'!$A$1:$Z$82"}</definedName>
    <definedName name="_14e2_" hidden="1">{"'Sheet2 (2)'!$AF$67","'Sheet2 (2)'!$A$1:$Z$82"}</definedName>
    <definedName name="_15Ｄ１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5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15e3_" localSheetId="3" hidden="1">{"'Sheet2 (2)'!$AF$67","'Sheet2 (2)'!$A$1:$Z$82"}</definedName>
    <definedName name="_15e3_" hidden="1">{"'Sheet2 (2)'!$AF$67","'Sheet2 (2)'!$A$1:$Z$82"}</definedName>
    <definedName name="_16e1_" localSheetId="3" hidden="1">{"'Sheet2 (2)'!$AF$67","'Sheet2 (2)'!$A$1:$Z$82"}</definedName>
    <definedName name="_16e1_" hidden="1">{"'Sheet2 (2)'!$AF$67","'Sheet2 (2)'!$A$1:$Z$82"}</definedName>
    <definedName name="_16e4_" localSheetId="3" hidden="1">{"'Sheet2 (2)'!$AF$67","'Sheet2 (2)'!$A$1:$Z$82"}</definedName>
    <definedName name="_16e4_" hidden="1">{"'Sheet2 (2)'!$AF$67","'Sheet2 (2)'!$A$1:$Z$82"}</definedName>
    <definedName name="_17e2_" localSheetId="3" hidden="1">{"'Sheet2 (2)'!$AF$67","'Sheet2 (2)'!$A$1:$Z$82"}</definedName>
    <definedName name="_17e2_" hidden="1">{"'Sheet2 (2)'!$AF$67","'Sheet2 (2)'!$A$1:$Z$82"}</definedName>
    <definedName name="_17e5_" localSheetId="3" hidden="1">{"'Sheet2 (2)'!$AF$67","'Sheet2 (2)'!$A$1:$Z$82"}</definedName>
    <definedName name="_17e5_" hidden="1">{"'Sheet2 (2)'!$AF$67","'Sheet2 (2)'!$A$1:$Z$82"}</definedName>
    <definedName name="_18e3_" localSheetId="3" hidden="1">{"'Sheet2 (2)'!$AF$67","'Sheet2 (2)'!$A$1:$Z$82"}</definedName>
    <definedName name="_18e3_" hidden="1">{"'Sheet2 (2)'!$AF$67","'Sheet2 (2)'!$A$1:$Z$82"}</definedName>
    <definedName name="_18e6_" localSheetId="3" hidden="1">{"'Sheet2 (2)'!$AF$67","'Sheet2 (2)'!$A$1:$Z$82"}</definedName>
    <definedName name="_18e6_" hidden="1">{"'Sheet2 (2)'!$AF$67","'Sheet2 (2)'!$A$1:$Z$82"}</definedName>
    <definedName name="_19e4_" localSheetId="3" hidden="1">{"'Sheet2 (2)'!$AF$67","'Sheet2 (2)'!$A$1:$Z$82"}</definedName>
    <definedName name="_19e4_" hidden="1">{"'Sheet2 (2)'!$AF$67","'Sheet2 (2)'!$A$1:$Z$82"}</definedName>
    <definedName name="_19e7_" localSheetId="3" hidden="1">{"'Sheet2 (2)'!$AF$67","'Sheet2 (2)'!$A$1:$Z$82"}</definedName>
    <definedName name="_19e7_" hidden="1">{"'Sheet2 (2)'!$AF$67","'Sheet2 (2)'!$A$1:$Z$82"}</definedName>
    <definedName name="_2__123Graph_Bｸﾞﾗﾌ_12" hidden="1">[1]入力用ﾜｰｸＢ!$C$20:$AG$20</definedName>
    <definedName name="_20e5_" localSheetId="3" hidden="1">{"'Sheet2 (2)'!$AF$67","'Sheet2 (2)'!$A$1:$Z$82"}</definedName>
    <definedName name="_20e5_" hidden="1">{"'Sheet2 (2)'!$AF$67","'Sheet2 (2)'!$A$1:$Z$82"}</definedName>
    <definedName name="_20e8_" localSheetId="3" hidden="1">{"'Sheet2 (2)'!$AF$67","'Sheet2 (2)'!$A$1:$Z$82"}</definedName>
    <definedName name="_20e8_" hidden="1">{"'Sheet2 (2)'!$AF$67","'Sheet2 (2)'!$A$1:$Z$82"}</definedName>
    <definedName name="_21e6_" localSheetId="3" hidden="1">{"'Sheet2 (2)'!$AF$67","'Sheet2 (2)'!$A$1:$Z$82"}</definedName>
    <definedName name="_21e6_" hidden="1">{"'Sheet2 (2)'!$AF$67","'Sheet2 (2)'!$A$1:$Z$82"}</definedName>
    <definedName name="_21e9_" localSheetId="3" hidden="1">{"'Sheet2 (2)'!$AF$67","'Sheet2 (2)'!$A$1:$Z$82"}</definedName>
    <definedName name="_21e9_" hidden="1">{"'Sheet2 (2)'!$AF$67","'Sheet2 (2)'!$A$1:$Z$82"}</definedName>
    <definedName name="_22e7_" localSheetId="3" hidden="1">{"'Sheet2 (2)'!$AF$67","'Sheet2 (2)'!$A$1:$Z$82"}</definedName>
    <definedName name="_22e7_" hidden="1">{"'Sheet2 (2)'!$AF$67","'Sheet2 (2)'!$A$1:$Z$82"}</definedName>
    <definedName name="_22w1_" localSheetId="3" hidden="1">{"'Sheet2 (2)'!$AF$67","'Sheet2 (2)'!$A$1:$Z$82"}</definedName>
    <definedName name="_22w1_" hidden="1">{"'Sheet2 (2)'!$AF$67","'Sheet2 (2)'!$A$1:$Z$82"}</definedName>
    <definedName name="_23e8_" localSheetId="3" hidden="1">{"'Sheet2 (2)'!$AF$67","'Sheet2 (2)'!$A$1:$Z$82"}</definedName>
    <definedName name="_23e8_" hidden="1">{"'Sheet2 (2)'!$AF$67","'Sheet2 (2)'!$A$1:$Z$82"}</definedName>
    <definedName name="_23w2_" localSheetId="3" hidden="1">{"'Sheet2 (2)'!$AF$67","'Sheet2 (2)'!$A$1:$Z$82"}</definedName>
    <definedName name="_23w2_" hidden="1">{"'Sheet2 (2)'!$AF$67","'Sheet2 (2)'!$A$1:$Z$82"}</definedName>
    <definedName name="_24e9_" localSheetId="3" hidden="1">{"'Sheet2 (2)'!$AF$67","'Sheet2 (2)'!$A$1:$Z$82"}</definedName>
    <definedName name="_24e9_" hidden="1">{"'Sheet2 (2)'!$AF$67","'Sheet2 (2)'!$A$1:$Z$82"}</definedName>
    <definedName name="_24w3_" localSheetId="3" hidden="1">{"'Sheet2 (2)'!$AF$67","'Sheet2 (2)'!$A$1:$Z$82"}</definedName>
    <definedName name="_24w3_" hidden="1">{"'Sheet2 (2)'!$AF$67","'Sheet2 (2)'!$A$1:$Z$82"}</definedName>
    <definedName name="_25w4_" localSheetId="3" hidden="1">{"'Sheet2 (2)'!$AF$67","'Sheet2 (2)'!$A$1:$Z$82"}</definedName>
    <definedName name="_25w4_" hidden="1">{"'Sheet2 (2)'!$AF$67","'Sheet2 (2)'!$A$1:$Z$82"}</definedName>
    <definedName name="_26w1_" localSheetId="3" hidden="1">{"'Sheet2 (2)'!$AF$67","'Sheet2 (2)'!$A$1:$Z$82"}</definedName>
    <definedName name="_26w1_" hidden="1">{"'Sheet2 (2)'!$AF$67","'Sheet2 (2)'!$A$1:$Z$82"}</definedName>
    <definedName name="_26w5_" localSheetId="3" hidden="1">{"'Sheet2 (2)'!$AF$67","'Sheet2 (2)'!$A$1:$Z$82"}</definedName>
    <definedName name="_26w5_" hidden="1">{"'Sheet2 (2)'!$AF$67","'Sheet2 (2)'!$A$1:$Z$82"}</definedName>
    <definedName name="_27w2_" localSheetId="3" hidden="1">{"'Sheet2 (2)'!$AF$67","'Sheet2 (2)'!$A$1:$Z$82"}</definedName>
    <definedName name="_27w2_" hidden="1">{"'Sheet2 (2)'!$AF$67","'Sheet2 (2)'!$A$1:$Z$82"}</definedName>
    <definedName name="_27w6_" localSheetId="3" hidden="1">{"'Sheet2 (2)'!$AF$67","'Sheet2 (2)'!$A$1:$Z$82"}</definedName>
    <definedName name="_27w6_" hidden="1">{"'Sheet2 (2)'!$AF$67","'Sheet2 (2)'!$A$1:$Z$82"}</definedName>
    <definedName name="_28w3_" localSheetId="3" hidden="1">{"'Sheet2 (2)'!$AF$67","'Sheet2 (2)'!$A$1:$Z$82"}</definedName>
    <definedName name="_28w3_" hidden="1">{"'Sheet2 (2)'!$AF$67","'Sheet2 (2)'!$A$1:$Z$82"}</definedName>
    <definedName name="_28w7_" localSheetId="3" hidden="1">{"'Sheet2 (2)'!$AF$67","'Sheet2 (2)'!$A$1:$Z$82"}</definedName>
    <definedName name="_28w7_" hidden="1">{"'Sheet2 (2)'!$AF$67","'Sheet2 (2)'!$A$1:$Z$82"}</definedName>
    <definedName name="_29w4_" localSheetId="3" hidden="1">{"'Sheet2 (2)'!$AF$67","'Sheet2 (2)'!$A$1:$Z$82"}</definedName>
    <definedName name="_29w4_" hidden="1">{"'Sheet2 (2)'!$AF$67","'Sheet2 (2)'!$A$1:$Z$82"}</definedName>
    <definedName name="_29w8_" localSheetId="3" hidden="1">{"'Sheet2 (2)'!$AF$67","'Sheet2 (2)'!$A$1:$Z$82"}</definedName>
    <definedName name="_29w8_" hidden="1">{"'Sheet2 (2)'!$AF$67","'Sheet2 (2)'!$A$1:$Z$82"}</definedName>
    <definedName name="_3__123Graph_Cｸﾞﾗﾌ_11" hidden="1">[1]入力用ﾜｰｸＢ!$C$28:$AG$28</definedName>
    <definedName name="_30w5_" localSheetId="3" hidden="1">{"'Sheet2 (2)'!$AF$67","'Sheet2 (2)'!$A$1:$Z$82"}</definedName>
    <definedName name="_30w5_" hidden="1">{"'Sheet2 (2)'!$AF$67","'Sheet2 (2)'!$A$1:$Z$82"}</definedName>
    <definedName name="_30w9_" localSheetId="3" hidden="1">{"'Sheet2 (2)'!$AF$67","'Sheet2 (2)'!$A$1:$Z$82"}</definedName>
    <definedName name="_30w9_" hidden="1">{"'Sheet2 (2)'!$AF$67","'Sheet2 (2)'!$A$1:$Z$82"}</definedName>
    <definedName name="_31w6_" localSheetId="3" hidden="1">{"'Sheet2 (2)'!$AF$67","'Sheet2 (2)'!$A$1:$Z$82"}</definedName>
    <definedName name="_31w6_" hidden="1">{"'Sheet2 (2)'!$AF$67","'Sheet2 (2)'!$A$1:$Z$82"}</definedName>
    <definedName name="_31Z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1Z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2w7_" localSheetId="3" hidden="1">{"'Sheet2 (2)'!$AF$67","'Sheet2 (2)'!$A$1:$Z$82"}</definedName>
    <definedName name="_32w7_" hidden="1">{"'Sheet2 (2)'!$AF$67","'Sheet2 (2)'!$A$1:$Z$82"}</definedName>
    <definedName name="_32Z1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2Z1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3w8_" localSheetId="3" hidden="1">{"'Sheet2 (2)'!$AF$67","'Sheet2 (2)'!$A$1:$Z$82"}</definedName>
    <definedName name="_33w8_" hidden="1">{"'Sheet2 (2)'!$AF$67","'Sheet2 (2)'!$A$1:$Z$82"}</definedName>
    <definedName name="_33Z11_" localSheetId="3" hidden="1">{"ＰＬ明細",#N/A,TRUE,"ＰＬ";"平残ＢＳ",#N/A,TRUE,"ＢＳ";"試験",#N/A,TRUE,"会員"}</definedName>
    <definedName name="_33Z11_" hidden="1">{"ＰＬ明細",#N/A,TRUE,"ＰＬ";"平残ＢＳ",#N/A,TRUE,"ＢＳ";"試験",#N/A,TRUE,"会員"}</definedName>
    <definedName name="_34w9_" localSheetId="3" hidden="1">{"'Sheet2 (2)'!$AF$67","'Sheet2 (2)'!$A$1:$Z$82"}</definedName>
    <definedName name="_34w9_" hidden="1">{"'Sheet2 (2)'!$AF$67","'Sheet2 (2)'!$A$1:$Z$82"}</definedName>
    <definedName name="_34Z12_" localSheetId="3" hidden="1">{"比較１",#N/A,FALSE,"集計";"比較３",#N/A,FALSE,"集計";"比較２",#N/A,FALSE,"集計"}</definedName>
    <definedName name="_34Z12_" hidden="1">{"比較１",#N/A,FALSE,"集計";"比較３",#N/A,FALSE,"集計";"比較２",#N/A,FALSE,"集計"}</definedName>
    <definedName name="_35Z1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5Z1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5Z1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5Z1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6Z1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6Z1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6Z14_" localSheetId="3" hidden="1">{"比較１",#N/A,FALSE,"集計";"比較３",#N/A,FALSE,"集計";"比較２",#N/A,FALSE,"集計"}</definedName>
    <definedName name="_36Z14_" hidden="1">{"比較１",#N/A,FALSE,"集計";"比較３",#N/A,FALSE,"集計";"比較２",#N/A,FALSE,"集計"}</definedName>
    <definedName name="_37Z11_" localSheetId="3" hidden="1">{"ＰＬ明細",#N/A,TRUE,"ＰＬ";"平残ＢＳ",#N/A,TRUE,"ＢＳ";"試験",#N/A,TRUE,"会員"}</definedName>
    <definedName name="_37Z11_" hidden="1">{"ＰＬ明細",#N/A,TRUE,"ＰＬ";"平残ＢＳ",#N/A,TRUE,"ＢＳ";"試験",#N/A,TRUE,"会員"}</definedName>
    <definedName name="_37Z15_" localSheetId="3" hidden="1">{"明細１",#N/A,FALSE,"ＣＳ";"明細２",#N/A,FALSE,"ＣＳ";"明細３",#N/A,FALSE,"ＣＳ";"リボ",#N/A,FALSE,"リボ";"貸付明細",#N/A,FALSE,"貸付";"メイサイ",#N/A,FALSE,"他収益"}</definedName>
    <definedName name="_37Z15_" hidden="1">{"明細１",#N/A,FALSE,"ＣＳ";"明細２",#N/A,FALSE,"ＣＳ";"明細３",#N/A,FALSE,"ＣＳ";"リボ",#N/A,FALSE,"リボ";"貸付明細",#N/A,FALSE,"貸付";"メイサイ",#N/A,FALSE,"他収益"}</definedName>
    <definedName name="_38Z12_" localSheetId="3" hidden="1">{"比較１",#N/A,FALSE,"集計";"比較３",#N/A,FALSE,"集計";"比較２",#N/A,FALSE,"集計"}</definedName>
    <definedName name="_38Z12_" hidden="1">{"比較１",#N/A,FALSE,"集計";"比較３",#N/A,FALSE,"集計";"比較２",#N/A,FALSE,"集計"}</definedName>
    <definedName name="_38Z16_" localSheetId="3" hidden="1">{"ＰＬ明細",#N/A,TRUE,"ＰＬ";"平残ＢＳ",#N/A,TRUE,"ＢＳ";"試験",#N/A,TRUE,"会員"}</definedName>
    <definedName name="_38Z16_" hidden="1">{"ＰＬ明細",#N/A,TRUE,"ＰＬ";"平残ＢＳ",#N/A,TRUE,"ＢＳ";"試験",#N/A,TRUE,"会員"}</definedName>
    <definedName name="_39Z1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9Z1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39Z17_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39Z17_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4__123Graph_Cｸﾞﾗﾌ_12" hidden="1">[1]入力用ﾜｰｸＢ!$C$21:$AG$21</definedName>
    <definedName name="_40Z14_" localSheetId="3" hidden="1">{"比較１",#N/A,FALSE,"集計";"比較３",#N/A,FALSE,"集計";"比較２",#N/A,FALSE,"集計"}</definedName>
    <definedName name="_40Z14_" hidden="1">{"比較１",#N/A,FALSE,"集計";"比較３",#N/A,FALSE,"集計";"比較２",#N/A,FALSE,"集計"}</definedName>
    <definedName name="_40Z18_" localSheetId="3" hidden="1">{"比較１",#N/A,FALSE,"集計";"比較３",#N/A,FALSE,"集計";"比較２",#N/A,FALSE,"集計"}</definedName>
    <definedName name="_40Z18_" hidden="1">{"比較１",#N/A,FALSE,"集計";"比較３",#N/A,FALSE,"集計";"比較２",#N/A,FALSE,"集計"}</definedName>
    <definedName name="_41Z15_" localSheetId="3" hidden="1">{"明細１",#N/A,FALSE,"ＣＳ";"明細２",#N/A,FALSE,"ＣＳ";"明細３",#N/A,FALSE,"ＣＳ";"リボ",#N/A,FALSE,"リボ";"貸付明細",#N/A,FALSE,"貸付";"メイサイ",#N/A,FALSE,"他収益"}</definedName>
    <definedName name="_41Z15_" hidden="1">{"明細１",#N/A,FALSE,"ＣＳ";"明細２",#N/A,FALSE,"ＣＳ";"明細３",#N/A,FALSE,"ＣＳ";"リボ",#N/A,FALSE,"リボ";"貸付明細",#N/A,FALSE,"貸付";"メイサイ",#N/A,FALSE,"他収益"}</definedName>
    <definedName name="_41Z19_" localSheetId="3" hidden="1">{"表１",#N/A,FALSE,"集計";"表２",#N/A,FALSE,"集計";"表３",#N/A,FALSE,"集計"}</definedName>
    <definedName name="_41Z19_" hidden="1">{"表１",#N/A,FALSE,"集計";"表２",#N/A,FALSE,"集計";"表３",#N/A,FALSE,"集計"}</definedName>
    <definedName name="_42Z16_" localSheetId="3" hidden="1">{"ＰＬ明細",#N/A,TRUE,"ＰＬ";"平残ＢＳ",#N/A,TRUE,"ＢＳ";"試験",#N/A,TRUE,"会員"}</definedName>
    <definedName name="_42Z16_" hidden="1">{"ＰＬ明細",#N/A,TRUE,"ＰＬ";"平残ＢＳ",#N/A,TRUE,"ＢＳ";"試験",#N/A,TRUE,"会員"}</definedName>
    <definedName name="_42Z2_" localSheetId="3" hidden="1">{"ＰＬ明細",#N/A,TRUE,"ＰＬ";"平残ＢＳ",#N/A,TRUE,"ＢＳ";"試験",#N/A,TRUE,"会員"}</definedName>
    <definedName name="_42Z2_" hidden="1">{"ＰＬ明細",#N/A,TRUE,"ＰＬ";"平残ＢＳ",#N/A,TRUE,"ＢＳ";"試験",#N/A,TRUE,"会員"}</definedName>
    <definedName name="_43Z17_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43Z17_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43Z2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3Z2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4Z18_" localSheetId="3" hidden="1">{"比較１",#N/A,FALSE,"集計";"比較３",#N/A,FALSE,"集計";"比較２",#N/A,FALSE,"集計"}</definedName>
    <definedName name="_44Z18_" hidden="1">{"比較１",#N/A,FALSE,"集計";"比較３",#N/A,FALSE,"集計";"比較２",#N/A,FALSE,"集計"}</definedName>
    <definedName name="_44Z21_" localSheetId="3" hidden="1">{"明細",#N/A,TRUE,"費用１";"明細",#N/A,TRUE,"費用２";"明細",#N/A,TRUE,"費用３";"明細",#N/A,TRUE,"費用４";"明細",#N/A,TRUE,"減他"}</definedName>
    <definedName name="_44Z21_" hidden="1">{"明細",#N/A,TRUE,"費用１";"明細",#N/A,TRUE,"費用２";"明細",#N/A,TRUE,"費用３";"明細",#N/A,TRUE,"費用４";"明細",#N/A,TRUE,"減他"}</definedName>
    <definedName name="_45Z19_" localSheetId="3" hidden="1">{"表１",#N/A,FALSE,"集計";"表２",#N/A,FALSE,"集計";"表３",#N/A,FALSE,"集計"}</definedName>
    <definedName name="_45Z19_" hidden="1">{"表１",#N/A,FALSE,"集計";"表２",#N/A,FALSE,"集計";"表３",#N/A,FALSE,"集計"}</definedName>
    <definedName name="_45Z22_" localSheetId="3" hidden="1">{"比較１",#N/A,FALSE,"集計";"比較３",#N/A,FALSE,"集計";"比較２",#N/A,FALSE,"集計"}</definedName>
    <definedName name="_45Z22_" hidden="1">{"比較１",#N/A,FALSE,"集計";"比較３",#N/A,FALSE,"集計";"比較２",#N/A,FALSE,"集計"}</definedName>
    <definedName name="_46Z2_" localSheetId="3" hidden="1">{"ＰＬ明細",#N/A,TRUE,"ＰＬ";"平残ＢＳ",#N/A,TRUE,"ＢＳ";"試験",#N/A,TRUE,"会員"}</definedName>
    <definedName name="_46Z2_" hidden="1">{"ＰＬ明細",#N/A,TRUE,"ＰＬ";"平残ＢＳ",#N/A,TRUE,"ＢＳ";"試験",#N/A,TRUE,"会員"}</definedName>
    <definedName name="_46Z2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6Z2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7Z2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7Z2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47Z24_" localSheetId="3" hidden="1">{"比較１",#N/A,FALSE,"集計";"比較３",#N/A,FALSE,"集計";"比較２",#N/A,FALSE,"集計"}</definedName>
    <definedName name="_47Z24_" hidden="1">{"比較１",#N/A,FALSE,"集計";"比較３",#N/A,FALSE,"集計";"比較２",#N/A,FALSE,"集計"}</definedName>
    <definedName name="_48Z21_" localSheetId="3" hidden="1">{"明細",#N/A,TRUE,"費用１";"明細",#N/A,TRUE,"費用２";"明細",#N/A,TRUE,"費用３";"明細",#N/A,TRUE,"費用４";"明細",#N/A,TRUE,"減他"}</definedName>
    <definedName name="_48Z21_" hidden="1">{"明細",#N/A,TRUE,"費用１";"明細",#N/A,TRUE,"費用２";"明細",#N/A,TRUE,"費用３";"明細",#N/A,TRUE,"費用４";"明細",#N/A,TRUE,"減他"}</definedName>
    <definedName name="_48Z25_" localSheetId="3" hidden="1">{"比較１",#N/A,FALSE,"集計";"比較３",#N/A,FALSE,"集計";"比較２",#N/A,FALSE,"集計"}</definedName>
    <definedName name="_48Z25_" hidden="1">{"比較１",#N/A,FALSE,"集計";"比較３",#N/A,FALSE,"集計";"比較２",#N/A,FALSE,"集計"}</definedName>
    <definedName name="_49Z22_" localSheetId="3" hidden="1">{"比較１",#N/A,FALSE,"集計";"比較３",#N/A,FALSE,"集計";"比較２",#N/A,FALSE,"集計"}</definedName>
    <definedName name="_49Z22_" hidden="1">{"比較１",#N/A,FALSE,"集計";"比較３",#N/A,FALSE,"集計";"比較２",#N/A,FALSE,"集計"}</definedName>
    <definedName name="_49Z26_" localSheetId="3" hidden="1">{"比較１",#N/A,FALSE,"集計";"比較３",#N/A,FALSE,"集計";"比較２",#N/A,FALSE,"集計"}</definedName>
    <definedName name="_49Z26_" hidden="1">{"比較１",#N/A,FALSE,"集計";"比較３",#N/A,FALSE,"集計";"比較２",#N/A,FALSE,"集計"}</definedName>
    <definedName name="_5__123Graph_Dｸﾞﾗﾌ_11" hidden="1">[1]入力用ﾜｰｸＢ!$C$29:$AG$29</definedName>
    <definedName name="_50Z23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0Z23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0Z27_" localSheetId="3" hidden="1">{"明細",#N/A,TRUE,"費用１";"明細",#N/A,TRUE,"費用２";"明細",#N/A,TRUE,"費用３";"明細",#N/A,TRUE,"費用４";"明細",#N/A,TRUE,"減他"}</definedName>
    <definedName name="_50Z27_" hidden="1">{"明細",#N/A,TRUE,"費用１";"明細",#N/A,TRUE,"費用２";"明細",#N/A,TRUE,"費用３";"明細",#N/A,TRUE,"費用４";"明細",#N/A,TRUE,"減他"}</definedName>
    <definedName name="_51Z24_" localSheetId="3" hidden="1">{"比較１",#N/A,FALSE,"集計";"比較３",#N/A,FALSE,"集計";"比較２",#N/A,FALSE,"集計"}</definedName>
    <definedName name="_51Z24_" hidden="1">{"比較１",#N/A,FALSE,"集計";"比較３",#N/A,FALSE,"集計";"比較２",#N/A,FALSE,"集計"}</definedName>
    <definedName name="_51Z2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1Z2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2Z25_" localSheetId="3" hidden="1">{"比較１",#N/A,FALSE,"集計";"比較３",#N/A,FALSE,"集計";"比較２",#N/A,FALSE,"集計"}</definedName>
    <definedName name="_52Z25_" hidden="1">{"比較１",#N/A,FALSE,"集計";"比較３",#N/A,FALSE,"集計";"比較２",#N/A,FALSE,"集計"}</definedName>
    <definedName name="_52Z29_" localSheetId="3" hidden="1">{"ＰＬ明細",#N/A,TRUE,"ＰＬ";"平残ＢＳ",#N/A,TRUE,"ＢＳ";"試験",#N/A,TRUE,"会員"}</definedName>
    <definedName name="_52Z29_" hidden="1">{"ＰＬ明細",#N/A,TRUE,"ＰＬ";"平残ＢＳ",#N/A,TRUE,"ＢＳ";"試験",#N/A,TRUE,"会員"}</definedName>
    <definedName name="_53Z26_" localSheetId="3" hidden="1">{"比較１",#N/A,FALSE,"集計";"比較３",#N/A,FALSE,"集計";"比較２",#N/A,FALSE,"集計"}</definedName>
    <definedName name="_53Z26_" hidden="1">{"比較１",#N/A,FALSE,"集計";"比較３",#N/A,FALSE,"集計";"比較２",#N/A,FALSE,"集計"}</definedName>
    <definedName name="_53Z3_" localSheetId="3" hidden="1">{"ＰＬ明細",#N/A,TRUE,"ＰＬ";"平残ＢＳ",#N/A,TRUE,"ＢＳ";"試験",#N/A,TRUE,"会員"}</definedName>
    <definedName name="_53Z3_" hidden="1">{"ＰＬ明細",#N/A,TRUE,"ＰＬ";"平残ＢＳ",#N/A,TRUE,"ＢＳ";"試験",#N/A,TRUE,"会員"}</definedName>
    <definedName name="_54Z27_" localSheetId="3" hidden="1">{"明細",#N/A,TRUE,"費用１";"明細",#N/A,TRUE,"費用２";"明細",#N/A,TRUE,"費用３";"明細",#N/A,TRUE,"費用４";"明細",#N/A,TRUE,"減他"}</definedName>
    <definedName name="_54Z27_" hidden="1">{"明細",#N/A,TRUE,"費用１";"明細",#N/A,TRUE,"費用２";"明細",#N/A,TRUE,"費用３";"明細",#N/A,TRUE,"費用４";"明細",#N/A,TRUE,"減他"}</definedName>
    <definedName name="_54Z3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4Z3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5Z2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5Z2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5Z31_" localSheetId="3" hidden="1">{"ＰＬ明細",#N/A,TRUE,"ＰＬ";"平残ＢＳ",#N/A,TRUE,"ＢＳ";"試験",#N/A,TRUE,"会員"}</definedName>
    <definedName name="_55Z31_" hidden="1">{"ＰＬ明細",#N/A,TRUE,"ＰＬ";"平残ＢＳ",#N/A,TRUE,"ＢＳ";"試験",#N/A,TRUE,"会員"}</definedName>
    <definedName name="_56Z29_" localSheetId="3" hidden="1">{"ＰＬ明細",#N/A,TRUE,"ＰＬ";"平残ＢＳ",#N/A,TRUE,"ＢＳ";"試験",#N/A,TRUE,"会員"}</definedName>
    <definedName name="_56Z29_" hidden="1">{"ＰＬ明細",#N/A,TRUE,"ＰＬ";"平残ＢＳ",#N/A,TRUE,"ＢＳ";"試験",#N/A,TRUE,"会員"}</definedName>
    <definedName name="_56Z32_" localSheetId="3" hidden="1">{"比較１",#N/A,FALSE,"集計";"比較３",#N/A,FALSE,"集計";"比較２",#N/A,FALSE,"集計"}</definedName>
    <definedName name="_56Z32_" hidden="1">{"比較１",#N/A,FALSE,"集計";"比較３",#N/A,FALSE,"集計";"比較２",#N/A,FALSE,"集計"}</definedName>
    <definedName name="_57Z3_" localSheetId="3" hidden="1">{"ＰＬ明細",#N/A,TRUE,"ＰＬ";"平残ＢＳ",#N/A,TRUE,"ＢＳ";"試験",#N/A,TRUE,"会員"}</definedName>
    <definedName name="_57Z3_" hidden="1">{"ＰＬ明細",#N/A,TRUE,"ＰＬ";"平残ＢＳ",#N/A,TRUE,"ＢＳ";"試験",#N/A,TRUE,"会員"}</definedName>
    <definedName name="_57Z4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7Z4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8Z30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8Z30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8Z5_" localSheetId="3" hidden="1">{"比較１",#N/A,FALSE,"集計";"比較３",#N/A,FALSE,"集計";"比較２",#N/A,FALSE,"集計"}</definedName>
    <definedName name="_58Z5_" hidden="1">{"比較１",#N/A,FALSE,"集計";"比較３",#N/A,FALSE,"集計";"比較２",#N/A,FALSE,"集計"}</definedName>
    <definedName name="_59Z31_" localSheetId="3" hidden="1">{"ＰＬ明細",#N/A,TRUE,"ＰＬ";"平残ＢＳ",#N/A,TRUE,"ＢＳ";"試験",#N/A,TRUE,"会員"}</definedName>
    <definedName name="_59Z31_" hidden="1">{"ＰＬ明細",#N/A,TRUE,"ＰＬ";"平残ＢＳ",#N/A,TRUE,"ＢＳ";"試験",#N/A,TRUE,"会員"}</definedName>
    <definedName name="_59Z6_" localSheetId="3" hidden="1">{"比較１",#N/A,FALSE,"集計";"比較３",#N/A,FALSE,"集計";"比較２",#N/A,FALSE,"集計"}</definedName>
    <definedName name="_59Z6_" hidden="1">{"比較１",#N/A,FALSE,"集計";"比較３",#N/A,FALSE,"集計";"比較２",#N/A,FALSE,"集計"}</definedName>
    <definedName name="_6__123Graph_Dｸﾞﾗﾌ_12" hidden="1">[1]入力用ﾜｰｸＢ!$C$22:$AG$22</definedName>
    <definedName name="_60Z32_" localSheetId="3" hidden="1">{"比較１",#N/A,FALSE,"集計";"比較３",#N/A,FALSE,"集計";"比較２",#N/A,FALSE,"集計"}</definedName>
    <definedName name="_60Z32_" hidden="1">{"比較１",#N/A,FALSE,"集計";"比較３",#N/A,FALSE,"集計";"比較２",#N/A,FALSE,"集計"}</definedName>
    <definedName name="_60Z7_" localSheetId="3" hidden="1">{"表１",#N/A,FALSE,"集計";"表２",#N/A,FALSE,"集計";"表３",#N/A,FALSE,"集計"}</definedName>
    <definedName name="_60Z7_" hidden="1">{"表１",#N/A,FALSE,"集計";"表２",#N/A,FALSE,"集計";"表３",#N/A,FALSE,"集計"}</definedName>
    <definedName name="_61Z4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1Z4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1Z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1Z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2Z5_" localSheetId="3" hidden="1">{"比較１",#N/A,FALSE,"集計";"比較３",#N/A,FALSE,"集計";"比較２",#N/A,FALSE,"集計"}</definedName>
    <definedName name="_62Z5_" hidden="1">{"比較１",#N/A,FALSE,"集計";"比較３",#N/A,FALSE,"集計";"比較２",#N/A,FALSE,"集計"}</definedName>
    <definedName name="_62Z9_" localSheetId="3" hidden="1">{"明細",#N/A,TRUE,"費用１";"明細",#N/A,TRUE,"費用２";"明細",#N/A,TRUE,"費用３";"明細",#N/A,TRUE,"費用４";"明細",#N/A,TRUE,"減他"}</definedName>
    <definedName name="_62Z9_" hidden="1">{"明細",#N/A,TRUE,"費用１";"明細",#N/A,TRUE,"費用２";"明細",#N/A,TRUE,"費用３";"明細",#N/A,TRUE,"費用４";"明細",#N/A,TRUE,"減他"}</definedName>
    <definedName name="_63Z6_" localSheetId="3" hidden="1">{"比較１",#N/A,FALSE,"集計";"比較３",#N/A,FALSE,"集計";"比較２",#N/A,FALSE,"集計"}</definedName>
    <definedName name="_63Z6_" hidden="1">{"比較１",#N/A,FALSE,"集計";"比較３",#N/A,FALSE,"集計";"比較２",#N/A,FALSE,"集計"}</definedName>
    <definedName name="_64Z7_" localSheetId="3" hidden="1">{"表１",#N/A,FALSE,"集計";"表２",#N/A,FALSE,"集計";"表３",#N/A,FALSE,"集計"}</definedName>
    <definedName name="_64Z7_" hidden="1">{"表１",#N/A,FALSE,"集計";"表２",#N/A,FALSE,"集計";"表３",#N/A,FALSE,"集計"}</definedName>
    <definedName name="_65Z8_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5Z8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66Z9_" localSheetId="3" hidden="1">{"明細",#N/A,TRUE,"費用１";"明細",#N/A,TRUE,"費用２";"明細",#N/A,TRUE,"費用３";"明細",#N/A,TRUE,"費用４";"明細",#N/A,TRUE,"減他"}</definedName>
    <definedName name="_66Z9_" hidden="1">{"明細",#N/A,TRUE,"費用１";"明細",#N/A,TRUE,"費用２";"明細",#N/A,TRUE,"費用３";"明細",#N/A,TRUE,"費用４";"明細",#N/A,TRUE,"減他"}</definedName>
    <definedName name="_7__123Graph_Eｸﾞﾗﾌ_11" hidden="1">[1]入力用ﾜｰｸＢ!$C$30:$AG$30</definedName>
    <definedName name="_8__123Graph_Eｸﾞﾗﾌ_12" hidden="1">[1]入力用ﾜｰｸＢ!$C$23:$AG$23</definedName>
    <definedName name="_9__123Graph_Xｸﾞﾗﾌ_12" hidden="1">[1]入力用ﾜｰｸＢ!$C$19:$AG$19</definedName>
    <definedName name="_A1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A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Ｂ２" localSheetId="3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Ｄ１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3" hidden="1">{"'Sheet2 (2)'!$AF$67","'Sheet2 (2)'!$A$1:$Z$82"}</definedName>
    <definedName name="_e1" hidden="1">{"'Sheet2 (2)'!$AF$67","'Sheet2 (2)'!$A$1:$Z$82"}</definedName>
    <definedName name="_e2" localSheetId="3" hidden="1">{"'Sheet2 (2)'!$AF$67","'Sheet2 (2)'!$A$1:$Z$82"}</definedName>
    <definedName name="_e2" hidden="1">{"'Sheet2 (2)'!$AF$67","'Sheet2 (2)'!$A$1:$Z$82"}</definedName>
    <definedName name="_e3" localSheetId="3" hidden="1">{"'Sheet2 (2)'!$AF$67","'Sheet2 (2)'!$A$1:$Z$82"}</definedName>
    <definedName name="_e3" hidden="1">{"'Sheet2 (2)'!$AF$67","'Sheet2 (2)'!$A$1:$Z$82"}</definedName>
    <definedName name="_e4" localSheetId="3" hidden="1">{"'Sheet2 (2)'!$AF$67","'Sheet2 (2)'!$A$1:$Z$82"}</definedName>
    <definedName name="_e4" hidden="1">{"'Sheet2 (2)'!$AF$67","'Sheet2 (2)'!$A$1:$Z$82"}</definedName>
    <definedName name="_e5" localSheetId="3" hidden="1">{"'Sheet2 (2)'!$AF$67","'Sheet2 (2)'!$A$1:$Z$82"}</definedName>
    <definedName name="_e5" hidden="1">{"'Sheet2 (2)'!$AF$67","'Sheet2 (2)'!$A$1:$Z$82"}</definedName>
    <definedName name="_e6" localSheetId="3" hidden="1">{"'Sheet2 (2)'!$AF$67","'Sheet2 (2)'!$A$1:$Z$82"}</definedName>
    <definedName name="_e6" hidden="1">{"'Sheet2 (2)'!$AF$67","'Sheet2 (2)'!$A$1:$Z$82"}</definedName>
    <definedName name="_e7" localSheetId="3" hidden="1">{"'Sheet2 (2)'!$AF$67","'Sheet2 (2)'!$A$1:$Z$82"}</definedName>
    <definedName name="_e7" hidden="1">{"'Sheet2 (2)'!$AF$67","'Sheet2 (2)'!$A$1:$Z$82"}</definedName>
    <definedName name="_e8" localSheetId="3" hidden="1">{"'Sheet2 (2)'!$AF$67","'Sheet2 (2)'!$A$1:$Z$82"}</definedName>
    <definedName name="_e8" hidden="1">{"'Sheet2 (2)'!$AF$67","'Sheet2 (2)'!$A$1:$Z$82"}</definedName>
    <definedName name="_e9" localSheetId="3" hidden="1">{"'Sheet2 (2)'!$AF$67","'Sheet2 (2)'!$A$1:$Z$82"}</definedName>
    <definedName name="_e9" hidden="1">{"'Sheet2 (2)'!$AF$67","'Sheet2 (2)'!$A$1:$Z$82"}</definedName>
    <definedName name="_Fill" hidden="1">#REF!</definedName>
    <definedName name="_FILL1" hidden="1">#REF!</definedName>
    <definedName name="_xlnm._FilterDatabase" localSheetId="3" hidden="1">マスタースケジュール!$A$24:$P$71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1</definedName>
    <definedName name="_Order2" hidden="1">1</definedName>
    <definedName name="_reg" localSheetId="3" hidden="1">#REF!</definedName>
    <definedName name="_reg" hidden="1">#REF!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_w1" localSheetId="3" hidden="1">{"'Sheet2 (2)'!$AF$67","'Sheet2 (2)'!$A$1:$Z$82"}</definedName>
    <definedName name="_w1" hidden="1">{"'Sheet2 (2)'!$AF$67","'Sheet2 (2)'!$A$1:$Z$82"}</definedName>
    <definedName name="_w2" localSheetId="3" hidden="1">{"'Sheet2 (2)'!$AF$67","'Sheet2 (2)'!$A$1:$Z$82"}</definedName>
    <definedName name="_w2" hidden="1">{"'Sheet2 (2)'!$AF$67","'Sheet2 (2)'!$A$1:$Z$82"}</definedName>
    <definedName name="_w3" localSheetId="3" hidden="1">{"'Sheet2 (2)'!$AF$67","'Sheet2 (2)'!$A$1:$Z$82"}</definedName>
    <definedName name="_w3" hidden="1">{"'Sheet2 (2)'!$AF$67","'Sheet2 (2)'!$A$1:$Z$82"}</definedName>
    <definedName name="_w4" localSheetId="3" hidden="1">{"'Sheet2 (2)'!$AF$67","'Sheet2 (2)'!$A$1:$Z$82"}</definedName>
    <definedName name="_w4" hidden="1">{"'Sheet2 (2)'!$AF$67","'Sheet2 (2)'!$A$1:$Z$82"}</definedName>
    <definedName name="_w5" localSheetId="3" hidden="1">{"'Sheet2 (2)'!$AF$67","'Sheet2 (2)'!$A$1:$Z$82"}</definedName>
    <definedName name="_w5" hidden="1">{"'Sheet2 (2)'!$AF$67","'Sheet2 (2)'!$A$1:$Z$82"}</definedName>
    <definedName name="_w6" localSheetId="3" hidden="1">{"'Sheet2 (2)'!$AF$67","'Sheet2 (2)'!$A$1:$Z$82"}</definedName>
    <definedName name="_w6" hidden="1">{"'Sheet2 (2)'!$AF$67","'Sheet2 (2)'!$A$1:$Z$82"}</definedName>
    <definedName name="_w7" localSheetId="3" hidden="1">{"'Sheet2 (2)'!$AF$67","'Sheet2 (2)'!$A$1:$Z$82"}</definedName>
    <definedName name="_w7" hidden="1">{"'Sheet2 (2)'!$AF$67","'Sheet2 (2)'!$A$1:$Z$82"}</definedName>
    <definedName name="_w8" localSheetId="3" hidden="1">{"'Sheet2 (2)'!$AF$67","'Sheet2 (2)'!$A$1:$Z$82"}</definedName>
    <definedName name="_w8" hidden="1">{"'Sheet2 (2)'!$AF$67","'Sheet2 (2)'!$A$1:$Z$82"}</definedName>
    <definedName name="_w9" localSheetId="3" hidden="1">{"'Sheet2 (2)'!$AF$67","'Sheet2 (2)'!$A$1:$Z$82"}</definedName>
    <definedName name="_w9" hidden="1">{"'Sheet2 (2)'!$AF$67","'Sheet2 (2)'!$A$1:$Z$82"}</definedName>
    <definedName name="_Z1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0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1" localSheetId="3" hidden="1">{"ＰＬ明細",#N/A,TRUE,"ＰＬ";"平残ＢＳ",#N/A,TRUE,"ＢＳ";"試験",#N/A,TRUE,"会員"}</definedName>
    <definedName name="_Z11" hidden="1">{"ＰＬ明細",#N/A,TRUE,"ＰＬ";"平残ＢＳ",#N/A,TRUE,"ＢＳ";"試験",#N/A,TRUE,"会員"}</definedName>
    <definedName name="_Z12" localSheetId="3" hidden="1">{"比較１",#N/A,FALSE,"集計";"比較３",#N/A,FALSE,"集計";"比較２",#N/A,FALSE,"集計"}</definedName>
    <definedName name="_Z12" hidden="1">{"比較１",#N/A,FALSE,"集計";"比較３",#N/A,FALSE,"集計";"比較２",#N/A,FALSE,"集計"}</definedName>
    <definedName name="_Z13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14" localSheetId="3" hidden="1">{"比較１",#N/A,FALSE,"集計";"比較３",#N/A,FALSE,"集計";"比較２",#N/A,FALSE,"集計"}</definedName>
    <definedName name="_Z14" hidden="1">{"比較１",#N/A,FALSE,"集計";"比較３",#N/A,FALSE,"集計";"比較２",#N/A,FALSE,"集計"}</definedName>
    <definedName name="_Z15" localSheetId="3" hidden="1">{"明細１",#N/A,FALSE,"ＣＳ";"明細２",#N/A,FALSE,"ＣＳ";"明細３",#N/A,FALSE,"ＣＳ";"リボ",#N/A,FALSE,"リボ";"貸付明細",#N/A,FALSE,"貸付";"メイサイ",#N/A,FALSE,"他収益"}</definedName>
    <definedName name="_Z15" hidden="1">{"明細１",#N/A,FALSE,"ＣＳ";"明細２",#N/A,FALSE,"ＣＳ";"明細３",#N/A,FALSE,"ＣＳ";"リボ",#N/A,FALSE,"リボ";"貸付明細",#N/A,FALSE,"貸付";"メイサイ",#N/A,FALSE,"他収益"}</definedName>
    <definedName name="_Z16" localSheetId="3" hidden="1">{"ＰＬ明細",#N/A,TRUE,"ＰＬ";"平残ＢＳ",#N/A,TRUE,"ＢＳ";"試験",#N/A,TRUE,"会員"}</definedName>
    <definedName name="_Z16" hidden="1">{"ＰＬ明細",#N/A,TRUE,"ＰＬ";"平残ＢＳ",#N/A,TRUE,"ＢＳ";"試験",#N/A,TRUE,"会員"}</definedName>
    <definedName name="_Z17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Z17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_Z18" localSheetId="3" hidden="1">{"比較１",#N/A,FALSE,"集計";"比較３",#N/A,FALSE,"集計";"比較２",#N/A,FALSE,"集計"}</definedName>
    <definedName name="_Z18" hidden="1">{"比較１",#N/A,FALSE,"集計";"比較３",#N/A,FALSE,"集計";"比較２",#N/A,FALSE,"集計"}</definedName>
    <definedName name="_Z19" localSheetId="3" hidden="1">{"表１",#N/A,FALSE,"集計";"表２",#N/A,FALSE,"集計";"表３",#N/A,FALSE,"集計"}</definedName>
    <definedName name="_Z19" hidden="1">{"表１",#N/A,FALSE,"集計";"表２",#N/A,FALSE,"集計";"表３",#N/A,FALSE,"集計"}</definedName>
    <definedName name="_Z2" localSheetId="3" hidden="1">{"ＰＬ明細",#N/A,TRUE,"ＰＬ";"平残ＢＳ",#N/A,TRUE,"ＢＳ";"試験",#N/A,TRUE,"会員"}</definedName>
    <definedName name="_Z2" hidden="1">{"ＰＬ明細",#N/A,TRUE,"ＰＬ";"平残ＢＳ",#N/A,TRUE,"ＢＳ";"試験",#N/A,TRUE,"会員"}</definedName>
    <definedName name="_Z20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1" localSheetId="3" hidden="1">{"明細",#N/A,TRUE,"費用１";"明細",#N/A,TRUE,"費用２";"明細",#N/A,TRUE,"費用３";"明細",#N/A,TRUE,"費用４";"明細",#N/A,TRUE,"減他"}</definedName>
    <definedName name="_Z21" hidden="1">{"明細",#N/A,TRUE,"費用１";"明細",#N/A,TRUE,"費用２";"明細",#N/A,TRUE,"費用３";"明細",#N/A,TRUE,"費用４";"明細",#N/A,TRUE,"減他"}</definedName>
    <definedName name="_Z22" localSheetId="3" hidden="1">{"比較１",#N/A,FALSE,"集計";"比較３",#N/A,FALSE,"集計";"比較２",#N/A,FALSE,"集計"}</definedName>
    <definedName name="_Z22" hidden="1">{"比較１",#N/A,FALSE,"集計";"比較３",#N/A,FALSE,"集計";"比較２",#N/A,FALSE,"集計"}</definedName>
    <definedName name="_Z23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4" localSheetId="3" hidden="1">{"比較１",#N/A,FALSE,"集計";"比較３",#N/A,FALSE,"集計";"比較２",#N/A,FALSE,"集計"}</definedName>
    <definedName name="_Z24" hidden="1">{"比較１",#N/A,FALSE,"集計";"比較３",#N/A,FALSE,"集計";"比較２",#N/A,FALSE,"集計"}</definedName>
    <definedName name="_Z25" localSheetId="3" hidden="1">{"比較１",#N/A,FALSE,"集計";"比較３",#N/A,FALSE,"集計";"比較２",#N/A,FALSE,"集計"}</definedName>
    <definedName name="_Z25" hidden="1">{"比較１",#N/A,FALSE,"集計";"比較３",#N/A,FALSE,"集計";"比較２",#N/A,FALSE,"集計"}</definedName>
    <definedName name="_Z26" localSheetId="3" hidden="1">{"比較１",#N/A,FALSE,"集計";"比較３",#N/A,FALSE,"集計";"比較２",#N/A,FALSE,"集計"}</definedName>
    <definedName name="_Z26" hidden="1">{"比較１",#N/A,FALSE,"集計";"比較３",#N/A,FALSE,"集計";"比較２",#N/A,FALSE,"集計"}</definedName>
    <definedName name="_Z27" localSheetId="3" hidden="1">{"明細",#N/A,TRUE,"費用１";"明細",#N/A,TRUE,"費用２";"明細",#N/A,TRUE,"費用３";"明細",#N/A,TRUE,"費用４";"明細",#N/A,TRUE,"減他"}</definedName>
    <definedName name="_Z27" hidden="1">{"明細",#N/A,TRUE,"費用１";"明細",#N/A,TRUE,"費用２";"明細",#N/A,TRUE,"費用３";"明細",#N/A,TRUE,"費用４";"明細",#N/A,TRUE,"減他"}</definedName>
    <definedName name="_Z28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29" localSheetId="3" hidden="1">{"ＰＬ明細",#N/A,TRUE,"ＰＬ";"平残ＢＳ",#N/A,TRUE,"ＢＳ";"試験",#N/A,TRUE,"会員"}</definedName>
    <definedName name="_Z29" hidden="1">{"ＰＬ明細",#N/A,TRUE,"ＰＬ";"平残ＢＳ",#N/A,TRUE,"ＢＳ";"試験",#N/A,TRUE,"会員"}</definedName>
    <definedName name="_Z3" localSheetId="3" hidden="1">{"ＰＬ明細",#N/A,TRUE,"ＰＬ";"平残ＢＳ",#N/A,TRUE,"ＢＳ";"試験",#N/A,TRUE,"会員"}</definedName>
    <definedName name="_Z3" hidden="1">{"ＰＬ明細",#N/A,TRUE,"ＰＬ";"平残ＢＳ",#N/A,TRUE,"ＢＳ";"試験",#N/A,TRUE,"会員"}</definedName>
    <definedName name="_Z30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3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31" localSheetId="3" hidden="1">{"ＰＬ明細",#N/A,TRUE,"ＰＬ";"平残ＢＳ",#N/A,TRUE,"ＢＳ";"試験",#N/A,TRUE,"会員"}</definedName>
    <definedName name="_Z31" hidden="1">{"ＰＬ明細",#N/A,TRUE,"ＰＬ";"平残ＢＳ",#N/A,TRUE,"ＢＳ";"試験",#N/A,TRUE,"会員"}</definedName>
    <definedName name="_Z32" localSheetId="3" hidden="1">{"比較１",#N/A,FALSE,"集計";"比較３",#N/A,FALSE,"集計";"比較２",#N/A,FALSE,"集計"}</definedName>
    <definedName name="_Z32" hidden="1">{"比較１",#N/A,FALSE,"集計";"比較３",#N/A,FALSE,"集計";"比較２",#N/A,FALSE,"集計"}</definedName>
    <definedName name="_Z4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4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5" localSheetId="3" hidden="1">{"比較１",#N/A,FALSE,"集計";"比較３",#N/A,FALSE,"集計";"比較２",#N/A,FALSE,"集計"}</definedName>
    <definedName name="_Z5" hidden="1">{"比較１",#N/A,FALSE,"集計";"比較３",#N/A,FALSE,"集計";"比較２",#N/A,FALSE,"集計"}</definedName>
    <definedName name="_Z6" localSheetId="3" hidden="1">{"比較１",#N/A,FALSE,"集計";"比較３",#N/A,FALSE,"集計";"比較２",#N/A,FALSE,"集計"}</definedName>
    <definedName name="_Z6" hidden="1">{"比較１",#N/A,FALSE,"集計";"比較３",#N/A,FALSE,"集計";"比較２",#N/A,FALSE,"集計"}</definedName>
    <definedName name="_Z7" localSheetId="3" hidden="1">{"表１",#N/A,FALSE,"集計";"表２",#N/A,FALSE,"集計";"表３",#N/A,FALSE,"集計"}</definedName>
    <definedName name="_Z7" hidden="1">{"表１",#N/A,FALSE,"集計";"表２",#N/A,FALSE,"集計";"表３",#N/A,FALSE,"集計"}</definedName>
    <definedName name="_Z8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8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Z9" localSheetId="3" hidden="1">{"明細",#N/A,TRUE,"費用１";"明細",#N/A,TRUE,"費用２";"明細",#N/A,TRUE,"費用３";"明細",#N/A,TRUE,"費用４";"明細",#N/A,TRUE,"減他"}</definedName>
    <definedName name="_Z9" hidden="1">{"明細",#N/A,TRUE,"費用１";"明細",#N/A,TRUE,"費用２";"明細",#N/A,TRUE,"費用３";"明細",#N/A,TRUE,"費用４";"明細",#N/A,TRUE,"減他"}</definedName>
    <definedName name="_関連" hidden="1">#REF!</definedName>
    <definedName name="_生産性_設定値">[2]生産性基準!$I$20:$R$29</definedName>
    <definedName name="a">[3]部品!$B$2:$B$27</definedName>
    <definedName name="aa" localSheetId="3">SUM(#REF!)</definedName>
    <definedName name="aa">SUM(#REF!)</definedName>
    <definedName name="aaaaaa" localSheetId="3" hidden="1">{"'Sheet2 (2)'!$AF$67","'Sheet2 (2)'!$A$1:$Z$82"}</definedName>
    <definedName name="aaaaaa" hidden="1">{"'Sheet2 (2)'!$AF$67","'Sheet2 (2)'!$A$1:$Z$82"}</definedName>
    <definedName name="Android_集計" localSheetId="3">#REF!</definedName>
    <definedName name="Android_集計">#REF!</definedName>
    <definedName name="b">[3]部品!$B$2:$B$27</definedName>
    <definedName name="Ｂー２" localSheetId="3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bbbb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bbbb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dddd" localSheetId="3" hidden="1">{"'Sheet2 (2)'!$AF$67","'Sheet2 (2)'!$A$1:$Z$82"}</definedName>
    <definedName name="dddd" hidden="1">{"'Sheet2 (2)'!$AF$67","'Sheet2 (2)'!$A$1:$Z$82"}</definedName>
    <definedName name="ｇｇ" localSheetId="3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ｇｇｇ" localSheetId="3" hidden="1">{"表１",#N/A,FALSE,"集計";"表２",#N/A,FALSE,"集計";"表３",#N/A,FALSE,"集計"}</definedName>
    <definedName name="ｇｇｇ" hidden="1">{"表１",#N/A,FALSE,"集計";"表２",#N/A,FALSE,"集計";"表３",#N/A,FALSE,"集計"}</definedName>
    <definedName name="ｇｇｇｇ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" localSheetId="3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3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3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hh" localSheetId="3" hidden="1">{"比較１",#N/A,FALSE,"集計";"比較３",#N/A,FALSE,"集計";"比較２",#N/A,FALSE,"集計"}</definedName>
    <definedName name="hh" hidden="1">{"比較１",#N/A,FALSE,"集計";"比較３",#N/A,FALSE,"集計";"比較２",#N/A,FALSE,"集計"}</definedName>
    <definedName name="HTML_CodePage" hidden="1">932</definedName>
    <definedName name="HTML_Control" localSheetId="3" hidden="1">{"'Sheet2 (2)'!$AF$67","'Sheet2 (2)'!$A$1:$Z$82"}</definedName>
    <definedName name="HTML_Control" hidden="1">{"'Sheet2 (2)'!$AF$67","'Sheet2 (2)'!$A$1:$Z$82"}</definedName>
    <definedName name="HTML_Controlss" localSheetId="3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""</definedName>
    <definedName name="HTML_LastUpdate" hidden="1">"99/06/10"</definedName>
    <definedName name="HTML_LineAfter" hidden="1">FALSE</definedName>
    <definedName name="HTML_LineBefore" hidden="1">FALSE</definedName>
    <definedName name="HTML_Name" hidden="1">"金融システム第３部"</definedName>
    <definedName name="HTML_OBDlg2" hidden="1">TRUE</definedName>
    <definedName name="HTML_OBDlg4" hidden="1">TRUE</definedName>
    <definedName name="HTML_OS" hidden="1">0</definedName>
    <definedName name="HTML_PathFile" hidden="1">"I:\bunsan\ｶｰﾄﾞ発行ｾﾝﾀｰ機械化\画面遷移図.htm"</definedName>
    <definedName name="HTML_Title" hidden="1">"画面遷移"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iii" localSheetId="3" hidden="1">{"ＰＬ明細",#N/A,TRUE,"ＰＬ";"平残ＢＳ",#N/A,TRUE,"ＢＳ";"試験",#N/A,TRUE,"会員"}</definedName>
    <definedName name="iii" hidden="1">{"ＰＬ明細",#N/A,TRUE,"ＰＬ";"平残ＢＳ",#N/A,TRUE,"ＢＳ";"試験",#N/A,TRUE,"会員"}</definedName>
    <definedName name="iPhone_集計" localSheetId="3">#REF!</definedName>
    <definedName name="iPhone_集計">#REF!</definedName>
    <definedName name="irr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irr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jj" localSheetId="3" hidden="1">{"表１",#N/A,FALSE,"集計";"表２",#N/A,FALSE,"集計";"表３",#N/A,FALSE,"集計"}</definedName>
    <definedName name="jjj" hidden="1">{"表１",#N/A,FALSE,"集計";"表２",#N/A,FALSE,"集計";"表３",#N/A,FALSE,"集計"}</definedName>
    <definedName name="JMS相殺不能入金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JMS相殺不能入金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kkkk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kkkk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Level" localSheetId="3">'[4]Do kho-ty le'!$B$20:$B$24</definedName>
    <definedName name="Level">'[5]Do kho-ty le'!$B$20:$B$24</definedName>
    <definedName name="mm" localSheetId="3" hidden="1">{"比較１",#N/A,FALSE,"集計";"比較３",#N/A,FALSE,"集計";"比較２",#N/A,FALSE,"集計"}</definedName>
    <definedName name="mm" hidden="1">{"比較１",#N/A,FALSE,"集計";"比較３",#N/A,FALSE,"集計";"比較２",#N/A,FALSE,"集計"}</definedName>
    <definedName name="MsgSample2" localSheetId="3">マスタースケジュール!MsgSample2</definedName>
    <definedName name="MsgSample2">[0]!MsgSample2</definedName>
    <definedName name="o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o" localSheetId="3" hidden="1">{"比較１",#N/A,FALSE,"集計";"比較３",#N/A,FALSE,"集計";"比較２",#N/A,FALSE,"集計"}</definedName>
    <definedName name="ooo" hidden="1">{"比較１",#N/A,FALSE,"集計";"比較３",#N/A,FALSE,"集計";"比較２",#N/A,FALSE,"集計"}</definedName>
    <definedName name="ooooooooooo" localSheetId="3" hidden="1">{"表１",#N/A,FALSE,"集計";"表２",#N/A,FALSE,"集計";"表３",#N/A,FALSE,"集計"}</definedName>
    <definedName name="ooooooooooo" hidden="1">{"表１",#N/A,FALSE,"集計";"表２",#N/A,FALSE,"集計";"表３",#N/A,FALSE,"集計"}</definedName>
    <definedName name="ｐ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G工数">[6]見積基準値!$I$5:$I$98</definedName>
    <definedName name="PG単価" localSheetId="3">#REF!</definedName>
    <definedName name="PG単価">#REF!</definedName>
    <definedName name="ｐｐ" localSheetId="3">#REF!</definedName>
    <definedName name="ｐｐ">#REF!</definedName>
    <definedName name="_xlnm.Print_Area" localSheetId="3">マスタースケジュール!$A$1:$N$74</definedName>
    <definedName name="_xlnm.Print_Area" localSheetId="2">まとめ!$A$1:$BK$54</definedName>
    <definedName name="_xlnm.Print_Area" localSheetId="1">改訂履歴!$A$1:$BK$55</definedName>
    <definedName name="_xlnm.Print_Area" localSheetId="4">機能一覧!$A$1:$BZ$340</definedName>
    <definedName name="_xlnm.Print_Area" localSheetId="0">表紙!$A$1:$BK$55</definedName>
    <definedName name="_xlnm.Print_Area">#REF!</definedName>
    <definedName name="_xlnm.Print_Titles" localSheetId="2">まとめ!$1:$5</definedName>
    <definedName name="_xlnm.Print_Titles" localSheetId="6">全体構成図!$1:$5</definedName>
    <definedName name="_xlnm.Print_Titles" localSheetId="1">改訂履歴!$1:$5</definedName>
    <definedName name="_xlnm.Print_Titles" localSheetId="4">機能一覧!$1:$5</definedName>
    <definedName name="_xlnm.Print_Titles" localSheetId="0">表紙!$1:$5</definedName>
    <definedName name="_xlnm.Print_Titles">[7]表紙!$A$1:$D$65536</definedName>
    <definedName name="qq" localSheetId="3" hidden="1">{"比較１",#N/A,FALSE,"集計";"比較３",#N/A,FALSE,"集計";"比較２",#N/A,FALSE,"集計"}</definedName>
    <definedName name="qq" hidden="1">{"比較１",#N/A,FALSE,"集計";"比較３",#N/A,FALSE,"集計";"比較２",#N/A,FALSE,"集計"}</definedName>
    <definedName name="s">[3]部品!$B$2:$B$27</definedName>
    <definedName name="SE単価" localSheetId="3">#REF!</definedName>
    <definedName name="SE単価">#REF!</definedName>
    <definedName name="ss" localSheetId="3" hidden="1">{"明細１",#N/A,FALSE,"ＣＳ";"明細２",#N/A,FALSE,"ＣＳ";"明細３",#N/A,FALSE,"ＣＳ";"リボ",#N/A,FALSE,"リボ";"貸付明細",#N/A,FALSE,"貸付";"メイサイ",#N/A,FALSE,"他収益"}</definedName>
    <definedName name="ss" hidden="1">{"明細１",#N/A,FALSE,"ＣＳ";"明細２",#N/A,FALSE,"ＣＳ";"明細３",#N/A,FALSE,"ＣＳ";"リボ",#N/A,FALSE,"リボ";"貸付明細",#N/A,FALSE,"貸付";"メイサイ",#N/A,FALSE,"他収益"}</definedName>
    <definedName name="sssss" localSheetId="3" hidden="1">{"ＰＬ明細",#N/A,TRUE,"ＰＬ";"平残ＢＳ",#N/A,TRUE,"ＢＳ";"試験",#N/A,TRUE,"会員"}</definedName>
    <definedName name="sssss" hidden="1">{"ＰＬ明細",#N/A,TRUE,"ＰＬ";"平残ＢＳ",#N/A,TRUE,"ＢＳ";"試験",#N/A,TRUE,"会員"}</definedName>
    <definedName name="ssssss" localSheetId="3" hidden="1">{"比較１",#N/A,FALSE,"集計";"比較３",#N/A,FALSE,"集計";"比較２",#N/A,FALSE,"集計"}</definedName>
    <definedName name="ssssss" hidden="1">{"比較１",#N/A,FALSE,"集計";"比較３",#N/A,FALSE,"集計";"比較２",#N/A,FALSE,"集計"}</definedName>
    <definedName name="uu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uu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uyyyu" localSheetId="3">SUM(#REF!)</definedName>
    <definedName name="uyyyu">SUM(#REF!)</definedName>
    <definedName name="U数_除外製品">[8]構成DB!$G$76:$G$116</definedName>
    <definedName name="WEB_集計" localSheetId="3">#REF!</definedName>
    <definedName name="WEB_集計">#REF!</definedName>
    <definedName name="WEB表示パターンLIST">[9]部品!$I$2:$I$8</definedName>
    <definedName name="wrn.ＣＳ." localSheetId="3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テスト." localSheetId="3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構成ｶﾞｲﾄﾞ_全印刷." localSheetId="3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修正予算." localSheetId="3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比較表." localSheetId="3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表印刷." localSheetId="3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収益.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3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WW" localSheetId="3" hidden="1">{"比較１",#N/A,FALSE,"集計";"比較３",#N/A,FALSE,"集計";"比較２",#N/A,FALSE,"集計"}</definedName>
    <definedName name="WW" hidden="1">{"比較１",#N/A,FALSE,"集計";"比較３",#N/A,FALSE,"集計";"比較２",#N/A,FALSE,"集計"}</definedName>
    <definedName name="xmm" localSheetId="3" hidden="1">{"明細",#N/A,TRUE,"費用１";"明細",#N/A,TRUE,"費用２";"明細",#N/A,TRUE,"費用３";"明細",#N/A,TRUE,"費用４";"明細",#N/A,TRUE,"減他"}</definedName>
    <definedName name="xmm" hidden="1">{"明細",#N/A,TRUE,"費用１";"明細",#N/A,TRUE,"費用２";"明細",#N/A,TRUE,"費用３";"明細",#N/A,TRUE,"費用４";"明細",#N/A,TRUE,"減他"}</definedName>
    <definedName name="XXXX" localSheetId="3" hidden="1">{"'Sheet2 (2)'!$AF$67","'Sheet2 (2)'!$A$1:$Z$82"}</definedName>
    <definedName name="XXXX" hidden="1">{"'Sheet2 (2)'!$AF$67","'Sheet2 (2)'!$A$1:$Z$82"}</definedName>
    <definedName name="yuka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3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ZeeM変動要素">'[6]見積基準値(変動係数)'!$C$25:$C$28</definedName>
    <definedName name="ｚｚ" localSheetId="3">#REF!</definedName>
    <definedName name="ｚｚ">#REF!</definedName>
    <definedName name="あ" localSheetId="3">#REF!</definedName>
    <definedName name="あ" hidden="1">{"'Sheet2 (2)'!$AF$67","'Sheet2 (2)'!$A$1:$Z$82"}</definedName>
    <definedName name="あああ" localSheetId="3" hidden="1">{"'Sheet2 (2)'!$AF$67","'Sheet2 (2)'!$A$1:$Z$82"}</definedName>
    <definedName name="あああ" hidden="1">{"'Sheet2 (2)'!$AF$67","'Sheet2 (2)'!$A$1:$Z$82"}</definedName>
    <definedName name="ああああ" localSheetId="3" hidden="1">{"'Sheet2 (2)'!$AF$67","'Sheet2 (2)'!$A$1:$Z$82"}</definedName>
    <definedName name="ああああ" hidden="1">{"'Sheet2 (2)'!$AF$67","'Sheet2 (2)'!$A$1:$Z$82"}</definedName>
    <definedName name="あい" localSheetId="3" hidden="1">{"'Sheet2 (2)'!$AF$67","'Sheet2 (2)'!$A$1:$Z$82"}</definedName>
    <definedName name="あい" hidden="1">{"'Sheet2 (2)'!$AF$67","'Sheet2 (2)'!$A$1:$Z$82"}</definedName>
    <definedName name="あいあい" localSheetId="3" hidden="1">{"'Sheet2 (2)'!$AF$67","'Sheet2 (2)'!$A$1:$Z$82"}</definedName>
    <definedName name="あいあい" hidden="1">{"'Sheet2 (2)'!$AF$67","'Sheet2 (2)'!$A$1:$Z$82"}</definedName>
    <definedName name="あいあおいあいあお" localSheetId="3" hidden="1">{"'Sheet2 (2)'!$AF$67","'Sheet2 (2)'!$A$1:$Z$82"}</definedName>
    <definedName name="あいあおいあいあお" hidden="1">{"'Sheet2 (2)'!$AF$67","'Sheet2 (2)'!$A$1:$Z$82"}</definedName>
    <definedName name="あえあえ" localSheetId="3" hidden="1">{"'Sheet2 (2)'!$AF$67","'Sheet2 (2)'!$A$1:$Z$82"}</definedName>
    <definedName name="あえあえ" hidden="1">{"'Sheet2 (2)'!$AF$67","'Sheet2 (2)'!$A$1:$Z$82"}</definedName>
    <definedName name="い" localSheetId="3" hidden="1">{"'Sheet2 (2)'!$AF$67","'Sheet2 (2)'!$A$1:$Z$82"}</definedName>
    <definedName name="い" hidden="1">{"'Sheet2 (2)'!$AF$67","'Sheet2 (2)'!$A$1:$Z$82"}</definedName>
    <definedName name="いあいあ" localSheetId="3" hidden="1">{"'Sheet2 (2)'!$AF$67","'Sheet2 (2)'!$A$1:$Z$82"}</definedName>
    <definedName name="いあいあ" hidden="1">{"'Sheet2 (2)'!$AF$67","'Sheet2 (2)'!$A$1:$Z$82"}</definedName>
    <definedName name="いいい" localSheetId="3" hidden="1">{"'Sheet2 (2)'!$AF$67","'Sheet2 (2)'!$A$1:$Z$82"}</definedName>
    <definedName name="いいい" hidden="1">{"'Sheet2 (2)'!$AF$67","'Sheet2 (2)'!$A$1:$Z$82"}</definedName>
    <definedName name="いいいい" localSheetId="3" hidden="1">{"'Sheet2 (2)'!$AF$67","'Sheet2 (2)'!$A$1:$Z$82"}</definedName>
    <definedName name="いいいい" hidden="1">{"'Sheet2 (2)'!$AF$67","'Sheet2 (2)'!$A$1:$Z$82"}</definedName>
    <definedName name="うう" localSheetId="3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3" hidden="1">{"'Sheet2 (2)'!$AF$67","'Sheet2 (2)'!$A$1:$Z$82"}</definedName>
    <definedName name="ううう" hidden="1">{"'Sheet2 (2)'!$AF$67","'Sheet2 (2)'!$A$1:$Z$82"}</definedName>
    <definedName name="えええ" localSheetId="3" hidden="1">{"'Sheet2 (2)'!$AF$67","'Sheet2 (2)'!$A$1:$Z$82"}</definedName>
    <definedName name="えええ" hidden="1">{"'Sheet2 (2)'!$AF$67","'Sheet2 (2)'!$A$1:$Z$82"}</definedName>
    <definedName name="お" localSheetId="3" hidden="1">{"'Sheet2 (2)'!$AF$67","'Sheet2 (2)'!$A$1:$Z$82"}</definedName>
    <definedName name="お" hidden="1">{"'Sheet2 (2)'!$AF$67","'Sheet2 (2)'!$A$1:$Z$82"}</definedName>
    <definedName name="オンバッチLIST">#REF!</definedName>
    <definedName name="クレジット加盟店番号・連絡先">#REF!</definedName>
    <definedName name="こう" localSheetId="3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3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サマリ_画面_削除" localSheetId="3">SUM(#REF!)</definedName>
    <definedName name="サマリ_画面_削除">SUM(#REF!)</definedName>
    <definedName name="サマリ_画面_削除_Android" localSheetId="3">SUM(#REF!)</definedName>
    <definedName name="サマリ_画面_削除_Android">SUM(#REF!)</definedName>
    <definedName name="サマリ_画面_削除_iPhone" localSheetId="3">SUM(#REF!)</definedName>
    <definedName name="サマリ_画面_削除_iPhone">SUM(#REF!)</definedName>
    <definedName name="サマリ_画面_削除_WEB" localSheetId="3">SUM(#REF!)</definedName>
    <definedName name="サマリ_画面_削除_WEB">SUM(#REF!)</definedName>
    <definedName name="サマリ_画面_削除_バッチ" localSheetId="3">SUM(#REF!)</definedName>
    <definedName name="サマリ_画面_削除_バッチ">SUM(#REF!)</definedName>
    <definedName name="サマリ_画面_修正" localSheetId="3">SUM(#REF!)</definedName>
    <definedName name="サマリ_画面_修正">SUM(#REF!)</definedName>
    <definedName name="サマリ_画面_修正_Android" localSheetId="3">SUM(#REF!)</definedName>
    <definedName name="サマリ_画面_修正_Android">SUM(#REF!)</definedName>
    <definedName name="サマリ_画面_修正_iPhone" localSheetId="3">SUM(#REF!)</definedName>
    <definedName name="サマリ_画面_修正_iPhone">SUM(#REF!)</definedName>
    <definedName name="サマリ_画面_修正_WEB" localSheetId="3">SUM(#REF!)</definedName>
    <definedName name="サマリ_画面_修正_WEB">SUM(#REF!)</definedName>
    <definedName name="サマリ_画面_修正_バッチ" localSheetId="3">SUM(#REF!)</definedName>
    <definedName name="サマリ_画面_修正_バッチ">SUM(#REF!)</definedName>
    <definedName name="サマリ_画面_新規" localSheetId="3">SUM(#REF!)</definedName>
    <definedName name="サマリ_画面_新規">SUM(#REF!)</definedName>
    <definedName name="サマリ_画面_新規_Android" localSheetId="3">SUM(#REF!)</definedName>
    <definedName name="サマリ_画面_新規_Android">SUM(#REF!)</definedName>
    <definedName name="サマリ_画面_新規_iPhone" localSheetId="3">SUM(#REF!)</definedName>
    <definedName name="サマリ_画面_新規_iPhone">SUM(#REF!)</definedName>
    <definedName name="サマリ_画面_新規_WEB" localSheetId="3">SUM(#REF!)</definedName>
    <definedName name="サマリ_画面_新規_WEB">SUM(#REF!)</definedName>
    <definedName name="サマリ_画面_新規_バッチ" localSheetId="3">SUM(#REF!)</definedName>
    <definedName name="サマリ_画面_新規_バッチ">SUM(#REF!)</definedName>
    <definedName name="サマリ_環境_削除" localSheetId="3">SUM(#REF!)</definedName>
    <definedName name="サマリ_環境_削除">SUM(#REF!)</definedName>
    <definedName name="サマリ_環境_削除_Android" localSheetId="3">SUM(#REF!)</definedName>
    <definedName name="サマリ_環境_削除_Android">SUM(#REF!)</definedName>
    <definedName name="サマリ_環境_削除_iPhone" localSheetId="3">SUM(#REF!)</definedName>
    <definedName name="サマリ_環境_削除_iPhone">SUM(#REF!)</definedName>
    <definedName name="サマリ_環境_削除_WEB" localSheetId="3">SUM(#REF!)</definedName>
    <definedName name="サマリ_環境_削除_WEB">SUM(#REF!)</definedName>
    <definedName name="サマリ_環境_削除_バッチ" localSheetId="3">SUM(#REF!)</definedName>
    <definedName name="サマリ_環境_削除_バッチ">SUM(#REF!)</definedName>
    <definedName name="サマリ_環境_修正" localSheetId="3">SUM(#REF!)</definedName>
    <definedName name="サマリ_環境_修正">SUM(#REF!)</definedName>
    <definedName name="サマリ_環境_修正_Android" localSheetId="3">SUM(#REF!)</definedName>
    <definedName name="サマリ_環境_修正_Android">SUM(#REF!)</definedName>
    <definedName name="サマリ_環境_修正_iPhone" localSheetId="3">SUM(#REF!)</definedName>
    <definedName name="サマリ_環境_修正_iPhone">SUM(#REF!)</definedName>
    <definedName name="サマリ_環境_修正_WEB" localSheetId="3">SUM(#REF!)</definedName>
    <definedName name="サマリ_環境_修正_WEB">SUM(#REF!)</definedName>
    <definedName name="サマリ_環境_修正_バッチ" localSheetId="3">SUM(#REF!)</definedName>
    <definedName name="サマリ_環境_修正_バッチ">SUM(#REF!)</definedName>
    <definedName name="サマリ_環境_新規" localSheetId="3">SUM(#REF!)</definedName>
    <definedName name="サマリ_環境_新規">SUM(#REF!)</definedName>
    <definedName name="サマリ_環境_新規_Android" localSheetId="3">SUM(#REF!)</definedName>
    <definedName name="サマリ_環境_新規_Android">SUM(#REF!)</definedName>
    <definedName name="サマリ_環境_新規_iPhone" localSheetId="3">SUM(#REF!)</definedName>
    <definedName name="サマリ_環境_新規_iPhone">SUM(#REF!)</definedName>
    <definedName name="サマリ_環境_新規_WEB" localSheetId="3">SUM(#REF!)</definedName>
    <definedName name="サマリ_環境_新規_WEB">SUM(#REF!)</definedName>
    <definedName name="サマリ_環境_新規_バッチ" localSheetId="3">SUM(#REF!)</definedName>
    <definedName name="サマリ_環境_新規_バッチ">SUM(#REF!)</definedName>
    <definedName name="サマリ_帳票_削除" localSheetId="3">SUM(#REF!)</definedName>
    <definedName name="サマリ_帳票_削除">SUM(#REF!)</definedName>
    <definedName name="サマリ_帳票_削除_Android" localSheetId="3">SUM(#REF!)</definedName>
    <definedName name="サマリ_帳票_削除_Android">SUM(#REF!)</definedName>
    <definedName name="サマリ_帳票_削除_iPhone" localSheetId="3">SUM(#REF!)</definedName>
    <definedName name="サマリ_帳票_削除_iPhone">SUM(#REF!)</definedName>
    <definedName name="サマリ_帳票_削除_WEB" localSheetId="3">SUM(#REF!)</definedName>
    <definedName name="サマリ_帳票_削除_WEB">SUM(#REF!)</definedName>
    <definedName name="サマリ_帳票_削除_バッチ" localSheetId="3">SUM(#REF!)</definedName>
    <definedName name="サマリ_帳票_削除_バッチ">SUM(#REF!)</definedName>
    <definedName name="サマリ_帳票_修正" localSheetId="3">SUM(#REF!)</definedName>
    <definedName name="サマリ_帳票_修正">SUM(#REF!)</definedName>
    <definedName name="サマリ_帳票_修正_Android" localSheetId="3">SUM(#REF!)</definedName>
    <definedName name="サマリ_帳票_修正_Android">SUM(#REF!)</definedName>
    <definedName name="サマリ_帳票_修正_iPhone" localSheetId="3">SUM(#REF!)</definedName>
    <definedName name="サマリ_帳票_修正_iPhone">SUM(#REF!)</definedName>
    <definedName name="サマリ_帳票_修正_WEB" localSheetId="3">SUM(#REF!)</definedName>
    <definedName name="サマリ_帳票_修正_WEB">SUM(#REF!)</definedName>
    <definedName name="サマリ_帳票_修正_バッチ" localSheetId="3">SUM(#REF!)</definedName>
    <definedName name="サマリ_帳票_修正_バッチ">SUM(#REF!)</definedName>
    <definedName name="サマリ_帳票_新規" localSheetId="3">SUM(#REF!)</definedName>
    <definedName name="サマリ_帳票_新規">SUM(#REF!)</definedName>
    <definedName name="サマリ_帳票_新規_Android" localSheetId="3">SUM(#REF!)</definedName>
    <definedName name="サマリ_帳票_新規_Android">SUM(#REF!)</definedName>
    <definedName name="サマリ_帳票_新規_iPhone" localSheetId="3">SUM(#REF!)</definedName>
    <definedName name="サマリ_帳票_新規_iPhone">SUM(#REF!)</definedName>
    <definedName name="サマリ_帳票_新規_WEB" localSheetId="3">SUM(#REF!)</definedName>
    <definedName name="サマリ_帳票_新規_WEB">SUM(#REF!)</definedName>
    <definedName name="サマリ_帳票_新規_バッチ" localSheetId="3">SUM(#REF!)</definedName>
    <definedName name="サマリ_帳票_新規_バッチ">SUM(#REF!)</definedName>
    <definedName name="サマリ_内部_削除" localSheetId="3">SUM(#REF!)</definedName>
    <definedName name="サマリ_内部_削除">SUM(#REF!)</definedName>
    <definedName name="サマリ_内部_削除_Android" localSheetId="3">SUM(#REF!)</definedName>
    <definedName name="サマリ_内部_削除_Android">SUM(#REF!)</definedName>
    <definedName name="サマリ_内部_削除_iPhone" localSheetId="3">SUM(#REF!)</definedName>
    <definedName name="サマリ_内部_削除_iPhone">SUM(#REF!)</definedName>
    <definedName name="サマリ_内部_削除_WEB" localSheetId="3">SUM(#REF!)</definedName>
    <definedName name="サマリ_内部_削除_WEB">SUM(#REF!)</definedName>
    <definedName name="サマリ_内部_削除_バッチ" localSheetId="3">SUM(#REF!)</definedName>
    <definedName name="サマリ_内部_削除_バッチ">SUM(#REF!)</definedName>
    <definedName name="サマリ_内部_修正" localSheetId="3">SUM(#REF!)</definedName>
    <definedName name="サマリ_内部_修正">SUM(#REF!)</definedName>
    <definedName name="サマリ_内部_修正_Android" localSheetId="3">SUM(#REF!)</definedName>
    <definedName name="サマリ_内部_修正_Android">SUM(#REF!)</definedName>
    <definedName name="サマリ_内部_修正_iPhone" localSheetId="3">SUM(#REF!)</definedName>
    <definedName name="サマリ_内部_修正_iPhone">SUM(#REF!)</definedName>
    <definedName name="サマリ_内部_修正_WEB" localSheetId="3">SUM(#REF!)</definedName>
    <definedName name="サマリ_内部_修正_WEB">SUM(#REF!)</definedName>
    <definedName name="サマリ_内部_修正_バッチ" localSheetId="3">SUM(#REF!)</definedName>
    <definedName name="サマリ_内部_修正_バッチ">SUM(#REF!)</definedName>
    <definedName name="サマリ_内部_新規" localSheetId="3">SUM(#REF!)</definedName>
    <definedName name="サマリ_内部_新規">SUM(#REF!)</definedName>
    <definedName name="サマリ_内部_新規_Android" localSheetId="3">SUM(#REF!)</definedName>
    <definedName name="サマリ_内部_新規_Android">SUM(#REF!)</definedName>
    <definedName name="サマリ_内部_新規_iPhone" localSheetId="3">SUM(#REF!)</definedName>
    <definedName name="サマリ_内部_新規_iPhone">SUM(#REF!)</definedName>
    <definedName name="サマリ_内部_新規_WEB" localSheetId="3">SUM(#REF!)</definedName>
    <definedName name="サマリ_内部_新規_WEB">SUM(#REF!)</definedName>
    <definedName name="サマリ_内部_新規_バッチ" localSheetId="3">SUM(#REF!)</definedName>
    <definedName name="サマリ_内部_新規_バッチ">SUM(#REF!)</definedName>
    <definedName name="サンプル" localSheetId="3" hidden="1">{"'Sheet2 (2)'!$AF$67","'Sheet2 (2)'!$A$1:$Z$82"}</definedName>
    <definedName name="サンプル" hidden="1">{"'Sheet2 (2)'!$AF$67","'Sheet2 (2)'!$A$1:$Z$82"}</definedName>
    <definedName name="シート" localSheetId="3" hidden="1">{"'Sheet2 (2)'!$AF$67","'Sheet2 (2)'!$A$1:$Z$82"}</definedName>
    <definedName name="シート" hidden="1">{"'Sheet2 (2)'!$AF$67","'Sheet2 (2)'!$A$1:$Z$82"}</definedName>
    <definedName name="ｽﾃｰﾀｽ">#REF!</definedName>
    <definedName name="つ" localSheetId="3" hidden="1">{"'Sheet2 (2)'!$AF$67","'Sheet2 (2)'!$A$1:$Z$82"}</definedName>
    <definedName name="つ" hidden="1">{"'Sheet2 (2)'!$AF$67","'Sheet2 (2)'!$A$1:$Z$82"}</definedName>
    <definedName name="っｓ" localSheetId="3" hidden="1">{"'Sheet2 (2)'!$AF$67","'Sheet2 (2)'!$A$1:$Z$82"}</definedName>
    <definedName name="っｓ" hidden="1">{"'Sheet2 (2)'!$AF$67","'Sheet2 (2)'!$A$1:$Z$82"}</definedName>
    <definedName name="て" hidden="1">#REF!</definedName>
    <definedName name="データタイプ">[10]データ!$A$2:$A$20</definedName>
    <definedName name="データ型">[11]データ!$A$2:$A$22</definedName>
    <definedName name="バッチ_集計" localSheetId="3">#REF!</definedName>
    <definedName name="バッチ_集計">#REF!</definedName>
    <definedName name="ﾚﾋﾞｭｰ密度基準値" localSheetId="3">#REF!</definedName>
    <definedName name="ﾚﾋﾞｭｰ密度基準値">#REF!</definedName>
    <definedName name="ﾚﾋﾞｭｰ密度目標値" localSheetId="3">#REF!</definedName>
    <definedName name="ﾚﾋﾞｭｰ密度目標値">#REF!</definedName>
    <definedName name="移行成果物・外部設計" localSheetId="3" hidden="1">{"'Sheet2 (2)'!$AF$67","'Sheet2 (2)'!$A$1:$Z$82"}</definedName>
    <definedName name="移行成果物・外部設計" hidden="1">{"'Sheet2 (2)'!$AF$67","'Sheet2 (2)'!$A$1:$Z$82"}</definedName>
    <definedName name="一括先" hidden="1">'[12]仕様変更進捗（ＡＬＬ）'!#REF!</definedName>
    <definedName name="一括先用" hidden="1">'[13]仕様変更進捗（ＡＬＬ）'!#REF!</definedName>
    <definedName name="仮要員">[14]TABLE!$B$13:$B$108</definedName>
    <definedName name="改修区分" localSheetId="3">#REF!</definedName>
    <definedName name="改修区分">#REF!</definedName>
    <definedName name="開発区分_削除_Android" localSheetId="3">#REF!</definedName>
    <definedName name="開発区分_削除_Android">#REF!</definedName>
    <definedName name="開発区分_削除_iPhone" localSheetId="3">#REF!</definedName>
    <definedName name="開発区分_削除_iPhone">#REF!</definedName>
    <definedName name="開発区分_削除_WEB" localSheetId="3">#REF!</definedName>
    <definedName name="開発区分_削除_WEB">#REF!</definedName>
    <definedName name="開発区分_削除_バッチ" localSheetId="3">#REF!</definedName>
    <definedName name="開発区分_削除_バッチ">#REF!</definedName>
    <definedName name="開発区分_修正_Android" localSheetId="3">#REF!</definedName>
    <definedName name="開発区分_修正_Android">#REF!</definedName>
    <definedName name="開発区分_修正_iPhone" localSheetId="3">#REF!</definedName>
    <definedName name="開発区分_修正_iPhone">#REF!</definedName>
    <definedName name="開発区分_修正_WEB" localSheetId="3">#REF!</definedName>
    <definedName name="開発区分_修正_WEB">#REF!</definedName>
    <definedName name="開発区分_修正_バッチ" localSheetId="3">#REF!</definedName>
    <definedName name="開発区分_修正_バッチ">#REF!</definedName>
    <definedName name="開発区分_新規_Android" localSheetId="3">#REF!</definedName>
    <definedName name="開発区分_新規_Android">#REF!</definedName>
    <definedName name="開発区分_新規_iPhone" localSheetId="3">#REF!</definedName>
    <definedName name="開発区分_新規_iPhone">#REF!</definedName>
    <definedName name="開発区分_新規_WEB" localSheetId="3">#REF!</definedName>
    <definedName name="開発区分_新規_WEB">#REF!</definedName>
    <definedName name="開発区分_新規_バッチ" localSheetId="3">#REF!</definedName>
    <definedName name="開発区分_新規_バッチ">#REF!</definedName>
    <definedName name="関連表" hidden="1">#REF!</definedName>
    <definedName name="基準イベント数">[6]見積基準値!$F$5:$F$98</definedName>
    <definedName name="基準画面数">[6]見積基準値!$E$5:$E$98</definedName>
    <definedName name="機能パターン">[6]見積基準値!$D$5:$D$98</definedName>
    <definedName name="機能パターンLIST">[6]部品!$B$2:$B$27</definedName>
    <definedName name="休憩" localSheetId="3">#REF!</definedName>
    <definedName name="休憩">#REF!</definedName>
    <definedName name="休憩1" localSheetId="3">#REF!</definedName>
    <definedName name="休憩1">#REF!</definedName>
    <definedName name="休憩2" localSheetId="3">#REF!</definedName>
    <definedName name="休憩2">#REF!</definedName>
    <definedName name="共通INDEX">#REF!</definedName>
    <definedName name="共通化変動係数">'[6]見積基準値(変動係数)'!$F$19:$F$21</definedName>
    <definedName name="共通化変動要素">'[6]見積基準値(変動係数)'!$C$19:$C$21</definedName>
    <definedName name="区分" localSheetId="3">#REF!</definedName>
    <definedName name="区分">#REF!</definedName>
    <definedName name="係数_画面_IT" localSheetId="3">#REF!</definedName>
    <definedName name="係数_画面_IT">#REF!</definedName>
    <definedName name="係数_画面_IT仕様書" localSheetId="3">#REF!</definedName>
    <definedName name="係数_画面_IT仕様書">#REF!</definedName>
    <definedName name="係数_画面_PT" localSheetId="3">#REF!</definedName>
    <definedName name="係数_画面_PT">#REF!</definedName>
    <definedName name="係数_画面_開発" localSheetId="3">#REF!</definedName>
    <definedName name="係数_画面_開発">#REF!</definedName>
    <definedName name="係数_画面_外部設計書" localSheetId="3">#REF!</definedName>
    <definedName name="係数_画面_外部設計書">#REF!</definedName>
    <definedName name="係数_画面_内部設計書" localSheetId="3">#REF!</definedName>
    <definedName name="係数_画面_内部設計書">#REF!</definedName>
    <definedName name="係数_環境_IT" localSheetId="3">#REF!</definedName>
    <definedName name="係数_環境_IT">#REF!</definedName>
    <definedName name="係数_環境_IT仕様書" localSheetId="3">#REF!</definedName>
    <definedName name="係数_環境_IT仕様書">#REF!</definedName>
    <definedName name="係数_環境_PT" localSheetId="3">#REF!</definedName>
    <definedName name="係数_環境_PT">#REF!</definedName>
    <definedName name="係数_環境_開発" localSheetId="3">#REF!</definedName>
    <definedName name="係数_環境_開発">#REF!</definedName>
    <definedName name="係数_環境_外部設計書" localSheetId="3">#REF!</definedName>
    <definedName name="係数_環境_外部設計書">#REF!</definedName>
    <definedName name="係数_環境_内部設計書" localSheetId="3">#REF!</definedName>
    <definedName name="係数_環境_内部設計書">#REF!</definedName>
    <definedName name="係数_帳票_IT" localSheetId="3">#REF!</definedName>
    <definedName name="係数_帳票_IT">#REF!</definedName>
    <definedName name="係数_帳票_IT仕様書" localSheetId="3">#REF!</definedName>
    <definedName name="係数_帳票_IT仕様書">#REF!</definedName>
    <definedName name="係数_帳票_PT" localSheetId="3">#REF!</definedName>
    <definedName name="係数_帳票_PT">#REF!</definedName>
    <definedName name="係数_帳票_開発" localSheetId="3">#REF!</definedName>
    <definedName name="係数_帳票_開発">#REF!</definedName>
    <definedName name="係数_帳票_外部設計書" localSheetId="3">#REF!</definedName>
    <definedName name="係数_帳票_外部設計書">#REF!</definedName>
    <definedName name="係数_帳票_内部設計書" localSheetId="3">#REF!</definedName>
    <definedName name="係数_帳票_内部設計書">#REF!</definedName>
    <definedName name="係数_内部_IT" localSheetId="3">#REF!</definedName>
    <definedName name="係数_内部_IT">#REF!</definedName>
    <definedName name="係数_内部_IT仕様書" localSheetId="3">#REF!</definedName>
    <definedName name="係数_内部_IT仕様書">#REF!</definedName>
    <definedName name="係数_内部_PT" localSheetId="3">#REF!</definedName>
    <definedName name="係数_内部_PT">#REF!</definedName>
    <definedName name="係数_内部_開発" localSheetId="3">#REF!</definedName>
    <definedName name="係数_内部_開発">#REF!</definedName>
    <definedName name="係数_内部_外部設計書" localSheetId="3">#REF!</definedName>
    <definedName name="係数_内部_外部設計書">#REF!</definedName>
    <definedName name="係数_内部_内部設計書" localSheetId="3">#REF!</definedName>
    <definedName name="係数_内部_内部設計書">#REF!</definedName>
    <definedName name="件数_画面" localSheetId="3">SUM(#REF!)</definedName>
    <definedName name="件数_画面">SUM(#REF!)</definedName>
    <definedName name="件数_画面_Android" localSheetId="3">SUM(#REF!)</definedName>
    <definedName name="件数_画面_Android">SUM(#REF!)</definedName>
    <definedName name="件数_画面_iPhone" localSheetId="3">SUM(#REF!)</definedName>
    <definedName name="件数_画面_iPhone">SUM(#REF!)</definedName>
    <definedName name="件数_画面_WEB" localSheetId="3">SUM(#REF!)</definedName>
    <definedName name="件数_画面_WEB">SUM(#REF!)</definedName>
    <definedName name="件数_画面_バッチ" localSheetId="3">SUM(#REF!)</definedName>
    <definedName name="件数_画面_バッチ">SUM(#REF!)</definedName>
    <definedName name="件数_環境" localSheetId="3">SUM(#REF!)</definedName>
    <definedName name="件数_環境">SUM(#REF!)</definedName>
    <definedName name="件数_環境_Android" localSheetId="3">SUM(#REF!)</definedName>
    <definedName name="件数_環境_Android">SUM(#REF!)</definedName>
    <definedName name="件数_環境_iPhone" localSheetId="3">SUM(#REF!)</definedName>
    <definedName name="件数_環境_iPhone">SUM(#REF!)</definedName>
    <definedName name="件数_環境_WEB" localSheetId="3">SUM(#REF!)</definedName>
    <definedName name="件数_環境_WEB">SUM(#REF!)</definedName>
    <definedName name="件数_環境_バッチ" localSheetId="3">SUM(#REF!)</definedName>
    <definedName name="件数_環境_バッチ">SUM(#REF!)</definedName>
    <definedName name="件数_帳票" localSheetId="3">SUM(#REF!)</definedName>
    <definedName name="件数_帳票">SUM(#REF!)</definedName>
    <definedName name="件数_帳票_Android" localSheetId="3">SUM(#REF!)</definedName>
    <definedName name="件数_帳票_Android">SUM(#REF!)</definedName>
    <definedName name="件数_帳票_iPhone" localSheetId="3">SUM(#REF!)</definedName>
    <definedName name="件数_帳票_iPhone">SUM(#REF!)</definedName>
    <definedName name="件数_帳票_WEB" localSheetId="3">SUM(#REF!)</definedName>
    <definedName name="件数_帳票_WEB">SUM(#REF!)</definedName>
    <definedName name="件数_帳票_バッチ" localSheetId="3">SUM(#REF!)</definedName>
    <definedName name="件数_帳票_バッチ">SUM(#REF!)</definedName>
    <definedName name="件数_内部" localSheetId="3">SUM(#REF!)</definedName>
    <definedName name="件数_内部">SUM(#REF!)</definedName>
    <definedName name="件数_内部_Android" localSheetId="3">SUM(#REF!)</definedName>
    <definedName name="件数_内部_Android">SUM(#REF!)</definedName>
    <definedName name="件数_内部_iPhone" localSheetId="3">SUM(#REF!)</definedName>
    <definedName name="件数_内部_iPhone">SUM(#REF!)</definedName>
    <definedName name="件数_内部_WEB" localSheetId="3">SUM(#REF!)</definedName>
    <definedName name="件数_内部_WEB">SUM(#REF!)</definedName>
    <definedName name="件数_内部_バッチ" localSheetId="3">SUM(#REF!)</definedName>
    <definedName name="件数_内部_バッチ">SUM(#REF!)</definedName>
    <definedName name="見出し" localSheetId="3">#REF!</definedName>
    <definedName name="見出し">#REF!</definedName>
    <definedName name="交通A" localSheetId="3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事種別前画面" localSheetId="3">マスタースケジュール!工事種別前画面</definedName>
    <definedName name="工事種別前画面">[0]!工事種別前画面</definedName>
    <definedName name="工数_画面_IT" localSheetId="3">SUM(#REF!)</definedName>
    <definedName name="工数_画面_IT">SUM(#REF!)</definedName>
    <definedName name="工数_画面_IT_Android" localSheetId="3">SUM(#REF!)</definedName>
    <definedName name="工数_画面_IT_Android">SUM(#REF!)</definedName>
    <definedName name="工数_画面_IT_iPhone" localSheetId="3">SUM(#REF!)</definedName>
    <definedName name="工数_画面_IT_iPhone">SUM(#REF!)</definedName>
    <definedName name="工数_画面_IT_WEB" localSheetId="3">SUM(#REF!)</definedName>
    <definedName name="工数_画面_IT_WEB">SUM(#REF!)</definedName>
    <definedName name="工数_画面_IT_バッチ" localSheetId="3">SUM(#REF!)</definedName>
    <definedName name="工数_画面_IT_バッチ">SUM(#REF!)</definedName>
    <definedName name="工数_画面_IT仕様書" localSheetId="3">SUM(#REF!)</definedName>
    <definedName name="工数_画面_IT仕様書">SUM(#REF!)</definedName>
    <definedName name="工数_画面_IT仕様書_Android" localSheetId="3">SUM(#REF!)</definedName>
    <definedName name="工数_画面_IT仕様書_Android">SUM(#REF!)</definedName>
    <definedName name="工数_画面_IT仕様書_iPhone" localSheetId="3">SUM(#REF!)</definedName>
    <definedName name="工数_画面_IT仕様書_iPhone">SUM(#REF!)</definedName>
    <definedName name="工数_画面_IT仕様書_WEB" localSheetId="3">SUM(#REF!)</definedName>
    <definedName name="工数_画面_IT仕様書_WEB">SUM(#REF!)</definedName>
    <definedName name="工数_画面_IT仕様書_バッチ" localSheetId="3">SUM(#REF!)</definedName>
    <definedName name="工数_画面_IT仕様書_バッチ">SUM(#REF!)</definedName>
    <definedName name="工数_画面_PT" localSheetId="3">SUM(#REF!)</definedName>
    <definedName name="工数_画面_PT">SUM(#REF!)</definedName>
    <definedName name="工数_画面_PT_Android" localSheetId="3">SUM(#REF!)</definedName>
    <definedName name="工数_画面_PT_Android">SUM(#REF!)</definedName>
    <definedName name="工数_画面_PT_iPhone" localSheetId="3">SUM(#REF!)</definedName>
    <definedName name="工数_画面_PT_iPhone">SUM(#REF!)</definedName>
    <definedName name="工数_画面_PT_WEB" localSheetId="3">SUM(#REF!)</definedName>
    <definedName name="工数_画面_PT_WEB">SUM(#REF!)</definedName>
    <definedName name="工数_画面_PT_バッチ" localSheetId="3">SUM(#REF!)</definedName>
    <definedName name="工数_画面_PT_バッチ">SUM(#REF!)</definedName>
    <definedName name="工数_画面_開発" localSheetId="3">SUM(#REF!)</definedName>
    <definedName name="工数_画面_開発">SUM(#REF!)</definedName>
    <definedName name="工数_画面_開発_Android" localSheetId="3">SUM(#REF!)</definedName>
    <definedName name="工数_画面_開発_Android">SUM(#REF!)</definedName>
    <definedName name="工数_画面_開発_iPhone" localSheetId="3">SUM(#REF!)</definedName>
    <definedName name="工数_画面_開発_iPhone">SUM(#REF!)</definedName>
    <definedName name="工数_画面_開発_WEB" localSheetId="3">SUM(#REF!)</definedName>
    <definedName name="工数_画面_開発_WEB">SUM(#REF!)</definedName>
    <definedName name="工数_画面_開発_バッチ" localSheetId="3">SUM(#REF!)</definedName>
    <definedName name="工数_画面_開発_バッチ">SUM(#REF!)</definedName>
    <definedName name="工数_画面_外部設計" localSheetId="3">SUM(#REF!)</definedName>
    <definedName name="工数_画面_外部設計">SUM(#REF!)</definedName>
    <definedName name="工数_画面_外部設計_Android" localSheetId="3">SUM(#REF!)</definedName>
    <definedName name="工数_画面_外部設計_Android">SUM(#REF!)</definedName>
    <definedName name="工数_画面_外部設計_iPhone" localSheetId="3">SUM(#REF!)</definedName>
    <definedName name="工数_画面_外部設計_iPhone">SUM(#REF!)</definedName>
    <definedName name="工数_画面_外部設計_WEB" localSheetId="3">SUM(#REF!)</definedName>
    <definedName name="工数_画面_外部設計_WEB">SUM(#REF!)</definedName>
    <definedName name="工数_画面_外部設計_バッチ" localSheetId="3">SUM(#REF!)</definedName>
    <definedName name="工数_画面_外部設計_バッチ">SUM(#REF!)</definedName>
    <definedName name="工数_画面_内部設計" localSheetId="3">SUM(#REF!)</definedName>
    <definedName name="工数_画面_内部設計">SUM(#REF!)</definedName>
    <definedName name="工数_画面_内部設計_Android" localSheetId="3">SUM(#REF!)</definedName>
    <definedName name="工数_画面_内部設計_Android">SUM(#REF!)</definedName>
    <definedName name="工数_画面_内部設計_iPhone" localSheetId="3">SUM(#REF!)</definedName>
    <definedName name="工数_画面_内部設計_iPhone">SUM(#REF!)</definedName>
    <definedName name="工数_画面_内部設計_WEB" localSheetId="3">SUM(#REF!)</definedName>
    <definedName name="工数_画面_内部設計_WEB">SUM(#REF!)</definedName>
    <definedName name="工数_画面_内部設計_バッチ" localSheetId="3">SUM(#REF!)</definedName>
    <definedName name="工数_画面_内部設計_バッチ">SUM(#REF!)</definedName>
    <definedName name="工数_環境_IT" localSheetId="3">SUM(#REF!)</definedName>
    <definedName name="工数_環境_IT">SUM(#REF!)</definedName>
    <definedName name="工数_環境_IT_Android" localSheetId="3">SUM(#REF!)</definedName>
    <definedName name="工数_環境_IT_Android">SUM(#REF!)</definedName>
    <definedName name="工数_環境_IT_iPhone" localSheetId="3">SUM(#REF!)</definedName>
    <definedName name="工数_環境_IT_iPhone">SUM(#REF!)</definedName>
    <definedName name="工数_環境_IT_WEB" localSheetId="3">SUM(#REF!)</definedName>
    <definedName name="工数_環境_IT_WEB">SUM(#REF!)</definedName>
    <definedName name="工数_環境_IT_バッチ" localSheetId="3">SUM(#REF!)</definedName>
    <definedName name="工数_環境_IT_バッチ">SUM(#REF!)</definedName>
    <definedName name="工数_環境_IT仕様書" localSheetId="3">SUM(#REF!)</definedName>
    <definedName name="工数_環境_IT仕様書">SUM(#REF!)</definedName>
    <definedName name="工数_環境_IT仕様書_Android" localSheetId="3">SUM(#REF!)</definedName>
    <definedName name="工数_環境_IT仕様書_Android">SUM(#REF!)</definedName>
    <definedName name="工数_環境_IT仕様書_iPhone" localSheetId="3">SUM(#REF!)</definedName>
    <definedName name="工数_環境_IT仕様書_iPhone">SUM(#REF!)</definedName>
    <definedName name="工数_環境_IT仕様書_WEB" localSheetId="3">SUM(#REF!)</definedName>
    <definedName name="工数_環境_IT仕様書_WEB">SUM(#REF!)</definedName>
    <definedName name="工数_環境_IT仕様書_バッチ" localSheetId="3">SUM(#REF!)</definedName>
    <definedName name="工数_環境_IT仕様書_バッチ">SUM(#REF!)</definedName>
    <definedName name="工数_環境_PT" localSheetId="3">SUM(#REF!)</definedName>
    <definedName name="工数_環境_PT">SUM(#REF!)</definedName>
    <definedName name="工数_環境_PT_Android" localSheetId="3">SUM(#REF!)</definedName>
    <definedName name="工数_環境_PT_Android">SUM(#REF!)</definedName>
    <definedName name="工数_環境_PT_iPhone" localSheetId="3">SUM(#REF!)</definedName>
    <definedName name="工数_環境_PT_iPhone">SUM(#REF!)</definedName>
    <definedName name="工数_環境_PT_WEB" localSheetId="3">SUM(#REF!)</definedName>
    <definedName name="工数_環境_PT_WEB">SUM(#REF!)</definedName>
    <definedName name="工数_環境_PT_バッチ" localSheetId="3">SUM(#REF!)</definedName>
    <definedName name="工数_環境_PT_バッチ">SUM(#REF!)</definedName>
    <definedName name="工数_環境_開発" localSheetId="3">SUM(#REF!)</definedName>
    <definedName name="工数_環境_開発">SUM(#REF!)</definedName>
    <definedName name="工数_環境_開発_Android" localSheetId="3">SUM(#REF!)</definedName>
    <definedName name="工数_環境_開発_Android">SUM(#REF!)</definedName>
    <definedName name="工数_環境_開発_iPhone" localSheetId="3">SUM(#REF!)</definedName>
    <definedName name="工数_環境_開発_iPhone">SUM(#REF!)</definedName>
    <definedName name="工数_環境_開発_WEB" localSheetId="3">SUM(#REF!)</definedName>
    <definedName name="工数_環境_開発_WEB">SUM(#REF!)</definedName>
    <definedName name="工数_環境_開発_バッチ" localSheetId="3">SUM(#REF!)</definedName>
    <definedName name="工数_環境_開発_バッチ">SUM(#REF!)</definedName>
    <definedName name="工数_環境_外部設計" localSheetId="3">SUM(#REF!)</definedName>
    <definedName name="工数_環境_外部設計">SUM(#REF!)</definedName>
    <definedName name="工数_環境_外部設計_Android" localSheetId="3">SUM(#REF!)</definedName>
    <definedName name="工数_環境_外部設計_Android">SUM(#REF!)</definedName>
    <definedName name="工数_環境_外部設計_iPhone" localSheetId="3">SUM(#REF!)</definedName>
    <definedName name="工数_環境_外部設計_iPhone">SUM(#REF!)</definedName>
    <definedName name="工数_環境_外部設計_WEB" localSheetId="3">SUM(#REF!)</definedName>
    <definedName name="工数_環境_外部設計_WEB">SUM(#REF!)</definedName>
    <definedName name="工数_環境_外部設計_バッチ" localSheetId="3">SUM(#REF!)</definedName>
    <definedName name="工数_環境_外部設計_バッチ">SUM(#REF!)</definedName>
    <definedName name="工数_環境_内部設計" localSheetId="3">SUM(#REF!)</definedName>
    <definedName name="工数_環境_内部設計">SUM(#REF!)</definedName>
    <definedName name="工数_環境_内部設計_Android" localSheetId="3">SUM(#REF!)</definedName>
    <definedName name="工数_環境_内部設計_Android">SUM(#REF!)</definedName>
    <definedName name="工数_環境_内部設計_iPhone" localSheetId="3">SUM(#REF!)</definedName>
    <definedName name="工数_環境_内部設計_iPhone">SUM(#REF!)</definedName>
    <definedName name="工数_環境_内部設計_WEB" localSheetId="3">SUM(#REF!)</definedName>
    <definedName name="工数_環境_内部設計_WEB">SUM(#REF!)</definedName>
    <definedName name="工数_環境_内部設計_バッチ" localSheetId="3">SUM(#REF!)</definedName>
    <definedName name="工数_環境_内部設計_バッチ">SUM(#REF!)</definedName>
    <definedName name="工数_帳票_IT" localSheetId="3">SUM(#REF!)</definedName>
    <definedName name="工数_帳票_IT">SUM(#REF!)</definedName>
    <definedName name="工数_帳票_IT_Android" localSheetId="3">SUM(#REF!)</definedName>
    <definedName name="工数_帳票_IT_Android">SUM(#REF!)</definedName>
    <definedName name="工数_帳票_IT_iPhone" localSheetId="3">SUM(#REF!)</definedName>
    <definedName name="工数_帳票_IT_iPhone">SUM(#REF!)</definedName>
    <definedName name="工数_帳票_IT_WEB" localSheetId="3">SUM(#REF!)</definedName>
    <definedName name="工数_帳票_IT_WEB">SUM(#REF!)</definedName>
    <definedName name="工数_帳票_IT_バッチ" localSheetId="3">SUM(#REF!)</definedName>
    <definedName name="工数_帳票_IT_バッチ">SUM(#REF!)</definedName>
    <definedName name="工数_帳票_IT仕様書" localSheetId="3">SUM(#REF!)</definedName>
    <definedName name="工数_帳票_IT仕様書">SUM(#REF!)</definedName>
    <definedName name="工数_帳票_IT仕様書_Android" localSheetId="3">SUM(#REF!)</definedName>
    <definedName name="工数_帳票_IT仕様書_Android">SUM(#REF!)</definedName>
    <definedName name="工数_帳票_IT仕様書_iPhone" localSheetId="3">SUM(#REF!)</definedName>
    <definedName name="工数_帳票_IT仕様書_iPhone">SUM(#REF!)</definedName>
    <definedName name="工数_帳票_IT仕様書_WEB" localSheetId="3">SUM(#REF!)</definedName>
    <definedName name="工数_帳票_IT仕様書_WEB">SUM(#REF!)</definedName>
    <definedName name="工数_帳票_IT仕様書_バッチ" localSheetId="3">SUM(#REF!)</definedName>
    <definedName name="工数_帳票_IT仕様書_バッチ">SUM(#REF!)</definedName>
    <definedName name="工数_帳票_PT" localSheetId="3">SUM(#REF!)</definedName>
    <definedName name="工数_帳票_PT">SUM(#REF!)</definedName>
    <definedName name="工数_帳票_PT_Android" localSheetId="3">SUM(#REF!)</definedName>
    <definedName name="工数_帳票_PT_Android">SUM(#REF!)</definedName>
    <definedName name="工数_帳票_PT_iPhone" localSheetId="3">SUM(#REF!)</definedName>
    <definedName name="工数_帳票_PT_iPhone">SUM(#REF!)</definedName>
    <definedName name="工数_帳票_PT_WEB" localSheetId="3">SUM(#REF!)</definedName>
    <definedName name="工数_帳票_PT_WEB">SUM(#REF!)</definedName>
    <definedName name="工数_帳票_PT_バッチ" localSheetId="3">SUM(#REF!)</definedName>
    <definedName name="工数_帳票_PT_バッチ">SUM(#REF!)</definedName>
    <definedName name="工数_帳票_開発" localSheetId="3">SUM(#REF!)</definedName>
    <definedName name="工数_帳票_開発">SUM(#REF!)</definedName>
    <definedName name="工数_帳票_開発_Android" localSheetId="3">SUM(#REF!)</definedName>
    <definedName name="工数_帳票_開発_Android">SUM(#REF!)</definedName>
    <definedName name="工数_帳票_開発_iPhone" localSheetId="3">SUM(#REF!)</definedName>
    <definedName name="工数_帳票_開発_iPhone">SUM(#REF!)</definedName>
    <definedName name="工数_帳票_開発_WEB" localSheetId="3">SUM(#REF!)</definedName>
    <definedName name="工数_帳票_開発_WEB">SUM(#REF!)</definedName>
    <definedName name="工数_帳票_開発_バッチ" localSheetId="3">SUM(#REF!)</definedName>
    <definedName name="工数_帳票_開発_バッチ">SUM(#REF!)</definedName>
    <definedName name="工数_帳票_外部設計" localSheetId="3">SUM(#REF!)</definedName>
    <definedName name="工数_帳票_外部設計">SUM(#REF!)</definedName>
    <definedName name="工数_帳票_外部設計_Android" localSheetId="3">SUM(#REF!)</definedName>
    <definedName name="工数_帳票_外部設計_Android">SUM(#REF!)</definedName>
    <definedName name="工数_帳票_外部設計_iPhone" localSheetId="3">SUM(#REF!)</definedName>
    <definedName name="工数_帳票_外部設計_iPhone">SUM(#REF!)</definedName>
    <definedName name="工数_帳票_外部設計_WEB" localSheetId="3">SUM(#REF!)</definedName>
    <definedName name="工数_帳票_外部設計_WEB">SUM(#REF!)</definedName>
    <definedName name="工数_帳票_外部設計_バッチ" localSheetId="3">SUM(#REF!)</definedName>
    <definedName name="工数_帳票_外部設計_バッチ">SUM(#REF!)</definedName>
    <definedName name="工数_帳票_内部設計" localSheetId="3">SUM(#REF!)</definedName>
    <definedName name="工数_帳票_内部設計">SUM(#REF!)</definedName>
    <definedName name="工数_帳票_内部設計_Android" localSheetId="3">SUM(#REF!)</definedName>
    <definedName name="工数_帳票_内部設計_Android">SUM(#REF!)</definedName>
    <definedName name="工数_帳票_内部設計_iPhone" localSheetId="3">SUM(#REF!)</definedName>
    <definedName name="工数_帳票_内部設計_iPhone">SUM(#REF!)</definedName>
    <definedName name="工数_帳票_内部設計_WEB" localSheetId="3">SUM(#REF!)</definedName>
    <definedName name="工数_帳票_内部設計_WEB">SUM(#REF!)</definedName>
    <definedName name="工数_帳票_内部設計_バッチ" localSheetId="3">SUM(#REF!)</definedName>
    <definedName name="工数_帳票_内部設計_バッチ">SUM(#REF!)</definedName>
    <definedName name="工数_内部_IT" localSheetId="3">SUM(#REF!)</definedName>
    <definedName name="工数_内部_IT">SUM(#REF!)</definedName>
    <definedName name="工数_内部_IT_Android" localSheetId="3">SUM(#REF!)</definedName>
    <definedName name="工数_内部_IT_Android">SUM(#REF!)</definedName>
    <definedName name="工数_内部_IT_iPhone" localSheetId="3">SUM(#REF!)</definedName>
    <definedName name="工数_内部_IT_iPhone">SUM(#REF!)</definedName>
    <definedName name="工数_内部_IT_WEB" localSheetId="3">SUM(#REF!)</definedName>
    <definedName name="工数_内部_IT_WEB">SUM(#REF!)</definedName>
    <definedName name="工数_内部_IT_バッチ" localSheetId="3">SUM(#REF!)</definedName>
    <definedName name="工数_内部_IT_バッチ">SUM(#REF!)</definedName>
    <definedName name="工数_内部_IT仕様書" localSheetId="3">SUM(#REF!)</definedName>
    <definedName name="工数_内部_IT仕様書">SUM(#REF!)</definedName>
    <definedName name="工数_内部_IT仕様書_Android" localSheetId="3">SUM(#REF!)</definedName>
    <definedName name="工数_内部_IT仕様書_Android">SUM(#REF!)</definedName>
    <definedName name="工数_内部_IT仕様書_iPhone" localSheetId="3">SUM(#REF!)</definedName>
    <definedName name="工数_内部_IT仕様書_iPhone">SUM(#REF!)</definedName>
    <definedName name="工数_内部_IT仕様書_WEB" localSheetId="3">SUM(#REF!)</definedName>
    <definedName name="工数_内部_IT仕様書_WEB">SUM(#REF!)</definedName>
    <definedName name="工数_内部_IT仕様書_バッチ" localSheetId="3">SUM(#REF!)</definedName>
    <definedName name="工数_内部_IT仕様書_バッチ">SUM(#REF!)</definedName>
    <definedName name="工数_内部_PT" localSheetId="3">SUM(#REF!)</definedName>
    <definedName name="工数_内部_PT">SUM(#REF!)</definedName>
    <definedName name="工数_内部_PT_Android" localSheetId="3">SUM(#REF!)</definedName>
    <definedName name="工数_内部_PT_Android">SUM(#REF!)</definedName>
    <definedName name="工数_内部_PT_iPhone" localSheetId="3">SUM(#REF!)</definedName>
    <definedName name="工数_内部_PT_iPhone">SUM(#REF!)</definedName>
    <definedName name="工数_内部_PT_WEB" localSheetId="3">SUM(#REF!)</definedName>
    <definedName name="工数_内部_PT_WEB">SUM(#REF!)</definedName>
    <definedName name="工数_内部_PT_バッチ" localSheetId="3">SUM(#REF!)</definedName>
    <definedName name="工数_内部_PT_バッチ">SUM(#REF!)</definedName>
    <definedName name="工数_内部_開発" localSheetId="3">SUM(#REF!)</definedName>
    <definedName name="工数_内部_開発">SUM(#REF!)</definedName>
    <definedName name="工数_内部_開発_Android" localSheetId="3">SUM(#REF!)</definedName>
    <definedName name="工数_内部_開発_Android">SUM(#REF!)</definedName>
    <definedName name="工数_内部_開発_iPhone" localSheetId="3">SUM(#REF!)</definedName>
    <definedName name="工数_内部_開発_iPhone">SUM(#REF!)</definedName>
    <definedName name="工数_内部_開発_WEB" localSheetId="3">SUM(#REF!)</definedName>
    <definedName name="工数_内部_開発_WEB">SUM(#REF!)</definedName>
    <definedName name="工数_内部_開発_バッチ" localSheetId="3">SUM(#REF!)</definedName>
    <definedName name="工数_内部_開発_バッチ">SUM(#REF!)</definedName>
    <definedName name="工数_内部_外部設計" localSheetId="3">SUM(#REF!)</definedName>
    <definedName name="工数_内部_外部設計">SUM(#REF!)</definedName>
    <definedName name="工数_内部_外部設計_Android" localSheetId="3">SUM(#REF!)</definedName>
    <definedName name="工数_内部_外部設計_Android">SUM(#REF!)</definedName>
    <definedName name="工数_内部_外部設計_iPhone" localSheetId="3">SUM(#REF!)</definedName>
    <definedName name="工数_内部_外部設計_iPhone">SUM(#REF!)</definedName>
    <definedName name="工数_内部_外部設計_WEB" localSheetId="3">SUM(#REF!)</definedName>
    <definedName name="工数_内部_外部設計_WEB">SUM(#REF!)</definedName>
    <definedName name="工数_内部_外部設計_バッチ" localSheetId="3">SUM(#REF!)</definedName>
    <definedName name="工数_内部_外部設計_バッチ">SUM(#REF!)</definedName>
    <definedName name="工数_内部_内部設計" localSheetId="3">SUM(#REF!)</definedName>
    <definedName name="工数_内部_内部設計">SUM(#REF!)</definedName>
    <definedName name="工数_内部_内部設計_Android" localSheetId="3">SUM(#REF!)</definedName>
    <definedName name="工数_内部_内部設計_Android">SUM(#REF!)</definedName>
    <definedName name="工数_内部_内部設計_iPhone" localSheetId="3">SUM(#REF!)</definedName>
    <definedName name="工数_内部_内部設計_iPhone">SUM(#REF!)</definedName>
    <definedName name="工数_内部_内部設計_WEB" localSheetId="3">SUM(#REF!)</definedName>
    <definedName name="工数_内部_内部設計_WEB">SUM(#REF!)</definedName>
    <definedName name="工数_内部_内部設計_バッチ" localSheetId="3">SUM(#REF!)</definedName>
    <definedName name="工数_内部_内部設計_バッチ">SUM(#REF!)</definedName>
    <definedName name="最大ﾚﾋﾞｭｰ密度">#REF!</definedName>
    <definedName name="最大指摘率">#REF!</definedName>
    <definedName name="仕様変更管理＿２" localSheetId="3" hidden="1">{"'Sheet2 (2)'!$AF$67","'Sheet2 (2)'!$A$1:$Z$82"}</definedName>
    <definedName name="仕様変更管理＿２" hidden="1">{"'Sheet2 (2)'!$AF$67","'Sheet2 (2)'!$A$1:$Z$82"}</definedName>
    <definedName name="指摘率基準値">#REF!</definedName>
    <definedName name="指摘率目標値">#REF!</definedName>
    <definedName name="種別" localSheetId="3">#REF!</definedName>
    <definedName name="種別">#REF!</definedName>
    <definedName name="深夜始">#REF!</definedName>
    <definedName name="深夜終">#REF!</definedName>
    <definedName name="成果物一覧２" hidden="1">#REF!</definedName>
    <definedName name="選択リスト用重複Flg">#REF!</definedName>
    <definedName name="難易度" localSheetId="3">#REF!</definedName>
    <definedName name="難易度">[6]見積基準値!$G$5:$G$98</definedName>
    <definedName name="難易度1" localSheetId="3">#REF!</definedName>
    <definedName name="難易度1">#REF!</definedName>
    <definedName name="難易度2" localSheetId="3">#REF!</definedName>
    <definedName name="難易度2">#REF!</definedName>
    <definedName name="難易度3" localSheetId="3">#REF!</definedName>
    <definedName name="難易度3">#REF!</definedName>
    <definedName name="難易度4" localSheetId="3">#REF!</definedName>
    <definedName name="難易度4">#REF!</definedName>
    <definedName name="難易度5" localSheetId="3">#REF!</definedName>
    <definedName name="難易度5">#REF!</definedName>
    <definedName name="分類">#REF!</definedName>
    <definedName name="有価証券売却益" localSheetId="3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3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3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9" l="1"/>
  <c r="F17" i="19"/>
  <c r="E16" i="19"/>
  <c r="E15" i="19"/>
  <c r="E14" i="19"/>
  <c r="E17" i="19" l="1"/>
  <c r="F19" i="19"/>
  <c r="F9" i="12" l="1"/>
  <c r="G9" i="12"/>
  <c r="J9" i="12"/>
  <c r="K4" i="12"/>
  <c r="J13" i="12"/>
  <c r="I13" i="12"/>
  <c r="H13" i="12"/>
  <c r="G13" i="12"/>
  <c r="F13" i="12"/>
  <c r="E13" i="12"/>
  <c r="D13" i="12"/>
  <c r="J12" i="12"/>
  <c r="I12" i="12"/>
  <c r="H12" i="12"/>
  <c r="G12" i="12"/>
  <c r="F12" i="12"/>
  <c r="E12" i="12"/>
  <c r="D12" i="12"/>
  <c r="J11" i="12"/>
  <c r="I11" i="12"/>
  <c r="H11" i="12"/>
  <c r="G11" i="12"/>
  <c r="F11" i="12"/>
  <c r="E11" i="12"/>
  <c r="D11" i="12"/>
  <c r="J10" i="12"/>
  <c r="I10" i="12"/>
  <c r="H10" i="12"/>
  <c r="G10" i="12"/>
  <c r="F10" i="12"/>
  <c r="E10" i="12"/>
  <c r="D10" i="12"/>
  <c r="I9" i="12"/>
  <c r="H9" i="12"/>
  <c r="E9" i="12"/>
  <c r="K10" i="12" l="1"/>
  <c r="K13" i="12"/>
  <c r="K12" i="12"/>
  <c r="K11" i="12"/>
  <c r="D9" i="12"/>
  <c r="K9" i="12" s="1"/>
  <c r="K5" i="12"/>
  <c r="K6" i="12"/>
  <c r="K7" i="12"/>
  <c r="K8" i="12"/>
  <c r="BH2" i="15"/>
  <c r="BC2" i="15"/>
  <c r="AY2" i="15"/>
  <c r="AT2" i="15"/>
  <c r="AP2" i="15"/>
  <c r="BH2" i="11"/>
  <c r="BC2" i="11"/>
  <c r="AY2" i="11"/>
  <c r="AT2" i="11"/>
  <c r="AP2" i="11"/>
  <c r="BY314" i="11" l="1"/>
  <c r="BX314" i="11"/>
  <c r="BW314" i="11"/>
  <c r="BV314" i="11"/>
  <c r="BU314" i="11"/>
  <c r="BT314" i="11"/>
  <c r="BS314" i="11"/>
  <c r="BZ314" i="11" s="1"/>
  <c r="BY313" i="11"/>
  <c r="BX313" i="11"/>
  <c r="BW313" i="11"/>
  <c r="BV313" i="11"/>
  <c r="BU313" i="11"/>
  <c r="BT313" i="11"/>
  <c r="BS313" i="11"/>
  <c r="BY312" i="11"/>
  <c r="BX312" i="11"/>
  <c r="BW312" i="11"/>
  <c r="BV312" i="11"/>
  <c r="BU312" i="11"/>
  <c r="BT312" i="11"/>
  <c r="BS312" i="11"/>
  <c r="BY311" i="11"/>
  <c r="BX311" i="11"/>
  <c r="BW311" i="11"/>
  <c r="BV311" i="11"/>
  <c r="BU311" i="11"/>
  <c r="BT311" i="11"/>
  <c r="BS311" i="11"/>
  <c r="BY310" i="11"/>
  <c r="BX310" i="11"/>
  <c r="BW310" i="11"/>
  <c r="BV310" i="11"/>
  <c r="BU310" i="11"/>
  <c r="BT310" i="11"/>
  <c r="BS310" i="11"/>
  <c r="BY309" i="11"/>
  <c r="BX309" i="11"/>
  <c r="BW309" i="11"/>
  <c r="BV309" i="11"/>
  <c r="BU309" i="11"/>
  <c r="BT309" i="11"/>
  <c r="BS309" i="11"/>
  <c r="BY308" i="11"/>
  <c r="BX308" i="11"/>
  <c r="BW308" i="11"/>
  <c r="BV308" i="11"/>
  <c r="BU308" i="11"/>
  <c r="BT308" i="11"/>
  <c r="BS308" i="11"/>
  <c r="BY307" i="11"/>
  <c r="BX307" i="11"/>
  <c r="BW307" i="11"/>
  <c r="BV307" i="11"/>
  <c r="BU307" i="11"/>
  <c r="BT307" i="11"/>
  <c r="BS307" i="11"/>
  <c r="BY306" i="11"/>
  <c r="BX306" i="11"/>
  <c r="BW306" i="11"/>
  <c r="BV306" i="11"/>
  <c r="BU306" i="11"/>
  <c r="BT306" i="11"/>
  <c r="BS306" i="11"/>
  <c r="BY305" i="11"/>
  <c r="BX305" i="11"/>
  <c r="BW305" i="11"/>
  <c r="BV305" i="11"/>
  <c r="BU305" i="11"/>
  <c r="BT305" i="11"/>
  <c r="BS305" i="11"/>
  <c r="BY304" i="11"/>
  <c r="BX304" i="11"/>
  <c r="BW304" i="11"/>
  <c r="BV304" i="11"/>
  <c r="BU304" i="11"/>
  <c r="BT304" i="11"/>
  <c r="BS304" i="11"/>
  <c r="BY303" i="11"/>
  <c r="BX303" i="11"/>
  <c r="BW303" i="11"/>
  <c r="BV303" i="11"/>
  <c r="BU303" i="11"/>
  <c r="BT303" i="11"/>
  <c r="BS303" i="11"/>
  <c r="BY302" i="11"/>
  <c r="BX302" i="11"/>
  <c r="BW302" i="11"/>
  <c r="BV302" i="11"/>
  <c r="BU302" i="11"/>
  <c r="BT302" i="11"/>
  <c r="BS302" i="11"/>
  <c r="BY301" i="11"/>
  <c r="BX301" i="11"/>
  <c r="BW301" i="11"/>
  <c r="BV301" i="11"/>
  <c r="BU301" i="11"/>
  <c r="BT301" i="11"/>
  <c r="BS301" i="11"/>
  <c r="BY300" i="11"/>
  <c r="BX300" i="11"/>
  <c r="BW300" i="11"/>
  <c r="BV300" i="11"/>
  <c r="BU300" i="11"/>
  <c r="BT300" i="11"/>
  <c r="BS300" i="11"/>
  <c r="BY299" i="11"/>
  <c r="BX299" i="11"/>
  <c r="BW299" i="11"/>
  <c r="BV299" i="11"/>
  <c r="BU299" i="11"/>
  <c r="BT299" i="11"/>
  <c r="BS299" i="11"/>
  <c r="BY298" i="11"/>
  <c r="BX298" i="11"/>
  <c r="BW298" i="11"/>
  <c r="BV298" i="11"/>
  <c r="BU298" i="11"/>
  <c r="BT298" i="11"/>
  <c r="BS298" i="11"/>
  <c r="BY297" i="11"/>
  <c r="BX297" i="11"/>
  <c r="BW297" i="11"/>
  <c r="BV297" i="11"/>
  <c r="BU297" i="11"/>
  <c r="BT297" i="11"/>
  <c r="BS297" i="11"/>
  <c r="BY296" i="11"/>
  <c r="BX296" i="11"/>
  <c r="BW296" i="11"/>
  <c r="BV296" i="11"/>
  <c r="BU296" i="11"/>
  <c r="BT296" i="11"/>
  <c r="BS296" i="11"/>
  <c r="BY295" i="11"/>
  <c r="BX295" i="11"/>
  <c r="BW295" i="11"/>
  <c r="BV295" i="11"/>
  <c r="BU295" i="11"/>
  <c r="BT295" i="11"/>
  <c r="BS295" i="11"/>
  <c r="BY294" i="11"/>
  <c r="BX294" i="11"/>
  <c r="BW294" i="11"/>
  <c r="BV294" i="11"/>
  <c r="BU294" i="11"/>
  <c r="BT294" i="11"/>
  <c r="BS294" i="11"/>
  <c r="BY293" i="11"/>
  <c r="BX293" i="11"/>
  <c r="BW293" i="11"/>
  <c r="BV293" i="11"/>
  <c r="BU293" i="11"/>
  <c r="BT293" i="11"/>
  <c r="BS293" i="11"/>
  <c r="BY292" i="11"/>
  <c r="BX292" i="11"/>
  <c r="BW292" i="11"/>
  <c r="BV292" i="11"/>
  <c r="BU292" i="11"/>
  <c r="BT292" i="11"/>
  <c r="BS292" i="11"/>
  <c r="BY291" i="11"/>
  <c r="BX291" i="11"/>
  <c r="BW291" i="11"/>
  <c r="BV291" i="11"/>
  <c r="BU291" i="11"/>
  <c r="BT291" i="11"/>
  <c r="BS291" i="11"/>
  <c r="BY290" i="11"/>
  <c r="BX290" i="11"/>
  <c r="BW290" i="11"/>
  <c r="BV290" i="11"/>
  <c r="BU290" i="11"/>
  <c r="BT290" i="11"/>
  <c r="BS290" i="11"/>
  <c r="BY289" i="11"/>
  <c r="BX289" i="11"/>
  <c r="BW289" i="11"/>
  <c r="BV289" i="11"/>
  <c r="BU289" i="11"/>
  <c r="BT289" i="11"/>
  <c r="BS289" i="11"/>
  <c r="BY288" i="11"/>
  <c r="BX288" i="11"/>
  <c r="BW288" i="11"/>
  <c r="BV288" i="11"/>
  <c r="BU288" i="11"/>
  <c r="BT288" i="11"/>
  <c r="BS288" i="11"/>
  <c r="BY287" i="11"/>
  <c r="BX287" i="11"/>
  <c r="BW287" i="11"/>
  <c r="BV287" i="11"/>
  <c r="BU287" i="11"/>
  <c r="BT287" i="11"/>
  <c r="BS287" i="11"/>
  <c r="BY286" i="11"/>
  <c r="BX286" i="11"/>
  <c r="BW286" i="11"/>
  <c r="BV286" i="11"/>
  <c r="BU286" i="11"/>
  <c r="BT286" i="11"/>
  <c r="BS286" i="11"/>
  <c r="BY285" i="11"/>
  <c r="BX285" i="11"/>
  <c r="BW285" i="11"/>
  <c r="BV285" i="11"/>
  <c r="BU285" i="11"/>
  <c r="BT285" i="11"/>
  <c r="BS285" i="11"/>
  <c r="BY284" i="11"/>
  <c r="BX284" i="11"/>
  <c r="BW284" i="11"/>
  <c r="BV284" i="11"/>
  <c r="BU284" i="11"/>
  <c r="BT284" i="11"/>
  <c r="BS284" i="11"/>
  <c r="BY283" i="11"/>
  <c r="BX283" i="11"/>
  <c r="BW283" i="11"/>
  <c r="BV283" i="11"/>
  <c r="BU283" i="11"/>
  <c r="BT283" i="11"/>
  <c r="BS283" i="11"/>
  <c r="BY282" i="11"/>
  <c r="BX282" i="11"/>
  <c r="BW282" i="11"/>
  <c r="BV282" i="11"/>
  <c r="BU282" i="11"/>
  <c r="BT282" i="11"/>
  <c r="BS282" i="11"/>
  <c r="BY281" i="11"/>
  <c r="BX281" i="11"/>
  <c r="BW281" i="11"/>
  <c r="BV281" i="11"/>
  <c r="BU281" i="11"/>
  <c r="BT281" i="11"/>
  <c r="BS281" i="11"/>
  <c r="BY280" i="11"/>
  <c r="BX280" i="11"/>
  <c r="BW280" i="11"/>
  <c r="BV280" i="11"/>
  <c r="BU280" i="11"/>
  <c r="BT280" i="11"/>
  <c r="BS280" i="11"/>
  <c r="BY279" i="11"/>
  <c r="BX279" i="11"/>
  <c r="BW279" i="11"/>
  <c r="BV279" i="11"/>
  <c r="BU279" i="11"/>
  <c r="BT279" i="11"/>
  <c r="BS279" i="11"/>
  <c r="BY278" i="11"/>
  <c r="BX278" i="11"/>
  <c r="BW278" i="11"/>
  <c r="BV278" i="11"/>
  <c r="BU278" i="11"/>
  <c r="BT278" i="11"/>
  <c r="BS278" i="11"/>
  <c r="BY277" i="11"/>
  <c r="BX277" i="11"/>
  <c r="BW277" i="11"/>
  <c r="BV277" i="11"/>
  <c r="BU277" i="11"/>
  <c r="BT277" i="11"/>
  <c r="BS277" i="11"/>
  <c r="BY276" i="11"/>
  <c r="BX276" i="11"/>
  <c r="BW276" i="11"/>
  <c r="BV276" i="11"/>
  <c r="BU276" i="11"/>
  <c r="BT276" i="11"/>
  <c r="BS276" i="11"/>
  <c r="BY275" i="11"/>
  <c r="BX275" i="11"/>
  <c r="BW275" i="11"/>
  <c r="BV275" i="11"/>
  <c r="BU275" i="11"/>
  <c r="BT275" i="11"/>
  <c r="BS275" i="11"/>
  <c r="BY274" i="11"/>
  <c r="BX274" i="11"/>
  <c r="BW274" i="11"/>
  <c r="BV274" i="11"/>
  <c r="BU274" i="11"/>
  <c r="BT274" i="11"/>
  <c r="BS274" i="11"/>
  <c r="BY273" i="11"/>
  <c r="BX273" i="11"/>
  <c r="BW273" i="11"/>
  <c r="BV273" i="11"/>
  <c r="BU273" i="11"/>
  <c r="BT273" i="11"/>
  <c r="BS273" i="11"/>
  <c r="BY272" i="11"/>
  <c r="BX272" i="11"/>
  <c r="BW272" i="11"/>
  <c r="BV272" i="11"/>
  <c r="BU272" i="11"/>
  <c r="BT272" i="11"/>
  <c r="BS272" i="11"/>
  <c r="BY271" i="11"/>
  <c r="BX271" i="11"/>
  <c r="BW271" i="11"/>
  <c r="BV271" i="11"/>
  <c r="BU271" i="11"/>
  <c r="BT271" i="11"/>
  <c r="BS271" i="11"/>
  <c r="BY270" i="11"/>
  <c r="BX270" i="11"/>
  <c r="BW270" i="11"/>
  <c r="BV270" i="11"/>
  <c r="BU270" i="11"/>
  <c r="BT270" i="11"/>
  <c r="BS270" i="11"/>
  <c r="BY269" i="11"/>
  <c r="BX269" i="11"/>
  <c r="BW269" i="11"/>
  <c r="BV269" i="11"/>
  <c r="BU269" i="11"/>
  <c r="BT269" i="11"/>
  <c r="BS269" i="11"/>
  <c r="BY268" i="11"/>
  <c r="BX268" i="11"/>
  <c r="BW268" i="11"/>
  <c r="BV268" i="11"/>
  <c r="BU268" i="11"/>
  <c r="BT268" i="11"/>
  <c r="BS268" i="11"/>
  <c r="BY267" i="11"/>
  <c r="BX267" i="11"/>
  <c r="BW267" i="11"/>
  <c r="BV267" i="11"/>
  <c r="BU267" i="11"/>
  <c r="BT267" i="11"/>
  <c r="BS267" i="11"/>
  <c r="BY266" i="11"/>
  <c r="BX266" i="11"/>
  <c r="BW266" i="11"/>
  <c r="BV266" i="11"/>
  <c r="BU266" i="11"/>
  <c r="BT266" i="11"/>
  <c r="BS266" i="11"/>
  <c r="BY265" i="11"/>
  <c r="BX265" i="11"/>
  <c r="BW265" i="11"/>
  <c r="BV265" i="11"/>
  <c r="BU265" i="11"/>
  <c r="BT265" i="11"/>
  <c r="BS265" i="11"/>
  <c r="BY264" i="11"/>
  <c r="BX264" i="11"/>
  <c r="BW264" i="11"/>
  <c r="BV264" i="11"/>
  <c r="BU264" i="11"/>
  <c r="BT264" i="11"/>
  <c r="BS264" i="11"/>
  <c r="BY263" i="11"/>
  <c r="BX263" i="11"/>
  <c r="BW263" i="11"/>
  <c r="BV263" i="11"/>
  <c r="BU263" i="11"/>
  <c r="BT263" i="11"/>
  <c r="BS263" i="11"/>
  <c r="BY262" i="11"/>
  <c r="BX262" i="11"/>
  <c r="BW262" i="11"/>
  <c r="BV262" i="11"/>
  <c r="BU262" i="11"/>
  <c r="BT262" i="11"/>
  <c r="BS262" i="11"/>
  <c r="BY261" i="11"/>
  <c r="BX261" i="11"/>
  <c r="BW261" i="11"/>
  <c r="BV261" i="11"/>
  <c r="BU261" i="11"/>
  <c r="BT261" i="11"/>
  <c r="BS261" i="11"/>
  <c r="BY260" i="11"/>
  <c r="BX260" i="11"/>
  <c r="BW260" i="11"/>
  <c r="BV260" i="11"/>
  <c r="BU260" i="11"/>
  <c r="BT260" i="11"/>
  <c r="BS260" i="11"/>
  <c r="BY259" i="11"/>
  <c r="BX259" i="11"/>
  <c r="BW259" i="11"/>
  <c r="BV259" i="11"/>
  <c r="BU259" i="11"/>
  <c r="BT259" i="11"/>
  <c r="BS259" i="11"/>
  <c r="BY258" i="11"/>
  <c r="BX258" i="11"/>
  <c r="BW258" i="11"/>
  <c r="BV258" i="11"/>
  <c r="BU258" i="11"/>
  <c r="BT258" i="11"/>
  <c r="BS258" i="11"/>
  <c r="BY257" i="11"/>
  <c r="BX257" i="11"/>
  <c r="BW257" i="11"/>
  <c r="BV257" i="11"/>
  <c r="BU257" i="11"/>
  <c r="BT257" i="11"/>
  <c r="BS257" i="11"/>
  <c r="BY256" i="11"/>
  <c r="BX256" i="11"/>
  <c r="BW256" i="11"/>
  <c r="BV256" i="11"/>
  <c r="BU256" i="11"/>
  <c r="BT256" i="11"/>
  <c r="BS256" i="11"/>
  <c r="BY255" i="11"/>
  <c r="BX255" i="11"/>
  <c r="BW255" i="11"/>
  <c r="BV255" i="11"/>
  <c r="BU255" i="11"/>
  <c r="BT255" i="11"/>
  <c r="BS255" i="11"/>
  <c r="BY254" i="11"/>
  <c r="BX254" i="11"/>
  <c r="BW254" i="11"/>
  <c r="BV254" i="11"/>
  <c r="BU254" i="11"/>
  <c r="BT254" i="11"/>
  <c r="BS254" i="11"/>
  <c r="BY253" i="11"/>
  <c r="BX253" i="11"/>
  <c r="BW253" i="11"/>
  <c r="BV253" i="11"/>
  <c r="BU253" i="11"/>
  <c r="BT253" i="11"/>
  <c r="BS253" i="11"/>
  <c r="BY252" i="11"/>
  <c r="BX252" i="11"/>
  <c r="BW252" i="11"/>
  <c r="BV252" i="11"/>
  <c r="BU252" i="11"/>
  <c r="BT252" i="11"/>
  <c r="BS252" i="11"/>
  <c r="BY251" i="11"/>
  <c r="BX251" i="11"/>
  <c r="BW251" i="11"/>
  <c r="BV251" i="11"/>
  <c r="BU251" i="11"/>
  <c r="BT251" i="11"/>
  <c r="BS251" i="11"/>
  <c r="BY250" i="11"/>
  <c r="BX250" i="11"/>
  <c r="BW250" i="11"/>
  <c r="BV250" i="11"/>
  <c r="BU250" i="11"/>
  <c r="BT250" i="11"/>
  <c r="BS250" i="11"/>
  <c r="BY249" i="11"/>
  <c r="BX249" i="11"/>
  <c r="BW249" i="11"/>
  <c r="BV249" i="11"/>
  <c r="BU249" i="11"/>
  <c r="BT249" i="11"/>
  <c r="BS249" i="11"/>
  <c r="BY248" i="11"/>
  <c r="BX248" i="11"/>
  <c r="BW248" i="11"/>
  <c r="BV248" i="11"/>
  <c r="BU248" i="11"/>
  <c r="BT248" i="11"/>
  <c r="BS248" i="11"/>
  <c r="BY247" i="11"/>
  <c r="BX247" i="11"/>
  <c r="BW247" i="11"/>
  <c r="BV247" i="11"/>
  <c r="BU247" i="11"/>
  <c r="BT247" i="11"/>
  <c r="BS247" i="11"/>
  <c r="BY246" i="11"/>
  <c r="BX246" i="11"/>
  <c r="BW246" i="11"/>
  <c r="BV246" i="11"/>
  <c r="BU246" i="11"/>
  <c r="BT246" i="11"/>
  <c r="BS246" i="11"/>
  <c r="BY245" i="11"/>
  <c r="BX245" i="11"/>
  <c r="BW245" i="11"/>
  <c r="BV245" i="11"/>
  <c r="BU245" i="11"/>
  <c r="BT245" i="11"/>
  <c r="BS245" i="11"/>
  <c r="BY244" i="11"/>
  <c r="BX244" i="11"/>
  <c r="BW244" i="11"/>
  <c r="BV244" i="11"/>
  <c r="BU244" i="11"/>
  <c r="BT244" i="11"/>
  <c r="BS244" i="11"/>
  <c r="BY243" i="11"/>
  <c r="BX243" i="11"/>
  <c r="BW243" i="11"/>
  <c r="BV243" i="11"/>
  <c r="BU243" i="11"/>
  <c r="BT243" i="11"/>
  <c r="BS243" i="11"/>
  <c r="BY242" i="11"/>
  <c r="BX242" i="11"/>
  <c r="BW242" i="11"/>
  <c r="BV242" i="11"/>
  <c r="BU242" i="11"/>
  <c r="BT242" i="11"/>
  <c r="BS242" i="11"/>
  <c r="BY241" i="11"/>
  <c r="BX241" i="11"/>
  <c r="BW241" i="11"/>
  <c r="BV241" i="11"/>
  <c r="BU241" i="11"/>
  <c r="BT241" i="11"/>
  <c r="BS241" i="11"/>
  <c r="BY240" i="11"/>
  <c r="BX240" i="11"/>
  <c r="BW240" i="11"/>
  <c r="BV240" i="11"/>
  <c r="BU240" i="11"/>
  <c r="BT240" i="11"/>
  <c r="BS240" i="11"/>
  <c r="BY239" i="11"/>
  <c r="BX239" i="11"/>
  <c r="BW239" i="11"/>
  <c r="BV239" i="11"/>
  <c r="BU239" i="11"/>
  <c r="BT239" i="11"/>
  <c r="BS239" i="11"/>
  <c r="BY238" i="11"/>
  <c r="BX238" i="11"/>
  <c r="BW238" i="11"/>
  <c r="BV238" i="11"/>
  <c r="BU238" i="11"/>
  <c r="BT238" i="11"/>
  <c r="BS238" i="11"/>
  <c r="BY237" i="11"/>
  <c r="BX237" i="11"/>
  <c r="BW237" i="11"/>
  <c r="BV237" i="11"/>
  <c r="BU237" i="11"/>
  <c r="BT237" i="11"/>
  <c r="BS237" i="11"/>
  <c r="BY236" i="11"/>
  <c r="BX236" i="11"/>
  <c r="BW236" i="11"/>
  <c r="BV236" i="11"/>
  <c r="BU236" i="11"/>
  <c r="BT236" i="11"/>
  <c r="BS236" i="11"/>
  <c r="BY235" i="11"/>
  <c r="BX235" i="11"/>
  <c r="BW235" i="11"/>
  <c r="BV235" i="11"/>
  <c r="BU235" i="11"/>
  <c r="BT235" i="11"/>
  <c r="BS235" i="11"/>
  <c r="BY234" i="11"/>
  <c r="BX234" i="11"/>
  <c r="BW234" i="11"/>
  <c r="BV234" i="11"/>
  <c r="BU234" i="11"/>
  <c r="BT234" i="11"/>
  <c r="BS234" i="11"/>
  <c r="BY233" i="11"/>
  <c r="BX233" i="11"/>
  <c r="BW233" i="11"/>
  <c r="BV233" i="11"/>
  <c r="BU233" i="11"/>
  <c r="BT233" i="11"/>
  <c r="BS233" i="11"/>
  <c r="BY232" i="11"/>
  <c r="BX232" i="11"/>
  <c r="BW232" i="11"/>
  <c r="BV232" i="11"/>
  <c r="BU232" i="11"/>
  <c r="BT232" i="11"/>
  <c r="BS232" i="11"/>
  <c r="BY231" i="11"/>
  <c r="BX231" i="11"/>
  <c r="BW231" i="11"/>
  <c r="BV231" i="11"/>
  <c r="BU231" i="11"/>
  <c r="BT231" i="11"/>
  <c r="BS231" i="11"/>
  <c r="BY230" i="11"/>
  <c r="BX230" i="11"/>
  <c r="BW230" i="11"/>
  <c r="BV230" i="11"/>
  <c r="BU230" i="11"/>
  <c r="BT230" i="11"/>
  <c r="BS230" i="11"/>
  <c r="BY229" i="11"/>
  <c r="BX229" i="11"/>
  <c r="BW229" i="11"/>
  <c r="BV229" i="11"/>
  <c r="BU229" i="11"/>
  <c r="BT229" i="11"/>
  <c r="BS229" i="11"/>
  <c r="BY228" i="11"/>
  <c r="BX228" i="11"/>
  <c r="BW228" i="11"/>
  <c r="BV228" i="11"/>
  <c r="BU228" i="11"/>
  <c r="BT228" i="11"/>
  <c r="BS228" i="11"/>
  <c r="BY227" i="11"/>
  <c r="BX227" i="11"/>
  <c r="BW227" i="11"/>
  <c r="BV227" i="11"/>
  <c r="BU227" i="11"/>
  <c r="BT227" i="11"/>
  <c r="BS227" i="11"/>
  <c r="BY226" i="11"/>
  <c r="BX226" i="11"/>
  <c r="BW226" i="11"/>
  <c r="BV226" i="11"/>
  <c r="BU226" i="11"/>
  <c r="BT226" i="11"/>
  <c r="BS226" i="11"/>
  <c r="BY225" i="11"/>
  <c r="BX225" i="11"/>
  <c r="BW225" i="11"/>
  <c r="BV225" i="11"/>
  <c r="BU225" i="11"/>
  <c r="BT225" i="11"/>
  <c r="BS225" i="11"/>
  <c r="BY224" i="11"/>
  <c r="BX224" i="11"/>
  <c r="BW224" i="11"/>
  <c r="BV224" i="11"/>
  <c r="BU224" i="11"/>
  <c r="BT224" i="11"/>
  <c r="BS224" i="11"/>
  <c r="BY223" i="11"/>
  <c r="BX223" i="11"/>
  <c r="BW223" i="11"/>
  <c r="BV223" i="11"/>
  <c r="BU223" i="11"/>
  <c r="BT223" i="11"/>
  <c r="BS223" i="11"/>
  <c r="BY222" i="11"/>
  <c r="BX222" i="11"/>
  <c r="BW222" i="11"/>
  <c r="BV222" i="11"/>
  <c r="BU222" i="11"/>
  <c r="BT222" i="11"/>
  <c r="BS222" i="11"/>
  <c r="BY221" i="11"/>
  <c r="BX221" i="11"/>
  <c r="BW221" i="11"/>
  <c r="BV221" i="11"/>
  <c r="BU221" i="11"/>
  <c r="BT221" i="11"/>
  <c r="BS221" i="11"/>
  <c r="BY220" i="11"/>
  <c r="BX220" i="11"/>
  <c r="BW220" i="11"/>
  <c r="BV220" i="11"/>
  <c r="BU220" i="11"/>
  <c r="BT220" i="11"/>
  <c r="BS220" i="11"/>
  <c r="BY219" i="11"/>
  <c r="BX219" i="11"/>
  <c r="BW219" i="11"/>
  <c r="BV219" i="11"/>
  <c r="BU219" i="11"/>
  <c r="BT219" i="11"/>
  <c r="BS219" i="11"/>
  <c r="BY218" i="11"/>
  <c r="BX218" i="11"/>
  <c r="BW218" i="11"/>
  <c r="BV218" i="11"/>
  <c r="BU218" i="11"/>
  <c r="BT218" i="11"/>
  <c r="BS218" i="11"/>
  <c r="BY217" i="11"/>
  <c r="BX217" i="11"/>
  <c r="BW217" i="11"/>
  <c r="BV217" i="11"/>
  <c r="BU217" i="11"/>
  <c r="BT217" i="11"/>
  <c r="BS217" i="11"/>
  <c r="BY216" i="11"/>
  <c r="BX216" i="11"/>
  <c r="BW216" i="11"/>
  <c r="BV216" i="11"/>
  <c r="BU216" i="11"/>
  <c r="BT216" i="11"/>
  <c r="BS216" i="11"/>
  <c r="BY215" i="11"/>
  <c r="BX215" i="11"/>
  <c r="BW215" i="11"/>
  <c r="BV215" i="11"/>
  <c r="BU215" i="11"/>
  <c r="BT215" i="11"/>
  <c r="BS215" i="11"/>
  <c r="BY214" i="11"/>
  <c r="BX214" i="11"/>
  <c r="BW214" i="11"/>
  <c r="BV214" i="11"/>
  <c r="BU214" i="11"/>
  <c r="BT214" i="11"/>
  <c r="BS214" i="11"/>
  <c r="BY213" i="11"/>
  <c r="BX213" i="11"/>
  <c r="BW213" i="11"/>
  <c r="BV213" i="11"/>
  <c r="BU213" i="11"/>
  <c r="BT213" i="11"/>
  <c r="BS213" i="11"/>
  <c r="BY212" i="11"/>
  <c r="BX212" i="11"/>
  <c r="BW212" i="11"/>
  <c r="BV212" i="11"/>
  <c r="BU212" i="11"/>
  <c r="BT212" i="11"/>
  <c r="BS212" i="11"/>
  <c r="BY211" i="11"/>
  <c r="BX211" i="11"/>
  <c r="BW211" i="11"/>
  <c r="BV211" i="11"/>
  <c r="BU211" i="11"/>
  <c r="BT211" i="11"/>
  <c r="BS211" i="11"/>
  <c r="BY210" i="11"/>
  <c r="BX210" i="11"/>
  <c r="BW210" i="11"/>
  <c r="BV210" i="11"/>
  <c r="BU210" i="11"/>
  <c r="BT210" i="11"/>
  <c r="BS210" i="11"/>
  <c r="BY209" i="11"/>
  <c r="BX209" i="11"/>
  <c r="BW209" i="11"/>
  <c r="BV209" i="11"/>
  <c r="BU209" i="11"/>
  <c r="BT209" i="11"/>
  <c r="BS209" i="11"/>
  <c r="BY208" i="11"/>
  <c r="BX208" i="11"/>
  <c r="BW208" i="11"/>
  <c r="BV208" i="11"/>
  <c r="BU208" i="11"/>
  <c r="BT208" i="11"/>
  <c r="BS208" i="11"/>
  <c r="BY207" i="11"/>
  <c r="BX207" i="11"/>
  <c r="BW207" i="11"/>
  <c r="BV207" i="11"/>
  <c r="BU207" i="11"/>
  <c r="BT207" i="11"/>
  <c r="BS207" i="11"/>
  <c r="BY206" i="11"/>
  <c r="BX206" i="11"/>
  <c r="BW206" i="11"/>
  <c r="BV206" i="11"/>
  <c r="BU206" i="11"/>
  <c r="BT206" i="11"/>
  <c r="BS206" i="11"/>
  <c r="BY205" i="11"/>
  <c r="BX205" i="11"/>
  <c r="BW205" i="11"/>
  <c r="BV205" i="11"/>
  <c r="BU205" i="11"/>
  <c r="BT205" i="11"/>
  <c r="BS205" i="11"/>
  <c r="BY204" i="11"/>
  <c r="BX204" i="11"/>
  <c r="BW204" i="11"/>
  <c r="BV204" i="11"/>
  <c r="BU204" i="11"/>
  <c r="BT204" i="11"/>
  <c r="BS204" i="11"/>
  <c r="BY203" i="11"/>
  <c r="BX203" i="11"/>
  <c r="BW203" i="11"/>
  <c r="BV203" i="11"/>
  <c r="BU203" i="11"/>
  <c r="BT203" i="11"/>
  <c r="BS203" i="11"/>
  <c r="BY202" i="11"/>
  <c r="BX202" i="11"/>
  <c r="BW202" i="11"/>
  <c r="BV202" i="11"/>
  <c r="BU202" i="11"/>
  <c r="BT202" i="11"/>
  <c r="BS202" i="11"/>
  <c r="BY201" i="11"/>
  <c r="BX201" i="11"/>
  <c r="BW201" i="11"/>
  <c r="BV201" i="11"/>
  <c r="BU201" i="11"/>
  <c r="BT201" i="11"/>
  <c r="BS201" i="11"/>
  <c r="BY200" i="11"/>
  <c r="BX200" i="11"/>
  <c r="BW200" i="11"/>
  <c r="BV200" i="11"/>
  <c r="BU200" i="11"/>
  <c r="BT200" i="11"/>
  <c r="BS200" i="11"/>
  <c r="BY199" i="11"/>
  <c r="BX199" i="11"/>
  <c r="BW199" i="11"/>
  <c r="BV199" i="11"/>
  <c r="BU199" i="11"/>
  <c r="BT199" i="11"/>
  <c r="BS199" i="11"/>
  <c r="BY198" i="11"/>
  <c r="BX198" i="11"/>
  <c r="BW198" i="11"/>
  <c r="BV198" i="11"/>
  <c r="BU198" i="11"/>
  <c r="BT198" i="11"/>
  <c r="BS198" i="11"/>
  <c r="BY197" i="11"/>
  <c r="BX197" i="11"/>
  <c r="BW197" i="11"/>
  <c r="BV197" i="11"/>
  <c r="BU197" i="11"/>
  <c r="BT197" i="11"/>
  <c r="BS197" i="11"/>
  <c r="BY196" i="11"/>
  <c r="BX196" i="11"/>
  <c r="BW196" i="11"/>
  <c r="BV196" i="11"/>
  <c r="BU196" i="11"/>
  <c r="BT196" i="11"/>
  <c r="BS196" i="11"/>
  <c r="BY195" i="11"/>
  <c r="BX195" i="11"/>
  <c r="BW195" i="11"/>
  <c r="BV195" i="11"/>
  <c r="BU195" i="11"/>
  <c r="BT195" i="11"/>
  <c r="BS195" i="11"/>
  <c r="BY194" i="11"/>
  <c r="BX194" i="11"/>
  <c r="BW194" i="11"/>
  <c r="BV194" i="11"/>
  <c r="BU194" i="11"/>
  <c r="BT194" i="11"/>
  <c r="BS194" i="11"/>
  <c r="BY193" i="11"/>
  <c r="BX193" i="11"/>
  <c r="BW193" i="11"/>
  <c r="BV193" i="11"/>
  <c r="BU193" i="11"/>
  <c r="BT193" i="11"/>
  <c r="BS193" i="11"/>
  <c r="BY192" i="11"/>
  <c r="BX192" i="11"/>
  <c r="BW192" i="11"/>
  <c r="BV192" i="11"/>
  <c r="BU192" i="11"/>
  <c r="BT192" i="11"/>
  <c r="BS192" i="11"/>
  <c r="BY191" i="11"/>
  <c r="BX191" i="11"/>
  <c r="BW191" i="11"/>
  <c r="BV191" i="11"/>
  <c r="BU191" i="11"/>
  <c r="BT191" i="11"/>
  <c r="BS191" i="11"/>
  <c r="BY190" i="11"/>
  <c r="BX190" i="11"/>
  <c r="BW190" i="11"/>
  <c r="BV190" i="11"/>
  <c r="BU190" i="11"/>
  <c r="BT190" i="11"/>
  <c r="BS190" i="11"/>
  <c r="BY189" i="11"/>
  <c r="BX189" i="11"/>
  <c r="BW189" i="11"/>
  <c r="BV189" i="11"/>
  <c r="BU189" i="11"/>
  <c r="BT189" i="11"/>
  <c r="BS189" i="11"/>
  <c r="BY188" i="11"/>
  <c r="BX188" i="11"/>
  <c r="BW188" i="11"/>
  <c r="BV188" i="11"/>
  <c r="BU188" i="11"/>
  <c r="BT188" i="11"/>
  <c r="BS188" i="11"/>
  <c r="BY187" i="11"/>
  <c r="BX187" i="11"/>
  <c r="BW187" i="11"/>
  <c r="BV187" i="11"/>
  <c r="BU187" i="11"/>
  <c r="BT187" i="11"/>
  <c r="BS187" i="11"/>
  <c r="BY186" i="11"/>
  <c r="BX186" i="11"/>
  <c r="BW186" i="11"/>
  <c r="BV186" i="11"/>
  <c r="BU186" i="11"/>
  <c r="BT186" i="11"/>
  <c r="BS186" i="11"/>
  <c r="BY185" i="11"/>
  <c r="BX185" i="11"/>
  <c r="BW185" i="11"/>
  <c r="BV185" i="11"/>
  <c r="BU185" i="11"/>
  <c r="BT185" i="11"/>
  <c r="BS185" i="11"/>
  <c r="BY184" i="11"/>
  <c r="BX184" i="11"/>
  <c r="BW184" i="11"/>
  <c r="BV184" i="11"/>
  <c r="BU184" i="11"/>
  <c r="BT184" i="11"/>
  <c r="BS184" i="11"/>
  <c r="BY183" i="11"/>
  <c r="BX183" i="11"/>
  <c r="BW183" i="11"/>
  <c r="BV183" i="11"/>
  <c r="BU183" i="11"/>
  <c r="BT183" i="11"/>
  <c r="BS183" i="11"/>
  <c r="BY182" i="11"/>
  <c r="BX182" i="11"/>
  <c r="BW182" i="11"/>
  <c r="BV182" i="11"/>
  <c r="BU182" i="11"/>
  <c r="BT182" i="11"/>
  <c r="BS182" i="11"/>
  <c r="BY181" i="11"/>
  <c r="BX181" i="11"/>
  <c r="BW181" i="11"/>
  <c r="BV181" i="11"/>
  <c r="BU181" i="11"/>
  <c r="BT181" i="11"/>
  <c r="BS181" i="11"/>
  <c r="BY180" i="11"/>
  <c r="BX180" i="11"/>
  <c r="BW180" i="11"/>
  <c r="BV180" i="11"/>
  <c r="BU180" i="11"/>
  <c r="BT180" i="11"/>
  <c r="BS180" i="11"/>
  <c r="BY179" i="11"/>
  <c r="BX179" i="11"/>
  <c r="BW179" i="11"/>
  <c r="BV179" i="11"/>
  <c r="BU179" i="11"/>
  <c r="BT179" i="11"/>
  <c r="BS179" i="11"/>
  <c r="BY178" i="11"/>
  <c r="BX178" i="11"/>
  <c r="BW178" i="11"/>
  <c r="BV178" i="11"/>
  <c r="BU178" i="11"/>
  <c r="BT178" i="11"/>
  <c r="BS178" i="11"/>
  <c r="BY177" i="11"/>
  <c r="BX177" i="11"/>
  <c r="BW177" i="11"/>
  <c r="BV177" i="11"/>
  <c r="BU177" i="11"/>
  <c r="BT177" i="11"/>
  <c r="BS177" i="11"/>
  <c r="BY176" i="11"/>
  <c r="BX176" i="11"/>
  <c r="BW176" i="11"/>
  <c r="BV176" i="11"/>
  <c r="BU176" i="11"/>
  <c r="BT176" i="11"/>
  <c r="BS176" i="11"/>
  <c r="BY175" i="11"/>
  <c r="BX175" i="11"/>
  <c r="BW175" i="11"/>
  <c r="BV175" i="11"/>
  <c r="BU175" i="11"/>
  <c r="BT175" i="11"/>
  <c r="BS175" i="11"/>
  <c r="BY174" i="11"/>
  <c r="BX174" i="11"/>
  <c r="BW174" i="11"/>
  <c r="BV174" i="11"/>
  <c r="BU174" i="11"/>
  <c r="BT174" i="11"/>
  <c r="BS174" i="11"/>
  <c r="BY173" i="11"/>
  <c r="BX173" i="11"/>
  <c r="BW173" i="11"/>
  <c r="BV173" i="11"/>
  <c r="BU173" i="11"/>
  <c r="BT173" i="11"/>
  <c r="BS173" i="11"/>
  <c r="BY172" i="11"/>
  <c r="BX172" i="11"/>
  <c r="BW172" i="11"/>
  <c r="BV172" i="11"/>
  <c r="BU172" i="11"/>
  <c r="BT172" i="11"/>
  <c r="BS172" i="11"/>
  <c r="BY171" i="11"/>
  <c r="BX171" i="11"/>
  <c r="BW171" i="11"/>
  <c r="BV171" i="11"/>
  <c r="BU171" i="11"/>
  <c r="BT171" i="11"/>
  <c r="BS171" i="11"/>
  <c r="BY170" i="11"/>
  <c r="BX170" i="11"/>
  <c r="BW170" i="11"/>
  <c r="BV170" i="11"/>
  <c r="BU170" i="11"/>
  <c r="BT170" i="11"/>
  <c r="BS170" i="11"/>
  <c r="BY169" i="11"/>
  <c r="BX169" i="11"/>
  <c r="BW169" i="11"/>
  <c r="BV169" i="11"/>
  <c r="BU169" i="11"/>
  <c r="BT169" i="11"/>
  <c r="BS169" i="11"/>
  <c r="BY168" i="11"/>
  <c r="BX168" i="11"/>
  <c r="BW168" i="11"/>
  <c r="BV168" i="11"/>
  <c r="BU168" i="11"/>
  <c r="BT168" i="11"/>
  <c r="BS168" i="11"/>
  <c r="BY167" i="11"/>
  <c r="BX167" i="11"/>
  <c r="BW167" i="11"/>
  <c r="BV167" i="11"/>
  <c r="BU167" i="11"/>
  <c r="BT167" i="11"/>
  <c r="BS167" i="11"/>
  <c r="BY166" i="11"/>
  <c r="BX166" i="11"/>
  <c r="BW166" i="11"/>
  <c r="BV166" i="11"/>
  <c r="BU166" i="11"/>
  <c r="BT166" i="11"/>
  <c r="BS166" i="11"/>
  <c r="BY165" i="11"/>
  <c r="BX165" i="11"/>
  <c r="BW165" i="11"/>
  <c r="BV165" i="11"/>
  <c r="BU165" i="11"/>
  <c r="BT165" i="11"/>
  <c r="BS165" i="11"/>
  <c r="BY164" i="11"/>
  <c r="BX164" i="11"/>
  <c r="BW164" i="11"/>
  <c r="BV164" i="11"/>
  <c r="BU164" i="11"/>
  <c r="BT164" i="11"/>
  <c r="BS164" i="11"/>
  <c r="BY163" i="11"/>
  <c r="BX163" i="11"/>
  <c r="BW163" i="11"/>
  <c r="BV163" i="11"/>
  <c r="BU163" i="11"/>
  <c r="BT163" i="11"/>
  <c r="BS163" i="11"/>
  <c r="BY162" i="11"/>
  <c r="BX162" i="11"/>
  <c r="BW162" i="11"/>
  <c r="BV162" i="11"/>
  <c r="BU162" i="11"/>
  <c r="BT162" i="11"/>
  <c r="BS162" i="11"/>
  <c r="BY161" i="11"/>
  <c r="BX161" i="11"/>
  <c r="BW161" i="11"/>
  <c r="BV161" i="11"/>
  <c r="BU161" i="11"/>
  <c r="BT161" i="11"/>
  <c r="BS161" i="11"/>
  <c r="BY160" i="11"/>
  <c r="BX160" i="11"/>
  <c r="BW160" i="11"/>
  <c r="BV160" i="11"/>
  <c r="BU160" i="11"/>
  <c r="BT160" i="11"/>
  <c r="BS160" i="11"/>
  <c r="BY159" i="11"/>
  <c r="BX159" i="11"/>
  <c r="BW159" i="11"/>
  <c r="BV159" i="11"/>
  <c r="BU159" i="11"/>
  <c r="BT159" i="11"/>
  <c r="BS159" i="11"/>
  <c r="BY158" i="11"/>
  <c r="BX158" i="11"/>
  <c r="BW158" i="11"/>
  <c r="BV158" i="11"/>
  <c r="BU158" i="11"/>
  <c r="BT158" i="11"/>
  <c r="BS158" i="11"/>
  <c r="BY157" i="11"/>
  <c r="BX157" i="11"/>
  <c r="BW157" i="11"/>
  <c r="BV157" i="11"/>
  <c r="BU157" i="11"/>
  <c r="BT157" i="11"/>
  <c r="BS157" i="11"/>
  <c r="BY156" i="11"/>
  <c r="BX156" i="11"/>
  <c r="BW156" i="11"/>
  <c r="BV156" i="11"/>
  <c r="BU156" i="11"/>
  <c r="BT156" i="11"/>
  <c r="BS156" i="11"/>
  <c r="BY155" i="11"/>
  <c r="BX155" i="11"/>
  <c r="BW155" i="11"/>
  <c r="BV155" i="11"/>
  <c r="BU155" i="11"/>
  <c r="BT155" i="11"/>
  <c r="BS155" i="11"/>
  <c r="BY154" i="11"/>
  <c r="BX154" i="11"/>
  <c r="BW154" i="11"/>
  <c r="BV154" i="11"/>
  <c r="BU154" i="11"/>
  <c r="BT154" i="11"/>
  <c r="BS154" i="11"/>
  <c r="BY153" i="11"/>
  <c r="BX153" i="11"/>
  <c r="BW153" i="11"/>
  <c r="BV153" i="11"/>
  <c r="BU153" i="11"/>
  <c r="BT153" i="11"/>
  <c r="BS153" i="11"/>
  <c r="BY152" i="11"/>
  <c r="BX152" i="11"/>
  <c r="BW152" i="11"/>
  <c r="BV152" i="11"/>
  <c r="BU152" i="11"/>
  <c r="BT152" i="11"/>
  <c r="BS152" i="11"/>
  <c r="BY151" i="11"/>
  <c r="BX151" i="11"/>
  <c r="BW151" i="11"/>
  <c r="BV151" i="11"/>
  <c r="BU151" i="11"/>
  <c r="BT151" i="11"/>
  <c r="BS151" i="11"/>
  <c r="BY150" i="11"/>
  <c r="BX150" i="11"/>
  <c r="BW150" i="11"/>
  <c r="BV150" i="11"/>
  <c r="BU150" i="11"/>
  <c r="BT150" i="11"/>
  <c r="BS150" i="11"/>
  <c r="BY149" i="11"/>
  <c r="BX149" i="11"/>
  <c r="BW149" i="11"/>
  <c r="BV149" i="11"/>
  <c r="BU149" i="11"/>
  <c r="BT149" i="11"/>
  <c r="BS149" i="11"/>
  <c r="BY148" i="11"/>
  <c r="BX148" i="11"/>
  <c r="BW148" i="11"/>
  <c r="BV148" i="11"/>
  <c r="BU148" i="11"/>
  <c r="BT148" i="11"/>
  <c r="BS148" i="11"/>
  <c r="BY147" i="11"/>
  <c r="BX147" i="11"/>
  <c r="BW147" i="11"/>
  <c r="BV147" i="11"/>
  <c r="BU147" i="11"/>
  <c r="BT147" i="11"/>
  <c r="BS147" i="11"/>
  <c r="BY146" i="11"/>
  <c r="BX146" i="11"/>
  <c r="BW146" i="11"/>
  <c r="BV146" i="11"/>
  <c r="BU146" i="11"/>
  <c r="BT146" i="11"/>
  <c r="BS146" i="11"/>
  <c r="BY145" i="11"/>
  <c r="BX145" i="11"/>
  <c r="BW145" i="11"/>
  <c r="BV145" i="11"/>
  <c r="BU145" i="11"/>
  <c r="BT145" i="11"/>
  <c r="BS145" i="11"/>
  <c r="BY144" i="11"/>
  <c r="BX144" i="11"/>
  <c r="BW144" i="11"/>
  <c r="BV144" i="11"/>
  <c r="BU144" i="11"/>
  <c r="BT144" i="11"/>
  <c r="BS144" i="11"/>
  <c r="BY143" i="11"/>
  <c r="BX143" i="11"/>
  <c r="BW143" i="11"/>
  <c r="BV143" i="11"/>
  <c r="BU143" i="11"/>
  <c r="BT143" i="11"/>
  <c r="BS143" i="11"/>
  <c r="BY142" i="11"/>
  <c r="BX142" i="11"/>
  <c r="BW142" i="11"/>
  <c r="BV142" i="11"/>
  <c r="BU142" i="11"/>
  <c r="BT142" i="11"/>
  <c r="BS142" i="11"/>
  <c r="BY141" i="11"/>
  <c r="BX141" i="11"/>
  <c r="BW141" i="11"/>
  <c r="BV141" i="11"/>
  <c r="BU141" i="11"/>
  <c r="BT141" i="11"/>
  <c r="BS141" i="11"/>
  <c r="BY140" i="11"/>
  <c r="BX140" i="11"/>
  <c r="BW140" i="11"/>
  <c r="BV140" i="11"/>
  <c r="BU140" i="11"/>
  <c r="BT140" i="11"/>
  <c r="BS140" i="11"/>
  <c r="BY139" i="11"/>
  <c r="BX139" i="11"/>
  <c r="BW139" i="11"/>
  <c r="BV139" i="11"/>
  <c r="BU139" i="11"/>
  <c r="BT139" i="11"/>
  <c r="BS139" i="11"/>
  <c r="BY138" i="11"/>
  <c r="BX138" i="11"/>
  <c r="BW138" i="11"/>
  <c r="BV138" i="11"/>
  <c r="BU138" i="11"/>
  <c r="BT138" i="11"/>
  <c r="BS138" i="11"/>
  <c r="BY137" i="11"/>
  <c r="BX137" i="11"/>
  <c r="BW137" i="11"/>
  <c r="BV137" i="11"/>
  <c r="BU137" i="11"/>
  <c r="BT137" i="11"/>
  <c r="BS137" i="11"/>
  <c r="BY136" i="11"/>
  <c r="BX136" i="11"/>
  <c r="BW136" i="11"/>
  <c r="BV136" i="11"/>
  <c r="BU136" i="11"/>
  <c r="BT136" i="11"/>
  <c r="BS136" i="11"/>
  <c r="BY135" i="11"/>
  <c r="BX135" i="11"/>
  <c r="BW135" i="11"/>
  <c r="BV135" i="11"/>
  <c r="BU135" i="11"/>
  <c r="BT135" i="11"/>
  <c r="BS135" i="11"/>
  <c r="BY134" i="11"/>
  <c r="BX134" i="11"/>
  <c r="BW134" i="11"/>
  <c r="BV134" i="11"/>
  <c r="BU134" i="11"/>
  <c r="BT134" i="11"/>
  <c r="BS134" i="11"/>
  <c r="BY133" i="11"/>
  <c r="BX133" i="11"/>
  <c r="BW133" i="11"/>
  <c r="BV133" i="11"/>
  <c r="BU133" i="11"/>
  <c r="BT133" i="11"/>
  <c r="BS133" i="11"/>
  <c r="BY130" i="11"/>
  <c r="BX130" i="11"/>
  <c r="BW130" i="11"/>
  <c r="BV130" i="11"/>
  <c r="BU130" i="11"/>
  <c r="BT130" i="11"/>
  <c r="BS130" i="11"/>
  <c r="BY129" i="11"/>
  <c r="BX129" i="11"/>
  <c r="BW129" i="11"/>
  <c r="BV129" i="11"/>
  <c r="BU129" i="11"/>
  <c r="BT129" i="11"/>
  <c r="BS129" i="11"/>
  <c r="BY128" i="11"/>
  <c r="BX128" i="11"/>
  <c r="BW128" i="11"/>
  <c r="BV128" i="11"/>
  <c r="BU128" i="11"/>
  <c r="BT128" i="11"/>
  <c r="BS128" i="11"/>
  <c r="BY127" i="11"/>
  <c r="BX127" i="11"/>
  <c r="BW127" i="11"/>
  <c r="BV127" i="11"/>
  <c r="BU127" i="11"/>
  <c r="BT127" i="11"/>
  <c r="BS127" i="11"/>
  <c r="BY126" i="11"/>
  <c r="BX126" i="11"/>
  <c r="BW126" i="11"/>
  <c r="BV126" i="11"/>
  <c r="BU126" i="11"/>
  <c r="BT126" i="11"/>
  <c r="BS126" i="11"/>
  <c r="BY125" i="11"/>
  <c r="BX125" i="11"/>
  <c r="BW125" i="11"/>
  <c r="BV125" i="11"/>
  <c r="BU125" i="11"/>
  <c r="BT125" i="11"/>
  <c r="BS125" i="11"/>
  <c r="BY124" i="11"/>
  <c r="BX124" i="11"/>
  <c r="BW124" i="11"/>
  <c r="BV124" i="11"/>
  <c r="BU124" i="11"/>
  <c r="BT124" i="11"/>
  <c r="BS124" i="11"/>
  <c r="BY123" i="11"/>
  <c r="BX123" i="11"/>
  <c r="BW123" i="11"/>
  <c r="BV123" i="11"/>
  <c r="BU123" i="11"/>
  <c r="BT123" i="11"/>
  <c r="BS123" i="11"/>
  <c r="BY122" i="11"/>
  <c r="BX122" i="11"/>
  <c r="BW122" i="11"/>
  <c r="BV122" i="11"/>
  <c r="BU122" i="11"/>
  <c r="BT122" i="11"/>
  <c r="BS122" i="11"/>
  <c r="BY121" i="11"/>
  <c r="BX121" i="11"/>
  <c r="BW121" i="11"/>
  <c r="BV121" i="11"/>
  <c r="BU121" i="11"/>
  <c r="BT121" i="11"/>
  <c r="BS121" i="11"/>
  <c r="BY120" i="11"/>
  <c r="BX120" i="11"/>
  <c r="BW120" i="11"/>
  <c r="BV120" i="11"/>
  <c r="BU120" i="11"/>
  <c r="BT120" i="11"/>
  <c r="BS120" i="11"/>
  <c r="BY119" i="11"/>
  <c r="BX119" i="11"/>
  <c r="BW119" i="11"/>
  <c r="BV119" i="11"/>
  <c r="BU119" i="11"/>
  <c r="BT119" i="11"/>
  <c r="BS119" i="11"/>
  <c r="BY118" i="11"/>
  <c r="BX118" i="11"/>
  <c r="BW118" i="11"/>
  <c r="BV118" i="11"/>
  <c r="BU118" i="11"/>
  <c r="BT118" i="11"/>
  <c r="BS118" i="11"/>
  <c r="BY117" i="11"/>
  <c r="BX117" i="11"/>
  <c r="BW117" i="11"/>
  <c r="BV117" i="11"/>
  <c r="BU117" i="11"/>
  <c r="BT117" i="11"/>
  <c r="BS117" i="11"/>
  <c r="BY116" i="11"/>
  <c r="BX116" i="11"/>
  <c r="BW116" i="11"/>
  <c r="BV116" i="11"/>
  <c r="BU116" i="11"/>
  <c r="BT116" i="11"/>
  <c r="BS116" i="11"/>
  <c r="BY115" i="11"/>
  <c r="BX115" i="11"/>
  <c r="BW115" i="11"/>
  <c r="BV115" i="11"/>
  <c r="BU115" i="11"/>
  <c r="BT115" i="11"/>
  <c r="BS115" i="11"/>
  <c r="BY114" i="11"/>
  <c r="BX114" i="11"/>
  <c r="BW114" i="11"/>
  <c r="BV114" i="11"/>
  <c r="BU114" i="11"/>
  <c r="BT114" i="11"/>
  <c r="BS114" i="11"/>
  <c r="BY113" i="11"/>
  <c r="BX113" i="11"/>
  <c r="BW113" i="11"/>
  <c r="BV113" i="11"/>
  <c r="BU113" i="11"/>
  <c r="BT113" i="11"/>
  <c r="BS113" i="11"/>
  <c r="BY112" i="11"/>
  <c r="BX112" i="11"/>
  <c r="BW112" i="11"/>
  <c r="BV112" i="11"/>
  <c r="BU112" i="11"/>
  <c r="BT112" i="11"/>
  <c r="BS112" i="11"/>
  <c r="BY111" i="11"/>
  <c r="BX111" i="11"/>
  <c r="BW111" i="11"/>
  <c r="BV111" i="11"/>
  <c r="BU111" i="11"/>
  <c r="BT111" i="11"/>
  <c r="BS111" i="11"/>
  <c r="BY110" i="11"/>
  <c r="BX110" i="11"/>
  <c r="BW110" i="11"/>
  <c r="BV110" i="11"/>
  <c r="BU110" i="11"/>
  <c r="BT110" i="11"/>
  <c r="BS110" i="11"/>
  <c r="BY109" i="11"/>
  <c r="BX109" i="11"/>
  <c r="BW109" i="11"/>
  <c r="BV109" i="11"/>
  <c r="BU109" i="11"/>
  <c r="BT109" i="11"/>
  <c r="BS109" i="11"/>
  <c r="BY108" i="11"/>
  <c r="BX108" i="11"/>
  <c r="BW108" i="11"/>
  <c r="BV108" i="11"/>
  <c r="BU108" i="11"/>
  <c r="BT108" i="11"/>
  <c r="BS108" i="11"/>
  <c r="BY107" i="11"/>
  <c r="BX107" i="11"/>
  <c r="BW107" i="11"/>
  <c r="BV107" i="11"/>
  <c r="BU107" i="11"/>
  <c r="BT107" i="11"/>
  <c r="BS107" i="11"/>
  <c r="BY106" i="11"/>
  <c r="BX106" i="11"/>
  <c r="BW106" i="11"/>
  <c r="BV106" i="11"/>
  <c r="BU106" i="11"/>
  <c r="BT106" i="11"/>
  <c r="BS106" i="11"/>
  <c r="BY105" i="11"/>
  <c r="BX105" i="11"/>
  <c r="BW105" i="11"/>
  <c r="BV105" i="11"/>
  <c r="BU105" i="11"/>
  <c r="BT105" i="11"/>
  <c r="BS105" i="11"/>
  <c r="BY104" i="11"/>
  <c r="BX104" i="11"/>
  <c r="BW104" i="11"/>
  <c r="BV104" i="11"/>
  <c r="BU104" i="11"/>
  <c r="BT104" i="11"/>
  <c r="BS104" i="11"/>
  <c r="BY103" i="11"/>
  <c r="BX103" i="11"/>
  <c r="BW103" i="11"/>
  <c r="BV103" i="11"/>
  <c r="BU103" i="11"/>
  <c r="BT103" i="11"/>
  <c r="BS103" i="11"/>
  <c r="BY102" i="11"/>
  <c r="BX102" i="11"/>
  <c r="BW102" i="11"/>
  <c r="BV102" i="11"/>
  <c r="BU102" i="11"/>
  <c r="BT102" i="11"/>
  <c r="BS102" i="11"/>
  <c r="BY101" i="11"/>
  <c r="BX101" i="11"/>
  <c r="BW101" i="11"/>
  <c r="BV101" i="11"/>
  <c r="BU101" i="11"/>
  <c r="BT101" i="11"/>
  <c r="BS101" i="11"/>
  <c r="BY100" i="11"/>
  <c r="BX100" i="11"/>
  <c r="BW100" i="11"/>
  <c r="BV100" i="11"/>
  <c r="BU100" i="11"/>
  <c r="BT100" i="11"/>
  <c r="BS100" i="11"/>
  <c r="BY99" i="11"/>
  <c r="BX99" i="11"/>
  <c r="BW99" i="11"/>
  <c r="BV99" i="11"/>
  <c r="BU99" i="11"/>
  <c r="BT99" i="11"/>
  <c r="BS99" i="11"/>
  <c r="BY98" i="11"/>
  <c r="BX98" i="11"/>
  <c r="BW98" i="11"/>
  <c r="BV98" i="11"/>
  <c r="BU98" i="11"/>
  <c r="BT98" i="11"/>
  <c r="BS98" i="11"/>
  <c r="BY97" i="11"/>
  <c r="BX97" i="11"/>
  <c r="BW97" i="11"/>
  <c r="BV97" i="11"/>
  <c r="BU97" i="11"/>
  <c r="BT97" i="11"/>
  <c r="BS97" i="11"/>
  <c r="BY96" i="11"/>
  <c r="BX96" i="11"/>
  <c r="BW96" i="11"/>
  <c r="BV96" i="11"/>
  <c r="BU96" i="11"/>
  <c r="BT96" i="11"/>
  <c r="BS96" i="11"/>
  <c r="BY95" i="11"/>
  <c r="BX95" i="11"/>
  <c r="BW95" i="11"/>
  <c r="BV95" i="11"/>
  <c r="BU95" i="11"/>
  <c r="BT95" i="11"/>
  <c r="BS95" i="11"/>
  <c r="BY94" i="11"/>
  <c r="BX94" i="11"/>
  <c r="BW94" i="11"/>
  <c r="BV94" i="11"/>
  <c r="BU94" i="11"/>
  <c r="BT94" i="11"/>
  <c r="BS94" i="11"/>
  <c r="BY93" i="11"/>
  <c r="BX93" i="11"/>
  <c r="BW93" i="11"/>
  <c r="BV93" i="11"/>
  <c r="BU93" i="11"/>
  <c r="BT93" i="11"/>
  <c r="BS93" i="11"/>
  <c r="BY92" i="11"/>
  <c r="BX92" i="11"/>
  <c r="BW92" i="11"/>
  <c r="BV92" i="11"/>
  <c r="BU92" i="11"/>
  <c r="BT92" i="11"/>
  <c r="BS92" i="11"/>
  <c r="BY91" i="11"/>
  <c r="BX91" i="11"/>
  <c r="BW91" i="11"/>
  <c r="BV91" i="11"/>
  <c r="BU91" i="11"/>
  <c r="BT91" i="11"/>
  <c r="BS91" i="11"/>
  <c r="BY90" i="11"/>
  <c r="BX90" i="11"/>
  <c r="BW90" i="11"/>
  <c r="BV90" i="11"/>
  <c r="BU90" i="11"/>
  <c r="BT90" i="11"/>
  <c r="BS90" i="11"/>
  <c r="BY89" i="11"/>
  <c r="BX89" i="11"/>
  <c r="BW89" i="11"/>
  <c r="BV89" i="11"/>
  <c r="BU89" i="11"/>
  <c r="BT89" i="11"/>
  <c r="BS89" i="11"/>
  <c r="BY88" i="11"/>
  <c r="BX88" i="11"/>
  <c r="BW88" i="11"/>
  <c r="BV88" i="11"/>
  <c r="BU88" i="11"/>
  <c r="BT88" i="11"/>
  <c r="BS88" i="11"/>
  <c r="BY87" i="11"/>
  <c r="BX87" i="11"/>
  <c r="BW87" i="11"/>
  <c r="BV87" i="11"/>
  <c r="BU87" i="11"/>
  <c r="BT87" i="11"/>
  <c r="BS87" i="11"/>
  <c r="BY86" i="11"/>
  <c r="BX86" i="11"/>
  <c r="BW86" i="11"/>
  <c r="BV86" i="11"/>
  <c r="BU86" i="11"/>
  <c r="BT86" i="11"/>
  <c r="BS86" i="11"/>
  <c r="BY85" i="11"/>
  <c r="BX85" i="11"/>
  <c r="BW85" i="11"/>
  <c r="BV85" i="11"/>
  <c r="BU85" i="11"/>
  <c r="BT85" i="11"/>
  <c r="BS85" i="11"/>
  <c r="BY84" i="11"/>
  <c r="BX84" i="11"/>
  <c r="BW84" i="11"/>
  <c r="BV84" i="11"/>
  <c r="BU84" i="11"/>
  <c r="BT84" i="11"/>
  <c r="BS84" i="11"/>
  <c r="BY83" i="11"/>
  <c r="BX83" i="11"/>
  <c r="BW83" i="11"/>
  <c r="BV83" i="11"/>
  <c r="BU83" i="11"/>
  <c r="BT83" i="11"/>
  <c r="BS83" i="11"/>
  <c r="BY82" i="11"/>
  <c r="BX82" i="11"/>
  <c r="BW82" i="11"/>
  <c r="BV82" i="11"/>
  <c r="BU82" i="11"/>
  <c r="BT82" i="11"/>
  <c r="BS82" i="11"/>
  <c r="BY81" i="11"/>
  <c r="BX81" i="11"/>
  <c r="BW81" i="11"/>
  <c r="BV81" i="11"/>
  <c r="BU81" i="11"/>
  <c r="BT81" i="11"/>
  <c r="BS81" i="11"/>
  <c r="BY80" i="11"/>
  <c r="BX80" i="11"/>
  <c r="BW80" i="11"/>
  <c r="BV80" i="11"/>
  <c r="BU80" i="11"/>
  <c r="BT80" i="11"/>
  <c r="BS80" i="11"/>
  <c r="BY79" i="11"/>
  <c r="BX79" i="11"/>
  <c r="BW79" i="11"/>
  <c r="BV79" i="11"/>
  <c r="BU79" i="11"/>
  <c r="BT79" i="11"/>
  <c r="BS79" i="11"/>
  <c r="BY78" i="11"/>
  <c r="BX78" i="11"/>
  <c r="BW78" i="11"/>
  <c r="BV78" i="11"/>
  <c r="BU78" i="11"/>
  <c r="BT78" i="11"/>
  <c r="BS78" i="11"/>
  <c r="BY77" i="11"/>
  <c r="BX77" i="11"/>
  <c r="BW77" i="11"/>
  <c r="BV77" i="11"/>
  <c r="BU77" i="11"/>
  <c r="BT77" i="11"/>
  <c r="BS77" i="11"/>
  <c r="BY76" i="11"/>
  <c r="BX76" i="11"/>
  <c r="BW76" i="11"/>
  <c r="BV76" i="11"/>
  <c r="BU76" i="11"/>
  <c r="BT76" i="11"/>
  <c r="BS76" i="11"/>
  <c r="BY75" i="11"/>
  <c r="BX75" i="11"/>
  <c r="BW75" i="11"/>
  <c r="BV75" i="11"/>
  <c r="BU75" i="11"/>
  <c r="BT75" i="11"/>
  <c r="BS75" i="11"/>
  <c r="BY74" i="11"/>
  <c r="BX74" i="11"/>
  <c r="BW74" i="11"/>
  <c r="BV74" i="11"/>
  <c r="BU74" i="11"/>
  <c r="BT74" i="11"/>
  <c r="BS74" i="11"/>
  <c r="BY73" i="11"/>
  <c r="BX73" i="11"/>
  <c r="BW73" i="11"/>
  <c r="BV73" i="11"/>
  <c r="BU73" i="11"/>
  <c r="BT73" i="11"/>
  <c r="BS73" i="11"/>
  <c r="BY72" i="11"/>
  <c r="BX72" i="11"/>
  <c r="BW72" i="11"/>
  <c r="BV72" i="11"/>
  <c r="BU72" i="11"/>
  <c r="BT72" i="11"/>
  <c r="BS72" i="11"/>
  <c r="BY71" i="11"/>
  <c r="BX71" i="11"/>
  <c r="BW71" i="11"/>
  <c r="BV71" i="11"/>
  <c r="BU71" i="11"/>
  <c r="BT71" i="11"/>
  <c r="BS71" i="11"/>
  <c r="BY70" i="11"/>
  <c r="BX70" i="11"/>
  <c r="BW70" i="11"/>
  <c r="BV70" i="11"/>
  <c r="BU70" i="11"/>
  <c r="BT70" i="11"/>
  <c r="BS70" i="11"/>
  <c r="BY69" i="11"/>
  <c r="BX69" i="11"/>
  <c r="BW69" i="11"/>
  <c r="BV69" i="11"/>
  <c r="BU69" i="11"/>
  <c r="BT69" i="11"/>
  <c r="BS69" i="11"/>
  <c r="BY68" i="11"/>
  <c r="BX68" i="11"/>
  <c r="BW68" i="11"/>
  <c r="BV68" i="11"/>
  <c r="BU68" i="11"/>
  <c r="BT68" i="11"/>
  <c r="BS68" i="11"/>
  <c r="BY67" i="11"/>
  <c r="BX67" i="11"/>
  <c r="BW67" i="11"/>
  <c r="BV67" i="11"/>
  <c r="BU67" i="11"/>
  <c r="BT67" i="11"/>
  <c r="BS67" i="11"/>
  <c r="BY66" i="11"/>
  <c r="BX66" i="11"/>
  <c r="BW66" i="11"/>
  <c r="BV66" i="11"/>
  <c r="BU66" i="11"/>
  <c r="BT66" i="11"/>
  <c r="BS66" i="11"/>
  <c r="BY65" i="11"/>
  <c r="BX65" i="11"/>
  <c r="BW65" i="11"/>
  <c r="BV65" i="11"/>
  <c r="BU65" i="11"/>
  <c r="BT65" i="11"/>
  <c r="BS65" i="11"/>
  <c r="BY64" i="11"/>
  <c r="BX64" i="11"/>
  <c r="BW64" i="11"/>
  <c r="BV64" i="11"/>
  <c r="BU64" i="11"/>
  <c r="BT64" i="11"/>
  <c r="BS64" i="11"/>
  <c r="BY63" i="11"/>
  <c r="BX63" i="11"/>
  <c r="BW63" i="11"/>
  <c r="BV63" i="11"/>
  <c r="BU63" i="11"/>
  <c r="BT63" i="11"/>
  <c r="BS63" i="11"/>
  <c r="BY62" i="11"/>
  <c r="BX62" i="11"/>
  <c r="BW62" i="11"/>
  <c r="BV62" i="11"/>
  <c r="BU62" i="11"/>
  <c r="BT62" i="11"/>
  <c r="BS62" i="11"/>
  <c r="BY61" i="11"/>
  <c r="BX61" i="11"/>
  <c r="BW61" i="11"/>
  <c r="BV61" i="11"/>
  <c r="BU61" i="11"/>
  <c r="BT61" i="11"/>
  <c r="BS61" i="11"/>
  <c r="BY60" i="11"/>
  <c r="BX60" i="11"/>
  <c r="BW60" i="11"/>
  <c r="BV60" i="11"/>
  <c r="BU60" i="11"/>
  <c r="BT60" i="11"/>
  <c r="BS60" i="11"/>
  <c r="BY59" i="11"/>
  <c r="BX59" i="11"/>
  <c r="BW59" i="11"/>
  <c r="BV59" i="11"/>
  <c r="BU59" i="11"/>
  <c r="BT59" i="11"/>
  <c r="BS59" i="11"/>
  <c r="BY58" i="11"/>
  <c r="BX58" i="11"/>
  <c r="BW58" i="11"/>
  <c r="BV58" i="11"/>
  <c r="BU58" i="11"/>
  <c r="BT58" i="11"/>
  <c r="BS58" i="11"/>
  <c r="BY57" i="11"/>
  <c r="BX57" i="11"/>
  <c r="BW57" i="11"/>
  <c r="BV57" i="11"/>
  <c r="BU57" i="11"/>
  <c r="BT57" i="11"/>
  <c r="BS57" i="11"/>
  <c r="BY56" i="11"/>
  <c r="BX56" i="11"/>
  <c r="BW56" i="11"/>
  <c r="BV56" i="11"/>
  <c r="BU56" i="11"/>
  <c r="BT56" i="11"/>
  <c r="BS56" i="11"/>
  <c r="BY55" i="11"/>
  <c r="BX55" i="11"/>
  <c r="BW55" i="11"/>
  <c r="BV55" i="11"/>
  <c r="BU55" i="11"/>
  <c r="BT55" i="11"/>
  <c r="BS55" i="11"/>
  <c r="BY54" i="11"/>
  <c r="BX54" i="11"/>
  <c r="BW54" i="11"/>
  <c r="BV54" i="11"/>
  <c r="BU54" i="11"/>
  <c r="BT54" i="11"/>
  <c r="BS54" i="11"/>
  <c r="BY53" i="11"/>
  <c r="BX53" i="11"/>
  <c r="BW53" i="11"/>
  <c r="BV53" i="11"/>
  <c r="BU53" i="11"/>
  <c r="BT53" i="11"/>
  <c r="BS53" i="11"/>
  <c r="BY52" i="11"/>
  <c r="BX52" i="11"/>
  <c r="BW52" i="11"/>
  <c r="BV52" i="11"/>
  <c r="BU52" i="11"/>
  <c r="BT52" i="11"/>
  <c r="BS52" i="11"/>
  <c r="BY51" i="11"/>
  <c r="BX51" i="11"/>
  <c r="BW51" i="11"/>
  <c r="BV51" i="11"/>
  <c r="BU51" i="11"/>
  <c r="BT51" i="11"/>
  <c r="BS51" i="11"/>
  <c r="BY50" i="11"/>
  <c r="BX50" i="11"/>
  <c r="BW50" i="11"/>
  <c r="BV50" i="11"/>
  <c r="BU50" i="11"/>
  <c r="BT50" i="11"/>
  <c r="BS50" i="11"/>
  <c r="BY49" i="11"/>
  <c r="BX49" i="11"/>
  <c r="BW49" i="11"/>
  <c r="BV49" i="11"/>
  <c r="BU49" i="11"/>
  <c r="BT49" i="11"/>
  <c r="BS49" i="11"/>
  <c r="BY48" i="11"/>
  <c r="BX48" i="11"/>
  <c r="BW48" i="11"/>
  <c r="BV48" i="11"/>
  <c r="BU48" i="11"/>
  <c r="BT48" i="11"/>
  <c r="BS48" i="11"/>
  <c r="BY47" i="11"/>
  <c r="BX47" i="11"/>
  <c r="BW47" i="11"/>
  <c r="BV47" i="11"/>
  <c r="BU47" i="11"/>
  <c r="BT47" i="11"/>
  <c r="BS47" i="11"/>
  <c r="BY46" i="11"/>
  <c r="BX46" i="11"/>
  <c r="BW46" i="11"/>
  <c r="BV46" i="11"/>
  <c r="BU46" i="11"/>
  <c r="BT46" i="11"/>
  <c r="BS46" i="11"/>
  <c r="BY45" i="11"/>
  <c r="BX45" i="11"/>
  <c r="BW45" i="11"/>
  <c r="BV45" i="11"/>
  <c r="BU45" i="11"/>
  <c r="BT45" i="11"/>
  <c r="BS45" i="11"/>
  <c r="BY44" i="11"/>
  <c r="BX44" i="11"/>
  <c r="BW44" i="11"/>
  <c r="BV44" i="11"/>
  <c r="BU44" i="11"/>
  <c r="BT44" i="11"/>
  <c r="BS44" i="11"/>
  <c r="BY43" i="11"/>
  <c r="BX43" i="11"/>
  <c r="BW43" i="11"/>
  <c r="BV43" i="11"/>
  <c r="BU43" i="11"/>
  <c r="BT43" i="11"/>
  <c r="BS43" i="11"/>
  <c r="BY42" i="11"/>
  <c r="BX42" i="11"/>
  <c r="BW42" i="11"/>
  <c r="BV42" i="11"/>
  <c r="BU42" i="11"/>
  <c r="BT42" i="11"/>
  <c r="BS42" i="11"/>
  <c r="BY41" i="11"/>
  <c r="BX41" i="11"/>
  <c r="BW41" i="11"/>
  <c r="BV41" i="11"/>
  <c r="BU41" i="11"/>
  <c r="BT41" i="11"/>
  <c r="BS41" i="11"/>
  <c r="BY40" i="11"/>
  <c r="BX40" i="11"/>
  <c r="BW40" i="11"/>
  <c r="BV40" i="11"/>
  <c r="BU40" i="11"/>
  <c r="BT40" i="11"/>
  <c r="BS40" i="11"/>
  <c r="BY39" i="11"/>
  <c r="BX39" i="11"/>
  <c r="BW39" i="11"/>
  <c r="BV39" i="11"/>
  <c r="BU39" i="11"/>
  <c r="BT39" i="11"/>
  <c r="BS39" i="11"/>
  <c r="BY38" i="11"/>
  <c r="BX38" i="11"/>
  <c r="BW38" i="11"/>
  <c r="BV38" i="11"/>
  <c r="BU38" i="11"/>
  <c r="BT38" i="11"/>
  <c r="BS38" i="11"/>
  <c r="BY37" i="11"/>
  <c r="BX37" i="11"/>
  <c r="BW37" i="11"/>
  <c r="BV37" i="11"/>
  <c r="BU37" i="11"/>
  <c r="BT37" i="11"/>
  <c r="BS37" i="11"/>
  <c r="BY36" i="11"/>
  <c r="BX36" i="11"/>
  <c r="BW36" i="11"/>
  <c r="BV36" i="11"/>
  <c r="BU36" i="11"/>
  <c r="BT36" i="11"/>
  <c r="BS36" i="11"/>
  <c r="BY35" i="11"/>
  <c r="BX35" i="11"/>
  <c r="BW35" i="11"/>
  <c r="BV35" i="11"/>
  <c r="BU35" i="11"/>
  <c r="BT35" i="11"/>
  <c r="BS35" i="11"/>
  <c r="BY34" i="11"/>
  <c r="BX34" i="11"/>
  <c r="BW34" i="11"/>
  <c r="BV34" i="11"/>
  <c r="BU34" i="11"/>
  <c r="BT34" i="11"/>
  <c r="BS34" i="11"/>
  <c r="BY33" i="11"/>
  <c r="BX33" i="11"/>
  <c r="BW33" i="11"/>
  <c r="BV33" i="11"/>
  <c r="BU33" i="11"/>
  <c r="BT33" i="11"/>
  <c r="BS33" i="11"/>
  <c r="BY32" i="11"/>
  <c r="BX32" i="11"/>
  <c r="BW32" i="11"/>
  <c r="BV32" i="11"/>
  <c r="BU32" i="11"/>
  <c r="BT32" i="11"/>
  <c r="BS32" i="11"/>
  <c r="BY31" i="11"/>
  <c r="BX31" i="11"/>
  <c r="BW31" i="11"/>
  <c r="BV31" i="11"/>
  <c r="BU31" i="11"/>
  <c r="BT31" i="11"/>
  <c r="BS31" i="11"/>
  <c r="BY30" i="11"/>
  <c r="BX30" i="11"/>
  <c r="BW30" i="11"/>
  <c r="BV30" i="11"/>
  <c r="BU30" i="11"/>
  <c r="BT30" i="11"/>
  <c r="BS30" i="11"/>
  <c r="BY29" i="11"/>
  <c r="BX29" i="11"/>
  <c r="BW29" i="11"/>
  <c r="BV29" i="11"/>
  <c r="BU29" i="11"/>
  <c r="BT29" i="11"/>
  <c r="BS29" i="11"/>
  <c r="BY28" i="11"/>
  <c r="BX28" i="11"/>
  <c r="BW28" i="11"/>
  <c r="BV28" i="11"/>
  <c r="BU28" i="11"/>
  <c r="BT28" i="11"/>
  <c r="BS28" i="11"/>
  <c r="BY27" i="11"/>
  <c r="BX27" i="11"/>
  <c r="BW27" i="11"/>
  <c r="BV27" i="11"/>
  <c r="BU27" i="11"/>
  <c r="BT27" i="11"/>
  <c r="BS27" i="11"/>
  <c r="BY26" i="11"/>
  <c r="BX26" i="11"/>
  <c r="BW26" i="11"/>
  <c r="BV26" i="11"/>
  <c r="BU26" i="11"/>
  <c r="BT26" i="11"/>
  <c r="BS26" i="11"/>
  <c r="BY25" i="11"/>
  <c r="BX25" i="11"/>
  <c r="BW25" i="11"/>
  <c r="BV25" i="11"/>
  <c r="BU25" i="11"/>
  <c r="BT25" i="11"/>
  <c r="BS25" i="11"/>
  <c r="BY24" i="11"/>
  <c r="BX24" i="11"/>
  <c r="BW24" i="11"/>
  <c r="BV24" i="11"/>
  <c r="BU24" i="11"/>
  <c r="BT24" i="11"/>
  <c r="BS24" i="11"/>
  <c r="BY23" i="11"/>
  <c r="BX23" i="11"/>
  <c r="BW23" i="11"/>
  <c r="BV23" i="11"/>
  <c r="BU23" i="11"/>
  <c r="BT23" i="11"/>
  <c r="BS23" i="11"/>
  <c r="BY22" i="11"/>
  <c r="BX22" i="11"/>
  <c r="BW22" i="11"/>
  <c r="BV22" i="11"/>
  <c r="BU22" i="11"/>
  <c r="BT22" i="11"/>
  <c r="BS22" i="11"/>
  <c r="BY21" i="11"/>
  <c r="BX21" i="11"/>
  <c r="BW21" i="11"/>
  <c r="BV21" i="11"/>
  <c r="BU21" i="11"/>
  <c r="BT21" i="11"/>
  <c r="BS21" i="11"/>
  <c r="BY20" i="11"/>
  <c r="BX20" i="11"/>
  <c r="BW20" i="11"/>
  <c r="BV20" i="11"/>
  <c r="BU20" i="11"/>
  <c r="BT20" i="11"/>
  <c r="BS20" i="11"/>
  <c r="BY19" i="11"/>
  <c r="BX19" i="11"/>
  <c r="BW19" i="11"/>
  <c r="BV19" i="11"/>
  <c r="BU19" i="11"/>
  <c r="BT19" i="11"/>
  <c r="BS19" i="11"/>
  <c r="BY18" i="11"/>
  <c r="BX18" i="11"/>
  <c r="BW18" i="11"/>
  <c r="BV18" i="11"/>
  <c r="BU18" i="11"/>
  <c r="BT18" i="11"/>
  <c r="BS18" i="11"/>
  <c r="BY17" i="11"/>
  <c r="BX17" i="11"/>
  <c r="BW17" i="11"/>
  <c r="BV17" i="11"/>
  <c r="BU17" i="11"/>
  <c r="BT17" i="11"/>
  <c r="BS17" i="11"/>
  <c r="BY16" i="11"/>
  <c r="BX16" i="11"/>
  <c r="BW16" i="11"/>
  <c r="BV16" i="11"/>
  <c r="BU16" i="11"/>
  <c r="BT16" i="11"/>
  <c r="BS16" i="11"/>
  <c r="BY15" i="11"/>
  <c r="BX15" i="11"/>
  <c r="BW15" i="11"/>
  <c r="BV15" i="11"/>
  <c r="BU15" i="11"/>
  <c r="BT15" i="11"/>
  <c r="BS15" i="11"/>
  <c r="BY14" i="11"/>
  <c r="BX14" i="11"/>
  <c r="BW14" i="11"/>
  <c r="BV14" i="11"/>
  <c r="BU14" i="11"/>
  <c r="BT14" i="11"/>
  <c r="BS14" i="11"/>
  <c r="BY13" i="11"/>
  <c r="BX13" i="11"/>
  <c r="BW13" i="11"/>
  <c r="BV13" i="11"/>
  <c r="BU13" i="11"/>
  <c r="BT13" i="11"/>
  <c r="BS13" i="11"/>
  <c r="BY12" i="11"/>
  <c r="BX12" i="11"/>
  <c r="BW12" i="11"/>
  <c r="BV12" i="11"/>
  <c r="BU12" i="11"/>
  <c r="BT12" i="11"/>
  <c r="BS12" i="11"/>
  <c r="BY11" i="11"/>
  <c r="BX11" i="11"/>
  <c r="BW11" i="11"/>
  <c r="BV11" i="11"/>
  <c r="BU11" i="11"/>
  <c r="BT11" i="11"/>
  <c r="BS11" i="11"/>
  <c r="BY10" i="11"/>
  <c r="BX10" i="11"/>
  <c r="BW10" i="11"/>
  <c r="BV10" i="11"/>
  <c r="BU10" i="11"/>
  <c r="BT10" i="11"/>
  <c r="BS10" i="11"/>
  <c r="BY9" i="11"/>
  <c r="BX9" i="11"/>
  <c r="BW9" i="11"/>
  <c r="BW7" i="11" s="1"/>
  <c r="BW6" i="11" s="1"/>
  <c r="BV9" i="11"/>
  <c r="BU9" i="11"/>
  <c r="BT9" i="11"/>
  <c r="BS9" i="11"/>
  <c r="BS7" i="11" s="1"/>
  <c r="BS6" i="11" s="1"/>
  <c r="BT7" i="11" l="1"/>
  <c r="BT6" i="11" s="1"/>
  <c r="BU7" i="11"/>
  <c r="BU6" i="11" s="1"/>
  <c r="BY7" i="11"/>
  <c r="BY6" i="11" s="1"/>
  <c r="BZ12" i="11"/>
  <c r="BZ16" i="11"/>
  <c r="BZ20" i="11"/>
  <c r="BZ26" i="11"/>
  <c r="BZ30" i="11"/>
  <c r="BZ34" i="11"/>
  <c r="BZ38" i="11"/>
  <c r="BZ42" i="11"/>
  <c r="BZ46" i="11"/>
  <c r="BZ50" i="11"/>
  <c r="BZ53" i="11"/>
  <c r="BZ57" i="11"/>
  <c r="BZ61" i="11"/>
  <c r="BZ65" i="11"/>
  <c r="BZ69" i="11"/>
  <c r="BZ73" i="11"/>
  <c r="BZ77" i="11"/>
  <c r="BZ81" i="11"/>
  <c r="BZ85" i="11"/>
  <c r="BZ89" i="11"/>
  <c r="BZ93" i="11"/>
  <c r="BZ97" i="11"/>
  <c r="BZ101" i="11"/>
  <c r="BZ105" i="11"/>
  <c r="BZ109" i="11"/>
  <c r="BZ113" i="11"/>
  <c r="BZ117" i="11"/>
  <c r="BZ121" i="11"/>
  <c r="BZ125" i="11"/>
  <c r="BZ129" i="11"/>
  <c r="BZ135" i="11"/>
  <c r="BZ139" i="11"/>
  <c r="BZ143" i="11"/>
  <c r="BZ147" i="11"/>
  <c r="BZ151" i="11"/>
  <c r="BZ155" i="11"/>
  <c r="BZ159" i="11"/>
  <c r="BZ163" i="11"/>
  <c r="BZ167" i="11"/>
  <c r="BZ171" i="11"/>
  <c r="BZ178" i="11"/>
  <c r="BZ182" i="11"/>
  <c r="BZ186" i="11"/>
  <c r="BZ190" i="11"/>
  <c r="BZ194" i="11"/>
  <c r="BZ198" i="11"/>
  <c r="BZ202" i="11"/>
  <c r="BZ206" i="11"/>
  <c r="BZ210" i="11"/>
  <c r="BZ214" i="11"/>
  <c r="BZ216" i="11"/>
  <c r="BZ219" i="11"/>
  <c r="BZ223" i="11"/>
  <c r="BZ230" i="11"/>
  <c r="BZ236" i="11"/>
  <c r="BZ241" i="11"/>
  <c r="BZ245" i="11"/>
  <c r="BZ249" i="11"/>
  <c r="BZ253" i="11"/>
  <c r="BZ257" i="11"/>
  <c r="BZ261" i="11"/>
  <c r="BZ265" i="11"/>
  <c r="BZ269" i="11"/>
  <c r="BZ273" i="11"/>
  <c r="BZ277" i="11"/>
  <c r="BZ281" i="11"/>
  <c r="BZ289" i="11"/>
  <c r="BZ293" i="11"/>
  <c r="BZ297" i="11"/>
  <c r="BZ301" i="11"/>
  <c r="BZ305" i="11"/>
  <c r="BZ309" i="11"/>
  <c r="BZ313" i="11"/>
  <c r="BX7" i="11"/>
  <c r="BX6" i="11" s="1"/>
  <c r="BZ9" i="11"/>
  <c r="BZ13" i="11"/>
  <c r="BZ17" i="11"/>
  <c r="BZ21" i="11"/>
  <c r="BZ24" i="11"/>
  <c r="BZ25" i="11"/>
  <c r="BZ33" i="11"/>
  <c r="BZ41" i="11"/>
  <c r="BZ45" i="11"/>
  <c r="BZ11" i="11"/>
  <c r="BZ10" i="11"/>
  <c r="BZ14" i="11"/>
  <c r="BZ18" i="11"/>
  <c r="BZ22" i="11"/>
  <c r="BZ27" i="11"/>
  <c r="BZ31" i="11"/>
  <c r="BZ35" i="11"/>
  <c r="BZ39" i="11"/>
  <c r="BZ43" i="11"/>
  <c r="BZ47" i="11"/>
  <c r="BZ51" i="11"/>
  <c r="BZ55" i="11"/>
  <c r="BZ59" i="11"/>
  <c r="BZ63" i="11"/>
  <c r="BZ67" i="11"/>
  <c r="BZ71" i="11"/>
  <c r="BZ75" i="11"/>
  <c r="BZ79" i="11"/>
  <c r="BZ83" i="11"/>
  <c r="BZ87" i="11"/>
  <c r="BZ91" i="11"/>
  <c r="BZ95" i="11"/>
  <c r="BZ99" i="11"/>
  <c r="BZ103" i="11"/>
  <c r="BZ107" i="11"/>
  <c r="BZ111" i="11"/>
  <c r="BZ115" i="11"/>
  <c r="BZ119" i="11"/>
  <c r="BZ123" i="11"/>
  <c r="BZ127" i="11"/>
  <c r="BZ133" i="11"/>
  <c r="BZ137" i="11"/>
  <c r="BZ141" i="11"/>
  <c r="BZ145" i="11"/>
  <c r="BZ149" i="11"/>
  <c r="BZ153" i="11"/>
  <c r="BZ157" i="11"/>
  <c r="BZ161" i="11"/>
  <c r="BZ165" i="11"/>
  <c r="BZ169" i="11"/>
  <c r="BZ173" i="11"/>
  <c r="BZ177" i="11"/>
  <c r="BZ181" i="11"/>
  <c r="BZ185" i="11"/>
  <c r="BZ189" i="11"/>
  <c r="BZ193" i="11"/>
  <c r="BZ197" i="11"/>
  <c r="BZ201" i="11"/>
  <c r="BZ205" i="11"/>
  <c r="BZ209" i="11"/>
  <c r="BZ213" i="11"/>
  <c r="BZ218" i="11"/>
  <c r="BZ222" i="11"/>
  <c r="BZ226" i="11"/>
  <c r="BZ234" i="11"/>
  <c r="BZ238" i="11"/>
  <c r="BZ242" i="11"/>
  <c r="BZ246" i="11"/>
  <c r="BZ250" i="11"/>
  <c r="BZ254" i="11"/>
  <c r="BZ258" i="11"/>
  <c r="BZ262" i="11"/>
  <c r="BZ266" i="11"/>
  <c r="BZ270" i="11"/>
  <c r="BZ274" i="11"/>
  <c r="BZ278" i="11"/>
  <c r="BZ282" i="11"/>
  <c r="BZ286" i="11"/>
  <c r="BZ290" i="11"/>
  <c r="BZ294" i="11"/>
  <c r="BZ298" i="11"/>
  <c r="BZ302" i="11"/>
  <c r="BZ306" i="11"/>
  <c r="BZ310" i="11"/>
  <c r="BZ54" i="11"/>
  <c r="BZ58" i="11"/>
  <c r="BZ62" i="11"/>
  <c r="BZ66" i="11"/>
  <c r="BZ70" i="11"/>
  <c r="BZ74" i="11"/>
  <c r="BZ78" i="11"/>
  <c r="BZ82" i="11"/>
  <c r="BZ86" i="11"/>
  <c r="BZ90" i="11"/>
  <c r="BZ94" i="11"/>
  <c r="BZ98" i="11"/>
  <c r="BZ102" i="11"/>
  <c r="BZ106" i="11"/>
  <c r="BZ110" i="11"/>
  <c r="BZ114" i="11"/>
  <c r="BZ118" i="11"/>
  <c r="BZ122" i="11"/>
  <c r="BZ126" i="11"/>
  <c r="BZ130" i="11"/>
  <c r="BZ136" i="11"/>
  <c r="BZ140" i="11"/>
  <c r="BZ144" i="11"/>
  <c r="BZ148" i="11"/>
  <c r="BZ152" i="11"/>
  <c r="BZ156" i="11"/>
  <c r="BZ160" i="11"/>
  <c r="BZ164" i="11"/>
  <c r="BZ168" i="11"/>
  <c r="BZ172" i="11"/>
  <c r="BZ176" i="11"/>
  <c r="BZ180" i="11"/>
  <c r="BZ184" i="11"/>
  <c r="BZ188" i="11"/>
  <c r="BZ192" i="11"/>
  <c r="BZ196" i="11"/>
  <c r="BZ200" i="11"/>
  <c r="BZ204" i="11"/>
  <c r="BZ208" i="11"/>
  <c r="BZ212" i="11"/>
  <c r="BZ217" i="11"/>
  <c r="BZ221" i="11"/>
  <c r="BZ225" i="11"/>
  <c r="BZ229" i="11"/>
  <c r="BZ233" i="11"/>
  <c r="BZ237" i="11"/>
  <c r="BZ285" i="11"/>
  <c r="BZ175" i="11"/>
  <c r="BZ179" i="11"/>
  <c r="BZ183" i="11"/>
  <c r="BZ187" i="11"/>
  <c r="BZ191" i="11"/>
  <c r="BZ195" i="11"/>
  <c r="BZ199" i="11"/>
  <c r="BZ203" i="11"/>
  <c r="BZ207" i="11"/>
  <c r="BZ211" i="11"/>
  <c r="BZ215" i="11"/>
  <c r="BZ220" i="11"/>
  <c r="BZ224" i="11"/>
  <c r="BZ228" i="11"/>
  <c r="BZ232" i="11"/>
  <c r="BZ240" i="11"/>
  <c r="BZ244" i="11"/>
  <c r="BZ248" i="11"/>
  <c r="BZ252" i="11"/>
  <c r="BZ256" i="11"/>
  <c r="BZ260" i="11"/>
  <c r="BZ264" i="11"/>
  <c r="BZ268" i="11"/>
  <c r="BZ272" i="11"/>
  <c r="BZ276" i="11"/>
  <c r="BZ280" i="11"/>
  <c r="BZ284" i="11"/>
  <c r="BZ288" i="11"/>
  <c r="BZ292" i="11"/>
  <c r="BZ296" i="11"/>
  <c r="BZ300" i="11"/>
  <c r="BZ304" i="11"/>
  <c r="BZ308" i="11"/>
  <c r="BZ312" i="11"/>
  <c r="BZ29" i="11"/>
  <c r="BZ37" i="11"/>
  <c r="BZ49" i="11"/>
  <c r="BZ15" i="11"/>
  <c r="BZ19" i="11"/>
  <c r="BZ23" i="11"/>
  <c r="BZ28" i="11"/>
  <c r="BZ32" i="11"/>
  <c r="BZ36" i="11"/>
  <c r="BZ40" i="11"/>
  <c r="BZ44" i="11"/>
  <c r="BZ48" i="11"/>
  <c r="BZ52" i="11"/>
  <c r="BZ56" i="11"/>
  <c r="BZ60" i="11"/>
  <c r="BZ64" i="11"/>
  <c r="BZ68" i="11"/>
  <c r="BZ72" i="11"/>
  <c r="BZ76" i="11"/>
  <c r="BZ80" i="11"/>
  <c r="BZ84" i="11"/>
  <c r="BZ88" i="11"/>
  <c r="BZ92" i="11"/>
  <c r="BZ96" i="11"/>
  <c r="BZ100" i="11"/>
  <c r="BZ104" i="11"/>
  <c r="BZ108" i="11"/>
  <c r="BZ112" i="11"/>
  <c r="BZ116" i="11"/>
  <c r="BZ120" i="11"/>
  <c r="BZ124" i="11"/>
  <c r="BZ128" i="11"/>
  <c r="BZ134" i="11"/>
  <c r="BZ138" i="11"/>
  <c r="BZ142" i="11"/>
  <c r="BZ146" i="11"/>
  <c r="BZ150" i="11"/>
  <c r="BZ154" i="11"/>
  <c r="BZ158" i="11"/>
  <c r="BZ162" i="11"/>
  <c r="BZ166" i="11"/>
  <c r="BZ170" i="11"/>
  <c r="BZ174" i="11"/>
  <c r="BZ227" i="11"/>
  <c r="BZ231" i="11"/>
  <c r="BZ235" i="11"/>
  <c r="BZ239" i="11"/>
  <c r="BZ243" i="11"/>
  <c r="BZ247" i="11"/>
  <c r="BZ251" i="11"/>
  <c r="BZ255" i="11"/>
  <c r="BZ259" i="11"/>
  <c r="BZ263" i="11"/>
  <c r="BZ267" i="11"/>
  <c r="BZ271" i="11"/>
  <c r="BZ275" i="11"/>
  <c r="BZ279" i="11"/>
  <c r="BZ283" i="11"/>
  <c r="BZ287" i="11"/>
  <c r="BZ291" i="11"/>
  <c r="BZ295" i="11"/>
  <c r="BZ299" i="11"/>
  <c r="BZ303" i="11"/>
  <c r="BZ307" i="11"/>
  <c r="BZ311" i="11"/>
  <c r="BV7" i="11"/>
  <c r="BV6" i="11" s="1"/>
  <c r="BZ7" i="11" l="1"/>
  <c r="BZ6" i="11" s="1"/>
  <c r="BH2" i="18"/>
  <c r="BC2" i="18"/>
  <c r="AY2" i="18"/>
  <c r="AT2" i="18"/>
  <c r="AP2" i="18"/>
  <c r="BH2" i="3"/>
  <c r="BC2" i="3"/>
  <c r="AY2" i="3"/>
  <c r="AT2" i="3"/>
  <c r="AP2" i="3"/>
  <c r="R43" i="18"/>
  <c r="R42" i="18"/>
  <c r="R41" i="18"/>
  <c r="R40" i="18"/>
  <c r="R39" i="18"/>
  <c r="R38" i="18"/>
  <c r="R37" i="18"/>
  <c r="R44" i="18" l="1"/>
  <c r="R45" i="18" s="1"/>
  <c r="R46" i="18" s="1"/>
  <c r="L24" i="4" l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<sst xmlns="http://schemas.openxmlformats.org/spreadsheetml/2006/main" count="868" uniqueCount="595">
  <si>
    <t>システム名</t>
  </si>
  <si>
    <t>システム種類</t>
  </si>
  <si>
    <t>見積</t>
  </si>
  <si>
    <t>作成者</t>
  </si>
  <si>
    <t>作成日</t>
  </si>
  <si>
    <t>更新者</t>
  </si>
  <si>
    <t>更新日</t>
  </si>
  <si>
    <t>バージョン</t>
  </si>
  <si>
    <t>セルフPOS</t>
  </si>
  <si>
    <t>POSサーバ</t>
  </si>
  <si>
    <t>昨日カテゴリー</t>
  </si>
  <si>
    <t>機能概要</t>
  </si>
  <si>
    <t>項目</t>
  </si>
  <si>
    <t>業務フロー</t>
  </si>
  <si>
    <t>表紙</t>
  </si>
  <si>
    <r>
      <rPr>
        <sz val="11"/>
        <color rgb="FFFFFFFF"/>
        <rFont val="Meiryo UI"/>
        <family val="3"/>
        <charset val="128"/>
      </rPr>
      <t>Ngày phê chuẩn</t>
    </r>
  </si>
  <si>
    <r>
      <rPr>
        <sz val="11"/>
        <color rgb="FFFFFFFF"/>
        <rFont val="Meiryo UI"/>
        <family val="3"/>
        <charset val="128"/>
      </rPr>
      <t>Người phê chuẩn</t>
    </r>
  </si>
  <si>
    <r>
      <rPr>
        <sz val="11"/>
        <color rgb="FFFFFFFF"/>
        <rFont val="Meiryo UI"/>
        <family val="3"/>
        <charset val="128"/>
      </rPr>
      <t>Version</t>
    </r>
  </si>
  <si>
    <t>改訂履歴</t>
  </si>
  <si>
    <r>
      <rPr>
        <sz val="11"/>
        <color rgb="FF000000"/>
        <rFont val="Meiryo UI"/>
        <family val="2"/>
      </rPr>
      <t>■History</t>
    </r>
  </si>
  <si>
    <t>更新内容</t>
  </si>
  <si>
    <r>
      <rPr>
        <sz val="11"/>
        <color rgb="FFFFFFFF"/>
        <rFont val="Meiryo UI"/>
        <family val="2"/>
      </rPr>
      <t>Ngày phê chuẩn</t>
    </r>
  </si>
  <si>
    <r>
      <rPr>
        <sz val="11"/>
        <color rgb="FFFFFFFF"/>
        <rFont val="Meiryo UI"/>
        <family val="2"/>
      </rPr>
      <t>Người phê chuẩn</t>
    </r>
  </si>
  <si>
    <t>XoaLT</t>
  </si>
  <si>
    <t>新規作成</t>
  </si>
  <si>
    <t>A.前提</t>
  </si>
  <si>
    <t>1.インプット、アウトプット</t>
  </si>
  <si>
    <t>インプット</t>
  </si>
  <si>
    <t>資料：POSサーバー_機能概要</t>
  </si>
  <si>
    <t>Version 0.2</t>
  </si>
  <si>
    <t>借りていただいたパソコンで操作</t>
  </si>
  <si>
    <t>アウトプット</t>
  </si>
  <si>
    <t>各機能の機能概要_画面遷移資料</t>
  </si>
  <si>
    <t>機能概要説明</t>
  </si>
  <si>
    <t>以下の情報をPOSサーバ_機能概要には</t>
  </si>
  <si>
    <t>画面一覧（20_画面設計）</t>
  </si>
  <si>
    <t>機能一覧（30_機能設計）</t>
  </si>
  <si>
    <t>API一覧（40_API設計）</t>
  </si>
  <si>
    <t>●バッチ処理</t>
  </si>
  <si>
    <t>※ソースコード、プログラミングは別途見積</t>
  </si>
  <si>
    <t>画面のXD作成は清原さんが担当</t>
  </si>
  <si>
    <t>→今度見積なし</t>
  </si>
  <si>
    <t>2.やり取り</t>
  </si>
  <si>
    <t>次週、お客様と打ち合わせを行う。その場で、各機能についてご相談を行い、お客様のご意見をいただく</t>
  </si>
  <si>
    <t>お客様のご担当</t>
  </si>
  <si>
    <t>時間：次週の水、金</t>
  </si>
  <si>
    <t>Luvina側の担当者：清原、AnhNM、HuyVQ</t>
  </si>
  <si>
    <t>B.見積</t>
  </si>
  <si>
    <t>数量</t>
  </si>
  <si>
    <t>単位</t>
  </si>
  <si>
    <t>備考</t>
  </si>
  <si>
    <t>システムの理解</t>
  </si>
  <si>
    <t>MM</t>
  </si>
  <si>
    <t>機能概要資料作成</t>
  </si>
  <si>
    <t>内部レビュー</t>
  </si>
  <si>
    <t>レビュー後の修正</t>
  </si>
  <si>
    <t>お客様と打ち合わせ</t>
  </si>
  <si>
    <t>お客様のごコメントよりの修正</t>
  </si>
  <si>
    <t>リスク（予防）</t>
  </si>
  <si>
    <t>開発工数</t>
  </si>
  <si>
    <t>管理工数</t>
  </si>
  <si>
    <t>合計</t>
  </si>
  <si>
    <t>体制（Luvinaの案）</t>
  </si>
  <si>
    <t>作業</t>
  </si>
  <si>
    <t>担当者</t>
  </si>
  <si>
    <t>期限</t>
  </si>
  <si>
    <t>5月</t>
  </si>
  <si>
    <t>6月</t>
  </si>
  <si>
    <t>要件定義</t>
  </si>
  <si>
    <t>-</t>
    <phoneticPr fontId="27"/>
  </si>
  <si>
    <t>機能X0、X1，01～40</t>
  </si>
  <si>
    <t>Luvina-SE</t>
    <phoneticPr fontId="27"/>
  </si>
  <si>
    <t>お客様との打ち合わせ</t>
  </si>
  <si>
    <t>USMH様
Luvina</t>
  </si>
  <si>
    <t>お客様の指摘・コメントよりの修正</t>
  </si>
  <si>
    <t>Luvina-SE</t>
  </si>
  <si>
    <t>機能62～92</t>
  </si>
  <si>
    <t>USMH様のプログレスライン</t>
  </si>
  <si>
    <t>Luvina-BSE</t>
  </si>
  <si>
    <t>Luvina-PM</t>
  </si>
  <si>
    <t>Luvinaのプログレスライン</t>
  </si>
  <si>
    <t>未確定のプログレスライン</t>
  </si>
  <si>
    <t>X0_ログイン機能</t>
  </si>
  <si>
    <t>作成済み</t>
  </si>
  <si>
    <t>X1 メニュー機能</t>
  </si>
  <si>
    <t>21_ジャーナル検索</t>
  </si>
  <si>
    <t>いなげや様の要件定義を頂いた後、資料をバージョンアップする</t>
  </si>
  <si>
    <t>01_商品管理</t>
  </si>
  <si>
    <t>15_タッチメニュー設定</t>
  </si>
  <si>
    <t>02_緊急売価変更</t>
  </si>
  <si>
    <t>03_店舗特売入力</t>
  </si>
  <si>
    <t>11_部門別売上速報</t>
  </si>
  <si>
    <t>08_カテゴリ値引／割引設定 ※寺岡さんが正解</t>
  </si>
  <si>
    <t>12_単品速報／日報</t>
  </si>
  <si>
    <t>13_部門別売上日報</t>
  </si>
  <si>
    <t>05_ミックスマッチ設定</t>
  </si>
  <si>
    <t>20_レジ精算入力</t>
  </si>
  <si>
    <t>04_商品採用店舗確認</t>
  </si>
  <si>
    <t>06_1，7，8定番変更</t>
  </si>
  <si>
    <t>10_プロモーションメンテ</t>
  </si>
  <si>
    <t>14_テナント売上速報／日報</t>
  </si>
  <si>
    <t>25　取扱設定マスタ設定(KSM)</t>
  </si>
  <si>
    <t>28　レシートクーポン設定</t>
  </si>
  <si>
    <t>19_売価変更勧告リスト</t>
  </si>
  <si>
    <t>22_クレジット小計割引設定</t>
  </si>
  <si>
    <t>29　レジ別時間帯別点検</t>
  </si>
  <si>
    <t>26　取扱設定マスタ設定(Welcia)</t>
  </si>
  <si>
    <t>31_レジ別速報／日報_1</t>
  </si>
  <si>
    <t>32_レジ別単品別売上点検</t>
  </si>
  <si>
    <t>31_レジ別速報／日報_2</t>
  </si>
  <si>
    <t>37_メガ割設定</t>
  </si>
  <si>
    <t>39_WAONポイントN倍設定</t>
  </si>
  <si>
    <t>38_朝割設定</t>
  </si>
  <si>
    <t>33_釣銭機状況照会</t>
  </si>
  <si>
    <t>40_従業員設定</t>
  </si>
  <si>
    <t>62_画像アップロード</t>
  </si>
  <si>
    <t>66_券マスタ設定</t>
  </si>
  <si>
    <t>71_ノードマスタ設定</t>
  </si>
  <si>
    <t>73_レジ状況照会</t>
  </si>
  <si>
    <t>68_サイトログインユーザマスタ設定</t>
  </si>
  <si>
    <t>69_サイトログインユーザマスタ所属設定</t>
  </si>
  <si>
    <t>72_パスワード設定</t>
  </si>
  <si>
    <t>81_釣銭機警告設定</t>
  </si>
  <si>
    <t>83_メッセージマスタ設定</t>
  </si>
  <si>
    <t>88_店舗マスタ再配信</t>
  </si>
  <si>
    <t>74_予算登録</t>
  </si>
  <si>
    <t>80_Scan＆Go商品マスタ再配信</t>
  </si>
  <si>
    <t>82_店舗マスタ設定</t>
  </si>
  <si>
    <t>87_実績クリア</t>
  </si>
  <si>
    <t>89_店舗実績再集計</t>
  </si>
  <si>
    <t>90_スマホマスタ再配信</t>
  </si>
  <si>
    <t>84_店舗強制閉店</t>
  </si>
  <si>
    <t>86_店舗締め</t>
  </si>
  <si>
    <t>91_SS向け実績連携</t>
  </si>
  <si>
    <t>92_ユニシスロボット再配信</t>
  </si>
  <si>
    <t>機能一覧</t>
  </si>
  <si>
    <t>Man Month</t>
  </si>
  <si>
    <t>●店舗担当者向けメニュー</t>
    <rPh sb="1" eb="3">
      <t>テンポ</t>
    </rPh>
    <rPh sb="3" eb="6">
      <t>タントウシャ</t>
    </rPh>
    <phoneticPr fontId="2"/>
  </si>
  <si>
    <t>Man Day</t>
  </si>
  <si>
    <t>10_機能概要_画面遷移</t>
    <rPh sb="3" eb="5">
      <t>キノウ</t>
    </rPh>
    <rPh sb="5" eb="7">
      <t>ガイヨウ</t>
    </rPh>
    <phoneticPr fontId="2"/>
  </si>
  <si>
    <t>20_画面設計</t>
    <phoneticPr fontId="2"/>
  </si>
  <si>
    <t>画面ID</t>
  </si>
  <si>
    <t>30_機能設計</t>
    <rPh sb="3" eb="5">
      <t>キノウ</t>
    </rPh>
    <rPh sb="5" eb="7">
      <t>セッケイ</t>
    </rPh>
    <phoneticPr fontId="2"/>
  </si>
  <si>
    <t>機能ID</t>
    <rPh sb="0" eb="2">
      <t>キノウ</t>
    </rPh>
    <phoneticPr fontId="2"/>
  </si>
  <si>
    <t>40_API設計</t>
    <phoneticPr fontId="2"/>
  </si>
  <si>
    <t>APIID</t>
    <phoneticPr fontId="2"/>
  </si>
  <si>
    <t>API</t>
    <phoneticPr fontId="2"/>
  </si>
  <si>
    <t>画面・帳票の数量</t>
  </si>
  <si>
    <t>DBのテーブル・ファイルの数量</t>
  </si>
  <si>
    <t>ロジック・ステップ(Batch,API,…)</t>
  </si>
  <si>
    <t>業務</t>
  </si>
  <si>
    <t>分類</t>
  </si>
  <si>
    <t>機能概要作成</t>
  </si>
  <si>
    <t>内部のレビュー</t>
  </si>
  <si>
    <t>利楠</t>
  </si>
  <si>
    <t>X0_ログイン機能</t>
    <phoneticPr fontId="2"/>
  </si>
  <si>
    <t>ログイン画面</t>
    <rPh sb="4" eb="6">
      <t>ガメン</t>
    </rPh>
    <phoneticPr fontId="2"/>
  </si>
  <si>
    <t>SCX001</t>
    <phoneticPr fontId="2"/>
  </si>
  <si>
    <t>ID照会機能</t>
    <rPh sb="2" eb="4">
      <t>ショウカイ</t>
    </rPh>
    <rPh sb="4" eb="6">
      <t>キノウ</t>
    </rPh>
    <phoneticPr fontId="2"/>
  </si>
  <si>
    <t>KNX001</t>
    <phoneticPr fontId="2"/>
  </si>
  <si>
    <t>ID照会API</t>
    <rPh sb="2" eb="4">
      <t>ショウカイ</t>
    </rPh>
    <phoneticPr fontId="2"/>
  </si>
  <si>
    <t>APX001</t>
    <phoneticPr fontId="2"/>
  </si>
  <si>
    <t>極小</t>
  </si>
  <si>
    <t>Password照会機能</t>
    <rPh sb="8" eb="10">
      <t>ショウカイ</t>
    </rPh>
    <rPh sb="10" eb="12">
      <t>キノウ</t>
    </rPh>
    <phoneticPr fontId="2"/>
  </si>
  <si>
    <t>KNX002</t>
    <phoneticPr fontId="2"/>
  </si>
  <si>
    <t>Password照会API</t>
    <rPh sb="8" eb="10">
      <t>ショウカイ</t>
    </rPh>
    <phoneticPr fontId="2"/>
  </si>
  <si>
    <t>APX002</t>
    <phoneticPr fontId="2"/>
  </si>
  <si>
    <t>X1 メニュー機能</t>
    <rPh sb="7" eb="9">
      <t>キノウ</t>
    </rPh>
    <phoneticPr fontId="2"/>
  </si>
  <si>
    <t>メニュー画面</t>
    <rPh sb="4" eb="6">
      <t>ガメン</t>
    </rPh>
    <phoneticPr fontId="2"/>
  </si>
  <si>
    <t>SCX101</t>
    <phoneticPr fontId="2"/>
  </si>
  <si>
    <t>商品検索画面</t>
    <rPh sb="0" eb="2">
      <t>ショウヒン</t>
    </rPh>
    <rPh sb="2" eb="6">
      <t>ケンサクガメン</t>
    </rPh>
    <phoneticPr fontId="2"/>
  </si>
  <si>
    <t>商品検索機能</t>
    <rPh sb="0" eb="2">
      <t>ショウヒン</t>
    </rPh>
    <rPh sb="2" eb="4">
      <t>ケンサク</t>
    </rPh>
    <rPh sb="4" eb="6">
      <t>キノウ</t>
    </rPh>
    <phoneticPr fontId="2"/>
  </si>
  <si>
    <t>商品検索API</t>
    <rPh sb="0" eb="2">
      <t>ショウヒン</t>
    </rPh>
    <rPh sb="2" eb="4">
      <t>ケンサク</t>
    </rPh>
    <phoneticPr fontId="2"/>
  </si>
  <si>
    <t>大</t>
  </si>
  <si>
    <t>簡易商品情報画面</t>
    <rPh sb="6" eb="8">
      <t>ガメン</t>
    </rPh>
    <phoneticPr fontId="2"/>
  </si>
  <si>
    <t>POS売価更新機能</t>
    <rPh sb="3" eb="5">
      <t>バイカ</t>
    </rPh>
    <rPh sb="5" eb="7">
      <t>コウシン</t>
    </rPh>
    <rPh sb="7" eb="9">
      <t>キノウ</t>
    </rPh>
    <phoneticPr fontId="2"/>
  </si>
  <si>
    <t>POS売価更新API</t>
    <rPh sb="3" eb="5">
      <t>バイカ</t>
    </rPh>
    <rPh sb="5" eb="7">
      <t>コウシン</t>
    </rPh>
    <phoneticPr fontId="2"/>
  </si>
  <si>
    <t>緊急売価変更画面</t>
    <rPh sb="0" eb="2">
      <t>キンキュウ</t>
    </rPh>
    <rPh sb="2" eb="4">
      <t>バイカ</t>
    </rPh>
    <rPh sb="4" eb="6">
      <t>ヘンコウ</t>
    </rPh>
    <rPh sb="6" eb="8">
      <t>ガメン</t>
    </rPh>
    <phoneticPr fontId="2"/>
  </si>
  <si>
    <t>緊急売価更新機能</t>
    <rPh sb="0" eb="2">
      <t>キンキュウ</t>
    </rPh>
    <rPh sb="2" eb="4">
      <t>バイカ</t>
    </rPh>
    <rPh sb="4" eb="6">
      <t>コウシン</t>
    </rPh>
    <rPh sb="6" eb="8">
      <t>キノウ</t>
    </rPh>
    <phoneticPr fontId="2"/>
  </si>
  <si>
    <t>緊急売価更新API</t>
    <rPh sb="0" eb="2">
      <t>キンキュウ</t>
    </rPh>
    <rPh sb="2" eb="4">
      <t>バイカ</t>
    </rPh>
    <rPh sb="4" eb="6">
      <t>コウシン</t>
    </rPh>
    <phoneticPr fontId="2"/>
  </si>
  <si>
    <t>【帳票】緊急売価更新一覧</t>
    <phoneticPr fontId="2"/>
  </si>
  <si>
    <t>【帳票】緊急売価更新一覧</t>
    <rPh sb="1" eb="3">
      <t>チョウヒョウ</t>
    </rPh>
    <rPh sb="4" eb="6">
      <t>キンキュウ</t>
    </rPh>
    <rPh sb="6" eb="8">
      <t>バイカ</t>
    </rPh>
    <rPh sb="8" eb="10">
      <t>コウシン</t>
    </rPh>
    <rPh sb="10" eb="12">
      <t>イチラン</t>
    </rPh>
    <phoneticPr fontId="2"/>
  </si>
  <si>
    <t>【帳票】緊急売価更新一覧API</t>
    <phoneticPr fontId="2"/>
  </si>
  <si>
    <t>ミックスマッチ新規設定画面</t>
    <rPh sb="7" eb="9">
      <t>シンキ</t>
    </rPh>
    <rPh sb="11" eb="13">
      <t>ガメン</t>
    </rPh>
    <phoneticPr fontId="2"/>
  </si>
  <si>
    <t>ミックスマッチ更新設定画面</t>
    <phoneticPr fontId="2"/>
  </si>
  <si>
    <t>特売新規設定画面</t>
    <rPh sb="0" eb="2">
      <t>トクバイ</t>
    </rPh>
    <rPh sb="2" eb="4">
      <t>シンキ</t>
    </rPh>
    <rPh sb="4" eb="6">
      <t>セッテイ</t>
    </rPh>
    <rPh sb="6" eb="8">
      <t>ガメン</t>
    </rPh>
    <phoneticPr fontId="2"/>
  </si>
  <si>
    <t>特売更新設定画面</t>
    <phoneticPr fontId="2"/>
  </si>
  <si>
    <t>緊急売価変更画面</t>
    <phoneticPr fontId="2"/>
  </si>
  <si>
    <t>緊急売価変更検索機能</t>
    <rPh sb="6" eb="8">
      <t>ケンサク</t>
    </rPh>
    <rPh sb="8" eb="10">
      <t>キノウ</t>
    </rPh>
    <phoneticPr fontId="2"/>
  </si>
  <si>
    <t>【重複】よ極小</t>
  </si>
  <si>
    <t>登録確認モーダル</t>
    <rPh sb="0" eb="2">
      <t>トウロク</t>
    </rPh>
    <rPh sb="2" eb="4">
      <t>カクニン</t>
    </rPh>
    <phoneticPr fontId="2"/>
  </si>
  <si>
    <t>緊急売価変更更新機能</t>
    <rPh sb="6" eb="8">
      <t>コウシン</t>
    </rPh>
    <phoneticPr fontId="2"/>
  </si>
  <si>
    <t>削除確認モーダル</t>
    <rPh sb="0" eb="2">
      <t>サクジョ</t>
    </rPh>
    <phoneticPr fontId="2"/>
  </si>
  <si>
    <t>緊急売価変更削除機能</t>
    <phoneticPr fontId="2"/>
  </si>
  <si>
    <t>変更完了モーダル</t>
    <rPh sb="2" eb="4">
      <t>カンリョウ</t>
    </rPh>
    <phoneticPr fontId="2"/>
  </si>
  <si>
    <t>特売マスタ売価設定画面</t>
    <rPh sb="0" eb="2">
      <t>トクバイ</t>
    </rPh>
    <rPh sb="5" eb="7">
      <t>バイカ</t>
    </rPh>
    <rPh sb="7" eb="9">
      <t>セッテイ</t>
    </rPh>
    <rPh sb="9" eb="11">
      <t>ガメン</t>
    </rPh>
    <phoneticPr fontId="2"/>
  </si>
  <si>
    <t>対象期間検索機能</t>
    <rPh sb="0" eb="2">
      <t>タイショウ</t>
    </rPh>
    <rPh sb="2" eb="4">
      <t>キカン</t>
    </rPh>
    <rPh sb="4" eb="6">
      <t>ケンサク</t>
    </rPh>
    <rPh sb="6" eb="8">
      <t>キノウ</t>
    </rPh>
    <phoneticPr fontId="2"/>
  </si>
  <si>
    <t>【重複】よ小</t>
  </si>
  <si>
    <t>特売売価新規機能</t>
    <phoneticPr fontId="2"/>
  </si>
  <si>
    <t>特売売価更新機能</t>
    <rPh sb="0" eb="2">
      <t>トクバイ</t>
    </rPh>
    <rPh sb="2" eb="4">
      <t>バイカ</t>
    </rPh>
    <rPh sb="4" eb="6">
      <t>コウシン</t>
    </rPh>
    <rPh sb="6" eb="8">
      <t>キノウ</t>
    </rPh>
    <phoneticPr fontId="2"/>
  </si>
  <si>
    <t>特売割引新規機能</t>
    <rPh sb="0" eb="2">
      <t>トクバイ</t>
    </rPh>
    <rPh sb="2" eb="4">
      <t>ワリビキ</t>
    </rPh>
    <rPh sb="4" eb="6">
      <t>シンキ</t>
    </rPh>
    <rPh sb="6" eb="8">
      <t>キノウ</t>
    </rPh>
    <phoneticPr fontId="2"/>
  </si>
  <si>
    <t>特売割引更新機能</t>
    <rPh sb="0" eb="2">
      <t>トクバイ</t>
    </rPh>
    <rPh sb="2" eb="4">
      <t>ワリビキ</t>
    </rPh>
    <rPh sb="4" eb="6">
      <t>コウシン</t>
    </rPh>
    <rPh sb="6" eb="8">
      <t>キノウ</t>
    </rPh>
    <phoneticPr fontId="2"/>
  </si>
  <si>
    <t>プロモーション検索画面</t>
    <phoneticPr fontId="2"/>
  </si>
  <si>
    <t>未判定</t>
  </si>
  <si>
    <t>中</t>
  </si>
  <si>
    <t>ミックスマッチ設定画面</t>
    <phoneticPr fontId="2"/>
  </si>
  <si>
    <t>ミックスマッチ検索画面</t>
    <phoneticPr fontId="2"/>
  </si>
  <si>
    <t>06_1，7，8定番変更</t>
    <phoneticPr fontId="2"/>
  </si>
  <si>
    <t>1，7，8定番変更画面</t>
    <rPh sb="9" eb="11">
      <t>ガメン</t>
    </rPh>
    <phoneticPr fontId="2"/>
  </si>
  <si>
    <t>小</t>
  </si>
  <si>
    <t>【帳票】1，7，8定番変更変更リスト</t>
    <phoneticPr fontId="2"/>
  </si>
  <si>
    <t>08_カテゴリ値引／割引設定 ※寺岡さんが正解</t>
    <rPh sb="16" eb="18">
      <t>テラオカ</t>
    </rPh>
    <rPh sb="21" eb="23">
      <t>セイカイ</t>
    </rPh>
    <phoneticPr fontId="2"/>
  </si>
  <si>
    <t>カテゴリ値引／割引設定画面</t>
    <rPh sb="11" eb="13">
      <t>ガメン</t>
    </rPh>
    <phoneticPr fontId="2"/>
  </si>
  <si>
    <t>値下・割引</t>
  </si>
  <si>
    <t>分類フォルダ検索画面</t>
    <rPh sb="0" eb="2">
      <t>ブンルイ</t>
    </rPh>
    <rPh sb="6" eb="8">
      <t>ケンサク</t>
    </rPh>
    <rPh sb="8" eb="10">
      <t>ガメン</t>
    </rPh>
    <phoneticPr fontId="2"/>
  </si>
  <si>
    <t>10_プロモーションメンテ</t>
    <phoneticPr fontId="2"/>
  </si>
  <si>
    <t>プロモーション検索画面</t>
    <rPh sb="7" eb="9">
      <t>ケンサク</t>
    </rPh>
    <rPh sb="9" eb="11">
      <t>ガメン</t>
    </rPh>
    <phoneticPr fontId="2"/>
  </si>
  <si>
    <t xml:space="preserve">【画面機能一覧_20240214】に追記 </t>
    <phoneticPr fontId="2"/>
  </si>
  <si>
    <t>プロモーションメンテ画面</t>
    <rPh sb="10" eb="12">
      <t>ガメン</t>
    </rPh>
    <phoneticPr fontId="2"/>
  </si>
  <si>
    <t>11_部門別売上速報</t>
    <phoneticPr fontId="2"/>
  </si>
  <si>
    <t>部門別売上速報画面</t>
    <rPh sb="7" eb="9">
      <t>ガメン</t>
    </rPh>
    <phoneticPr fontId="2"/>
  </si>
  <si>
    <t>【帳票】部門別売上速報</t>
    <rPh sb="1" eb="3">
      <t>チョウヒョウ</t>
    </rPh>
    <phoneticPr fontId="2"/>
  </si>
  <si>
    <t>品群別売上速報画面</t>
    <rPh sb="0" eb="2">
      <t>ヒングン</t>
    </rPh>
    <rPh sb="2" eb="3">
      <t>ベツ</t>
    </rPh>
    <rPh sb="3" eb="7">
      <t>ウリアゲソクホウ</t>
    </rPh>
    <rPh sb="7" eb="9">
      <t>ガメン</t>
    </rPh>
    <phoneticPr fontId="2"/>
  </si>
  <si>
    <t>【帳票】品群別売上速報</t>
    <phoneticPr fontId="2"/>
  </si>
  <si>
    <t>時間帯別売上速報画面</t>
    <rPh sb="0" eb="3">
      <t>ジカンタイ</t>
    </rPh>
    <rPh sb="3" eb="4">
      <t>ベツ</t>
    </rPh>
    <rPh sb="4" eb="6">
      <t>ウリアゲ</t>
    </rPh>
    <rPh sb="6" eb="8">
      <t>ソクホウ</t>
    </rPh>
    <rPh sb="8" eb="10">
      <t>ガメン</t>
    </rPh>
    <phoneticPr fontId="2"/>
  </si>
  <si>
    <t>【帳票】時間帯別売上速報</t>
    <phoneticPr fontId="2"/>
  </si>
  <si>
    <t>12_単品速報／日報</t>
    <phoneticPr fontId="2"/>
  </si>
  <si>
    <t>単品別売上速報画面</t>
    <rPh sb="0" eb="2">
      <t>タンピン</t>
    </rPh>
    <rPh sb="7" eb="9">
      <t>ガメン</t>
    </rPh>
    <phoneticPr fontId="2"/>
  </si>
  <si>
    <t>【帳票】単品別売上速報</t>
    <rPh sb="1" eb="3">
      <t>チョウヒョウ</t>
    </rPh>
    <rPh sb="4" eb="6">
      <t>タンピン</t>
    </rPh>
    <phoneticPr fontId="2"/>
  </si>
  <si>
    <t>単品別売上日報画面</t>
    <rPh sb="0" eb="2">
      <t>タンピン</t>
    </rPh>
    <rPh sb="5" eb="7">
      <t>ニッポウ</t>
    </rPh>
    <rPh sb="7" eb="9">
      <t>ガメン</t>
    </rPh>
    <phoneticPr fontId="2"/>
  </si>
  <si>
    <t>【帳票】単品別売上日報</t>
    <rPh sb="1" eb="3">
      <t>チョウヒョウ</t>
    </rPh>
    <rPh sb="4" eb="6">
      <t>タンピン</t>
    </rPh>
    <rPh sb="6" eb="7">
      <t>ベツ</t>
    </rPh>
    <rPh sb="7" eb="9">
      <t>ウリアゲ</t>
    </rPh>
    <rPh sb="9" eb="11">
      <t>ニッポウ</t>
    </rPh>
    <phoneticPr fontId="2"/>
  </si>
  <si>
    <t>13_部門別売上日報</t>
    <phoneticPr fontId="2"/>
  </si>
  <si>
    <t>部門別売上日報画面</t>
    <rPh sb="7" eb="9">
      <t>ガメン</t>
    </rPh>
    <phoneticPr fontId="2"/>
  </si>
  <si>
    <t>【帳票】部門別売上日報</t>
    <rPh sb="1" eb="3">
      <t>チョウヒョウ</t>
    </rPh>
    <phoneticPr fontId="2"/>
  </si>
  <si>
    <t>品群別売上日報画面</t>
    <rPh sb="0" eb="2">
      <t>ヒングン</t>
    </rPh>
    <rPh sb="2" eb="3">
      <t>ベツ</t>
    </rPh>
    <rPh sb="3" eb="5">
      <t>ウリアゲ</t>
    </rPh>
    <rPh sb="5" eb="7">
      <t>ニッポウ</t>
    </rPh>
    <rPh sb="7" eb="9">
      <t>ガメン</t>
    </rPh>
    <phoneticPr fontId="2"/>
  </si>
  <si>
    <t>【帳票】品群別売上日報</t>
    <phoneticPr fontId="2"/>
  </si>
  <si>
    <t>部門別時間帯別売上日報画面</t>
    <rPh sb="0" eb="2">
      <t>ブモン</t>
    </rPh>
    <rPh sb="2" eb="3">
      <t>ベツ</t>
    </rPh>
    <rPh sb="3" eb="6">
      <t>ジカンタイ</t>
    </rPh>
    <rPh sb="6" eb="7">
      <t>ベツ</t>
    </rPh>
    <rPh sb="7" eb="9">
      <t>ウリアゲ</t>
    </rPh>
    <rPh sb="9" eb="11">
      <t>ニッポウ</t>
    </rPh>
    <rPh sb="11" eb="13">
      <t>ガメン</t>
    </rPh>
    <phoneticPr fontId="2"/>
  </si>
  <si>
    <t>【帳票】部門別時間帯別売上日報</t>
    <phoneticPr fontId="2"/>
  </si>
  <si>
    <t>14_テナント売上速報／日報</t>
    <phoneticPr fontId="2"/>
  </si>
  <si>
    <t>テナント売上速報/日報</t>
    <rPh sb="4" eb="6">
      <t>ウリアゲ</t>
    </rPh>
    <rPh sb="6" eb="8">
      <t>ソクホウ</t>
    </rPh>
    <rPh sb="9" eb="11">
      <t>ニッポウ</t>
    </rPh>
    <phoneticPr fontId="2"/>
  </si>
  <si>
    <t>15_タッチメニュー設定</t>
    <phoneticPr fontId="2"/>
  </si>
  <si>
    <t>プリセットレイアウト検索画面</t>
    <rPh sb="10" eb="12">
      <t>ケンサク</t>
    </rPh>
    <rPh sb="12" eb="14">
      <t>ガメン</t>
    </rPh>
    <phoneticPr fontId="2"/>
  </si>
  <si>
    <t>プリセットタブ編集画面</t>
    <rPh sb="7" eb="9">
      <t>ヘンシュウ</t>
    </rPh>
    <rPh sb="9" eb="11">
      <t>ガメン</t>
    </rPh>
    <phoneticPr fontId="2"/>
  </si>
  <si>
    <t>プリセット機能（毎日変わると想定）</t>
  </si>
  <si>
    <t>プリセットボタン編集画面</t>
    <phoneticPr fontId="2"/>
  </si>
  <si>
    <t>19_売価変更勧告リスト</t>
    <phoneticPr fontId="2"/>
  </si>
  <si>
    <t>売価変更勧告リスト画面</t>
    <rPh sb="9" eb="11">
      <t>ガメン</t>
    </rPh>
    <phoneticPr fontId="2"/>
  </si>
  <si>
    <t>【帳票】売価変更勧告リスト</t>
    <rPh sb="1" eb="3">
      <t>チョウヒョウ</t>
    </rPh>
    <rPh sb="4" eb="6">
      <t>バイカ</t>
    </rPh>
    <rPh sb="6" eb="8">
      <t>ヘンコウ</t>
    </rPh>
    <rPh sb="8" eb="10">
      <t>カンコク</t>
    </rPh>
    <phoneticPr fontId="2"/>
  </si>
  <si>
    <t>20_レジ精算入力</t>
    <phoneticPr fontId="2"/>
  </si>
  <si>
    <t>レジ精算日付検索画面</t>
    <rPh sb="2" eb="4">
      <t>セイサン</t>
    </rPh>
    <rPh sb="4" eb="6">
      <t>ヒヅケ</t>
    </rPh>
    <rPh sb="6" eb="8">
      <t>ケンサク</t>
    </rPh>
    <rPh sb="8" eb="10">
      <t>ガメン</t>
    </rPh>
    <phoneticPr fontId="2"/>
  </si>
  <si>
    <t>準備金登録機能</t>
  </si>
  <si>
    <t>レジ精算レジ選択画面</t>
    <rPh sb="2" eb="4">
      <t>セイサン</t>
    </rPh>
    <rPh sb="6" eb="8">
      <t>センタク</t>
    </rPh>
    <rPh sb="8" eb="10">
      <t>ガメン</t>
    </rPh>
    <phoneticPr fontId="2"/>
  </si>
  <si>
    <t>レジ精算修正画面</t>
    <rPh sb="2" eb="4">
      <t>セイサン</t>
    </rPh>
    <rPh sb="4" eb="6">
      <t>シュウセイ</t>
    </rPh>
    <rPh sb="6" eb="8">
      <t>ガメン</t>
    </rPh>
    <phoneticPr fontId="2"/>
  </si>
  <si>
    <t>レジ精算帳票日付設定画面</t>
    <rPh sb="2" eb="4">
      <t>セイサン</t>
    </rPh>
    <rPh sb="4" eb="6">
      <t>チョウヒョウ</t>
    </rPh>
    <rPh sb="6" eb="8">
      <t>ヒヅケ</t>
    </rPh>
    <rPh sb="8" eb="10">
      <t>セッテイ</t>
    </rPh>
    <rPh sb="10" eb="12">
      <t>ガメン</t>
    </rPh>
    <phoneticPr fontId="2"/>
  </si>
  <si>
    <t>【帳票】レジ精算一覧表</t>
    <rPh sb="6" eb="8">
      <t>セイサン</t>
    </rPh>
    <rPh sb="8" eb="10">
      <t>イチラン</t>
    </rPh>
    <rPh sb="10" eb="11">
      <t>ヒョウ</t>
    </rPh>
    <phoneticPr fontId="2"/>
  </si>
  <si>
    <t>21_ジャーナル検索</t>
    <phoneticPr fontId="2"/>
  </si>
  <si>
    <t>ジャーナル検索画面</t>
    <rPh sb="5" eb="7">
      <t>ケンサク</t>
    </rPh>
    <rPh sb="7" eb="9">
      <t>ガメン</t>
    </rPh>
    <phoneticPr fontId="2"/>
  </si>
  <si>
    <t>【帳票】ジャーナルイメージ</t>
    <phoneticPr fontId="2"/>
  </si>
  <si>
    <t>22_クレジット小計割引設定</t>
    <phoneticPr fontId="2"/>
  </si>
  <si>
    <t>クレジット小計割引設定</t>
    <rPh sb="5" eb="7">
      <t>ショウケイ</t>
    </rPh>
    <rPh sb="7" eb="9">
      <t>ワリビキ</t>
    </rPh>
    <rPh sb="9" eb="11">
      <t>セッテイ</t>
    </rPh>
    <phoneticPr fontId="2"/>
  </si>
  <si>
    <t xml:space="preserve">【画面機能一覧_20240214】に追記 </t>
    <rPh sb="18" eb="20">
      <t>ツイキ</t>
    </rPh>
    <phoneticPr fontId="2"/>
  </si>
  <si>
    <t>※現在、日付を入力？週次で手動更新？</t>
    <rPh sb="1" eb="3">
      <t>ゲンザイ</t>
    </rPh>
    <rPh sb="4" eb="6">
      <t>ヒヅケ</t>
    </rPh>
    <rPh sb="7" eb="9">
      <t>ニュウリョク</t>
    </rPh>
    <rPh sb="10" eb="12">
      <t>シュウジ</t>
    </rPh>
    <rPh sb="13" eb="17">
      <t>シュドウコウシン</t>
    </rPh>
    <phoneticPr fontId="2"/>
  </si>
  <si>
    <t>25　取扱設定マスタ設定(KSM)</t>
    <phoneticPr fontId="2"/>
  </si>
  <si>
    <t>取扱設定マスタ設定画面(KSM)</t>
    <rPh sb="0" eb="2">
      <t>トリアツカイ</t>
    </rPh>
    <rPh sb="2" eb="4">
      <t>セッテイ</t>
    </rPh>
    <rPh sb="7" eb="9">
      <t>セッテイ</t>
    </rPh>
    <rPh sb="9" eb="11">
      <t>ガメン</t>
    </rPh>
    <phoneticPr fontId="2"/>
  </si>
  <si>
    <t>他のシステム連携と想定</t>
  </si>
  <si>
    <t>取扱設定マスタ編集画面</t>
    <rPh sb="7" eb="9">
      <t>ヘンシュウ</t>
    </rPh>
    <phoneticPr fontId="2"/>
  </si>
  <si>
    <t>26　取扱設定マスタ設定(Welcia)</t>
    <phoneticPr fontId="2"/>
  </si>
  <si>
    <t>取扱設定マスタ設定画面(Welcia)</t>
    <rPh sb="0" eb="2">
      <t>トリアツカイ</t>
    </rPh>
    <rPh sb="2" eb="4">
      <t>セッテイ</t>
    </rPh>
    <rPh sb="7" eb="9">
      <t>セッテイ</t>
    </rPh>
    <rPh sb="9" eb="11">
      <t>ガメン</t>
    </rPh>
    <phoneticPr fontId="2"/>
  </si>
  <si>
    <t>取扱設定マスタ編集画面</t>
    <phoneticPr fontId="2"/>
  </si>
  <si>
    <t>28　レシートクーポン設定</t>
    <phoneticPr fontId="2"/>
  </si>
  <si>
    <t>レシートクーポン設定画面</t>
    <rPh sb="8" eb="10">
      <t>セッテイ</t>
    </rPh>
    <rPh sb="10" eb="12">
      <t>ガメン</t>
    </rPh>
    <phoneticPr fontId="2"/>
  </si>
  <si>
    <t>レシートクーポン新規画面</t>
    <rPh sb="8" eb="10">
      <t>シンキ</t>
    </rPh>
    <rPh sb="10" eb="12">
      <t>ガメン</t>
    </rPh>
    <phoneticPr fontId="2"/>
  </si>
  <si>
    <t>レシートクーポン編集画面</t>
    <rPh sb="8" eb="10">
      <t>ヘンシュウ</t>
    </rPh>
    <rPh sb="10" eb="12">
      <t>ガメン</t>
    </rPh>
    <phoneticPr fontId="2"/>
  </si>
  <si>
    <t>29　レジ別時間帯別点検</t>
    <phoneticPr fontId="2"/>
  </si>
  <si>
    <t>資料なし</t>
    <rPh sb="0" eb="2">
      <t>シリョウ</t>
    </rPh>
    <phoneticPr fontId="2"/>
  </si>
  <si>
    <t>31_レジ別速報／日報</t>
    <phoneticPr fontId="2"/>
  </si>
  <si>
    <t>レジ別速報一覧画面</t>
    <rPh sb="5" eb="9">
      <t>イチランガメン</t>
    </rPh>
    <phoneticPr fontId="2"/>
  </si>
  <si>
    <t>レジ別速報詳細画面</t>
    <rPh sb="5" eb="7">
      <t>ショウサイ</t>
    </rPh>
    <phoneticPr fontId="2"/>
  </si>
  <si>
    <t>会計</t>
  </si>
  <si>
    <t>【帳票】レジ別速報</t>
    <phoneticPr fontId="2"/>
  </si>
  <si>
    <t>レジ別日報一覧画面</t>
    <rPh sb="3" eb="5">
      <t>ニッポウ</t>
    </rPh>
    <rPh sb="5" eb="9">
      <t>イチランガメン</t>
    </rPh>
    <phoneticPr fontId="2"/>
  </si>
  <si>
    <t>レジ別日報詳細画面</t>
    <rPh sb="5" eb="7">
      <t>ショウサイ</t>
    </rPh>
    <phoneticPr fontId="2"/>
  </si>
  <si>
    <t>【帳票】レジ別日報</t>
    <rPh sb="7" eb="9">
      <t>ニッポウ</t>
    </rPh>
    <phoneticPr fontId="2"/>
  </si>
  <si>
    <t>レジ別月報報一覧画面</t>
    <rPh sb="3" eb="5">
      <t>ゲッポウ</t>
    </rPh>
    <rPh sb="5" eb="6">
      <t>ホウ</t>
    </rPh>
    <rPh sb="6" eb="10">
      <t>イチランガメン</t>
    </rPh>
    <phoneticPr fontId="2"/>
  </si>
  <si>
    <t>レジ別月報詳細画面</t>
    <rPh sb="3" eb="5">
      <t>ゲッポウ</t>
    </rPh>
    <rPh sb="5" eb="7">
      <t>ショウサイ</t>
    </rPh>
    <phoneticPr fontId="2"/>
  </si>
  <si>
    <t>【帳票】レジ別月報</t>
    <rPh sb="7" eb="9">
      <t>ゲッポウ</t>
    </rPh>
    <phoneticPr fontId="2"/>
  </si>
  <si>
    <t>32_レジ別単品別売上点検</t>
    <phoneticPr fontId="2"/>
  </si>
  <si>
    <t>レジ別単品別売上点検画面</t>
    <rPh sb="2" eb="3">
      <t>ベツ</t>
    </rPh>
    <rPh sb="3" eb="5">
      <t>タンピン</t>
    </rPh>
    <rPh sb="5" eb="6">
      <t>ベツ</t>
    </rPh>
    <rPh sb="6" eb="8">
      <t>ウリアゲ</t>
    </rPh>
    <rPh sb="8" eb="10">
      <t>テンケン</t>
    </rPh>
    <rPh sb="10" eb="12">
      <t>ガメン</t>
    </rPh>
    <phoneticPr fontId="2"/>
  </si>
  <si>
    <t>Thanh toán theo máy POS của từng sản phẩm</t>
  </si>
  <si>
    <t>33_釣銭機状況照会</t>
    <phoneticPr fontId="2"/>
  </si>
  <si>
    <t>釣銭機状況照会画面</t>
    <rPh sb="0" eb="3">
      <t>ツリセンキ</t>
    </rPh>
    <rPh sb="3" eb="5">
      <t>ジョウキョウ</t>
    </rPh>
    <rPh sb="5" eb="9">
      <t>ショウカイガメン</t>
    </rPh>
    <phoneticPr fontId="2"/>
  </si>
  <si>
    <t>【帳票】補充リスト</t>
    <rPh sb="4" eb="6">
      <t>ホジュウ</t>
    </rPh>
    <phoneticPr fontId="2"/>
  </si>
  <si>
    <t>【帳票】回収リスト</t>
    <rPh sb="4" eb="6">
      <t>カイシュウ</t>
    </rPh>
    <phoneticPr fontId="2"/>
  </si>
  <si>
    <t>37_メガ割設定</t>
    <phoneticPr fontId="2"/>
  </si>
  <si>
    <t>メガ割設定画面</t>
    <rPh sb="2" eb="3">
      <t>ワリ</t>
    </rPh>
    <rPh sb="3" eb="5">
      <t>セッテイ</t>
    </rPh>
    <rPh sb="5" eb="7">
      <t>ガメン</t>
    </rPh>
    <phoneticPr fontId="2"/>
  </si>
  <si>
    <t>38_朝割設定</t>
    <phoneticPr fontId="2"/>
  </si>
  <si>
    <t>朝割設定画面</t>
    <rPh sb="0" eb="1">
      <t>アサ</t>
    </rPh>
    <rPh sb="1" eb="2">
      <t>ワリ</t>
    </rPh>
    <rPh sb="2" eb="4">
      <t>セッテイ</t>
    </rPh>
    <rPh sb="4" eb="6">
      <t>ガメン</t>
    </rPh>
    <phoneticPr fontId="2"/>
  </si>
  <si>
    <t>39_WAONポイントN倍設定</t>
    <phoneticPr fontId="2"/>
  </si>
  <si>
    <t>WAONポイントN倍設定画面</t>
    <rPh sb="9" eb="10">
      <t>バイ</t>
    </rPh>
    <rPh sb="10" eb="12">
      <t>セッテイ</t>
    </rPh>
    <rPh sb="12" eb="14">
      <t>ガメン</t>
    </rPh>
    <phoneticPr fontId="2"/>
  </si>
  <si>
    <t>40_従業員設定</t>
    <phoneticPr fontId="2"/>
  </si>
  <si>
    <t>従業員設定一覧</t>
    <rPh sb="0" eb="3">
      <t>ジュウギョウイン</t>
    </rPh>
    <rPh sb="3" eb="5">
      <t>セッテイ</t>
    </rPh>
    <rPh sb="5" eb="7">
      <t>イチラン</t>
    </rPh>
    <phoneticPr fontId="2"/>
  </si>
  <si>
    <t>SC4001</t>
    <phoneticPr fontId="2"/>
  </si>
  <si>
    <t>従業員設定一覧検索機能</t>
    <rPh sb="7" eb="9">
      <t>ケンサク</t>
    </rPh>
    <rPh sb="9" eb="11">
      <t>キノウ</t>
    </rPh>
    <phoneticPr fontId="2"/>
  </si>
  <si>
    <t>KN4001</t>
    <phoneticPr fontId="2"/>
  </si>
  <si>
    <t>従業員設定一覧API</t>
    <phoneticPr fontId="2"/>
  </si>
  <si>
    <t>AP4001</t>
    <phoneticPr fontId="2"/>
  </si>
  <si>
    <t>店舗選択モーダル</t>
    <rPh sb="0" eb="2">
      <t>テンポ</t>
    </rPh>
    <rPh sb="2" eb="4">
      <t>センタク</t>
    </rPh>
    <phoneticPr fontId="2"/>
  </si>
  <si>
    <t>MDX101</t>
    <phoneticPr fontId="2"/>
  </si>
  <si>
    <t>従業員確定機能</t>
    <rPh sb="0" eb="3">
      <t>ジュウギョウイン</t>
    </rPh>
    <rPh sb="3" eb="5">
      <t>カクテイ</t>
    </rPh>
    <rPh sb="5" eb="7">
      <t>キノウ</t>
    </rPh>
    <phoneticPr fontId="2"/>
  </si>
  <si>
    <t>KN4007</t>
  </si>
  <si>
    <t>従業員設定確定API</t>
    <rPh sb="5" eb="7">
      <t>カクテイ</t>
    </rPh>
    <phoneticPr fontId="2"/>
  </si>
  <si>
    <t>AP4002</t>
    <phoneticPr fontId="2"/>
  </si>
  <si>
    <t>【帳票】従業員バーコード</t>
    <rPh sb="1" eb="3">
      <t>チョウヒョウ</t>
    </rPh>
    <phoneticPr fontId="2"/>
  </si>
  <si>
    <t>従業員バーコード印刷機能</t>
    <rPh sb="0" eb="3">
      <t>ジュウギョウイン</t>
    </rPh>
    <rPh sb="8" eb="10">
      <t>インサツ</t>
    </rPh>
    <rPh sb="10" eb="12">
      <t>キノウ</t>
    </rPh>
    <phoneticPr fontId="2"/>
  </si>
  <si>
    <t>KN4002</t>
    <phoneticPr fontId="2"/>
  </si>
  <si>
    <t>従業員削除機能</t>
    <rPh sb="0" eb="3">
      <t>ジュウギョウイン</t>
    </rPh>
    <rPh sb="3" eb="5">
      <t>サクジョ</t>
    </rPh>
    <rPh sb="5" eb="7">
      <t>キノウ</t>
    </rPh>
    <phoneticPr fontId="2"/>
  </si>
  <si>
    <t>KN4003</t>
    <phoneticPr fontId="2"/>
  </si>
  <si>
    <t>従業員編集モーダル</t>
    <rPh sb="3" eb="5">
      <t>ヘンシュウ</t>
    </rPh>
    <phoneticPr fontId="2"/>
  </si>
  <si>
    <t>MD4004</t>
    <phoneticPr fontId="2"/>
  </si>
  <si>
    <t>従業員編集機能</t>
    <rPh sb="0" eb="3">
      <t>ジュウギョウイン</t>
    </rPh>
    <rPh sb="3" eb="5">
      <t>ヘンシュウ</t>
    </rPh>
    <rPh sb="5" eb="7">
      <t>キノウ</t>
    </rPh>
    <phoneticPr fontId="2"/>
  </si>
  <si>
    <t>KN4004</t>
    <phoneticPr fontId="2"/>
  </si>
  <si>
    <t>従業員新規モーダル</t>
    <rPh sb="3" eb="5">
      <t>シンキ</t>
    </rPh>
    <phoneticPr fontId="2"/>
  </si>
  <si>
    <t>MD4005</t>
    <phoneticPr fontId="2"/>
  </si>
  <si>
    <t>従業員新規機能</t>
    <rPh sb="0" eb="3">
      <t>ジュウギョウイン</t>
    </rPh>
    <rPh sb="3" eb="5">
      <t>シンキ</t>
    </rPh>
    <rPh sb="5" eb="7">
      <t>キノウ</t>
    </rPh>
    <phoneticPr fontId="2"/>
  </si>
  <si>
    <t>KN4005</t>
    <phoneticPr fontId="2"/>
  </si>
  <si>
    <t>KN4007</t>
    <phoneticPr fontId="2"/>
  </si>
  <si>
    <t>●管理者向けメニュー</t>
    <rPh sb="1" eb="4">
      <t>カンリシャ</t>
    </rPh>
    <rPh sb="4" eb="5">
      <t>ム</t>
    </rPh>
    <phoneticPr fontId="2"/>
  </si>
  <si>
    <t>41_ベーカリースキャン単品設定</t>
    <phoneticPr fontId="2"/>
  </si>
  <si>
    <t>不要</t>
    <rPh sb="0" eb="2">
      <t>フヨウ</t>
    </rPh>
    <phoneticPr fontId="2"/>
  </si>
  <si>
    <t>42_ベーカリースキャン単品店舗別設定</t>
    <phoneticPr fontId="2"/>
  </si>
  <si>
    <t>43_ベーカリースキャンMMマスタ設定</t>
    <phoneticPr fontId="2"/>
  </si>
  <si>
    <t>44_ベーカリースキャン単品設定（本部）</t>
    <phoneticPr fontId="2"/>
  </si>
  <si>
    <t>62_画像アップロード</t>
    <phoneticPr fontId="2"/>
  </si>
  <si>
    <t>画像アップロード画面(プリセット)</t>
    <rPh sb="0" eb="2">
      <t>ガゾウ</t>
    </rPh>
    <rPh sb="8" eb="10">
      <t>ガメン</t>
    </rPh>
    <phoneticPr fontId="2"/>
  </si>
  <si>
    <t>画像アップロード画面(レシートロゴ)</t>
    <rPh sb="0" eb="2">
      <t>ガゾウ</t>
    </rPh>
    <rPh sb="8" eb="10">
      <t>ガメン</t>
    </rPh>
    <phoneticPr fontId="2"/>
  </si>
  <si>
    <t>64_セルフレジ割引設定</t>
    <phoneticPr fontId="2"/>
  </si>
  <si>
    <t>不要</t>
    <phoneticPr fontId="2"/>
  </si>
  <si>
    <t>66_券マスタ設定</t>
    <phoneticPr fontId="2"/>
  </si>
  <si>
    <t>券マスタ設定画面</t>
    <rPh sb="6" eb="8">
      <t>ガメン</t>
    </rPh>
    <phoneticPr fontId="2"/>
  </si>
  <si>
    <t>券マスタ新規画面</t>
    <rPh sb="4" eb="6">
      <t>シンキ</t>
    </rPh>
    <phoneticPr fontId="2"/>
  </si>
  <si>
    <t>券マスタ編集画面</t>
    <rPh sb="4" eb="6">
      <t>ヘンシュウ</t>
    </rPh>
    <phoneticPr fontId="2"/>
  </si>
  <si>
    <t>68_サイトログインユーザマスタ設定</t>
    <phoneticPr fontId="2"/>
  </si>
  <si>
    <t>サイトログインユーザマスタ一覧画面</t>
    <rPh sb="13" eb="15">
      <t>イチラン</t>
    </rPh>
    <rPh sb="15" eb="17">
      <t>ガメン</t>
    </rPh>
    <phoneticPr fontId="2"/>
  </si>
  <si>
    <t>サイトログインユーザマスタ新規画面</t>
    <rPh sb="13" eb="15">
      <t>シンキ</t>
    </rPh>
    <rPh sb="15" eb="17">
      <t>ガメン</t>
    </rPh>
    <phoneticPr fontId="2"/>
  </si>
  <si>
    <t>サイトログインユーザマスタ編集画面</t>
    <rPh sb="13" eb="15">
      <t>ヘンシュウ</t>
    </rPh>
    <phoneticPr fontId="2"/>
  </si>
  <si>
    <t>69_サイトログインユーザマスタ所属設定</t>
    <phoneticPr fontId="2"/>
  </si>
  <si>
    <t>サイトログインユーザマスタ所属一覧画面</t>
    <rPh sb="15" eb="17">
      <t>イチラン</t>
    </rPh>
    <rPh sb="17" eb="19">
      <t>ガメン</t>
    </rPh>
    <phoneticPr fontId="2"/>
  </si>
  <si>
    <t>サイトログインユーザマスタ所属新規画面</t>
    <rPh sb="15" eb="17">
      <t>シンキ</t>
    </rPh>
    <phoneticPr fontId="2"/>
  </si>
  <si>
    <t>サイトログインユーザマスタ所属編集画面</t>
    <rPh sb="15" eb="17">
      <t>ヘンシュウ</t>
    </rPh>
    <phoneticPr fontId="2"/>
  </si>
  <si>
    <t>71_ノードマスタ設定</t>
    <phoneticPr fontId="2"/>
  </si>
  <si>
    <t>ノードマスタ設定一覧画面</t>
    <rPh sb="8" eb="10">
      <t>イチラン</t>
    </rPh>
    <rPh sb="10" eb="12">
      <t>ガメン</t>
    </rPh>
    <phoneticPr fontId="2"/>
  </si>
  <si>
    <t>ノードマスタ設定新規画面</t>
    <rPh sb="8" eb="10">
      <t>シンキ</t>
    </rPh>
    <phoneticPr fontId="2"/>
  </si>
  <si>
    <t>ノードマスタ設定編集画面</t>
    <rPh sb="8" eb="10">
      <t>ヘンシュウ</t>
    </rPh>
    <phoneticPr fontId="2"/>
  </si>
  <si>
    <t>72_パスワード設定</t>
    <phoneticPr fontId="2"/>
  </si>
  <si>
    <t>パスワード変更画面</t>
    <rPh sb="5" eb="7">
      <t>ヘンコウ</t>
    </rPh>
    <rPh sb="7" eb="9">
      <t>ガメン</t>
    </rPh>
    <phoneticPr fontId="2"/>
  </si>
  <si>
    <t>73_レジ状況照会</t>
    <phoneticPr fontId="2"/>
  </si>
  <si>
    <t>レジ状況照会一覧画面</t>
    <rPh sb="6" eb="8">
      <t>イチラン</t>
    </rPh>
    <rPh sb="8" eb="10">
      <t>ガメン</t>
    </rPh>
    <phoneticPr fontId="2"/>
  </si>
  <si>
    <t>レジ状況照会詳細画面</t>
    <rPh sb="6" eb="8">
      <t>ショウサイ</t>
    </rPh>
    <phoneticPr fontId="2"/>
  </si>
  <si>
    <t>74_予算登録</t>
    <phoneticPr fontId="2"/>
  </si>
  <si>
    <t>予算登録一覧画面</t>
    <rPh sb="4" eb="6">
      <t>イチラン</t>
    </rPh>
    <rPh sb="6" eb="8">
      <t>ガメン</t>
    </rPh>
    <phoneticPr fontId="2"/>
  </si>
  <si>
    <t>処理が複雑と想定</t>
  </si>
  <si>
    <t>予算登録画面</t>
    <rPh sb="4" eb="6">
      <t>ガメン</t>
    </rPh>
    <phoneticPr fontId="2"/>
  </si>
  <si>
    <t>80_Scan＆Go商品マスタ再配信</t>
    <phoneticPr fontId="2"/>
  </si>
  <si>
    <t>Scan＆Go商品マスタ再配信設定</t>
    <rPh sb="15" eb="17">
      <t>セッテイ</t>
    </rPh>
    <phoneticPr fontId="2"/>
  </si>
  <si>
    <t>81_釣銭機警告設定</t>
    <phoneticPr fontId="2"/>
  </si>
  <si>
    <t>釣銭機警告設定</t>
    <phoneticPr fontId="2"/>
  </si>
  <si>
    <t>82_店舗マスタ設定</t>
    <phoneticPr fontId="2"/>
  </si>
  <si>
    <t>未使用</t>
    <rPh sb="0" eb="3">
      <t>ミシヨウ</t>
    </rPh>
    <phoneticPr fontId="2"/>
  </si>
  <si>
    <t>83_メッセージマスタ設定</t>
    <phoneticPr fontId="2"/>
  </si>
  <si>
    <t>メッセージマスタ一覧画面</t>
    <rPh sb="8" eb="12">
      <t>イチランガメン</t>
    </rPh>
    <phoneticPr fontId="2"/>
  </si>
  <si>
    <t>メッセージマスタ新規画面(レシート)</t>
    <rPh sb="8" eb="10">
      <t>シンキ</t>
    </rPh>
    <rPh sb="10" eb="12">
      <t>ガメン</t>
    </rPh>
    <phoneticPr fontId="2"/>
  </si>
  <si>
    <t>メッセージマスタ編集画面(レシート)</t>
    <rPh sb="8" eb="10">
      <t>ヘンシュウ</t>
    </rPh>
    <phoneticPr fontId="2"/>
  </si>
  <si>
    <t>メッセージマスタ新規画面(LD)</t>
    <rPh sb="8" eb="10">
      <t>シンキ</t>
    </rPh>
    <rPh sb="10" eb="12">
      <t>ガメン</t>
    </rPh>
    <phoneticPr fontId="2"/>
  </si>
  <si>
    <t>メッセージマスタ編集画面(LD)</t>
    <rPh sb="8" eb="10">
      <t>ヘンシュウ</t>
    </rPh>
    <phoneticPr fontId="2"/>
  </si>
  <si>
    <t>84_店舗強制閉店</t>
    <phoneticPr fontId="2"/>
  </si>
  <si>
    <t>店舗強制閉店画面</t>
    <rPh sb="6" eb="8">
      <t>ガメン</t>
    </rPh>
    <phoneticPr fontId="2"/>
  </si>
  <si>
    <t>86_店舗締め</t>
    <phoneticPr fontId="2"/>
  </si>
  <si>
    <t>店舗締め画面</t>
    <rPh sb="4" eb="6">
      <t>ガメン</t>
    </rPh>
    <phoneticPr fontId="2"/>
  </si>
  <si>
    <t>87_実績クリア</t>
    <phoneticPr fontId="2"/>
  </si>
  <si>
    <t>実績クリア画面</t>
    <rPh sb="5" eb="7">
      <t>ガメン</t>
    </rPh>
    <phoneticPr fontId="2"/>
  </si>
  <si>
    <t>複数のテーブルのデータ処理と想定</t>
  </si>
  <si>
    <t>88_店舗マスタ再配信</t>
    <phoneticPr fontId="2"/>
  </si>
  <si>
    <t>店舗マスタ再配信画面</t>
    <rPh sb="8" eb="10">
      <t>ガメン</t>
    </rPh>
    <phoneticPr fontId="2"/>
  </si>
  <si>
    <t>89_店舗実績再集計</t>
    <phoneticPr fontId="2"/>
  </si>
  <si>
    <t>店舗実績再集計(点検)</t>
    <rPh sb="8" eb="10">
      <t>テンケン</t>
    </rPh>
    <phoneticPr fontId="2"/>
  </si>
  <si>
    <t>店舗実績再集計(実績)</t>
    <rPh sb="8" eb="10">
      <t>ジッセキ</t>
    </rPh>
    <phoneticPr fontId="2"/>
  </si>
  <si>
    <t>90_スマホマスタ再配信</t>
    <phoneticPr fontId="2"/>
  </si>
  <si>
    <t>スマホマスタ再配信</t>
    <phoneticPr fontId="2"/>
  </si>
  <si>
    <t>91_SS向け実績連携</t>
    <phoneticPr fontId="2"/>
  </si>
  <si>
    <t>92_ユニシスロボット再配信</t>
    <phoneticPr fontId="2"/>
  </si>
  <si>
    <t>SGC使用ポイントマスタ</t>
    <phoneticPr fontId="2"/>
  </si>
  <si>
    <t>●バッチ処理</t>
    <rPh sb="4" eb="6">
      <t>ショリ</t>
    </rPh>
    <phoneticPr fontId="2"/>
  </si>
  <si>
    <t>店別振り分け</t>
    <phoneticPr fontId="2"/>
  </si>
  <si>
    <t>マスタ更新</t>
    <phoneticPr fontId="2"/>
  </si>
  <si>
    <t>新規追加</t>
    <rPh sb="0" eb="2">
      <t>シンキ</t>
    </rPh>
    <rPh sb="2" eb="4">
      <t>ツイカ</t>
    </rPh>
    <phoneticPr fontId="2"/>
  </si>
  <si>
    <t>更新処理</t>
    <rPh sb="0" eb="2">
      <t>コウシン</t>
    </rPh>
    <rPh sb="2" eb="4">
      <t>ショリ</t>
    </rPh>
    <phoneticPr fontId="2"/>
  </si>
  <si>
    <t>削除処理</t>
    <rPh sb="0" eb="2">
      <t>サクジョ</t>
    </rPh>
    <rPh sb="2" eb="4">
      <t>ショリ</t>
    </rPh>
    <phoneticPr fontId="2"/>
  </si>
  <si>
    <t>ジャーナルファイル作成</t>
    <phoneticPr fontId="2"/>
  </si>
  <si>
    <t>実績データ作成</t>
    <phoneticPr fontId="2"/>
  </si>
  <si>
    <t>廃棄実績データ作成処理</t>
  </si>
  <si>
    <t>レジ精算データ作成処理</t>
  </si>
  <si>
    <t>特売実施実績データ作成処理</t>
  </si>
  <si>
    <t>単品別売上合計データ作成処理</t>
  </si>
  <si>
    <t>単品別売上値引データ作成処理</t>
  </si>
  <si>
    <t>※要確認 クラス売上データ作成処理</t>
    <rPh sb="1" eb="4">
      <t>ヨウカクニン</t>
    </rPh>
    <phoneticPr fontId="2"/>
  </si>
  <si>
    <t>カード実績データ作成処理</t>
  </si>
  <si>
    <t>生産者実績データ作成処理</t>
  </si>
  <si>
    <t>店内利用実績データ作成処理</t>
  </si>
  <si>
    <t>トラン削除処理(3か月経過分)</t>
    <rPh sb="3" eb="7">
      <t>サクジョショリ</t>
    </rPh>
    <rPh sb="10" eb="11">
      <t>ゲツ</t>
    </rPh>
    <rPh sb="11" eb="14">
      <t>ケイカブン</t>
    </rPh>
    <phoneticPr fontId="2"/>
  </si>
  <si>
    <t>マスタ取込</t>
    <phoneticPr fontId="2"/>
  </si>
  <si>
    <t>商品階層メンテ</t>
  </si>
  <si>
    <t>※全体的にワーニング処理追加
※矛盾チェック
※紐づかないものがないか？</t>
    <rPh sb="1" eb="4">
      <t>ゼンタイテキ</t>
    </rPh>
    <rPh sb="10" eb="12">
      <t>ショリ</t>
    </rPh>
    <rPh sb="12" eb="14">
      <t>ツイカ</t>
    </rPh>
    <rPh sb="16" eb="18">
      <t>ムジュン</t>
    </rPh>
    <rPh sb="24" eb="25">
      <t>ヒモ</t>
    </rPh>
    <phoneticPr fontId="2"/>
  </si>
  <si>
    <t>PLUメンテ</t>
  </si>
  <si>
    <t>企画メンテ</t>
  </si>
  <si>
    <t>組合せメンテ</t>
  </si>
  <si>
    <t>特売メンテ</t>
  </si>
  <si>
    <t>予算ファイル</t>
  </si>
  <si>
    <t>商品ポイント加算メンテ</t>
  </si>
  <si>
    <t>マスタ削除処理(1週間経過分（物により）)</t>
    <rPh sb="3" eb="7">
      <t>サクジョショリ</t>
    </rPh>
    <rPh sb="9" eb="11">
      <t>シュウカン</t>
    </rPh>
    <rPh sb="11" eb="14">
      <t>ケイカブン</t>
    </rPh>
    <rPh sb="15" eb="16">
      <t>モノ</t>
    </rPh>
    <phoneticPr fontId="2"/>
  </si>
  <si>
    <t>POSマスタ配信</t>
    <phoneticPr fontId="2"/>
  </si>
  <si>
    <t>商品マスタ</t>
    <rPh sb="0" eb="2">
      <t>ショウヒン</t>
    </rPh>
    <phoneticPr fontId="5"/>
  </si>
  <si>
    <t>商品拡張マスタ</t>
    <rPh sb="0" eb="2">
      <t>ショウヒン</t>
    </rPh>
    <rPh sb="2" eb="4">
      <t>カクチョウ</t>
    </rPh>
    <phoneticPr fontId="5"/>
  </si>
  <si>
    <t>分類マスタ</t>
    <rPh sb="0" eb="2">
      <t>ブンルイ</t>
    </rPh>
    <phoneticPr fontId="5"/>
  </si>
  <si>
    <t>分類拡張マスタ</t>
    <rPh sb="0" eb="2">
      <t>ブンルイ</t>
    </rPh>
    <rPh sb="2" eb="4">
      <t>カクチョウ</t>
    </rPh>
    <phoneticPr fontId="5"/>
  </si>
  <si>
    <t>特売マスタ</t>
    <rPh sb="0" eb="2">
      <t>トクバイ</t>
    </rPh>
    <phoneticPr fontId="5"/>
  </si>
  <si>
    <t>MMマスタ</t>
  </si>
  <si>
    <t>MM商品マスタ</t>
    <rPh sb="2" eb="4">
      <t>ショウヒン</t>
    </rPh>
    <phoneticPr fontId="5"/>
  </si>
  <si>
    <t>MD階層値引マスタ（TBP用）</t>
  </si>
  <si>
    <t>従業員マスタ</t>
    <rPh sb="0" eb="3">
      <t>ジュウギョウイン</t>
    </rPh>
    <phoneticPr fontId="5"/>
  </si>
  <si>
    <t>従業員拡張マスタ</t>
    <rPh sb="0" eb="3">
      <t>ジュウギョウイン</t>
    </rPh>
    <rPh sb="3" eb="5">
      <t>カクチョウ</t>
    </rPh>
    <phoneticPr fontId="5"/>
  </si>
  <si>
    <t>プリセットマスタ</t>
  </si>
  <si>
    <t>プリセットメニューマスタ</t>
  </si>
  <si>
    <t>税コードマスタ</t>
  </si>
  <si>
    <t>税グループ詳細マスタ</t>
  </si>
  <si>
    <t>税グループマスタ</t>
  </si>
  <si>
    <t>税タイプマスタ</t>
  </si>
  <si>
    <t>軽減税率マスタ</t>
  </si>
  <si>
    <t>券マスタ</t>
  </si>
  <si>
    <t>釣銭機回収設定マスタ</t>
  </si>
  <si>
    <t>レシートクーポン発券マスタ</t>
  </si>
  <si>
    <t>開店処理を開始しました(20231023)</t>
  </si>
  <si>
    <t>単品別特売</t>
  </si>
  <si>
    <t>小計割引スケジュール</t>
  </si>
  <si>
    <t>ｸﾚｼﾞｯﾄ小計割引スケジュール</t>
  </si>
  <si>
    <t>分類ポイント割増スケジュール</t>
  </si>
  <si>
    <t>マークダウン・当日売価反映</t>
  </si>
  <si>
    <t>商品メンテ取込予約</t>
  </si>
  <si>
    <t>小計割引-除外設定反映</t>
  </si>
  <si>
    <t>ポイント割増設定</t>
  </si>
  <si>
    <t>Scan＆Goマスタ配信</t>
    <phoneticPr fontId="2"/>
  </si>
  <si>
    <t>ノードマスタ</t>
  </si>
  <si>
    <t>SGC使用ポイントマスタ</t>
    <rPh sb="3" eb="5">
      <t>シヨウ</t>
    </rPh>
    <phoneticPr fontId="2"/>
  </si>
  <si>
    <t>Scan＆Go実績取込み</t>
    <rPh sb="7" eb="9">
      <t>ジッセキ</t>
    </rPh>
    <rPh sb="9" eb="11">
      <t>トリコ</t>
    </rPh>
    <phoneticPr fontId="2"/>
  </si>
  <si>
    <t>ウエルシア様マスタ配信</t>
    <rPh sb="5" eb="6">
      <t>サマ</t>
    </rPh>
    <rPh sb="9" eb="11">
      <t>ハイシン</t>
    </rPh>
    <phoneticPr fontId="2"/>
  </si>
  <si>
    <t>ウエルシア様実績連携</t>
    <phoneticPr fontId="2"/>
  </si>
  <si>
    <t>ダイソー様マスタ配信</t>
    <rPh sb="4" eb="5">
      <t>サマ</t>
    </rPh>
    <rPh sb="8" eb="10">
      <t>ハイシン</t>
    </rPh>
    <phoneticPr fontId="2"/>
  </si>
  <si>
    <t>ダイソー様実績連携</t>
    <phoneticPr fontId="2"/>
  </si>
  <si>
    <t>Oodo売上連携</t>
    <rPh sb="4" eb="6">
      <t>ウリアゲ</t>
    </rPh>
    <rPh sb="6" eb="8">
      <t>レンケイ</t>
    </rPh>
    <phoneticPr fontId="2"/>
  </si>
  <si>
    <t>SuperStream実績連携</t>
    <rPh sb="11" eb="13">
      <t>ジッセキ</t>
    </rPh>
    <rPh sb="13" eb="15">
      <t>レンケイ</t>
    </rPh>
    <phoneticPr fontId="2"/>
  </si>
  <si>
    <t>POPのAPI等</t>
    <rPh sb="7" eb="8">
      <t>トウ</t>
    </rPh>
    <phoneticPr fontId="2"/>
  </si>
  <si>
    <t>ログイン認証</t>
  </si>
  <si>
    <t>HD001</t>
    <phoneticPr fontId="2"/>
  </si>
  <si>
    <t>{hostURI}/login</t>
  </si>
  <si>
    <t>ログアウト</t>
  </si>
  <si>
    <t>HD002</t>
  </si>
  <si>
    <t>{hostURI}/logout</t>
  </si>
  <si>
    <t>売価情報取得</t>
  </si>
  <si>
    <t>HD003</t>
  </si>
  <si>
    <t>{hostURI}/price/select</t>
  </si>
  <si>
    <t>定番売価更新</t>
  </si>
  <si>
    <t>HD004</t>
  </si>
  <si>
    <t>{hostURI}/pricechange/update</t>
  </si>
  <si>
    <t>企画区分取得</t>
  </si>
  <si>
    <t>HD005</t>
  </si>
  <si>
    <t>{hostURI}/plan/select</t>
  </si>
  <si>
    <t>単品特売取得</t>
  </si>
  <si>
    <t>HD006</t>
  </si>
  <si>
    <t>{hostURI}/Itemsale/select</t>
  </si>
  <si>
    <t>単品特売更新</t>
  </si>
  <si>
    <t>HD007</t>
  </si>
  <si>
    <t>{hostURI}/Itemsale/update</t>
  </si>
  <si>
    <t>緊急売価更新</t>
  </si>
  <si>
    <t>HD008</t>
  </si>
  <si>
    <t>{hostURI}/emprice/update</t>
  </si>
  <si>
    <t>グループ取得</t>
  </si>
  <si>
    <t>HD009</t>
  </si>
  <si>
    <t>{hostURI}/group/select</t>
  </si>
  <si>
    <t>プリセット商品取得</t>
  </si>
  <si>
    <t>HD010</t>
  </si>
  <si>
    <t>{hostURI}/preset/select</t>
  </si>
  <si>
    <t>部門速報取得</t>
  </si>
  <si>
    <t>HD011</t>
  </si>
  <si>
    <t>{hostURI}/flash/bumon/select</t>
  </si>
  <si>
    <t>品群速報取得</t>
  </si>
  <si>
    <t>HD012</t>
  </si>
  <si>
    <t>{hostURI}/flash/hingun/select</t>
  </si>
  <si>
    <t>品種速報取得</t>
  </si>
  <si>
    <t>HD013</t>
  </si>
  <si>
    <t>{hostURI}/flash/hinshu/select</t>
  </si>
  <si>
    <t>分類速報取得</t>
  </si>
  <si>
    <t>HD014</t>
  </si>
  <si>
    <t>{hostURI}/flash/bunrui/select</t>
  </si>
  <si>
    <t>単品速報取得</t>
  </si>
  <si>
    <t>HD015</t>
  </si>
  <si>
    <t>{hostURI}/flash/item/select</t>
  </si>
  <si>
    <t>店舗時間帯速報取得</t>
  </si>
  <si>
    <t>HD016</t>
  </si>
  <si>
    <t>{hostURI}/tmflash/ten/select</t>
  </si>
  <si>
    <t>部門時間帯速報取得</t>
  </si>
  <si>
    <t>HD017</t>
  </si>
  <si>
    <t>{hostURI}/tmflash/bumon/select</t>
  </si>
  <si>
    <t>品群時間帯速報取得</t>
  </si>
  <si>
    <t>HD018</t>
  </si>
  <si>
    <t>{hostURI}/tmflash/hingun/select</t>
  </si>
  <si>
    <t>品種時間帯速報取得</t>
  </si>
  <si>
    <t>HD019</t>
  </si>
  <si>
    <t>{hostURI}/tmflash/hinshu/select</t>
  </si>
  <si>
    <t>分類時間帯速報取得</t>
  </si>
  <si>
    <t>HD020</t>
  </si>
  <si>
    <t>{hostURI}/tmflash/bunrui/select</t>
  </si>
  <si>
    <t>単品時間帯速報取得</t>
  </si>
  <si>
    <t>HD021</t>
  </si>
  <si>
    <t>{hostURI}/tmflash/item/select</t>
  </si>
  <si>
    <t>単品速報取得(PLU指定)</t>
  </si>
  <si>
    <t>HD022</t>
  </si>
  <si>
    <t>{hostURI}/tmflash/plu/select</t>
  </si>
  <si>
    <t>廃棄情報取得</t>
  </si>
  <si>
    <t>HD023</t>
  </si>
  <si>
    <t>{hostURI}/haiki/select</t>
  </si>
  <si>
    <t>廃棄更新</t>
  </si>
  <si>
    <t>HD024</t>
  </si>
  <si>
    <t>{hostURI}/haiki/update</t>
  </si>
  <si>
    <t>廃棄部門別一覧取得</t>
  </si>
  <si>
    <t>HD025</t>
  </si>
  <si>
    <t>{hostURI}/haikibumon/select</t>
  </si>
  <si>
    <t>廃棄商品別一覧取得</t>
  </si>
  <si>
    <t>HD026</t>
  </si>
  <si>
    <t>{hostURI}/haikiitem/select</t>
  </si>
  <si>
    <t>レジグループ取得</t>
  </si>
  <si>
    <t>HD027</t>
  </si>
  <si>
    <t>{hostURI}/reggroup/select</t>
  </si>
  <si>
    <t>タブ取得</t>
  </si>
  <si>
    <t>HD028</t>
  </si>
  <si>
    <t>{hostURI}/regtab/select</t>
  </si>
  <si>
    <t>プリセット廃棄一覧取得</t>
  </si>
  <si>
    <t>HD029</t>
  </si>
  <si>
    <t>{hostURI}/presethaiki/select</t>
  </si>
  <si>
    <t>データ移行作業</t>
    <rPh sb="3" eb="5">
      <t>イコウ</t>
    </rPh>
    <rPh sb="5" eb="7">
      <t>サギョウ</t>
    </rPh>
    <phoneticPr fontId="2"/>
  </si>
  <si>
    <t>OCから</t>
    <phoneticPr fontId="2"/>
  </si>
  <si>
    <t>内部マスタ</t>
    <rPh sb="0" eb="2">
      <t>ナイブ</t>
    </rPh>
    <phoneticPr fontId="2"/>
  </si>
  <si>
    <t>外部マスタ</t>
    <rPh sb="0" eb="2">
      <t>ガイブ</t>
    </rPh>
    <phoneticPr fontId="2"/>
  </si>
  <si>
    <t>富士通より</t>
    <rPh sb="0" eb="3">
      <t>フジツウ</t>
    </rPh>
    <phoneticPr fontId="2"/>
  </si>
  <si>
    <t>既存POSサーバーより</t>
    <rPh sb="0" eb="2">
      <t>キゾン</t>
    </rPh>
    <phoneticPr fontId="2"/>
  </si>
  <si>
    <t>例）券マスタ</t>
    <rPh sb="0" eb="1">
      <t>レイ</t>
    </rPh>
    <rPh sb="2" eb="3">
      <t>ケン</t>
    </rPh>
    <phoneticPr fontId="2"/>
  </si>
  <si>
    <t>切替え作業の簡素化</t>
    <rPh sb="0" eb="1">
      <t>キ</t>
    </rPh>
    <rPh sb="1" eb="2">
      <t>カ</t>
    </rPh>
    <rPh sb="3" eb="5">
      <t>サギョウ</t>
    </rPh>
    <rPh sb="6" eb="9">
      <t>カンソカ</t>
    </rPh>
    <phoneticPr fontId="2"/>
  </si>
  <si>
    <t>単位：MD</t>
  </si>
  <si>
    <t>区分</t>
  </si>
  <si>
    <t>要件調べ</t>
  </si>
  <si>
    <t>作成</t>
  </si>
  <si>
    <t>内部レビューによる修正</t>
  </si>
  <si>
    <t>お客様への提示</t>
  </si>
  <si>
    <t>お客様のレビューによる修正</t>
  </si>
  <si>
    <t>リスク</t>
  </si>
  <si>
    <t>極大</t>
  </si>
  <si>
    <t>【重複】よ中</t>
  </si>
  <si>
    <t>【重複】よ大</t>
  </si>
  <si>
    <t>【重複】よ極大</t>
  </si>
  <si>
    <t>要素</t>
  </si>
  <si>
    <r>
      <t xml:space="preserve">評価基準は </t>
    </r>
    <r>
      <rPr>
        <b/>
        <sz val="11"/>
        <color theme="1"/>
        <rFont val="Meiryo UI"/>
        <family val="2"/>
      </rPr>
      <t>または</t>
    </r>
  </si>
  <si>
    <t>画面数/伝票</t>
  </si>
  <si>
    <t>&lt;=1</t>
  </si>
  <si>
    <t>3 ~ 4</t>
  </si>
  <si>
    <t>5~6</t>
  </si>
  <si>
    <t xml:space="preserve">7 ~ </t>
  </si>
  <si>
    <t>データベースのテブール数 /ファイル</t>
  </si>
  <si>
    <t>&lt;=2</t>
  </si>
  <si>
    <t>&lt;= 4</t>
  </si>
  <si>
    <t>&lt;=6</t>
  </si>
  <si>
    <t>&lt;=8</t>
  </si>
  <si>
    <t>まだ定義されていない</t>
  </si>
  <si>
    <t>ロジック数/ステップ(バッチ、API など)</t>
  </si>
  <si>
    <t>&lt;=4</t>
  </si>
  <si>
    <t>業務（修正）</t>
  </si>
  <si>
    <t>・追加、修正、削除 (CRUD)</t>
  </si>
  <si>
    <t>・外部システムと対話する業務
・他のモジュールと連携
・リクエストを処理するためのポイントを持っている（経験が必要である)。例：売上、POSマシンの初期金額の設定、プリセット、支払いなど
・ファイル処理業務（例：売価変更など）</t>
  </si>
  <si>
    <t>・外部システムと対話する業務
・他のモジュールと連携
・データの計算と更新
・権限付与関連: 動的権限付与、静的権限付与</t>
  </si>
  <si>
    <t>品質変更、最適化の業務</t>
  </si>
  <si>
    <t>工数</t>
  </si>
  <si>
    <t>~ 1MD</t>
  </si>
  <si>
    <t>~ 2MD</t>
  </si>
  <si>
    <t>~ 3.5MD</t>
  </si>
  <si>
    <t>~5MD</t>
  </si>
  <si>
    <t>未確定</t>
  </si>
  <si>
    <t>全体構成図</t>
  </si>
  <si>
    <r>
      <rPr>
        <sz val="11"/>
        <color rgb="FF000000"/>
        <rFont val="Meiryo UI"/>
        <family val="3"/>
      </rPr>
      <t>※30_POSサーバー/システム全体像_POS-SV-20240117.pptx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</si>
</sst>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0_);[Red]\(0\)"/>
    <numFmt numFmtId="181" formatCode="0.0"/>
    <numFmt numFmtId="182" formatCode="yyyy/m/d;@"/>
  </numFmts>
  <fonts count="46">
    <font>
      <sz val="11"/>
      <name val="Meiryo UI"/>
      <family val="3"/>
      <charset val="128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rgb="FF000000"/>
      <name val="MS PGothic"/>
      <family val="3"/>
      <charset val="128"/>
    </font>
    <font>
      <sz val="11"/>
      <color rgb="FF000000"/>
      <name val="Meiryo UI"/>
      <family val="3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name val="Meiryo UI"/>
      <family val="3"/>
      <charset val="128"/>
    </font>
    <font>
      <sz val="11"/>
      <color theme="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1"/>
      <color rgb="FFFF0000"/>
      <name val="Times New Roman"/>
      <family val="1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rgb="FFFF0000"/>
      <name val="Meiryo UI"/>
      <family val="3"/>
      <charset val="128"/>
    </font>
    <font>
      <b/>
      <sz val="11"/>
      <name val="Meiryo UI"/>
      <family val="2"/>
    </font>
    <font>
      <b/>
      <sz val="11"/>
      <color rgb="FF000000"/>
      <name val="Meiryo UI"/>
      <family val="2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Meiryo UI"/>
      <family val="2"/>
    </font>
    <font>
      <b/>
      <sz val="11"/>
      <name val="ＭＳ Ｐゴシック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4"/>
      <color theme="0"/>
      <name val="Meiryo UI"/>
      <family val="2"/>
    </font>
    <font>
      <sz val="14"/>
      <name val="Meiryo UI"/>
      <family val="2"/>
    </font>
    <font>
      <sz val="11"/>
      <name val="Meiryo UI"/>
      <family val="2"/>
    </font>
    <font>
      <b/>
      <sz val="14"/>
      <color theme="1"/>
      <name val="Meiryo UI"/>
      <family val="2"/>
    </font>
    <font>
      <b/>
      <sz val="13"/>
      <name val="Meiryo UI"/>
      <family val="2"/>
    </font>
    <font>
      <b/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rgb="FFFF0000"/>
      <name val="Meiryo UI"/>
      <family val="2"/>
    </font>
    <font>
      <sz val="9"/>
      <color theme="1"/>
      <name val="Meiryo UI"/>
      <family val="2"/>
    </font>
    <font>
      <sz val="20"/>
      <name val="Meiryo UI"/>
      <family val="2"/>
    </font>
    <font>
      <sz val="11"/>
      <color theme="4" tint="-0.249977111117893"/>
      <name val="Meiryo UI"/>
      <family val="2"/>
    </font>
    <font>
      <sz val="11"/>
      <color theme="9" tint="0.59999389629810485"/>
      <name val="Meiryo UI"/>
      <family val="2"/>
    </font>
    <font>
      <b/>
      <sz val="11"/>
      <color rgb="FFFF0000"/>
      <name val="Meiryo UI"/>
      <family val="2"/>
    </font>
    <font>
      <sz val="8"/>
      <color theme="1"/>
      <name val="Meiryo UI"/>
      <family val="2"/>
    </font>
  </fonts>
  <fills count="21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slantDashDot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slantDashDot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38" fontId="11" fillId="0" borderId="0" applyFont="0" applyFill="0" applyBorder="0" applyProtection="0"/>
    <xf numFmtId="0" fontId="7" fillId="0" borderId="0"/>
    <xf numFmtId="0" fontId="18" fillId="0" borderId="0">
      <alignment vertical="center"/>
    </xf>
    <xf numFmtId="0" fontId="19" fillId="0" borderId="0"/>
    <xf numFmtId="38" fontId="11" fillId="0" borderId="0" applyFont="0" applyFill="0" applyBorder="0" applyAlignment="0" applyProtection="0">
      <alignment vertical="center"/>
    </xf>
    <xf numFmtId="0" fontId="24" fillId="0" borderId="0"/>
    <xf numFmtId="0" fontId="25" fillId="0" borderId="0"/>
    <xf numFmtId="0" fontId="1" fillId="0" borderId="0"/>
    <xf numFmtId="0" fontId="13" fillId="0" borderId="0"/>
  </cellStyleXfs>
  <cellXfs count="3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0" borderId="0" xfId="0" applyFont="1"/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4" fillId="0" borderId="0" xfId="0" applyFont="1"/>
    <xf numFmtId="0" fontId="13" fillId="3" borderId="1" xfId="0" applyFont="1" applyFill="1" applyBorder="1"/>
    <xf numFmtId="0" fontId="13" fillId="3" borderId="0" xfId="0" applyFont="1" applyFill="1"/>
    <xf numFmtId="0" fontId="13" fillId="3" borderId="4" xfId="0" applyFont="1" applyFill="1" applyBorder="1"/>
    <xf numFmtId="40" fontId="14" fillId="0" borderId="0" xfId="0" applyNumberFormat="1" applyFont="1"/>
    <xf numFmtId="40" fontId="14" fillId="3" borderId="34" xfId="6" applyNumberFormat="1" applyFont="1" applyFill="1" applyBorder="1" applyAlignment="1">
      <alignment horizontal="right" vertical="center" wrapText="1"/>
    </xf>
    <xf numFmtId="0" fontId="17" fillId="3" borderId="0" xfId="0" applyFont="1" applyFill="1"/>
    <xf numFmtId="0" fontId="17" fillId="0" borderId="0" xfId="0" applyFont="1"/>
    <xf numFmtId="0" fontId="21" fillId="0" borderId="39" xfId="0" applyFont="1" applyBorder="1" applyAlignment="1">
      <alignment horizontal="left" vertical="top"/>
    </xf>
    <xf numFmtId="0" fontId="21" fillId="0" borderId="0" xfId="0" applyFont="1" applyAlignment="1">
      <alignment wrapText="1"/>
    </xf>
    <xf numFmtId="0" fontId="21" fillId="9" borderId="39" xfId="0" applyFont="1" applyFill="1" applyBorder="1" applyAlignment="1">
      <alignment horizontal="left" vertical="top"/>
    </xf>
    <xf numFmtId="0" fontId="21" fillId="9" borderId="39" xfId="0" applyFont="1" applyFill="1" applyBorder="1" applyAlignment="1">
      <alignment horizontal="left" vertical="top" wrapText="1"/>
    </xf>
    <xf numFmtId="0" fontId="22" fillId="9" borderId="39" xfId="0" applyFont="1" applyFill="1" applyBorder="1" applyAlignment="1">
      <alignment horizontal="left" vertical="top" wrapText="1"/>
    </xf>
    <xf numFmtId="0" fontId="22" fillId="9" borderId="39" xfId="0" applyFont="1" applyFill="1" applyBorder="1" applyAlignment="1">
      <alignment horizontal="left" vertical="top"/>
    </xf>
    <xf numFmtId="40" fontId="14" fillId="3" borderId="41" xfId="6" applyNumberFormat="1" applyFont="1" applyFill="1" applyBorder="1" applyAlignment="1">
      <alignment horizontal="right" vertical="center" wrapText="1"/>
    </xf>
    <xf numFmtId="40" fontId="13" fillId="0" borderId="39" xfId="0" applyNumberFormat="1" applyFont="1" applyBorder="1"/>
    <xf numFmtId="40" fontId="14" fillId="3" borderId="42" xfId="6" applyNumberFormat="1" applyFont="1" applyFill="1" applyBorder="1" applyAlignment="1">
      <alignment horizontal="right" vertical="center" wrapText="1"/>
    </xf>
    <xf numFmtId="0" fontId="14" fillId="8" borderId="0" xfId="0" applyFont="1" applyFill="1"/>
    <xf numFmtId="0" fontId="15" fillId="8" borderId="0" xfId="0" applyFont="1" applyFill="1"/>
    <xf numFmtId="0" fontId="14" fillId="8" borderId="33" xfId="7" applyFont="1" applyFill="1" applyBorder="1" applyAlignment="1">
      <alignment horizontal="left" vertical="center" wrapText="1"/>
    </xf>
    <xf numFmtId="0" fontId="14" fillId="8" borderId="39" xfId="7" applyFont="1" applyFill="1" applyBorder="1" applyAlignment="1">
      <alignment horizontal="left" vertical="center" wrapText="1"/>
    </xf>
    <xf numFmtId="0" fontId="23" fillId="8" borderId="0" xfId="0" applyFont="1" applyFill="1"/>
    <xf numFmtId="0" fontId="16" fillId="5" borderId="39" xfId="0" applyFont="1" applyFill="1" applyBorder="1" applyAlignment="1">
      <alignment vertical="top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9" xfId="0" applyFont="1" applyBorder="1"/>
    <xf numFmtId="0" fontId="13" fillId="3" borderId="39" xfId="0" applyFont="1" applyFill="1" applyBorder="1"/>
    <xf numFmtId="0" fontId="13" fillId="0" borderId="39" xfId="0" applyFont="1" applyBorder="1" applyAlignment="1">
      <alignment wrapText="1"/>
    </xf>
    <xf numFmtId="0" fontId="32" fillId="2" borderId="0" xfId="0" applyFont="1" applyFill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33" fillId="0" borderId="2" xfId="0" applyFont="1" applyBorder="1"/>
    <xf numFmtId="0" fontId="33" fillId="0" borderId="3" xfId="0" applyFont="1" applyBorder="1"/>
    <xf numFmtId="0" fontId="33" fillId="0" borderId="5" xfId="0" applyFont="1" applyBorder="1"/>
    <xf numFmtId="0" fontId="35" fillId="0" borderId="0" xfId="11" applyFont="1"/>
    <xf numFmtId="0" fontId="33" fillId="3" borderId="0" xfId="0" applyFont="1" applyFill="1"/>
    <xf numFmtId="0" fontId="33" fillId="10" borderId="0" xfId="0" applyFont="1" applyFill="1"/>
    <xf numFmtId="40" fontId="14" fillId="0" borderId="0" xfId="6" applyNumberFormat="1" applyFont="1"/>
    <xf numFmtId="0" fontId="13" fillId="18" borderId="39" xfId="0" applyFont="1" applyFill="1" applyBorder="1"/>
    <xf numFmtId="0" fontId="13" fillId="18" borderId="39" xfId="0" applyFont="1" applyFill="1" applyBorder="1" applyAlignment="1">
      <alignment wrapText="1"/>
    </xf>
    <xf numFmtId="0" fontId="13" fillId="18" borderId="0" xfId="0" applyFont="1" applyFill="1"/>
    <xf numFmtId="0" fontId="14" fillId="18" borderId="33" xfId="7" applyFont="1" applyFill="1" applyBorder="1" applyAlignment="1">
      <alignment horizontal="left" vertical="center" wrapText="1"/>
    </xf>
    <xf numFmtId="40" fontId="14" fillId="18" borderId="41" xfId="6" applyNumberFormat="1" applyFont="1" applyFill="1" applyBorder="1" applyAlignment="1">
      <alignment horizontal="right" vertical="center" wrapText="1"/>
    </xf>
    <xf numFmtId="40" fontId="13" fillId="18" borderId="39" xfId="0" applyNumberFormat="1" applyFont="1" applyFill="1" applyBorder="1"/>
    <xf numFmtId="0" fontId="17" fillId="18" borderId="39" xfId="0" applyFont="1" applyFill="1" applyBorder="1"/>
    <xf numFmtId="0" fontId="17" fillId="18" borderId="39" xfId="0" applyFont="1" applyFill="1" applyBorder="1" applyAlignment="1">
      <alignment wrapText="1"/>
    </xf>
    <xf numFmtId="0" fontId="17" fillId="18" borderId="0" xfId="0" applyFont="1" applyFill="1"/>
    <xf numFmtId="0" fontId="14" fillId="18" borderId="39" xfId="7" applyFont="1" applyFill="1" applyBorder="1" applyAlignment="1">
      <alignment horizontal="left" vertical="center" wrapText="1"/>
    </xf>
    <xf numFmtId="40" fontId="14" fillId="18" borderId="42" xfId="6" applyNumberFormat="1" applyFont="1" applyFill="1" applyBorder="1" applyAlignment="1">
      <alignment horizontal="right" vertical="center" wrapText="1"/>
    </xf>
    <xf numFmtId="0" fontId="13" fillId="3" borderId="39" xfId="0" applyFont="1" applyFill="1" applyBorder="1" applyAlignment="1">
      <alignment wrapText="1"/>
    </xf>
    <xf numFmtId="0" fontId="0" fillId="3" borderId="0" xfId="0" applyFill="1"/>
    <xf numFmtId="0" fontId="0" fillId="11" borderId="25" xfId="0" applyFill="1" applyBorder="1" applyAlignment="1">
      <alignment horizontal="left" vertical="center"/>
    </xf>
    <xf numFmtId="0" fontId="0" fillId="11" borderId="26" xfId="0" applyFill="1" applyBorder="1" applyAlignment="1">
      <alignment horizontal="left" vertical="center"/>
    </xf>
    <xf numFmtId="0" fontId="0" fillId="11" borderId="27" xfId="0" applyFill="1" applyBorder="1" applyAlignment="1">
      <alignment horizontal="left" vertical="center"/>
    </xf>
    <xf numFmtId="49" fontId="0" fillId="11" borderId="26" xfId="0" applyNumberFormat="1" applyFill="1" applyBorder="1" applyAlignment="1">
      <alignment horizontal="left" vertical="center"/>
    </xf>
    <xf numFmtId="49" fontId="0" fillId="11" borderId="27" xfId="0" applyNumberFormat="1" applyFill="1" applyBorder="1" applyAlignment="1">
      <alignment horizontal="left" vertical="center"/>
    </xf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21" xfId="0" applyFill="1" applyBorder="1"/>
    <xf numFmtId="0" fontId="0" fillId="3" borderId="18" xfId="0" applyFill="1" applyBorder="1"/>
    <xf numFmtId="0" fontId="0" fillId="3" borderId="19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0" xfId="0" applyFill="1" applyBorder="1"/>
    <xf numFmtId="0" fontId="0" fillId="3" borderId="16" xfId="0" applyFill="1" applyBorder="1"/>
    <xf numFmtId="0" fontId="0" fillId="3" borderId="17" xfId="0" applyFill="1" applyBorder="1"/>
    <xf numFmtId="0" fontId="20" fillId="3" borderId="20" xfId="0" applyFont="1" applyFill="1" applyBorder="1"/>
    <xf numFmtId="0" fontId="20" fillId="3" borderId="16" xfId="0" applyFont="1" applyFill="1" applyBorder="1"/>
    <xf numFmtId="0" fontId="20" fillId="3" borderId="17" xfId="0" applyFont="1" applyFill="1" applyBorder="1"/>
    <xf numFmtId="0" fontId="3" fillId="4" borderId="20" xfId="0" applyFont="1" applyFill="1" applyBorder="1"/>
    <xf numFmtId="0" fontId="3" fillId="4" borderId="16" xfId="0" applyFont="1" applyFill="1" applyBorder="1"/>
    <xf numFmtId="0" fontId="3" fillId="4" borderId="17" xfId="0" applyFont="1" applyFill="1" applyBorder="1"/>
    <xf numFmtId="0" fontId="0" fillId="9" borderId="20" xfId="0" applyFill="1" applyBorder="1"/>
    <xf numFmtId="0" fontId="20" fillId="9" borderId="16" xfId="0" applyFont="1" applyFill="1" applyBorder="1"/>
    <xf numFmtId="0" fontId="20" fillId="9" borderId="17" xfId="0" applyFont="1" applyFill="1" applyBorder="1"/>
    <xf numFmtId="0" fontId="20" fillId="9" borderId="20" xfId="0" applyFont="1" applyFill="1" applyBorder="1"/>
    <xf numFmtId="0" fontId="0" fillId="9" borderId="16" xfId="0" applyFill="1" applyBorder="1"/>
    <xf numFmtId="0" fontId="0" fillId="9" borderId="17" xfId="0" applyFill="1" applyBorder="1"/>
    <xf numFmtId="0" fontId="20" fillId="9" borderId="35" xfId="0" applyFont="1" applyFill="1" applyBorder="1"/>
    <xf numFmtId="0" fontId="0" fillId="9" borderId="31" xfId="0" applyFill="1" applyBorder="1"/>
    <xf numFmtId="0" fontId="0" fillId="9" borderId="32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35" xfId="0" applyFill="1" applyBorder="1"/>
    <xf numFmtId="0" fontId="0" fillId="3" borderId="31" xfId="0" applyFill="1" applyBorder="1"/>
    <xf numFmtId="0" fontId="0" fillId="3" borderId="32" xfId="0" applyFill="1" applyBorder="1"/>
    <xf numFmtId="0" fontId="0" fillId="11" borderId="22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24" xfId="0" applyFill="1" applyBorder="1" applyAlignment="1">
      <alignment horizontal="left" vertical="center"/>
    </xf>
    <xf numFmtId="49" fontId="0" fillId="11" borderId="23" xfId="0" applyNumberFormat="1" applyFill="1" applyBorder="1" applyAlignment="1">
      <alignment horizontal="left" vertical="center"/>
    </xf>
    <xf numFmtId="49" fontId="0" fillId="11" borderId="24" xfId="0" applyNumberFormat="1" applyFill="1" applyBorder="1" applyAlignment="1">
      <alignment horizontal="left" vertical="center"/>
    </xf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20" xfId="0" applyFill="1" applyBorder="1"/>
    <xf numFmtId="0" fontId="0" fillId="11" borderId="20" xfId="0" applyFill="1" applyBorder="1"/>
    <xf numFmtId="0" fontId="0" fillId="11" borderId="16" xfId="0" applyFill="1" applyBorder="1"/>
    <xf numFmtId="0" fontId="0" fillId="11" borderId="17" xfId="0" applyFill="1" applyBorder="1"/>
    <xf numFmtId="0" fontId="34" fillId="0" borderId="0" xfId="0" applyFont="1"/>
    <xf numFmtId="0" fontId="34" fillId="0" borderId="0" xfId="0" applyFont="1" applyAlignment="1">
      <alignment wrapText="1"/>
    </xf>
    <xf numFmtId="0" fontId="34" fillId="0" borderId="39" xfId="0" applyFont="1" applyBorder="1"/>
    <xf numFmtId="0" fontId="34" fillId="8" borderId="39" xfId="0" applyFont="1" applyFill="1" applyBorder="1" applyAlignment="1">
      <alignment wrapText="1"/>
    </xf>
    <xf numFmtId="0" fontId="34" fillId="10" borderId="39" xfId="0" applyFont="1" applyFill="1" applyBorder="1" applyAlignment="1">
      <alignment wrapText="1"/>
    </xf>
    <xf numFmtId="0" fontId="34" fillId="10" borderId="39" xfId="0" applyFont="1" applyFill="1" applyBorder="1"/>
    <xf numFmtId="0" fontId="34" fillId="0" borderId="39" xfId="0" applyFont="1" applyBorder="1" applyAlignment="1">
      <alignment wrapText="1"/>
    </xf>
    <xf numFmtId="9" fontId="34" fillId="0" borderId="0" xfId="0" applyNumberFormat="1" applyFont="1"/>
    <xf numFmtId="0" fontId="37" fillId="6" borderId="40" xfId="0" applyFont="1" applyFill="1" applyBorder="1" applyAlignment="1">
      <alignment horizontal="center" vertical="center"/>
    </xf>
    <xf numFmtId="0" fontId="37" fillId="6" borderId="39" xfId="0" applyFont="1" applyFill="1" applyBorder="1" applyAlignment="1">
      <alignment horizontal="center" vertical="center" wrapText="1"/>
    </xf>
    <xf numFmtId="16" fontId="38" fillId="0" borderId="39" xfId="0" applyNumberFormat="1" applyFont="1" applyBorder="1" applyAlignment="1">
      <alignment horizontal="center" vertical="center" wrapText="1"/>
    </xf>
    <xf numFmtId="1" fontId="38" fillId="0" borderId="39" xfId="0" applyNumberFormat="1" applyFont="1" applyBorder="1" applyAlignment="1">
      <alignment horizontal="center" vertical="center" wrapText="1"/>
    </xf>
    <xf numFmtId="0" fontId="39" fillId="7" borderId="39" xfId="0" applyFont="1" applyFill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top" wrapText="1"/>
    </xf>
    <xf numFmtId="0" fontId="38" fillId="6" borderId="39" xfId="0" applyFont="1" applyFill="1" applyBorder="1" applyAlignment="1">
      <alignment vertical="center" wrapText="1"/>
    </xf>
    <xf numFmtId="16" fontId="38" fillId="0" borderId="39" xfId="0" applyNumberFormat="1" applyFont="1" applyBorder="1" applyAlignment="1">
      <alignment horizontal="center" wrapText="1"/>
    </xf>
    <xf numFmtId="0" fontId="39" fillId="7" borderId="39" xfId="0" applyFont="1" applyFill="1" applyBorder="1" applyAlignment="1">
      <alignment horizontal="center" wrapText="1"/>
    </xf>
    <xf numFmtId="0" fontId="38" fillId="0" borderId="39" xfId="0" quotePrefix="1" applyFont="1" applyBorder="1" applyAlignment="1">
      <alignment horizontal="left" vertical="top" wrapText="1"/>
    </xf>
    <xf numFmtId="0" fontId="34" fillId="0" borderId="39" xfId="0" quotePrefix="1" applyFont="1" applyBorder="1" applyAlignment="1">
      <alignment horizontal="left" vertical="top" wrapText="1"/>
    </xf>
    <xf numFmtId="0" fontId="40" fillId="10" borderId="39" xfId="0" applyFont="1" applyFill="1" applyBorder="1" applyAlignment="1">
      <alignment vertical="center" wrapText="1"/>
    </xf>
    <xf numFmtId="0" fontId="38" fillId="10" borderId="39" xfId="0" quotePrefix="1" applyFont="1" applyFill="1" applyBorder="1" applyAlignment="1">
      <alignment vertical="center" wrapText="1"/>
    </xf>
    <xf numFmtId="0" fontId="34" fillId="10" borderId="0" xfId="0" applyFont="1" applyFill="1" applyAlignment="1">
      <alignment wrapText="1"/>
    </xf>
    <xf numFmtId="0" fontId="34" fillId="0" borderId="5" xfId="0" applyFont="1" applyBorder="1"/>
    <xf numFmtId="0" fontId="34" fillId="0" borderId="3" xfId="0" applyFont="1" applyBorder="1"/>
    <xf numFmtId="0" fontId="34" fillId="0" borderId="2" xfId="0" applyFont="1" applyBorder="1"/>
    <xf numFmtId="0" fontId="34" fillId="0" borderId="1" xfId="0" applyFont="1" applyBorder="1"/>
    <xf numFmtId="0" fontId="34" fillId="0" borderId="4" xfId="0" applyFont="1" applyBorder="1"/>
    <xf numFmtId="0" fontId="38" fillId="0" borderId="0" xfId="13" applyFont="1"/>
    <xf numFmtId="0" fontId="34" fillId="0" borderId="0" xfId="13" applyFont="1"/>
    <xf numFmtId="0" fontId="41" fillId="0" borderId="0" xfId="13" applyFont="1"/>
    <xf numFmtId="180" fontId="38" fillId="8" borderId="44" xfId="13" applyNumberFormat="1" applyFont="1" applyFill="1" applyBorder="1" applyAlignment="1">
      <alignment horizontal="center" vertical="center"/>
    </xf>
    <xf numFmtId="180" fontId="38" fillId="8" borderId="39" xfId="13" applyNumberFormat="1" applyFont="1" applyFill="1" applyBorder="1" applyAlignment="1">
      <alignment horizontal="center" vertical="center"/>
    </xf>
    <xf numFmtId="180" fontId="38" fillId="8" borderId="22" xfId="13" applyNumberFormat="1" applyFont="1" applyFill="1" applyBorder="1" applyAlignment="1">
      <alignment horizontal="center" vertical="center"/>
    </xf>
    <xf numFmtId="0" fontId="21" fillId="13" borderId="45" xfId="13" applyFont="1" applyFill="1" applyBorder="1" applyAlignment="1">
      <alignment horizontal="left" vertical="center" wrapText="1"/>
    </xf>
    <xf numFmtId="0" fontId="37" fillId="13" borderId="46" xfId="13" applyFont="1" applyFill="1" applyBorder="1" applyAlignment="1">
      <alignment horizontal="left" vertical="center" wrapText="1"/>
    </xf>
    <xf numFmtId="0" fontId="38" fillId="8" borderId="47" xfId="13" applyFont="1" applyFill="1" applyBorder="1" applyAlignment="1">
      <alignment horizontal="center" vertical="center"/>
    </xf>
    <xf numFmtId="0" fontId="38" fillId="8" borderId="48" xfId="13" applyFont="1" applyFill="1" applyBorder="1" applyAlignment="1">
      <alignment horizontal="center" vertical="center"/>
    </xf>
    <xf numFmtId="0" fontId="38" fillId="8" borderId="39" xfId="13" applyFont="1" applyFill="1" applyBorder="1" applyAlignment="1">
      <alignment horizontal="center" vertical="center"/>
    </xf>
    <xf numFmtId="0" fontId="34" fillId="0" borderId="39" xfId="13" applyFont="1" applyBorder="1"/>
    <xf numFmtId="0" fontId="21" fillId="0" borderId="39" xfId="13" applyFont="1" applyBorder="1" applyAlignment="1">
      <alignment horizontal="left" wrapText="1" indent="2"/>
    </xf>
    <xf numFmtId="0" fontId="34" fillId="0" borderId="39" xfId="13" applyFont="1" applyBorder="1" applyAlignment="1">
      <alignment horizontal="left" vertical="center"/>
    </xf>
    <xf numFmtId="0" fontId="38" fillId="15" borderId="39" xfId="13" applyFont="1" applyFill="1" applyBorder="1" applyAlignment="1">
      <alignment horizontal="center" vertical="center"/>
    </xf>
    <xf numFmtId="0" fontId="38" fillId="0" borderId="39" xfId="13" applyFont="1" applyBorder="1" applyAlignment="1">
      <alignment horizontal="center" vertical="center"/>
    </xf>
    <xf numFmtId="0" fontId="34" fillId="0" borderId="39" xfId="13" applyFont="1" applyBorder="1" applyAlignment="1">
      <alignment horizontal="left" wrapText="1" indent="5"/>
    </xf>
    <xf numFmtId="0" fontId="34" fillId="0" borderId="39" xfId="13" applyFont="1" applyBorder="1" applyAlignment="1">
      <alignment horizontal="left" vertical="center" wrapText="1" indent="5"/>
    </xf>
    <xf numFmtId="0" fontId="34" fillId="0" borderId="39" xfId="13" applyFont="1" applyBorder="1" applyAlignment="1">
      <alignment horizontal="left" vertical="center" wrapText="1"/>
    </xf>
    <xf numFmtId="0" fontId="34" fillId="3" borderId="39" xfId="13" applyFont="1" applyFill="1" applyBorder="1" applyAlignment="1">
      <alignment horizontal="left" wrapText="1" indent="5"/>
    </xf>
    <xf numFmtId="0" fontId="34" fillId="3" borderId="22" xfId="13" applyFont="1" applyFill="1" applyBorder="1"/>
    <xf numFmtId="0" fontId="34" fillId="3" borderId="23" xfId="13" applyFont="1" applyFill="1" applyBorder="1" applyAlignment="1">
      <alignment horizontal="left" indent="3"/>
    </xf>
    <xf numFmtId="0" fontId="34" fillId="3" borderId="23" xfId="13" applyFont="1" applyFill="1" applyBorder="1" applyAlignment="1">
      <alignment horizontal="left" vertical="center"/>
    </xf>
    <xf numFmtId="14" fontId="34" fillId="3" borderId="23" xfId="13" applyNumberFormat="1" applyFont="1" applyFill="1" applyBorder="1" applyAlignment="1">
      <alignment horizontal="right" vertical="center"/>
    </xf>
    <xf numFmtId="0" fontId="38" fillId="3" borderId="39" xfId="13" applyFont="1" applyFill="1" applyBorder="1" applyAlignment="1">
      <alignment horizontal="center" vertical="center"/>
    </xf>
    <xf numFmtId="2" fontId="38" fillId="16" borderId="22" xfId="13" applyNumberFormat="1" applyFont="1" applyFill="1" applyBorder="1"/>
    <xf numFmtId="0" fontId="38" fillId="10" borderId="39" xfId="13" applyFont="1" applyFill="1" applyBorder="1"/>
    <xf numFmtId="0" fontId="34" fillId="0" borderId="0" xfId="13" applyFont="1" applyAlignment="1">
      <alignment horizontal="left" indent="6"/>
    </xf>
    <xf numFmtId="181" fontId="37" fillId="16" borderId="22" xfId="13" applyNumberFormat="1" applyFont="1" applyFill="1" applyBorder="1"/>
    <xf numFmtId="0" fontId="39" fillId="0" borderId="0" xfId="13" applyFont="1"/>
    <xf numFmtId="0" fontId="42" fillId="0" borderId="0" xfId="13" applyFont="1"/>
    <xf numFmtId="0" fontId="43" fillId="0" borderId="0" xfId="13" applyFont="1"/>
    <xf numFmtId="0" fontId="44" fillId="19" borderId="39" xfId="13" applyFont="1" applyFill="1" applyBorder="1" applyAlignment="1">
      <alignment horizontal="left" wrapText="1"/>
    </xf>
    <xf numFmtId="0" fontId="26" fillId="20" borderId="39" xfId="13" applyFont="1" applyFill="1" applyBorder="1" applyAlignment="1">
      <alignment horizontal="left" wrapText="1" indent="3"/>
    </xf>
    <xf numFmtId="0" fontId="34" fillId="20" borderId="39" xfId="13" applyFont="1" applyFill="1" applyBorder="1" applyAlignment="1">
      <alignment horizontal="left" wrapText="1" indent="3"/>
    </xf>
    <xf numFmtId="0" fontId="38" fillId="0" borderId="39" xfId="13" applyFont="1" applyBorder="1"/>
    <xf numFmtId="0" fontId="38" fillId="0" borderId="0" xfId="13" applyFont="1" applyAlignment="1">
      <alignment wrapText="1"/>
    </xf>
    <xf numFmtId="0" fontId="34" fillId="0" borderId="39" xfId="13" applyFont="1" applyBorder="1" applyAlignment="1">
      <alignment horizontal="left" wrapText="1" indent="3"/>
    </xf>
    <xf numFmtId="0" fontId="26" fillId="0" borderId="39" xfId="13" applyFont="1" applyBorder="1" applyAlignment="1">
      <alignment horizontal="left" wrapText="1" indent="3"/>
    </xf>
    <xf numFmtId="182" fontId="38" fillId="0" borderId="22" xfId="13" quotePrefix="1" applyNumberFormat="1" applyFont="1" applyBorder="1" applyAlignment="1">
      <alignment horizontal="right" vertical="center"/>
    </xf>
    <xf numFmtId="0" fontId="34" fillId="0" borderId="0" xfId="13" applyFont="1" applyAlignment="1">
      <alignment vertical="top"/>
    </xf>
    <xf numFmtId="0" fontId="38" fillId="0" borderId="39" xfId="13" applyFont="1" applyBorder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2" fontId="34" fillId="0" borderId="25" xfId="0" applyNumberFormat="1" applyFont="1" applyBorder="1" applyAlignment="1">
      <alignment horizontal="center" vertical="center"/>
    </xf>
    <xf numFmtId="2" fontId="34" fillId="0" borderId="26" xfId="0" applyNumberFormat="1" applyFont="1" applyBorder="1" applyAlignment="1">
      <alignment horizontal="center" vertical="center"/>
    </xf>
    <xf numFmtId="2" fontId="34" fillId="0" borderId="27" xfId="0" applyNumberFormat="1" applyFont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2" fontId="34" fillId="0" borderId="3" xfId="0" applyNumberFormat="1" applyFont="1" applyBorder="1" applyAlignment="1">
      <alignment horizontal="center" vertical="center"/>
    </xf>
    <xf numFmtId="2" fontId="34" fillId="0" borderId="5" xfId="0" applyNumberFormat="1" applyFont="1" applyBorder="1" applyAlignment="1">
      <alignment horizontal="center" vertical="center"/>
    </xf>
    <xf numFmtId="14" fontId="34" fillId="0" borderId="25" xfId="0" applyNumberFormat="1" applyFont="1" applyBorder="1" applyAlignment="1">
      <alignment horizontal="center" vertical="center"/>
    </xf>
    <xf numFmtId="14" fontId="34" fillId="0" borderId="26" xfId="0" applyNumberFormat="1" applyFont="1" applyBorder="1" applyAlignment="1">
      <alignment horizontal="center" vertical="center"/>
    </xf>
    <xf numFmtId="14" fontId="34" fillId="0" borderId="27" xfId="0" applyNumberFormat="1" applyFont="1" applyBorder="1" applyAlignment="1">
      <alignment horizontal="center" vertical="center"/>
    </xf>
    <xf numFmtId="14" fontId="34" fillId="0" borderId="2" xfId="0" applyNumberFormat="1" applyFont="1" applyBorder="1" applyAlignment="1">
      <alignment horizontal="center" vertical="center"/>
    </xf>
    <xf numFmtId="14" fontId="34" fillId="0" borderId="3" xfId="0" applyNumberFormat="1" applyFont="1" applyBorder="1" applyAlignment="1">
      <alignment horizontal="center" vertical="center"/>
    </xf>
    <xf numFmtId="14" fontId="34" fillId="0" borderId="5" xfId="0" applyNumberFormat="1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36" fillId="11" borderId="39" xfId="12" applyFont="1" applyFill="1" applyBorder="1" applyAlignment="1">
      <alignment horizontal="right"/>
    </xf>
    <xf numFmtId="0" fontId="36" fillId="11" borderId="39" xfId="12" applyFont="1" applyFill="1" applyBorder="1" applyAlignment="1">
      <alignment horizontal="center"/>
    </xf>
    <xf numFmtId="38" fontId="33" fillId="0" borderId="22" xfId="0" applyNumberFormat="1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38" fontId="33" fillId="12" borderId="22" xfId="0" applyNumberFormat="1" applyFont="1" applyFill="1" applyBorder="1" applyAlignment="1">
      <alignment horizontal="center"/>
    </xf>
    <xf numFmtId="0" fontId="33" fillId="12" borderId="23" xfId="0" applyFont="1" applyFill="1" applyBorder="1" applyAlignment="1">
      <alignment horizontal="center"/>
    </xf>
    <xf numFmtId="0" fontId="33" fillId="12" borderId="24" xfId="0" applyFont="1" applyFill="1" applyBorder="1" applyAlignment="1">
      <alignment horizontal="center"/>
    </xf>
    <xf numFmtId="1" fontId="33" fillId="12" borderId="22" xfId="1" applyNumberFormat="1" applyFont="1" applyFill="1" applyBorder="1" applyAlignment="1">
      <alignment horizontal="center"/>
    </xf>
    <xf numFmtId="1" fontId="33" fillId="12" borderId="23" xfId="1" applyNumberFormat="1" applyFont="1" applyFill="1" applyBorder="1" applyAlignment="1">
      <alignment horizontal="center"/>
    </xf>
    <xf numFmtId="1" fontId="33" fillId="12" borderId="24" xfId="1" applyNumberFormat="1" applyFont="1" applyFill="1" applyBorder="1" applyAlignment="1">
      <alignment horizontal="center"/>
    </xf>
    <xf numFmtId="9" fontId="33" fillId="0" borderId="22" xfId="0" applyNumberFormat="1" applyFont="1" applyBorder="1" applyAlignment="1">
      <alignment horizontal="center"/>
    </xf>
    <xf numFmtId="182" fontId="38" fillId="0" borderId="22" xfId="13" applyNumberFormat="1" applyFont="1" applyBorder="1" applyAlignment="1">
      <alignment horizontal="center"/>
    </xf>
    <xf numFmtId="182" fontId="38" fillId="0" borderId="24" xfId="13" applyNumberFormat="1" applyFont="1" applyBorder="1" applyAlignment="1">
      <alignment horizontal="center"/>
    </xf>
    <xf numFmtId="0" fontId="21" fillId="13" borderId="39" xfId="13" applyFont="1" applyFill="1" applyBorder="1" applyAlignment="1">
      <alignment horizontal="left" vertical="center" wrapText="1"/>
    </xf>
    <xf numFmtId="0" fontId="21" fillId="13" borderId="39" xfId="13" applyFont="1" applyFill="1" applyBorder="1" applyAlignment="1">
      <alignment horizontal="center" vertical="center" wrapText="1"/>
    </xf>
    <xf numFmtId="0" fontId="21" fillId="13" borderId="40" xfId="13" applyFont="1" applyFill="1" applyBorder="1" applyAlignment="1">
      <alignment horizontal="left" vertical="center" wrapText="1"/>
    </xf>
    <xf numFmtId="0" fontId="21" fillId="13" borderId="49" xfId="13" applyFont="1" applyFill="1" applyBorder="1" applyAlignment="1">
      <alignment horizontal="left" vertical="center" wrapText="1"/>
    </xf>
    <xf numFmtId="0" fontId="21" fillId="13" borderId="40" xfId="13" applyFont="1" applyFill="1" applyBorder="1" applyAlignment="1">
      <alignment horizontal="center" vertical="center" wrapText="1"/>
    </xf>
    <xf numFmtId="0" fontId="21" fillId="13" borderId="49" xfId="13" applyFont="1" applyFill="1" applyBorder="1" applyAlignment="1">
      <alignment horizontal="center" vertical="center" wrapText="1"/>
    </xf>
    <xf numFmtId="182" fontId="34" fillId="0" borderId="22" xfId="13" applyNumberFormat="1" applyFont="1" applyBorder="1" applyAlignment="1">
      <alignment horizontal="center"/>
    </xf>
    <xf numFmtId="182" fontId="34" fillId="0" borderId="24" xfId="13" applyNumberFormat="1" applyFont="1" applyBorder="1" applyAlignment="1">
      <alignment horizontal="center"/>
    </xf>
    <xf numFmtId="0" fontId="38" fillId="0" borderId="40" xfId="13" applyFont="1" applyBorder="1" applyAlignment="1">
      <alignment horizontal="center" vertical="center"/>
    </xf>
    <xf numFmtId="0" fontId="38" fillId="0" borderId="49" xfId="13" applyFont="1" applyBorder="1" applyAlignment="1">
      <alignment horizontal="center" vertical="center"/>
    </xf>
    <xf numFmtId="0" fontId="38" fillId="0" borderId="0" xfId="13" applyFont="1" applyAlignment="1">
      <alignment horizontal="center" wrapText="1"/>
    </xf>
    <xf numFmtId="0" fontId="37" fillId="13" borderId="22" xfId="13" applyFont="1" applyFill="1" applyBorder="1" applyAlignment="1">
      <alignment horizontal="center" vertical="center" wrapText="1"/>
    </xf>
    <xf numFmtId="14" fontId="37" fillId="14" borderId="43" xfId="13" applyNumberFormat="1" applyFont="1" applyFill="1" applyBorder="1" applyAlignment="1">
      <alignment horizontal="center" vertical="center"/>
    </xf>
    <xf numFmtId="0" fontId="37" fillId="14" borderId="23" xfId="13" applyFont="1" applyFill="1" applyBorder="1" applyAlignment="1">
      <alignment horizontal="center" vertical="center"/>
    </xf>
    <xf numFmtId="0" fontId="37" fillId="14" borderId="24" xfId="13" applyFont="1" applyFill="1" applyBorder="1" applyAlignment="1">
      <alignment horizontal="center" vertical="center"/>
    </xf>
    <xf numFmtId="2" fontId="37" fillId="17" borderId="39" xfId="13" applyNumberFormat="1" applyFont="1" applyFill="1" applyBorder="1" applyAlignment="1">
      <alignment horizontal="center"/>
    </xf>
    <xf numFmtId="0" fontId="44" fillId="0" borderId="39" xfId="13" applyFont="1" applyBorder="1" applyAlignment="1">
      <alignment horizontal="center"/>
    </xf>
    <xf numFmtId="0" fontId="21" fillId="13" borderId="25" xfId="13" applyFont="1" applyFill="1" applyBorder="1" applyAlignment="1">
      <alignment horizontal="center" vertical="center" wrapText="1"/>
    </xf>
    <xf numFmtId="0" fontId="21" fillId="13" borderId="27" xfId="13" applyFont="1" applyFill="1" applyBorder="1" applyAlignment="1">
      <alignment horizontal="center" vertical="center" wrapText="1"/>
    </xf>
    <xf numFmtId="0" fontId="21" fillId="13" borderId="2" xfId="13" applyFont="1" applyFill="1" applyBorder="1" applyAlignment="1">
      <alignment horizontal="center" vertical="center" wrapText="1"/>
    </xf>
    <xf numFmtId="0" fontId="21" fillId="13" borderId="5" xfId="13" applyFont="1" applyFill="1" applyBorder="1" applyAlignment="1">
      <alignment horizontal="center" vertical="center" wrapText="1"/>
    </xf>
    <xf numFmtId="14" fontId="37" fillId="14" borderId="22" xfId="13" applyNumberFormat="1" applyFont="1" applyFill="1" applyBorder="1" applyAlignment="1">
      <alignment horizontal="center" vertical="center"/>
    </xf>
    <xf numFmtId="14" fontId="37" fillId="14" borderId="23" xfId="13" applyNumberFormat="1" applyFont="1" applyFill="1" applyBorder="1" applyAlignment="1">
      <alignment horizontal="center" vertical="center"/>
    </xf>
    <xf numFmtId="14" fontId="37" fillId="14" borderId="24" xfId="13" applyNumberFormat="1" applyFont="1" applyFill="1" applyBorder="1" applyAlignment="1">
      <alignment horizontal="center" vertical="center"/>
    </xf>
    <xf numFmtId="0" fontId="34" fillId="19" borderId="22" xfId="13" applyFont="1" applyFill="1" applyBorder="1" applyAlignment="1">
      <alignment horizontal="center" vertical="center"/>
    </xf>
    <xf numFmtId="0" fontId="34" fillId="19" borderId="24" xfId="13" applyFont="1" applyFill="1" applyBorder="1" applyAlignment="1">
      <alignment horizontal="center" vertical="center"/>
    </xf>
    <xf numFmtId="14" fontId="39" fillId="20" borderId="22" xfId="13" applyNumberFormat="1" applyFont="1" applyFill="1" applyBorder="1" applyAlignment="1">
      <alignment horizontal="center"/>
    </xf>
    <xf numFmtId="14" fontId="39" fillId="20" borderId="24" xfId="13" applyNumberFormat="1" applyFont="1" applyFill="1" applyBorder="1" applyAlignment="1">
      <alignment horizontal="center"/>
    </xf>
    <xf numFmtId="0" fontId="0" fillId="3" borderId="35" xfId="0" applyFill="1" applyBorder="1" applyAlignment="1">
      <alignment horizontal="left" vertical="center" wrapText="1"/>
    </xf>
    <xf numFmtId="0" fontId="0" fillId="3" borderId="31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36" xfId="0" applyFill="1" applyBorder="1" applyAlignment="1">
      <alignment horizontal="left" vertical="center"/>
    </xf>
    <xf numFmtId="0" fontId="0" fillId="3" borderId="37" xfId="0" applyFill="1" applyBorder="1" applyAlignment="1">
      <alignment horizontal="left" vertical="center"/>
    </xf>
    <xf numFmtId="0" fontId="0" fillId="3" borderId="38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 shrinkToFit="1"/>
    </xf>
    <xf numFmtId="0" fontId="0" fillId="11" borderId="24" xfId="0" applyFill="1" applyBorder="1" applyAlignment="1">
      <alignment horizontal="left" vertical="center" shrinkToFit="1"/>
    </xf>
    <xf numFmtId="0" fontId="0" fillId="11" borderId="22" xfId="0" applyFill="1" applyBorder="1" applyAlignment="1">
      <alignment horizontal="left" vertical="center" shrinkToFit="1"/>
    </xf>
    <xf numFmtId="0" fontId="0" fillId="11" borderId="25" xfId="0" applyFill="1" applyBorder="1" applyAlignment="1">
      <alignment horizontal="left" vertical="center" shrinkToFit="1"/>
    </xf>
    <xf numFmtId="0" fontId="0" fillId="11" borderId="26" xfId="0" applyFill="1" applyBorder="1" applyAlignment="1">
      <alignment horizontal="left" vertical="center" shrinkToFit="1"/>
    </xf>
    <xf numFmtId="0" fontId="0" fillId="11" borderId="27" xfId="0" applyFill="1" applyBorder="1" applyAlignment="1">
      <alignment horizontal="left" vertical="center" shrinkToFit="1"/>
    </xf>
    <xf numFmtId="0" fontId="0" fillId="11" borderId="22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0" fontId="0" fillId="11" borderId="24" xfId="0" applyFill="1" applyBorder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56" fontId="45" fillId="0" borderId="39" xfId="13" applyNumberFormat="1" applyFont="1" applyBorder="1"/>
    <xf numFmtId="0" fontId="29" fillId="2" borderId="0" xfId="0" applyFont="1" applyFill="1" applyAlignment="1"/>
    <xf numFmtId="0" fontId="28" fillId="2" borderId="0" xfId="0" applyFont="1" applyFill="1" applyAlignment="1"/>
    <xf numFmtId="0" fontId="26" fillId="0" borderId="28" xfId="0" applyFont="1" applyBorder="1" applyAlignment="1"/>
    <xf numFmtId="0" fontId="34" fillId="0" borderId="29" xfId="0" applyFont="1" applyBorder="1" applyAlignment="1"/>
    <xf numFmtId="0" fontId="34" fillId="0" borderId="30" xfId="0" applyFont="1" applyBorder="1" applyAlignment="1"/>
    <xf numFmtId="0" fontId="34" fillId="0" borderId="26" xfId="0" applyFont="1" applyBorder="1" applyAlignment="1"/>
    <xf numFmtId="0" fontId="34" fillId="0" borderId="27" xfId="0" applyFont="1" applyBorder="1" applyAlignment="1"/>
    <xf numFmtId="0" fontId="34" fillId="0" borderId="25" xfId="0" applyFont="1" applyBorder="1" applyAlignment="1"/>
    <xf numFmtId="0" fontId="34" fillId="0" borderId="21" xfId="0" applyFont="1" applyBorder="1" applyAlignment="1"/>
    <xf numFmtId="0" fontId="34" fillId="0" borderId="18" xfId="0" applyFont="1" applyBorder="1" applyAlignment="1"/>
    <xf numFmtId="0" fontId="34" fillId="0" borderId="19" xfId="0" applyFont="1" applyBorder="1" applyAlignment="1"/>
    <xf numFmtId="0" fontId="34" fillId="0" borderId="3" xfId="0" applyFont="1" applyBorder="1" applyAlignment="1"/>
    <xf numFmtId="0" fontId="34" fillId="0" borderId="5" xfId="0" applyFont="1" applyBorder="1" applyAlignment="1"/>
    <xf numFmtId="0" fontId="34" fillId="0" borderId="2" xfId="0" applyFont="1" applyBorder="1" applyAlignment="1"/>
    <xf numFmtId="0" fontId="34" fillId="0" borderId="28" xfId="0" applyFont="1" applyBorder="1" applyAlignment="1"/>
  </cellXfs>
  <cellStyles count="15">
    <cellStyle name="Comma" xfId="4" xr:uid="{00000000-0005-0000-0000-000004000000}"/>
    <cellStyle name="Comma [0]" xfId="5" xr:uid="{00000000-0005-0000-0000-000005000000}"/>
    <cellStyle name="Comma [0] 2" xfId="10" xr:uid="{A48E9812-83DD-44A0-99C0-3CF9ADDD8D81}"/>
    <cellStyle name="Currency" xfId="2" xr:uid="{00000000-0005-0000-0000-000002000000}"/>
    <cellStyle name="Currency [0]" xfId="3" xr:uid="{00000000-0005-0000-0000-000003000000}"/>
    <cellStyle name="Normal 17 2" xfId="13" xr:uid="{AF740CA4-C940-4868-9E09-2275EB6AB849}"/>
    <cellStyle name="Normal 2" xfId="9" xr:uid="{F291AE40-E8C9-433F-BAF1-97ABD6291E92}"/>
    <cellStyle name="Normal 3" xfId="12" xr:uid="{3EA7448F-0EE1-459B-B101-6296072A37C1}"/>
    <cellStyle name="Normal 4" xfId="14" xr:uid="{85A10C5B-BDC7-425C-9F15-4C72921F590A}"/>
    <cellStyle name="Normal 8 2" xfId="11" xr:uid="{7F1DFA42-BF2D-4773-B568-C43657A81226}"/>
    <cellStyle name="Percent" xfId="1" xr:uid="{00000000-0005-0000-0000-000001000000}"/>
    <cellStyle name="桁区切り" xfId="6" xr:uid="{00000000-0005-0000-0000-000006000000}"/>
    <cellStyle name="標準" xfId="0" builtinId="0"/>
    <cellStyle name="標準 15" xfId="7" xr:uid="{00000000-0005-0000-0000-000007000000}"/>
    <cellStyle name="標準 3" xfId="8" xr:uid="{476DF1BF-D33C-4F84-B62D-778B9CC363C2}"/>
  </cellStyles>
  <dxfs count="14"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  <dxf>
      <fill>
        <patternFill>
          <fgColor indexed="64"/>
          <bgColor rgb="FFE6E6E6"/>
        </patternFill>
      </fill>
    </dxf>
    <dxf>
      <fill>
        <patternFill>
          <fgColor indexed="64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6</xdr:row>
      <xdr:rowOff>38099</xdr:rowOff>
    </xdr:from>
    <xdr:to>
      <xdr:col>8</xdr:col>
      <xdr:colOff>314325</xdr:colOff>
      <xdr:row>6</xdr:row>
      <xdr:rowOff>175259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44412702-3997-4184-B041-3DE93DA918D4}"/>
            </a:ext>
          </a:extLst>
        </xdr:cNvPr>
        <xdr:cNvSpPr/>
      </xdr:nvSpPr>
      <xdr:spPr>
        <a:xfrm>
          <a:off x="5972175" y="1333499"/>
          <a:ext cx="151447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25376</xdr:colOff>
      <xdr:row>16</xdr:row>
      <xdr:rowOff>24281</xdr:rowOff>
    </xdr:from>
    <xdr:to>
      <xdr:col>2</xdr:col>
      <xdr:colOff>395170</xdr:colOff>
      <xdr:row>16</xdr:row>
      <xdr:rowOff>161441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83D26AB8-0A6A-4BF3-84DE-6C5A16BC74E1}"/>
            </a:ext>
          </a:extLst>
        </xdr:cNvPr>
        <xdr:cNvSpPr/>
      </xdr:nvSpPr>
      <xdr:spPr>
        <a:xfrm>
          <a:off x="673076" y="3596156"/>
          <a:ext cx="36979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25376</xdr:colOff>
      <xdr:row>14</xdr:row>
      <xdr:rowOff>50587</xdr:rowOff>
    </xdr:from>
    <xdr:to>
      <xdr:col>2</xdr:col>
      <xdr:colOff>395170</xdr:colOff>
      <xdr:row>15</xdr:row>
      <xdr:rowOff>19075</xdr:rowOff>
    </xdr:to>
    <xdr:sp macro="" textlink="">
      <xdr:nvSpPr>
        <xdr:cNvPr id="245" name="Rectangle 244">
          <a:extLst>
            <a:ext uri="{FF2B5EF4-FFF2-40B4-BE49-F238E27FC236}">
              <a16:creationId xmlns:a16="http://schemas.microsoft.com/office/drawing/2014/main" id="{785C74CC-C8E5-4907-BE02-AC48574F8B65}"/>
            </a:ext>
          </a:extLst>
        </xdr:cNvPr>
        <xdr:cNvSpPr/>
      </xdr:nvSpPr>
      <xdr:spPr>
        <a:xfrm flipV="1">
          <a:off x="673076" y="3279562"/>
          <a:ext cx="369794" cy="139938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59530</xdr:colOff>
      <xdr:row>18</xdr:row>
      <xdr:rowOff>79374</xdr:rowOff>
    </xdr:from>
    <xdr:to>
      <xdr:col>2</xdr:col>
      <xdr:colOff>360490</xdr:colOff>
      <xdr:row>18</xdr:row>
      <xdr:rowOff>79375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466BD99C-444E-44B3-B262-E950E4F1C24A}"/>
            </a:ext>
          </a:extLst>
        </xdr:cNvPr>
        <xdr:cNvCxnSpPr/>
      </xdr:nvCxnSpPr>
      <xdr:spPr>
        <a:xfrm flipV="1">
          <a:off x="707230" y="3994149"/>
          <a:ext cx="300960" cy="1"/>
        </a:xfrm>
        <a:prstGeom prst="straightConnector1">
          <a:avLst/>
        </a:prstGeom>
        <a:ln w="25400">
          <a:prstDash val="dash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7</xdr:row>
      <xdr:rowOff>47624</xdr:rowOff>
    </xdr:from>
    <xdr:to>
      <xdr:col>8</xdr:col>
      <xdr:colOff>371475</xdr:colOff>
      <xdr:row>7</xdr:row>
      <xdr:rowOff>184784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A949CF8F-E08F-42D8-9D4B-1D8BFE122883}"/>
            </a:ext>
          </a:extLst>
        </xdr:cNvPr>
        <xdr:cNvSpPr/>
      </xdr:nvSpPr>
      <xdr:spPr>
        <a:xfrm>
          <a:off x="5981700" y="1562099"/>
          <a:ext cx="15621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</xdr:colOff>
      <xdr:row>7</xdr:row>
      <xdr:rowOff>235346</xdr:rowOff>
    </xdr:from>
    <xdr:to>
      <xdr:col>8</xdr:col>
      <xdr:colOff>361950</xdr:colOff>
      <xdr:row>7</xdr:row>
      <xdr:rowOff>372506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3E505AD-EDCD-4BE3-8280-F3D0608C2542}"/>
            </a:ext>
          </a:extLst>
        </xdr:cNvPr>
        <xdr:cNvSpPr/>
      </xdr:nvSpPr>
      <xdr:spPr>
        <a:xfrm>
          <a:off x="5972175" y="1749821"/>
          <a:ext cx="1562100" cy="13716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8</xdr:row>
      <xdr:rowOff>28575</xdr:rowOff>
    </xdr:from>
    <xdr:to>
      <xdr:col>9</xdr:col>
      <xdr:colOff>28575</xdr:colOff>
      <xdr:row>8</xdr:row>
      <xdr:rowOff>165735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50A93105-FD1D-423C-A006-08DFF9B5DE9D}"/>
            </a:ext>
          </a:extLst>
        </xdr:cNvPr>
        <xdr:cNvSpPr/>
      </xdr:nvSpPr>
      <xdr:spPr>
        <a:xfrm>
          <a:off x="6048375" y="1952625"/>
          <a:ext cx="1562100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47624</xdr:colOff>
      <xdr:row>10</xdr:row>
      <xdr:rowOff>44052</xdr:rowOff>
    </xdr:from>
    <xdr:to>
      <xdr:col>12</xdr:col>
      <xdr:colOff>447674</xdr:colOff>
      <xdr:row>10</xdr:row>
      <xdr:rowOff>181212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0D4B0F2-E113-4D4E-BA3C-1B0E85E4D492}"/>
            </a:ext>
          </a:extLst>
        </xdr:cNvPr>
        <xdr:cNvSpPr/>
      </xdr:nvSpPr>
      <xdr:spPr>
        <a:xfrm>
          <a:off x="7629524" y="2177652"/>
          <a:ext cx="180022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</xdr:colOff>
      <xdr:row>10</xdr:row>
      <xdr:rowOff>229788</xdr:rowOff>
    </xdr:from>
    <xdr:to>
      <xdr:col>12</xdr:col>
      <xdr:colOff>409575</xdr:colOff>
      <xdr:row>10</xdr:row>
      <xdr:rowOff>366948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B8F5EE1D-F191-4375-8681-C52B23C3C9B0}"/>
            </a:ext>
          </a:extLst>
        </xdr:cNvPr>
        <xdr:cNvSpPr/>
      </xdr:nvSpPr>
      <xdr:spPr>
        <a:xfrm>
          <a:off x="7620000" y="2363388"/>
          <a:ext cx="1771650" cy="13716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28574</xdr:colOff>
      <xdr:row>11</xdr:row>
      <xdr:rowOff>57149</xdr:rowOff>
    </xdr:from>
    <xdr:to>
      <xdr:col>12</xdr:col>
      <xdr:colOff>390524</xdr:colOff>
      <xdr:row>11</xdr:row>
      <xdr:rowOff>194309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44CF1C0-1EDC-476E-B3A1-C3A4A553C86A}"/>
            </a:ext>
          </a:extLst>
        </xdr:cNvPr>
        <xdr:cNvSpPr/>
      </xdr:nvSpPr>
      <xdr:spPr>
        <a:xfrm>
          <a:off x="7610474" y="2581274"/>
          <a:ext cx="176212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24847</xdr:colOff>
      <xdr:row>9</xdr:row>
      <xdr:rowOff>33131</xdr:rowOff>
    </xdr:from>
    <xdr:to>
      <xdr:col>12</xdr:col>
      <xdr:colOff>372717</xdr:colOff>
      <xdr:row>9</xdr:row>
      <xdr:rowOff>165652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CDAF1592-EBC4-4E6A-98E5-D583ABA6C5EB}"/>
            </a:ext>
          </a:extLst>
        </xdr:cNvPr>
        <xdr:cNvSpPr/>
      </xdr:nvSpPr>
      <xdr:spPr>
        <a:xfrm>
          <a:off x="7586869" y="1996109"/>
          <a:ext cx="1739348" cy="13252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16566</xdr:colOff>
      <xdr:row>28</xdr:row>
      <xdr:rowOff>27332</xdr:rowOff>
    </xdr:from>
    <xdr:to>
      <xdr:col>5</xdr:col>
      <xdr:colOff>217734</xdr:colOff>
      <xdr:row>28</xdr:row>
      <xdr:rowOff>164492</xdr:rowOff>
    </xdr:to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11DBC207-F93C-41B6-BF8C-E18D1857FADF}"/>
            </a:ext>
          </a:extLst>
        </xdr:cNvPr>
        <xdr:cNvSpPr/>
      </xdr:nvSpPr>
      <xdr:spPr>
        <a:xfrm>
          <a:off x="5960166" y="5713757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11113</xdr:colOff>
      <xdr:row>31</xdr:row>
      <xdr:rowOff>43657</xdr:rowOff>
    </xdr:from>
    <xdr:to>
      <xdr:col>5</xdr:col>
      <xdr:colOff>390525</xdr:colOff>
      <xdr:row>31</xdr:row>
      <xdr:rowOff>180975</xdr:rowOff>
    </xdr:to>
    <xdr:sp macro="" textlink="">
      <xdr:nvSpPr>
        <xdr:cNvPr id="541" name="Rectangle 540">
          <a:extLst>
            <a:ext uri="{FF2B5EF4-FFF2-40B4-BE49-F238E27FC236}">
              <a16:creationId xmlns:a16="http://schemas.microsoft.com/office/drawing/2014/main" id="{44A09013-60A5-4EA7-8773-F1CD121BD021}"/>
            </a:ext>
          </a:extLst>
        </xdr:cNvPr>
        <xdr:cNvSpPr/>
      </xdr:nvSpPr>
      <xdr:spPr>
        <a:xfrm>
          <a:off x="6021388" y="6758782"/>
          <a:ext cx="379412" cy="13731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19052</xdr:colOff>
      <xdr:row>36</xdr:row>
      <xdr:rowOff>34373</xdr:rowOff>
    </xdr:from>
    <xdr:to>
      <xdr:col>6</xdr:col>
      <xdr:colOff>302516</xdr:colOff>
      <xdr:row>36</xdr:row>
      <xdr:rowOff>171533</xdr:rowOff>
    </xdr:to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624FC69-71ED-4E2E-B256-69D7896E89F0}"/>
            </a:ext>
          </a:extLst>
        </xdr:cNvPr>
        <xdr:cNvSpPr/>
      </xdr:nvSpPr>
      <xdr:spPr>
        <a:xfrm>
          <a:off x="6372227" y="7273373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228600</xdr:colOff>
      <xdr:row>35</xdr:row>
      <xdr:rowOff>16170</xdr:rowOff>
    </xdr:from>
    <xdr:to>
      <xdr:col>6</xdr:col>
      <xdr:colOff>224139</xdr:colOff>
      <xdr:row>35</xdr:row>
      <xdr:rowOff>153330</xdr:rowOff>
    </xdr:to>
    <xdr:sp macro="" textlink="">
      <xdr:nvSpPr>
        <xdr:cNvPr id="543" name="Rectangle 542">
          <a:extLst>
            <a:ext uri="{FF2B5EF4-FFF2-40B4-BE49-F238E27FC236}">
              <a16:creationId xmlns:a16="http://schemas.microsoft.com/office/drawing/2014/main" id="{74C98310-BB55-4F04-ABC6-7E9956F61CFA}"/>
            </a:ext>
          </a:extLst>
        </xdr:cNvPr>
        <xdr:cNvSpPr/>
      </xdr:nvSpPr>
      <xdr:spPr>
        <a:xfrm>
          <a:off x="6172200" y="7083720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26092</xdr:colOff>
      <xdr:row>40</xdr:row>
      <xdr:rowOff>24604</xdr:rowOff>
    </xdr:from>
    <xdr:to>
      <xdr:col>7</xdr:col>
      <xdr:colOff>21631</xdr:colOff>
      <xdr:row>40</xdr:row>
      <xdr:rowOff>161764</xdr:rowOff>
    </xdr:to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4F2D0F8E-16B8-4957-BC20-629E0AF79566}"/>
            </a:ext>
          </a:extLst>
        </xdr:cNvPr>
        <xdr:cNvSpPr/>
      </xdr:nvSpPr>
      <xdr:spPr>
        <a:xfrm>
          <a:off x="6379267" y="8025604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19051</xdr:colOff>
      <xdr:row>45</xdr:row>
      <xdr:rowOff>24604</xdr:rowOff>
    </xdr:from>
    <xdr:to>
      <xdr:col>8</xdr:col>
      <xdr:colOff>14590</xdr:colOff>
      <xdr:row>45</xdr:row>
      <xdr:rowOff>161764</xdr:rowOff>
    </xdr:to>
    <xdr:sp macro="" textlink="">
      <xdr:nvSpPr>
        <xdr:cNvPr id="545" name="Rectangle 544">
          <a:extLst>
            <a:ext uri="{FF2B5EF4-FFF2-40B4-BE49-F238E27FC236}">
              <a16:creationId xmlns:a16="http://schemas.microsoft.com/office/drawing/2014/main" id="{F9B67BFC-86E4-4866-AAED-3A29747860AE}"/>
            </a:ext>
          </a:extLst>
        </xdr:cNvPr>
        <xdr:cNvSpPr/>
      </xdr:nvSpPr>
      <xdr:spPr>
        <a:xfrm>
          <a:off x="6781801" y="8882854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228601</xdr:colOff>
      <xdr:row>48</xdr:row>
      <xdr:rowOff>15080</xdr:rowOff>
    </xdr:from>
    <xdr:to>
      <xdr:col>8</xdr:col>
      <xdr:colOff>224140</xdr:colOff>
      <xdr:row>48</xdr:row>
      <xdr:rowOff>152240</xdr:rowOff>
    </xdr:to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B94A98-4353-4B7F-A773-9AEFD4A60E3F}"/>
            </a:ext>
          </a:extLst>
        </xdr:cNvPr>
        <xdr:cNvSpPr/>
      </xdr:nvSpPr>
      <xdr:spPr>
        <a:xfrm>
          <a:off x="6991351" y="9406730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19051</xdr:colOff>
      <xdr:row>52</xdr:row>
      <xdr:rowOff>15477</xdr:rowOff>
    </xdr:from>
    <xdr:to>
      <xdr:col>9</xdr:col>
      <xdr:colOff>14590</xdr:colOff>
      <xdr:row>52</xdr:row>
      <xdr:rowOff>152637</xdr:rowOff>
    </xdr:to>
    <xdr:sp macro="" textlink="">
      <xdr:nvSpPr>
        <xdr:cNvPr id="547" name="Rectangle 546">
          <a:extLst>
            <a:ext uri="{FF2B5EF4-FFF2-40B4-BE49-F238E27FC236}">
              <a16:creationId xmlns:a16="http://schemas.microsoft.com/office/drawing/2014/main" id="{C5CEBED6-A295-4119-8B2B-76C1CF6F2FA4}"/>
            </a:ext>
          </a:extLst>
        </xdr:cNvPr>
        <xdr:cNvSpPr/>
      </xdr:nvSpPr>
      <xdr:spPr>
        <a:xfrm>
          <a:off x="7191376" y="10092927"/>
          <a:ext cx="40511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113474</xdr:colOff>
      <xdr:row>39</xdr:row>
      <xdr:rowOff>19652</xdr:rowOff>
    </xdr:from>
    <xdr:to>
      <xdr:col>6</xdr:col>
      <xdr:colOff>396938</xdr:colOff>
      <xdr:row>39</xdr:row>
      <xdr:rowOff>156812</xdr:rowOff>
    </xdr:to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500E3045-1226-4F4E-B906-45BB01CD82CA}"/>
            </a:ext>
          </a:extLst>
        </xdr:cNvPr>
        <xdr:cNvSpPr/>
      </xdr:nvSpPr>
      <xdr:spPr>
        <a:xfrm>
          <a:off x="6466649" y="783015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115958</xdr:colOff>
      <xdr:row>41</xdr:row>
      <xdr:rowOff>23208</xdr:rowOff>
    </xdr:from>
    <xdr:to>
      <xdr:col>6</xdr:col>
      <xdr:colOff>399422</xdr:colOff>
      <xdr:row>41</xdr:row>
      <xdr:rowOff>160368</xdr:rowOff>
    </xdr:to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155FCEDA-991E-4006-93D4-1717CF90F0AC}"/>
            </a:ext>
          </a:extLst>
        </xdr:cNvPr>
        <xdr:cNvSpPr/>
      </xdr:nvSpPr>
      <xdr:spPr>
        <a:xfrm>
          <a:off x="6469133" y="8195658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11597</xdr:colOff>
      <xdr:row>29</xdr:row>
      <xdr:rowOff>55493</xdr:rowOff>
    </xdr:from>
    <xdr:to>
      <xdr:col>5</xdr:col>
      <xdr:colOff>212765</xdr:colOff>
      <xdr:row>29</xdr:row>
      <xdr:rowOff>192653</xdr:rowOff>
    </xdr:to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1864414-CF7A-4FD2-91FD-12E81292DA0F}"/>
            </a:ext>
          </a:extLst>
        </xdr:cNvPr>
        <xdr:cNvSpPr/>
      </xdr:nvSpPr>
      <xdr:spPr>
        <a:xfrm>
          <a:off x="5955197" y="5913368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5800</xdr:colOff>
      <xdr:row>30</xdr:row>
      <xdr:rowOff>21120</xdr:rowOff>
    </xdr:from>
    <xdr:to>
      <xdr:col>5</xdr:col>
      <xdr:colOff>289264</xdr:colOff>
      <xdr:row>30</xdr:row>
      <xdr:rowOff>158280</xdr:rowOff>
    </xdr:to>
    <xdr:sp macro="" textlink="">
      <xdr:nvSpPr>
        <xdr:cNvPr id="551" name="Rectangle 550">
          <a:extLst>
            <a:ext uri="{FF2B5EF4-FFF2-40B4-BE49-F238E27FC236}">
              <a16:creationId xmlns:a16="http://schemas.microsoft.com/office/drawing/2014/main" id="{B3DA44F9-0615-4021-9199-0B2AD6043129}"/>
            </a:ext>
          </a:extLst>
        </xdr:cNvPr>
        <xdr:cNvSpPr/>
      </xdr:nvSpPr>
      <xdr:spPr>
        <a:xfrm>
          <a:off x="5949400" y="6107595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116788</xdr:colOff>
      <xdr:row>32</xdr:row>
      <xdr:rowOff>29608</xdr:rowOff>
    </xdr:from>
    <xdr:to>
      <xdr:col>5</xdr:col>
      <xdr:colOff>400252</xdr:colOff>
      <xdr:row>32</xdr:row>
      <xdr:rowOff>166768</xdr:rowOff>
    </xdr:to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90A9E33D-951C-4F9C-9507-A995F845BEFD}"/>
            </a:ext>
          </a:extLst>
        </xdr:cNvPr>
        <xdr:cNvSpPr/>
      </xdr:nvSpPr>
      <xdr:spPr>
        <a:xfrm>
          <a:off x="6060388" y="6525658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115958</xdr:colOff>
      <xdr:row>33</xdr:row>
      <xdr:rowOff>33302</xdr:rowOff>
    </xdr:from>
    <xdr:to>
      <xdr:col>5</xdr:col>
      <xdr:colOff>399422</xdr:colOff>
      <xdr:row>33</xdr:row>
      <xdr:rowOff>170462</xdr:rowOff>
    </xdr:to>
    <xdr:sp macro="" textlink="">
      <xdr:nvSpPr>
        <xdr:cNvPr id="553" name="Rectangle 552">
          <a:extLst>
            <a:ext uri="{FF2B5EF4-FFF2-40B4-BE49-F238E27FC236}">
              <a16:creationId xmlns:a16="http://schemas.microsoft.com/office/drawing/2014/main" id="{667C44F4-859B-48E5-A79C-A7B9C141E106}"/>
            </a:ext>
          </a:extLst>
        </xdr:cNvPr>
        <xdr:cNvSpPr/>
      </xdr:nvSpPr>
      <xdr:spPr>
        <a:xfrm>
          <a:off x="6059558" y="671985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11597</xdr:colOff>
      <xdr:row>34</xdr:row>
      <xdr:rowOff>30645</xdr:rowOff>
    </xdr:from>
    <xdr:to>
      <xdr:col>6</xdr:col>
      <xdr:colOff>212765</xdr:colOff>
      <xdr:row>34</xdr:row>
      <xdr:rowOff>167805</xdr:rowOff>
    </xdr:to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B4C7E6BD-B293-409A-9D8E-96862CD05B56}"/>
            </a:ext>
          </a:extLst>
        </xdr:cNvPr>
        <xdr:cNvSpPr/>
      </xdr:nvSpPr>
      <xdr:spPr>
        <a:xfrm>
          <a:off x="6364772" y="6907695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197126</xdr:colOff>
      <xdr:row>37</xdr:row>
      <xdr:rowOff>50523</xdr:rowOff>
    </xdr:from>
    <xdr:to>
      <xdr:col>6</xdr:col>
      <xdr:colOff>398294</xdr:colOff>
      <xdr:row>37</xdr:row>
      <xdr:rowOff>187683</xdr:rowOff>
    </xdr:to>
    <xdr:sp macro="" textlink="">
      <xdr:nvSpPr>
        <xdr:cNvPr id="555" name="Rectangle 554">
          <a:extLst>
            <a:ext uri="{FF2B5EF4-FFF2-40B4-BE49-F238E27FC236}">
              <a16:creationId xmlns:a16="http://schemas.microsoft.com/office/drawing/2014/main" id="{5D595BF8-FE03-4909-94FE-A68EE8B245E3}"/>
            </a:ext>
          </a:extLst>
        </xdr:cNvPr>
        <xdr:cNvSpPr/>
      </xdr:nvSpPr>
      <xdr:spPr>
        <a:xfrm>
          <a:off x="6550301" y="7480023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200440</xdr:colOff>
      <xdr:row>38</xdr:row>
      <xdr:rowOff>19067</xdr:rowOff>
    </xdr:from>
    <xdr:to>
      <xdr:col>6</xdr:col>
      <xdr:colOff>401608</xdr:colOff>
      <xdr:row>38</xdr:row>
      <xdr:rowOff>156227</xdr:rowOff>
    </xdr:to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1BDA9E15-5B34-4376-B738-1F42919AFBEB}"/>
            </a:ext>
          </a:extLst>
        </xdr:cNvPr>
        <xdr:cNvSpPr/>
      </xdr:nvSpPr>
      <xdr:spPr>
        <a:xfrm>
          <a:off x="6553615" y="7639067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18222</xdr:colOff>
      <xdr:row>42</xdr:row>
      <xdr:rowOff>17428</xdr:rowOff>
    </xdr:from>
    <xdr:to>
      <xdr:col>7</xdr:col>
      <xdr:colOff>219390</xdr:colOff>
      <xdr:row>42</xdr:row>
      <xdr:rowOff>154588</xdr:rowOff>
    </xdr:to>
    <xdr:sp macro="" textlink="">
      <xdr:nvSpPr>
        <xdr:cNvPr id="557" name="Rectangle 556">
          <a:extLst>
            <a:ext uri="{FF2B5EF4-FFF2-40B4-BE49-F238E27FC236}">
              <a16:creationId xmlns:a16="http://schemas.microsoft.com/office/drawing/2014/main" id="{A44DEB92-E012-408A-B294-6D9C050A8539}"/>
            </a:ext>
          </a:extLst>
        </xdr:cNvPr>
        <xdr:cNvSpPr/>
      </xdr:nvSpPr>
      <xdr:spPr>
        <a:xfrm>
          <a:off x="6780972" y="8361328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13253</xdr:colOff>
      <xdr:row>43</xdr:row>
      <xdr:rowOff>20741</xdr:rowOff>
    </xdr:from>
    <xdr:to>
      <xdr:col>7</xdr:col>
      <xdr:colOff>214421</xdr:colOff>
      <xdr:row>43</xdr:row>
      <xdr:rowOff>157901</xdr:rowOff>
    </xdr:to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812A0A5E-5386-4335-8472-7510CC65E137}"/>
            </a:ext>
          </a:extLst>
        </xdr:cNvPr>
        <xdr:cNvSpPr/>
      </xdr:nvSpPr>
      <xdr:spPr>
        <a:xfrm>
          <a:off x="6776003" y="8536091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19880</xdr:colOff>
      <xdr:row>44</xdr:row>
      <xdr:rowOff>16599</xdr:rowOff>
    </xdr:from>
    <xdr:to>
      <xdr:col>7</xdr:col>
      <xdr:colOff>303344</xdr:colOff>
      <xdr:row>44</xdr:row>
      <xdr:rowOff>153759</xdr:rowOff>
    </xdr:to>
    <xdr:sp macro="" textlink="">
      <xdr:nvSpPr>
        <xdr:cNvPr id="559" name="Rectangle 558">
          <a:extLst>
            <a:ext uri="{FF2B5EF4-FFF2-40B4-BE49-F238E27FC236}">
              <a16:creationId xmlns:a16="http://schemas.microsoft.com/office/drawing/2014/main" id="{0B021360-93FA-4879-BCF0-A2B2738C5A87}"/>
            </a:ext>
          </a:extLst>
        </xdr:cNvPr>
        <xdr:cNvSpPr/>
      </xdr:nvSpPr>
      <xdr:spPr>
        <a:xfrm>
          <a:off x="6782630" y="8703399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122585</xdr:colOff>
      <xdr:row>46</xdr:row>
      <xdr:rowOff>21551</xdr:rowOff>
    </xdr:from>
    <xdr:to>
      <xdr:col>7</xdr:col>
      <xdr:colOff>406049</xdr:colOff>
      <xdr:row>46</xdr:row>
      <xdr:rowOff>158711</xdr:rowOff>
    </xdr:to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40A8C86D-7D0A-42C1-BC0A-B68882B3603A}"/>
            </a:ext>
          </a:extLst>
        </xdr:cNvPr>
        <xdr:cNvSpPr/>
      </xdr:nvSpPr>
      <xdr:spPr>
        <a:xfrm>
          <a:off x="6885335" y="9051251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109333</xdr:colOff>
      <xdr:row>47</xdr:row>
      <xdr:rowOff>13474</xdr:rowOff>
    </xdr:from>
    <xdr:to>
      <xdr:col>7</xdr:col>
      <xdr:colOff>392797</xdr:colOff>
      <xdr:row>47</xdr:row>
      <xdr:rowOff>150634</xdr:rowOff>
    </xdr:to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81785817-70FE-45A1-95D9-A2E7D77157AB}"/>
            </a:ext>
          </a:extLst>
        </xdr:cNvPr>
        <xdr:cNvSpPr/>
      </xdr:nvSpPr>
      <xdr:spPr>
        <a:xfrm>
          <a:off x="6872083" y="9233674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8282</xdr:colOff>
      <xdr:row>49</xdr:row>
      <xdr:rowOff>13286</xdr:rowOff>
    </xdr:from>
    <xdr:to>
      <xdr:col>8</xdr:col>
      <xdr:colOff>209450</xdr:colOff>
      <xdr:row>49</xdr:row>
      <xdr:rowOff>150446</xdr:rowOff>
    </xdr:to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47CE452D-1D87-4D5F-BEC8-EE64DDEDB69D}"/>
            </a:ext>
          </a:extLst>
        </xdr:cNvPr>
        <xdr:cNvSpPr/>
      </xdr:nvSpPr>
      <xdr:spPr>
        <a:xfrm>
          <a:off x="7180607" y="9576386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202095</xdr:colOff>
      <xdr:row>51</xdr:row>
      <xdr:rowOff>6677</xdr:rowOff>
    </xdr:from>
    <xdr:to>
      <xdr:col>8</xdr:col>
      <xdr:colOff>403263</xdr:colOff>
      <xdr:row>51</xdr:row>
      <xdr:rowOff>143837</xdr:rowOff>
    </xdr:to>
    <xdr:sp macro="" textlink="">
      <xdr:nvSpPr>
        <xdr:cNvPr id="563" name="Rectangle 562">
          <a:extLst>
            <a:ext uri="{FF2B5EF4-FFF2-40B4-BE49-F238E27FC236}">
              <a16:creationId xmlns:a16="http://schemas.microsoft.com/office/drawing/2014/main" id="{482472BE-55BB-4ACE-9803-A5BB359D2E79}"/>
            </a:ext>
          </a:extLst>
        </xdr:cNvPr>
        <xdr:cNvSpPr/>
      </xdr:nvSpPr>
      <xdr:spPr>
        <a:xfrm>
          <a:off x="7374420" y="9912677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6625</xdr:colOff>
      <xdr:row>50</xdr:row>
      <xdr:rowOff>11629</xdr:rowOff>
    </xdr:from>
    <xdr:to>
      <xdr:col>8</xdr:col>
      <xdr:colOff>207793</xdr:colOff>
      <xdr:row>50</xdr:row>
      <xdr:rowOff>148789</xdr:rowOff>
    </xdr:to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3A5FE096-AD01-418E-B576-C479169DDD9D}"/>
            </a:ext>
          </a:extLst>
        </xdr:cNvPr>
        <xdr:cNvSpPr/>
      </xdr:nvSpPr>
      <xdr:spPr>
        <a:xfrm>
          <a:off x="7178950" y="9746179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109332</xdr:colOff>
      <xdr:row>53</xdr:row>
      <xdr:rowOff>43068</xdr:rowOff>
    </xdr:from>
    <xdr:to>
      <xdr:col>9</xdr:col>
      <xdr:colOff>39686</xdr:colOff>
      <xdr:row>53</xdr:row>
      <xdr:rowOff>178593</xdr:rowOff>
    </xdr:to>
    <xdr:sp macro="" textlink="">
      <xdr:nvSpPr>
        <xdr:cNvPr id="565" name="Rectangle 564">
          <a:extLst>
            <a:ext uri="{FF2B5EF4-FFF2-40B4-BE49-F238E27FC236}">
              <a16:creationId xmlns:a16="http://schemas.microsoft.com/office/drawing/2014/main" id="{10C35ECD-3181-4CE1-8790-39766902B79B}"/>
            </a:ext>
          </a:extLst>
        </xdr:cNvPr>
        <xdr:cNvSpPr/>
      </xdr:nvSpPr>
      <xdr:spPr>
        <a:xfrm>
          <a:off x="7281657" y="10291968"/>
          <a:ext cx="339929" cy="1355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22363</xdr:colOff>
      <xdr:row>56</xdr:row>
      <xdr:rowOff>33543</xdr:rowOff>
    </xdr:from>
    <xdr:to>
      <xdr:col>9</xdr:col>
      <xdr:colOff>424699</xdr:colOff>
      <xdr:row>56</xdr:row>
      <xdr:rowOff>170703</xdr:rowOff>
    </xdr:to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B92239F-36E8-434C-BD26-05234A82C15F}"/>
            </a:ext>
          </a:extLst>
        </xdr:cNvPr>
        <xdr:cNvSpPr/>
      </xdr:nvSpPr>
      <xdr:spPr>
        <a:xfrm>
          <a:off x="7604263" y="11558793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19034</xdr:colOff>
      <xdr:row>57</xdr:row>
      <xdr:rowOff>17012</xdr:rowOff>
    </xdr:from>
    <xdr:to>
      <xdr:col>9</xdr:col>
      <xdr:colOff>426640</xdr:colOff>
      <xdr:row>57</xdr:row>
      <xdr:rowOff>168671</xdr:rowOff>
    </xdr:to>
    <xdr:sp macro="" textlink="">
      <xdr:nvSpPr>
        <xdr:cNvPr id="567" name="Rectangle 566">
          <a:extLst>
            <a:ext uri="{FF2B5EF4-FFF2-40B4-BE49-F238E27FC236}">
              <a16:creationId xmlns:a16="http://schemas.microsoft.com/office/drawing/2014/main" id="{215398BC-CB1B-4629-A3E8-C693311D98D7}"/>
            </a:ext>
          </a:extLst>
        </xdr:cNvPr>
        <xdr:cNvSpPr/>
      </xdr:nvSpPr>
      <xdr:spPr>
        <a:xfrm>
          <a:off x="7600934" y="11732762"/>
          <a:ext cx="407606" cy="15165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12428</xdr:colOff>
      <xdr:row>62</xdr:row>
      <xdr:rowOff>21964</xdr:rowOff>
    </xdr:from>
    <xdr:to>
      <xdr:col>10</xdr:col>
      <xdr:colOff>414764</xdr:colOff>
      <xdr:row>62</xdr:row>
      <xdr:rowOff>159124</xdr:rowOff>
    </xdr:to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817DCDC-D20D-4F87-BE05-DCA88CF11493}"/>
            </a:ext>
          </a:extLst>
        </xdr:cNvPr>
        <xdr:cNvSpPr/>
      </xdr:nvSpPr>
      <xdr:spPr>
        <a:xfrm>
          <a:off x="8061053" y="12671164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24019</xdr:colOff>
      <xdr:row>63</xdr:row>
      <xdr:rowOff>21999</xdr:rowOff>
    </xdr:from>
    <xdr:to>
      <xdr:col>10</xdr:col>
      <xdr:colOff>426355</xdr:colOff>
      <xdr:row>63</xdr:row>
      <xdr:rowOff>159159</xdr:rowOff>
    </xdr:to>
    <xdr:sp macro="" textlink="">
      <xdr:nvSpPr>
        <xdr:cNvPr id="569" name="Rectangle 568">
          <a:extLst>
            <a:ext uri="{FF2B5EF4-FFF2-40B4-BE49-F238E27FC236}">
              <a16:creationId xmlns:a16="http://schemas.microsoft.com/office/drawing/2014/main" id="{786650CB-B45B-4FB3-A410-25E03F5CF132}"/>
            </a:ext>
          </a:extLst>
        </xdr:cNvPr>
        <xdr:cNvSpPr/>
      </xdr:nvSpPr>
      <xdr:spPr>
        <a:xfrm>
          <a:off x="8072644" y="12842649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20690</xdr:colOff>
      <xdr:row>68</xdr:row>
      <xdr:rowOff>28762</xdr:rowOff>
    </xdr:from>
    <xdr:to>
      <xdr:col>11</xdr:col>
      <xdr:colOff>423026</xdr:colOff>
      <xdr:row>68</xdr:row>
      <xdr:rowOff>165922</xdr:rowOff>
    </xdr:to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1CC8E48A-31A3-4A18-9285-CB6224279E9D}"/>
            </a:ext>
          </a:extLst>
        </xdr:cNvPr>
        <xdr:cNvSpPr/>
      </xdr:nvSpPr>
      <xdr:spPr>
        <a:xfrm>
          <a:off x="8536040" y="13744762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15719</xdr:colOff>
      <xdr:row>69</xdr:row>
      <xdr:rowOff>15340</xdr:rowOff>
    </xdr:from>
    <xdr:to>
      <xdr:col>11</xdr:col>
      <xdr:colOff>418055</xdr:colOff>
      <xdr:row>69</xdr:row>
      <xdr:rowOff>152500</xdr:rowOff>
    </xdr:to>
    <xdr:sp macro="" textlink="">
      <xdr:nvSpPr>
        <xdr:cNvPr id="571" name="Rectangle 570">
          <a:extLst>
            <a:ext uri="{FF2B5EF4-FFF2-40B4-BE49-F238E27FC236}">
              <a16:creationId xmlns:a16="http://schemas.microsoft.com/office/drawing/2014/main" id="{DCA92D1C-0614-499A-83DD-9DBA5269142A}"/>
            </a:ext>
          </a:extLst>
        </xdr:cNvPr>
        <xdr:cNvSpPr/>
      </xdr:nvSpPr>
      <xdr:spPr>
        <a:xfrm>
          <a:off x="8531069" y="13902790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43052</xdr:colOff>
      <xdr:row>72</xdr:row>
      <xdr:rowOff>29851</xdr:rowOff>
    </xdr:from>
    <xdr:to>
      <xdr:col>12</xdr:col>
      <xdr:colOff>445388</xdr:colOff>
      <xdr:row>72</xdr:row>
      <xdr:rowOff>167011</xdr:rowOff>
    </xdr:to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89BFAA45-92E9-4209-B307-D787F493F066}"/>
            </a:ext>
          </a:extLst>
        </xdr:cNvPr>
        <xdr:cNvSpPr/>
      </xdr:nvSpPr>
      <xdr:spPr>
        <a:xfrm>
          <a:off x="9025127" y="14431651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48834</xdr:colOff>
      <xdr:row>73</xdr:row>
      <xdr:rowOff>29851</xdr:rowOff>
    </xdr:from>
    <xdr:to>
      <xdr:col>12</xdr:col>
      <xdr:colOff>451170</xdr:colOff>
      <xdr:row>73</xdr:row>
      <xdr:rowOff>167011</xdr:rowOff>
    </xdr:to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5106CD3D-ABF7-4D7A-80F0-37524EDA05A9}"/>
            </a:ext>
          </a:extLst>
        </xdr:cNvPr>
        <xdr:cNvSpPr/>
      </xdr:nvSpPr>
      <xdr:spPr>
        <a:xfrm>
          <a:off x="9030909" y="14603101"/>
          <a:ext cx="40233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207067</xdr:colOff>
      <xdr:row>64</xdr:row>
      <xdr:rowOff>33131</xdr:rowOff>
    </xdr:from>
    <xdr:to>
      <xdr:col>11</xdr:col>
      <xdr:colOff>24203</xdr:colOff>
      <xdr:row>64</xdr:row>
      <xdr:rowOff>170291</xdr:rowOff>
    </xdr:to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098ECD7C-1D2D-4E74-9A73-DB1A25D6E3B3}"/>
            </a:ext>
          </a:extLst>
        </xdr:cNvPr>
        <xdr:cNvSpPr/>
      </xdr:nvSpPr>
      <xdr:spPr>
        <a:xfrm>
          <a:off x="8255692" y="13025231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425727</xdr:colOff>
      <xdr:row>65</xdr:row>
      <xdr:rowOff>21857</xdr:rowOff>
    </xdr:from>
    <xdr:to>
      <xdr:col>11</xdr:col>
      <xdr:colOff>242863</xdr:colOff>
      <xdr:row>65</xdr:row>
      <xdr:rowOff>159017</xdr:rowOff>
    </xdr:to>
    <xdr:sp macro="" textlink="">
      <xdr:nvSpPr>
        <xdr:cNvPr id="575" name="Rectangle 574">
          <a:extLst>
            <a:ext uri="{FF2B5EF4-FFF2-40B4-BE49-F238E27FC236}">
              <a16:creationId xmlns:a16="http://schemas.microsoft.com/office/drawing/2014/main" id="{C6DCC8F8-E663-4C14-96B5-B8AC30344B74}"/>
            </a:ext>
          </a:extLst>
        </xdr:cNvPr>
        <xdr:cNvSpPr/>
      </xdr:nvSpPr>
      <xdr:spPr>
        <a:xfrm>
          <a:off x="8474352" y="13204457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16548</xdr:colOff>
      <xdr:row>66</xdr:row>
      <xdr:rowOff>31472</xdr:rowOff>
    </xdr:from>
    <xdr:to>
      <xdr:col>11</xdr:col>
      <xdr:colOff>300012</xdr:colOff>
      <xdr:row>66</xdr:row>
      <xdr:rowOff>168632</xdr:rowOff>
    </xdr:to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567D666A-4F39-431E-9828-DCC0D15B0988}"/>
            </a:ext>
          </a:extLst>
        </xdr:cNvPr>
        <xdr:cNvSpPr/>
      </xdr:nvSpPr>
      <xdr:spPr>
        <a:xfrm>
          <a:off x="8531898" y="1338552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26504</xdr:colOff>
      <xdr:row>67</xdr:row>
      <xdr:rowOff>8299</xdr:rowOff>
    </xdr:from>
    <xdr:to>
      <xdr:col>11</xdr:col>
      <xdr:colOff>309968</xdr:colOff>
      <xdr:row>67</xdr:row>
      <xdr:rowOff>145459</xdr:rowOff>
    </xdr:to>
    <xdr:sp macro="" textlink="">
      <xdr:nvSpPr>
        <xdr:cNvPr id="577" name="Rectangle 576">
          <a:extLst>
            <a:ext uri="{FF2B5EF4-FFF2-40B4-BE49-F238E27FC236}">
              <a16:creationId xmlns:a16="http://schemas.microsoft.com/office/drawing/2014/main" id="{2C14A48D-C7CE-4C29-A36D-F7421B0121A7}"/>
            </a:ext>
          </a:extLst>
        </xdr:cNvPr>
        <xdr:cNvSpPr/>
      </xdr:nvSpPr>
      <xdr:spPr>
        <a:xfrm>
          <a:off x="8541854" y="13552849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314738</xdr:colOff>
      <xdr:row>58</xdr:row>
      <xdr:rowOff>31492</xdr:rowOff>
    </xdr:from>
    <xdr:to>
      <xdr:col>10</xdr:col>
      <xdr:colOff>131874</xdr:colOff>
      <xdr:row>58</xdr:row>
      <xdr:rowOff>168652</xdr:rowOff>
    </xdr:to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1FF12FB2-851D-4253-ADA6-55705047BF30}"/>
            </a:ext>
          </a:extLst>
        </xdr:cNvPr>
        <xdr:cNvSpPr/>
      </xdr:nvSpPr>
      <xdr:spPr>
        <a:xfrm>
          <a:off x="7896638" y="11937742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14910</xdr:colOff>
      <xdr:row>55</xdr:row>
      <xdr:rowOff>31472</xdr:rowOff>
    </xdr:from>
    <xdr:to>
      <xdr:col>9</xdr:col>
      <xdr:colOff>298374</xdr:colOff>
      <xdr:row>55</xdr:row>
      <xdr:rowOff>168632</xdr:rowOff>
    </xdr:to>
    <xdr:sp macro="" textlink="">
      <xdr:nvSpPr>
        <xdr:cNvPr id="579" name="Rectangle 578">
          <a:extLst>
            <a:ext uri="{FF2B5EF4-FFF2-40B4-BE49-F238E27FC236}">
              <a16:creationId xmlns:a16="http://schemas.microsoft.com/office/drawing/2014/main" id="{804E5322-DBB3-4FF2-9DE0-DBD4FC50FE24}"/>
            </a:ext>
          </a:extLst>
        </xdr:cNvPr>
        <xdr:cNvSpPr/>
      </xdr:nvSpPr>
      <xdr:spPr>
        <a:xfrm>
          <a:off x="7596810" y="11366222"/>
          <a:ext cx="283464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308131</xdr:colOff>
      <xdr:row>59</xdr:row>
      <xdr:rowOff>33338</xdr:rowOff>
    </xdr:from>
    <xdr:to>
      <xdr:col>10</xdr:col>
      <xdr:colOff>125267</xdr:colOff>
      <xdr:row>59</xdr:row>
      <xdr:rowOff>170498</xdr:rowOff>
    </xdr:to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7DD9D532-FC0D-4639-AB9E-D7A0AC1928EB}"/>
            </a:ext>
          </a:extLst>
        </xdr:cNvPr>
        <xdr:cNvSpPr/>
      </xdr:nvSpPr>
      <xdr:spPr>
        <a:xfrm>
          <a:off x="7890031" y="12130088"/>
          <a:ext cx="283861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323021</xdr:colOff>
      <xdr:row>54</xdr:row>
      <xdr:rowOff>33130</xdr:rowOff>
    </xdr:from>
    <xdr:to>
      <xdr:col>9</xdr:col>
      <xdr:colOff>117392</xdr:colOff>
      <xdr:row>54</xdr:row>
      <xdr:rowOff>170290</xdr:rowOff>
    </xdr:to>
    <xdr:sp macro="" textlink="">
      <xdr:nvSpPr>
        <xdr:cNvPr id="581" name="Rectangle 580">
          <a:extLst>
            <a:ext uri="{FF2B5EF4-FFF2-40B4-BE49-F238E27FC236}">
              <a16:creationId xmlns:a16="http://schemas.microsoft.com/office/drawing/2014/main" id="{517AFE5F-1223-4734-B225-25F67E293493}"/>
            </a:ext>
          </a:extLst>
        </xdr:cNvPr>
        <xdr:cNvSpPr/>
      </xdr:nvSpPr>
      <xdr:spPr>
        <a:xfrm>
          <a:off x="7495346" y="11177380"/>
          <a:ext cx="203946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207065</xdr:colOff>
      <xdr:row>61</xdr:row>
      <xdr:rowOff>18460</xdr:rowOff>
    </xdr:from>
    <xdr:to>
      <xdr:col>10</xdr:col>
      <xdr:colOff>408233</xdr:colOff>
      <xdr:row>61</xdr:row>
      <xdr:rowOff>155620</xdr:rowOff>
    </xdr:to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08A568F8-ADAC-4F74-A1A6-0D060EEDBC1D}"/>
            </a:ext>
          </a:extLst>
        </xdr:cNvPr>
        <xdr:cNvSpPr/>
      </xdr:nvSpPr>
      <xdr:spPr>
        <a:xfrm>
          <a:off x="8255690" y="12496210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356152</xdr:colOff>
      <xdr:row>70</xdr:row>
      <xdr:rowOff>14926</xdr:rowOff>
    </xdr:from>
    <xdr:to>
      <xdr:col>12</xdr:col>
      <xdr:colOff>90992</xdr:colOff>
      <xdr:row>70</xdr:row>
      <xdr:rowOff>152086</xdr:rowOff>
    </xdr:to>
    <xdr:sp macro="" textlink="">
      <xdr:nvSpPr>
        <xdr:cNvPr id="583" name="Rectangle 582">
          <a:extLst>
            <a:ext uri="{FF2B5EF4-FFF2-40B4-BE49-F238E27FC236}">
              <a16:creationId xmlns:a16="http://schemas.microsoft.com/office/drawing/2014/main" id="{5BD3AEC1-3079-4103-A8AB-BF93B1853F30}"/>
            </a:ext>
          </a:extLst>
        </xdr:cNvPr>
        <xdr:cNvSpPr/>
      </xdr:nvSpPr>
      <xdr:spPr>
        <a:xfrm>
          <a:off x="8871502" y="14073826"/>
          <a:ext cx="201565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119268</xdr:colOff>
      <xdr:row>71</xdr:row>
      <xdr:rowOff>26521</xdr:rowOff>
    </xdr:from>
    <xdr:to>
      <xdr:col>12</xdr:col>
      <xdr:colOff>320436</xdr:colOff>
      <xdr:row>71</xdr:row>
      <xdr:rowOff>163681</xdr:rowOff>
    </xdr:to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F3D9DF44-36FC-4808-946C-55A7B407A70D}"/>
            </a:ext>
          </a:extLst>
        </xdr:cNvPr>
        <xdr:cNvSpPr/>
      </xdr:nvSpPr>
      <xdr:spPr>
        <a:xfrm>
          <a:off x="9101343" y="14256871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11596</xdr:colOff>
      <xdr:row>60</xdr:row>
      <xdr:rowOff>26523</xdr:rowOff>
    </xdr:from>
    <xdr:to>
      <xdr:col>10</xdr:col>
      <xdr:colOff>212764</xdr:colOff>
      <xdr:row>60</xdr:row>
      <xdr:rowOff>163683</xdr:rowOff>
    </xdr:to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F4EA0955-8DA3-4A6E-818C-3FAF8C6FD5B4}"/>
            </a:ext>
          </a:extLst>
        </xdr:cNvPr>
        <xdr:cNvSpPr/>
      </xdr:nvSpPr>
      <xdr:spPr>
        <a:xfrm>
          <a:off x="8060221" y="12313773"/>
          <a:ext cx="201168" cy="1371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138906</xdr:colOff>
      <xdr:row>26</xdr:row>
      <xdr:rowOff>1139</xdr:rowOff>
    </xdr:from>
    <xdr:to>
      <xdr:col>5</xdr:col>
      <xdr:colOff>190500</xdr:colOff>
      <xdr:row>26</xdr:row>
      <xdr:rowOff>171451</xdr:rowOff>
    </xdr:to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0D61B402-83C5-4A64-9E11-1B18F6CCBB5F}"/>
            </a:ext>
          </a:extLst>
        </xdr:cNvPr>
        <xdr:cNvSpPr/>
      </xdr:nvSpPr>
      <xdr:spPr>
        <a:xfrm>
          <a:off x="6149181" y="5744714"/>
          <a:ext cx="51594" cy="17031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148431</xdr:colOff>
      <xdr:row>27</xdr:row>
      <xdr:rowOff>1139</xdr:rowOff>
    </xdr:from>
    <xdr:to>
      <xdr:col>5</xdr:col>
      <xdr:colOff>200025</xdr:colOff>
      <xdr:row>27</xdr:row>
      <xdr:rowOff>171451</xdr:rowOff>
    </xdr:to>
    <xdr:sp macro="" textlink="">
      <xdr:nvSpPr>
        <xdr:cNvPr id="587" name="Rectangle 586">
          <a:extLst>
            <a:ext uri="{FF2B5EF4-FFF2-40B4-BE49-F238E27FC236}">
              <a16:creationId xmlns:a16="http://schemas.microsoft.com/office/drawing/2014/main" id="{2C9491F4-C7C0-42FF-B1C9-2E09FE73175D}"/>
            </a:ext>
          </a:extLst>
        </xdr:cNvPr>
        <xdr:cNvSpPr/>
      </xdr:nvSpPr>
      <xdr:spPr>
        <a:xfrm>
          <a:off x="6158706" y="5925689"/>
          <a:ext cx="51594" cy="17031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52</xdr:col>
      <xdr:colOff>76200</xdr:colOff>
      <xdr:row>53</xdr:row>
      <xdr:rowOff>0</xdr:rowOff>
    </xdr:to>
    <xdr:pic>
      <xdr:nvPicPr>
        <xdr:cNvPr id="3" name="グラフィックス 1">
          <a:extLst>
            <a:ext uri="{FF2B5EF4-FFF2-40B4-BE49-F238E27FC236}">
              <a16:creationId xmlns:a16="http://schemas.microsoft.com/office/drawing/2014/main" id="{8651B3D6-650D-4404-AC6E-E891CEEDC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1300" y="1651000"/>
          <a:ext cx="12382500" cy="8572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6.180.3.2\udx\Documents%20and%20Settings\jc500041\&#12487;&#12473;&#12463;&#12488;&#12483;&#12503;\&#26032;&#35215;Microsoft%20Excel%20&#12527;&#12540;&#12463;&#12471;&#12540;&#124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nfsv10\GSinet\Users\517296\Desktop\&#24037;&#25968;&#35211;&#31309;(&#12463;&#12524;&#12473;&#12467;&#20998;)_20150721%20(&#20462;&#24489;&#28168;&#12415;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2503;&#12525;&#12497;&#12540;&#23554;&#29992;\DINERS-PT(CS6&#20869;&#37096;)\900_&#20491;&#20154;&#12501;&#12457;&#12523;&#12480;\&#20117;&#26519;\07_&#24037;&#31243;&#23529;&#26619;\201602_&#12471;&#12473;&#12486;&#12512;&#38283;&#30330;&#20250;&#35696;\ADC&#35211;&#31309;\Step3&#27231;&#33021;&#21029;&#24037;&#25968;&#19968;&#35239;&#65288;&#20869;&#37096;&#29992;&#65289;_20130531_baselin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MO-2/Report%20AMO/BP/09.%20AM%20Business%20Plan/_New/YSD/Dev/20_plan/ET_trial/DEV-PP-FM-01.03%201.0%20(Template%20estimation%20size%20&amp;%20effort_WBS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jo_light_filezen\20_plan\02_Estimate\Output\Light_FileZen_Estimat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30_&#20182;&#37096;&#38272;&#20849;&#26377;\201901_&#12304;TFS&#12305;TOYOTAWallet&#12471;&#12473;&#12486;&#12512;&#12395;&#38306;&#12377;&#12427;&#25552;&#26696;&#20381;&#38972;&#26696;&#20214;\&#35201;&#20214;&#23450;&#32681;\02_&#25104;&#26524;&#29289;\03_&#12471;&#12473;&#12486;&#12512;&#27231;&#33021;&#19968;&#35239;\Wallet&#12471;&#12473;&#12486;&#12512;&#27231;&#33021;&#19968;&#35239;&#20860;&#35211;&#31309;_2019041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7770;&#31639;\&#27770;&#31639;&#35500;&#26126;&#20250;\2003_4th\&#20844;&#34920;&#20516;\2004&#24180;&#24230;&#24403;&#21021;&#20844;&#34920;&#2051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7083;&#25104;&#30906;&#35469;_2017\1&#26376;\20&#26085;\System%20x%20&#23554;&#29992;%20Custom%20Tool&#9670;Techline&#27083;&#25104;&#9670;16062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9.&#12381;&#12398;&#20182;&#24773;&#22577;\work\&#33321;&#22338;work\&#38283;&#30330;&#35211;&#31309;&#12471;&#12540;&#12488;_CS5_ALL_2013090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fsvt01\3480\FS5\PJ\&#27005;&#22825;&#37504;&#34892;&#27425;&#26399;&#12525;&#12540;&#12531;\11_&#35201;&#20214;&#23450;&#32681;\11_&#35201;&#20214;&#23450;&#32681;&#26360;\&#12304;&#21029;&#32025;&#65299;&#12305;&#22806;&#37096;&#12452;&#12531;&#12479;&#12540;&#12501;&#12455;&#12540;&#12473;&#23450;&#32681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fsvt01\3480\FS5\PJ\&#27005;&#22825;&#37504;&#34892;&#27425;&#26399;&#12525;&#12540;&#12531;\11_&#35201;&#20214;&#23450;&#32681;\11_&#35201;&#20214;&#23450;&#32681;&#26360;\&#12304;&#21029;&#32025;&#65301;&#12305;&#12486;&#12540;&#12502;&#12523;&#23450;&#32681;&#2636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1\2_tmp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IS199~1\LOCALS~1\Temp\C.Lotus.Notes.Data\2011&#24180;&#24230;&#20104;&#31639;&#35430;&#31639;&#34920;(&#30446;&#27161;)_0204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OS%20SYSTEM\20_plan\02_Estimate\POS%20Server\POS%20server_Kh&#225;i%20to&#225;n_DNYC.xlsx" TargetMode="External"/><Relationship Id="rId1" Type="http://schemas.openxmlformats.org/officeDocument/2006/relationships/externalLinkPath" Target="POS%20server_Kh&#225;i%20to&#225;n_DNY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規Microsoft Excel ワークシート"/>
      <sheetName val="#REF"/>
      <sheetName val="入力用ﾜｰｸＢ"/>
      <sheetName val="Ｎｏ５９連携ＩＦ仕様"/>
      <sheetName val="ｶﾒﾗ"/>
      <sheetName val="F0BF8120ﾚｲｱｳﾄ"/>
      <sheetName val="見積パラメータ"/>
      <sheetName val="9811"/>
      <sheetName val="ＤＢ一覧"/>
      <sheetName val="図表の見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白紙"/>
      <sheetName val="パラメータ"/>
      <sheetName val="変更履歴"/>
      <sheetName val="TOP"/>
      <sheetName val="表紙"/>
      <sheetName val="様式１"/>
      <sheetName val="様式１-１"/>
      <sheetName val="様式１-２"/>
      <sheetName val="生産性基準"/>
      <sheetName val="様式３"/>
      <sheetName val="様式３(FP IFPUG法)"/>
      <sheetName val="様式３(FP NESMA概算法)"/>
      <sheetName val="様式３(FP 工数算出)"/>
      <sheetName val="工数見積"/>
      <sheetName val="様式３_bk20150721"/>
      <sheetName val="様式４"/>
      <sheetName val="様式４－１"/>
      <sheetName val="様式５"/>
      <sheetName val="様式６"/>
      <sheetName val="様式７"/>
      <sheetName val="様式８"/>
      <sheetName val="様式９"/>
      <sheetName val="フェーズレベルコスト要員計画"/>
      <sheetName val="フェーズレベルコスト要員計画 (2)"/>
      <sheetName val="様式１０要員計画 (コスト用)"/>
      <sheetName val="フェーズレベル売上要員計画"/>
      <sheetName val="フェーズレベル売上要員計画 (2)"/>
      <sheetName val="様式１０要員計画 (売上用)"/>
      <sheetName val="様式１１（収支計画）"/>
      <sheetName val="様式１２(納品計画)"/>
      <sheetName val="個人情報管理申請書"/>
      <sheetName val="見積セルフCS記入要領"/>
      <sheetName val="見積セルフCS"/>
      <sheetName val="見積申請書"/>
      <sheetName val="見積セルフCSAns"/>
      <sheetName val="見積書"/>
      <sheetName val="概算見積書"/>
      <sheetName val="業務計画書(表紙）"/>
      <sheetName val="業務計画書(本文）"/>
      <sheetName val="＜ハードウェア構成＞"/>
      <sheetName val="＜ソフトウェア構成＞"/>
      <sheetName val="＜開発規模＞"/>
      <sheetName val="＜開発規模(FP IFPUG法)＞"/>
      <sheetName val="＜開発規模(FP NESMA概算法)＞"/>
      <sheetName val="＜体制表＞"/>
      <sheetName val="＜開発工程表＞"/>
      <sheetName val="＜要員計画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方法"/>
      <sheetName val="見積基準値"/>
      <sheetName val="見積基準値(変動係数)"/>
      <sheetName val="標準画面パターン"/>
      <sheetName val="業務・機能対応表"/>
      <sheetName val="ﾏｽﾀｰｽｹｼﾞｭｰﾙ (ワーク)"/>
      <sheetName val="内部用サマリー"/>
      <sheetName val="要員山積み"/>
      <sheetName val="サマリー"/>
      <sheetName val="残タスク"/>
      <sheetName val="ﾏｽﾀｰｽｹｼﾞｭｰﾙ"/>
      <sheetName val="３．その他"/>
      <sheetName val="部品"/>
      <sheetName val="メッセージボード検討"/>
      <sheetName val="詳細"/>
      <sheetName val="画面見直し前提"/>
      <sheetName val="当初比"/>
      <sheetName val="機能パター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.HDSD&amp;PheDuyet"/>
      <sheetName val="Title"/>
      <sheetName val="RevisionHistory"/>
      <sheetName val="ListTaiLieuLienQuan"/>
      <sheetName val="EstimateTongHop"/>
      <sheetName val="WBSSizeEstimate"/>
      <sheetName val="Chi tiết estimate code"/>
      <sheetName val="Cơ cấu"/>
      <sheetName val="EstimateCongSoKhac"/>
      <sheetName val="Non-FunctionalSizeEstimate"/>
      <sheetName val="HDSD"/>
      <sheetName val="Do kho-t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.HDSD&amp;PheDuyet"/>
      <sheetName val="Title"/>
      <sheetName val="RevisionHistory"/>
      <sheetName val="ListTaiLieuLienQuan"/>
      <sheetName val="EstimateTongHop"/>
      <sheetName val="WBSSizeEstimate"/>
      <sheetName val="Non-FunctionalSizeEstimate"/>
      <sheetName val="EstimateCongSoKhac"/>
      <sheetName val="HDSD"/>
      <sheetName val="Do kho-t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サマリ"/>
      <sheetName val="システム機能一覧"/>
      <sheetName val="Nablarch見積シート"/>
      <sheetName val="要員山積み"/>
      <sheetName val="⇒ここからNablarch見積パラメータシート"/>
      <sheetName val="見積基準値"/>
      <sheetName val="見積基準値(変動係数)"/>
      <sheetName val="標準画面パターン"/>
      <sheetName val="⇒ここからFFGのやつ"/>
      <sheetName val="見積方法"/>
      <sheetName val="見積サマリ (2)"/>
      <sheetName val="機能数・画面数"/>
      <sheetName val="サンプル"/>
      <sheetName val="aIssテスト対象端末・ブラウザ"/>
      <sheetName val="部品"/>
      <sheetName val="Din実績"/>
      <sheetName val="工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単体"/>
      <sheetName val="連結(UFIT除く)"/>
      <sheetName val="連結"/>
      <sheetName val="同業他社(前年比較)"/>
      <sheetName val="同業他社(当初比較)"/>
      <sheetName val="アナリスト"/>
      <sheetName val="配当性向"/>
      <sheetName val="公表検討"/>
      <sheetName val="Dﾗﾝｸ利益"/>
      <sheetName val="2004年度当初公表値"/>
      <sheetName val="ビジネス環境"/>
      <sheetName val="取り組み"/>
      <sheetName val="振り返り・課題"/>
      <sheetName val="組織元"/>
      <sheetName val="Sheet1"/>
      <sheetName val="入力ｼｰﾄのｻﾏﾘ"/>
      <sheetName val="マスタ"/>
      <sheetName val="Sheet2"/>
      <sheetName val="選択肢"/>
      <sheetName val="BP選択"/>
      <sheetName val="リスト定義"/>
      <sheetName val="ヘッダ部"/>
      <sheetName val="rist"/>
      <sheetName val="入力リスト"/>
      <sheetName val="名称TBL"/>
      <sheetName val="リスト"/>
      <sheetName val="ﾏｽﾀﾃｰﾌﾞﾙ"/>
      <sheetName val="DDリスト"/>
      <sheetName val="日報用_名称TBL ←"/>
      <sheetName val="メニュー"/>
      <sheetName val="WKインシデント補助表"/>
      <sheetName val="20220106・0113再集計"/>
      <sheetName val="日報用_名称TBL_←"/>
      <sheetName val="集計方法変更10月から"/>
      <sheetName val="日報用_名称TBL_←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情報"/>
      <sheetName val="差分データの確認"/>
      <sheetName val="製品登録DB"/>
      <sheetName val="構成DB"/>
      <sheetName val="製品入力"/>
      <sheetName val="型番入替用"/>
      <sheetName val="速ぷら項目"/>
      <sheetName val="ROK_PA"/>
      <sheetName val="dbo_商品マスター"/>
      <sheetName val="サーバリスト"/>
      <sheetName val="ROK_Windows見積り書"/>
      <sheetName val="システム構成表"/>
      <sheetName val="ソフトウェアおよびサービス継続料金年額（ご参考）"/>
      <sheetName val="システム装置"/>
      <sheetName val="本資料に関して"/>
      <sheetName val="Lenovo Services"/>
      <sheetName val="QCOS価格検索"/>
      <sheetName val="ServicePacマスタ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 UT工程 アプリ見積"/>
      <sheetName val="見積基準値"/>
      <sheetName val="見積基準値(変動係数)"/>
      <sheetName val="FAQ"/>
      <sheetName val="標準画面パターン"/>
      <sheetName val="工数集計"/>
      <sheetName val="部品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次"/>
      <sheetName val="1"/>
      <sheetName val="2"/>
      <sheetName val="3"/>
      <sheetName val="データ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目次"/>
      <sheetName val="テーブル名"/>
      <sheetName val="データ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DATA"/>
      <sheetName val="Rate"/>
      <sheetName val="ﾗﾍﾞﾙﾚｺｰﾄﾞ"/>
      <sheetName val="売込み商品"/>
      <sheetName val="テーブル"/>
      <sheetName val="表紙"/>
      <sheetName val="SB(東亜ゴム)（４Ｕ）"/>
      <sheetName val="リスク区分（入力規則）"/>
      <sheetName val="内部ﾚﾋﾞｭｰ"/>
      <sheetName val="総括表"/>
      <sheetName val="F0CA2090･2100"/>
      <sheetName val="マッピングシート"/>
      <sheetName val="#REF"/>
      <sheetName val="ｵｰｿﾘﾜｰｸ"/>
      <sheetName val="マスタ"/>
      <sheetName val="ﾏﾆｭｱﾙ"/>
      <sheetName val="選択値"/>
      <sheetName val="立ち上げ案件進捗状況"/>
      <sheetName val="ﾌｫﾛｰ96上"/>
      <sheetName val="チェックリスト"/>
      <sheetName val="Sheet2"/>
      <sheetName val="Sheet3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画面対応表"/>
      <sheetName val="tmp"/>
      <sheetName val="改定履歴"/>
      <sheetName val="２"/>
      <sheetName val="集記入力用ｼ-ﾄ"/>
      <sheetName val="011009-"/>
      <sheetName val="classified_table"/>
      <sheetName val="人口移動第４表"/>
      <sheetName val="98下CL増枠ﾄﾚｰｽ"/>
      <sheetName val="明細全体版"/>
      <sheetName val="Work"/>
      <sheetName val="選択用パラメータ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各種定義情報"/>
      <sheetName val="図表の見方"/>
      <sheetName val="表面"/>
      <sheetName val="RD9501V"/>
      <sheetName val="園以外"/>
      <sheetName val="初期設定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値下･値入 (2)"/>
      <sheetName val="SC入替"/>
      <sheetName val="入会施策別"/>
      <sheetName val="定量シート"/>
      <sheetName val="勘定科目CD"/>
      <sheetName val="国CD"/>
      <sheetName val="施策CD"/>
      <sheetName val="通貨"/>
      <sheetName val="部門CD"/>
      <sheetName val="Q項目定義"/>
      <sheetName val="会員ｻｰﾋﾞｽ部人員"/>
      <sheetName val="■取り纏め一覧■"/>
      <sheetName val="選択肢"/>
      <sheetName val="GK"/>
      <sheetName val="list"/>
      <sheetName val="設定用"/>
      <sheetName val="案件一覧"/>
      <sheetName val="3.ｷｬﾊﾟｼﾃｨ要件_別紙２_変数表"/>
      <sheetName val="印刷内容入力"/>
      <sheetName val="金融機関別"/>
      <sheetName val="仕_x0002__x0000_률/_x0000__x0000__x0001_ࠀＬ_"/>
      <sheetName val="PR"/>
      <sheetName val="進捗管理表2"/>
      <sheetName val="進捗管理表1"/>
      <sheetName val="定義(変更・削除不可)"/>
      <sheetName val="ＰＪ見積"/>
      <sheetName val="CTRL"/>
      <sheetName val="案件テーブル"/>
      <sheetName val="業務名"/>
      <sheetName val="運用設計書原紙"/>
      <sheetName val="BS"/>
      <sheetName val="データ入力"/>
      <sheetName val="サポート依頼一覧"/>
      <sheetName val="ゾーニング設定表"/>
      <sheetName val="本番JOBリスト"/>
      <sheetName val="Ｎｏ５９連携ＩＦ仕様"/>
      <sheetName val="ドメイン一覧"/>
      <sheetName val="仕_x0002_"/>
      <sheetName val="入力規則（共通）"/>
      <sheetName val="別紙３"/>
      <sheetName val="提供方式＆品目"/>
      <sheetName val="ヘッジ比率(月次)"/>
      <sheetName val="◆費用"/>
      <sheetName val="日当宛照合データ概要"/>
      <sheetName val="営業系目標（算定根拠）"/>
      <sheetName val="ソリューション系目標"/>
      <sheetName val="D_SCCTFB15"/>
      <sheetName val="D_SCCTFB16"/>
      <sheetName val="スケルトン"/>
      <sheetName val="抽出ｼｰﾄ"/>
      <sheetName val="仕_x0002_?률/??_x0001_ࠀＬ_"/>
      <sheetName val="リソース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入力規則リスト定義"/>
      <sheetName val="裏_依頼管理者"/>
      <sheetName val="項目選択肢"/>
      <sheetName val="work4"/>
      <sheetName val="TBL"/>
      <sheetName val="リストボックス(普段は非表示に)"/>
      <sheetName val="検討項目"/>
      <sheetName val="成果物_内部設計"/>
      <sheetName val="成果物_ＰＧＵＴ"/>
      <sheetName val="ライフプラザ仙台"/>
      <sheetName val="ライフプラザ本店"/>
      <sheetName val="支社内勤非役変換後"/>
      <sheetName val="代理社変換後"/>
      <sheetName val="代理店営業部変換後"/>
      <sheetName val="部門テーブル"/>
      <sheetName val="標準メニューテーブル"/>
      <sheetName val="IF別項目表"/>
      <sheetName val="加盟店マスタ"/>
      <sheetName val="リストと凡例"/>
      <sheetName val="コード定義"/>
      <sheetName val="規格書"/>
      <sheetName val="リチャ全員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ＩＣチップマスタ"/>
      <sheetName val="ワーク"/>
      <sheetName val="定義"/>
      <sheetName val="実行エージェント一覧"/>
      <sheetName val="JP1ユーザ一覧"/>
      <sheetName val="デスクコード"/>
      <sheetName val="機能一覧"/>
      <sheetName val="ﾃﾞｰﾀ入力用ﾘｽﾄ(任意追加可)"/>
      <sheetName val="条件設定"/>
      <sheetName val="_List"/>
      <sheetName val="仕_x0002_ 률/  _x0001_ࠀＬ_"/>
      <sheetName val="○○○○WG"/>
      <sheetName val="テーブル定義書（案件番号採番）"/>
      <sheetName val="LIST(削除禁止)"/>
      <sheetName val="資料（テレホン）"/>
      <sheetName val="仕률_ࠀＬ_"/>
      <sheetName val="仕_률___ࠀＬ_"/>
      <sheetName val="流出□HW020607時点"/>
      <sheetName val="全体"/>
      <sheetName val="CRM本番機"/>
      <sheetName val="マスタースケジュール"/>
      <sheetName val="集計"/>
      <sheetName val="原紙"/>
      <sheetName val="20130829"/>
      <sheetName val="AC"/>
      <sheetName val="工事進行基準適用"/>
      <sheetName val="入力規則用リスト"/>
      <sheetName val="修繕費"/>
      <sheetName val="info"/>
      <sheetName val="データテーブル"/>
      <sheetName val="案件リスト"/>
      <sheetName val="【ＬＩＳＴ】"/>
      <sheetName val="ﾓｼﾞｭｰﾙ一覧"/>
      <sheetName val="記入項目説明"/>
      <sheetName val="予定成果物"/>
      <sheetName val="上場償却明細"/>
      <sheetName val="エラーコード一覧"/>
      <sheetName val="for administration use only"/>
      <sheetName val="共通機器情報"/>
      <sheetName val="マスター日次処理１"/>
      <sheetName val="NET開始処理"/>
      <sheetName val="案1(44%)"/>
      <sheetName val="分類Sol一覧(20170929)"/>
      <sheetName val="文書設定"/>
      <sheetName val="印刷対象外"/>
      <sheetName val="トラブルレポート管理簿"/>
      <sheetName val="カード番号など"/>
      <sheetName val="コード・選択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項目"/>
      <sheetName val="疎通要件マスタold"/>
      <sheetName val="INDEX"/>
      <sheetName val="日付DATA"/>
      <sheetName val="config"/>
      <sheetName val="00.工程リスト"/>
      <sheetName val="199910"/>
      <sheetName val="３．２．１．５．リアルタイム_ステレオタイプ"/>
      <sheetName val="グループ一覧（ビルトイン・グループ）"/>
      <sheetName val="設定値"/>
      <sheetName val="NAIS実績"/>
      <sheetName val="SSA構成図"/>
      <sheetName val="ミスの分析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qry_CF"/>
      <sheetName val="qry_Rep"/>
      <sheetName val="Redmine情報"/>
      <sheetName val="TZ_06索引物理情報"/>
      <sheetName val="リスト_回答マージ"/>
      <sheetName val="入力規則リスト"/>
      <sheetName val="コード・選択肢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WBS"/>
      <sheetName val="ｼｽﾃﾑ全体概要"/>
      <sheetName val="ﾌｰｽﾞ売荒"/>
      <sheetName val="項目一覧"/>
      <sheetName val="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見送り状況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宛先"/>
      <sheetName val="QA"/>
      <sheetName val="設定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画面レイアウト"/>
      <sheetName val="リスト一覧"/>
      <sheetName val="主な取扱い年度推移"/>
      <sheetName val="（案件分類）"/>
      <sheetName val="私情"/>
      <sheetName val="②案件リスト"/>
      <sheetName val="③固定的IT費用削減施策リスト"/>
      <sheetName val="ﾃﾚﾊﾞﾝRTGS共用"/>
      <sheetName val="ATM詳細"/>
      <sheetName val="データ"/>
      <sheetName val="ＯＳＣ担当(20200101現在)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項目選択枝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本紙"/>
      <sheetName val="⇒"/>
      <sheetName val="ＫＰＩ"/>
      <sheetName val="プルダウン"/>
      <sheetName val="担当者リスト"/>
      <sheetName val="担当者一覧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別紙１目標登録（預金）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レビュー対象の章、別紙名"/>
      <sheetName val="元データ"/>
      <sheetName val="顧客リスト"/>
      <sheetName val="編集禁止⇒入力ルール規制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#各種コード値"/>
      <sheetName val="リスト定義"/>
      <sheetName val="分類(削除しないこと)"/>
      <sheetName val="WKT"/>
      <sheetName val="工程リスト"/>
      <sheetName val="ヘッダ"/>
      <sheetName val="案件情報"/>
      <sheetName val="Sheet1_(2)2"/>
      <sheetName val="山積み_(2)2"/>
      <sheetName val="入退室証_(2)2"/>
      <sheetName val="入退室証_(3)2"/>
      <sheetName val="f0ga100b_のﾚｲｱｳﾄ2"/>
      <sheetName val="仕様変更進捗0826(97)_xls2"/>
      <sheetName val="値下･値入_(2)1"/>
      <sheetName val="3_ｷｬﾊﾟｼﾃｨ要件_別紙２_変数表1"/>
      <sheetName val="主要経営管理指標_(確定版)1"/>
      <sheetName val="for_administration_use_only1"/>
      <sheetName val="[仕様変更進捗0826(97)_xls]仕률/ࠀＬ_1"/>
      <sheetName val="[仕様変更進捗0826(97)_xls]仕?률/??ࠀＬ_1"/>
      <sheetName val="[仕様変更進捗0826(97)_xls][仕様変更進捗0821"/>
      <sheetName val="00_工程リスト1"/>
      <sheetName val="_仕様変更進捗0826(97)_xls_仕률_ࠀＬ_1"/>
      <sheetName val="_仕様変更進捗0826(97)_xls_仕_률___ࠀＬ_1"/>
      <sheetName val="_仕様変更進捗0826(97)_xls__仕様変更進捗0821"/>
      <sheetName val="仕?률_??"/>
      <sheetName val="2(ITa_テスト範囲)_1"/>
      <sheetName val="2(ITa_テスト範囲)_2"/>
      <sheetName val="2(ITa_テスト範囲)_3"/>
      <sheetName val="2(ITa_テスト範囲)_4"/>
      <sheetName val="４(IT-S1-001)_(2)"/>
      <sheetName val="本文_(1)"/>
      <sheetName val="本文_(2)"/>
      <sheetName val="仕_x005f_x0002__률____x005f_x0001_ࠀＬ_1"/>
      <sheetName val="[仕様変更進捗0826(97)_xls]仕"/>
      <sheetName val="[仕様変更進捗0826(97)_xls]仕_률/__ࠀＬ_1"/>
      <sheetName val="要員計画9_17"/>
      <sheetName val="5_システム運用"/>
      <sheetName val="2_(2)"/>
      <sheetName val="設計書抜粋「15_2_3_」"/>
      <sheetName val="祝日カレンダー"/>
      <sheetName val="ﾃﾞｰﾀｼｰﾄ"/>
      <sheetName val="涼味"/>
      <sheetName val="アンケート集計(12.3）"/>
      <sheetName val="貼付け元"/>
      <sheetName val="提携先コード・商品名"/>
      <sheetName val="区分"/>
      <sheetName val="総合･エリア･一般職資格給"/>
      <sheetName val="本給"/>
      <sheetName val="役職手当"/>
      <sheetName val="入力リスト"/>
      <sheetName val="仕様変更進捗(ALL)"/>
      <sheetName val="入力ルール"/>
      <sheetName val="入力規則_試験不具合コード"/>
      <sheetName val="ポンチ絵"/>
      <sheetName val="Sheet1_(2)4"/>
      <sheetName val="山積み_(2)4"/>
      <sheetName val="入退室証_(2)4"/>
      <sheetName val="入退室証_(3)4"/>
      <sheetName val="f0ga100b_のﾚｲｱｳﾄ4"/>
      <sheetName val="仕様変更進捗0826(97)_xls4"/>
      <sheetName val="値下･値入_(2)3"/>
      <sheetName val="3_ｷｬﾊﾟｼﾃｨ要件_別紙２_変数表3"/>
      <sheetName val="主要経営管理指標_(確定版)3"/>
      <sheetName val="for_administration_use_only3"/>
      <sheetName val="[仕様変更進捗0826(97)_xls]仕률/ࠀＬ_3"/>
      <sheetName val="[仕様変更進捗0826(97)_xls]仕?률/??ࠀＬ_3"/>
      <sheetName val="[仕様変更進捗0826(97)_xls][仕様変更進捗0823"/>
      <sheetName val="00_工程リスト3"/>
      <sheetName val="_仕様変更進捗0826(97)_xls_仕률_ࠀＬ_3"/>
      <sheetName val="_仕様変更進捗0826(97)_xls_仕_률___ࠀＬ_3"/>
      <sheetName val="_仕様変更進捗0826(97)_xls__仕様変更進捗0823"/>
      <sheetName val="2(ITa_テスト範囲)_12"/>
      <sheetName val="2(ITa_テスト範囲)_22"/>
      <sheetName val="2(ITa_テスト範囲)_32"/>
      <sheetName val="2(ITa_テスト範囲)_42"/>
      <sheetName val="４(IT-S1-001)_(2)2"/>
      <sheetName val="本文_(1)2"/>
      <sheetName val="本文_(2)2"/>
      <sheetName val="仕_x005f_x0002__률____x005f_x0001_ࠀＬ_3"/>
      <sheetName val="[仕様変更進捗0826(97)_xls]仕_률/__ࠀＬ_3"/>
      <sheetName val="要員計画9_172"/>
      <sheetName val="5_システム運用2"/>
      <sheetName val="設計書抜粋「15_2_3_」2"/>
      <sheetName val="2_(2)2"/>
      <sheetName val="[仕様変更進捗0826(97)_xls]_______08_1"/>
      <sheetName val="[仕様変更進捗0826(97)_xls]_______08_7"/>
      <sheetName val="[仕様変更進捗0826(97)_xls]_______08_8"/>
      <sheetName val="[仕様変更進捗0826(97)_xls]_______08_9"/>
      <sheetName val="[仕様変更進捗0826(97)_xls]_______0810"/>
      <sheetName val="アンケート集計(12_3）1"/>
      <sheetName val="Sheet1_(2)3"/>
      <sheetName val="山積み_(2)3"/>
      <sheetName val="入退室証_(2)3"/>
      <sheetName val="入退室証_(3)3"/>
      <sheetName val="f0ga100b_のﾚｲｱｳﾄ3"/>
      <sheetName val="仕様変更進捗0826(97)_xls3"/>
      <sheetName val="値下･値入_(2)2"/>
      <sheetName val="3_ｷｬﾊﾟｼﾃｨ要件_別紙２_変数表2"/>
      <sheetName val="主要経営管理指標_(確定版)2"/>
      <sheetName val="for_administration_use_only2"/>
      <sheetName val="[仕様変更進捗0826(97)_xls]仕률/ࠀＬ_2"/>
      <sheetName val="[仕様変更進捗0826(97)_xls]仕?률/??ࠀＬ_2"/>
      <sheetName val="[仕様変更進捗0826(97)_xls][仕様変更進捗0822"/>
      <sheetName val="00_工程リスト2"/>
      <sheetName val="_仕様変更進捗0826(97)_xls_仕률_ࠀＬ_2"/>
      <sheetName val="_仕様変更進捗0826(97)_xls_仕_률___ࠀＬ_2"/>
      <sheetName val="_仕様変更進捗0826(97)_xls__仕様変更進捗0822"/>
      <sheetName val="2(ITa_テスト範囲)_11"/>
      <sheetName val="2(ITa_テスト範囲)_21"/>
      <sheetName val="2(ITa_テスト範囲)_31"/>
      <sheetName val="2(ITa_テスト範囲)_41"/>
      <sheetName val="４(IT-S1-001)_(2)1"/>
      <sheetName val="本文_(1)1"/>
      <sheetName val="本文_(2)1"/>
      <sheetName val="仕_x005f_x0002__률____x005f_x0001_ࠀＬ_2"/>
      <sheetName val="[仕様変更進捗0826(97)_xls]仕_률/__ࠀＬ_2"/>
      <sheetName val="要員計画9_171"/>
      <sheetName val="5_システム運用1"/>
      <sheetName val="設計書抜粋「15_2_3_」1"/>
      <sheetName val="2_(2)1"/>
      <sheetName val="[仕様変更進捗0826(97)_xls]_______08_2"/>
      <sheetName val="[仕様変更進捗0826(97)_xls]_______08_3"/>
      <sheetName val="[仕様変更進捗0826(97)_xls]_______08_4"/>
      <sheetName val="[仕様変更進捗0826(97)_xls]_______08_5"/>
      <sheetName val="[仕様変更進捗0826(97)_xls]_______08_6"/>
      <sheetName val="アンケート集計(12_3）"/>
      <sheetName val="#指摘区分"/>
      <sheetName val="入力支援"/>
      <sheetName val="〔設定〕"/>
      <sheetName val="計画支援"/>
      <sheetName val="値リスト"/>
      <sheetName val="起因先コード値"/>
      <sheetName val="プログラム一覧表"/>
      <sheetName val="[仕様変更進捗0826(97).xls]_______08_7"/>
      <sheetName val="[仕様変更進捗0826(97).xls]_______08_8"/>
      <sheetName val="[仕様変更進捗0826(97).xls]_______08_9"/>
      <sheetName val="[仕様変更進捗0826(97).xls]_______0_10"/>
      <sheetName val="組合"/>
      <sheetName val="[仕様変更進捗0826(97).xls]_______0_11"/>
      <sheetName val="[仕様変更進捗0826(97).xls]_______0_12"/>
      <sheetName val="[仕様変更進捗0826(97).xls]_______0_13"/>
      <sheetName val="[仕様変更進捗0826(97).xls]_______0_14"/>
      <sheetName val="[仕様変更進捗0826(97).xls]_______0_15"/>
      <sheetName val="[仕様変更進捗0826(97).xls]_______0_16"/>
      <sheetName val="[仕様変更進捗0826(97).xls]_______0_17"/>
      <sheetName val="[仕様変更進捗0826(97).xls]_______0_18"/>
      <sheetName val="[仕様変更進捗0826(97).xls]_______0_19"/>
      <sheetName val="[仕様変更進捗0826(97).xls]_______0_20"/>
      <sheetName val="[仕様変更進捗0826(97).xls]_______0_21"/>
      <sheetName val="仕_x0002__률___"/>
      <sheetName val="表"/>
      <sheetName val="会社情報"/>
      <sheetName val="担当者リ_x0000__x0000_"/>
      <sheetName val="刀_x0010_"/>
      <sheetName val="日計科目対応表"/>
      <sheetName val="RV記録"/>
      <sheetName val="#集計"/>
      <sheetName val="ﾏｽﾀ"/>
      <sheetName val="ｍ"/>
      <sheetName val="担当者リ؀_x0001_"/>
      <sheetName val="データ抽出条件"/>
      <sheetName val="抽出条件"/>
      <sheetName val="本人最新ｶｰﾄﾞ抽出"/>
      <sheetName val="共通フォーマット"/>
      <sheetName val="担当者リ刀_x0010_"/>
      <sheetName val="担当者リ_x0000_昀"/>
      <sheetName val="担当者リ_x0000_똀"/>
      <sheetName val="؀_x0001_"/>
      <sheetName val="ﾘｸｴｽﾄ項目説明"/>
      <sheetName val="一覧項目説明"/>
      <sheetName val="担当者リ픀穟"/>
      <sheetName val="担当者リ_x000d__x0000_"/>
      <sheetName val="担当者リ␀⡼"/>
      <sheetName val="担当者リ_x0000_㠀"/>
      <sheetName val="Sheet1_(2)5"/>
      <sheetName val="山積み_(2)5"/>
      <sheetName val="入退室証_(2)5"/>
      <sheetName val="入退室証_(3)5"/>
      <sheetName val="f0ga100b_のﾚｲｱｳﾄ5"/>
      <sheetName val="仕様変更進捗0826(97)_xls5"/>
      <sheetName val="値下･値入_(2)4"/>
      <sheetName val="3_ｷｬﾊﾟｼﾃｨ要件_別紙２_変数表4"/>
      <sheetName val="主要経営管理指標_(確定版)4"/>
      <sheetName val="for_administration_use_only4"/>
      <sheetName val="[仕様変更進捗0826(97)_xls]仕률/ࠀＬ_4"/>
      <sheetName val="[仕様変更進捗0826(97)_xls]仕?률/??ࠀＬ_4"/>
      <sheetName val="[仕様変更進捗0826(97)_xls][仕様変更進捗0824"/>
      <sheetName val="00_工程リスト4"/>
      <sheetName val="_仕様変更進捗0826(97)_xls_仕률_ࠀＬ_4"/>
      <sheetName val="_仕様変更進捗0826(97)_xls_仕_률___ࠀＬ_4"/>
      <sheetName val="_仕様変更進捗0826(97)_xls__仕様変更進捗0824"/>
      <sheetName val="2(ITa_テスト範囲)_13"/>
      <sheetName val="2(ITa_テスト範囲)_23"/>
      <sheetName val="2(ITa_テスト範囲)_33"/>
      <sheetName val="2(ITa_テスト範囲)_43"/>
      <sheetName val="４(IT-S1-001)_(2)3"/>
      <sheetName val="本文_(1)3"/>
      <sheetName val="本文_(2)3"/>
      <sheetName val="仕_x005f_x0002__률____x005f_x0001_ࠀＬ_4"/>
      <sheetName val="[仕様変更進捗0826(97)_xls]仕_률/__ࠀＬ_4"/>
      <sheetName val="要員計画9_173"/>
      <sheetName val="5_システム運用3"/>
      <sheetName val="2_(2)3"/>
      <sheetName val="設計書抜粋「15_2_3_」3"/>
      <sheetName val="[仕様変更進捗0826(97)_xls]_______0811"/>
      <sheetName val="[仕様変更進捗0826(97)_xls]_______0812"/>
      <sheetName val="[仕様変更進捗0826(97)_xls]_______0813"/>
      <sheetName val="[仕様変更進捗0826(97)_xls]_______0814"/>
      <sheetName val="[仕様変更進捗0826(97)_xls]_______0815"/>
      <sheetName val="アンケート集計(12_3）2"/>
      <sheetName val="[仕様変更進捗0826(97)_xls]_______0816"/>
      <sheetName val="[仕様変更進捗0826(97)_xls]_______0817"/>
      <sheetName val="[仕様変更進捗0826(97)_xls]_______0818"/>
      <sheetName val="[仕様変更進捗0826(97)_xls]_______0_10"/>
      <sheetName val="仕_률___"/>
      <sheetName val="刀"/>
      <sheetName val="[仕様変更進捗0826(97)_xls]_______0_11"/>
      <sheetName val="[仕様変更進捗0826(97)_xls]_______0_12"/>
      <sheetName val="[仕様変更進捗0826(97)_xls]_______0_13"/>
      <sheetName val="[仕様変更進捗0826(97)_xls]_______0_14"/>
      <sheetName val="[仕様変更進捗0826(97)_xls]_______0_15"/>
      <sheetName val="[仕様変更進捗0826(97)_xls]_______0_16"/>
      <sheetName val="[仕様変更進捗0826(97)_xls]_______0_17"/>
      <sheetName val="[仕様変更進捗0826(97)_xls]_______0_18"/>
      <sheetName val="[仕様変更進捗0826(97)_xls]_______0_19"/>
      <sheetName val="[仕様変更進捗0826(97)_xls]_______0_20"/>
      <sheetName val="[仕様変更進捗0826(97)_xls]_______0_21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データ項目一覧"/>
      <sheetName val="仕_x005f_x0002__x005f_x0000_률/_x005f_x0000__x005f_x0000_"/>
      <sheetName val="仕_x005f_x0002_?률/??_x005f_x0001_ࠀＬ_"/>
      <sheetName val="仕_x005f_x0002_ 률/  _x005f_x0001_ࠀＬ_"/>
      <sheetName val="画面一覧（MIDEA）"/>
      <sheetName val="ショートカットキー一覧（MIDEA）"/>
      <sheetName val="ULDL&amp; ウェブソケット（MIDEA）"/>
      <sheetName val="JavaScript確認（MIDEA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 refreshError="1"/>
      <sheetData sheetId="346" refreshError="1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チェックリスト"/>
      <sheetName val="Sheet1"/>
      <sheetName val="Sheet2"/>
      <sheetName val="Sheet3"/>
      <sheetName val="一覧"/>
      <sheetName val="ベースライン不具合管理表（ＣＱ台帳）"/>
      <sheetName val="集計表"/>
      <sheetName val="RAMDA"/>
      <sheetName val="MQ・HULFT一覧"/>
      <sheetName val="ITb投入ケース管理一覧"/>
      <sheetName val="入退室証"/>
      <sheetName val="入退室証 (2)"/>
      <sheetName val="入退室証 (3)"/>
      <sheetName val="入退室証(記入例)"/>
      <sheetName val="入退室証(警備確認箇所）"/>
      <sheetName val="ﾎﾟｲﾝﾄ商品応募"/>
      <sheetName val="入Ｆ１"/>
      <sheetName val="口座確認リスト改善１"/>
      <sheetName val="ｱﾏｯｸﾎﾟｲﾝﾄ付与ﾃﾞｰﾀｻｸｾｲ"/>
      <sheetName val="ｱﾏｯｸ利用明細"/>
      <sheetName val="f0ga100b のﾚｲｱｳﾄ"/>
      <sheetName val="本番環境"/>
      <sheetName val="F0BF8120ﾚｲｱｳﾄ"/>
      <sheetName val="入力用ﾜｰｸＢ"/>
      <sheetName val="F0CA2090･2100"/>
      <sheetName val="印刷内容入力"/>
      <sheetName val="受療率変動3"/>
      <sheetName val="人口"/>
      <sheetName val="受療率変動5"/>
      <sheetName val="各種定義情報"/>
      <sheetName val="Sheet1 (2)"/>
      <sheetName val="分析"/>
      <sheetName val="リスト"/>
      <sheetName val="山積み (2)"/>
      <sheetName val="仕様変更進捗0826(97)"/>
      <sheetName val="DATA"/>
      <sheetName val="Rate"/>
      <sheetName val="ﾗﾍﾞﾙﾚｺｰﾄﾞ"/>
      <sheetName val="金融機関別"/>
      <sheetName val="２"/>
      <sheetName val="売込み商品"/>
      <sheetName val="テーブル"/>
      <sheetName val="SB(東亜ゴム)（４Ｕ）"/>
      <sheetName val="リスク区分（入力規則）"/>
      <sheetName val="表紙"/>
      <sheetName val="総括表"/>
      <sheetName val="内部ﾚﾋﾞｭｰ"/>
      <sheetName val="マッピングシート"/>
      <sheetName val="#REF"/>
      <sheetName val="ｵｰｿﾘﾜｰｸ"/>
      <sheetName val="マスタ"/>
      <sheetName val="ﾏﾆｭｱﾙ"/>
      <sheetName val="選択値"/>
      <sheetName val="Work"/>
      <sheetName val="選択用パラメータ"/>
      <sheetName val="仕_x0002__x0000_률/_x0000__x0000__x0001_ࠀＬ_"/>
      <sheetName val="PR"/>
      <sheetName val="進捗管理表2"/>
      <sheetName val="進捗管理表1"/>
      <sheetName val="会員ｻｰﾋﾞｽ部人員"/>
      <sheetName val="定義(変更・削除不可)"/>
      <sheetName val="ＰＪ見積"/>
      <sheetName val="ﾌｫﾛｰ96上"/>
      <sheetName val="仕_x0002_"/>
      <sheetName val="別紙３"/>
      <sheetName val="入力規則（共通）"/>
      <sheetName val="日当宛照合データ概要"/>
      <sheetName val="人口移動第４表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入退室証_(2)"/>
      <sheetName val="入退室証_(3)"/>
      <sheetName val="f0ga100b_のﾚｲｱｳﾄ"/>
      <sheetName val="Sheet1_(2)"/>
      <sheetName val="山積み_(2)"/>
      <sheetName val="仕률/ࠀＬ_"/>
      <sheetName val="仕?률/??ࠀＬ_"/>
      <sheetName val="仕"/>
      <sheetName val="RD9501V"/>
      <sheetName val="リソース"/>
      <sheetName val="BS"/>
      <sheetName val="画面対応表"/>
      <sheetName val="選択"/>
      <sheetName val="振替伝票"/>
      <sheetName val="社員リスト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tmp"/>
      <sheetName val="集記入力用ｼ-ﾄ"/>
      <sheetName val="改定履歴"/>
      <sheetName val="011009-"/>
      <sheetName val="仕様変更進捗0826(97).xls"/>
      <sheetName val="立ち上げ案件進捗状況"/>
      <sheetName val="classified_table"/>
      <sheetName val="明細全体版"/>
      <sheetName val="98下CL増枠ﾄﾚｰｽ"/>
      <sheetName val="記入例"/>
      <sheetName val="プルダウンリスト"/>
      <sheetName val="☆名前定義TBL"/>
      <sheetName val="カテゴリリスト"/>
      <sheetName val="為替明細ﾌｧｲﾙ"/>
      <sheetName val="入力マスタ"/>
      <sheetName val="園以外"/>
      <sheetName val="値下･値入 (2)"/>
      <sheetName val="SC入替"/>
      <sheetName val="仕_x0002__률____x0001_ࠀＬ_"/>
      <sheetName val="ｼﾞｭﾘｱｵｰｼﾞｪ"/>
      <sheetName val="コード定義"/>
      <sheetName val="LIST"/>
      <sheetName val="売上単価"/>
      <sheetName val="間接・販管費率"/>
      <sheetName val="図表の見方"/>
      <sheetName val="運用設計書原紙"/>
      <sheetName val="表面"/>
      <sheetName val="仕様変更進捗0826(97)_xls"/>
      <sheetName val="初期設定"/>
      <sheetName val="入会施策別"/>
      <sheetName val="定量シート"/>
      <sheetName val="勘定科目CD"/>
      <sheetName val="国CD"/>
      <sheetName val="施策CD"/>
      <sheetName val="通貨"/>
      <sheetName val="部門CD"/>
      <sheetName val="Q項目定義"/>
      <sheetName val="■取り纏め一覧■"/>
      <sheetName val="ゾーニング設定表"/>
      <sheetName val="データ入力"/>
      <sheetName val="選択肢"/>
      <sheetName val="GK"/>
      <sheetName val="設定用"/>
      <sheetName val="案件一覧"/>
      <sheetName val="ドメイン一覧"/>
      <sheetName val="スケルトン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CTRL"/>
      <sheetName val="案件テーブル"/>
      <sheetName val="業務名"/>
      <sheetName val="抽出ｼｰﾄ"/>
      <sheetName val="サポート依頼一覧"/>
      <sheetName val="入力規則リスト定義"/>
      <sheetName val="規格書"/>
      <sheetName val="部品"/>
      <sheetName val="目次"/>
      <sheetName val="3.ｷｬﾊﾟｼﾃｨ要件_別紙２_変数表"/>
      <sheetName val="本番JOBリスト"/>
      <sheetName val="裏_依頼管理者"/>
      <sheetName val="項目選択肢"/>
      <sheetName val="work4"/>
      <sheetName val="TBL"/>
      <sheetName val="リストボックス(普段は非表示に)"/>
      <sheetName val="検討項目"/>
      <sheetName val="成果物_内部設計"/>
      <sheetName val="成果物_ＰＧＵＴ"/>
      <sheetName val="○○○○WG"/>
      <sheetName val="サーバ名ホスト名リスト,その他凡例リスト"/>
      <sheetName val="_List"/>
      <sheetName val="仕_x0002_ 률/  _x0001_ࠀＬ_"/>
      <sheetName val="実行エージェント一覧"/>
      <sheetName val="JP1ユーザ一覧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IF別項目表"/>
      <sheetName val="加盟店マスタ"/>
      <sheetName val="⑤弁当"/>
      <sheetName val="リストと凡例"/>
      <sheetName val="テーブル定義書（案件番号採番）"/>
      <sheetName val="基礎数字"/>
      <sheetName val="主要経営管理指標 (確定版)"/>
      <sheetName val="LIST(削除禁止)"/>
      <sheetName val="リチャ全員"/>
      <sheetName val="資料（テレホン）"/>
      <sheetName val="仕률_ࠀＬ_"/>
      <sheetName val="仕_률___ࠀＬ_"/>
      <sheetName val="流出□HW020607時点"/>
      <sheetName val="全体"/>
      <sheetName val="業務区分"/>
      <sheetName val="会員"/>
      <sheetName val="２００６年８月末日在庫"/>
      <sheetName val="サーバ名ホスト名リスト"/>
      <sheetName val="コード表"/>
      <sheetName val="貸し出し対象情報リスト"/>
      <sheetName val="WK"/>
      <sheetName val="健康ﾌｪｱ外注(ﾌﾞﾛｯｸ)"/>
      <sheetName val="5-6月キャンペーン"/>
      <sheetName val="運用設計"/>
      <sheetName val="【ＬＩＳＴ】"/>
      <sheetName val="主要メルクマール"/>
      <sheetName val="人員計画"/>
      <sheetName val="⑦人員計画"/>
      <sheetName val="⑥工事進行基準適用"/>
      <sheetName val="⑧主要メルクマール"/>
      <sheetName val="工事進行基準適用"/>
      <sheetName val="Ｖ１検証一覧１（稼働日別）"/>
      <sheetName val="ＤＢ一覧"/>
      <sheetName val="org"/>
      <sheetName val="日吉幹線_1_現状_"/>
      <sheetName val="計数"/>
      <sheetName val="売上充足"/>
      <sheetName val="17下期案件一覧"/>
      <sheetName val="エラーコード一覧"/>
      <sheetName val="仕_x0002_ 률_  _x0001_ࠀＬ_"/>
      <sheetName val="一覧作成ボタン"/>
      <sheetName val="削除不可"/>
      <sheetName val="CODE"/>
      <sheetName val="35-40ﾊﾝﾄﾞ"/>
      <sheetName val="仕変꠲✼ἀ㬆ɷ_x0000_"/>
      <sheetName val="見送り状況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Macro1"/>
      <sheetName val="ﾃﾞｰﾀ入力用ﾘｽﾄ(任意追加可)"/>
      <sheetName val="ワーク"/>
      <sheetName val="CRM本番機"/>
      <sheetName val="定義"/>
      <sheetName val="ＩＣチップマスタ"/>
      <sheetName val="デスクコード"/>
      <sheetName val="マスタースケジュール"/>
      <sheetName val="集計"/>
      <sheetName val="AC"/>
      <sheetName val="原紙"/>
      <sheetName val="機能一覧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[仕様変更進捗0826(97).xls]仕_x0002_ 률/  _x0001_ࠀＬ_"/>
      <sheetName val="仕_x005f_x0002_"/>
      <sheetName val="仕_x005f_x0002__률____x005f_x0001_ࠀＬ_"/>
      <sheetName val="仕_x005f_x005f_x005f_x0002__x005f_x005f_x005f_x0000_률__x"/>
      <sheetName val="仕_x005f_x0002_ 률_  _x005f_x0001_ࠀＬ_"/>
      <sheetName val="仕_x0002__x0000_률__x0000__x0000_"/>
      <sheetName val="ﾃﾚﾊﾞﾝRTGS共用"/>
      <sheetName val="②案件リスト"/>
      <sheetName val="③固定的IT費用削減施策リスト"/>
      <sheetName val="ATM詳細"/>
      <sheetName val="PriceMaster"/>
      <sheetName val="使用不可"/>
      <sheetName val="[仕様変更進捗0826(97).xls][仕様変更進捗0826"/>
      <sheetName val="マスター"/>
      <sheetName val="INDEX"/>
      <sheetName val="日付DATA"/>
      <sheetName val="Prm"/>
      <sheetName val="担当者リスト"/>
      <sheetName val="【元ねた】Ⅰ年間計画書"/>
      <sheetName val="9604"/>
      <sheetName val="20130829"/>
      <sheetName val="入力規則用リスト"/>
      <sheetName val="条件設定"/>
      <sheetName val="ﾓｼﾞｭｰﾙ一覧"/>
      <sheetName val="記入項目説明"/>
      <sheetName val="上場償却明細"/>
      <sheetName val="for administration use only"/>
      <sheetName val="データテーブル"/>
      <sheetName val="マスター日次処理１"/>
      <sheetName val="NET開始処理"/>
      <sheetName val="文書設定"/>
      <sheetName val="修繕費"/>
      <sheetName val="info"/>
      <sheetName val="案件リスト"/>
      <sheetName val="印刷対象外"/>
      <sheetName val="トラブルレポート管理簿"/>
      <sheetName val="カード番号など"/>
      <sheetName val="総合･エリア･一般職資格給"/>
      <sheetName val="本給"/>
      <sheetName val="役職手当"/>
      <sheetName val="NAME"/>
      <sheetName val="【税処理名】"/>
      <sheetName val="コード一覧"/>
      <sheetName val="★部予算ｻﾏﾘｰ"/>
      <sheetName val="区分"/>
      <sheetName val="分析６"/>
      <sheetName val="Sheet4"/>
      <sheetName val="担当者一覧"/>
      <sheetName val="入力リスト"/>
      <sheetName val="入力項目"/>
      <sheetName val="ＤＢ名テーブル"/>
      <sheetName val="起因先コード値"/>
      <sheetName val="工数算出部品"/>
      <sheetName val="値リスト"/>
      <sheetName val="トレンド表"/>
      <sheetName val="設定"/>
      <sheetName val="_仕様変更進捗0826(97).xls__仕様変更進捗0826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○名前定義"/>
      <sheetName val="入退室証_(2)1"/>
      <sheetName val="入退室証_(3)1"/>
      <sheetName val="f0ga100b_のﾚｲｱｳﾄ1"/>
      <sheetName val="Sheet1_(2)1"/>
      <sheetName val="山積み_(2)1"/>
      <sheetName val="仕様変更進捗0826(97)_xls1"/>
      <sheetName val="値下･値入_(2)"/>
      <sheetName val="仕_률/__ࠀＬ_"/>
      <sheetName val="主要経営管理指標_(確定版)"/>
      <sheetName val="3_ｷｬﾊﾟｼﾃｨ要件_別紙２_変数表"/>
      <sheetName val="仕_률___ࠀＬ_1"/>
      <sheetName val="仕_x005f_x0002__률____x005f_x0001_ࠀＬ_1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for_administration_use_only"/>
      <sheetName val="_仕様変更進捗0826(97)_xls__仕様変更進捗0826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仕_x0002_?률_??"/>
      <sheetName val="議事タスク"/>
      <sheetName val="AGENDA2019下期"/>
      <sheetName val="ＤＸＢＵ０２１２"/>
      <sheetName val="⇒付帯資料"/>
      <sheetName val="2016下期"/>
      <sheetName val="残タスク管理"/>
      <sheetName val="DXBU0129"/>
      <sheetName val="DXBU0122"/>
      <sheetName val="ＤＸＢＵ0115"/>
      <sheetName val="DXBU0108"/>
      <sheetName val="DXBU1225"/>
      <sheetName val="DXBU1218"/>
      <sheetName val="PAYCIERGE"/>
      <sheetName val="DXBU1211"/>
      <sheetName val="ＤＸＢＵ1204"/>
      <sheetName val="ＤＸＢＵ1127"/>
      <sheetName val="ＤＸＢＵ1121"/>
      <sheetName val="ＤＸＢＵ1113"/>
      <sheetName val="DXBU1106"/>
      <sheetName val="ＤＸＢＵ1030"/>
      <sheetName val="ＤＸＢＵ1016"/>
      <sheetName val="DXBU1002"/>
      <sheetName val="ＤＸＢＵ0925"/>
      <sheetName val="カメラ"/>
      <sheetName val="宛先"/>
      <sheetName val="QA"/>
      <sheetName val="市場金利データ"/>
      <sheetName val="私情"/>
      <sheetName val="権限"/>
      <sheetName val="印刷用"/>
      <sheetName val="係数"/>
      <sheetName val="構成リスト"/>
      <sheetName val="区分・ステータス"/>
      <sheetName val="見積合計"/>
      <sheetName val="ＯＳＣ担当(20200101現在)"/>
      <sheetName val="2019年04～06送付一覧表"/>
      <sheetName val="2019年07～09送付一覧表 "/>
      <sheetName val="20197年10～12送付一覧表 "/>
      <sheetName val="2020年01～3送付一覧表  "/>
      <sheetName val="リスト "/>
      <sheetName val="一覧 (従来版8月15日時点)"/>
      <sheetName val="一覧 (TMS未登録帰任者)"/>
      <sheetName val="本人＆家族"/>
      <sheetName val="一時帰国実施状況"/>
      <sheetName val="緊急退避用航空券手配状況  "/>
      <sheetName val="【ビザ】TVI"/>
      <sheetName val="【ビザ】タイ"/>
      <sheetName val="【ビザ】ジャカルタ"/>
      <sheetName val="【ビザ】天津"/>
      <sheetName val="【ビザ上海】"/>
      <sheetName val="【ビザ】ＳＧ"/>
      <sheetName val="赴任・外地間 "/>
      <sheetName val="帰任 "/>
      <sheetName val="社内手続き "/>
      <sheetName val="家族呼び寄せ実施状況"/>
      <sheetName val="テーブル定義書）案件番号採畫）"/>
      <sheetName val="仕変꠲✼ἀ㬆ɷ_x005f_x0000_"/>
      <sheetName val="仕_x005f_x005f_x005f_x0002_"/>
      <sheetName val="仕_x005f_x005f_x005f_x0002__률____x005f_x005f_x0001"/>
      <sheetName val="仕_x005f_x005f_x005f_x005f_x005f_x005f_x005f_x0002__x005"/>
      <sheetName val="仕_x005f_x005f_x005f_x0002_ 률_  _x005f_x005f_x0001"/>
      <sheetName val="_仕様変更進捗0826(97).xls_仕_x005f_x0002__x0"/>
      <sheetName val="_仕様変更進捗0826(97).xls_仕_x005f_x0002__률_"/>
      <sheetName val="_仕様変更進捗0826(97).xls_仕_x005f_x0002_ 률_"/>
      <sheetName val="_仕様変更進捗0826(97).xls_仕_x005f_x0002_"/>
      <sheetName val="仕_x005f_x0002__률___"/>
      <sheetName val="別紙0502過去PJの品質指標値"/>
      <sheetName val="品質評価方針"/>
      <sheetName val="品質評価サマリ_Wave3.5"/>
      <sheetName val="品質評価サマリ_Web帳票"/>
      <sheetName val="品質評価詳細_テスト実施3.5"/>
      <sheetName val="品質評価詳細_テスト実施W帳票"/>
      <sheetName val="品質評価詳細_テスト実施3.5ITa"/>
      <sheetName val="品質評価詳細_テスト実施WITa"/>
      <sheetName val="Quality"/>
      <sheetName val="QualityDetail"/>
      <sheetName val="testcase"/>
      <sheetName val="fuguai"/>
      <sheetName val="Quality3.5ITa"/>
      <sheetName val="QualityDetail3.5ITa"/>
      <sheetName val="testcase3.5ITa"/>
      <sheetName val="fuguai3.5ITa"/>
      <sheetName val="QualityWITa"/>
      <sheetName val="QualityDetailWITa"/>
      <sheetName val="testcaseWITa"/>
      <sheetName val="fuguaiWITa"/>
      <sheetName val="製造用"/>
      <sheetName val="1_テスト方針"/>
      <sheetName val="2.機能テストケース"/>
      <sheetName val="3.デグレテストケース"/>
      <sheetName val="【参考】日付精査処理"/>
      <sheetName val="5.システム運用"/>
      <sheetName val="ステータス"/>
      <sheetName val="SELECTOR"/>
      <sheetName val="【対処要否】区分設定シート"/>
      <sheetName val="共通機器情報"/>
      <sheetName val="案1(44%)"/>
      <sheetName val="分類Sol一覧(20170929)"/>
      <sheetName val="00.工程リスト"/>
      <sheetName val="予定成果物"/>
      <sheetName val="項目"/>
      <sheetName val="疎通要件マスタold"/>
      <sheetName val="config"/>
      <sheetName val="199910"/>
      <sheetName val="３．２．１．５．リアルタイム_ステレオタイプ"/>
      <sheetName val="グループ一覧（ビルトイン・グループ）"/>
      <sheetName val="ミスの分析"/>
      <sheetName val="積算資料（単独リリース）(11)"/>
      <sheetName val="見積原価算定書"/>
      <sheetName val="売上"/>
      <sheetName val="ｷﾞﾌﾄ・ﾃﾅﾝﾄ除く"/>
      <sheetName val="編集不可　データ入力用"/>
      <sheetName val="コード・選択"/>
      <sheetName val="TZ_06索引物理情報"/>
      <sheetName val="入力規則リスト"/>
      <sheetName val="NAIS実績"/>
      <sheetName val="設定値"/>
      <sheetName val="コード・選択肢"/>
      <sheetName val="WBS"/>
      <sheetName val="リスト_回答マージ"/>
      <sheetName val="SSA構成図"/>
      <sheetName val="[仕様変更進捗0826(97).xls]仕_률/__ࠀＬ_"/>
      <sheetName val="9811"/>
      <sheetName val="[仕様変更進捗0826(97).xls]仕_x0002_"/>
      <sheetName val="選択リスト"/>
      <sheetName val="レビュー記録票old"/>
      <sheetName val="仕変꠲✼ἀ㬆ɷ?"/>
      <sheetName val="スケジュール"/>
      <sheetName val="結テPB"/>
      <sheetName val="作成物"/>
      <sheetName val="★最新EVM★"/>
      <sheetName val="★週次進捗報告内部用★"/>
      <sheetName val="当月サマリ_work"/>
      <sheetName val="投入工数ピボット"/>
      <sheetName val="当月サマリ"/>
      <sheetName val="先月サマリ"/>
      <sheetName val="テンプレート"/>
      <sheetName val="簡略サブメニュー見積"/>
      <sheetName val="★週次進捗報告顧客用"/>
      <sheetName val="（記入要領）"/>
      <sheetName val="仕_x005f_x0002__x005f_x0000_률__x"/>
      <sheetName val="仕_x005f_x0002__률____x005f_x005f_x0001"/>
      <sheetName val="仕_x005f_x005f_x005f_x0002__x005"/>
      <sheetName val="仕_x005f_x0002_ 률_  _x005f_x005f_x0001"/>
      <sheetName val="TABLE"/>
      <sheetName val="【別紙1】帳票作成・引抜条件について"/>
      <sheetName val="【別紙2】再発行時の仕様について"/>
      <sheetName val="24014-01"/>
      <sheetName val="DIC"/>
      <sheetName val="機能・画面・帳票規模（内部資料）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ブランド"/>
      <sheetName val="カテゴリ"/>
      <sheetName val="仕_x0002__률____x0001_ࠀＬ_1"/>
      <sheetName val="_仕様変更進捗0826(97).xls_仕_x0002__x0"/>
      <sheetName val="_仕様変更進捗0826(97).xls_仕_x0002__률_"/>
      <sheetName val="_仕様変更進捗0826(97).xls_仕_x0002_ 률_"/>
      <sheetName val="発行部影響"/>
      <sheetName val="（LIST）"/>
      <sheetName val="表4"/>
      <sheetName val="PP単価"/>
      <sheetName val="AIXｻｰﾋﾞｽ価格集計（SE無）"/>
      <sheetName val="部門"/>
      <sheetName val="※接続パターン"/>
      <sheetName val="SEスキルレベル"/>
      <sheetName val="Parameters"/>
      <sheetName val="[仕様変更進捗0826(97).xls]_______08_7"/>
      <sheetName val="[仕様変更進捗0826(97).xls]_______08_8"/>
      <sheetName val="[仕様変更進捗0826(97).xls]_______08_9"/>
      <sheetName val="[仕様変更進捗0826(97).xls]_______0_10"/>
      <sheetName val="[仕様変更進捗0826(97).xls]_______0_11"/>
      <sheetName val="データ"/>
      <sheetName val="入退室証_(2)2"/>
      <sheetName val="入退室証_(3)2"/>
      <sheetName val="f0ga100b_のﾚｲｱｳﾄ2"/>
      <sheetName val="Sheet1_(2)2"/>
      <sheetName val="山積み_(2)2"/>
      <sheetName val="仕様変更進捗0826(97)_xls2"/>
      <sheetName val="値下･値入_(2)1"/>
      <sheetName val="主要経営管理指標_(確定版)1"/>
      <sheetName val="3_ｷｬﾊﾟｼﾃｨ要件_別紙２_変数表1"/>
      <sheetName val="仕_률___ࠀＬ_2"/>
      <sheetName val="仕_x005f_x0002__률____x005f_x0001_ࠀＬ_2"/>
      <sheetName val="[仕様変更進捗0826(97)_xls]仕률/ࠀＬ_1"/>
      <sheetName val="[仕様変更進捗0826(97)_xls]仕?률/??ࠀＬ_1"/>
      <sheetName val="[仕様変更進捗0826(97)_xls][仕様変更進捗0821"/>
      <sheetName val="for_administration_use_only1"/>
      <sheetName val="_仕様変更進捗0826(97)_xls__仕様変更進捗0821"/>
      <sheetName val="_仕様変更進捗0826(97)_xls_仕률_ࠀＬ_1"/>
      <sheetName val="_仕様変更進捗0826(97)_xls_仕_률___ࠀＬ_1"/>
      <sheetName val="仕?률_??"/>
      <sheetName val="仕_x005f_x005f_x005f_x0002__률____x005f_x005f_x0002"/>
      <sheetName val="_仕様変更進捗0826(97)_xls_仕_x005f_x0002__x0"/>
      <sheetName val="_仕様変更進捗0826(97)_xls_仕_x005f_x0002__률_"/>
      <sheetName val="_仕様変更進捗0826(97)_xls_仕_x005f_x0002__률1"/>
      <sheetName val="_仕様変更進捗0826(97)_xls_仕_x005f_x0002_"/>
      <sheetName val="2019年07～09送付一覧表_"/>
      <sheetName val="20197年10～12送付一覧表_"/>
      <sheetName val="2020年01～3送付一覧表__"/>
      <sheetName val="リスト_"/>
      <sheetName val="一覧_(従来版8月15日時点)"/>
      <sheetName val="一覧_(TMS未登録帰任者)"/>
      <sheetName val="緊急退避用航空券手配状況__"/>
      <sheetName val="赴任・外地間_"/>
      <sheetName val="帰任_"/>
      <sheetName val="社内手続き_"/>
      <sheetName val="品質評価サマリ_Wave3_5"/>
      <sheetName val="品質評価詳細_テスト実施3_5"/>
      <sheetName val="品質評価詳細_テスト実施3_5ITa"/>
      <sheetName val="Quality3_5ITa"/>
      <sheetName val="QualityDetail3_5ITa"/>
      <sheetName val="testcase3_5ITa"/>
      <sheetName val="fuguai3_5ITa"/>
      <sheetName val="[仕様変更進捗0826(97)_xls]仕_률/__ࠀＬ_1"/>
      <sheetName val="[仕様変更進捗0826(97)_xls]仕"/>
      <sheetName val="00_工程リスト"/>
      <sheetName val="2_機能テストケース"/>
      <sheetName val="3_デグレテストケース"/>
      <sheetName val="5_システム運用"/>
      <sheetName val="仕_x005f_x0002__률____x005f_x005f_x00011"/>
      <sheetName val="_仕様変更進捗0826(97)_xls_仕_x0"/>
      <sheetName val="_仕様変更進捗0826(97)_xls_仕_률_"/>
      <sheetName val="_仕様変更進捗0826(97)_xls_仕_률_1"/>
      <sheetName val="[仕様変更進捗0826(97)_xls]_______08_2"/>
      <sheetName val="[仕様変更進捗0826(97)_xls]_______08_3"/>
      <sheetName val="[仕様変更進捗0826(97)_xls]_______08_4"/>
      <sheetName val="[仕様変更進捗0826(97)_xls]_______08_5"/>
      <sheetName val="[仕様変更進捗0826(97)_xls]_______08_6"/>
      <sheetName val="ﾏｽﾀ"/>
      <sheetName val="宅配伝票リスト"/>
      <sheetName val="涼味"/>
      <sheetName val="仕_x0002__률___"/>
      <sheetName val="入力リスト２"/>
      <sheetName val="仕様変更進捗(ALL)"/>
      <sheetName val="ﾌｼﾞ"/>
      <sheetName val="機種マスタ"/>
      <sheetName val="変更履歴"/>
      <sheetName val="19B0097"/>
      <sheetName val="大日程"/>
      <sheetName val="マクロ使い方"/>
      <sheetName val="凡例_タスク"/>
      <sheetName val="原本_2020年度"/>
      <sheetName val="20B0001-0003"/>
      <sheetName val="20B0001-0002"/>
      <sheetName val="戻し一覧_現"/>
      <sheetName val="サーバリスト"/>
      <sheetName val="入退室証_(2)3"/>
      <sheetName val="入退室証_(3)3"/>
      <sheetName val="f0ga100b_のﾚｲｱｳﾄ3"/>
      <sheetName val="Sheet1_(2)3"/>
      <sheetName val="山積み_(2)3"/>
      <sheetName val="仕様変更進捗0826(97)_xls3"/>
      <sheetName val="値下･値入_(2)2"/>
      <sheetName val="主要経営管理指標_(確定版)2"/>
      <sheetName val="3_ｷｬﾊﾟｼﾃｨ要件_別紙２_変数表2"/>
      <sheetName val="仕_x005f_x0002__률____x005f_x0001_ࠀＬ_3"/>
      <sheetName val="[仕様変更進捗0826(97)_xls]仕률/ࠀＬ_2"/>
      <sheetName val="[仕様変更進捗0826(97)_xls]仕?률/??ࠀＬ_2"/>
      <sheetName val="[仕様変更進捗0826(97)_xls][仕様変更進捗0822"/>
      <sheetName val="for_administration_use_only2"/>
      <sheetName val="_仕様変更進捗0826(97)_xls__仕様変更進捗0822"/>
      <sheetName val="_仕様変更進捗0826(97)_xls_仕률_ࠀＬ_2"/>
      <sheetName val="_仕様変更進捗0826(97)_xls_仕_률___ࠀＬ_2"/>
      <sheetName val="2019年07～09送付一覧表_1"/>
      <sheetName val="20197年10～12送付一覧表_1"/>
      <sheetName val="2020年01～3送付一覧表__1"/>
      <sheetName val="リスト_1"/>
      <sheetName val="一覧_(従来版8月15日時点)1"/>
      <sheetName val="一覧_(TMS未登録帰任者)1"/>
      <sheetName val="緊急退避用航空券手配状況__1"/>
      <sheetName val="赴任・外地間_1"/>
      <sheetName val="帰任_1"/>
      <sheetName val="社内手続き_1"/>
      <sheetName val="仕_x005f_x005f_x005f_x0002__률____x005f_x005f_x0003"/>
      <sheetName val="_仕様変更進捗0826(97)_xls_仕_x005f_x0002__x1"/>
      <sheetName val="_仕様変更進捗0826(97)_xls_仕_x005f_x0002__률2"/>
      <sheetName val="_仕様変更進捗0826(97)_xls_仕_x005f_x0002__률3"/>
      <sheetName val="_仕様変更進捗0826(97)_xls_仕_x005f_x0002_1"/>
      <sheetName val="品質評価サマリ_Wave3_51"/>
      <sheetName val="品質評価詳細_テスト実施3_51"/>
      <sheetName val="品質評価詳細_テスト実施3_5ITa1"/>
      <sheetName val="Quality3_5ITa1"/>
      <sheetName val="QualityDetail3_5ITa1"/>
      <sheetName val="testcase3_5ITa1"/>
      <sheetName val="fuguai3_5ITa1"/>
      <sheetName val="[仕様変更進捗0826(97)_xls]仕_률/__ࠀＬ_2"/>
      <sheetName val="00_工程リスト1"/>
      <sheetName val="2_機能テストケース1"/>
      <sheetName val="3_デグレテストケース1"/>
      <sheetName val="5_システム運用1"/>
      <sheetName val="仕_x005f_x0002__률____x005f_x005f_x00012"/>
      <sheetName val="[仕様変更進捗0826(97)_xls]_______08_1"/>
      <sheetName val="[仕様変更進捗0826(97)_xls]_______08_7"/>
      <sheetName val="[仕様変更進捗0826(97)_xls]_______08_8"/>
      <sheetName val="[仕様変更進捗0826(97)_xls]_______08_9"/>
      <sheetName val="[仕様変更進捗0826(97)_xls]_______0810"/>
      <sheetName val="仕_률___"/>
      <sheetName val="入退室証_(2)4"/>
      <sheetName val="入退室証_(3)4"/>
      <sheetName val="f0ga100b_のﾚｲｱｳﾄ4"/>
      <sheetName val="Sheet1_(2)4"/>
      <sheetName val="山積み_(2)4"/>
      <sheetName val="仕様変更進捗0826(97)_xls4"/>
      <sheetName val="値下･値入_(2)3"/>
      <sheetName val="主要経営管理指標_(確定版)3"/>
      <sheetName val="3_ｷｬﾊﾟｼﾃｨ要件_別紙２_変数表3"/>
      <sheetName val="仕_x005f_x0002__률____x005f_x0001_ࠀＬ_4"/>
      <sheetName val="[仕様変更進捗0826(97)_xls]仕률/ࠀＬ_3"/>
      <sheetName val="[仕様変更進捗0826(97)_xls]仕?률/??ࠀＬ_3"/>
      <sheetName val="[仕様変更進捗0826(97)_xls][仕様変更進捗0823"/>
      <sheetName val="for_administration_use_only3"/>
      <sheetName val="_仕様変更進捗0826(97)_xls__仕様変更進捗0823"/>
      <sheetName val="_仕様変更進捗0826(97)_xls_仕률_ࠀＬ_3"/>
      <sheetName val="_仕様変更進捗0826(97)_xls_仕_률___ࠀＬ_3"/>
      <sheetName val="2019年07～09送付一覧表_2"/>
      <sheetName val="20197年10～12送付一覧表_2"/>
      <sheetName val="2020年01～3送付一覧表__2"/>
      <sheetName val="リスト_2"/>
      <sheetName val="一覧_(従来版8月15日時点)2"/>
      <sheetName val="一覧_(TMS未登録帰任者)2"/>
      <sheetName val="緊急退避用航空券手配状況__2"/>
      <sheetName val="赴任・外地間_2"/>
      <sheetName val="帰任_2"/>
      <sheetName val="社内手続き_2"/>
      <sheetName val="仕_x005f_x005f_x005f_x0002__률____x005f_x005f_x0004"/>
      <sheetName val="_仕様変更進捗0826(97)_xls_仕_x005f_x0002__x2"/>
      <sheetName val="_仕様変更進捗0826(97)_xls_仕_x005f_x0002__률4"/>
      <sheetName val="_仕様変更進捗0826(97)_xls_仕_x005f_x0002__률5"/>
      <sheetName val="_仕様変更進捗0826(97)_xls_仕_x005f_x0002_2"/>
      <sheetName val="品質評価サマリ_Wave3_52"/>
      <sheetName val="品質評価詳細_テスト実施3_52"/>
      <sheetName val="品質評価詳細_テスト実施3_5ITa2"/>
      <sheetName val="Quality3_5ITa2"/>
      <sheetName val="QualityDetail3_5ITa2"/>
      <sheetName val="testcase3_5ITa2"/>
      <sheetName val="fuguai3_5ITa2"/>
      <sheetName val="[仕様変更進捗0826(97)_xls]仕_률/__ࠀＬ_3"/>
      <sheetName val="00_工程リスト2"/>
      <sheetName val="2_機能テストケース2"/>
      <sheetName val="3_デグレテストケース2"/>
      <sheetName val="5_システム運用2"/>
      <sheetName val="仕_x005f_x0002__률____x005f_x005f_x00013"/>
      <sheetName val="[仕様変更進捗0826(97)_xls]_______0811"/>
      <sheetName val="[仕様変更進捗0826(97)_xls]_______0812"/>
      <sheetName val="[仕様変更進捗0826(97)_xls]_______0813"/>
      <sheetName val="[仕様変更進捗0826(97)_xls]_______0814"/>
      <sheetName val="[仕様変更進捗0826(97)_xls]_______0815"/>
      <sheetName val="[仕様変更進捗0826(97)_xls]_______0_10"/>
      <sheetName val="[仕様変更進捗0826(97)_xls]_______0_11"/>
      <sheetName val="プルダウンリスト＆件数集計"/>
      <sheetName val="[仕様変更進捗0826(97).xls]_______0_12"/>
      <sheetName val="[仕様変更進捗0826(97).xls]_______0_13"/>
      <sheetName val="[仕様変更進捗0826(97).xls]_______0_14"/>
      <sheetName val="[仕様変更進捗0826(97).xls]_______0_15"/>
      <sheetName val="[仕様変更進捗0826(97).xls]_______0_16"/>
      <sheetName val="[仕様変更進捗0826(97).xls]_______0_17"/>
      <sheetName val="[仕様変更進捗0826(97).xls]_______0_18"/>
      <sheetName val="[仕様変更進捗0826(97).xls]_______0_19"/>
      <sheetName val="[仕様変更進捗0826(97).xls]_______0_20"/>
      <sheetName val="[仕様変更進捗0826(97).xls]_______0_21"/>
      <sheetName val="担当窓口一覧コピー"/>
      <sheetName val="仕変開発進捗報告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チーム・メンバ"/>
      <sheetName val="[仕様変更進捗0826(97).xls]_______0_22"/>
      <sheetName val="[仕様変更進捗0826(97).xls]_______0_23"/>
      <sheetName val="[仕様変更進捗0826(97).xls]_______0_24"/>
      <sheetName val="[仕様変更進捗0826(97).xls]_______0_25"/>
      <sheetName val="[仕様変更進捗0826(97).xls]_______0_26"/>
      <sheetName val="[仕様変更進捗0826(97).xls]_______0_27"/>
      <sheetName val="[仕様変更進捗0826(97).xls]_______0_28"/>
      <sheetName val="[仕様変更進捗0826(97).xls]_______0_29"/>
      <sheetName val="[仕様変更進捗0826(97).xls]_______0_30"/>
      <sheetName val="[仕様変更進捗0826(97).xls]_______0_31"/>
      <sheetName val="編集禁止⇒入力ルール規制"/>
      <sheetName val=""/>
      <sheetName val="Tables"/>
      <sheetName val="仕_x005f_x0002__x005f_x0000_률/_x005f_x0000__x005f_x0000_"/>
      <sheetName val="仕_x005f_x0002_?률/??_x005f_x0001_ࠀＬ_"/>
      <sheetName val="仕_x005f_x0002_ 률/  _x005f_x0001_ࠀＬ_"/>
      <sheetName val="[仕様変更進捗0826(97).xls]仕_x005f_x0002__x0"/>
      <sheetName val="[仕様変更進捗0826(97).xls]仕_x005f_x0002_?률/"/>
      <sheetName val="[仕様変更進捗0826(97).xls]仕_x005f_x0002_ 률/"/>
      <sheetName val="精算QAリスト"/>
      <sheetName val="損益帳票"/>
      <sheetName val="Dictionary"/>
      <sheetName val="仕_x0002__x0000_률__x"/>
      <sheetName val="仕_x005f_x0002__x005"/>
      <sheetName val="仕_x0002__률____x0001_ࠀＬ_2"/>
      <sheetName val="_仕様変更進捗0826(97)_xls_仕_x0002__x0"/>
      <sheetName val="_仕様変更進捗0826(97)_xls_仕_x0002__률_"/>
      <sheetName val="_仕様変更進捗0826(97)_xls_仕_x0002__률1"/>
      <sheetName val="_仕様変更進捗0826(97)_xls_仕_x0002_"/>
      <sheetName val="qry_CF"/>
      <sheetName val="qry_Rep"/>
      <sheetName val="Redmine情報"/>
      <sheetName val="ｼｽﾃﾑ全体概要"/>
      <sheetName val="ﾌｰｽﾞ売荒"/>
      <sheetName val="項目一覧"/>
      <sheetName val="処理機能記述"/>
      <sheetName val="外部設計書（案件版）"/>
      <sheetName val="別紙２（システム要件取込表）"/>
      <sheetName val="書式変更履歴"/>
      <sheetName val="週別主力商品(婦人)"/>
      <sheetName val="主な取扱い年度推移"/>
      <sheetName val="画面レイアウト"/>
      <sheetName val="リスト一覧"/>
      <sheetName val="（案件分類）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本文"/>
      <sheetName val="本文 (1)"/>
      <sheetName val="本文 (2)"/>
      <sheetName val="wk2"/>
      <sheetName val="wk3"/>
      <sheetName val="項目選択枝"/>
      <sheetName val="指摘区分"/>
      <sheetName val="プロファイル　統計"/>
      <sheetName val="＜編集不可＞原因分類選択リスト"/>
      <sheetName val="分類"/>
      <sheetName val="本紙"/>
      <sheetName val="⇒"/>
      <sheetName val="ＫＰＩ"/>
      <sheetName val="プルダウン"/>
      <sheetName val="12月予実（特徴）"/>
      <sheetName val="シス開資料"/>
      <sheetName val="実績・目標"/>
      <sheetName val="実績。目標"/>
      <sheetName val="要員計画9.17"/>
      <sheetName val="別紙１目標登録（預金）"/>
      <sheetName val="担当者リ_x0000_똀"/>
      <sheetName val="担当者リ_x0000_昀"/>
      <sheetName val="担当者リ_x0000__x0000_"/>
      <sheetName val="入退室証_(2)5"/>
      <sheetName val="入退室証_(3)5"/>
      <sheetName val="f0ga100b_のﾚｲｱｳﾄ5"/>
      <sheetName val="Sheet1_(2)5"/>
      <sheetName val="山積み_(2)5"/>
      <sheetName val="仕様変更進捗0826(97)_xls5"/>
      <sheetName val="値下･値入_(2)4"/>
      <sheetName val="主要経営管理指標_(確定版)4"/>
      <sheetName val="3_ｷｬﾊﾟｼﾃｨ要件_別紙２_変数表4"/>
      <sheetName val="仕_x005f_x0002__률____x005f_x0001_ࠀＬ_5"/>
      <sheetName val="[仕様変更進捗0826(97)_xls]仕률/ࠀＬ_4"/>
      <sheetName val="[仕様変更進捗0826(97)_xls]仕?률/??ࠀＬ_4"/>
      <sheetName val="[仕様変更進捗0826(97)_xls][仕様変更進捗0824"/>
      <sheetName val="for_administration_use_only4"/>
      <sheetName val="_仕様変更進捗0826(97)_xls__仕様変更進捗0824"/>
      <sheetName val="_仕様変更進捗0826(97)_xls_仕률_ࠀＬ_4"/>
      <sheetName val="_仕様変更進捗0826(97)_xls_仕_률___ࠀＬ_4"/>
      <sheetName val="2019年07～09送付一覧表_3"/>
      <sheetName val="20197年10～12送付一覧表_3"/>
      <sheetName val="2020年01～3送付一覧表__3"/>
      <sheetName val="リスト_3"/>
      <sheetName val="一覧_(従来版8月15日時点)3"/>
      <sheetName val="一覧_(TMS未登録帰任者)3"/>
      <sheetName val="緊急退避用航空券手配状況__3"/>
      <sheetName val="赴任・外地間_3"/>
      <sheetName val="帰任_3"/>
      <sheetName val="社内手続き_3"/>
      <sheetName val="仕_x005f_x005f_x005f_x0002__률____x005f_x005f_x0005"/>
      <sheetName val="_仕様変更進捗0826(97)_xls_仕_x005f_x0002__x3"/>
      <sheetName val="_仕様変更進捗0826(97)_xls_仕_x005f_x0002__률6"/>
      <sheetName val="_仕様変更進捗0826(97)_xls_仕_x005f_x0002__률7"/>
      <sheetName val="_仕様変更進捗0826(97)_xls_仕_x005f_x0002_3"/>
      <sheetName val="品質評価サマリ_Wave3_53"/>
      <sheetName val="品質評価詳細_テスト実施3_53"/>
      <sheetName val="品質評価詳細_テスト実施3_5ITa3"/>
      <sheetName val="Quality3_5ITa3"/>
      <sheetName val="QualityDetail3_5ITa3"/>
      <sheetName val="testcase3_5ITa3"/>
      <sheetName val="fuguai3_5ITa3"/>
      <sheetName val="00_工程リスト3"/>
      <sheetName val="[仕様変更進捗0826(97)_xls]仕_률/__ࠀＬ_4"/>
      <sheetName val="仕_x005f_x0002__률____x005f_x005f_x00014"/>
      <sheetName val="2_機能テストケース3"/>
      <sheetName val="3_デグレテストケース3"/>
      <sheetName val="5_システム運用3"/>
      <sheetName val="[仕様変更進捗0826(97)_xls]_______0816"/>
      <sheetName val="[仕様変更進捗0826(97)_xls]_______0817"/>
      <sheetName val="[仕様変更進捗0826(97)_xls]_______0818"/>
      <sheetName val="[仕様変更進捗0826(97)_xls]_______0819"/>
      <sheetName val="[仕様変更進捗0826(97)_xls]_______0820"/>
      <sheetName val="[仕様変更進捗0826(97)_xls]_______0821"/>
      <sheetName val="[仕様変更進捗0826(97)_xls]_______0822"/>
      <sheetName val="[仕様変更進捗0826(97)_xls]_______0823"/>
      <sheetName val="[仕様変更進捗0826(97)_xls]_______0_12"/>
      <sheetName val="[仕様変更進捗0826(97)_xls]_______0_13"/>
      <sheetName val="[仕様変更進捗0826(97)_xls]_______0_14"/>
      <sheetName val="[仕様変更進捗0826(97)_xls]_______0_15"/>
      <sheetName val="[仕様変更進捗0826(97)_xls]_______0_16"/>
      <sheetName val="[仕様変更進捗0826(97)_xls]_______0_17"/>
      <sheetName val="[仕様変更進捗0826(97)_xls]_______0_18"/>
      <sheetName val="[仕様変更進捗0826(97)_xls]_______0_19"/>
      <sheetName val="[仕様変更進捗0826(97)_xls]_______0_20"/>
      <sheetName val="[仕様変更進捗0826(97)_xls]_______0_21"/>
      <sheetName val="[仕様変更進捗0826(97)_xls]_______0_22"/>
      <sheetName val="[仕様変更進捗0826(97)_xls]_______0_23"/>
      <sheetName val="[仕様変更進捗0826(97)_xls]_______0_24"/>
      <sheetName val="[仕様変更進捗0826(97)_xls]_______0_25"/>
      <sheetName val="[仕様変更進捗0826(97)_xls]_______0_26"/>
      <sheetName val="[仕様変更進捗0826(97)_xls]_______0_27"/>
      <sheetName val="[仕様変更進捗0826(97)_xls]_______0_28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大工程"/>
      <sheetName val="レビュー対象の章、別紙名"/>
      <sheetName val="元データ"/>
      <sheetName val="顧客リスト"/>
      <sheetName val="WKT"/>
      <sheetName val="リスト定義"/>
      <sheetName val="#各種コード値"/>
      <sheetName val="分類(削除しないこと)"/>
      <sheetName val="工程リスト"/>
      <sheetName val="ヘッダ"/>
      <sheetName val="案件情報"/>
      <sheetName val="祝日カレンダー"/>
      <sheetName val="貼付け元"/>
      <sheetName val="2(ITa_テスト範囲)_1"/>
      <sheetName val="2(ITa_テスト範囲)_2"/>
      <sheetName val="2(ITa_テスト範囲)_3"/>
      <sheetName val="2(ITa_テスト範囲)_4"/>
      <sheetName val="４(IT-S1-001)_(2)"/>
      <sheetName val="本文_(1)"/>
      <sheetName val="本文_(2)"/>
      <sheetName val="要員計画9_17"/>
      <sheetName val="2_(2)"/>
      <sheetName val="設計書抜粋「15_2_3_」"/>
      <sheetName val="ﾃﾞｰﾀｼｰﾄ"/>
      <sheetName val="アンケート集計(12.3）"/>
      <sheetName val="提携先コード・商品名"/>
      <sheetName val="入力ルール"/>
      <sheetName val="本文_(1)1"/>
      <sheetName val="本文_(2)1"/>
      <sheetName val="要員計画9_171"/>
      <sheetName val="2(ITa_テスト範囲)_11"/>
      <sheetName val="2(ITa_テスト範囲)_21"/>
      <sheetName val="2(ITa_テスト範囲)_31"/>
      <sheetName val="2(ITa_テスト範囲)_41"/>
      <sheetName val="４(IT-S1-001)_(2)1"/>
      <sheetName val="2_(2)1"/>
      <sheetName val="設計書抜粋「15_2_3_」1"/>
      <sheetName val="アンケート集計(12_3）"/>
      <sheetName val="入力規則_試験不具合コード"/>
      <sheetName val="ポンチ絵"/>
      <sheetName val="#指摘区分"/>
      <sheetName val="入力支援"/>
      <sheetName val="〔設定〕"/>
      <sheetName val="プログラム一覧表"/>
      <sheetName val="2(ITa_テスト範囲)_12"/>
      <sheetName val="2(ITa_テスト範囲)_22"/>
      <sheetName val="2(ITa_テスト範囲)_32"/>
      <sheetName val="2(ITa_テスト範囲)_42"/>
      <sheetName val="４(IT-S1-001)_(2)2"/>
      <sheetName val="本文_(1)2"/>
      <sheetName val="本文_(2)2"/>
      <sheetName val="要員計画9_172"/>
      <sheetName val="設計書抜粋「15_2_3_」2"/>
      <sheetName val="2_(2)2"/>
      <sheetName val="アンケート集計(12_3）1"/>
      <sheetName val="計画支援"/>
      <sheetName val="会社情報"/>
      <sheetName val="[仕様変更進捗0826(97).xls]_______0_32"/>
      <sheetName val="[仕様変更進捗0826(97).xls]_______0_33"/>
      <sheetName val="[仕様変更進捗0826(97).xls]_______0_34"/>
      <sheetName val="[仕様変更進捗0826(97).xls]_______0_35"/>
      <sheetName val="[仕様変更進捗0826(97).xls]_______0_36"/>
      <sheetName val="[仕様変更進捗0826(97)_xls]_______0_29"/>
      <sheetName val="[仕様変更進捗0826(97)_xls]_______0_30"/>
      <sheetName val="[仕様変更進捗0826(97)_xls]_______0_31"/>
      <sheetName val="[仕様変更進捗0826(97)_xls]_______0_32"/>
      <sheetName val="[仕様変更進捗0826(97)_xls]_______0_33"/>
      <sheetName val="操作対象リスト"/>
      <sheetName val="ディクショナリ"/>
      <sheetName val="パラメータ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/>
      <sheetData sheetId="501"/>
      <sheetData sheetId="502"/>
      <sheetData sheetId="503"/>
      <sheetData sheetId="504" refreshError="1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/>
      <sheetData sheetId="734"/>
      <sheetData sheetId="735"/>
      <sheetData sheetId="736" refreshError="1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/>
      <sheetData sheetId="957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年度"/>
      <sheetName val="山積表（2011年度予算）"/>
      <sheetName val="TABLE"/>
      <sheetName val="部門"/>
      <sheetName val="当初計画差異表"/>
      <sheetName val="要員"/>
      <sheetName val="⇒参考"/>
      <sheetName val="2011年度(当初計画時)"/>
      <sheetName val="sim"/>
      <sheetName val="2011年度予算試算表(目標)_02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ìa"/>
      <sheetName val="History"/>
      <sheetName val="Summary"/>
      <sheetName val="マスタースケジュール"/>
      <sheetName val="List chức năng"/>
      <sheetName val="Nguyện vọng"/>
      <sheetName val="Master"/>
      <sheetName val="Sơ đồ cấu trúc tổng quan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 t="str">
            <v>極小</v>
          </cell>
          <cell r="D4">
            <v>0.15</v>
          </cell>
          <cell r="E4">
            <v>0.5</v>
          </cell>
          <cell r="F4">
            <v>0.1</v>
          </cell>
          <cell r="G4">
            <v>0.05</v>
          </cell>
          <cell r="H4">
            <v>0.1</v>
          </cell>
          <cell r="I4">
            <v>0.05</v>
          </cell>
          <cell r="J4">
            <v>0.1</v>
          </cell>
        </row>
        <row r="5">
          <cell r="C5" t="str">
            <v>小</v>
          </cell>
          <cell r="D5">
            <v>0.3</v>
          </cell>
          <cell r="E5">
            <v>1</v>
          </cell>
          <cell r="F5">
            <v>0.2</v>
          </cell>
          <cell r="G5">
            <v>0.1</v>
          </cell>
          <cell r="H5">
            <v>0.2</v>
          </cell>
          <cell r="I5">
            <v>0.1</v>
          </cell>
          <cell r="J5">
            <v>0.2</v>
          </cell>
        </row>
        <row r="6">
          <cell r="C6" t="str">
            <v>中</v>
          </cell>
          <cell r="D6">
            <v>0.52500000000000002</v>
          </cell>
          <cell r="E6">
            <v>1.75</v>
          </cell>
          <cell r="F6">
            <v>0.35000000000000003</v>
          </cell>
          <cell r="G6">
            <v>0.17500000000000002</v>
          </cell>
          <cell r="H6">
            <v>0.35000000000000003</v>
          </cell>
          <cell r="I6">
            <v>0.17500000000000002</v>
          </cell>
          <cell r="J6">
            <v>0.35000000000000003</v>
          </cell>
        </row>
        <row r="7">
          <cell r="C7" t="str">
            <v>大</v>
          </cell>
          <cell r="D7">
            <v>0.75</v>
          </cell>
          <cell r="E7">
            <v>2.5</v>
          </cell>
          <cell r="F7">
            <v>0.5</v>
          </cell>
          <cell r="G7">
            <v>0.25</v>
          </cell>
          <cell r="H7">
            <v>0.5</v>
          </cell>
          <cell r="I7">
            <v>0.25</v>
          </cell>
          <cell r="J7">
            <v>0.5</v>
          </cell>
        </row>
        <row r="8">
          <cell r="C8" t="str">
            <v>極大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C9" t="str">
            <v>【重複】よ極小</v>
          </cell>
          <cell r="D9">
            <v>0.1275</v>
          </cell>
          <cell r="E9">
            <v>0.42499999999999999</v>
          </cell>
          <cell r="F9">
            <v>8.5000000000000006E-2</v>
          </cell>
          <cell r="G9">
            <v>4.2500000000000003E-2</v>
          </cell>
          <cell r="H9">
            <v>8.5000000000000006E-2</v>
          </cell>
          <cell r="I9">
            <v>4.2500000000000003E-2</v>
          </cell>
          <cell r="J9">
            <v>8.5000000000000006E-2</v>
          </cell>
        </row>
        <row r="10">
          <cell r="C10" t="str">
            <v>【重複】よ小</v>
          </cell>
          <cell r="D10">
            <v>0.255</v>
          </cell>
          <cell r="E10">
            <v>0.85</v>
          </cell>
          <cell r="F10">
            <v>0.17</v>
          </cell>
          <cell r="G10">
            <v>8.5000000000000006E-2</v>
          </cell>
          <cell r="H10">
            <v>0.17</v>
          </cell>
          <cell r="I10">
            <v>8.5000000000000006E-2</v>
          </cell>
          <cell r="J10">
            <v>0.17</v>
          </cell>
        </row>
        <row r="11">
          <cell r="C11" t="str">
            <v>【重複】よ中</v>
          </cell>
          <cell r="D11">
            <v>0.44624999999999998</v>
          </cell>
          <cell r="E11">
            <v>1.4875</v>
          </cell>
          <cell r="F11">
            <v>0.29750000000000004</v>
          </cell>
          <cell r="G11">
            <v>0.14875000000000002</v>
          </cell>
          <cell r="H11">
            <v>0.29750000000000004</v>
          </cell>
          <cell r="I11">
            <v>0.14875000000000002</v>
          </cell>
          <cell r="J11">
            <v>0.29750000000000004</v>
          </cell>
        </row>
        <row r="12">
          <cell r="C12" t="str">
            <v>【重複】よ大</v>
          </cell>
          <cell r="D12">
            <v>0.63749999999999996</v>
          </cell>
          <cell r="E12">
            <v>2.125</v>
          </cell>
          <cell r="F12">
            <v>0.42499999999999999</v>
          </cell>
          <cell r="G12">
            <v>0.21249999999999999</v>
          </cell>
          <cell r="H12">
            <v>0.42499999999999999</v>
          </cell>
          <cell r="I12">
            <v>0.21249999999999999</v>
          </cell>
          <cell r="J12">
            <v>0.42499999999999999</v>
          </cell>
        </row>
        <row r="13">
          <cell r="C13" t="str">
            <v>【重複】よ極大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5D8D-CCE3-42D3-B762-D6C0C153D25E}">
  <dimension ref="A1:BK55"/>
  <sheetViews>
    <sheetView view="pageBreakPreview" zoomScale="85" zoomScaleNormal="100" zoomScaleSheetLayoutView="85" workbookViewId="0"/>
  </sheetViews>
  <sheetFormatPr defaultRowHeight="15.75"/>
  <cols>
    <col min="1" max="63" width="2.77734375" customWidth="1"/>
  </cols>
  <sheetData>
    <row r="1" spans="1:63" ht="24.95" customHeight="1">
      <c r="A1" s="225" t="s">
        <v>0</v>
      </c>
      <c r="B1" s="208"/>
      <c r="C1" s="208"/>
      <c r="D1" s="208"/>
      <c r="E1" s="208"/>
      <c r="F1" s="208"/>
      <c r="G1" s="208"/>
      <c r="H1" s="208"/>
      <c r="I1" s="208"/>
      <c r="J1" s="209"/>
      <c r="K1" s="207" t="s">
        <v>1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9"/>
      <c r="W1" s="216" t="s">
        <v>2</v>
      </c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8"/>
      <c r="AP1" s="207" t="s">
        <v>3</v>
      </c>
      <c r="AQ1" s="208"/>
      <c r="AR1" s="208"/>
      <c r="AS1" s="209"/>
      <c r="AT1" s="207" t="s">
        <v>4</v>
      </c>
      <c r="AU1" s="208"/>
      <c r="AV1" s="208"/>
      <c r="AW1" s="208"/>
      <c r="AX1" s="209"/>
      <c r="AY1" s="207" t="s">
        <v>5</v>
      </c>
      <c r="AZ1" s="208"/>
      <c r="BA1" s="208"/>
      <c r="BB1" s="209"/>
      <c r="BC1" s="207" t="s">
        <v>6</v>
      </c>
      <c r="BD1" s="208"/>
      <c r="BE1" s="208"/>
      <c r="BF1" s="208"/>
      <c r="BG1" s="209"/>
      <c r="BH1" s="207" t="s">
        <v>7</v>
      </c>
      <c r="BI1" s="208"/>
      <c r="BJ1" s="208"/>
      <c r="BK1" s="209"/>
    </row>
    <row r="2" spans="1:63" ht="15" customHeight="1">
      <c r="A2" s="210" t="s">
        <v>8</v>
      </c>
      <c r="B2" s="211"/>
      <c r="C2" s="211"/>
      <c r="D2" s="211"/>
      <c r="E2" s="211"/>
      <c r="F2" s="211"/>
      <c r="G2" s="211"/>
      <c r="H2" s="211"/>
      <c r="I2" s="211"/>
      <c r="J2" s="212"/>
      <c r="K2" s="210" t="s">
        <v>9</v>
      </c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2"/>
      <c r="W2" s="219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1"/>
      <c r="AP2" s="238" t="str">
        <f>改訂履歴!$H$11</f>
        <v>XoaLT</v>
      </c>
      <c r="AQ2" s="211"/>
      <c r="AR2" s="211"/>
      <c r="AS2" s="212"/>
      <c r="AT2" s="232">
        <f>改訂履歴!$B$11</f>
        <v>45408</v>
      </c>
      <c r="AU2" s="233"/>
      <c r="AV2" s="233"/>
      <c r="AW2" s="233"/>
      <c r="AX2" s="234"/>
      <c r="AY2" s="238" t="str">
        <f>LOOKUP(2,1/(改訂履歴!H11:H30000&lt;&gt;""),改訂履歴!H11:H30000)</f>
        <v>XoaLT</v>
      </c>
      <c r="AZ2" s="211"/>
      <c r="BA2" s="211"/>
      <c r="BB2" s="212"/>
      <c r="BC2" s="232">
        <f>LOOKUP(2,1/(改訂履歴!B11:B30000&lt;&gt;""),改訂履歴!B11:B30000)</f>
        <v>45408</v>
      </c>
      <c r="BD2" s="233"/>
      <c r="BE2" s="233"/>
      <c r="BF2" s="233"/>
      <c r="BG2" s="234"/>
      <c r="BH2" s="226">
        <f>LOOKUP(2,1/(改訂履歴!O11:O30000&lt;&gt;""),改訂履歴!O11:O30000)</f>
        <v>0.1</v>
      </c>
      <c r="BI2" s="227"/>
      <c r="BJ2" s="227"/>
      <c r="BK2" s="228"/>
    </row>
    <row r="3" spans="1:63" ht="15" customHeight="1">
      <c r="A3" s="213"/>
      <c r="B3" s="214"/>
      <c r="C3" s="214"/>
      <c r="D3" s="214"/>
      <c r="E3" s="214"/>
      <c r="F3" s="214"/>
      <c r="G3" s="214"/>
      <c r="H3" s="214"/>
      <c r="I3" s="214"/>
      <c r="J3" s="215"/>
      <c r="K3" s="213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5"/>
      <c r="W3" s="222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4"/>
      <c r="AP3" s="213"/>
      <c r="AQ3" s="214"/>
      <c r="AR3" s="214"/>
      <c r="AS3" s="215"/>
      <c r="AT3" s="235"/>
      <c r="AU3" s="236"/>
      <c r="AV3" s="236"/>
      <c r="AW3" s="236"/>
      <c r="AX3" s="237"/>
      <c r="AY3" s="213"/>
      <c r="AZ3" s="214"/>
      <c r="BA3" s="214"/>
      <c r="BB3" s="215"/>
      <c r="BC3" s="235"/>
      <c r="BD3" s="236"/>
      <c r="BE3" s="236"/>
      <c r="BF3" s="236"/>
      <c r="BG3" s="237"/>
      <c r="BH3" s="229"/>
      <c r="BI3" s="230"/>
      <c r="BJ3" s="230"/>
      <c r="BK3" s="231"/>
    </row>
    <row r="4" spans="1:63" ht="24.95" customHeight="1">
      <c r="A4" s="207" t="s">
        <v>10</v>
      </c>
      <c r="B4" s="208"/>
      <c r="C4" s="208"/>
      <c r="D4" s="208"/>
      <c r="E4" s="208"/>
      <c r="F4" s="208"/>
      <c r="G4" s="209"/>
      <c r="H4" s="206" t="s">
        <v>11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  <c r="U4" s="207" t="s">
        <v>12</v>
      </c>
      <c r="V4" s="208"/>
      <c r="W4" s="208"/>
      <c r="X4" s="208"/>
      <c r="Y4" s="209"/>
      <c r="Z4" s="206" t="s">
        <v>13</v>
      </c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5"/>
      <c r="AP4" s="203" t="s">
        <v>14</v>
      </c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239" t="s">
        <v>8</v>
      </c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  <c r="AK16" s="240"/>
      <c r="AL16" s="240"/>
      <c r="AM16" s="240"/>
      <c r="AN16" s="240"/>
      <c r="AO16" s="240"/>
      <c r="AP16" s="240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12"/>
      <c r="BK16" s="4"/>
    </row>
    <row r="17" spans="1:63" ht="15" customHeight="1">
      <c r="A17" s="1"/>
      <c r="K17" s="6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12"/>
      <c r="BK17" s="4"/>
    </row>
    <row r="18" spans="1:63" ht="15" customHeight="1">
      <c r="A18" s="1"/>
      <c r="K18" s="6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0"/>
      <c r="AO18" s="240"/>
      <c r="AP18" s="240"/>
      <c r="AQ18" s="240"/>
      <c r="AR18" s="240"/>
      <c r="AS18" s="240"/>
      <c r="AT18" s="240"/>
      <c r="AU18" s="240"/>
      <c r="AV18" s="240"/>
      <c r="AW18" s="240"/>
      <c r="AX18" s="240"/>
      <c r="AY18" s="240"/>
      <c r="AZ18" s="240"/>
      <c r="BA18" s="12"/>
      <c r="BK18" s="4"/>
    </row>
    <row r="19" spans="1:63" ht="15" customHeight="1">
      <c r="A19" s="1"/>
      <c r="K19" s="6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12"/>
      <c r="BK19" s="4"/>
    </row>
    <row r="20" spans="1:63" ht="15" customHeight="1">
      <c r="A20" s="1"/>
      <c r="K20" s="6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12"/>
      <c r="BK20" s="4"/>
    </row>
    <row r="21" spans="1:63" ht="15" customHeight="1">
      <c r="A21" s="1"/>
      <c r="K21" s="6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 s="240"/>
      <c r="AE21" s="240"/>
      <c r="AF21" s="240"/>
      <c r="AG21" s="240"/>
      <c r="AH21" s="240"/>
      <c r="AI21" s="240"/>
      <c r="AJ21" s="240"/>
      <c r="AK21" s="240"/>
      <c r="AL21" s="240"/>
      <c r="AM21" s="240"/>
      <c r="AN21" s="240"/>
      <c r="AO21" s="240"/>
      <c r="AP21" s="240"/>
      <c r="AQ21" s="240"/>
      <c r="AR21" s="240"/>
      <c r="AS21" s="240"/>
      <c r="AT21" s="240"/>
      <c r="AU21" s="240"/>
      <c r="AV21" s="240"/>
      <c r="AW21" s="240"/>
      <c r="AX21" s="240"/>
      <c r="AY21" s="240"/>
      <c r="AZ21" s="240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240" t="str">
        <f>K2&amp;"/"&amp;H4&amp;"/"&amp;Z4</f>
        <v>POSサーバ/機能概要/業務フロー</v>
      </c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  <c r="Z24" s="240"/>
      <c r="AA24" s="240"/>
      <c r="AB24" s="240"/>
      <c r="AC24" s="240"/>
      <c r="AD24" s="240"/>
      <c r="AE24" s="240"/>
      <c r="AF24" s="240"/>
      <c r="AG24" s="240"/>
      <c r="AH24" s="240"/>
      <c r="AI24" s="240"/>
      <c r="AJ24" s="240"/>
      <c r="AK24" s="240"/>
      <c r="AL24" s="240"/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12"/>
      <c r="BK24" s="4"/>
    </row>
    <row r="25" spans="1:63" ht="15" customHeight="1">
      <c r="A25" s="1"/>
      <c r="K25" s="6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  <c r="Z25" s="240"/>
      <c r="AA25" s="240"/>
      <c r="AB25" s="240"/>
      <c r="AC25" s="240"/>
      <c r="AD25" s="240"/>
      <c r="AE25" s="240"/>
      <c r="AF25" s="240"/>
      <c r="AG25" s="240"/>
      <c r="AH25" s="240"/>
      <c r="AI25" s="240"/>
      <c r="AJ25" s="240"/>
      <c r="AK25" s="240"/>
      <c r="AL25" s="240"/>
      <c r="AM25" s="240"/>
      <c r="AN25" s="240"/>
      <c r="AO25" s="240"/>
      <c r="AP25" s="240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12"/>
      <c r="BK25" s="4"/>
    </row>
    <row r="26" spans="1:63" ht="15" customHeight="1">
      <c r="A26" s="1"/>
      <c r="K26" s="6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12"/>
      <c r="BK26" s="4"/>
    </row>
    <row r="27" spans="1:63" ht="15" customHeight="1">
      <c r="A27" s="1"/>
      <c r="K27" s="6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40"/>
      <c r="AU27" s="240"/>
      <c r="AV27" s="240"/>
      <c r="AW27" s="240"/>
      <c r="AX27" s="240"/>
      <c r="AY27" s="240"/>
      <c r="AZ27" s="240"/>
      <c r="BA27" s="12"/>
      <c r="BK27" s="4"/>
    </row>
    <row r="28" spans="1:63" ht="15" customHeight="1">
      <c r="A28" s="1"/>
      <c r="K28" s="6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  <c r="Z28" s="240"/>
      <c r="AA28" s="240"/>
      <c r="AB28" s="240"/>
      <c r="AC28" s="240"/>
      <c r="AD28" s="240"/>
      <c r="AE28" s="240"/>
      <c r="AF28" s="240"/>
      <c r="AG28" s="240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40"/>
      <c r="AS28" s="240"/>
      <c r="AT28" s="240"/>
      <c r="AU28" s="240"/>
      <c r="AV28" s="240"/>
      <c r="AW28" s="240"/>
      <c r="AX28" s="240"/>
      <c r="AY28" s="240"/>
      <c r="AZ28" s="240"/>
      <c r="BA28" s="12"/>
      <c r="BK28" s="4"/>
    </row>
    <row r="29" spans="1:63" ht="15" customHeight="1">
      <c r="A29" s="1"/>
      <c r="K29" s="6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  <c r="AD29" s="240"/>
      <c r="AE29" s="240"/>
      <c r="AF29" s="240"/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0"/>
      <c r="AT29" s="240"/>
      <c r="AU29" s="240"/>
      <c r="AV29" s="240"/>
      <c r="AW29" s="240"/>
      <c r="AX29" s="240"/>
      <c r="AY29" s="240"/>
      <c r="AZ29" s="240"/>
      <c r="BA29" s="12"/>
      <c r="BK29" s="4"/>
    </row>
    <row r="30" spans="1:63" ht="15" customHeight="1">
      <c r="A30" s="1"/>
      <c r="K30" s="6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  <c r="AD30" s="240"/>
      <c r="AE30" s="240"/>
      <c r="AF30" s="240"/>
      <c r="AG30" s="240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12"/>
      <c r="BK30" s="4"/>
    </row>
    <row r="31" spans="1:63" ht="15" customHeight="1">
      <c r="A31" s="1"/>
      <c r="K31" s="6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40"/>
      <c r="AU31" s="240"/>
      <c r="AV31" s="240"/>
      <c r="AW31" s="240"/>
      <c r="AX31" s="240"/>
      <c r="AY31" s="240"/>
      <c r="AZ31" s="240"/>
      <c r="BA31" s="12"/>
      <c r="BK31" s="4"/>
    </row>
    <row r="32" spans="1:63" ht="15" customHeight="1">
      <c r="A32" s="1"/>
      <c r="K32" s="6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12"/>
      <c r="BK32" s="4"/>
    </row>
    <row r="33" spans="1:63" ht="15" customHeight="1">
      <c r="A33" s="1"/>
      <c r="K33" s="6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  <c r="AN33" s="240"/>
      <c r="AO33" s="240"/>
      <c r="AP33" s="240"/>
      <c r="AQ33" s="240"/>
      <c r="AR33" s="240"/>
      <c r="AS33" s="240"/>
      <c r="AT33" s="240"/>
      <c r="AU33" s="240"/>
      <c r="AV33" s="240"/>
      <c r="AW33" s="240"/>
      <c r="AX33" s="240"/>
      <c r="AY33" s="240"/>
      <c r="AZ33" s="240"/>
      <c r="BA33" s="12"/>
      <c r="BK33" s="4"/>
    </row>
    <row r="34" spans="1:63" ht="15" customHeight="1">
      <c r="A34" s="1"/>
      <c r="K34" s="6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12"/>
      <c r="BK34" s="4"/>
    </row>
    <row r="35" spans="1:63" ht="15" customHeight="1">
      <c r="A35" s="1"/>
      <c r="K35" s="6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0"/>
      <c r="AS35" s="240"/>
      <c r="AT35" s="240"/>
      <c r="AU35" s="240"/>
      <c r="AV35" s="240"/>
      <c r="AW35" s="240"/>
      <c r="AX35" s="240"/>
      <c r="AY35" s="240"/>
      <c r="AZ35" s="240"/>
      <c r="BA35" s="12"/>
      <c r="BK35" s="4"/>
    </row>
    <row r="36" spans="1:63" ht="15" customHeight="1">
      <c r="A36" s="1"/>
      <c r="K36" s="6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244" t="s">
        <v>15</v>
      </c>
      <c r="R44" s="245"/>
      <c r="S44" s="245"/>
      <c r="T44" s="245"/>
      <c r="U44" s="245"/>
      <c r="V44" s="245"/>
      <c r="W44" s="245"/>
      <c r="X44" s="245"/>
      <c r="Y44" s="245"/>
      <c r="Z44" s="246"/>
      <c r="AA44" s="244" t="s">
        <v>16</v>
      </c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6"/>
      <c r="AQ44" s="244" t="s">
        <v>17</v>
      </c>
      <c r="AR44" s="245"/>
      <c r="AS44" s="245"/>
      <c r="AT44" s="245"/>
      <c r="AU44" s="246"/>
      <c r="BK44" s="4"/>
    </row>
    <row r="45" spans="1:63" ht="15" customHeight="1">
      <c r="A45" s="1"/>
      <c r="Q45" s="247"/>
      <c r="R45" s="248"/>
      <c r="S45" s="248"/>
      <c r="T45" s="248"/>
      <c r="U45" s="248"/>
      <c r="V45" s="248"/>
      <c r="W45" s="248"/>
      <c r="X45" s="248"/>
      <c r="Y45" s="248"/>
      <c r="Z45" s="249"/>
      <c r="AA45" s="247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9"/>
      <c r="AQ45" s="247"/>
      <c r="AR45" s="248"/>
      <c r="AS45" s="248"/>
      <c r="AT45" s="248"/>
      <c r="AU45" s="249"/>
      <c r="BK45" s="4"/>
    </row>
    <row r="46" spans="1:63" ht="15" customHeight="1">
      <c r="A46" s="1"/>
      <c r="Q46" s="238"/>
      <c r="R46" s="211"/>
      <c r="S46" s="211"/>
      <c r="T46" s="211"/>
      <c r="U46" s="211"/>
      <c r="V46" s="211"/>
      <c r="W46" s="211"/>
      <c r="X46" s="211"/>
      <c r="Y46" s="211"/>
      <c r="Z46" s="212"/>
      <c r="AA46" s="238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2"/>
      <c r="AQ46" s="238"/>
      <c r="AR46" s="211"/>
      <c r="AS46" s="211"/>
      <c r="AT46" s="211"/>
      <c r="AU46" s="212"/>
      <c r="BK46" s="4"/>
    </row>
    <row r="47" spans="1:63" ht="15" customHeight="1">
      <c r="A47" s="1"/>
      <c r="Q47" s="241"/>
      <c r="R47" s="242"/>
      <c r="S47" s="242"/>
      <c r="T47" s="242"/>
      <c r="U47" s="242"/>
      <c r="V47" s="242"/>
      <c r="W47" s="242"/>
      <c r="X47" s="242"/>
      <c r="Y47" s="242"/>
      <c r="Z47" s="243"/>
      <c r="AA47" s="241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3"/>
      <c r="AQ47" s="241"/>
      <c r="AR47" s="242"/>
      <c r="AS47" s="242"/>
      <c r="AT47" s="242"/>
      <c r="AU47" s="243"/>
      <c r="BK47" s="4"/>
    </row>
    <row r="48" spans="1:63" ht="15" customHeight="1">
      <c r="A48" s="1"/>
      <c r="Q48" s="241"/>
      <c r="R48" s="242"/>
      <c r="S48" s="242"/>
      <c r="T48" s="242"/>
      <c r="U48" s="242"/>
      <c r="V48" s="242"/>
      <c r="W48" s="242"/>
      <c r="X48" s="242"/>
      <c r="Y48" s="242"/>
      <c r="Z48" s="243"/>
      <c r="AA48" s="241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3"/>
      <c r="AQ48" s="241"/>
      <c r="AR48" s="242"/>
      <c r="AS48" s="242"/>
      <c r="AT48" s="242"/>
      <c r="AU48" s="243"/>
      <c r="BK48" s="4"/>
    </row>
    <row r="49" spans="1:63" ht="15" customHeight="1">
      <c r="A49" s="1"/>
      <c r="Q49" s="213"/>
      <c r="R49" s="214"/>
      <c r="S49" s="214"/>
      <c r="T49" s="214"/>
      <c r="U49" s="214"/>
      <c r="V49" s="214"/>
      <c r="W49" s="214"/>
      <c r="X49" s="214"/>
      <c r="Y49" s="214"/>
      <c r="Z49" s="215"/>
      <c r="AA49" s="213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5"/>
      <c r="AQ49" s="213"/>
      <c r="AR49" s="214"/>
      <c r="AS49" s="214"/>
      <c r="AT49" s="214"/>
      <c r="AU49" s="215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5739-1544-45E1-A28B-44CC9E48D90C}">
  <dimension ref="A1:BK55"/>
  <sheetViews>
    <sheetView view="pageBreakPreview" zoomScale="85" zoomScaleNormal="100" zoomScaleSheetLayoutView="85" workbookViewId="0">
      <selection sqref="A1:J1"/>
    </sheetView>
  </sheetViews>
  <sheetFormatPr defaultRowHeight="15.75"/>
  <cols>
    <col min="1" max="63" width="2.77734375" style="134" customWidth="1"/>
    <col min="64" max="16384" width="8.88671875" style="134"/>
  </cols>
  <sheetData>
    <row r="1" spans="1:63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</row>
    <row r="2" spans="1:63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</row>
    <row r="3" spans="1:63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</row>
    <row r="4" spans="1:63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18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</row>
    <row r="5" spans="1:63" ht="5.0999999999999996" customHeight="1">
      <c r="A5" s="158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6"/>
    </row>
    <row r="6" spans="1:63" ht="15" customHeight="1">
      <c r="A6" s="159"/>
      <c r="BK6" s="160"/>
    </row>
    <row r="7" spans="1:63" ht="15" customHeight="1">
      <c r="A7" s="159"/>
      <c r="BK7" s="160"/>
    </row>
    <row r="8" spans="1:63" ht="15" customHeight="1">
      <c r="A8" s="159"/>
      <c r="B8" s="134" t="s">
        <v>19</v>
      </c>
      <c r="BK8" s="160"/>
    </row>
    <row r="9" spans="1:63" ht="15" customHeight="1">
      <c r="A9" s="159"/>
      <c r="BK9" s="160"/>
    </row>
    <row r="10" spans="1:63" ht="15" customHeight="1">
      <c r="A10" s="159"/>
      <c r="B10" s="349" t="s">
        <v>6</v>
      </c>
      <c r="C10" s="350"/>
      <c r="D10" s="350"/>
      <c r="E10" s="350"/>
      <c r="F10" s="350"/>
      <c r="G10" s="350"/>
      <c r="H10" s="349" t="s">
        <v>5</v>
      </c>
      <c r="I10" s="350"/>
      <c r="J10" s="350"/>
      <c r="K10" s="350"/>
      <c r="L10" s="350"/>
      <c r="M10" s="350"/>
      <c r="N10" s="350"/>
      <c r="O10" s="349" t="s">
        <v>7</v>
      </c>
      <c r="P10" s="350"/>
      <c r="Q10" s="350"/>
      <c r="R10" s="350"/>
      <c r="S10" s="349" t="s">
        <v>20</v>
      </c>
      <c r="T10" s="350"/>
      <c r="U10" s="350"/>
      <c r="V10" s="350"/>
      <c r="W10" s="350"/>
      <c r="X10" s="350"/>
      <c r="Y10" s="350"/>
      <c r="Z10" s="350"/>
      <c r="AA10" s="350"/>
      <c r="AB10" s="350"/>
      <c r="AC10" s="350"/>
      <c r="AD10" s="350"/>
      <c r="AE10" s="350"/>
      <c r="AF10" s="350"/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 t="s">
        <v>21</v>
      </c>
      <c r="AY10" s="350"/>
      <c r="AZ10" s="350"/>
      <c r="BA10" s="350"/>
      <c r="BB10" s="350"/>
      <c r="BC10" s="350"/>
      <c r="BD10" s="350" t="s">
        <v>22</v>
      </c>
      <c r="BE10" s="350"/>
      <c r="BF10" s="350"/>
      <c r="BG10" s="350"/>
      <c r="BH10" s="350"/>
      <c r="BI10" s="350"/>
      <c r="BJ10" s="350"/>
      <c r="BK10" s="160"/>
    </row>
    <row r="11" spans="1:63" ht="15" customHeight="1">
      <c r="A11" s="159"/>
      <c r="B11" s="273">
        <v>45408</v>
      </c>
      <c r="C11" s="280"/>
      <c r="D11" s="280"/>
      <c r="E11" s="280"/>
      <c r="F11" s="280"/>
      <c r="G11" s="281"/>
      <c r="H11" s="279" t="s">
        <v>23</v>
      </c>
      <c r="I11" s="280"/>
      <c r="J11" s="280"/>
      <c r="K11" s="280"/>
      <c r="L11" s="280"/>
      <c r="M11" s="280"/>
      <c r="N11" s="281"/>
      <c r="O11" s="279">
        <v>0.1</v>
      </c>
      <c r="P11" s="280"/>
      <c r="Q11" s="280"/>
      <c r="R11" s="280"/>
      <c r="S11" s="351" t="s">
        <v>24</v>
      </c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352"/>
      <c r="AO11" s="352"/>
      <c r="AP11" s="352"/>
      <c r="AQ11" s="352"/>
      <c r="AR11" s="352"/>
      <c r="AS11" s="352"/>
      <c r="AT11" s="352"/>
      <c r="AU11" s="352"/>
      <c r="AV11" s="352"/>
      <c r="AW11" s="353"/>
      <c r="AX11" s="354"/>
      <c r="AY11" s="354"/>
      <c r="AZ11" s="354"/>
      <c r="BA11" s="354"/>
      <c r="BB11" s="354"/>
      <c r="BC11" s="355"/>
      <c r="BD11" s="356"/>
      <c r="BE11" s="354"/>
      <c r="BF11" s="354"/>
      <c r="BG11" s="354"/>
      <c r="BH11" s="354"/>
      <c r="BI11" s="354"/>
      <c r="BJ11" s="355"/>
      <c r="BK11" s="160"/>
    </row>
    <row r="12" spans="1:63" ht="15" customHeight="1">
      <c r="A12" s="159"/>
      <c r="B12" s="282"/>
      <c r="C12" s="283"/>
      <c r="D12" s="283"/>
      <c r="E12" s="283"/>
      <c r="F12" s="283"/>
      <c r="G12" s="284"/>
      <c r="H12" s="282"/>
      <c r="I12" s="283"/>
      <c r="J12" s="283"/>
      <c r="K12" s="283"/>
      <c r="L12" s="283"/>
      <c r="M12" s="283"/>
      <c r="N12" s="284"/>
      <c r="O12" s="282"/>
      <c r="P12" s="283"/>
      <c r="Q12" s="283"/>
      <c r="R12" s="283"/>
      <c r="S12" s="357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8"/>
      <c r="AL12" s="358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9"/>
      <c r="AX12" s="360"/>
      <c r="AY12" s="360"/>
      <c r="AZ12" s="360"/>
      <c r="BA12" s="360"/>
      <c r="BB12" s="360"/>
      <c r="BC12" s="361"/>
      <c r="BD12" s="362"/>
      <c r="BE12" s="360"/>
      <c r="BF12" s="360"/>
      <c r="BG12" s="360"/>
      <c r="BH12" s="360"/>
      <c r="BI12" s="360"/>
      <c r="BJ12" s="361"/>
      <c r="BK12" s="160"/>
    </row>
    <row r="13" spans="1:63" ht="15" customHeight="1">
      <c r="A13" s="159"/>
      <c r="B13" s="273"/>
      <c r="C13" s="280"/>
      <c r="D13" s="280"/>
      <c r="E13" s="280"/>
      <c r="F13" s="280"/>
      <c r="G13" s="281"/>
      <c r="H13" s="279"/>
      <c r="I13" s="280"/>
      <c r="J13" s="280"/>
      <c r="K13" s="280"/>
      <c r="L13" s="280"/>
      <c r="M13" s="280"/>
      <c r="N13" s="281"/>
      <c r="O13" s="279"/>
      <c r="P13" s="280"/>
      <c r="Q13" s="280"/>
      <c r="R13" s="280"/>
      <c r="S13" s="363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/>
      <c r="AO13" s="352"/>
      <c r="AP13" s="352"/>
      <c r="AQ13" s="352"/>
      <c r="AR13" s="352"/>
      <c r="AS13" s="352"/>
      <c r="AT13" s="352"/>
      <c r="AU13" s="352"/>
      <c r="AV13" s="352"/>
      <c r="AW13" s="353"/>
      <c r="AX13" s="354"/>
      <c r="AY13" s="354"/>
      <c r="AZ13" s="354"/>
      <c r="BA13" s="354"/>
      <c r="BB13" s="354"/>
      <c r="BC13" s="355"/>
      <c r="BD13" s="356"/>
      <c r="BE13" s="354"/>
      <c r="BF13" s="354"/>
      <c r="BG13" s="354"/>
      <c r="BH13" s="354"/>
      <c r="BI13" s="354"/>
      <c r="BJ13" s="355"/>
      <c r="BK13" s="160"/>
    </row>
    <row r="14" spans="1:63" ht="15" customHeight="1">
      <c r="A14" s="159"/>
      <c r="B14" s="282"/>
      <c r="C14" s="283"/>
      <c r="D14" s="283"/>
      <c r="E14" s="283"/>
      <c r="F14" s="283"/>
      <c r="G14" s="284"/>
      <c r="H14" s="282"/>
      <c r="I14" s="283"/>
      <c r="J14" s="283"/>
      <c r="K14" s="283"/>
      <c r="L14" s="283"/>
      <c r="M14" s="283"/>
      <c r="N14" s="284"/>
      <c r="O14" s="282"/>
      <c r="P14" s="283"/>
      <c r="Q14" s="283"/>
      <c r="R14" s="283"/>
      <c r="S14" s="357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8"/>
      <c r="AG14" s="358"/>
      <c r="AH14" s="358"/>
      <c r="AI14" s="358"/>
      <c r="AJ14" s="358"/>
      <c r="AK14" s="358"/>
      <c r="AL14" s="358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9"/>
      <c r="AX14" s="360"/>
      <c r="AY14" s="360"/>
      <c r="AZ14" s="360"/>
      <c r="BA14" s="360"/>
      <c r="BB14" s="360"/>
      <c r="BC14" s="361"/>
      <c r="BD14" s="362"/>
      <c r="BE14" s="360"/>
      <c r="BF14" s="360"/>
      <c r="BG14" s="360"/>
      <c r="BH14" s="360"/>
      <c r="BI14" s="360"/>
      <c r="BJ14" s="361"/>
      <c r="BK14" s="160"/>
    </row>
    <row r="15" spans="1:63" ht="15" customHeight="1">
      <c r="A15" s="159"/>
      <c r="B15" s="279"/>
      <c r="C15" s="280"/>
      <c r="D15" s="280"/>
      <c r="E15" s="280"/>
      <c r="F15" s="280"/>
      <c r="G15" s="281"/>
      <c r="H15" s="279"/>
      <c r="I15" s="280"/>
      <c r="J15" s="280"/>
      <c r="K15" s="280"/>
      <c r="L15" s="280"/>
      <c r="M15" s="280"/>
      <c r="N15" s="281"/>
      <c r="O15" s="279"/>
      <c r="P15" s="280"/>
      <c r="Q15" s="280"/>
      <c r="R15" s="280"/>
      <c r="S15" s="363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2"/>
      <c r="AG15" s="352"/>
      <c r="AH15" s="352"/>
      <c r="AI15" s="352"/>
      <c r="AJ15" s="352"/>
      <c r="AK15" s="352"/>
      <c r="AL15" s="352"/>
      <c r="AM15" s="352"/>
      <c r="AN15" s="352"/>
      <c r="AO15" s="352"/>
      <c r="AP15" s="352"/>
      <c r="AQ15" s="352"/>
      <c r="AR15" s="352"/>
      <c r="AS15" s="352"/>
      <c r="AT15" s="352"/>
      <c r="AU15" s="352"/>
      <c r="AV15" s="352"/>
      <c r="AW15" s="353"/>
      <c r="AX15" s="354"/>
      <c r="AY15" s="354"/>
      <c r="AZ15" s="354"/>
      <c r="BA15" s="354"/>
      <c r="BB15" s="354"/>
      <c r="BC15" s="355"/>
      <c r="BD15" s="356"/>
      <c r="BE15" s="354"/>
      <c r="BF15" s="354"/>
      <c r="BG15" s="354"/>
      <c r="BH15" s="354"/>
      <c r="BI15" s="354"/>
      <c r="BJ15" s="355"/>
      <c r="BK15" s="160"/>
    </row>
    <row r="16" spans="1:63" ht="15" customHeight="1">
      <c r="A16" s="159"/>
      <c r="B16" s="282"/>
      <c r="C16" s="283"/>
      <c r="D16" s="283"/>
      <c r="E16" s="283"/>
      <c r="F16" s="283"/>
      <c r="G16" s="284"/>
      <c r="H16" s="282"/>
      <c r="I16" s="283"/>
      <c r="J16" s="283"/>
      <c r="K16" s="283"/>
      <c r="L16" s="283"/>
      <c r="M16" s="283"/>
      <c r="N16" s="284"/>
      <c r="O16" s="282"/>
      <c r="P16" s="283"/>
      <c r="Q16" s="283"/>
      <c r="R16" s="283"/>
      <c r="S16" s="357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9"/>
      <c r="AX16" s="360"/>
      <c r="AY16" s="360"/>
      <c r="AZ16" s="360"/>
      <c r="BA16" s="360"/>
      <c r="BB16" s="360"/>
      <c r="BC16" s="361"/>
      <c r="BD16" s="362"/>
      <c r="BE16" s="360"/>
      <c r="BF16" s="360"/>
      <c r="BG16" s="360"/>
      <c r="BH16" s="360"/>
      <c r="BI16" s="360"/>
      <c r="BJ16" s="361"/>
      <c r="BK16" s="160"/>
    </row>
    <row r="17" spans="1:63" ht="15" customHeight="1">
      <c r="A17" s="159"/>
      <c r="B17" s="279"/>
      <c r="C17" s="280"/>
      <c r="D17" s="280"/>
      <c r="E17" s="280"/>
      <c r="F17" s="280"/>
      <c r="G17" s="281"/>
      <c r="H17" s="279"/>
      <c r="I17" s="280"/>
      <c r="J17" s="280"/>
      <c r="K17" s="280"/>
      <c r="L17" s="280"/>
      <c r="M17" s="280"/>
      <c r="N17" s="281"/>
      <c r="O17" s="279"/>
      <c r="P17" s="280"/>
      <c r="Q17" s="280"/>
      <c r="R17" s="280"/>
      <c r="S17" s="363"/>
      <c r="T17" s="352"/>
      <c r="U17" s="352"/>
      <c r="V17" s="352"/>
      <c r="W17" s="352"/>
      <c r="X17" s="352"/>
      <c r="Y17" s="352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52"/>
      <c r="AK17" s="352"/>
      <c r="AL17" s="352"/>
      <c r="AM17" s="352"/>
      <c r="AN17" s="352"/>
      <c r="AO17" s="352"/>
      <c r="AP17" s="352"/>
      <c r="AQ17" s="352"/>
      <c r="AR17" s="352"/>
      <c r="AS17" s="352"/>
      <c r="AT17" s="352"/>
      <c r="AU17" s="352"/>
      <c r="AV17" s="352"/>
      <c r="AW17" s="353"/>
      <c r="AX17" s="354"/>
      <c r="AY17" s="354"/>
      <c r="AZ17" s="354"/>
      <c r="BA17" s="354"/>
      <c r="BB17" s="354"/>
      <c r="BC17" s="355"/>
      <c r="BD17" s="356"/>
      <c r="BE17" s="354"/>
      <c r="BF17" s="354"/>
      <c r="BG17" s="354"/>
      <c r="BH17" s="354"/>
      <c r="BI17" s="354"/>
      <c r="BJ17" s="355"/>
      <c r="BK17" s="160"/>
    </row>
    <row r="18" spans="1:63" ht="15" customHeight="1">
      <c r="A18" s="159"/>
      <c r="B18" s="282"/>
      <c r="C18" s="283"/>
      <c r="D18" s="283"/>
      <c r="E18" s="283"/>
      <c r="F18" s="283"/>
      <c r="G18" s="284"/>
      <c r="H18" s="282"/>
      <c r="I18" s="283"/>
      <c r="J18" s="283"/>
      <c r="K18" s="283"/>
      <c r="L18" s="283"/>
      <c r="M18" s="283"/>
      <c r="N18" s="284"/>
      <c r="O18" s="282"/>
      <c r="P18" s="283"/>
      <c r="Q18" s="283"/>
      <c r="R18" s="283"/>
      <c r="S18" s="357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8"/>
      <c r="AG18" s="358"/>
      <c r="AH18" s="358"/>
      <c r="AI18" s="358"/>
      <c r="AJ18" s="358"/>
      <c r="AK18" s="358"/>
      <c r="AL18" s="358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9"/>
      <c r="AX18" s="360"/>
      <c r="AY18" s="360"/>
      <c r="AZ18" s="360"/>
      <c r="BA18" s="360"/>
      <c r="BB18" s="360"/>
      <c r="BC18" s="361"/>
      <c r="BD18" s="362"/>
      <c r="BE18" s="360"/>
      <c r="BF18" s="360"/>
      <c r="BG18" s="360"/>
      <c r="BH18" s="360"/>
      <c r="BI18" s="360"/>
      <c r="BJ18" s="361"/>
      <c r="BK18" s="160"/>
    </row>
    <row r="19" spans="1:63" ht="15" customHeight="1">
      <c r="A19" s="159"/>
      <c r="B19" s="279"/>
      <c r="C19" s="280"/>
      <c r="D19" s="280"/>
      <c r="E19" s="280"/>
      <c r="F19" s="280"/>
      <c r="G19" s="281"/>
      <c r="H19" s="279"/>
      <c r="I19" s="280"/>
      <c r="J19" s="280"/>
      <c r="K19" s="280"/>
      <c r="L19" s="280"/>
      <c r="M19" s="280"/>
      <c r="N19" s="281"/>
      <c r="O19" s="279"/>
      <c r="P19" s="280"/>
      <c r="Q19" s="280"/>
      <c r="R19" s="280"/>
      <c r="S19" s="363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  <c r="AK19" s="352"/>
      <c r="AL19" s="352"/>
      <c r="AM19" s="352"/>
      <c r="AN19" s="352"/>
      <c r="AO19" s="352"/>
      <c r="AP19" s="352"/>
      <c r="AQ19" s="352"/>
      <c r="AR19" s="352"/>
      <c r="AS19" s="352"/>
      <c r="AT19" s="352"/>
      <c r="AU19" s="352"/>
      <c r="AV19" s="352"/>
      <c r="AW19" s="353"/>
      <c r="AX19" s="354"/>
      <c r="AY19" s="354"/>
      <c r="AZ19" s="354"/>
      <c r="BA19" s="354"/>
      <c r="BB19" s="354"/>
      <c r="BC19" s="355"/>
      <c r="BD19" s="356"/>
      <c r="BE19" s="354"/>
      <c r="BF19" s="354"/>
      <c r="BG19" s="354"/>
      <c r="BH19" s="354"/>
      <c r="BI19" s="354"/>
      <c r="BJ19" s="355"/>
      <c r="BK19" s="160"/>
    </row>
    <row r="20" spans="1:63" ht="15" customHeight="1">
      <c r="A20" s="159"/>
      <c r="B20" s="282"/>
      <c r="C20" s="283"/>
      <c r="D20" s="283"/>
      <c r="E20" s="283"/>
      <c r="F20" s="283"/>
      <c r="G20" s="284"/>
      <c r="H20" s="282"/>
      <c r="I20" s="283"/>
      <c r="J20" s="283"/>
      <c r="K20" s="283"/>
      <c r="L20" s="283"/>
      <c r="M20" s="283"/>
      <c r="N20" s="284"/>
      <c r="O20" s="282"/>
      <c r="P20" s="283"/>
      <c r="Q20" s="283"/>
      <c r="R20" s="283"/>
      <c r="S20" s="357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9"/>
      <c r="AX20" s="360"/>
      <c r="AY20" s="360"/>
      <c r="AZ20" s="360"/>
      <c r="BA20" s="360"/>
      <c r="BB20" s="360"/>
      <c r="BC20" s="361"/>
      <c r="BD20" s="362"/>
      <c r="BE20" s="360"/>
      <c r="BF20" s="360"/>
      <c r="BG20" s="360"/>
      <c r="BH20" s="360"/>
      <c r="BI20" s="360"/>
      <c r="BJ20" s="361"/>
      <c r="BK20" s="160"/>
    </row>
    <row r="21" spans="1:63" ht="15" customHeight="1">
      <c r="A21" s="159"/>
      <c r="B21" s="279"/>
      <c r="C21" s="280"/>
      <c r="D21" s="280"/>
      <c r="E21" s="280"/>
      <c r="F21" s="280"/>
      <c r="G21" s="281"/>
      <c r="H21" s="279"/>
      <c r="I21" s="280"/>
      <c r="J21" s="280"/>
      <c r="K21" s="280"/>
      <c r="L21" s="280"/>
      <c r="M21" s="280"/>
      <c r="N21" s="281"/>
      <c r="O21" s="279"/>
      <c r="P21" s="280"/>
      <c r="Q21" s="280"/>
      <c r="R21" s="280"/>
      <c r="S21" s="363"/>
      <c r="T21" s="352"/>
      <c r="U21" s="352"/>
      <c r="V21" s="352"/>
      <c r="W21" s="352"/>
      <c r="X21" s="352"/>
      <c r="Y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  <c r="AV21" s="352"/>
      <c r="AW21" s="353"/>
      <c r="AX21" s="354"/>
      <c r="AY21" s="354"/>
      <c r="AZ21" s="354"/>
      <c r="BA21" s="354"/>
      <c r="BB21" s="354"/>
      <c r="BC21" s="355"/>
      <c r="BD21" s="356"/>
      <c r="BE21" s="354"/>
      <c r="BF21" s="354"/>
      <c r="BG21" s="354"/>
      <c r="BH21" s="354"/>
      <c r="BI21" s="354"/>
      <c r="BJ21" s="355"/>
      <c r="BK21" s="160"/>
    </row>
    <row r="22" spans="1:63" ht="15" customHeight="1">
      <c r="A22" s="159"/>
      <c r="B22" s="282"/>
      <c r="C22" s="283"/>
      <c r="D22" s="283"/>
      <c r="E22" s="283"/>
      <c r="F22" s="283"/>
      <c r="G22" s="284"/>
      <c r="H22" s="282"/>
      <c r="I22" s="283"/>
      <c r="J22" s="283"/>
      <c r="K22" s="283"/>
      <c r="L22" s="283"/>
      <c r="M22" s="283"/>
      <c r="N22" s="284"/>
      <c r="O22" s="282"/>
      <c r="P22" s="283"/>
      <c r="Q22" s="283"/>
      <c r="R22" s="283"/>
      <c r="S22" s="357"/>
      <c r="T22" s="358"/>
      <c r="U22" s="358"/>
      <c r="V22" s="358"/>
      <c r="W22" s="358"/>
      <c r="X22" s="358"/>
      <c r="Y22" s="358"/>
      <c r="Z22" s="358"/>
      <c r="AA22" s="358"/>
      <c r="AB22" s="358"/>
      <c r="AC22" s="358"/>
      <c r="AD22" s="358"/>
      <c r="AE22" s="358"/>
      <c r="AF22" s="358"/>
      <c r="AG22" s="358"/>
      <c r="AH22" s="358"/>
      <c r="AI22" s="358"/>
      <c r="AJ22" s="358"/>
      <c r="AK22" s="358"/>
      <c r="AL22" s="358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9"/>
      <c r="AX22" s="360"/>
      <c r="AY22" s="360"/>
      <c r="AZ22" s="360"/>
      <c r="BA22" s="360"/>
      <c r="BB22" s="360"/>
      <c r="BC22" s="361"/>
      <c r="BD22" s="362"/>
      <c r="BE22" s="360"/>
      <c r="BF22" s="360"/>
      <c r="BG22" s="360"/>
      <c r="BH22" s="360"/>
      <c r="BI22" s="360"/>
      <c r="BJ22" s="361"/>
      <c r="BK22" s="160"/>
    </row>
    <row r="23" spans="1:63" ht="15" customHeight="1">
      <c r="A23" s="159"/>
      <c r="B23" s="279"/>
      <c r="C23" s="280"/>
      <c r="D23" s="280"/>
      <c r="E23" s="280"/>
      <c r="F23" s="280"/>
      <c r="G23" s="281"/>
      <c r="H23" s="279"/>
      <c r="I23" s="280"/>
      <c r="J23" s="280"/>
      <c r="K23" s="280"/>
      <c r="L23" s="280"/>
      <c r="M23" s="280"/>
      <c r="N23" s="281"/>
      <c r="O23" s="279"/>
      <c r="P23" s="280"/>
      <c r="Q23" s="280"/>
      <c r="R23" s="280"/>
      <c r="S23" s="363"/>
      <c r="T23" s="352"/>
      <c r="U23" s="352"/>
      <c r="V23" s="352"/>
      <c r="W23" s="352"/>
      <c r="X23" s="352"/>
      <c r="Y23" s="352"/>
      <c r="Z23" s="352"/>
      <c r="AA23" s="352"/>
      <c r="AB23" s="352"/>
      <c r="AC23" s="352"/>
      <c r="AD23" s="352"/>
      <c r="AE23" s="352"/>
      <c r="AF23" s="352"/>
      <c r="AG23" s="352"/>
      <c r="AH23" s="352"/>
      <c r="AI23" s="352"/>
      <c r="AJ23" s="352"/>
      <c r="AK23" s="352"/>
      <c r="AL23" s="352"/>
      <c r="AM23" s="352"/>
      <c r="AN23" s="352"/>
      <c r="AO23" s="352"/>
      <c r="AP23" s="352"/>
      <c r="AQ23" s="352"/>
      <c r="AR23" s="352"/>
      <c r="AS23" s="352"/>
      <c r="AT23" s="352"/>
      <c r="AU23" s="352"/>
      <c r="AV23" s="352"/>
      <c r="AW23" s="353"/>
      <c r="AX23" s="354"/>
      <c r="AY23" s="354"/>
      <c r="AZ23" s="354"/>
      <c r="BA23" s="354"/>
      <c r="BB23" s="354"/>
      <c r="BC23" s="355"/>
      <c r="BD23" s="356"/>
      <c r="BE23" s="354"/>
      <c r="BF23" s="354"/>
      <c r="BG23" s="354"/>
      <c r="BH23" s="354"/>
      <c r="BI23" s="354"/>
      <c r="BJ23" s="355"/>
      <c r="BK23" s="160"/>
    </row>
    <row r="24" spans="1:63" ht="15" customHeight="1">
      <c r="A24" s="159"/>
      <c r="B24" s="282"/>
      <c r="C24" s="283"/>
      <c r="D24" s="283"/>
      <c r="E24" s="283"/>
      <c r="F24" s="283"/>
      <c r="G24" s="284"/>
      <c r="H24" s="282"/>
      <c r="I24" s="283"/>
      <c r="J24" s="283"/>
      <c r="K24" s="283"/>
      <c r="L24" s="283"/>
      <c r="M24" s="283"/>
      <c r="N24" s="284"/>
      <c r="O24" s="282"/>
      <c r="P24" s="283"/>
      <c r="Q24" s="283"/>
      <c r="R24" s="283"/>
      <c r="S24" s="357"/>
      <c r="T24" s="358"/>
      <c r="U24" s="358"/>
      <c r="V24" s="358"/>
      <c r="W24" s="358"/>
      <c r="X24" s="358"/>
      <c r="Y24" s="358"/>
      <c r="Z24" s="358"/>
      <c r="AA24" s="358"/>
      <c r="AB24" s="358"/>
      <c r="AC24" s="358"/>
      <c r="AD24" s="358"/>
      <c r="AE24" s="358"/>
      <c r="AF24" s="358"/>
      <c r="AG24" s="358"/>
      <c r="AH24" s="358"/>
      <c r="AI24" s="358"/>
      <c r="AJ24" s="358"/>
      <c r="AK24" s="358"/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9"/>
      <c r="AX24" s="360"/>
      <c r="AY24" s="360"/>
      <c r="AZ24" s="360"/>
      <c r="BA24" s="360"/>
      <c r="BB24" s="360"/>
      <c r="BC24" s="361"/>
      <c r="BD24" s="362"/>
      <c r="BE24" s="360"/>
      <c r="BF24" s="360"/>
      <c r="BG24" s="360"/>
      <c r="BH24" s="360"/>
      <c r="BI24" s="360"/>
      <c r="BJ24" s="361"/>
      <c r="BK24" s="160"/>
    </row>
    <row r="25" spans="1:63" ht="15" customHeight="1">
      <c r="A25" s="159"/>
      <c r="B25" s="279"/>
      <c r="C25" s="280"/>
      <c r="D25" s="280"/>
      <c r="E25" s="280"/>
      <c r="F25" s="280"/>
      <c r="G25" s="281"/>
      <c r="H25" s="279"/>
      <c r="I25" s="280"/>
      <c r="J25" s="280"/>
      <c r="K25" s="280"/>
      <c r="L25" s="280"/>
      <c r="M25" s="280"/>
      <c r="N25" s="281"/>
      <c r="O25" s="279"/>
      <c r="P25" s="280"/>
      <c r="Q25" s="280"/>
      <c r="R25" s="280"/>
      <c r="S25" s="363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3"/>
      <c r="AX25" s="354"/>
      <c r="AY25" s="354"/>
      <c r="AZ25" s="354"/>
      <c r="BA25" s="354"/>
      <c r="BB25" s="354"/>
      <c r="BC25" s="355"/>
      <c r="BD25" s="356"/>
      <c r="BE25" s="354"/>
      <c r="BF25" s="354"/>
      <c r="BG25" s="354"/>
      <c r="BH25" s="354"/>
      <c r="BI25" s="354"/>
      <c r="BJ25" s="355"/>
      <c r="BK25" s="160"/>
    </row>
    <row r="26" spans="1:63" ht="15" customHeight="1">
      <c r="A26" s="159"/>
      <c r="B26" s="282"/>
      <c r="C26" s="283"/>
      <c r="D26" s="283"/>
      <c r="E26" s="283"/>
      <c r="F26" s="283"/>
      <c r="G26" s="284"/>
      <c r="H26" s="282"/>
      <c r="I26" s="283"/>
      <c r="J26" s="283"/>
      <c r="K26" s="283"/>
      <c r="L26" s="283"/>
      <c r="M26" s="283"/>
      <c r="N26" s="284"/>
      <c r="O26" s="282"/>
      <c r="P26" s="283"/>
      <c r="Q26" s="283"/>
      <c r="R26" s="283"/>
      <c r="S26" s="357"/>
      <c r="T26" s="358"/>
      <c r="U26" s="358"/>
      <c r="V26" s="358"/>
      <c r="W26" s="358"/>
      <c r="X26" s="358"/>
      <c r="Y26" s="358"/>
      <c r="Z26" s="358"/>
      <c r="AA26" s="358"/>
      <c r="AB26" s="358"/>
      <c r="AC26" s="358"/>
      <c r="AD26" s="358"/>
      <c r="AE26" s="358"/>
      <c r="AF26" s="358"/>
      <c r="AG26" s="358"/>
      <c r="AH26" s="358"/>
      <c r="AI26" s="358"/>
      <c r="AJ26" s="358"/>
      <c r="AK26" s="358"/>
      <c r="AL26" s="358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9"/>
      <c r="AX26" s="360"/>
      <c r="AY26" s="360"/>
      <c r="AZ26" s="360"/>
      <c r="BA26" s="360"/>
      <c r="BB26" s="360"/>
      <c r="BC26" s="361"/>
      <c r="BD26" s="362"/>
      <c r="BE26" s="360"/>
      <c r="BF26" s="360"/>
      <c r="BG26" s="360"/>
      <c r="BH26" s="360"/>
      <c r="BI26" s="360"/>
      <c r="BJ26" s="361"/>
      <c r="BK26" s="160"/>
    </row>
    <row r="27" spans="1:63" ht="15" customHeight="1">
      <c r="A27" s="159"/>
      <c r="B27" s="279"/>
      <c r="C27" s="280"/>
      <c r="D27" s="280"/>
      <c r="E27" s="280"/>
      <c r="F27" s="280"/>
      <c r="G27" s="281"/>
      <c r="H27" s="279"/>
      <c r="I27" s="280"/>
      <c r="J27" s="280"/>
      <c r="K27" s="280"/>
      <c r="L27" s="280"/>
      <c r="M27" s="280"/>
      <c r="N27" s="281"/>
      <c r="O27" s="279"/>
      <c r="P27" s="280"/>
      <c r="Q27" s="280"/>
      <c r="R27" s="280"/>
      <c r="S27" s="363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3"/>
      <c r="AX27" s="354"/>
      <c r="AY27" s="354"/>
      <c r="AZ27" s="354"/>
      <c r="BA27" s="354"/>
      <c r="BB27" s="354"/>
      <c r="BC27" s="355"/>
      <c r="BD27" s="356"/>
      <c r="BE27" s="354"/>
      <c r="BF27" s="354"/>
      <c r="BG27" s="354"/>
      <c r="BH27" s="354"/>
      <c r="BI27" s="354"/>
      <c r="BJ27" s="355"/>
      <c r="BK27" s="160"/>
    </row>
    <row r="28" spans="1:63" ht="15" customHeight="1">
      <c r="A28" s="159"/>
      <c r="B28" s="282"/>
      <c r="C28" s="283"/>
      <c r="D28" s="283"/>
      <c r="E28" s="283"/>
      <c r="F28" s="283"/>
      <c r="G28" s="284"/>
      <c r="H28" s="282"/>
      <c r="I28" s="283"/>
      <c r="J28" s="283"/>
      <c r="K28" s="283"/>
      <c r="L28" s="283"/>
      <c r="M28" s="283"/>
      <c r="N28" s="284"/>
      <c r="O28" s="282"/>
      <c r="P28" s="283"/>
      <c r="Q28" s="283"/>
      <c r="R28" s="283"/>
      <c r="S28" s="357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  <c r="AD28" s="358"/>
      <c r="AE28" s="358"/>
      <c r="AF28" s="358"/>
      <c r="AG28" s="358"/>
      <c r="AH28" s="358"/>
      <c r="AI28" s="358"/>
      <c r="AJ28" s="358"/>
      <c r="AK28" s="358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9"/>
      <c r="AX28" s="360"/>
      <c r="AY28" s="360"/>
      <c r="AZ28" s="360"/>
      <c r="BA28" s="360"/>
      <c r="BB28" s="360"/>
      <c r="BC28" s="361"/>
      <c r="BD28" s="362"/>
      <c r="BE28" s="360"/>
      <c r="BF28" s="360"/>
      <c r="BG28" s="360"/>
      <c r="BH28" s="360"/>
      <c r="BI28" s="360"/>
      <c r="BJ28" s="361"/>
      <c r="BK28" s="160"/>
    </row>
    <row r="29" spans="1:63" ht="15" customHeight="1">
      <c r="A29" s="159"/>
      <c r="B29" s="279"/>
      <c r="C29" s="280"/>
      <c r="D29" s="280"/>
      <c r="E29" s="280"/>
      <c r="F29" s="280"/>
      <c r="G29" s="281"/>
      <c r="H29" s="279"/>
      <c r="I29" s="280"/>
      <c r="J29" s="280"/>
      <c r="K29" s="280"/>
      <c r="L29" s="280"/>
      <c r="M29" s="280"/>
      <c r="N29" s="281"/>
      <c r="O29" s="279"/>
      <c r="P29" s="280"/>
      <c r="Q29" s="280"/>
      <c r="R29" s="280"/>
      <c r="S29" s="363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3"/>
      <c r="AX29" s="354"/>
      <c r="AY29" s="354"/>
      <c r="AZ29" s="354"/>
      <c r="BA29" s="354"/>
      <c r="BB29" s="354"/>
      <c r="BC29" s="355"/>
      <c r="BD29" s="356"/>
      <c r="BE29" s="354"/>
      <c r="BF29" s="354"/>
      <c r="BG29" s="354"/>
      <c r="BH29" s="354"/>
      <c r="BI29" s="354"/>
      <c r="BJ29" s="355"/>
      <c r="BK29" s="160"/>
    </row>
    <row r="30" spans="1:63" ht="15" customHeight="1">
      <c r="A30" s="159"/>
      <c r="B30" s="282"/>
      <c r="C30" s="283"/>
      <c r="D30" s="283"/>
      <c r="E30" s="283"/>
      <c r="F30" s="283"/>
      <c r="G30" s="284"/>
      <c r="H30" s="282"/>
      <c r="I30" s="283"/>
      <c r="J30" s="283"/>
      <c r="K30" s="283"/>
      <c r="L30" s="283"/>
      <c r="M30" s="283"/>
      <c r="N30" s="284"/>
      <c r="O30" s="282"/>
      <c r="P30" s="283"/>
      <c r="Q30" s="283"/>
      <c r="R30" s="283"/>
      <c r="S30" s="357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358"/>
      <c r="AJ30" s="358"/>
      <c r="AK30" s="358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9"/>
      <c r="AX30" s="360"/>
      <c r="AY30" s="360"/>
      <c r="AZ30" s="360"/>
      <c r="BA30" s="360"/>
      <c r="BB30" s="360"/>
      <c r="BC30" s="361"/>
      <c r="BD30" s="362"/>
      <c r="BE30" s="360"/>
      <c r="BF30" s="360"/>
      <c r="BG30" s="360"/>
      <c r="BH30" s="360"/>
      <c r="BI30" s="360"/>
      <c r="BJ30" s="361"/>
      <c r="BK30" s="160"/>
    </row>
    <row r="31" spans="1:63" ht="15" customHeight="1">
      <c r="A31" s="159"/>
      <c r="B31" s="279"/>
      <c r="C31" s="280"/>
      <c r="D31" s="280"/>
      <c r="E31" s="280"/>
      <c r="F31" s="280"/>
      <c r="G31" s="281"/>
      <c r="H31" s="279"/>
      <c r="I31" s="280"/>
      <c r="J31" s="280"/>
      <c r="K31" s="280"/>
      <c r="L31" s="280"/>
      <c r="M31" s="280"/>
      <c r="N31" s="281"/>
      <c r="O31" s="279"/>
      <c r="P31" s="280"/>
      <c r="Q31" s="280"/>
      <c r="R31" s="280"/>
      <c r="S31" s="363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3"/>
      <c r="AX31" s="354"/>
      <c r="AY31" s="354"/>
      <c r="AZ31" s="354"/>
      <c r="BA31" s="354"/>
      <c r="BB31" s="354"/>
      <c r="BC31" s="355"/>
      <c r="BD31" s="356"/>
      <c r="BE31" s="354"/>
      <c r="BF31" s="354"/>
      <c r="BG31" s="354"/>
      <c r="BH31" s="354"/>
      <c r="BI31" s="354"/>
      <c r="BJ31" s="355"/>
      <c r="BK31" s="160"/>
    </row>
    <row r="32" spans="1:63" ht="15" customHeight="1">
      <c r="A32" s="159"/>
      <c r="B32" s="282"/>
      <c r="C32" s="283"/>
      <c r="D32" s="283"/>
      <c r="E32" s="283"/>
      <c r="F32" s="283"/>
      <c r="G32" s="284"/>
      <c r="H32" s="282"/>
      <c r="I32" s="283"/>
      <c r="J32" s="283"/>
      <c r="K32" s="283"/>
      <c r="L32" s="283"/>
      <c r="M32" s="283"/>
      <c r="N32" s="284"/>
      <c r="O32" s="282"/>
      <c r="P32" s="283"/>
      <c r="Q32" s="283"/>
      <c r="R32" s="283"/>
      <c r="S32" s="357"/>
      <c r="T32" s="358"/>
      <c r="U32" s="358"/>
      <c r="V32" s="358"/>
      <c r="W32" s="358"/>
      <c r="X32" s="358"/>
      <c r="Y32" s="358"/>
      <c r="Z32" s="358"/>
      <c r="AA32" s="358"/>
      <c r="AB32" s="358"/>
      <c r="AC32" s="358"/>
      <c r="AD32" s="358"/>
      <c r="AE32" s="358"/>
      <c r="AF32" s="358"/>
      <c r="AG32" s="358"/>
      <c r="AH32" s="358"/>
      <c r="AI32" s="358"/>
      <c r="AJ32" s="358"/>
      <c r="AK32" s="358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9"/>
      <c r="AX32" s="360"/>
      <c r="AY32" s="360"/>
      <c r="AZ32" s="360"/>
      <c r="BA32" s="360"/>
      <c r="BB32" s="360"/>
      <c r="BC32" s="361"/>
      <c r="BD32" s="362"/>
      <c r="BE32" s="360"/>
      <c r="BF32" s="360"/>
      <c r="BG32" s="360"/>
      <c r="BH32" s="360"/>
      <c r="BI32" s="360"/>
      <c r="BJ32" s="361"/>
      <c r="BK32" s="160"/>
    </row>
    <row r="33" spans="1:63" ht="15" customHeight="1">
      <c r="A33" s="159"/>
      <c r="B33" s="279"/>
      <c r="C33" s="280"/>
      <c r="D33" s="280"/>
      <c r="E33" s="280"/>
      <c r="F33" s="280"/>
      <c r="G33" s="281"/>
      <c r="H33" s="279"/>
      <c r="I33" s="280"/>
      <c r="J33" s="280"/>
      <c r="K33" s="280"/>
      <c r="L33" s="280"/>
      <c r="M33" s="280"/>
      <c r="N33" s="281"/>
      <c r="O33" s="279"/>
      <c r="P33" s="280"/>
      <c r="Q33" s="280"/>
      <c r="R33" s="280"/>
      <c r="S33" s="363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3"/>
      <c r="AX33" s="354"/>
      <c r="AY33" s="354"/>
      <c r="AZ33" s="354"/>
      <c r="BA33" s="354"/>
      <c r="BB33" s="354"/>
      <c r="BC33" s="355"/>
      <c r="BD33" s="356"/>
      <c r="BE33" s="354"/>
      <c r="BF33" s="354"/>
      <c r="BG33" s="354"/>
      <c r="BH33" s="354"/>
      <c r="BI33" s="354"/>
      <c r="BJ33" s="355"/>
      <c r="BK33" s="160"/>
    </row>
    <row r="34" spans="1:63" ht="15" customHeight="1">
      <c r="A34" s="159"/>
      <c r="B34" s="282"/>
      <c r="C34" s="283"/>
      <c r="D34" s="283"/>
      <c r="E34" s="283"/>
      <c r="F34" s="283"/>
      <c r="G34" s="284"/>
      <c r="H34" s="282"/>
      <c r="I34" s="283"/>
      <c r="J34" s="283"/>
      <c r="K34" s="283"/>
      <c r="L34" s="283"/>
      <c r="M34" s="283"/>
      <c r="N34" s="284"/>
      <c r="O34" s="282"/>
      <c r="P34" s="283"/>
      <c r="Q34" s="283"/>
      <c r="R34" s="283"/>
      <c r="S34" s="357"/>
      <c r="T34" s="358"/>
      <c r="U34" s="358"/>
      <c r="V34" s="358"/>
      <c r="W34" s="358"/>
      <c r="X34" s="358"/>
      <c r="Y34" s="358"/>
      <c r="Z34" s="358"/>
      <c r="AA34" s="358"/>
      <c r="AB34" s="358"/>
      <c r="AC34" s="358"/>
      <c r="AD34" s="358"/>
      <c r="AE34" s="358"/>
      <c r="AF34" s="358"/>
      <c r="AG34" s="358"/>
      <c r="AH34" s="358"/>
      <c r="AI34" s="358"/>
      <c r="AJ34" s="358"/>
      <c r="AK34" s="358"/>
      <c r="AL34" s="358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9"/>
      <c r="AX34" s="360"/>
      <c r="AY34" s="360"/>
      <c r="AZ34" s="360"/>
      <c r="BA34" s="360"/>
      <c r="BB34" s="360"/>
      <c r="BC34" s="361"/>
      <c r="BD34" s="362"/>
      <c r="BE34" s="360"/>
      <c r="BF34" s="360"/>
      <c r="BG34" s="360"/>
      <c r="BH34" s="360"/>
      <c r="BI34" s="360"/>
      <c r="BJ34" s="361"/>
      <c r="BK34" s="160"/>
    </row>
    <row r="35" spans="1:63" ht="15" customHeight="1">
      <c r="A35" s="159"/>
      <c r="B35" s="279"/>
      <c r="C35" s="280"/>
      <c r="D35" s="280"/>
      <c r="E35" s="280"/>
      <c r="F35" s="280"/>
      <c r="G35" s="281"/>
      <c r="H35" s="279"/>
      <c r="I35" s="280"/>
      <c r="J35" s="280"/>
      <c r="K35" s="280"/>
      <c r="L35" s="280"/>
      <c r="M35" s="280"/>
      <c r="N35" s="281"/>
      <c r="O35" s="279"/>
      <c r="P35" s="280"/>
      <c r="Q35" s="280"/>
      <c r="R35" s="280"/>
      <c r="S35" s="363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352"/>
      <c r="AO35" s="352"/>
      <c r="AP35" s="352"/>
      <c r="AQ35" s="352"/>
      <c r="AR35" s="352"/>
      <c r="AS35" s="352"/>
      <c r="AT35" s="352"/>
      <c r="AU35" s="352"/>
      <c r="AV35" s="352"/>
      <c r="AW35" s="353"/>
      <c r="AX35" s="354"/>
      <c r="AY35" s="354"/>
      <c r="AZ35" s="354"/>
      <c r="BA35" s="354"/>
      <c r="BB35" s="354"/>
      <c r="BC35" s="355"/>
      <c r="BD35" s="356"/>
      <c r="BE35" s="354"/>
      <c r="BF35" s="354"/>
      <c r="BG35" s="354"/>
      <c r="BH35" s="354"/>
      <c r="BI35" s="354"/>
      <c r="BJ35" s="355"/>
      <c r="BK35" s="160"/>
    </row>
    <row r="36" spans="1:63" ht="15" customHeight="1">
      <c r="A36" s="159"/>
      <c r="B36" s="282"/>
      <c r="C36" s="283"/>
      <c r="D36" s="283"/>
      <c r="E36" s="283"/>
      <c r="F36" s="283"/>
      <c r="G36" s="284"/>
      <c r="H36" s="282"/>
      <c r="I36" s="283"/>
      <c r="J36" s="283"/>
      <c r="K36" s="283"/>
      <c r="L36" s="283"/>
      <c r="M36" s="283"/>
      <c r="N36" s="284"/>
      <c r="O36" s="282"/>
      <c r="P36" s="283"/>
      <c r="Q36" s="283"/>
      <c r="R36" s="283"/>
      <c r="S36" s="357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9"/>
      <c r="AX36" s="360"/>
      <c r="AY36" s="360"/>
      <c r="AZ36" s="360"/>
      <c r="BA36" s="360"/>
      <c r="BB36" s="360"/>
      <c r="BC36" s="361"/>
      <c r="BD36" s="362"/>
      <c r="BE36" s="360"/>
      <c r="BF36" s="360"/>
      <c r="BG36" s="360"/>
      <c r="BH36" s="360"/>
      <c r="BI36" s="360"/>
      <c r="BJ36" s="361"/>
      <c r="BK36" s="160"/>
    </row>
    <row r="37" spans="1:63" ht="15" customHeight="1">
      <c r="A37" s="159"/>
      <c r="B37" s="279"/>
      <c r="C37" s="280"/>
      <c r="D37" s="280"/>
      <c r="E37" s="280"/>
      <c r="F37" s="280"/>
      <c r="G37" s="281"/>
      <c r="H37" s="279"/>
      <c r="I37" s="280"/>
      <c r="J37" s="280"/>
      <c r="K37" s="280"/>
      <c r="L37" s="280"/>
      <c r="M37" s="280"/>
      <c r="N37" s="281"/>
      <c r="O37" s="279"/>
      <c r="P37" s="280"/>
      <c r="Q37" s="280"/>
      <c r="R37" s="280"/>
      <c r="S37" s="363"/>
      <c r="T37" s="352"/>
      <c r="U37" s="352"/>
      <c r="V37" s="352"/>
      <c r="W37" s="352"/>
      <c r="X37" s="352"/>
      <c r="Y37" s="352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K37" s="352"/>
      <c r="AL37" s="352"/>
      <c r="AM37" s="352"/>
      <c r="AN37" s="352"/>
      <c r="AO37" s="352"/>
      <c r="AP37" s="352"/>
      <c r="AQ37" s="352"/>
      <c r="AR37" s="352"/>
      <c r="AS37" s="352"/>
      <c r="AT37" s="352"/>
      <c r="AU37" s="352"/>
      <c r="AV37" s="352"/>
      <c r="AW37" s="353"/>
      <c r="AX37" s="354"/>
      <c r="AY37" s="354"/>
      <c r="AZ37" s="354"/>
      <c r="BA37" s="354"/>
      <c r="BB37" s="354"/>
      <c r="BC37" s="355"/>
      <c r="BD37" s="356"/>
      <c r="BE37" s="354"/>
      <c r="BF37" s="354"/>
      <c r="BG37" s="354"/>
      <c r="BH37" s="354"/>
      <c r="BI37" s="354"/>
      <c r="BJ37" s="355"/>
      <c r="BK37" s="160"/>
    </row>
    <row r="38" spans="1:63" ht="15" customHeight="1">
      <c r="A38" s="159"/>
      <c r="B38" s="282"/>
      <c r="C38" s="283"/>
      <c r="D38" s="283"/>
      <c r="E38" s="283"/>
      <c r="F38" s="283"/>
      <c r="G38" s="284"/>
      <c r="H38" s="282"/>
      <c r="I38" s="283"/>
      <c r="J38" s="283"/>
      <c r="K38" s="283"/>
      <c r="L38" s="283"/>
      <c r="M38" s="283"/>
      <c r="N38" s="284"/>
      <c r="O38" s="282"/>
      <c r="P38" s="283"/>
      <c r="Q38" s="283"/>
      <c r="R38" s="283"/>
      <c r="S38" s="357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9"/>
      <c r="AX38" s="360"/>
      <c r="AY38" s="360"/>
      <c r="AZ38" s="360"/>
      <c r="BA38" s="360"/>
      <c r="BB38" s="360"/>
      <c r="BC38" s="361"/>
      <c r="BD38" s="362"/>
      <c r="BE38" s="360"/>
      <c r="BF38" s="360"/>
      <c r="BG38" s="360"/>
      <c r="BH38" s="360"/>
      <c r="BI38" s="360"/>
      <c r="BJ38" s="361"/>
      <c r="BK38" s="160"/>
    </row>
    <row r="39" spans="1:63" ht="15" customHeight="1">
      <c r="A39" s="159"/>
      <c r="B39" s="279"/>
      <c r="C39" s="280"/>
      <c r="D39" s="280"/>
      <c r="E39" s="280"/>
      <c r="F39" s="280"/>
      <c r="G39" s="281"/>
      <c r="H39" s="279"/>
      <c r="I39" s="280"/>
      <c r="J39" s="280"/>
      <c r="K39" s="280"/>
      <c r="L39" s="280"/>
      <c r="M39" s="280"/>
      <c r="N39" s="281"/>
      <c r="O39" s="279"/>
      <c r="P39" s="280"/>
      <c r="Q39" s="280"/>
      <c r="R39" s="280"/>
      <c r="S39" s="363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352"/>
      <c r="AO39" s="352"/>
      <c r="AP39" s="352"/>
      <c r="AQ39" s="352"/>
      <c r="AR39" s="352"/>
      <c r="AS39" s="352"/>
      <c r="AT39" s="352"/>
      <c r="AU39" s="352"/>
      <c r="AV39" s="352"/>
      <c r="AW39" s="353"/>
      <c r="AX39" s="354"/>
      <c r="AY39" s="354"/>
      <c r="AZ39" s="354"/>
      <c r="BA39" s="354"/>
      <c r="BB39" s="354"/>
      <c r="BC39" s="355"/>
      <c r="BD39" s="356"/>
      <c r="BE39" s="354"/>
      <c r="BF39" s="354"/>
      <c r="BG39" s="354"/>
      <c r="BH39" s="354"/>
      <c r="BI39" s="354"/>
      <c r="BJ39" s="355"/>
      <c r="BK39" s="160"/>
    </row>
    <row r="40" spans="1:63" ht="15" customHeight="1">
      <c r="A40" s="159"/>
      <c r="B40" s="282"/>
      <c r="C40" s="283"/>
      <c r="D40" s="283"/>
      <c r="E40" s="283"/>
      <c r="F40" s="283"/>
      <c r="G40" s="284"/>
      <c r="H40" s="282"/>
      <c r="I40" s="283"/>
      <c r="J40" s="283"/>
      <c r="K40" s="283"/>
      <c r="L40" s="283"/>
      <c r="M40" s="283"/>
      <c r="N40" s="284"/>
      <c r="O40" s="282"/>
      <c r="P40" s="283"/>
      <c r="Q40" s="283"/>
      <c r="R40" s="283"/>
      <c r="S40" s="357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9"/>
      <c r="AX40" s="360"/>
      <c r="AY40" s="360"/>
      <c r="AZ40" s="360"/>
      <c r="BA40" s="360"/>
      <c r="BB40" s="360"/>
      <c r="BC40" s="361"/>
      <c r="BD40" s="362"/>
      <c r="BE40" s="360"/>
      <c r="BF40" s="360"/>
      <c r="BG40" s="360"/>
      <c r="BH40" s="360"/>
      <c r="BI40" s="360"/>
      <c r="BJ40" s="361"/>
      <c r="BK40" s="160"/>
    </row>
    <row r="41" spans="1:63" ht="15" customHeight="1">
      <c r="A41" s="159"/>
      <c r="B41" s="279"/>
      <c r="C41" s="280"/>
      <c r="D41" s="280"/>
      <c r="E41" s="280"/>
      <c r="F41" s="280"/>
      <c r="G41" s="281"/>
      <c r="H41" s="279"/>
      <c r="I41" s="280"/>
      <c r="J41" s="280"/>
      <c r="K41" s="280"/>
      <c r="L41" s="280"/>
      <c r="M41" s="280"/>
      <c r="N41" s="281"/>
      <c r="O41" s="279"/>
      <c r="P41" s="280"/>
      <c r="Q41" s="280"/>
      <c r="R41" s="280"/>
      <c r="S41" s="363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3"/>
      <c r="AX41" s="354"/>
      <c r="AY41" s="354"/>
      <c r="AZ41" s="354"/>
      <c r="BA41" s="354"/>
      <c r="BB41" s="354"/>
      <c r="BC41" s="355"/>
      <c r="BD41" s="356"/>
      <c r="BE41" s="354"/>
      <c r="BF41" s="354"/>
      <c r="BG41" s="354"/>
      <c r="BH41" s="354"/>
      <c r="BI41" s="354"/>
      <c r="BJ41" s="355"/>
      <c r="BK41" s="160"/>
    </row>
    <row r="42" spans="1:63" ht="15" customHeight="1">
      <c r="A42" s="159"/>
      <c r="B42" s="282"/>
      <c r="C42" s="283"/>
      <c r="D42" s="283"/>
      <c r="E42" s="283"/>
      <c r="F42" s="283"/>
      <c r="G42" s="284"/>
      <c r="H42" s="282"/>
      <c r="I42" s="283"/>
      <c r="J42" s="283"/>
      <c r="K42" s="283"/>
      <c r="L42" s="283"/>
      <c r="M42" s="283"/>
      <c r="N42" s="284"/>
      <c r="O42" s="282"/>
      <c r="P42" s="283"/>
      <c r="Q42" s="283"/>
      <c r="R42" s="283"/>
      <c r="S42" s="357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9"/>
      <c r="AX42" s="360"/>
      <c r="AY42" s="360"/>
      <c r="AZ42" s="360"/>
      <c r="BA42" s="360"/>
      <c r="BB42" s="360"/>
      <c r="BC42" s="361"/>
      <c r="BD42" s="362"/>
      <c r="BE42" s="360"/>
      <c r="BF42" s="360"/>
      <c r="BG42" s="360"/>
      <c r="BH42" s="360"/>
      <c r="BI42" s="360"/>
      <c r="BJ42" s="361"/>
      <c r="BK42" s="160"/>
    </row>
    <row r="43" spans="1:63" ht="15" customHeight="1">
      <c r="A43" s="159"/>
      <c r="B43" s="279"/>
      <c r="C43" s="280"/>
      <c r="D43" s="280"/>
      <c r="E43" s="280"/>
      <c r="F43" s="280"/>
      <c r="G43" s="281"/>
      <c r="H43" s="279"/>
      <c r="I43" s="280"/>
      <c r="J43" s="280"/>
      <c r="K43" s="280"/>
      <c r="L43" s="280"/>
      <c r="M43" s="280"/>
      <c r="N43" s="281"/>
      <c r="O43" s="279"/>
      <c r="P43" s="280"/>
      <c r="Q43" s="280"/>
      <c r="R43" s="280"/>
      <c r="S43" s="363"/>
      <c r="T43" s="352"/>
      <c r="U43" s="352"/>
      <c r="V43" s="352"/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352"/>
      <c r="AO43" s="352"/>
      <c r="AP43" s="352"/>
      <c r="AQ43" s="352"/>
      <c r="AR43" s="352"/>
      <c r="AS43" s="352"/>
      <c r="AT43" s="352"/>
      <c r="AU43" s="352"/>
      <c r="AV43" s="352"/>
      <c r="AW43" s="353"/>
      <c r="AX43" s="354"/>
      <c r="AY43" s="354"/>
      <c r="AZ43" s="354"/>
      <c r="BA43" s="354"/>
      <c r="BB43" s="354"/>
      <c r="BC43" s="355"/>
      <c r="BD43" s="356"/>
      <c r="BE43" s="354"/>
      <c r="BF43" s="354"/>
      <c r="BG43" s="354"/>
      <c r="BH43" s="354"/>
      <c r="BI43" s="354"/>
      <c r="BJ43" s="355"/>
      <c r="BK43" s="160"/>
    </row>
    <row r="44" spans="1:63" ht="15" customHeight="1">
      <c r="A44" s="159"/>
      <c r="B44" s="282"/>
      <c r="C44" s="283"/>
      <c r="D44" s="283"/>
      <c r="E44" s="283"/>
      <c r="F44" s="283"/>
      <c r="G44" s="284"/>
      <c r="H44" s="282"/>
      <c r="I44" s="283"/>
      <c r="J44" s="283"/>
      <c r="K44" s="283"/>
      <c r="L44" s="283"/>
      <c r="M44" s="283"/>
      <c r="N44" s="284"/>
      <c r="O44" s="282"/>
      <c r="P44" s="283"/>
      <c r="Q44" s="283"/>
      <c r="R44" s="283"/>
      <c r="S44" s="357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9"/>
      <c r="AX44" s="360"/>
      <c r="AY44" s="360"/>
      <c r="AZ44" s="360"/>
      <c r="BA44" s="360"/>
      <c r="BB44" s="360"/>
      <c r="BC44" s="361"/>
      <c r="BD44" s="362"/>
      <c r="BE44" s="360"/>
      <c r="BF44" s="360"/>
      <c r="BG44" s="360"/>
      <c r="BH44" s="360"/>
      <c r="BI44" s="360"/>
      <c r="BJ44" s="361"/>
      <c r="BK44" s="160"/>
    </row>
    <row r="45" spans="1:63" ht="15" customHeight="1">
      <c r="A45" s="159"/>
      <c r="B45" s="279"/>
      <c r="C45" s="280"/>
      <c r="D45" s="280"/>
      <c r="E45" s="280"/>
      <c r="F45" s="280"/>
      <c r="G45" s="281"/>
      <c r="H45" s="279"/>
      <c r="I45" s="280"/>
      <c r="J45" s="280"/>
      <c r="K45" s="280"/>
      <c r="L45" s="280"/>
      <c r="M45" s="280"/>
      <c r="N45" s="281"/>
      <c r="O45" s="279"/>
      <c r="P45" s="280"/>
      <c r="Q45" s="280"/>
      <c r="R45" s="280"/>
      <c r="S45" s="363"/>
      <c r="T45" s="352"/>
      <c r="U45" s="352"/>
      <c r="V45" s="352"/>
      <c r="W45" s="352"/>
      <c r="X45" s="352"/>
      <c r="Y45" s="352"/>
      <c r="Z45" s="352"/>
      <c r="AA45" s="352"/>
      <c r="AB45" s="352"/>
      <c r="AC45" s="352"/>
      <c r="AD45" s="352"/>
      <c r="AE45" s="352"/>
      <c r="AF45" s="352"/>
      <c r="AG45" s="352"/>
      <c r="AH45" s="352"/>
      <c r="AI45" s="352"/>
      <c r="AJ45" s="352"/>
      <c r="AK45" s="352"/>
      <c r="AL45" s="352"/>
      <c r="AM45" s="352"/>
      <c r="AN45" s="352"/>
      <c r="AO45" s="352"/>
      <c r="AP45" s="352"/>
      <c r="AQ45" s="352"/>
      <c r="AR45" s="352"/>
      <c r="AS45" s="352"/>
      <c r="AT45" s="352"/>
      <c r="AU45" s="352"/>
      <c r="AV45" s="352"/>
      <c r="AW45" s="353"/>
      <c r="AX45" s="354"/>
      <c r="AY45" s="354"/>
      <c r="AZ45" s="354"/>
      <c r="BA45" s="354"/>
      <c r="BB45" s="354"/>
      <c r="BC45" s="355"/>
      <c r="BD45" s="356"/>
      <c r="BE45" s="354"/>
      <c r="BF45" s="354"/>
      <c r="BG45" s="354"/>
      <c r="BH45" s="354"/>
      <c r="BI45" s="354"/>
      <c r="BJ45" s="355"/>
      <c r="BK45" s="160"/>
    </row>
    <row r="46" spans="1:63" ht="15" customHeight="1">
      <c r="A46" s="159"/>
      <c r="B46" s="282"/>
      <c r="C46" s="283"/>
      <c r="D46" s="283"/>
      <c r="E46" s="283"/>
      <c r="F46" s="283"/>
      <c r="G46" s="284"/>
      <c r="H46" s="282"/>
      <c r="I46" s="283"/>
      <c r="J46" s="283"/>
      <c r="K46" s="283"/>
      <c r="L46" s="283"/>
      <c r="M46" s="283"/>
      <c r="N46" s="284"/>
      <c r="O46" s="282"/>
      <c r="P46" s="283"/>
      <c r="Q46" s="283"/>
      <c r="R46" s="283"/>
      <c r="S46" s="357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9"/>
      <c r="AX46" s="360"/>
      <c r="AY46" s="360"/>
      <c r="AZ46" s="360"/>
      <c r="BA46" s="360"/>
      <c r="BB46" s="360"/>
      <c r="BC46" s="361"/>
      <c r="BD46" s="362"/>
      <c r="BE46" s="360"/>
      <c r="BF46" s="360"/>
      <c r="BG46" s="360"/>
      <c r="BH46" s="360"/>
      <c r="BI46" s="360"/>
      <c r="BJ46" s="361"/>
      <c r="BK46" s="160"/>
    </row>
    <row r="47" spans="1:63" ht="15" customHeight="1">
      <c r="A47" s="159"/>
      <c r="B47" s="279"/>
      <c r="C47" s="280"/>
      <c r="D47" s="280"/>
      <c r="E47" s="280"/>
      <c r="F47" s="280"/>
      <c r="G47" s="281"/>
      <c r="H47" s="279"/>
      <c r="I47" s="280"/>
      <c r="J47" s="280"/>
      <c r="K47" s="280"/>
      <c r="L47" s="280"/>
      <c r="M47" s="280"/>
      <c r="N47" s="281"/>
      <c r="O47" s="279"/>
      <c r="P47" s="280"/>
      <c r="Q47" s="280"/>
      <c r="R47" s="280"/>
      <c r="S47" s="363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  <c r="AD47" s="352"/>
      <c r="AE47" s="352"/>
      <c r="AF47" s="352"/>
      <c r="AG47" s="352"/>
      <c r="AH47" s="352"/>
      <c r="AI47" s="352"/>
      <c r="AJ47" s="352"/>
      <c r="AK47" s="352"/>
      <c r="AL47" s="352"/>
      <c r="AM47" s="352"/>
      <c r="AN47" s="352"/>
      <c r="AO47" s="352"/>
      <c r="AP47" s="352"/>
      <c r="AQ47" s="352"/>
      <c r="AR47" s="352"/>
      <c r="AS47" s="352"/>
      <c r="AT47" s="352"/>
      <c r="AU47" s="352"/>
      <c r="AV47" s="352"/>
      <c r="AW47" s="353"/>
      <c r="AX47" s="354"/>
      <c r="AY47" s="354"/>
      <c r="AZ47" s="354"/>
      <c r="BA47" s="354"/>
      <c r="BB47" s="354"/>
      <c r="BC47" s="355"/>
      <c r="BD47" s="356"/>
      <c r="BE47" s="354"/>
      <c r="BF47" s="354"/>
      <c r="BG47" s="354"/>
      <c r="BH47" s="354"/>
      <c r="BI47" s="354"/>
      <c r="BJ47" s="355"/>
      <c r="BK47" s="160"/>
    </row>
    <row r="48" spans="1:63" ht="15" customHeight="1">
      <c r="A48" s="159"/>
      <c r="B48" s="282"/>
      <c r="C48" s="283"/>
      <c r="D48" s="283"/>
      <c r="E48" s="283"/>
      <c r="F48" s="283"/>
      <c r="G48" s="284"/>
      <c r="H48" s="282"/>
      <c r="I48" s="283"/>
      <c r="J48" s="283"/>
      <c r="K48" s="283"/>
      <c r="L48" s="283"/>
      <c r="M48" s="283"/>
      <c r="N48" s="284"/>
      <c r="O48" s="282"/>
      <c r="P48" s="283"/>
      <c r="Q48" s="283"/>
      <c r="R48" s="283"/>
      <c r="S48" s="357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9"/>
      <c r="AX48" s="360"/>
      <c r="AY48" s="360"/>
      <c r="AZ48" s="360"/>
      <c r="BA48" s="360"/>
      <c r="BB48" s="360"/>
      <c r="BC48" s="361"/>
      <c r="BD48" s="362"/>
      <c r="BE48" s="360"/>
      <c r="BF48" s="360"/>
      <c r="BG48" s="360"/>
      <c r="BH48" s="360"/>
      <c r="BI48" s="360"/>
      <c r="BJ48" s="361"/>
      <c r="BK48" s="160"/>
    </row>
    <row r="49" spans="1:63" ht="15" customHeight="1">
      <c r="A49" s="159"/>
      <c r="B49" s="279"/>
      <c r="C49" s="280"/>
      <c r="D49" s="280"/>
      <c r="E49" s="280"/>
      <c r="F49" s="280"/>
      <c r="G49" s="281"/>
      <c r="H49" s="279"/>
      <c r="I49" s="280"/>
      <c r="J49" s="280"/>
      <c r="K49" s="280"/>
      <c r="L49" s="280"/>
      <c r="M49" s="280"/>
      <c r="N49" s="281"/>
      <c r="O49" s="279"/>
      <c r="P49" s="280"/>
      <c r="Q49" s="280"/>
      <c r="R49" s="280"/>
      <c r="S49" s="363"/>
      <c r="T49" s="352"/>
      <c r="U49" s="352"/>
      <c r="V49" s="352"/>
      <c r="W49" s="352"/>
      <c r="X49" s="352"/>
      <c r="Y49" s="352"/>
      <c r="Z49" s="352"/>
      <c r="AA49" s="352"/>
      <c r="AB49" s="352"/>
      <c r="AC49" s="352"/>
      <c r="AD49" s="352"/>
      <c r="AE49" s="352"/>
      <c r="AF49" s="352"/>
      <c r="AG49" s="352"/>
      <c r="AH49" s="352"/>
      <c r="AI49" s="352"/>
      <c r="AJ49" s="352"/>
      <c r="AK49" s="352"/>
      <c r="AL49" s="352"/>
      <c r="AM49" s="352"/>
      <c r="AN49" s="352"/>
      <c r="AO49" s="352"/>
      <c r="AP49" s="352"/>
      <c r="AQ49" s="352"/>
      <c r="AR49" s="352"/>
      <c r="AS49" s="352"/>
      <c r="AT49" s="352"/>
      <c r="AU49" s="352"/>
      <c r="AV49" s="352"/>
      <c r="AW49" s="353"/>
      <c r="AX49" s="354"/>
      <c r="AY49" s="354"/>
      <c r="AZ49" s="354"/>
      <c r="BA49" s="354"/>
      <c r="BB49" s="354"/>
      <c r="BC49" s="355"/>
      <c r="BD49" s="356"/>
      <c r="BE49" s="354"/>
      <c r="BF49" s="354"/>
      <c r="BG49" s="354"/>
      <c r="BH49" s="354"/>
      <c r="BI49" s="354"/>
      <c r="BJ49" s="355"/>
      <c r="BK49" s="160"/>
    </row>
    <row r="50" spans="1:63" ht="15" customHeight="1">
      <c r="A50" s="159"/>
      <c r="B50" s="282"/>
      <c r="C50" s="283"/>
      <c r="D50" s="283"/>
      <c r="E50" s="283"/>
      <c r="F50" s="283"/>
      <c r="G50" s="284"/>
      <c r="H50" s="282"/>
      <c r="I50" s="283"/>
      <c r="J50" s="283"/>
      <c r="K50" s="283"/>
      <c r="L50" s="283"/>
      <c r="M50" s="283"/>
      <c r="N50" s="284"/>
      <c r="O50" s="282"/>
      <c r="P50" s="283"/>
      <c r="Q50" s="283"/>
      <c r="R50" s="283"/>
      <c r="S50" s="357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9"/>
      <c r="AX50" s="360"/>
      <c r="AY50" s="360"/>
      <c r="AZ50" s="360"/>
      <c r="BA50" s="360"/>
      <c r="BB50" s="360"/>
      <c r="BC50" s="361"/>
      <c r="BD50" s="362"/>
      <c r="BE50" s="360"/>
      <c r="BF50" s="360"/>
      <c r="BG50" s="360"/>
      <c r="BH50" s="360"/>
      <c r="BI50" s="360"/>
      <c r="BJ50" s="361"/>
      <c r="BK50" s="160"/>
    </row>
    <row r="51" spans="1:63" ht="15" customHeight="1">
      <c r="A51" s="159"/>
      <c r="B51" s="279"/>
      <c r="C51" s="280"/>
      <c r="D51" s="280"/>
      <c r="E51" s="280"/>
      <c r="F51" s="280"/>
      <c r="G51" s="281"/>
      <c r="H51" s="279"/>
      <c r="I51" s="280"/>
      <c r="J51" s="280"/>
      <c r="K51" s="280"/>
      <c r="L51" s="280"/>
      <c r="M51" s="280"/>
      <c r="N51" s="281"/>
      <c r="O51" s="279"/>
      <c r="P51" s="280"/>
      <c r="Q51" s="280"/>
      <c r="R51" s="280"/>
      <c r="S51" s="363"/>
      <c r="T51" s="352"/>
      <c r="U51" s="352"/>
      <c r="V51" s="352"/>
      <c r="W51" s="352"/>
      <c r="X51" s="352"/>
      <c r="Y51" s="352"/>
      <c r="Z51" s="352"/>
      <c r="AA51" s="352"/>
      <c r="AB51" s="352"/>
      <c r="AC51" s="352"/>
      <c r="AD51" s="352"/>
      <c r="AE51" s="352"/>
      <c r="AF51" s="352"/>
      <c r="AG51" s="352"/>
      <c r="AH51" s="352"/>
      <c r="AI51" s="352"/>
      <c r="AJ51" s="352"/>
      <c r="AK51" s="352"/>
      <c r="AL51" s="352"/>
      <c r="AM51" s="352"/>
      <c r="AN51" s="352"/>
      <c r="AO51" s="352"/>
      <c r="AP51" s="352"/>
      <c r="AQ51" s="352"/>
      <c r="AR51" s="352"/>
      <c r="AS51" s="352"/>
      <c r="AT51" s="352"/>
      <c r="AU51" s="352"/>
      <c r="AV51" s="352"/>
      <c r="AW51" s="353"/>
      <c r="AX51" s="354"/>
      <c r="AY51" s="354"/>
      <c r="AZ51" s="354"/>
      <c r="BA51" s="354"/>
      <c r="BB51" s="354"/>
      <c r="BC51" s="355"/>
      <c r="BD51" s="356"/>
      <c r="BE51" s="354"/>
      <c r="BF51" s="354"/>
      <c r="BG51" s="354"/>
      <c r="BH51" s="354"/>
      <c r="BI51" s="354"/>
      <c r="BJ51" s="355"/>
      <c r="BK51" s="160"/>
    </row>
    <row r="52" spans="1:63" ht="15" customHeight="1">
      <c r="A52" s="159"/>
      <c r="B52" s="282"/>
      <c r="C52" s="283"/>
      <c r="D52" s="283"/>
      <c r="E52" s="283"/>
      <c r="F52" s="283"/>
      <c r="G52" s="284"/>
      <c r="H52" s="282"/>
      <c r="I52" s="283"/>
      <c r="J52" s="283"/>
      <c r="K52" s="283"/>
      <c r="L52" s="283"/>
      <c r="M52" s="283"/>
      <c r="N52" s="284"/>
      <c r="O52" s="282"/>
      <c r="P52" s="283"/>
      <c r="Q52" s="283"/>
      <c r="R52" s="283"/>
      <c r="S52" s="357"/>
      <c r="T52" s="358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358"/>
      <c r="AJ52" s="358"/>
      <c r="AK52" s="358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9"/>
      <c r="AX52" s="360"/>
      <c r="AY52" s="360"/>
      <c r="AZ52" s="360"/>
      <c r="BA52" s="360"/>
      <c r="BB52" s="360"/>
      <c r="BC52" s="361"/>
      <c r="BD52" s="362"/>
      <c r="BE52" s="360"/>
      <c r="BF52" s="360"/>
      <c r="BG52" s="360"/>
      <c r="BH52" s="360"/>
      <c r="BI52" s="360"/>
      <c r="BJ52" s="361"/>
      <c r="BK52" s="160"/>
    </row>
    <row r="53" spans="1:63" ht="15" customHeight="1">
      <c r="A53" s="159"/>
      <c r="B53" s="279"/>
      <c r="C53" s="280"/>
      <c r="D53" s="280"/>
      <c r="E53" s="280"/>
      <c r="F53" s="280"/>
      <c r="G53" s="281"/>
      <c r="H53" s="279"/>
      <c r="I53" s="280"/>
      <c r="J53" s="280"/>
      <c r="K53" s="280"/>
      <c r="L53" s="280"/>
      <c r="M53" s="280"/>
      <c r="N53" s="281"/>
      <c r="O53" s="279"/>
      <c r="P53" s="280"/>
      <c r="Q53" s="280"/>
      <c r="R53" s="280"/>
      <c r="S53" s="363"/>
      <c r="T53" s="352"/>
      <c r="U53" s="352"/>
      <c r="V53" s="352"/>
      <c r="W53" s="352"/>
      <c r="X53" s="352"/>
      <c r="Y53" s="352"/>
      <c r="Z53" s="352"/>
      <c r="AA53" s="352"/>
      <c r="AB53" s="352"/>
      <c r="AC53" s="352"/>
      <c r="AD53" s="352"/>
      <c r="AE53" s="352"/>
      <c r="AF53" s="352"/>
      <c r="AG53" s="352"/>
      <c r="AH53" s="352"/>
      <c r="AI53" s="352"/>
      <c r="AJ53" s="352"/>
      <c r="AK53" s="352"/>
      <c r="AL53" s="352"/>
      <c r="AM53" s="352"/>
      <c r="AN53" s="352"/>
      <c r="AO53" s="352"/>
      <c r="AP53" s="352"/>
      <c r="AQ53" s="352"/>
      <c r="AR53" s="352"/>
      <c r="AS53" s="352"/>
      <c r="AT53" s="352"/>
      <c r="AU53" s="352"/>
      <c r="AV53" s="352"/>
      <c r="AW53" s="353"/>
      <c r="AX53" s="354"/>
      <c r="AY53" s="354"/>
      <c r="AZ53" s="354"/>
      <c r="BA53" s="354"/>
      <c r="BB53" s="354"/>
      <c r="BC53" s="355"/>
      <c r="BD53" s="356"/>
      <c r="BE53" s="354"/>
      <c r="BF53" s="354"/>
      <c r="BG53" s="354"/>
      <c r="BH53" s="354"/>
      <c r="BI53" s="354"/>
      <c r="BJ53" s="355"/>
      <c r="BK53" s="160"/>
    </row>
    <row r="54" spans="1:63" ht="15" customHeight="1">
      <c r="A54" s="159"/>
      <c r="B54" s="282"/>
      <c r="C54" s="283"/>
      <c r="D54" s="283"/>
      <c r="E54" s="283"/>
      <c r="F54" s="283"/>
      <c r="G54" s="284"/>
      <c r="H54" s="282"/>
      <c r="I54" s="283"/>
      <c r="J54" s="283"/>
      <c r="K54" s="283"/>
      <c r="L54" s="283"/>
      <c r="M54" s="283"/>
      <c r="N54" s="284"/>
      <c r="O54" s="282"/>
      <c r="P54" s="283"/>
      <c r="Q54" s="283"/>
      <c r="R54" s="283"/>
      <c r="S54" s="357"/>
      <c r="T54" s="358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8"/>
      <c r="AH54" s="358"/>
      <c r="AI54" s="358"/>
      <c r="AJ54" s="358"/>
      <c r="AK54" s="358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9"/>
      <c r="AX54" s="360"/>
      <c r="AY54" s="360"/>
      <c r="AZ54" s="360"/>
      <c r="BA54" s="360"/>
      <c r="BB54" s="360"/>
      <c r="BC54" s="361"/>
      <c r="BD54" s="362"/>
      <c r="BE54" s="360"/>
      <c r="BF54" s="360"/>
      <c r="BG54" s="360"/>
      <c r="BH54" s="360"/>
      <c r="BI54" s="360"/>
      <c r="BJ54" s="361"/>
      <c r="BK54" s="160"/>
    </row>
    <row r="55" spans="1:63" ht="15" customHeight="1">
      <c r="A55" s="158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8C26-F3F1-4A93-83EC-C4818D754A1E}">
  <sheetPr>
    <pageSetUpPr fitToPage="1"/>
  </sheetPr>
  <dimension ref="A1:BL46"/>
  <sheetViews>
    <sheetView showGridLines="0" view="pageBreakPreview" zoomScale="85" zoomScaleNormal="85" zoomScaleSheetLayoutView="85" workbookViewId="0">
      <selection sqref="A1:J1"/>
    </sheetView>
  </sheetViews>
  <sheetFormatPr defaultRowHeight="19.5"/>
  <cols>
    <col min="1" max="35" width="2.77734375" style="49" customWidth="1"/>
    <col min="36" max="36" width="6.6640625" style="49" customWidth="1"/>
    <col min="37" max="64" width="2.77734375" style="49" customWidth="1"/>
    <col min="65" max="16384" width="8.88671875" style="49"/>
  </cols>
  <sheetData>
    <row r="1" spans="1:64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  <c r="BL1" s="48"/>
    </row>
    <row r="2" spans="1:64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  <c r="BL2" s="50"/>
    </row>
    <row r="3" spans="1:64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  <c r="BL3" s="50"/>
    </row>
    <row r="4" spans="1:64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18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  <c r="BL4" s="50"/>
    </row>
    <row r="5" spans="1:64" ht="5.0999999999999996" customHeight="1">
      <c r="A5" s="5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3"/>
    </row>
    <row r="7" spans="1:64">
      <c r="D7" s="54" t="s">
        <v>25</v>
      </c>
    </row>
    <row r="8" spans="1:64">
      <c r="D8" s="54"/>
      <c r="E8" s="54" t="s">
        <v>26</v>
      </c>
    </row>
    <row r="9" spans="1:64">
      <c r="G9" s="49" t="s">
        <v>27</v>
      </c>
    </row>
    <row r="10" spans="1:64">
      <c r="H10" s="49" t="s">
        <v>28</v>
      </c>
    </row>
    <row r="11" spans="1:64">
      <c r="L11" s="49" t="s">
        <v>29</v>
      </c>
    </row>
    <row r="12" spans="1:64">
      <c r="H12" s="49" t="s">
        <v>30</v>
      </c>
    </row>
    <row r="13" spans="1:64"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spans="1:64">
      <c r="G14" s="49" t="s">
        <v>31</v>
      </c>
    </row>
    <row r="15" spans="1:64">
      <c r="H15" s="49" t="s">
        <v>32</v>
      </c>
    </row>
    <row r="16" spans="1:64">
      <c r="L16" s="49" t="s">
        <v>33</v>
      </c>
    </row>
    <row r="17" spans="5:27">
      <c r="L17" s="49" t="s">
        <v>11</v>
      </c>
    </row>
    <row r="18" spans="5:27">
      <c r="H18" s="49" t="s">
        <v>34</v>
      </c>
    </row>
    <row r="19" spans="5:27">
      <c r="L19" s="49" t="s">
        <v>35</v>
      </c>
    </row>
    <row r="20" spans="5:27">
      <c r="L20" s="49" t="s">
        <v>36</v>
      </c>
    </row>
    <row r="21" spans="5:27">
      <c r="L21" s="49" t="s">
        <v>37</v>
      </c>
    </row>
    <row r="22" spans="5:27">
      <c r="H22" s="49" t="s">
        <v>38</v>
      </c>
    </row>
    <row r="23" spans="5:27">
      <c r="G23" s="49" t="s">
        <v>39</v>
      </c>
    </row>
    <row r="25" spans="5:27">
      <c r="H25" s="56" t="s">
        <v>40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</row>
    <row r="26" spans="5:27">
      <c r="H26" s="56"/>
      <c r="I26" s="56" t="s">
        <v>41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</row>
    <row r="28" spans="5:27">
      <c r="E28" s="54" t="s">
        <v>42</v>
      </c>
    </row>
    <row r="29" spans="5:27">
      <c r="G29" s="49" t="s">
        <v>43</v>
      </c>
    </row>
    <row r="30" spans="5:27">
      <c r="G30" s="55" t="s">
        <v>44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5:27">
      <c r="G31" s="55" t="s">
        <v>45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5:27">
      <c r="G32" s="55" t="s">
        <v>46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4" spans="4:34">
      <c r="D34" s="54" t="s">
        <v>47</v>
      </c>
    </row>
    <row r="36" spans="4:34">
      <c r="H36" s="286" t="s">
        <v>12</v>
      </c>
      <c r="I36" s="286"/>
      <c r="J36" s="286"/>
      <c r="K36" s="286"/>
      <c r="L36" s="286"/>
      <c r="M36" s="286"/>
      <c r="N36" s="286"/>
      <c r="O36" s="286"/>
      <c r="P36" s="286"/>
      <c r="Q36" s="286"/>
      <c r="R36" s="287" t="s">
        <v>48</v>
      </c>
      <c r="S36" s="287"/>
      <c r="T36" s="287"/>
      <c r="U36" s="287"/>
      <c r="V36" s="287"/>
      <c r="W36" s="287"/>
      <c r="X36" s="287" t="s">
        <v>49</v>
      </c>
      <c r="Y36" s="287"/>
      <c r="Z36" s="287"/>
      <c r="AA36" s="287"/>
      <c r="AB36" s="287"/>
      <c r="AC36" s="287" t="s">
        <v>50</v>
      </c>
      <c r="AD36" s="287"/>
      <c r="AE36" s="287"/>
      <c r="AF36" s="287"/>
      <c r="AG36" s="287"/>
      <c r="AH36" s="287"/>
    </row>
    <row r="37" spans="4:34">
      <c r="H37" s="286" t="s">
        <v>51</v>
      </c>
      <c r="I37" s="286"/>
      <c r="J37" s="286"/>
      <c r="K37" s="286"/>
      <c r="L37" s="286"/>
      <c r="M37" s="286"/>
      <c r="N37" s="286"/>
      <c r="O37" s="286"/>
      <c r="P37" s="286"/>
      <c r="Q37" s="286"/>
      <c r="R37" s="288">
        <f>機能一覧!BS6</f>
        <v>1.295625</v>
      </c>
      <c r="S37" s="289"/>
      <c r="T37" s="289"/>
      <c r="U37" s="289"/>
      <c r="V37" s="289"/>
      <c r="W37" s="290"/>
      <c r="X37" s="291" t="s">
        <v>52</v>
      </c>
      <c r="Y37" s="289"/>
      <c r="Z37" s="289"/>
      <c r="AA37" s="289"/>
      <c r="AB37" s="290"/>
      <c r="AC37" s="291"/>
      <c r="AD37" s="289"/>
      <c r="AE37" s="289"/>
      <c r="AF37" s="289"/>
      <c r="AG37" s="289"/>
      <c r="AH37" s="290"/>
    </row>
    <row r="38" spans="4:34">
      <c r="H38" s="286" t="s">
        <v>53</v>
      </c>
      <c r="I38" s="286"/>
      <c r="J38" s="286"/>
      <c r="K38" s="286"/>
      <c r="L38" s="286"/>
      <c r="M38" s="286"/>
      <c r="N38" s="286"/>
      <c r="O38" s="286"/>
      <c r="P38" s="286"/>
      <c r="Q38" s="286"/>
      <c r="R38" s="288">
        <f>機能一覧!BT6</f>
        <v>4.3187499999999996</v>
      </c>
      <c r="S38" s="289"/>
      <c r="T38" s="289"/>
      <c r="U38" s="289"/>
      <c r="V38" s="289"/>
      <c r="W38" s="290"/>
      <c r="X38" s="291" t="s">
        <v>52</v>
      </c>
      <c r="Y38" s="289"/>
      <c r="Z38" s="289"/>
      <c r="AA38" s="289"/>
      <c r="AB38" s="290"/>
      <c r="AC38" s="291"/>
      <c r="AD38" s="289"/>
      <c r="AE38" s="289"/>
      <c r="AF38" s="289"/>
      <c r="AG38" s="289"/>
      <c r="AH38" s="290"/>
    </row>
    <row r="39" spans="4:34">
      <c r="H39" s="286" t="s">
        <v>54</v>
      </c>
      <c r="I39" s="286"/>
      <c r="J39" s="286"/>
      <c r="K39" s="286"/>
      <c r="L39" s="286"/>
      <c r="M39" s="286"/>
      <c r="N39" s="286"/>
      <c r="O39" s="286"/>
      <c r="P39" s="286"/>
      <c r="Q39" s="286"/>
      <c r="R39" s="288">
        <f>機能一覧!BU6</f>
        <v>0.86374999999999957</v>
      </c>
      <c r="S39" s="289"/>
      <c r="T39" s="289"/>
      <c r="U39" s="289"/>
      <c r="V39" s="289"/>
      <c r="W39" s="290"/>
      <c r="X39" s="291" t="s">
        <v>52</v>
      </c>
      <c r="Y39" s="289"/>
      <c r="Z39" s="289"/>
      <c r="AA39" s="289"/>
      <c r="AB39" s="290"/>
      <c r="AC39" s="291"/>
      <c r="AD39" s="289"/>
      <c r="AE39" s="289"/>
      <c r="AF39" s="289"/>
      <c r="AG39" s="289"/>
      <c r="AH39" s="290"/>
    </row>
    <row r="40" spans="4:34">
      <c r="H40" s="286" t="s">
        <v>55</v>
      </c>
      <c r="I40" s="286"/>
      <c r="J40" s="286"/>
      <c r="K40" s="286"/>
      <c r="L40" s="286"/>
      <c r="M40" s="286"/>
      <c r="N40" s="286"/>
      <c r="O40" s="286"/>
      <c r="P40" s="286"/>
      <c r="Q40" s="286"/>
      <c r="R40" s="288">
        <f>機能一覧!BV6</f>
        <v>0.43187499999999979</v>
      </c>
      <c r="S40" s="289"/>
      <c r="T40" s="289"/>
      <c r="U40" s="289"/>
      <c r="V40" s="289"/>
      <c r="W40" s="290"/>
      <c r="X40" s="291" t="s">
        <v>52</v>
      </c>
      <c r="Y40" s="289"/>
      <c r="Z40" s="289"/>
      <c r="AA40" s="289"/>
      <c r="AB40" s="290"/>
      <c r="AC40" s="291"/>
      <c r="AD40" s="289"/>
      <c r="AE40" s="289"/>
      <c r="AF40" s="289"/>
      <c r="AG40" s="289"/>
      <c r="AH40" s="290"/>
    </row>
    <row r="41" spans="4:34">
      <c r="H41" s="286" t="s">
        <v>56</v>
      </c>
      <c r="I41" s="286"/>
      <c r="J41" s="286"/>
      <c r="K41" s="286"/>
      <c r="L41" s="286"/>
      <c r="M41" s="286"/>
      <c r="N41" s="286"/>
      <c r="O41" s="286"/>
      <c r="P41" s="286"/>
      <c r="Q41" s="286"/>
      <c r="R41" s="288">
        <f>機能一覧!BW6</f>
        <v>0.86374999999999957</v>
      </c>
      <c r="S41" s="289"/>
      <c r="T41" s="289"/>
      <c r="U41" s="289"/>
      <c r="V41" s="289"/>
      <c r="W41" s="290"/>
      <c r="X41" s="291" t="s">
        <v>52</v>
      </c>
      <c r="Y41" s="289"/>
      <c r="Z41" s="289"/>
      <c r="AA41" s="289"/>
      <c r="AB41" s="290"/>
      <c r="AC41" s="291"/>
      <c r="AD41" s="289"/>
      <c r="AE41" s="289"/>
      <c r="AF41" s="289"/>
      <c r="AG41" s="289"/>
      <c r="AH41" s="290"/>
    </row>
    <row r="42" spans="4:34">
      <c r="H42" s="286" t="s">
        <v>57</v>
      </c>
      <c r="I42" s="286"/>
      <c r="J42" s="286"/>
      <c r="K42" s="286"/>
      <c r="L42" s="286"/>
      <c r="M42" s="286"/>
      <c r="N42" s="286"/>
      <c r="O42" s="286"/>
      <c r="P42" s="286"/>
      <c r="Q42" s="286"/>
      <c r="R42" s="288">
        <f>機能一覧!BX6</f>
        <v>0.43187499999999979</v>
      </c>
      <c r="S42" s="289"/>
      <c r="T42" s="289"/>
      <c r="U42" s="289"/>
      <c r="V42" s="289"/>
      <c r="W42" s="290"/>
      <c r="X42" s="291" t="s">
        <v>52</v>
      </c>
      <c r="Y42" s="289"/>
      <c r="Z42" s="289"/>
      <c r="AA42" s="289"/>
      <c r="AB42" s="290"/>
      <c r="AC42" s="291"/>
      <c r="AD42" s="289"/>
      <c r="AE42" s="289"/>
      <c r="AF42" s="289"/>
      <c r="AG42" s="289"/>
      <c r="AH42" s="290"/>
    </row>
    <row r="43" spans="4:34">
      <c r="H43" s="286" t="s">
        <v>58</v>
      </c>
      <c r="I43" s="286"/>
      <c r="J43" s="286"/>
      <c r="K43" s="286"/>
      <c r="L43" s="286"/>
      <c r="M43" s="286"/>
      <c r="N43" s="286"/>
      <c r="O43" s="286"/>
      <c r="P43" s="286"/>
      <c r="Q43" s="286"/>
      <c r="R43" s="288">
        <f>機能一覧!BY6</f>
        <v>0.86374999999999957</v>
      </c>
      <c r="S43" s="289"/>
      <c r="T43" s="289"/>
      <c r="U43" s="289"/>
      <c r="V43" s="289"/>
      <c r="W43" s="290"/>
      <c r="X43" s="291" t="s">
        <v>52</v>
      </c>
      <c r="Y43" s="289"/>
      <c r="Z43" s="289"/>
      <c r="AA43" s="289"/>
      <c r="AB43" s="290"/>
      <c r="AC43" s="291"/>
      <c r="AD43" s="289"/>
      <c r="AE43" s="289"/>
      <c r="AF43" s="289"/>
      <c r="AG43" s="289"/>
      <c r="AH43" s="290"/>
    </row>
    <row r="44" spans="4:34">
      <c r="H44" s="286" t="s">
        <v>59</v>
      </c>
      <c r="I44" s="286"/>
      <c r="J44" s="286"/>
      <c r="K44" s="286"/>
      <c r="L44" s="286"/>
      <c r="M44" s="286"/>
      <c r="N44" s="286"/>
      <c r="O44" s="286"/>
      <c r="P44" s="286"/>
      <c r="Q44" s="286"/>
      <c r="R44" s="292">
        <f>SUM(R37:W43)</f>
        <v>9.0693749999999973</v>
      </c>
      <c r="S44" s="293"/>
      <c r="T44" s="293"/>
      <c r="U44" s="293"/>
      <c r="V44" s="293"/>
      <c r="W44" s="294"/>
      <c r="X44" s="291" t="s">
        <v>52</v>
      </c>
      <c r="Y44" s="289"/>
      <c r="Z44" s="289"/>
      <c r="AA44" s="289"/>
      <c r="AB44" s="290"/>
      <c r="AC44" s="291"/>
      <c r="AD44" s="289"/>
      <c r="AE44" s="289"/>
      <c r="AF44" s="289"/>
      <c r="AG44" s="289"/>
      <c r="AH44" s="290"/>
    </row>
    <row r="45" spans="4:34">
      <c r="H45" s="286" t="s">
        <v>60</v>
      </c>
      <c r="I45" s="286"/>
      <c r="J45" s="286"/>
      <c r="K45" s="286"/>
      <c r="L45" s="286"/>
      <c r="M45" s="286"/>
      <c r="N45" s="286"/>
      <c r="O45" s="286"/>
      <c r="P45" s="286"/>
      <c r="Q45" s="286"/>
      <c r="R45" s="295">
        <f>R44*AC45</f>
        <v>1.3604062499999996</v>
      </c>
      <c r="S45" s="296"/>
      <c r="T45" s="296"/>
      <c r="U45" s="296"/>
      <c r="V45" s="296"/>
      <c r="W45" s="297"/>
      <c r="X45" s="291" t="s">
        <v>52</v>
      </c>
      <c r="Y45" s="289"/>
      <c r="Z45" s="289"/>
      <c r="AA45" s="289"/>
      <c r="AB45" s="290"/>
      <c r="AC45" s="298">
        <v>0.15</v>
      </c>
      <c r="AD45" s="289"/>
      <c r="AE45" s="289"/>
      <c r="AF45" s="289"/>
      <c r="AG45" s="289"/>
      <c r="AH45" s="290"/>
    </row>
    <row r="46" spans="4:34">
      <c r="H46" s="286" t="s">
        <v>61</v>
      </c>
      <c r="I46" s="286"/>
      <c r="J46" s="286"/>
      <c r="K46" s="286"/>
      <c r="L46" s="286"/>
      <c r="M46" s="286"/>
      <c r="N46" s="286"/>
      <c r="O46" s="286"/>
      <c r="P46" s="286"/>
      <c r="Q46" s="286"/>
      <c r="R46" s="292">
        <f>SUM(R44,R45)</f>
        <v>10.429781249999998</v>
      </c>
      <c r="S46" s="293"/>
      <c r="T46" s="293"/>
      <c r="U46" s="293"/>
      <c r="V46" s="293"/>
      <c r="W46" s="294"/>
      <c r="X46" s="291" t="s">
        <v>52</v>
      </c>
      <c r="Y46" s="289"/>
      <c r="Z46" s="289"/>
      <c r="AA46" s="289"/>
      <c r="AB46" s="290"/>
      <c r="AC46" s="291"/>
      <c r="AD46" s="289"/>
      <c r="AE46" s="289"/>
      <c r="AF46" s="289"/>
      <c r="AG46" s="289"/>
      <c r="AH46" s="290"/>
    </row>
  </sheetData>
  <mergeCells count="64">
    <mergeCell ref="X46:AB46"/>
    <mergeCell ref="AC43:AH43"/>
    <mergeCell ref="R46:W46"/>
    <mergeCell ref="AC46:AH46"/>
    <mergeCell ref="R44:W44"/>
    <mergeCell ref="X44:AB44"/>
    <mergeCell ref="AC44:AH44"/>
    <mergeCell ref="R45:W45"/>
    <mergeCell ref="X45:AB45"/>
    <mergeCell ref="AC45:AH45"/>
    <mergeCell ref="X42:AB42"/>
    <mergeCell ref="AC42:AH42"/>
    <mergeCell ref="H43:Q43"/>
    <mergeCell ref="R43:W43"/>
    <mergeCell ref="X43:AB43"/>
    <mergeCell ref="X40:AB40"/>
    <mergeCell ref="AC40:AH40"/>
    <mergeCell ref="R41:W41"/>
    <mergeCell ref="X41:AB41"/>
    <mergeCell ref="AC41:AH41"/>
    <mergeCell ref="X38:AB38"/>
    <mergeCell ref="AC38:AH38"/>
    <mergeCell ref="R39:W39"/>
    <mergeCell ref="X39:AB39"/>
    <mergeCell ref="AC39:AH39"/>
    <mergeCell ref="X36:AB36"/>
    <mergeCell ref="AC36:AH36"/>
    <mergeCell ref="R37:W37"/>
    <mergeCell ref="X37:AB37"/>
    <mergeCell ref="AC37:AH37"/>
    <mergeCell ref="H41:Q41"/>
    <mergeCell ref="H44:Q44"/>
    <mergeCell ref="H45:Q45"/>
    <mergeCell ref="H46:Q46"/>
    <mergeCell ref="A4:G4"/>
    <mergeCell ref="H4:T4"/>
    <mergeCell ref="H36:Q36"/>
    <mergeCell ref="H37:Q37"/>
    <mergeCell ref="H38:Q38"/>
    <mergeCell ref="H39:Q39"/>
    <mergeCell ref="H40:Q40"/>
    <mergeCell ref="R36:W36"/>
    <mergeCell ref="R38:W38"/>
    <mergeCell ref="R40:W40"/>
    <mergeCell ref="H42:Q42"/>
    <mergeCell ref="R42:W42"/>
    <mergeCell ref="AY2:BB3"/>
    <mergeCell ref="U4:Y4"/>
    <mergeCell ref="Z4:AO4"/>
    <mergeCell ref="AP4:BK4"/>
    <mergeCell ref="BC1:BG1"/>
    <mergeCell ref="BH1:BK1"/>
    <mergeCell ref="BC2:BG3"/>
    <mergeCell ref="BH2:BK3"/>
    <mergeCell ref="AY1:BB1"/>
    <mergeCell ref="A1:J1"/>
    <mergeCell ref="K1:V1"/>
    <mergeCell ref="W1:AO3"/>
    <mergeCell ref="AP1:AS1"/>
    <mergeCell ref="AT1:AX1"/>
    <mergeCell ref="A2:J3"/>
    <mergeCell ref="K2:V3"/>
    <mergeCell ref="AP2:AS3"/>
    <mergeCell ref="AT2:AX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fitToHeight="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E15F-69DC-4F91-B793-DF690D727F0E}">
  <sheetPr>
    <pageSetUpPr fitToPage="1"/>
  </sheetPr>
  <dimension ref="A2:P74"/>
  <sheetViews>
    <sheetView tabSelected="1" view="pageBreakPreview" topLeftCell="A25" zoomScaleNormal="100" zoomScaleSheetLayoutView="100" workbookViewId="0">
      <selection activeCell="J38" sqref="J38"/>
    </sheetView>
  </sheetViews>
  <sheetFormatPr defaultRowHeight="15.75"/>
  <cols>
    <col min="1" max="1" width="3.88671875" style="161" customWidth="1"/>
    <col min="2" max="2" width="3.6640625" style="162" customWidth="1"/>
    <col min="3" max="3" width="41.44140625" style="162" customWidth="1"/>
    <col min="4" max="4" width="11.33203125" style="162" customWidth="1"/>
    <col min="5" max="5" width="9.77734375" style="161" customWidth="1"/>
    <col min="6" max="9" width="4.77734375" style="161" customWidth="1"/>
    <col min="10" max="13" width="5.44140625" style="161" customWidth="1"/>
    <col min="14" max="14" width="25" style="161" customWidth="1"/>
    <col min="15" max="16384" width="8.88671875" style="161"/>
  </cols>
  <sheetData>
    <row r="2" spans="2:13" ht="24" customHeight="1">
      <c r="B2" s="163" t="s">
        <v>62</v>
      </c>
      <c r="C2" s="201"/>
      <c r="D2" s="161"/>
    </row>
    <row r="3" spans="2:13" ht="15" customHeight="1">
      <c r="B3" s="301"/>
      <c r="C3" s="302" t="s">
        <v>63</v>
      </c>
      <c r="D3" s="302" t="s">
        <v>64</v>
      </c>
      <c r="E3" s="312" t="s">
        <v>65</v>
      </c>
      <c r="F3" s="313" t="s">
        <v>66</v>
      </c>
      <c r="G3" s="314"/>
      <c r="H3" s="314"/>
      <c r="I3" s="314"/>
      <c r="J3" s="313" t="s">
        <v>67</v>
      </c>
      <c r="K3" s="314"/>
      <c r="L3" s="314"/>
      <c r="M3" s="315"/>
    </row>
    <row r="4" spans="2:13">
      <c r="B4" s="301"/>
      <c r="C4" s="302"/>
      <c r="D4" s="302"/>
      <c r="E4" s="312"/>
      <c r="F4" s="164">
        <v>1</v>
      </c>
      <c r="G4" s="165">
        <v>2</v>
      </c>
      <c r="H4" s="165">
        <v>3</v>
      </c>
      <c r="I4" s="165">
        <v>4</v>
      </c>
      <c r="J4" s="164">
        <v>1</v>
      </c>
      <c r="K4" s="165">
        <v>2</v>
      </c>
      <c r="L4" s="166">
        <v>3</v>
      </c>
      <c r="M4" s="165">
        <v>4</v>
      </c>
    </row>
    <row r="5" spans="2:13" ht="16.5" thickBot="1">
      <c r="B5" s="167"/>
      <c r="C5" s="167"/>
      <c r="D5" s="167"/>
      <c r="E5" s="168"/>
      <c r="F5" s="169"/>
      <c r="G5" s="169"/>
      <c r="H5" s="169"/>
      <c r="I5" s="169"/>
      <c r="J5" s="169"/>
      <c r="K5" s="169"/>
      <c r="L5" s="170"/>
      <c r="M5" s="171"/>
    </row>
    <row r="6" spans="2:13">
      <c r="B6" s="172">
        <v>1</v>
      </c>
      <c r="C6" s="173" t="s">
        <v>68</v>
      </c>
      <c r="D6" s="174"/>
      <c r="E6" s="200" t="s">
        <v>69</v>
      </c>
      <c r="F6" s="175"/>
      <c r="G6" s="175"/>
      <c r="H6" s="175"/>
      <c r="I6" s="175"/>
      <c r="J6" s="176"/>
      <c r="K6" s="176"/>
      <c r="L6" s="176"/>
      <c r="M6" s="176"/>
    </row>
    <row r="7" spans="2:13" ht="17.25" customHeight="1">
      <c r="B7" s="172">
        <v>3</v>
      </c>
      <c r="C7" s="177" t="s">
        <v>70</v>
      </c>
      <c r="D7" s="174" t="s">
        <v>71</v>
      </c>
      <c r="E7" s="200" t="s">
        <v>69</v>
      </c>
      <c r="F7" s="175"/>
      <c r="G7" s="175"/>
      <c r="H7" s="175"/>
      <c r="I7" s="175"/>
      <c r="J7" s="176"/>
      <c r="K7" s="176"/>
      <c r="L7" s="176"/>
      <c r="M7" s="176"/>
    </row>
    <row r="8" spans="2:13" ht="32.25" customHeight="1">
      <c r="B8" s="172">
        <v>4</v>
      </c>
      <c r="C8" s="178" t="s">
        <v>72</v>
      </c>
      <c r="D8" s="179" t="s">
        <v>73</v>
      </c>
      <c r="E8" s="200">
        <v>45443</v>
      </c>
      <c r="F8" s="175"/>
      <c r="G8" s="175"/>
      <c r="H8" s="175"/>
      <c r="I8" s="175"/>
      <c r="J8" s="176"/>
      <c r="K8" s="176"/>
      <c r="L8" s="176"/>
      <c r="M8" s="176"/>
    </row>
    <row r="9" spans="2:13" ht="16.5" customHeight="1">
      <c r="B9" s="172">
        <v>5</v>
      </c>
      <c r="C9" s="177" t="s">
        <v>74</v>
      </c>
      <c r="D9" s="174" t="s">
        <v>75</v>
      </c>
      <c r="E9" s="200">
        <v>45446</v>
      </c>
      <c r="F9" s="175"/>
      <c r="G9" s="175"/>
      <c r="H9" s="175"/>
      <c r="I9" s="175"/>
      <c r="J9" s="176"/>
      <c r="K9" s="176"/>
      <c r="L9" s="176"/>
      <c r="M9" s="176"/>
    </row>
    <row r="10" spans="2:13" ht="16.5" customHeight="1">
      <c r="B10" s="172"/>
      <c r="C10" s="180" t="s">
        <v>76</v>
      </c>
      <c r="D10" s="174" t="s">
        <v>71</v>
      </c>
      <c r="E10" s="200"/>
      <c r="F10" s="175"/>
      <c r="G10" s="175"/>
      <c r="H10" s="175"/>
      <c r="I10" s="175"/>
      <c r="J10" s="176"/>
      <c r="K10" s="176"/>
      <c r="L10" s="176"/>
      <c r="M10" s="176"/>
    </row>
    <row r="11" spans="2:13" ht="30.75" customHeight="1">
      <c r="B11" s="172">
        <v>6</v>
      </c>
      <c r="C11" s="178" t="s">
        <v>72</v>
      </c>
      <c r="D11" s="179" t="s">
        <v>73</v>
      </c>
      <c r="E11" s="200">
        <v>45473</v>
      </c>
      <c r="F11" s="175"/>
      <c r="G11" s="175"/>
      <c r="H11" s="175"/>
      <c r="I11" s="175"/>
      <c r="J11" s="176"/>
      <c r="K11" s="176"/>
      <c r="L11" s="176"/>
      <c r="M11" s="176"/>
    </row>
    <row r="12" spans="2:13" ht="19.5" customHeight="1">
      <c r="B12" s="172">
        <v>7</v>
      </c>
      <c r="C12" s="177" t="s">
        <v>74</v>
      </c>
      <c r="D12" s="174" t="s">
        <v>75</v>
      </c>
      <c r="E12" s="200">
        <v>45473</v>
      </c>
      <c r="F12" s="175"/>
      <c r="G12" s="175"/>
      <c r="H12" s="175"/>
      <c r="I12" s="175"/>
      <c r="J12" s="176"/>
      <c r="K12" s="176"/>
      <c r="L12" s="176"/>
      <c r="M12" s="176"/>
    </row>
    <row r="13" spans="2:13" ht="22.5" customHeight="1">
      <c r="B13" s="181"/>
      <c r="C13" s="182"/>
      <c r="D13" s="183"/>
      <c r="E13" s="184"/>
      <c r="F13" s="185"/>
      <c r="G13" s="185"/>
      <c r="H13" s="185"/>
      <c r="I13" s="185"/>
      <c r="J13" s="185"/>
      <c r="K13" s="185"/>
      <c r="L13" s="185"/>
      <c r="M13" s="185"/>
    </row>
    <row r="14" spans="2:13">
      <c r="D14" s="162" t="s">
        <v>71</v>
      </c>
      <c r="E14" s="186">
        <f>SUM(F14:M14)/4</f>
        <v>8</v>
      </c>
      <c r="F14" s="187">
        <v>4</v>
      </c>
      <c r="G14" s="187">
        <v>4</v>
      </c>
      <c r="H14" s="187">
        <v>4</v>
      </c>
      <c r="I14" s="187">
        <v>4</v>
      </c>
      <c r="J14" s="176">
        <v>4</v>
      </c>
      <c r="K14" s="176">
        <v>4</v>
      </c>
      <c r="L14" s="176">
        <v>4</v>
      </c>
      <c r="M14" s="176">
        <v>4</v>
      </c>
    </row>
    <row r="15" spans="2:13">
      <c r="C15" s="188" t="s">
        <v>77</v>
      </c>
      <c r="D15" s="162" t="s">
        <v>78</v>
      </c>
      <c r="E15" s="186">
        <f>SUM(F15:M15)/4</f>
        <v>2</v>
      </c>
      <c r="F15" s="187">
        <v>1</v>
      </c>
      <c r="G15" s="187">
        <v>1</v>
      </c>
      <c r="H15" s="187">
        <v>1</v>
      </c>
      <c r="I15" s="187">
        <v>1</v>
      </c>
      <c r="J15" s="176">
        <v>1</v>
      </c>
      <c r="K15" s="176">
        <v>1</v>
      </c>
      <c r="L15" s="176">
        <v>1</v>
      </c>
      <c r="M15" s="176">
        <v>1</v>
      </c>
    </row>
    <row r="16" spans="2:13">
      <c r="D16" s="162" t="s">
        <v>79</v>
      </c>
      <c r="E16" s="186">
        <f>SUM(F16:M16)/4</f>
        <v>2</v>
      </c>
      <c r="F16" s="187">
        <v>1</v>
      </c>
      <c r="G16" s="187">
        <v>1</v>
      </c>
      <c r="H16" s="187">
        <v>1</v>
      </c>
      <c r="I16" s="187">
        <v>1</v>
      </c>
      <c r="J16" s="176">
        <v>1</v>
      </c>
      <c r="K16" s="176">
        <v>1</v>
      </c>
      <c r="L16" s="176">
        <v>1</v>
      </c>
      <c r="M16" s="176">
        <v>1</v>
      </c>
    </row>
    <row r="17" spans="1:16">
      <c r="C17" s="188" t="s">
        <v>80</v>
      </c>
      <c r="D17" s="162" t="s">
        <v>61</v>
      </c>
      <c r="E17" s="189">
        <f>SUM(E14:E16)</f>
        <v>12</v>
      </c>
      <c r="F17" s="316">
        <f>SUM(F14:F16)</f>
        <v>6</v>
      </c>
      <c r="G17" s="316"/>
      <c r="H17" s="316"/>
      <c r="I17" s="316"/>
      <c r="J17" s="316">
        <f>SUM(J14:M16)/4</f>
        <v>6</v>
      </c>
      <c r="K17" s="316"/>
      <c r="L17" s="316"/>
      <c r="M17" s="316"/>
    </row>
    <row r="18" spans="1:16">
      <c r="D18" s="190"/>
      <c r="H18" s="191"/>
      <c r="I18" s="191"/>
      <c r="L18" s="192"/>
    </row>
    <row r="19" spans="1:16">
      <c r="C19" s="188" t="s">
        <v>81</v>
      </c>
      <c r="D19" s="190"/>
      <c r="F19" s="317">
        <f>SUM(F17:M17)</f>
        <v>12</v>
      </c>
      <c r="G19" s="317"/>
      <c r="H19" s="317"/>
      <c r="I19" s="317"/>
      <c r="J19" s="317"/>
      <c r="K19" s="317"/>
      <c r="L19" s="317"/>
      <c r="M19" s="317"/>
    </row>
    <row r="21" spans="1:16" ht="13.5" customHeight="1">
      <c r="B21" s="303"/>
      <c r="C21" s="305" t="s">
        <v>63</v>
      </c>
      <c r="D21" s="318" t="s">
        <v>65</v>
      </c>
      <c r="E21" s="319"/>
      <c r="F21" s="322" t="s">
        <v>66</v>
      </c>
      <c r="G21" s="323"/>
      <c r="H21" s="323"/>
      <c r="I21" s="324"/>
      <c r="J21" s="322" t="s">
        <v>67</v>
      </c>
      <c r="K21" s="323"/>
      <c r="L21" s="323"/>
      <c r="M21" s="324"/>
      <c r="N21" s="309" t="s">
        <v>50</v>
      </c>
    </row>
    <row r="22" spans="1:16">
      <c r="B22" s="304"/>
      <c r="C22" s="306"/>
      <c r="D22" s="320"/>
      <c r="E22" s="321"/>
      <c r="F22" s="165">
        <v>1</v>
      </c>
      <c r="G22" s="165">
        <v>2</v>
      </c>
      <c r="H22" s="165">
        <v>3</v>
      </c>
      <c r="I22" s="165">
        <v>4</v>
      </c>
      <c r="J22" s="165">
        <v>1</v>
      </c>
      <c r="K22" s="165">
        <v>2</v>
      </c>
      <c r="L22" s="165">
        <v>3</v>
      </c>
      <c r="M22" s="165">
        <v>4</v>
      </c>
      <c r="N22" s="310"/>
    </row>
    <row r="23" spans="1:16">
      <c r="B23" s="172">
        <v>1</v>
      </c>
      <c r="C23" s="193" t="s">
        <v>68</v>
      </c>
      <c r="D23" s="325"/>
      <c r="E23" s="326"/>
      <c r="F23" s="175"/>
      <c r="G23" s="175"/>
      <c r="H23" s="175"/>
      <c r="I23" s="175"/>
      <c r="J23" s="176"/>
      <c r="K23" s="176"/>
      <c r="L23" s="176"/>
      <c r="M23" s="176"/>
      <c r="N23" s="196"/>
    </row>
    <row r="24" spans="1:16" ht="15" customHeight="1">
      <c r="B24" s="172">
        <v>2</v>
      </c>
      <c r="C24" s="194" t="s">
        <v>82</v>
      </c>
      <c r="D24" s="327" t="s">
        <v>83</v>
      </c>
      <c r="E24" s="328"/>
      <c r="F24" s="175"/>
      <c r="G24" s="175"/>
      <c r="H24" s="175"/>
      <c r="I24" s="175"/>
      <c r="J24" s="176"/>
      <c r="K24" s="176"/>
      <c r="L24" s="176"/>
      <c r="M24" s="176"/>
      <c r="N24" s="196"/>
    </row>
    <row r="25" spans="1:16">
      <c r="A25" s="162"/>
      <c r="B25" s="172">
        <v>3</v>
      </c>
      <c r="C25" s="194" t="s">
        <v>84</v>
      </c>
      <c r="D25" s="327" t="s">
        <v>83</v>
      </c>
      <c r="E25" s="328"/>
      <c r="F25" s="175"/>
      <c r="G25" s="175"/>
      <c r="H25" s="175"/>
      <c r="I25" s="175"/>
      <c r="J25" s="176"/>
      <c r="K25" s="176"/>
      <c r="L25" s="176"/>
      <c r="M25" s="176"/>
      <c r="N25" s="196"/>
      <c r="P25" s="162"/>
    </row>
    <row r="26" spans="1:16" ht="33" customHeight="1">
      <c r="B26" s="172">
        <v>4</v>
      </c>
      <c r="C26" s="195" t="s">
        <v>85</v>
      </c>
      <c r="D26" s="327" t="s">
        <v>83</v>
      </c>
      <c r="E26" s="328"/>
      <c r="F26" s="175"/>
      <c r="G26" s="175"/>
      <c r="H26" s="175"/>
      <c r="I26" s="175"/>
      <c r="J26" s="196"/>
      <c r="K26" s="196"/>
      <c r="L26" s="196"/>
      <c r="M26" s="196"/>
      <c r="N26" s="202" t="s">
        <v>86</v>
      </c>
      <c r="O26" s="197"/>
    </row>
    <row r="27" spans="1:16" s="162" customFormat="1" ht="14.25" customHeight="1">
      <c r="A27" s="161"/>
      <c r="B27" s="172">
        <v>5</v>
      </c>
      <c r="C27" s="198" t="s">
        <v>87</v>
      </c>
      <c r="D27" s="307">
        <v>45420</v>
      </c>
      <c r="E27" s="308"/>
      <c r="F27" s="175"/>
      <c r="G27" s="175"/>
      <c r="H27" s="175"/>
      <c r="I27" s="175"/>
      <c r="J27" s="176"/>
      <c r="K27" s="176"/>
      <c r="L27" s="176"/>
      <c r="M27" s="176"/>
      <c r="N27" s="196"/>
      <c r="O27" s="161"/>
      <c r="P27" s="161"/>
    </row>
    <row r="28" spans="1:16" ht="15" customHeight="1">
      <c r="B28" s="172">
        <v>6</v>
      </c>
      <c r="C28" s="198" t="s">
        <v>88</v>
      </c>
      <c r="D28" s="307">
        <v>45420</v>
      </c>
      <c r="E28" s="308"/>
      <c r="F28" s="175"/>
      <c r="G28" s="175"/>
      <c r="H28" s="175"/>
      <c r="I28" s="175"/>
      <c r="J28" s="196"/>
      <c r="K28" s="196"/>
      <c r="L28" s="196"/>
      <c r="M28" s="196"/>
      <c r="N28" s="311"/>
      <c r="O28" s="311"/>
    </row>
    <row r="29" spans="1:16">
      <c r="B29" s="172">
        <v>7</v>
      </c>
      <c r="C29" s="198" t="s">
        <v>89</v>
      </c>
      <c r="D29" s="299">
        <v>45420</v>
      </c>
      <c r="E29" s="300"/>
      <c r="F29" s="175"/>
      <c r="G29" s="175"/>
      <c r="H29" s="175"/>
      <c r="I29" s="175"/>
      <c r="J29" s="348">
        <v>45422</v>
      </c>
      <c r="K29" s="196"/>
      <c r="L29" s="196"/>
      <c r="M29" s="196"/>
      <c r="N29" s="196"/>
    </row>
    <row r="30" spans="1:16">
      <c r="B30" s="172">
        <v>8</v>
      </c>
      <c r="C30" s="198" t="s">
        <v>90</v>
      </c>
      <c r="D30" s="299">
        <v>45420</v>
      </c>
      <c r="E30" s="300">
        <v>45420</v>
      </c>
      <c r="F30" s="175"/>
      <c r="G30" s="175"/>
      <c r="H30" s="175"/>
      <c r="I30" s="175"/>
      <c r="J30" s="196"/>
      <c r="K30" s="196"/>
      <c r="L30" s="196"/>
      <c r="M30" s="196"/>
      <c r="N30" s="172"/>
      <c r="O30" s="162"/>
    </row>
    <row r="31" spans="1:16">
      <c r="B31" s="172">
        <v>9</v>
      </c>
      <c r="C31" s="199" t="s">
        <v>91</v>
      </c>
      <c r="D31" s="299">
        <v>45421</v>
      </c>
      <c r="E31" s="300">
        <v>45421</v>
      </c>
      <c r="F31" s="175"/>
      <c r="G31" s="175"/>
      <c r="H31" s="175"/>
      <c r="I31" s="175"/>
      <c r="J31" s="348">
        <v>45422</v>
      </c>
      <c r="K31" s="196"/>
      <c r="L31" s="196"/>
      <c r="M31" s="196"/>
      <c r="N31" s="196"/>
    </row>
    <row r="32" spans="1:16" ht="17.25" customHeight="1">
      <c r="B32" s="172">
        <v>10</v>
      </c>
      <c r="C32" s="199" t="s">
        <v>92</v>
      </c>
      <c r="D32" s="299">
        <v>45422</v>
      </c>
      <c r="E32" s="300">
        <v>45422</v>
      </c>
      <c r="F32" s="175"/>
      <c r="G32" s="175"/>
      <c r="H32" s="175"/>
      <c r="I32" s="175"/>
      <c r="J32" s="196"/>
      <c r="K32" s="196"/>
      <c r="L32" s="196"/>
      <c r="M32" s="196"/>
      <c r="N32" s="196"/>
    </row>
    <row r="33" spans="2:14">
      <c r="B33" s="172">
        <v>11</v>
      </c>
      <c r="C33" s="199" t="s">
        <v>93</v>
      </c>
      <c r="D33" s="299">
        <v>45422</v>
      </c>
      <c r="E33" s="300">
        <v>45422</v>
      </c>
      <c r="F33" s="175"/>
      <c r="G33" s="175"/>
      <c r="H33" s="175"/>
      <c r="I33" s="175"/>
      <c r="J33" s="196"/>
      <c r="K33" s="196"/>
      <c r="L33" s="196"/>
      <c r="M33" s="196"/>
      <c r="N33" s="196"/>
    </row>
    <row r="34" spans="2:14">
      <c r="B34" s="172">
        <v>12</v>
      </c>
      <c r="C34" s="199" t="s">
        <v>94</v>
      </c>
      <c r="D34" s="299">
        <v>45422</v>
      </c>
      <c r="E34" s="300">
        <v>45422</v>
      </c>
      <c r="F34" s="175"/>
      <c r="G34" s="175"/>
      <c r="H34" s="175"/>
      <c r="I34" s="175"/>
      <c r="J34" s="348">
        <v>45422</v>
      </c>
      <c r="K34" s="196"/>
      <c r="L34" s="196"/>
      <c r="M34" s="196"/>
      <c r="N34" s="196"/>
    </row>
    <row r="35" spans="2:14">
      <c r="B35" s="172">
        <v>13</v>
      </c>
      <c r="C35" s="199" t="s">
        <v>95</v>
      </c>
      <c r="D35" s="299">
        <v>45427</v>
      </c>
      <c r="E35" s="300">
        <v>45427</v>
      </c>
      <c r="F35" s="175"/>
      <c r="G35" s="175"/>
      <c r="H35" s="175"/>
      <c r="I35" s="175"/>
      <c r="J35" s="196"/>
      <c r="K35" s="196"/>
      <c r="L35" s="196"/>
      <c r="M35" s="196"/>
      <c r="N35" s="196"/>
    </row>
    <row r="36" spans="2:14">
      <c r="B36" s="172">
        <v>14</v>
      </c>
      <c r="C36" s="198" t="s">
        <v>96</v>
      </c>
      <c r="D36" s="299">
        <v>45427</v>
      </c>
      <c r="E36" s="300">
        <v>45427</v>
      </c>
      <c r="F36" s="175"/>
      <c r="G36" s="175"/>
      <c r="H36" s="175"/>
      <c r="I36" s="175"/>
      <c r="J36" s="196"/>
      <c r="K36" s="196"/>
      <c r="L36" s="196"/>
      <c r="M36" s="196"/>
      <c r="N36" s="196"/>
    </row>
    <row r="37" spans="2:14" ht="15" customHeight="1">
      <c r="B37" s="172">
        <v>15</v>
      </c>
      <c r="C37" s="199" t="s">
        <v>97</v>
      </c>
      <c r="D37" s="299">
        <v>45428</v>
      </c>
      <c r="E37" s="300">
        <v>45428</v>
      </c>
      <c r="F37" s="175"/>
      <c r="G37" s="175"/>
      <c r="H37" s="175"/>
      <c r="I37" s="175"/>
      <c r="J37" s="196"/>
      <c r="K37" s="196"/>
      <c r="L37" s="196"/>
      <c r="M37" s="196"/>
      <c r="N37" s="196"/>
    </row>
    <row r="38" spans="2:14" ht="15" customHeight="1">
      <c r="B38" s="172">
        <v>16</v>
      </c>
      <c r="C38" s="199" t="s">
        <v>98</v>
      </c>
      <c r="D38" s="299">
        <v>45429</v>
      </c>
      <c r="E38" s="300">
        <v>45429</v>
      </c>
      <c r="F38" s="175"/>
      <c r="G38" s="175"/>
      <c r="H38" s="175"/>
      <c r="I38" s="175"/>
      <c r="J38" s="348">
        <v>45422</v>
      </c>
      <c r="K38" s="196"/>
      <c r="L38" s="196"/>
      <c r="M38" s="196"/>
      <c r="N38" s="196"/>
    </row>
    <row r="39" spans="2:14">
      <c r="B39" s="172">
        <v>17</v>
      </c>
      <c r="C39" s="198" t="s">
        <v>99</v>
      </c>
      <c r="D39" s="299">
        <v>45429</v>
      </c>
      <c r="E39" s="300">
        <v>45429</v>
      </c>
      <c r="F39" s="175"/>
      <c r="G39" s="175"/>
      <c r="H39" s="175"/>
      <c r="I39" s="175"/>
      <c r="J39" s="196"/>
      <c r="K39" s="196"/>
      <c r="L39" s="196"/>
      <c r="M39" s="196"/>
      <c r="N39" s="196"/>
    </row>
    <row r="40" spans="2:14">
      <c r="B40" s="172">
        <v>18</v>
      </c>
      <c r="C40" s="198" t="s">
        <v>100</v>
      </c>
      <c r="D40" s="299">
        <v>45429</v>
      </c>
      <c r="E40" s="300">
        <v>45429</v>
      </c>
      <c r="F40" s="175"/>
      <c r="G40" s="175"/>
      <c r="H40" s="175"/>
      <c r="I40" s="175"/>
      <c r="J40" s="196"/>
      <c r="K40" s="196"/>
      <c r="L40" s="196"/>
      <c r="M40" s="196"/>
      <c r="N40" s="196"/>
    </row>
    <row r="41" spans="2:14">
      <c r="B41" s="172">
        <v>19</v>
      </c>
      <c r="C41" s="198" t="s">
        <v>101</v>
      </c>
      <c r="D41" s="299">
        <v>45429</v>
      </c>
      <c r="E41" s="300">
        <v>45429</v>
      </c>
      <c r="F41" s="175"/>
      <c r="G41" s="175"/>
      <c r="H41" s="175"/>
      <c r="I41" s="175"/>
      <c r="J41" s="196"/>
      <c r="K41" s="196"/>
      <c r="L41" s="196"/>
      <c r="M41" s="196"/>
      <c r="N41" s="196"/>
    </row>
    <row r="42" spans="2:14">
      <c r="B42" s="172">
        <v>20</v>
      </c>
      <c r="C42" s="198" t="s">
        <v>102</v>
      </c>
      <c r="D42" s="299">
        <v>45429</v>
      </c>
      <c r="E42" s="300">
        <v>45429</v>
      </c>
      <c r="F42" s="175"/>
      <c r="G42" s="175"/>
      <c r="H42" s="175"/>
      <c r="I42" s="175"/>
      <c r="J42" s="196"/>
      <c r="K42" s="196"/>
      <c r="L42" s="196"/>
      <c r="M42" s="196"/>
      <c r="N42" s="196"/>
    </row>
    <row r="43" spans="2:14" ht="13.5" customHeight="1">
      <c r="B43" s="172">
        <v>21</v>
      </c>
      <c r="C43" s="198" t="s">
        <v>103</v>
      </c>
      <c r="D43" s="299">
        <v>45434</v>
      </c>
      <c r="E43" s="300">
        <v>45434</v>
      </c>
      <c r="F43" s="175"/>
      <c r="G43" s="175"/>
      <c r="H43" s="175"/>
      <c r="I43" s="175"/>
      <c r="J43" s="196"/>
      <c r="K43" s="196"/>
      <c r="L43" s="196"/>
      <c r="M43" s="196"/>
      <c r="N43" s="196"/>
    </row>
    <row r="44" spans="2:14">
      <c r="B44" s="172">
        <v>22</v>
      </c>
      <c r="C44" s="198" t="s">
        <v>104</v>
      </c>
      <c r="D44" s="299">
        <v>45434</v>
      </c>
      <c r="E44" s="300">
        <v>45434</v>
      </c>
      <c r="F44" s="175"/>
      <c r="G44" s="175"/>
      <c r="H44" s="175"/>
      <c r="I44" s="175"/>
      <c r="J44" s="196"/>
      <c r="K44" s="196"/>
      <c r="L44" s="196"/>
      <c r="M44" s="196"/>
      <c r="N44" s="196"/>
    </row>
    <row r="45" spans="2:14">
      <c r="B45" s="172">
        <v>23</v>
      </c>
      <c r="C45" s="198" t="s">
        <v>105</v>
      </c>
      <c r="D45" s="299">
        <v>45435</v>
      </c>
      <c r="E45" s="300">
        <v>45435</v>
      </c>
      <c r="F45" s="175"/>
      <c r="G45" s="175"/>
      <c r="H45" s="175"/>
      <c r="I45" s="175"/>
      <c r="J45" s="196"/>
      <c r="K45" s="196"/>
      <c r="L45" s="196"/>
      <c r="M45" s="196"/>
      <c r="N45" s="196"/>
    </row>
    <row r="46" spans="2:14">
      <c r="B46" s="172">
        <v>24</v>
      </c>
      <c r="C46" s="198" t="s">
        <v>106</v>
      </c>
      <c r="D46" s="299">
        <v>45436</v>
      </c>
      <c r="E46" s="300">
        <v>45436</v>
      </c>
      <c r="F46" s="175"/>
      <c r="G46" s="175"/>
      <c r="H46" s="175"/>
      <c r="I46" s="175"/>
      <c r="J46" s="196"/>
      <c r="K46" s="196"/>
      <c r="L46" s="196"/>
      <c r="M46" s="196"/>
      <c r="N46" s="196"/>
    </row>
    <row r="47" spans="2:14">
      <c r="B47" s="172">
        <v>25</v>
      </c>
      <c r="C47" s="198" t="s">
        <v>107</v>
      </c>
      <c r="D47" s="299">
        <v>45436</v>
      </c>
      <c r="E47" s="300">
        <v>45436</v>
      </c>
      <c r="F47" s="175"/>
      <c r="G47" s="175"/>
      <c r="H47" s="175"/>
      <c r="I47" s="175"/>
      <c r="J47" s="196"/>
      <c r="K47" s="196"/>
      <c r="L47" s="196"/>
      <c r="M47" s="196"/>
      <c r="N47" s="196"/>
    </row>
    <row r="48" spans="2:14" ht="15" customHeight="1">
      <c r="B48" s="172">
        <v>26</v>
      </c>
      <c r="C48" s="198" t="s">
        <v>108</v>
      </c>
      <c r="D48" s="299">
        <v>45436</v>
      </c>
      <c r="E48" s="300">
        <v>45436</v>
      </c>
      <c r="F48" s="175"/>
      <c r="G48" s="175"/>
      <c r="H48" s="175"/>
      <c r="I48" s="175"/>
      <c r="J48" s="196"/>
      <c r="K48" s="196"/>
      <c r="L48" s="196"/>
      <c r="M48" s="196"/>
      <c r="N48" s="196"/>
    </row>
    <row r="49" spans="2:14">
      <c r="B49" s="172">
        <v>27</v>
      </c>
      <c r="C49" s="198" t="s">
        <v>109</v>
      </c>
      <c r="D49" s="299">
        <v>45441</v>
      </c>
      <c r="E49" s="300">
        <v>45441</v>
      </c>
      <c r="F49" s="175"/>
      <c r="G49" s="175"/>
      <c r="H49" s="175"/>
      <c r="I49" s="175"/>
      <c r="J49" s="196"/>
      <c r="K49" s="196"/>
      <c r="L49" s="196"/>
      <c r="M49" s="196"/>
      <c r="N49" s="196"/>
    </row>
    <row r="50" spans="2:14" ht="13.5" customHeight="1">
      <c r="B50" s="172">
        <v>28</v>
      </c>
      <c r="C50" s="198" t="s">
        <v>110</v>
      </c>
      <c r="D50" s="299">
        <v>45441</v>
      </c>
      <c r="E50" s="300">
        <v>45441</v>
      </c>
      <c r="F50" s="175"/>
      <c r="G50" s="175"/>
      <c r="H50" s="175"/>
      <c r="I50" s="175"/>
      <c r="J50" s="196"/>
      <c r="K50" s="196"/>
      <c r="L50" s="196"/>
      <c r="M50" s="196"/>
      <c r="N50" s="196"/>
    </row>
    <row r="51" spans="2:14" ht="13.5" customHeight="1">
      <c r="B51" s="172">
        <v>29</v>
      </c>
      <c r="C51" s="198" t="s">
        <v>111</v>
      </c>
      <c r="D51" s="299">
        <v>45441</v>
      </c>
      <c r="E51" s="300">
        <v>45441</v>
      </c>
      <c r="F51" s="175"/>
      <c r="G51" s="175"/>
      <c r="H51" s="175"/>
      <c r="I51" s="175"/>
      <c r="J51" s="196"/>
      <c r="K51" s="196"/>
      <c r="L51" s="196"/>
      <c r="M51" s="196"/>
      <c r="N51" s="196"/>
    </row>
    <row r="52" spans="2:14" ht="13.5" customHeight="1">
      <c r="B52" s="172">
        <v>30</v>
      </c>
      <c r="C52" s="198" t="s">
        <v>112</v>
      </c>
      <c r="D52" s="299">
        <v>45443</v>
      </c>
      <c r="E52" s="300">
        <v>45443</v>
      </c>
      <c r="F52" s="175"/>
      <c r="G52" s="175"/>
      <c r="H52" s="175"/>
      <c r="I52" s="175"/>
      <c r="J52" s="196"/>
      <c r="K52" s="196"/>
      <c r="L52" s="196"/>
      <c r="M52" s="196"/>
      <c r="N52" s="196"/>
    </row>
    <row r="53" spans="2:14" ht="13.5" customHeight="1">
      <c r="B53" s="172">
        <v>31</v>
      </c>
      <c r="C53" s="198" t="s">
        <v>113</v>
      </c>
      <c r="D53" s="299">
        <v>45443</v>
      </c>
      <c r="E53" s="300">
        <v>45443</v>
      </c>
      <c r="F53" s="175"/>
      <c r="G53" s="175"/>
      <c r="H53" s="175"/>
      <c r="I53" s="175"/>
      <c r="J53" s="196"/>
      <c r="K53" s="196"/>
      <c r="L53" s="196"/>
      <c r="M53" s="196"/>
      <c r="N53" s="196"/>
    </row>
    <row r="54" spans="2:14" ht="13.5" customHeight="1">
      <c r="B54" s="172">
        <v>32</v>
      </c>
      <c r="C54" s="198" t="s">
        <v>114</v>
      </c>
      <c r="D54" s="299">
        <v>45446</v>
      </c>
      <c r="E54" s="300">
        <v>45443</v>
      </c>
      <c r="F54" s="175"/>
      <c r="G54" s="175"/>
      <c r="H54" s="175"/>
      <c r="I54" s="175"/>
      <c r="J54" s="196"/>
      <c r="K54" s="196"/>
      <c r="L54" s="196"/>
      <c r="M54" s="196"/>
      <c r="N54" s="196"/>
    </row>
    <row r="55" spans="2:14" ht="15" customHeight="1">
      <c r="B55" s="172">
        <v>33</v>
      </c>
      <c r="C55" s="199" t="s">
        <v>115</v>
      </c>
      <c r="D55" s="299">
        <v>45447</v>
      </c>
      <c r="E55" s="300">
        <v>45446</v>
      </c>
      <c r="F55" s="175"/>
      <c r="G55" s="175"/>
      <c r="H55" s="175"/>
      <c r="I55" s="175"/>
      <c r="J55" s="196"/>
      <c r="K55" s="196"/>
      <c r="L55" s="196"/>
      <c r="M55" s="196"/>
      <c r="N55" s="196"/>
    </row>
    <row r="56" spans="2:14" ht="15" customHeight="1">
      <c r="B56" s="172">
        <v>34</v>
      </c>
      <c r="C56" s="199" t="s">
        <v>116</v>
      </c>
      <c r="D56" s="299">
        <v>45449</v>
      </c>
      <c r="E56" s="300">
        <v>45448</v>
      </c>
      <c r="F56" s="175"/>
      <c r="G56" s="175"/>
      <c r="H56" s="175"/>
      <c r="I56" s="175"/>
      <c r="J56" s="196"/>
      <c r="K56" s="196"/>
      <c r="L56" s="196"/>
      <c r="M56" s="196"/>
      <c r="N56" s="196"/>
    </row>
    <row r="57" spans="2:14" ht="15" customHeight="1">
      <c r="B57" s="172">
        <v>35</v>
      </c>
      <c r="C57" s="199" t="s">
        <v>117</v>
      </c>
      <c r="D57" s="299">
        <v>45450</v>
      </c>
      <c r="E57" s="300">
        <v>45450</v>
      </c>
      <c r="F57" s="175"/>
      <c r="G57" s="175"/>
      <c r="H57" s="175"/>
      <c r="I57" s="175"/>
      <c r="J57" s="196"/>
      <c r="K57" s="196"/>
      <c r="L57" s="196"/>
      <c r="M57" s="196"/>
      <c r="N57" s="196"/>
    </row>
    <row r="58" spans="2:14">
      <c r="B58" s="172">
        <v>36</v>
      </c>
      <c r="C58" s="199" t="s">
        <v>118</v>
      </c>
      <c r="D58" s="299">
        <v>45450</v>
      </c>
      <c r="E58" s="300">
        <v>45450</v>
      </c>
      <c r="F58" s="175"/>
      <c r="G58" s="175"/>
      <c r="H58" s="175"/>
      <c r="I58" s="175"/>
      <c r="J58" s="196"/>
      <c r="K58" s="196"/>
      <c r="L58" s="196"/>
      <c r="M58" s="196"/>
      <c r="N58" s="196"/>
    </row>
    <row r="59" spans="2:14" ht="15" customHeight="1">
      <c r="B59" s="172">
        <v>37</v>
      </c>
      <c r="C59" s="198" t="s">
        <v>119</v>
      </c>
      <c r="D59" s="299">
        <v>45454</v>
      </c>
      <c r="E59" s="300">
        <v>45454</v>
      </c>
      <c r="F59" s="175"/>
      <c r="G59" s="175"/>
      <c r="H59" s="175"/>
      <c r="I59" s="175"/>
      <c r="J59" s="196"/>
      <c r="K59" s="196"/>
      <c r="L59" s="196"/>
      <c r="M59" s="196"/>
      <c r="N59" s="196"/>
    </row>
    <row r="60" spans="2:14">
      <c r="B60" s="172">
        <v>38</v>
      </c>
      <c r="C60" s="198" t="s">
        <v>120</v>
      </c>
      <c r="D60" s="299">
        <v>45454</v>
      </c>
      <c r="E60" s="300">
        <v>45454</v>
      </c>
      <c r="F60" s="175"/>
      <c r="G60" s="175"/>
      <c r="H60" s="175"/>
      <c r="I60" s="175"/>
      <c r="J60" s="196"/>
      <c r="K60" s="196"/>
      <c r="L60" s="196"/>
      <c r="M60" s="196"/>
      <c r="N60" s="196"/>
    </row>
    <row r="61" spans="2:14" ht="15" customHeight="1">
      <c r="B61" s="172">
        <v>39</v>
      </c>
      <c r="C61" s="199" t="s">
        <v>121</v>
      </c>
      <c r="D61" s="299">
        <v>45455</v>
      </c>
      <c r="E61" s="300">
        <v>45455</v>
      </c>
      <c r="F61" s="175"/>
      <c r="G61" s="175"/>
      <c r="H61" s="175"/>
      <c r="I61" s="175"/>
      <c r="J61" s="196"/>
      <c r="K61" s="196"/>
      <c r="L61" s="196"/>
      <c r="M61" s="196"/>
      <c r="N61" s="196"/>
    </row>
    <row r="62" spans="2:14">
      <c r="B62" s="172">
        <v>40</v>
      </c>
      <c r="C62" s="198" t="s">
        <v>122</v>
      </c>
      <c r="D62" s="299">
        <v>45457</v>
      </c>
      <c r="E62" s="300">
        <v>45457</v>
      </c>
      <c r="F62" s="175"/>
      <c r="G62" s="175"/>
      <c r="H62" s="175"/>
      <c r="I62" s="175"/>
      <c r="J62" s="196"/>
      <c r="K62" s="196"/>
      <c r="L62" s="196"/>
      <c r="M62" s="196"/>
      <c r="N62" s="196"/>
    </row>
    <row r="63" spans="2:14">
      <c r="B63" s="172">
        <v>41</v>
      </c>
      <c r="C63" s="198" t="s">
        <v>123</v>
      </c>
      <c r="D63" s="299">
        <v>45457</v>
      </c>
      <c r="E63" s="300">
        <v>45457</v>
      </c>
      <c r="F63" s="175"/>
      <c r="G63" s="175"/>
      <c r="H63" s="175"/>
      <c r="I63" s="175"/>
      <c r="J63" s="196"/>
      <c r="K63" s="196"/>
      <c r="L63" s="196"/>
      <c r="M63" s="196"/>
      <c r="N63" s="196"/>
    </row>
    <row r="64" spans="2:14" ht="15" customHeight="1">
      <c r="B64" s="172">
        <v>42</v>
      </c>
      <c r="C64" s="198" t="s">
        <v>124</v>
      </c>
      <c r="D64" s="299">
        <v>45457</v>
      </c>
      <c r="E64" s="300">
        <v>45457</v>
      </c>
      <c r="F64" s="175"/>
      <c r="G64" s="175"/>
      <c r="H64" s="175"/>
      <c r="I64" s="175"/>
      <c r="J64" s="196"/>
      <c r="K64" s="196"/>
      <c r="L64" s="196"/>
      <c r="M64" s="196"/>
      <c r="N64" s="196"/>
    </row>
    <row r="65" spans="2:14">
      <c r="B65" s="172">
        <v>43</v>
      </c>
      <c r="C65" s="199" t="s">
        <v>125</v>
      </c>
      <c r="D65" s="299">
        <v>45460</v>
      </c>
      <c r="E65" s="300">
        <v>45460</v>
      </c>
      <c r="F65" s="175"/>
      <c r="G65" s="175"/>
      <c r="H65" s="175"/>
      <c r="I65" s="175"/>
      <c r="J65" s="196"/>
      <c r="K65" s="196"/>
      <c r="L65" s="196"/>
      <c r="M65" s="196"/>
      <c r="N65" s="196"/>
    </row>
    <row r="66" spans="2:14">
      <c r="B66" s="172">
        <v>44</v>
      </c>
      <c r="C66" s="198" t="s">
        <v>126</v>
      </c>
      <c r="D66" s="299">
        <v>45462</v>
      </c>
      <c r="E66" s="300">
        <v>45462</v>
      </c>
      <c r="F66" s="175"/>
      <c r="G66" s="175"/>
      <c r="H66" s="175"/>
      <c r="I66" s="175"/>
      <c r="J66" s="196"/>
      <c r="K66" s="196"/>
      <c r="L66" s="196"/>
      <c r="M66" s="196"/>
      <c r="N66" s="196"/>
    </row>
    <row r="67" spans="2:14">
      <c r="B67" s="172">
        <v>45</v>
      </c>
      <c r="C67" s="198" t="s">
        <v>127</v>
      </c>
      <c r="D67" s="299">
        <v>45463</v>
      </c>
      <c r="E67" s="300">
        <v>45463</v>
      </c>
      <c r="F67" s="175"/>
      <c r="G67" s="175"/>
      <c r="H67" s="175"/>
      <c r="I67" s="175"/>
      <c r="J67" s="196"/>
      <c r="K67" s="196"/>
      <c r="L67" s="196"/>
      <c r="M67" s="196"/>
      <c r="N67" s="196"/>
    </row>
    <row r="68" spans="2:14" ht="13.5" customHeight="1">
      <c r="B68" s="172">
        <v>46</v>
      </c>
      <c r="C68" s="198" t="s">
        <v>128</v>
      </c>
      <c r="D68" s="299">
        <v>45463</v>
      </c>
      <c r="E68" s="300">
        <v>45463</v>
      </c>
      <c r="F68" s="175"/>
      <c r="G68" s="175"/>
      <c r="H68" s="175"/>
      <c r="I68" s="175"/>
      <c r="J68" s="196"/>
      <c r="K68" s="196"/>
      <c r="L68" s="196"/>
      <c r="M68" s="196"/>
      <c r="N68" s="196"/>
    </row>
    <row r="69" spans="2:14" ht="13.5" customHeight="1">
      <c r="B69" s="172">
        <v>47</v>
      </c>
      <c r="C69" s="198" t="s">
        <v>129</v>
      </c>
      <c r="D69" s="299">
        <v>45464</v>
      </c>
      <c r="E69" s="300">
        <v>45464</v>
      </c>
      <c r="F69" s="175"/>
      <c r="G69" s="175"/>
      <c r="H69" s="175"/>
      <c r="I69" s="175"/>
      <c r="J69" s="196"/>
      <c r="K69" s="196"/>
      <c r="L69" s="196"/>
      <c r="M69" s="196"/>
      <c r="N69" s="196"/>
    </row>
    <row r="70" spans="2:14" ht="13.5" customHeight="1">
      <c r="B70" s="172">
        <v>48</v>
      </c>
      <c r="C70" s="198" t="s">
        <v>130</v>
      </c>
      <c r="D70" s="299">
        <v>45464</v>
      </c>
      <c r="E70" s="300">
        <v>45464</v>
      </c>
      <c r="F70" s="175"/>
      <c r="G70" s="175"/>
      <c r="H70" s="175"/>
      <c r="I70" s="175"/>
      <c r="J70" s="196"/>
      <c r="K70" s="196"/>
      <c r="L70" s="196"/>
      <c r="M70" s="196"/>
      <c r="N70" s="196"/>
    </row>
    <row r="71" spans="2:14">
      <c r="B71" s="172">
        <v>49</v>
      </c>
      <c r="C71" s="198" t="s">
        <v>131</v>
      </c>
      <c r="D71" s="299">
        <v>45467</v>
      </c>
      <c r="E71" s="300">
        <v>45467</v>
      </c>
      <c r="F71" s="175"/>
      <c r="G71" s="175"/>
      <c r="H71" s="175"/>
      <c r="I71" s="175"/>
      <c r="J71" s="196"/>
      <c r="K71" s="196"/>
      <c r="L71" s="196"/>
      <c r="M71" s="196"/>
      <c r="N71" s="196"/>
    </row>
    <row r="72" spans="2:14">
      <c r="B72" s="172">
        <v>50</v>
      </c>
      <c r="C72" s="198" t="s">
        <v>132</v>
      </c>
      <c r="D72" s="299">
        <v>45469</v>
      </c>
      <c r="E72" s="300">
        <v>45469</v>
      </c>
      <c r="F72" s="175"/>
      <c r="G72" s="175"/>
      <c r="H72" s="175"/>
      <c r="I72" s="175"/>
      <c r="J72" s="196"/>
      <c r="K72" s="196"/>
      <c r="L72" s="196"/>
      <c r="M72" s="196"/>
      <c r="N72" s="196"/>
    </row>
    <row r="73" spans="2:14">
      <c r="B73" s="172">
        <v>51</v>
      </c>
      <c r="C73" s="198" t="s">
        <v>133</v>
      </c>
      <c r="D73" s="299">
        <v>45473</v>
      </c>
      <c r="E73" s="300">
        <v>11475</v>
      </c>
      <c r="F73" s="175"/>
      <c r="G73" s="175"/>
      <c r="H73" s="175"/>
      <c r="I73" s="175"/>
      <c r="J73" s="196"/>
      <c r="K73" s="196"/>
      <c r="L73" s="196"/>
      <c r="M73" s="196"/>
      <c r="N73" s="196"/>
    </row>
    <row r="74" spans="2:14">
      <c r="B74" s="172">
        <v>52</v>
      </c>
      <c r="C74" s="198" t="s">
        <v>134</v>
      </c>
      <c r="D74" s="299">
        <v>45473</v>
      </c>
      <c r="E74" s="300">
        <v>11475</v>
      </c>
      <c r="F74" s="175"/>
      <c r="G74" s="175"/>
      <c r="H74" s="175"/>
      <c r="I74" s="175"/>
      <c r="J74" s="196"/>
      <c r="K74" s="196"/>
      <c r="L74" s="196"/>
      <c r="M74" s="196"/>
      <c r="N74" s="196"/>
    </row>
  </sheetData>
  <sortState xmlns:xlrd2="http://schemas.microsoft.com/office/spreadsheetml/2017/richdata2" ref="A24:P71">
    <sortCondition ref="D24:D71"/>
  </sortState>
  <mergeCells count="68">
    <mergeCell ref="N21:N22"/>
    <mergeCell ref="N28:O28"/>
    <mergeCell ref="E3:E4"/>
    <mergeCell ref="F3:I3"/>
    <mergeCell ref="J3:M3"/>
    <mergeCell ref="F17:I17"/>
    <mergeCell ref="J17:M17"/>
    <mergeCell ref="F19:M19"/>
    <mergeCell ref="D21:E22"/>
    <mergeCell ref="F21:I21"/>
    <mergeCell ref="J21:M21"/>
    <mergeCell ref="D23:E23"/>
    <mergeCell ref="D24:E24"/>
    <mergeCell ref="D25:E25"/>
    <mergeCell ref="D26:E26"/>
    <mergeCell ref="D27:E27"/>
    <mergeCell ref="D70:E70"/>
    <mergeCell ref="D71:E71"/>
    <mergeCell ref="D72:E72"/>
    <mergeCell ref="D73:E73"/>
    <mergeCell ref="D74:E74"/>
    <mergeCell ref="D65:E65"/>
    <mergeCell ref="D66:E66"/>
    <mergeCell ref="D67:E67"/>
    <mergeCell ref="D68:E68"/>
    <mergeCell ref="D69:E69"/>
    <mergeCell ref="D60:E60"/>
    <mergeCell ref="D61:E61"/>
    <mergeCell ref="D62:E62"/>
    <mergeCell ref="D63:E63"/>
    <mergeCell ref="D64:E64"/>
    <mergeCell ref="D55:E55"/>
    <mergeCell ref="D56:E56"/>
    <mergeCell ref="D57:E57"/>
    <mergeCell ref="D58:E58"/>
    <mergeCell ref="D59:E59"/>
    <mergeCell ref="D53:E53"/>
    <mergeCell ref="D54:E54"/>
    <mergeCell ref="D28:E28"/>
    <mergeCell ref="D47:E47"/>
    <mergeCell ref="D48:E48"/>
    <mergeCell ref="D50:E50"/>
    <mergeCell ref="D51:E51"/>
    <mergeCell ref="D52:E52"/>
    <mergeCell ref="D49:E49"/>
    <mergeCell ref="D43:E43"/>
    <mergeCell ref="D44:E44"/>
    <mergeCell ref="D45:E45"/>
    <mergeCell ref="D46:E46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29:E29"/>
    <mergeCell ref="D30:E30"/>
    <mergeCell ref="D31:E31"/>
    <mergeCell ref="D32:E32"/>
    <mergeCell ref="B3:B4"/>
    <mergeCell ref="C3:C4"/>
    <mergeCell ref="D3:D4"/>
    <mergeCell ref="B21:B22"/>
    <mergeCell ref="C21:C22"/>
  </mergeCells>
  <conditionalFormatting sqref="B6:B7 B9:B10 B12">
    <cfRule type="expression" dxfId="13" priority="37" stopIfTrue="1">
      <formula>AND(#REF!&lt;TODAY(), #REF!&lt;&gt;100%)</formula>
    </cfRule>
    <cfRule type="expression" dxfId="12" priority="38" stopIfTrue="1">
      <formula>(#REF!=100%)</formula>
    </cfRule>
  </conditionalFormatting>
  <conditionalFormatting sqref="B8 B11">
    <cfRule type="expression" dxfId="11" priority="39" stopIfTrue="1">
      <formula>AND(#REF!&lt;TODAY(), #REF!&lt;&gt;100%)</formula>
    </cfRule>
    <cfRule type="expression" dxfId="10" priority="40" stopIfTrue="1">
      <formula>(#REF!=100%)</formula>
    </cfRule>
  </conditionalFormatting>
  <conditionalFormatting sqref="B13:C13 C6:D9 E6:E13 C11:D12 D10 C24:C74">
    <cfRule type="expression" dxfId="9" priority="33" stopIfTrue="1">
      <formula>AND(#REF!&lt;TODAY(), #REF!&lt;&gt;100%)</formula>
    </cfRule>
    <cfRule type="expression" dxfId="8" priority="34" stopIfTrue="1">
      <formula>(#REF!=100%)</formula>
    </cfRule>
  </conditionalFormatting>
  <conditionalFormatting sqref="C10">
    <cfRule type="expression" dxfId="7" priority="29" stopIfTrue="1">
      <formula>AND(#REF!&lt;TODAY(), #REF!&lt;&gt;100%)</formula>
    </cfRule>
    <cfRule type="expression" dxfId="6" priority="30" stopIfTrue="1">
      <formula>(#REF!=100%)</formula>
    </cfRule>
  </conditionalFormatting>
  <conditionalFormatting sqref="B25 B29 B33 B37 B41 B45 B49 B53 B57 B61 B65 B69 B73">
    <cfRule type="expression" dxfId="5" priority="8" stopIfTrue="1">
      <formula>(#REF!=100%)</formula>
    </cfRule>
  </conditionalFormatting>
  <conditionalFormatting sqref="B25 B29 B33 B37 B41 B45 B49 B53 B57 B61 B65 B69 B73">
    <cfRule type="expression" dxfId="4" priority="7" stopIfTrue="1">
      <formula>AND(#REF!&lt;TODAY(), #REF!&lt;&gt;100%)</formula>
    </cfRule>
  </conditionalFormatting>
  <conditionalFormatting sqref="B23:B24 B26:B28 B30:B32 B34:B36 B38:B40 B42:B44 B46:B48 B50:B52 B54:B56 B58:B60 B62:B64 B66:B68 B70:B72 B74">
    <cfRule type="expression" dxfId="3" priority="3" stopIfTrue="1">
      <formula>AND(#REF!&lt;TODAY(), #REF!&lt;&gt;100%)</formula>
    </cfRule>
    <cfRule type="expression" dxfId="2" priority="4" stopIfTrue="1">
      <formula>(#REF!=100%)</formula>
    </cfRule>
  </conditionalFormatting>
  <conditionalFormatting sqref="C23:D23">
    <cfRule type="expression" dxfId="1" priority="5" stopIfTrue="1">
      <formula>AND(#REF!&lt;TODAY(), #REF!&lt;&gt;100%)</formula>
    </cfRule>
    <cfRule type="expression" dxfId="0" priority="6" stopIfTrue="1">
      <formula>(#REF!=100%)</formula>
    </cfRule>
  </conditionalFormatting>
  <pageMargins left="0.7" right="0.7" top="0.75" bottom="0.75" header="0.3" footer="0.3"/>
  <pageSetup scale="74" fitToHeight="0" orientation="landscape" horizontalDpi="200" verticalDpi="200" r:id="rId1"/>
  <rowBreaks count="1" manualBreakCount="1">
    <brk id="35" max="1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0F1A-88CC-4075-B3F0-8DF25A831AAC}">
  <dimension ref="A1:BZ314"/>
  <sheetViews>
    <sheetView view="pageBreakPreview" zoomScale="85" zoomScaleNormal="115" zoomScaleSheetLayoutView="85" workbookViewId="0">
      <pane xSplit="15" ySplit="8" topLeftCell="P9" activePane="bottomRight" state="frozen"/>
      <selection pane="bottomRight" sqref="A1:J1"/>
      <selection pane="bottomLeft" activeCell="A9" sqref="A9"/>
      <selection pane="topRight" activeCell="P1" sqref="P1"/>
    </sheetView>
  </sheetViews>
  <sheetFormatPr defaultRowHeight="15"/>
  <cols>
    <col min="1" max="35" width="2.77734375" style="16" customWidth="1"/>
    <col min="36" max="36" width="6.6640625" style="16" customWidth="1"/>
    <col min="37" max="64" width="2.77734375" style="16" customWidth="1"/>
    <col min="65" max="67" width="11.33203125" style="45" customWidth="1"/>
    <col min="68" max="68" width="16.5546875" style="47" customWidth="1"/>
    <col min="69" max="69" width="8.77734375" style="16" customWidth="1"/>
    <col min="70" max="70" width="12.77734375" style="37" customWidth="1"/>
    <col min="71" max="76" width="9.5546875" style="20" customWidth="1"/>
    <col min="77" max="77" width="8.33203125" style="20" bestFit="1" customWidth="1"/>
    <col min="78" max="78" width="8.77734375" style="16" customWidth="1"/>
    <col min="79" max="16384" width="8.88671875" style="16"/>
  </cols>
  <sheetData>
    <row r="1" spans="1:78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  <c r="BL1" s="43"/>
    </row>
    <row r="2" spans="1:78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  <c r="BL2" s="44"/>
    </row>
    <row r="3" spans="1:78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  <c r="BL3" s="44"/>
    </row>
    <row r="4" spans="1:78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135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  <c r="BL4" s="44"/>
    </row>
    <row r="5" spans="1:78" ht="5.0999999999999996" customHeight="1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78" ht="15" customHeight="1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  <c r="BL6" s="22"/>
      <c r="BR6" s="38" t="s">
        <v>136</v>
      </c>
      <c r="BS6" s="57">
        <f t="shared" ref="BS6:BZ6" si="0">BS7/20</f>
        <v>1.295625</v>
      </c>
      <c r="BT6" s="57">
        <f t="shared" si="0"/>
        <v>4.3187499999999996</v>
      </c>
      <c r="BU6" s="57">
        <f t="shared" si="0"/>
        <v>0.86374999999999957</v>
      </c>
      <c r="BV6" s="57">
        <f t="shared" si="0"/>
        <v>0.43187499999999979</v>
      </c>
      <c r="BW6" s="57">
        <f t="shared" si="0"/>
        <v>0.86374999999999957</v>
      </c>
      <c r="BX6" s="57">
        <f t="shared" si="0"/>
        <v>0.43187499999999979</v>
      </c>
      <c r="BY6" s="57">
        <f t="shared" si="0"/>
        <v>0.86374999999999957</v>
      </c>
      <c r="BZ6" s="57">
        <f t="shared" si="0"/>
        <v>9.0693749999999973</v>
      </c>
    </row>
    <row r="7" spans="1:78" ht="15" customHeight="1">
      <c r="A7" s="21"/>
      <c r="B7" s="70" t="s">
        <v>137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23"/>
      <c r="BL7" s="22"/>
      <c r="BR7" s="37" t="s">
        <v>138</v>
      </c>
      <c r="BS7" s="24">
        <f>SUM(BS9:BS314)</f>
        <v>25.912500000000001</v>
      </c>
      <c r="BT7" s="24">
        <f t="shared" ref="BT7:BZ7" si="1">SUM(BT9:BT314)</f>
        <v>86.375</v>
      </c>
      <c r="BU7" s="24">
        <f t="shared" si="1"/>
        <v>17.274999999999991</v>
      </c>
      <c r="BV7" s="24">
        <f t="shared" si="1"/>
        <v>8.6374999999999957</v>
      </c>
      <c r="BW7" s="24">
        <f t="shared" si="1"/>
        <v>17.274999999999991</v>
      </c>
      <c r="BX7" s="24">
        <f t="shared" si="1"/>
        <v>8.6374999999999957</v>
      </c>
      <c r="BY7" s="24">
        <f t="shared" si="1"/>
        <v>17.274999999999991</v>
      </c>
      <c r="BZ7" s="24">
        <f t="shared" si="1"/>
        <v>181.38749999999996</v>
      </c>
    </row>
    <row r="8" spans="1:78" ht="51" customHeight="1">
      <c r="A8" s="21"/>
      <c r="B8" s="71" t="s">
        <v>139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341" t="s">
        <v>140</v>
      </c>
      <c r="Q8" s="342"/>
      <c r="R8" s="342"/>
      <c r="S8" s="342"/>
      <c r="T8" s="342"/>
      <c r="U8" s="342"/>
      <c r="V8" s="342"/>
      <c r="W8" s="342"/>
      <c r="X8" s="343"/>
      <c r="Y8" s="71" t="s">
        <v>141</v>
      </c>
      <c r="Z8" s="72"/>
      <c r="AA8" s="73"/>
      <c r="AB8" s="341" t="s">
        <v>142</v>
      </c>
      <c r="AC8" s="342"/>
      <c r="AD8" s="342"/>
      <c r="AE8" s="342"/>
      <c r="AF8" s="342"/>
      <c r="AG8" s="342"/>
      <c r="AH8" s="342"/>
      <c r="AI8" s="342"/>
      <c r="AJ8" s="343"/>
      <c r="AK8" s="71" t="s">
        <v>143</v>
      </c>
      <c r="AL8" s="72"/>
      <c r="AM8" s="73"/>
      <c r="AN8" s="72" t="s">
        <v>144</v>
      </c>
      <c r="AO8" s="72"/>
      <c r="AP8" s="72"/>
      <c r="AQ8" s="72"/>
      <c r="AR8" s="72"/>
      <c r="AS8" s="72"/>
      <c r="AT8" s="72"/>
      <c r="AU8" s="72"/>
      <c r="AV8" s="72"/>
      <c r="AW8" s="71" t="s">
        <v>145</v>
      </c>
      <c r="AX8" s="72"/>
      <c r="AY8" s="73"/>
      <c r="AZ8" s="71" t="s">
        <v>146</v>
      </c>
      <c r="BA8" s="72"/>
      <c r="BB8" s="72"/>
      <c r="BC8" s="72"/>
      <c r="BD8" s="72"/>
      <c r="BE8" s="72"/>
      <c r="BF8" s="72"/>
      <c r="BG8" s="72"/>
      <c r="BH8" s="74"/>
      <c r="BI8" s="74"/>
      <c r="BJ8" s="75"/>
      <c r="BK8" s="23"/>
      <c r="BL8" s="22"/>
      <c r="BM8" s="47" t="s">
        <v>147</v>
      </c>
      <c r="BN8" s="47" t="s">
        <v>148</v>
      </c>
      <c r="BO8" s="47" t="s">
        <v>149</v>
      </c>
      <c r="BP8" s="47" t="s">
        <v>150</v>
      </c>
      <c r="BR8" s="41" t="s">
        <v>151</v>
      </c>
      <c r="BS8" s="42" t="s">
        <v>51</v>
      </c>
      <c r="BT8" s="42" t="s">
        <v>152</v>
      </c>
      <c r="BU8" s="42" t="s">
        <v>153</v>
      </c>
      <c r="BV8" s="42" t="s">
        <v>55</v>
      </c>
      <c r="BW8" s="42" t="s">
        <v>56</v>
      </c>
      <c r="BX8" s="42" t="s">
        <v>57</v>
      </c>
      <c r="BY8" s="42" t="s">
        <v>154</v>
      </c>
      <c r="BZ8" s="42" t="s">
        <v>61</v>
      </c>
    </row>
    <row r="9" spans="1:78" ht="15.75">
      <c r="A9" s="22"/>
      <c r="B9" s="76" t="s">
        <v>155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8"/>
      <c r="P9" s="79" t="s">
        <v>156</v>
      </c>
      <c r="Q9" s="80"/>
      <c r="R9" s="80"/>
      <c r="S9" s="80"/>
      <c r="T9" s="80"/>
      <c r="U9" s="80"/>
      <c r="V9" s="80"/>
      <c r="W9" s="80"/>
      <c r="X9" s="81"/>
      <c r="Y9" s="79" t="s">
        <v>157</v>
      </c>
      <c r="Z9" s="80"/>
      <c r="AA9" s="81"/>
      <c r="AB9" s="82" t="s">
        <v>158</v>
      </c>
      <c r="AC9" s="83"/>
      <c r="AD9" s="83"/>
      <c r="AE9" s="83"/>
      <c r="AF9" s="83"/>
      <c r="AG9" s="83"/>
      <c r="AH9" s="83"/>
      <c r="AI9" s="83"/>
      <c r="AJ9" s="84"/>
      <c r="AK9" s="82" t="s">
        <v>159</v>
      </c>
      <c r="AL9" s="83"/>
      <c r="AM9" s="84"/>
      <c r="AN9" s="82" t="s">
        <v>160</v>
      </c>
      <c r="AO9" s="83"/>
      <c r="AP9" s="83"/>
      <c r="AQ9" s="83"/>
      <c r="AR9" s="83"/>
      <c r="AS9" s="83"/>
      <c r="AT9" s="83"/>
      <c r="AU9" s="83"/>
      <c r="AV9" s="84"/>
      <c r="AW9" s="82" t="s">
        <v>161</v>
      </c>
      <c r="AX9" s="83"/>
      <c r="AY9" s="84"/>
      <c r="AZ9" s="82"/>
      <c r="BA9" s="83"/>
      <c r="BB9" s="83"/>
      <c r="BC9" s="83"/>
      <c r="BD9" s="83"/>
      <c r="BE9" s="83"/>
      <c r="BF9" s="83"/>
      <c r="BG9" s="83"/>
      <c r="BH9" s="83"/>
      <c r="BI9" s="83"/>
      <c r="BJ9" s="84"/>
      <c r="BK9" s="22"/>
      <c r="BL9" s="22"/>
      <c r="BM9" s="45">
        <v>1</v>
      </c>
      <c r="BR9" s="39" t="s">
        <v>162</v>
      </c>
      <c r="BS9" s="34">
        <f>_xlfn.IFNA(VLOOKUP($BR9,[15]Master!$C$4:$J$13,2,FALSE),"-")</f>
        <v>0.15</v>
      </c>
      <c r="BT9" s="34">
        <f>_xlfn.IFNA(VLOOKUP($BR9,[15]Master!$C$4:$J$13,3,FALSE),"-")</f>
        <v>0.5</v>
      </c>
      <c r="BU9" s="34">
        <f>_xlfn.IFNA(VLOOKUP($BR9,[15]Master!$C$4:$J$13,4,FALSE),"-")</f>
        <v>0.1</v>
      </c>
      <c r="BV9" s="34">
        <f>_xlfn.IFNA(VLOOKUP($BR9,[15]Master!$C$4:$J$13,5,FALSE),"-")</f>
        <v>0.05</v>
      </c>
      <c r="BW9" s="34">
        <f>_xlfn.IFNA(VLOOKUP($BR9,[15]Master!$C$4:$J$13,6,FALSE),"-")</f>
        <v>0.1</v>
      </c>
      <c r="BX9" s="34">
        <f>_xlfn.IFNA(VLOOKUP($BR9,[15]Master!$C$4:$J$13,7,FALSE),"-")</f>
        <v>0.05</v>
      </c>
      <c r="BY9" s="34">
        <f>_xlfn.IFNA(VLOOKUP($BR9,[15]Master!$C$4:$J$13,8,FALSE),"-")</f>
        <v>0.1</v>
      </c>
      <c r="BZ9" s="35">
        <f>SUM(BS9:BY9)</f>
        <v>1.05</v>
      </c>
    </row>
    <row r="10" spans="1:78" ht="15.75">
      <c r="A10" s="22"/>
      <c r="B10" s="8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7"/>
      <c r="P10" s="85"/>
      <c r="Q10" s="86"/>
      <c r="R10" s="86"/>
      <c r="S10" s="86"/>
      <c r="T10" s="86"/>
      <c r="U10" s="86"/>
      <c r="V10" s="86"/>
      <c r="W10" s="86"/>
      <c r="X10" s="87"/>
      <c r="Y10" s="85"/>
      <c r="Z10" s="86"/>
      <c r="AA10" s="87"/>
      <c r="AB10" s="88" t="s">
        <v>163</v>
      </c>
      <c r="AC10" s="89"/>
      <c r="AD10" s="89"/>
      <c r="AE10" s="89"/>
      <c r="AF10" s="89"/>
      <c r="AG10" s="89"/>
      <c r="AH10" s="89"/>
      <c r="AI10" s="89"/>
      <c r="AJ10" s="90"/>
      <c r="AK10" s="88" t="s">
        <v>164</v>
      </c>
      <c r="AL10" s="89"/>
      <c r="AM10" s="90"/>
      <c r="AN10" s="88" t="s">
        <v>165</v>
      </c>
      <c r="AO10" s="89"/>
      <c r="AP10" s="89"/>
      <c r="AQ10" s="89"/>
      <c r="AR10" s="89"/>
      <c r="AS10" s="89"/>
      <c r="AT10" s="89"/>
      <c r="AU10" s="89"/>
      <c r="AV10" s="90"/>
      <c r="AW10" s="88" t="s">
        <v>166</v>
      </c>
      <c r="AX10" s="89"/>
      <c r="AY10" s="90"/>
      <c r="AZ10" s="88"/>
      <c r="BA10" s="89"/>
      <c r="BB10" s="89"/>
      <c r="BC10" s="89"/>
      <c r="BD10" s="89"/>
      <c r="BE10" s="89"/>
      <c r="BF10" s="89"/>
      <c r="BG10" s="89"/>
      <c r="BH10" s="89"/>
      <c r="BI10" s="89"/>
      <c r="BJ10" s="90"/>
      <c r="BK10" s="22"/>
      <c r="BL10" s="22"/>
      <c r="BO10" s="58"/>
      <c r="BP10" s="59"/>
      <c r="BQ10" s="60"/>
      <c r="BR10" s="61"/>
      <c r="BS10" s="62" t="str">
        <f>_xlfn.IFNA(VLOOKUP($BR10,[15]Master!$C$4:$J$13,2,FALSE),"-")</f>
        <v>-</v>
      </c>
      <c r="BT10" s="62" t="str">
        <f>_xlfn.IFNA(VLOOKUP($BR10,[15]Master!$C$4:$J$13,3,FALSE),"-")</f>
        <v>-</v>
      </c>
      <c r="BU10" s="62" t="str">
        <f>_xlfn.IFNA(VLOOKUP($BR10,[15]Master!$C$4:$J$13,4,FALSE),"-")</f>
        <v>-</v>
      </c>
      <c r="BV10" s="62" t="str">
        <f>_xlfn.IFNA(VLOOKUP($BR10,[15]Master!$C$4:$J$13,5,FALSE),"-")</f>
        <v>-</v>
      </c>
      <c r="BW10" s="62" t="str">
        <f>_xlfn.IFNA(VLOOKUP($BR10,[15]Master!$C$4:$J$13,6,FALSE),"-")</f>
        <v>-</v>
      </c>
      <c r="BX10" s="62" t="str">
        <f>_xlfn.IFNA(VLOOKUP($BR10,[15]Master!$C$4:$J$13,7,FALSE),"-")</f>
        <v>-</v>
      </c>
      <c r="BY10" s="62" t="str">
        <f>_xlfn.IFNA(VLOOKUP($BR10,[15]Master!$C$4:$J$13,8,FALSE),"-")</f>
        <v>-</v>
      </c>
      <c r="BZ10" s="63">
        <f>SUM(BS10:BY10)</f>
        <v>0</v>
      </c>
    </row>
    <row r="11" spans="1:78" ht="15.75">
      <c r="A11" s="22"/>
      <c r="B11" s="91" t="s">
        <v>167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3"/>
      <c r="P11" s="94" t="s">
        <v>168</v>
      </c>
      <c r="Q11" s="95"/>
      <c r="R11" s="95"/>
      <c r="S11" s="95"/>
      <c r="T11" s="95"/>
      <c r="U11" s="95"/>
      <c r="V11" s="95"/>
      <c r="W11" s="95"/>
      <c r="X11" s="96"/>
      <c r="Y11" s="94" t="s">
        <v>169</v>
      </c>
      <c r="Z11" s="95"/>
      <c r="AA11" s="96"/>
      <c r="AB11" s="94"/>
      <c r="AC11" s="95"/>
      <c r="AD11" s="95"/>
      <c r="AE11" s="95"/>
      <c r="AF11" s="95"/>
      <c r="AG11" s="95"/>
      <c r="AH11" s="95"/>
      <c r="AI11" s="95"/>
      <c r="AJ11" s="96"/>
      <c r="AK11" s="94"/>
      <c r="AL11" s="95"/>
      <c r="AM11" s="96"/>
      <c r="AN11" s="94"/>
      <c r="AO11" s="95"/>
      <c r="AP11" s="95"/>
      <c r="AQ11" s="95"/>
      <c r="AR11" s="95"/>
      <c r="AS11" s="95"/>
      <c r="AT11" s="95"/>
      <c r="AU11" s="95"/>
      <c r="AV11" s="96"/>
      <c r="AW11" s="94"/>
      <c r="AX11" s="95"/>
      <c r="AY11" s="96"/>
      <c r="AZ11" s="94"/>
      <c r="BA11" s="95"/>
      <c r="BB11" s="95"/>
      <c r="BC11" s="95"/>
      <c r="BD11" s="95"/>
      <c r="BE11" s="95"/>
      <c r="BF11" s="95"/>
      <c r="BG11" s="95"/>
      <c r="BH11" s="95"/>
      <c r="BI11" s="95"/>
      <c r="BJ11" s="96"/>
      <c r="BK11" s="22"/>
      <c r="BL11" s="22"/>
      <c r="BM11" s="45">
        <v>1</v>
      </c>
      <c r="BR11" s="39" t="s">
        <v>162</v>
      </c>
      <c r="BS11" s="34">
        <f>_xlfn.IFNA(VLOOKUP($BR11,[15]Master!$C$4:$J$13,2,FALSE),"-")</f>
        <v>0.15</v>
      </c>
      <c r="BT11" s="34">
        <f>_xlfn.IFNA(VLOOKUP($BR11,[15]Master!$C$4:$J$13,3,FALSE),"-")</f>
        <v>0.5</v>
      </c>
      <c r="BU11" s="34">
        <f>_xlfn.IFNA(VLOOKUP($BR11,[15]Master!$C$4:$J$13,4,FALSE),"-")</f>
        <v>0.1</v>
      </c>
      <c r="BV11" s="34">
        <f>_xlfn.IFNA(VLOOKUP($BR11,[15]Master!$C$4:$J$13,5,FALSE),"-")</f>
        <v>0.05</v>
      </c>
      <c r="BW11" s="34">
        <f>_xlfn.IFNA(VLOOKUP($BR11,[15]Master!$C$4:$J$13,6,FALSE),"-")</f>
        <v>0.1</v>
      </c>
      <c r="BX11" s="34">
        <f>_xlfn.IFNA(VLOOKUP($BR11,[15]Master!$C$4:$J$13,7,FALSE),"-")</f>
        <v>0.05</v>
      </c>
      <c r="BY11" s="34">
        <f>_xlfn.IFNA(VLOOKUP($BR11,[15]Master!$C$4:$J$13,8,FALSE),"-")</f>
        <v>0.1</v>
      </c>
      <c r="BZ11" s="35">
        <f t="shared" ref="BZ11:BZ74" si="2">SUM(BS11:BY11)</f>
        <v>1.05</v>
      </c>
    </row>
    <row r="12" spans="1:78" ht="15.75">
      <c r="A12" s="22"/>
      <c r="B12" s="97" t="s">
        <v>87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9"/>
      <c r="P12" s="97" t="s">
        <v>170</v>
      </c>
      <c r="Q12" s="98"/>
      <c r="R12" s="98"/>
      <c r="S12" s="98"/>
      <c r="T12" s="98"/>
      <c r="U12" s="98"/>
      <c r="V12" s="98"/>
      <c r="W12" s="98"/>
      <c r="X12" s="99"/>
      <c r="Y12" s="97"/>
      <c r="Z12" s="98"/>
      <c r="AA12" s="99"/>
      <c r="AB12" s="97" t="s">
        <v>171</v>
      </c>
      <c r="AC12" s="98"/>
      <c r="AD12" s="98"/>
      <c r="AE12" s="98"/>
      <c r="AF12" s="98"/>
      <c r="AG12" s="98"/>
      <c r="AH12" s="98"/>
      <c r="AI12" s="98"/>
      <c r="AJ12" s="99"/>
      <c r="AK12" s="97"/>
      <c r="AL12" s="98"/>
      <c r="AM12" s="99"/>
      <c r="AN12" s="97" t="s">
        <v>172</v>
      </c>
      <c r="AO12" s="98"/>
      <c r="AP12" s="98"/>
      <c r="AQ12" s="98"/>
      <c r="AR12" s="98"/>
      <c r="AS12" s="98"/>
      <c r="AT12" s="98"/>
      <c r="AU12" s="98"/>
      <c r="AV12" s="99"/>
      <c r="AW12" s="97"/>
      <c r="AX12" s="98"/>
      <c r="AY12" s="99"/>
      <c r="AZ12" s="97"/>
      <c r="BA12" s="98"/>
      <c r="BB12" s="98"/>
      <c r="BC12" s="98"/>
      <c r="BD12" s="98"/>
      <c r="BE12" s="98"/>
      <c r="BF12" s="98"/>
      <c r="BG12" s="98"/>
      <c r="BH12" s="98"/>
      <c r="BI12" s="98"/>
      <c r="BJ12" s="99"/>
      <c r="BK12" s="22"/>
      <c r="BL12" s="22"/>
      <c r="BM12" s="45">
        <v>6</v>
      </c>
      <c r="BR12" s="39" t="s">
        <v>173</v>
      </c>
      <c r="BS12" s="34">
        <f>_xlfn.IFNA(VLOOKUP($BR12,[15]Master!$C$4:$J$13,2,FALSE),"-")</f>
        <v>0.75</v>
      </c>
      <c r="BT12" s="34">
        <f>_xlfn.IFNA(VLOOKUP($BR12,[15]Master!$C$4:$J$13,3,FALSE),"-")</f>
        <v>2.5</v>
      </c>
      <c r="BU12" s="34">
        <f>_xlfn.IFNA(VLOOKUP($BR12,[15]Master!$C$4:$J$13,4,FALSE),"-")</f>
        <v>0.5</v>
      </c>
      <c r="BV12" s="34">
        <f>_xlfn.IFNA(VLOOKUP($BR12,[15]Master!$C$4:$J$13,5,FALSE),"-")</f>
        <v>0.25</v>
      </c>
      <c r="BW12" s="34">
        <f>_xlfn.IFNA(VLOOKUP($BR12,[15]Master!$C$4:$J$13,6,FALSE),"-")</f>
        <v>0.5</v>
      </c>
      <c r="BX12" s="34">
        <f>_xlfn.IFNA(VLOOKUP($BR12,[15]Master!$C$4:$J$13,7,FALSE),"-")</f>
        <v>0.25</v>
      </c>
      <c r="BY12" s="34">
        <f>_xlfn.IFNA(VLOOKUP($BR12,[15]Master!$C$4:$J$13,8,FALSE),"-")</f>
        <v>0.5</v>
      </c>
      <c r="BZ12" s="35">
        <f t="shared" si="2"/>
        <v>5.25</v>
      </c>
    </row>
    <row r="13" spans="1:78" ht="15.75">
      <c r="A13" s="22"/>
      <c r="B13" s="97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9"/>
      <c r="P13" s="97" t="s">
        <v>174</v>
      </c>
      <c r="Q13" s="98"/>
      <c r="R13" s="98"/>
      <c r="S13" s="98"/>
      <c r="T13" s="98"/>
      <c r="U13" s="98"/>
      <c r="V13" s="98"/>
      <c r="W13" s="98"/>
      <c r="X13" s="99"/>
      <c r="Y13" s="97"/>
      <c r="Z13" s="98"/>
      <c r="AA13" s="99"/>
      <c r="AB13" s="97" t="s">
        <v>175</v>
      </c>
      <c r="AC13" s="98"/>
      <c r="AD13" s="98"/>
      <c r="AE13" s="98"/>
      <c r="AF13" s="98"/>
      <c r="AG13" s="98"/>
      <c r="AH13" s="98"/>
      <c r="AI13" s="98"/>
      <c r="AJ13" s="99"/>
      <c r="AK13" s="97"/>
      <c r="AL13" s="98"/>
      <c r="AM13" s="99"/>
      <c r="AN13" s="97" t="s">
        <v>176</v>
      </c>
      <c r="AO13" s="98"/>
      <c r="AP13" s="98"/>
      <c r="AQ13" s="98"/>
      <c r="AR13" s="98"/>
      <c r="AS13" s="98"/>
      <c r="AT13" s="98"/>
      <c r="AU13" s="98"/>
      <c r="AV13" s="99"/>
      <c r="AW13" s="97"/>
      <c r="AX13" s="98"/>
      <c r="AY13" s="99"/>
      <c r="AZ13" s="97"/>
      <c r="BA13" s="98"/>
      <c r="BB13" s="98"/>
      <c r="BC13" s="98"/>
      <c r="BD13" s="98"/>
      <c r="BE13" s="98"/>
      <c r="BF13" s="98"/>
      <c r="BG13" s="98"/>
      <c r="BH13" s="98"/>
      <c r="BI13" s="98"/>
      <c r="BJ13" s="99"/>
      <c r="BK13" s="22"/>
      <c r="BL13" s="22"/>
      <c r="BM13" s="58"/>
      <c r="BN13" s="58"/>
      <c r="BO13" s="58"/>
      <c r="BP13" s="59"/>
      <c r="BQ13" s="60"/>
      <c r="BR13" s="61"/>
      <c r="BS13" s="62" t="str">
        <f>_xlfn.IFNA(VLOOKUP($BR13,[15]Master!$C$4:$J$13,2,FALSE),"-")</f>
        <v>-</v>
      </c>
      <c r="BT13" s="62" t="str">
        <f>_xlfn.IFNA(VLOOKUP($BR13,[15]Master!$C$4:$J$13,3,FALSE),"-")</f>
        <v>-</v>
      </c>
      <c r="BU13" s="62" t="str">
        <f>_xlfn.IFNA(VLOOKUP($BR13,[15]Master!$C$4:$J$13,4,FALSE),"-")</f>
        <v>-</v>
      </c>
      <c r="BV13" s="62" t="str">
        <f>_xlfn.IFNA(VLOOKUP($BR13,[15]Master!$C$4:$J$13,5,FALSE),"-")</f>
        <v>-</v>
      </c>
      <c r="BW13" s="62" t="str">
        <f>_xlfn.IFNA(VLOOKUP($BR13,[15]Master!$C$4:$J$13,6,FALSE),"-")</f>
        <v>-</v>
      </c>
      <c r="BX13" s="62" t="str">
        <f>_xlfn.IFNA(VLOOKUP($BR13,[15]Master!$C$4:$J$13,7,FALSE),"-")</f>
        <v>-</v>
      </c>
      <c r="BY13" s="62" t="str">
        <f>_xlfn.IFNA(VLOOKUP($BR13,[15]Master!$C$4:$J$13,8,FALSE),"-")</f>
        <v>-</v>
      </c>
      <c r="BZ13" s="63">
        <f t="shared" si="2"/>
        <v>0</v>
      </c>
    </row>
    <row r="14" spans="1:78" ht="15.75">
      <c r="A14" s="22"/>
      <c r="B14" s="97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9"/>
      <c r="P14" s="97" t="s">
        <v>177</v>
      </c>
      <c r="Q14" s="98"/>
      <c r="R14" s="98"/>
      <c r="S14" s="98"/>
      <c r="T14" s="98"/>
      <c r="U14" s="98"/>
      <c r="V14" s="98"/>
      <c r="W14" s="98"/>
      <c r="X14" s="99"/>
      <c r="Y14" s="97"/>
      <c r="Z14" s="98"/>
      <c r="AA14" s="99"/>
      <c r="AB14" s="97" t="s">
        <v>178</v>
      </c>
      <c r="AC14" s="98"/>
      <c r="AD14" s="98"/>
      <c r="AE14" s="98"/>
      <c r="AF14" s="98"/>
      <c r="AG14" s="98"/>
      <c r="AH14" s="98"/>
      <c r="AI14" s="98"/>
      <c r="AJ14" s="99"/>
      <c r="AK14" s="97"/>
      <c r="AL14" s="98"/>
      <c r="AM14" s="99"/>
      <c r="AN14" s="97" t="s">
        <v>179</v>
      </c>
      <c r="AO14" s="98"/>
      <c r="AP14" s="98"/>
      <c r="AQ14" s="98"/>
      <c r="AR14" s="98"/>
      <c r="AS14" s="98"/>
      <c r="AT14" s="98"/>
      <c r="AU14" s="98"/>
      <c r="AV14" s="99"/>
      <c r="AW14" s="97"/>
      <c r="AX14" s="98"/>
      <c r="AY14" s="99"/>
      <c r="AZ14" s="97"/>
      <c r="BA14" s="98"/>
      <c r="BB14" s="98"/>
      <c r="BC14" s="98"/>
      <c r="BD14" s="98"/>
      <c r="BE14" s="98"/>
      <c r="BF14" s="98"/>
      <c r="BG14" s="98"/>
      <c r="BH14" s="98"/>
      <c r="BI14" s="98"/>
      <c r="BJ14" s="99"/>
      <c r="BK14" s="22"/>
      <c r="BL14" s="22"/>
      <c r="BM14" s="58"/>
      <c r="BN14" s="58"/>
      <c r="BO14" s="58"/>
      <c r="BP14" s="59"/>
      <c r="BQ14" s="60"/>
      <c r="BR14" s="61"/>
      <c r="BS14" s="62" t="str">
        <f>_xlfn.IFNA(VLOOKUP($BR14,[15]Master!$C$4:$J$13,2,FALSE),"-")</f>
        <v>-</v>
      </c>
      <c r="BT14" s="62" t="str">
        <f>_xlfn.IFNA(VLOOKUP($BR14,[15]Master!$C$4:$J$13,3,FALSE),"-")</f>
        <v>-</v>
      </c>
      <c r="BU14" s="62" t="str">
        <f>_xlfn.IFNA(VLOOKUP($BR14,[15]Master!$C$4:$J$13,4,FALSE),"-")</f>
        <v>-</v>
      </c>
      <c r="BV14" s="62" t="str">
        <f>_xlfn.IFNA(VLOOKUP($BR14,[15]Master!$C$4:$J$13,5,FALSE),"-")</f>
        <v>-</v>
      </c>
      <c r="BW14" s="62" t="str">
        <f>_xlfn.IFNA(VLOOKUP($BR14,[15]Master!$C$4:$J$13,6,FALSE),"-")</f>
        <v>-</v>
      </c>
      <c r="BX14" s="62" t="str">
        <f>_xlfn.IFNA(VLOOKUP($BR14,[15]Master!$C$4:$J$13,7,FALSE),"-")</f>
        <v>-</v>
      </c>
      <c r="BY14" s="62" t="str">
        <f>_xlfn.IFNA(VLOOKUP($BR14,[15]Master!$C$4:$J$13,8,FALSE),"-")</f>
        <v>-</v>
      </c>
      <c r="BZ14" s="63">
        <f t="shared" si="2"/>
        <v>0</v>
      </c>
    </row>
    <row r="15" spans="1:78" ht="15.75">
      <c r="A15" s="22"/>
      <c r="B15" s="97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9"/>
      <c r="P15" s="97" t="s">
        <v>180</v>
      </c>
      <c r="Q15" s="98"/>
      <c r="R15" s="98"/>
      <c r="S15" s="98"/>
      <c r="T15" s="98"/>
      <c r="U15" s="98"/>
      <c r="V15" s="98"/>
      <c r="W15" s="98"/>
      <c r="X15" s="99"/>
      <c r="Y15" s="97"/>
      <c r="Z15" s="98"/>
      <c r="AA15" s="99"/>
      <c r="AB15" s="97" t="s">
        <v>181</v>
      </c>
      <c r="AC15" s="98"/>
      <c r="AD15" s="98"/>
      <c r="AE15" s="98"/>
      <c r="AF15" s="98"/>
      <c r="AG15" s="98"/>
      <c r="AH15" s="98"/>
      <c r="AI15" s="98"/>
      <c r="AJ15" s="99"/>
      <c r="AK15" s="97"/>
      <c r="AL15" s="98"/>
      <c r="AM15" s="99"/>
      <c r="AN15" s="97" t="s">
        <v>182</v>
      </c>
      <c r="AO15" s="98"/>
      <c r="AP15" s="98"/>
      <c r="AQ15" s="98"/>
      <c r="AR15" s="98"/>
      <c r="AS15" s="98"/>
      <c r="AT15" s="98"/>
      <c r="AU15" s="98"/>
      <c r="AV15" s="99"/>
      <c r="AW15" s="97"/>
      <c r="AX15" s="98"/>
      <c r="AY15" s="99"/>
      <c r="AZ15" s="97"/>
      <c r="BA15" s="98"/>
      <c r="BB15" s="98"/>
      <c r="BC15" s="98"/>
      <c r="BD15" s="98"/>
      <c r="BE15" s="98"/>
      <c r="BF15" s="98"/>
      <c r="BG15" s="98"/>
      <c r="BH15" s="98"/>
      <c r="BI15" s="98"/>
      <c r="BJ15" s="99"/>
      <c r="BK15" s="22"/>
      <c r="BL15" s="22"/>
      <c r="BM15" s="58"/>
      <c r="BN15" s="58"/>
      <c r="BO15" s="58"/>
      <c r="BP15" s="59"/>
      <c r="BQ15" s="60"/>
      <c r="BR15" s="61"/>
      <c r="BS15" s="62" t="str">
        <f>_xlfn.IFNA(VLOOKUP($BR15,[15]Master!$C$4:$J$13,2,FALSE),"-")</f>
        <v>-</v>
      </c>
      <c r="BT15" s="62" t="str">
        <f>_xlfn.IFNA(VLOOKUP($BR15,[15]Master!$C$4:$J$13,3,FALSE),"-")</f>
        <v>-</v>
      </c>
      <c r="BU15" s="62" t="str">
        <f>_xlfn.IFNA(VLOOKUP($BR15,[15]Master!$C$4:$J$13,4,FALSE),"-")</f>
        <v>-</v>
      </c>
      <c r="BV15" s="62" t="str">
        <f>_xlfn.IFNA(VLOOKUP($BR15,[15]Master!$C$4:$J$13,5,FALSE),"-")</f>
        <v>-</v>
      </c>
      <c r="BW15" s="62" t="str">
        <f>_xlfn.IFNA(VLOOKUP($BR15,[15]Master!$C$4:$J$13,6,FALSE),"-")</f>
        <v>-</v>
      </c>
      <c r="BX15" s="62" t="str">
        <f>_xlfn.IFNA(VLOOKUP($BR15,[15]Master!$C$4:$J$13,7,FALSE),"-")</f>
        <v>-</v>
      </c>
      <c r="BY15" s="62" t="str">
        <f>_xlfn.IFNA(VLOOKUP($BR15,[15]Master!$C$4:$J$13,8,FALSE),"-")</f>
        <v>-</v>
      </c>
      <c r="BZ15" s="63">
        <f t="shared" si="2"/>
        <v>0</v>
      </c>
    </row>
    <row r="16" spans="1:78" ht="15.75">
      <c r="A16" s="22"/>
      <c r="B16" s="97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9"/>
      <c r="P16" s="97" t="s">
        <v>183</v>
      </c>
      <c r="Q16" s="98"/>
      <c r="R16" s="98"/>
      <c r="S16" s="98"/>
      <c r="T16" s="98"/>
      <c r="U16" s="98"/>
      <c r="V16" s="98"/>
      <c r="W16" s="98"/>
      <c r="X16" s="99"/>
      <c r="Y16" s="97"/>
      <c r="Z16" s="98"/>
      <c r="AA16" s="99"/>
      <c r="AB16" s="97"/>
      <c r="AC16" s="98"/>
      <c r="AD16" s="98"/>
      <c r="AE16" s="98"/>
      <c r="AF16" s="98"/>
      <c r="AG16" s="98"/>
      <c r="AH16" s="98"/>
      <c r="AI16" s="98"/>
      <c r="AJ16" s="99"/>
      <c r="AK16" s="97"/>
      <c r="AL16" s="98"/>
      <c r="AM16" s="99"/>
      <c r="AN16" s="97"/>
      <c r="AO16" s="98"/>
      <c r="AP16" s="98"/>
      <c r="AQ16" s="98"/>
      <c r="AR16" s="98"/>
      <c r="AS16" s="98"/>
      <c r="AT16" s="98"/>
      <c r="AU16" s="98"/>
      <c r="AV16" s="99"/>
      <c r="AW16" s="97"/>
      <c r="AX16" s="98"/>
      <c r="AY16" s="99"/>
      <c r="AZ16" s="97"/>
      <c r="BA16" s="98"/>
      <c r="BB16" s="98"/>
      <c r="BC16" s="98"/>
      <c r="BD16" s="98"/>
      <c r="BE16" s="98"/>
      <c r="BF16" s="98"/>
      <c r="BG16" s="98"/>
      <c r="BH16" s="98"/>
      <c r="BI16" s="98"/>
      <c r="BJ16" s="99"/>
      <c r="BK16" s="22"/>
      <c r="BL16" s="22"/>
      <c r="BM16" s="58"/>
      <c r="BN16" s="58"/>
      <c r="BO16" s="58"/>
      <c r="BP16" s="59"/>
      <c r="BQ16" s="60"/>
      <c r="BR16" s="61"/>
      <c r="BS16" s="62" t="str">
        <f>_xlfn.IFNA(VLOOKUP($BR16,[15]Master!$C$4:$J$13,2,FALSE),"-")</f>
        <v>-</v>
      </c>
      <c r="BT16" s="62" t="str">
        <f>_xlfn.IFNA(VLOOKUP($BR16,[15]Master!$C$4:$J$13,3,FALSE),"-")</f>
        <v>-</v>
      </c>
      <c r="BU16" s="62" t="str">
        <f>_xlfn.IFNA(VLOOKUP($BR16,[15]Master!$C$4:$J$13,4,FALSE),"-")</f>
        <v>-</v>
      </c>
      <c r="BV16" s="62" t="str">
        <f>_xlfn.IFNA(VLOOKUP($BR16,[15]Master!$C$4:$J$13,5,FALSE),"-")</f>
        <v>-</v>
      </c>
      <c r="BW16" s="62" t="str">
        <f>_xlfn.IFNA(VLOOKUP($BR16,[15]Master!$C$4:$J$13,6,FALSE),"-")</f>
        <v>-</v>
      </c>
      <c r="BX16" s="62" t="str">
        <f>_xlfn.IFNA(VLOOKUP($BR16,[15]Master!$C$4:$J$13,7,FALSE),"-")</f>
        <v>-</v>
      </c>
      <c r="BY16" s="62" t="str">
        <f>_xlfn.IFNA(VLOOKUP($BR16,[15]Master!$C$4:$J$13,8,FALSE),"-")</f>
        <v>-</v>
      </c>
      <c r="BZ16" s="63">
        <f t="shared" si="2"/>
        <v>0</v>
      </c>
    </row>
    <row r="17" spans="1:78" ht="15.75">
      <c r="A17" s="22"/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2"/>
      <c r="P17" s="100" t="s">
        <v>184</v>
      </c>
      <c r="Q17" s="101"/>
      <c r="R17" s="101"/>
      <c r="S17" s="101"/>
      <c r="T17" s="101"/>
      <c r="U17" s="101"/>
      <c r="V17" s="101"/>
      <c r="W17" s="101"/>
      <c r="X17" s="102"/>
      <c r="Y17" s="100"/>
      <c r="Z17" s="101"/>
      <c r="AA17" s="102"/>
      <c r="AB17" s="100"/>
      <c r="AC17" s="101"/>
      <c r="AD17" s="101"/>
      <c r="AE17" s="101"/>
      <c r="AF17" s="101"/>
      <c r="AG17" s="101"/>
      <c r="AH17" s="101"/>
      <c r="AI17" s="101"/>
      <c r="AJ17" s="102"/>
      <c r="AK17" s="100"/>
      <c r="AL17" s="101"/>
      <c r="AM17" s="102"/>
      <c r="AN17" s="100"/>
      <c r="AO17" s="101"/>
      <c r="AP17" s="101"/>
      <c r="AQ17" s="101"/>
      <c r="AR17" s="101"/>
      <c r="AS17" s="101"/>
      <c r="AT17" s="101"/>
      <c r="AU17" s="101"/>
      <c r="AV17" s="102"/>
      <c r="AW17" s="100"/>
      <c r="AX17" s="101"/>
      <c r="AY17" s="102"/>
      <c r="AZ17" s="100"/>
      <c r="BA17" s="101"/>
      <c r="BB17" s="101"/>
      <c r="BC17" s="101"/>
      <c r="BD17" s="101"/>
      <c r="BE17" s="101"/>
      <c r="BF17" s="101"/>
      <c r="BG17" s="101"/>
      <c r="BH17" s="101"/>
      <c r="BI17" s="101"/>
      <c r="BJ17" s="102"/>
      <c r="BK17" s="22"/>
      <c r="BL17" s="22"/>
      <c r="BM17" s="58"/>
      <c r="BN17" s="58"/>
      <c r="BO17" s="58"/>
      <c r="BP17" s="59"/>
      <c r="BQ17" s="60"/>
      <c r="BR17" s="61"/>
      <c r="BS17" s="62" t="str">
        <f>_xlfn.IFNA(VLOOKUP($BR17,[15]Master!$C$4:$J$13,2,FALSE),"-")</f>
        <v>-</v>
      </c>
      <c r="BT17" s="62" t="str">
        <f>_xlfn.IFNA(VLOOKUP($BR17,[15]Master!$C$4:$J$13,3,FALSE),"-")</f>
        <v>-</v>
      </c>
      <c r="BU17" s="62" t="str">
        <f>_xlfn.IFNA(VLOOKUP($BR17,[15]Master!$C$4:$J$13,4,FALSE),"-")</f>
        <v>-</v>
      </c>
      <c r="BV17" s="62" t="str">
        <f>_xlfn.IFNA(VLOOKUP($BR17,[15]Master!$C$4:$J$13,5,FALSE),"-")</f>
        <v>-</v>
      </c>
      <c r="BW17" s="62" t="str">
        <f>_xlfn.IFNA(VLOOKUP($BR17,[15]Master!$C$4:$J$13,6,FALSE),"-")</f>
        <v>-</v>
      </c>
      <c r="BX17" s="62" t="str">
        <f>_xlfn.IFNA(VLOOKUP($BR17,[15]Master!$C$4:$J$13,7,FALSE),"-")</f>
        <v>-</v>
      </c>
      <c r="BY17" s="62" t="str">
        <f>_xlfn.IFNA(VLOOKUP($BR17,[15]Master!$C$4:$J$13,8,FALSE),"-")</f>
        <v>-</v>
      </c>
      <c r="BZ17" s="63">
        <f t="shared" si="2"/>
        <v>0</v>
      </c>
    </row>
    <row r="18" spans="1:78" ht="15.75">
      <c r="A18" s="22"/>
      <c r="B18" s="97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9"/>
      <c r="P18" s="97" t="s">
        <v>185</v>
      </c>
      <c r="Q18" s="98"/>
      <c r="R18" s="98"/>
      <c r="S18" s="98"/>
      <c r="T18" s="98"/>
      <c r="U18" s="98"/>
      <c r="V18" s="98"/>
      <c r="W18" s="98"/>
      <c r="X18" s="99"/>
      <c r="Y18" s="97"/>
      <c r="Z18" s="98"/>
      <c r="AA18" s="99"/>
      <c r="AB18" s="97"/>
      <c r="AC18" s="98"/>
      <c r="AD18" s="98"/>
      <c r="AE18" s="98"/>
      <c r="AF18" s="98"/>
      <c r="AG18" s="98"/>
      <c r="AH18" s="98"/>
      <c r="AI18" s="98"/>
      <c r="AJ18" s="99"/>
      <c r="AK18" s="97"/>
      <c r="AL18" s="98"/>
      <c r="AM18" s="99"/>
      <c r="AN18" s="97"/>
      <c r="AO18" s="98"/>
      <c r="AP18" s="98"/>
      <c r="AQ18" s="98"/>
      <c r="AR18" s="98"/>
      <c r="AS18" s="98"/>
      <c r="AT18" s="98"/>
      <c r="AU18" s="98"/>
      <c r="AV18" s="99"/>
      <c r="AW18" s="97"/>
      <c r="AX18" s="98"/>
      <c r="AY18" s="99"/>
      <c r="AZ18" s="97"/>
      <c r="BA18" s="98"/>
      <c r="BB18" s="98"/>
      <c r="BC18" s="98"/>
      <c r="BD18" s="98"/>
      <c r="BE18" s="98"/>
      <c r="BF18" s="98"/>
      <c r="BG18" s="98"/>
      <c r="BH18" s="98"/>
      <c r="BI18" s="98"/>
      <c r="BJ18" s="99"/>
      <c r="BK18" s="22"/>
      <c r="BL18" s="22"/>
      <c r="BM18" s="58"/>
      <c r="BN18" s="58"/>
      <c r="BO18" s="58"/>
      <c r="BP18" s="59"/>
      <c r="BQ18" s="60"/>
      <c r="BR18" s="61"/>
      <c r="BS18" s="62" t="str">
        <f>_xlfn.IFNA(VLOOKUP($BR18,[15]Master!$C$4:$J$13,2,FALSE),"-")</f>
        <v>-</v>
      </c>
      <c r="BT18" s="62" t="str">
        <f>_xlfn.IFNA(VLOOKUP($BR18,[15]Master!$C$4:$J$13,3,FALSE),"-")</f>
        <v>-</v>
      </c>
      <c r="BU18" s="62" t="str">
        <f>_xlfn.IFNA(VLOOKUP($BR18,[15]Master!$C$4:$J$13,4,FALSE),"-")</f>
        <v>-</v>
      </c>
      <c r="BV18" s="62" t="str">
        <f>_xlfn.IFNA(VLOOKUP($BR18,[15]Master!$C$4:$J$13,5,FALSE),"-")</f>
        <v>-</v>
      </c>
      <c r="BW18" s="62" t="str">
        <f>_xlfn.IFNA(VLOOKUP($BR18,[15]Master!$C$4:$J$13,6,FALSE),"-")</f>
        <v>-</v>
      </c>
      <c r="BX18" s="62" t="str">
        <f>_xlfn.IFNA(VLOOKUP($BR18,[15]Master!$C$4:$J$13,7,FALSE),"-")</f>
        <v>-</v>
      </c>
      <c r="BY18" s="62" t="str">
        <f>_xlfn.IFNA(VLOOKUP($BR18,[15]Master!$C$4:$J$13,8,FALSE),"-")</f>
        <v>-</v>
      </c>
      <c r="BZ18" s="63">
        <f t="shared" si="2"/>
        <v>0</v>
      </c>
    </row>
    <row r="19" spans="1:78" ht="15.75">
      <c r="A19" s="22"/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2"/>
      <c r="P19" s="100" t="s">
        <v>186</v>
      </c>
      <c r="Q19" s="101"/>
      <c r="R19" s="101"/>
      <c r="S19" s="101"/>
      <c r="T19" s="101"/>
      <c r="U19" s="101"/>
      <c r="V19" s="101"/>
      <c r="W19" s="101"/>
      <c r="X19" s="102"/>
      <c r="Y19" s="100"/>
      <c r="Z19" s="101"/>
      <c r="AA19" s="102"/>
      <c r="AB19" s="100"/>
      <c r="AC19" s="101"/>
      <c r="AD19" s="101"/>
      <c r="AE19" s="101"/>
      <c r="AF19" s="101"/>
      <c r="AG19" s="101"/>
      <c r="AH19" s="101"/>
      <c r="AI19" s="101"/>
      <c r="AJ19" s="102"/>
      <c r="AK19" s="100"/>
      <c r="AL19" s="101"/>
      <c r="AM19" s="102"/>
      <c r="AN19" s="100"/>
      <c r="AO19" s="101"/>
      <c r="AP19" s="101"/>
      <c r="AQ19" s="101"/>
      <c r="AR19" s="101"/>
      <c r="AS19" s="101"/>
      <c r="AT19" s="101"/>
      <c r="AU19" s="101"/>
      <c r="AV19" s="102"/>
      <c r="AW19" s="100"/>
      <c r="AX19" s="101"/>
      <c r="AY19" s="102"/>
      <c r="AZ19" s="100"/>
      <c r="BA19" s="101"/>
      <c r="BB19" s="101"/>
      <c r="BC19" s="101"/>
      <c r="BD19" s="101"/>
      <c r="BE19" s="101"/>
      <c r="BF19" s="101"/>
      <c r="BG19" s="101"/>
      <c r="BH19" s="101"/>
      <c r="BI19" s="101"/>
      <c r="BJ19" s="102"/>
      <c r="BK19" s="22"/>
      <c r="BL19" s="22"/>
      <c r="BM19" s="58"/>
      <c r="BN19" s="58"/>
      <c r="BO19" s="58"/>
      <c r="BP19" s="59"/>
      <c r="BQ19" s="60"/>
      <c r="BR19" s="61"/>
      <c r="BS19" s="62" t="str">
        <f>_xlfn.IFNA(VLOOKUP($BR19,[15]Master!$C$4:$J$13,2,FALSE),"-")</f>
        <v>-</v>
      </c>
      <c r="BT19" s="62" t="str">
        <f>_xlfn.IFNA(VLOOKUP($BR19,[15]Master!$C$4:$J$13,3,FALSE),"-")</f>
        <v>-</v>
      </c>
      <c r="BU19" s="62" t="str">
        <f>_xlfn.IFNA(VLOOKUP($BR19,[15]Master!$C$4:$J$13,4,FALSE),"-")</f>
        <v>-</v>
      </c>
      <c r="BV19" s="62" t="str">
        <f>_xlfn.IFNA(VLOOKUP($BR19,[15]Master!$C$4:$J$13,5,FALSE),"-")</f>
        <v>-</v>
      </c>
      <c r="BW19" s="62" t="str">
        <f>_xlfn.IFNA(VLOOKUP($BR19,[15]Master!$C$4:$J$13,6,FALSE),"-")</f>
        <v>-</v>
      </c>
      <c r="BX19" s="62" t="str">
        <f>_xlfn.IFNA(VLOOKUP($BR19,[15]Master!$C$4:$J$13,7,FALSE),"-")</f>
        <v>-</v>
      </c>
      <c r="BY19" s="62" t="str">
        <f>_xlfn.IFNA(VLOOKUP($BR19,[15]Master!$C$4:$J$13,8,FALSE),"-")</f>
        <v>-</v>
      </c>
      <c r="BZ19" s="63">
        <f t="shared" si="2"/>
        <v>0</v>
      </c>
    </row>
    <row r="20" spans="1:78" ht="15.75">
      <c r="A20" s="22"/>
      <c r="B20" s="97" t="s">
        <v>89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9"/>
      <c r="P20" s="97" t="s">
        <v>187</v>
      </c>
      <c r="Q20" s="98"/>
      <c r="R20" s="98"/>
      <c r="S20" s="98"/>
      <c r="T20" s="98"/>
      <c r="U20" s="98"/>
      <c r="V20" s="98"/>
      <c r="W20" s="98"/>
      <c r="X20" s="99"/>
      <c r="Y20" s="97"/>
      <c r="Z20" s="98"/>
      <c r="AA20" s="99"/>
      <c r="AB20" s="97" t="s">
        <v>188</v>
      </c>
      <c r="AC20" s="98"/>
      <c r="AD20" s="98"/>
      <c r="AE20" s="98"/>
      <c r="AF20" s="98"/>
      <c r="AG20" s="98"/>
      <c r="AH20" s="98"/>
      <c r="AI20" s="98"/>
      <c r="AJ20" s="99"/>
      <c r="AK20" s="97"/>
      <c r="AL20" s="98"/>
      <c r="AM20" s="99"/>
      <c r="AN20" s="97"/>
      <c r="AO20" s="98"/>
      <c r="AP20" s="98"/>
      <c r="AQ20" s="98"/>
      <c r="AR20" s="98"/>
      <c r="AS20" s="98"/>
      <c r="AT20" s="98"/>
      <c r="AU20" s="98"/>
      <c r="AV20" s="99"/>
      <c r="AW20" s="97"/>
      <c r="AX20" s="98"/>
      <c r="AY20" s="99"/>
      <c r="AZ20" s="97"/>
      <c r="BA20" s="98"/>
      <c r="BB20" s="98"/>
      <c r="BC20" s="98"/>
      <c r="BD20" s="98"/>
      <c r="BE20" s="98"/>
      <c r="BF20" s="98"/>
      <c r="BG20" s="98"/>
      <c r="BH20" s="98"/>
      <c r="BI20" s="98"/>
      <c r="BJ20" s="99"/>
      <c r="BK20" s="22"/>
      <c r="BL20" s="22"/>
      <c r="BM20" s="45">
        <v>1</v>
      </c>
      <c r="BR20" s="39" t="s">
        <v>189</v>
      </c>
      <c r="BS20" s="34">
        <f>_xlfn.IFNA(VLOOKUP($BR20,[15]Master!$C$4:$J$13,2,FALSE),"-")</f>
        <v>0.1275</v>
      </c>
      <c r="BT20" s="34">
        <f>_xlfn.IFNA(VLOOKUP($BR20,[15]Master!$C$4:$J$13,3,FALSE),"-")</f>
        <v>0.42499999999999999</v>
      </c>
      <c r="BU20" s="34">
        <f>_xlfn.IFNA(VLOOKUP($BR20,[15]Master!$C$4:$J$13,4,FALSE),"-")</f>
        <v>8.5000000000000006E-2</v>
      </c>
      <c r="BV20" s="34">
        <f>_xlfn.IFNA(VLOOKUP($BR20,[15]Master!$C$4:$J$13,5,FALSE),"-")</f>
        <v>4.2500000000000003E-2</v>
      </c>
      <c r="BW20" s="34">
        <f>_xlfn.IFNA(VLOOKUP($BR20,[15]Master!$C$4:$J$13,6,FALSE),"-")</f>
        <v>8.5000000000000006E-2</v>
      </c>
      <c r="BX20" s="34">
        <f>_xlfn.IFNA(VLOOKUP($BR20,[15]Master!$C$4:$J$13,7,FALSE),"-")</f>
        <v>4.2500000000000003E-2</v>
      </c>
      <c r="BY20" s="34">
        <f>_xlfn.IFNA(VLOOKUP($BR20,[15]Master!$C$4:$J$13,8,FALSE),"-")</f>
        <v>8.5000000000000006E-2</v>
      </c>
      <c r="BZ20" s="35">
        <f t="shared" si="2"/>
        <v>0.89249999999999985</v>
      </c>
    </row>
    <row r="21" spans="1:78" ht="15.75">
      <c r="A21" s="22"/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9"/>
      <c r="P21" s="97" t="s">
        <v>190</v>
      </c>
      <c r="Q21" s="98"/>
      <c r="R21" s="98"/>
      <c r="S21" s="98"/>
      <c r="T21" s="98"/>
      <c r="U21" s="98"/>
      <c r="V21" s="98"/>
      <c r="W21" s="98"/>
      <c r="X21" s="99"/>
      <c r="Y21" s="97"/>
      <c r="Z21" s="98"/>
      <c r="AA21" s="99"/>
      <c r="AB21" s="97" t="s">
        <v>191</v>
      </c>
      <c r="AC21" s="98"/>
      <c r="AD21" s="98"/>
      <c r="AE21" s="98"/>
      <c r="AF21" s="98"/>
      <c r="AG21" s="98"/>
      <c r="AH21" s="98"/>
      <c r="AI21" s="98"/>
      <c r="AJ21" s="99"/>
      <c r="AK21" s="97"/>
      <c r="AL21" s="98"/>
      <c r="AM21" s="99"/>
      <c r="AN21" s="97"/>
      <c r="AO21" s="98"/>
      <c r="AP21" s="98"/>
      <c r="AQ21" s="98"/>
      <c r="AR21" s="98"/>
      <c r="AS21" s="98"/>
      <c r="AT21" s="98"/>
      <c r="AU21" s="98"/>
      <c r="AV21" s="99"/>
      <c r="AW21" s="97"/>
      <c r="AX21" s="98"/>
      <c r="AY21" s="99"/>
      <c r="AZ21" s="97"/>
      <c r="BA21" s="98"/>
      <c r="BB21" s="98"/>
      <c r="BC21" s="98"/>
      <c r="BD21" s="98"/>
      <c r="BE21" s="98"/>
      <c r="BF21" s="98"/>
      <c r="BG21" s="98"/>
      <c r="BH21" s="98"/>
      <c r="BI21" s="98"/>
      <c r="BJ21" s="99"/>
      <c r="BK21" s="22"/>
      <c r="BL21" s="22"/>
      <c r="BM21" s="58"/>
      <c r="BN21" s="58"/>
      <c r="BO21" s="58"/>
      <c r="BP21" s="59"/>
      <c r="BQ21" s="60"/>
      <c r="BR21" s="61"/>
      <c r="BS21" s="62" t="str">
        <f>_xlfn.IFNA(VLOOKUP($BR21,[15]Master!$C$4:$J$13,2,FALSE),"-")</f>
        <v>-</v>
      </c>
      <c r="BT21" s="62" t="str">
        <f>_xlfn.IFNA(VLOOKUP($BR21,[15]Master!$C$4:$J$13,3,FALSE),"-")</f>
        <v>-</v>
      </c>
      <c r="BU21" s="62" t="str">
        <f>_xlfn.IFNA(VLOOKUP($BR21,[15]Master!$C$4:$J$13,4,FALSE),"-")</f>
        <v>-</v>
      </c>
      <c r="BV21" s="62" t="str">
        <f>_xlfn.IFNA(VLOOKUP($BR21,[15]Master!$C$4:$J$13,5,FALSE),"-")</f>
        <v>-</v>
      </c>
      <c r="BW21" s="62" t="str">
        <f>_xlfn.IFNA(VLOOKUP($BR21,[15]Master!$C$4:$J$13,6,FALSE),"-")</f>
        <v>-</v>
      </c>
      <c r="BX21" s="62" t="str">
        <f>_xlfn.IFNA(VLOOKUP($BR21,[15]Master!$C$4:$J$13,7,FALSE),"-")</f>
        <v>-</v>
      </c>
      <c r="BY21" s="62" t="str">
        <f>_xlfn.IFNA(VLOOKUP($BR21,[15]Master!$C$4:$J$13,8,FALSE),"-")</f>
        <v>-</v>
      </c>
      <c r="BZ21" s="63">
        <f t="shared" si="2"/>
        <v>0</v>
      </c>
    </row>
    <row r="22" spans="1:78" ht="15.75">
      <c r="A22" s="22"/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9"/>
      <c r="P22" s="97" t="s">
        <v>192</v>
      </c>
      <c r="Q22" s="98"/>
      <c r="R22" s="98"/>
      <c r="S22" s="98"/>
      <c r="T22" s="98"/>
      <c r="U22" s="98"/>
      <c r="V22" s="98"/>
      <c r="W22" s="98"/>
      <c r="X22" s="99"/>
      <c r="Y22" s="97"/>
      <c r="Z22" s="98"/>
      <c r="AA22" s="99"/>
      <c r="AB22" s="97" t="s">
        <v>193</v>
      </c>
      <c r="AC22" s="98"/>
      <c r="AD22" s="98"/>
      <c r="AE22" s="98"/>
      <c r="AF22" s="98"/>
      <c r="AG22" s="98"/>
      <c r="AH22" s="98"/>
      <c r="AI22" s="98"/>
      <c r="AJ22" s="99"/>
      <c r="AK22" s="97"/>
      <c r="AL22" s="98"/>
      <c r="AM22" s="99"/>
      <c r="AN22" s="97"/>
      <c r="AO22" s="98"/>
      <c r="AP22" s="98"/>
      <c r="AQ22" s="98"/>
      <c r="AR22" s="98"/>
      <c r="AS22" s="98"/>
      <c r="AT22" s="98"/>
      <c r="AU22" s="98"/>
      <c r="AV22" s="99"/>
      <c r="AW22" s="97"/>
      <c r="AX22" s="98"/>
      <c r="AY22" s="99"/>
      <c r="AZ22" s="97"/>
      <c r="BA22" s="98"/>
      <c r="BB22" s="98"/>
      <c r="BC22" s="98"/>
      <c r="BD22" s="98"/>
      <c r="BE22" s="98"/>
      <c r="BF22" s="98"/>
      <c r="BG22" s="98"/>
      <c r="BH22" s="98"/>
      <c r="BI22" s="98"/>
      <c r="BJ22" s="99"/>
      <c r="BK22" s="22"/>
      <c r="BL22" s="22"/>
      <c r="BM22" s="58"/>
      <c r="BN22" s="58"/>
      <c r="BO22" s="58"/>
      <c r="BP22" s="59"/>
      <c r="BQ22" s="60"/>
      <c r="BR22" s="61"/>
      <c r="BS22" s="62" t="str">
        <f>_xlfn.IFNA(VLOOKUP($BR22,[15]Master!$C$4:$J$13,2,FALSE),"-")</f>
        <v>-</v>
      </c>
      <c r="BT22" s="62" t="str">
        <f>_xlfn.IFNA(VLOOKUP($BR22,[15]Master!$C$4:$J$13,3,FALSE),"-")</f>
        <v>-</v>
      </c>
      <c r="BU22" s="62" t="str">
        <f>_xlfn.IFNA(VLOOKUP($BR22,[15]Master!$C$4:$J$13,4,FALSE),"-")</f>
        <v>-</v>
      </c>
      <c r="BV22" s="62" t="str">
        <f>_xlfn.IFNA(VLOOKUP($BR22,[15]Master!$C$4:$J$13,5,FALSE),"-")</f>
        <v>-</v>
      </c>
      <c r="BW22" s="62" t="str">
        <f>_xlfn.IFNA(VLOOKUP($BR22,[15]Master!$C$4:$J$13,6,FALSE),"-")</f>
        <v>-</v>
      </c>
      <c r="BX22" s="62" t="str">
        <f>_xlfn.IFNA(VLOOKUP($BR22,[15]Master!$C$4:$J$13,7,FALSE),"-")</f>
        <v>-</v>
      </c>
      <c r="BY22" s="62" t="str">
        <f>_xlfn.IFNA(VLOOKUP($BR22,[15]Master!$C$4:$J$13,8,FALSE),"-")</f>
        <v>-</v>
      </c>
      <c r="BZ22" s="63">
        <f t="shared" si="2"/>
        <v>0</v>
      </c>
    </row>
    <row r="23" spans="1:78" ht="15.75">
      <c r="A23" s="22"/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9"/>
      <c r="P23" s="97" t="s">
        <v>194</v>
      </c>
      <c r="Q23" s="98"/>
      <c r="R23" s="98"/>
      <c r="S23" s="98"/>
      <c r="T23" s="98"/>
      <c r="U23" s="98"/>
      <c r="V23" s="98"/>
      <c r="W23" s="98"/>
      <c r="X23" s="99"/>
      <c r="Y23" s="97"/>
      <c r="Z23" s="98"/>
      <c r="AA23" s="99"/>
      <c r="AB23" s="97"/>
      <c r="AC23" s="98"/>
      <c r="AD23" s="98"/>
      <c r="AE23" s="98"/>
      <c r="AF23" s="98"/>
      <c r="AG23" s="98"/>
      <c r="AH23" s="98"/>
      <c r="AI23" s="98"/>
      <c r="AJ23" s="99"/>
      <c r="AK23" s="97"/>
      <c r="AL23" s="98"/>
      <c r="AM23" s="99"/>
      <c r="AN23" s="97"/>
      <c r="AO23" s="98"/>
      <c r="AP23" s="98"/>
      <c r="AQ23" s="98"/>
      <c r="AR23" s="98"/>
      <c r="AS23" s="98"/>
      <c r="AT23" s="98"/>
      <c r="AU23" s="98"/>
      <c r="AV23" s="99"/>
      <c r="AW23" s="97"/>
      <c r="AX23" s="98"/>
      <c r="AY23" s="99"/>
      <c r="AZ23" s="97"/>
      <c r="BA23" s="98"/>
      <c r="BB23" s="98"/>
      <c r="BC23" s="98"/>
      <c r="BD23" s="98"/>
      <c r="BE23" s="98"/>
      <c r="BF23" s="98"/>
      <c r="BG23" s="98"/>
      <c r="BH23" s="98"/>
      <c r="BI23" s="98"/>
      <c r="BJ23" s="99"/>
      <c r="BK23" s="22"/>
      <c r="BL23" s="22"/>
      <c r="BM23" s="58"/>
      <c r="BN23" s="58"/>
      <c r="BO23" s="58"/>
      <c r="BP23" s="59"/>
      <c r="BQ23" s="60"/>
      <c r="BR23" s="61"/>
      <c r="BS23" s="62" t="str">
        <f>_xlfn.IFNA(VLOOKUP($BR23,[15]Master!$C$4:$J$13,2,FALSE),"-")</f>
        <v>-</v>
      </c>
      <c r="BT23" s="62" t="str">
        <f>_xlfn.IFNA(VLOOKUP($BR23,[15]Master!$C$4:$J$13,3,FALSE),"-")</f>
        <v>-</v>
      </c>
      <c r="BU23" s="62" t="str">
        <f>_xlfn.IFNA(VLOOKUP($BR23,[15]Master!$C$4:$J$13,4,FALSE),"-")</f>
        <v>-</v>
      </c>
      <c r="BV23" s="62" t="str">
        <f>_xlfn.IFNA(VLOOKUP($BR23,[15]Master!$C$4:$J$13,5,FALSE),"-")</f>
        <v>-</v>
      </c>
      <c r="BW23" s="62" t="str">
        <f>_xlfn.IFNA(VLOOKUP($BR23,[15]Master!$C$4:$J$13,6,FALSE),"-")</f>
        <v>-</v>
      </c>
      <c r="BX23" s="62" t="str">
        <f>_xlfn.IFNA(VLOOKUP($BR23,[15]Master!$C$4:$J$13,7,FALSE),"-")</f>
        <v>-</v>
      </c>
      <c r="BY23" s="62" t="str">
        <f>_xlfn.IFNA(VLOOKUP($BR23,[15]Master!$C$4:$J$13,8,FALSE),"-")</f>
        <v>-</v>
      </c>
      <c r="BZ23" s="63">
        <f t="shared" si="2"/>
        <v>0</v>
      </c>
    </row>
    <row r="24" spans="1:78" ht="15.75">
      <c r="A24" s="22"/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2"/>
      <c r="P24" s="100" t="s">
        <v>180</v>
      </c>
      <c r="Q24" s="101"/>
      <c r="R24" s="101"/>
      <c r="S24" s="101"/>
      <c r="T24" s="101"/>
      <c r="U24" s="101"/>
      <c r="V24" s="101"/>
      <c r="W24" s="101"/>
      <c r="X24" s="102"/>
      <c r="Y24" s="100"/>
      <c r="Z24" s="101"/>
      <c r="AA24" s="102"/>
      <c r="AB24" s="100"/>
      <c r="AC24" s="101"/>
      <c r="AD24" s="101"/>
      <c r="AE24" s="101"/>
      <c r="AF24" s="101"/>
      <c r="AG24" s="101"/>
      <c r="AH24" s="101"/>
      <c r="AI24" s="101"/>
      <c r="AJ24" s="102"/>
      <c r="AK24" s="100"/>
      <c r="AL24" s="101"/>
      <c r="AM24" s="102"/>
      <c r="AN24" s="100"/>
      <c r="AO24" s="101"/>
      <c r="AP24" s="101"/>
      <c r="AQ24" s="101"/>
      <c r="AR24" s="101"/>
      <c r="AS24" s="101"/>
      <c r="AT24" s="101"/>
      <c r="AU24" s="101"/>
      <c r="AV24" s="102"/>
      <c r="AW24" s="100"/>
      <c r="AX24" s="101"/>
      <c r="AY24" s="102"/>
      <c r="AZ24" s="100"/>
      <c r="BA24" s="101"/>
      <c r="BB24" s="101"/>
      <c r="BC24" s="101"/>
      <c r="BD24" s="101"/>
      <c r="BE24" s="101"/>
      <c r="BF24" s="101"/>
      <c r="BG24" s="101"/>
      <c r="BH24" s="101"/>
      <c r="BI24" s="101"/>
      <c r="BJ24" s="102"/>
      <c r="BK24" s="22"/>
      <c r="BL24" s="22"/>
      <c r="BM24" s="58"/>
      <c r="BN24" s="58"/>
      <c r="BO24" s="58"/>
      <c r="BP24" s="59"/>
      <c r="BQ24" s="60"/>
      <c r="BR24" s="61"/>
      <c r="BS24" s="62" t="str">
        <f>_xlfn.IFNA(VLOOKUP($BR24,[15]Master!$C$4:$J$13,2,FALSE),"-")</f>
        <v>-</v>
      </c>
      <c r="BT24" s="62" t="str">
        <f>_xlfn.IFNA(VLOOKUP($BR24,[15]Master!$C$4:$J$13,3,FALSE),"-")</f>
        <v>-</v>
      </c>
      <c r="BU24" s="62" t="str">
        <f>_xlfn.IFNA(VLOOKUP($BR24,[15]Master!$C$4:$J$13,4,FALSE),"-")</f>
        <v>-</v>
      </c>
      <c r="BV24" s="62" t="str">
        <f>_xlfn.IFNA(VLOOKUP($BR24,[15]Master!$C$4:$J$13,5,FALSE),"-")</f>
        <v>-</v>
      </c>
      <c r="BW24" s="62" t="str">
        <f>_xlfn.IFNA(VLOOKUP($BR24,[15]Master!$C$4:$J$13,6,FALSE),"-")</f>
        <v>-</v>
      </c>
      <c r="BX24" s="62" t="str">
        <f>_xlfn.IFNA(VLOOKUP($BR24,[15]Master!$C$4:$J$13,7,FALSE),"-")</f>
        <v>-</v>
      </c>
      <c r="BY24" s="62" t="str">
        <f>_xlfn.IFNA(VLOOKUP($BR24,[15]Master!$C$4:$J$13,8,FALSE),"-")</f>
        <v>-</v>
      </c>
      <c r="BZ24" s="63">
        <f t="shared" si="2"/>
        <v>0</v>
      </c>
    </row>
    <row r="25" spans="1:78" ht="15.75">
      <c r="A25" s="22"/>
      <c r="B25" s="97" t="s">
        <v>90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9"/>
      <c r="P25" s="97" t="s">
        <v>195</v>
      </c>
      <c r="Q25" s="98"/>
      <c r="R25" s="98"/>
      <c r="S25" s="98"/>
      <c r="T25" s="98"/>
      <c r="U25" s="98"/>
      <c r="V25" s="98"/>
      <c r="W25" s="98"/>
      <c r="X25" s="99"/>
      <c r="Y25" s="97"/>
      <c r="Z25" s="98"/>
      <c r="AA25" s="99"/>
      <c r="AB25" s="97" t="s">
        <v>196</v>
      </c>
      <c r="AC25" s="98"/>
      <c r="AD25" s="98"/>
      <c r="AE25" s="98"/>
      <c r="AF25" s="98"/>
      <c r="AG25" s="98"/>
      <c r="AH25" s="98"/>
      <c r="AI25" s="98"/>
      <c r="AJ25" s="99"/>
      <c r="AK25" s="97"/>
      <c r="AL25" s="98"/>
      <c r="AM25" s="99"/>
      <c r="AN25" s="97"/>
      <c r="AO25" s="98"/>
      <c r="AP25" s="98"/>
      <c r="AQ25" s="98"/>
      <c r="AR25" s="98"/>
      <c r="AS25" s="98"/>
      <c r="AT25" s="98"/>
      <c r="AU25" s="98"/>
      <c r="AV25" s="99"/>
      <c r="AW25" s="97"/>
      <c r="AX25" s="98"/>
      <c r="AY25" s="99"/>
      <c r="AZ25" s="97"/>
      <c r="BA25" s="98"/>
      <c r="BB25" s="98"/>
      <c r="BC25" s="98"/>
      <c r="BD25" s="98"/>
      <c r="BE25" s="98"/>
      <c r="BF25" s="98"/>
      <c r="BG25" s="98"/>
      <c r="BH25" s="98"/>
      <c r="BI25" s="98"/>
      <c r="BJ25" s="99"/>
      <c r="BK25" s="22"/>
      <c r="BL25" s="22"/>
      <c r="BM25" s="45">
        <v>1</v>
      </c>
      <c r="BR25" s="39" t="s">
        <v>197</v>
      </c>
      <c r="BS25" s="34">
        <f>_xlfn.IFNA(VLOOKUP($BR25,[15]Master!$C$4:$J$13,2,FALSE),"-")</f>
        <v>0.255</v>
      </c>
      <c r="BT25" s="34">
        <f>_xlfn.IFNA(VLOOKUP($BR25,[15]Master!$C$4:$J$13,3,FALSE),"-")</f>
        <v>0.85</v>
      </c>
      <c r="BU25" s="34">
        <f>_xlfn.IFNA(VLOOKUP($BR25,[15]Master!$C$4:$J$13,4,FALSE),"-")</f>
        <v>0.17</v>
      </c>
      <c r="BV25" s="34">
        <f>_xlfn.IFNA(VLOOKUP($BR25,[15]Master!$C$4:$J$13,5,FALSE),"-")</f>
        <v>8.5000000000000006E-2</v>
      </c>
      <c r="BW25" s="34">
        <f>_xlfn.IFNA(VLOOKUP($BR25,[15]Master!$C$4:$J$13,6,FALSE),"-")</f>
        <v>0.17</v>
      </c>
      <c r="BX25" s="34">
        <f>_xlfn.IFNA(VLOOKUP($BR25,[15]Master!$C$4:$J$13,7,FALSE),"-")</f>
        <v>8.5000000000000006E-2</v>
      </c>
      <c r="BY25" s="34">
        <f>_xlfn.IFNA(VLOOKUP($BR25,[15]Master!$C$4:$J$13,8,FALSE),"-")</f>
        <v>0.17</v>
      </c>
      <c r="BZ25" s="35">
        <f t="shared" si="2"/>
        <v>1.7849999999999997</v>
      </c>
    </row>
    <row r="26" spans="1:78" ht="15.75">
      <c r="A26" s="22"/>
      <c r="B26" s="97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9"/>
      <c r="P26" s="97"/>
      <c r="Q26" s="98"/>
      <c r="R26" s="98"/>
      <c r="S26" s="98"/>
      <c r="T26" s="98"/>
      <c r="U26" s="98"/>
      <c r="V26" s="98"/>
      <c r="W26" s="98"/>
      <c r="X26" s="99"/>
      <c r="Y26" s="97"/>
      <c r="Z26" s="98"/>
      <c r="AA26" s="99"/>
      <c r="AB26" s="97" t="s">
        <v>198</v>
      </c>
      <c r="AC26" s="98"/>
      <c r="AD26" s="98"/>
      <c r="AE26" s="98"/>
      <c r="AF26" s="98"/>
      <c r="AG26" s="98"/>
      <c r="AH26" s="98"/>
      <c r="AI26" s="98"/>
      <c r="AJ26" s="99"/>
      <c r="AK26" s="97"/>
      <c r="AL26" s="98"/>
      <c r="AM26" s="99"/>
      <c r="AN26" s="97"/>
      <c r="AO26" s="98"/>
      <c r="AP26" s="98"/>
      <c r="AQ26" s="98"/>
      <c r="AR26" s="98"/>
      <c r="AS26" s="98"/>
      <c r="AT26" s="98"/>
      <c r="AU26" s="98"/>
      <c r="AV26" s="99"/>
      <c r="AW26" s="97"/>
      <c r="AX26" s="98"/>
      <c r="AY26" s="99"/>
      <c r="AZ26" s="97"/>
      <c r="BA26" s="98"/>
      <c r="BB26" s="98"/>
      <c r="BC26" s="98"/>
      <c r="BD26" s="98"/>
      <c r="BE26" s="98"/>
      <c r="BF26" s="98"/>
      <c r="BG26" s="98"/>
      <c r="BH26" s="98"/>
      <c r="BI26" s="98"/>
      <c r="BJ26" s="99"/>
      <c r="BK26" s="22"/>
      <c r="BL26" s="22"/>
      <c r="BM26" s="58"/>
      <c r="BN26" s="58"/>
      <c r="BO26" s="58"/>
      <c r="BP26" s="59"/>
      <c r="BR26" s="61"/>
      <c r="BS26" s="62" t="str">
        <f>_xlfn.IFNA(VLOOKUP($BR26,[15]Master!$C$4:$J$13,2,FALSE),"-")</f>
        <v>-</v>
      </c>
      <c r="BT26" s="62" t="str">
        <f>_xlfn.IFNA(VLOOKUP($BR26,[15]Master!$C$4:$J$13,3,FALSE),"-")</f>
        <v>-</v>
      </c>
      <c r="BU26" s="62" t="str">
        <f>_xlfn.IFNA(VLOOKUP($BR26,[15]Master!$C$4:$J$13,4,FALSE),"-")</f>
        <v>-</v>
      </c>
      <c r="BV26" s="62" t="str">
        <f>_xlfn.IFNA(VLOOKUP($BR26,[15]Master!$C$4:$J$13,5,FALSE),"-")</f>
        <v>-</v>
      </c>
      <c r="BW26" s="62" t="str">
        <f>_xlfn.IFNA(VLOOKUP($BR26,[15]Master!$C$4:$J$13,6,FALSE),"-")</f>
        <v>-</v>
      </c>
      <c r="BX26" s="62" t="str">
        <f>_xlfn.IFNA(VLOOKUP($BR26,[15]Master!$C$4:$J$13,7,FALSE),"-")</f>
        <v>-</v>
      </c>
      <c r="BY26" s="62" t="str">
        <f>_xlfn.IFNA(VLOOKUP($BR26,[15]Master!$C$4:$J$13,8,FALSE),"-")</f>
        <v>-</v>
      </c>
      <c r="BZ26" s="63">
        <f t="shared" si="2"/>
        <v>0</v>
      </c>
    </row>
    <row r="27" spans="1:78" ht="15.75">
      <c r="A27" s="22"/>
      <c r="B27" s="97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9"/>
      <c r="P27" s="97"/>
      <c r="Q27" s="98"/>
      <c r="R27" s="98"/>
      <c r="S27" s="98"/>
      <c r="T27" s="98"/>
      <c r="U27" s="98"/>
      <c r="V27" s="98"/>
      <c r="W27" s="98"/>
      <c r="X27" s="99"/>
      <c r="Y27" s="97"/>
      <c r="Z27" s="98"/>
      <c r="AA27" s="99"/>
      <c r="AB27" s="97" t="s">
        <v>199</v>
      </c>
      <c r="AC27" s="98"/>
      <c r="AD27" s="98"/>
      <c r="AE27" s="98"/>
      <c r="AF27" s="98"/>
      <c r="AG27" s="98"/>
      <c r="AH27" s="98"/>
      <c r="AI27" s="98"/>
      <c r="AJ27" s="99"/>
      <c r="AK27" s="97"/>
      <c r="AL27" s="98"/>
      <c r="AM27" s="99"/>
      <c r="AN27" s="97"/>
      <c r="AO27" s="98"/>
      <c r="AP27" s="98"/>
      <c r="AQ27" s="98"/>
      <c r="AR27" s="98"/>
      <c r="AS27" s="98"/>
      <c r="AT27" s="98"/>
      <c r="AU27" s="98"/>
      <c r="AV27" s="99"/>
      <c r="AW27" s="97"/>
      <c r="AX27" s="98"/>
      <c r="AY27" s="99"/>
      <c r="AZ27" s="97"/>
      <c r="BA27" s="98"/>
      <c r="BB27" s="98"/>
      <c r="BC27" s="98"/>
      <c r="BD27" s="98"/>
      <c r="BE27" s="98"/>
      <c r="BF27" s="98"/>
      <c r="BG27" s="98"/>
      <c r="BH27" s="98"/>
      <c r="BI27" s="98"/>
      <c r="BJ27" s="99"/>
      <c r="BK27" s="22"/>
      <c r="BL27" s="22"/>
      <c r="BM27" s="58"/>
      <c r="BN27" s="58"/>
      <c r="BO27" s="58"/>
      <c r="BP27" s="59"/>
      <c r="BR27" s="61"/>
      <c r="BS27" s="62" t="str">
        <f>_xlfn.IFNA(VLOOKUP($BR27,[15]Master!$C$4:$J$13,2,FALSE),"-")</f>
        <v>-</v>
      </c>
      <c r="BT27" s="62" t="str">
        <f>_xlfn.IFNA(VLOOKUP($BR27,[15]Master!$C$4:$J$13,3,FALSE),"-")</f>
        <v>-</v>
      </c>
      <c r="BU27" s="62" t="str">
        <f>_xlfn.IFNA(VLOOKUP($BR27,[15]Master!$C$4:$J$13,4,FALSE),"-")</f>
        <v>-</v>
      </c>
      <c r="BV27" s="62" t="str">
        <f>_xlfn.IFNA(VLOOKUP($BR27,[15]Master!$C$4:$J$13,5,FALSE),"-")</f>
        <v>-</v>
      </c>
      <c r="BW27" s="62" t="str">
        <f>_xlfn.IFNA(VLOOKUP($BR27,[15]Master!$C$4:$J$13,6,FALSE),"-")</f>
        <v>-</v>
      </c>
      <c r="BX27" s="62" t="str">
        <f>_xlfn.IFNA(VLOOKUP($BR27,[15]Master!$C$4:$J$13,7,FALSE),"-")</f>
        <v>-</v>
      </c>
      <c r="BY27" s="62" t="str">
        <f>_xlfn.IFNA(VLOOKUP($BR27,[15]Master!$C$4:$J$13,8,FALSE),"-")</f>
        <v>-</v>
      </c>
      <c r="BZ27" s="63">
        <f t="shared" si="2"/>
        <v>0</v>
      </c>
    </row>
    <row r="28" spans="1:78" ht="15.75">
      <c r="A28" s="22"/>
      <c r="B28" s="97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9"/>
      <c r="P28" s="97"/>
      <c r="Q28" s="98"/>
      <c r="R28" s="98"/>
      <c r="S28" s="98"/>
      <c r="T28" s="98"/>
      <c r="U28" s="98"/>
      <c r="V28" s="98"/>
      <c r="W28" s="98"/>
      <c r="X28" s="99"/>
      <c r="Y28" s="97"/>
      <c r="Z28" s="98"/>
      <c r="AA28" s="99"/>
      <c r="AB28" s="97" t="s">
        <v>200</v>
      </c>
      <c r="AC28" s="98"/>
      <c r="AD28" s="98"/>
      <c r="AE28" s="98"/>
      <c r="AF28" s="98"/>
      <c r="AG28" s="98"/>
      <c r="AH28" s="98"/>
      <c r="AI28" s="98"/>
      <c r="AJ28" s="99"/>
      <c r="AK28" s="97"/>
      <c r="AL28" s="98"/>
      <c r="AM28" s="99"/>
      <c r="AN28" s="97"/>
      <c r="AO28" s="98"/>
      <c r="AP28" s="98"/>
      <c r="AQ28" s="98"/>
      <c r="AR28" s="98"/>
      <c r="AS28" s="98"/>
      <c r="AT28" s="98"/>
      <c r="AU28" s="98"/>
      <c r="AV28" s="99"/>
      <c r="AW28" s="97"/>
      <c r="AX28" s="98"/>
      <c r="AY28" s="99"/>
      <c r="AZ28" s="97"/>
      <c r="BA28" s="98"/>
      <c r="BB28" s="98"/>
      <c r="BC28" s="98"/>
      <c r="BD28" s="98"/>
      <c r="BE28" s="98"/>
      <c r="BF28" s="98"/>
      <c r="BG28" s="98"/>
      <c r="BH28" s="98"/>
      <c r="BI28" s="98"/>
      <c r="BJ28" s="99"/>
      <c r="BK28" s="22"/>
      <c r="BL28" s="22"/>
      <c r="BM28" s="58"/>
      <c r="BN28" s="58"/>
      <c r="BO28" s="58"/>
      <c r="BP28" s="59"/>
      <c r="BR28" s="61"/>
      <c r="BS28" s="62" t="str">
        <f>_xlfn.IFNA(VLOOKUP($BR28,[15]Master!$C$4:$J$13,2,FALSE),"-")</f>
        <v>-</v>
      </c>
      <c r="BT28" s="62" t="str">
        <f>_xlfn.IFNA(VLOOKUP($BR28,[15]Master!$C$4:$J$13,3,FALSE),"-")</f>
        <v>-</v>
      </c>
      <c r="BU28" s="62" t="str">
        <f>_xlfn.IFNA(VLOOKUP($BR28,[15]Master!$C$4:$J$13,4,FALSE),"-")</f>
        <v>-</v>
      </c>
      <c r="BV28" s="62" t="str">
        <f>_xlfn.IFNA(VLOOKUP($BR28,[15]Master!$C$4:$J$13,5,FALSE),"-")</f>
        <v>-</v>
      </c>
      <c r="BW28" s="62" t="str">
        <f>_xlfn.IFNA(VLOOKUP($BR28,[15]Master!$C$4:$J$13,6,FALSE),"-")</f>
        <v>-</v>
      </c>
      <c r="BX28" s="62" t="str">
        <f>_xlfn.IFNA(VLOOKUP($BR28,[15]Master!$C$4:$J$13,7,FALSE),"-")</f>
        <v>-</v>
      </c>
      <c r="BY28" s="62" t="str">
        <f>_xlfn.IFNA(VLOOKUP($BR28,[15]Master!$C$4:$J$13,8,FALSE),"-")</f>
        <v>-</v>
      </c>
      <c r="BZ28" s="63">
        <f t="shared" si="2"/>
        <v>0</v>
      </c>
    </row>
    <row r="29" spans="1:78" ht="15.75">
      <c r="A29" s="22"/>
      <c r="B29" s="97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9"/>
      <c r="P29" s="97"/>
      <c r="Q29" s="98"/>
      <c r="R29" s="98"/>
      <c r="S29" s="98"/>
      <c r="T29" s="98"/>
      <c r="U29" s="98"/>
      <c r="V29" s="98"/>
      <c r="W29" s="98"/>
      <c r="X29" s="99"/>
      <c r="Y29" s="97"/>
      <c r="Z29" s="98"/>
      <c r="AA29" s="99"/>
      <c r="AB29" s="97" t="s">
        <v>201</v>
      </c>
      <c r="AC29" s="98"/>
      <c r="AD29" s="98"/>
      <c r="AE29" s="98"/>
      <c r="AF29" s="98"/>
      <c r="AG29" s="98"/>
      <c r="AH29" s="98"/>
      <c r="AI29" s="98"/>
      <c r="AJ29" s="99"/>
      <c r="AK29" s="97"/>
      <c r="AL29" s="98"/>
      <c r="AM29" s="99"/>
      <c r="AN29" s="97"/>
      <c r="AO29" s="98"/>
      <c r="AP29" s="98"/>
      <c r="AQ29" s="98"/>
      <c r="AR29" s="98"/>
      <c r="AS29" s="98"/>
      <c r="AT29" s="98"/>
      <c r="AU29" s="98"/>
      <c r="AV29" s="99"/>
      <c r="AW29" s="97"/>
      <c r="AX29" s="98"/>
      <c r="AY29" s="99"/>
      <c r="AZ29" s="97"/>
      <c r="BA29" s="98"/>
      <c r="BB29" s="98"/>
      <c r="BC29" s="98"/>
      <c r="BD29" s="98"/>
      <c r="BE29" s="98"/>
      <c r="BF29" s="98"/>
      <c r="BG29" s="98"/>
      <c r="BH29" s="98"/>
      <c r="BI29" s="98"/>
      <c r="BJ29" s="99"/>
      <c r="BK29" s="22"/>
      <c r="BL29" s="22"/>
      <c r="BM29" s="58"/>
      <c r="BN29" s="58"/>
      <c r="BO29" s="58"/>
      <c r="BP29" s="59"/>
      <c r="BR29" s="61"/>
      <c r="BS29" s="62" t="str">
        <f>_xlfn.IFNA(VLOOKUP($BR29,[15]Master!$C$4:$J$13,2,FALSE),"-")</f>
        <v>-</v>
      </c>
      <c r="BT29" s="62" t="str">
        <f>_xlfn.IFNA(VLOOKUP($BR29,[15]Master!$C$4:$J$13,3,FALSE),"-")</f>
        <v>-</v>
      </c>
      <c r="BU29" s="62" t="str">
        <f>_xlfn.IFNA(VLOOKUP($BR29,[15]Master!$C$4:$J$13,4,FALSE),"-")</f>
        <v>-</v>
      </c>
      <c r="BV29" s="62" t="str">
        <f>_xlfn.IFNA(VLOOKUP($BR29,[15]Master!$C$4:$J$13,5,FALSE),"-")</f>
        <v>-</v>
      </c>
      <c r="BW29" s="62" t="str">
        <f>_xlfn.IFNA(VLOOKUP($BR29,[15]Master!$C$4:$J$13,6,FALSE),"-")</f>
        <v>-</v>
      </c>
      <c r="BX29" s="62" t="str">
        <f>_xlfn.IFNA(VLOOKUP($BR29,[15]Master!$C$4:$J$13,7,FALSE),"-")</f>
        <v>-</v>
      </c>
      <c r="BY29" s="62" t="str">
        <f>_xlfn.IFNA(VLOOKUP($BR29,[15]Master!$C$4:$J$13,8,FALSE),"-")</f>
        <v>-</v>
      </c>
      <c r="BZ29" s="63">
        <f t="shared" si="2"/>
        <v>0</v>
      </c>
    </row>
    <row r="30" spans="1:78" ht="15.75">
      <c r="A30" s="22"/>
      <c r="B30" s="97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9"/>
      <c r="P30" s="97" t="s">
        <v>202</v>
      </c>
      <c r="Q30" s="98"/>
      <c r="R30" s="98"/>
      <c r="S30" s="98"/>
      <c r="T30" s="98"/>
      <c r="U30" s="98"/>
      <c r="V30" s="98"/>
      <c r="W30" s="98"/>
      <c r="X30" s="99"/>
      <c r="Y30" s="97"/>
      <c r="Z30" s="98"/>
      <c r="AA30" s="99"/>
      <c r="AB30" s="97"/>
      <c r="AC30" s="98"/>
      <c r="AD30" s="98"/>
      <c r="AE30" s="98"/>
      <c r="AF30" s="98"/>
      <c r="AG30" s="98"/>
      <c r="AH30" s="98"/>
      <c r="AI30" s="98"/>
      <c r="AJ30" s="99"/>
      <c r="AK30" s="97"/>
      <c r="AL30" s="98"/>
      <c r="AM30" s="99"/>
      <c r="AN30" s="97"/>
      <c r="AO30" s="98"/>
      <c r="AP30" s="98"/>
      <c r="AQ30" s="98"/>
      <c r="AR30" s="98"/>
      <c r="AS30" s="98"/>
      <c r="AT30" s="98"/>
      <c r="AU30" s="98"/>
      <c r="AV30" s="99"/>
      <c r="AW30" s="97"/>
      <c r="AX30" s="98"/>
      <c r="AY30" s="99"/>
      <c r="AZ30" s="97"/>
      <c r="BA30" s="98"/>
      <c r="BB30" s="98"/>
      <c r="BC30" s="98"/>
      <c r="BD30" s="98"/>
      <c r="BE30" s="98"/>
      <c r="BF30" s="98"/>
      <c r="BG30" s="98"/>
      <c r="BH30" s="98"/>
      <c r="BI30" s="98"/>
      <c r="BJ30" s="99"/>
      <c r="BK30" s="22"/>
      <c r="BL30" s="22"/>
      <c r="BM30" s="58"/>
      <c r="BN30" s="58"/>
      <c r="BO30" s="58"/>
      <c r="BP30" s="59"/>
      <c r="BR30" s="61"/>
      <c r="BS30" s="62" t="str">
        <f>_xlfn.IFNA(VLOOKUP($BR30,[15]Master!$C$4:$J$13,2,FALSE),"-")</f>
        <v>-</v>
      </c>
      <c r="BT30" s="62" t="str">
        <f>_xlfn.IFNA(VLOOKUP($BR30,[15]Master!$C$4:$J$13,3,FALSE),"-")</f>
        <v>-</v>
      </c>
      <c r="BU30" s="62" t="str">
        <f>_xlfn.IFNA(VLOOKUP($BR30,[15]Master!$C$4:$J$13,4,FALSE),"-")</f>
        <v>-</v>
      </c>
      <c r="BV30" s="62" t="str">
        <f>_xlfn.IFNA(VLOOKUP($BR30,[15]Master!$C$4:$J$13,5,FALSE),"-")</f>
        <v>-</v>
      </c>
      <c r="BW30" s="62" t="str">
        <f>_xlfn.IFNA(VLOOKUP($BR30,[15]Master!$C$4:$J$13,6,FALSE),"-")</f>
        <v>-</v>
      </c>
      <c r="BX30" s="62" t="str">
        <f>_xlfn.IFNA(VLOOKUP($BR30,[15]Master!$C$4:$J$13,7,FALSE),"-")</f>
        <v>-</v>
      </c>
      <c r="BY30" s="62" t="str">
        <f>_xlfn.IFNA(VLOOKUP($BR30,[15]Master!$C$4:$J$13,8,FALSE),"-")</f>
        <v>-</v>
      </c>
      <c r="BZ30" s="63">
        <f t="shared" si="2"/>
        <v>0</v>
      </c>
    </row>
    <row r="31" spans="1:78" ht="15.75">
      <c r="A31" s="22"/>
      <c r="B31" s="97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9"/>
      <c r="P31" s="97" t="s">
        <v>190</v>
      </c>
      <c r="Q31" s="98"/>
      <c r="R31" s="98"/>
      <c r="S31" s="98"/>
      <c r="T31" s="98"/>
      <c r="U31" s="98"/>
      <c r="V31" s="98"/>
      <c r="W31" s="98"/>
      <c r="X31" s="99"/>
      <c r="Y31" s="97"/>
      <c r="Z31" s="98"/>
      <c r="AA31" s="99"/>
      <c r="AB31" s="97"/>
      <c r="AC31" s="98"/>
      <c r="AD31" s="98"/>
      <c r="AE31" s="98"/>
      <c r="AF31" s="98"/>
      <c r="AG31" s="98"/>
      <c r="AH31" s="98"/>
      <c r="AI31" s="98"/>
      <c r="AJ31" s="99"/>
      <c r="AK31" s="97"/>
      <c r="AL31" s="98"/>
      <c r="AM31" s="99"/>
      <c r="AN31" s="97"/>
      <c r="AO31" s="98"/>
      <c r="AP31" s="98"/>
      <c r="AQ31" s="98"/>
      <c r="AR31" s="98"/>
      <c r="AS31" s="98"/>
      <c r="AT31" s="98"/>
      <c r="AU31" s="98"/>
      <c r="AV31" s="99"/>
      <c r="AW31" s="97"/>
      <c r="AX31" s="98"/>
      <c r="AY31" s="99"/>
      <c r="AZ31" s="97"/>
      <c r="BA31" s="98"/>
      <c r="BB31" s="98"/>
      <c r="BC31" s="98"/>
      <c r="BD31" s="98"/>
      <c r="BE31" s="98"/>
      <c r="BF31" s="98"/>
      <c r="BG31" s="98"/>
      <c r="BH31" s="98"/>
      <c r="BI31" s="98"/>
      <c r="BJ31" s="99"/>
      <c r="BK31" s="22"/>
      <c r="BL31" s="22"/>
      <c r="BM31" s="58"/>
      <c r="BN31" s="58"/>
      <c r="BO31" s="58"/>
      <c r="BP31" s="59"/>
      <c r="BR31" s="61"/>
      <c r="BS31" s="62" t="str">
        <f>_xlfn.IFNA(VLOOKUP($BR31,[15]Master!$C$4:$J$13,2,FALSE),"-")</f>
        <v>-</v>
      </c>
      <c r="BT31" s="62" t="str">
        <f>_xlfn.IFNA(VLOOKUP($BR31,[15]Master!$C$4:$J$13,3,FALSE),"-")</f>
        <v>-</v>
      </c>
      <c r="BU31" s="62" t="str">
        <f>_xlfn.IFNA(VLOOKUP($BR31,[15]Master!$C$4:$J$13,4,FALSE),"-")</f>
        <v>-</v>
      </c>
      <c r="BV31" s="62" t="str">
        <f>_xlfn.IFNA(VLOOKUP($BR31,[15]Master!$C$4:$J$13,5,FALSE),"-")</f>
        <v>-</v>
      </c>
      <c r="BW31" s="62" t="str">
        <f>_xlfn.IFNA(VLOOKUP($BR31,[15]Master!$C$4:$J$13,6,FALSE),"-")</f>
        <v>-</v>
      </c>
      <c r="BX31" s="62" t="str">
        <f>_xlfn.IFNA(VLOOKUP($BR31,[15]Master!$C$4:$J$13,7,FALSE),"-")</f>
        <v>-</v>
      </c>
      <c r="BY31" s="62" t="str">
        <f>_xlfn.IFNA(VLOOKUP($BR31,[15]Master!$C$4:$J$13,8,FALSE),"-")</f>
        <v>-</v>
      </c>
      <c r="BZ31" s="63">
        <f t="shared" si="2"/>
        <v>0</v>
      </c>
    </row>
    <row r="32" spans="1:78" ht="15.75">
      <c r="A32" s="22"/>
      <c r="B32" s="97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9"/>
      <c r="P32" s="97" t="s">
        <v>192</v>
      </c>
      <c r="Q32" s="98"/>
      <c r="R32" s="98"/>
      <c r="S32" s="98"/>
      <c r="T32" s="98"/>
      <c r="U32" s="98"/>
      <c r="V32" s="98"/>
      <c r="W32" s="98"/>
      <c r="X32" s="99"/>
      <c r="Y32" s="97"/>
      <c r="Z32" s="98"/>
      <c r="AA32" s="99"/>
      <c r="AB32" s="97"/>
      <c r="AC32" s="98"/>
      <c r="AD32" s="98"/>
      <c r="AE32" s="98"/>
      <c r="AF32" s="98"/>
      <c r="AG32" s="98"/>
      <c r="AH32" s="98"/>
      <c r="AI32" s="98"/>
      <c r="AJ32" s="99"/>
      <c r="AK32" s="97"/>
      <c r="AL32" s="98"/>
      <c r="AM32" s="99"/>
      <c r="AN32" s="97"/>
      <c r="AO32" s="98"/>
      <c r="AP32" s="98"/>
      <c r="AQ32" s="98"/>
      <c r="AR32" s="98"/>
      <c r="AS32" s="98"/>
      <c r="AT32" s="98"/>
      <c r="AU32" s="98"/>
      <c r="AV32" s="99"/>
      <c r="AW32" s="97"/>
      <c r="AX32" s="98"/>
      <c r="AY32" s="99"/>
      <c r="AZ32" s="97"/>
      <c r="BA32" s="98"/>
      <c r="BB32" s="98"/>
      <c r="BC32" s="98"/>
      <c r="BD32" s="98"/>
      <c r="BE32" s="98"/>
      <c r="BF32" s="98"/>
      <c r="BG32" s="98"/>
      <c r="BH32" s="98"/>
      <c r="BI32" s="98"/>
      <c r="BJ32" s="99"/>
      <c r="BK32" s="22"/>
      <c r="BL32" s="22"/>
      <c r="BM32" s="58"/>
      <c r="BN32" s="58"/>
      <c r="BO32" s="58"/>
      <c r="BP32" s="59"/>
      <c r="BR32" s="61"/>
      <c r="BS32" s="62" t="str">
        <f>_xlfn.IFNA(VLOOKUP($BR32,[15]Master!$C$4:$J$13,2,FALSE),"-")</f>
        <v>-</v>
      </c>
      <c r="BT32" s="62" t="str">
        <f>_xlfn.IFNA(VLOOKUP($BR32,[15]Master!$C$4:$J$13,3,FALSE),"-")</f>
        <v>-</v>
      </c>
      <c r="BU32" s="62" t="str">
        <f>_xlfn.IFNA(VLOOKUP($BR32,[15]Master!$C$4:$J$13,4,FALSE),"-")</f>
        <v>-</v>
      </c>
      <c r="BV32" s="62" t="str">
        <f>_xlfn.IFNA(VLOOKUP($BR32,[15]Master!$C$4:$J$13,5,FALSE),"-")</f>
        <v>-</v>
      </c>
      <c r="BW32" s="62" t="str">
        <f>_xlfn.IFNA(VLOOKUP($BR32,[15]Master!$C$4:$J$13,6,FALSE),"-")</f>
        <v>-</v>
      </c>
      <c r="BX32" s="62" t="str">
        <f>_xlfn.IFNA(VLOOKUP($BR32,[15]Master!$C$4:$J$13,7,FALSE),"-")</f>
        <v>-</v>
      </c>
      <c r="BY32" s="62" t="str">
        <f>_xlfn.IFNA(VLOOKUP($BR32,[15]Master!$C$4:$J$13,8,FALSE),"-")</f>
        <v>-</v>
      </c>
      <c r="BZ32" s="63">
        <f t="shared" si="2"/>
        <v>0</v>
      </c>
    </row>
    <row r="33" spans="1:78" ht="15.75">
      <c r="A33" s="22"/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9"/>
      <c r="P33" s="97" t="s">
        <v>194</v>
      </c>
      <c r="Q33" s="98"/>
      <c r="R33" s="98"/>
      <c r="S33" s="98"/>
      <c r="T33" s="98"/>
      <c r="U33" s="98"/>
      <c r="V33" s="98"/>
      <c r="W33" s="98"/>
      <c r="X33" s="99"/>
      <c r="Y33" s="97"/>
      <c r="Z33" s="98"/>
      <c r="AA33" s="99"/>
      <c r="AB33" s="97"/>
      <c r="AC33" s="98"/>
      <c r="AD33" s="98"/>
      <c r="AE33" s="98"/>
      <c r="AF33" s="98"/>
      <c r="AG33" s="98"/>
      <c r="AH33" s="98"/>
      <c r="AI33" s="98"/>
      <c r="AJ33" s="99"/>
      <c r="AK33" s="97"/>
      <c r="AL33" s="98"/>
      <c r="AM33" s="99"/>
      <c r="AN33" s="97"/>
      <c r="AO33" s="98"/>
      <c r="AP33" s="98"/>
      <c r="AQ33" s="98"/>
      <c r="AR33" s="98"/>
      <c r="AS33" s="98"/>
      <c r="AT33" s="98"/>
      <c r="AU33" s="98"/>
      <c r="AV33" s="99"/>
      <c r="AW33" s="97"/>
      <c r="AX33" s="98"/>
      <c r="AY33" s="99"/>
      <c r="AZ33" s="97"/>
      <c r="BA33" s="98"/>
      <c r="BB33" s="98"/>
      <c r="BC33" s="98"/>
      <c r="BD33" s="98"/>
      <c r="BE33" s="98"/>
      <c r="BF33" s="98"/>
      <c r="BG33" s="98"/>
      <c r="BH33" s="98"/>
      <c r="BI33" s="98"/>
      <c r="BJ33" s="99"/>
      <c r="BK33" s="22"/>
      <c r="BL33" s="22"/>
      <c r="BM33" s="58"/>
      <c r="BN33" s="58"/>
      <c r="BO33" s="58"/>
      <c r="BP33" s="59"/>
      <c r="BR33" s="61"/>
      <c r="BS33" s="62" t="str">
        <f>_xlfn.IFNA(VLOOKUP($BR33,[15]Master!$C$4:$J$13,2,FALSE),"-")</f>
        <v>-</v>
      </c>
      <c r="BT33" s="62" t="str">
        <f>_xlfn.IFNA(VLOOKUP($BR33,[15]Master!$C$4:$J$13,3,FALSE),"-")</f>
        <v>-</v>
      </c>
      <c r="BU33" s="62" t="str">
        <f>_xlfn.IFNA(VLOOKUP($BR33,[15]Master!$C$4:$J$13,4,FALSE),"-")</f>
        <v>-</v>
      </c>
      <c r="BV33" s="62" t="str">
        <f>_xlfn.IFNA(VLOOKUP($BR33,[15]Master!$C$4:$J$13,5,FALSE),"-")</f>
        <v>-</v>
      </c>
      <c r="BW33" s="62" t="str">
        <f>_xlfn.IFNA(VLOOKUP($BR33,[15]Master!$C$4:$J$13,6,FALSE),"-")</f>
        <v>-</v>
      </c>
      <c r="BX33" s="62" t="str">
        <f>_xlfn.IFNA(VLOOKUP($BR33,[15]Master!$C$4:$J$13,7,FALSE),"-")</f>
        <v>-</v>
      </c>
      <c r="BY33" s="62" t="str">
        <f>_xlfn.IFNA(VLOOKUP($BR33,[15]Master!$C$4:$J$13,8,FALSE),"-")</f>
        <v>-</v>
      </c>
      <c r="BZ33" s="63">
        <f t="shared" si="2"/>
        <v>0</v>
      </c>
    </row>
    <row r="34" spans="1:78" ht="15.75">
      <c r="A34" s="22"/>
      <c r="B34" s="97" t="s">
        <v>97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9"/>
      <c r="P34" s="97"/>
      <c r="Q34" s="98"/>
      <c r="R34" s="98"/>
      <c r="S34" s="98"/>
      <c r="T34" s="98"/>
      <c r="U34" s="98"/>
      <c r="V34" s="98"/>
      <c r="W34" s="98"/>
      <c r="X34" s="99"/>
      <c r="Y34" s="97"/>
      <c r="Z34" s="98"/>
      <c r="AA34" s="99"/>
      <c r="AB34" s="97"/>
      <c r="AC34" s="98"/>
      <c r="AD34" s="98"/>
      <c r="AE34" s="98"/>
      <c r="AF34" s="98"/>
      <c r="AG34" s="98"/>
      <c r="AH34" s="98"/>
      <c r="AI34" s="98"/>
      <c r="AJ34" s="99"/>
      <c r="AK34" s="97"/>
      <c r="AL34" s="98"/>
      <c r="AM34" s="99"/>
      <c r="AN34" s="97"/>
      <c r="AO34" s="98"/>
      <c r="AP34" s="98"/>
      <c r="AQ34" s="98"/>
      <c r="AR34" s="98"/>
      <c r="AS34" s="98"/>
      <c r="AT34" s="98"/>
      <c r="AU34" s="98"/>
      <c r="AV34" s="99"/>
      <c r="AW34" s="97"/>
      <c r="AX34" s="98"/>
      <c r="AY34" s="99"/>
      <c r="AZ34" s="97"/>
      <c r="BA34" s="98"/>
      <c r="BB34" s="98"/>
      <c r="BC34" s="98"/>
      <c r="BD34" s="98"/>
      <c r="BE34" s="98"/>
      <c r="BF34" s="98"/>
      <c r="BG34" s="98"/>
      <c r="BH34" s="98"/>
      <c r="BI34" s="98"/>
      <c r="BJ34" s="99"/>
      <c r="BK34" s="22"/>
      <c r="BL34" s="22"/>
      <c r="BM34" s="45">
        <v>1</v>
      </c>
      <c r="BP34" s="47" t="s">
        <v>203</v>
      </c>
      <c r="BR34" s="39" t="s">
        <v>204</v>
      </c>
      <c r="BS34" s="34">
        <f>_xlfn.IFNA(VLOOKUP($BR34,[15]Master!$C$4:$J$13,2,FALSE),"-")</f>
        <v>0.52500000000000002</v>
      </c>
      <c r="BT34" s="34">
        <f>_xlfn.IFNA(VLOOKUP($BR34,[15]Master!$C$4:$J$13,3,FALSE),"-")</f>
        <v>1.75</v>
      </c>
      <c r="BU34" s="34">
        <f>_xlfn.IFNA(VLOOKUP($BR34,[15]Master!$C$4:$J$13,4,FALSE),"-")</f>
        <v>0.35000000000000003</v>
      </c>
      <c r="BV34" s="34">
        <f>_xlfn.IFNA(VLOOKUP($BR34,[15]Master!$C$4:$J$13,5,FALSE),"-")</f>
        <v>0.17500000000000002</v>
      </c>
      <c r="BW34" s="34">
        <f>_xlfn.IFNA(VLOOKUP($BR34,[15]Master!$C$4:$J$13,6,FALSE),"-")</f>
        <v>0.35000000000000003</v>
      </c>
      <c r="BX34" s="34">
        <f>_xlfn.IFNA(VLOOKUP($BR34,[15]Master!$C$4:$J$13,7,FALSE),"-")</f>
        <v>0.17500000000000002</v>
      </c>
      <c r="BY34" s="34">
        <f>_xlfn.IFNA(VLOOKUP($BR34,[15]Master!$C$4:$J$13,8,FALSE),"-")</f>
        <v>0.35000000000000003</v>
      </c>
      <c r="BZ34" s="35">
        <f t="shared" si="2"/>
        <v>3.6749999999999998</v>
      </c>
    </row>
    <row r="35" spans="1:78" ht="15.75">
      <c r="A35" s="22"/>
      <c r="B35" s="97" t="s">
        <v>95</v>
      </c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9"/>
      <c r="P35" s="97" t="s">
        <v>205</v>
      </c>
      <c r="Q35" s="98"/>
      <c r="R35" s="98"/>
      <c r="S35" s="98"/>
      <c r="T35" s="98"/>
      <c r="U35" s="98"/>
      <c r="V35" s="98"/>
      <c r="W35" s="98"/>
      <c r="X35" s="99"/>
      <c r="Y35" s="97"/>
      <c r="Z35" s="98"/>
      <c r="AA35" s="99"/>
      <c r="AB35" s="97" t="s">
        <v>196</v>
      </c>
      <c r="AC35" s="98"/>
      <c r="AD35" s="98"/>
      <c r="AE35" s="98"/>
      <c r="AF35" s="98"/>
      <c r="AG35" s="98"/>
      <c r="AH35" s="98"/>
      <c r="AI35" s="98"/>
      <c r="AJ35" s="99"/>
      <c r="AK35" s="97"/>
      <c r="AL35" s="98"/>
      <c r="AM35" s="99"/>
      <c r="AN35" s="97"/>
      <c r="AO35" s="98"/>
      <c r="AP35" s="98"/>
      <c r="AQ35" s="98"/>
      <c r="AR35" s="98"/>
      <c r="AS35" s="98"/>
      <c r="AT35" s="98"/>
      <c r="AU35" s="98"/>
      <c r="AV35" s="99"/>
      <c r="AW35" s="97"/>
      <c r="AX35" s="98"/>
      <c r="AY35" s="99"/>
      <c r="AZ35" s="97"/>
      <c r="BA35" s="98"/>
      <c r="BB35" s="98"/>
      <c r="BC35" s="98"/>
      <c r="BD35" s="98"/>
      <c r="BE35" s="98"/>
      <c r="BF35" s="98"/>
      <c r="BG35" s="98"/>
      <c r="BH35" s="98"/>
      <c r="BI35" s="98"/>
      <c r="BJ35" s="99"/>
      <c r="BK35" s="22"/>
      <c r="BL35" s="22"/>
      <c r="BM35" s="45">
        <v>2</v>
      </c>
      <c r="BR35" s="39" t="s">
        <v>197</v>
      </c>
      <c r="BS35" s="34">
        <f>_xlfn.IFNA(VLOOKUP($BR35,[15]Master!$C$4:$J$13,2,FALSE),"-")</f>
        <v>0.255</v>
      </c>
      <c r="BT35" s="34">
        <f>_xlfn.IFNA(VLOOKUP($BR35,[15]Master!$C$4:$J$13,3,FALSE),"-")</f>
        <v>0.85</v>
      </c>
      <c r="BU35" s="34">
        <f>_xlfn.IFNA(VLOOKUP($BR35,[15]Master!$C$4:$J$13,4,FALSE),"-")</f>
        <v>0.17</v>
      </c>
      <c r="BV35" s="34">
        <f>_xlfn.IFNA(VLOOKUP($BR35,[15]Master!$C$4:$J$13,5,FALSE),"-")</f>
        <v>8.5000000000000006E-2</v>
      </c>
      <c r="BW35" s="34">
        <f>_xlfn.IFNA(VLOOKUP($BR35,[15]Master!$C$4:$J$13,6,FALSE),"-")</f>
        <v>0.17</v>
      </c>
      <c r="BX35" s="34">
        <f>_xlfn.IFNA(VLOOKUP($BR35,[15]Master!$C$4:$J$13,7,FALSE),"-")</f>
        <v>8.5000000000000006E-2</v>
      </c>
      <c r="BY35" s="34">
        <f>_xlfn.IFNA(VLOOKUP($BR35,[15]Master!$C$4:$J$13,8,FALSE),"-")</f>
        <v>0.17</v>
      </c>
      <c r="BZ35" s="35">
        <f t="shared" si="2"/>
        <v>1.7849999999999997</v>
      </c>
    </row>
    <row r="36" spans="1:78" ht="15.75">
      <c r="A36" s="22"/>
      <c r="B36" s="97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9"/>
      <c r="P36" s="97"/>
      <c r="Q36" s="98"/>
      <c r="R36" s="98"/>
      <c r="S36" s="98"/>
      <c r="T36" s="98"/>
      <c r="U36" s="98"/>
      <c r="V36" s="98"/>
      <c r="W36" s="98"/>
      <c r="X36" s="99"/>
      <c r="Y36" s="97"/>
      <c r="Z36" s="98"/>
      <c r="AA36" s="99"/>
      <c r="AB36" s="97" t="s">
        <v>198</v>
      </c>
      <c r="AC36" s="98"/>
      <c r="AD36" s="98"/>
      <c r="AE36" s="98"/>
      <c r="AF36" s="98"/>
      <c r="AG36" s="98"/>
      <c r="AH36" s="98"/>
      <c r="AI36" s="98"/>
      <c r="AJ36" s="99"/>
      <c r="AK36" s="97"/>
      <c r="AL36" s="98"/>
      <c r="AM36" s="99"/>
      <c r="AN36" s="97"/>
      <c r="AO36" s="98"/>
      <c r="AP36" s="98"/>
      <c r="AQ36" s="98"/>
      <c r="AR36" s="98"/>
      <c r="AS36" s="98"/>
      <c r="AT36" s="98"/>
      <c r="AU36" s="98"/>
      <c r="AV36" s="99"/>
      <c r="AW36" s="97"/>
      <c r="AX36" s="98"/>
      <c r="AY36" s="99"/>
      <c r="AZ36" s="97"/>
      <c r="BA36" s="98"/>
      <c r="BB36" s="98"/>
      <c r="BC36" s="98"/>
      <c r="BD36" s="98"/>
      <c r="BE36" s="98"/>
      <c r="BF36" s="98"/>
      <c r="BG36" s="98"/>
      <c r="BH36" s="98"/>
      <c r="BI36" s="98"/>
      <c r="BJ36" s="99"/>
      <c r="BK36" s="22"/>
      <c r="BL36" s="22"/>
      <c r="BM36" s="58"/>
      <c r="BN36" s="58"/>
      <c r="BO36" s="58"/>
      <c r="BP36" s="59"/>
      <c r="BQ36" s="60"/>
      <c r="BR36" s="61"/>
      <c r="BS36" s="62" t="str">
        <f>_xlfn.IFNA(VLOOKUP($BR36,[15]Master!$C$4:$J$13,2,FALSE),"-")</f>
        <v>-</v>
      </c>
      <c r="BT36" s="62" t="str">
        <f>_xlfn.IFNA(VLOOKUP($BR36,[15]Master!$C$4:$J$13,3,FALSE),"-")</f>
        <v>-</v>
      </c>
      <c r="BU36" s="62" t="str">
        <f>_xlfn.IFNA(VLOOKUP($BR36,[15]Master!$C$4:$J$13,4,FALSE),"-")</f>
        <v>-</v>
      </c>
      <c r="BV36" s="62" t="str">
        <f>_xlfn.IFNA(VLOOKUP($BR36,[15]Master!$C$4:$J$13,5,FALSE),"-")</f>
        <v>-</v>
      </c>
      <c r="BW36" s="62" t="str">
        <f>_xlfn.IFNA(VLOOKUP($BR36,[15]Master!$C$4:$J$13,6,FALSE),"-")</f>
        <v>-</v>
      </c>
      <c r="BX36" s="62" t="str">
        <f>_xlfn.IFNA(VLOOKUP($BR36,[15]Master!$C$4:$J$13,7,FALSE),"-")</f>
        <v>-</v>
      </c>
      <c r="BY36" s="62" t="str">
        <f>_xlfn.IFNA(VLOOKUP($BR36,[15]Master!$C$4:$J$13,8,FALSE),"-")</f>
        <v>-</v>
      </c>
      <c r="BZ36" s="63">
        <f t="shared" si="2"/>
        <v>0</v>
      </c>
    </row>
    <row r="37" spans="1:78" ht="15.75">
      <c r="A37" s="22"/>
      <c r="B37" s="97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9"/>
      <c r="P37" s="97"/>
      <c r="Q37" s="98"/>
      <c r="R37" s="98"/>
      <c r="S37" s="98"/>
      <c r="T37" s="98"/>
      <c r="U37" s="98"/>
      <c r="V37" s="98"/>
      <c r="W37" s="98"/>
      <c r="X37" s="99"/>
      <c r="Y37" s="97"/>
      <c r="Z37" s="98"/>
      <c r="AA37" s="99"/>
      <c r="AB37" s="97" t="s">
        <v>199</v>
      </c>
      <c r="AC37" s="98"/>
      <c r="AD37" s="98"/>
      <c r="AE37" s="98"/>
      <c r="AF37" s="98"/>
      <c r="AG37" s="98"/>
      <c r="AH37" s="98"/>
      <c r="AI37" s="98"/>
      <c r="AJ37" s="99"/>
      <c r="AK37" s="97"/>
      <c r="AL37" s="98"/>
      <c r="AM37" s="99"/>
      <c r="AN37" s="97"/>
      <c r="AO37" s="98"/>
      <c r="AP37" s="98"/>
      <c r="AQ37" s="98"/>
      <c r="AR37" s="98"/>
      <c r="AS37" s="98"/>
      <c r="AT37" s="98"/>
      <c r="AU37" s="98"/>
      <c r="AV37" s="99"/>
      <c r="AW37" s="97"/>
      <c r="AX37" s="98"/>
      <c r="AY37" s="99"/>
      <c r="AZ37" s="97"/>
      <c r="BA37" s="98"/>
      <c r="BB37" s="98"/>
      <c r="BC37" s="98"/>
      <c r="BD37" s="98"/>
      <c r="BE37" s="98"/>
      <c r="BF37" s="98"/>
      <c r="BG37" s="98"/>
      <c r="BH37" s="98"/>
      <c r="BI37" s="98"/>
      <c r="BJ37" s="99"/>
      <c r="BK37" s="22"/>
      <c r="BL37" s="22"/>
      <c r="BM37" s="58"/>
      <c r="BN37" s="58"/>
      <c r="BO37" s="58"/>
      <c r="BP37" s="59"/>
      <c r="BQ37" s="60"/>
      <c r="BR37" s="61"/>
      <c r="BS37" s="62" t="str">
        <f>_xlfn.IFNA(VLOOKUP($BR37,[15]Master!$C$4:$J$13,2,FALSE),"-")</f>
        <v>-</v>
      </c>
      <c r="BT37" s="62" t="str">
        <f>_xlfn.IFNA(VLOOKUP($BR37,[15]Master!$C$4:$J$13,3,FALSE),"-")</f>
        <v>-</v>
      </c>
      <c r="BU37" s="62" t="str">
        <f>_xlfn.IFNA(VLOOKUP($BR37,[15]Master!$C$4:$J$13,4,FALSE),"-")</f>
        <v>-</v>
      </c>
      <c r="BV37" s="62" t="str">
        <f>_xlfn.IFNA(VLOOKUP($BR37,[15]Master!$C$4:$J$13,5,FALSE),"-")</f>
        <v>-</v>
      </c>
      <c r="BW37" s="62" t="str">
        <f>_xlfn.IFNA(VLOOKUP($BR37,[15]Master!$C$4:$J$13,6,FALSE),"-")</f>
        <v>-</v>
      </c>
      <c r="BX37" s="62" t="str">
        <f>_xlfn.IFNA(VLOOKUP($BR37,[15]Master!$C$4:$J$13,7,FALSE),"-")</f>
        <v>-</v>
      </c>
      <c r="BY37" s="62" t="str">
        <f>_xlfn.IFNA(VLOOKUP($BR37,[15]Master!$C$4:$J$13,8,FALSE),"-")</f>
        <v>-</v>
      </c>
      <c r="BZ37" s="63">
        <f t="shared" si="2"/>
        <v>0</v>
      </c>
    </row>
    <row r="38" spans="1:78" ht="15.75">
      <c r="A38" s="22"/>
      <c r="B38" s="97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9"/>
      <c r="P38" s="97"/>
      <c r="Q38" s="98"/>
      <c r="R38" s="98"/>
      <c r="S38" s="98"/>
      <c r="T38" s="98"/>
      <c r="U38" s="98"/>
      <c r="V38" s="98"/>
      <c r="W38" s="98"/>
      <c r="X38" s="99"/>
      <c r="Y38" s="97"/>
      <c r="Z38" s="98"/>
      <c r="AA38" s="99"/>
      <c r="AB38" s="97" t="s">
        <v>200</v>
      </c>
      <c r="AC38" s="98"/>
      <c r="AD38" s="98"/>
      <c r="AE38" s="98"/>
      <c r="AF38" s="98"/>
      <c r="AG38" s="98"/>
      <c r="AH38" s="98"/>
      <c r="AI38" s="98"/>
      <c r="AJ38" s="99"/>
      <c r="AK38" s="97"/>
      <c r="AL38" s="98"/>
      <c r="AM38" s="99"/>
      <c r="AN38" s="97"/>
      <c r="AO38" s="98"/>
      <c r="AP38" s="98"/>
      <c r="AQ38" s="98"/>
      <c r="AR38" s="98"/>
      <c r="AS38" s="98"/>
      <c r="AT38" s="98"/>
      <c r="AU38" s="98"/>
      <c r="AV38" s="99"/>
      <c r="AW38" s="97"/>
      <c r="AX38" s="98"/>
      <c r="AY38" s="99"/>
      <c r="AZ38" s="97"/>
      <c r="BA38" s="98"/>
      <c r="BB38" s="98"/>
      <c r="BC38" s="98"/>
      <c r="BD38" s="98"/>
      <c r="BE38" s="98"/>
      <c r="BF38" s="98"/>
      <c r="BG38" s="98"/>
      <c r="BH38" s="98"/>
      <c r="BI38" s="98"/>
      <c r="BJ38" s="99"/>
      <c r="BK38" s="22"/>
      <c r="BL38" s="22"/>
      <c r="BM38" s="58"/>
      <c r="BN38" s="58"/>
      <c r="BO38" s="58"/>
      <c r="BP38" s="59"/>
      <c r="BQ38" s="60"/>
      <c r="BR38" s="61"/>
      <c r="BS38" s="62" t="str">
        <f>_xlfn.IFNA(VLOOKUP($BR38,[15]Master!$C$4:$J$13,2,FALSE),"-")</f>
        <v>-</v>
      </c>
      <c r="BT38" s="62" t="str">
        <f>_xlfn.IFNA(VLOOKUP($BR38,[15]Master!$C$4:$J$13,3,FALSE),"-")</f>
        <v>-</v>
      </c>
      <c r="BU38" s="62" t="str">
        <f>_xlfn.IFNA(VLOOKUP($BR38,[15]Master!$C$4:$J$13,4,FALSE),"-")</f>
        <v>-</v>
      </c>
      <c r="BV38" s="62" t="str">
        <f>_xlfn.IFNA(VLOOKUP($BR38,[15]Master!$C$4:$J$13,5,FALSE),"-")</f>
        <v>-</v>
      </c>
      <c r="BW38" s="62" t="str">
        <f>_xlfn.IFNA(VLOOKUP($BR38,[15]Master!$C$4:$J$13,6,FALSE),"-")</f>
        <v>-</v>
      </c>
      <c r="BX38" s="62" t="str">
        <f>_xlfn.IFNA(VLOOKUP($BR38,[15]Master!$C$4:$J$13,7,FALSE),"-")</f>
        <v>-</v>
      </c>
      <c r="BY38" s="62" t="str">
        <f>_xlfn.IFNA(VLOOKUP($BR38,[15]Master!$C$4:$J$13,8,FALSE),"-")</f>
        <v>-</v>
      </c>
      <c r="BZ38" s="63">
        <f t="shared" si="2"/>
        <v>0</v>
      </c>
    </row>
    <row r="39" spans="1:78" ht="15.75">
      <c r="A39" s="22"/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9"/>
      <c r="P39" s="97"/>
      <c r="Q39" s="98"/>
      <c r="R39" s="98"/>
      <c r="S39" s="98"/>
      <c r="T39" s="98"/>
      <c r="U39" s="98"/>
      <c r="V39" s="98"/>
      <c r="W39" s="98"/>
      <c r="X39" s="99"/>
      <c r="Y39" s="97"/>
      <c r="Z39" s="98"/>
      <c r="AA39" s="99"/>
      <c r="AB39" s="97" t="s">
        <v>201</v>
      </c>
      <c r="AC39" s="98"/>
      <c r="AD39" s="98"/>
      <c r="AE39" s="98"/>
      <c r="AF39" s="98"/>
      <c r="AG39" s="98"/>
      <c r="AH39" s="98"/>
      <c r="AI39" s="98"/>
      <c r="AJ39" s="99"/>
      <c r="AK39" s="97"/>
      <c r="AL39" s="98"/>
      <c r="AM39" s="99"/>
      <c r="AN39" s="97"/>
      <c r="AO39" s="98"/>
      <c r="AP39" s="98"/>
      <c r="AQ39" s="98"/>
      <c r="AR39" s="98"/>
      <c r="AS39" s="98"/>
      <c r="AT39" s="98"/>
      <c r="AU39" s="98"/>
      <c r="AV39" s="99"/>
      <c r="AW39" s="97"/>
      <c r="AX39" s="98"/>
      <c r="AY39" s="99"/>
      <c r="AZ39" s="97"/>
      <c r="BA39" s="98"/>
      <c r="BB39" s="98"/>
      <c r="BC39" s="98"/>
      <c r="BD39" s="98"/>
      <c r="BE39" s="98"/>
      <c r="BF39" s="98"/>
      <c r="BG39" s="98"/>
      <c r="BH39" s="98"/>
      <c r="BI39" s="98"/>
      <c r="BJ39" s="99"/>
      <c r="BK39" s="22"/>
      <c r="BL39" s="22"/>
      <c r="BM39" s="58"/>
      <c r="BN39" s="58"/>
      <c r="BO39" s="58"/>
      <c r="BP39" s="59"/>
      <c r="BQ39" s="60"/>
      <c r="BR39" s="61"/>
      <c r="BS39" s="62" t="str">
        <f>_xlfn.IFNA(VLOOKUP($BR39,[15]Master!$C$4:$J$13,2,FALSE),"-")</f>
        <v>-</v>
      </c>
      <c r="BT39" s="62" t="str">
        <f>_xlfn.IFNA(VLOOKUP($BR39,[15]Master!$C$4:$J$13,3,FALSE),"-")</f>
        <v>-</v>
      </c>
      <c r="BU39" s="62" t="str">
        <f>_xlfn.IFNA(VLOOKUP($BR39,[15]Master!$C$4:$J$13,4,FALSE),"-")</f>
        <v>-</v>
      </c>
      <c r="BV39" s="62" t="str">
        <f>_xlfn.IFNA(VLOOKUP($BR39,[15]Master!$C$4:$J$13,5,FALSE),"-")</f>
        <v>-</v>
      </c>
      <c r="BW39" s="62" t="str">
        <f>_xlfn.IFNA(VLOOKUP($BR39,[15]Master!$C$4:$J$13,6,FALSE),"-")</f>
        <v>-</v>
      </c>
      <c r="BX39" s="62" t="str">
        <f>_xlfn.IFNA(VLOOKUP($BR39,[15]Master!$C$4:$J$13,7,FALSE),"-")</f>
        <v>-</v>
      </c>
      <c r="BY39" s="62" t="str">
        <f>_xlfn.IFNA(VLOOKUP($BR39,[15]Master!$C$4:$J$13,8,FALSE),"-")</f>
        <v>-</v>
      </c>
      <c r="BZ39" s="63">
        <f t="shared" si="2"/>
        <v>0</v>
      </c>
    </row>
    <row r="40" spans="1:78" ht="15.75">
      <c r="A40" s="22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9"/>
      <c r="P40" s="97" t="s">
        <v>206</v>
      </c>
      <c r="Q40" s="98"/>
      <c r="R40" s="98"/>
      <c r="S40" s="98"/>
      <c r="T40" s="98"/>
      <c r="U40" s="98"/>
      <c r="V40" s="98"/>
      <c r="W40" s="98"/>
      <c r="X40" s="99"/>
      <c r="Y40" s="97"/>
      <c r="Z40" s="98"/>
      <c r="AA40" s="99"/>
      <c r="AB40" s="97"/>
      <c r="AC40" s="98"/>
      <c r="AD40" s="98"/>
      <c r="AE40" s="98"/>
      <c r="AF40" s="98"/>
      <c r="AG40" s="98"/>
      <c r="AH40" s="98"/>
      <c r="AI40" s="98"/>
      <c r="AJ40" s="99"/>
      <c r="AK40" s="97"/>
      <c r="AL40" s="98"/>
      <c r="AM40" s="99"/>
      <c r="AN40" s="97"/>
      <c r="AO40" s="98"/>
      <c r="AP40" s="98"/>
      <c r="AQ40" s="98"/>
      <c r="AR40" s="98"/>
      <c r="AS40" s="98"/>
      <c r="AT40" s="98"/>
      <c r="AU40" s="98"/>
      <c r="AV40" s="99"/>
      <c r="AW40" s="97"/>
      <c r="AX40" s="98"/>
      <c r="AY40" s="99"/>
      <c r="AZ40" s="97"/>
      <c r="BA40" s="98"/>
      <c r="BB40" s="98"/>
      <c r="BC40" s="98"/>
      <c r="BD40" s="98"/>
      <c r="BE40" s="98"/>
      <c r="BF40" s="98"/>
      <c r="BG40" s="98"/>
      <c r="BH40" s="98"/>
      <c r="BI40" s="98"/>
      <c r="BJ40" s="99"/>
      <c r="BK40" s="22"/>
      <c r="BL40" s="22"/>
      <c r="BM40" s="58"/>
      <c r="BN40" s="58"/>
      <c r="BO40" s="58"/>
      <c r="BP40" s="59"/>
      <c r="BQ40" s="60"/>
      <c r="BR40" s="61"/>
      <c r="BS40" s="62" t="str">
        <f>_xlfn.IFNA(VLOOKUP($BR40,[15]Master!$C$4:$J$13,2,FALSE),"-")</f>
        <v>-</v>
      </c>
      <c r="BT40" s="62" t="str">
        <f>_xlfn.IFNA(VLOOKUP($BR40,[15]Master!$C$4:$J$13,3,FALSE),"-")</f>
        <v>-</v>
      </c>
      <c r="BU40" s="62" t="str">
        <f>_xlfn.IFNA(VLOOKUP($BR40,[15]Master!$C$4:$J$13,4,FALSE),"-")</f>
        <v>-</v>
      </c>
      <c r="BV40" s="62" t="str">
        <f>_xlfn.IFNA(VLOOKUP($BR40,[15]Master!$C$4:$J$13,5,FALSE),"-")</f>
        <v>-</v>
      </c>
      <c r="BW40" s="62" t="str">
        <f>_xlfn.IFNA(VLOOKUP($BR40,[15]Master!$C$4:$J$13,6,FALSE),"-")</f>
        <v>-</v>
      </c>
      <c r="BX40" s="62" t="str">
        <f>_xlfn.IFNA(VLOOKUP($BR40,[15]Master!$C$4:$J$13,7,FALSE),"-")</f>
        <v>-</v>
      </c>
      <c r="BY40" s="62" t="str">
        <f>_xlfn.IFNA(VLOOKUP($BR40,[15]Master!$C$4:$J$13,8,FALSE),"-")</f>
        <v>-</v>
      </c>
      <c r="BZ40" s="63">
        <f t="shared" si="2"/>
        <v>0</v>
      </c>
    </row>
    <row r="41" spans="1:78" ht="15.75">
      <c r="A41" s="22"/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9"/>
      <c r="P41" s="97" t="s">
        <v>190</v>
      </c>
      <c r="Q41" s="98"/>
      <c r="R41" s="98"/>
      <c r="S41" s="98"/>
      <c r="T41" s="98"/>
      <c r="U41" s="98"/>
      <c r="V41" s="98"/>
      <c r="W41" s="98"/>
      <c r="X41" s="99"/>
      <c r="Y41" s="97"/>
      <c r="Z41" s="98"/>
      <c r="AA41" s="99"/>
      <c r="AB41" s="97"/>
      <c r="AC41" s="98"/>
      <c r="AD41" s="98"/>
      <c r="AE41" s="98"/>
      <c r="AF41" s="98"/>
      <c r="AG41" s="98"/>
      <c r="AH41" s="98"/>
      <c r="AI41" s="98"/>
      <c r="AJ41" s="99"/>
      <c r="AK41" s="97"/>
      <c r="AL41" s="98"/>
      <c r="AM41" s="99"/>
      <c r="AN41" s="97"/>
      <c r="AO41" s="98"/>
      <c r="AP41" s="98"/>
      <c r="AQ41" s="98"/>
      <c r="AR41" s="98"/>
      <c r="AS41" s="98"/>
      <c r="AT41" s="98"/>
      <c r="AU41" s="98"/>
      <c r="AV41" s="99"/>
      <c r="AW41" s="97"/>
      <c r="AX41" s="98"/>
      <c r="AY41" s="99"/>
      <c r="AZ41" s="97"/>
      <c r="BA41" s="98"/>
      <c r="BB41" s="98"/>
      <c r="BC41" s="98"/>
      <c r="BD41" s="98"/>
      <c r="BE41" s="98"/>
      <c r="BF41" s="98"/>
      <c r="BG41" s="98"/>
      <c r="BH41" s="98"/>
      <c r="BI41" s="98"/>
      <c r="BJ41" s="99"/>
      <c r="BK41" s="22"/>
      <c r="BL41" s="22"/>
      <c r="BM41" s="58"/>
      <c r="BN41" s="58"/>
      <c r="BO41" s="58"/>
      <c r="BP41" s="59"/>
      <c r="BQ41" s="60"/>
      <c r="BR41" s="61"/>
      <c r="BS41" s="62" t="str">
        <f>_xlfn.IFNA(VLOOKUP($BR41,[15]Master!$C$4:$J$13,2,FALSE),"-")</f>
        <v>-</v>
      </c>
      <c r="BT41" s="62" t="str">
        <f>_xlfn.IFNA(VLOOKUP($BR41,[15]Master!$C$4:$J$13,3,FALSE),"-")</f>
        <v>-</v>
      </c>
      <c r="BU41" s="62" t="str">
        <f>_xlfn.IFNA(VLOOKUP($BR41,[15]Master!$C$4:$J$13,4,FALSE),"-")</f>
        <v>-</v>
      </c>
      <c r="BV41" s="62" t="str">
        <f>_xlfn.IFNA(VLOOKUP($BR41,[15]Master!$C$4:$J$13,5,FALSE),"-")</f>
        <v>-</v>
      </c>
      <c r="BW41" s="62" t="str">
        <f>_xlfn.IFNA(VLOOKUP($BR41,[15]Master!$C$4:$J$13,6,FALSE),"-")</f>
        <v>-</v>
      </c>
      <c r="BX41" s="62" t="str">
        <f>_xlfn.IFNA(VLOOKUP($BR41,[15]Master!$C$4:$J$13,7,FALSE),"-")</f>
        <v>-</v>
      </c>
      <c r="BY41" s="62" t="str">
        <f>_xlfn.IFNA(VLOOKUP($BR41,[15]Master!$C$4:$J$13,8,FALSE),"-")</f>
        <v>-</v>
      </c>
      <c r="BZ41" s="63">
        <f t="shared" si="2"/>
        <v>0</v>
      </c>
    </row>
    <row r="42" spans="1:78" ht="15.75">
      <c r="A42" s="22"/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9"/>
      <c r="P42" s="97" t="s">
        <v>192</v>
      </c>
      <c r="Q42" s="98"/>
      <c r="R42" s="98"/>
      <c r="S42" s="98"/>
      <c r="T42" s="98"/>
      <c r="U42" s="98"/>
      <c r="V42" s="98"/>
      <c r="W42" s="98"/>
      <c r="X42" s="99"/>
      <c r="Y42" s="97"/>
      <c r="Z42" s="98"/>
      <c r="AA42" s="99"/>
      <c r="AB42" s="97"/>
      <c r="AC42" s="98"/>
      <c r="AD42" s="98"/>
      <c r="AE42" s="98"/>
      <c r="AF42" s="98"/>
      <c r="AG42" s="98"/>
      <c r="AH42" s="98"/>
      <c r="AI42" s="98"/>
      <c r="AJ42" s="99"/>
      <c r="AK42" s="97"/>
      <c r="AL42" s="98"/>
      <c r="AM42" s="99"/>
      <c r="AN42" s="97"/>
      <c r="AO42" s="98"/>
      <c r="AP42" s="98"/>
      <c r="AQ42" s="98"/>
      <c r="AR42" s="98"/>
      <c r="AS42" s="98"/>
      <c r="AT42" s="98"/>
      <c r="AU42" s="98"/>
      <c r="AV42" s="99"/>
      <c r="AW42" s="97"/>
      <c r="AX42" s="98"/>
      <c r="AY42" s="99"/>
      <c r="AZ42" s="97"/>
      <c r="BA42" s="98"/>
      <c r="BB42" s="98"/>
      <c r="BC42" s="98"/>
      <c r="BD42" s="98"/>
      <c r="BE42" s="98"/>
      <c r="BF42" s="98"/>
      <c r="BG42" s="98"/>
      <c r="BH42" s="98"/>
      <c r="BI42" s="98"/>
      <c r="BJ42" s="99"/>
      <c r="BK42" s="22"/>
      <c r="BL42" s="22"/>
      <c r="BM42" s="58"/>
      <c r="BN42" s="58"/>
      <c r="BO42" s="58"/>
      <c r="BP42" s="59"/>
      <c r="BQ42" s="60"/>
      <c r="BR42" s="61"/>
      <c r="BS42" s="62" t="str">
        <f>_xlfn.IFNA(VLOOKUP($BR42,[15]Master!$C$4:$J$13,2,FALSE),"-")</f>
        <v>-</v>
      </c>
      <c r="BT42" s="62" t="str">
        <f>_xlfn.IFNA(VLOOKUP($BR42,[15]Master!$C$4:$J$13,3,FALSE),"-")</f>
        <v>-</v>
      </c>
      <c r="BU42" s="62" t="str">
        <f>_xlfn.IFNA(VLOOKUP($BR42,[15]Master!$C$4:$J$13,4,FALSE),"-")</f>
        <v>-</v>
      </c>
      <c r="BV42" s="62" t="str">
        <f>_xlfn.IFNA(VLOOKUP($BR42,[15]Master!$C$4:$J$13,5,FALSE),"-")</f>
        <v>-</v>
      </c>
      <c r="BW42" s="62" t="str">
        <f>_xlfn.IFNA(VLOOKUP($BR42,[15]Master!$C$4:$J$13,6,FALSE),"-")</f>
        <v>-</v>
      </c>
      <c r="BX42" s="62" t="str">
        <f>_xlfn.IFNA(VLOOKUP($BR42,[15]Master!$C$4:$J$13,7,FALSE),"-")</f>
        <v>-</v>
      </c>
      <c r="BY42" s="62" t="str">
        <f>_xlfn.IFNA(VLOOKUP($BR42,[15]Master!$C$4:$J$13,8,FALSE),"-")</f>
        <v>-</v>
      </c>
      <c r="BZ42" s="63">
        <f t="shared" si="2"/>
        <v>0</v>
      </c>
    </row>
    <row r="43" spans="1:78" ht="15.75">
      <c r="A43" s="22"/>
      <c r="B43" s="97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9"/>
      <c r="P43" s="97" t="s">
        <v>194</v>
      </c>
      <c r="Q43" s="98"/>
      <c r="R43" s="98"/>
      <c r="S43" s="98"/>
      <c r="T43" s="98"/>
      <c r="U43" s="98"/>
      <c r="V43" s="98"/>
      <c r="W43" s="98"/>
      <c r="X43" s="99"/>
      <c r="Y43" s="97"/>
      <c r="Z43" s="98"/>
      <c r="AA43" s="99"/>
      <c r="AB43" s="97"/>
      <c r="AC43" s="98"/>
      <c r="AD43" s="98"/>
      <c r="AE43" s="98"/>
      <c r="AF43" s="98"/>
      <c r="AG43" s="98"/>
      <c r="AH43" s="98"/>
      <c r="AI43" s="98"/>
      <c r="AJ43" s="99"/>
      <c r="AK43" s="97"/>
      <c r="AL43" s="98"/>
      <c r="AM43" s="99"/>
      <c r="AN43" s="97"/>
      <c r="AO43" s="98"/>
      <c r="AP43" s="98"/>
      <c r="AQ43" s="98"/>
      <c r="AR43" s="98"/>
      <c r="AS43" s="98"/>
      <c r="AT43" s="98"/>
      <c r="AU43" s="98"/>
      <c r="AV43" s="99"/>
      <c r="AW43" s="97"/>
      <c r="AX43" s="98"/>
      <c r="AY43" s="99"/>
      <c r="AZ43" s="97"/>
      <c r="BA43" s="98"/>
      <c r="BB43" s="98"/>
      <c r="BC43" s="98"/>
      <c r="BD43" s="98"/>
      <c r="BE43" s="98"/>
      <c r="BF43" s="98"/>
      <c r="BG43" s="98"/>
      <c r="BH43" s="98"/>
      <c r="BI43" s="98"/>
      <c r="BJ43" s="99"/>
      <c r="BK43" s="22"/>
      <c r="BL43" s="22"/>
      <c r="BM43" s="58"/>
      <c r="BN43" s="58"/>
      <c r="BO43" s="58"/>
      <c r="BP43" s="59"/>
      <c r="BQ43" s="60"/>
      <c r="BR43" s="61"/>
      <c r="BS43" s="62" t="str">
        <f>_xlfn.IFNA(VLOOKUP($BR43,[15]Master!$C$4:$J$13,2,FALSE),"-")</f>
        <v>-</v>
      </c>
      <c r="BT43" s="62" t="str">
        <f>_xlfn.IFNA(VLOOKUP($BR43,[15]Master!$C$4:$J$13,3,FALSE),"-")</f>
        <v>-</v>
      </c>
      <c r="BU43" s="62" t="str">
        <f>_xlfn.IFNA(VLOOKUP($BR43,[15]Master!$C$4:$J$13,4,FALSE),"-")</f>
        <v>-</v>
      </c>
      <c r="BV43" s="62" t="str">
        <f>_xlfn.IFNA(VLOOKUP($BR43,[15]Master!$C$4:$J$13,5,FALSE),"-")</f>
        <v>-</v>
      </c>
      <c r="BW43" s="62" t="str">
        <f>_xlfn.IFNA(VLOOKUP($BR43,[15]Master!$C$4:$J$13,6,FALSE),"-")</f>
        <v>-</v>
      </c>
      <c r="BX43" s="62" t="str">
        <f>_xlfn.IFNA(VLOOKUP($BR43,[15]Master!$C$4:$J$13,7,FALSE),"-")</f>
        <v>-</v>
      </c>
      <c r="BY43" s="62" t="str">
        <f>_xlfn.IFNA(VLOOKUP($BR43,[15]Master!$C$4:$J$13,8,FALSE),"-")</f>
        <v>-</v>
      </c>
      <c r="BZ43" s="63">
        <f t="shared" si="2"/>
        <v>0</v>
      </c>
    </row>
    <row r="44" spans="1:78" ht="15.75">
      <c r="A44" s="22"/>
      <c r="B44" s="97" t="s">
        <v>207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9"/>
      <c r="P44" s="97" t="s">
        <v>208</v>
      </c>
      <c r="Q44" s="98"/>
      <c r="R44" s="98"/>
      <c r="S44" s="98"/>
      <c r="T44" s="98"/>
      <c r="U44" s="98"/>
      <c r="V44" s="98"/>
      <c r="W44" s="98"/>
      <c r="X44" s="99"/>
      <c r="Y44" s="97"/>
      <c r="Z44" s="98"/>
      <c r="AA44" s="99"/>
      <c r="AB44" s="97"/>
      <c r="AC44" s="98"/>
      <c r="AD44" s="98"/>
      <c r="AE44" s="98"/>
      <c r="AF44" s="98"/>
      <c r="AG44" s="98"/>
      <c r="AH44" s="98"/>
      <c r="AI44" s="98"/>
      <c r="AJ44" s="99"/>
      <c r="AK44" s="97"/>
      <c r="AL44" s="98"/>
      <c r="AM44" s="99"/>
      <c r="AN44" s="97"/>
      <c r="AO44" s="98"/>
      <c r="AP44" s="98"/>
      <c r="AQ44" s="98"/>
      <c r="AR44" s="98"/>
      <c r="AS44" s="98"/>
      <c r="AT44" s="98"/>
      <c r="AU44" s="98"/>
      <c r="AV44" s="99"/>
      <c r="AW44" s="97"/>
      <c r="AX44" s="98"/>
      <c r="AY44" s="99"/>
      <c r="AZ44" s="97"/>
      <c r="BA44" s="98"/>
      <c r="BB44" s="98"/>
      <c r="BC44" s="98"/>
      <c r="BD44" s="98"/>
      <c r="BE44" s="98"/>
      <c r="BF44" s="98"/>
      <c r="BG44" s="98"/>
      <c r="BH44" s="98"/>
      <c r="BI44" s="98"/>
      <c r="BJ44" s="99"/>
      <c r="BK44" s="22"/>
      <c r="BL44" s="22"/>
      <c r="BM44" s="45">
        <v>1</v>
      </c>
      <c r="BR44" s="39" t="s">
        <v>209</v>
      </c>
      <c r="BS44" s="34">
        <f>_xlfn.IFNA(VLOOKUP($BR44,[15]Master!$C$4:$J$13,2,FALSE),"-")</f>
        <v>0.3</v>
      </c>
      <c r="BT44" s="34">
        <f>_xlfn.IFNA(VLOOKUP($BR44,[15]Master!$C$4:$J$13,3,FALSE),"-")</f>
        <v>1</v>
      </c>
      <c r="BU44" s="34">
        <f>_xlfn.IFNA(VLOOKUP($BR44,[15]Master!$C$4:$J$13,4,FALSE),"-")</f>
        <v>0.2</v>
      </c>
      <c r="BV44" s="34">
        <f>_xlfn.IFNA(VLOOKUP($BR44,[15]Master!$C$4:$J$13,5,FALSE),"-")</f>
        <v>0.1</v>
      </c>
      <c r="BW44" s="34">
        <f>_xlfn.IFNA(VLOOKUP($BR44,[15]Master!$C$4:$J$13,6,FALSE),"-")</f>
        <v>0.2</v>
      </c>
      <c r="BX44" s="34">
        <f>_xlfn.IFNA(VLOOKUP($BR44,[15]Master!$C$4:$J$13,7,FALSE),"-")</f>
        <v>0.1</v>
      </c>
      <c r="BY44" s="34">
        <f>_xlfn.IFNA(VLOOKUP($BR44,[15]Master!$C$4:$J$13,8,FALSE),"-")</f>
        <v>0.2</v>
      </c>
      <c r="BZ44" s="35">
        <f t="shared" si="2"/>
        <v>2.1</v>
      </c>
    </row>
    <row r="45" spans="1:78" s="27" customFormat="1" ht="15.75">
      <c r="A45" s="26"/>
      <c r="B45" s="100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2"/>
      <c r="P45" s="100" t="s">
        <v>210</v>
      </c>
      <c r="Q45" s="101"/>
      <c r="R45" s="101"/>
      <c r="S45" s="101"/>
      <c r="T45" s="101"/>
      <c r="U45" s="101"/>
      <c r="V45" s="101"/>
      <c r="W45" s="101"/>
      <c r="X45" s="102"/>
      <c r="Y45" s="100"/>
      <c r="Z45" s="101"/>
      <c r="AA45" s="102"/>
      <c r="AB45" s="100"/>
      <c r="AC45" s="101"/>
      <c r="AD45" s="101"/>
      <c r="AE45" s="101"/>
      <c r="AF45" s="101"/>
      <c r="AG45" s="101"/>
      <c r="AH45" s="101"/>
      <c r="AI45" s="101"/>
      <c r="AJ45" s="102"/>
      <c r="AK45" s="100"/>
      <c r="AL45" s="101"/>
      <c r="AM45" s="102"/>
      <c r="AN45" s="100"/>
      <c r="AO45" s="101"/>
      <c r="AP45" s="101"/>
      <c r="AQ45" s="101"/>
      <c r="AR45" s="101"/>
      <c r="AS45" s="101"/>
      <c r="AT45" s="101"/>
      <c r="AU45" s="101"/>
      <c r="AV45" s="102"/>
      <c r="AW45" s="100"/>
      <c r="AX45" s="101"/>
      <c r="AY45" s="102"/>
      <c r="AZ45" s="100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/>
      <c r="BK45" s="26"/>
      <c r="BL45" s="26"/>
      <c r="BM45" s="64"/>
      <c r="BN45" s="64"/>
      <c r="BO45" s="64"/>
      <c r="BP45" s="65"/>
      <c r="BQ45" s="66"/>
      <c r="BR45" s="61"/>
      <c r="BS45" s="62" t="str">
        <f>_xlfn.IFNA(VLOOKUP($BR45,[15]Master!$C$4:$J$13,2,FALSE),"-")</f>
        <v>-</v>
      </c>
      <c r="BT45" s="62" t="str">
        <f>_xlfn.IFNA(VLOOKUP($BR45,[15]Master!$C$4:$J$13,3,FALSE),"-")</f>
        <v>-</v>
      </c>
      <c r="BU45" s="62" t="str">
        <f>_xlfn.IFNA(VLOOKUP($BR45,[15]Master!$C$4:$J$13,4,FALSE),"-")</f>
        <v>-</v>
      </c>
      <c r="BV45" s="62" t="str">
        <f>_xlfn.IFNA(VLOOKUP($BR45,[15]Master!$C$4:$J$13,5,FALSE),"-")</f>
        <v>-</v>
      </c>
      <c r="BW45" s="62" t="str">
        <f>_xlfn.IFNA(VLOOKUP($BR45,[15]Master!$C$4:$J$13,6,FALSE),"-")</f>
        <v>-</v>
      </c>
      <c r="BX45" s="62" t="str">
        <f>_xlfn.IFNA(VLOOKUP($BR45,[15]Master!$C$4:$J$13,7,FALSE),"-")</f>
        <v>-</v>
      </c>
      <c r="BY45" s="62" t="str">
        <f>_xlfn.IFNA(VLOOKUP($BR45,[15]Master!$C$4:$J$13,8,FALSE),"-")</f>
        <v>-</v>
      </c>
      <c r="BZ45" s="63">
        <f t="shared" si="2"/>
        <v>0</v>
      </c>
    </row>
    <row r="46" spans="1:78" ht="15.75">
      <c r="A46" s="22"/>
      <c r="B46" s="97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9"/>
      <c r="P46" s="97" t="s">
        <v>190</v>
      </c>
      <c r="Q46" s="98"/>
      <c r="R46" s="98"/>
      <c r="S46" s="98"/>
      <c r="T46" s="98"/>
      <c r="U46" s="98"/>
      <c r="V46" s="98"/>
      <c r="W46" s="98"/>
      <c r="X46" s="99"/>
      <c r="Y46" s="97"/>
      <c r="Z46" s="98"/>
      <c r="AA46" s="99"/>
      <c r="AB46" s="97"/>
      <c r="AC46" s="98"/>
      <c r="AD46" s="98"/>
      <c r="AE46" s="98"/>
      <c r="AF46" s="98"/>
      <c r="AG46" s="98"/>
      <c r="AH46" s="98"/>
      <c r="AI46" s="98"/>
      <c r="AJ46" s="99"/>
      <c r="AK46" s="97"/>
      <c r="AL46" s="98"/>
      <c r="AM46" s="99"/>
      <c r="AN46" s="97"/>
      <c r="AO46" s="98"/>
      <c r="AP46" s="98"/>
      <c r="AQ46" s="98"/>
      <c r="AR46" s="98"/>
      <c r="AS46" s="98"/>
      <c r="AT46" s="98"/>
      <c r="AU46" s="98"/>
      <c r="AV46" s="99"/>
      <c r="AW46" s="97"/>
      <c r="AX46" s="98"/>
      <c r="AY46" s="99"/>
      <c r="AZ46" s="97"/>
      <c r="BA46" s="98"/>
      <c r="BB46" s="98"/>
      <c r="BC46" s="98"/>
      <c r="BD46" s="98"/>
      <c r="BE46" s="98"/>
      <c r="BF46" s="98"/>
      <c r="BG46" s="98"/>
      <c r="BH46" s="98"/>
      <c r="BI46" s="98"/>
      <c r="BJ46" s="99"/>
      <c r="BK46" s="22"/>
      <c r="BL46" s="22"/>
      <c r="BM46" s="58"/>
      <c r="BN46" s="58"/>
      <c r="BO46" s="58"/>
      <c r="BP46" s="59"/>
      <c r="BQ46" s="60"/>
      <c r="BR46" s="61"/>
      <c r="BS46" s="62" t="str">
        <f>_xlfn.IFNA(VLOOKUP($BR46,[15]Master!$C$4:$J$13,2,FALSE),"-")</f>
        <v>-</v>
      </c>
      <c r="BT46" s="62" t="str">
        <f>_xlfn.IFNA(VLOOKUP($BR46,[15]Master!$C$4:$J$13,3,FALSE),"-")</f>
        <v>-</v>
      </c>
      <c r="BU46" s="62" t="str">
        <f>_xlfn.IFNA(VLOOKUP($BR46,[15]Master!$C$4:$J$13,4,FALSE),"-")</f>
        <v>-</v>
      </c>
      <c r="BV46" s="62" t="str">
        <f>_xlfn.IFNA(VLOOKUP($BR46,[15]Master!$C$4:$J$13,5,FALSE),"-")</f>
        <v>-</v>
      </c>
      <c r="BW46" s="62" t="str">
        <f>_xlfn.IFNA(VLOOKUP($BR46,[15]Master!$C$4:$J$13,6,FALSE),"-")</f>
        <v>-</v>
      </c>
      <c r="BX46" s="62" t="str">
        <f>_xlfn.IFNA(VLOOKUP($BR46,[15]Master!$C$4:$J$13,7,FALSE),"-")</f>
        <v>-</v>
      </c>
      <c r="BY46" s="62" t="str">
        <f>_xlfn.IFNA(VLOOKUP($BR46,[15]Master!$C$4:$J$13,8,FALSE),"-")</f>
        <v>-</v>
      </c>
      <c r="BZ46" s="63">
        <f t="shared" si="2"/>
        <v>0</v>
      </c>
    </row>
    <row r="47" spans="1:78" ht="15.75">
      <c r="A47" s="22"/>
      <c r="B47" s="97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9"/>
      <c r="P47" s="97" t="s">
        <v>192</v>
      </c>
      <c r="Q47" s="98"/>
      <c r="R47" s="98"/>
      <c r="S47" s="98"/>
      <c r="T47" s="98"/>
      <c r="U47" s="98"/>
      <c r="V47" s="98"/>
      <c r="W47" s="98"/>
      <c r="X47" s="99"/>
      <c r="Y47" s="97"/>
      <c r="Z47" s="98"/>
      <c r="AA47" s="99"/>
      <c r="AB47" s="97"/>
      <c r="AC47" s="98"/>
      <c r="AD47" s="98"/>
      <c r="AE47" s="98"/>
      <c r="AF47" s="98"/>
      <c r="AG47" s="98"/>
      <c r="AH47" s="98"/>
      <c r="AI47" s="98"/>
      <c r="AJ47" s="99"/>
      <c r="AK47" s="97"/>
      <c r="AL47" s="98"/>
      <c r="AM47" s="99"/>
      <c r="AN47" s="97"/>
      <c r="AO47" s="98"/>
      <c r="AP47" s="98"/>
      <c r="AQ47" s="98"/>
      <c r="AR47" s="98"/>
      <c r="AS47" s="98"/>
      <c r="AT47" s="98"/>
      <c r="AU47" s="98"/>
      <c r="AV47" s="99"/>
      <c r="AW47" s="97"/>
      <c r="AX47" s="98"/>
      <c r="AY47" s="99"/>
      <c r="AZ47" s="97"/>
      <c r="BA47" s="98"/>
      <c r="BB47" s="98"/>
      <c r="BC47" s="98"/>
      <c r="BD47" s="98"/>
      <c r="BE47" s="98"/>
      <c r="BF47" s="98"/>
      <c r="BG47" s="98"/>
      <c r="BH47" s="98"/>
      <c r="BI47" s="98"/>
      <c r="BJ47" s="99"/>
      <c r="BK47" s="22"/>
      <c r="BL47" s="22"/>
      <c r="BM47" s="58"/>
      <c r="BN47" s="58"/>
      <c r="BO47" s="58"/>
      <c r="BP47" s="59"/>
      <c r="BQ47" s="60"/>
      <c r="BR47" s="61"/>
      <c r="BS47" s="62" t="str">
        <f>_xlfn.IFNA(VLOOKUP($BR47,[15]Master!$C$4:$J$13,2,FALSE),"-")</f>
        <v>-</v>
      </c>
      <c r="BT47" s="62" t="str">
        <f>_xlfn.IFNA(VLOOKUP($BR47,[15]Master!$C$4:$J$13,3,FALSE),"-")</f>
        <v>-</v>
      </c>
      <c r="BU47" s="62" t="str">
        <f>_xlfn.IFNA(VLOOKUP($BR47,[15]Master!$C$4:$J$13,4,FALSE),"-")</f>
        <v>-</v>
      </c>
      <c r="BV47" s="62" t="str">
        <f>_xlfn.IFNA(VLOOKUP($BR47,[15]Master!$C$4:$J$13,5,FALSE),"-")</f>
        <v>-</v>
      </c>
      <c r="BW47" s="62" t="str">
        <f>_xlfn.IFNA(VLOOKUP($BR47,[15]Master!$C$4:$J$13,6,FALSE),"-")</f>
        <v>-</v>
      </c>
      <c r="BX47" s="62" t="str">
        <f>_xlfn.IFNA(VLOOKUP($BR47,[15]Master!$C$4:$J$13,7,FALSE),"-")</f>
        <v>-</v>
      </c>
      <c r="BY47" s="62" t="str">
        <f>_xlfn.IFNA(VLOOKUP($BR47,[15]Master!$C$4:$J$13,8,FALSE),"-")</f>
        <v>-</v>
      </c>
      <c r="BZ47" s="63">
        <f t="shared" si="2"/>
        <v>0</v>
      </c>
    </row>
    <row r="48" spans="1:78" ht="15.75">
      <c r="A48" s="22"/>
      <c r="B48" s="97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9"/>
      <c r="P48" s="97" t="s">
        <v>194</v>
      </c>
      <c r="Q48" s="98"/>
      <c r="R48" s="98"/>
      <c r="S48" s="98"/>
      <c r="T48" s="98"/>
      <c r="U48" s="98"/>
      <c r="V48" s="98"/>
      <c r="W48" s="98"/>
      <c r="X48" s="99"/>
      <c r="Y48" s="97"/>
      <c r="Z48" s="98"/>
      <c r="AA48" s="99"/>
      <c r="AB48" s="97"/>
      <c r="AC48" s="98"/>
      <c r="AD48" s="98"/>
      <c r="AE48" s="98"/>
      <c r="AF48" s="98"/>
      <c r="AG48" s="98"/>
      <c r="AH48" s="98"/>
      <c r="AI48" s="98"/>
      <c r="AJ48" s="99"/>
      <c r="AK48" s="97"/>
      <c r="AL48" s="98"/>
      <c r="AM48" s="99"/>
      <c r="AN48" s="97"/>
      <c r="AO48" s="98"/>
      <c r="AP48" s="98"/>
      <c r="AQ48" s="98"/>
      <c r="AR48" s="98"/>
      <c r="AS48" s="98"/>
      <c r="AT48" s="98"/>
      <c r="AU48" s="98"/>
      <c r="AV48" s="99"/>
      <c r="AW48" s="97"/>
      <c r="AX48" s="98"/>
      <c r="AY48" s="99"/>
      <c r="AZ48" s="97"/>
      <c r="BA48" s="98"/>
      <c r="BB48" s="98"/>
      <c r="BC48" s="98"/>
      <c r="BD48" s="98"/>
      <c r="BE48" s="98"/>
      <c r="BF48" s="98"/>
      <c r="BG48" s="98"/>
      <c r="BH48" s="98"/>
      <c r="BI48" s="98"/>
      <c r="BJ48" s="99"/>
      <c r="BK48" s="22"/>
      <c r="BL48" s="22"/>
      <c r="BM48" s="58"/>
      <c r="BN48" s="58"/>
      <c r="BO48" s="58"/>
      <c r="BP48" s="59"/>
      <c r="BQ48" s="60"/>
      <c r="BR48" s="61"/>
      <c r="BS48" s="62" t="str">
        <f>_xlfn.IFNA(VLOOKUP($BR48,[15]Master!$C$4:$J$13,2,FALSE),"-")</f>
        <v>-</v>
      </c>
      <c r="BT48" s="62" t="str">
        <f>_xlfn.IFNA(VLOOKUP($BR48,[15]Master!$C$4:$J$13,3,FALSE),"-")</f>
        <v>-</v>
      </c>
      <c r="BU48" s="62" t="str">
        <f>_xlfn.IFNA(VLOOKUP($BR48,[15]Master!$C$4:$J$13,4,FALSE),"-")</f>
        <v>-</v>
      </c>
      <c r="BV48" s="62" t="str">
        <f>_xlfn.IFNA(VLOOKUP($BR48,[15]Master!$C$4:$J$13,5,FALSE),"-")</f>
        <v>-</v>
      </c>
      <c r="BW48" s="62" t="str">
        <f>_xlfn.IFNA(VLOOKUP($BR48,[15]Master!$C$4:$J$13,6,FALSE),"-")</f>
        <v>-</v>
      </c>
      <c r="BX48" s="62" t="str">
        <f>_xlfn.IFNA(VLOOKUP($BR48,[15]Master!$C$4:$J$13,7,FALSE),"-")</f>
        <v>-</v>
      </c>
      <c r="BY48" s="62" t="str">
        <f>_xlfn.IFNA(VLOOKUP($BR48,[15]Master!$C$4:$J$13,8,FALSE),"-")</f>
        <v>-</v>
      </c>
      <c r="BZ48" s="63">
        <f t="shared" si="2"/>
        <v>0</v>
      </c>
    </row>
    <row r="49" spans="1:78" ht="15.75">
      <c r="A49" s="22"/>
      <c r="B49" s="97" t="s">
        <v>211</v>
      </c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9"/>
      <c r="P49" s="97" t="s">
        <v>212</v>
      </c>
      <c r="Q49" s="98"/>
      <c r="R49" s="98"/>
      <c r="S49" s="98"/>
      <c r="T49" s="98"/>
      <c r="U49" s="98"/>
      <c r="V49" s="98"/>
      <c r="W49" s="98"/>
      <c r="X49" s="99"/>
      <c r="Y49" s="97"/>
      <c r="Z49" s="98"/>
      <c r="AA49" s="99"/>
      <c r="AB49" s="97"/>
      <c r="AC49" s="98"/>
      <c r="AD49" s="98"/>
      <c r="AE49" s="98"/>
      <c r="AF49" s="98"/>
      <c r="AG49" s="98"/>
      <c r="AH49" s="98"/>
      <c r="AI49" s="98"/>
      <c r="AJ49" s="99"/>
      <c r="AK49" s="97"/>
      <c r="AL49" s="98"/>
      <c r="AM49" s="99"/>
      <c r="AN49" s="97"/>
      <c r="AO49" s="98"/>
      <c r="AP49" s="98"/>
      <c r="AQ49" s="98"/>
      <c r="AR49" s="98"/>
      <c r="AS49" s="98"/>
      <c r="AT49" s="98"/>
      <c r="AU49" s="98"/>
      <c r="AV49" s="99"/>
      <c r="AW49" s="97"/>
      <c r="AX49" s="98"/>
      <c r="AY49" s="99"/>
      <c r="AZ49" s="97"/>
      <c r="BA49" s="98"/>
      <c r="BB49" s="98"/>
      <c r="BC49" s="98"/>
      <c r="BD49" s="98"/>
      <c r="BE49" s="98"/>
      <c r="BF49" s="98"/>
      <c r="BG49" s="98"/>
      <c r="BH49" s="98"/>
      <c r="BI49" s="98"/>
      <c r="BJ49" s="99"/>
      <c r="BK49" s="22"/>
      <c r="BL49" s="22"/>
      <c r="BM49" s="45">
        <v>2</v>
      </c>
      <c r="BP49" s="47" t="s">
        <v>213</v>
      </c>
      <c r="BR49" s="39" t="s">
        <v>173</v>
      </c>
      <c r="BS49" s="34">
        <f>_xlfn.IFNA(VLOOKUP($BR49,[15]Master!$C$4:$J$13,2,FALSE),"-")</f>
        <v>0.75</v>
      </c>
      <c r="BT49" s="34">
        <f>_xlfn.IFNA(VLOOKUP($BR49,[15]Master!$C$4:$J$13,3,FALSE),"-")</f>
        <v>2.5</v>
      </c>
      <c r="BU49" s="34">
        <f>_xlfn.IFNA(VLOOKUP($BR49,[15]Master!$C$4:$J$13,4,FALSE),"-")</f>
        <v>0.5</v>
      </c>
      <c r="BV49" s="34">
        <f>_xlfn.IFNA(VLOOKUP($BR49,[15]Master!$C$4:$J$13,5,FALSE),"-")</f>
        <v>0.25</v>
      </c>
      <c r="BW49" s="34">
        <f>_xlfn.IFNA(VLOOKUP($BR49,[15]Master!$C$4:$J$13,6,FALSE),"-")</f>
        <v>0.5</v>
      </c>
      <c r="BX49" s="34">
        <f>_xlfn.IFNA(VLOOKUP($BR49,[15]Master!$C$4:$J$13,7,FALSE),"-")</f>
        <v>0.25</v>
      </c>
      <c r="BY49" s="34">
        <f>_xlfn.IFNA(VLOOKUP($BR49,[15]Master!$C$4:$J$13,8,FALSE),"-")</f>
        <v>0.5</v>
      </c>
      <c r="BZ49" s="35">
        <f t="shared" si="2"/>
        <v>5.25</v>
      </c>
    </row>
    <row r="50" spans="1:78" ht="15.75">
      <c r="A50" s="22"/>
      <c r="B50" s="97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9"/>
      <c r="P50" s="97" t="s">
        <v>214</v>
      </c>
      <c r="Q50" s="98"/>
      <c r="R50" s="98"/>
      <c r="S50" s="98"/>
      <c r="T50" s="98"/>
      <c r="U50" s="98"/>
      <c r="V50" s="98"/>
      <c r="W50" s="98"/>
      <c r="X50" s="99"/>
      <c r="Y50" s="97"/>
      <c r="Z50" s="98"/>
      <c r="AA50" s="99"/>
      <c r="AB50" s="97"/>
      <c r="AC50" s="98"/>
      <c r="AD50" s="98"/>
      <c r="AE50" s="98"/>
      <c r="AF50" s="98"/>
      <c r="AG50" s="98"/>
      <c r="AH50" s="98"/>
      <c r="AI50" s="98"/>
      <c r="AJ50" s="99"/>
      <c r="AK50" s="97"/>
      <c r="AL50" s="98"/>
      <c r="AM50" s="99"/>
      <c r="AN50" s="97"/>
      <c r="AO50" s="98"/>
      <c r="AP50" s="98"/>
      <c r="AQ50" s="98"/>
      <c r="AR50" s="98"/>
      <c r="AS50" s="98"/>
      <c r="AT50" s="98"/>
      <c r="AU50" s="98"/>
      <c r="AV50" s="99"/>
      <c r="AW50" s="97"/>
      <c r="AX50" s="98"/>
      <c r="AY50" s="99"/>
      <c r="AZ50" s="97"/>
      <c r="BA50" s="98"/>
      <c r="BB50" s="98"/>
      <c r="BC50" s="98"/>
      <c r="BD50" s="98"/>
      <c r="BE50" s="98"/>
      <c r="BF50" s="98"/>
      <c r="BG50" s="98"/>
      <c r="BH50" s="98"/>
      <c r="BI50" s="98"/>
      <c r="BJ50" s="99"/>
      <c r="BK50" s="22"/>
      <c r="BL50" s="22"/>
      <c r="BM50" s="58"/>
      <c r="BN50" s="58"/>
      <c r="BO50" s="58"/>
      <c r="BP50" s="59"/>
      <c r="BQ50" s="60"/>
      <c r="BR50" s="61"/>
      <c r="BS50" s="62" t="str">
        <f>_xlfn.IFNA(VLOOKUP($BR50,[15]Master!$C$4:$J$13,2,FALSE),"-")</f>
        <v>-</v>
      </c>
      <c r="BT50" s="62" t="str">
        <f>_xlfn.IFNA(VLOOKUP($BR50,[15]Master!$C$4:$J$13,3,FALSE),"-")</f>
        <v>-</v>
      </c>
      <c r="BU50" s="62" t="str">
        <f>_xlfn.IFNA(VLOOKUP($BR50,[15]Master!$C$4:$J$13,4,FALSE),"-")</f>
        <v>-</v>
      </c>
      <c r="BV50" s="62" t="str">
        <f>_xlfn.IFNA(VLOOKUP($BR50,[15]Master!$C$4:$J$13,5,FALSE),"-")</f>
        <v>-</v>
      </c>
      <c r="BW50" s="62" t="str">
        <f>_xlfn.IFNA(VLOOKUP($BR50,[15]Master!$C$4:$J$13,6,FALSE),"-")</f>
        <v>-</v>
      </c>
      <c r="BX50" s="62" t="str">
        <f>_xlfn.IFNA(VLOOKUP($BR50,[15]Master!$C$4:$J$13,7,FALSE),"-")</f>
        <v>-</v>
      </c>
      <c r="BY50" s="62" t="str">
        <f>_xlfn.IFNA(VLOOKUP($BR50,[15]Master!$C$4:$J$13,8,FALSE),"-")</f>
        <v>-</v>
      </c>
      <c r="BZ50" s="63">
        <f t="shared" si="2"/>
        <v>0</v>
      </c>
    </row>
    <row r="51" spans="1:78" ht="15.75">
      <c r="A51" s="22"/>
      <c r="B51" s="97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9"/>
      <c r="P51" s="97" t="s">
        <v>190</v>
      </c>
      <c r="Q51" s="98"/>
      <c r="R51" s="98"/>
      <c r="S51" s="98"/>
      <c r="T51" s="98"/>
      <c r="U51" s="98"/>
      <c r="V51" s="98"/>
      <c r="W51" s="98"/>
      <c r="X51" s="99"/>
      <c r="Y51" s="97"/>
      <c r="Z51" s="98"/>
      <c r="AA51" s="99"/>
      <c r="AB51" s="97"/>
      <c r="AC51" s="98"/>
      <c r="AD51" s="98"/>
      <c r="AE51" s="98"/>
      <c r="AF51" s="98"/>
      <c r="AG51" s="98"/>
      <c r="AH51" s="98"/>
      <c r="AI51" s="98"/>
      <c r="AJ51" s="99"/>
      <c r="AK51" s="97"/>
      <c r="AL51" s="98"/>
      <c r="AM51" s="99"/>
      <c r="AN51" s="97"/>
      <c r="AO51" s="98"/>
      <c r="AP51" s="98"/>
      <c r="AQ51" s="98"/>
      <c r="AR51" s="98"/>
      <c r="AS51" s="98"/>
      <c r="AT51" s="98"/>
      <c r="AU51" s="98"/>
      <c r="AV51" s="99"/>
      <c r="AW51" s="97"/>
      <c r="AX51" s="98"/>
      <c r="AY51" s="99"/>
      <c r="AZ51" s="97"/>
      <c r="BA51" s="98"/>
      <c r="BB51" s="98"/>
      <c r="BC51" s="98"/>
      <c r="BD51" s="98"/>
      <c r="BE51" s="98"/>
      <c r="BF51" s="98"/>
      <c r="BG51" s="98"/>
      <c r="BH51" s="98"/>
      <c r="BI51" s="98"/>
      <c r="BJ51" s="99"/>
      <c r="BK51" s="22"/>
      <c r="BL51" s="22"/>
      <c r="BM51" s="58"/>
      <c r="BN51" s="58"/>
      <c r="BO51" s="58"/>
      <c r="BP51" s="59"/>
      <c r="BQ51" s="60"/>
      <c r="BR51" s="61"/>
      <c r="BS51" s="62" t="str">
        <f>_xlfn.IFNA(VLOOKUP($BR51,[15]Master!$C$4:$J$13,2,FALSE),"-")</f>
        <v>-</v>
      </c>
      <c r="BT51" s="62" t="str">
        <f>_xlfn.IFNA(VLOOKUP($BR51,[15]Master!$C$4:$J$13,3,FALSE),"-")</f>
        <v>-</v>
      </c>
      <c r="BU51" s="62" t="str">
        <f>_xlfn.IFNA(VLOOKUP($BR51,[15]Master!$C$4:$J$13,4,FALSE),"-")</f>
        <v>-</v>
      </c>
      <c r="BV51" s="62" t="str">
        <f>_xlfn.IFNA(VLOOKUP($BR51,[15]Master!$C$4:$J$13,5,FALSE),"-")</f>
        <v>-</v>
      </c>
      <c r="BW51" s="62" t="str">
        <f>_xlfn.IFNA(VLOOKUP($BR51,[15]Master!$C$4:$J$13,6,FALSE),"-")</f>
        <v>-</v>
      </c>
      <c r="BX51" s="62" t="str">
        <f>_xlfn.IFNA(VLOOKUP($BR51,[15]Master!$C$4:$J$13,7,FALSE),"-")</f>
        <v>-</v>
      </c>
      <c r="BY51" s="62" t="str">
        <f>_xlfn.IFNA(VLOOKUP($BR51,[15]Master!$C$4:$J$13,8,FALSE),"-")</f>
        <v>-</v>
      </c>
      <c r="BZ51" s="63">
        <f t="shared" si="2"/>
        <v>0</v>
      </c>
    </row>
    <row r="52" spans="1:78" ht="15.75">
      <c r="A52" s="22"/>
      <c r="B52" s="97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9"/>
      <c r="P52" s="97" t="s">
        <v>192</v>
      </c>
      <c r="Q52" s="98"/>
      <c r="R52" s="98"/>
      <c r="S52" s="98"/>
      <c r="T52" s="98"/>
      <c r="U52" s="98"/>
      <c r="V52" s="98"/>
      <c r="W52" s="98"/>
      <c r="X52" s="99"/>
      <c r="Y52" s="97"/>
      <c r="Z52" s="98"/>
      <c r="AA52" s="99"/>
      <c r="AB52" s="97"/>
      <c r="AC52" s="98"/>
      <c r="AD52" s="98"/>
      <c r="AE52" s="98"/>
      <c r="AF52" s="98"/>
      <c r="AG52" s="98"/>
      <c r="AH52" s="98"/>
      <c r="AI52" s="98"/>
      <c r="AJ52" s="99"/>
      <c r="AK52" s="97"/>
      <c r="AL52" s="98"/>
      <c r="AM52" s="99"/>
      <c r="AN52" s="97"/>
      <c r="AO52" s="98"/>
      <c r="AP52" s="98"/>
      <c r="AQ52" s="98"/>
      <c r="AR52" s="98"/>
      <c r="AS52" s="98"/>
      <c r="AT52" s="98"/>
      <c r="AU52" s="98"/>
      <c r="AV52" s="99"/>
      <c r="AW52" s="97"/>
      <c r="AX52" s="98"/>
      <c r="AY52" s="99"/>
      <c r="AZ52" s="97"/>
      <c r="BA52" s="98"/>
      <c r="BB52" s="98"/>
      <c r="BC52" s="98"/>
      <c r="BD52" s="98"/>
      <c r="BE52" s="98"/>
      <c r="BF52" s="98"/>
      <c r="BG52" s="98"/>
      <c r="BH52" s="98"/>
      <c r="BI52" s="98"/>
      <c r="BJ52" s="99"/>
      <c r="BK52" s="22"/>
      <c r="BL52" s="22"/>
      <c r="BM52" s="58"/>
      <c r="BN52" s="58"/>
      <c r="BO52" s="58"/>
      <c r="BP52" s="59"/>
      <c r="BQ52" s="60"/>
      <c r="BR52" s="61"/>
      <c r="BS52" s="62" t="str">
        <f>_xlfn.IFNA(VLOOKUP($BR52,[15]Master!$C$4:$J$13,2,FALSE),"-")</f>
        <v>-</v>
      </c>
      <c r="BT52" s="62" t="str">
        <f>_xlfn.IFNA(VLOOKUP($BR52,[15]Master!$C$4:$J$13,3,FALSE),"-")</f>
        <v>-</v>
      </c>
      <c r="BU52" s="62" t="str">
        <f>_xlfn.IFNA(VLOOKUP($BR52,[15]Master!$C$4:$J$13,4,FALSE),"-")</f>
        <v>-</v>
      </c>
      <c r="BV52" s="62" t="str">
        <f>_xlfn.IFNA(VLOOKUP($BR52,[15]Master!$C$4:$J$13,5,FALSE),"-")</f>
        <v>-</v>
      </c>
      <c r="BW52" s="62" t="str">
        <f>_xlfn.IFNA(VLOOKUP($BR52,[15]Master!$C$4:$J$13,6,FALSE),"-")</f>
        <v>-</v>
      </c>
      <c r="BX52" s="62" t="str">
        <f>_xlfn.IFNA(VLOOKUP($BR52,[15]Master!$C$4:$J$13,7,FALSE),"-")</f>
        <v>-</v>
      </c>
      <c r="BY52" s="62" t="str">
        <f>_xlfn.IFNA(VLOOKUP($BR52,[15]Master!$C$4:$J$13,8,FALSE),"-")</f>
        <v>-</v>
      </c>
      <c r="BZ52" s="63">
        <f t="shared" si="2"/>
        <v>0</v>
      </c>
    </row>
    <row r="53" spans="1:78" ht="15.75">
      <c r="A53" s="22"/>
      <c r="B53" s="97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9"/>
      <c r="P53" s="97" t="s">
        <v>194</v>
      </c>
      <c r="Q53" s="98"/>
      <c r="R53" s="98"/>
      <c r="S53" s="98"/>
      <c r="T53" s="98"/>
      <c r="U53" s="98"/>
      <c r="V53" s="98"/>
      <c r="W53" s="98"/>
      <c r="X53" s="99"/>
      <c r="Y53" s="97"/>
      <c r="Z53" s="98"/>
      <c r="AA53" s="99"/>
      <c r="AB53" s="97"/>
      <c r="AC53" s="98"/>
      <c r="AD53" s="98"/>
      <c r="AE53" s="98"/>
      <c r="AF53" s="98"/>
      <c r="AG53" s="98"/>
      <c r="AH53" s="98"/>
      <c r="AI53" s="98"/>
      <c r="AJ53" s="99"/>
      <c r="AK53" s="97"/>
      <c r="AL53" s="98"/>
      <c r="AM53" s="99"/>
      <c r="AN53" s="97"/>
      <c r="AO53" s="98"/>
      <c r="AP53" s="98"/>
      <c r="AQ53" s="98"/>
      <c r="AR53" s="98"/>
      <c r="AS53" s="98"/>
      <c r="AT53" s="98"/>
      <c r="AU53" s="98"/>
      <c r="AV53" s="99"/>
      <c r="AW53" s="97"/>
      <c r="AX53" s="98"/>
      <c r="AY53" s="99"/>
      <c r="AZ53" s="97"/>
      <c r="BA53" s="98"/>
      <c r="BB53" s="98"/>
      <c r="BC53" s="98"/>
      <c r="BD53" s="98"/>
      <c r="BE53" s="98"/>
      <c r="BF53" s="98"/>
      <c r="BG53" s="98"/>
      <c r="BH53" s="98"/>
      <c r="BI53" s="98"/>
      <c r="BJ53" s="99"/>
      <c r="BK53" s="22"/>
      <c r="BL53" s="22"/>
      <c r="BM53" s="58"/>
      <c r="BN53" s="58"/>
      <c r="BO53" s="58"/>
      <c r="BP53" s="59"/>
      <c r="BQ53" s="60"/>
      <c r="BR53" s="61"/>
      <c r="BS53" s="62" t="str">
        <f>_xlfn.IFNA(VLOOKUP($BR53,[15]Master!$C$4:$J$13,2,FALSE),"-")</f>
        <v>-</v>
      </c>
      <c r="BT53" s="62" t="str">
        <f>_xlfn.IFNA(VLOOKUP($BR53,[15]Master!$C$4:$J$13,3,FALSE),"-")</f>
        <v>-</v>
      </c>
      <c r="BU53" s="62" t="str">
        <f>_xlfn.IFNA(VLOOKUP($BR53,[15]Master!$C$4:$J$13,4,FALSE),"-")</f>
        <v>-</v>
      </c>
      <c r="BV53" s="62" t="str">
        <f>_xlfn.IFNA(VLOOKUP($BR53,[15]Master!$C$4:$J$13,5,FALSE),"-")</f>
        <v>-</v>
      </c>
      <c r="BW53" s="62" t="str">
        <f>_xlfn.IFNA(VLOOKUP($BR53,[15]Master!$C$4:$J$13,6,FALSE),"-")</f>
        <v>-</v>
      </c>
      <c r="BX53" s="62" t="str">
        <f>_xlfn.IFNA(VLOOKUP($BR53,[15]Master!$C$4:$J$13,7,FALSE),"-")</f>
        <v>-</v>
      </c>
      <c r="BY53" s="62" t="str">
        <f>_xlfn.IFNA(VLOOKUP($BR53,[15]Master!$C$4:$J$13,8,FALSE),"-")</f>
        <v>-</v>
      </c>
      <c r="BZ53" s="63">
        <f t="shared" si="2"/>
        <v>0</v>
      </c>
    </row>
    <row r="54" spans="1:78" ht="15.75">
      <c r="A54" s="22"/>
      <c r="B54" s="100" t="s">
        <v>215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9"/>
      <c r="P54" s="103" t="s">
        <v>216</v>
      </c>
      <c r="Q54" s="104"/>
      <c r="R54" s="104"/>
      <c r="S54" s="104"/>
      <c r="T54" s="104"/>
      <c r="U54" s="104"/>
      <c r="V54" s="104"/>
      <c r="W54" s="104"/>
      <c r="X54" s="105"/>
      <c r="Y54" s="97"/>
      <c r="Z54" s="98"/>
      <c r="AA54" s="99"/>
      <c r="AB54" s="100" t="s">
        <v>217</v>
      </c>
      <c r="AC54" s="98"/>
      <c r="AD54" s="98"/>
      <c r="AE54" s="98"/>
      <c r="AF54" s="98"/>
      <c r="AG54" s="98"/>
      <c r="AH54" s="98"/>
      <c r="AI54" s="98"/>
      <c r="AJ54" s="99"/>
      <c r="AK54" s="97"/>
      <c r="AL54" s="98"/>
      <c r="AM54" s="99"/>
      <c r="AN54" s="97"/>
      <c r="AO54" s="98"/>
      <c r="AP54" s="98"/>
      <c r="AQ54" s="98"/>
      <c r="AR54" s="98"/>
      <c r="AS54" s="98"/>
      <c r="AT54" s="98"/>
      <c r="AU54" s="98"/>
      <c r="AV54" s="99"/>
      <c r="AW54" s="97"/>
      <c r="AX54" s="98"/>
      <c r="AY54" s="99"/>
      <c r="AZ54" s="97"/>
      <c r="BA54" s="98"/>
      <c r="BB54" s="98"/>
      <c r="BC54" s="98"/>
      <c r="BD54" s="98"/>
      <c r="BE54" s="98"/>
      <c r="BF54" s="98"/>
      <c r="BG54" s="98"/>
      <c r="BH54" s="98"/>
      <c r="BI54" s="98"/>
      <c r="BJ54" s="99"/>
      <c r="BK54" s="22"/>
      <c r="BL54" s="22"/>
      <c r="BM54" s="45">
        <v>2</v>
      </c>
      <c r="BR54" s="39" t="s">
        <v>209</v>
      </c>
      <c r="BS54" s="34">
        <f>_xlfn.IFNA(VLOOKUP($BR54,[15]Master!$C$4:$J$13,2,FALSE),"-")</f>
        <v>0.3</v>
      </c>
      <c r="BT54" s="34">
        <f>_xlfn.IFNA(VLOOKUP($BR54,[15]Master!$C$4:$J$13,3,FALSE),"-")</f>
        <v>1</v>
      </c>
      <c r="BU54" s="34">
        <f>_xlfn.IFNA(VLOOKUP($BR54,[15]Master!$C$4:$J$13,4,FALSE),"-")</f>
        <v>0.2</v>
      </c>
      <c r="BV54" s="34">
        <f>_xlfn.IFNA(VLOOKUP($BR54,[15]Master!$C$4:$J$13,5,FALSE),"-")</f>
        <v>0.1</v>
      </c>
      <c r="BW54" s="34">
        <f>_xlfn.IFNA(VLOOKUP($BR54,[15]Master!$C$4:$J$13,6,FALSE),"-")</f>
        <v>0.2</v>
      </c>
      <c r="BX54" s="34">
        <f>_xlfn.IFNA(VLOOKUP($BR54,[15]Master!$C$4:$J$13,7,FALSE),"-")</f>
        <v>0.1</v>
      </c>
      <c r="BY54" s="34">
        <f>_xlfn.IFNA(VLOOKUP($BR54,[15]Master!$C$4:$J$13,8,FALSE),"-")</f>
        <v>0.2</v>
      </c>
      <c r="BZ54" s="35">
        <f t="shared" si="2"/>
        <v>2.1</v>
      </c>
    </row>
    <row r="55" spans="1:78" ht="15.75">
      <c r="A55" s="22"/>
      <c r="B55" s="100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9"/>
      <c r="P55" s="103" t="s">
        <v>218</v>
      </c>
      <c r="Q55" s="104"/>
      <c r="R55" s="104"/>
      <c r="S55" s="104"/>
      <c r="T55" s="104"/>
      <c r="U55" s="104"/>
      <c r="V55" s="104"/>
      <c r="W55" s="104"/>
      <c r="X55" s="105"/>
      <c r="Y55" s="97"/>
      <c r="Z55" s="98"/>
      <c r="AA55" s="99"/>
      <c r="AB55" s="100"/>
      <c r="AC55" s="98"/>
      <c r="AD55" s="98"/>
      <c r="AE55" s="98"/>
      <c r="AF55" s="98"/>
      <c r="AG55" s="98"/>
      <c r="AH55" s="98"/>
      <c r="AI55" s="98"/>
      <c r="AJ55" s="99"/>
      <c r="AK55" s="97"/>
      <c r="AL55" s="98"/>
      <c r="AM55" s="99"/>
      <c r="AN55" s="97"/>
      <c r="AO55" s="98"/>
      <c r="AP55" s="98"/>
      <c r="AQ55" s="98"/>
      <c r="AR55" s="98"/>
      <c r="AS55" s="98"/>
      <c r="AT55" s="98"/>
      <c r="AU55" s="98"/>
      <c r="AV55" s="99"/>
      <c r="AW55" s="97"/>
      <c r="AX55" s="98"/>
      <c r="AY55" s="99"/>
      <c r="AZ55" s="97"/>
      <c r="BA55" s="98"/>
      <c r="BB55" s="98"/>
      <c r="BC55" s="98"/>
      <c r="BD55" s="98"/>
      <c r="BE55" s="98"/>
      <c r="BF55" s="98"/>
      <c r="BG55" s="98"/>
      <c r="BH55" s="98"/>
      <c r="BI55" s="98"/>
      <c r="BJ55" s="99"/>
      <c r="BK55" s="22"/>
      <c r="BL55" s="22"/>
      <c r="BM55" s="58"/>
      <c r="BN55" s="58"/>
      <c r="BO55" s="58"/>
      <c r="BP55" s="59"/>
      <c r="BQ55" s="60"/>
      <c r="BR55" s="61"/>
      <c r="BS55" s="62" t="str">
        <f>_xlfn.IFNA(VLOOKUP($BR55,[15]Master!$C$4:$J$13,2,FALSE),"-")</f>
        <v>-</v>
      </c>
      <c r="BT55" s="62" t="str">
        <f>_xlfn.IFNA(VLOOKUP($BR55,[15]Master!$C$4:$J$13,3,FALSE),"-")</f>
        <v>-</v>
      </c>
      <c r="BU55" s="62" t="str">
        <f>_xlfn.IFNA(VLOOKUP($BR55,[15]Master!$C$4:$J$13,4,FALSE),"-")</f>
        <v>-</v>
      </c>
      <c r="BV55" s="62" t="str">
        <f>_xlfn.IFNA(VLOOKUP($BR55,[15]Master!$C$4:$J$13,5,FALSE),"-")</f>
        <v>-</v>
      </c>
      <c r="BW55" s="62" t="str">
        <f>_xlfn.IFNA(VLOOKUP($BR55,[15]Master!$C$4:$J$13,6,FALSE),"-")</f>
        <v>-</v>
      </c>
      <c r="BX55" s="62" t="str">
        <f>_xlfn.IFNA(VLOOKUP($BR55,[15]Master!$C$4:$J$13,7,FALSE),"-")</f>
        <v>-</v>
      </c>
      <c r="BY55" s="62" t="str">
        <f>_xlfn.IFNA(VLOOKUP($BR55,[15]Master!$C$4:$J$13,8,FALSE),"-")</f>
        <v>-</v>
      </c>
      <c r="BZ55" s="63">
        <f t="shared" si="2"/>
        <v>0</v>
      </c>
    </row>
    <row r="56" spans="1:78" ht="15.75">
      <c r="A56" s="22"/>
      <c r="B56" s="97" t="s">
        <v>219</v>
      </c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9"/>
      <c r="P56" s="97" t="s">
        <v>220</v>
      </c>
      <c r="Q56" s="98"/>
      <c r="R56" s="98"/>
      <c r="S56" s="98"/>
      <c r="T56" s="98"/>
      <c r="U56" s="98"/>
      <c r="V56" s="98"/>
      <c r="W56" s="98"/>
      <c r="X56" s="99"/>
      <c r="Y56" s="97"/>
      <c r="Z56" s="98"/>
      <c r="AA56" s="99"/>
      <c r="AB56" s="97"/>
      <c r="AC56" s="98"/>
      <c r="AD56" s="98"/>
      <c r="AE56" s="98"/>
      <c r="AF56" s="98"/>
      <c r="AG56" s="98"/>
      <c r="AH56" s="98"/>
      <c r="AI56" s="98"/>
      <c r="AJ56" s="99"/>
      <c r="AK56" s="97"/>
      <c r="AL56" s="98"/>
      <c r="AM56" s="99"/>
      <c r="AN56" s="97"/>
      <c r="AO56" s="98"/>
      <c r="AP56" s="98"/>
      <c r="AQ56" s="98"/>
      <c r="AR56" s="98"/>
      <c r="AS56" s="98"/>
      <c r="AT56" s="98"/>
      <c r="AU56" s="98"/>
      <c r="AV56" s="99"/>
      <c r="AW56" s="97"/>
      <c r="AX56" s="98"/>
      <c r="AY56" s="99"/>
      <c r="AZ56" s="97"/>
      <c r="BA56" s="98"/>
      <c r="BB56" s="98"/>
      <c r="BC56" s="98"/>
      <c r="BD56" s="98"/>
      <c r="BE56" s="98"/>
      <c r="BF56" s="98"/>
      <c r="BG56" s="98"/>
      <c r="BH56" s="98"/>
      <c r="BI56" s="98"/>
      <c r="BJ56" s="99"/>
      <c r="BK56" s="22"/>
      <c r="BL56" s="22"/>
      <c r="BM56" s="45">
        <v>3</v>
      </c>
      <c r="BR56" s="39" t="s">
        <v>204</v>
      </c>
      <c r="BS56" s="34">
        <f>_xlfn.IFNA(VLOOKUP($BR56,[15]Master!$C$4:$J$13,2,FALSE),"-")</f>
        <v>0.52500000000000002</v>
      </c>
      <c r="BT56" s="34">
        <f>_xlfn.IFNA(VLOOKUP($BR56,[15]Master!$C$4:$J$13,3,FALSE),"-")</f>
        <v>1.75</v>
      </c>
      <c r="BU56" s="34">
        <f>_xlfn.IFNA(VLOOKUP($BR56,[15]Master!$C$4:$J$13,4,FALSE),"-")</f>
        <v>0.35000000000000003</v>
      </c>
      <c r="BV56" s="34">
        <f>_xlfn.IFNA(VLOOKUP($BR56,[15]Master!$C$4:$J$13,5,FALSE),"-")</f>
        <v>0.17500000000000002</v>
      </c>
      <c r="BW56" s="34">
        <f>_xlfn.IFNA(VLOOKUP($BR56,[15]Master!$C$4:$J$13,6,FALSE),"-")</f>
        <v>0.35000000000000003</v>
      </c>
      <c r="BX56" s="34">
        <f>_xlfn.IFNA(VLOOKUP($BR56,[15]Master!$C$4:$J$13,7,FALSE),"-")</f>
        <v>0.17500000000000002</v>
      </c>
      <c r="BY56" s="34">
        <f>_xlfn.IFNA(VLOOKUP($BR56,[15]Master!$C$4:$J$13,8,FALSE),"-")</f>
        <v>0.35000000000000003</v>
      </c>
      <c r="BZ56" s="35">
        <f t="shared" si="2"/>
        <v>3.6749999999999998</v>
      </c>
    </row>
    <row r="57" spans="1:78" ht="15.75">
      <c r="A57" s="22"/>
      <c r="B57" s="97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9"/>
      <c r="P57" s="97" t="s">
        <v>221</v>
      </c>
      <c r="Q57" s="98"/>
      <c r="R57" s="98"/>
      <c r="S57" s="98"/>
      <c r="T57" s="98"/>
      <c r="U57" s="98"/>
      <c r="V57" s="98"/>
      <c r="W57" s="98"/>
      <c r="X57" s="99"/>
      <c r="Y57" s="97"/>
      <c r="Z57" s="98"/>
      <c r="AA57" s="99"/>
      <c r="AB57" s="97"/>
      <c r="AC57" s="98"/>
      <c r="AD57" s="98"/>
      <c r="AE57" s="98"/>
      <c r="AF57" s="98"/>
      <c r="AG57" s="98"/>
      <c r="AH57" s="98"/>
      <c r="AI57" s="98"/>
      <c r="AJ57" s="99"/>
      <c r="AK57" s="97"/>
      <c r="AL57" s="98"/>
      <c r="AM57" s="99"/>
      <c r="AN57" s="97"/>
      <c r="AO57" s="98"/>
      <c r="AP57" s="98"/>
      <c r="AQ57" s="98"/>
      <c r="AR57" s="98"/>
      <c r="AS57" s="98"/>
      <c r="AT57" s="98"/>
      <c r="AU57" s="98"/>
      <c r="AV57" s="99"/>
      <c r="AW57" s="97"/>
      <c r="AX57" s="98"/>
      <c r="AY57" s="99"/>
      <c r="AZ57" s="97"/>
      <c r="BA57" s="98"/>
      <c r="BB57" s="98"/>
      <c r="BC57" s="98"/>
      <c r="BD57" s="98"/>
      <c r="BE57" s="98"/>
      <c r="BF57" s="98"/>
      <c r="BG57" s="98"/>
      <c r="BH57" s="98"/>
      <c r="BI57" s="98"/>
      <c r="BJ57" s="99"/>
      <c r="BK57" s="22"/>
      <c r="BL57" s="22"/>
      <c r="BM57" s="58"/>
      <c r="BN57" s="58"/>
      <c r="BO57" s="58"/>
      <c r="BP57" s="59"/>
      <c r="BQ57" s="60"/>
      <c r="BR57" s="61"/>
      <c r="BS57" s="62" t="str">
        <f>_xlfn.IFNA(VLOOKUP($BR57,[15]Master!$C$4:$J$13,2,FALSE),"-")</f>
        <v>-</v>
      </c>
      <c r="BT57" s="62" t="str">
        <f>_xlfn.IFNA(VLOOKUP($BR57,[15]Master!$C$4:$J$13,3,FALSE),"-")</f>
        <v>-</v>
      </c>
      <c r="BU57" s="62" t="str">
        <f>_xlfn.IFNA(VLOOKUP($BR57,[15]Master!$C$4:$J$13,4,FALSE),"-")</f>
        <v>-</v>
      </c>
      <c r="BV57" s="62" t="str">
        <f>_xlfn.IFNA(VLOOKUP($BR57,[15]Master!$C$4:$J$13,5,FALSE),"-")</f>
        <v>-</v>
      </c>
      <c r="BW57" s="62" t="str">
        <f>_xlfn.IFNA(VLOOKUP($BR57,[15]Master!$C$4:$J$13,6,FALSE),"-")</f>
        <v>-</v>
      </c>
      <c r="BX57" s="62" t="str">
        <f>_xlfn.IFNA(VLOOKUP($BR57,[15]Master!$C$4:$J$13,7,FALSE),"-")</f>
        <v>-</v>
      </c>
      <c r="BY57" s="62" t="str">
        <f>_xlfn.IFNA(VLOOKUP($BR57,[15]Master!$C$4:$J$13,8,FALSE),"-")</f>
        <v>-</v>
      </c>
      <c r="BZ57" s="63">
        <f t="shared" si="2"/>
        <v>0</v>
      </c>
    </row>
    <row r="58" spans="1:78" ht="15.75">
      <c r="A58" s="22"/>
      <c r="B58" s="97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9"/>
      <c r="P58" s="97" t="s">
        <v>222</v>
      </c>
      <c r="Q58" s="98"/>
      <c r="R58" s="98"/>
      <c r="S58" s="98"/>
      <c r="T58" s="98"/>
      <c r="U58" s="98"/>
      <c r="V58" s="98"/>
      <c r="W58" s="98"/>
      <c r="X58" s="99"/>
      <c r="Y58" s="97"/>
      <c r="Z58" s="98"/>
      <c r="AA58" s="99"/>
      <c r="AB58" s="97"/>
      <c r="AC58" s="98"/>
      <c r="AD58" s="98"/>
      <c r="AE58" s="98"/>
      <c r="AF58" s="98"/>
      <c r="AG58" s="98"/>
      <c r="AH58" s="98"/>
      <c r="AI58" s="98"/>
      <c r="AJ58" s="99"/>
      <c r="AK58" s="97"/>
      <c r="AL58" s="98"/>
      <c r="AM58" s="99"/>
      <c r="AN58" s="97"/>
      <c r="AO58" s="98"/>
      <c r="AP58" s="98"/>
      <c r="AQ58" s="98"/>
      <c r="AR58" s="98"/>
      <c r="AS58" s="98"/>
      <c r="AT58" s="98"/>
      <c r="AU58" s="98"/>
      <c r="AV58" s="99"/>
      <c r="AW58" s="97"/>
      <c r="AX58" s="98"/>
      <c r="AY58" s="99"/>
      <c r="AZ58" s="97"/>
      <c r="BA58" s="98"/>
      <c r="BB58" s="98"/>
      <c r="BC58" s="98"/>
      <c r="BD58" s="98"/>
      <c r="BE58" s="98"/>
      <c r="BF58" s="98"/>
      <c r="BG58" s="98"/>
      <c r="BH58" s="98"/>
      <c r="BI58" s="98"/>
      <c r="BJ58" s="99"/>
      <c r="BK58" s="22"/>
      <c r="BL58" s="22"/>
      <c r="BM58" s="58"/>
      <c r="BN58" s="58"/>
      <c r="BO58" s="58"/>
      <c r="BP58" s="59"/>
      <c r="BQ58" s="60"/>
      <c r="BR58" s="61"/>
      <c r="BS58" s="62" t="str">
        <f>_xlfn.IFNA(VLOOKUP($BR58,[15]Master!$C$4:$J$13,2,FALSE),"-")</f>
        <v>-</v>
      </c>
      <c r="BT58" s="62" t="str">
        <f>_xlfn.IFNA(VLOOKUP($BR58,[15]Master!$C$4:$J$13,3,FALSE),"-")</f>
        <v>-</v>
      </c>
      <c r="BU58" s="62" t="str">
        <f>_xlfn.IFNA(VLOOKUP($BR58,[15]Master!$C$4:$J$13,4,FALSE),"-")</f>
        <v>-</v>
      </c>
      <c r="BV58" s="62" t="str">
        <f>_xlfn.IFNA(VLOOKUP($BR58,[15]Master!$C$4:$J$13,5,FALSE),"-")</f>
        <v>-</v>
      </c>
      <c r="BW58" s="62" t="str">
        <f>_xlfn.IFNA(VLOOKUP($BR58,[15]Master!$C$4:$J$13,6,FALSE),"-")</f>
        <v>-</v>
      </c>
      <c r="BX58" s="62" t="str">
        <f>_xlfn.IFNA(VLOOKUP($BR58,[15]Master!$C$4:$J$13,7,FALSE),"-")</f>
        <v>-</v>
      </c>
      <c r="BY58" s="62" t="str">
        <f>_xlfn.IFNA(VLOOKUP($BR58,[15]Master!$C$4:$J$13,8,FALSE),"-")</f>
        <v>-</v>
      </c>
      <c r="BZ58" s="63">
        <f t="shared" si="2"/>
        <v>0</v>
      </c>
    </row>
    <row r="59" spans="1:78" ht="15.75">
      <c r="A59" s="22"/>
      <c r="B59" s="97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9"/>
      <c r="P59" s="97" t="s">
        <v>223</v>
      </c>
      <c r="Q59" s="98"/>
      <c r="R59" s="98"/>
      <c r="S59" s="98"/>
      <c r="T59" s="98"/>
      <c r="U59" s="98"/>
      <c r="V59" s="98"/>
      <c r="W59" s="98"/>
      <c r="X59" s="99"/>
      <c r="Y59" s="97"/>
      <c r="Z59" s="98"/>
      <c r="AA59" s="99"/>
      <c r="AB59" s="97"/>
      <c r="AC59" s="98"/>
      <c r="AD59" s="98"/>
      <c r="AE59" s="98"/>
      <c r="AF59" s="98"/>
      <c r="AG59" s="98"/>
      <c r="AH59" s="98"/>
      <c r="AI59" s="98"/>
      <c r="AJ59" s="99"/>
      <c r="AK59" s="97"/>
      <c r="AL59" s="98"/>
      <c r="AM59" s="99"/>
      <c r="AN59" s="97"/>
      <c r="AO59" s="98"/>
      <c r="AP59" s="98"/>
      <c r="AQ59" s="98"/>
      <c r="AR59" s="98"/>
      <c r="AS59" s="98"/>
      <c r="AT59" s="98"/>
      <c r="AU59" s="98"/>
      <c r="AV59" s="99"/>
      <c r="AW59" s="97"/>
      <c r="AX59" s="98"/>
      <c r="AY59" s="99"/>
      <c r="AZ59" s="97"/>
      <c r="BA59" s="98"/>
      <c r="BB59" s="98"/>
      <c r="BC59" s="98"/>
      <c r="BD59" s="98"/>
      <c r="BE59" s="98"/>
      <c r="BF59" s="98"/>
      <c r="BG59" s="98"/>
      <c r="BH59" s="98"/>
      <c r="BI59" s="98"/>
      <c r="BJ59" s="99"/>
      <c r="BK59" s="22"/>
      <c r="BL59" s="22"/>
      <c r="BM59" s="58"/>
      <c r="BN59" s="58"/>
      <c r="BO59" s="58"/>
      <c r="BP59" s="59"/>
      <c r="BQ59" s="60"/>
      <c r="BR59" s="61"/>
      <c r="BS59" s="62" t="str">
        <f>_xlfn.IFNA(VLOOKUP($BR59,[15]Master!$C$4:$J$13,2,FALSE),"-")</f>
        <v>-</v>
      </c>
      <c r="BT59" s="62" t="str">
        <f>_xlfn.IFNA(VLOOKUP($BR59,[15]Master!$C$4:$J$13,3,FALSE),"-")</f>
        <v>-</v>
      </c>
      <c r="BU59" s="62" t="str">
        <f>_xlfn.IFNA(VLOOKUP($BR59,[15]Master!$C$4:$J$13,4,FALSE),"-")</f>
        <v>-</v>
      </c>
      <c r="BV59" s="62" t="str">
        <f>_xlfn.IFNA(VLOOKUP($BR59,[15]Master!$C$4:$J$13,5,FALSE),"-")</f>
        <v>-</v>
      </c>
      <c r="BW59" s="62" t="str">
        <f>_xlfn.IFNA(VLOOKUP($BR59,[15]Master!$C$4:$J$13,6,FALSE),"-")</f>
        <v>-</v>
      </c>
      <c r="BX59" s="62" t="str">
        <f>_xlfn.IFNA(VLOOKUP($BR59,[15]Master!$C$4:$J$13,7,FALSE),"-")</f>
        <v>-</v>
      </c>
      <c r="BY59" s="62" t="str">
        <f>_xlfn.IFNA(VLOOKUP($BR59,[15]Master!$C$4:$J$13,8,FALSE),"-")</f>
        <v>-</v>
      </c>
      <c r="BZ59" s="63">
        <f t="shared" si="2"/>
        <v>0</v>
      </c>
    </row>
    <row r="60" spans="1:78" ht="15.75">
      <c r="A60" s="22"/>
      <c r="B60" s="97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9"/>
      <c r="P60" s="97" t="s">
        <v>224</v>
      </c>
      <c r="Q60" s="98"/>
      <c r="R60" s="98"/>
      <c r="S60" s="98"/>
      <c r="T60" s="98"/>
      <c r="U60" s="98"/>
      <c r="V60" s="98"/>
      <c r="W60" s="98"/>
      <c r="X60" s="99"/>
      <c r="Y60" s="97"/>
      <c r="Z60" s="98"/>
      <c r="AA60" s="99"/>
      <c r="AB60" s="97"/>
      <c r="AC60" s="98"/>
      <c r="AD60" s="98"/>
      <c r="AE60" s="98"/>
      <c r="AF60" s="98"/>
      <c r="AG60" s="98"/>
      <c r="AH60" s="98"/>
      <c r="AI60" s="98"/>
      <c r="AJ60" s="99"/>
      <c r="AK60" s="97"/>
      <c r="AL60" s="98"/>
      <c r="AM60" s="99"/>
      <c r="AN60" s="97"/>
      <c r="AO60" s="98"/>
      <c r="AP60" s="98"/>
      <c r="AQ60" s="98"/>
      <c r="AR60" s="98"/>
      <c r="AS60" s="98"/>
      <c r="AT60" s="98"/>
      <c r="AU60" s="98"/>
      <c r="AV60" s="99"/>
      <c r="AW60" s="97"/>
      <c r="AX60" s="98"/>
      <c r="AY60" s="99"/>
      <c r="AZ60" s="97"/>
      <c r="BA60" s="98"/>
      <c r="BB60" s="98"/>
      <c r="BC60" s="98"/>
      <c r="BD60" s="98"/>
      <c r="BE60" s="98"/>
      <c r="BF60" s="98"/>
      <c r="BG60" s="98"/>
      <c r="BH60" s="98"/>
      <c r="BI60" s="98"/>
      <c r="BJ60" s="99"/>
      <c r="BK60" s="22"/>
      <c r="BL60" s="22"/>
      <c r="BM60" s="58"/>
      <c r="BN60" s="58"/>
      <c r="BO60" s="58"/>
      <c r="BP60" s="59"/>
      <c r="BQ60" s="60"/>
      <c r="BR60" s="61"/>
      <c r="BS60" s="62" t="str">
        <f>_xlfn.IFNA(VLOOKUP($BR60,[15]Master!$C$4:$J$13,2,FALSE),"-")</f>
        <v>-</v>
      </c>
      <c r="BT60" s="62" t="str">
        <f>_xlfn.IFNA(VLOOKUP($BR60,[15]Master!$C$4:$J$13,3,FALSE),"-")</f>
        <v>-</v>
      </c>
      <c r="BU60" s="62" t="str">
        <f>_xlfn.IFNA(VLOOKUP($BR60,[15]Master!$C$4:$J$13,4,FALSE),"-")</f>
        <v>-</v>
      </c>
      <c r="BV60" s="62" t="str">
        <f>_xlfn.IFNA(VLOOKUP($BR60,[15]Master!$C$4:$J$13,5,FALSE),"-")</f>
        <v>-</v>
      </c>
      <c r="BW60" s="62" t="str">
        <f>_xlfn.IFNA(VLOOKUP($BR60,[15]Master!$C$4:$J$13,6,FALSE),"-")</f>
        <v>-</v>
      </c>
      <c r="BX60" s="62" t="str">
        <f>_xlfn.IFNA(VLOOKUP($BR60,[15]Master!$C$4:$J$13,7,FALSE),"-")</f>
        <v>-</v>
      </c>
      <c r="BY60" s="62" t="str">
        <f>_xlfn.IFNA(VLOOKUP($BR60,[15]Master!$C$4:$J$13,8,FALSE),"-")</f>
        <v>-</v>
      </c>
      <c r="BZ60" s="63">
        <f t="shared" si="2"/>
        <v>0</v>
      </c>
    </row>
    <row r="61" spans="1:78" ht="15.75">
      <c r="A61" s="22"/>
      <c r="B61" s="97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9"/>
      <c r="P61" s="97" t="s">
        <v>225</v>
      </c>
      <c r="Q61" s="98"/>
      <c r="R61" s="98"/>
      <c r="S61" s="98"/>
      <c r="T61" s="98"/>
      <c r="U61" s="98"/>
      <c r="V61" s="98"/>
      <c r="W61" s="98"/>
      <c r="X61" s="99"/>
      <c r="Y61" s="97"/>
      <c r="Z61" s="98"/>
      <c r="AA61" s="99"/>
      <c r="AB61" s="97"/>
      <c r="AC61" s="98"/>
      <c r="AD61" s="98"/>
      <c r="AE61" s="98"/>
      <c r="AF61" s="98"/>
      <c r="AG61" s="98"/>
      <c r="AH61" s="98"/>
      <c r="AI61" s="98"/>
      <c r="AJ61" s="99"/>
      <c r="AK61" s="97"/>
      <c r="AL61" s="98"/>
      <c r="AM61" s="99"/>
      <c r="AN61" s="97"/>
      <c r="AO61" s="98"/>
      <c r="AP61" s="98"/>
      <c r="AQ61" s="98"/>
      <c r="AR61" s="98"/>
      <c r="AS61" s="98"/>
      <c r="AT61" s="98"/>
      <c r="AU61" s="98"/>
      <c r="AV61" s="99"/>
      <c r="AW61" s="97"/>
      <c r="AX61" s="98"/>
      <c r="AY61" s="99"/>
      <c r="AZ61" s="97"/>
      <c r="BA61" s="98"/>
      <c r="BB61" s="98"/>
      <c r="BC61" s="98"/>
      <c r="BD61" s="98"/>
      <c r="BE61" s="98"/>
      <c r="BF61" s="98"/>
      <c r="BG61" s="98"/>
      <c r="BH61" s="98"/>
      <c r="BI61" s="98"/>
      <c r="BJ61" s="99"/>
      <c r="BK61" s="22"/>
      <c r="BL61" s="22"/>
      <c r="BM61" s="58"/>
      <c r="BN61" s="58"/>
      <c r="BO61" s="58"/>
      <c r="BP61" s="59"/>
      <c r="BQ61" s="60"/>
      <c r="BR61" s="61"/>
      <c r="BS61" s="62" t="str">
        <f>_xlfn.IFNA(VLOOKUP($BR61,[15]Master!$C$4:$J$13,2,FALSE),"-")</f>
        <v>-</v>
      </c>
      <c r="BT61" s="62" t="str">
        <f>_xlfn.IFNA(VLOOKUP($BR61,[15]Master!$C$4:$J$13,3,FALSE),"-")</f>
        <v>-</v>
      </c>
      <c r="BU61" s="62" t="str">
        <f>_xlfn.IFNA(VLOOKUP($BR61,[15]Master!$C$4:$J$13,4,FALSE),"-")</f>
        <v>-</v>
      </c>
      <c r="BV61" s="62" t="str">
        <f>_xlfn.IFNA(VLOOKUP($BR61,[15]Master!$C$4:$J$13,5,FALSE),"-")</f>
        <v>-</v>
      </c>
      <c r="BW61" s="62" t="str">
        <f>_xlfn.IFNA(VLOOKUP($BR61,[15]Master!$C$4:$J$13,6,FALSE),"-")</f>
        <v>-</v>
      </c>
      <c r="BX61" s="62" t="str">
        <f>_xlfn.IFNA(VLOOKUP($BR61,[15]Master!$C$4:$J$13,7,FALSE),"-")</f>
        <v>-</v>
      </c>
      <c r="BY61" s="62" t="str">
        <f>_xlfn.IFNA(VLOOKUP($BR61,[15]Master!$C$4:$J$13,8,FALSE),"-")</f>
        <v>-</v>
      </c>
      <c r="BZ61" s="63">
        <f t="shared" si="2"/>
        <v>0</v>
      </c>
    </row>
    <row r="62" spans="1:78" ht="15.75">
      <c r="A62" s="22"/>
      <c r="B62" s="97" t="s">
        <v>226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9"/>
      <c r="P62" s="97" t="s">
        <v>227</v>
      </c>
      <c r="Q62" s="98"/>
      <c r="R62" s="98"/>
      <c r="S62" s="98"/>
      <c r="T62" s="98"/>
      <c r="U62" s="98"/>
      <c r="V62" s="98"/>
      <c r="W62" s="98"/>
      <c r="X62" s="99"/>
      <c r="Y62" s="97"/>
      <c r="Z62" s="98"/>
      <c r="AA62" s="99"/>
      <c r="AB62" s="97"/>
      <c r="AC62" s="98"/>
      <c r="AD62" s="98"/>
      <c r="AE62" s="98"/>
      <c r="AF62" s="98"/>
      <c r="AG62" s="98"/>
      <c r="AH62" s="98"/>
      <c r="AI62" s="98"/>
      <c r="AJ62" s="99"/>
      <c r="AK62" s="97"/>
      <c r="AL62" s="98"/>
      <c r="AM62" s="99"/>
      <c r="AN62" s="97"/>
      <c r="AO62" s="98"/>
      <c r="AP62" s="98"/>
      <c r="AQ62" s="98"/>
      <c r="AR62" s="98"/>
      <c r="AS62" s="98"/>
      <c r="AT62" s="98"/>
      <c r="AU62" s="98"/>
      <c r="AV62" s="99"/>
      <c r="AW62" s="97"/>
      <c r="AX62" s="98"/>
      <c r="AY62" s="99"/>
      <c r="AZ62" s="97"/>
      <c r="BA62" s="98"/>
      <c r="BB62" s="98"/>
      <c r="BC62" s="98"/>
      <c r="BD62" s="98"/>
      <c r="BE62" s="98"/>
      <c r="BF62" s="98"/>
      <c r="BG62" s="98"/>
      <c r="BH62" s="98"/>
      <c r="BI62" s="98"/>
      <c r="BJ62" s="99"/>
      <c r="BK62" s="22"/>
      <c r="BL62" s="22"/>
      <c r="BM62" s="45">
        <v>2</v>
      </c>
      <c r="BP62" s="47" t="s">
        <v>203</v>
      </c>
      <c r="BR62" s="39" t="s">
        <v>204</v>
      </c>
      <c r="BS62" s="34">
        <f>_xlfn.IFNA(VLOOKUP($BR62,[15]Master!$C$4:$J$13,2,FALSE),"-")</f>
        <v>0.52500000000000002</v>
      </c>
      <c r="BT62" s="34">
        <f>_xlfn.IFNA(VLOOKUP($BR62,[15]Master!$C$4:$J$13,3,FALSE),"-")</f>
        <v>1.75</v>
      </c>
      <c r="BU62" s="34">
        <f>_xlfn.IFNA(VLOOKUP($BR62,[15]Master!$C$4:$J$13,4,FALSE),"-")</f>
        <v>0.35000000000000003</v>
      </c>
      <c r="BV62" s="34">
        <f>_xlfn.IFNA(VLOOKUP($BR62,[15]Master!$C$4:$J$13,5,FALSE),"-")</f>
        <v>0.17500000000000002</v>
      </c>
      <c r="BW62" s="34">
        <f>_xlfn.IFNA(VLOOKUP($BR62,[15]Master!$C$4:$J$13,6,FALSE),"-")</f>
        <v>0.35000000000000003</v>
      </c>
      <c r="BX62" s="34">
        <f>_xlfn.IFNA(VLOOKUP($BR62,[15]Master!$C$4:$J$13,7,FALSE),"-")</f>
        <v>0.17500000000000002</v>
      </c>
      <c r="BY62" s="34">
        <f>_xlfn.IFNA(VLOOKUP($BR62,[15]Master!$C$4:$J$13,8,FALSE),"-")</f>
        <v>0.35000000000000003</v>
      </c>
      <c r="BZ62" s="35">
        <f t="shared" si="2"/>
        <v>3.6749999999999998</v>
      </c>
    </row>
    <row r="63" spans="1:78" ht="15.75">
      <c r="A63" s="22"/>
      <c r="B63" s="97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9"/>
      <c r="P63" s="97" t="s">
        <v>228</v>
      </c>
      <c r="Q63" s="98"/>
      <c r="R63" s="98"/>
      <c r="S63" s="98"/>
      <c r="T63" s="98"/>
      <c r="U63" s="98"/>
      <c r="V63" s="98"/>
      <c r="W63" s="98"/>
      <c r="X63" s="99"/>
      <c r="Y63" s="97"/>
      <c r="Z63" s="98"/>
      <c r="AA63" s="99"/>
      <c r="AB63" s="97"/>
      <c r="AC63" s="98"/>
      <c r="AD63" s="98"/>
      <c r="AE63" s="98"/>
      <c r="AF63" s="98"/>
      <c r="AG63" s="98"/>
      <c r="AH63" s="98"/>
      <c r="AI63" s="98"/>
      <c r="AJ63" s="99"/>
      <c r="AK63" s="97"/>
      <c r="AL63" s="98"/>
      <c r="AM63" s="99"/>
      <c r="AN63" s="97"/>
      <c r="AO63" s="98"/>
      <c r="AP63" s="98"/>
      <c r="AQ63" s="98"/>
      <c r="AR63" s="98"/>
      <c r="AS63" s="98"/>
      <c r="AT63" s="98"/>
      <c r="AU63" s="98"/>
      <c r="AV63" s="99"/>
      <c r="AW63" s="97"/>
      <c r="AX63" s="98"/>
      <c r="AY63" s="99"/>
      <c r="AZ63" s="97"/>
      <c r="BA63" s="98"/>
      <c r="BB63" s="98"/>
      <c r="BC63" s="98"/>
      <c r="BD63" s="98"/>
      <c r="BE63" s="98"/>
      <c r="BF63" s="98"/>
      <c r="BG63" s="98"/>
      <c r="BH63" s="98"/>
      <c r="BI63" s="98"/>
      <c r="BJ63" s="99"/>
      <c r="BK63" s="22"/>
      <c r="BL63" s="22"/>
      <c r="BM63" s="58"/>
      <c r="BN63" s="58"/>
      <c r="BO63" s="58"/>
      <c r="BP63" s="59"/>
      <c r="BQ63" s="60"/>
      <c r="BR63" s="61"/>
      <c r="BS63" s="62" t="str">
        <f>_xlfn.IFNA(VLOOKUP($BR63,[15]Master!$C$4:$J$13,2,FALSE),"-")</f>
        <v>-</v>
      </c>
      <c r="BT63" s="62" t="str">
        <f>_xlfn.IFNA(VLOOKUP($BR63,[15]Master!$C$4:$J$13,3,FALSE),"-")</f>
        <v>-</v>
      </c>
      <c r="BU63" s="62" t="str">
        <f>_xlfn.IFNA(VLOOKUP($BR63,[15]Master!$C$4:$J$13,4,FALSE),"-")</f>
        <v>-</v>
      </c>
      <c r="BV63" s="62" t="str">
        <f>_xlfn.IFNA(VLOOKUP($BR63,[15]Master!$C$4:$J$13,5,FALSE),"-")</f>
        <v>-</v>
      </c>
      <c r="BW63" s="62" t="str">
        <f>_xlfn.IFNA(VLOOKUP($BR63,[15]Master!$C$4:$J$13,6,FALSE),"-")</f>
        <v>-</v>
      </c>
      <c r="BX63" s="62" t="str">
        <f>_xlfn.IFNA(VLOOKUP($BR63,[15]Master!$C$4:$J$13,7,FALSE),"-")</f>
        <v>-</v>
      </c>
      <c r="BY63" s="62" t="str">
        <f>_xlfn.IFNA(VLOOKUP($BR63,[15]Master!$C$4:$J$13,8,FALSE),"-")</f>
        <v>-</v>
      </c>
      <c r="BZ63" s="63">
        <f t="shared" si="2"/>
        <v>0</v>
      </c>
    </row>
    <row r="64" spans="1:78" ht="15.75">
      <c r="A64" s="22"/>
      <c r="B64" s="97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9"/>
      <c r="P64" s="97" t="s">
        <v>229</v>
      </c>
      <c r="Q64" s="98"/>
      <c r="R64" s="98"/>
      <c r="S64" s="98"/>
      <c r="T64" s="98"/>
      <c r="U64" s="98"/>
      <c r="V64" s="98"/>
      <c r="W64" s="98"/>
      <c r="X64" s="99"/>
      <c r="Y64" s="97"/>
      <c r="Z64" s="98"/>
      <c r="AA64" s="99"/>
      <c r="AB64" s="97"/>
      <c r="AC64" s="98"/>
      <c r="AD64" s="98"/>
      <c r="AE64" s="98"/>
      <c r="AF64" s="98"/>
      <c r="AG64" s="98"/>
      <c r="AH64" s="98"/>
      <c r="AI64" s="98"/>
      <c r="AJ64" s="99"/>
      <c r="AK64" s="97"/>
      <c r="AL64" s="98"/>
      <c r="AM64" s="99"/>
      <c r="AN64" s="97"/>
      <c r="AO64" s="98"/>
      <c r="AP64" s="98"/>
      <c r="AQ64" s="98"/>
      <c r="AR64" s="98"/>
      <c r="AS64" s="98"/>
      <c r="AT64" s="98"/>
      <c r="AU64" s="98"/>
      <c r="AV64" s="99"/>
      <c r="AW64" s="97"/>
      <c r="AX64" s="98"/>
      <c r="AY64" s="99"/>
      <c r="AZ64" s="97"/>
      <c r="BA64" s="98"/>
      <c r="BB64" s="98"/>
      <c r="BC64" s="98"/>
      <c r="BD64" s="98"/>
      <c r="BE64" s="98"/>
      <c r="BF64" s="98"/>
      <c r="BG64" s="98"/>
      <c r="BH64" s="98"/>
      <c r="BI64" s="98"/>
      <c r="BJ64" s="99"/>
      <c r="BK64" s="22"/>
      <c r="BL64" s="22"/>
      <c r="BM64" s="58"/>
      <c r="BN64" s="58"/>
      <c r="BO64" s="58"/>
      <c r="BP64" s="59"/>
      <c r="BQ64" s="60"/>
      <c r="BR64" s="61"/>
      <c r="BS64" s="62" t="str">
        <f>_xlfn.IFNA(VLOOKUP($BR64,[15]Master!$C$4:$J$13,2,FALSE),"-")</f>
        <v>-</v>
      </c>
      <c r="BT64" s="62" t="str">
        <f>_xlfn.IFNA(VLOOKUP($BR64,[15]Master!$C$4:$J$13,3,FALSE),"-")</f>
        <v>-</v>
      </c>
      <c r="BU64" s="62" t="str">
        <f>_xlfn.IFNA(VLOOKUP($BR64,[15]Master!$C$4:$J$13,4,FALSE),"-")</f>
        <v>-</v>
      </c>
      <c r="BV64" s="62" t="str">
        <f>_xlfn.IFNA(VLOOKUP($BR64,[15]Master!$C$4:$J$13,5,FALSE),"-")</f>
        <v>-</v>
      </c>
      <c r="BW64" s="62" t="str">
        <f>_xlfn.IFNA(VLOOKUP($BR64,[15]Master!$C$4:$J$13,6,FALSE),"-")</f>
        <v>-</v>
      </c>
      <c r="BX64" s="62" t="str">
        <f>_xlfn.IFNA(VLOOKUP($BR64,[15]Master!$C$4:$J$13,7,FALSE),"-")</f>
        <v>-</v>
      </c>
      <c r="BY64" s="62" t="str">
        <f>_xlfn.IFNA(VLOOKUP($BR64,[15]Master!$C$4:$J$13,8,FALSE),"-")</f>
        <v>-</v>
      </c>
      <c r="BZ64" s="63">
        <f t="shared" si="2"/>
        <v>0</v>
      </c>
    </row>
    <row r="65" spans="1:78" ht="15.75">
      <c r="A65" s="22"/>
      <c r="B65" s="97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9"/>
      <c r="P65" s="97" t="s">
        <v>230</v>
      </c>
      <c r="Q65" s="98"/>
      <c r="R65" s="98"/>
      <c r="S65" s="98"/>
      <c r="T65" s="98"/>
      <c r="U65" s="98"/>
      <c r="V65" s="98"/>
      <c r="W65" s="98"/>
      <c r="X65" s="99"/>
      <c r="Y65" s="97"/>
      <c r="Z65" s="98"/>
      <c r="AA65" s="99"/>
      <c r="AB65" s="97"/>
      <c r="AC65" s="98"/>
      <c r="AD65" s="98"/>
      <c r="AE65" s="98"/>
      <c r="AF65" s="98"/>
      <c r="AG65" s="98"/>
      <c r="AH65" s="98"/>
      <c r="AI65" s="98"/>
      <c r="AJ65" s="99"/>
      <c r="AK65" s="97"/>
      <c r="AL65" s="98"/>
      <c r="AM65" s="99"/>
      <c r="AN65" s="97"/>
      <c r="AO65" s="98"/>
      <c r="AP65" s="98"/>
      <c r="AQ65" s="98"/>
      <c r="AR65" s="98"/>
      <c r="AS65" s="98"/>
      <c r="AT65" s="98"/>
      <c r="AU65" s="98"/>
      <c r="AV65" s="99"/>
      <c r="AW65" s="97"/>
      <c r="AX65" s="98"/>
      <c r="AY65" s="99"/>
      <c r="AZ65" s="97"/>
      <c r="BA65" s="98"/>
      <c r="BB65" s="98"/>
      <c r="BC65" s="98"/>
      <c r="BD65" s="98"/>
      <c r="BE65" s="98"/>
      <c r="BF65" s="98"/>
      <c r="BG65" s="98"/>
      <c r="BH65" s="98"/>
      <c r="BI65" s="98"/>
      <c r="BJ65" s="99"/>
      <c r="BK65" s="22"/>
      <c r="BL65" s="22"/>
      <c r="BM65" s="58"/>
      <c r="BN65" s="58"/>
      <c r="BO65" s="58"/>
      <c r="BP65" s="59"/>
      <c r="BQ65" s="60"/>
      <c r="BR65" s="61"/>
      <c r="BS65" s="62" t="str">
        <f>_xlfn.IFNA(VLOOKUP($BR65,[15]Master!$C$4:$J$13,2,FALSE),"-")</f>
        <v>-</v>
      </c>
      <c r="BT65" s="62" t="str">
        <f>_xlfn.IFNA(VLOOKUP($BR65,[15]Master!$C$4:$J$13,3,FALSE),"-")</f>
        <v>-</v>
      </c>
      <c r="BU65" s="62" t="str">
        <f>_xlfn.IFNA(VLOOKUP($BR65,[15]Master!$C$4:$J$13,4,FALSE),"-")</f>
        <v>-</v>
      </c>
      <c r="BV65" s="62" t="str">
        <f>_xlfn.IFNA(VLOOKUP($BR65,[15]Master!$C$4:$J$13,5,FALSE),"-")</f>
        <v>-</v>
      </c>
      <c r="BW65" s="62" t="str">
        <f>_xlfn.IFNA(VLOOKUP($BR65,[15]Master!$C$4:$J$13,6,FALSE),"-")</f>
        <v>-</v>
      </c>
      <c r="BX65" s="62" t="str">
        <f>_xlfn.IFNA(VLOOKUP($BR65,[15]Master!$C$4:$J$13,7,FALSE),"-")</f>
        <v>-</v>
      </c>
      <c r="BY65" s="62" t="str">
        <f>_xlfn.IFNA(VLOOKUP($BR65,[15]Master!$C$4:$J$13,8,FALSE),"-")</f>
        <v>-</v>
      </c>
      <c r="BZ65" s="63">
        <f t="shared" si="2"/>
        <v>0</v>
      </c>
    </row>
    <row r="66" spans="1:78" ht="15.75">
      <c r="A66" s="22"/>
      <c r="B66" s="97" t="s">
        <v>231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9"/>
      <c r="P66" s="97" t="s">
        <v>232</v>
      </c>
      <c r="Q66" s="98"/>
      <c r="R66" s="98"/>
      <c r="S66" s="98"/>
      <c r="T66" s="98"/>
      <c r="U66" s="98"/>
      <c r="V66" s="98"/>
      <c r="W66" s="98"/>
      <c r="X66" s="99"/>
      <c r="Y66" s="97"/>
      <c r="Z66" s="98"/>
      <c r="AA66" s="99"/>
      <c r="AB66" s="97"/>
      <c r="AC66" s="98"/>
      <c r="AD66" s="98"/>
      <c r="AE66" s="98"/>
      <c r="AF66" s="98"/>
      <c r="AG66" s="98"/>
      <c r="AH66" s="98"/>
      <c r="AI66" s="98"/>
      <c r="AJ66" s="99"/>
      <c r="AK66" s="97"/>
      <c r="AL66" s="98"/>
      <c r="AM66" s="99"/>
      <c r="AN66" s="97"/>
      <c r="AO66" s="98"/>
      <c r="AP66" s="98"/>
      <c r="AQ66" s="98"/>
      <c r="AR66" s="98"/>
      <c r="AS66" s="98"/>
      <c r="AT66" s="98"/>
      <c r="AU66" s="98"/>
      <c r="AV66" s="99"/>
      <c r="AW66" s="97"/>
      <c r="AX66" s="98"/>
      <c r="AY66" s="99"/>
      <c r="AZ66" s="97"/>
      <c r="BA66" s="98"/>
      <c r="BB66" s="98"/>
      <c r="BC66" s="98"/>
      <c r="BD66" s="98"/>
      <c r="BE66" s="98"/>
      <c r="BF66" s="98"/>
      <c r="BG66" s="98"/>
      <c r="BH66" s="98"/>
      <c r="BI66" s="98"/>
      <c r="BJ66" s="99"/>
      <c r="BK66" s="22"/>
      <c r="BL66" s="22"/>
      <c r="BM66" s="45">
        <v>3</v>
      </c>
      <c r="BR66" s="39" t="s">
        <v>204</v>
      </c>
      <c r="BS66" s="34">
        <f>_xlfn.IFNA(VLOOKUP($BR66,[15]Master!$C$4:$J$13,2,FALSE),"-")</f>
        <v>0.52500000000000002</v>
      </c>
      <c r="BT66" s="34">
        <f>_xlfn.IFNA(VLOOKUP($BR66,[15]Master!$C$4:$J$13,3,FALSE),"-")</f>
        <v>1.75</v>
      </c>
      <c r="BU66" s="34">
        <f>_xlfn.IFNA(VLOOKUP($BR66,[15]Master!$C$4:$J$13,4,FALSE),"-")</f>
        <v>0.35000000000000003</v>
      </c>
      <c r="BV66" s="34">
        <f>_xlfn.IFNA(VLOOKUP($BR66,[15]Master!$C$4:$J$13,5,FALSE),"-")</f>
        <v>0.17500000000000002</v>
      </c>
      <c r="BW66" s="34">
        <f>_xlfn.IFNA(VLOOKUP($BR66,[15]Master!$C$4:$J$13,6,FALSE),"-")</f>
        <v>0.35000000000000003</v>
      </c>
      <c r="BX66" s="34">
        <f>_xlfn.IFNA(VLOOKUP($BR66,[15]Master!$C$4:$J$13,7,FALSE),"-")</f>
        <v>0.17500000000000002</v>
      </c>
      <c r="BY66" s="34">
        <f>_xlfn.IFNA(VLOOKUP($BR66,[15]Master!$C$4:$J$13,8,FALSE),"-")</f>
        <v>0.35000000000000003</v>
      </c>
      <c r="BZ66" s="35">
        <f t="shared" si="2"/>
        <v>3.6749999999999998</v>
      </c>
    </row>
    <row r="67" spans="1:78" ht="15.75">
      <c r="A67" s="22"/>
      <c r="B67" s="97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9"/>
      <c r="P67" s="97" t="s">
        <v>233</v>
      </c>
      <c r="Q67" s="98"/>
      <c r="R67" s="98"/>
      <c r="S67" s="98"/>
      <c r="T67" s="98"/>
      <c r="U67" s="98"/>
      <c r="V67" s="98"/>
      <c r="W67" s="98"/>
      <c r="X67" s="99"/>
      <c r="Y67" s="97"/>
      <c r="Z67" s="98"/>
      <c r="AA67" s="99"/>
      <c r="AB67" s="97"/>
      <c r="AC67" s="98"/>
      <c r="AD67" s="98"/>
      <c r="AE67" s="98"/>
      <c r="AF67" s="98"/>
      <c r="AG67" s="98"/>
      <c r="AH67" s="98"/>
      <c r="AI67" s="98"/>
      <c r="AJ67" s="99"/>
      <c r="AK67" s="97"/>
      <c r="AL67" s="98"/>
      <c r="AM67" s="99"/>
      <c r="AN67" s="97"/>
      <c r="AO67" s="98"/>
      <c r="AP67" s="98"/>
      <c r="AQ67" s="98"/>
      <c r="AR67" s="98"/>
      <c r="AS67" s="98"/>
      <c r="AT67" s="98"/>
      <c r="AU67" s="98"/>
      <c r="AV67" s="99"/>
      <c r="AW67" s="97"/>
      <c r="AX67" s="98"/>
      <c r="AY67" s="99"/>
      <c r="AZ67" s="97"/>
      <c r="BA67" s="98"/>
      <c r="BB67" s="98"/>
      <c r="BC67" s="98"/>
      <c r="BD67" s="98"/>
      <c r="BE67" s="98"/>
      <c r="BF67" s="98"/>
      <c r="BG67" s="98"/>
      <c r="BH67" s="98"/>
      <c r="BI67" s="98"/>
      <c r="BJ67" s="99"/>
      <c r="BK67" s="22"/>
      <c r="BL67" s="22"/>
      <c r="BM67" s="58"/>
      <c r="BN67" s="58"/>
      <c r="BO67" s="58"/>
      <c r="BP67" s="59"/>
      <c r="BQ67" s="60"/>
      <c r="BR67" s="61"/>
      <c r="BS67" s="62" t="str">
        <f>_xlfn.IFNA(VLOOKUP($BR67,[15]Master!$C$4:$J$13,2,FALSE),"-")</f>
        <v>-</v>
      </c>
      <c r="BT67" s="62" t="str">
        <f>_xlfn.IFNA(VLOOKUP($BR67,[15]Master!$C$4:$J$13,3,FALSE),"-")</f>
        <v>-</v>
      </c>
      <c r="BU67" s="62" t="str">
        <f>_xlfn.IFNA(VLOOKUP($BR67,[15]Master!$C$4:$J$13,4,FALSE),"-")</f>
        <v>-</v>
      </c>
      <c r="BV67" s="62" t="str">
        <f>_xlfn.IFNA(VLOOKUP($BR67,[15]Master!$C$4:$J$13,5,FALSE),"-")</f>
        <v>-</v>
      </c>
      <c r="BW67" s="62" t="str">
        <f>_xlfn.IFNA(VLOOKUP($BR67,[15]Master!$C$4:$J$13,6,FALSE),"-")</f>
        <v>-</v>
      </c>
      <c r="BX67" s="62" t="str">
        <f>_xlfn.IFNA(VLOOKUP($BR67,[15]Master!$C$4:$J$13,7,FALSE),"-")</f>
        <v>-</v>
      </c>
      <c r="BY67" s="62" t="str">
        <f>_xlfn.IFNA(VLOOKUP($BR67,[15]Master!$C$4:$J$13,8,FALSE),"-")</f>
        <v>-</v>
      </c>
      <c r="BZ67" s="63">
        <f t="shared" si="2"/>
        <v>0</v>
      </c>
    </row>
    <row r="68" spans="1:78" ht="15.75">
      <c r="A68" s="22"/>
      <c r="B68" s="97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9"/>
      <c r="P68" s="97" t="s">
        <v>234</v>
      </c>
      <c r="Q68" s="98"/>
      <c r="R68" s="98"/>
      <c r="S68" s="98"/>
      <c r="T68" s="98"/>
      <c r="U68" s="98"/>
      <c r="V68" s="98"/>
      <c r="W68" s="98"/>
      <c r="X68" s="99"/>
      <c r="Y68" s="97"/>
      <c r="Z68" s="98"/>
      <c r="AA68" s="99"/>
      <c r="AB68" s="97"/>
      <c r="AC68" s="98"/>
      <c r="AD68" s="98"/>
      <c r="AE68" s="98"/>
      <c r="AF68" s="98"/>
      <c r="AG68" s="98"/>
      <c r="AH68" s="98"/>
      <c r="AI68" s="98"/>
      <c r="AJ68" s="99"/>
      <c r="AK68" s="97"/>
      <c r="AL68" s="98"/>
      <c r="AM68" s="99"/>
      <c r="AN68" s="97"/>
      <c r="AO68" s="98"/>
      <c r="AP68" s="98"/>
      <c r="AQ68" s="98"/>
      <c r="AR68" s="98"/>
      <c r="AS68" s="98"/>
      <c r="AT68" s="98"/>
      <c r="AU68" s="98"/>
      <c r="AV68" s="99"/>
      <c r="AW68" s="97"/>
      <c r="AX68" s="98"/>
      <c r="AY68" s="99"/>
      <c r="AZ68" s="97"/>
      <c r="BA68" s="98"/>
      <c r="BB68" s="98"/>
      <c r="BC68" s="98"/>
      <c r="BD68" s="98"/>
      <c r="BE68" s="98"/>
      <c r="BF68" s="98"/>
      <c r="BG68" s="98"/>
      <c r="BH68" s="98"/>
      <c r="BI68" s="98"/>
      <c r="BJ68" s="99"/>
      <c r="BK68" s="22"/>
      <c r="BL68" s="22"/>
      <c r="BM68" s="58"/>
      <c r="BN68" s="58"/>
      <c r="BO68" s="58"/>
      <c r="BP68" s="59"/>
      <c r="BQ68" s="60"/>
      <c r="BR68" s="61"/>
      <c r="BS68" s="62" t="str">
        <f>_xlfn.IFNA(VLOOKUP($BR68,[15]Master!$C$4:$J$13,2,FALSE),"-")</f>
        <v>-</v>
      </c>
      <c r="BT68" s="62" t="str">
        <f>_xlfn.IFNA(VLOOKUP($BR68,[15]Master!$C$4:$J$13,3,FALSE),"-")</f>
        <v>-</v>
      </c>
      <c r="BU68" s="62" t="str">
        <f>_xlfn.IFNA(VLOOKUP($BR68,[15]Master!$C$4:$J$13,4,FALSE),"-")</f>
        <v>-</v>
      </c>
      <c r="BV68" s="62" t="str">
        <f>_xlfn.IFNA(VLOOKUP($BR68,[15]Master!$C$4:$J$13,5,FALSE),"-")</f>
        <v>-</v>
      </c>
      <c r="BW68" s="62" t="str">
        <f>_xlfn.IFNA(VLOOKUP($BR68,[15]Master!$C$4:$J$13,6,FALSE),"-")</f>
        <v>-</v>
      </c>
      <c r="BX68" s="62" t="str">
        <f>_xlfn.IFNA(VLOOKUP($BR68,[15]Master!$C$4:$J$13,7,FALSE),"-")</f>
        <v>-</v>
      </c>
      <c r="BY68" s="62" t="str">
        <f>_xlfn.IFNA(VLOOKUP($BR68,[15]Master!$C$4:$J$13,8,FALSE),"-")</f>
        <v>-</v>
      </c>
      <c r="BZ68" s="63">
        <f t="shared" si="2"/>
        <v>0</v>
      </c>
    </row>
    <row r="69" spans="1:78" ht="15.75">
      <c r="A69" s="22"/>
      <c r="B69" s="97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9"/>
      <c r="P69" s="97" t="s">
        <v>235</v>
      </c>
      <c r="Q69" s="98"/>
      <c r="R69" s="98"/>
      <c r="S69" s="98"/>
      <c r="T69" s="98"/>
      <c r="U69" s="98"/>
      <c r="V69" s="98"/>
      <c r="W69" s="98"/>
      <c r="X69" s="99"/>
      <c r="Y69" s="97"/>
      <c r="Z69" s="98"/>
      <c r="AA69" s="99"/>
      <c r="AB69" s="97"/>
      <c r="AC69" s="98"/>
      <c r="AD69" s="98"/>
      <c r="AE69" s="98"/>
      <c r="AF69" s="98"/>
      <c r="AG69" s="98"/>
      <c r="AH69" s="98"/>
      <c r="AI69" s="98"/>
      <c r="AJ69" s="99"/>
      <c r="AK69" s="97"/>
      <c r="AL69" s="98"/>
      <c r="AM69" s="99"/>
      <c r="AN69" s="97"/>
      <c r="AO69" s="98"/>
      <c r="AP69" s="98"/>
      <c r="AQ69" s="98"/>
      <c r="AR69" s="98"/>
      <c r="AS69" s="98"/>
      <c r="AT69" s="98"/>
      <c r="AU69" s="98"/>
      <c r="AV69" s="99"/>
      <c r="AW69" s="97"/>
      <c r="AX69" s="98"/>
      <c r="AY69" s="99"/>
      <c r="AZ69" s="97"/>
      <c r="BA69" s="98"/>
      <c r="BB69" s="98"/>
      <c r="BC69" s="98"/>
      <c r="BD69" s="98"/>
      <c r="BE69" s="98"/>
      <c r="BF69" s="98"/>
      <c r="BG69" s="98"/>
      <c r="BH69" s="98"/>
      <c r="BI69" s="98"/>
      <c r="BJ69" s="99"/>
      <c r="BK69" s="22"/>
      <c r="BL69" s="22"/>
      <c r="BM69" s="58"/>
      <c r="BN69" s="58"/>
      <c r="BO69" s="58"/>
      <c r="BP69" s="59"/>
      <c r="BQ69" s="60"/>
      <c r="BR69" s="61"/>
      <c r="BS69" s="62" t="str">
        <f>_xlfn.IFNA(VLOOKUP($BR69,[15]Master!$C$4:$J$13,2,FALSE),"-")</f>
        <v>-</v>
      </c>
      <c r="BT69" s="62" t="str">
        <f>_xlfn.IFNA(VLOOKUP($BR69,[15]Master!$C$4:$J$13,3,FALSE),"-")</f>
        <v>-</v>
      </c>
      <c r="BU69" s="62" t="str">
        <f>_xlfn.IFNA(VLOOKUP($BR69,[15]Master!$C$4:$J$13,4,FALSE),"-")</f>
        <v>-</v>
      </c>
      <c r="BV69" s="62" t="str">
        <f>_xlfn.IFNA(VLOOKUP($BR69,[15]Master!$C$4:$J$13,5,FALSE),"-")</f>
        <v>-</v>
      </c>
      <c r="BW69" s="62" t="str">
        <f>_xlfn.IFNA(VLOOKUP($BR69,[15]Master!$C$4:$J$13,6,FALSE),"-")</f>
        <v>-</v>
      </c>
      <c r="BX69" s="62" t="str">
        <f>_xlfn.IFNA(VLOOKUP($BR69,[15]Master!$C$4:$J$13,7,FALSE),"-")</f>
        <v>-</v>
      </c>
      <c r="BY69" s="62" t="str">
        <f>_xlfn.IFNA(VLOOKUP($BR69,[15]Master!$C$4:$J$13,8,FALSE),"-")</f>
        <v>-</v>
      </c>
      <c r="BZ69" s="63">
        <f t="shared" si="2"/>
        <v>0</v>
      </c>
    </row>
    <row r="70" spans="1:78" ht="15.75">
      <c r="A70" s="22"/>
      <c r="B70" s="97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9"/>
      <c r="P70" s="97" t="s">
        <v>236</v>
      </c>
      <c r="Q70" s="98"/>
      <c r="R70" s="98"/>
      <c r="S70" s="98"/>
      <c r="T70" s="98"/>
      <c r="U70" s="98"/>
      <c r="V70" s="98"/>
      <c r="W70" s="98"/>
      <c r="X70" s="99"/>
      <c r="Y70" s="97"/>
      <c r="Z70" s="98"/>
      <c r="AA70" s="99"/>
      <c r="AB70" s="97"/>
      <c r="AC70" s="98"/>
      <c r="AD70" s="98"/>
      <c r="AE70" s="98"/>
      <c r="AF70" s="98"/>
      <c r="AG70" s="98"/>
      <c r="AH70" s="98"/>
      <c r="AI70" s="98"/>
      <c r="AJ70" s="99"/>
      <c r="AK70" s="97"/>
      <c r="AL70" s="98"/>
      <c r="AM70" s="99"/>
      <c r="AN70" s="97"/>
      <c r="AO70" s="98"/>
      <c r="AP70" s="98"/>
      <c r="AQ70" s="98"/>
      <c r="AR70" s="98"/>
      <c r="AS70" s="98"/>
      <c r="AT70" s="98"/>
      <c r="AU70" s="98"/>
      <c r="AV70" s="99"/>
      <c r="AW70" s="97"/>
      <c r="AX70" s="98"/>
      <c r="AY70" s="99"/>
      <c r="AZ70" s="97"/>
      <c r="BA70" s="98"/>
      <c r="BB70" s="98"/>
      <c r="BC70" s="98"/>
      <c r="BD70" s="98"/>
      <c r="BE70" s="98"/>
      <c r="BF70" s="98"/>
      <c r="BG70" s="98"/>
      <c r="BH70" s="98"/>
      <c r="BI70" s="98"/>
      <c r="BJ70" s="99"/>
      <c r="BK70" s="22"/>
      <c r="BL70" s="22"/>
      <c r="BM70" s="58"/>
      <c r="BN70" s="58"/>
      <c r="BO70" s="58"/>
      <c r="BP70" s="59"/>
      <c r="BQ70" s="60"/>
      <c r="BR70" s="61"/>
      <c r="BS70" s="62" t="str">
        <f>_xlfn.IFNA(VLOOKUP($BR70,[15]Master!$C$4:$J$13,2,FALSE),"-")</f>
        <v>-</v>
      </c>
      <c r="BT70" s="62" t="str">
        <f>_xlfn.IFNA(VLOOKUP($BR70,[15]Master!$C$4:$J$13,3,FALSE),"-")</f>
        <v>-</v>
      </c>
      <c r="BU70" s="62" t="str">
        <f>_xlfn.IFNA(VLOOKUP($BR70,[15]Master!$C$4:$J$13,4,FALSE),"-")</f>
        <v>-</v>
      </c>
      <c r="BV70" s="62" t="str">
        <f>_xlfn.IFNA(VLOOKUP($BR70,[15]Master!$C$4:$J$13,5,FALSE),"-")</f>
        <v>-</v>
      </c>
      <c r="BW70" s="62" t="str">
        <f>_xlfn.IFNA(VLOOKUP($BR70,[15]Master!$C$4:$J$13,6,FALSE),"-")</f>
        <v>-</v>
      </c>
      <c r="BX70" s="62" t="str">
        <f>_xlfn.IFNA(VLOOKUP($BR70,[15]Master!$C$4:$J$13,7,FALSE),"-")</f>
        <v>-</v>
      </c>
      <c r="BY70" s="62" t="str">
        <f>_xlfn.IFNA(VLOOKUP($BR70,[15]Master!$C$4:$J$13,8,FALSE),"-")</f>
        <v>-</v>
      </c>
      <c r="BZ70" s="63">
        <f t="shared" si="2"/>
        <v>0</v>
      </c>
    </row>
    <row r="71" spans="1:78" ht="15.75">
      <c r="A71" s="22"/>
      <c r="B71" s="97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9"/>
      <c r="P71" s="97" t="s">
        <v>237</v>
      </c>
      <c r="Q71" s="98"/>
      <c r="R71" s="98"/>
      <c r="S71" s="98"/>
      <c r="T71" s="98"/>
      <c r="U71" s="98"/>
      <c r="V71" s="98"/>
      <c r="W71" s="98"/>
      <c r="X71" s="99"/>
      <c r="Y71" s="97"/>
      <c r="Z71" s="98"/>
      <c r="AA71" s="99"/>
      <c r="AB71" s="97"/>
      <c r="AC71" s="98"/>
      <c r="AD71" s="98"/>
      <c r="AE71" s="98"/>
      <c r="AF71" s="98"/>
      <c r="AG71" s="98"/>
      <c r="AH71" s="98"/>
      <c r="AI71" s="98"/>
      <c r="AJ71" s="99"/>
      <c r="AK71" s="97"/>
      <c r="AL71" s="98"/>
      <c r="AM71" s="99"/>
      <c r="AN71" s="97"/>
      <c r="AO71" s="98"/>
      <c r="AP71" s="98"/>
      <c r="AQ71" s="98"/>
      <c r="AR71" s="98"/>
      <c r="AS71" s="98"/>
      <c r="AT71" s="98"/>
      <c r="AU71" s="98"/>
      <c r="AV71" s="99"/>
      <c r="AW71" s="97"/>
      <c r="AX71" s="98"/>
      <c r="AY71" s="99"/>
      <c r="AZ71" s="97"/>
      <c r="BA71" s="98"/>
      <c r="BB71" s="98"/>
      <c r="BC71" s="98"/>
      <c r="BD71" s="98"/>
      <c r="BE71" s="98"/>
      <c r="BF71" s="98"/>
      <c r="BG71" s="98"/>
      <c r="BH71" s="98"/>
      <c r="BI71" s="98"/>
      <c r="BJ71" s="99"/>
      <c r="BK71" s="22"/>
      <c r="BL71" s="22"/>
      <c r="BM71" s="58"/>
      <c r="BN71" s="58"/>
      <c r="BO71" s="58"/>
      <c r="BP71" s="59"/>
      <c r="BQ71" s="60"/>
      <c r="BR71" s="61"/>
      <c r="BS71" s="62" t="str">
        <f>_xlfn.IFNA(VLOOKUP($BR71,[15]Master!$C$4:$J$13,2,FALSE),"-")</f>
        <v>-</v>
      </c>
      <c r="BT71" s="62" t="str">
        <f>_xlfn.IFNA(VLOOKUP($BR71,[15]Master!$C$4:$J$13,3,FALSE),"-")</f>
        <v>-</v>
      </c>
      <c r="BU71" s="62" t="str">
        <f>_xlfn.IFNA(VLOOKUP($BR71,[15]Master!$C$4:$J$13,4,FALSE),"-")</f>
        <v>-</v>
      </c>
      <c r="BV71" s="62" t="str">
        <f>_xlfn.IFNA(VLOOKUP($BR71,[15]Master!$C$4:$J$13,5,FALSE),"-")</f>
        <v>-</v>
      </c>
      <c r="BW71" s="62" t="str">
        <f>_xlfn.IFNA(VLOOKUP($BR71,[15]Master!$C$4:$J$13,6,FALSE),"-")</f>
        <v>-</v>
      </c>
      <c r="BX71" s="62" t="str">
        <f>_xlfn.IFNA(VLOOKUP($BR71,[15]Master!$C$4:$J$13,7,FALSE),"-")</f>
        <v>-</v>
      </c>
      <c r="BY71" s="62" t="str">
        <f>_xlfn.IFNA(VLOOKUP($BR71,[15]Master!$C$4:$J$13,8,FALSE),"-")</f>
        <v>-</v>
      </c>
      <c r="BZ71" s="63">
        <f t="shared" si="2"/>
        <v>0</v>
      </c>
    </row>
    <row r="72" spans="1:78" ht="15.75">
      <c r="A72" s="22"/>
      <c r="B72" s="100" t="s">
        <v>238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9"/>
      <c r="P72" s="103" t="s">
        <v>239</v>
      </c>
      <c r="Q72" s="104"/>
      <c r="R72" s="104"/>
      <c r="S72" s="104"/>
      <c r="T72" s="104"/>
      <c r="U72" s="104"/>
      <c r="V72" s="104"/>
      <c r="W72" s="104"/>
      <c r="X72" s="105"/>
      <c r="Y72" s="97"/>
      <c r="Z72" s="98"/>
      <c r="AA72" s="99"/>
      <c r="AB72" s="100" t="s">
        <v>217</v>
      </c>
      <c r="AC72" s="98"/>
      <c r="AD72" s="98"/>
      <c r="AE72" s="98"/>
      <c r="AF72" s="98"/>
      <c r="AG72" s="98"/>
      <c r="AH72" s="98"/>
      <c r="AI72" s="98"/>
      <c r="AJ72" s="99"/>
      <c r="AK72" s="97"/>
      <c r="AL72" s="98"/>
      <c r="AM72" s="99"/>
      <c r="AN72" s="97"/>
      <c r="AO72" s="98"/>
      <c r="AP72" s="98"/>
      <c r="AQ72" s="98"/>
      <c r="AR72" s="98"/>
      <c r="AS72" s="98"/>
      <c r="AT72" s="98"/>
      <c r="AU72" s="98"/>
      <c r="AV72" s="99"/>
      <c r="AW72" s="97"/>
      <c r="AX72" s="98"/>
      <c r="AY72" s="99"/>
      <c r="AZ72" s="97"/>
      <c r="BA72" s="98"/>
      <c r="BB72" s="98"/>
      <c r="BC72" s="98"/>
      <c r="BD72" s="98"/>
      <c r="BE72" s="98"/>
      <c r="BF72" s="98"/>
      <c r="BG72" s="98"/>
      <c r="BH72" s="98"/>
      <c r="BI72" s="98"/>
      <c r="BJ72" s="99"/>
      <c r="BK72" s="22"/>
      <c r="BL72" s="22"/>
      <c r="BP72" s="47" t="s">
        <v>203</v>
      </c>
      <c r="BR72" s="39" t="s">
        <v>204</v>
      </c>
      <c r="BS72" s="34">
        <f>_xlfn.IFNA(VLOOKUP($BR72,[15]Master!$C$4:$J$13,2,FALSE),"-")</f>
        <v>0.52500000000000002</v>
      </c>
      <c r="BT72" s="34">
        <f>_xlfn.IFNA(VLOOKUP($BR72,[15]Master!$C$4:$J$13,3,FALSE),"-")</f>
        <v>1.75</v>
      </c>
      <c r="BU72" s="34">
        <f>_xlfn.IFNA(VLOOKUP($BR72,[15]Master!$C$4:$J$13,4,FALSE),"-")</f>
        <v>0.35000000000000003</v>
      </c>
      <c r="BV72" s="34">
        <f>_xlfn.IFNA(VLOOKUP($BR72,[15]Master!$C$4:$J$13,5,FALSE),"-")</f>
        <v>0.17500000000000002</v>
      </c>
      <c r="BW72" s="34">
        <f>_xlfn.IFNA(VLOOKUP($BR72,[15]Master!$C$4:$J$13,6,FALSE),"-")</f>
        <v>0.35000000000000003</v>
      </c>
      <c r="BX72" s="34">
        <f>_xlfn.IFNA(VLOOKUP($BR72,[15]Master!$C$4:$J$13,7,FALSE),"-")</f>
        <v>0.17500000000000002</v>
      </c>
      <c r="BY72" s="34">
        <f>_xlfn.IFNA(VLOOKUP($BR72,[15]Master!$C$4:$J$13,8,FALSE),"-")</f>
        <v>0.35000000000000003</v>
      </c>
      <c r="BZ72" s="35">
        <f t="shared" si="2"/>
        <v>3.6749999999999998</v>
      </c>
    </row>
    <row r="73" spans="1:78" ht="15.75">
      <c r="A73" s="22"/>
      <c r="B73" s="106" t="s">
        <v>240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8"/>
      <c r="P73" s="97" t="s">
        <v>241</v>
      </c>
      <c r="Q73" s="98"/>
      <c r="R73" s="98"/>
      <c r="S73" s="98"/>
      <c r="T73" s="98"/>
      <c r="U73" s="98"/>
      <c r="V73" s="98"/>
      <c r="W73" s="98"/>
      <c r="X73" s="99"/>
      <c r="Y73" s="97"/>
      <c r="Z73" s="98"/>
      <c r="AA73" s="99"/>
      <c r="AB73" s="97"/>
      <c r="AC73" s="98"/>
      <c r="AD73" s="98"/>
      <c r="AE73" s="98"/>
      <c r="AF73" s="98"/>
      <c r="AG73" s="98"/>
      <c r="AH73" s="98"/>
      <c r="AI73" s="98"/>
      <c r="AJ73" s="99"/>
      <c r="AK73" s="97"/>
      <c r="AL73" s="98"/>
      <c r="AM73" s="99"/>
      <c r="AN73" s="97"/>
      <c r="AO73" s="98"/>
      <c r="AP73" s="98"/>
      <c r="AQ73" s="98"/>
      <c r="AR73" s="98"/>
      <c r="AS73" s="98"/>
      <c r="AT73" s="98"/>
      <c r="AU73" s="98"/>
      <c r="AV73" s="99"/>
      <c r="AW73" s="97"/>
      <c r="AX73" s="98"/>
      <c r="AY73" s="99"/>
      <c r="AZ73" s="97"/>
      <c r="BA73" s="98"/>
      <c r="BB73" s="98"/>
      <c r="BC73" s="98"/>
      <c r="BD73" s="98"/>
      <c r="BE73" s="98"/>
      <c r="BF73" s="98"/>
      <c r="BG73" s="98"/>
      <c r="BH73" s="98"/>
      <c r="BI73" s="98"/>
      <c r="BJ73" s="99"/>
      <c r="BK73" s="22"/>
      <c r="BL73" s="22"/>
      <c r="BM73" s="45">
        <v>3</v>
      </c>
      <c r="BR73" s="39" t="s">
        <v>204</v>
      </c>
      <c r="BS73" s="34">
        <f>_xlfn.IFNA(VLOOKUP($BR73,[15]Master!$C$4:$J$13,2,FALSE),"-")</f>
        <v>0.52500000000000002</v>
      </c>
      <c r="BT73" s="34">
        <f>_xlfn.IFNA(VLOOKUP($BR73,[15]Master!$C$4:$J$13,3,FALSE),"-")</f>
        <v>1.75</v>
      </c>
      <c r="BU73" s="34">
        <f>_xlfn.IFNA(VLOOKUP($BR73,[15]Master!$C$4:$J$13,4,FALSE),"-")</f>
        <v>0.35000000000000003</v>
      </c>
      <c r="BV73" s="34">
        <f>_xlfn.IFNA(VLOOKUP($BR73,[15]Master!$C$4:$J$13,5,FALSE),"-")</f>
        <v>0.17500000000000002</v>
      </c>
      <c r="BW73" s="34">
        <f>_xlfn.IFNA(VLOOKUP($BR73,[15]Master!$C$4:$J$13,6,FALSE),"-")</f>
        <v>0.35000000000000003</v>
      </c>
      <c r="BX73" s="34">
        <f>_xlfn.IFNA(VLOOKUP($BR73,[15]Master!$C$4:$J$13,7,FALSE),"-")</f>
        <v>0.17500000000000002</v>
      </c>
      <c r="BY73" s="34">
        <f>_xlfn.IFNA(VLOOKUP($BR73,[15]Master!$C$4:$J$13,8,FALSE),"-")</f>
        <v>0.35000000000000003</v>
      </c>
      <c r="BZ73" s="35">
        <f t="shared" si="2"/>
        <v>3.6749999999999998</v>
      </c>
    </row>
    <row r="74" spans="1:78" ht="45">
      <c r="A74" s="22"/>
      <c r="B74" s="97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2"/>
      <c r="P74" s="97" t="s">
        <v>242</v>
      </c>
      <c r="Q74" s="98"/>
      <c r="R74" s="98"/>
      <c r="S74" s="98"/>
      <c r="T74" s="98"/>
      <c r="U74" s="98"/>
      <c r="V74" s="98"/>
      <c r="W74" s="98"/>
      <c r="X74" s="99"/>
      <c r="Y74" s="97"/>
      <c r="Z74" s="98"/>
      <c r="AA74" s="99"/>
      <c r="AB74" s="97"/>
      <c r="AC74" s="98"/>
      <c r="AD74" s="98"/>
      <c r="AE74" s="98"/>
      <c r="AF74" s="98"/>
      <c r="AG74" s="98"/>
      <c r="AH74" s="98"/>
      <c r="AI74" s="98"/>
      <c r="AJ74" s="99"/>
      <c r="AK74" s="97"/>
      <c r="AL74" s="98"/>
      <c r="AM74" s="99"/>
      <c r="AN74" s="97"/>
      <c r="AO74" s="98"/>
      <c r="AP74" s="98"/>
      <c r="AQ74" s="98"/>
      <c r="AR74" s="98"/>
      <c r="AS74" s="98"/>
      <c r="AT74" s="98"/>
      <c r="AU74" s="98"/>
      <c r="AV74" s="99"/>
      <c r="AW74" s="97"/>
      <c r="AX74" s="98"/>
      <c r="AY74" s="99"/>
      <c r="AZ74" s="97"/>
      <c r="BA74" s="98"/>
      <c r="BB74" s="98"/>
      <c r="BC74" s="98"/>
      <c r="BD74" s="98"/>
      <c r="BE74" s="98"/>
      <c r="BF74" s="98"/>
      <c r="BG74" s="98"/>
      <c r="BH74" s="98"/>
      <c r="BI74" s="98"/>
      <c r="BJ74" s="99"/>
      <c r="BK74" s="22"/>
      <c r="BL74" s="22"/>
      <c r="BP74" s="47" t="s">
        <v>243</v>
      </c>
      <c r="BR74" s="39" t="s">
        <v>204</v>
      </c>
      <c r="BS74" s="34">
        <f>_xlfn.IFNA(VLOOKUP($BR74,[15]Master!$C$4:$J$13,2,FALSE),"-")</f>
        <v>0.52500000000000002</v>
      </c>
      <c r="BT74" s="34">
        <f>_xlfn.IFNA(VLOOKUP($BR74,[15]Master!$C$4:$J$13,3,FALSE),"-")</f>
        <v>1.75</v>
      </c>
      <c r="BU74" s="34">
        <f>_xlfn.IFNA(VLOOKUP($BR74,[15]Master!$C$4:$J$13,4,FALSE),"-")</f>
        <v>0.35000000000000003</v>
      </c>
      <c r="BV74" s="34">
        <f>_xlfn.IFNA(VLOOKUP($BR74,[15]Master!$C$4:$J$13,5,FALSE),"-")</f>
        <v>0.17500000000000002</v>
      </c>
      <c r="BW74" s="34">
        <f>_xlfn.IFNA(VLOOKUP($BR74,[15]Master!$C$4:$J$13,6,FALSE),"-")</f>
        <v>0.35000000000000003</v>
      </c>
      <c r="BX74" s="34">
        <f>_xlfn.IFNA(VLOOKUP($BR74,[15]Master!$C$4:$J$13,7,FALSE),"-")</f>
        <v>0.17500000000000002</v>
      </c>
      <c r="BY74" s="34">
        <f>_xlfn.IFNA(VLOOKUP($BR74,[15]Master!$C$4:$J$13,8,FALSE),"-")</f>
        <v>0.35000000000000003</v>
      </c>
      <c r="BZ74" s="35">
        <f t="shared" si="2"/>
        <v>3.6749999999999998</v>
      </c>
    </row>
    <row r="75" spans="1:78" ht="15.75">
      <c r="A75" s="22"/>
      <c r="B75" s="97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2"/>
      <c r="P75" s="97" t="s">
        <v>244</v>
      </c>
      <c r="Q75" s="98"/>
      <c r="R75" s="98"/>
      <c r="S75" s="98"/>
      <c r="T75" s="98"/>
      <c r="U75" s="98"/>
      <c r="V75" s="98"/>
      <c r="W75" s="98"/>
      <c r="X75" s="99"/>
      <c r="Y75" s="97"/>
      <c r="Z75" s="98"/>
      <c r="AA75" s="99"/>
      <c r="AB75" s="97"/>
      <c r="AC75" s="98"/>
      <c r="AD75" s="98"/>
      <c r="AE75" s="98"/>
      <c r="AF75" s="98"/>
      <c r="AG75" s="98"/>
      <c r="AH75" s="98"/>
      <c r="AI75" s="98"/>
      <c r="AJ75" s="99"/>
      <c r="AK75" s="97"/>
      <c r="AL75" s="98"/>
      <c r="AM75" s="99"/>
      <c r="AN75" s="97"/>
      <c r="AO75" s="98"/>
      <c r="AP75" s="98"/>
      <c r="AQ75" s="98"/>
      <c r="AR75" s="98"/>
      <c r="AS75" s="98"/>
      <c r="AT75" s="98"/>
      <c r="AU75" s="98"/>
      <c r="AV75" s="99"/>
      <c r="AW75" s="97"/>
      <c r="AX75" s="98"/>
      <c r="AY75" s="99"/>
      <c r="AZ75" s="97"/>
      <c r="BA75" s="98"/>
      <c r="BB75" s="98"/>
      <c r="BC75" s="98"/>
      <c r="BD75" s="98"/>
      <c r="BE75" s="98"/>
      <c r="BF75" s="98"/>
      <c r="BG75" s="98"/>
      <c r="BH75" s="98"/>
      <c r="BI75" s="98"/>
      <c r="BJ75" s="99"/>
      <c r="BK75" s="22"/>
      <c r="BL75" s="22"/>
      <c r="BM75" s="58"/>
      <c r="BN75" s="58"/>
      <c r="BO75" s="58"/>
      <c r="BP75" s="59"/>
      <c r="BQ75" s="60"/>
      <c r="BR75" s="61"/>
      <c r="BS75" s="62" t="str">
        <f>_xlfn.IFNA(VLOOKUP($BR75,[15]Master!$C$4:$J$13,2,FALSE),"-")</f>
        <v>-</v>
      </c>
      <c r="BT75" s="62" t="str">
        <f>_xlfn.IFNA(VLOOKUP($BR75,[15]Master!$C$4:$J$13,3,FALSE),"-")</f>
        <v>-</v>
      </c>
      <c r="BU75" s="62" t="str">
        <f>_xlfn.IFNA(VLOOKUP($BR75,[15]Master!$C$4:$J$13,4,FALSE),"-")</f>
        <v>-</v>
      </c>
      <c r="BV75" s="62" t="str">
        <f>_xlfn.IFNA(VLOOKUP($BR75,[15]Master!$C$4:$J$13,5,FALSE),"-")</f>
        <v>-</v>
      </c>
      <c r="BW75" s="62" t="str">
        <f>_xlfn.IFNA(VLOOKUP($BR75,[15]Master!$C$4:$J$13,6,FALSE),"-")</f>
        <v>-</v>
      </c>
      <c r="BX75" s="62" t="str">
        <f>_xlfn.IFNA(VLOOKUP($BR75,[15]Master!$C$4:$J$13,7,FALSE),"-")</f>
        <v>-</v>
      </c>
      <c r="BY75" s="62" t="str">
        <f>_xlfn.IFNA(VLOOKUP($BR75,[15]Master!$C$4:$J$13,8,FALSE),"-")</f>
        <v>-</v>
      </c>
      <c r="BZ75" s="63">
        <f t="shared" ref="BZ75:BZ130" si="3">SUM(BS75:BY75)</f>
        <v>0</v>
      </c>
    </row>
    <row r="76" spans="1:78" ht="15.75">
      <c r="A76" s="22"/>
      <c r="B76" s="97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2"/>
      <c r="P76" s="97" t="s">
        <v>190</v>
      </c>
      <c r="Q76" s="98"/>
      <c r="R76" s="98"/>
      <c r="S76" s="98"/>
      <c r="T76" s="98"/>
      <c r="U76" s="98"/>
      <c r="V76" s="98"/>
      <c r="W76" s="98"/>
      <c r="X76" s="99"/>
      <c r="Y76" s="97"/>
      <c r="Z76" s="98"/>
      <c r="AA76" s="99"/>
      <c r="AB76" s="97"/>
      <c r="AC76" s="98"/>
      <c r="AD76" s="98"/>
      <c r="AE76" s="98"/>
      <c r="AF76" s="98"/>
      <c r="AG76" s="98"/>
      <c r="AH76" s="98"/>
      <c r="AI76" s="98"/>
      <c r="AJ76" s="99"/>
      <c r="AK76" s="97"/>
      <c r="AL76" s="98"/>
      <c r="AM76" s="99"/>
      <c r="AN76" s="97"/>
      <c r="AO76" s="98"/>
      <c r="AP76" s="98"/>
      <c r="AQ76" s="98"/>
      <c r="AR76" s="98"/>
      <c r="AS76" s="98"/>
      <c r="AT76" s="98"/>
      <c r="AU76" s="98"/>
      <c r="AV76" s="99"/>
      <c r="AW76" s="97"/>
      <c r="AX76" s="98"/>
      <c r="AY76" s="99"/>
      <c r="AZ76" s="97"/>
      <c r="BA76" s="98"/>
      <c r="BB76" s="98"/>
      <c r="BC76" s="98"/>
      <c r="BD76" s="98"/>
      <c r="BE76" s="98"/>
      <c r="BF76" s="98"/>
      <c r="BG76" s="98"/>
      <c r="BH76" s="98"/>
      <c r="BI76" s="98"/>
      <c r="BJ76" s="99"/>
      <c r="BK76" s="22"/>
      <c r="BL76" s="22"/>
      <c r="BM76" s="58"/>
      <c r="BN76" s="58"/>
      <c r="BO76" s="58"/>
      <c r="BP76" s="59"/>
      <c r="BQ76" s="60"/>
      <c r="BR76" s="61"/>
      <c r="BS76" s="62" t="str">
        <f>_xlfn.IFNA(VLOOKUP($BR76,[15]Master!$C$4:$J$13,2,FALSE),"-")</f>
        <v>-</v>
      </c>
      <c r="BT76" s="62" t="str">
        <f>_xlfn.IFNA(VLOOKUP($BR76,[15]Master!$C$4:$J$13,3,FALSE),"-")</f>
        <v>-</v>
      </c>
      <c r="BU76" s="62" t="str">
        <f>_xlfn.IFNA(VLOOKUP($BR76,[15]Master!$C$4:$J$13,4,FALSE),"-")</f>
        <v>-</v>
      </c>
      <c r="BV76" s="62" t="str">
        <f>_xlfn.IFNA(VLOOKUP($BR76,[15]Master!$C$4:$J$13,5,FALSE),"-")</f>
        <v>-</v>
      </c>
      <c r="BW76" s="62" t="str">
        <f>_xlfn.IFNA(VLOOKUP($BR76,[15]Master!$C$4:$J$13,6,FALSE),"-")</f>
        <v>-</v>
      </c>
      <c r="BX76" s="62" t="str">
        <f>_xlfn.IFNA(VLOOKUP($BR76,[15]Master!$C$4:$J$13,7,FALSE),"-")</f>
        <v>-</v>
      </c>
      <c r="BY76" s="62" t="str">
        <f>_xlfn.IFNA(VLOOKUP($BR76,[15]Master!$C$4:$J$13,8,FALSE),"-")</f>
        <v>-</v>
      </c>
      <c r="BZ76" s="63">
        <f t="shared" si="3"/>
        <v>0</v>
      </c>
    </row>
    <row r="77" spans="1:78" ht="15.75">
      <c r="A77" s="22"/>
      <c r="B77" s="97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2"/>
      <c r="P77" s="97" t="s">
        <v>192</v>
      </c>
      <c r="Q77" s="98"/>
      <c r="R77" s="98"/>
      <c r="S77" s="98"/>
      <c r="T77" s="98"/>
      <c r="U77" s="98"/>
      <c r="V77" s="98"/>
      <c r="W77" s="98"/>
      <c r="X77" s="99"/>
      <c r="Y77" s="97"/>
      <c r="Z77" s="98"/>
      <c r="AA77" s="99"/>
      <c r="AB77" s="97"/>
      <c r="AC77" s="98"/>
      <c r="AD77" s="98"/>
      <c r="AE77" s="98"/>
      <c r="AF77" s="98"/>
      <c r="AG77" s="98"/>
      <c r="AH77" s="98"/>
      <c r="AI77" s="98"/>
      <c r="AJ77" s="99"/>
      <c r="AK77" s="97"/>
      <c r="AL77" s="98"/>
      <c r="AM77" s="99"/>
      <c r="AN77" s="97"/>
      <c r="AO77" s="98"/>
      <c r="AP77" s="98"/>
      <c r="AQ77" s="98"/>
      <c r="AR77" s="98"/>
      <c r="AS77" s="98"/>
      <c r="AT77" s="98"/>
      <c r="AU77" s="98"/>
      <c r="AV77" s="99"/>
      <c r="AW77" s="97"/>
      <c r="AX77" s="98"/>
      <c r="AY77" s="99"/>
      <c r="AZ77" s="97"/>
      <c r="BA77" s="98"/>
      <c r="BB77" s="98"/>
      <c r="BC77" s="98"/>
      <c r="BD77" s="98"/>
      <c r="BE77" s="98"/>
      <c r="BF77" s="98"/>
      <c r="BG77" s="98"/>
      <c r="BH77" s="98"/>
      <c r="BI77" s="98"/>
      <c r="BJ77" s="99"/>
      <c r="BK77" s="22"/>
      <c r="BL77" s="22"/>
      <c r="BM77" s="58"/>
      <c r="BN77" s="58"/>
      <c r="BO77" s="58"/>
      <c r="BP77" s="59"/>
      <c r="BQ77" s="60"/>
      <c r="BR77" s="61"/>
      <c r="BS77" s="62" t="str">
        <f>_xlfn.IFNA(VLOOKUP($BR77,[15]Master!$C$4:$J$13,2,FALSE),"-")</f>
        <v>-</v>
      </c>
      <c r="BT77" s="62" t="str">
        <f>_xlfn.IFNA(VLOOKUP($BR77,[15]Master!$C$4:$J$13,3,FALSE),"-")</f>
        <v>-</v>
      </c>
      <c r="BU77" s="62" t="str">
        <f>_xlfn.IFNA(VLOOKUP($BR77,[15]Master!$C$4:$J$13,4,FALSE),"-")</f>
        <v>-</v>
      </c>
      <c r="BV77" s="62" t="str">
        <f>_xlfn.IFNA(VLOOKUP($BR77,[15]Master!$C$4:$J$13,5,FALSE),"-")</f>
        <v>-</v>
      </c>
      <c r="BW77" s="62" t="str">
        <f>_xlfn.IFNA(VLOOKUP($BR77,[15]Master!$C$4:$J$13,6,FALSE),"-")</f>
        <v>-</v>
      </c>
      <c r="BX77" s="62" t="str">
        <f>_xlfn.IFNA(VLOOKUP($BR77,[15]Master!$C$4:$J$13,7,FALSE),"-")</f>
        <v>-</v>
      </c>
      <c r="BY77" s="62" t="str">
        <f>_xlfn.IFNA(VLOOKUP($BR77,[15]Master!$C$4:$J$13,8,FALSE),"-")</f>
        <v>-</v>
      </c>
      <c r="BZ77" s="63">
        <f t="shared" si="3"/>
        <v>0</v>
      </c>
    </row>
    <row r="78" spans="1:78" ht="15.75">
      <c r="A78" s="22"/>
      <c r="B78" s="97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2"/>
      <c r="P78" s="97" t="s">
        <v>194</v>
      </c>
      <c r="Q78" s="98"/>
      <c r="R78" s="98"/>
      <c r="S78" s="98"/>
      <c r="T78" s="98"/>
      <c r="U78" s="98"/>
      <c r="V78" s="98"/>
      <c r="W78" s="98"/>
      <c r="X78" s="99"/>
      <c r="Y78" s="97"/>
      <c r="Z78" s="98"/>
      <c r="AA78" s="99"/>
      <c r="AB78" s="97"/>
      <c r="AC78" s="98"/>
      <c r="AD78" s="98"/>
      <c r="AE78" s="98"/>
      <c r="AF78" s="98"/>
      <c r="AG78" s="98"/>
      <c r="AH78" s="98"/>
      <c r="AI78" s="98"/>
      <c r="AJ78" s="99"/>
      <c r="AK78" s="97"/>
      <c r="AL78" s="98"/>
      <c r="AM78" s="99"/>
      <c r="AN78" s="97"/>
      <c r="AO78" s="98"/>
      <c r="AP78" s="98"/>
      <c r="AQ78" s="98"/>
      <c r="AR78" s="98"/>
      <c r="AS78" s="98"/>
      <c r="AT78" s="98"/>
      <c r="AU78" s="98"/>
      <c r="AV78" s="99"/>
      <c r="AW78" s="97"/>
      <c r="AX78" s="98"/>
      <c r="AY78" s="99"/>
      <c r="AZ78" s="97"/>
      <c r="BA78" s="98"/>
      <c r="BB78" s="98"/>
      <c r="BC78" s="98"/>
      <c r="BD78" s="98"/>
      <c r="BE78" s="98"/>
      <c r="BF78" s="98"/>
      <c r="BG78" s="98"/>
      <c r="BH78" s="98"/>
      <c r="BI78" s="98"/>
      <c r="BJ78" s="99"/>
      <c r="BK78" s="22"/>
      <c r="BL78" s="22"/>
      <c r="BM78" s="58"/>
      <c r="BN78" s="58"/>
      <c r="BO78" s="58"/>
      <c r="BP78" s="59"/>
      <c r="BQ78" s="60"/>
      <c r="BR78" s="61"/>
      <c r="BS78" s="62" t="str">
        <f>_xlfn.IFNA(VLOOKUP($BR78,[15]Master!$C$4:$J$13,2,FALSE),"-")</f>
        <v>-</v>
      </c>
      <c r="BT78" s="62" t="str">
        <f>_xlfn.IFNA(VLOOKUP($BR78,[15]Master!$C$4:$J$13,3,FALSE),"-")</f>
        <v>-</v>
      </c>
      <c r="BU78" s="62" t="str">
        <f>_xlfn.IFNA(VLOOKUP($BR78,[15]Master!$C$4:$J$13,4,FALSE),"-")</f>
        <v>-</v>
      </c>
      <c r="BV78" s="62" t="str">
        <f>_xlfn.IFNA(VLOOKUP($BR78,[15]Master!$C$4:$J$13,5,FALSE),"-")</f>
        <v>-</v>
      </c>
      <c r="BW78" s="62" t="str">
        <f>_xlfn.IFNA(VLOOKUP($BR78,[15]Master!$C$4:$J$13,6,FALSE),"-")</f>
        <v>-</v>
      </c>
      <c r="BX78" s="62" t="str">
        <f>_xlfn.IFNA(VLOOKUP($BR78,[15]Master!$C$4:$J$13,7,FALSE),"-")</f>
        <v>-</v>
      </c>
      <c r="BY78" s="62" t="str">
        <f>_xlfn.IFNA(VLOOKUP($BR78,[15]Master!$C$4:$J$13,8,FALSE),"-")</f>
        <v>-</v>
      </c>
      <c r="BZ78" s="63">
        <f t="shared" si="3"/>
        <v>0</v>
      </c>
    </row>
    <row r="79" spans="1:78" ht="15.75">
      <c r="A79" s="22"/>
      <c r="B79" s="97" t="s">
        <v>245</v>
      </c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9"/>
      <c r="P79" s="97" t="s">
        <v>246</v>
      </c>
      <c r="Q79" s="98"/>
      <c r="R79" s="98"/>
      <c r="S79" s="98"/>
      <c r="T79" s="98"/>
      <c r="U79" s="98"/>
      <c r="V79" s="98"/>
      <c r="W79" s="98"/>
      <c r="X79" s="99"/>
      <c r="Y79" s="97"/>
      <c r="Z79" s="98"/>
      <c r="AA79" s="99"/>
      <c r="AB79" s="97"/>
      <c r="AC79" s="98"/>
      <c r="AD79" s="98"/>
      <c r="AE79" s="98"/>
      <c r="AF79" s="98"/>
      <c r="AG79" s="98"/>
      <c r="AH79" s="98"/>
      <c r="AI79" s="98"/>
      <c r="AJ79" s="99"/>
      <c r="AK79" s="97"/>
      <c r="AL79" s="98"/>
      <c r="AM79" s="99"/>
      <c r="AN79" s="97"/>
      <c r="AO79" s="98"/>
      <c r="AP79" s="98"/>
      <c r="AQ79" s="98"/>
      <c r="AR79" s="98"/>
      <c r="AS79" s="98"/>
      <c r="AT79" s="98"/>
      <c r="AU79" s="98"/>
      <c r="AV79" s="99"/>
      <c r="AW79" s="97"/>
      <c r="AX79" s="98"/>
      <c r="AY79" s="99"/>
      <c r="AZ79" s="97"/>
      <c r="BA79" s="98"/>
      <c r="BB79" s="98"/>
      <c r="BC79" s="98"/>
      <c r="BD79" s="98"/>
      <c r="BE79" s="98"/>
      <c r="BF79" s="98"/>
      <c r="BG79" s="98"/>
      <c r="BH79" s="98"/>
      <c r="BI79" s="98"/>
      <c r="BJ79" s="99"/>
      <c r="BK79" s="22"/>
      <c r="BL79" s="22"/>
      <c r="BM79" s="45">
        <v>1</v>
      </c>
      <c r="BR79" s="39" t="s">
        <v>209</v>
      </c>
      <c r="BS79" s="34">
        <f>_xlfn.IFNA(VLOOKUP($BR79,[15]Master!$C$4:$J$13,2,FALSE),"-")</f>
        <v>0.3</v>
      </c>
      <c r="BT79" s="34">
        <f>_xlfn.IFNA(VLOOKUP($BR79,[15]Master!$C$4:$J$13,3,FALSE),"-")</f>
        <v>1</v>
      </c>
      <c r="BU79" s="34">
        <f>_xlfn.IFNA(VLOOKUP($BR79,[15]Master!$C$4:$J$13,4,FALSE),"-")</f>
        <v>0.2</v>
      </c>
      <c r="BV79" s="34">
        <f>_xlfn.IFNA(VLOOKUP($BR79,[15]Master!$C$4:$J$13,5,FALSE),"-")</f>
        <v>0.1</v>
      </c>
      <c r="BW79" s="34">
        <f>_xlfn.IFNA(VLOOKUP($BR79,[15]Master!$C$4:$J$13,6,FALSE),"-")</f>
        <v>0.2</v>
      </c>
      <c r="BX79" s="34">
        <f>_xlfn.IFNA(VLOOKUP($BR79,[15]Master!$C$4:$J$13,7,FALSE),"-")</f>
        <v>0.1</v>
      </c>
      <c r="BY79" s="34">
        <f>_xlfn.IFNA(VLOOKUP($BR79,[15]Master!$C$4:$J$13,8,FALSE),"-")</f>
        <v>0.2</v>
      </c>
      <c r="BZ79" s="35">
        <f t="shared" si="3"/>
        <v>2.1</v>
      </c>
    </row>
    <row r="80" spans="1:78" ht="15.75">
      <c r="A80" s="22"/>
      <c r="B80" s="97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9"/>
      <c r="P80" s="97" t="s">
        <v>247</v>
      </c>
      <c r="Q80" s="98"/>
      <c r="R80" s="98"/>
      <c r="S80" s="98"/>
      <c r="T80" s="98"/>
      <c r="U80" s="98"/>
      <c r="V80" s="98"/>
      <c r="W80" s="98"/>
      <c r="X80" s="99"/>
      <c r="Y80" s="97"/>
      <c r="Z80" s="98"/>
      <c r="AA80" s="99"/>
      <c r="AB80" s="97"/>
      <c r="AC80" s="98"/>
      <c r="AD80" s="98"/>
      <c r="AE80" s="98"/>
      <c r="AF80" s="98"/>
      <c r="AG80" s="98"/>
      <c r="AH80" s="98"/>
      <c r="AI80" s="98"/>
      <c r="AJ80" s="99"/>
      <c r="AK80" s="97"/>
      <c r="AL80" s="98"/>
      <c r="AM80" s="99"/>
      <c r="AN80" s="97"/>
      <c r="AO80" s="98"/>
      <c r="AP80" s="98"/>
      <c r="AQ80" s="98"/>
      <c r="AR80" s="98"/>
      <c r="AS80" s="98"/>
      <c r="AT80" s="98"/>
      <c r="AU80" s="98"/>
      <c r="AV80" s="99"/>
      <c r="AW80" s="97"/>
      <c r="AX80" s="98"/>
      <c r="AY80" s="99"/>
      <c r="AZ80" s="97"/>
      <c r="BA80" s="98"/>
      <c r="BB80" s="98"/>
      <c r="BC80" s="98"/>
      <c r="BD80" s="98"/>
      <c r="BE80" s="98"/>
      <c r="BF80" s="98"/>
      <c r="BG80" s="98"/>
      <c r="BH80" s="98"/>
      <c r="BI80" s="98"/>
      <c r="BJ80" s="99"/>
      <c r="BK80" s="22"/>
      <c r="BL80" s="22"/>
      <c r="BM80" s="58"/>
      <c r="BN80" s="58"/>
      <c r="BO80" s="58"/>
      <c r="BP80" s="59"/>
      <c r="BQ80" s="60"/>
      <c r="BR80" s="61"/>
      <c r="BS80" s="62" t="str">
        <f>_xlfn.IFNA(VLOOKUP($BR80,[15]Master!$C$4:$J$13,2,FALSE),"-")</f>
        <v>-</v>
      </c>
      <c r="BT80" s="62" t="str">
        <f>_xlfn.IFNA(VLOOKUP($BR80,[15]Master!$C$4:$J$13,3,FALSE),"-")</f>
        <v>-</v>
      </c>
      <c r="BU80" s="62" t="str">
        <f>_xlfn.IFNA(VLOOKUP($BR80,[15]Master!$C$4:$J$13,4,FALSE),"-")</f>
        <v>-</v>
      </c>
      <c r="BV80" s="62" t="str">
        <f>_xlfn.IFNA(VLOOKUP($BR80,[15]Master!$C$4:$J$13,5,FALSE),"-")</f>
        <v>-</v>
      </c>
      <c r="BW80" s="62" t="str">
        <f>_xlfn.IFNA(VLOOKUP($BR80,[15]Master!$C$4:$J$13,6,FALSE),"-")</f>
        <v>-</v>
      </c>
      <c r="BX80" s="62" t="str">
        <f>_xlfn.IFNA(VLOOKUP($BR80,[15]Master!$C$4:$J$13,7,FALSE),"-")</f>
        <v>-</v>
      </c>
      <c r="BY80" s="62" t="str">
        <f>_xlfn.IFNA(VLOOKUP($BR80,[15]Master!$C$4:$J$13,8,FALSE),"-")</f>
        <v>-</v>
      </c>
      <c r="BZ80" s="63">
        <f t="shared" si="3"/>
        <v>0</v>
      </c>
    </row>
    <row r="81" spans="1:78" ht="15.75">
      <c r="A81" s="22"/>
      <c r="B81" s="97" t="s">
        <v>248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9"/>
      <c r="P81" s="97" t="s">
        <v>249</v>
      </c>
      <c r="Q81" s="98"/>
      <c r="R81" s="98"/>
      <c r="S81" s="98"/>
      <c r="T81" s="98"/>
      <c r="U81" s="98"/>
      <c r="V81" s="98"/>
      <c r="W81" s="98"/>
      <c r="X81" s="99"/>
      <c r="Y81" s="97"/>
      <c r="Z81" s="98"/>
      <c r="AA81" s="99"/>
      <c r="AB81" s="97"/>
      <c r="AC81" s="98"/>
      <c r="AD81" s="98"/>
      <c r="AE81" s="98"/>
      <c r="AF81" s="98"/>
      <c r="AG81" s="98"/>
      <c r="AH81" s="98"/>
      <c r="AI81" s="98"/>
      <c r="AJ81" s="99"/>
      <c r="AK81" s="97"/>
      <c r="AL81" s="98"/>
      <c r="AM81" s="99"/>
      <c r="AN81" s="97"/>
      <c r="AO81" s="98"/>
      <c r="AP81" s="98"/>
      <c r="AQ81" s="98"/>
      <c r="AR81" s="98"/>
      <c r="AS81" s="98"/>
      <c r="AT81" s="98"/>
      <c r="AU81" s="98"/>
      <c r="AV81" s="99"/>
      <c r="AW81" s="97"/>
      <c r="AX81" s="98"/>
      <c r="AY81" s="99"/>
      <c r="AZ81" s="97"/>
      <c r="BA81" s="98"/>
      <c r="BB81" s="98"/>
      <c r="BC81" s="98"/>
      <c r="BD81" s="98"/>
      <c r="BE81" s="98"/>
      <c r="BF81" s="98"/>
      <c r="BG81" s="98"/>
      <c r="BH81" s="98"/>
      <c r="BI81" s="98"/>
      <c r="BJ81" s="99"/>
      <c r="BK81" s="22"/>
      <c r="BL81" s="22"/>
      <c r="BM81" s="45">
        <v>2</v>
      </c>
      <c r="BP81" s="47" t="s">
        <v>250</v>
      </c>
      <c r="BR81" s="39" t="s">
        <v>173</v>
      </c>
      <c r="BS81" s="34">
        <f>_xlfn.IFNA(VLOOKUP($BR81,[15]Master!$C$4:$J$13,2,FALSE),"-")</f>
        <v>0.75</v>
      </c>
      <c r="BT81" s="34">
        <f>_xlfn.IFNA(VLOOKUP($BR81,[15]Master!$C$4:$J$13,3,FALSE),"-")</f>
        <v>2.5</v>
      </c>
      <c r="BU81" s="34">
        <f>_xlfn.IFNA(VLOOKUP($BR81,[15]Master!$C$4:$J$13,4,FALSE),"-")</f>
        <v>0.5</v>
      </c>
      <c r="BV81" s="34">
        <f>_xlfn.IFNA(VLOOKUP($BR81,[15]Master!$C$4:$J$13,5,FALSE),"-")</f>
        <v>0.25</v>
      </c>
      <c r="BW81" s="34">
        <f>_xlfn.IFNA(VLOOKUP($BR81,[15]Master!$C$4:$J$13,6,FALSE),"-")</f>
        <v>0.5</v>
      </c>
      <c r="BX81" s="34">
        <f>_xlfn.IFNA(VLOOKUP($BR81,[15]Master!$C$4:$J$13,7,FALSE),"-")</f>
        <v>0.25</v>
      </c>
      <c r="BY81" s="34">
        <f>_xlfn.IFNA(VLOOKUP($BR81,[15]Master!$C$4:$J$13,8,FALSE),"-")</f>
        <v>0.5</v>
      </c>
      <c r="BZ81" s="35">
        <f t="shared" si="3"/>
        <v>5.25</v>
      </c>
    </row>
    <row r="82" spans="1:78" ht="15.75">
      <c r="A82" s="22"/>
      <c r="B82" s="97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9"/>
      <c r="P82" s="97" t="s">
        <v>251</v>
      </c>
      <c r="Q82" s="98"/>
      <c r="R82" s="98"/>
      <c r="S82" s="98"/>
      <c r="T82" s="98"/>
      <c r="U82" s="98"/>
      <c r="V82" s="98"/>
      <c r="W82" s="98"/>
      <c r="X82" s="99"/>
      <c r="Y82" s="97"/>
      <c r="Z82" s="98"/>
      <c r="AA82" s="99"/>
      <c r="AB82" s="97"/>
      <c r="AC82" s="98"/>
      <c r="AD82" s="98"/>
      <c r="AE82" s="98"/>
      <c r="AF82" s="98"/>
      <c r="AG82" s="98"/>
      <c r="AH82" s="98"/>
      <c r="AI82" s="98"/>
      <c r="AJ82" s="99"/>
      <c r="AK82" s="97"/>
      <c r="AL82" s="98"/>
      <c r="AM82" s="99"/>
      <c r="AN82" s="97"/>
      <c r="AO82" s="98"/>
      <c r="AP82" s="98"/>
      <c r="AQ82" s="98"/>
      <c r="AR82" s="98"/>
      <c r="AS82" s="98"/>
      <c r="AT82" s="98"/>
      <c r="AU82" s="98"/>
      <c r="AV82" s="99"/>
      <c r="AW82" s="97"/>
      <c r="AX82" s="98"/>
      <c r="AY82" s="99"/>
      <c r="AZ82" s="97"/>
      <c r="BA82" s="98"/>
      <c r="BB82" s="98"/>
      <c r="BC82" s="98"/>
      <c r="BD82" s="98"/>
      <c r="BE82" s="98"/>
      <c r="BF82" s="98"/>
      <c r="BG82" s="98"/>
      <c r="BH82" s="98"/>
      <c r="BI82" s="98"/>
      <c r="BJ82" s="99"/>
      <c r="BK82" s="22"/>
      <c r="BL82" s="22"/>
      <c r="BM82" s="58"/>
      <c r="BN82" s="58"/>
      <c r="BO82" s="58"/>
      <c r="BP82" s="59"/>
      <c r="BQ82" s="60"/>
      <c r="BR82" s="61"/>
      <c r="BS82" s="62" t="str">
        <f>_xlfn.IFNA(VLOOKUP($BR82,[15]Master!$C$4:$J$13,2,FALSE),"-")</f>
        <v>-</v>
      </c>
      <c r="BT82" s="62" t="str">
        <f>_xlfn.IFNA(VLOOKUP($BR82,[15]Master!$C$4:$J$13,3,FALSE),"-")</f>
        <v>-</v>
      </c>
      <c r="BU82" s="62" t="str">
        <f>_xlfn.IFNA(VLOOKUP($BR82,[15]Master!$C$4:$J$13,4,FALSE),"-")</f>
        <v>-</v>
      </c>
      <c r="BV82" s="62" t="str">
        <f>_xlfn.IFNA(VLOOKUP($BR82,[15]Master!$C$4:$J$13,5,FALSE),"-")</f>
        <v>-</v>
      </c>
      <c r="BW82" s="62" t="str">
        <f>_xlfn.IFNA(VLOOKUP($BR82,[15]Master!$C$4:$J$13,6,FALSE),"-")</f>
        <v>-</v>
      </c>
      <c r="BX82" s="62" t="str">
        <f>_xlfn.IFNA(VLOOKUP($BR82,[15]Master!$C$4:$J$13,7,FALSE),"-")</f>
        <v>-</v>
      </c>
      <c r="BY82" s="62" t="str">
        <f>_xlfn.IFNA(VLOOKUP($BR82,[15]Master!$C$4:$J$13,8,FALSE),"-")</f>
        <v>-</v>
      </c>
      <c r="BZ82" s="63">
        <f t="shared" si="3"/>
        <v>0</v>
      </c>
    </row>
    <row r="83" spans="1:78" ht="15.75">
      <c r="A83" s="22"/>
      <c r="B83" s="97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9"/>
      <c r="P83" s="97" t="s">
        <v>252</v>
      </c>
      <c r="Q83" s="98"/>
      <c r="R83" s="98"/>
      <c r="S83" s="98"/>
      <c r="T83" s="98"/>
      <c r="U83" s="98"/>
      <c r="V83" s="98"/>
      <c r="W83" s="98"/>
      <c r="X83" s="99"/>
      <c r="Y83" s="97"/>
      <c r="Z83" s="98"/>
      <c r="AA83" s="99"/>
      <c r="AB83" s="97"/>
      <c r="AC83" s="98"/>
      <c r="AD83" s="98"/>
      <c r="AE83" s="98"/>
      <c r="AF83" s="98"/>
      <c r="AG83" s="98"/>
      <c r="AH83" s="98"/>
      <c r="AI83" s="98"/>
      <c r="AJ83" s="99"/>
      <c r="AK83" s="97"/>
      <c r="AL83" s="98"/>
      <c r="AM83" s="99"/>
      <c r="AN83" s="97"/>
      <c r="AO83" s="98"/>
      <c r="AP83" s="98"/>
      <c r="AQ83" s="98"/>
      <c r="AR83" s="98"/>
      <c r="AS83" s="98"/>
      <c r="AT83" s="98"/>
      <c r="AU83" s="98"/>
      <c r="AV83" s="99"/>
      <c r="AW83" s="97"/>
      <c r="AX83" s="98"/>
      <c r="AY83" s="99"/>
      <c r="AZ83" s="97"/>
      <c r="BA83" s="98"/>
      <c r="BB83" s="98"/>
      <c r="BC83" s="98"/>
      <c r="BD83" s="98"/>
      <c r="BE83" s="98"/>
      <c r="BF83" s="98"/>
      <c r="BG83" s="98"/>
      <c r="BH83" s="98"/>
      <c r="BI83" s="98"/>
      <c r="BJ83" s="99"/>
      <c r="BK83" s="22"/>
      <c r="BL83" s="22"/>
      <c r="BM83" s="58"/>
      <c r="BN83" s="58"/>
      <c r="BO83" s="58"/>
      <c r="BP83" s="59"/>
      <c r="BQ83" s="60"/>
      <c r="BR83" s="61"/>
      <c r="BS83" s="62" t="str">
        <f>_xlfn.IFNA(VLOOKUP($BR83,[15]Master!$C$4:$J$13,2,FALSE),"-")</f>
        <v>-</v>
      </c>
      <c r="BT83" s="62" t="str">
        <f>_xlfn.IFNA(VLOOKUP($BR83,[15]Master!$C$4:$J$13,3,FALSE),"-")</f>
        <v>-</v>
      </c>
      <c r="BU83" s="62" t="str">
        <f>_xlfn.IFNA(VLOOKUP($BR83,[15]Master!$C$4:$J$13,4,FALSE),"-")</f>
        <v>-</v>
      </c>
      <c r="BV83" s="62" t="str">
        <f>_xlfn.IFNA(VLOOKUP($BR83,[15]Master!$C$4:$J$13,5,FALSE),"-")</f>
        <v>-</v>
      </c>
      <c r="BW83" s="62" t="str">
        <f>_xlfn.IFNA(VLOOKUP($BR83,[15]Master!$C$4:$J$13,6,FALSE),"-")</f>
        <v>-</v>
      </c>
      <c r="BX83" s="62" t="str">
        <f>_xlfn.IFNA(VLOOKUP($BR83,[15]Master!$C$4:$J$13,7,FALSE),"-")</f>
        <v>-</v>
      </c>
      <c r="BY83" s="62" t="str">
        <f>_xlfn.IFNA(VLOOKUP($BR83,[15]Master!$C$4:$J$13,8,FALSE),"-")</f>
        <v>-</v>
      </c>
      <c r="BZ83" s="63">
        <f t="shared" si="3"/>
        <v>0</v>
      </c>
    </row>
    <row r="84" spans="1:78" ht="15.75">
      <c r="A84" s="22"/>
      <c r="B84" s="97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9"/>
      <c r="P84" s="97" t="s">
        <v>253</v>
      </c>
      <c r="Q84" s="98"/>
      <c r="R84" s="98"/>
      <c r="S84" s="98"/>
      <c r="T84" s="98"/>
      <c r="U84" s="98"/>
      <c r="V84" s="98"/>
      <c r="W84" s="98"/>
      <c r="X84" s="99"/>
      <c r="Y84" s="97"/>
      <c r="Z84" s="98"/>
      <c r="AA84" s="99"/>
      <c r="AB84" s="97"/>
      <c r="AC84" s="98"/>
      <c r="AD84" s="98"/>
      <c r="AE84" s="98"/>
      <c r="AF84" s="98"/>
      <c r="AG84" s="98"/>
      <c r="AH84" s="98"/>
      <c r="AI84" s="98"/>
      <c r="AJ84" s="99"/>
      <c r="AK84" s="97"/>
      <c r="AL84" s="98"/>
      <c r="AM84" s="99"/>
      <c r="AN84" s="97"/>
      <c r="AO84" s="98"/>
      <c r="AP84" s="98"/>
      <c r="AQ84" s="98"/>
      <c r="AR84" s="98"/>
      <c r="AS84" s="98"/>
      <c r="AT84" s="98"/>
      <c r="AU84" s="98"/>
      <c r="AV84" s="99"/>
      <c r="AW84" s="97"/>
      <c r="AX84" s="98"/>
      <c r="AY84" s="99"/>
      <c r="AZ84" s="97"/>
      <c r="BA84" s="98"/>
      <c r="BB84" s="98"/>
      <c r="BC84" s="98"/>
      <c r="BD84" s="98"/>
      <c r="BE84" s="98"/>
      <c r="BF84" s="98"/>
      <c r="BG84" s="98"/>
      <c r="BH84" s="98"/>
      <c r="BI84" s="98"/>
      <c r="BJ84" s="99"/>
      <c r="BK84" s="22"/>
      <c r="BL84" s="22"/>
      <c r="BM84" s="58"/>
      <c r="BN84" s="58"/>
      <c r="BO84" s="58"/>
      <c r="BP84" s="59"/>
      <c r="BQ84" s="60"/>
      <c r="BR84" s="61"/>
      <c r="BS84" s="62" t="str">
        <f>_xlfn.IFNA(VLOOKUP($BR84,[15]Master!$C$4:$J$13,2,FALSE),"-")</f>
        <v>-</v>
      </c>
      <c r="BT84" s="62" t="str">
        <f>_xlfn.IFNA(VLOOKUP($BR84,[15]Master!$C$4:$J$13,3,FALSE),"-")</f>
        <v>-</v>
      </c>
      <c r="BU84" s="62" t="str">
        <f>_xlfn.IFNA(VLOOKUP($BR84,[15]Master!$C$4:$J$13,4,FALSE),"-")</f>
        <v>-</v>
      </c>
      <c r="BV84" s="62" t="str">
        <f>_xlfn.IFNA(VLOOKUP($BR84,[15]Master!$C$4:$J$13,5,FALSE),"-")</f>
        <v>-</v>
      </c>
      <c r="BW84" s="62" t="str">
        <f>_xlfn.IFNA(VLOOKUP($BR84,[15]Master!$C$4:$J$13,6,FALSE),"-")</f>
        <v>-</v>
      </c>
      <c r="BX84" s="62" t="str">
        <f>_xlfn.IFNA(VLOOKUP($BR84,[15]Master!$C$4:$J$13,7,FALSE),"-")</f>
        <v>-</v>
      </c>
      <c r="BY84" s="62" t="str">
        <f>_xlfn.IFNA(VLOOKUP($BR84,[15]Master!$C$4:$J$13,8,FALSE),"-")</f>
        <v>-</v>
      </c>
      <c r="BZ84" s="63">
        <f t="shared" si="3"/>
        <v>0</v>
      </c>
    </row>
    <row r="85" spans="1:78" ht="15.75">
      <c r="A85" s="22"/>
      <c r="B85" s="97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9"/>
      <c r="P85" s="97" t="s">
        <v>254</v>
      </c>
      <c r="Q85" s="98"/>
      <c r="R85" s="98"/>
      <c r="S85" s="98"/>
      <c r="T85" s="98"/>
      <c r="U85" s="98"/>
      <c r="V85" s="98"/>
      <c r="W85" s="98"/>
      <c r="X85" s="99"/>
      <c r="Y85" s="97"/>
      <c r="Z85" s="98"/>
      <c r="AA85" s="99"/>
      <c r="AB85" s="97"/>
      <c r="AC85" s="98"/>
      <c r="AD85" s="98"/>
      <c r="AE85" s="98"/>
      <c r="AF85" s="98"/>
      <c r="AG85" s="98"/>
      <c r="AH85" s="98"/>
      <c r="AI85" s="98"/>
      <c r="AJ85" s="99"/>
      <c r="AK85" s="97"/>
      <c r="AL85" s="98"/>
      <c r="AM85" s="99"/>
      <c r="AN85" s="97"/>
      <c r="AO85" s="98"/>
      <c r="AP85" s="98"/>
      <c r="AQ85" s="98"/>
      <c r="AR85" s="98"/>
      <c r="AS85" s="98"/>
      <c r="AT85" s="98"/>
      <c r="AU85" s="98"/>
      <c r="AV85" s="99"/>
      <c r="AW85" s="97"/>
      <c r="AX85" s="98"/>
      <c r="AY85" s="99"/>
      <c r="AZ85" s="97"/>
      <c r="BA85" s="98"/>
      <c r="BB85" s="98"/>
      <c r="BC85" s="98"/>
      <c r="BD85" s="98"/>
      <c r="BE85" s="98"/>
      <c r="BF85" s="98"/>
      <c r="BG85" s="98"/>
      <c r="BH85" s="98"/>
      <c r="BI85" s="98"/>
      <c r="BJ85" s="99"/>
      <c r="BK85" s="22"/>
      <c r="BL85" s="22"/>
      <c r="BM85" s="58"/>
      <c r="BN85" s="58"/>
      <c r="BO85" s="58"/>
      <c r="BP85" s="59"/>
      <c r="BQ85" s="60"/>
      <c r="BR85" s="61"/>
      <c r="BS85" s="62" t="str">
        <f>_xlfn.IFNA(VLOOKUP($BR85,[15]Master!$C$4:$J$13,2,FALSE),"-")</f>
        <v>-</v>
      </c>
      <c r="BT85" s="62" t="str">
        <f>_xlfn.IFNA(VLOOKUP($BR85,[15]Master!$C$4:$J$13,3,FALSE),"-")</f>
        <v>-</v>
      </c>
      <c r="BU85" s="62" t="str">
        <f>_xlfn.IFNA(VLOOKUP($BR85,[15]Master!$C$4:$J$13,4,FALSE),"-")</f>
        <v>-</v>
      </c>
      <c r="BV85" s="62" t="str">
        <f>_xlfn.IFNA(VLOOKUP($BR85,[15]Master!$C$4:$J$13,5,FALSE),"-")</f>
        <v>-</v>
      </c>
      <c r="BW85" s="62" t="str">
        <f>_xlfn.IFNA(VLOOKUP($BR85,[15]Master!$C$4:$J$13,6,FALSE),"-")</f>
        <v>-</v>
      </c>
      <c r="BX85" s="62" t="str">
        <f>_xlfn.IFNA(VLOOKUP($BR85,[15]Master!$C$4:$J$13,7,FALSE),"-")</f>
        <v>-</v>
      </c>
      <c r="BY85" s="62" t="str">
        <f>_xlfn.IFNA(VLOOKUP($BR85,[15]Master!$C$4:$J$13,8,FALSE),"-")</f>
        <v>-</v>
      </c>
      <c r="BZ85" s="63">
        <f t="shared" si="3"/>
        <v>0</v>
      </c>
    </row>
    <row r="86" spans="1:78" ht="15.75">
      <c r="A86" s="22"/>
      <c r="B86" s="97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9"/>
      <c r="P86" s="97" t="s">
        <v>190</v>
      </c>
      <c r="Q86" s="98"/>
      <c r="R86" s="98"/>
      <c r="S86" s="98"/>
      <c r="T86" s="98"/>
      <c r="U86" s="98"/>
      <c r="V86" s="98"/>
      <c r="W86" s="98"/>
      <c r="X86" s="99"/>
      <c r="Y86" s="97"/>
      <c r="Z86" s="98"/>
      <c r="AA86" s="99"/>
      <c r="AB86" s="97"/>
      <c r="AC86" s="98"/>
      <c r="AD86" s="98"/>
      <c r="AE86" s="98"/>
      <c r="AF86" s="98"/>
      <c r="AG86" s="98"/>
      <c r="AH86" s="98"/>
      <c r="AI86" s="98"/>
      <c r="AJ86" s="99"/>
      <c r="AK86" s="97"/>
      <c r="AL86" s="98"/>
      <c r="AM86" s="99"/>
      <c r="AN86" s="97"/>
      <c r="AO86" s="98"/>
      <c r="AP86" s="98"/>
      <c r="AQ86" s="98"/>
      <c r="AR86" s="98"/>
      <c r="AS86" s="98"/>
      <c r="AT86" s="98"/>
      <c r="AU86" s="98"/>
      <c r="AV86" s="99"/>
      <c r="AW86" s="97"/>
      <c r="AX86" s="98"/>
      <c r="AY86" s="99"/>
      <c r="AZ86" s="97"/>
      <c r="BA86" s="98"/>
      <c r="BB86" s="98"/>
      <c r="BC86" s="98"/>
      <c r="BD86" s="98"/>
      <c r="BE86" s="98"/>
      <c r="BF86" s="98"/>
      <c r="BG86" s="98"/>
      <c r="BH86" s="98"/>
      <c r="BI86" s="98"/>
      <c r="BJ86" s="99"/>
      <c r="BK86" s="22"/>
      <c r="BL86" s="22"/>
      <c r="BM86" s="58"/>
      <c r="BN86" s="58"/>
      <c r="BO86" s="58"/>
      <c r="BP86" s="59"/>
      <c r="BQ86" s="60"/>
      <c r="BR86" s="61"/>
      <c r="BS86" s="62" t="str">
        <f>_xlfn.IFNA(VLOOKUP($BR86,[15]Master!$C$4:$J$13,2,FALSE),"-")</f>
        <v>-</v>
      </c>
      <c r="BT86" s="62" t="str">
        <f>_xlfn.IFNA(VLOOKUP($BR86,[15]Master!$C$4:$J$13,3,FALSE),"-")</f>
        <v>-</v>
      </c>
      <c r="BU86" s="62" t="str">
        <f>_xlfn.IFNA(VLOOKUP($BR86,[15]Master!$C$4:$J$13,4,FALSE),"-")</f>
        <v>-</v>
      </c>
      <c r="BV86" s="62" t="str">
        <f>_xlfn.IFNA(VLOOKUP($BR86,[15]Master!$C$4:$J$13,5,FALSE),"-")</f>
        <v>-</v>
      </c>
      <c r="BW86" s="62" t="str">
        <f>_xlfn.IFNA(VLOOKUP($BR86,[15]Master!$C$4:$J$13,6,FALSE),"-")</f>
        <v>-</v>
      </c>
      <c r="BX86" s="62" t="str">
        <f>_xlfn.IFNA(VLOOKUP($BR86,[15]Master!$C$4:$J$13,7,FALSE),"-")</f>
        <v>-</v>
      </c>
      <c r="BY86" s="62" t="str">
        <f>_xlfn.IFNA(VLOOKUP($BR86,[15]Master!$C$4:$J$13,8,FALSE),"-")</f>
        <v>-</v>
      </c>
      <c r="BZ86" s="63">
        <f t="shared" si="3"/>
        <v>0</v>
      </c>
    </row>
    <row r="87" spans="1:78" ht="15.75">
      <c r="A87" s="22"/>
      <c r="B87" s="97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9"/>
      <c r="P87" s="97" t="s">
        <v>194</v>
      </c>
      <c r="Q87" s="98"/>
      <c r="R87" s="98"/>
      <c r="S87" s="98"/>
      <c r="T87" s="98"/>
      <c r="U87" s="98"/>
      <c r="V87" s="98"/>
      <c r="W87" s="98"/>
      <c r="X87" s="99"/>
      <c r="Y87" s="97"/>
      <c r="Z87" s="98"/>
      <c r="AA87" s="99"/>
      <c r="AB87" s="97"/>
      <c r="AC87" s="98"/>
      <c r="AD87" s="98"/>
      <c r="AE87" s="98"/>
      <c r="AF87" s="98"/>
      <c r="AG87" s="98"/>
      <c r="AH87" s="98"/>
      <c r="AI87" s="98"/>
      <c r="AJ87" s="99"/>
      <c r="AK87" s="97"/>
      <c r="AL87" s="98"/>
      <c r="AM87" s="99"/>
      <c r="AN87" s="97"/>
      <c r="AO87" s="98"/>
      <c r="AP87" s="98"/>
      <c r="AQ87" s="98"/>
      <c r="AR87" s="98"/>
      <c r="AS87" s="98"/>
      <c r="AT87" s="98"/>
      <c r="AU87" s="98"/>
      <c r="AV87" s="99"/>
      <c r="AW87" s="97"/>
      <c r="AX87" s="98"/>
      <c r="AY87" s="99"/>
      <c r="AZ87" s="97"/>
      <c r="BA87" s="98"/>
      <c r="BB87" s="98"/>
      <c r="BC87" s="98"/>
      <c r="BD87" s="98"/>
      <c r="BE87" s="98"/>
      <c r="BF87" s="98"/>
      <c r="BG87" s="98"/>
      <c r="BH87" s="98"/>
      <c r="BI87" s="98"/>
      <c r="BJ87" s="99"/>
      <c r="BK87" s="22"/>
      <c r="BL87" s="22"/>
      <c r="BM87" s="58"/>
      <c r="BN87" s="58"/>
      <c r="BO87" s="58"/>
      <c r="BP87" s="59"/>
      <c r="BQ87" s="60"/>
      <c r="BR87" s="61"/>
      <c r="BS87" s="62" t="str">
        <f>_xlfn.IFNA(VLOOKUP($BR87,[15]Master!$C$4:$J$13,2,FALSE),"-")</f>
        <v>-</v>
      </c>
      <c r="BT87" s="62" t="str">
        <f>_xlfn.IFNA(VLOOKUP($BR87,[15]Master!$C$4:$J$13,3,FALSE),"-")</f>
        <v>-</v>
      </c>
      <c r="BU87" s="62" t="str">
        <f>_xlfn.IFNA(VLOOKUP($BR87,[15]Master!$C$4:$J$13,4,FALSE),"-")</f>
        <v>-</v>
      </c>
      <c r="BV87" s="62" t="str">
        <f>_xlfn.IFNA(VLOOKUP($BR87,[15]Master!$C$4:$J$13,5,FALSE),"-")</f>
        <v>-</v>
      </c>
      <c r="BW87" s="62" t="str">
        <f>_xlfn.IFNA(VLOOKUP($BR87,[15]Master!$C$4:$J$13,6,FALSE),"-")</f>
        <v>-</v>
      </c>
      <c r="BX87" s="62" t="str">
        <f>_xlfn.IFNA(VLOOKUP($BR87,[15]Master!$C$4:$J$13,7,FALSE),"-")</f>
        <v>-</v>
      </c>
      <c r="BY87" s="62" t="str">
        <f>_xlfn.IFNA(VLOOKUP($BR87,[15]Master!$C$4:$J$13,8,FALSE),"-")</f>
        <v>-</v>
      </c>
      <c r="BZ87" s="63">
        <f t="shared" si="3"/>
        <v>0</v>
      </c>
    </row>
    <row r="88" spans="1:78" ht="15.75">
      <c r="A88" s="22"/>
      <c r="B88" s="109" t="s">
        <v>255</v>
      </c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8"/>
      <c r="P88" s="97" t="s">
        <v>256</v>
      </c>
      <c r="Q88" s="98"/>
      <c r="R88" s="98"/>
      <c r="S88" s="98"/>
      <c r="T88" s="98"/>
      <c r="U88" s="98"/>
      <c r="V88" s="98"/>
      <c r="W88" s="98"/>
      <c r="X88" s="99"/>
      <c r="Y88" s="97"/>
      <c r="Z88" s="98"/>
      <c r="AA88" s="99"/>
      <c r="AB88" s="97"/>
      <c r="AC88" s="98"/>
      <c r="AD88" s="98"/>
      <c r="AE88" s="98"/>
      <c r="AF88" s="98"/>
      <c r="AG88" s="98"/>
      <c r="AH88" s="98"/>
      <c r="AI88" s="98"/>
      <c r="AJ88" s="99"/>
      <c r="AK88" s="97"/>
      <c r="AL88" s="98"/>
      <c r="AM88" s="99"/>
      <c r="AN88" s="97"/>
      <c r="AO88" s="98"/>
      <c r="AP88" s="98"/>
      <c r="AQ88" s="98"/>
      <c r="AR88" s="98"/>
      <c r="AS88" s="98"/>
      <c r="AT88" s="98"/>
      <c r="AU88" s="98"/>
      <c r="AV88" s="99"/>
      <c r="AW88" s="97"/>
      <c r="AX88" s="98"/>
      <c r="AY88" s="99"/>
      <c r="AZ88" s="97"/>
      <c r="BA88" s="98"/>
      <c r="BB88" s="98"/>
      <c r="BC88" s="98"/>
      <c r="BD88" s="98"/>
      <c r="BE88" s="98"/>
      <c r="BF88" s="98"/>
      <c r="BG88" s="98"/>
      <c r="BH88" s="98"/>
      <c r="BI88" s="98"/>
      <c r="BJ88" s="99"/>
      <c r="BK88" s="22"/>
      <c r="BL88" s="22"/>
      <c r="BM88" s="45">
        <v>1</v>
      </c>
      <c r="BR88" s="39" t="s">
        <v>209</v>
      </c>
      <c r="BS88" s="34">
        <f>_xlfn.IFNA(VLOOKUP($BR88,[15]Master!$C$4:$J$13,2,FALSE),"-")</f>
        <v>0.3</v>
      </c>
      <c r="BT88" s="34">
        <f>_xlfn.IFNA(VLOOKUP($BR88,[15]Master!$C$4:$J$13,3,FALSE),"-")</f>
        <v>1</v>
      </c>
      <c r="BU88" s="34">
        <f>_xlfn.IFNA(VLOOKUP($BR88,[15]Master!$C$4:$J$13,4,FALSE),"-")</f>
        <v>0.2</v>
      </c>
      <c r="BV88" s="34">
        <f>_xlfn.IFNA(VLOOKUP($BR88,[15]Master!$C$4:$J$13,5,FALSE),"-")</f>
        <v>0.1</v>
      </c>
      <c r="BW88" s="34">
        <f>_xlfn.IFNA(VLOOKUP($BR88,[15]Master!$C$4:$J$13,6,FALSE),"-")</f>
        <v>0.2</v>
      </c>
      <c r="BX88" s="34">
        <f>_xlfn.IFNA(VLOOKUP($BR88,[15]Master!$C$4:$J$13,7,FALSE),"-")</f>
        <v>0.1</v>
      </c>
      <c r="BY88" s="34">
        <f>_xlfn.IFNA(VLOOKUP($BR88,[15]Master!$C$4:$J$13,8,FALSE),"-")</f>
        <v>0.2</v>
      </c>
      <c r="BZ88" s="35">
        <f t="shared" si="3"/>
        <v>2.1</v>
      </c>
    </row>
    <row r="89" spans="1:78" ht="15.75">
      <c r="A89" s="22"/>
      <c r="B89" s="100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2"/>
      <c r="P89" s="97" t="s">
        <v>257</v>
      </c>
      <c r="Q89" s="98"/>
      <c r="R89" s="98"/>
      <c r="S89" s="98"/>
      <c r="T89" s="98"/>
      <c r="U89" s="98"/>
      <c r="V89" s="98"/>
      <c r="W89" s="98"/>
      <c r="X89" s="99"/>
      <c r="Y89" s="97"/>
      <c r="Z89" s="98"/>
      <c r="AA89" s="99"/>
      <c r="AB89" s="97"/>
      <c r="AC89" s="98"/>
      <c r="AD89" s="98"/>
      <c r="AE89" s="98"/>
      <c r="AF89" s="98"/>
      <c r="AG89" s="98"/>
      <c r="AH89" s="98"/>
      <c r="AI89" s="98"/>
      <c r="AJ89" s="99"/>
      <c r="AK89" s="97"/>
      <c r="AL89" s="98"/>
      <c r="AM89" s="99"/>
      <c r="AN89" s="97"/>
      <c r="AO89" s="98"/>
      <c r="AP89" s="98"/>
      <c r="AQ89" s="98"/>
      <c r="AR89" s="98"/>
      <c r="AS89" s="98"/>
      <c r="AT89" s="98"/>
      <c r="AU89" s="98"/>
      <c r="AV89" s="99"/>
      <c r="AW89" s="97"/>
      <c r="AX89" s="98"/>
      <c r="AY89" s="99"/>
      <c r="AZ89" s="97"/>
      <c r="BA89" s="98"/>
      <c r="BB89" s="98"/>
      <c r="BC89" s="98"/>
      <c r="BD89" s="98"/>
      <c r="BE89" s="98"/>
      <c r="BF89" s="98"/>
      <c r="BG89" s="98"/>
      <c r="BH89" s="98"/>
      <c r="BI89" s="98"/>
      <c r="BJ89" s="99"/>
      <c r="BK89" s="22"/>
      <c r="BL89" s="22"/>
      <c r="BM89" s="58"/>
      <c r="BN89" s="58"/>
      <c r="BO89" s="58"/>
      <c r="BP89" s="59"/>
      <c r="BQ89" s="60"/>
      <c r="BR89" s="61"/>
      <c r="BS89" s="62" t="str">
        <f>_xlfn.IFNA(VLOOKUP($BR89,[15]Master!$C$4:$J$13,2,FALSE),"-")</f>
        <v>-</v>
      </c>
      <c r="BT89" s="62" t="str">
        <f>_xlfn.IFNA(VLOOKUP($BR89,[15]Master!$C$4:$J$13,3,FALSE),"-")</f>
        <v>-</v>
      </c>
      <c r="BU89" s="62" t="str">
        <f>_xlfn.IFNA(VLOOKUP($BR89,[15]Master!$C$4:$J$13,4,FALSE),"-")</f>
        <v>-</v>
      </c>
      <c r="BV89" s="62" t="str">
        <f>_xlfn.IFNA(VLOOKUP($BR89,[15]Master!$C$4:$J$13,5,FALSE),"-")</f>
        <v>-</v>
      </c>
      <c r="BW89" s="62" t="str">
        <f>_xlfn.IFNA(VLOOKUP($BR89,[15]Master!$C$4:$J$13,6,FALSE),"-")</f>
        <v>-</v>
      </c>
      <c r="BX89" s="62" t="str">
        <f>_xlfn.IFNA(VLOOKUP($BR89,[15]Master!$C$4:$J$13,7,FALSE),"-")</f>
        <v>-</v>
      </c>
      <c r="BY89" s="62" t="str">
        <f>_xlfn.IFNA(VLOOKUP($BR89,[15]Master!$C$4:$J$13,8,FALSE),"-")</f>
        <v>-</v>
      </c>
      <c r="BZ89" s="63">
        <f t="shared" si="3"/>
        <v>0</v>
      </c>
    </row>
    <row r="90" spans="1:78" ht="15.75">
      <c r="A90" s="22"/>
      <c r="B90" s="97" t="s">
        <v>258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9"/>
      <c r="P90" s="103" t="s">
        <v>259</v>
      </c>
      <c r="Q90" s="104"/>
      <c r="R90" s="104"/>
      <c r="S90" s="104"/>
      <c r="T90" s="104"/>
      <c r="U90" s="104"/>
      <c r="V90" s="104"/>
      <c r="W90" s="104"/>
      <c r="X90" s="105"/>
      <c r="Y90" s="97"/>
      <c r="Z90" s="98"/>
      <c r="AA90" s="99"/>
      <c r="AB90" s="100" t="s">
        <v>260</v>
      </c>
      <c r="AC90" s="98"/>
      <c r="AD90" s="98"/>
      <c r="AE90" s="98"/>
      <c r="AF90" s="98"/>
      <c r="AG90" s="98"/>
      <c r="AH90" s="98"/>
      <c r="AI90" s="98"/>
      <c r="AJ90" s="99"/>
      <c r="AK90" s="97"/>
      <c r="AL90" s="98"/>
      <c r="AM90" s="99"/>
      <c r="AN90" s="97" t="s">
        <v>261</v>
      </c>
      <c r="AO90" s="98"/>
      <c r="AP90" s="98"/>
      <c r="AQ90" s="98"/>
      <c r="AR90" s="98"/>
      <c r="AS90" s="98"/>
      <c r="AT90" s="98"/>
      <c r="AU90" s="98"/>
      <c r="AV90" s="99"/>
      <c r="AW90" s="97"/>
      <c r="AX90" s="98"/>
      <c r="AY90" s="99"/>
      <c r="AZ90" s="97"/>
      <c r="BA90" s="98"/>
      <c r="BB90" s="98"/>
      <c r="BC90" s="98"/>
      <c r="BD90" s="98"/>
      <c r="BE90" s="98"/>
      <c r="BF90" s="98"/>
      <c r="BG90" s="98"/>
      <c r="BH90" s="98"/>
      <c r="BI90" s="98"/>
      <c r="BJ90" s="99"/>
      <c r="BK90" s="22"/>
      <c r="BL90" s="22"/>
      <c r="BM90" s="45">
        <v>1</v>
      </c>
      <c r="BR90" s="39" t="s">
        <v>209</v>
      </c>
      <c r="BS90" s="34">
        <f>_xlfn.IFNA(VLOOKUP($BR90,[15]Master!$C$4:$J$13,2,FALSE),"-")</f>
        <v>0.3</v>
      </c>
      <c r="BT90" s="34">
        <f>_xlfn.IFNA(VLOOKUP($BR90,[15]Master!$C$4:$J$13,3,FALSE),"-")</f>
        <v>1</v>
      </c>
      <c r="BU90" s="34">
        <f>_xlfn.IFNA(VLOOKUP($BR90,[15]Master!$C$4:$J$13,4,FALSE),"-")</f>
        <v>0.2</v>
      </c>
      <c r="BV90" s="34">
        <f>_xlfn.IFNA(VLOOKUP($BR90,[15]Master!$C$4:$J$13,5,FALSE),"-")</f>
        <v>0.1</v>
      </c>
      <c r="BW90" s="34">
        <f>_xlfn.IFNA(VLOOKUP($BR90,[15]Master!$C$4:$J$13,6,FALSE),"-")</f>
        <v>0.2</v>
      </c>
      <c r="BX90" s="34">
        <f>_xlfn.IFNA(VLOOKUP($BR90,[15]Master!$C$4:$J$13,7,FALSE),"-")</f>
        <v>0.1</v>
      </c>
      <c r="BY90" s="34">
        <f>_xlfn.IFNA(VLOOKUP($BR90,[15]Master!$C$4:$J$13,8,FALSE),"-")</f>
        <v>0.2</v>
      </c>
      <c r="BZ90" s="35">
        <f t="shared" si="3"/>
        <v>2.1</v>
      </c>
    </row>
    <row r="91" spans="1:78" ht="30">
      <c r="A91" s="22"/>
      <c r="B91" s="97" t="s">
        <v>262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9"/>
      <c r="P91" s="103" t="s">
        <v>263</v>
      </c>
      <c r="Q91" s="104"/>
      <c r="R91" s="104"/>
      <c r="S91" s="104"/>
      <c r="T91" s="104"/>
      <c r="U91" s="104"/>
      <c r="V91" s="104"/>
      <c r="W91" s="104"/>
      <c r="X91" s="105"/>
      <c r="Y91" s="97"/>
      <c r="Z91" s="98"/>
      <c r="AA91" s="99"/>
      <c r="AB91" s="100" t="s">
        <v>260</v>
      </c>
      <c r="AC91" s="98"/>
      <c r="AD91" s="98"/>
      <c r="AE91" s="98"/>
      <c r="AF91" s="98"/>
      <c r="AG91" s="98"/>
      <c r="AH91" s="98"/>
      <c r="AI91" s="98"/>
      <c r="AJ91" s="99"/>
      <c r="AK91" s="97"/>
      <c r="AL91" s="98"/>
      <c r="AM91" s="99"/>
      <c r="AN91" s="97"/>
      <c r="AO91" s="98"/>
      <c r="AP91" s="98"/>
      <c r="AQ91" s="98"/>
      <c r="AR91" s="98"/>
      <c r="AS91" s="98"/>
      <c r="AT91" s="98"/>
      <c r="AU91" s="98"/>
      <c r="AV91" s="99"/>
      <c r="AW91" s="97"/>
      <c r="AX91" s="98"/>
      <c r="AY91" s="99"/>
      <c r="AZ91" s="97"/>
      <c r="BA91" s="98"/>
      <c r="BB91" s="98"/>
      <c r="BC91" s="98"/>
      <c r="BD91" s="98"/>
      <c r="BE91" s="98"/>
      <c r="BF91" s="98"/>
      <c r="BG91" s="98"/>
      <c r="BH91" s="98"/>
      <c r="BI91" s="98"/>
      <c r="BJ91" s="99"/>
      <c r="BK91" s="22"/>
      <c r="BL91" s="22"/>
      <c r="BP91" s="47" t="s">
        <v>264</v>
      </c>
      <c r="BR91" s="39" t="s">
        <v>173</v>
      </c>
      <c r="BS91" s="34">
        <f>_xlfn.IFNA(VLOOKUP($BR91,[15]Master!$C$4:$J$13,2,FALSE),"-")</f>
        <v>0.75</v>
      </c>
      <c r="BT91" s="34">
        <f>_xlfn.IFNA(VLOOKUP($BR91,[15]Master!$C$4:$J$13,3,FALSE),"-")</f>
        <v>2.5</v>
      </c>
      <c r="BU91" s="34">
        <f>_xlfn.IFNA(VLOOKUP($BR91,[15]Master!$C$4:$J$13,4,FALSE),"-")</f>
        <v>0.5</v>
      </c>
      <c r="BV91" s="34">
        <f>_xlfn.IFNA(VLOOKUP($BR91,[15]Master!$C$4:$J$13,5,FALSE),"-")</f>
        <v>0.25</v>
      </c>
      <c r="BW91" s="34">
        <f>_xlfn.IFNA(VLOOKUP($BR91,[15]Master!$C$4:$J$13,6,FALSE),"-")</f>
        <v>0.5</v>
      </c>
      <c r="BX91" s="34">
        <f>_xlfn.IFNA(VLOOKUP($BR91,[15]Master!$C$4:$J$13,7,FALSE),"-")</f>
        <v>0.25</v>
      </c>
      <c r="BY91" s="34">
        <f>_xlfn.IFNA(VLOOKUP($BR91,[15]Master!$C$4:$J$13,8,FALSE),"-")</f>
        <v>0.5</v>
      </c>
      <c r="BZ91" s="35">
        <f t="shared" si="3"/>
        <v>5.25</v>
      </c>
    </row>
    <row r="92" spans="1:78" ht="15.75">
      <c r="A92" s="22"/>
      <c r="B92" s="97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9"/>
      <c r="P92" s="103" t="s">
        <v>265</v>
      </c>
      <c r="Q92" s="104"/>
      <c r="R92" s="104"/>
      <c r="S92" s="104"/>
      <c r="T92" s="104"/>
      <c r="U92" s="104"/>
      <c r="V92" s="104"/>
      <c r="W92" s="104"/>
      <c r="X92" s="105"/>
      <c r="Y92" s="97"/>
      <c r="Z92" s="98"/>
      <c r="AA92" s="99"/>
      <c r="AB92" s="100"/>
      <c r="AC92" s="98"/>
      <c r="AD92" s="98"/>
      <c r="AE92" s="98"/>
      <c r="AF92" s="98"/>
      <c r="AG92" s="98"/>
      <c r="AH92" s="98"/>
      <c r="AI92" s="98"/>
      <c r="AJ92" s="99"/>
      <c r="AK92" s="97"/>
      <c r="AL92" s="98"/>
      <c r="AM92" s="99"/>
      <c r="AN92" s="97"/>
      <c r="AO92" s="98"/>
      <c r="AP92" s="98"/>
      <c r="AQ92" s="98"/>
      <c r="AR92" s="98"/>
      <c r="AS92" s="98"/>
      <c r="AT92" s="98"/>
      <c r="AU92" s="98"/>
      <c r="AV92" s="99"/>
      <c r="AW92" s="97"/>
      <c r="AX92" s="98"/>
      <c r="AY92" s="99"/>
      <c r="AZ92" s="97"/>
      <c r="BA92" s="98"/>
      <c r="BB92" s="98"/>
      <c r="BC92" s="98"/>
      <c r="BD92" s="98"/>
      <c r="BE92" s="98"/>
      <c r="BF92" s="98"/>
      <c r="BG92" s="98"/>
      <c r="BH92" s="98"/>
      <c r="BI92" s="98"/>
      <c r="BJ92" s="99"/>
      <c r="BK92" s="22"/>
      <c r="BL92" s="22"/>
      <c r="BM92" s="58"/>
      <c r="BN92" s="58"/>
      <c r="BO92" s="58"/>
      <c r="BP92" s="59"/>
      <c r="BQ92" s="60"/>
      <c r="BR92" s="61"/>
      <c r="BS92" s="62" t="str">
        <f>_xlfn.IFNA(VLOOKUP($BR92,[15]Master!$C$4:$J$13,2,FALSE),"-")</f>
        <v>-</v>
      </c>
      <c r="BT92" s="62" t="str">
        <f>_xlfn.IFNA(VLOOKUP($BR92,[15]Master!$C$4:$J$13,3,FALSE),"-")</f>
        <v>-</v>
      </c>
      <c r="BU92" s="62" t="str">
        <f>_xlfn.IFNA(VLOOKUP($BR92,[15]Master!$C$4:$J$13,4,FALSE),"-")</f>
        <v>-</v>
      </c>
      <c r="BV92" s="62" t="str">
        <f>_xlfn.IFNA(VLOOKUP($BR92,[15]Master!$C$4:$J$13,5,FALSE),"-")</f>
        <v>-</v>
      </c>
      <c r="BW92" s="62" t="str">
        <f>_xlfn.IFNA(VLOOKUP($BR92,[15]Master!$C$4:$J$13,6,FALSE),"-")</f>
        <v>-</v>
      </c>
      <c r="BX92" s="62" t="str">
        <f>_xlfn.IFNA(VLOOKUP($BR92,[15]Master!$C$4:$J$13,7,FALSE),"-")</f>
        <v>-</v>
      </c>
      <c r="BY92" s="62" t="str">
        <f>_xlfn.IFNA(VLOOKUP($BR92,[15]Master!$C$4:$J$13,8,FALSE),"-")</f>
        <v>-</v>
      </c>
      <c r="BZ92" s="63">
        <f t="shared" si="3"/>
        <v>0</v>
      </c>
    </row>
    <row r="93" spans="1:78" ht="30">
      <c r="A93" s="22"/>
      <c r="B93" s="97" t="s">
        <v>266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9"/>
      <c r="P93" s="103" t="s">
        <v>267</v>
      </c>
      <c r="Q93" s="104"/>
      <c r="R93" s="104"/>
      <c r="S93" s="104"/>
      <c r="T93" s="104"/>
      <c r="U93" s="104"/>
      <c r="V93" s="104"/>
      <c r="W93" s="104"/>
      <c r="X93" s="105"/>
      <c r="Y93" s="97"/>
      <c r="Z93" s="98"/>
      <c r="AA93" s="99"/>
      <c r="AB93" s="100" t="s">
        <v>260</v>
      </c>
      <c r="AC93" s="98"/>
      <c r="AD93" s="98"/>
      <c r="AE93" s="98"/>
      <c r="AF93" s="98"/>
      <c r="AG93" s="98"/>
      <c r="AH93" s="98"/>
      <c r="AI93" s="98"/>
      <c r="AJ93" s="99"/>
      <c r="AK93" s="97"/>
      <c r="AL93" s="98"/>
      <c r="AM93" s="99"/>
      <c r="AN93" s="97"/>
      <c r="AO93" s="98"/>
      <c r="AP93" s="98"/>
      <c r="AQ93" s="98"/>
      <c r="AR93" s="98"/>
      <c r="AS93" s="98"/>
      <c r="AT93" s="98"/>
      <c r="AU93" s="98"/>
      <c r="AV93" s="99"/>
      <c r="AW93" s="97"/>
      <c r="AX93" s="98"/>
      <c r="AY93" s="99"/>
      <c r="AZ93" s="97"/>
      <c r="BA93" s="98"/>
      <c r="BB93" s="98"/>
      <c r="BC93" s="98"/>
      <c r="BD93" s="98"/>
      <c r="BE93" s="98"/>
      <c r="BF93" s="98"/>
      <c r="BG93" s="98"/>
      <c r="BH93" s="98"/>
      <c r="BI93" s="98"/>
      <c r="BJ93" s="99"/>
      <c r="BK93" s="22"/>
      <c r="BL93" s="22"/>
      <c r="BP93" s="47" t="s">
        <v>264</v>
      </c>
      <c r="BR93" s="39" t="s">
        <v>173</v>
      </c>
      <c r="BS93" s="34">
        <f>_xlfn.IFNA(VLOOKUP($BR93,[15]Master!$C$4:$J$13,2,FALSE),"-")</f>
        <v>0.75</v>
      </c>
      <c r="BT93" s="34">
        <f>_xlfn.IFNA(VLOOKUP($BR93,[15]Master!$C$4:$J$13,3,FALSE),"-")</f>
        <v>2.5</v>
      </c>
      <c r="BU93" s="34">
        <f>_xlfn.IFNA(VLOOKUP($BR93,[15]Master!$C$4:$J$13,4,FALSE),"-")</f>
        <v>0.5</v>
      </c>
      <c r="BV93" s="34">
        <f>_xlfn.IFNA(VLOOKUP($BR93,[15]Master!$C$4:$J$13,5,FALSE),"-")</f>
        <v>0.25</v>
      </c>
      <c r="BW93" s="34">
        <f>_xlfn.IFNA(VLOOKUP($BR93,[15]Master!$C$4:$J$13,6,FALSE),"-")</f>
        <v>0.5</v>
      </c>
      <c r="BX93" s="34">
        <f>_xlfn.IFNA(VLOOKUP($BR93,[15]Master!$C$4:$J$13,7,FALSE),"-")</f>
        <v>0.25</v>
      </c>
      <c r="BY93" s="34">
        <f>_xlfn.IFNA(VLOOKUP($BR93,[15]Master!$C$4:$J$13,8,FALSE),"-")</f>
        <v>0.5</v>
      </c>
      <c r="BZ93" s="35">
        <f t="shared" si="3"/>
        <v>5.25</v>
      </c>
    </row>
    <row r="94" spans="1:78" ht="15.75">
      <c r="A94" s="22"/>
      <c r="B94" s="97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9"/>
      <c r="P94" s="103" t="s">
        <v>268</v>
      </c>
      <c r="Q94" s="104"/>
      <c r="R94" s="104"/>
      <c r="S94" s="104"/>
      <c r="T94" s="104"/>
      <c r="U94" s="104"/>
      <c r="V94" s="104"/>
      <c r="W94" s="104"/>
      <c r="X94" s="105"/>
      <c r="Y94" s="97"/>
      <c r="Z94" s="98"/>
      <c r="AA94" s="99"/>
      <c r="AB94" s="100"/>
      <c r="AC94" s="98"/>
      <c r="AD94" s="98"/>
      <c r="AE94" s="98"/>
      <c r="AF94" s="98"/>
      <c r="AG94" s="98"/>
      <c r="AH94" s="98"/>
      <c r="AI94" s="98"/>
      <c r="AJ94" s="99"/>
      <c r="AK94" s="97"/>
      <c r="AL94" s="98"/>
      <c r="AM94" s="99"/>
      <c r="AN94" s="97"/>
      <c r="AO94" s="98"/>
      <c r="AP94" s="98"/>
      <c r="AQ94" s="98"/>
      <c r="AR94" s="98"/>
      <c r="AS94" s="98"/>
      <c r="AT94" s="98"/>
      <c r="AU94" s="98"/>
      <c r="AV94" s="99"/>
      <c r="AW94" s="97"/>
      <c r="AX94" s="98"/>
      <c r="AY94" s="99"/>
      <c r="AZ94" s="97"/>
      <c r="BA94" s="98"/>
      <c r="BB94" s="98"/>
      <c r="BC94" s="98"/>
      <c r="BD94" s="98"/>
      <c r="BE94" s="98"/>
      <c r="BF94" s="98"/>
      <c r="BG94" s="98"/>
      <c r="BH94" s="98"/>
      <c r="BI94" s="98"/>
      <c r="BJ94" s="99"/>
      <c r="BK94" s="22"/>
      <c r="BL94" s="22"/>
      <c r="BM94" s="58"/>
      <c r="BN94" s="58"/>
      <c r="BO94" s="58"/>
      <c r="BP94" s="59"/>
      <c r="BQ94" s="60"/>
      <c r="BR94" s="61"/>
      <c r="BS94" s="62" t="str">
        <f>_xlfn.IFNA(VLOOKUP($BR94,[15]Master!$C$4:$J$13,2,FALSE),"-")</f>
        <v>-</v>
      </c>
      <c r="BT94" s="62" t="str">
        <f>_xlfn.IFNA(VLOOKUP($BR94,[15]Master!$C$4:$J$13,3,FALSE),"-")</f>
        <v>-</v>
      </c>
      <c r="BU94" s="62" t="str">
        <f>_xlfn.IFNA(VLOOKUP($BR94,[15]Master!$C$4:$J$13,4,FALSE),"-")</f>
        <v>-</v>
      </c>
      <c r="BV94" s="62" t="str">
        <f>_xlfn.IFNA(VLOOKUP($BR94,[15]Master!$C$4:$J$13,5,FALSE),"-")</f>
        <v>-</v>
      </c>
      <c r="BW94" s="62" t="str">
        <f>_xlfn.IFNA(VLOOKUP($BR94,[15]Master!$C$4:$J$13,6,FALSE),"-")</f>
        <v>-</v>
      </c>
      <c r="BX94" s="62" t="str">
        <f>_xlfn.IFNA(VLOOKUP($BR94,[15]Master!$C$4:$J$13,7,FALSE),"-")</f>
        <v>-</v>
      </c>
      <c r="BY94" s="62" t="str">
        <f>_xlfn.IFNA(VLOOKUP($BR94,[15]Master!$C$4:$J$13,8,FALSE),"-")</f>
        <v>-</v>
      </c>
      <c r="BZ94" s="63">
        <f t="shared" si="3"/>
        <v>0</v>
      </c>
    </row>
    <row r="95" spans="1:78" ht="15.75">
      <c r="A95" s="22"/>
      <c r="B95" s="97" t="s">
        <v>269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9"/>
      <c r="P95" s="103" t="s">
        <v>270</v>
      </c>
      <c r="Q95" s="104"/>
      <c r="R95" s="104"/>
      <c r="S95" s="104"/>
      <c r="T95" s="104"/>
      <c r="U95" s="104"/>
      <c r="V95" s="104"/>
      <c r="W95" s="104"/>
      <c r="X95" s="105"/>
      <c r="Y95" s="97"/>
      <c r="Z95" s="98"/>
      <c r="AA95" s="99"/>
      <c r="AB95" s="100" t="s">
        <v>260</v>
      </c>
      <c r="AC95" s="98"/>
      <c r="AD95" s="98"/>
      <c r="AE95" s="98"/>
      <c r="AF95" s="98"/>
      <c r="AG95" s="98"/>
      <c r="AH95" s="98"/>
      <c r="AI95" s="98"/>
      <c r="AJ95" s="99"/>
      <c r="AK95" s="97"/>
      <c r="AL95" s="98"/>
      <c r="AM95" s="99"/>
      <c r="AN95" s="97"/>
      <c r="AO95" s="98"/>
      <c r="AP95" s="98"/>
      <c r="AQ95" s="98"/>
      <c r="AR95" s="98"/>
      <c r="AS95" s="98"/>
      <c r="AT95" s="98"/>
      <c r="AU95" s="98"/>
      <c r="AV95" s="99"/>
      <c r="AW95" s="97"/>
      <c r="AX95" s="98"/>
      <c r="AY95" s="99"/>
      <c r="AZ95" s="97"/>
      <c r="BA95" s="98"/>
      <c r="BB95" s="98"/>
      <c r="BC95" s="98"/>
      <c r="BD95" s="98"/>
      <c r="BE95" s="98"/>
      <c r="BF95" s="98"/>
      <c r="BG95" s="98"/>
      <c r="BH95" s="98"/>
      <c r="BI95" s="98"/>
      <c r="BJ95" s="99"/>
      <c r="BK95" s="22"/>
      <c r="BL95" s="22"/>
      <c r="BM95" s="45">
        <v>3</v>
      </c>
      <c r="BR95" s="39" t="s">
        <v>204</v>
      </c>
      <c r="BS95" s="34">
        <f>_xlfn.IFNA(VLOOKUP($BR95,[15]Master!$C$4:$J$13,2,FALSE),"-")</f>
        <v>0.52500000000000002</v>
      </c>
      <c r="BT95" s="34">
        <f>_xlfn.IFNA(VLOOKUP($BR95,[15]Master!$C$4:$J$13,3,FALSE),"-")</f>
        <v>1.75</v>
      </c>
      <c r="BU95" s="34">
        <f>_xlfn.IFNA(VLOOKUP($BR95,[15]Master!$C$4:$J$13,4,FALSE),"-")</f>
        <v>0.35000000000000003</v>
      </c>
      <c r="BV95" s="34">
        <f>_xlfn.IFNA(VLOOKUP($BR95,[15]Master!$C$4:$J$13,5,FALSE),"-")</f>
        <v>0.17500000000000002</v>
      </c>
      <c r="BW95" s="34">
        <f>_xlfn.IFNA(VLOOKUP($BR95,[15]Master!$C$4:$J$13,6,FALSE),"-")</f>
        <v>0.35000000000000003</v>
      </c>
      <c r="BX95" s="34">
        <f>_xlfn.IFNA(VLOOKUP($BR95,[15]Master!$C$4:$J$13,7,FALSE),"-")</f>
        <v>0.17500000000000002</v>
      </c>
      <c r="BY95" s="34">
        <f>_xlfn.IFNA(VLOOKUP($BR95,[15]Master!$C$4:$J$13,8,FALSE),"-")</f>
        <v>0.35000000000000003</v>
      </c>
      <c r="BZ95" s="35">
        <f t="shared" si="3"/>
        <v>3.6749999999999998</v>
      </c>
    </row>
    <row r="96" spans="1:78" ht="15.75">
      <c r="A96" s="22"/>
      <c r="B96" s="97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9"/>
      <c r="P96" s="103" t="s">
        <v>271</v>
      </c>
      <c r="Q96" s="104"/>
      <c r="R96" s="104"/>
      <c r="S96" s="104"/>
      <c r="T96" s="104"/>
      <c r="U96" s="104"/>
      <c r="V96" s="104"/>
      <c r="W96" s="104"/>
      <c r="X96" s="105"/>
      <c r="Y96" s="97"/>
      <c r="Z96" s="98"/>
      <c r="AA96" s="99"/>
      <c r="AB96" s="100" t="s">
        <v>260</v>
      </c>
      <c r="AC96" s="98"/>
      <c r="AD96" s="98"/>
      <c r="AE96" s="98"/>
      <c r="AF96" s="98"/>
      <c r="AG96" s="98"/>
      <c r="AH96" s="98"/>
      <c r="AI96" s="98"/>
      <c r="AJ96" s="99"/>
      <c r="AK96" s="97"/>
      <c r="AL96" s="98"/>
      <c r="AM96" s="99"/>
      <c r="AN96" s="97"/>
      <c r="AO96" s="98"/>
      <c r="AP96" s="98"/>
      <c r="AQ96" s="98"/>
      <c r="AR96" s="98"/>
      <c r="AS96" s="98"/>
      <c r="AT96" s="98"/>
      <c r="AU96" s="98"/>
      <c r="AV96" s="99"/>
      <c r="AW96" s="97"/>
      <c r="AX96" s="98"/>
      <c r="AY96" s="99"/>
      <c r="AZ96" s="97"/>
      <c r="BA96" s="98"/>
      <c r="BB96" s="98"/>
      <c r="BC96" s="98"/>
      <c r="BD96" s="98"/>
      <c r="BE96" s="98"/>
      <c r="BF96" s="98"/>
      <c r="BG96" s="98"/>
      <c r="BH96" s="98"/>
      <c r="BI96" s="98"/>
      <c r="BJ96" s="99"/>
      <c r="BK96" s="22"/>
      <c r="BL96" s="22"/>
      <c r="BM96" s="58"/>
      <c r="BN96" s="58"/>
      <c r="BO96" s="58"/>
      <c r="BP96" s="59"/>
      <c r="BQ96" s="60"/>
      <c r="BR96" s="61"/>
      <c r="BS96" s="62" t="str">
        <f>_xlfn.IFNA(VLOOKUP($BR96,[15]Master!$C$4:$J$13,2,FALSE),"-")</f>
        <v>-</v>
      </c>
      <c r="BT96" s="62" t="str">
        <f>_xlfn.IFNA(VLOOKUP($BR96,[15]Master!$C$4:$J$13,3,FALSE),"-")</f>
        <v>-</v>
      </c>
      <c r="BU96" s="62" t="str">
        <f>_xlfn.IFNA(VLOOKUP($BR96,[15]Master!$C$4:$J$13,4,FALSE),"-")</f>
        <v>-</v>
      </c>
      <c r="BV96" s="62" t="str">
        <f>_xlfn.IFNA(VLOOKUP($BR96,[15]Master!$C$4:$J$13,5,FALSE),"-")</f>
        <v>-</v>
      </c>
      <c r="BW96" s="62" t="str">
        <f>_xlfn.IFNA(VLOOKUP($BR96,[15]Master!$C$4:$J$13,6,FALSE),"-")</f>
        <v>-</v>
      </c>
      <c r="BX96" s="62" t="str">
        <f>_xlfn.IFNA(VLOOKUP($BR96,[15]Master!$C$4:$J$13,7,FALSE),"-")</f>
        <v>-</v>
      </c>
      <c r="BY96" s="62" t="str">
        <f>_xlfn.IFNA(VLOOKUP($BR96,[15]Master!$C$4:$J$13,8,FALSE),"-")</f>
        <v>-</v>
      </c>
      <c r="BZ96" s="63">
        <f t="shared" si="3"/>
        <v>0</v>
      </c>
    </row>
    <row r="97" spans="1:78" ht="15.75">
      <c r="A97" s="22"/>
      <c r="B97" s="97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9"/>
      <c r="P97" s="103" t="s">
        <v>272</v>
      </c>
      <c r="Q97" s="104"/>
      <c r="R97" s="104"/>
      <c r="S97" s="104"/>
      <c r="T97" s="104"/>
      <c r="U97" s="104"/>
      <c r="V97" s="104"/>
      <c r="W97" s="104"/>
      <c r="X97" s="105"/>
      <c r="Y97" s="97"/>
      <c r="Z97" s="98"/>
      <c r="AA97" s="99"/>
      <c r="AB97" s="100" t="s">
        <v>260</v>
      </c>
      <c r="AC97" s="98"/>
      <c r="AD97" s="98"/>
      <c r="AE97" s="98"/>
      <c r="AF97" s="98"/>
      <c r="AG97" s="98"/>
      <c r="AH97" s="98"/>
      <c r="AI97" s="98"/>
      <c r="AJ97" s="99"/>
      <c r="AK97" s="97"/>
      <c r="AL97" s="98"/>
      <c r="AM97" s="99"/>
      <c r="AN97" s="97"/>
      <c r="AO97" s="98"/>
      <c r="AP97" s="98"/>
      <c r="AQ97" s="98"/>
      <c r="AR97" s="98"/>
      <c r="AS97" s="98"/>
      <c r="AT97" s="98"/>
      <c r="AU97" s="98"/>
      <c r="AV97" s="99"/>
      <c r="AW97" s="97"/>
      <c r="AX97" s="98"/>
      <c r="AY97" s="99"/>
      <c r="AZ97" s="97"/>
      <c r="BA97" s="98"/>
      <c r="BB97" s="98"/>
      <c r="BC97" s="98"/>
      <c r="BD97" s="98"/>
      <c r="BE97" s="98"/>
      <c r="BF97" s="98"/>
      <c r="BG97" s="98"/>
      <c r="BH97" s="98"/>
      <c r="BI97" s="98"/>
      <c r="BJ97" s="99"/>
      <c r="BK97" s="22"/>
      <c r="BL97" s="22"/>
      <c r="BM97" s="58"/>
      <c r="BN97" s="58"/>
      <c r="BO97" s="58"/>
      <c r="BP97" s="59"/>
      <c r="BQ97" s="60"/>
      <c r="BR97" s="61"/>
      <c r="BS97" s="62" t="str">
        <f>_xlfn.IFNA(VLOOKUP($BR97,[15]Master!$C$4:$J$13,2,FALSE),"-")</f>
        <v>-</v>
      </c>
      <c r="BT97" s="62" t="str">
        <f>_xlfn.IFNA(VLOOKUP($BR97,[15]Master!$C$4:$J$13,3,FALSE),"-")</f>
        <v>-</v>
      </c>
      <c r="BU97" s="62" t="str">
        <f>_xlfn.IFNA(VLOOKUP($BR97,[15]Master!$C$4:$J$13,4,FALSE),"-")</f>
        <v>-</v>
      </c>
      <c r="BV97" s="62" t="str">
        <f>_xlfn.IFNA(VLOOKUP($BR97,[15]Master!$C$4:$J$13,5,FALSE),"-")</f>
        <v>-</v>
      </c>
      <c r="BW97" s="62" t="str">
        <f>_xlfn.IFNA(VLOOKUP($BR97,[15]Master!$C$4:$J$13,6,FALSE),"-")</f>
        <v>-</v>
      </c>
      <c r="BX97" s="62" t="str">
        <f>_xlfn.IFNA(VLOOKUP($BR97,[15]Master!$C$4:$J$13,7,FALSE),"-")</f>
        <v>-</v>
      </c>
      <c r="BY97" s="62" t="str">
        <f>_xlfn.IFNA(VLOOKUP($BR97,[15]Master!$C$4:$J$13,8,FALSE),"-")</f>
        <v>-</v>
      </c>
      <c r="BZ97" s="63">
        <f t="shared" si="3"/>
        <v>0</v>
      </c>
    </row>
    <row r="98" spans="1:78" ht="15.75">
      <c r="A98" s="22"/>
      <c r="B98" s="97" t="s">
        <v>273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9"/>
      <c r="P98" s="103" t="s">
        <v>274</v>
      </c>
      <c r="Q98" s="104"/>
      <c r="R98" s="104"/>
      <c r="S98" s="104"/>
      <c r="T98" s="104"/>
      <c r="U98" s="104"/>
      <c r="V98" s="104"/>
      <c r="W98" s="104"/>
      <c r="X98" s="105"/>
      <c r="Y98" s="97"/>
      <c r="Z98" s="98"/>
      <c r="AA98" s="99"/>
      <c r="AB98" s="100" t="s">
        <v>260</v>
      </c>
      <c r="AC98" s="98"/>
      <c r="AD98" s="98"/>
      <c r="AE98" s="98"/>
      <c r="AF98" s="98"/>
      <c r="AG98" s="98"/>
      <c r="AH98" s="98"/>
      <c r="AI98" s="98"/>
      <c r="AJ98" s="99"/>
      <c r="AK98" s="97"/>
      <c r="AL98" s="98"/>
      <c r="AM98" s="99"/>
      <c r="AN98" s="97"/>
      <c r="AO98" s="98"/>
      <c r="AP98" s="98"/>
      <c r="AQ98" s="98"/>
      <c r="AR98" s="98"/>
      <c r="AS98" s="98"/>
      <c r="AT98" s="98"/>
      <c r="AU98" s="98"/>
      <c r="AV98" s="99"/>
      <c r="AW98" s="97"/>
      <c r="AX98" s="98"/>
      <c r="AY98" s="99"/>
      <c r="AZ98" s="97"/>
      <c r="BA98" s="98"/>
      <c r="BB98" s="98"/>
      <c r="BC98" s="98"/>
      <c r="BD98" s="98"/>
      <c r="BE98" s="98"/>
      <c r="BF98" s="98"/>
      <c r="BG98" s="98"/>
      <c r="BH98" s="98"/>
      <c r="BI98" s="98"/>
      <c r="BJ98" s="99"/>
      <c r="BK98" s="22"/>
      <c r="BL98" s="22"/>
      <c r="BP98" s="47" t="s">
        <v>203</v>
      </c>
      <c r="BR98" s="39" t="s">
        <v>204</v>
      </c>
      <c r="BS98" s="34">
        <f>_xlfn.IFNA(VLOOKUP($BR98,[15]Master!$C$4:$J$13,2,FALSE),"-")</f>
        <v>0.52500000000000002</v>
      </c>
      <c r="BT98" s="34">
        <f>_xlfn.IFNA(VLOOKUP($BR98,[15]Master!$C$4:$J$13,3,FALSE),"-")</f>
        <v>1.75</v>
      </c>
      <c r="BU98" s="34">
        <f>_xlfn.IFNA(VLOOKUP($BR98,[15]Master!$C$4:$J$13,4,FALSE),"-")</f>
        <v>0.35000000000000003</v>
      </c>
      <c r="BV98" s="34">
        <f>_xlfn.IFNA(VLOOKUP($BR98,[15]Master!$C$4:$J$13,5,FALSE),"-")</f>
        <v>0.17500000000000002</v>
      </c>
      <c r="BW98" s="34">
        <f>_xlfn.IFNA(VLOOKUP($BR98,[15]Master!$C$4:$J$13,6,FALSE),"-")</f>
        <v>0.35000000000000003</v>
      </c>
      <c r="BX98" s="34">
        <f>_xlfn.IFNA(VLOOKUP($BR98,[15]Master!$C$4:$J$13,7,FALSE),"-")</f>
        <v>0.17500000000000002</v>
      </c>
      <c r="BY98" s="34">
        <f>_xlfn.IFNA(VLOOKUP($BR98,[15]Master!$C$4:$J$13,8,FALSE),"-")</f>
        <v>0.35000000000000003</v>
      </c>
      <c r="BZ98" s="35">
        <f t="shared" si="3"/>
        <v>3.6749999999999998</v>
      </c>
    </row>
    <row r="99" spans="1:78" ht="15.75">
      <c r="A99" s="22"/>
      <c r="B99" s="97" t="s">
        <v>275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9"/>
      <c r="P99" s="97" t="s">
        <v>276</v>
      </c>
      <c r="Q99" s="98"/>
      <c r="R99" s="98"/>
      <c r="S99" s="98"/>
      <c r="T99" s="98"/>
      <c r="U99" s="98"/>
      <c r="V99" s="98"/>
      <c r="W99" s="98"/>
      <c r="X99" s="99"/>
      <c r="Y99" s="97"/>
      <c r="Z99" s="98"/>
      <c r="AA99" s="99"/>
      <c r="AB99" s="97"/>
      <c r="AC99" s="98"/>
      <c r="AD99" s="98"/>
      <c r="AE99" s="98"/>
      <c r="AF99" s="98"/>
      <c r="AG99" s="98"/>
      <c r="AH99" s="98"/>
      <c r="AI99" s="98"/>
      <c r="AJ99" s="99"/>
      <c r="AK99" s="97"/>
      <c r="AL99" s="98"/>
      <c r="AM99" s="99"/>
      <c r="AN99" s="97"/>
      <c r="AO99" s="98"/>
      <c r="AP99" s="98"/>
      <c r="AQ99" s="98"/>
      <c r="AR99" s="98"/>
      <c r="AS99" s="98"/>
      <c r="AT99" s="98"/>
      <c r="AU99" s="98"/>
      <c r="AV99" s="99"/>
      <c r="AW99" s="97"/>
      <c r="AX99" s="98"/>
      <c r="AY99" s="99"/>
      <c r="AZ99" s="97"/>
      <c r="BA99" s="98"/>
      <c r="BB99" s="98"/>
      <c r="BC99" s="98"/>
      <c r="BD99" s="98"/>
      <c r="BE99" s="98"/>
      <c r="BF99" s="98"/>
      <c r="BG99" s="98"/>
      <c r="BH99" s="98"/>
      <c r="BI99" s="98"/>
      <c r="BJ99" s="99"/>
      <c r="BK99" s="22"/>
      <c r="BL99" s="22"/>
      <c r="BM99" s="45">
        <v>6</v>
      </c>
      <c r="BR99" s="39" t="s">
        <v>173</v>
      </c>
      <c r="BS99" s="34">
        <f>_xlfn.IFNA(VLOOKUP($BR99,[15]Master!$C$4:$J$13,2,FALSE),"-")</f>
        <v>0.75</v>
      </c>
      <c r="BT99" s="34">
        <f>_xlfn.IFNA(VLOOKUP($BR99,[15]Master!$C$4:$J$13,3,FALSE),"-")</f>
        <v>2.5</v>
      </c>
      <c r="BU99" s="34">
        <f>_xlfn.IFNA(VLOOKUP($BR99,[15]Master!$C$4:$J$13,4,FALSE),"-")</f>
        <v>0.5</v>
      </c>
      <c r="BV99" s="34">
        <f>_xlfn.IFNA(VLOOKUP($BR99,[15]Master!$C$4:$J$13,5,FALSE),"-")</f>
        <v>0.25</v>
      </c>
      <c r="BW99" s="34">
        <f>_xlfn.IFNA(VLOOKUP($BR99,[15]Master!$C$4:$J$13,6,FALSE),"-")</f>
        <v>0.5</v>
      </c>
      <c r="BX99" s="34">
        <f>_xlfn.IFNA(VLOOKUP($BR99,[15]Master!$C$4:$J$13,7,FALSE),"-")</f>
        <v>0.25</v>
      </c>
      <c r="BY99" s="34">
        <f>_xlfn.IFNA(VLOOKUP($BR99,[15]Master!$C$4:$J$13,8,FALSE),"-")</f>
        <v>0.5</v>
      </c>
      <c r="BZ99" s="35">
        <f t="shared" si="3"/>
        <v>5.25</v>
      </c>
    </row>
    <row r="100" spans="1:78" ht="15.75">
      <c r="A100" s="22"/>
      <c r="B100" s="97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9"/>
      <c r="P100" s="97" t="s">
        <v>277</v>
      </c>
      <c r="Q100" s="98"/>
      <c r="R100" s="98"/>
      <c r="S100" s="98"/>
      <c r="T100" s="98"/>
      <c r="U100" s="98"/>
      <c r="V100" s="98"/>
      <c r="W100" s="98"/>
      <c r="X100" s="99"/>
      <c r="Y100" s="97"/>
      <c r="Z100" s="98"/>
      <c r="AA100" s="99"/>
      <c r="AB100" s="97"/>
      <c r="AC100" s="98"/>
      <c r="AD100" s="98"/>
      <c r="AE100" s="98"/>
      <c r="AF100" s="98"/>
      <c r="AG100" s="98"/>
      <c r="AH100" s="98"/>
      <c r="AI100" s="98"/>
      <c r="AJ100" s="99"/>
      <c r="AK100" s="97"/>
      <c r="AL100" s="98"/>
      <c r="AM100" s="99"/>
      <c r="AN100" s="97"/>
      <c r="AO100" s="98"/>
      <c r="AP100" s="98"/>
      <c r="AQ100" s="98"/>
      <c r="AR100" s="98"/>
      <c r="AS100" s="98"/>
      <c r="AT100" s="98"/>
      <c r="AU100" s="98"/>
      <c r="AV100" s="99"/>
      <c r="AW100" s="97"/>
      <c r="AX100" s="98"/>
      <c r="AY100" s="99"/>
      <c r="AZ100" s="97"/>
      <c r="BA100" s="98"/>
      <c r="BB100" s="98"/>
      <c r="BC100" s="98"/>
      <c r="BD100" s="98"/>
      <c r="BE100" s="98"/>
      <c r="BF100" s="98"/>
      <c r="BG100" s="98"/>
      <c r="BH100" s="98"/>
      <c r="BI100" s="98"/>
      <c r="BJ100" s="99"/>
      <c r="BK100" s="22"/>
      <c r="BL100" s="22"/>
      <c r="BP100" s="47" t="s">
        <v>278</v>
      </c>
      <c r="BR100" s="39" t="s">
        <v>204</v>
      </c>
      <c r="BS100" s="34">
        <f>_xlfn.IFNA(VLOOKUP($BR100,[15]Master!$C$4:$J$13,2,FALSE),"-")</f>
        <v>0.52500000000000002</v>
      </c>
      <c r="BT100" s="34">
        <f>_xlfn.IFNA(VLOOKUP($BR100,[15]Master!$C$4:$J$13,3,FALSE),"-")</f>
        <v>1.75</v>
      </c>
      <c r="BU100" s="34">
        <f>_xlfn.IFNA(VLOOKUP($BR100,[15]Master!$C$4:$J$13,4,FALSE),"-")</f>
        <v>0.35000000000000003</v>
      </c>
      <c r="BV100" s="34">
        <f>_xlfn.IFNA(VLOOKUP($BR100,[15]Master!$C$4:$J$13,5,FALSE),"-")</f>
        <v>0.17500000000000002</v>
      </c>
      <c r="BW100" s="34">
        <f>_xlfn.IFNA(VLOOKUP($BR100,[15]Master!$C$4:$J$13,6,FALSE),"-")</f>
        <v>0.35000000000000003</v>
      </c>
      <c r="BX100" s="34">
        <f>_xlfn.IFNA(VLOOKUP($BR100,[15]Master!$C$4:$J$13,7,FALSE),"-")</f>
        <v>0.17500000000000002</v>
      </c>
      <c r="BY100" s="34">
        <f>_xlfn.IFNA(VLOOKUP($BR100,[15]Master!$C$4:$J$13,8,FALSE),"-")</f>
        <v>0.35000000000000003</v>
      </c>
      <c r="BZ100" s="35">
        <f t="shared" si="3"/>
        <v>3.6749999999999998</v>
      </c>
    </row>
    <row r="101" spans="1:78" ht="15.75">
      <c r="A101" s="22"/>
      <c r="B101" s="97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9"/>
      <c r="P101" s="97" t="s">
        <v>279</v>
      </c>
      <c r="Q101" s="98"/>
      <c r="R101" s="98"/>
      <c r="S101" s="98"/>
      <c r="T101" s="98"/>
      <c r="U101" s="98"/>
      <c r="V101" s="98"/>
      <c r="W101" s="98"/>
      <c r="X101" s="99"/>
      <c r="Y101" s="97"/>
      <c r="Z101" s="98"/>
      <c r="AA101" s="99"/>
      <c r="AB101" s="97"/>
      <c r="AC101" s="98"/>
      <c r="AD101" s="98"/>
      <c r="AE101" s="98"/>
      <c r="AF101" s="98"/>
      <c r="AG101" s="98"/>
      <c r="AH101" s="98"/>
      <c r="AI101" s="98"/>
      <c r="AJ101" s="99"/>
      <c r="AK101" s="97"/>
      <c r="AL101" s="98"/>
      <c r="AM101" s="99"/>
      <c r="AN101" s="97"/>
      <c r="AO101" s="98"/>
      <c r="AP101" s="98"/>
      <c r="AQ101" s="98"/>
      <c r="AR101" s="98"/>
      <c r="AS101" s="98"/>
      <c r="AT101" s="98"/>
      <c r="AU101" s="98"/>
      <c r="AV101" s="99"/>
      <c r="AW101" s="97"/>
      <c r="AX101" s="98"/>
      <c r="AY101" s="99"/>
      <c r="AZ101" s="97"/>
      <c r="BA101" s="98"/>
      <c r="BB101" s="98"/>
      <c r="BC101" s="98"/>
      <c r="BD101" s="98"/>
      <c r="BE101" s="98"/>
      <c r="BF101" s="98"/>
      <c r="BG101" s="98"/>
      <c r="BH101" s="98"/>
      <c r="BI101" s="98"/>
      <c r="BJ101" s="99"/>
      <c r="BK101" s="22"/>
      <c r="BL101" s="22"/>
      <c r="BM101" s="58"/>
      <c r="BN101" s="58"/>
      <c r="BO101" s="58"/>
      <c r="BP101" s="59"/>
      <c r="BQ101" s="60"/>
      <c r="BR101" s="61"/>
      <c r="BS101" s="62" t="str">
        <f>_xlfn.IFNA(VLOOKUP($BR101,[15]Master!$C$4:$J$13,2,FALSE),"-")</f>
        <v>-</v>
      </c>
      <c r="BT101" s="62" t="str">
        <f>_xlfn.IFNA(VLOOKUP($BR101,[15]Master!$C$4:$J$13,3,FALSE),"-")</f>
        <v>-</v>
      </c>
      <c r="BU101" s="62" t="str">
        <f>_xlfn.IFNA(VLOOKUP($BR101,[15]Master!$C$4:$J$13,4,FALSE),"-")</f>
        <v>-</v>
      </c>
      <c r="BV101" s="62" t="str">
        <f>_xlfn.IFNA(VLOOKUP($BR101,[15]Master!$C$4:$J$13,5,FALSE),"-")</f>
        <v>-</v>
      </c>
      <c r="BW101" s="62" t="str">
        <f>_xlfn.IFNA(VLOOKUP($BR101,[15]Master!$C$4:$J$13,6,FALSE),"-")</f>
        <v>-</v>
      </c>
      <c r="BX101" s="62" t="str">
        <f>_xlfn.IFNA(VLOOKUP($BR101,[15]Master!$C$4:$J$13,7,FALSE),"-")</f>
        <v>-</v>
      </c>
      <c r="BY101" s="62" t="str">
        <f>_xlfn.IFNA(VLOOKUP($BR101,[15]Master!$C$4:$J$13,8,FALSE),"-")</f>
        <v>-</v>
      </c>
      <c r="BZ101" s="63">
        <f t="shared" si="3"/>
        <v>0</v>
      </c>
    </row>
    <row r="102" spans="1:78" ht="15.75">
      <c r="A102" s="22"/>
      <c r="B102" s="97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9"/>
      <c r="P102" s="97" t="s">
        <v>280</v>
      </c>
      <c r="Q102" s="98"/>
      <c r="R102" s="98"/>
      <c r="S102" s="98"/>
      <c r="T102" s="98"/>
      <c r="U102" s="98"/>
      <c r="V102" s="98"/>
      <c r="W102" s="98"/>
      <c r="X102" s="99"/>
      <c r="Y102" s="97"/>
      <c r="Z102" s="98"/>
      <c r="AA102" s="99"/>
      <c r="AB102" s="97"/>
      <c r="AC102" s="98"/>
      <c r="AD102" s="98"/>
      <c r="AE102" s="98"/>
      <c r="AF102" s="98"/>
      <c r="AG102" s="98"/>
      <c r="AH102" s="98"/>
      <c r="AI102" s="98"/>
      <c r="AJ102" s="99"/>
      <c r="AK102" s="97"/>
      <c r="AL102" s="98"/>
      <c r="AM102" s="99"/>
      <c r="AN102" s="97"/>
      <c r="AO102" s="98"/>
      <c r="AP102" s="98"/>
      <c r="AQ102" s="98"/>
      <c r="AR102" s="98"/>
      <c r="AS102" s="98"/>
      <c r="AT102" s="98"/>
      <c r="AU102" s="98"/>
      <c r="AV102" s="99"/>
      <c r="AW102" s="97"/>
      <c r="AX102" s="98"/>
      <c r="AY102" s="99"/>
      <c r="AZ102" s="97"/>
      <c r="BA102" s="98"/>
      <c r="BB102" s="98"/>
      <c r="BC102" s="98"/>
      <c r="BD102" s="98"/>
      <c r="BE102" s="98"/>
      <c r="BF102" s="98"/>
      <c r="BG102" s="98"/>
      <c r="BH102" s="98"/>
      <c r="BI102" s="98"/>
      <c r="BJ102" s="99"/>
      <c r="BK102" s="22"/>
      <c r="BL102" s="22"/>
      <c r="BM102" s="58"/>
      <c r="BN102" s="58"/>
      <c r="BO102" s="58"/>
      <c r="BP102" s="59"/>
      <c r="BQ102" s="60"/>
      <c r="BR102" s="61"/>
      <c r="BS102" s="62" t="str">
        <f>_xlfn.IFNA(VLOOKUP($BR102,[15]Master!$C$4:$J$13,2,FALSE),"-")</f>
        <v>-</v>
      </c>
      <c r="BT102" s="62" t="str">
        <f>_xlfn.IFNA(VLOOKUP($BR102,[15]Master!$C$4:$J$13,3,FALSE),"-")</f>
        <v>-</v>
      </c>
      <c r="BU102" s="62" t="str">
        <f>_xlfn.IFNA(VLOOKUP($BR102,[15]Master!$C$4:$J$13,4,FALSE),"-")</f>
        <v>-</v>
      </c>
      <c r="BV102" s="62" t="str">
        <f>_xlfn.IFNA(VLOOKUP($BR102,[15]Master!$C$4:$J$13,5,FALSE),"-")</f>
        <v>-</v>
      </c>
      <c r="BW102" s="62" t="str">
        <f>_xlfn.IFNA(VLOOKUP($BR102,[15]Master!$C$4:$J$13,6,FALSE),"-")</f>
        <v>-</v>
      </c>
      <c r="BX102" s="62" t="str">
        <f>_xlfn.IFNA(VLOOKUP($BR102,[15]Master!$C$4:$J$13,7,FALSE),"-")</f>
        <v>-</v>
      </c>
      <c r="BY102" s="62" t="str">
        <f>_xlfn.IFNA(VLOOKUP($BR102,[15]Master!$C$4:$J$13,8,FALSE),"-")</f>
        <v>-</v>
      </c>
      <c r="BZ102" s="63">
        <f t="shared" si="3"/>
        <v>0</v>
      </c>
    </row>
    <row r="103" spans="1:78" ht="15.75">
      <c r="A103" s="22"/>
      <c r="B103" s="97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9"/>
      <c r="P103" s="97" t="s">
        <v>281</v>
      </c>
      <c r="Q103" s="98"/>
      <c r="R103" s="98"/>
      <c r="S103" s="98"/>
      <c r="T103" s="98"/>
      <c r="U103" s="98"/>
      <c r="V103" s="98"/>
      <c r="W103" s="98"/>
      <c r="X103" s="99"/>
      <c r="Y103" s="97"/>
      <c r="Z103" s="98"/>
      <c r="AA103" s="99"/>
      <c r="AB103" s="97"/>
      <c r="AC103" s="98"/>
      <c r="AD103" s="98"/>
      <c r="AE103" s="98"/>
      <c r="AF103" s="98"/>
      <c r="AG103" s="98"/>
      <c r="AH103" s="98"/>
      <c r="AI103" s="98"/>
      <c r="AJ103" s="99"/>
      <c r="AK103" s="97"/>
      <c r="AL103" s="98"/>
      <c r="AM103" s="99"/>
      <c r="AN103" s="97"/>
      <c r="AO103" s="98"/>
      <c r="AP103" s="98"/>
      <c r="AQ103" s="98"/>
      <c r="AR103" s="98"/>
      <c r="AS103" s="98"/>
      <c r="AT103" s="98"/>
      <c r="AU103" s="98"/>
      <c r="AV103" s="99"/>
      <c r="AW103" s="97"/>
      <c r="AX103" s="98"/>
      <c r="AY103" s="99"/>
      <c r="AZ103" s="97"/>
      <c r="BA103" s="98"/>
      <c r="BB103" s="98"/>
      <c r="BC103" s="98"/>
      <c r="BD103" s="98"/>
      <c r="BE103" s="98"/>
      <c r="BF103" s="98"/>
      <c r="BG103" s="98"/>
      <c r="BH103" s="98"/>
      <c r="BI103" s="98"/>
      <c r="BJ103" s="99"/>
      <c r="BK103" s="22"/>
      <c r="BL103" s="22"/>
      <c r="BM103" s="58"/>
      <c r="BN103" s="58"/>
      <c r="BO103" s="58"/>
      <c r="BP103" s="59"/>
      <c r="BQ103" s="60"/>
      <c r="BR103" s="61"/>
      <c r="BS103" s="62" t="str">
        <f>_xlfn.IFNA(VLOOKUP($BR103,[15]Master!$C$4:$J$13,2,FALSE),"-")</f>
        <v>-</v>
      </c>
      <c r="BT103" s="62" t="str">
        <f>_xlfn.IFNA(VLOOKUP($BR103,[15]Master!$C$4:$J$13,3,FALSE),"-")</f>
        <v>-</v>
      </c>
      <c r="BU103" s="62" t="str">
        <f>_xlfn.IFNA(VLOOKUP($BR103,[15]Master!$C$4:$J$13,4,FALSE),"-")</f>
        <v>-</v>
      </c>
      <c r="BV103" s="62" t="str">
        <f>_xlfn.IFNA(VLOOKUP($BR103,[15]Master!$C$4:$J$13,5,FALSE),"-")</f>
        <v>-</v>
      </c>
      <c r="BW103" s="62" t="str">
        <f>_xlfn.IFNA(VLOOKUP($BR103,[15]Master!$C$4:$J$13,6,FALSE),"-")</f>
        <v>-</v>
      </c>
      <c r="BX103" s="62" t="str">
        <f>_xlfn.IFNA(VLOOKUP($BR103,[15]Master!$C$4:$J$13,7,FALSE),"-")</f>
        <v>-</v>
      </c>
      <c r="BY103" s="62" t="str">
        <f>_xlfn.IFNA(VLOOKUP($BR103,[15]Master!$C$4:$J$13,8,FALSE),"-")</f>
        <v>-</v>
      </c>
      <c r="BZ103" s="63">
        <f t="shared" si="3"/>
        <v>0</v>
      </c>
    </row>
    <row r="104" spans="1:78" ht="15.75">
      <c r="A104" s="22"/>
      <c r="B104" s="97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9"/>
      <c r="P104" s="97" t="s">
        <v>282</v>
      </c>
      <c r="Q104" s="98"/>
      <c r="R104" s="98"/>
      <c r="S104" s="98"/>
      <c r="T104" s="98"/>
      <c r="U104" s="98"/>
      <c r="V104" s="98"/>
      <c r="W104" s="98"/>
      <c r="X104" s="99"/>
      <c r="Y104" s="97"/>
      <c r="Z104" s="98"/>
      <c r="AA104" s="99"/>
      <c r="AB104" s="97"/>
      <c r="AC104" s="98"/>
      <c r="AD104" s="98"/>
      <c r="AE104" s="98"/>
      <c r="AF104" s="98"/>
      <c r="AG104" s="98"/>
      <c r="AH104" s="98"/>
      <c r="AI104" s="98"/>
      <c r="AJ104" s="99"/>
      <c r="AK104" s="97"/>
      <c r="AL104" s="98"/>
      <c r="AM104" s="99"/>
      <c r="AN104" s="97"/>
      <c r="AO104" s="98"/>
      <c r="AP104" s="98"/>
      <c r="AQ104" s="98"/>
      <c r="AR104" s="98"/>
      <c r="AS104" s="98"/>
      <c r="AT104" s="98"/>
      <c r="AU104" s="98"/>
      <c r="AV104" s="99"/>
      <c r="AW104" s="97"/>
      <c r="AX104" s="98"/>
      <c r="AY104" s="99"/>
      <c r="AZ104" s="97"/>
      <c r="BA104" s="98"/>
      <c r="BB104" s="98"/>
      <c r="BC104" s="98"/>
      <c r="BD104" s="98"/>
      <c r="BE104" s="98"/>
      <c r="BF104" s="98"/>
      <c r="BG104" s="98"/>
      <c r="BH104" s="98"/>
      <c r="BI104" s="98"/>
      <c r="BJ104" s="99"/>
      <c r="BK104" s="22"/>
      <c r="BL104" s="22"/>
      <c r="BM104" s="58"/>
      <c r="BN104" s="58"/>
      <c r="BO104" s="58"/>
      <c r="BP104" s="59"/>
      <c r="BQ104" s="60"/>
      <c r="BR104" s="61"/>
      <c r="BS104" s="62" t="str">
        <f>_xlfn.IFNA(VLOOKUP($BR104,[15]Master!$C$4:$J$13,2,FALSE),"-")</f>
        <v>-</v>
      </c>
      <c r="BT104" s="62" t="str">
        <f>_xlfn.IFNA(VLOOKUP($BR104,[15]Master!$C$4:$J$13,3,FALSE),"-")</f>
        <v>-</v>
      </c>
      <c r="BU104" s="62" t="str">
        <f>_xlfn.IFNA(VLOOKUP($BR104,[15]Master!$C$4:$J$13,4,FALSE),"-")</f>
        <v>-</v>
      </c>
      <c r="BV104" s="62" t="str">
        <f>_xlfn.IFNA(VLOOKUP($BR104,[15]Master!$C$4:$J$13,5,FALSE),"-")</f>
        <v>-</v>
      </c>
      <c r="BW104" s="62" t="str">
        <f>_xlfn.IFNA(VLOOKUP($BR104,[15]Master!$C$4:$J$13,6,FALSE),"-")</f>
        <v>-</v>
      </c>
      <c r="BX104" s="62" t="str">
        <f>_xlfn.IFNA(VLOOKUP($BR104,[15]Master!$C$4:$J$13,7,FALSE),"-")</f>
        <v>-</v>
      </c>
      <c r="BY104" s="62" t="str">
        <f>_xlfn.IFNA(VLOOKUP($BR104,[15]Master!$C$4:$J$13,8,FALSE),"-")</f>
        <v>-</v>
      </c>
      <c r="BZ104" s="63">
        <f t="shared" si="3"/>
        <v>0</v>
      </c>
    </row>
    <row r="105" spans="1:78" ht="15.75">
      <c r="A105" s="22"/>
      <c r="B105" s="97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9"/>
      <c r="P105" s="97" t="s">
        <v>283</v>
      </c>
      <c r="Q105" s="98"/>
      <c r="R105" s="98"/>
      <c r="S105" s="98"/>
      <c r="T105" s="98"/>
      <c r="U105" s="98"/>
      <c r="V105" s="98"/>
      <c r="W105" s="98"/>
      <c r="X105" s="99"/>
      <c r="Y105" s="97"/>
      <c r="Z105" s="98"/>
      <c r="AA105" s="99"/>
      <c r="AB105" s="97"/>
      <c r="AC105" s="98"/>
      <c r="AD105" s="98"/>
      <c r="AE105" s="98"/>
      <c r="AF105" s="98"/>
      <c r="AG105" s="98"/>
      <c r="AH105" s="98"/>
      <c r="AI105" s="98"/>
      <c r="AJ105" s="99"/>
      <c r="AK105" s="97"/>
      <c r="AL105" s="98"/>
      <c r="AM105" s="99"/>
      <c r="AN105" s="97"/>
      <c r="AO105" s="98"/>
      <c r="AP105" s="98"/>
      <c r="AQ105" s="98"/>
      <c r="AR105" s="98"/>
      <c r="AS105" s="98"/>
      <c r="AT105" s="98"/>
      <c r="AU105" s="98"/>
      <c r="AV105" s="99"/>
      <c r="AW105" s="97"/>
      <c r="AX105" s="98"/>
      <c r="AY105" s="99"/>
      <c r="AZ105" s="97"/>
      <c r="BA105" s="98"/>
      <c r="BB105" s="98"/>
      <c r="BC105" s="98"/>
      <c r="BD105" s="98"/>
      <c r="BE105" s="98"/>
      <c r="BF105" s="98"/>
      <c r="BG105" s="98"/>
      <c r="BH105" s="98"/>
      <c r="BI105" s="98"/>
      <c r="BJ105" s="99"/>
      <c r="BK105" s="22"/>
      <c r="BL105" s="22"/>
      <c r="BM105" s="58"/>
      <c r="BN105" s="58"/>
      <c r="BO105" s="58"/>
      <c r="BP105" s="59"/>
      <c r="BQ105" s="60"/>
      <c r="BR105" s="61"/>
      <c r="BS105" s="62" t="str">
        <f>_xlfn.IFNA(VLOOKUP($BR105,[15]Master!$C$4:$J$13,2,FALSE),"-")</f>
        <v>-</v>
      </c>
      <c r="BT105" s="62" t="str">
        <f>_xlfn.IFNA(VLOOKUP($BR105,[15]Master!$C$4:$J$13,3,FALSE),"-")</f>
        <v>-</v>
      </c>
      <c r="BU105" s="62" t="str">
        <f>_xlfn.IFNA(VLOOKUP($BR105,[15]Master!$C$4:$J$13,4,FALSE),"-")</f>
        <v>-</v>
      </c>
      <c r="BV105" s="62" t="str">
        <f>_xlfn.IFNA(VLOOKUP($BR105,[15]Master!$C$4:$J$13,5,FALSE),"-")</f>
        <v>-</v>
      </c>
      <c r="BW105" s="62" t="str">
        <f>_xlfn.IFNA(VLOOKUP($BR105,[15]Master!$C$4:$J$13,6,FALSE),"-")</f>
        <v>-</v>
      </c>
      <c r="BX105" s="62" t="str">
        <f>_xlfn.IFNA(VLOOKUP($BR105,[15]Master!$C$4:$J$13,7,FALSE),"-")</f>
        <v>-</v>
      </c>
      <c r="BY105" s="62" t="str">
        <f>_xlfn.IFNA(VLOOKUP($BR105,[15]Master!$C$4:$J$13,8,FALSE),"-")</f>
        <v>-</v>
      </c>
      <c r="BZ105" s="63">
        <f t="shared" si="3"/>
        <v>0</v>
      </c>
    </row>
    <row r="106" spans="1:78" ht="15.75">
      <c r="A106" s="22"/>
      <c r="B106" s="97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9"/>
      <c r="P106" s="97" t="s">
        <v>284</v>
      </c>
      <c r="Q106" s="98"/>
      <c r="R106" s="98"/>
      <c r="S106" s="98"/>
      <c r="T106" s="98"/>
      <c r="U106" s="98"/>
      <c r="V106" s="98"/>
      <c r="W106" s="98"/>
      <c r="X106" s="99"/>
      <c r="Y106" s="97"/>
      <c r="Z106" s="98"/>
      <c r="AA106" s="99"/>
      <c r="AB106" s="97"/>
      <c r="AC106" s="98"/>
      <c r="AD106" s="98"/>
      <c r="AE106" s="98"/>
      <c r="AF106" s="98"/>
      <c r="AG106" s="98"/>
      <c r="AH106" s="98"/>
      <c r="AI106" s="98"/>
      <c r="AJ106" s="99"/>
      <c r="AK106" s="97"/>
      <c r="AL106" s="98"/>
      <c r="AM106" s="99"/>
      <c r="AN106" s="97"/>
      <c r="AO106" s="98"/>
      <c r="AP106" s="98"/>
      <c r="AQ106" s="98"/>
      <c r="AR106" s="98"/>
      <c r="AS106" s="98"/>
      <c r="AT106" s="98"/>
      <c r="AU106" s="98"/>
      <c r="AV106" s="99"/>
      <c r="AW106" s="97"/>
      <c r="AX106" s="98"/>
      <c r="AY106" s="99"/>
      <c r="AZ106" s="97"/>
      <c r="BA106" s="98"/>
      <c r="BB106" s="98"/>
      <c r="BC106" s="98"/>
      <c r="BD106" s="98"/>
      <c r="BE106" s="98"/>
      <c r="BF106" s="98"/>
      <c r="BG106" s="98"/>
      <c r="BH106" s="98"/>
      <c r="BI106" s="98"/>
      <c r="BJ106" s="99"/>
      <c r="BK106" s="22"/>
      <c r="BL106" s="22"/>
      <c r="BM106" s="58"/>
      <c r="BN106" s="58"/>
      <c r="BO106" s="58"/>
      <c r="BP106" s="59"/>
      <c r="BQ106" s="60"/>
      <c r="BR106" s="61"/>
      <c r="BS106" s="62" t="str">
        <f>_xlfn.IFNA(VLOOKUP($BR106,[15]Master!$C$4:$J$13,2,FALSE),"-")</f>
        <v>-</v>
      </c>
      <c r="BT106" s="62" t="str">
        <f>_xlfn.IFNA(VLOOKUP($BR106,[15]Master!$C$4:$J$13,3,FALSE),"-")</f>
        <v>-</v>
      </c>
      <c r="BU106" s="62" t="str">
        <f>_xlfn.IFNA(VLOOKUP($BR106,[15]Master!$C$4:$J$13,4,FALSE),"-")</f>
        <v>-</v>
      </c>
      <c r="BV106" s="62" t="str">
        <f>_xlfn.IFNA(VLOOKUP($BR106,[15]Master!$C$4:$J$13,5,FALSE),"-")</f>
        <v>-</v>
      </c>
      <c r="BW106" s="62" t="str">
        <f>_xlfn.IFNA(VLOOKUP($BR106,[15]Master!$C$4:$J$13,6,FALSE),"-")</f>
        <v>-</v>
      </c>
      <c r="BX106" s="62" t="str">
        <f>_xlfn.IFNA(VLOOKUP($BR106,[15]Master!$C$4:$J$13,7,FALSE),"-")</f>
        <v>-</v>
      </c>
      <c r="BY106" s="62" t="str">
        <f>_xlfn.IFNA(VLOOKUP($BR106,[15]Master!$C$4:$J$13,8,FALSE),"-")</f>
        <v>-</v>
      </c>
      <c r="BZ106" s="63">
        <f t="shared" si="3"/>
        <v>0</v>
      </c>
    </row>
    <row r="107" spans="1:78" ht="15.75">
      <c r="A107" s="22"/>
      <c r="B107" s="97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9"/>
      <c r="P107" s="97" t="s">
        <v>285</v>
      </c>
      <c r="Q107" s="98"/>
      <c r="R107" s="98"/>
      <c r="S107" s="98"/>
      <c r="T107" s="98"/>
      <c r="U107" s="98"/>
      <c r="V107" s="98"/>
      <c r="W107" s="98"/>
      <c r="X107" s="99"/>
      <c r="Y107" s="97"/>
      <c r="Z107" s="98"/>
      <c r="AA107" s="99"/>
      <c r="AB107" s="97"/>
      <c r="AC107" s="98"/>
      <c r="AD107" s="98"/>
      <c r="AE107" s="98"/>
      <c r="AF107" s="98"/>
      <c r="AG107" s="98"/>
      <c r="AH107" s="98"/>
      <c r="AI107" s="98"/>
      <c r="AJ107" s="99"/>
      <c r="AK107" s="97"/>
      <c r="AL107" s="98"/>
      <c r="AM107" s="99"/>
      <c r="AN107" s="97"/>
      <c r="AO107" s="98"/>
      <c r="AP107" s="98"/>
      <c r="AQ107" s="98"/>
      <c r="AR107" s="98"/>
      <c r="AS107" s="98"/>
      <c r="AT107" s="98"/>
      <c r="AU107" s="98"/>
      <c r="AV107" s="99"/>
      <c r="AW107" s="97"/>
      <c r="AX107" s="98"/>
      <c r="AY107" s="99"/>
      <c r="AZ107" s="97"/>
      <c r="BA107" s="98"/>
      <c r="BB107" s="98"/>
      <c r="BC107" s="98"/>
      <c r="BD107" s="98"/>
      <c r="BE107" s="98"/>
      <c r="BF107" s="98"/>
      <c r="BG107" s="98"/>
      <c r="BH107" s="98"/>
      <c r="BI107" s="98"/>
      <c r="BJ107" s="99"/>
      <c r="BK107" s="22"/>
      <c r="BL107" s="22"/>
      <c r="BM107" s="58"/>
      <c r="BN107" s="58"/>
      <c r="BO107" s="58"/>
      <c r="BP107" s="59"/>
      <c r="BQ107" s="60"/>
      <c r="BR107" s="61"/>
      <c r="BS107" s="62" t="str">
        <f>_xlfn.IFNA(VLOOKUP($BR107,[15]Master!$C$4:$J$13,2,FALSE),"-")</f>
        <v>-</v>
      </c>
      <c r="BT107" s="62" t="str">
        <f>_xlfn.IFNA(VLOOKUP($BR107,[15]Master!$C$4:$J$13,3,FALSE),"-")</f>
        <v>-</v>
      </c>
      <c r="BU107" s="62" t="str">
        <f>_xlfn.IFNA(VLOOKUP($BR107,[15]Master!$C$4:$J$13,4,FALSE),"-")</f>
        <v>-</v>
      </c>
      <c r="BV107" s="62" t="str">
        <f>_xlfn.IFNA(VLOOKUP($BR107,[15]Master!$C$4:$J$13,5,FALSE),"-")</f>
        <v>-</v>
      </c>
      <c r="BW107" s="62" t="str">
        <f>_xlfn.IFNA(VLOOKUP($BR107,[15]Master!$C$4:$J$13,6,FALSE),"-")</f>
        <v>-</v>
      </c>
      <c r="BX107" s="62" t="str">
        <f>_xlfn.IFNA(VLOOKUP($BR107,[15]Master!$C$4:$J$13,7,FALSE),"-")</f>
        <v>-</v>
      </c>
      <c r="BY107" s="62" t="str">
        <f>_xlfn.IFNA(VLOOKUP($BR107,[15]Master!$C$4:$J$13,8,FALSE),"-")</f>
        <v>-</v>
      </c>
      <c r="BZ107" s="63">
        <f t="shared" si="3"/>
        <v>0</v>
      </c>
    </row>
    <row r="108" spans="1:78" ht="45">
      <c r="A108" s="22"/>
      <c r="B108" s="97" t="s">
        <v>286</v>
      </c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9"/>
      <c r="P108" s="103" t="s">
        <v>287</v>
      </c>
      <c r="Q108" s="104"/>
      <c r="R108" s="104"/>
      <c r="S108" s="104"/>
      <c r="T108" s="104"/>
      <c r="U108" s="104"/>
      <c r="V108" s="104"/>
      <c r="W108" s="104"/>
      <c r="X108" s="105"/>
      <c r="Y108" s="97"/>
      <c r="Z108" s="98"/>
      <c r="AA108" s="99"/>
      <c r="AB108" s="100" t="s">
        <v>217</v>
      </c>
      <c r="AC108" s="98"/>
      <c r="AD108" s="98"/>
      <c r="AE108" s="98"/>
      <c r="AF108" s="98"/>
      <c r="AG108" s="98"/>
      <c r="AH108" s="98"/>
      <c r="AI108" s="98"/>
      <c r="AJ108" s="99"/>
      <c r="AK108" s="97"/>
      <c r="AL108" s="98"/>
      <c r="AM108" s="99"/>
      <c r="AN108" s="97"/>
      <c r="AO108" s="98"/>
      <c r="AP108" s="98"/>
      <c r="AQ108" s="98"/>
      <c r="AR108" s="98"/>
      <c r="AS108" s="98"/>
      <c r="AT108" s="98"/>
      <c r="AU108" s="98"/>
      <c r="AV108" s="99"/>
      <c r="AW108" s="97"/>
      <c r="AX108" s="98"/>
      <c r="AY108" s="99"/>
      <c r="AZ108" s="97"/>
      <c r="BA108" s="98"/>
      <c r="BB108" s="98"/>
      <c r="BC108" s="98"/>
      <c r="BD108" s="98"/>
      <c r="BE108" s="98"/>
      <c r="BF108" s="98"/>
      <c r="BG108" s="98"/>
      <c r="BH108" s="98"/>
      <c r="BI108" s="98"/>
      <c r="BJ108" s="99"/>
      <c r="BK108" s="22"/>
      <c r="BL108" s="22"/>
      <c r="BP108" s="47" t="s">
        <v>288</v>
      </c>
      <c r="BR108" s="39" t="s">
        <v>204</v>
      </c>
      <c r="BS108" s="34">
        <f>_xlfn.IFNA(VLOOKUP($BR108,[15]Master!$C$4:$J$13,2,FALSE),"-")</f>
        <v>0.52500000000000002</v>
      </c>
      <c r="BT108" s="34">
        <f>_xlfn.IFNA(VLOOKUP($BR108,[15]Master!$C$4:$J$13,3,FALSE),"-")</f>
        <v>1.75</v>
      </c>
      <c r="BU108" s="34">
        <f>_xlfn.IFNA(VLOOKUP($BR108,[15]Master!$C$4:$J$13,4,FALSE),"-")</f>
        <v>0.35000000000000003</v>
      </c>
      <c r="BV108" s="34">
        <f>_xlfn.IFNA(VLOOKUP($BR108,[15]Master!$C$4:$J$13,5,FALSE),"-")</f>
        <v>0.17500000000000002</v>
      </c>
      <c r="BW108" s="34">
        <f>_xlfn.IFNA(VLOOKUP($BR108,[15]Master!$C$4:$J$13,6,FALSE),"-")</f>
        <v>0.35000000000000003</v>
      </c>
      <c r="BX108" s="34">
        <f>_xlfn.IFNA(VLOOKUP($BR108,[15]Master!$C$4:$J$13,7,FALSE),"-")</f>
        <v>0.17500000000000002</v>
      </c>
      <c r="BY108" s="34">
        <f>_xlfn.IFNA(VLOOKUP($BR108,[15]Master!$C$4:$J$13,8,FALSE),"-")</f>
        <v>0.35000000000000003</v>
      </c>
      <c r="BZ108" s="35">
        <f t="shared" si="3"/>
        <v>3.6749999999999998</v>
      </c>
    </row>
    <row r="109" spans="1:78" ht="30">
      <c r="A109" s="22"/>
      <c r="B109" s="106" t="s">
        <v>289</v>
      </c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1"/>
      <c r="P109" s="97" t="s">
        <v>290</v>
      </c>
      <c r="Q109" s="98"/>
      <c r="R109" s="98"/>
      <c r="S109" s="98"/>
      <c r="T109" s="98"/>
      <c r="U109" s="98"/>
      <c r="V109" s="98"/>
      <c r="W109" s="98"/>
      <c r="X109" s="99"/>
      <c r="Y109" s="97"/>
      <c r="Z109" s="98"/>
      <c r="AA109" s="99"/>
      <c r="AB109" s="97"/>
      <c r="AC109" s="98"/>
      <c r="AD109" s="98"/>
      <c r="AE109" s="98"/>
      <c r="AF109" s="98"/>
      <c r="AG109" s="98"/>
      <c r="AH109" s="98"/>
      <c r="AI109" s="98"/>
      <c r="AJ109" s="99"/>
      <c r="AK109" s="97"/>
      <c r="AL109" s="98"/>
      <c r="AM109" s="99"/>
      <c r="AN109" s="97"/>
      <c r="AO109" s="98"/>
      <c r="AP109" s="98"/>
      <c r="AQ109" s="98"/>
      <c r="AR109" s="98"/>
      <c r="AS109" s="98"/>
      <c r="AT109" s="98"/>
      <c r="AU109" s="98"/>
      <c r="AV109" s="99"/>
      <c r="AW109" s="97"/>
      <c r="AX109" s="98"/>
      <c r="AY109" s="99"/>
      <c r="AZ109" s="97"/>
      <c r="BA109" s="98"/>
      <c r="BB109" s="98"/>
      <c r="BC109" s="98"/>
      <c r="BD109" s="98"/>
      <c r="BE109" s="98"/>
      <c r="BF109" s="98"/>
      <c r="BG109" s="98"/>
      <c r="BH109" s="98"/>
      <c r="BI109" s="98"/>
      <c r="BJ109" s="99"/>
      <c r="BK109" s="22"/>
      <c r="BL109" s="22"/>
      <c r="BM109" s="45">
        <v>1</v>
      </c>
      <c r="BP109" s="47" t="s">
        <v>264</v>
      </c>
      <c r="BR109" s="39" t="s">
        <v>173</v>
      </c>
      <c r="BS109" s="34">
        <f>_xlfn.IFNA(VLOOKUP($BR109,[15]Master!$C$4:$J$13,2,FALSE),"-")</f>
        <v>0.75</v>
      </c>
      <c r="BT109" s="34">
        <f>_xlfn.IFNA(VLOOKUP($BR109,[15]Master!$C$4:$J$13,3,FALSE),"-")</f>
        <v>2.5</v>
      </c>
      <c r="BU109" s="34">
        <f>_xlfn.IFNA(VLOOKUP($BR109,[15]Master!$C$4:$J$13,4,FALSE),"-")</f>
        <v>0.5</v>
      </c>
      <c r="BV109" s="34">
        <f>_xlfn.IFNA(VLOOKUP($BR109,[15]Master!$C$4:$J$13,5,FALSE),"-")</f>
        <v>0.25</v>
      </c>
      <c r="BW109" s="34">
        <f>_xlfn.IFNA(VLOOKUP($BR109,[15]Master!$C$4:$J$13,6,FALSE),"-")</f>
        <v>0.5</v>
      </c>
      <c r="BX109" s="34">
        <f>_xlfn.IFNA(VLOOKUP($BR109,[15]Master!$C$4:$J$13,7,FALSE),"-")</f>
        <v>0.25</v>
      </c>
      <c r="BY109" s="34">
        <f>_xlfn.IFNA(VLOOKUP($BR109,[15]Master!$C$4:$J$13,8,FALSE),"-")</f>
        <v>0.5</v>
      </c>
      <c r="BZ109" s="35">
        <f t="shared" si="3"/>
        <v>5.25</v>
      </c>
    </row>
    <row r="110" spans="1:78" ht="15.75">
      <c r="A110" s="22"/>
      <c r="B110" s="97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9"/>
      <c r="P110" s="97" t="s">
        <v>291</v>
      </c>
      <c r="Q110" s="98"/>
      <c r="R110" s="98"/>
      <c r="S110" s="98"/>
      <c r="T110" s="98"/>
      <c r="U110" s="98"/>
      <c r="V110" s="98"/>
      <c r="W110" s="98"/>
      <c r="X110" s="99"/>
      <c r="Y110" s="97"/>
      <c r="Z110" s="98"/>
      <c r="AA110" s="99"/>
      <c r="AB110" s="97"/>
      <c r="AC110" s="98"/>
      <c r="AD110" s="98"/>
      <c r="AE110" s="98"/>
      <c r="AF110" s="98"/>
      <c r="AG110" s="98"/>
      <c r="AH110" s="98"/>
      <c r="AI110" s="98"/>
      <c r="AJ110" s="99"/>
      <c r="AK110" s="97"/>
      <c r="AL110" s="98"/>
      <c r="AM110" s="99"/>
      <c r="AN110" s="97"/>
      <c r="AO110" s="98"/>
      <c r="AP110" s="98"/>
      <c r="AQ110" s="98"/>
      <c r="AR110" s="98"/>
      <c r="AS110" s="98"/>
      <c r="AT110" s="98"/>
      <c r="AU110" s="98"/>
      <c r="AV110" s="99"/>
      <c r="AW110" s="97"/>
      <c r="AX110" s="98"/>
      <c r="AY110" s="99"/>
      <c r="AZ110" s="97"/>
      <c r="BA110" s="98"/>
      <c r="BB110" s="98"/>
      <c r="BC110" s="98"/>
      <c r="BD110" s="98"/>
      <c r="BE110" s="98"/>
      <c r="BF110" s="98"/>
      <c r="BG110" s="98"/>
      <c r="BH110" s="98"/>
      <c r="BI110" s="98"/>
      <c r="BJ110" s="99"/>
      <c r="BK110" s="22"/>
      <c r="BL110" s="22"/>
      <c r="BM110" s="58"/>
      <c r="BN110" s="58"/>
      <c r="BO110" s="58"/>
      <c r="BP110" s="59"/>
      <c r="BQ110" s="60"/>
      <c r="BR110" s="61"/>
      <c r="BS110" s="62" t="str">
        <f>_xlfn.IFNA(VLOOKUP($BR110,[15]Master!$C$4:$J$13,2,FALSE),"-")</f>
        <v>-</v>
      </c>
      <c r="BT110" s="62" t="str">
        <f>_xlfn.IFNA(VLOOKUP($BR110,[15]Master!$C$4:$J$13,3,FALSE),"-")</f>
        <v>-</v>
      </c>
      <c r="BU110" s="62" t="str">
        <f>_xlfn.IFNA(VLOOKUP($BR110,[15]Master!$C$4:$J$13,4,FALSE),"-")</f>
        <v>-</v>
      </c>
      <c r="BV110" s="62" t="str">
        <f>_xlfn.IFNA(VLOOKUP($BR110,[15]Master!$C$4:$J$13,5,FALSE),"-")</f>
        <v>-</v>
      </c>
      <c r="BW110" s="62" t="str">
        <f>_xlfn.IFNA(VLOOKUP($BR110,[15]Master!$C$4:$J$13,6,FALSE),"-")</f>
        <v>-</v>
      </c>
      <c r="BX110" s="62" t="str">
        <f>_xlfn.IFNA(VLOOKUP($BR110,[15]Master!$C$4:$J$13,7,FALSE),"-")</f>
        <v>-</v>
      </c>
      <c r="BY110" s="62" t="str">
        <f>_xlfn.IFNA(VLOOKUP($BR110,[15]Master!$C$4:$J$13,8,FALSE),"-")</f>
        <v>-</v>
      </c>
      <c r="BZ110" s="63">
        <f t="shared" si="3"/>
        <v>0</v>
      </c>
    </row>
    <row r="111" spans="1:78" ht="15.75">
      <c r="A111" s="22"/>
      <c r="B111" s="97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9"/>
      <c r="P111" s="97" t="s">
        <v>292</v>
      </c>
      <c r="Q111" s="98"/>
      <c r="R111" s="98"/>
      <c r="S111" s="98"/>
      <c r="T111" s="98"/>
      <c r="U111" s="98"/>
      <c r="V111" s="98"/>
      <c r="W111" s="98"/>
      <c r="X111" s="99"/>
      <c r="Y111" s="97"/>
      <c r="Z111" s="98"/>
      <c r="AA111" s="99"/>
      <c r="AB111" s="97"/>
      <c r="AC111" s="98"/>
      <c r="AD111" s="98"/>
      <c r="AE111" s="98"/>
      <c r="AF111" s="98"/>
      <c r="AG111" s="98"/>
      <c r="AH111" s="98"/>
      <c r="AI111" s="98"/>
      <c r="AJ111" s="99"/>
      <c r="AK111" s="97"/>
      <c r="AL111" s="98"/>
      <c r="AM111" s="99"/>
      <c r="AN111" s="97"/>
      <c r="AO111" s="98"/>
      <c r="AP111" s="98"/>
      <c r="AQ111" s="98"/>
      <c r="AR111" s="98"/>
      <c r="AS111" s="98"/>
      <c r="AT111" s="98"/>
      <c r="AU111" s="98"/>
      <c r="AV111" s="99"/>
      <c r="AW111" s="97"/>
      <c r="AX111" s="98"/>
      <c r="AY111" s="99"/>
      <c r="AZ111" s="97"/>
      <c r="BA111" s="98"/>
      <c r="BB111" s="98"/>
      <c r="BC111" s="98"/>
      <c r="BD111" s="98"/>
      <c r="BE111" s="98"/>
      <c r="BF111" s="98"/>
      <c r="BG111" s="98"/>
      <c r="BH111" s="98"/>
      <c r="BI111" s="98"/>
      <c r="BJ111" s="99"/>
      <c r="BK111" s="22"/>
      <c r="BL111" s="22"/>
      <c r="BM111" s="58"/>
      <c r="BN111" s="58"/>
      <c r="BO111" s="58"/>
      <c r="BP111" s="59"/>
      <c r="BQ111" s="60"/>
      <c r="BR111" s="61"/>
      <c r="BS111" s="62" t="str">
        <f>_xlfn.IFNA(VLOOKUP($BR111,[15]Master!$C$4:$J$13,2,FALSE),"-")</f>
        <v>-</v>
      </c>
      <c r="BT111" s="62" t="str">
        <f>_xlfn.IFNA(VLOOKUP($BR111,[15]Master!$C$4:$J$13,3,FALSE),"-")</f>
        <v>-</v>
      </c>
      <c r="BU111" s="62" t="str">
        <f>_xlfn.IFNA(VLOOKUP($BR111,[15]Master!$C$4:$J$13,4,FALSE),"-")</f>
        <v>-</v>
      </c>
      <c r="BV111" s="62" t="str">
        <f>_xlfn.IFNA(VLOOKUP($BR111,[15]Master!$C$4:$J$13,5,FALSE),"-")</f>
        <v>-</v>
      </c>
      <c r="BW111" s="62" t="str">
        <f>_xlfn.IFNA(VLOOKUP($BR111,[15]Master!$C$4:$J$13,6,FALSE),"-")</f>
        <v>-</v>
      </c>
      <c r="BX111" s="62" t="str">
        <f>_xlfn.IFNA(VLOOKUP($BR111,[15]Master!$C$4:$J$13,7,FALSE),"-")</f>
        <v>-</v>
      </c>
      <c r="BY111" s="62" t="str">
        <f>_xlfn.IFNA(VLOOKUP($BR111,[15]Master!$C$4:$J$13,8,FALSE),"-")</f>
        <v>-</v>
      </c>
      <c r="BZ111" s="63">
        <f t="shared" si="3"/>
        <v>0</v>
      </c>
    </row>
    <row r="112" spans="1:78" ht="15.75">
      <c r="A112" s="22"/>
      <c r="B112" s="97" t="s">
        <v>293</v>
      </c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9"/>
      <c r="P112" s="97" t="s">
        <v>294</v>
      </c>
      <c r="Q112" s="98"/>
      <c r="R112" s="98"/>
      <c r="S112" s="98"/>
      <c r="T112" s="98"/>
      <c r="U112" s="98"/>
      <c r="V112" s="98"/>
      <c r="W112" s="98"/>
      <c r="X112" s="99"/>
      <c r="Y112" s="97"/>
      <c r="Z112" s="98"/>
      <c r="AA112" s="99"/>
      <c r="AB112" s="97"/>
      <c r="AC112" s="98"/>
      <c r="AD112" s="98"/>
      <c r="AE112" s="98"/>
      <c r="AF112" s="98"/>
      <c r="AG112" s="98"/>
      <c r="AH112" s="98"/>
      <c r="AI112" s="98"/>
      <c r="AJ112" s="99"/>
      <c r="AK112" s="97"/>
      <c r="AL112" s="98"/>
      <c r="AM112" s="99"/>
      <c r="AN112" s="97"/>
      <c r="AO112" s="98"/>
      <c r="AP112" s="98"/>
      <c r="AQ112" s="98"/>
      <c r="AR112" s="98"/>
      <c r="AS112" s="98"/>
      <c r="AT112" s="98"/>
      <c r="AU112" s="98"/>
      <c r="AV112" s="99"/>
      <c r="AW112" s="97"/>
      <c r="AX112" s="98"/>
      <c r="AY112" s="99"/>
      <c r="AZ112" s="97"/>
      <c r="BA112" s="98"/>
      <c r="BB112" s="98"/>
      <c r="BC112" s="98"/>
      <c r="BD112" s="98"/>
      <c r="BE112" s="98"/>
      <c r="BF112" s="98"/>
      <c r="BG112" s="98"/>
      <c r="BH112" s="98"/>
      <c r="BI112" s="98"/>
      <c r="BJ112" s="99"/>
      <c r="BK112" s="22"/>
      <c r="BL112" s="22"/>
      <c r="BM112" s="45">
        <v>1</v>
      </c>
      <c r="BR112" s="39" t="s">
        <v>209</v>
      </c>
      <c r="BS112" s="34">
        <f>_xlfn.IFNA(VLOOKUP($BR112,[15]Master!$C$4:$J$13,2,FALSE),"-")</f>
        <v>0.3</v>
      </c>
      <c r="BT112" s="34">
        <f>_xlfn.IFNA(VLOOKUP($BR112,[15]Master!$C$4:$J$13,3,FALSE),"-")</f>
        <v>1</v>
      </c>
      <c r="BU112" s="34">
        <f>_xlfn.IFNA(VLOOKUP($BR112,[15]Master!$C$4:$J$13,4,FALSE),"-")</f>
        <v>0.2</v>
      </c>
      <c r="BV112" s="34">
        <f>_xlfn.IFNA(VLOOKUP($BR112,[15]Master!$C$4:$J$13,5,FALSE),"-")</f>
        <v>0.1</v>
      </c>
      <c r="BW112" s="34">
        <f>_xlfn.IFNA(VLOOKUP($BR112,[15]Master!$C$4:$J$13,6,FALSE),"-")</f>
        <v>0.2</v>
      </c>
      <c r="BX112" s="34">
        <f>_xlfn.IFNA(VLOOKUP($BR112,[15]Master!$C$4:$J$13,7,FALSE),"-")</f>
        <v>0.1</v>
      </c>
      <c r="BY112" s="34">
        <f>_xlfn.IFNA(VLOOKUP($BR112,[15]Master!$C$4:$J$13,8,FALSE),"-")</f>
        <v>0.2</v>
      </c>
      <c r="BZ112" s="35">
        <f t="shared" si="3"/>
        <v>2.1</v>
      </c>
    </row>
    <row r="113" spans="1:78" ht="15.75">
      <c r="A113" s="22"/>
      <c r="B113" s="97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9"/>
      <c r="P113" s="97" t="s">
        <v>190</v>
      </c>
      <c r="Q113" s="98"/>
      <c r="R113" s="98"/>
      <c r="S113" s="98"/>
      <c r="T113" s="98"/>
      <c r="U113" s="98"/>
      <c r="V113" s="98"/>
      <c r="W113" s="98"/>
      <c r="X113" s="99"/>
      <c r="Y113" s="97"/>
      <c r="Z113" s="98"/>
      <c r="AA113" s="99"/>
      <c r="AB113" s="97"/>
      <c r="AC113" s="98"/>
      <c r="AD113" s="98"/>
      <c r="AE113" s="98"/>
      <c r="AF113" s="98"/>
      <c r="AG113" s="98"/>
      <c r="AH113" s="98"/>
      <c r="AI113" s="98"/>
      <c r="AJ113" s="99"/>
      <c r="AK113" s="97"/>
      <c r="AL113" s="98"/>
      <c r="AM113" s="99"/>
      <c r="AN113" s="97"/>
      <c r="AO113" s="98"/>
      <c r="AP113" s="98"/>
      <c r="AQ113" s="98"/>
      <c r="AR113" s="98"/>
      <c r="AS113" s="98"/>
      <c r="AT113" s="98"/>
      <c r="AU113" s="98"/>
      <c r="AV113" s="99"/>
      <c r="AW113" s="97"/>
      <c r="AX113" s="98"/>
      <c r="AY113" s="99"/>
      <c r="AZ113" s="97"/>
      <c r="BA113" s="98"/>
      <c r="BB113" s="98"/>
      <c r="BC113" s="98"/>
      <c r="BD113" s="98"/>
      <c r="BE113" s="98"/>
      <c r="BF113" s="98"/>
      <c r="BG113" s="98"/>
      <c r="BH113" s="98"/>
      <c r="BI113" s="98"/>
      <c r="BJ113" s="99"/>
      <c r="BK113" s="22"/>
      <c r="BL113" s="22"/>
      <c r="BM113" s="58"/>
      <c r="BN113" s="58"/>
      <c r="BO113" s="58"/>
      <c r="BP113" s="59"/>
      <c r="BQ113" s="60"/>
      <c r="BR113" s="61"/>
      <c r="BS113" s="62" t="str">
        <f>_xlfn.IFNA(VLOOKUP($BR113,[15]Master!$C$4:$J$13,2,FALSE),"-")</f>
        <v>-</v>
      </c>
      <c r="BT113" s="62" t="str">
        <f>_xlfn.IFNA(VLOOKUP($BR113,[15]Master!$C$4:$J$13,3,FALSE),"-")</f>
        <v>-</v>
      </c>
      <c r="BU113" s="62" t="str">
        <f>_xlfn.IFNA(VLOOKUP($BR113,[15]Master!$C$4:$J$13,4,FALSE),"-")</f>
        <v>-</v>
      </c>
      <c r="BV113" s="62" t="str">
        <f>_xlfn.IFNA(VLOOKUP($BR113,[15]Master!$C$4:$J$13,5,FALSE),"-")</f>
        <v>-</v>
      </c>
      <c r="BW113" s="62" t="str">
        <f>_xlfn.IFNA(VLOOKUP($BR113,[15]Master!$C$4:$J$13,6,FALSE),"-")</f>
        <v>-</v>
      </c>
      <c r="BX113" s="62" t="str">
        <f>_xlfn.IFNA(VLOOKUP($BR113,[15]Master!$C$4:$J$13,7,FALSE),"-")</f>
        <v>-</v>
      </c>
      <c r="BY113" s="62" t="str">
        <f>_xlfn.IFNA(VLOOKUP($BR113,[15]Master!$C$4:$J$13,8,FALSE),"-")</f>
        <v>-</v>
      </c>
      <c r="BZ113" s="63">
        <f t="shared" si="3"/>
        <v>0</v>
      </c>
    </row>
    <row r="114" spans="1:78" ht="15.75">
      <c r="A114" s="22"/>
      <c r="B114" s="97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9"/>
      <c r="P114" s="97" t="s">
        <v>192</v>
      </c>
      <c r="Q114" s="98"/>
      <c r="R114" s="98"/>
      <c r="S114" s="98"/>
      <c r="T114" s="98"/>
      <c r="U114" s="98"/>
      <c r="V114" s="98"/>
      <c r="W114" s="98"/>
      <c r="X114" s="99"/>
      <c r="Y114" s="97"/>
      <c r="Z114" s="98"/>
      <c r="AA114" s="99"/>
      <c r="AB114" s="97"/>
      <c r="AC114" s="98"/>
      <c r="AD114" s="98"/>
      <c r="AE114" s="98"/>
      <c r="AF114" s="98"/>
      <c r="AG114" s="98"/>
      <c r="AH114" s="98"/>
      <c r="AI114" s="98"/>
      <c r="AJ114" s="99"/>
      <c r="AK114" s="97"/>
      <c r="AL114" s="98"/>
      <c r="AM114" s="99"/>
      <c r="AN114" s="97"/>
      <c r="AO114" s="98"/>
      <c r="AP114" s="98"/>
      <c r="AQ114" s="98"/>
      <c r="AR114" s="98"/>
      <c r="AS114" s="98"/>
      <c r="AT114" s="98"/>
      <c r="AU114" s="98"/>
      <c r="AV114" s="99"/>
      <c r="AW114" s="97"/>
      <c r="AX114" s="98"/>
      <c r="AY114" s="99"/>
      <c r="AZ114" s="97"/>
      <c r="BA114" s="98"/>
      <c r="BB114" s="98"/>
      <c r="BC114" s="98"/>
      <c r="BD114" s="98"/>
      <c r="BE114" s="98"/>
      <c r="BF114" s="98"/>
      <c r="BG114" s="98"/>
      <c r="BH114" s="98"/>
      <c r="BI114" s="98"/>
      <c r="BJ114" s="99"/>
      <c r="BK114" s="22"/>
      <c r="BL114" s="22"/>
      <c r="BM114" s="58"/>
      <c r="BN114" s="58"/>
      <c r="BO114" s="58"/>
      <c r="BP114" s="59"/>
      <c r="BQ114" s="60"/>
      <c r="BR114" s="61"/>
      <c r="BS114" s="62" t="str">
        <f>_xlfn.IFNA(VLOOKUP($BR114,[15]Master!$C$4:$J$13,2,FALSE),"-")</f>
        <v>-</v>
      </c>
      <c r="BT114" s="62" t="str">
        <f>_xlfn.IFNA(VLOOKUP($BR114,[15]Master!$C$4:$J$13,3,FALSE),"-")</f>
        <v>-</v>
      </c>
      <c r="BU114" s="62" t="str">
        <f>_xlfn.IFNA(VLOOKUP($BR114,[15]Master!$C$4:$J$13,4,FALSE),"-")</f>
        <v>-</v>
      </c>
      <c r="BV114" s="62" t="str">
        <f>_xlfn.IFNA(VLOOKUP($BR114,[15]Master!$C$4:$J$13,5,FALSE),"-")</f>
        <v>-</v>
      </c>
      <c r="BW114" s="62" t="str">
        <f>_xlfn.IFNA(VLOOKUP($BR114,[15]Master!$C$4:$J$13,6,FALSE),"-")</f>
        <v>-</v>
      </c>
      <c r="BX114" s="62" t="str">
        <f>_xlfn.IFNA(VLOOKUP($BR114,[15]Master!$C$4:$J$13,7,FALSE),"-")</f>
        <v>-</v>
      </c>
      <c r="BY114" s="62" t="str">
        <f>_xlfn.IFNA(VLOOKUP($BR114,[15]Master!$C$4:$J$13,8,FALSE),"-")</f>
        <v>-</v>
      </c>
      <c r="BZ114" s="63">
        <f t="shared" si="3"/>
        <v>0</v>
      </c>
    </row>
    <row r="115" spans="1:78" ht="15.75">
      <c r="A115" s="22"/>
      <c r="B115" s="97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9"/>
      <c r="P115" s="97" t="s">
        <v>194</v>
      </c>
      <c r="Q115" s="98"/>
      <c r="R115" s="98"/>
      <c r="S115" s="98"/>
      <c r="T115" s="98"/>
      <c r="U115" s="98"/>
      <c r="V115" s="98"/>
      <c r="W115" s="98"/>
      <c r="X115" s="99"/>
      <c r="Y115" s="97"/>
      <c r="Z115" s="98"/>
      <c r="AA115" s="99"/>
      <c r="AB115" s="97"/>
      <c r="AC115" s="98"/>
      <c r="AD115" s="98"/>
      <c r="AE115" s="98"/>
      <c r="AF115" s="98"/>
      <c r="AG115" s="98"/>
      <c r="AH115" s="98"/>
      <c r="AI115" s="98"/>
      <c r="AJ115" s="99"/>
      <c r="AK115" s="97"/>
      <c r="AL115" s="98"/>
      <c r="AM115" s="99"/>
      <c r="AN115" s="97"/>
      <c r="AO115" s="98"/>
      <c r="AP115" s="98"/>
      <c r="AQ115" s="98"/>
      <c r="AR115" s="98"/>
      <c r="AS115" s="98"/>
      <c r="AT115" s="98"/>
      <c r="AU115" s="98"/>
      <c r="AV115" s="99"/>
      <c r="AW115" s="97"/>
      <c r="AX115" s="98"/>
      <c r="AY115" s="99"/>
      <c r="AZ115" s="97"/>
      <c r="BA115" s="98"/>
      <c r="BB115" s="98"/>
      <c r="BC115" s="98"/>
      <c r="BD115" s="98"/>
      <c r="BE115" s="98"/>
      <c r="BF115" s="98"/>
      <c r="BG115" s="98"/>
      <c r="BH115" s="98"/>
      <c r="BI115" s="98"/>
      <c r="BJ115" s="99"/>
      <c r="BK115" s="22"/>
      <c r="BL115" s="22"/>
      <c r="BM115" s="58"/>
      <c r="BN115" s="58"/>
      <c r="BO115" s="58"/>
      <c r="BP115" s="59"/>
      <c r="BQ115" s="60"/>
      <c r="BR115" s="61"/>
      <c r="BS115" s="62" t="str">
        <f>_xlfn.IFNA(VLOOKUP($BR115,[15]Master!$C$4:$J$13,2,FALSE),"-")</f>
        <v>-</v>
      </c>
      <c r="BT115" s="62" t="str">
        <f>_xlfn.IFNA(VLOOKUP($BR115,[15]Master!$C$4:$J$13,3,FALSE),"-")</f>
        <v>-</v>
      </c>
      <c r="BU115" s="62" t="str">
        <f>_xlfn.IFNA(VLOOKUP($BR115,[15]Master!$C$4:$J$13,4,FALSE),"-")</f>
        <v>-</v>
      </c>
      <c r="BV115" s="62" t="str">
        <f>_xlfn.IFNA(VLOOKUP($BR115,[15]Master!$C$4:$J$13,5,FALSE),"-")</f>
        <v>-</v>
      </c>
      <c r="BW115" s="62" t="str">
        <f>_xlfn.IFNA(VLOOKUP($BR115,[15]Master!$C$4:$J$13,6,FALSE),"-")</f>
        <v>-</v>
      </c>
      <c r="BX115" s="62" t="str">
        <f>_xlfn.IFNA(VLOOKUP($BR115,[15]Master!$C$4:$J$13,7,FALSE),"-")</f>
        <v>-</v>
      </c>
      <c r="BY115" s="62" t="str">
        <f>_xlfn.IFNA(VLOOKUP($BR115,[15]Master!$C$4:$J$13,8,FALSE),"-")</f>
        <v>-</v>
      </c>
      <c r="BZ115" s="63">
        <f t="shared" si="3"/>
        <v>0</v>
      </c>
    </row>
    <row r="116" spans="1:78" ht="15.75">
      <c r="A116" s="22"/>
      <c r="B116" s="97" t="s">
        <v>295</v>
      </c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9"/>
      <c r="P116" s="97" t="s">
        <v>296</v>
      </c>
      <c r="Q116" s="98"/>
      <c r="R116" s="98"/>
      <c r="S116" s="98"/>
      <c r="T116" s="98"/>
      <c r="U116" s="98"/>
      <c r="V116" s="98"/>
      <c r="W116" s="98"/>
      <c r="X116" s="99"/>
      <c r="Y116" s="97"/>
      <c r="Z116" s="98"/>
      <c r="AA116" s="99"/>
      <c r="AB116" s="97"/>
      <c r="AC116" s="98"/>
      <c r="AD116" s="98"/>
      <c r="AE116" s="98"/>
      <c r="AF116" s="98"/>
      <c r="AG116" s="98"/>
      <c r="AH116" s="98"/>
      <c r="AI116" s="98"/>
      <c r="AJ116" s="99"/>
      <c r="AK116" s="97"/>
      <c r="AL116" s="98"/>
      <c r="AM116" s="99"/>
      <c r="AN116" s="97"/>
      <c r="AO116" s="98"/>
      <c r="AP116" s="98"/>
      <c r="AQ116" s="98"/>
      <c r="AR116" s="98"/>
      <c r="AS116" s="98"/>
      <c r="AT116" s="98"/>
      <c r="AU116" s="98"/>
      <c r="AV116" s="99"/>
      <c r="AW116" s="97"/>
      <c r="AX116" s="98"/>
      <c r="AY116" s="99"/>
      <c r="AZ116" s="97"/>
      <c r="BA116" s="98"/>
      <c r="BB116" s="98"/>
      <c r="BC116" s="98"/>
      <c r="BD116" s="98"/>
      <c r="BE116" s="98"/>
      <c r="BF116" s="98"/>
      <c r="BG116" s="98"/>
      <c r="BH116" s="98"/>
      <c r="BI116" s="98"/>
      <c r="BJ116" s="99"/>
      <c r="BK116" s="22"/>
      <c r="BL116" s="22"/>
      <c r="BM116" s="45">
        <v>1</v>
      </c>
      <c r="BR116" s="39" t="s">
        <v>209</v>
      </c>
      <c r="BS116" s="34">
        <f>_xlfn.IFNA(VLOOKUP($BR116,[15]Master!$C$4:$J$13,2,FALSE),"-")</f>
        <v>0.3</v>
      </c>
      <c r="BT116" s="34">
        <f>_xlfn.IFNA(VLOOKUP($BR116,[15]Master!$C$4:$J$13,3,FALSE),"-")</f>
        <v>1</v>
      </c>
      <c r="BU116" s="34">
        <f>_xlfn.IFNA(VLOOKUP($BR116,[15]Master!$C$4:$J$13,4,FALSE),"-")</f>
        <v>0.2</v>
      </c>
      <c r="BV116" s="34">
        <f>_xlfn.IFNA(VLOOKUP($BR116,[15]Master!$C$4:$J$13,5,FALSE),"-")</f>
        <v>0.1</v>
      </c>
      <c r="BW116" s="34">
        <f>_xlfn.IFNA(VLOOKUP($BR116,[15]Master!$C$4:$J$13,6,FALSE),"-")</f>
        <v>0.2</v>
      </c>
      <c r="BX116" s="34">
        <f>_xlfn.IFNA(VLOOKUP($BR116,[15]Master!$C$4:$J$13,7,FALSE),"-")</f>
        <v>0.1</v>
      </c>
      <c r="BY116" s="34">
        <f>_xlfn.IFNA(VLOOKUP($BR116,[15]Master!$C$4:$J$13,8,FALSE),"-")</f>
        <v>0.2</v>
      </c>
      <c r="BZ116" s="35">
        <f t="shared" si="3"/>
        <v>2.1</v>
      </c>
    </row>
    <row r="117" spans="1:78" ht="15.75">
      <c r="A117" s="22"/>
      <c r="B117" s="97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9"/>
      <c r="P117" s="97" t="s">
        <v>190</v>
      </c>
      <c r="Q117" s="98"/>
      <c r="R117" s="98"/>
      <c r="S117" s="98"/>
      <c r="T117" s="98"/>
      <c r="U117" s="98"/>
      <c r="V117" s="98"/>
      <c r="W117" s="98"/>
      <c r="X117" s="99"/>
      <c r="Y117" s="97"/>
      <c r="Z117" s="98"/>
      <c r="AA117" s="99"/>
      <c r="AB117" s="97"/>
      <c r="AC117" s="98"/>
      <c r="AD117" s="98"/>
      <c r="AE117" s="98"/>
      <c r="AF117" s="98"/>
      <c r="AG117" s="98"/>
      <c r="AH117" s="98"/>
      <c r="AI117" s="98"/>
      <c r="AJ117" s="99"/>
      <c r="AK117" s="97"/>
      <c r="AL117" s="98"/>
      <c r="AM117" s="99"/>
      <c r="AN117" s="97"/>
      <c r="AO117" s="98"/>
      <c r="AP117" s="98"/>
      <c r="AQ117" s="98"/>
      <c r="AR117" s="98"/>
      <c r="AS117" s="98"/>
      <c r="AT117" s="98"/>
      <c r="AU117" s="98"/>
      <c r="AV117" s="99"/>
      <c r="AW117" s="97"/>
      <c r="AX117" s="98"/>
      <c r="AY117" s="99"/>
      <c r="AZ117" s="97"/>
      <c r="BA117" s="98"/>
      <c r="BB117" s="98"/>
      <c r="BC117" s="98"/>
      <c r="BD117" s="98"/>
      <c r="BE117" s="98"/>
      <c r="BF117" s="98"/>
      <c r="BG117" s="98"/>
      <c r="BH117" s="98"/>
      <c r="BI117" s="98"/>
      <c r="BJ117" s="99"/>
      <c r="BK117" s="22"/>
      <c r="BL117" s="22"/>
      <c r="BM117" s="58"/>
      <c r="BN117" s="58"/>
      <c r="BO117" s="58"/>
      <c r="BP117" s="59"/>
      <c r="BQ117" s="60"/>
      <c r="BR117" s="61"/>
      <c r="BS117" s="62" t="str">
        <f>_xlfn.IFNA(VLOOKUP($BR117,[15]Master!$C$4:$J$13,2,FALSE),"-")</f>
        <v>-</v>
      </c>
      <c r="BT117" s="62" t="str">
        <f>_xlfn.IFNA(VLOOKUP($BR117,[15]Master!$C$4:$J$13,3,FALSE),"-")</f>
        <v>-</v>
      </c>
      <c r="BU117" s="62" t="str">
        <f>_xlfn.IFNA(VLOOKUP($BR117,[15]Master!$C$4:$J$13,4,FALSE),"-")</f>
        <v>-</v>
      </c>
      <c r="BV117" s="62" t="str">
        <f>_xlfn.IFNA(VLOOKUP($BR117,[15]Master!$C$4:$J$13,5,FALSE),"-")</f>
        <v>-</v>
      </c>
      <c r="BW117" s="62" t="str">
        <f>_xlfn.IFNA(VLOOKUP($BR117,[15]Master!$C$4:$J$13,6,FALSE),"-")</f>
        <v>-</v>
      </c>
      <c r="BX117" s="62" t="str">
        <f>_xlfn.IFNA(VLOOKUP($BR117,[15]Master!$C$4:$J$13,7,FALSE),"-")</f>
        <v>-</v>
      </c>
      <c r="BY117" s="62" t="str">
        <f>_xlfn.IFNA(VLOOKUP($BR117,[15]Master!$C$4:$J$13,8,FALSE),"-")</f>
        <v>-</v>
      </c>
      <c r="BZ117" s="63">
        <f t="shared" si="3"/>
        <v>0</v>
      </c>
    </row>
    <row r="118" spans="1:78" ht="15.75">
      <c r="A118" s="22"/>
      <c r="B118" s="97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9"/>
      <c r="P118" s="97" t="s">
        <v>192</v>
      </c>
      <c r="Q118" s="98"/>
      <c r="R118" s="98"/>
      <c r="S118" s="98"/>
      <c r="T118" s="98"/>
      <c r="U118" s="98"/>
      <c r="V118" s="98"/>
      <c r="W118" s="98"/>
      <c r="X118" s="99"/>
      <c r="Y118" s="97"/>
      <c r="Z118" s="98"/>
      <c r="AA118" s="99"/>
      <c r="AB118" s="97"/>
      <c r="AC118" s="98"/>
      <c r="AD118" s="98"/>
      <c r="AE118" s="98"/>
      <c r="AF118" s="98"/>
      <c r="AG118" s="98"/>
      <c r="AH118" s="98"/>
      <c r="AI118" s="98"/>
      <c r="AJ118" s="99"/>
      <c r="AK118" s="97"/>
      <c r="AL118" s="98"/>
      <c r="AM118" s="99"/>
      <c r="AN118" s="97"/>
      <c r="AO118" s="98"/>
      <c r="AP118" s="98"/>
      <c r="AQ118" s="98"/>
      <c r="AR118" s="98"/>
      <c r="AS118" s="98"/>
      <c r="AT118" s="98"/>
      <c r="AU118" s="98"/>
      <c r="AV118" s="99"/>
      <c r="AW118" s="97"/>
      <c r="AX118" s="98"/>
      <c r="AY118" s="99"/>
      <c r="AZ118" s="97"/>
      <c r="BA118" s="98"/>
      <c r="BB118" s="98"/>
      <c r="BC118" s="98"/>
      <c r="BD118" s="98"/>
      <c r="BE118" s="98"/>
      <c r="BF118" s="98"/>
      <c r="BG118" s="98"/>
      <c r="BH118" s="98"/>
      <c r="BI118" s="98"/>
      <c r="BJ118" s="99"/>
      <c r="BK118" s="22"/>
      <c r="BL118" s="22"/>
      <c r="BM118" s="58"/>
      <c r="BN118" s="58"/>
      <c r="BO118" s="58"/>
      <c r="BP118" s="59"/>
      <c r="BQ118" s="60"/>
      <c r="BR118" s="61"/>
      <c r="BS118" s="62" t="str">
        <f>_xlfn.IFNA(VLOOKUP($BR118,[15]Master!$C$4:$J$13,2,FALSE),"-")</f>
        <v>-</v>
      </c>
      <c r="BT118" s="62" t="str">
        <f>_xlfn.IFNA(VLOOKUP($BR118,[15]Master!$C$4:$J$13,3,FALSE),"-")</f>
        <v>-</v>
      </c>
      <c r="BU118" s="62" t="str">
        <f>_xlfn.IFNA(VLOOKUP($BR118,[15]Master!$C$4:$J$13,4,FALSE),"-")</f>
        <v>-</v>
      </c>
      <c r="BV118" s="62" t="str">
        <f>_xlfn.IFNA(VLOOKUP($BR118,[15]Master!$C$4:$J$13,5,FALSE),"-")</f>
        <v>-</v>
      </c>
      <c r="BW118" s="62" t="str">
        <f>_xlfn.IFNA(VLOOKUP($BR118,[15]Master!$C$4:$J$13,6,FALSE),"-")</f>
        <v>-</v>
      </c>
      <c r="BX118" s="62" t="str">
        <f>_xlfn.IFNA(VLOOKUP($BR118,[15]Master!$C$4:$J$13,7,FALSE),"-")</f>
        <v>-</v>
      </c>
      <c r="BY118" s="62" t="str">
        <f>_xlfn.IFNA(VLOOKUP($BR118,[15]Master!$C$4:$J$13,8,FALSE),"-")</f>
        <v>-</v>
      </c>
      <c r="BZ118" s="63">
        <f t="shared" si="3"/>
        <v>0</v>
      </c>
    </row>
    <row r="119" spans="1:78" ht="15.75">
      <c r="A119" s="22"/>
      <c r="B119" s="97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9"/>
      <c r="P119" s="97" t="s">
        <v>194</v>
      </c>
      <c r="Q119" s="98"/>
      <c r="R119" s="98"/>
      <c r="S119" s="98"/>
      <c r="T119" s="98"/>
      <c r="U119" s="98"/>
      <c r="V119" s="98"/>
      <c r="W119" s="98"/>
      <c r="X119" s="99"/>
      <c r="Y119" s="97"/>
      <c r="Z119" s="98"/>
      <c r="AA119" s="99"/>
      <c r="AB119" s="97"/>
      <c r="AC119" s="98"/>
      <c r="AD119" s="98"/>
      <c r="AE119" s="98"/>
      <c r="AF119" s="98"/>
      <c r="AG119" s="98"/>
      <c r="AH119" s="98"/>
      <c r="AI119" s="98"/>
      <c r="AJ119" s="99"/>
      <c r="AK119" s="97"/>
      <c r="AL119" s="98"/>
      <c r="AM119" s="99"/>
      <c r="AN119" s="97"/>
      <c r="AO119" s="98"/>
      <c r="AP119" s="98"/>
      <c r="AQ119" s="98"/>
      <c r="AR119" s="98"/>
      <c r="AS119" s="98"/>
      <c r="AT119" s="98"/>
      <c r="AU119" s="98"/>
      <c r="AV119" s="99"/>
      <c r="AW119" s="97"/>
      <c r="AX119" s="98"/>
      <c r="AY119" s="99"/>
      <c r="AZ119" s="97"/>
      <c r="BA119" s="98"/>
      <c r="BB119" s="98"/>
      <c r="BC119" s="98"/>
      <c r="BD119" s="98"/>
      <c r="BE119" s="98"/>
      <c r="BF119" s="98"/>
      <c r="BG119" s="98"/>
      <c r="BH119" s="98"/>
      <c r="BI119" s="98"/>
      <c r="BJ119" s="99"/>
      <c r="BK119" s="22"/>
      <c r="BL119" s="22"/>
      <c r="BM119" s="58"/>
      <c r="BN119" s="58"/>
      <c r="BO119" s="58"/>
      <c r="BP119" s="59"/>
      <c r="BQ119" s="60"/>
      <c r="BR119" s="61"/>
      <c r="BS119" s="62" t="str">
        <f>_xlfn.IFNA(VLOOKUP($BR119,[15]Master!$C$4:$J$13,2,FALSE),"-")</f>
        <v>-</v>
      </c>
      <c r="BT119" s="62" t="str">
        <f>_xlfn.IFNA(VLOOKUP($BR119,[15]Master!$C$4:$J$13,3,FALSE),"-")</f>
        <v>-</v>
      </c>
      <c r="BU119" s="62" t="str">
        <f>_xlfn.IFNA(VLOOKUP($BR119,[15]Master!$C$4:$J$13,4,FALSE),"-")</f>
        <v>-</v>
      </c>
      <c r="BV119" s="62" t="str">
        <f>_xlfn.IFNA(VLOOKUP($BR119,[15]Master!$C$4:$J$13,5,FALSE),"-")</f>
        <v>-</v>
      </c>
      <c r="BW119" s="62" t="str">
        <f>_xlfn.IFNA(VLOOKUP($BR119,[15]Master!$C$4:$J$13,6,FALSE),"-")</f>
        <v>-</v>
      </c>
      <c r="BX119" s="62" t="str">
        <f>_xlfn.IFNA(VLOOKUP($BR119,[15]Master!$C$4:$J$13,7,FALSE),"-")</f>
        <v>-</v>
      </c>
      <c r="BY119" s="62" t="str">
        <f>_xlfn.IFNA(VLOOKUP($BR119,[15]Master!$C$4:$J$13,8,FALSE),"-")</f>
        <v>-</v>
      </c>
      <c r="BZ119" s="63">
        <f t="shared" si="3"/>
        <v>0</v>
      </c>
    </row>
    <row r="120" spans="1:78" ht="15.75">
      <c r="A120" s="22"/>
      <c r="B120" s="97" t="s">
        <v>297</v>
      </c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9"/>
      <c r="P120" s="103" t="s">
        <v>298</v>
      </c>
      <c r="Q120" s="104"/>
      <c r="R120" s="104"/>
      <c r="S120" s="104"/>
      <c r="T120" s="104"/>
      <c r="U120" s="104"/>
      <c r="V120" s="104"/>
      <c r="W120" s="104"/>
      <c r="X120" s="105"/>
      <c r="Y120" s="97"/>
      <c r="Z120" s="98"/>
      <c r="AA120" s="99"/>
      <c r="AB120" s="100" t="s">
        <v>217</v>
      </c>
      <c r="AC120" s="98"/>
      <c r="AD120" s="98"/>
      <c r="AE120" s="98"/>
      <c r="AF120" s="98"/>
      <c r="AG120" s="98"/>
      <c r="AH120" s="98"/>
      <c r="AI120" s="98"/>
      <c r="AJ120" s="99"/>
      <c r="AK120" s="97"/>
      <c r="AL120" s="98"/>
      <c r="AM120" s="99"/>
      <c r="AN120" s="97"/>
      <c r="AO120" s="98"/>
      <c r="AP120" s="98"/>
      <c r="AQ120" s="98"/>
      <c r="AR120" s="98"/>
      <c r="AS120" s="98"/>
      <c r="AT120" s="98"/>
      <c r="AU120" s="98"/>
      <c r="AV120" s="99"/>
      <c r="AW120" s="97"/>
      <c r="AX120" s="98"/>
      <c r="AY120" s="99"/>
      <c r="AZ120" s="97"/>
      <c r="BA120" s="98"/>
      <c r="BB120" s="98"/>
      <c r="BC120" s="98"/>
      <c r="BD120" s="98"/>
      <c r="BE120" s="98"/>
      <c r="BF120" s="98"/>
      <c r="BG120" s="98"/>
      <c r="BH120" s="98"/>
      <c r="BI120" s="98"/>
      <c r="BJ120" s="99"/>
      <c r="BK120" s="22"/>
      <c r="BL120" s="22"/>
      <c r="BM120" s="45">
        <v>1</v>
      </c>
      <c r="BR120" s="39" t="s">
        <v>209</v>
      </c>
      <c r="BS120" s="34">
        <f>_xlfn.IFNA(VLOOKUP($BR120,[15]Master!$C$4:$J$13,2,FALSE),"-")</f>
        <v>0.3</v>
      </c>
      <c r="BT120" s="34">
        <f>_xlfn.IFNA(VLOOKUP($BR120,[15]Master!$C$4:$J$13,3,FALSE),"-")</f>
        <v>1</v>
      </c>
      <c r="BU120" s="34">
        <f>_xlfn.IFNA(VLOOKUP($BR120,[15]Master!$C$4:$J$13,4,FALSE),"-")</f>
        <v>0.2</v>
      </c>
      <c r="BV120" s="34">
        <f>_xlfn.IFNA(VLOOKUP($BR120,[15]Master!$C$4:$J$13,5,FALSE),"-")</f>
        <v>0.1</v>
      </c>
      <c r="BW120" s="34">
        <f>_xlfn.IFNA(VLOOKUP($BR120,[15]Master!$C$4:$J$13,6,FALSE),"-")</f>
        <v>0.2</v>
      </c>
      <c r="BX120" s="34">
        <f>_xlfn.IFNA(VLOOKUP($BR120,[15]Master!$C$4:$J$13,7,FALSE),"-")</f>
        <v>0.1</v>
      </c>
      <c r="BY120" s="34">
        <f>_xlfn.IFNA(VLOOKUP($BR120,[15]Master!$C$4:$J$13,8,FALSE),"-")</f>
        <v>0.2</v>
      </c>
      <c r="BZ120" s="35">
        <f t="shared" si="3"/>
        <v>2.1</v>
      </c>
    </row>
    <row r="121" spans="1:78" ht="15.75">
      <c r="A121" s="22"/>
      <c r="B121" s="112" t="s">
        <v>299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4"/>
      <c r="P121" s="97" t="s">
        <v>300</v>
      </c>
      <c r="Q121" s="98"/>
      <c r="R121" s="98"/>
      <c r="S121" s="98"/>
      <c r="T121" s="98"/>
      <c r="U121" s="98"/>
      <c r="V121" s="98"/>
      <c r="W121" s="98"/>
      <c r="X121" s="99"/>
      <c r="Y121" s="97" t="s">
        <v>301</v>
      </c>
      <c r="Z121" s="98"/>
      <c r="AA121" s="99"/>
      <c r="AB121" s="97" t="s">
        <v>302</v>
      </c>
      <c r="AC121" s="98"/>
      <c r="AD121" s="98"/>
      <c r="AE121" s="98"/>
      <c r="AF121" s="98"/>
      <c r="AG121" s="98"/>
      <c r="AH121" s="98"/>
      <c r="AI121" s="98"/>
      <c r="AJ121" s="99"/>
      <c r="AK121" s="97" t="s">
        <v>303</v>
      </c>
      <c r="AL121" s="98"/>
      <c r="AM121" s="99"/>
      <c r="AN121" s="97" t="s">
        <v>304</v>
      </c>
      <c r="AO121" s="98"/>
      <c r="AP121" s="98"/>
      <c r="AQ121" s="98"/>
      <c r="AR121" s="98"/>
      <c r="AS121" s="98"/>
      <c r="AT121" s="98"/>
      <c r="AU121" s="98"/>
      <c r="AV121" s="99"/>
      <c r="AW121" s="97" t="s">
        <v>305</v>
      </c>
      <c r="AX121" s="98"/>
      <c r="AY121" s="99"/>
      <c r="AZ121" s="97"/>
      <c r="BA121" s="98"/>
      <c r="BB121" s="98"/>
      <c r="BC121" s="98"/>
      <c r="BD121" s="98"/>
      <c r="BE121" s="98"/>
      <c r="BF121" s="98"/>
      <c r="BG121" s="98"/>
      <c r="BH121" s="98"/>
      <c r="BI121" s="98"/>
      <c r="BJ121" s="99"/>
      <c r="BK121" s="22"/>
      <c r="BL121" s="22"/>
      <c r="BM121" s="45">
        <v>3</v>
      </c>
      <c r="BR121" s="39" t="s">
        <v>204</v>
      </c>
      <c r="BS121" s="34">
        <f>_xlfn.IFNA(VLOOKUP($BR121,[15]Master!$C$4:$J$13,2,FALSE),"-")</f>
        <v>0.52500000000000002</v>
      </c>
      <c r="BT121" s="34">
        <f>_xlfn.IFNA(VLOOKUP($BR121,[15]Master!$C$4:$J$13,3,FALSE),"-")</f>
        <v>1.75</v>
      </c>
      <c r="BU121" s="34">
        <f>_xlfn.IFNA(VLOOKUP($BR121,[15]Master!$C$4:$J$13,4,FALSE),"-")</f>
        <v>0.35000000000000003</v>
      </c>
      <c r="BV121" s="34">
        <f>_xlfn.IFNA(VLOOKUP($BR121,[15]Master!$C$4:$J$13,5,FALSE),"-")</f>
        <v>0.17500000000000002</v>
      </c>
      <c r="BW121" s="34">
        <f>_xlfn.IFNA(VLOOKUP($BR121,[15]Master!$C$4:$J$13,6,FALSE),"-")</f>
        <v>0.35000000000000003</v>
      </c>
      <c r="BX121" s="34">
        <f>_xlfn.IFNA(VLOOKUP($BR121,[15]Master!$C$4:$J$13,7,FALSE),"-")</f>
        <v>0.17500000000000002</v>
      </c>
      <c r="BY121" s="34">
        <f>_xlfn.IFNA(VLOOKUP($BR121,[15]Master!$C$4:$J$13,8,FALSE),"-")</f>
        <v>0.35000000000000003</v>
      </c>
      <c r="BZ121" s="35">
        <f t="shared" si="3"/>
        <v>3.6749999999999998</v>
      </c>
    </row>
    <row r="122" spans="1:78" ht="15.75">
      <c r="A122" s="22"/>
      <c r="B122" s="115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116"/>
      <c r="P122" s="97" t="s">
        <v>306</v>
      </c>
      <c r="Q122" s="98"/>
      <c r="R122" s="98"/>
      <c r="S122" s="98"/>
      <c r="T122" s="98"/>
      <c r="U122" s="98"/>
      <c r="V122" s="98"/>
      <c r="W122" s="98"/>
      <c r="X122" s="99"/>
      <c r="Y122" s="97" t="s">
        <v>307</v>
      </c>
      <c r="Z122" s="98"/>
      <c r="AA122" s="99"/>
      <c r="AB122" s="97" t="s">
        <v>308</v>
      </c>
      <c r="AC122" s="98"/>
      <c r="AD122" s="98"/>
      <c r="AE122" s="98"/>
      <c r="AF122" s="98"/>
      <c r="AG122" s="98"/>
      <c r="AH122" s="98"/>
      <c r="AI122" s="98"/>
      <c r="AJ122" s="99"/>
      <c r="AK122" s="97" t="s">
        <v>309</v>
      </c>
      <c r="AL122" s="98"/>
      <c r="AM122" s="99"/>
      <c r="AN122" s="97" t="s">
        <v>310</v>
      </c>
      <c r="AO122" s="98"/>
      <c r="AP122" s="98"/>
      <c r="AQ122" s="98"/>
      <c r="AR122" s="98"/>
      <c r="AS122" s="98"/>
      <c r="AT122" s="98"/>
      <c r="AU122" s="98"/>
      <c r="AV122" s="99"/>
      <c r="AW122" s="97" t="s">
        <v>311</v>
      </c>
      <c r="AX122" s="98"/>
      <c r="AY122" s="99"/>
      <c r="AZ122" s="97"/>
      <c r="BA122" s="98"/>
      <c r="BB122" s="98"/>
      <c r="BC122" s="98"/>
      <c r="BD122" s="98"/>
      <c r="BE122" s="98"/>
      <c r="BF122" s="98"/>
      <c r="BG122" s="98"/>
      <c r="BH122" s="98"/>
      <c r="BI122" s="98"/>
      <c r="BJ122" s="99"/>
      <c r="BK122" s="22"/>
      <c r="BL122" s="22"/>
      <c r="BM122" s="58"/>
      <c r="BN122" s="58"/>
      <c r="BO122" s="58"/>
      <c r="BP122" s="59"/>
      <c r="BQ122" s="60"/>
      <c r="BR122" s="61"/>
      <c r="BS122" s="62" t="str">
        <f>_xlfn.IFNA(VLOOKUP($BR122,[15]Master!$C$4:$J$13,2,FALSE),"-")</f>
        <v>-</v>
      </c>
      <c r="BT122" s="62" t="str">
        <f>_xlfn.IFNA(VLOOKUP($BR122,[15]Master!$C$4:$J$13,3,FALSE),"-")</f>
        <v>-</v>
      </c>
      <c r="BU122" s="62" t="str">
        <f>_xlfn.IFNA(VLOOKUP($BR122,[15]Master!$C$4:$J$13,4,FALSE),"-")</f>
        <v>-</v>
      </c>
      <c r="BV122" s="62" t="str">
        <f>_xlfn.IFNA(VLOOKUP($BR122,[15]Master!$C$4:$J$13,5,FALSE),"-")</f>
        <v>-</v>
      </c>
      <c r="BW122" s="62" t="str">
        <f>_xlfn.IFNA(VLOOKUP($BR122,[15]Master!$C$4:$J$13,6,FALSE),"-")</f>
        <v>-</v>
      </c>
      <c r="BX122" s="62" t="str">
        <f>_xlfn.IFNA(VLOOKUP($BR122,[15]Master!$C$4:$J$13,7,FALSE),"-")</f>
        <v>-</v>
      </c>
      <c r="BY122" s="62" t="str">
        <f>_xlfn.IFNA(VLOOKUP($BR122,[15]Master!$C$4:$J$13,8,FALSE),"-")</f>
        <v>-</v>
      </c>
      <c r="BZ122" s="63">
        <f t="shared" si="3"/>
        <v>0</v>
      </c>
    </row>
    <row r="123" spans="1:78" ht="15.75">
      <c r="A123" s="22"/>
      <c r="B123" s="115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116"/>
      <c r="P123" s="97" t="s">
        <v>312</v>
      </c>
      <c r="Q123" s="98"/>
      <c r="R123" s="98"/>
      <c r="S123" s="98"/>
      <c r="T123" s="98"/>
      <c r="U123" s="98"/>
      <c r="V123" s="98"/>
      <c r="W123" s="98"/>
      <c r="X123" s="99"/>
      <c r="Y123" s="97"/>
      <c r="Z123" s="98"/>
      <c r="AA123" s="99"/>
      <c r="AB123" s="97" t="s">
        <v>313</v>
      </c>
      <c r="AC123" s="98"/>
      <c r="AD123" s="98"/>
      <c r="AE123" s="98"/>
      <c r="AF123" s="98"/>
      <c r="AG123" s="98"/>
      <c r="AH123" s="98"/>
      <c r="AI123" s="98"/>
      <c r="AJ123" s="99"/>
      <c r="AK123" s="97" t="s">
        <v>314</v>
      </c>
      <c r="AL123" s="98"/>
      <c r="AM123" s="99"/>
      <c r="AN123" s="97"/>
      <c r="AO123" s="98"/>
      <c r="AP123" s="98"/>
      <c r="AQ123" s="98"/>
      <c r="AR123" s="98"/>
      <c r="AS123" s="98"/>
      <c r="AT123" s="98"/>
      <c r="AU123" s="98"/>
      <c r="AV123" s="99"/>
      <c r="AW123" s="97"/>
      <c r="AX123" s="98"/>
      <c r="AY123" s="99"/>
      <c r="AZ123" s="97"/>
      <c r="BA123" s="98"/>
      <c r="BB123" s="98"/>
      <c r="BC123" s="98"/>
      <c r="BD123" s="98"/>
      <c r="BE123" s="98"/>
      <c r="BF123" s="98"/>
      <c r="BG123" s="98"/>
      <c r="BH123" s="98"/>
      <c r="BI123" s="98"/>
      <c r="BJ123" s="99"/>
      <c r="BK123" s="22"/>
      <c r="BL123" s="22"/>
      <c r="BM123" s="58"/>
      <c r="BN123" s="58"/>
      <c r="BO123" s="58"/>
      <c r="BP123" s="59"/>
      <c r="BQ123" s="60"/>
      <c r="BR123" s="61"/>
      <c r="BS123" s="62" t="str">
        <f>_xlfn.IFNA(VLOOKUP($BR123,[15]Master!$C$4:$J$13,2,FALSE),"-")</f>
        <v>-</v>
      </c>
      <c r="BT123" s="62" t="str">
        <f>_xlfn.IFNA(VLOOKUP($BR123,[15]Master!$C$4:$J$13,3,FALSE),"-")</f>
        <v>-</v>
      </c>
      <c r="BU123" s="62" t="str">
        <f>_xlfn.IFNA(VLOOKUP($BR123,[15]Master!$C$4:$J$13,4,FALSE),"-")</f>
        <v>-</v>
      </c>
      <c r="BV123" s="62" t="str">
        <f>_xlfn.IFNA(VLOOKUP($BR123,[15]Master!$C$4:$J$13,5,FALSE),"-")</f>
        <v>-</v>
      </c>
      <c r="BW123" s="62" t="str">
        <f>_xlfn.IFNA(VLOOKUP($BR123,[15]Master!$C$4:$J$13,6,FALSE),"-")</f>
        <v>-</v>
      </c>
      <c r="BX123" s="62" t="str">
        <f>_xlfn.IFNA(VLOOKUP($BR123,[15]Master!$C$4:$J$13,7,FALSE),"-")</f>
        <v>-</v>
      </c>
      <c r="BY123" s="62" t="str">
        <f>_xlfn.IFNA(VLOOKUP($BR123,[15]Master!$C$4:$J$13,8,FALSE),"-")</f>
        <v>-</v>
      </c>
      <c r="BZ123" s="63">
        <f t="shared" si="3"/>
        <v>0</v>
      </c>
    </row>
    <row r="124" spans="1:78" ht="15.75">
      <c r="A124" s="22"/>
      <c r="B124" s="115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116"/>
      <c r="P124" s="97"/>
      <c r="Q124" s="98"/>
      <c r="R124" s="98"/>
      <c r="S124" s="98"/>
      <c r="T124" s="98"/>
      <c r="U124" s="98"/>
      <c r="V124" s="98"/>
      <c r="W124" s="98"/>
      <c r="X124" s="99"/>
      <c r="Y124" s="97"/>
      <c r="Z124" s="98"/>
      <c r="AA124" s="99"/>
      <c r="AB124" s="97" t="s">
        <v>315</v>
      </c>
      <c r="AC124" s="98"/>
      <c r="AD124" s="98"/>
      <c r="AE124" s="98"/>
      <c r="AF124" s="98"/>
      <c r="AG124" s="98"/>
      <c r="AH124" s="98"/>
      <c r="AI124" s="98"/>
      <c r="AJ124" s="99"/>
      <c r="AK124" s="97" t="s">
        <v>316</v>
      </c>
      <c r="AL124" s="98"/>
      <c r="AM124" s="99"/>
      <c r="AN124" s="97"/>
      <c r="AO124" s="98"/>
      <c r="AP124" s="98"/>
      <c r="AQ124" s="98"/>
      <c r="AR124" s="98"/>
      <c r="AS124" s="98"/>
      <c r="AT124" s="98"/>
      <c r="AU124" s="98"/>
      <c r="AV124" s="99"/>
      <c r="AW124" s="97"/>
      <c r="AX124" s="98"/>
      <c r="AY124" s="99"/>
      <c r="AZ124" s="97"/>
      <c r="BA124" s="98"/>
      <c r="BB124" s="98"/>
      <c r="BC124" s="98"/>
      <c r="BD124" s="98"/>
      <c r="BE124" s="98"/>
      <c r="BF124" s="98"/>
      <c r="BG124" s="98"/>
      <c r="BH124" s="98"/>
      <c r="BI124" s="98"/>
      <c r="BJ124" s="99"/>
      <c r="BK124" s="22"/>
      <c r="BL124" s="22"/>
      <c r="BM124" s="58"/>
      <c r="BN124" s="58"/>
      <c r="BO124" s="58"/>
      <c r="BP124" s="59"/>
      <c r="BQ124" s="60"/>
      <c r="BR124" s="61"/>
      <c r="BS124" s="62" t="str">
        <f>_xlfn.IFNA(VLOOKUP($BR124,[15]Master!$C$4:$J$13,2,FALSE),"-")</f>
        <v>-</v>
      </c>
      <c r="BT124" s="62" t="str">
        <f>_xlfn.IFNA(VLOOKUP($BR124,[15]Master!$C$4:$J$13,3,FALSE),"-")</f>
        <v>-</v>
      </c>
      <c r="BU124" s="62" t="str">
        <f>_xlfn.IFNA(VLOOKUP($BR124,[15]Master!$C$4:$J$13,4,FALSE),"-")</f>
        <v>-</v>
      </c>
      <c r="BV124" s="62" t="str">
        <f>_xlfn.IFNA(VLOOKUP($BR124,[15]Master!$C$4:$J$13,5,FALSE),"-")</f>
        <v>-</v>
      </c>
      <c r="BW124" s="62" t="str">
        <f>_xlfn.IFNA(VLOOKUP($BR124,[15]Master!$C$4:$J$13,6,FALSE),"-")</f>
        <v>-</v>
      </c>
      <c r="BX124" s="62" t="str">
        <f>_xlfn.IFNA(VLOOKUP($BR124,[15]Master!$C$4:$J$13,7,FALSE),"-")</f>
        <v>-</v>
      </c>
      <c r="BY124" s="62" t="str">
        <f>_xlfn.IFNA(VLOOKUP($BR124,[15]Master!$C$4:$J$13,8,FALSE),"-")</f>
        <v>-</v>
      </c>
      <c r="BZ124" s="63">
        <f t="shared" si="3"/>
        <v>0</v>
      </c>
    </row>
    <row r="125" spans="1:78" ht="15.75">
      <c r="A125" s="22"/>
      <c r="B125" s="115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116"/>
      <c r="P125" s="97" t="s">
        <v>317</v>
      </c>
      <c r="Q125" s="98"/>
      <c r="R125" s="98"/>
      <c r="S125" s="98"/>
      <c r="T125" s="98"/>
      <c r="U125" s="98"/>
      <c r="V125" s="98"/>
      <c r="W125" s="98"/>
      <c r="X125" s="99"/>
      <c r="Y125" s="97" t="s">
        <v>318</v>
      </c>
      <c r="Z125" s="98"/>
      <c r="AA125" s="99"/>
      <c r="AB125" s="97" t="s">
        <v>319</v>
      </c>
      <c r="AC125" s="98"/>
      <c r="AD125" s="98"/>
      <c r="AE125" s="98"/>
      <c r="AF125" s="98"/>
      <c r="AG125" s="98"/>
      <c r="AH125" s="98"/>
      <c r="AI125" s="98"/>
      <c r="AJ125" s="99"/>
      <c r="AK125" s="97" t="s">
        <v>320</v>
      </c>
      <c r="AL125" s="98"/>
      <c r="AM125" s="99"/>
      <c r="AN125" s="97"/>
      <c r="AO125" s="98"/>
      <c r="AP125" s="98"/>
      <c r="AQ125" s="98"/>
      <c r="AR125" s="98"/>
      <c r="AS125" s="98"/>
      <c r="AT125" s="98"/>
      <c r="AU125" s="98"/>
      <c r="AV125" s="99"/>
      <c r="AW125" s="97"/>
      <c r="AX125" s="98"/>
      <c r="AY125" s="99"/>
      <c r="AZ125" s="97"/>
      <c r="BA125" s="98"/>
      <c r="BB125" s="98"/>
      <c r="BC125" s="98"/>
      <c r="BD125" s="98"/>
      <c r="BE125" s="98"/>
      <c r="BF125" s="98"/>
      <c r="BG125" s="98"/>
      <c r="BH125" s="98"/>
      <c r="BI125" s="98"/>
      <c r="BJ125" s="99"/>
      <c r="BK125" s="22"/>
      <c r="BL125" s="22"/>
      <c r="BM125" s="58"/>
      <c r="BN125" s="58"/>
      <c r="BO125" s="58"/>
      <c r="BP125" s="59"/>
      <c r="BQ125" s="60"/>
      <c r="BR125" s="61"/>
      <c r="BS125" s="62" t="str">
        <f>_xlfn.IFNA(VLOOKUP($BR125,[15]Master!$C$4:$J$13,2,FALSE),"-")</f>
        <v>-</v>
      </c>
      <c r="BT125" s="62" t="str">
        <f>_xlfn.IFNA(VLOOKUP($BR125,[15]Master!$C$4:$J$13,3,FALSE),"-")</f>
        <v>-</v>
      </c>
      <c r="BU125" s="62" t="str">
        <f>_xlfn.IFNA(VLOOKUP($BR125,[15]Master!$C$4:$J$13,4,FALSE),"-")</f>
        <v>-</v>
      </c>
      <c r="BV125" s="62" t="str">
        <f>_xlfn.IFNA(VLOOKUP($BR125,[15]Master!$C$4:$J$13,5,FALSE),"-")</f>
        <v>-</v>
      </c>
      <c r="BW125" s="62" t="str">
        <f>_xlfn.IFNA(VLOOKUP($BR125,[15]Master!$C$4:$J$13,6,FALSE),"-")</f>
        <v>-</v>
      </c>
      <c r="BX125" s="62" t="str">
        <f>_xlfn.IFNA(VLOOKUP($BR125,[15]Master!$C$4:$J$13,7,FALSE),"-")</f>
        <v>-</v>
      </c>
      <c r="BY125" s="62" t="str">
        <f>_xlfn.IFNA(VLOOKUP($BR125,[15]Master!$C$4:$J$13,8,FALSE),"-")</f>
        <v>-</v>
      </c>
      <c r="BZ125" s="63">
        <f t="shared" si="3"/>
        <v>0</v>
      </c>
    </row>
    <row r="126" spans="1:78" ht="15.75">
      <c r="A126" s="22"/>
      <c r="B126" s="115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116"/>
      <c r="P126" s="97" t="s">
        <v>321</v>
      </c>
      <c r="Q126" s="98"/>
      <c r="R126" s="98"/>
      <c r="S126" s="98"/>
      <c r="T126" s="98"/>
      <c r="U126" s="98"/>
      <c r="V126" s="98"/>
      <c r="W126" s="98"/>
      <c r="X126" s="99"/>
      <c r="Y126" s="97" t="s">
        <v>322</v>
      </c>
      <c r="Z126" s="98"/>
      <c r="AA126" s="99"/>
      <c r="AB126" s="97" t="s">
        <v>323</v>
      </c>
      <c r="AC126" s="98"/>
      <c r="AD126" s="98"/>
      <c r="AE126" s="98"/>
      <c r="AF126" s="98"/>
      <c r="AG126" s="98"/>
      <c r="AH126" s="98"/>
      <c r="AI126" s="98"/>
      <c r="AJ126" s="99"/>
      <c r="AK126" s="97" t="s">
        <v>324</v>
      </c>
      <c r="AL126" s="98"/>
      <c r="AM126" s="99"/>
      <c r="AN126" s="97"/>
      <c r="AO126" s="98"/>
      <c r="AP126" s="98"/>
      <c r="AQ126" s="98"/>
      <c r="AR126" s="98"/>
      <c r="AS126" s="98"/>
      <c r="AT126" s="98"/>
      <c r="AU126" s="98"/>
      <c r="AV126" s="99"/>
      <c r="AW126" s="97"/>
      <c r="AX126" s="98"/>
      <c r="AY126" s="99"/>
      <c r="AZ126" s="97"/>
      <c r="BA126" s="98"/>
      <c r="BB126" s="98"/>
      <c r="BC126" s="98"/>
      <c r="BD126" s="98"/>
      <c r="BE126" s="98"/>
      <c r="BF126" s="98"/>
      <c r="BG126" s="98"/>
      <c r="BH126" s="98"/>
      <c r="BI126" s="98"/>
      <c r="BJ126" s="99"/>
      <c r="BK126" s="22"/>
      <c r="BL126" s="22"/>
      <c r="BM126" s="58"/>
      <c r="BN126" s="58"/>
      <c r="BO126" s="58"/>
      <c r="BP126" s="59"/>
      <c r="BQ126" s="60"/>
      <c r="BR126" s="61"/>
      <c r="BS126" s="62" t="str">
        <f>_xlfn.IFNA(VLOOKUP($BR126,[15]Master!$C$4:$J$13,2,FALSE),"-")</f>
        <v>-</v>
      </c>
      <c r="BT126" s="62" t="str">
        <f>_xlfn.IFNA(VLOOKUP($BR126,[15]Master!$C$4:$J$13,3,FALSE),"-")</f>
        <v>-</v>
      </c>
      <c r="BU126" s="62" t="str">
        <f>_xlfn.IFNA(VLOOKUP($BR126,[15]Master!$C$4:$J$13,4,FALSE),"-")</f>
        <v>-</v>
      </c>
      <c r="BV126" s="62" t="str">
        <f>_xlfn.IFNA(VLOOKUP($BR126,[15]Master!$C$4:$J$13,5,FALSE),"-")</f>
        <v>-</v>
      </c>
      <c r="BW126" s="62" t="str">
        <f>_xlfn.IFNA(VLOOKUP($BR126,[15]Master!$C$4:$J$13,6,FALSE),"-")</f>
        <v>-</v>
      </c>
      <c r="BX126" s="62" t="str">
        <f>_xlfn.IFNA(VLOOKUP($BR126,[15]Master!$C$4:$J$13,7,FALSE),"-")</f>
        <v>-</v>
      </c>
      <c r="BY126" s="62" t="str">
        <f>_xlfn.IFNA(VLOOKUP($BR126,[15]Master!$C$4:$J$13,8,FALSE),"-")</f>
        <v>-</v>
      </c>
      <c r="BZ126" s="63">
        <f t="shared" si="3"/>
        <v>0</v>
      </c>
    </row>
    <row r="127" spans="1:78" ht="15.75">
      <c r="A127" s="22"/>
      <c r="B127" s="115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116"/>
      <c r="P127" s="117" t="s">
        <v>190</v>
      </c>
      <c r="Q127" s="118"/>
      <c r="R127" s="118"/>
      <c r="S127" s="118"/>
      <c r="T127" s="118"/>
      <c r="U127" s="118"/>
      <c r="V127" s="118"/>
      <c r="W127" s="118"/>
      <c r="X127" s="119"/>
      <c r="Y127" s="117"/>
      <c r="Z127" s="118"/>
      <c r="AA127" s="119"/>
      <c r="AB127" s="117"/>
      <c r="AC127" s="118"/>
      <c r="AD127" s="118"/>
      <c r="AE127" s="118"/>
      <c r="AF127" s="118"/>
      <c r="AG127" s="118"/>
      <c r="AH127" s="118"/>
      <c r="AI127" s="118"/>
      <c r="AJ127" s="119"/>
      <c r="AK127" s="117"/>
      <c r="AL127" s="118"/>
      <c r="AM127" s="119"/>
      <c r="AN127" s="117"/>
      <c r="AO127" s="118"/>
      <c r="AP127" s="118"/>
      <c r="AQ127" s="118"/>
      <c r="AR127" s="118"/>
      <c r="AS127" s="118"/>
      <c r="AT127" s="118"/>
      <c r="AU127" s="118"/>
      <c r="AV127" s="119"/>
      <c r="AW127" s="117"/>
      <c r="AX127" s="118"/>
      <c r="AY127" s="119"/>
      <c r="AZ127" s="117"/>
      <c r="BA127" s="118"/>
      <c r="BB127" s="118"/>
      <c r="BC127" s="118"/>
      <c r="BD127" s="118"/>
      <c r="BE127" s="118"/>
      <c r="BF127" s="118"/>
      <c r="BG127" s="118"/>
      <c r="BH127" s="118"/>
      <c r="BI127" s="118"/>
      <c r="BJ127" s="119"/>
      <c r="BK127" s="22"/>
      <c r="BL127" s="22"/>
      <c r="BM127" s="58"/>
      <c r="BN127" s="58"/>
      <c r="BO127" s="58"/>
      <c r="BP127" s="59"/>
      <c r="BQ127" s="60"/>
      <c r="BR127" s="61"/>
      <c r="BS127" s="62" t="str">
        <f>_xlfn.IFNA(VLOOKUP($BR127,[15]Master!$C$4:$J$13,2,FALSE),"-")</f>
        <v>-</v>
      </c>
      <c r="BT127" s="62" t="str">
        <f>_xlfn.IFNA(VLOOKUP($BR127,[15]Master!$C$4:$J$13,3,FALSE),"-")</f>
        <v>-</v>
      </c>
      <c r="BU127" s="62" t="str">
        <f>_xlfn.IFNA(VLOOKUP($BR127,[15]Master!$C$4:$J$13,4,FALSE),"-")</f>
        <v>-</v>
      </c>
      <c r="BV127" s="62" t="str">
        <f>_xlfn.IFNA(VLOOKUP($BR127,[15]Master!$C$4:$J$13,5,FALSE),"-")</f>
        <v>-</v>
      </c>
      <c r="BW127" s="62" t="str">
        <f>_xlfn.IFNA(VLOOKUP($BR127,[15]Master!$C$4:$J$13,6,FALSE),"-")</f>
        <v>-</v>
      </c>
      <c r="BX127" s="62" t="str">
        <f>_xlfn.IFNA(VLOOKUP($BR127,[15]Master!$C$4:$J$13,7,FALSE),"-")</f>
        <v>-</v>
      </c>
      <c r="BY127" s="62" t="str">
        <f>_xlfn.IFNA(VLOOKUP($BR127,[15]Master!$C$4:$J$13,8,FALSE),"-")</f>
        <v>-</v>
      </c>
      <c r="BZ127" s="63">
        <f t="shared" si="3"/>
        <v>0</v>
      </c>
    </row>
    <row r="128" spans="1:78" ht="15.75">
      <c r="A128" s="22"/>
      <c r="B128" s="115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116"/>
      <c r="P128" s="117" t="s">
        <v>192</v>
      </c>
      <c r="Q128" s="118"/>
      <c r="R128" s="118"/>
      <c r="S128" s="118"/>
      <c r="T128" s="118"/>
      <c r="U128" s="118"/>
      <c r="V128" s="118"/>
      <c r="W128" s="118"/>
      <c r="X128" s="119"/>
      <c r="Y128" s="117"/>
      <c r="Z128" s="118"/>
      <c r="AA128" s="119"/>
      <c r="AB128" s="117"/>
      <c r="AC128" s="118"/>
      <c r="AD128" s="118"/>
      <c r="AE128" s="118"/>
      <c r="AF128" s="118"/>
      <c r="AG128" s="118"/>
      <c r="AH128" s="118"/>
      <c r="AI128" s="118"/>
      <c r="AJ128" s="119"/>
      <c r="AK128" s="117"/>
      <c r="AL128" s="118"/>
      <c r="AM128" s="119"/>
      <c r="AN128" s="117"/>
      <c r="AO128" s="118"/>
      <c r="AP128" s="118"/>
      <c r="AQ128" s="118"/>
      <c r="AR128" s="118"/>
      <c r="AS128" s="118"/>
      <c r="AT128" s="118"/>
      <c r="AU128" s="118"/>
      <c r="AV128" s="119"/>
      <c r="AW128" s="117"/>
      <c r="AX128" s="118"/>
      <c r="AY128" s="119"/>
      <c r="AZ128" s="117"/>
      <c r="BA128" s="118"/>
      <c r="BB128" s="118"/>
      <c r="BC128" s="118"/>
      <c r="BD128" s="118"/>
      <c r="BE128" s="118"/>
      <c r="BF128" s="118"/>
      <c r="BG128" s="118"/>
      <c r="BH128" s="118"/>
      <c r="BI128" s="118"/>
      <c r="BJ128" s="119"/>
      <c r="BK128" s="22"/>
      <c r="BL128" s="22"/>
      <c r="BM128" s="58"/>
      <c r="BN128" s="58"/>
      <c r="BO128" s="58"/>
      <c r="BP128" s="59"/>
      <c r="BQ128" s="60"/>
      <c r="BR128" s="61"/>
      <c r="BS128" s="62" t="str">
        <f>_xlfn.IFNA(VLOOKUP($BR128,[15]Master!$C$4:$J$13,2,FALSE),"-")</f>
        <v>-</v>
      </c>
      <c r="BT128" s="62" t="str">
        <f>_xlfn.IFNA(VLOOKUP($BR128,[15]Master!$C$4:$J$13,3,FALSE),"-")</f>
        <v>-</v>
      </c>
      <c r="BU128" s="62" t="str">
        <f>_xlfn.IFNA(VLOOKUP($BR128,[15]Master!$C$4:$J$13,4,FALSE),"-")</f>
        <v>-</v>
      </c>
      <c r="BV128" s="62" t="str">
        <f>_xlfn.IFNA(VLOOKUP($BR128,[15]Master!$C$4:$J$13,5,FALSE),"-")</f>
        <v>-</v>
      </c>
      <c r="BW128" s="62" t="str">
        <f>_xlfn.IFNA(VLOOKUP($BR128,[15]Master!$C$4:$J$13,6,FALSE),"-")</f>
        <v>-</v>
      </c>
      <c r="BX128" s="62" t="str">
        <f>_xlfn.IFNA(VLOOKUP($BR128,[15]Master!$C$4:$J$13,7,FALSE),"-")</f>
        <v>-</v>
      </c>
      <c r="BY128" s="62" t="str">
        <f>_xlfn.IFNA(VLOOKUP($BR128,[15]Master!$C$4:$J$13,8,FALSE),"-")</f>
        <v>-</v>
      </c>
      <c r="BZ128" s="63">
        <f t="shared" si="3"/>
        <v>0</v>
      </c>
    </row>
    <row r="129" spans="1:78" ht="15.75">
      <c r="A129" s="22"/>
      <c r="B129" s="115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116"/>
      <c r="P129" s="117" t="s">
        <v>194</v>
      </c>
      <c r="Q129" s="118"/>
      <c r="R129" s="118"/>
      <c r="S129" s="118"/>
      <c r="T129" s="118"/>
      <c r="U129" s="118"/>
      <c r="V129" s="118"/>
      <c r="W129" s="118"/>
      <c r="X129" s="119"/>
      <c r="Y129" s="117"/>
      <c r="Z129" s="118"/>
      <c r="AA129" s="119"/>
      <c r="AB129" s="117"/>
      <c r="AC129" s="118"/>
      <c r="AD129" s="118"/>
      <c r="AE129" s="118"/>
      <c r="AF129" s="118"/>
      <c r="AG129" s="118"/>
      <c r="AH129" s="118"/>
      <c r="AI129" s="118"/>
      <c r="AJ129" s="119"/>
      <c r="AK129" s="117"/>
      <c r="AL129" s="118"/>
      <c r="AM129" s="119"/>
      <c r="AN129" s="117"/>
      <c r="AO129" s="118"/>
      <c r="AP129" s="118"/>
      <c r="AQ129" s="118"/>
      <c r="AR129" s="118"/>
      <c r="AS129" s="118"/>
      <c r="AT129" s="118"/>
      <c r="AU129" s="118"/>
      <c r="AV129" s="119"/>
      <c r="AW129" s="117"/>
      <c r="AX129" s="118"/>
      <c r="AY129" s="119"/>
      <c r="AZ129" s="117"/>
      <c r="BA129" s="118"/>
      <c r="BB129" s="118"/>
      <c r="BC129" s="118"/>
      <c r="BD129" s="118"/>
      <c r="BE129" s="118"/>
      <c r="BF129" s="118"/>
      <c r="BG129" s="118"/>
      <c r="BH129" s="118"/>
      <c r="BI129" s="118"/>
      <c r="BJ129" s="119"/>
      <c r="BK129" s="22"/>
      <c r="BL129" s="22"/>
      <c r="BM129" s="58"/>
      <c r="BN129" s="58"/>
      <c r="BO129" s="58"/>
      <c r="BP129" s="59"/>
      <c r="BQ129" s="60"/>
      <c r="BR129" s="61"/>
      <c r="BS129" s="62" t="str">
        <f>_xlfn.IFNA(VLOOKUP($BR129,[15]Master!$C$4:$J$13,2,FALSE),"-")</f>
        <v>-</v>
      </c>
      <c r="BT129" s="62" t="str">
        <f>_xlfn.IFNA(VLOOKUP($BR129,[15]Master!$C$4:$J$13,3,FALSE),"-")</f>
        <v>-</v>
      </c>
      <c r="BU129" s="62" t="str">
        <f>_xlfn.IFNA(VLOOKUP($BR129,[15]Master!$C$4:$J$13,4,FALSE),"-")</f>
        <v>-</v>
      </c>
      <c r="BV129" s="62" t="str">
        <f>_xlfn.IFNA(VLOOKUP($BR129,[15]Master!$C$4:$J$13,5,FALSE),"-")</f>
        <v>-</v>
      </c>
      <c r="BW129" s="62" t="str">
        <f>_xlfn.IFNA(VLOOKUP($BR129,[15]Master!$C$4:$J$13,6,FALSE),"-")</f>
        <v>-</v>
      </c>
      <c r="BX129" s="62" t="str">
        <f>_xlfn.IFNA(VLOOKUP($BR129,[15]Master!$C$4:$J$13,7,FALSE),"-")</f>
        <v>-</v>
      </c>
      <c r="BY129" s="62" t="str">
        <f>_xlfn.IFNA(VLOOKUP($BR129,[15]Master!$C$4:$J$13,8,FALSE),"-")</f>
        <v>-</v>
      </c>
      <c r="BZ129" s="63">
        <f t="shared" si="3"/>
        <v>0</v>
      </c>
    </row>
    <row r="130" spans="1:78" ht="15.75">
      <c r="A130" s="22"/>
      <c r="B130" s="85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7"/>
      <c r="P130" s="88"/>
      <c r="Q130" s="89"/>
      <c r="R130" s="89"/>
      <c r="S130" s="89"/>
      <c r="T130" s="89"/>
      <c r="U130" s="89"/>
      <c r="V130" s="89"/>
      <c r="W130" s="89"/>
      <c r="X130" s="90"/>
      <c r="Y130" s="88"/>
      <c r="Z130" s="89"/>
      <c r="AA130" s="90"/>
      <c r="AB130" s="88" t="s">
        <v>308</v>
      </c>
      <c r="AC130" s="89"/>
      <c r="AD130" s="89"/>
      <c r="AE130" s="89"/>
      <c r="AF130" s="89"/>
      <c r="AG130" s="89"/>
      <c r="AH130" s="89"/>
      <c r="AI130" s="89"/>
      <c r="AJ130" s="90"/>
      <c r="AK130" s="88" t="s">
        <v>325</v>
      </c>
      <c r="AL130" s="89"/>
      <c r="AM130" s="90"/>
      <c r="AN130" s="88"/>
      <c r="AO130" s="89"/>
      <c r="AP130" s="89"/>
      <c r="AQ130" s="89"/>
      <c r="AR130" s="89"/>
      <c r="AS130" s="89"/>
      <c r="AT130" s="89"/>
      <c r="AU130" s="89"/>
      <c r="AV130" s="90"/>
      <c r="AW130" s="88"/>
      <c r="AX130" s="89"/>
      <c r="AY130" s="90"/>
      <c r="AZ130" s="88"/>
      <c r="BA130" s="89"/>
      <c r="BB130" s="89"/>
      <c r="BC130" s="89"/>
      <c r="BD130" s="89"/>
      <c r="BE130" s="89"/>
      <c r="BF130" s="89"/>
      <c r="BG130" s="89"/>
      <c r="BH130" s="89"/>
      <c r="BI130" s="89"/>
      <c r="BJ130" s="90"/>
      <c r="BK130" s="22"/>
      <c r="BL130" s="22"/>
      <c r="BM130" s="58"/>
      <c r="BN130" s="58"/>
      <c r="BO130" s="58"/>
      <c r="BP130" s="59"/>
      <c r="BQ130" s="60"/>
      <c r="BR130" s="61"/>
      <c r="BS130" s="62" t="str">
        <f>_xlfn.IFNA(VLOOKUP($BR130,[15]Master!$C$4:$J$13,2,FALSE),"-")</f>
        <v>-</v>
      </c>
      <c r="BT130" s="62" t="str">
        <f>_xlfn.IFNA(VLOOKUP($BR130,[15]Master!$C$4:$J$13,3,FALSE),"-")</f>
        <v>-</v>
      </c>
      <c r="BU130" s="62" t="str">
        <f>_xlfn.IFNA(VLOOKUP($BR130,[15]Master!$C$4:$J$13,4,FALSE),"-")</f>
        <v>-</v>
      </c>
      <c r="BV130" s="62" t="str">
        <f>_xlfn.IFNA(VLOOKUP($BR130,[15]Master!$C$4:$J$13,5,FALSE),"-")</f>
        <v>-</v>
      </c>
      <c r="BW130" s="62" t="str">
        <f>_xlfn.IFNA(VLOOKUP($BR130,[15]Master!$C$4:$J$13,6,FALSE),"-")</f>
        <v>-</v>
      </c>
      <c r="BX130" s="62" t="str">
        <f>_xlfn.IFNA(VLOOKUP($BR130,[15]Master!$C$4:$J$13,7,FALSE),"-")</f>
        <v>-</v>
      </c>
      <c r="BY130" s="62" t="str">
        <f>_xlfn.IFNA(VLOOKUP($BR130,[15]Master!$C$4:$J$13,8,FALSE),"-")</f>
        <v>-</v>
      </c>
      <c r="BZ130" s="63">
        <f t="shared" si="3"/>
        <v>0</v>
      </c>
    </row>
    <row r="131" spans="1:78" ht="15.75">
      <c r="A131" s="22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22"/>
      <c r="BL131" s="22"/>
    </row>
    <row r="132" spans="1:78" ht="15.75">
      <c r="A132" s="22"/>
      <c r="B132" s="70" t="s">
        <v>326</v>
      </c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22"/>
      <c r="BL132" s="22"/>
    </row>
    <row r="133" spans="1:78" ht="15.75">
      <c r="B133" s="120" t="s">
        <v>139</v>
      </c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2"/>
      <c r="P133" s="338" t="s">
        <v>140</v>
      </c>
      <c r="Q133" s="338"/>
      <c r="R133" s="338"/>
      <c r="S133" s="338"/>
      <c r="T133" s="338"/>
      <c r="U133" s="338"/>
      <c r="V133" s="338"/>
      <c r="W133" s="338"/>
      <c r="X133" s="339"/>
      <c r="Y133" s="120" t="s">
        <v>141</v>
      </c>
      <c r="Z133" s="121"/>
      <c r="AA133" s="122"/>
      <c r="AB133" s="340" t="s">
        <v>142</v>
      </c>
      <c r="AC133" s="338"/>
      <c r="AD133" s="338"/>
      <c r="AE133" s="338"/>
      <c r="AF133" s="338"/>
      <c r="AG133" s="338"/>
      <c r="AH133" s="338"/>
      <c r="AI133" s="338"/>
      <c r="AJ133" s="339"/>
      <c r="AK133" s="120" t="s">
        <v>143</v>
      </c>
      <c r="AL133" s="121"/>
      <c r="AM133" s="122"/>
      <c r="AN133" s="121" t="s">
        <v>144</v>
      </c>
      <c r="AO133" s="121"/>
      <c r="AP133" s="121"/>
      <c r="AQ133" s="121"/>
      <c r="AR133" s="121"/>
      <c r="AS133" s="121"/>
      <c r="AT133" s="121"/>
      <c r="AU133" s="121"/>
      <c r="AV133" s="121"/>
      <c r="AW133" s="120" t="s">
        <v>145</v>
      </c>
      <c r="AX133" s="121"/>
      <c r="AY133" s="122"/>
      <c r="AZ133" s="120" t="s">
        <v>146</v>
      </c>
      <c r="BA133" s="121"/>
      <c r="BB133" s="121"/>
      <c r="BC133" s="121"/>
      <c r="BD133" s="121"/>
      <c r="BE133" s="121"/>
      <c r="BF133" s="121"/>
      <c r="BG133" s="121"/>
      <c r="BH133" s="123"/>
      <c r="BI133" s="123"/>
      <c r="BJ133" s="124"/>
      <c r="BR133" s="39"/>
      <c r="BS133" s="25" t="str">
        <f>_xlfn.IFNA(VLOOKUP($BR133,[15]Master!$C$4:$J$13,2,FALSE),"-")</f>
        <v>-</v>
      </c>
      <c r="BT133" s="25" t="str">
        <f>_xlfn.IFNA(VLOOKUP($BR133,[15]Master!$C$4:$J$13,3,FALSE),"-")</f>
        <v>-</v>
      </c>
      <c r="BU133" s="25" t="str">
        <f>_xlfn.IFNA(VLOOKUP($BR133,[15]Master!$C$4:$J$13,4,FALSE),"-")</f>
        <v>-</v>
      </c>
      <c r="BV133" s="25" t="str">
        <f>_xlfn.IFNA(VLOOKUP($BR133,[15]Master!$C$4:$J$13,5,FALSE),"-")</f>
        <v>-</v>
      </c>
      <c r="BW133" s="25" t="str">
        <f>_xlfn.IFNA(VLOOKUP($BR133,[15]Master!$C$4:$J$13,6,FALSE),"-")</f>
        <v>-</v>
      </c>
      <c r="BX133" s="25" t="str">
        <f>_xlfn.IFNA(VLOOKUP($BR133,[15]Master!$C$4:$J$13,7,FALSE),"-")</f>
        <v>-</v>
      </c>
      <c r="BY133" s="25" t="str">
        <f>_xlfn.IFNA(VLOOKUP($BR133,[15]Master!$C$4:$J$13,8,FALSE),"-")</f>
        <v>-</v>
      </c>
      <c r="BZ133" s="35">
        <f t="shared" ref="BZ133:BZ196" si="4">SUM(BS133:BY133)</f>
        <v>0</v>
      </c>
    </row>
    <row r="134" spans="1:78" s="60" customFormat="1" ht="15.75">
      <c r="B134" s="125" t="s">
        <v>327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7"/>
      <c r="P134" s="125" t="s">
        <v>328</v>
      </c>
      <c r="Q134" s="126"/>
      <c r="R134" s="126"/>
      <c r="S134" s="126"/>
      <c r="T134" s="126"/>
      <c r="U134" s="126"/>
      <c r="V134" s="126"/>
      <c r="W134" s="126"/>
      <c r="X134" s="127"/>
      <c r="Y134" s="125"/>
      <c r="Z134" s="126"/>
      <c r="AA134" s="127"/>
      <c r="AB134" s="125"/>
      <c r="AC134" s="126"/>
      <c r="AD134" s="126"/>
      <c r="AE134" s="126"/>
      <c r="AF134" s="126"/>
      <c r="AG134" s="126"/>
      <c r="AH134" s="126"/>
      <c r="AI134" s="126"/>
      <c r="AJ134" s="127"/>
      <c r="AK134" s="125"/>
      <c r="AL134" s="126"/>
      <c r="AM134" s="127"/>
      <c r="AN134" s="125"/>
      <c r="AO134" s="126"/>
      <c r="AP134" s="126"/>
      <c r="AQ134" s="126"/>
      <c r="AR134" s="126"/>
      <c r="AS134" s="126"/>
      <c r="AT134" s="126"/>
      <c r="AU134" s="126"/>
      <c r="AV134" s="127"/>
      <c r="AW134" s="125"/>
      <c r="AX134" s="126"/>
      <c r="AY134" s="127"/>
      <c r="AZ134" s="125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7"/>
      <c r="BM134" s="58"/>
      <c r="BN134" s="58"/>
      <c r="BO134" s="58"/>
      <c r="BP134" s="59"/>
      <c r="BR134" s="67"/>
      <c r="BS134" s="68" t="str">
        <f>_xlfn.IFNA(VLOOKUP($BR134,[15]Master!$C$4:$J$13,2,FALSE),"-")</f>
        <v>-</v>
      </c>
      <c r="BT134" s="68" t="str">
        <f>_xlfn.IFNA(VLOOKUP($BR134,[15]Master!$C$4:$J$13,3,FALSE),"-")</f>
        <v>-</v>
      </c>
      <c r="BU134" s="68" t="str">
        <f>_xlfn.IFNA(VLOOKUP($BR134,[15]Master!$C$4:$J$13,4,FALSE),"-")</f>
        <v>-</v>
      </c>
      <c r="BV134" s="68" t="str">
        <f>_xlfn.IFNA(VLOOKUP($BR134,[15]Master!$C$4:$J$13,5,FALSE),"-")</f>
        <v>-</v>
      </c>
      <c r="BW134" s="68" t="str">
        <f>_xlfn.IFNA(VLOOKUP($BR134,[15]Master!$C$4:$J$13,6,FALSE),"-")</f>
        <v>-</v>
      </c>
      <c r="BX134" s="68" t="str">
        <f>_xlfn.IFNA(VLOOKUP($BR134,[15]Master!$C$4:$J$13,7,FALSE),"-")</f>
        <v>-</v>
      </c>
      <c r="BY134" s="68" t="str">
        <f>_xlfn.IFNA(VLOOKUP($BR134,[15]Master!$C$4:$J$13,8,FALSE),"-")</f>
        <v>-</v>
      </c>
      <c r="BZ134" s="63">
        <f t="shared" si="4"/>
        <v>0</v>
      </c>
    </row>
    <row r="135" spans="1:78" s="60" customFormat="1" ht="15.75">
      <c r="B135" s="97" t="s">
        <v>329</v>
      </c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9"/>
      <c r="P135" s="97" t="s">
        <v>328</v>
      </c>
      <c r="Q135" s="98"/>
      <c r="R135" s="98"/>
      <c r="S135" s="98"/>
      <c r="T135" s="98"/>
      <c r="U135" s="98"/>
      <c r="V135" s="98"/>
      <c r="W135" s="98"/>
      <c r="X135" s="99"/>
      <c r="Y135" s="97"/>
      <c r="Z135" s="98"/>
      <c r="AA135" s="99"/>
      <c r="AB135" s="97"/>
      <c r="AC135" s="98"/>
      <c r="AD135" s="98"/>
      <c r="AE135" s="98"/>
      <c r="AF135" s="98"/>
      <c r="AG135" s="98"/>
      <c r="AH135" s="98"/>
      <c r="AI135" s="98"/>
      <c r="AJ135" s="99"/>
      <c r="AK135" s="97"/>
      <c r="AL135" s="98"/>
      <c r="AM135" s="99"/>
      <c r="AN135" s="97"/>
      <c r="AO135" s="98"/>
      <c r="AP135" s="98"/>
      <c r="AQ135" s="98"/>
      <c r="AR135" s="98"/>
      <c r="AS135" s="98"/>
      <c r="AT135" s="98"/>
      <c r="AU135" s="98"/>
      <c r="AV135" s="99"/>
      <c r="AW135" s="97"/>
      <c r="AX135" s="98"/>
      <c r="AY135" s="99"/>
      <c r="AZ135" s="97"/>
      <c r="BA135" s="98"/>
      <c r="BB135" s="98"/>
      <c r="BC135" s="98"/>
      <c r="BD135" s="98"/>
      <c r="BE135" s="98"/>
      <c r="BF135" s="98"/>
      <c r="BG135" s="98"/>
      <c r="BH135" s="98"/>
      <c r="BI135" s="98"/>
      <c r="BJ135" s="99"/>
      <c r="BM135" s="58"/>
      <c r="BN135" s="58"/>
      <c r="BO135" s="58"/>
      <c r="BP135" s="59"/>
      <c r="BR135" s="67"/>
      <c r="BS135" s="68" t="str">
        <f>_xlfn.IFNA(VLOOKUP($BR135,[15]Master!$C$4:$J$13,2,FALSE),"-")</f>
        <v>-</v>
      </c>
      <c r="BT135" s="68" t="str">
        <f>_xlfn.IFNA(VLOOKUP($BR135,[15]Master!$C$4:$J$13,3,FALSE),"-")</f>
        <v>-</v>
      </c>
      <c r="BU135" s="68" t="str">
        <f>_xlfn.IFNA(VLOOKUP($BR135,[15]Master!$C$4:$J$13,4,FALSE),"-")</f>
        <v>-</v>
      </c>
      <c r="BV135" s="68" t="str">
        <f>_xlfn.IFNA(VLOOKUP($BR135,[15]Master!$C$4:$J$13,5,FALSE),"-")</f>
        <v>-</v>
      </c>
      <c r="BW135" s="68" t="str">
        <f>_xlfn.IFNA(VLOOKUP($BR135,[15]Master!$C$4:$J$13,6,FALSE),"-")</f>
        <v>-</v>
      </c>
      <c r="BX135" s="68" t="str">
        <f>_xlfn.IFNA(VLOOKUP($BR135,[15]Master!$C$4:$J$13,7,FALSE),"-")</f>
        <v>-</v>
      </c>
      <c r="BY135" s="68" t="str">
        <f>_xlfn.IFNA(VLOOKUP($BR135,[15]Master!$C$4:$J$13,8,FALSE),"-")</f>
        <v>-</v>
      </c>
      <c r="BZ135" s="63">
        <f t="shared" si="4"/>
        <v>0</v>
      </c>
    </row>
    <row r="136" spans="1:78" s="60" customFormat="1" ht="15.75">
      <c r="B136" s="97" t="s">
        <v>330</v>
      </c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9"/>
      <c r="P136" s="97" t="s">
        <v>328</v>
      </c>
      <c r="Q136" s="98"/>
      <c r="R136" s="98"/>
      <c r="S136" s="98"/>
      <c r="T136" s="98"/>
      <c r="U136" s="98"/>
      <c r="V136" s="98"/>
      <c r="W136" s="98"/>
      <c r="X136" s="99"/>
      <c r="Y136" s="97"/>
      <c r="Z136" s="98"/>
      <c r="AA136" s="99"/>
      <c r="AB136" s="97"/>
      <c r="AC136" s="98"/>
      <c r="AD136" s="98"/>
      <c r="AE136" s="98"/>
      <c r="AF136" s="98"/>
      <c r="AG136" s="98"/>
      <c r="AH136" s="98"/>
      <c r="AI136" s="98"/>
      <c r="AJ136" s="99"/>
      <c r="AK136" s="97"/>
      <c r="AL136" s="98"/>
      <c r="AM136" s="99"/>
      <c r="AN136" s="97"/>
      <c r="AO136" s="98"/>
      <c r="AP136" s="98"/>
      <c r="AQ136" s="98"/>
      <c r="AR136" s="98"/>
      <c r="AS136" s="98"/>
      <c r="AT136" s="98"/>
      <c r="AU136" s="98"/>
      <c r="AV136" s="99"/>
      <c r="AW136" s="97"/>
      <c r="AX136" s="98"/>
      <c r="AY136" s="99"/>
      <c r="AZ136" s="97"/>
      <c r="BA136" s="98"/>
      <c r="BB136" s="98"/>
      <c r="BC136" s="98"/>
      <c r="BD136" s="98"/>
      <c r="BE136" s="98"/>
      <c r="BF136" s="98"/>
      <c r="BG136" s="98"/>
      <c r="BH136" s="98"/>
      <c r="BI136" s="98"/>
      <c r="BJ136" s="99"/>
      <c r="BM136" s="58"/>
      <c r="BN136" s="58"/>
      <c r="BO136" s="58"/>
      <c r="BP136" s="59"/>
      <c r="BR136" s="67"/>
      <c r="BS136" s="68" t="str">
        <f>_xlfn.IFNA(VLOOKUP($BR136,[15]Master!$C$4:$J$13,2,FALSE),"-")</f>
        <v>-</v>
      </c>
      <c r="BT136" s="68" t="str">
        <f>_xlfn.IFNA(VLOOKUP($BR136,[15]Master!$C$4:$J$13,3,FALSE),"-")</f>
        <v>-</v>
      </c>
      <c r="BU136" s="68" t="str">
        <f>_xlfn.IFNA(VLOOKUP($BR136,[15]Master!$C$4:$J$13,4,FALSE),"-")</f>
        <v>-</v>
      </c>
      <c r="BV136" s="68" t="str">
        <f>_xlfn.IFNA(VLOOKUP($BR136,[15]Master!$C$4:$J$13,5,FALSE),"-")</f>
        <v>-</v>
      </c>
      <c r="BW136" s="68" t="str">
        <f>_xlfn.IFNA(VLOOKUP($BR136,[15]Master!$C$4:$J$13,6,FALSE),"-")</f>
        <v>-</v>
      </c>
      <c r="BX136" s="68" t="str">
        <f>_xlfn.IFNA(VLOOKUP($BR136,[15]Master!$C$4:$J$13,7,FALSE),"-")</f>
        <v>-</v>
      </c>
      <c r="BY136" s="68" t="str">
        <f>_xlfn.IFNA(VLOOKUP($BR136,[15]Master!$C$4:$J$13,8,FALSE),"-")</f>
        <v>-</v>
      </c>
      <c r="BZ136" s="63">
        <f t="shared" si="4"/>
        <v>0</v>
      </c>
    </row>
    <row r="137" spans="1:78" s="60" customFormat="1" ht="15.75">
      <c r="B137" s="97" t="s">
        <v>331</v>
      </c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9"/>
      <c r="P137" s="97" t="s">
        <v>328</v>
      </c>
      <c r="Q137" s="98"/>
      <c r="R137" s="98"/>
      <c r="S137" s="98"/>
      <c r="T137" s="98"/>
      <c r="U137" s="98"/>
      <c r="V137" s="98"/>
      <c r="W137" s="98"/>
      <c r="X137" s="99"/>
      <c r="Y137" s="97"/>
      <c r="Z137" s="98"/>
      <c r="AA137" s="99"/>
      <c r="AB137" s="97"/>
      <c r="AC137" s="98"/>
      <c r="AD137" s="98"/>
      <c r="AE137" s="98"/>
      <c r="AF137" s="98"/>
      <c r="AG137" s="98"/>
      <c r="AH137" s="98"/>
      <c r="AI137" s="98"/>
      <c r="AJ137" s="99"/>
      <c r="AK137" s="97"/>
      <c r="AL137" s="98"/>
      <c r="AM137" s="99"/>
      <c r="AN137" s="97"/>
      <c r="AO137" s="98"/>
      <c r="AP137" s="98"/>
      <c r="AQ137" s="98"/>
      <c r="AR137" s="98"/>
      <c r="AS137" s="98"/>
      <c r="AT137" s="98"/>
      <c r="AU137" s="98"/>
      <c r="AV137" s="99"/>
      <c r="AW137" s="97"/>
      <c r="AX137" s="98"/>
      <c r="AY137" s="99"/>
      <c r="AZ137" s="97"/>
      <c r="BA137" s="98"/>
      <c r="BB137" s="98"/>
      <c r="BC137" s="98"/>
      <c r="BD137" s="98"/>
      <c r="BE137" s="98"/>
      <c r="BF137" s="98"/>
      <c r="BG137" s="98"/>
      <c r="BH137" s="98"/>
      <c r="BI137" s="98"/>
      <c r="BJ137" s="99"/>
      <c r="BM137" s="58"/>
      <c r="BN137" s="58"/>
      <c r="BO137" s="58"/>
      <c r="BP137" s="59"/>
      <c r="BR137" s="67"/>
      <c r="BS137" s="68" t="str">
        <f>_xlfn.IFNA(VLOOKUP($BR137,[15]Master!$C$4:$J$13,2,FALSE),"-")</f>
        <v>-</v>
      </c>
      <c r="BT137" s="68" t="str">
        <f>_xlfn.IFNA(VLOOKUP($BR137,[15]Master!$C$4:$J$13,3,FALSE),"-")</f>
        <v>-</v>
      </c>
      <c r="BU137" s="68" t="str">
        <f>_xlfn.IFNA(VLOOKUP($BR137,[15]Master!$C$4:$J$13,4,FALSE),"-")</f>
        <v>-</v>
      </c>
      <c r="BV137" s="68" t="str">
        <f>_xlfn.IFNA(VLOOKUP($BR137,[15]Master!$C$4:$J$13,5,FALSE),"-")</f>
        <v>-</v>
      </c>
      <c r="BW137" s="68" t="str">
        <f>_xlfn.IFNA(VLOOKUP($BR137,[15]Master!$C$4:$J$13,6,FALSE),"-")</f>
        <v>-</v>
      </c>
      <c r="BX137" s="68" t="str">
        <f>_xlfn.IFNA(VLOOKUP($BR137,[15]Master!$C$4:$J$13,7,FALSE),"-")</f>
        <v>-</v>
      </c>
      <c r="BY137" s="68" t="str">
        <f>_xlfn.IFNA(VLOOKUP($BR137,[15]Master!$C$4:$J$13,8,FALSE),"-")</f>
        <v>-</v>
      </c>
      <c r="BZ137" s="63">
        <f t="shared" si="4"/>
        <v>0</v>
      </c>
    </row>
    <row r="138" spans="1:78" ht="15.75">
      <c r="B138" s="106" t="s">
        <v>332</v>
      </c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1"/>
      <c r="P138" s="100" t="s">
        <v>333</v>
      </c>
      <c r="Q138" s="98"/>
      <c r="R138" s="98"/>
      <c r="S138" s="98"/>
      <c r="T138" s="98"/>
      <c r="U138" s="98"/>
      <c r="V138" s="98"/>
      <c r="W138" s="98"/>
      <c r="X138" s="99"/>
      <c r="Y138" s="97"/>
      <c r="Z138" s="98"/>
      <c r="AA138" s="99"/>
      <c r="AB138" s="97"/>
      <c r="AC138" s="98"/>
      <c r="AD138" s="98"/>
      <c r="AE138" s="98"/>
      <c r="AF138" s="98"/>
      <c r="AG138" s="98"/>
      <c r="AH138" s="98"/>
      <c r="AI138" s="98"/>
      <c r="AJ138" s="99"/>
      <c r="AK138" s="97"/>
      <c r="AL138" s="98"/>
      <c r="AM138" s="99"/>
      <c r="AN138" s="97"/>
      <c r="AO138" s="98"/>
      <c r="AP138" s="98"/>
      <c r="AQ138" s="98"/>
      <c r="AR138" s="98"/>
      <c r="AS138" s="98"/>
      <c r="AT138" s="98"/>
      <c r="AU138" s="98"/>
      <c r="AV138" s="99"/>
      <c r="AW138" s="97"/>
      <c r="AX138" s="98"/>
      <c r="AY138" s="99"/>
      <c r="AZ138" s="97"/>
      <c r="BA138" s="98"/>
      <c r="BB138" s="98"/>
      <c r="BC138" s="98"/>
      <c r="BD138" s="98"/>
      <c r="BE138" s="98"/>
      <c r="BF138" s="98"/>
      <c r="BG138" s="98"/>
      <c r="BH138" s="98"/>
      <c r="BI138" s="98"/>
      <c r="BJ138" s="99"/>
      <c r="BR138" s="40" t="s">
        <v>209</v>
      </c>
      <c r="BS138" s="36">
        <f>_xlfn.IFNA(VLOOKUP($BR138,[15]Master!$C$4:$J$13,2,FALSE),"-")</f>
        <v>0.3</v>
      </c>
      <c r="BT138" s="36">
        <f>_xlfn.IFNA(VLOOKUP($BR138,[15]Master!$C$4:$J$13,3,FALSE),"-")</f>
        <v>1</v>
      </c>
      <c r="BU138" s="36">
        <f>_xlfn.IFNA(VLOOKUP($BR138,[15]Master!$C$4:$J$13,4,FALSE),"-")</f>
        <v>0.2</v>
      </c>
      <c r="BV138" s="36">
        <f>_xlfn.IFNA(VLOOKUP($BR138,[15]Master!$C$4:$J$13,5,FALSE),"-")</f>
        <v>0.1</v>
      </c>
      <c r="BW138" s="36">
        <f>_xlfn.IFNA(VLOOKUP($BR138,[15]Master!$C$4:$J$13,6,FALSE),"-")</f>
        <v>0.2</v>
      </c>
      <c r="BX138" s="36">
        <f>_xlfn.IFNA(VLOOKUP($BR138,[15]Master!$C$4:$J$13,7,FALSE),"-")</f>
        <v>0.1</v>
      </c>
      <c r="BY138" s="36">
        <f>_xlfn.IFNA(VLOOKUP($BR138,[15]Master!$C$4:$J$13,8,FALSE),"-")</f>
        <v>0.2</v>
      </c>
      <c r="BZ138" s="35">
        <f t="shared" si="4"/>
        <v>2.1</v>
      </c>
    </row>
    <row r="139" spans="1:78" ht="15.75">
      <c r="B139" s="97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9"/>
      <c r="P139" s="100" t="s">
        <v>334</v>
      </c>
      <c r="Q139" s="98"/>
      <c r="R139" s="98"/>
      <c r="S139" s="98"/>
      <c r="T139" s="98"/>
      <c r="U139" s="98"/>
      <c r="V139" s="98"/>
      <c r="W139" s="98"/>
      <c r="X139" s="99"/>
      <c r="Y139" s="97"/>
      <c r="Z139" s="98"/>
      <c r="AA139" s="99"/>
      <c r="AB139" s="97"/>
      <c r="AC139" s="98"/>
      <c r="AD139" s="98"/>
      <c r="AE139" s="98"/>
      <c r="AF139" s="98"/>
      <c r="AG139" s="98"/>
      <c r="AH139" s="98"/>
      <c r="AI139" s="98"/>
      <c r="AJ139" s="99"/>
      <c r="AK139" s="97"/>
      <c r="AL139" s="98"/>
      <c r="AM139" s="99"/>
      <c r="AN139" s="97"/>
      <c r="AO139" s="98"/>
      <c r="AP139" s="98"/>
      <c r="AQ139" s="98"/>
      <c r="AR139" s="98"/>
      <c r="AS139" s="98"/>
      <c r="AT139" s="98"/>
      <c r="AU139" s="98"/>
      <c r="AV139" s="99"/>
      <c r="AW139" s="97"/>
      <c r="AX139" s="98"/>
      <c r="AY139" s="99"/>
      <c r="AZ139" s="97"/>
      <c r="BA139" s="98"/>
      <c r="BB139" s="98"/>
      <c r="BC139" s="98"/>
      <c r="BD139" s="98"/>
      <c r="BE139" s="98"/>
      <c r="BF139" s="98"/>
      <c r="BG139" s="98"/>
      <c r="BH139" s="98"/>
      <c r="BI139" s="98"/>
      <c r="BJ139" s="99"/>
      <c r="BM139" s="58"/>
      <c r="BN139" s="58"/>
      <c r="BO139" s="58"/>
      <c r="BP139" s="59"/>
      <c r="BQ139" s="60"/>
      <c r="BR139" s="67"/>
      <c r="BS139" s="68" t="str">
        <f>_xlfn.IFNA(VLOOKUP($BR139,[15]Master!$C$4:$J$13,2,FALSE),"-")</f>
        <v>-</v>
      </c>
      <c r="BT139" s="68" t="str">
        <f>_xlfn.IFNA(VLOOKUP($BR139,[15]Master!$C$4:$J$13,3,FALSE),"-")</f>
        <v>-</v>
      </c>
      <c r="BU139" s="68" t="str">
        <f>_xlfn.IFNA(VLOOKUP($BR139,[15]Master!$C$4:$J$13,4,FALSE),"-")</f>
        <v>-</v>
      </c>
      <c r="BV139" s="68" t="str">
        <f>_xlfn.IFNA(VLOOKUP($BR139,[15]Master!$C$4:$J$13,5,FALSE),"-")</f>
        <v>-</v>
      </c>
      <c r="BW139" s="68" t="str">
        <f>_xlfn.IFNA(VLOOKUP($BR139,[15]Master!$C$4:$J$13,6,FALSE),"-")</f>
        <v>-</v>
      </c>
      <c r="BX139" s="68" t="str">
        <f>_xlfn.IFNA(VLOOKUP($BR139,[15]Master!$C$4:$J$13,7,FALSE),"-")</f>
        <v>-</v>
      </c>
      <c r="BY139" s="68" t="str">
        <f>_xlfn.IFNA(VLOOKUP($BR139,[15]Master!$C$4:$J$13,8,FALSE),"-")</f>
        <v>-</v>
      </c>
      <c r="BZ139" s="63">
        <f t="shared" si="4"/>
        <v>0</v>
      </c>
    </row>
    <row r="140" spans="1:78" ht="15.75">
      <c r="B140" s="97" t="s">
        <v>335</v>
      </c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9"/>
      <c r="P140" s="97" t="s">
        <v>336</v>
      </c>
      <c r="Q140" s="98"/>
      <c r="R140" s="98"/>
      <c r="S140" s="98"/>
      <c r="T140" s="98"/>
      <c r="U140" s="98"/>
      <c r="V140" s="98"/>
      <c r="W140" s="98"/>
      <c r="X140" s="99"/>
      <c r="Y140" s="97"/>
      <c r="Z140" s="98"/>
      <c r="AA140" s="99"/>
      <c r="AB140" s="97"/>
      <c r="AC140" s="98"/>
      <c r="AD140" s="98"/>
      <c r="AE140" s="98"/>
      <c r="AF140" s="98"/>
      <c r="AG140" s="98"/>
      <c r="AH140" s="98"/>
      <c r="AI140" s="98"/>
      <c r="AJ140" s="99"/>
      <c r="AK140" s="97"/>
      <c r="AL140" s="98"/>
      <c r="AM140" s="99"/>
      <c r="AN140" s="97"/>
      <c r="AO140" s="98"/>
      <c r="AP140" s="98"/>
      <c r="AQ140" s="98"/>
      <c r="AR140" s="98"/>
      <c r="AS140" s="98"/>
      <c r="AT140" s="98"/>
      <c r="AU140" s="98"/>
      <c r="AV140" s="99"/>
      <c r="AW140" s="97"/>
      <c r="AX140" s="98"/>
      <c r="AY140" s="99"/>
      <c r="AZ140" s="97"/>
      <c r="BA140" s="98"/>
      <c r="BB140" s="98"/>
      <c r="BC140" s="98"/>
      <c r="BD140" s="98"/>
      <c r="BE140" s="98"/>
      <c r="BF140" s="98"/>
      <c r="BG140" s="98"/>
      <c r="BH140" s="98"/>
      <c r="BI140" s="98"/>
      <c r="BJ140" s="99"/>
      <c r="BM140" s="58"/>
      <c r="BN140" s="58"/>
      <c r="BO140" s="58"/>
      <c r="BP140" s="59"/>
      <c r="BQ140" s="60"/>
      <c r="BR140" s="67"/>
      <c r="BS140" s="68" t="str">
        <f>_xlfn.IFNA(VLOOKUP($BR140,[15]Master!$C$4:$J$13,2,FALSE),"-")</f>
        <v>-</v>
      </c>
      <c r="BT140" s="68" t="str">
        <f>_xlfn.IFNA(VLOOKUP($BR140,[15]Master!$C$4:$J$13,3,FALSE),"-")</f>
        <v>-</v>
      </c>
      <c r="BU140" s="68" t="str">
        <f>_xlfn.IFNA(VLOOKUP($BR140,[15]Master!$C$4:$J$13,4,FALSE),"-")</f>
        <v>-</v>
      </c>
      <c r="BV140" s="68" t="str">
        <f>_xlfn.IFNA(VLOOKUP($BR140,[15]Master!$C$4:$J$13,5,FALSE),"-")</f>
        <v>-</v>
      </c>
      <c r="BW140" s="68" t="str">
        <f>_xlfn.IFNA(VLOOKUP($BR140,[15]Master!$C$4:$J$13,6,FALSE),"-")</f>
        <v>-</v>
      </c>
      <c r="BX140" s="68" t="str">
        <f>_xlfn.IFNA(VLOOKUP($BR140,[15]Master!$C$4:$J$13,7,FALSE),"-")</f>
        <v>-</v>
      </c>
      <c r="BY140" s="68" t="str">
        <f>_xlfn.IFNA(VLOOKUP($BR140,[15]Master!$C$4:$J$13,8,FALSE),"-")</f>
        <v>-</v>
      </c>
      <c r="BZ140" s="63">
        <f t="shared" si="4"/>
        <v>0</v>
      </c>
    </row>
    <row r="141" spans="1:78" ht="15.75">
      <c r="B141" s="97" t="s">
        <v>337</v>
      </c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9"/>
      <c r="P141" s="100" t="s">
        <v>338</v>
      </c>
      <c r="Q141" s="98"/>
      <c r="R141" s="98"/>
      <c r="S141" s="98"/>
      <c r="T141" s="98"/>
      <c r="U141" s="98"/>
      <c r="V141" s="98"/>
      <c r="W141" s="98"/>
      <c r="X141" s="99"/>
      <c r="Y141" s="97"/>
      <c r="Z141" s="98"/>
      <c r="AA141" s="99"/>
      <c r="AB141" s="97"/>
      <c r="AC141" s="98"/>
      <c r="AD141" s="98"/>
      <c r="AE141" s="98"/>
      <c r="AF141" s="98"/>
      <c r="AG141" s="98"/>
      <c r="AH141" s="98"/>
      <c r="AI141" s="98"/>
      <c r="AJ141" s="99"/>
      <c r="AK141" s="97"/>
      <c r="AL141" s="98"/>
      <c r="AM141" s="99"/>
      <c r="AN141" s="97"/>
      <c r="AO141" s="98"/>
      <c r="AP141" s="98"/>
      <c r="AQ141" s="98"/>
      <c r="AR141" s="98"/>
      <c r="AS141" s="98"/>
      <c r="AT141" s="98"/>
      <c r="AU141" s="98"/>
      <c r="AV141" s="99"/>
      <c r="AW141" s="97"/>
      <c r="AX141" s="98"/>
      <c r="AY141" s="99"/>
      <c r="AZ141" s="97"/>
      <c r="BA141" s="98"/>
      <c r="BB141" s="98"/>
      <c r="BC141" s="98"/>
      <c r="BD141" s="98"/>
      <c r="BE141" s="98"/>
      <c r="BF141" s="98"/>
      <c r="BG141" s="98"/>
      <c r="BH141" s="98"/>
      <c r="BI141" s="98"/>
      <c r="BJ141" s="99"/>
      <c r="BM141" s="45">
        <v>3</v>
      </c>
      <c r="BR141" s="40" t="s">
        <v>204</v>
      </c>
      <c r="BS141" s="36">
        <f>_xlfn.IFNA(VLOOKUP($BR141,[15]Master!$C$4:$J$13,2,FALSE),"-")</f>
        <v>0.52500000000000002</v>
      </c>
      <c r="BT141" s="36">
        <f>_xlfn.IFNA(VLOOKUP($BR141,[15]Master!$C$4:$J$13,3,FALSE),"-")</f>
        <v>1.75</v>
      </c>
      <c r="BU141" s="36">
        <f>_xlfn.IFNA(VLOOKUP($BR141,[15]Master!$C$4:$J$13,4,FALSE),"-")</f>
        <v>0.35000000000000003</v>
      </c>
      <c r="BV141" s="36">
        <f>_xlfn.IFNA(VLOOKUP($BR141,[15]Master!$C$4:$J$13,5,FALSE),"-")</f>
        <v>0.17500000000000002</v>
      </c>
      <c r="BW141" s="36">
        <f>_xlfn.IFNA(VLOOKUP($BR141,[15]Master!$C$4:$J$13,6,FALSE),"-")</f>
        <v>0.35000000000000003</v>
      </c>
      <c r="BX141" s="36">
        <f>_xlfn.IFNA(VLOOKUP($BR141,[15]Master!$C$4:$J$13,7,FALSE),"-")</f>
        <v>0.17500000000000002</v>
      </c>
      <c r="BY141" s="36">
        <f>_xlfn.IFNA(VLOOKUP($BR141,[15]Master!$C$4:$J$13,8,FALSE),"-")</f>
        <v>0.35000000000000003</v>
      </c>
      <c r="BZ141" s="35">
        <f t="shared" si="4"/>
        <v>3.6749999999999998</v>
      </c>
    </row>
    <row r="142" spans="1:78" ht="15.75">
      <c r="B142" s="97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9"/>
      <c r="P142" s="100" t="s">
        <v>339</v>
      </c>
      <c r="Q142" s="98"/>
      <c r="R142" s="98"/>
      <c r="S142" s="98"/>
      <c r="T142" s="98"/>
      <c r="U142" s="98"/>
      <c r="V142" s="98"/>
      <c r="W142" s="98"/>
      <c r="X142" s="99"/>
      <c r="Y142" s="97"/>
      <c r="Z142" s="98"/>
      <c r="AA142" s="99"/>
      <c r="AB142" s="97"/>
      <c r="AC142" s="98"/>
      <c r="AD142" s="98"/>
      <c r="AE142" s="98"/>
      <c r="AF142" s="98"/>
      <c r="AG142" s="98"/>
      <c r="AH142" s="98"/>
      <c r="AI142" s="98"/>
      <c r="AJ142" s="99"/>
      <c r="AK142" s="97"/>
      <c r="AL142" s="98"/>
      <c r="AM142" s="99"/>
      <c r="AN142" s="97"/>
      <c r="AO142" s="98"/>
      <c r="AP142" s="98"/>
      <c r="AQ142" s="98"/>
      <c r="AR142" s="98"/>
      <c r="AS142" s="98"/>
      <c r="AT142" s="98"/>
      <c r="AU142" s="98"/>
      <c r="AV142" s="99"/>
      <c r="AW142" s="97"/>
      <c r="AX142" s="98"/>
      <c r="AY142" s="99"/>
      <c r="AZ142" s="97"/>
      <c r="BA142" s="98"/>
      <c r="BB142" s="98"/>
      <c r="BC142" s="98"/>
      <c r="BD142" s="98"/>
      <c r="BE142" s="98"/>
      <c r="BF142" s="98"/>
      <c r="BG142" s="98"/>
      <c r="BH142" s="98"/>
      <c r="BI142" s="98"/>
      <c r="BJ142" s="99"/>
      <c r="BM142" s="58"/>
      <c r="BN142" s="58"/>
      <c r="BO142" s="58"/>
      <c r="BP142" s="59"/>
      <c r="BQ142" s="60"/>
      <c r="BR142" s="67"/>
      <c r="BS142" s="68" t="str">
        <f>_xlfn.IFNA(VLOOKUP($BR142,[15]Master!$C$4:$J$13,2,FALSE),"-")</f>
        <v>-</v>
      </c>
      <c r="BT142" s="68" t="str">
        <f>_xlfn.IFNA(VLOOKUP($BR142,[15]Master!$C$4:$J$13,3,FALSE),"-")</f>
        <v>-</v>
      </c>
      <c r="BU142" s="68" t="str">
        <f>_xlfn.IFNA(VLOOKUP($BR142,[15]Master!$C$4:$J$13,4,FALSE),"-")</f>
        <v>-</v>
      </c>
      <c r="BV142" s="68" t="str">
        <f>_xlfn.IFNA(VLOOKUP($BR142,[15]Master!$C$4:$J$13,5,FALSE),"-")</f>
        <v>-</v>
      </c>
      <c r="BW142" s="68" t="str">
        <f>_xlfn.IFNA(VLOOKUP($BR142,[15]Master!$C$4:$J$13,6,FALSE),"-")</f>
        <v>-</v>
      </c>
      <c r="BX142" s="68" t="str">
        <f>_xlfn.IFNA(VLOOKUP($BR142,[15]Master!$C$4:$J$13,7,FALSE),"-")</f>
        <v>-</v>
      </c>
      <c r="BY142" s="68" t="str">
        <f>_xlfn.IFNA(VLOOKUP($BR142,[15]Master!$C$4:$J$13,8,FALSE),"-")</f>
        <v>-</v>
      </c>
      <c r="BZ142" s="63">
        <f t="shared" si="4"/>
        <v>0</v>
      </c>
    </row>
    <row r="143" spans="1:78" ht="15.75">
      <c r="B143" s="97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9"/>
      <c r="P143" s="100" t="s">
        <v>340</v>
      </c>
      <c r="Q143" s="98"/>
      <c r="R143" s="98"/>
      <c r="S143" s="98"/>
      <c r="T143" s="98"/>
      <c r="U143" s="98"/>
      <c r="V143" s="98"/>
      <c r="W143" s="98"/>
      <c r="X143" s="99"/>
      <c r="Y143" s="97"/>
      <c r="Z143" s="98"/>
      <c r="AA143" s="99"/>
      <c r="AB143" s="97"/>
      <c r="AC143" s="98"/>
      <c r="AD143" s="98"/>
      <c r="AE143" s="98"/>
      <c r="AF143" s="98"/>
      <c r="AG143" s="98"/>
      <c r="AH143" s="98"/>
      <c r="AI143" s="98"/>
      <c r="AJ143" s="99"/>
      <c r="AK143" s="97"/>
      <c r="AL143" s="98"/>
      <c r="AM143" s="99"/>
      <c r="AN143" s="97"/>
      <c r="AO143" s="98"/>
      <c r="AP143" s="98"/>
      <c r="AQ143" s="98"/>
      <c r="AR143" s="98"/>
      <c r="AS143" s="98"/>
      <c r="AT143" s="98"/>
      <c r="AU143" s="98"/>
      <c r="AV143" s="99"/>
      <c r="AW143" s="97"/>
      <c r="AX143" s="98"/>
      <c r="AY143" s="99"/>
      <c r="AZ143" s="97"/>
      <c r="BA143" s="98"/>
      <c r="BB143" s="98"/>
      <c r="BC143" s="98"/>
      <c r="BD143" s="98"/>
      <c r="BE143" s="98"/>
      <c r="BF143" s="98"/>
      <c r="BG143" s="98"/>
      <c r="BH143" s="98"/>
      <c r="BI143" s="98"/>
      <c r="BJ143" s="99"/>
      <c r="BM143" s="58"/>
      <c r="BN143" s="58"/>
      <c r="BO143" s="58"/>
      <c r="BP143" s="59"/>
      <c r="BQ143" s="60"/>
      <c r="BR143" s="67"/>
      <c r="BS143" s="68" t="str">
        <f>_xlfn.IFNA(VLOOKUP($BR143,[15]Master!$C$4:$J$13,2,FALSE),"-")</f>
        <v>-</v>
      </c>
      <c r="BT143" s="68" t="str">
        <f>_xlfn.IFNA(VLOOKUP($BR143,[15]Master!$C$4:$J$13,3,FALSE),"-")</f>
        <v>-</v>
      </c>
      <c r="BU143" s="68" t="str">
        <f>_xlfn.IFNA(VLOOKUP($BR143,[15]Master!$C$4:$J$13,4,FALSE),"-")</f>
        <v>-</v>
      </c>
      <c r="BV143" s="68" t="str">
        <f>_xlfn.IFNA(VLOOKUP($BR143,[15]Master!$C$4:$J$13,5,FALSE),"-")</f>
        <v>-</v>
      </c>
      <c r="BW143" s="68" t="str">
        <f>_xlfn.IFNA(VLOOKUP($BR143,[15]Master!$C$4:$J$13,6,FALSE),"-")</f>
        <v>-</v>
      </c>
      <c r="BX143" s="68" t="str">
        <f>_xlfn.IFNA(VLOOKUP($BR143,[15]Master!$C$4:$J$13,7,FALSE),"-")</f>
        <v>-</v>
      </c>
      <c r="BY143" s="68" t="str">
        <f>_xlfn.IFNA(VLOOKUP($BR143,[15]Master!$C$4:$J$13,8,FALSE),"-")</f>
        <v>-</v>
      </c>
      <c r="BZ143" s="63">
        <f t="shared" si="4"/>
        <v>0</v>
      </c>
    </row>
    <row r="144" spans="1:78" ht="15.75">
      <c r="B144" s="97" t="s">
        <v>341</v>
      </c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9"/>
      <c r="P144" s="97" t="s">
        <v>342</v>
      </c>
      <c r="Q144" s="98"/>
      <c r="R144" s="98"/>
      <c r="S144" s="98"/>
      <c r="T144" s="98"/>
      <c r="U144" s="98"/>
      <c r="V144" s="98"/>
      <c r="W144" s="98"/>
      <c r="X144" s="99"/>
      <c r="Y144" s="97"/>
      <c r="Z144" s="98"/>
      <c r="AA144" s="99"/>
      <c r="AB144" s="97"/>
      <c r="AC144" s="98"/>
      <c r="AD144" s="98"/>
      <c r="AE144" s="98"/>
      <c r="AF144" s="98"/>
      <c r="AG144" s="98"/>
      <c r="AH144" s="98"/>
      <c r="AI144" s="98"/>
      <c r="AJ144" s="99"/>
      <c r="AK144" s="97"/>
      <c r="AL144" s="98"/>
      <c r="AM144" s="99"/>
      <c r="AN144" s="97"/>
      <c r="AO144" s="98"/>
      <c r="AP144" s="98"/>
      <c r="AQ144" s="98"/>
      <c r="AR144" s="98"/>
      <c r="AS144" s="98"/>
      <c r="AT144" s="98"/>
      <c r="AU144" s="98"/>
      <c r="AV144" s="99"/>
      <c r="AW144" s="97"/>
      <c r="AX144" s="98"/>
      <c r="AY144" s="99"/>
      <c r="AZ144" s="97"/>
      <c r="BA144" s="98"/>
      <c r="BB144" s="98"/>
      <c r="BC144" s="98"/>
      <c r="BD144" s="98"/>
      <c r="BE144" s="98"/>
      <c r="BF144" s="98"/>
      <c r="BG144" s="98"/>
      <c r="BH144" s="98"/>
      <c r="BI144" s="98"/>
      <c r="BJ144" s="99"/>
      <c r="BM144" s="45">
        <v>3</v>
      </c>
      <c r="BR144" s="40" t="s">
        <v>204</v>
      </c>
      <c r="BS144" s="36">
        <f>_xlfn.IFNA(VLOOKUP($BR144,[15]Master!$C$4:$J$13,2,FALSE),"-")</f>
        <v>0.52500000000000002</v>
      </c>
      <c r="BT144" s="36">
        <f>_xlfn.IFNA(VLOOKUP($BR144,[15]Master!$C$4:$J$13,3,FALSE),"-")</f>
        <v>1.75</v>
      </c>
      <c r="BU144" s="36">
        <f>_xlfn.IFNA(VLOOKUP($BR144,[15]Master!$C$4:$J$13,4,FALSE),"-")</f>
        <v>0.35000000000000003</v>
      </c>
      <c r="BV144" s="36">
        <f>_xlfn.IFNA(VLOOKUP($BR144,[15]Master!$C$4:$J$13,5,FALSE),"-")</f>
        <v>0.17500000000000002</v>
      </c>
      <c r="BW144" s="36">
        <f>_xlfn.IFNA(VLOOKUP($BR144,[15]Master!$C$4:$J$13,6,FALSE),"-")</f>
        <v>0.35000000000000003</v>
      </c>
      <c r="BX144" s="36">
        <f>_xlfn.IFNA(VLOOKUP($BR144,[15]Master!$C$4:$J$13,7,FALSE),"-")</f>
        <v>0.17500000000000002</v>
      </c>
      <c r="BY144" s="36">
        <f>_xlfn.IFNA(VLOOKUP($BR144,[15]Master!$C$4:$J$13,8,FALSE),"-")</f>
        <v>0.35000000000000003</v>
      </c>
      <c r="BZ144" s="35">
        <f t="shared" si="4"/>
        <v>3.6749999999999998</v>
      </c>
    </row>
    <row r="145" spans="2:78" ht="15.75">
      <c r="B145" s="97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9"/>
      <c r="P145" s="97" t="s">
        <v>343</v>
      </c>
      <c r="Q145" s="98"/>
      <c r="R145" s="98"/>
      <c r="S145" s="98"/>
      <c r="T145" s="98"/>
      <c r="U145" s="98"/>
      <c r="V145" s="98"/>
      <c r="W145" s="98"/>
      <c r="X145" s="99"/>
      <c r="Y145" s="97"/>
      <c r="Z145" s="98"/>
      <c r="AA145" s="99"/>
      <c r="AB145" s="97"/>
      <c r="AC145" s="98"/>
      <c r="AD145" s="98"/>
      <c r="AE145" s="98"/>
      <c r="AF145" s="98"/>
      <c r="AG145" s="98"/>
      <c r="AH145" s="98"/>
      <c r="AI145" s="98"/>
      <c r="AJ145" s="99"/>
      <c r="AK145" s="97"/>
      <c r="AL145" s="98"/>
      <c r="AM145" s="99"/>
      <c r="AN145" s="97"/>
      <c r="AO145" s="98"/>
      <c r="AP145" s="98"/>
      <c r="AQ145" s="98"/>
      <c r="AR145" s="98"/>
      <c r="AS145" s="98"/>
      <c r="AT145" s="98"/>
      <c r="AU145" s="98"/>
      <c r="AV145" s="99"/>
      <c r="AW145" s="97"/>
      <c r="AX145" s="98"/>
      <c r="AY145" s="99"/>
      <c r="AZ145" s="97"/>
      <c r="BA145" s="98"/>
      <c r="BB145" s="98"/>
      <c r="BC145" s="98"/>
      <c r="BD145" s="98"/>
      <c r="BE145" s="98"/>
      <c r="BF145" s="98"/>
      <c r="BG145" s="98"/>
      <c r="BH145" s="98"/>
      <c r="BI145" s="98"/>
      <c r="BJ145" s="99"/>
      <c r="BM145" s="58"/>
      <c r="BN145" s="58"/>
      <c r="BO145" s="58"/>
      <c r="BP145" s="59"/>
      <c r="BQ145" s="60"/>
      <c r="BR145" s="67"/>
      <c r="BS145" s="68" t="str">
        <f>_xlfn.IFNA(VLOOKUP($BR145,[15]Master!$C$4:$J$13,2,FALSE),"-")</f>
        <v>-</v>
      </c>
      <c r="BT145" s="68" t="str">
        <f>_xlfn.IFNA(VLOOKUP($BR145,[15]Master!$C$4:$J$13,3,FALSE),"-")</f>
        <v>-</v>
      </c>
      <c r="BU145" s="68" t="str">
        <f>_xlfn.IFNA(VLOOKUP($BR145,[15]Master!$C$4:$J$13,4,FALSE),"-")</f>
        <v>-</v>
      </c>
      <c r="BV145" s="68" t="str">
        <f>_xlfn.IFNA(VLOOKUP($BR145,[15]Master!$C$4:$J$13,5,FALSE),"-")</f>
        <v>-</v>
      </c>
      <c r="BW145" s="68" t="str">
        <f>_xlfn.IFNA(VLOOKUP($BR145,[15]Master!$C$4:$J$13,6,FALSE),"-")</f>
        <v>-</v>
      </c>
      <c r="BX145" s="68" t="str">
        <f>_xlfn.IFNA(VLOOKUP($BR145,[15]Master!$C$4:$J$13,7,FALSE),"-")</f>
        <v>-</v>
      </c>
      <c r="BY145" s="68" t="str">
        <f>_xlfn.IFNA(VLOOKUP($BR145,[15]Master!$C$4:$J$13,8,FALSE),"-")</f>
        <v>-</v>
      </c>
      <c r="BZ145" s="63">
        <f t="shared" si="4"/>
        <v>0</v>
      </c>
    </row>
    <row r="146" spans="2:78" ht="15.75">
      <c r="B146" s="97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9"/>
      <c r="P146" s="97" t="s">
        <v>344</v>
      </c>
      <c r="Q146" s="98"/>
      <c r="R146" s="98"/>
      <c r="S146" s="98"/>
      <c r="T146" s="98"/>
      <c r="U146" s="98"/>
      <c r="V146" s="98"/>
      <c r="W146" s="98"/>
      <c r="X146" s="99"/>
      <c r="Y146" s="97"/>
      <c r="Z146" s="98"/>
      <c r="AA146" s="99"/>
      <c r="AB146" s="97"/>
      <c r="AC146" s="98"/>
      <c r="AD146" s="98"/>
      <c r="AE146" s="98"/>
      <c r="AF146" s="98"/>
      <c r="AG146" s="98"/>
      <c r="AH146" s="98"/>
      <c r="AI146" s="98"/>
      <c r="AJ146" s="99"/>
      <c r="AK146" s="97"/>
      <c r="AL146" s="98"/>
      <c r="AM146" s="99"/>
      <c r="AN146" s="97"/>
      <c r="AO146" s="98"/>
      <c r="AP146" s="98"/>
      <c r="AQ146" s="98"/>
      <c r="AR146" s="98"/>
      <c r="AS146" s="98"/>
      <c r="AT146" s="98"/>
      <c r="AU146" s="98"/>
      <c r="AV146" s="99"/>
      <c r="AW146" s="97"/>
      <c r="AX146" s="98"/>
      <c r="AY146" s="99"/>
      <c r="AZ146" s="97"/>
      <c r="BA146" s="98"/>
      <c r="BB146" s="98"/>
      <c r="BC146" s="98"/>
      <c r="BD146" s="98"/>
      <c r="BE146" s="98"/>
      <c r="BF146" s="98"/>
      <c r="BG146" s="98"/>
      <c r="BH146" s="98"/>
      <c r="BI146" s="98"/>
      <c r="BJ146" s="99"/>
      <c r="BM146" s="58"/>
      <c r="BN146" s="58"/>
      <c r="BO146" s="58"/>
      <c r="BP146" s="59"/>
      <c r="BQ146" s="60"/>
      <c r="BR146" s="67"/>
      <c r="BS146" s="68" t="str">
        <f>_xlfn.IFNA(VLOOKUP($BR146,[15]Master!$C$4:$J$13,2,FALSE),"-")</f>
        <v>-</v>
      </c>
      <c r="BT146" s="68" t="str">
        <f>_xlfn.IFNA(VLOOKUP($BR146,[15]Master!$C$4:$J$13,3,FALSE),"-")</f>
        <v>-</v>
      </c>
      <c r="BU146" s="68" t="str">
        <f>_xlfn.IFNA(VLOOKUP($BR146,[15]Master!$C$4:$J$13,4,FALSE),"-")</f>
        <v>-</v>
      </c>
      <c r="BV146" s="68" t="str">
        <f>_xlfn.IFNA(VLOOKUP($BR146,[15]Master!$C$4:$J$13,5,FALSE),"-")</f>
        <v>-</v>
      </c>
      <c r="BW146" s="68" t="str">
        <f>_xlfn.IFNA(VLOOKUP($BR146,[15]Master!$C$4:$J$13,6,FALSE),"-")</f>
        <v>-</v>
      </c>
      <c r="BX146" s="68" t="str">
        <f>_xlfn.IFNA(VLOOKUP($BR146,[15]Master!$C$4:$J$13,7,FALSE),"-")</f>
        <v>-</v>
      </c>
      <c r="BY146" s="68" t="str">
        <f>_xlfn.IFNA(VLOOKUP($BR146,[15]Master!$C$4:$J$13,8,FALSE),"-")</f>
        <v>-</v>
      </c>
      <c r="BZ146" s="63">
        <f t="shared" si="4"/>
        <v>0</v>
      </c>
    </row>
    <row r="147" spans="2:78" ht="15.75">
      <c r="B147" s="97" t="s">
        <v>345</v>
      </c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9"/>
      <c r="P147" s="97" t="s">
        <v>346</v>
      </c>
      <c r="Q147" s="98"/>
      <c r="R147" s="98"/>
      <c r="S147" s="98"/>
      <c r="T147" s="98"/>
      <c r="U147" s="98"/>
      <c r="V147" s="98"/>
      <c r="W147" s="98"/>
      <c r="X147" s="99"/>
      <c r="Y147" s="97"/>
      <c r="Z147" s="98"/>
      <c r="AA147" s="99"/>
      <c r="AB147" s="97"/>
      <c r="AC147" s="98"/>
      <c r="AD147" s="98"/>
      <c r="AE147" s="98"/>
      <c r="AF147" s="98"/>
      <c r="AG147" s="98"/>
      <c r="AH147" s="98"/>
      <c r="AI147" s="98"/>
      <c r="AJ147" s="99"/>
      <c r="AK147" s="97"/>
      <c r="AL147" s="98"/>
      <c r="AM147" s="99"/>
      <c r="AN147" s="97"/>
      <c r="AO147" s="98"/>
      <c r="AP147" s="98"/>
      <c r="AQ147" s="98"/>
      <c r="AR147" s="98"/>
      <c r="AS147" s="98"/>
      <c r="AT147" s="98"/>
      <c r="AU147" s="98"/>
      <c r="AV147" s="99"/>
      <c r="AW147" s="97"/>
      <c r="AX147" s="98"/>
      <c r="AY147" s="99"/>
      <c r="AZ147" s="97"/>
      <c r="BA147" s="98"/>
      <c r="BB147" s="98"/>
      <c r="BC147" s="98"/>
      <c r="BD147" s="98"/>
      <c r="BE147" s="98"/>
      <c r="BF147" s="98"/>
      <c r="BG147" s="98"/>
      <c r="BH147" s="98"/>
      <c r="BI147" s="98"/>
      <c r="BJ147" s="99"/>
      <c r="BM147" s="45">
        <v>3</v>
      </c>
      <c r="BR147" s="40" t="s">
        <v>204</v>
      </c>
      <c r="BS147" s="36">
        <f>_xlfn.IFNA(VLOOKUP($BR147,[15]Master!$C$4:$J$13,2,FALSE),"-")</f>
        <v>0.52500000000000002</v>
      </c>
      <c r="BT147" s="36">
        <f>_xlfn.IFNA(VLOOKUP($BR147,[15]Master!$C$4:$J$13,3,FALSE),"-")</f>
        <v>1.75</v>
      </c>
      <c r="BU147" s="36">
        <f>_xlfn.IFNA(VLOOKUP($BR147,[15]Master!$C$4:$J$13,4,FALSE),"-")</f>
        <v>0.35000000000000003</v>
      </c>
      <c r="BV147" s="36">
        <f>_xlfn.IFNA(VLOOKUP($BR147,[15]Master!$C$4:$J$13,5,FALSE),"-")</f>
        <v>0.17500000000000002</v>
      </c>
      <c r="BW147" s="36">
        <f>_xlfn.IFNA(VLOOKUP($BR147,[15]Master!$C$4:$J$13,6,FALSE),"-")</f>
        <v>0.35000000000000003</v>
      </c>
      <c r="BX147" s="36">
        <f>_xlfn.IFNA(VLOOKUP($BR147,[15]Master!$C$4:$J$13,7,FALSE),"-")</f>
        <v>0.17500000000000002</v>
      </c>
      <c r="BY147" s="36">
        <f>_xlfn.IFNA(VLOOKUP($BR147,[15]Master!$C$4:$J$13,8,FALSE),"-")</f>
        <v>0.35000000000000003</v>
      </c>
      <c r="BZ147" s="35">
        <f t="shared" si="4"/>
        <v>3.6749999999999998</v>
      </c>
    </row>
    <row r="148" spans="2:78" ht="15.75">
      <c r="B148" s="97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9"/>
      <c r="P148" s="97" t="s">
        <v>347</v>
      </c>
      <c r="Q148" s="98"/>
      <c r="R148" s="98"/>
      <c r="S148" s="98"/>
      <c r="T148" s="98"/>
      <c r="U148" s="98"/>
      <c r="V148" s="98"/>
      <c r="W148" s="98"/>
      <c r="X148" s="99"/>
      <c r="Y148" s="97"/>
      <c r="Z148" s="98"/>
      <c r="AA148" s="99"/>
      <c r="AB148" s="97"/>
      <c r="AC148" s="98"/>
      <c r="AD148" s="98"/>
      <c r="AE148" s="98"/>
      <c r="AF148" s="98"/>
      <c r="AG148" s="98"/>
      <c r="AH148" s="98"/>
      <c r="AI148" s="98"/>
      <c r="AJ148" s="99"/>
      <c r="AK148" s="97"/>
      <c r="AL148" s="98"/>
      <c r="AM148" s="99"/>
      <c r="AN148" s="97"/>
      <c r="AO148" s="98"/>
      <c r="AP148" s="98"/>
      <c r="AQ148" s="98"/>
      <c r="AR148" s="98"/>
      <c r="AS148" s="98"/>
      <c r="AT148" s="98"/>
      <c r="AU148" s="98"/>
      <c r="AV148" s="99"/>
      <c r="AW148" s="97"/>
      <c r="AX148" s="98"/>
      <c r="AY148" s="99"/>
      <c r="AZ148" s="97"/>
      <c r="BA148" s="98"/>
      <c r="BB148" s="98"/>
      <c r="BC148" s="98"/>
      <c r="BD148" s="98"/>
      <c r="BE148" s="98"/>
      <c r="BF148" s="98"/>
      <c r="BG148" s="98"/>
      <c r="BH148" s="98"/>
      <c r="BI148" s="98"/>
      <c r="BJ148" s="99"/>
      <c r="BM148" s="58"/>
      <c r="BN148" s="58"/>
      <c r="BO148" s="58"/>
      <c r="BP148" s="59"/>
      <c r="BQ148" s="60"/>
      <c r="BR148" s="67"/>
      <c r="BS148" s="68" t="str">
        <f>_xlfn.IFNA(VLOOKUP($BR148,[15]Master!$C$4:$J$13,2,FALSE),"-")</f>
        <v>-</v>
      </c>
      <c r="BT148" s="68" t="str">
        <f>_xlfn.IFNA(VLOOKUP($BR148,[15]Master!$C$4:$J$13,3,FALSE),"-")</f>
        <v>-</v>
      </c>
      <c r="BU148" s="68" t="str">
        <f>_xlfn.IFNA(VLOOKUP($BR148,[15]Master!$C$4:$J$13,4,FALSE),"-")</f>
        <v>-</v>
      </c>
      <c r="BV148" s="68" t="str">
        <f>_xlfn.IFNA(VLOOKUP($BR148,[15]Master!$C$4:$J$13,5,FALSE),"-")</f>
        <v>-</v>
      </c>
      <c r="BW148" s="68" t="str">
        <f>_xlfn.IFNA(VLOOKUP($BR148,[15]Master!$C$4:$J$13,6,FALSE),"-")</f>
        <v>-</v>
      </c>
      <c r="BX148" s="68" t="str">
        <f>_xlfn.IFNA(VLOOKUP($BR148,[15]Master!$C$4:$J$13,7,FALSE),"-")</f>
        <v>-</v>
      </c>
      <c r="BY148" s="68" t="str">
        <f>_xlfn.IFNA(VLOOKUP($BR148,[15]Master!$C$4:$J$13,8,FALSE),"-")</f>
        <v>-</v>
      </c>
      <c r="BZ148" s="63">
        <f t="shared" si="4"/>
        <v>0</v>
      </c>
    </row>
    <row r="149" spans="2:78" ht="15.75">
      <c r="B149" s="97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9"/>
      <c r="P149" s="97" t="s">
        <v>348</v>
      </c>
      <c r="Q149" s="98"/>
      <c r="R149" s="98"/>
      <c r="S149" s="98"/>
      <c r="T149" s="98"/>
      <c r="U149" s="98"/>
      <c r="V149" s="98"/>
      <c r="W149" s="98"/>
      <c r="X149" s="99"/>
      <c r="Y149" s="97"/>
      <c r="Z149" s="98"/>
      <c r="AA149" s="99"/>
      <c r="AB149" s="97"/>
      <c r="AC149" s="98"/>
      <c r="AD149" s="98"/>
      <c r="AE149" s="98"/>
      <c r="AF149" s="98"/>
      <c r="AG149" s="98"/>
      <c r="AH149" s="98"/>
      <c r="AI149" s="98"/>
      <c r="AJ149" s="99"/>
      <c r="AK149" s="97"/>
      <c r="AL149" s="98"/>
      <c r="AM149" s="99"/>
      <c r="AN149" s="97"/>
      <c r="AO149" s="98"/>
      <c r="AP149" s="98"/>
      <c r="AQ149" s="98"/>
      <c r="AR149" s="98"/>
      <c r="AS149" s="98"/>
      <c r="AT149" s="98"/>
      <c r="AU149" s="98"/>
      <c r="AV149" s="99"/>
      <c r="AW149" s="97"/>
      <c r="AX149" s="98"/>
      <c r="AY149" s="99"/>
      <c r="AZ149" s="97"/>
      <c r="BA149" s="98"/>
      <c r="BB149" s="98"/>
      <c r="BC149" s="98"/>
      <c r="BD149" s="98"/>
      <c r="BE149" s="98"/>
      <c r="BF149" s="98"/>
      <c r="BG149" s="98"/>
      <c r="BH149" s="98"/>
      <c r="BI149" s="98"/>
      <c r="BJ149" s="99"/>
      <c r="BM149" s="58"/>
      <c r="BN149" s="58"/>
      <c r="BO149" s="58"/>
      <c r="BP149" s="59"/>
      <c r="BQ149" s="60"/>
      <c r="BR149" s="67"/>
      <c r="BS149" s="68" t="str">
        <f>_xlfn.IFNA(VLOOKUP($BR149,[15]Master!$C$4:$J$13,2,FALSE),"-")</f>
        <v>-</v>
      </c>
      <c r="BT149" s="68" t="str">
        <f>_xlfn.IFNA(VLOOKUP($BR149,[15]Master!$C$4:$J$13,3,FALSE),"-")</f>
        <v>-</v>
      </c>
      <c r="BU149" s="68" t="str">
        <f>_xlfn.IFNA(VLOOKUP($BR149,[15]Master!$C$4:$J$13,4,FALSE),"-")</f>
        <v>-</v>
      </c>
      <c r="BV149" s="68" t="str">
        <f>_xlfn.IFNA(VLOOKUP($BR149,[15]Master!$C$4:$J$13,5,FALSE),"-")</f>
        <v>-</v>
      </c>
      <c r="BW149" s="68" t="str">
        <f>_xlfn.IFNA(VLOOKUP($BR149,[15]Master!$C$4:$J$13,6,FALSE),"-")</f>
        <v>-</v>
      </c>
      <c r="BX149" s="68" t="str">
        <f>_xlfn.IFNA(VLOOKUP($BR149,[15]Master!$C$4:$J$13,7,FALSE),"-")</f>
        <v>-</v>
      </c>
      <c r="BY149" s="68" t="str">
        <f>_xlfn.IFNA(VLOOKUP($BR149,[15]Master!$C$4:$J$13,8,FALSE),"-")</f>
        <v>-</v>
      </c>
      <c r="BZ149" s="63">
        <f t="shared" si="4"/>
        <v>0</v>
      </c>
    </row>
    <row r="150" spans="2:78" ht="30">
      <c r="B150" s="106" t="s">
        <v>349</v>
      </c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1"/>
      <c r="P150" s="97" t="s">
        <v>350</v>
      </c>
      <c r="Q150" s="98"/>
      <c r="R150" s="98"/>
      <c r="S150" s="98"/>
      <c r="T150" s="98"/>
      <c r="U150" s="98"/>
      <c r="V150" s="98"/>
      <c r="W150" s="98"/>
      <c r="X150" s="99"/>
      <c r="Y150" s="97"/>
      <c r="Z150" s="98"/>
      <c r="AA150" s="99"/>
      <c r="AB150" s="97"/>
      <c r="AC150" s="98"/>
      <c r="AD150" s="98"/>
      <c r="AE150" s="98"/>
      <c r="AF150" s="98"/>
      <c r="AG150" s="98"/>
      <c r="AH150" s="98"/>
      <c r="AI150" s="98"/>
      <c r="AJ150" s="99"/>
      <c r="AK150" s="97"/>
      <c r="AL150" s="98"/>
      <c r="AM150" s="99"/>
      <c r="AN150" s="97"/>
      <c r="AO150" s="98"/>
      <c r="AP150" s="98"/>
      <c r="AQ150" s="98"/>
      <c r="AR150" s="98"/>
      <c r="AS150" s="98"/>
      <c r="AT150" s="98"/>
      <c r="AU150" s="98"/>
      <c r="AV150" s="99"/>
      <c r="AW150" s="97"/>
      <c r="AX150" s="98"/>
      <c r="AY150" s="99"/>
      <c r="AZ150" s="97"/>
      <c r="BA150" s="98"/>
      <c r="BB150" s="98"/>
      <c r="BC150" s="98"/>
      <c r="BD150" s="98"/>
      <c r="BE150" s="98"/>
      <c r="BF150" s="98"/>
      <c r="BG150" s="98"/>
      <c r="BH150" s="98"/>
      <c r="BI150" s="98"/>
      <c r="BJ150" s="99"/>
      <c r="BM150" s="45">
        <v>3</v>
      </c>
      <c r="BP150" s="47" t="s">
        <v>264</v>
      </c>
      <c r="BR150" s="40" t="s">
        <v>173</v>
      </c>
      <c r="BS150" s="36">
        <f>_xlfn.IFNA(VLOOKUP($BR150,[15]Master!$C$4:$J$13,2,FALSE),"-")</f>
        <v>0.75</v>
      </c>
      <c r="BT150" s="36">
        <f>_xlfn.IFNA(VLOOKUP($BR150,[15]Master!$C$4:$J$13,3,FALSE),"-")</f>
        <v>2.5</v>
      </c>
      <c r="BU150" s="36">
        <f>_xlfn.IFNA(VLOOKUP($BR150,[15]Master!$C$4:$J$13,4,FALSE),"-")</f>
        <v>0.5</v>
      </c>
      <c r="BV150" s="36">
        <f>_xlfn.IFNA(VLOOKUP($BR150,[15]Master!$C$4:$J$13,5,FALSE),"-")</f>
        <v>0.25</v>
      </c>
      <c r="BW150" s="36">
        <f>_xlfn.IFNA(VLOOKUP($BR150,[15]Master!$C$4:$J$13,6,FALSE),"-")</f>
        <v>0.5</v>
      </c>
      <c r="BX150" s="36">
        <f>_xlfn.IFNA(VLOOKUP($BR150,[15]Master!$C$4:$J$13,7,FALSE),"-")</f>
        <v>0.25</v>
      </c>
      <c r="BY150" s="36">
        <f>_xlfn.IFNA(VLOOKUP($BR150,[15]Master!$C$4:$J$13,8,FALSE),"-")</f>
        <v>0.5</v>
      </c>
      <c r="BZ150" s="35">
        <f t="shared" si="4"/>
        <v>5.25</v>
      </c>
    </row>
    <row r="151" spans="2:78" ht="15.75">
      <c r="B151" s="97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9"/>
      <c r="P151" s="97" t="s">
        <v>351</v>
      </c>
      <c r="Q151" s="98"/>
      <c r="R151" s="98"/>
      <c r="S151" s="98"/>
      <c r="T151" s="98"/>
      <c r="U151" s="98"/>
      <c r="V151" s="98"/>
      <c r="W151" s="98"/>
      <c r="X151" s="99"/>
      <c r="Y151" s="97"/>
      <c r="Z151" s="98"/>
      <c r="AA151" s="99"/>
      <c r="AB151" s="97"/>
      <c r="AC151" s="98"/>
      <c r="AD151" s="98"/>
      <c r="AE151" s="98"/>
      <c r="AF151" s="98"/>
      <c r="AG151" s="98"/>
      <c r="AH151" s="98"/>
      <c r="AI151" s="98"/>
      <c r="AJ151" s="99"/>
      <c r="AK151" s="97"/>
      <c r="AL151" s="98"/>
      <c r="AM151" s="99"/>
      <c r="AN151" s="97"/>
      <c r="AO151" s="98"/>
      <c r="AP151" s="98"/>
      <c r="AQ151" s="98"/>
      <c r="AR151" s="98"/>
      <c r="AS151" s="98"/>
      <c r="AT151" s="98"/>
      <c r="AU151" s="98"/>
      <c r="AV151" s="99"/>
      <c r="AW151" s="97"/>
      <c r="AX151" s="98"/>
      <c r="AY151" s="99"/>
      <c r="AZ151" s="97"/>
      <c r="BA151" s="98"/>
      <c r="BB151" s="98"/>
      <c r="BC151" s="98"/>
      <c r="BD151" s="98"/>
      <c r="BE151" s="98"/>
      <c r="BF151" s="98"/>
      <c r="BG151" s="98"/>
      <c r="BH151" s="98"/>
      <c r="BI151" s="98"/>
      <c r="BJ151" s="99"/>
      <c r="BM151" s="58"/>
      <c r="BN151" s="58"/>
      <c r="BO151" s="58"/>
      <c r="BP151" s="59"/>
      <c r="BQ151" s="60"/>
      <c r="BR151" s="67"/>
      <c r="BS151" s="68" t="str">
        <f>_xlfn.IFNA(VLOOKUP($BR151,[15]Master!$C$4:$J$13,2,FALSE),"-")</f>
        <v>-</v>
      </c>
      <c r="BT151" s="68" t="str">
        <f>_xlfn.IFNA(VLOOKUP($BR151,[15]Master!$C$4:$J$13,3,FALSE),"-")</f>
        <v>-</v>
      </c>
      <c r="BU151" s="68" t="str">
        <f>_xlfn.IFNA(VLOOKUP($BR151,[15]Master!$C$4:$J$13,4,FALSE),"-")</f>
        <v>-</v>
      </c>
      <c r="BV151" s="68" t="str">
        <f>_xlfn.IFNA(VLOOKUP($BR151,[15]Master!$C$4:$J$13,5,FALSE),"-")</f>
        <v>-</v>
      </c>
      <c r="BW151" s="68" t="str">
        <f>_xlfn.IFNA(VLOOKUP($BR151,[15]Master!$C$4:$J$13,6,FALSE),"-")</f>
        <v>-</v>
      </c>
      <c r="BX151" s="68" t="str">
        <f>_xlfn.IFNA(VLOOKUP($BR151,[15]Master!$C$4:$J$13,7,FALSE),"-")</f>
        <v>-</v>
      </c>
      <c r="BY151" s="68" t="str">
        <f>_xlfn.IFNA(VLOOKUP($BR151,[15]Master!$C$4:$J$13,8,FALSE),"-")</f>
        <v>-</v>
      </c>
      <c r="BZ151" s="63">
        <f t="shared" si="4"/>
        <v>0</v>
      </c>
    </row>
    <row r="152" spans="2:78" ht="15.75">
      <c r="B152" s="97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9"/>
      <c r="P152" s="97" t="s">
        <v>352</v>
      </c>
      <c r="Q152" s="98"/>
      <c r="R152" s="98"/>
      <c r="S152" s="98"/>
      <c r="T152" s="98"/>
      <c r="U152" s="98"/>
      <c r="V152" s="98"/>
      <c r="W152" s="98"/>
      <c r="X152" s="99"/>
      <c r="Y152" s="97"/>
      <c r="Z152" s="98"/>
      <c r="AA152" s="99"/>
      <c r="AB152" s="97"/>
      <c r="AC152" s="98"/>
      <c r="AD152" s="98"/>
      <c r="AE152" s="98"/>
      <c r="AF152" s="98"/>
      <c r="AG152" s="98"/>
      <c r="AH152" s="98"/>
      <c r="AI152" s="98"/>
      <c r="AJ152" s="99"/>
      <c r="AK152" s="97"/>
      <c r="AL152" s="98"/>
      <c r="AM152" s="99"/>
      <c r="AN152" s="97"/>
      <c r="AO152" s="98"/>
      <c r="AP152" s="98"/>
      <c r="AQ152" s="98"/>
      <c r="AR152" s="98"/>
      <c r="AS152" s="98"/>
      <c r="AT152" s="98"/>
      <c r="AU152" s="98"/>
      <c r="AV152" s="99"/>
      <c r="AW152" s="97"/>
      <c r="AX152" s="98"/>
      <c r="AY152" s="99"/>
      <c r="AZ152" s="97"/>
      <c r="BA152" s="98"/>
      <c r="BB152" s="98"/>
      <c r="BC152" s="98"/>
      <c r="BD152" s="98"/>
      <c r="BE152" s="98"/>
      <c r="BF152" s="98"/>
      <c r="BG152" s="98"/>
      <c r="BH152" s="98"/>
      <c r="BI152" s="98"/>
      <c r="BJ152" s="99"/>
      <c r="BM152" s="58"/>
      <c r="BN152" s="58"/>
      <c r="BO152" s="58"/>
      <c r="BP152" s="59"/>
      <c r="BQ152" s="60"/>
      <c r="BR152" s="67"/>
      <c r="BS152" s="68" t="str">
        <f>_xlfn.IFNA(VLOOKUP($BR152,[15]Master!$C$4:$J$13,2,FALSE),"-")</f>
        <v>-</v>
      </c>
      <c r="BT152" s="68" t="str">
        <f>_xlfn.IFNA(VLOOKUP($BR152,[15]Master!$C$4:$J$13,3,FALSE),"-")</f>
        <v>-</v>
      </c>
      <c r="BU152" s="68" t="str">
        <f>_xlfn.IFNA(VLOOKUP($BR152,[15]Master!$C$4:$J$13,4,FALSE),"-")</f>
        <v>-</v>
      </c>
      <c r="BV152" s="68" t="str">
        <f>_xlfn.IFNA(VLOOKUP($BR152,[15]Master!$C$4:$J$13,5,FALSE),"-")</f>
        <v>-</v>
      </c>
      <c r="BW152" s="68" t="str">
        <f>_xlfn.IFNA(VLOOKUP($BR152,[15]Master!$C$4:$J$13,6,FALSE),"-")</f>
        <v>-</v>
      </c>
      <c r="BX152" s="68" t="str">
        <f>_xlfn.IFNA(VLOOKUP($BR152,[15]Master!$C$4:$J$13,7,FALSE),"-")</f>
        <v>-</v>
      </c>
      <c r="BY152" s="68" t="str">
        <f>_xlfn.IFNA(VLOOKUP($BR152,[15]Master!$C$4:$J$13,8,FALSE),"-")</f>
        <v>-</v>
      </c>
      <c r="BZ152" s="63">
        <f t="shared" si="4"/>
        <v>0</v>
      </c>
    </row>
    <row r="153" spans="2:78" ht="15.75">
      <c r="B153" s="97" t="s">
        <v>353</v>
      </c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9"/>
      <c r="P153" s="97" t="s">
        <v>354</v>
      </c>
      <c r="Q153" s="98"/>
      <c r="R153" s="98"/>
      <c r="S153" s="98"/>
      <c r="T153" s="98"/>
      <c r="U153" s="98"/>
      <c r="V153" s="98"/>
      <c r="W153" s="98"/>
      <c r="X153" s="99"/>
      <c r="Y153" s="97"/>
      <c r="Z153" s="98"/>
      <c r="AA153" s="99"/>
      <c r="AB153" s="97"/>
      <c r="AC153" s="98"/>
      <c r="AD153" s="98"/>
      <c r="AE153" s="98"/>
      <c r="AF153" s="98"/>
      <c r="AG153" s="98"/>
      <c r="AH153" s="98"/>
      <c r="AI153" s="98"/>
      <c r="AJ153" s="99"/>
      <c r="AK153" s="97"/>
      <c r="AL153" s="98"/>
      <c r="AM153" s="99"/>
      <c r="AN153" s="97"/>
      <c r="AO153" s="98"/>
      <c r="AP153" s="98"/>
      <c r="AQ153" s="98"/>
      <c r="AR153" s="98"/>
      <c r="AS153" s="98"/>
      <c r="AT153" s="98"/>
      <c r="AU153" s="98"/>
      <c r="AV153" s="99"/>
      <c r="AW153" s="97"/>
      <c r="AX153" s="98"/>
      <c r="AY153" s="99"/>
      <c r="AZ153" s="97"/>
      <c r="BA153" s="98"/>
      <c r="BB153" s="98"/>
      <c r="BC153" s="98"/>
      <c r="BD153" s="98"/>
      <c r="BE153" s="98"/>
      <c r="BF153" s="98"/>
      <c r="BG153" s="98"/>
      <c r="BH153" s="98"/>
      <c r="BI153" s="98"/>
      <c r="BJ153" s="99"/>
      <c r="BM153" s="45">
        <v>1</v>
      </c>
      <c r="BR153" s="40" t="s">
        <v>162</v>
      </c>
      <c r="BS153" s="36">
        <f>_xlfn.IFNA(VLOOKUP($BR153,[15]Master!$C$4:$J$13,2,FALSE),"-")</f>
        <v>0.15</v>
      </c>
      <c r="BT153" s="36">
        <f>_xlfn.IFNA(VLOOKUP($BR153,[15]Master!$C$4:$J$13,3,FALSE),"-")</f>
        <v>0.5</v>
      </c>
      <c r="BU153" s="36">
        <f>_xlfn.IFNA(VLOOKUP($BR153,[15]Master!$C$4:$J$13,4,FALSE),"-")</f>
        <v>0.1</v>
      </c>
      <c r="BV153" s="36">
        <f>_xlfn.IFNA(VLOOKUP($BR153,[15]Master!$C$4:$J$13,5,FALSE),"-")</f>
        <v>0.05</v>
      </c>
      <c r="BW153" s="36">
        <f>_xlfn.IFNA(VLOOKUP($BR153,[15]Master!$C$4:$J$13,6,FALSE),"-")</f>
        <v>0.1</v>
      </c>
      <c r="BX153" s="36">
        <f>_xlfn.IFNA(VLOOKUP($BR153,[15]Master!$C$4:$J$13,7,FALSE),"-")</f>
        <v>0.05</v>
      </c>
      <c r="BY153" s="36">
        <f>_xlfn.IFNA(VLOOKUP($BR153,[15]Master!$C$4:$J$13,8,FALSE),"-")</f>
        <v>0.1</v>
      </c>
      <c r="BZ153" s="35">
        <f t="shared" si="4"/>
        <v>1.05</v>
      </c>
    </row>
    <row r="154" spans="2:78" ht="30">
      <c r="B154" s="106" t="s">
        <v>355</v>
      </c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1"/>
      <c r="P154" s="97" t="s">
        <v>356</v>
      </c>
      <c r="Q154" s="98"/>
      <c r="R154" s="98"/>
      <c r="S154" s="98"/>
      <c r="T154" s="98"/>
      <c r="U154" s="98"/>
      <c r="V154" s="98"/>
      <c r="W154" s="98"/>
      <c r="X154" s="99"/>
      <c r="Y154" s="97"/>
      <c r="Z154" s="98"/>
      <c r="AA154" s="99"/>
      <c r="AB154" s="97"/>
      <c r="AC154" s="98"/>
      <c r="AD154" s="98"/>
      <c r="AE154" s="98"/>
      <c r="AF154" s="98"/>
      <c r="AG154" s="98"/>
      <c r="AH154" s="98"/>
      <c r="AI154" s="98"/>
      <c r="AJ154" s="99"/>
      <c r="AK154" s="97"/>
      <c r="AL154" s="98"/>
      <c r="AM154" s="99"/>
      <c r="AN154" s="97"/>
      <c r="AO154" s="98"/>
      <c r="AP154" s="98"/>
      <c r="AQ154" s="98"/>
      <c r="AR154" s="98"/>
      <c r="AS154" s="98"/>
      <c r="AT154" s="98"/>
      <c r="AU154" s="98"/>
      <c r="AV154" s="99"/>
      <c r="AW154" s="97"/>
      <c r="AX154" s="98"/>
      <c r="AY154" s="99"/>
      <c r="AZ154" s="97"/>
      <c r="BA154" s="98"/>
      <c r="BB154" s="98"/>
      <c r="BC154" s="98"/>
      <c r="BD154" s="98"/>
      <c r="BE154" s="98"/>
      <c r="BF154" s="98"/>
      <c r="BG154" s="98"/>
      <c r="BH154" s="98"/>
      <c r="BI154" s="98"/>
      <c r="BJ154" s="99"/>
      <c r="BM154" s="45">
        <v>2</v>
      </c>
      <c r="BP154" s="47" t="s">
        <v>264</v>
      </c>
      <c r="BR154" s="40" t="s">
        <v>173</v>
      </c>
      <c r="BS154" s="36">
        <f>_xlfn.IFNA(VLOOKUP($BR154,[15]Master!$C$4:$J$13,2,FALSE),"-")</f>
        <v>0.75</v>
      </c>
      <c r="BT154" s="36">
        <f>_xlfn.IFNA(VLOOKUP($BR154,[15]Master!$C$4:$J$13,3,FALSE),"-")</f>
        <v>2.5</v>
      </c>
      <c r="BU154" s="36">
        <f>_xlfn.IFNA(VLOOKUP($BR154,[15]Master!$C$4:$J$13,4,FALSE),"-")</f>
        <v>0.5</v>
      </c>
      <c r="BV154" s="36">
        <f>_xlfn.IFNA(VLOOKUP($BR154,[15]Master!$C$4:$J$13,5,FALSE),"-")</f>
        <v>0.25</v>
      </c>
      <c r="BW154" s="36">
        <f>_xlfn.IFNA(VLOOKUP($BR154,[15]Master!$C$4:$J$13,6,FALSE),"-")</f>
        <v>0.5</v>
      </c>
      <c r="BX154" s="36">
        <f>_xlfn.IFNA(VLOOKUP($BR154,[15]Master!$C$4:$J$13,7,FALSE),"-")</f>
        <v>0.25</v>
      </c>
      <c r="BY154" s="36">
        <f>_xlfn.IFNA(VLOOKUP($BR154,[15]Master!$C$4:$J$13,8,FALSE),"-")</f>
        <v>0.5</v>
      </c>
      <c r="BZ154" s="35">
        <f t="shared" si="4"/>
        <v>5.25</v>
      </c>
    </row>
    <row r="155" spans="2:78" ht="15.75">
      <c r="B155" s="97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9"/>
      <c r="P155" s="97" t="s">
        <v>357</v>
      </c>
      <c r="Q155" s="98"/>
      <c r="R155" s="98"/>
      <c r="S155" s="98"/>
      <c r="T155" s="98"/>
      <c r="U155" s="98"/>
      <c r="V155" s="98"/>
      <c r="W155" s="98"/>
      <c r="X155" s="99"/>
      <c r="Y155" s="97"/>
      <c r="Z155" s="98"/>
      <c r="AA155" s="99"/>
      <c r="AB155" s="97"/>
      <c r="AC155" s="98"/>
      <c r="AD155" s="98"/>
      <c r="AE155" s="98"/>
      <c r="AF155" s="98"/>
      <c r="AG155" s="98"/>
      <c r="AH155" s="98"/>
      <c r="AI155" s="98"/>
      <c r="AJ155" s="99"/>
      <c r="AK155" s="97"/>
      <c r="AL155" s="98"/>
      <c r="AM155" s="99"/>
      <c r="AN155" s="97"/>
      <c r="AO155" s="98"/>
      <c r="AP155" s="98"/>
      <c r="AQ155" s="98"/>
      <c r="AR155" s="98"/>
      <c r="AS155" s="98"/>
      <c r="AT155" s="98"/>
      <c r="AU155" s="98"/>
      <c r="AV155" s="99"/>
      <c r="AW155" s="97"/>
      <c r="AX155" s="98"/>
      <c r="AY155" s="99"/>
      <c r="AZ155" s="97"/>
      <c r="BA155" s="98"/>
      <c r="BB155" s="98"/>
      <c r="BC155" s="98"/>
      <c r="BD155" s="98"/>
      <c r="BE155" s="98"/>
      <c r="BF155" s="98"/>
      <c r="BG155" s="98"/>
      <c r="BH155" s="98"/>
      <c r="BI155" s="98"/>
      <c r="BJ155" s="99"/>
      <c r="BM155" s="58"/>
      <c r="BN155" s="58"/>
      <c r="BO155" s="58"/>
      <c r="BP155" s="59"/>
      <c r="BQ155" s="60"/>
      <c r="BR155" s="67"/>
      <c r="BS155" s="68" t="str">
        <f>_xlfn.IFNA(VLOOKUP($BR155,[15]Master!$C$4:$J$13,2,FALSE),"-")</f>
        <v>-</v>
      </c>
      <c r="BT155" s="68" t="str">
        <f>_xlfn.IFNA(VLOOKUP($BR155,[15]Master!$C$4:$J$13,3,FALSE),"-")</f>
        <v>-</v>
      </c>
      <c r="BU155" s="68" t="str">
        <f>_xlfn.IFNA(VLOOKUP($BR155,[15]Master!$C$4:$J$13,4,FALSE),"-")</f>
        <v>-</v>
      </c>
      <c r="BV155" s="68" t="str">
        <f>_xlfn.IFNA(VLOOKUP($BR155,[15]Master!$C$4:$J$13,5,FALSE),"-")</f>
        <v>-</v>
      </c>
      <c r="BW155" s="68" t="str">
        <f>_xlfn.IFNA(VLOOKUP($BR155,[15]Master!$C$4:$J$13,6,FALSE),"-")</f>
        <v>-</v>
      </c>
      <c r="BX155" s="68" t="str">
        <f>_xlfn.IFNA(VLOOKUP($BR155,[15]Master!$C$4:$J$13,7,FALSE),"-")</f>
        <v>-</v>
      </c>
      <c r="BY155" s="68" t="str">
        <f>_xlfn.IFNA(VLOOKUP($BR155,[15]Master!$C$4:$J$13,8,FALSE),"-")</f>
        <v>-</v>
      </c>
      <c r="BZ155" s="63">
        <f t="shared" si="4"/>
        <v>0</v>
      </c>
    </row>
    <row r="156" spans="2:78" ht="15.75">
      <c r="B156" s="97" t="s">
        <v>358</v>
      </c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9"/>
      <c r="P156" s="97" t="s">
        <v>359</v>
      </c>
      <c r="Q156" s="98"/>
      <c r="R156" s="98"/>
      <c r="S156" s="98"/>
      <c r="T156" s="98"/>
      <c r="U156" s="98"/>
      <c r="V156" s="98"/>
      <c r="W156" s="98"/>
      <c r="X156" s="99"/>
      <c r="Y156" s="97"/>
      <c r="Z156" s="98"/>
      <c r="AA156" s="99"/>
      <c r="AB156" s="97"/>
      <c r="AC156" s="98"/>
      <c r="AD156" s="98"/>
      <c r="AE156" s="98"/>
      <c r="AF156" s="98"/>
      <c r="AG156" s="98"/>
      <c r="AH156" s="98"/>
      <c r="AI156" s="98"/>
      <c r="AJ156" s="99"/>
      <c r="AK156" s="97"/>
      <c r="AL156" s="98"/>
      <c r="AM156" s="99"/>
      <c r="AN156" s="97"/>
      <c r="AO156" s="98"/>
      <c r="AP156" s="98"/>
      <c r="AQ156" s="98"/>
      <c r="AR156" s="98"/>
      <c r="AS156" s="98"/>
      <c r="AT156" s="98"/>
      <c r="AU156" s="98"/>
      <c r="AV156" s="99"/>
      <c r="AW156" s="97"/>
      <c r="AX156" s="98"/>
      <c r="AY156" s="99"/>
      <c r="AZ156" s="97"/>
      <c r="BA156" s="98"/>
      <c r="BB156" s="98"/>
      <c r="BC156" s="98"/>
      <c r="BD156" s="98"/>
      <c r="BE156" s="98"/>
      <c r="BF156" s="98"/>
      <c r="BG156" s="98"/>
      <c r="BH156" s="98"/>
      <c r="BI156" s="98"/>
      <c r="BJ156" s="99"/>
      <c r="BM156" s="45">
        <v>1</v>
      </c>
      <c r="BP156" s="47" t="s">
        <v>360</v>
      </c>
      <c r="BR156" s="40" t="s">
        <v>204</v>
      </c>
      <c r="BS156" s="36">
        <f>_xlfn.IFNA(VLOOKUP($BR156,[15]Master!$C$4:$J$13,2,FALSE),"-")</f>
        <v>0.52500000000000002</v>
      </c>
      <c r="BT156" s="36">
        <f>_xlfn.IFNA(VLOOKUP($BR156,[15]Master!$C$4:$J$13,3,FALSE),"-")</f>
        <v>1.75</v>
      </c>
      <c r="BU156" s="36">
        <f>_xlfn.IFNA(VLOOKUP($BR156,[15]Master!$C$4:$J$13,4,FALSE),"-")</f>
        <v>0.35000000000000003</v>
      </c>
      <c r="BV156" s="36">
        <f>_xlfn.IFNA(VLOOKUP($BR156,[15]Master!$C$4:$J$13,5,FALSE),"-")</f>
        <v>0.17500000000000002</v>
      </c>
      <c r="BW156" s="36">
        <f>_xlfn.IFNA(VLOOKUP($BR156,[15]Master!$C$4:$J$13,6,FALSE),"-")</f>
        <v>0.35000000000000003</v>
      </c>
      <c r="BX156" s="36">
        <f>_xlfn.IFNA(VLOOKUP($BR156,[15]Master!$C$4:$J$13,7,FALSE),"-")</f>
        <v>0.17500000000000002</v>
      </c>
      <c r="BY156" s="36">
        <f>_xlfn.IFNA(VLOOKUP($BR156,[15]Master!$C$4:$J$13,8,FALSE),"-")</f>
        <v>0.35000000000000003</v>
      </c>
      <c r="BZ156" s="35">
        <f t="shared" si="4"/>
        <v>3.6749999999999998</v>
      </c>
    </row>
    <row r="157" spans="2:78" ht="15.75">
      <c r="B157" s="97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9"/>
      <c r="P157" s="97" t="s">
        <v>361</v>
      </c>
      <c r="Q157" s="98"/>
      <c r="R157" s="98"/>
      <c r="S157" s="98"/>
      <c r="T157" s="98"/>
      <c r="U157" s="98"/>
      <c r="V157" s="98"/>
      <c r="W157" s="98"/>
      <c r="X157" s="99"/>
      <c r="Y157" s="97"/>
      <c r="Z157" s="98"/>
      <c r="AA157" s="99"/>
      <c r="AB157" s="97"/>
      <c r="AC157" s="98"/>
      <c r="AD157" s="98"/>
      <c r="AE157" s="98"/>
      <c r="AF157" s="98"/>
      <c r="AG157" s="98"/>
      <c r="AH157" s="98"/>
      <c r="AI157" s="98"/>
      <c r="AJ157" s="99"/>
      <c r="AK157" s="97"/>
      <c r="AL157" s="98"/>
      <c r="AM157" s="99"/>
      <c r="AN157" s="97"/>
      <c r="AO157" s="98"/>
      <c r="AP157" s="98"/>
      <c r="AQ157" s="98"/>
      <c r="AR157" s="98"/>
      <c r="AS157" s="98"/>
      <c r="AT157" s="98"/>
      <c r="AU157" s="98"/>
      <c r="AV157" s="99"/>
      <c r="AW157" s="97"/>
      <c r="AX157" s="98"/>
      <c r="AY157" s="99"/>
      <c r="AZ157" s="97"/>
      <c r="BA157" s="98"/>
      <c r="BB157" s="98"/>
      <c r="BC157" s="98"/>
      <c r="BD157" s="98"/>
      <c r="BE157" s="98"/>
      <c r="BF157" s="98"/>
      <c r="BG157" s="98"/>
      <c r="BH157" s="98"/>
      <c r="BI157" s="98"/>
      <c r="BJ157" s="99"/>
      <c r="BM157" s="58"/>
      <c r="BN157" s="58"/>
      <c r="BO157" s="58"/>
      <c r="BP157" s="59"/>
      <c r="BQ157" s="60"/>
      <c r="BR157" s="67"/>
      <c r="BS157" s="68" t="str">
        <f>_xlfn.IFNA(VLOOKUP($BR157,[15]Master!$C$4:$J$13,2,FALSE),"-")</f>
        <v>-</v>
      </c>
      <c r="BT157" s="68" t="str">
        <f>_xlfn.IFNA(VLOOKUP($BR157,[15]Master!$C$4:$J$13,3,FALSE),"-")</f>
        <v>-</v>
      </c>
      <c r="BU157" s="68" t="str">
        <f>_xlfn.IFNA(VLOOKUP($BR157,[15]Master!$C$4:$J$13,4,FALSE),"-")</f>
        <v>-</v>
      </c>
      <c r="BV157" s="68" t="str">
        <f>_xlfn.IFNA(VLOOKUP($BR157,[15]Master!$C$4:$J$13,5,FALSE),"-")</f>
        <v>-</v>
      </c>
      <c r="BW157" s="68" t="str">
        <f>_xlfn.IFNA(VLOOKUP($BR157,[15]Master!$C$4:$J$13,6,FALSE),"-")</f>
        <v>-</v>
      </c>
      <c r="BX157" s="68" t="str">
        <f>_xlfn.IFNA(VLOOKUP($BR157,[15]Master!$C$4:$J$13,7,FALSE),"-")</f>
        <v>-</v>
      </c>
      <c r="BY157" s="68" t="str">
        <f>_xlfn.IFNA(VLOOKUP($BR157,[15]Master!$C$4:$J$13,8,FALSE),"-")</f>
        <v>-</v>
      </c>
      <c r="BZ157" s="63">
        <f t="shared" si="4"/>
        <v>0</v>
      </c>
    </row>
    <row r="158" spans="2:78" ht="30">
      <c r="B158" s="97" t="s">
        <v>362</v>
      </c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9"/>
      <c r="P158" s="97" t="s">
        <v>363</v>
      </c>
      <c r="Q158" s="98"/>
      <c r="R158" s="98"/>
      <c r="S158" s="98"/>
      <c r="T158" s="98"/>
      <c r="U158" s="98"/>
      <c r="V158" s="98"/>
      <c r="W158" s="98"/>
      <c r="X158" s="99"/>
      <c r="Y158" s="97"/>
      <c r="Z158" s="98"/>
      <c r="AA158" s="99"/>
      <c r="AB158" s="97"/>
      <c r="AC158" s="98"/>
      <c r="AD158" s="98"/>
      <c r="AE158" s="98"/>
      <c r="AF158" s="98"/>
      <c r="AG158" s="98"/>
      <c r="AH158" s="98"/>
      <c r="AI158" s="98"/>
      <c r="AJ158" s="99"/>
      <c r="AK158" s="97"/>
      <c r="AL158" s="98"/>
      <c r="AM158" s="99"/>
      <c r="AN158" s="97"/>
      <c r="AO158" s="98"/>
      <c r="AP158" s="98"/>
      <c r="AQ158" s="98"/>
      <c r="AR158" s="98"/>
      <c r="AS158" s="98"/>
      <c r="AT158" s="98"/>
      <c r="AU158" s="98"/>
      <c r="AV158" s="99"/>
      <c r="AW158" s="97"/>
      <c r="AX158" s="98"/>
      <c r="AY158" s="99"/>
      <c r="AZ158" s="97"/>
      <c r="BA158" s="98"/>
      <c r="BB158" s="98"/>
      <c r="BC158" s="98"/>
      <c r="BD158" s="98"/>
      <c r="BE158" s="98"/>
      <c r="BF158" s="98"/>
      <c r="BG158" s="98"/>
      <c r="BH158" s="98"/>
      <c r="BI158" s="98"/>
      <c r="BJ158" s="99"/>
      <c r="BM158" s="45">
        <v>1</v>
      </c>
      <c r="BP158" s="47" t="s">
        <v>264</v>
      </c>
      <c r="BR158" s="40" t="s">
        <v>204</v>
      </c>
      <c r="BS158" s="36">
        <f>_xlfn.IFNA(VLOOKUP($BR158,[15]Master!$C$4:$J$13,2,FALSE),"-")</f>
        <v>0.52500000000000002</v>
      </c>
      <c r="BT158" s="36">
        <f>_xlfn.IFNA(VLOOKUP($BR158,[15]Master!$C$4:$J$13,3,FALSE),"-")</f>
        <v>1.75</v>
      </c>
      <c r="BU158" s="36">
        <f>_xlfn.IFNA(VLOOKUP($BR158,[15]Master!$C$4:$J$13,4,FALSE),"-")</f>
        <v>0.35000000000000003</v>
      </c>
      <c r="BV158" s="36">
        <f>_xlfn.IFNA(VLOOKUP($BR158,[15]Master!$C$4:$J$13,5,FALSE),"-")</f>
        <v>0.17500000000000002</v>
      </c>
      <c r="BW158" s="36">
        <f>_xlfn.IFNA(VLOOKUP($BR158,[15]Master!$C$4:$J$13,6,FALSE),"-")</f>
        <v>0.35000000000000003</v>
      </c>
      <c r="BX158" s="36">
        <f>_xlfn.IFNA(VLOOKUP($BR158,[15]Master!$C$4:$J$13,7,FALSE),"-")</f>
        <v>0.17500000000000002</v>
      </c>
      <c r="BY158" s="36">
        <f>_xlfn.IFNA(VLOOKUP($BR158,[15]Master!$C$4:$J$13,8,FALSE),"-")</f>
        <v>0.35000000000000003</v>
      </c>
      <c r="BZ158" s="35">
        <f t="shared" si="4"/>
        <v>3.6749999999999998</v>
      </c>
    </row>
    <row r="159" spans="2:78" ht="15.75">
      <c r="B159" s="106" t="s">
        <v>364</v>
      </c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1"/>
      <c r="P159" s="97" t="s">
        <v>365</v>
      </c>
      <c r="Q159" s="98"/>
      <c r="R159" s="98"/>
      <c r="S159" s="98"/>
      <c r="T159" s="98"/>
      <c r="U159" s="98"/>
      <c r="V159" s="98"/>
      <c r="W159" s="98"/>
      <c r="X159" s="99"/>
      <c r="Y159" s="97"/>
      <c r="Z159" s="98"/>
      <c r="AA159" s="99"/>
      <c r="AB159" s="97"/>
      <c r="AC159" s="98"/>
      <c r="AD159" s="98"/>
      <c r="AE159" s="98"/>
      <c r="AF159" s="98"/>
      <c r="AG159" s="98"/>
      <c r="AH159" s="98"/>
      <c r="AI159" s="98"/>
      <c r="AJ159" s="99"/>
      <c r="AK159" s="97"/>
      <c r="AL159" s="98"/>
      <c r="AM159" s="99"/>
      <c r="AN159" s="97"/>
      <c r="AO159" s="98"/>
      <c r="AP159" s="98"/>
      <c r="AQ159" s="98"/>
      <c r="AR159" s="98"/>
      <c r="AS159" s="98"/>
      <c r="AT159" s="98"/>
      <c r="AU159" s="98"/>
      <c r="AV159" s="99"/>
      <c r="AW159" s="97"/>
      <c r="AX159" s="98"/>
      <c r="AY159" s="99"/>
      <c r="AZ159" s="97"/>
      <c r="BA159" s="98"/>
      <c r="BB159" s="98"/>
      <c r="BC159" s="98"/>
      <c r="BD159" s="98"/>
      <c r="BE159" s="98"/>
      <c r="BF159" s="98"/>
      <c r="BG159" s="98"/>
      <c r="BH159" s="98"/>
      <c r="BI159" s="98"/>
      <c r="BJ159" s="99"/>
      <c r="BM159" s="45">
        <v>1</v>
      </c>
      <c r="BR159" s="40" t="s">
        <v>209</v>
      </c>
      <c r="BS159" s="36">
        <f>_xlfn.IFNA(VLOOKUP($BR159,[15]Master!$C$4:$J$13,2,FALSE),"-")</f>
        <v>0.3</v>
      </c>
      <c r="BT159" s="36">
        <f>_xlfn.IFNA(VLOOKUP($BR159,[15]Master!$C$4:$J$13,3,FALSE),"-")</f>
        <v>1</v>
      </c>
      <c r="BU159" s="36">
        <f>_xlfn.IFNA(VLOOKUP($BR159,[15]Master!$C$4:$J$13,4,FALSE),"-")</f>
        <v>0.2</v>
      </c>
      <c r="BV159" s="36">
        <f>_xlfn.IFNA(VLOOKUP($BR159,[15]Master!$C$4:$J$13,5,FALSE),"-")</f>
        <v>0.1</v>
      </c>
      <c r="BW159" s="36">
        <f>_xlfn.IFNA(VLOOKUP($BR159,[15]Master!$C$4:$J$13,6,FALSE),"-")</f>
        <v>0.2</v>
      </c>
      <c r="BX159" s="36">
        <f>_xlfn.IFNA(VLOOKUP($BR159,[15]Master!$C$4:$J$13,7,FALSE),"-")</f>
        <v>0.1</v>
      </c>
      <c r="BY159" s="36">
        <f>_xlfn.IFNA(VLOOKUP($BR159,[15]Master!$C$4:$J$13,8,FALSE),"-")</f>
        <v>0.2</v>
      </c>
      <c r="BZ159" s="35">
        <f t="shared" si="4"/>
        <v>2.1</v>
      </c>
    </row>
    <row r="160" spans="2:78" ht="15.75">
      <c r="B160" s="109" t="s">
        <v>366</v>
      </c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1"/>
      <c r="P160" s="103" t="s">
        <v>367</v>
      </c>
      <c r="Q160" s="128"/>
      <c r="R160" s="128"/>
      <c r="S160" s="128"/>
      <c r="T160" s="128"/>
      <c r="U160" s="128"/>
      <c r="V160" s="128"/>
      <c r="W160" s="128"/>
      <c r="X160" s="129"/>
      <c r="Y160" s="97"/>
      <c r="Z160" s="98"/>
      <c r="AA160" s="99"/>
      <c r="AB160" s="97"/>
      <c r="AC160" s="98"/>
      <c r="AD160" s="98"/>
      <c r="AE160" s="98"/>
      <c r="AF160" s="98"/>
      <c r="AG160" s="98"/>
      <c r="AH160" s="98"/>
      <c r="AI160" s="98"/>
      <c r="AJ160" s="99"/>
      <c r="AK160" s="97"/>
      <c r="AL160" s="98"/>
      <c r="AM160" s="99"/>
      <c r="AN160" s="97"/>
      <c r="AO160" s="98"/>
      <c r="AP160" s="98"/>
      <c r="AQ160" s="98"/>
      <c r="AR160" s="98"/>
      <c r="AS160" s="98"/>
      <c r="AT160" s="98"/>
      <c r="AU160" s="98"/>
      <c r="AV160" s="99"/>
      <c r="AW160" s="97"/>
      <c r="AX160" s="98"/>
      <c r="AY160" s="99"/>
      <c r="AZ160" s="97"/>
      <c r="BA160" s="98"/>
      <c r="BB160" s="98"/>
      <c r="BC160" s="98"/>
      <c r="BD160" s="98"/>
      <c r="BE160" s="98"/>
      <c r="BF160" s="98"/>
      <c r="BG160" s="98"/>
      <c r="BH160" s="98"/>
      <c r="BI160" s="98"/>
      <c r="BJ160" s="99"/>
      <c r="BM160" s="45">
        <v>3</v>
      </c>
      <c r="BR160" s="40" t="s">
        <v>204</v>
      </c>
      <c r="BS160" s="36">
        <f>_xlfn.IFNA(VLOOKUP($BR160,[15]Master!$C$4:$J$13,2,FALSE),"-")</f>
        <v>0.52500000000000002</v>
      </c>
      <c r="BT160" s="36">
        <f>_xlfn.IFNA(VLOOKUP($BR160,[15]Master!$C$4:$J$13,3,FALSE),"-")</f>
        <v>1.75</v>
      </c>
      <c r="BU160" s="36">
        <f>_xlfn.IFNA(VLOOKUP($BR160,[15]Master!$C$4:$J$13,4,FALSE),"-")</f>
        <v>0.35000000000000003</v>
      </c>
      <c r="BV160" s="36">
        <f>_xlfn.IFNA(VLOOKUP($BR160,[15]Master!$C$4:$J$13,5,FALSE),"-")</f>
        <v>0.17500000000000002</v>
      </c>
      <c r="BW160" s="36">
        <f>_xlfn.IFNA(VLOOKUP($BR160,[15]Master!$C$4:$J$13,6,FALSE),"-")</f>
        <v>0.35000000000000003</v>
      </c>
      <c r="BX160" s="36">
        <f>_xlfn.IFNA(VLOOKUP($BR160,[15]Master!$C$4:$J$13,7,FALSE),"-")</f>
        <v>0.17500000000000002</v>
      </c>
      <c r="BY160" s="36">
        <f>_xlfn.IFNA(VLOOKUP($BR160,[15]Master!$C$4:$J$13,8,FALSE),"-")</f>
        <v>0.35000000000000003</v>
      </c>
      <c r="BZ160" s="35">
        <f t="shared" si="4"/>
        <v>3.6749999999999998</v>
      </c>
    </row>
    <row r="161" spans="2:78" ht="15.75">
      <c r="B161" s="106" t="s">
        <v>368</v>
      </c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1"/>
      <c r="P161" s="97" t="s">
        <v>369</v>
      </c>
      <c r="Q161" s="98"/>
      <c r="R161" s="98"/>
      <c r="S161" s="98"/>
      <c r="T161" s="98"/>
      <c r="U161" s="98"/>
      <c r="V161" s="98"/>
      <c r="W161" s="98"/>
      <c r="X161" s="99"/>
      <c r="Y161" s="97"/>
      <c r="Z161" s="98"/>
      <c r="AA161" s="99"/>
      <c r="AB161" s="97"/>
      <c r="AC161" s="98"/>
      <c r="AD161" s="98"/>
      <c r="AE161" s="98"/>
      <c r="AF161" s="98"/>
      <c r="AG161" s="98"/>
      <c r="AH161" s="98"/>
      <c r="AI161" s="98"/>
      <c r="AJ161" s="99"/>
      <c r="AK161" s="97"/>
      <c r="AL161" s="98"/>
      <c r="AM161" s="99"/>
      <c r="AN161" s="97"/>
      <c r="AO161" s="98"/>
      <c r="AP161" s="98"/>
      <c r="AQ161" s="98"/>
      <c r="AR161" s="98"/>
      <c r="AS161" s="98"/>
      <c r="AT161" s="98"/>
      <c r="AU161" s="98"/>
      <c r="AV161" s="99"/>
      <c r="AW161" s="97"/>
      <c r="AX161" s="98"/>
      <c r="AY161" s="99"/>
      <c r="AZ161" s="97"/>
      <c r="BA161" s="98"/>
      <c r="BB161" s="98"/>
      <c r="BC161" s="98"/>
      <c r="BD161" s="98"/>
      <c r="BE161" s="98"/>
      <c r="BF161" s="98"/>
      <c r="BG161" s="98"/>
      <c r="BH161" s="98"/>
      <c r="BI161" s="98"/>
      <c r="BJ161" s="99"/>
      <c r="BM161" s="45">
        <v>5</v>
      </c>
      <c r="BR161" s="40" t="s">
        <v>173</v>
      </c>
      <c r="BS161" s="36">
        <f>_xlfn.IFNA(VLOOKUP($BR161,[15]Master!$C$4:$J$13,2,FALSE),"-")</f>
        <v>0.75</v>
      </c>
      <c r="BT161" s="36">
        <f>_xlfn.IFNA(VLOOKUP($BR161,[15]Master!$C$4:$J$13,3,FALSE),"-")</f>
        <v>2.5</v>
      </c>
      <c r="BU161" s="36">
        <f>_xlfn.IFNA(VLOOKUP($BR161,[15]Master!$C$4:$J$13,4,FALSE),"-")</f>
        <v>0.5</v>
      </c>
      <c r="BV161" s="36">
        <f>_xlfn.IFNA(VLOOKUP($BR161,[15]Master!$C$4:$J$13,5,FALSE),"-")</f>
        <v>0.25</v>
      </c>
      <c r="BW161" s="36">
        <f>_xlfn.IFNA(VLOOKUP($BR161,[15]Master!$C$4:$J$13,6,FALSE),"-")</f>
        <v>0.5</v>
      </c>
      <c r="BX161" s="36">
        <f>_xlfn.IFNA(VLOOKUP($BR161,[15]Master!$C$4:$J$13,7,FALSE),"-")</f>
        <v>0.25</v>
      </c>
      <c r="BY161" s="36">
        <f>_xlfn.IFNA(VLOOKUP($BR161,[15]Master!$C$4:$J$13,8,FALSE),"-")</f>
        <v>0.5</v>
      </c>
      <c r="BZ161" s="35">
        <f t="shared" si="4"/>
        <v>5.25</v>
      </c>
    </row>
    <row r="162" spans="2:78" s="22" customFormat="1" ht="15.75">
      <c r="B162" s="97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9"/>
      <c r="P162" s="97" t="s">
        <v>370</v>
      </c>
      <c r="Q162" s="98"/>
      <c r="R162" s="98"/>
      <c r="S162" s="98"/>
      <c r="T162" s="98"/>
      <c r="U162" s="98"/>
      <c r="V162" s="98"/>
      <c r="W162" s="98"/>
      <c r="X162" s="99"/>
      <c r="Y162" s="97"/>
      <c r="Z162" s="98"/>
      <c r="AA162" s="99"/>
      <c r="AB162" s="97"/>
      <c r="AC162" s="98"/>
      <c r="AD162" s="98"/>
      <c r="AE162" s="98"/>
      <c r="AF162" s="98"/>
      <c r="AG162" s="98"/>
      <c r="AH162" s="98"/>
      <c r="AI162" s="98"/>
      <c r="AJ162" s="99"/>
      <c r="AK162" s="97"/>
      <c r="AL162" s="98"/>
      <c r="AM162" s="99"/>
      <c r="AN162" s="97"/>
      <c r="AO162" s="98"/>
      <c r="AP162" s="98"/>
      <c r="AQ162" s="98"/>
      <c r="AR162" s="98"/>
      <c r="AS162" s="98"/>
      <c r="AT162" s="98"/>
      <c r="AU162" s="98"/>
      <c r="AV162" s="99"/>
      <c r="AW162" s="97"/>
      <c r="AX162" s="98"/>
      <c r="AY162" s="99"/>
      <c r="AZ162" s="97"/>
      <c r="BA162" s="98"/>
      <c r="BB162" s="98"/>
      <c r="BC162" s="98"/>
      <c r="BD162" s="98"/>
      <c r="BE162" s="98"/>
      <c r="BF162" s="98"/>
      <c r="BG162" s="98"/>
      <c r="BH162" s="98"/>
      <c r="BI162" s="98"/>
      <c r="BJ162" s="99"/>
      <c r="BM162" s="58"/>
      <c r="BN162" s="58"/>
      <c r="BO162" s="58"/>
      <c r="BP162" s="59"/>
      <c r="BQ162" s="60"/>
      <c r="BR162" s="67"/>
      <c r="BS162" s="68" t="str">
        <f>_xlfn.IFNA(VLOOKUP($BR162,[15]Master!$C$4:$J$13,2,FALSE),"-")</f>
        <v>-</v>
      </c>
      <c r="BT162" s="68" t="str">
        <f>_xlfn.IFNA(VLOOKUP($BR162,[15]Master!$C$4:$J$13,3,FALSE),"-")</f>
        <v>-</v>
      </c>
      <c r="BU162" s="68" t="str">
        <f>_xlfn.IFNA(VLOOKUP($BR162,[15]Master!$C$4:$J$13,4,FALSE),"-")</f>
        <v>-</v>
      </c>
      <c r="BV162" s="68" t="str">
        <f>_xlfn.IFNA(VLOOKUP($BR162,[15]Master!$C$4:$J$13,5,FALSE),"-")</f>
        <v>-</v>
      </c>
      <c r="BW162" s="68" t="str">
        <f>_xlfn.IFNA(VLOOKUP($BR162,[15]Master!$C$4:$J$13,6,FALSE),"-")</f>
        <v>-</v>
      </c>
      <c r="BX162" s="68" t="str">
        <f>_xlfn.IFNA(VLOOKUP($BR162,[15]Master!$C$4:$J$13,7,FALSE),"-")</f>
        <v>-</v>
      </c>
      <c r="BY162" s="68" t="str">
        <f>_xlfn.IFNA(VLOOKUP($BR162,[15]Master!$C$4:$J$13,8,FALSE),"-")</f>
        <v>-</v>
      </c>
      <c r="BZ162" s="63">
        <f t="shared" si="4"/>
        <v>0</v>
      </c>
    </row>
    <row r="163" spans="2:78" s="22" customFormat="1" ht="15.75">
      <c r="B163" s="97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9"/>
      <c r="P163" s="97" t="s">
        <v>371</v>
      </c>
      <c r="Q163" s="98"/>
      <c r="R163" s="98"/>
      <c r="S163" s="98"/>
      <c r="T163" s="98"/>
      <c r="U163" s="98"/>
      <c r="V163" s="98"/>
      <c r="W163" s="98"/>
      <c r="X163" s="99"/>
      <c r="Y163" s="97"/>
      <c r="Z163" s="98"/>
      <c r="AA163" s="99"/>
      <c r="AB163" s="97"/>
      <c r="AC163" s="98"/>
      <c r="AD163" s="98"/>
      <c r="AE163" s="98"/>
      <c r="AF163" s="98"/>
      <c r="AG163" s="98"/>
      <c r="AH163" s="98"/>
      <c r="AI163" s="98"/>
      <c r="AJ163" s="99"/>
      <c r="AK163" s="97"/>
      <c r="AL163" s="98"/>
      <c r="AM163" s="99"/>
      <c r="AN163" s="97"/>
      <c r="AO163" s="98"/>
      <c r="AP163" s="98"/>
      <c r="AQ163" s="98"/>
      <c r="AR163" s="98"/>
      <c r="AS163" s="98"/>
      <c r="AT163" s="98"/>
      <c r="AU163" s="98"/>
      <c r="AV163" s="99"/>
      <c r="AW163" s="97"/>
      <c r="AX163" s="98"/>
      <c r="AY163" s="99"/>
      <c r="AZ163" s="97"/>
      <c r="BA163" s="98"/>
      <c r="BB163" s="98"/>
      <c r="BC163" s="98"/>
      <c r="BD163" s="98"/>
      <c r="BE163" s="98"/>
      <c r="BF163" s="98"/>
      <c r="BG163" s="98"/>
      <c r="BH163" s="98"/>
      <c r="BI163" s="98"/>
      <c r="BJ163" s="99"/>
      <c r="BM163" s="58"/>
      <c r="BN163" s="58"/>
      <c r="BO163" s="58"/>
      <c r="BP163" s="59"/>
      <c r="BQ163" s="60"/>
      <c r="BR163" s="67"/>
      <c r="BS163" s="68" t="str">
        <f>_xlfn.IFNA(VLOOKUP($BR163,[15]Master!$C$4:$J$13,2,FALSE),"-")</f>
        <v>-</v>
      </c>
      <c r="BT163" s="68" t="str">
        <f>_xlfn.IFNA(VLOOKUP($BR163,[15]Master!$C$4:$J$13,3,FALSE),"-")</f>
        <v>-</v>
      </c>
      <c r="BU163" s="68" t="str">
        <f>_xlfn.IFNA(VLOOKUP($BR163,[15]Master!$C$4:$J$13,4,FALSE),"-")</f>
        <v>-</v>
      </c>
      <c r="BV163" s="68" t="str">
        <f>_xlfn.IFNA(VLOOKUP($BR163,[15]Master!$C$4:$J$13,5,FALSE),"-")</f>
        <v>-</v>
      </c>
      <c r="BW163" s="68" t="str">
        <f>_xlfn.IFNA(VLOOKUP($BR163,[15]Master!$C$4:$J$13,6,FALSE),"-")</f>
        <v>-</v>
      </c>
      <c r="BX163" s="68" t="str">
        <f>_xlfn.IFNA(VLOOKUP($BR163,[15]Master!$C$4:$J$13,7,FALSE),"-")</f>
        <v>-</v>
      </c>
      <c r="BY163" s="68" t="str">
        <f>_xlfn.IFNA(VLOOKUP($BR163,[15]Master!$C$4:$J$13,8,FALSE),"-")</f>
        <v>-</v>
      </c>
      <c r="BZ163" s="63">
        <f t="shared" si="4"/>
        <v>0</v>
      </c>
    </row>
    <row r="164" spans="2:78" s="22" customFormat="1" ht="15.75">
      <c r="B164" s="97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9"/>
      <c r="P164" s="97" t="s">
        <v>372</v>
      </c>
      <c r="Q164" s="98"/>
      <c r="R164" s="98"/>
      <c r="S164" s="98"/>
      <c r="T164" s="98"/>
      <c r="U164" s="98"/>
      <c r="V164" s="98"/>
      <c r="W164" s="98"/>
      <c r="X164" s="99"/>
      <c r="Y164" s="97"/>
      <c r="Z164" s="98"/>
      <c r="AA164" s="99"/>
      <c r="AB164" s="97"/>
      <c r="AC164" s="98"/>
      <c r="AD164" s="98"/>
      <c r="AE164" s="98"/>
      <c r="AF164" s="98"/>
      <c r="AG164" s="98"/>
      <c r="AH164" s="98"/>
      <c r="AI164" s="98"/>
      <c r="AJ164" s="99"/>
      <c r="AK164" s="97"/>
      <c r="AL164" s="98"/>
      <c r="AM164" s="99"/>
      <c r="AN164" s="97"/>
      <c r="AO164" s="98"/>
      <c r="AP164" s="98"/>
      <c r="AQ164" s="98"/>
      <c r="AR164" s="98"/>
      <c r="AS164" s="98"/>
      <c r="AT164" s="98"/>
      <c r="AU164" s="98"/>
      <c r="AV164" s="99"/>
      <c r="AW164" s="97"/>
      <c r="AX164" s="98"/>
      <c r="AY164" s="99"/>
      <c r="AZ164" s="97"/>
      <c r="BA164" s="98"/>
      <c r="BB164" s="98"/>
      <c r="BC164" s="98"/>
      <c r="BD164" s="98"/>
      <c r="BE164" s="98"/>
      <c r="BF164" s="98"/>
      <c r="BG164" s="98"/>
      <c r="BH164" s="98"/>
      <c r="BI164" s="98"/>
      <c r="BJ164" s="99"/>
      <c r="BM164" s="58"/>
      <c r="BN164" s="58"/>
      <c r="BO164" s="58"/>
      <c r="BP164" s="59"/>
      <c r="BQ164" s="60"/>
      <c r="BR164" s="67"/>
      <c r="BS164" s="68" t="str">
        <f>_xlfn.IFNA(VLOOKUP($BR164,[15]Master!$C$4:$J$13,2,FALSE),"-")</f>
        <v>-</v>
      </c>
      <c r="BT164" s="68" t="str">
        <f>_xlfn.IFNA(VLOOKUP($BR164,[15]Master!$C$4:$J$13,3,FALSE),"-")</f>
        <v>-</v>
      </c>
      <c r="BU164" s="68" t="str">
        <f>_xlfn.IFNA(VLOOKUP($BR164,[15]Master!$C$4:$J$13,4,FALSE),"-")</f>
        <v>-</v>
      </c>
      <c r="BV164" s="68" t="str">
        <f>_xlfn.IFNA(VLOOKUP($BR164,[15]Master!$C$4:$J$13,5,FALSE),"-")</f>
        <v>-</v>
      </c>
      <c r="BW164" s="68" t="str">
        <f>_xlfn.IFNA(VLOOKUP($BR164,[15]Master!$C$4:$J$13,6,FALSE),"-")</f>
        <v>-</v>
      </c>
      <c r="BX164" s="68" t="str">
        <f>_xlfn.IFNA(VLOOKUP($BR164,[15]Master!$C$4:$J$13,7,FALSE),"-")</f>
        <v>-</v>
      </c>
      <c r="BY164" s="68" t="str">
        <f>_xlfn.IFNA(VLOOKUP($BR164,[15]Master!$C$4:$J$13,8,FALSE),"-")</f>
        <v>-</v>
      </c>
      <c r="BZ164" s="63">
        <f t="shared" si="4"/>
        <v>0</v>
      </c>
    </row>
    <row r="165" spans="2:78" s="22" customFormat="1" ht="15.75">
      <c r="B165" s="97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9"/>
      <c r="P165" s="97" t="s">
        <v>373</v>
      </c>
      <c r="Q165" s="98"/>
      <c r="R165" s="98"/>
      <c r="S165" s="98"/>
      <c r="T165" s="98"/>
      <c r="U165" s="98"/>
      <c r="V165" s="98"/>
      <c r="W165" s="98"/>
      <c r="X165" s="99"/>
      <c r="Y165" s="97"/>
      <c r="Z165" s="98"/>
      <c r="AA165" s="99"/>
      <c r="AB165" s="97"/>
      <c r="AC165" s="98"/>
      <c r="AD165" s="98"/>
      <c r="AE165" s="98"/>
      <c r="AF165" s="98"/>
      <c r="AG165" s="98"/>
      <c r="AH165" s="98"/>
      <c r="AI165" s="98"/>
      <c r="AJ165" s="99"/>
      <c r="AK165" s="97"/>
      <c r="AL165" s="98"/>
      <c r="AM165" s="99"/>
      <c r="AN165" s="97"/>
      <c r="AO165" s="98"/>
      <c r="AP165" s="98"/>
      <c r="AQ165" s="98"/>
      <c r="AR165" s="98"/>
      <c r="AS165" s="98"/>
      <c r="AT165" s="98"/>
      <c r="AU165" s="98"/>
      <c r="AV165" s="99"/>
      <c r="AW165" s="97"/>
      <c r="AX165" s="98"/>
      <c r="AY165" s="99"/>
      <c r="AZ165" s="97"/>
      <c r="BA165" s="98"/>
      <c r="BB165" s="98"/>
      <c r="BC165" s="98"/>
      <c r="BD165" s="98"/>
      <c r="BE165" s="98"/>
      <c r="BF165" s="98"/>
      <c r="BG165" s="98"/>
      <c r="BH165" s="98"/>
      <c r="BI165" s="98"/>
      <c r="BJ165" s="99"/>
      <c r="BM165" s="58"/>
      <c r="BN165" s="58"/>
      <c r="BO165" s="58"/>
      <c r="BP165" s="59"/>
      <c r="BQ165" s="60"/>
      <c r="BR165" s="67"/>
      <c r="BS165" s="68" t="str">
        <f>_xlfn.IFNA(VLOOKUP($BR165,[15]Master!$C$4:$J$13,2,FALSE),"-")</f>
        <v>-</v>
      </c>
      <c r="BT165" s="68" t="str">
        <f>_xlfn.IFNA(VLOOKUP($BR165,[15]Master!$C$4:$J$13,3,FALSE),"-")</f>
        <v>-</v>
      </c>
      <c r="BU165" s="68" t="str">
        <f>_xlfn.IFNA(VLOOKUP($BR165,[15]Master!$C$4:$J$13,4,FALSE),"-")</f>
        <v>-</v>
      </c>
      <c r="BV165" s="68" t="str">
        <f>_xlfn.IFNA(VLOOKUP($BR165,[15]Master!$C$4:$J$13,5,FALSE),"-")</f>
        <v>-</v>
      </c>
      <c r="BW165" s="68" t="str">
        <f>_xlfn.IFNA(VLOOKUP($BR165,[15]Master!$C$4:$J$13,6,FALSE),"-")</f>
        <v>-</v>
      </c>
      <c r="BX165" s="68" t="str">
        <f>_xlfn.IFNA(VLOOKUP($BR165,[15]Master!$C$4:$J$13,7,FALSE),"-")</f>
        <v>-</v>
      </c>
      <c r="BY165" s="68" t="str">
        <f>_xlfn.IFNA(VLOOKUP($BR165,[15]Master!$C$4:$J$13,8,FALSE),"-")</f>
        <v>-</v>
      </c>
      <c r="BZ165" s="63">
        <f t="shared" si="4"/>
        <v>0</v>
      </c>
    </row>
    <row r="166" spans="2:78" s="22" customFormat="1" ht="15.75">
      <c r="B166" s="97" t="s">
        <v>374</v>
      </c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9"/>
      <c r="P166" s="97" t="s">
        <v>375</v>
      </c>
      <c r="Q166" s="98"/>
      <c r="R166" s="98"/>
      <c r="S166" s="98"/>
      <c r="T166" s="98"/>
      <c r="U166" s="98"/>
      <c r="V166" s="98"/>
      <c r="W166" s="98"/>
      <c r="X166" s="99"/>
      <c r="Y166" s="97"/>
      <c r="Z166" s="98"/>
      <c r="AA166" s="99"/>
      <c r="AB166" s="97"/>
      <c r="AC166" s="98"/>
      <c r="AD166" s="98"/>
      <c r="AE166" s="98"/>
      <c r="AF166" s="98"/>
      <c r="AG166" s="98"/>
      <c r="AH166" s="98"/>
      <c r="AI166" s="98"/>
      <c r="AJ166" s="99"/>
      <c r="AK166" s="97"/>
      <c r="AL166" s="98"/>
      <c r="AM166" s="99"/>
      <c r="AN166" s="97"/>
      <c r="AO166" s="98"/>
      <c r="AP166" s="98"/>
      <c r="AQ166" s="98"/>
      <c r="AR166" s="98"/>
      <c r="AS166" s="98"/>
      <c r="AT166" s="98"/>
      <c r="AU166" s="98"/>
      <c r="AV166" s="99"/>
      <c r="AW166" s="97"/>
      <c r="AX166" s="98"/>
      <c r="AY166" s="99"/>
      <c r="AZ166" s="97"/>
      <c r="BA166" s="98"/>
      <c r="BB166" s="98"/>
      <c r="BC166" s="98"/>
      <c r="BD166" s="98"/>
      <c r="BE166" s="98"/>
      <c r="BF166" s="98"/>
      <c r="BG166" s="98"/>
      <c r="BH166" s="98"/>
      <c r="BI166" s="98"/>
      <c r="BJ166" s="99"/>
      <c r="BM166" s="46">
        <v>1</v>
      </c>
      <c r="BN166" s="46"/>
      <c r="BO166" s="46"/>
      <c r="BP166" s="69"/>
      <c r="BR166" s="40" t="s">
        <v>209</v>
      </c>
      <c r="BS166" s="36">
        <f>_xlfn.IFNA(VLOOKUP($BR166,[15]Master!$C$4:$J$13,2,FALSE),"-")</f>
        <v>0.3</v>
      </c>
      <c r="BT166" s="36">
        <f>_xlfn.IFNA(VLOOKUP($BR166,[15]Master!$C$4:$J$13,3,FALSE),"-")</f>
        <v>1</v>
      </c>
      <c r="BU166" s="36">
        <f>_xlfn.IFNA(VLOOKUP($BR166,[15]Master!$C$4:$J$13,4,FALSE),"-")</f>
        <v>0.2</v>
      </c>
      <c r="BV166" s="36">
        <f>_xlfn.IFNA(VLOOKUP($BR166,[15]Master!$C$4:$J$13,5,FALSE),"-")</f>
        <v>0.1</v>
      </c>
      <c r="BW166" s="36">
        <f>_xlfn.IFNA(VLOOKUP($BR166,[15]Master!$C$4:$J$13,6,FALSE),"-")</f>
        <v>0.2</v>
      </c>
      <c r="BX166" s="36">
        <f>_xlfn.IFNA(VLOOKUP($BR166,[15]Master!$C$4:$J$13,7,FALSE),"-")</f>
        <v>0.1</v>
      </c>
      <c r="BY166" s="36">
        <f>_xlfn.IFNA(VLOOKUP($BR166,[15]Master!$C$4:$J$13,8,FALSE),"-")</f>
        <v>0.2</v>
      </c>
      <c r="BZ166" s="35">
        <f t="shared" si="4"/>
        <v>2.1</v>
      </c>
    </row>
    <row r="167" spans="2:78" ht="15.75">
      <c r="B167" s="106" t="s">
        <v>376</v>
      </c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1"/>
      <c r="P167" s="97" t="s">
        <v>377</v>
      </c>
      <c r="Q167" s="98"/>
      <c r="R167" s="98"/>
      <c r="S167" s="98"/>
      <c r="T167" s="98"/>
      <c r="U167" s="98"/>
      <c r="V167" s="98"/>
      <c r="W167" s="98"/>
      <c r="X167" s="99"/>
      <c r="Y167" s="97"/>
      <c r="Z167" s="98"/>
      <c r="AA167" s="99"/>
      <c r="AB167" s="97"/>
      <c r="AC167" s="98"/>
      <c r="AD167" s="98"/>
      <c r="AE167" s="98"/>
      <c r="AF167" s="98"/>
      <c r="AG167" s="98"/>
      <c r="AH167" s="98"/>
      <c r="AI167" s="98"/>
      <c r="AJ167" s="99"/>
      <c r="AK167" s="97"/>
      <c r="AL167" s="98"/>
      <c r="AM167" s="99"/>
      <c r="AN167" s="97"/>
      <c r="AO167" s="98"/>
      <c r="AP167" s="98"/>
      <c r="AQ167" s="98"/>
      <c r="AR167" s="98"/>
      <c r="AS167" s="98"/>
      <c r="AT167" s="98"/>
      <c r="AU167" s="98"/>
      <c r="AV167" s="99"/>
      <c r="AW167" s="97"/>
      <c r="AX167" s="98"/>
      <c r="AY167" s="99"/>
      <c r="AZ167" s="97"/>
      <c r="BA167" s="98"/>
      <c r="BB167" s="98"/>
      <c r="BC167" s="98"/>
      <c r="BD167" s="98"/>
      <c r="BE167" s="98"/>
      <c r="BF167" s="98"/>
      <c r="BG167" s="98"/>
      <c r="BH167" s="98"/>
      <c r="BI167" s="98"/>
      <c r="BJ167" s="99"/>
      <c r="BM167" s="45">
        <v>1</v>
      </c>
      <c r="BR167" s="40" t="s">
        <v>209</v>
      </c>
      <c r="BS167" s="36">
        <f>_xlfn.IFNA(VLOOKUP($BR167,[15]Master!$C$4:$J$13,2,FALSE),"-")</f>
        <v>0.3</v>
      </c>
      <c r="BT167" s="36">
        <f>_xlfn.IFNA(VLOOKUP($BR167,[15]Master!$C$4:$J$13,3,FALSE),"-")</f>
        <v>1</v>
      </c>
      <c r="BU167" s="36">
        <f>_xlfn.IFNA(VLOOKUP($BR167,[15]Master!$C$4:$J$13,4,FALSE),"-")</f>
        <v>0.2</v>
      </c>
      <c r="BV167" s="36">
        <f>_xlfn.IFNA(VLOOKUP($BR167,[15]Master!$C$4:$J$13,5,FALSE),"-")</f>
        <v>0.1</v>
      </c>
      <c r="BW167" s="36">
        <f>_xlfn.IFNA(VLOOKUP($BR167,[15]Master!$C$4:$J$13,6,FALSE),"-")</f>
        <v>0.2</v>
      </c>
      <c r="BX167" s="36">
        <f>_xlfn.IFNA(VLOOKUP($BR167,[15]Master!$C$4:$J$13,7,FALSE),"-")</f>
        <v>0.1</v>
      </c>
      <c r="BY167" s="36">
        <f>_xlfn.IFNA(VLOOKUP($BR167,[15]Master!$C$4:$J$13,8,FALSE),"-")</f>
        <v>0.2</v>
      </c>
      <c r="BZ167" s="35">
        <f t="shared" si="4"/>
        <v>2.1</v>
      </c>
    </row>
    <row r="168" spans="2:78" ht="15.75">
      <c r="B168" s="97" t="s">
        <v>378</v>
      </c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9"/>
      <c r="P168" s="97" t="s">
        <v>379</v>
      </c>
      <c r="Q168" s="98"/>
      <c r="R168" s="98"/>
      <c r="S168" s="98"/>
      <c r="T168" s="98"/>
      <c r="U168" s="98"/>
      <c r="V168" s="98"/>
      <c r="W168" s="98"/>
      <c r="X168" s="99"/>
      <c r="Y168" s="97"/>
      <c r="Z168" s="98"/>
      <c r="AA168" s="99"/>
      <c r="AB168" s="97"/>
      <c r="AC168" s="98"/>
      <c r="AD168" s="98"/>
      <c r="AE168" s="98"/>
      <c r="AF168" s="98"/>
      <c r="AG168" s="98"/>
      <c r="AH168" s="98"/>
      <c r="AI168" s="98"/>
      <c r="AJ168" s="99"/>
      <c r="AK168" s="97"/>
      <c r="AL168" s="98"/>
      <c r="AM168" s="99"/>
      <c r="AN168" s="97"/>
      <c r="AO168" s="98"/>
      <c r="AP168" s="98"/>
      <c r="AQ168" s="98"/>
      <c r="AR168" s="98"/>
      <c r="AS168" s="98"/>
      <c r="AT168" s="98"/>
      <c r="AU168" s="98"/>
      <c r="AV168" s="99"/>
      <c r="AW168" s="97"/>
      <c r="AX168" s="98"/>
      <c r="AY168" s="99"/>
      <c r="AZ168" s="97"/>
      <c r="BA168" s="98"/>
      <c r="BB168" s="98"/>
      <c r="BC168" s="98"/>
      <c r="BD168" s="98"/>
      <c r="BE168" s="98"/>
      <c r="BF168" s="98"/>
      <c r="BG168" s="98"/>
      <c r="BH168" s="98"/>
      <c r="BI168" s="98"/>
      <c r="BJ168" s="99"/>
      <c r="BM168" s="45">
        <v>1</v>
      </c>
      <c r="BN168" s="45" t="s">
        <v>380</v>
      </c>
      <c r="BR168" s="40" t="s">
        <v>204</v>
      </c>
      <c r="BS168" s="36">
        <f>_xlfn.IFNA(VLOOKUP($BR168,[15]Master!$C$4:$J$13,2,FALSE),"-")</f>
        <v>0.52500000000000002</v>
      </c>
      <c r="BT168" s="36">
        <f>_xlfn.IFNA(VLOOKUP($BR168,[15]Master!$C$4:$J$13,3,FALSE),"-")</f>
        <v>1.75</v>
      </c>
      <c r="BU168" s="36">
        <f>_xlfn.IFNA(VLOOKUP($BR168,[15]Master!$C$4:$J$13,4,FALSE),"-")</f>
        <v>0.35000000000000003</v>
      </c>
      <c r="BV168" s="36">
        <f>_xlfn.IFNA(VLOOKUP($BR168,[15]Master!$C$4:$J$13,5,FALSE),"-")</f>
        <v>0.17500000000000002</v>
      </c>
      <c r="BW168" s="36">
        <f>_xlfn.IFNA(VLOOKUP($BR168,[15]Master!$C$4:$J$13,6,FALSE),"-")</f>
        <v>0.35000000000000003</v>
      </c>
      <c r="BX168" s="36">
        <f>_xlfn.IFNA(VLOOKUP($BR168,[15]Master!$C$4:$J$13,7,FALSE),"-")</f>
        <v>0.17500000000000002</v>
      </c>
      <c r="BY168" s="36">
        <f>_xlfn.IFNA(VLOOKUP($BR168,[15]Master!$C$4:$J$13,8,FALSE),"-")</f>
        <v>0.35000000000000003</v>
      </c>
      <c r="BZ168" s="35">
        <f t="shared" si="4"/>
        <v>3.6749999999999998</v>
      </c>
    </row>
    <row r="169" spans="2:78" ht="30">
      <c r="B169" s="97" t="s">
        <v>381</v>
      </c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9"/>
      <c r="P169" s="97" t="s">
        <v>382</v>
      </c>
      <c r="Q169" s="98"/>
      <c r="R169" s="98"/>
      <c r="S169" s="98"/>
      <c r="T169" s="98"/>
      <c r="U169" s="98"/>
      <c r="V169" s="98"/>
      <c r="W169" s="98"/>
      <c r="X169" s="99"/>
      <c r="Y169" s="97"/>
      <c r="Z169" s="98"/>
      <c r="AA169" s="99"/>
      <c r="AB169" s="97"/>
      <c r="AC169" s="98"/>
      <c r="AD169" s="98"/>
      <c r="AE169" s="98"/>
      <c r="AF169" s="98"/>
      <c r="AG169" s="98"/>
      <c r="AH169" s="98"/>
      <c r="AI169" s="98"/>
      <c r="AJ169" s="99"/>
      <c r="AK169" s="97"/>
      <c r="AL169" s="98"/>
      <c r="AM169" s="99"/>
      <c r="AN169" s="97"/>
      <c r="AO169" s="98"/>
      <c r="AP169" s="98"/>
      <c r="AQ169" s="98"/>
      <c r="AR169" s="98"/>
      <c r="AS169" s="98"/>
      <c r="AT169" s="98"/>
      <c r="AU169" s="98"/>
      <c r="AV169" s="99"/>
      <c r="AW169" s="97"/>
      <c r="AX169" s="98"/>
      <c r="AY169" s="99"/>
      <c r="AZ169" s="97"/>
      <c r="BA169" s="98"/>
      <c r="BB169" s="98"/>
      <c r="BC169" s="98"/>
      <c r="BD169" s="98"/>
      <c r="BE169" s="98"/>
      <c r="BF169" s="98"/>
      <c r="BG169" s="98"/>
      <c r="BH169" s="98"/>
      <c r="BI169" s="98"/>
      <c r="BJ169" s="99"/>
      <c r="BM169" s="45">
        <v>1</v>
      </c>
      <c r="BP169" s="47" t="s">
        <v>264</v>
      </c>
      <c r="BR169" s="40" t="s">
        <v>173</v>
      </c>
      <c r="BS169" s="36">
        <f>_xlfn.IFNA(VLOOKUP($BR169,[15]Master!$C$4:$J$13,2,FALSE),"-")</f>
        <v>0.75</v>
      </c>
      <c r="BT169" s="36">
        <f>_xlfn.IFNA(VLOOKUP($BR169,[15]Master!$C$4:$J$13,3,FALSE),"-")</f>
        <v>2.5</v>
      </c>
      <c r="BU169" s="36">
        <f>_xlfn.IFNA(VLOOKUP($BR169,[15]Master!$C$4:$J$13,4,FALSE),"-")</f>
        <v>0.5</v>
      </c>
      <c r="BV169" s="36">
        <f>_xlfn.IFNA(VLOOKUP($BR169,[15]Master!$C$4:$J$13,5,FALSE),"-")</f>
        <v>0.25</v>
      </c>
      <c r="BW169" s="36">
        <f>_xlfn.IFNA(VLOOKUP($BR169,[15]Master!$C$4:$J$13,6,FALSE),"-")</f>
        <v>0.5</v>
      </c>
      <c r="BX169" s="36">
        <f>_xlfn.IFNA(VLOOKUP($BR169,[15]Master!$C$4:$J$13,7,FALSE),"-")</f>
        <v>0.25</v>
      </c>
      <c r="BY169" s="36">
        <f>_xlfn.IFNA(VLOOKUP($BR169,[15]Master!$C$4:$J$13,8,FALSE),"-")</f>
        <v>0.5</v>
      </c>
      <c r="BZ169" s="35">
        <f t="shared" si="4"/>
        <v>5.25</v>
      </c>
    </row>
    <row r="170" spans="2:78" ht="15.75">
      <c r="B170" s="97" t="s">
        <v>383</v>
      </c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9"/>
      <c r="P170" s="97" t="s">
        <v>384</v>
      </c>
      <c r="Q170" s="98"/>
      <c r="R170" s="98"/>
      <c r="S170" s="98"/>
      <c r="T170" s="98"/>
      <c r="U170" s="98"/>
      <c r="V170" s="98"/>
      <c r="W170" s="98"/>
      <c r="X170" s="99"/>
      <c r="Y170" s="97"/>
      <c r="Z170" s="98"/>
      <c r="AA170" s="99"/>
      <c r="AB170" s="97"/>
      <c r="AC170" s="98"/>
      <c r="AD170" s="98"/>
      <c r="AE170" s="98"/>
      <c r="AF170" s="98"/>
      <c r="AG170" s="98"/>
      <c r="AH170" s="98"/>
      <c r="AI170" s="98"/>
      <c r="AJ170" s="99"/>
      <c r="AK170" s="97"/>
      <c r="AL170" s="98"/>
      <c r="AM170" s="99"/>
      <c r="AN170" s="97"/>
      <c r="AO170" s="98"/>
      <c r="AP170" s="98"/>
      <c r="AQ170" s="98"/>
      <c r="AR170" s="98"/>
      <c r="AS170" s="98"/>
      <c r="AT170" s="98"/>
      <c r="AU170" s="98"/>
      <c r="AV170" s="99"/>
      <c r="AW170" s="97"/>
      <c r="AX170" s="98"/>
      <c r="AY170" s="99"/>
      <c r="AZ170" s="97"/>
      <c r="BA170" s="98"/>
      <c r="BB170" s="98"/>
      <c r="BC170" s="98"/>
      <c r="BD170" s="98"/>
      <c r="BE170" s="98"/>
      <c r="BF170" s="98"/>
      <c r="BG170" s="98"/>
      <c r="BH170" s="98"/>
      <c r="BI170" s="98"/>
      <c r="BJ170" s="99"/>
      <c r="BM170" s="45">
        <v>1</v>
      </c>
      <c r="BP170" s="47" t="s">
        <v>360</v>
      </c>
      <c r="BR170" s="40" t="s">
        <v>173</v>
      </c>
      <c r="BS170" s="36">
        <f>_xlfn.IFNA(VLOOKUP($BR170,[15]Master!$C$4:$J$13,2,FALSE),"-")</f>
        <v>0.75</v>
      </c>
      <c r="BT170" s="36">
        <f>_xlfn.IFNA(VLOOKUP($BR170,[15]Master!$C$4:$J$13,3,FALSE),"-")</f>
        <v>2.5</v>
      </c>
      <c r="BU170" s="36">
        <f>_xlfn.IFNA(VLOOKUP($BR170,[15]Master!$C$4:$J$13,4,FALSE),"-")</f>
        <v>0.5</v>
      </c>
      <c r="BV170" s="36">
        <f>_xlfn.IFNA(VLOOKUP($BR170,[15]Master!$C$4:$J$13,5,FALSE),"-")</f>
        <v>0.25</v>
      </c>
      <c r="BW170" s="36">
        <f>_xlfn.IFNA(VLOOKUP($BR170,[15]Master!$C$4:$J$13,6,FALSE),"-")</f>
        <v>0.5</v>
      </c>
      <c r="BX170" s="36">
        <f>_xlfn.IFNA(VLOOKUP($BR170,[15]Master!$C$4:$J$13,7,FALSE),"-")</f>
        <v>0.25</v>
      </c>
      <c r="BY170" s="36">
        <f>_xlfn.IFNA(VLOOKUP($BR170,[15]Master!$C$4:$J$13,8,FALSE),"-")</f>
        <v>0.5</v>
      </c>
      <c r="BZ170" s="35">
        <f t="shared" si="4"/>
        <v>5.25</v>
      </c>
    </row>
    <row r="171" spans="2:78" ht="15.75">
      <c r="B171" s="97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9"/>
      <c r="P171" s="97" t="s">
        <v>385</v>
      </c>
      <c r="Q171" s="98"/>
      <c r="R171" s="98"/>
      <c r="S171" s="98"/>
      <c r="T171" s="98"/>
      <c r="U171" s="98"/>
      <c r="V171" s="98"/>
      <c r="W171" s="98"/>
      <c r="X171" s="99"/>
      <c r="Y171" s="97"/>
      <c r="Z171" s="98"/>
      <c r="AA171" s="99"/>
      <c r="AB171" s="97"/>
      <c r="AC171" s="98"/>
      <c r="AD171" s="98"/>
      <c r="AE171" s="98"/>
      <c r="AF171" s="98"/>
      <c r="AG171" s="98"/>
      <c r="AH171" s="98"/>
      <c r="AI171" s="98"/>
      <c r="AJ171" s="99"/>
      <c r="AK171" s="97"/>
      <c r="AL171" s="98"/>
      <c r="AM171" s="99"/>
      <c r="AN171" s="97"/>
      <c r="AO171" s="98"/>
      <c r="AP171" s="98"/>
      <c r="AQ171" s="98"/>
      <c r="AR171" s="98"/>
      <c r="AS171" s="98"/>
      <c r="AT171" s="98"/>
      <c r="AU171" s="98"/>
      <c r="AV171" s="99"/>
      <c r="AW171" s="97"/>
      <c r="AX171" s="98"/>
      <c r="AY171" s="99"/>
      <c r="AZ171" s="97"/>
      <c r="BA171" s="98"/>
      <c r="BB171" s="98"/>
      <c r="BC171" s="98"/>
      <c r="BD171" s="98"/>
      <c r="BE171" s="98"/>
      <c r="BF171" s="98"/>
      <c r="BG171" s="98"/>
      <c r="BH171" s="98"/>
      <c r="BI171" s="98"/>
      <c r="BJ171" s="99"/>
      <c r="BR171" s="40"/>
      <c r="BS171" s="36" t="str">
        <f>_xlfn.IFNA(VLOOKUP($BR171,[15]Master!$C$4:$J$13,2,FALSE),"-")</f>
        <v>-</v>
      </c>
      <c r="BT171" s="36" t="str">
        <f>_xlfn.IFNA(VLOOKUP($BR171,[15]Master!$C$4:$J$13,3,FALSE),"-")</f>
        <v>-</v>
      </c>
      <c r="BU171" s="36" t="str">
        <f>_xlfn.IFNA(VLOOKUP($BR171,[15]Master!$C$4:$J$13,4,FALSE),"-")</f>
        <v>-</v>
      </c>
      <c r="BV171" s="36" t="str">
        <f>_xlfn.IFNA(VLOOKUP($BR171,[15]Master!$C$4:$J$13,5,FALSE),"-")</f>
        <v>-</v>
      </c>
      <c r="BW171" s="36" t="str">
        <f>_xlfn.IFNA(VLOOKUP($BR171,[15]Master!$C$4:$J$13,6,FALSE),"-")</f>
        <v>-</v>
      </c>
      <c r="BX171" s="36" t="str">
        <f>_xlfn.IFNA(VLOOKUP($BR171,[15]Master!$C$4:$J$13,7,FALSE),"-")</f>
        <v>-</v>
      </c>
      <c r="BY171" s="36" t="str">
        <f>_xlfn.IFNA(VLOOKUP($BR171,[15]Master!$C$4:$J$13,8,FALSE),"-")</f>
        <v>-</v>
      </c>
      <c r="BZ171" s="35">
        <f t="shared" si="4"/>
        <v>0</v>
      </c>
    </row>
    <row r="172" spans="2:78" ht="30">
      <c r="B172" s="97" t="s">
        <v>386</v>
      </c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9"/>
      <c r="P172" s="97" t="s">
        <v>387</v>
      </c>
      <c r="Q172" s="98"/>
      <c r="R172" s="98"/>
      <c r="S172" s="98"/>
      <c r="T172" s="98"/>
      <c r="U172" s="98"/>
      <c r="V172" s="98"/>
      <c r="W172" s="98"/>
      <c r="X172" s="99"/>
      <c r="Y172" s="97"/>
      <c r="Z172" s="98"/>
      <c r="AA172" s="99"/>
      <c r="AB172" s="97"/>
      <c r="AC172" s="98"/>
      <c r="AD172" s="98"/>
      <c r="AE172" s="98"/>
      <c r="AF172" s="98"/>
      <c r="AG172" s="98"/>
      <c r="AH172" s="98"/>
      <c r="AI172" s="98"/>
      <c r="AJ172" s="99"/>
      <c r="AK172" s="97"/>
      <c r="AL172" s="98"/>
      <c r="AM172" s="99"/>
      <c r="AN172" s="97"/>
      <c r="AO172" s="98"/>
      <c r="AP172" s="98"/>
      <c r="AQ172" s="98"/>
      <c r="AR172" s="98"/>
      <c r="AS172" s="98"/>
      <c r="AT172" s="98"/>
      <c r="AU172" s="98"/>
      <c r="AV172" s="99"/>
      <c r="AW172" s="97"/>
      <c r="AX172" s="98"/>
      <c r="AY172" s="99"/>
      <c r="AZ172" s="97"/>
      <c r="BA172" s="98"/>
      <c r="BB172" s="98"/>
      <c r="BC172" s="98"/>
      <c r="BD172" s="98"/>
      <c r="BE172" s="98"/>
      <c r="BF172" s="98"/>
      <c r="BG172" s="98"/>
      <c r="BH172" s="98"/>
      <c r="BI172" s="98"/>
      <c r="BJ172" s="99"/>
      <c r="BM172" s="45">
        <v>1</v>
      </c>
      <c r="BP172" s="47" t="s">
        <v>264</v>
      </c>
      <c r="BR172" s="40" t="s">
        <v>173</v>
      </c>
      <c r="BS172" s="36">
        <f>_xlfn.IFNA(VLOOKUP($BR172,[15]Master!$C$4:$J$13,2,FALSE),"-")</f>
        <v>0.75</v>
      </c>
      <c r="BT172" s="36">
        <f>_xlfn.IFNA(VLOOKUP($BR172,[15]Master!$C$4:$J$13,3,FALSE),"-")</f>
        <v>2.5</v>
      </c>
      <c r="BU172" s="36">
        <f>_xlfn.IFNA(VLOOKUP($BR172,[15]Master!$C$4:$J$13,4,FALSE),"-")</f>
        <v>0.5</v>
      </c>
      <c r="BV172" s="36">
        <f>_xlfn.IFNA(VLOOKUP($BR172,[15]Master!$C$4:$J$13,5,FALSE),"-")</f>
        <v>0.25</v>
      </c>
      <c r="BW172" s="36">
        <f>_xlfn.IFNA(VLOOKUP($BR172,[15]Master!$C$4:$J$13,6,FALSE),"-")</f>
        <v>0.5</v>
      </c>
      <c r="BX172" s="36">
        <f>_xlfn.IFNA(VLOOKUP($BR172,[15]Master!$C$4:$J$13,7,FALSE),"-")</f>
        <v>0.25</v>
      </c>
      <c r="BY172" s="36">
        <f>_xlfn.IFNA(VLOOKUP($BR172,[15]Master!$C$4:$J$13,8,FALSE),"-")</f>
        <v>0.5</v>
      </c>
      <c r="BZ172" s="35">
        <f t="shared" si="4"/>
        <v>5.25</v>
      </c>
    </row>
    <row r="173" spans="2:78" ht="30">
      <c r="B173" s="97" t="s">
        <v>388</v>
      </c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9"/>
      <c r="P173" s="130"/>
      <c r="Q173" s="128"/>
      <c r="R173" s="128"/>
      <c r="S173" s="128"/>
      <c r="T173" s="128"/>
      <c r="U173" s="128"/>
      <c r="V173" s="128"/>
      <c r="W173" s="128"/>
      <c r="X173" s="129"/>
      <c r="Y173" s="97"/>
      <c r="Z173" s="98"/>
      <c r="AA173" s="99"/>
      <c r="AB173" s="97"/>
      <c r="AC173" s="98"/>
      <c r="AD173" s="98"/>
      <c r="AE173" s="98"/>
      <c r="AF173" s="98"/>
      <c r="AG173" s="98"/>
      <c r="AH173" s="98"/>
      <c r="AI173" s="98"/>
      <c r="AJ173" s="99"/>
      <c r="AK173" s="97"/>
      <c r="AL173" s="98"/>
      <c r="AM173" s="99"/>
      <c r="AN173" s="97"/>
      <c r="AO173" s="98"/>
      <c r="AP173" s="98"/>
      <c r="AQ173" s="98"/>
      <c r="AR173" s="98"/>
      <c r="AS173" s="98"/>
      <c r="AT173" s="98"/>
      <c r="AU173" s="98"/>
      <c r="AV173" s="99"/>
      <c r="AW173" s="97"/>
      <c r="AX173" s="98"/>
      <c r="AY173" s="99"/>
      <c r="AZ173" s="97"/>
      <c r="BA173" s="98"/>
      <c r="BB173" s="98"/>
      <c r="BC173" s="98"/>
      <c r="BD173" s="98"/>
      <c r="BE173" s="98"/>
      <c r="BF173" s="98"/>
      <c r="BG173" s="98"/>
      <c r="BH173" s="98"/>
      <c r="BI173" s="98"/>
      <c r="BJ173" s="99"/>
      <c r="BM173" s="45">
        <v>1</v>
      </c>
      <c r="BP173" s="47" t="s">
        <v>264</v>
      </c>
      <c r="BR173" s="40" t="s">
        <v>173</v>
      </c>
      <c r="BS173" s="36">
        <f>_xlfn.IFNA(VLOOKUP($BR173,[15]Master!$C$4:$J$13,2,FALSE),"-")</f>
        <v>0.75</v>
      </c>
      <c r="BT173" s="36">
        <f>_xlfn.IFNA(VLOOKUP($BR173,[15]Master!$C$4:$J$13,3,FALSE),"-")</f>
        <v>2.5</v>
      </c>
      <c r="BU173" s="36">
        <f>_xlfn.IFNA(VLOOKUP($BR173,[15]Master!$C$4:$J$13,4,FALSE),"-")</f>
        <v>0.5</v>
      </c>
      <c r="BV173" s="36">
        <f>_xlfn.IFNA(VLOOKUP($BR173,[15]Master!$C$4:$J$13,5,FALSE),"-")</f>
        <v>0.25</v>
      </c>
      <c r="BW173" s="36">
        <f>_xlfn.IFNA(VLOOKUP($BR173,[15]Master!$C$4:$J$13,6,FALSE),"-")</f>
        <v>0.5</v>
      </c>
      <c r="BX173" s="36">
        <f>_xlfn.IFNA(VLOOKUP($BR173,[15]Master!$C$4:$J$13,7,FALSE),"-")</f>
        <v>0.25</v>
      </c>
      <c r="BY173" s="36">
        <f>_xlfn.IFNA(VLOOKUP($BR173,[15]Master!$C$4:$J$13,8,FALSE),"-")</f>
        <v>0.5</v>
      </c>
      <c r="BZ173" s="35">
        <f t="shared" si="4"/>
        <v>5.25</v>
      </c>
    </row>
    <row r="174" spans="2:78" ht="30">
      <c r="B174" s="97" t="s">
        <v>389</v>
      </c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9"/>
      <c r="P174" s="130"/>
      <c r="Q174" s="128"/>
      <c r="R174" s="128"/>
      <c r="S174" s="128"/>
      <c r="T174" s="128"/>
      <c r="U174" s="128"/>
      <c r="V174" s="128"/>
      <c r="W174" s="128"/>
      <c r="X174" s="129"/>
      <c r="Y174" s="97"/>
      <c r="Z174" s="98"/>
      <c r="AA174" s="99"/>
      <c r="AB174" s="97"/>
      <c r="AC174" s="98"/>
      <c r="AD174" s="98"/>
      <c r="AE174" s="98"/>
      <c r="AF174" s="98"/>
      <c r="AG174" s="98"/>
      <c r="AH174" s="98"/>
      <c r="AI174" s="98"/>
      <c r="AJ174" s="99"/>
      <c r="AK174" s="97"/>
      <c r="AL174" s="98"/>
      <c r="AM174" s="99"/>
      <c r="AN174" s="97"/>
      <c r="AO174" s="98"/>
      <c r="AP174" s="98"/>
      <c r="AQ174" s="98"/>
      <c r="AR174" s="98"/>
      <c r="AS174" s="98"/>
      <c r="AT174" s="98"/>
      <c r="AU174" s="98"/>
      <c r="AV174" s="99"/>
      <c r="AW174" s="97"/>
      <c r="AX174" s="98"/>
      <c r="AY174" s="99"/>
      <c r="AZ174" s="97"/>
      <c r="BA174" s="98"/>
      <c r="BB174" s="98"/>
      <c r="BC174" s="98"/>
      <c r="BD174" s="98"/>
      <c r="BE174" s="98"/>
      <c r="BF174" s="98"/>
      <c r="BG174" s="98"/>
      <c r="BH174" s="98"/>
      <c r="BI174" s="98"/>
      <c r="BJ174" s="99"/>
      <c r="BM174" s="45">
        <v>1</v>
      </c>
      <c r="BP174" s="47" t="s">
        <v>264</v>
      </c>
      <c r="BR174" s="40" t="s">
        <v>173</v>
      </c>
      <c r="BS174" s="36">
        <f>_xlfn.IFNA(VLOOKUP($BR174,[15]Master!$C$4:$J$13,2,FALSE),"-")</f>
        <v>0.75</v>
      </c>
      <c r="BT174" s="36">
        <f>_xlfn.IFNA(VLOOKUP($BR174,[15]Master!$C$4:$J$13,3,FALSE),"-")</f>
        <v>2.5</v>
      </c>
      <c r="BU174" s="36">
        <f>_xlfn.IFNA(VLOOKUP($BR174,[15]Master!$C$4:$J$13,4,FALSE),"-")</f>
        <v>0.5</v>
      </c>
      <c r="BV174" s="36">
        <f>_xlfn.IFNA(VLOOKUP($BR174,[15]Master!$C$4:$J$13,5,FALSE),"-")</f>
        <v>0.25</v>
      </c>
      <c r="BW174" s="36">
        <f>_xlfn.IFNA(VLOOKUP($BR174,[15]Master!$C$4:$J$13,6,FALSE),"-")</f>
        <v>0.5</v>
      </c>
      <c r="BX174" s="36">
        <f>_xlfn.IFNA(VLOOKUP($BR174,[15]Master!$C$4:$J$13,7,FALSE),"-")</f>
        <v>0.25</v>
      </c>
      <c r="BY174" s="36">
        <f>_xlfn.IFNA(VLOOKUP($BR174,[15]Master!$C$4:$J$13,8,FALSE),"-")</f>
        <v>0.5</v>
      </c>
      <c r="BZ174" s="35">
        <f t="shared" si="4"/>
        <v>5.25</v>
      </c>
    </row>
    <row r="175" spans="2:78" ht="15.75">
      <c r="B175" s="97"/>
      <c r="C175" s="98" t="s">
        <v>390</v>
      </c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9"/>
      <c r="P175" s="97"/>
      <c r="Q175" s="98"/>
      <c r="R175" s="98"/>
      <c r="S175" s="98"/>
      <c r="T175" s="98"/>
      <c r="U175" s="98"/>
      <c r="V175" s="98"/>
      <c r="W175" s="98"/>
      <c r="X175" s="99"/>
      <c r="Y175" s="97"/>
      <c r="Z175" s="98"/>
      <c r="AA175" s="99"/>
      <c r="AB175" s="97"/>
      <c r="AC175" s="98"/>
      <c r="AD175" s="98"/>
      <c r="AE175" s="98"/>
      <c r="AF175" s="98"/>
      <c r="AG175" s="98"/>
      <c r="AH175" s="98"/>
      <c r="AI175" s="98"/>
      <c r="AJ175" s="99"/>
      <c r="AK175" s="97"/>
      <c r="AL175" s="98"/>
      <c r="AM175" s="99"/>
      <c r="AN175" s="97"/>
      <c r="AO175" s="98"/>
      <c r="AP175" s="98"/>
      <c r="AQ175" s="98"/>
      <c r="AR175" s="98"/>
      <c r="AS175" s="98"/>
      <c r="AT175" s="98"/>
      <c r="AU175" s="98"/>
      <c r="AV175" s="99"/>
      <c r="AW175" s="97"/>
      <c r="AX175" s="98"/>
      <c r="AY175" s="99"/>
      <c r="AZ175" s="97"/>
      <c r="BA175" s="98"/>
      <c r="BB175" s="98"/>
      <c r="BC175" s="98"/>
      <c r="BD175" s="98"/>
      <c r="BE175" s="98"/>
      <c r="BF175" s="98"/>
      <c r="BG175" s="98"/>
      <c r="BH175" s="98"/>
      <c r="BI175" s="98"/>
      <c r="BJ175" s="99"/>
      <c r="BR175" s="40"/>
      <c r="BS175" s="36" t="str">
        <f>_xlfn.IFNA(VLOOKUP($BR175,[15]Master!$C$4:$J$13,2,FALSE),"-")</f>
        <v>-</v>
      </c>
      <c r="BT175" s="36" t="str">
        <f>_xlfn.IFNA(VLOOKUP($BR175,[15]Master!$C$4:$J$13,3,FALSE),"-")</f>
        <v>-</v>
      </c>
      <c r="BU175" s="36" t="str">
        <f>_xlfn.IFNA(VLOOKUP($BR175,[15]Master!$C$4:$J$13,4,FALSE),"-")</f>
        <v>-</v>
      </c>
      <c r="BV175" s="36" t="str">
        <f>_xlfn.IFNA(VLOOKUP($BR175,[15]Master!$C$4:$J$13,5,FALSE),"-")</f>
        <v>-</v>
      </c>
      <c r="BW175" s="36" t="str">
        <f>_xlfn.IFNA(VLOOKUP($BR175,[15]Master!$C$4:$J$13,6,FALSE),"-")</f>
        <v>-</v>
      </c>
      <c r="BX175" s="36" t="str">
        <f>_xlfn.IFNA(VLOOKUP($BR175,[15]Master!$C$4:$J$13,7,FALSE),"-")</f>
        <v>-</v>
      </c>
      <c r="BY175" s="36" t="str">
        <f>_xlfn.IFNA(VLOOKUP($BR175,[15]Master!$C$4:$J$13,8,FALSE),"-")</f>
        <v>-</v>
      </c>
      <c r="BZ175" s="35">
        <f t="shared" si="4"/>
        <v>0</v>
      </c>
    </row>
    <row r="176" spans="2:78" ht="15.7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R176" s="40"/>
      <c r="BS176" s="36" t="str">
        <f>_xlfn.IFNA(VLOOKUP($BR176,[15]Master!$C$4:$J$13,2,FALSE),"-")</f>
        <v>-</v>
      </c>
      <c r="BT176" s="36" t="str">
        <f>_xlfn.IFNA(VLOOKUP($BR176,[15]Master!$C$4:$J$13,3,FALSE),"-")</f>
        <v>-</v>
      </c>
      <c r="BU176" s="36" t="str">
        <f>_xlfn.IFNA(VLOOKUP($BR176,[15]Master!$C$4:$J$13,4,FALSE),"-")</f>
        <v>-</v>
      </c>
      <c r="BV176" s="36" t="str">
        <f>_xlfn.IFNA(VLOOKUP($BR176,[15]Master!$C$4:$J$13,5,FALSE),"-")</f>
        <v>-</v>
      </c>
      <c r="BW176" s="36" t="str">
        <f>_xlfn.IFNA(VLOOKUP($BR176,[15]Master!$C$4:$J$13,6,FALSE),"-")</f>
        <v>-</v>
      </c>
      <c r="BX176" s="36" t="str">
        <f>_xlfn.IFNA(VLOOKUP($BR176,[15]Master!$C$4:$J$13,7,FALSE),"-")</f>
        <v>-</v>
      </c>
      <c r="BY176" s="36" t="str">
        <f>_xlfn.IFNA(VLOOKUP($BR176,[15]Master!$C$4:$J$13,8,FALSE),"-")</f>
        <v>-</v>
      </c>
      <c r="BZ176" s="35">
        <f t="shared" si="4"/>
        <v>0</v>
      </c>
    </row>
    <row r="177" spans="2:78" ht="15.7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R177" s="40"/>
      <c r="BS177" s="36" t="str">
        <f>_xlfn.IFNA(VLOOKUP($BR177,[15]Master!$C$4:$J$13,2,FALSE),"-")</f>
        <v>-</v>
      </c>
      <c r="BT177" s="36" t="str">
        <f>_xlfn.IFNA(VLOOKUP($BR177,[15]Master!$C$4:$J$13,3,FALSE),"-")</f>
        <v>-</v>
      </c>
      <c r="BU177" s="36" t="str">
        <f>_xlfn.IFNA(VLOOKUP($BR177,[15]Master!$C$4:$J$13,4,FALSE),"-")</f>
        <v>-</v>
      </c>
      <c r="BV177" s="36" t="str">
        <f>_xlfn.IFNA(VLOOKUP($BR177,[15]Master!$C$4:$J$13,5,FALSE),"-")</f>
        <v>-</v>
      </c>
      <c r="BW177" s="36" t="str">
        <f>_xlfn.IFNA(VLOOKUP($BR177,[15]Master!$C$4:$J$13,6,FALSE),"-")</f>
        <v>-</v>
      </c>
      <c r="BX177" s="36" t="str">
        <f>_xlfn.IFNA(VLOOKUP($BR177,[15]Master!$C$4:$J$13,7,FALSE),"-")</f>
        <v>-</v>
      </c>
      <c r="BY177" s="36" t="str">
        <f>_xlfn.IFNA(VLOOKUP($BR177,[15]Master!$C$4:$J$13,8,FALSE),"-")</f>
        <v>-</v>
      </c>
      <c r="BZ177" s="35">
        <f t="shared" si="4"/>
        <v>0</v>
      </c>
    </row>
    <row r="178" spans="2:78" ht="15.7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R178" s="40"/>
      <c r="BS178" s="36" t="str">
        <f>_xlfn.IFNA(VLOOKUP($BR178,[15]Master!$C$4:$J$13,2,FALSE),"-")</f>
        <v>-</v>
      </c>
      <c r="BT178" s="36" t="str">
        <f>_xlfn.IFNA(VLOOKUP($BR178,[15]Master!$C$4:$J$13,3,FALSE),"-")</f>
        <v>-</v>
      </c>
      <c r="BU178" s="36" t="str">
        <f>_xlfn.IFNA(VLOOKUP($BR178,[15]Master!$C$4:$J$13,4,FALSE),"-")</f>
        <v>-</v>
      </c>
      <c r="BV178" s="36" t="str">
        <f>_xlfn.IFNA(VLOOKUP($BR178,[15]Master!$C$4:$J$13,5,FALSE),"-")</f>
        <v>-</v>
      </c>
      <c r="BW178" s="36" t="str">
        <f>_xlfn.IFNA(VLOOKUP($BR178,[15]Master!$C$4:$J$13,6,FALSE),"-")</f>
        <v>-</v>
      </c>
      <c r="BX178" s="36" t="str">
        <f>_xlfn.IFNA(VLOOKUP($BR178,[15]Master!$C$4:$J$13,7,FALSE),"-")</f>
        <v>-</v>
      </c>
      <c r="BY178" s="36" t="str">
        <f>_xlfn.IFNA(VLOOKUP($BR178,[15]Master!$C$4:$J$13,8,FALSE),"-")</f>
        <v>-</v>
      </c>
      <c r="BZ178" s="35">
        <f t="shared" si="4"/>
        <v>0</v>
      </c>
    </row>
    <row r="179" spans="2:78" ht="15.75">
      <c r="B179" s="70" t="s">
        <v>391</v>
      </c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R179" s="40"/>
      <c r="BS179" s="36" t="str">
        <f>_xlfn.IFNA(VLOOKUP($BR179,[15]Master!$C$4:$J$13,2,FALSE),"-")</f>
        <v>-</v>
      </c>
      <c r="BT179" s="36" t="str">
        <f>_xlfn.IFNA(VLOOKUP($BR179,[15]Master!$C$4:$J$13,3,FALSE),"-")</f>
        <v>-</v>
      </c>
      <c r="BU179" s="36" t="str">
        <f>_xlfn.IFNA(VLOOKUP($BR179,[15]Master!$C$4:$J$13,4,FALSE),"-")</f>
        <v>-</v>
      </c>
      <c r="BV179" s="36" t="str">
        <f>_xlfn.IFNA(VLOOKUP($BR179,[15]Master!$C$4:$J$13,5,FALSE),"-")</f>
        <v>-</v>
      </c>
      <c r="BW179" s="36" t="str">
        <f>_xlfn.IFNA(VLOOKUP($BR179,[15]Master!$C$4:$J$13,6,FALSE),"-")</f>
        <v>-</v>
      </c>
      <c r="BX179" s="36" t="str">
        <f>_xlfn.IFNA(VLOOKUP($BR179,[15]Master!$C$4:$J$13,7,FALSE),"-")</f>
        <v>-</v>
      </c>
      <c r="BY179" s="36" t="str">
        <f>_xlfn.IFNA(VLOOKUP($BR179,[15]Master!$C$4:$J$13,8,FALSE),"-")</f>
        <v>-</v>
      </c>
      <c r="BZ179" s="35">
        <f t="shared" si="4"/>
        <v>0</v>
      </c>
    </row>
    <row r="180" spans="2:78" ht="15.75">
      <c r="B180" s="344" t="s">
        <v>139</v>
      </c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6"/>
      <c r="P180" s="340" t="s">
        <v>140</v>
      </c>
      <c r="Q180" s="338"/>
      <c r="R180" s="338"/>
      <c r="S180" s="338"/>
      <c r="T180" s="338"/>
      <c r="U180" s="338"/>
      <c r="V180" s="338"/>
      <c r="W180" s="338"/>
      <c r="X180" s="339"/>
      <c r="Y180" s="120" t="s">
        <v>141</v>
      </c>
      <c r="Z180" s="121"/>
      <c r="AA180" s="122"/>
      <c r="AB180" s="340" t="s">
        <v>142</v>
      </c>
      <c r="AC180" s="338"/>
      <c r="AD180" s="338"/>
      <c r="AE180" s="338"/>
      <c r="AF180" s="338"/>
      <c r="AG180" s="338"/>
      <c r="AH180" s="338"/>
      <c r="AI180" s="338"/>
      <c r="AJ180" s="339"/>
      <c r="AK180" s="120" t="s">
        <v>143</v>
      </c>
      <c r="AL180" s="121"/>
      <c r="AM180" s="122"/>
      <c r="AN180" s="344" t="s">
        <v>144</v>
      </c>
      <c r="AO180" s="345"/>
      <c r="AP180" s="345"/>
      <c r="AQ180" s="345"/>
      <c r="AR180" s="345"/>
      <c r="AS180" s="345"/>
      <c r="AT180" s="345"/>
      <c r="AU180" s="345"/>
      <c r="AV180" s="346"/>
      <c r="AW180" s="120" t="s">
        <v>145</v>
      </c>
      <c r="AX180" s="121"/>
      <c r="AY180" s="122"/>
      <c r="AZ180" s="344" t="s">
        <v>146</v>
      </c>
      <c r="BA180" s="345"/>
      <c r="BB180" s="345"/>
      <c r="BC180" s="345"/>
      <c r="BD180" s="345"/>
      <c r="BE180" s="345"/>
      <c r="BF180" s="345"/>
      <c r="BG180" s="345"/>
      <c r="BH180" s="345"/>
      <c r="BI180" s="345"/>
      <c r="BJ180" s="346"/>
      <c r="BR180" s="40"/>
      <c r="BS180" s="36" t="str">
        <f>_xlfn.IFNA(VLOOKUP($BR180,[15]Master!$C$4:$J$13,2,FALSE),"-")</f>
        <v>-</v>
      </c>
      <c r="BT180" s="36" t="str">
        <f>_xlfn.IFNA(VLOOKUP($BR180,[15]Master!$C$4:$J$13,3,FALSE),"-")</f>
        <v>-</v>
      </c>
      <c r="BU180" s="36" t="str">
        <f>_xlfn.IFNA(VLOOKUP($BR180,[15]Master!$C$4:$J$13,4,FALSE),"-")</f>
        <v>-</v>
      </c>
      <c r="BV180" s="36" t="str">
        <f>_xlfn.IFNA(VLOOKUP($BR180,[15]Master!$C$4:$J$13,5,FALSE),"-")</f>
        <v>-</v>
      </c>
      <c r="BW180" s="36" t="str">
        <f>_xlfn.IFNA(VLOOKUP($BR180,[15]Master!$C$4:$J$13,6,FALSE),"-")</f>
        <v>-</v>
      </c>
      <c r="BX180" s="36" t="str">
        <f>_xlfn.IFNA(VLOOKUP($BR180,[15]Master!$C$4:$J$13,7,FALSE),"-")</f>
        <v>-</v>
      </c>
      <c r="BY180" s="36" t="str">
        <f>_xlfn.IFNA(VLOOKUP($BR180,[15]Master!$C$4:$J$13,8,FALSE),"-")</f>
        <v>-</v>
      </c>
      <c r="BZ180" s="35">
        <f t="shared" si="4"/>
        <v>0</v>
      </c>
    </row>
    <row r="181" spans="2:78" ht="15.75">
      <c r="B181" s="82" t="s">
        <v>392</v>
      </c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4"/>
      <c r="P181" s="82"/>
      <c r="Q181" s="83"/>
      <c r="R181" s="83"/>
      <c r="S181" s="83"/>
      <c r="T181" s="83"/>
      <c r="U181" s="83"/>
      <c r="V181" s="83"/>
      <c r="W181" s="83"/>
      <c r="X181" s="84"/>
      <c r="Y181" s="82"/>
      <c r="Z181" s="83"/>
      <c r="AA181" s="84"/>
      <c r="AB181" s="82"/>
      <c r="AC181" s="83"/>
      <c r="AD181" s="83"/>
      <c r="AE181" s="83"/>
      <c r="AF181" s="83"/>
      <c r="AG181" s="83"/>
      <c r="AH181" s="83"/>
      <c r="AI181" s="83"/>
      <c r="AJ181" s="84"/>
      <c r="AK181" s="82"/>
      <c r="AL181" s="83"/>
      <c r="AM181" s="84"/>
      <c r="AN181" s="82"/>
      <c r="AO181" s="83"/>
      <c r="AP181" s="83"/>
      <c r="AQ181" s="83"/>
      <c r="AR181" s="83"/>
      <c r="AS181" s="83"/>
      <c r="AT181" s="83"/>
      <c r="AU181" s="83"/>
      <c r="AV181" s="84"/>
      <c r="AW181" s="82"/>
      <c r="AX181" s="83"/>
      <c r="AY181" s="84"/>
      <c r="AZ181" s="82"/>
      <c r="BA181" s="83"/>
      <c r="BB181" s="83"/>
      <c r="BC181" s="83"/>
      <c r="BD181" s="83"/>
      <c r="BE181" s="83"/>
      <c r="BF181" s="83"/>
      <c r="BG181" s="83"/>
      <c r="BH181" s="83"/>
      <c r="BI181" s="83"/>
      <c r="BJ181" s="84"/>
      <c r="BR181" s="40"/>
      <c r="BS181" s="36" t="str">
        <f>_xlfn.IFNA(VLOOKUP($BR181,[15]Master!$C$4:$J$13,2,FALSE),"-")</f>
        <v>-</v>
      </c>
      <c r="BT181" s="36" t="str">
        <f>_xlfn.IFNA(VLOOKUP($BR181,[15]Master!$C$4:$J$13,3,FALSE),"-")</f>
        <v>-</v>
      </c>
      <c r="BU181" s="36" t="str">
        <f>_xlfn.IFNA(VLOOKUP($BR181,[15]Master!$C$4:$J$13,4,FALSE),"-")</f>
        <v>-</v>
      </c>
      <c r="BV181" s="36" t="str">
        <f>_xlfn.IFNA(VLOOKUP($BR181,[15]Master!$C$4:$J$13,5,FALSE),"-")</f>
        <v>-</v>
      </c>
      <c r="BW181" s="36" t="str">
        <f>_xlfn.IFNA(VLOOKUP($BR181,[15]Master!$C$4:$J$13,6,FALSE),"-")</f>
        <v>-</v>
      </c>
      <c r="BX181" s="36" t="str">
        <f>_xlfn.IFNA(VLOOKUP($BR181,[15]Master!$C$4:$J$13,7,FALSE),"-")</f>
        <v>-</v>
      </c>
      <c r="BY181" s="36" t="str">
        <f>_xlfn.IFNA(VLOOKUP($BR181,[15]Master!$C$4:$J$13,8,FALSE),"-")</f>
        <v>-</v>
      </c>
      <c r="BZ181" s="35">
        <f t="shared" si="4"/>
        <v>0</v>
      </c>
    </row>
    <row r="182" spans="2:78" ht="15.75">
      <c r="B182" s="131" t="s">
        <v>393</v>
      </c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3"/>
      <c r="P182" s="131"/>
      <c r="Q182" s="132"/>
      <c r="R182" s="132"/>
      <c r="S182" s="132"/>
      <c r="T182" s="132"/>
      <c r="U182" s="132"/>
      <c r="V182" s="132"/>
      <c r="W182" s="132"/>
      <c r="X182" s="133"/>
      <c r="Y182" s="131"/>
      <c r="Z182" s="132"/>
      <c r="AA182" s="133"/>
      <c r="AB182" s="131"/>
      <c r="AC182" s="132"/>
      <c r="AD182" s="132"/>
      <c r="AE182" s="132"/>
      <c r="AF182" s="132"/>
      <c r="AG182" s="132"/>
      <c r="AH182" s="132"/>
      <c r="AI182" s="132"/>
      <c r="AJ182" s="133"/>
      <c r="AK182" s="131"/>
      <c r="AL182" s="132"/>
      <c r="AM182" s="133"/>
      <c r="AN182" s="131"/>
      <c r="AO182" s="132"/>
      <c r="AP182" s="132"/>
      <c r="AQ182" s="132"/>
      <c r="AR182" s="132"/>
      <c r="AS182" s="132"/>
      <c r="AT182" s="132"/>
      <c r="AU182" s="132"/>
      <c r="AV182" s="133"/>
      <c r="AW182" s="131"/>
      <c r="AX182" s="132"/>
      <c r="AY182" s="133"/>
      <c r="AZ182" s="131"/>
      <c r="BA182" s="132"/>
      <c r="BB182" s="132"/>
      <c r="BC182" s="132"/>
      <c r="BD182" s="132"/>
      <c r="BE182" s="132"/>
      <c r="BF182" s="132"/>
      <c r="BG182" s="132"/>
      <c r="BH182" s="132"/>
      <c r="BI182" s="132"/>
      <c r="BJ182" s="133"/>
      <c r="BR182" s="40"/>
      <c r="BS182" s="36" t="str">
        <f>_xlfn.IFNA(VLOOKUP($BR182,[15]Master!$C$4:$J$13,2,FALSE),"-")</f>
        <v>-</v>
      </c>
      <c r="BT182" s="36" t="str">
        <f>_xlfn.IFNA(VLOOKUP($BR182,[15]Master!$C$4:$J$13,3,FALSE),"-")</f>
        <v>-</v>
      </c>
      <c r="BU182" s="36" t="str">
        <f>_xlfn.IFNA(VLOOKUP($BR182,[15]Master!$C$4:$J$13,4,FALSE),"-")</f>
        <v>-</v>
      </c>
      <c r="BV182" s="36" t="str">
        <f>_xlfn.IFNA(VLOOKUP($BR182,[15]Master!$C$4:$J$13,5,FALSE),"-")</f>
        <v>-</v>
      </c>
      <c r="BW182" s="36" t="str">
        <f>_xlfn.IFNA(VLOOKUP($BR182,[15]Master!$C$4:$J$13,6,FALSE),"-")</f>
        <v>-</v>
      </c>
      <c r="BX182" s="36" t="str">
        <f>_xlfn.IFNA(VLOOKUP($BR182,[15]Master!$C$4:$J$13,7,FALSE),"-")</f>
        <v>-</v>
      </c>
      <c r="BY182" s="36" t="str">
        <f>_xlfn.IFNA(VLOOKUP($BR182,[15]Master!$C$4:$J$13,8,FALSE),"-")</f>
        <v>-</v>
      </c>
      <c r="BZ182" s="35">
        <f t="shared" si="4"/>
        <v>0</v>
      </c>
    </row>
    <row r="183" spans="2:78" ht="15.75">
      <c r="B183" s="97"/>
      <c r="C183" s="98" t="s">
        <v>394</v>
      </c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9"/>
      <c r="P183" s="97"/>
      <c r="Q183" s="98"/>
      <c r="R183" s="98"/>
      <c r="S183" s="98"/>
      <c r="T183" s="98"/>
      <c r="U183" s="98"/>
      <c r="V183" s="98"/>
      <c r="W183" s="98"/>
      <c r="X183" s="99"/>
      <c r="Y183" s="97"/>
      <c r="Z183" s="98"/>
      <c r="AA183" s="99"/>
      <c r="AB183" s="97"/>
      <c r="AC183" s="98"/>
      <c r="AD183" s="98"/>
      <c r="AE183" s="98"/>
      <c r="AF183" s="98"/>
      <c r="AG183" s="98"/>
      <c r="AH183" s="98"/>
      <c r="AI183" s="98"/>
      <c r="AJ183" s="99"/>
      <c r="AK183" s="97"/>
      <c r="AL183" s="98"/>
      <c r="AM183" s="99"/>
      <c r="AN183" s="97"/>
      <c r="AO183" s="98"/>
      <c r="AP183" s="98"/>
      <c r="AQ183" s="98"/>
      <c r="AR183" s="98"/>
      <c r="AS183" s="98"/>
      <c r="AT183" s="98"/>
      <c r="AU183" s="98"/>
      <c r="AV183" s="99"/>
      <c r="AW183" s="97"/>
      <c r="AX183" s="98"/>
      <c r="AY183" s="99"/>
      <c r="AZ183" s="97"/>
      <c r="BA183" s="98"/>
      <c r="BB183" s="98"/>
      <c r="BC183" s="98"/>
      <c r="BD183" s="98"/>
      <c r="BE183" s="98"/>
      <c r="BF183" s="98"/>
      <c r="BG183" s="98"/>
      <c r="BH183" s="98"/>
      <c r="BI183" s="98"/>
      <c r="BJ183" s="99"/>
      <c r="BR183" s="40"/>
      <c r="BS183" s="36" t="str">
        <f>_xlfn.IFNA(VLOOKUP($BR183,[15]Master!$C$4:$J$13,2,FALSE),"-")</f>
        <v>-</v>
      </c>
      <c r="BT183" s="36" t="str">
        <f>_xlfn.IFNA(VLOOKUP($BR183,[15]Master!$C$4:$J$13,3,FALSE),"-")</f>
        <v>-</v>
      </c>
      <c r="BU183" s="36" t="str">
        <f>_xlfn.IFNA(VLOOKUP($BR183,[15]Master!$C$4:$J$13,4,FALSE),"-")</f>
        <v>-</v>
      </c>
      <c r="BV183" s="36" t="str">
        <f>_xlfn.IFNA(VLOOKUP($BR183,[15]Master!$C$4:$J$13,5,FALSE),"-")</f>
        <v>-</v>
      </c>
      <c r="BW183" s="36" t="str">
        <f>_xlfn.IFNA(VLOOKUP($BR183,[15]Master!$C$4:$J$13,6,FALSE),"-")</f>
        <v>-</v>
      </c>
      <c r="BX183" s="36" t="str">
        <f>_xlfn.IFNA(VLOOKUP($BR183,[15]Master!$C$4:$J$13,7,FALSE),"-")</f>
        <v>-</v>
      </c>
      <c r="BY183" s="36" t="str">
        <f>_xlfn.IFNA(VLOOKUP($BR183,[15]Master!$C$4:$J$13,8,FALSE),"-")</f>
        <v>-</v>
      </c>
      <c r="BZ183" s="35">
        <f t="shared" si="4"/>
        <v>0</v>
      </c>
    </row>
    <row r="184" spans="2:78" ht="15.75">
      <c r="B184" s="97"/>
      <c r="C184" s="98" t="s">
        <v>395</v>
      </c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9"/>
      <c r="P184" s="97"/>
      <c r="Q184" s="98"/>
      <c r="R184" s="98"/>
      <c r="S184" s="98"/>
      <c r="T184" s="98"/>
      <c r="U184" s="98"/>
      <c r="V184" s="98"/>
      <c r="W184" s="98"/>
      <c r="X184" s="99"/>
      <c r="Y184" s="97"/>
      <c r="Z184" s="98"/>
      <c r="AA184" s="99"/>
      <c r="AB184" s="97"/>
      <c r="AC184" s="98"/>
      <c r="AD184" s="98"/>
      <c r="AE184" s="98"/>
      <c r="AF184" s="98"/>
      <c r="AG184" s="98"/>
      <c r="AH184" s="98"/>
      <c r="AI184" s="98"/>
      <c r="AJ184" s="99"/>
      <c r="AK184" s="97"/>
      <c r="AL184" s="98"/>
      <c r="AM184" s="99"/>
      <c r="AN184" s="97"/>
      <c r="AO184" s="98"/>
      <c r="AP184" s="98"/>
      <c r="AQ184" s="98"/>
      <c r="AR184" s="98"/>
      <c r="AS184" s="98"/>
      <c r="AT184" s="98"/>
      <c r="AU184" s="98"/>
      <c r="AV184" s="99"/>
      <c r="AW184" s="97"/>
      <c r="AX184" s="98"/>
      <c r="AY184" s="99"/>
      <c r="AZ184" s="97"/>
      <c r="BA184" s="98"/>
      <c r="BB184" s="98"/>
      <c r="BC184" s="98"/>
      <c r="BD184" s="98"/>
      <c r="BE184" s="98"/>
      <c r="BF184" s="98"/>
      <c r="BG184" s="98"/>
      <c r="BH184" s="98"/>
      <c r="BI184" s="98"/>
      <c r="BJ184" s="99"/>
      <c r="BR184" s="40"/>
      <c r="BS184" s="36" t="str">
        <f>_xlfn.IFNA(VLOOKUP($BR184,[15]Master!$C$4:$J$13,2,FALSE),"-")</f>
        <v>-</v>
      </c>
      <c r="BT184" s="36" t="str">
        <f>_xlfn.IFNA(VLOOKUP($BR184,[15]Master!$C$4:$J$13,3,FALSE),"-")</f>
        <v>-</v>
      </c>
      <c r="BU184" s="36" t="str">
        <f>_xlfn.IFNA(VLOOKUP($BR184,[15]Master!$C$4:$J$13,4,FALSE),"-")</f>
        <v>-</v>
      </c>
      <c r="BV184" s="36" t="str">
        <f>_xlfn.IFNA(VLOOKUP($BR184,[15]Master!$C$4:$J$13,5,FALSE),"-")</f>
        <v>-</v>
      </c>
      <c r="BW184" s="36" t="str">
        <f>_xlfn.IFNA(VLOOKUP($BR184,[15]Master!$C$4:$J$13,6,FALSE),"-")</f>
        <v>-</v>
      </c>
      <c r="BX184" s="36" t="str">
        <f>_xlfn.IFNA(VLOOKUP($BR184,[15]Master!$C$4:$J$13,7,FALSE),"-")</f>
        <v>-</v>
      </c>
      <c r="BY184" s="36" t="str">
        <f>_xlfn.IFNA(VLOOKUP($BR184,[15]Master!$C$4:$J$13,8,FALSE),"-")</f>
        <v>-</v>
      </c>
      <c r="BZ184" s="35">
        <f t="shared" si="4"/>
        <v>0</v>
      </c>
    </row>
    <row r="185" spans="2:78" ht="15.75">
      <c r="B185" s="97"/>
      <c r="C185" s="98" t="s">
        <v>396</v>
      </c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9"/>
      <c r="P185" s="97"/>
      <c r="Q185" s="98"/>
      <c r="R185" s="98"/>
      <c r="S185" s="98"/>
      <c r="T185" s="98"/>
      <c r="U185" s="98"/>
      <c r="V185" s="98"/>
      <c r="W185" s="98"/>
      <c r="X185" s="99"/>
      <c r="Y185" s="97"/>
      <c r="Z185" s="98"/>
      <c r="AA185" s="99"/>
      <c r="AB185" s="97"/>
      <c r="AC185" s="98"/>
      <c r="AD185" s="98"/>
      <c r="AE185" s="98"/>
      <c r="AF185" s="98"/>
      <c r="AG185" s="98"/>
      <c r="AH185" s="98"/>
      <c r="AI185" s="98"/>
      <c r="AJ185" s="99"/>
      <c r="AK185" s="97"/>
      <c r="AL185" s="98"/>
      <c r="AM185" s="99"/>
      <c r="AN185" s="97"/>
      <c r="AO185" s="98"/>
      <c r="AP185" s="98"/>
      <c r="AQ185" s="98"/>
      <c r="AR185" s="98"/>
      <c r="AS185" s="98"/>
      <c r="AT185" s="98"/>
      <c r="AU185" s="98"/>
      <c r="AV185" s="99"/>
      <c r="AW185" s="97"/>
      <c r="AX185" s="98"/>
      <c r="AY185" s="99"/>
      <c r="AZ185" s="97"/>
      <c r="BA185" s="98"/>
      <c r="BB185" s="98"/>
      <c r="BC185" s="98"/>
      <c r="BD185" s="98"/>
      <c r="BE185" s="98"/>
      <c r="BF185" s="98"/>
      <c r="BG185" s="98"/>
      <c r="BH185" s="98"/>
      <c r="BI185" s="98"/>
      <c r="BJ185" s="99"/>
      <c r="BR185" s="40"/>
      <c r="BS185" s="36" t="str">
        <f>_xlfn.IFNA(VLOOKUP($BR185,[15]Master!$C$4:$J$13,2,FALSE),"-")</f>
        <v>-</v>
      </c>
      <c r="BT185" s="36" t="str">
        <f>_xlfn.IFNA(VLOOKUP($BR185,[15]Master!$C$4:$J$13,3,FALSE),"-")</f>
        <v>-</v>
      </c>
      <c r="BU185" s="36" t="str">
        <f>_xlfn.IFNA(VLOOKUP($BR185,[15]Master!$C$4:$J$13,4,FALSE),"-")</f>
        <v>-</v>
      </c>
      <c r="BV185" s="36" t="str">
        <f>_xlfn.IFNA(VLOOKUP($BR185,[15]Master!$C$4:$J$13,5,FALSE),"-")</f>
        <v>-</v>
      </c>
      <c r="BW185" s="36" t="str">
        <f>_xlfn.IFNA(VLOOKUP($BR185,[15]Master!$C$4:$J$13,6,FALSE),"-")</f>
        <v>-</v>
      </c>
      <c r="BX185" s="36" t="str">
        <f>_xlfn.IFNA(VLOOKUP($BR185,[15]Master!$C$4:$J$13,7,FALSE),"-")</f>
        <v>-</v>
      </c>
      <c r="BY185" s="36" t="str">
        <f>_xlfn.IFNA(VLOOKUP($BR185,[15]Master!$C$4:$J$13,8,FALSE),"-")</f>
        <v>-</v>
      </c>
      <c r="BZ185" s="35">
        <f t="shared" si="4"/>
        <v>0</v>
      </c>
    </row>
    <row r="186" spans="2:78" ht="15.75">
      <c r="B186" s="97" t="s">
        <v>397</v>
      </c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9"/>
      <c r="P186" s="97"/>
      <c r="Q186" s="98"/>
      <c r="R186" s="98"/>
      <c r="S186" s="98"/>
      <c r="T186" s="98"/>
      <c r="U186" s="98"/>
      <c r="V186" s="98"/>
      <c r="W186" s="98"/>
      <c r="X186" s="99"/>
      <c r="Y186" s="97"/>
      <c r="Z186" s="98"/>
      <c r="AA186" s="99"/>
      <c r="AB186" s="97"/>
      <c r="AC186" s="98"/>
      <c r="AD186" s="98"/>
      <c r="AE186" s="98"/>
      <c r="AF186" s="98"/>
      <c r="AG186" s="98"/>
      <c r="AH186" s="98"/>
      <c r="AI186" s="98"/>
      <c r="AJ186" s="99"/>
      <c r="AK186" s="97"/>
      <c r="AL186" s="98"/>
      <c r="AM186" s="99"/>
      <c r="AN186" s="97"/>
      <c r="AO186" s="98"/>
      <c r="AP186" s="98"/>
      <c r="AQ186" s="98"/>
      <c r="AR186" s="98"/>
      <c r="AS186" s="98"/>
      <c r="AT186" s="98"/>
      <c r="AU186" s="98"/>
      <c r="AV186" s="99"/>
      <c r="AW186" s="97"/>
      <c r="AX186" s="98"/>
      <c r="AY186" s="99"/>
      <c r="AZ186" s="97"/>
      <c r="BA186" s="98"/>
      <c r="BB186" s="98"/>
      <c r="BC186" s="98"/>
      <c r="BD186" s="98"/>
      <c r="BE186" s="98"/>
      <c r="BF186" s="98"/>
      <c r="BG186" s="98"/>
      <c r="BH186" s="98"/>
      <c r="BI186" s="98"/>
      <c r="BJ186" s="99"/>
      <c r="BR186" s="40"/>
      <c r="BS186" s="36" t="str">
        <f>_xlfn.IFNA(VLOOKUP($BR186,[15]Master!$C$4:$J$13,2,FALSE),"-")</f>
        <v>-</v>
      </c>
      <c r="BT186" s="36" t="str">
        <f>_xlfn.IFNA(VLOOKUP($BR186,[15]Master!$C$4:$J$13,3,FALSE),"-")</f>
        <v>-</v>
      </c>
      <c r="BU186" s="36" t="str">
        <f>_xlfn.IFNA(VLOOKUP($BR186,[15]Master!$C$4:$J$13,4,FALSE),"-")</f>
        <v>-</v>
      </c>
      <c r="BV186" s="36" t="str">
        <f>_xlfn.IFNA(VLOOKUP($BR186,[15]Master!$C$4:$J$13,5,FALSE),"-")</f>
        <v>-</v>
      </c>
      <c r="BW186" s="36" t="str">
        <f>_xlfn.IFNA(VLOOKUP($BR186,[15]Master!$C$4:$J$13,6,FALSE),"-")</f>
        <v>-</v>
      </c>
      <c r="BX186" s="36" t="str">
        <f>_xlfn.IFNA(VLOOKUP($BR186,[15]Master!$C$4:$J$13,7,FALSE),"-")</f>
        <v>-</v>
      </c>
      <c r="BY186" s="36" t="str">
        <f>_xlfn.IFNA(VLOOKUP($BR186,[15]Master!$C$4:$J$13,8,FALSE),"-")</f>
        <v>-</v>
      </c>
      <c r="BZ186" s="35">
        <f t="shared" si="4"/>
        <v>0</v>
      </c>
    </row>
    <row r="187" spans="2:78" ht="15.75">
      <c r="B187" s="131" t="s">
        <v>398</v>
      </c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3"/>
      <c r="P187" s="131"/>
      <c r="Q187" s="132"/>
      <c r="R187" s="132"/>
      <c r="S187" s="132"/>
      <c r="T187" s="132"/>
      <c r="U187" s="132"/>
      <c r="V187" s="132"/>
      <c r="W187" s="132"/>
      <c r="X187" s="133"/>
      <c r="Y187" s="131"/>
      <c r="Z187" s="132"/>
      <c r="AA187" s="133"/>
      <c r="AB187" s="131"/>
      <c r="AC187" s="132"/>
      <c r="AD187" s="132"/>
      <c r="AE187" s="132"/>
      <c r="AF187" s="132"/>
      <c r="AG187" s="132"/>
      <c r="AH187" s="132"/>
      <c r="AI187" s="132"/>
      <c r="AJ187" s="133"/>
      <c r="AK187" s="131"/>
      <c r="AL187" s="132"/>
      <c r="AM187" s="133"/>
      <c r="AN187" s="131"/>
      <c r="AO187" s="132"/>
      <c r="AP187" s="132"/>
      <c r="AQ187" s="132"/>
      <c r="AR187" s="132"/>
      <c r="AS187" s="132"/>
      <c r="AT187" s="132"/>
      <c r="AU187" s="132"/>
      <c r="AV187" s="133"/>
      <c r="AW187" s="131"/>
      <c r="AX187" s="132"/>
      <c r="AY187" s="133"/>
      <c r="AZ187" s="131"/>
      <c r="BA187" s="132"/>
      <c r="BB187" s="132"/>
      <c r="BC187" s="132"/>
      <c r="BD187" s="132"/>
      <c r="BE187" s="132"/>
      <c r="BF187" s="132"/>
      <c r="BG187" s="132"/>
      <c r="BH187" s="132"/>
      <c r="BI187" s="132"/>
      <c r="BJ187" s="133"/>
      <c r="BR187" s="40"/>
      <c r="BS187" s="36" t="str">
        <f>_xlfn.IFNA(VLOOKUP($BR187,[15]Master!$C$4:$J$13,2,FALSE),"-")</f>
        <v>-</v>
      </c>
      <c r="BT187" s="36" t="str">
        <f>_xlfn.IFNA(VLOOKUP($BR187,[15]Master!$C$4:$J$13,3,FALSE),"-")</f>
        <v>-</v>
      </c>
      <c r="BU187" s="36" t="str">
        <f>_xlfn.IFNA(VLOOKUP($BR187,[15]Master!$C$4:$J$13,4,FALSE),"-")</f>
        <v>-</v>
      </c>
      <c r="BV187" s="36" t="str">
        <f>_xlfn.IFNA(VLOOKUP($BR187,[15]Master!$C$4:$J$13,5,FALSE),"-")</f>
        <v>-</v>
      </c>
      <c r="BW187" s="36" t="str">
        <f>_xlfn.IFNA(VLOOKUP($BR187,[15]Master!$C$4:$J$13,6,FALSE),"-")</f>
        <v>-</v>
      </c>
      <c r="BX187" s="36" t="str">
        <f>_xlfn.IFNA(VLOOKUP($BR187,[15]Master!$C$4:$J$13,7,FALSE),"-")</f>
        <v>-</v>
      </c>
      <c r="BY187" s="36" t="str">
        <f>_xlfn.IFNA(VLOOKUP($BR187,[15]Master!$C$4:$J$13,8,FALSE),"-")</f>
        <v>-</v>
      </c>
      <c r="BZ187" s="35">
        <f t="shared" si="4"/>
        <v>0</v>
      </c>
    </row>
    <row r="188" spans="2:78" ht="15.75">
      <c r="B188" s="97"/>
      <c r="C188" s="98" t="s">
        <v>399</v>
      </c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9"/>
      <c r="P188" s="97"/>
      <c r="Q188" s="98"/>
      <c r="R188" s="98"/>
      <c r="S188" s="98"/>
      <c r="T188" s="98"/>
      <c r="U188" s="98"/>
      <c r="V188" s="98"/>
      <c r="W188" s="98"/>
      <c r="X188" s="99"/>
      <c r="Y188" s="97"/>
      <c r="Z188" s="98"/>
      <c r="AA188" s="99"/>
      <c r="AB188" s="97"/>
      <c r="AC188" s="98"/>
      <c r="AD188" s="98"/>
      <c r="AE188" s="98"/>
      <c r="AF188" s="98"/>
      <c r="AG188" s="98"/>
      <c r="AH188" s="98"/>
      <c r="AI188" s="98"/>
      <c r="AJ188" s="99"/>
      <c r="AK188" s="97"/>
      <c r="AL188" s="98"/>
      <c r="AM188" s="99"/>
      <c r="AN188" s="97"/>
      <c r="AO188" s="98"/>
      <c r="AP188" s="98"/>
      <c r="AQ188" s="98"/>
      <c r="AR188" s="98"/>
      <c r="AS188" s="98"/>
      <c r="AT188" s="98"/>
      <c r="AU188" s="98"/>
      <c r="AV188" s="99"/>
      <c r="AW188" s="97"/>
      <c r="AX188" s="98"/>
      <c r="AY188" s="99"/>
      <c r="AZ188" s="97"/>
      <c r="BA188" s="98"/>
      <c r="BB188" s="98"/>
      <c r="BC188" s="98"/>
      <c r="BD188" s="98"/>
      <c r="BE188" s="98"/>
      <c r="BF188" s="98"/>
      <c r="BG188" s="98"/>
      <c r="BH188" s="98"/>
      <c r="BI188" s="98"/>
      <c r="BJ188" s="99"/>
      <c r="BR188" s="40"/>
      <c r="BS188" s="36" t="str">
        <f>_xlfn.IFNA(VLOOKUP($BR188,[15]Master!$C$4:$J$13,2,FALSE),"-")</f>
        <v>-</v>
      </c>
      <c r="BT188" s="36" t="str">
        <f>_xlfn.IFNA(VLOOKUP($BR188,[15]Master!$C$4:$J$13,3,FALSE),"-")</f>
        <v>-</v>
      </c>
      <c r="BU188" s="36" t="str">
        <f>_xlfn.IFNA(VLOOKUP($BR188,[15]Master!$C$4:$J$13,4,FALSE),"-")</f>
        <v>-</v>
      </c>
      <c r="BV188" s="36" t="str">
        <f>_xlfn.IFNA(VLOOKUP($BR188,[15]Master!$C$4:$J$13,5,FALSE),"-")</f>
        <v>-</v>
      </c>
      <c r="BW188" s="36" t="str">
        <f>_xlfn.IFNA(VLOOKUP($BR188,[15]Master!$C$4:$J$13,6,FALSE),"-")</f>
        <v>-</v>
      </c>
      <c r="BX188" s="36" t="str">
        <f>_xlfn.IFNA(VLOOKUP($BR188,[15]Master!$C$4:$J$13,7,FALSE),"-")</f>
        <v>-</v>
      </c>
      <c r="BY188" s="36" t="str">
        <f>_xlfn.IFNA(VLOOKUP($BR188,[15]Master!$C$4:$J$13,8,FALSE),"-")</f>
        <v>-</v>
      </c>
      <c r="BZ188" s="35">
        <f t="shared" si="4"/>
        <v>0</v>
      </c>
    </row>
    <row r="189" spans="2:78" ht="15.75">
      <c r="B189" s="97"/>
      <c r="C189" s="98" t="s">
        <v>400</v>
      </c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9"/>
      <c r="P189" s="97"/>
      <c r="Q189" s="98"/>
      <c r="R189" s="98"/>
      <c r="S189" s="98"/>
      <c r="T189" s="98"/>
      <c r="U189" s="98"/>
      <c r="V189" s="98"/>
      <c r="W189" s="98"/>
      <c r="X189" s="99"/>
      <c r="Y189" s="97"/>
      <c r="Z189" s="98"/>
      <c r="AA189" s="99"/>
      <c r="AB189" s="97"/>
      <c r="AC189" s="98"/>
      <c r="AD189" s="98"/>
      <c r="AE189" s="98"/>
      <c r="AF189" s="98"/>
      <c r="AG189" s="98"/>
      <c r="AH189" s="98"/>
      <c r="AI189" s="98"/>
      <c r="AJ189" s="99"/>
      <c r="AK189" s="97"/>
      <c r="AL189" s="98"/>
      <c r="AM189" s="99"/>
      <c r="AN189" s="97"/>
      <c r="AO189" s="98"/>
      <c r="AP189" s="98"/>
      <c r="AQ189" s="98"/>
      <c r="AR189" s="98"/>
      <c r="AS189" s="98"/>
      <c r="AT189" s="98"/>
      <c r="AU189" s="98"/>
      <c r="AV189" s="99"/>
      <c r="AW189" s="97"/>
      <c r="AX189" s="98"/>
      <c r="AY189" s="99"/>
      <c r="AZ189" s="97"/>
      <c r="BA189" s="98"/>
      <c r="BB189" s="98"/>
      <c r="BC189" s="98"/>
      <c r="BD189" s="98"/>
      <c r="BE189" s="98"/>
      <c r="BF189" s="98"/>
      <c r="BG189" s="98"/>
      <c r="BH189" s="98"/>
      <c r="BI189" s="98"/>
      <c r="BJ189" s="99"/>
      <c r="BR189" s="40"/>
      <c r="BS189" s="36" t="str">
        <f>_xlfn.IFNA(VLOOKUP($BR189,[15]Master!$C$4:$J$13,2,FALSE),"-")</f>
        <v>-</v>
      </c>
      <c r="BT189" s="36" t="str">
        <f>_xlfn.IFNA(VLOOKUP($BR189,[15]Master!$C$4:$J$13,3,FALSE),"-")</f>
        <v>-</v>
      </c>
      <c r="BU189" s="36" t="str">
        <f>_xlfn.IFNA(VLOOKUP($BR189,[15]Master!$C$4:$J$13,4,FALSE),"-")</f>
        <v>-</v>
      </c>
      <c r="BV189" s="36" t="str">
        <f>_xlfn.IFNA(VLOOKUP($BR189,[15]Master!$C$4:$J$13,5,FALSE),"-")</f>
        <v>-</v>
      </c>
      <c r="BW189" s="36" t="str">
        <f>_xlfn.IFNA(VLOOKUP($BR189,[15]Master!$C$4:$J$13,6,FALSE),"-")</f>
        <v>-</v>
      </c>
      <c r="BX189" s="36" t="str">
        <f>_xlfn.IFNA(VLOOKUP($BR189,[15]Master!$C$4:$J$13,7,FALSE),"-")</f>
        <v>-</v>
      </c>
      <c r="BY189" s="36" t="str">
        <f>_xlfn.IFNA(VLOOKUP($BR189,[15]Master!$C$4:$J$13,8,FALSE),"-")</f>
        <v>-</v>
      </c>
      <c r="BZ189" s="35">
        <f t="shared" si="4"/>
        <v>0</v>
      </c>
    </row>
    <row r="190" spans="2:78" ht="15.75">
      <c r="B190" s="97"/>
      <c r="C190" s="98" t="s">
        <v>401</v>
      </c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9"/>
      <c r="P190" s="97"/>
      <c r="Q190" s="98"/>
      <c r="R190" s="98"/>
      <c r="S190" s="98"/>
      <c r="T190" s="98"/>
      <c r="U190" s="98"/>
      <c r="V190" s="98"/>
      <c r="W190" s="98"/>
      <c r="X190" s="99"/>
      <c r="Y190" s="97"/>
      <c r="Z190" s="98"/>
      <c r="AA190" s="99"/>
      <c r="AB190" s="97"/>
      <c r="AC190" s="98"/>
      <c r="AD190" s="98"/>
      <c r="AE190" s="98"/>
      <c r="AF190" s="98"/>
      <c r="AG190" s="98"/>
      <c r="AH190" s="98"/>
      <c r="AI190" s="98"/>
      <c r="AJ190" s="99"/>
      <c r="AK190" s="97"/>
      <c r="AL190" s="98"/>
      <c r="AM190" s="99"/>
      <c r="AN190" s="97"/>
      <c r="AO190" s="98"/>
      <c r="AP190" s="98"/>
      <c r="AQ190" s="98"/>
      <c r="AR190" s="98"/>
      <c r="AS190" s="98"/>
      <c r="AT190" s="98"/>
      <c r="AU190" s="98"/>
      <c r="AV190" s="99"/>
      <c r="AW190" s="97"/>
      <c r="AX190" s="98"/>
      <c r="AY190" s="99"/>
      <c r="AZ190" s="97"/>
      <c r="BA190" s="98"/>
      <c r="BB190" s="98"/>
      <c r="BC190" s="98"/>
      <c r="BD190" s="98"/>
      <c r="BE190" s="98"/>
      <c r="BF190" s="98"/>
      <c r="BG190" s="98"/>
      <c r="BH190" s="98"/>
      <c r="BI190" s="98"/>
      <c r="BJ190" s="99"/>
      <c r="BR190" s="40"/>
      <c r="BS190" s="36" t="str">
        <f>_xlfn.IFNA(VLOOKUP($BR190,[15]Master!$C$4:$J$13,2,FALSE),"-")</f>
        <v>-</v>
      </c>
      <c r="BT190" s="36" t="str">
        <f>_xlfn.IFNA(VLOOKUP($BR190,[15]Master!$C$4:$J$13,3,FALSE),"-")</f>
        <v>-</v>
      </c>
      <c r="BU190" s="36" t="str">
        <f>_xlfn.IFNA(VLOOKUP($BR190,[15]Master!$C$4:$J$13,4,FALSE),"-")</f>
        <v>-</v>
      </c>
      <c r="BV190" s="36" t="str">
        <f>_xlfn.IFNA(VLOOKUP($BR190,[15]Master!$C$4:$J$13,5,FALSE),"-")</f>
        <v>-</v>
      </c>
      <c r="BW190" s="36" t="str">
        <f>_xlfn.IFNA(VLOOKUP($BR190,[15]Master!$C$4:$J$13,6,FALSE),"-")</f>
        <v>-</v>
      </c>
      <c r="BX190" s="36" t="str">
        <f>_xlfn.IFNA(VLOOKUP($BR190,[15]Master!$C$4:$J$13,7,FALSE),"-")</f>
        <v>-</v>
      </c>
      <c r="BY190" s="36" t="str">
        <f>_xlfn.IFNA(VLOOKUP($BR190,[15]Master!$C$4:$J$13,8,FALSE),"-")</f>
        <v>-</v>
      </c>
      <c r="BZ190" s="35">
        <f t="shared" si="4"/>
        <v>0</v>
      </c>
    </row>
    <row r="191" spans="2:78" ht="15.75">
      <c r="B191" s="97"/>
      <c r="C191" s="98" t="s">
        <v>402</v>
      </c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9"/>
      <c r="P191" s="97"/>
      <c r="Q191" s="98"/>
      <c r="R191" s="98"/>
      <c r="S191" s="98"/>
      <c r="T191" s="98"/>
      <c r="U191" s="98"/>
      <c r="V191" s="98"/>
      <c r="W191" s="98"/>
      <c r="X191" s="99"/>
      <c r="Y191" s="97"/>
      <c r="Z191" s="98"/>
      <c r="AA191" s="99"/>
      <c r="AB191" s="97"/>
      <c r="AC191" s="98"/>
      <c r="AD191" s="98"/>
      <c r="AE191" s="98"/>
      <c r="AF191" s="98"/>
      <c r="AG191" s="98"/>
      <c r="AH191" s="98"/>
      <c r="AI191" s="98"/>
      <c r="AJ191" s="99"/>
      <c r="AK191" s="97"/>
      <c r="AL191" s="98"/>
      <c r="AM191" s="99"/>
      <c r="AN191" s="97"/>
      <c r="AO191" s="98"/>
      <c r="AP191" s="98"/>
      <c r="AQ191" s="98"/>
      <c r="AR191" s="98"/>
      <c r="AS191" s="98"/>
      <c r="AT191" s="98"/>
      <c r="AU191" s="98"/>
      <c r="AV191" s="99"/>
      <c r="AW191" s="97"/>
      <c r="AX191" s="98"/>
      <c r="AY191" s="99"/>
      <c r="AZ191" s="97"/>
      <c r="BA191" s="98"/>
      <c r="BB191" s="98"/>
      <c r="BC191" s="98"/>
      <c r="BD191" s="98"/>
      <c r="BE191" s="98"/>
      <c r="BF191" s="98"/>
      <c r="BG191" s="98"/>
      <c r="BH191" s="98"/>
      <c r="BI191" s="98"/>
      <c r="BJ191" s="99"/>
      <c r="BR191" s="40"/>
      <c r="BS191" s="36" t="str">
        <f>_xlfn.IFNA(VLOOKUP($BR191,[15]Master!$C$4:$J$13,2,FALSE),"-")</f>
        <v>-</v>
      </c>
      <c r="BT191" s="36" t="str">
        <f>_xlfn.IFNA(VLOOKUP($BR191,[15]Master!$C$4:$J$13,3,FALSE),"-")</f>
        <v>-</v>
      </c>
      <c r="BU191" s="36" t="str">
        <f>_xlfn.IFNA(VLOOKUP($BR191,[15]Master!$C$4:$J$13,4,FALSE),"-")</f>
        <v>-</v>
      </c>
      <c r="BV191" s="36" t="str">
        <f>_xlfn.IFNA(VLOOKUP($BR191,[15]Master!$C$4:$J$13,5,FALSE),"-")</f>
        <v>-</v>
      </c>
      <c r="BW191" s="36" t="str">
        <f>_xlfn.IFNA(VLOOKUP($BR191,[15]Master!$C$4:$J$13,6,FALSE),"-")</f>
        <v>-</v>
      </c>
      <c r="BX191" s="36" t="str">
        <f>_xlfn.IFNA(VLOOKUP($BR191,[15]Master!$C$4:$J$13,7,FALSE),"-")</f>
        <v>-</v>
      </c>
      <c r="BY191" s="36" t="str">
        <f>_xlfn.IFNA(VLOOKUP($BR191,[15]Master!$C$4:$J$13,8,FALSE),"-")</f>
        <v>-</v>
      </c>
      <c r="BZ191" s="35">
        <f t="shared" si="4"/>
        <v>0</v>
      </c>
    </row>
    <row r="192" spans="2:78" ht="15.75">
      <c r="B192" s="97"/>
      <c r="C192" s="98" t="s">
        <v>403</v>
      </c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9"/>
      <c r="P192" s="97"/>
      <c r="Q192" s="98"/>
      <c r="R192" s="98"/>
      <c r="S192" s="98"/>
      <c r="T192" s="98"/>
      <c r="U192" s="98"/>
      <c r="V192" s="98"/>
      <c r="W192" s="98"/>
      <c r="X192" s="99"/>
      <c r="Y192" s="97"/>
      <c r="Z192" s="98"/>
      <c r="AA192" s="99"/>
      <c r="AB192" s="97"/>
      <c r="AC192" s="98"/>
      <c r="AD192" s="98"/>
      <c r="AE192" s="98"/>
      <c r="AF192" s="98"/>
      <c r="AG192" s="98"/>
      <c r="AH192" s="98"/>
      <c r="AI192" s="98"/>
      <c r="AJ192" s="99"/>
      <c r="AK192" s="97"/>
      <c r="AL192" s="98"/>
      <c r="AM192" s="99"/>
      <c r="AN192" s="97"/>
      <c r="AO192" s="98"/>
      <c r="AP192" s="98"/>
      <c r="AQ192" s="98"/>
      <c r="AR192" s="98"/>
      <c r="AS192" s="98"/>
      <c r="AT192" s="98"/>
      <c r="AU192" s="98"/>
      <c r="AV192" s="99"/>
      <c r="AW192" s="97"/>
      <c r="AX192" s="98"/>
      <c r="AY192" s="99"/>
      <c r="AZ192" s="97"/>
      <c r="BA192" s="98"/>
      <c r="BB192" s="98"/>
      <c r="BC192" s="98"/>
      <c r="BD192" s="98"/>
      <c r="BE192" s="98"/>
      <c r="BF192" s="98"/>
      <c r="BG192" s="98"/>
      <c r="BH192" s="98"/>
      <c r="BI192" s="98"/>
      <c r="BJ192" s="99"/>
      <c r="BR192" s="40"/>
      <c r="BS192" s="36" t="str">
        <f>_xlfn.IFNA(VLOOKUP($BR192,[15]Master!$C$4:$J$13,2,FALSE),"-")</f>
        <v>-</v>
      </c>
      <c r="BT192" s="36" t="str">
        <f>_xlfn.IFNA(VLOOKUP($BR192,[15]Master!$C$4:$J$13,3,FALSE),"-")</f>
        <v>-</v>
      </c>
      <c r="BU192" s="36" t="str">
        <f>_xlfn.IFNA(VLOOKUP($BR192,[15]Master!$C$4:$J$13,4,FALSE),"-")</f>
        <v>-</v>
      </c>
      <c r="BV192" s="36" t="str">
        <f>_xlfn.IFNA(VLOOKUP($BR192,[15]Master!$C$4:$J$13,5,FALSE),"-")</f>
        <v>-</v>
      </c>
      <c r="BW192" s="36" t="str">
        <f>_xlfn.IFNA(VLOOKUP($BR192,[15]Master!$C$4:$J$13,6,FALSE),"-")</f>
        <v>-</v>
      </c>
      <c r="BX192" s="36" t="str">
        <f>_xlfn.IFNA(VLOOKUP($BR192,[15]Master!$C$4:$J$13,7,FALSE),"-")</f>
        <v>-</v>
      </c>
      <c r="BY192" s="36" t="str">
        <f>_xlfn.IFNA(VLOOKUP($BR192,[15]Master!$C$4:$J$13,8,FALSE),"-")</f>
        <v>-</v>
      </c>
      <c r="BZ192" s="35">
        <f t="shared" si="4"/>
        <v>0</v>
      </c>
    </row>
    <row r="193" spans="2:78" ht="15.75">
      <c r="B193" s="97"/>
      <c r="C193" s="98" t="s">
        <v>404</v>
      </c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9"/>
      <c r="P193" s="97"/>
      <c r="Q193" s="98"/>
      <c r="R193" s="98"/>
      <c r="S193" s="98"/>
      <c r="T193" s="98"/>
      <c r="U193" s="98"/>
      <c r="V193" s="98"/>
      <c r="W193" s="98"/>
      <c r="X193" s="99"/>
      <c r="Y193" s="97"/>
      <c r="Z193" s="98"/>
      <c r="AA193" s="99"/>
      <c r="AB193" s="97"/>
      <c r="AC193" s="98"/>
      <c r="AD193" s="98"/>
      <c r="AE193" s="98"/>
      <c r="AF193" s="98"/>
      <c r="AG193" s="98"/>
      <c r="AH193" s="98"/>
      <c r="AI193" s="98"/>
      <c r="AJ193" s="99"/>
      <c r="AK193" s="97"/>
      <c r="AL193" s="98"/>
      <c r="AM193" s="99"/>
      <c r="AN193" s="97"/>
      <c r="AO193" s="98"/>
      <c r="AP193" s="98"/>
      <c r="AQ193" s="98"/>
      <c r="AR193" s="98"/>
      <c r="AS193" s="98"/>
      <c r="AT193" s="98"/>
      <c r="AU193" s="98"/>
      <c r="AV193" s="99"/>
      <c r="AW193" s="97"/>
      <c r="AX193" s="98"/>
      <c r="AY193" s="99"/>
      <c r="AZ193" s="97"/>
      <c r="BA193" s="98"/>
      <c r="BB193" s="98"/>
      <c r="BC193" s="98"/>
      <c r="BD193" s="98"/>
      <c r="BE193" s="98"/>
      <c r="BF193" s="98"/>
      <c r="BG193" s="98"/>
      <c r="BH193" s="98"/>
      <c r="BI193" s="98"/>
      <c r="BJ193" s="99"/>
      <c r="BR193" s="40"/>
      <c r="BS193" s="36" t="str">
        <f>_xlfn.IFNA(VLOOKUP($BR193,[15]Master!$C$4:$J$13,2,FALSE),"-")</f>
        <v>-</v>
      </c>
      <c r="BT193" s="36" t="str">
        <f>_xlfn.IFNA(VLOOKUP($BR193,[15]Master!$C$4:$J$13,3,FALSE),"-")</f>
        <v>-</v>
      </c>
      <c r="BU193" s="36" t="str">
        <f>_xlfn.IFNA(VLOOKUP($BR193,[15]Master!$C$4:$J$13,4,FALSE),"-")</f>
        <v>-</v>
      </c>
      <c r="BV193" s="36" t="str">
        <f>_xlfn.IFNA(VLOOKUP($BR193,[15]Master!$C$4:$J$13,5,FALSE),"-")</f>
        <v>-</v>
      </c>
      <c r="BW193" s="36" t="str">
        <f>_xlfn.IFNA(VLOOKUP($BR193,[15]Master!$C$4:$J$13,6,FALSE),"-")</f>
        <v>-</v>
      </c>
      <c r="BX193" s="36" t="str">
        <f>_xlfn.IFNA(VLOOKUP($BR193,[15]Master!$C$4:$J$13,7,FALSE),"-")</f>
        <v>-</v>
      </c>
      <c r="BY193" s="36" t="str">
        <f>_xlfn.IFNA(VLOOKUP($BR193,[15]Master!$C$4:$J$13,8,FALSE),"-")</f>
        <v>-</v>
      </c>
      <c r="BZ193" s="35">
        <f t="shared" si="4"/>
        <v>0</v>
      </c>
    </row>
    <row r="194" spans="2:78" ht="15.75">
      <c r="B194" s="97"/>
      <c r="C194" s="98" t="s">
        <v>405</v>
      </c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9"/>
      <c r="P194" s="97"/>
      <c r="Q194" s="98"/>
      <c r="R194" s="98"/>
      <c r="S194" s="98"/>
      <c r="T194" s="98"/>
      <c r="U194" s="98"/>
      <c r="V194" s="98"/>
      <c r="W194" s="98"/>
      <c r="X194" s="99"/>
      <c r="Y194" s="97"/>
      <c r="Z194" s="98"/>
      <c r="AA194" s="99"/>
      <c r="AB194" s="97"/>
      <c r="AC194" s="98"/>
      <c r="AD194" s="98"/>
      <c r="AE194" s="98"/>
      <c r="AF194" s="98"/>
      <c r="AG194" s="98"/>
      <c r="AH194" s="98"/>
      <c r="AI194" s="98"/>
      <c r="AJ194" s="99"/>
      <c r="AK194" s="97"/>
      <c r="AL194" s="98"/>
      <c r="AM194" s="99"/>
      <c r="AN194" s="97"/>
      <c r="AO194" s="98"/>
      <c r="AP194" s="98"/>
      <c r="AQ194" s="98"/>
      <c r="AR194" s="98"/>
      <c r="AS194" s="98"/>
      <c r="AT194" s="98"/>
      <c r="AU194" s="98"/>
      <c r="AV194" s="99"/>
      <c r="AW194" s="97"/>
      <c r="AX194" s="98"/>
      <c r="AY194" s="99"/>
      <c r="AZ194" s="97"/>
      <c r="BA194" s="98"/>
      <c r="BB194" s="98"/>
      <c r="BC194" s="98"/>
      <c r="BD194" s="98"/>
      <c r="BE194" s="98"/>
      <c r="BF194" s="98"/>
      <c r="BG194" s="98"/>
      <c r="BH194" s="98"/>
      <c r="BI194" s="98"/>
      <c r="BJ194" s="99"/>
      <c r="BR194" s="40"/>
      <c r="BS194" s="36" t="str">
        <f>_xlfn.IFNA(VLOOKUP($BR194,[15]Master!$C$4:$J$13,2,FALSE),"-")</f>
        <v>-</v>
      </c>
      <c r="BT194" s="36" t="str">
        <f>_xlfn.IFNA(VLOOKUP($BR194,[15]Master!$C$4:$J$13,3,FALSE),"-")</f>
        <v>-</v>
      </c>
      <c r="BU194" s="36" t="str">
        <f>_xlfn.IFNA(VLOOKUP($BR194,[15]Master!$C$4:$J$13,4,FALSE),"-")</f>
        <v>-</v>
      </c>
      <c r="BV194" s="36" t="str">
        <f>_xlfn.IFNA(VLOOKUP($BR194,[15]Master!$C$4:$J$13,5,FALSE),"-")</f>
        <v>-</v>
      </c>
      <c r="BW194" s="36" t="str">
        <f>_xlfn.IFNA(VLOOKUP($BR194,[15]Master!$C$4:$J$13,6,FALSE),"-")</f>
        <v>-</v>
      </c>
      <c r="BX194" s="36" t="str">
        <f>_xlfn.IFNA(VLOOKUP($BR194,[15]Master!$C$4:$J$13,7,FALSE),"-")</f>
        <v>-</v>
      </c>
      <c r="BY194" s="36" t="str">
        <f>_xlfn.IFNA(VLOOKUP($BR194,[15]Master!$C$4:$J$13,8,FALSE),"-")</f>
        <v>-</v>
      </c>
      <c r="BZ194" s="35">
        <f t="shared" si="4"/>
        <v>0</v>
      </c>
    </row>
    <row r="195" spans="2:78" ht="15.75">
      <c r="B195" s="97"/>
      <c r="C195" s="98" t="s">
        <v>406</v>
      </c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9"/>
      <c r="P195" s="97"/>
      <c r="Q195" s="98"/>
      <c r="R195" s="98"/>
      <c r="S195" s="98"/>
      <c r="T195" s="98"/>
      <c r="U195" s="98"/>
      <c r="V195" s="98"/>
      <c r="W195" s="98"/>
      <c r="X195" s="99"/>
      <c r="Y195" s="97"/>
      <c r="Z195" s="98"/>
      <c r="AA195" s="99"/>
      <c r="AB195" s="97"/>
      <c r="AC195" s="98"/>
      <c r="AD195" s="98"/>
      <c r="AE195" s="98"/>
      <c r="AF195" s="98"/>
      <c r="AG195" s="98"/>
      <c r="AH195" s="98"/>
      <c r="AI195" s="98"/>
      <c r="AJ195" s="99"/>
      <c r="AK195" s="97"/>
      <c r="AL195" s="98"/>
      <c r="AM195" s="99"/>
      <c r="AN195" s="97"/>
      <c r="AO195" s="98"/>
      <c r="AP195" s="98"/>
      <c r="AQ195" s="98"/>
      <c r="AR195" s="98"/>
      <c r="AS195" s="98"/>
      <c r="AT195" s="98"/>
      <c r="AU195" s="98"/>
      <c r="AV195" s="99"/>
      <c r="AW195" s="97"/>
      <c r="AX195" s="98"/>
      <c r="AY195" s="99"/>
      <c r="AZ195" s="97"/>
      <c r="BA195" s="98"/>
      <c r="BB195" s="98"/>
      <c r="BC195" s="98"/>
      <c r="BD195" s="98"/>
      <c r="BE195" s="98"/>
      <c r="BF195" s="98"/>
      <c r="BG195" s="98"/>
      <c r="BH195" s="98"/>
      <c r="BI195" s="98"/>
      <c r="BJ195" s="99"/>
      <c r="BR195" s="40"/>
      <c r="BS195" s="36" t="str">
        <f>_xlfn.IFNA(VLOOKUP($BR195,[15]Master!$C$4:$J$13,2,FALSE),"-")</f>
        <v>-</v>
      </c>
      <c r="BT195" s="36" t="str">
        <f>_xlfn.IFNA(VLOOKUP($BR195,[15]Master!$C$4:$J$13,3,FALSE),"-")</f>
        <v>-</v>
      </c>
      <c r="BU195" s="36" t="str">
        <f>_xlfn.IFNA(VLOOKUP($BR195,[15]Master!$C$4:$J$13,4,FALSE),"-")</f>
        <v>-</v>
      </c>
      <c r="BV195" s="36" t="str">
        <f>_xlfn.IFNA(VLOOKUP($BR195,[15]Master!$C$4:$J$13,5,FALSE),"-")</f>
        <v>-</v>
      </c>
      <c r="BW195" s="36" t="str">
        <f>_xlfn.IFNA(VLOOKUP($BR195,[15]Master!$C$4:$J$13,6,FALSE),"-")</f>
        <v>-</v>
      </c>
      <c r="BX195" s="36" t="str">
        <f>_xlfn.IFNA(VLOOKUP($BR195,[15]Master!$C$4:$J$13,7,FALSE),"-")</f>
        <v>-</v>
      </c>
      <c r="BY195" s="36" t="str">
        <f>_xlfn.IFNA(VLOOKUP($BR195,[15]Master!$C$4:$J$13,8,FALSE),"-")</f>
        <v>-</v>
      </c>
      <c r="BZ195" s="35">
        <f t="shared" si="4"/>
        <v>0</v>
      </c>
    </row>
    <row r="196" spans="2:78" ht="15.75">
      <c r="B196" s="97"/>
      <c r="C196" s="98" t="s">
        <v>407</v>
      </c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9"/>
      <c r="P196" s="97"/>
      <c r="Q196" s="98"/>
      <c r="R196" s="98"/>
      <c r="S196" s="98"/>
      <c r="T196" s="98"/>
      <c r="U196" s="98"/>
      <c r="V196" s="98"/>
      <c r="W196" s="98"/>
      <c r="X196" s="99"/>
      <c r="Y196" s="97"/>
      <c r="Z196" s="98"/>
      <c r="AA196" s="99"/>
      <c r="AB196" s="97"/>
      <c r="AC196" s="98"/>
      <c r="AD196" s="98"/>
      <c r="AE196" s="98"/>
      <c r="AF196" s="98"/>
      <c r="AG196" s="98"/>
      <c r="AH196" s="98"/>
      <c r="AI196" s="98"/>
      <c r="AJ196" s="99"/>
      <c r="AK196" s="97"/>
      <c r="AL196" s="98"/>
      <c r="AM196" s="99"/>
      <c r="AN196" s="97"/>
      <c r="AO196" s="98"/>
      <c r="AP196" s="98"/>
      <c r="AQ196" s="98"/>
      <c r="AR196" s="98"/>
      <c r="AS196" s="98"/>
      <c r="AT196" s="98"/>
      <c r="AU196" s="98"/>
      <c r="AV196" s="99"/>
      <c r="AW196" s="97"/>
      <c r="AX196" s="98"/>
      <c r="AY196" s="99"/>
      <c r="AZ196" s="97"/>
      <c r="BA196" s="98"/>
      <c r="BB196" s="98"/>
      <c r="BC196" s="98"/>
      <c r="BD196" s="98"/>
      <c r="BE196" s="98"/>
      <c r="BF196" s="98"/>
      <c r="BG196" s="98"/>
      <c r="BH196" s="98"/>
      <c r="BI196" s="98"/>
      <c r="BJ196" s="99"/>
      <c r="BR196" s="40"/>
      <c r="BS196" s="36" t="str">
        <f>_xlfn.IFNA(VLOOKUP($BR196,[15]Master!$C$4:$J$13,2,FALSE),"-")</f>
        <v>-</v>
      </c>
      <c r="BT196" s="36" t="str">
        <f>_xlfn.IFNA(VLOOKUP($BR196,[15]Master!$C$4:$J$13,3,FALSE),"-")</f>
        <v>-</v>
      </c>
      <c r="BU196" s="36" t="str">
        <f>_xlfn.IFNA(VLOOKUP($BR196,[15]Master!$C$4:$J$13,4,FALSE),"-")</f>
        <v>-</v>
      </c>
      <c r="BV196" s="36" t="str">
        <f>_xlfn.IFNA(VLOOKUP($BR196,[15]Master!$C$4:$J$13,5,FALSE),"-")</f>
        <v>-</v>
      </c>
      <c r="BW196" s="36" t="str">
        <f>_xlfn.IFNA(VLOOKUP($BR196,[15]Master!$C$4:$J$13,6,FALSE),"-")</f>
        <v>-</v>
      </c>
      <c r="BX196" s="36" t="str">
        <f>_xlfn.IFNA(VLOOKUP($BR196,[15]Master!$C$4:$J$13,7,FALSE),"-")</f>
        <v>-</v>
      </c>
      <c r="BY196" s="36" t="str">
        <f>_xlfn.IFNA(VLOOKUP($BR196,[15]Master!$C$4:$J$13,8,FALSE),"-")</f>
        <v>-</v>
      </c>
      <c r="BZ196" s="35">
        <f t="shared" si="4"/>
        <v>0</v>
      </c>
    </row>
    <row r="197" spans="2:78" ht="15.75">
      <c r="B197" s="97"/>
      <c r="C197" s="98" t="s">
        <v>408</v>
      </c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9"/>
      <c r="P197" s="97"/>
      <c r="Q197" s="98"/>
      <c r="R197" s="98"/>
      <c r="S197" s="98"/>
      <c r="T197" s="98"/>
      <c r="U197" s="98"/>
      <c r="V197" s="98"/>
      <c r="W197" s="98"/>
      <c r="X197" s="99"/>
      <c r="Y197" s="97"/>
      <c r="Z197" s="98"/>
      <c r="AA197" s="99"/>
      <c r="AB197" s="97"/>
      <c r="AC197" s="98"/>
      <c r="AD197" s="98"/>
      <c r="AE197" s="98"/>
      <c r="AF197" s="98"/>
      <c r="AG197" s="98"/>
      <c r="AH197" s="98"/>
      <c r="AI197" s="98"/>
      <c r="AJ197" s="99"/>
      <c r="AK197" s="97"/>
      <c r="AL197" s="98"/>
      <c r="AM197" s="99"/>
      <c r="AN197" s="97"/>
      <c r="AO197" s="98"/>
      <c r="AP197" s="98"/>
      <c r="AQ197" s="98"/>
      <c r="AR197" s="98"/>
      <c r="AS197" s="98"/>
      <c r="AT197" s="98"/>
      <c r="AU197" s="98"/>
      <c r="AV197" s="99"/>
      <c r="AW197" s="97"/>
      <c r="AX197" s="98"/>
      <c r="AY197" s="99"/>
      <c r="AZ197" s="97"/>
      <c r="BA197" s="98"/>
      <c r="BB197" s="98"/>
      <c r="BC197" s="98"/>
      <c r="BD197" s="98"/>
      <c r="BE197" s="98"/>
      <c r="BF197" s="98"/>
      <c r="BG197" s="98"/>
      <c r="BH197" s="98"/>
      <c r="BI197" s="98"/>
      <c r="BJ197" s="99"/>
      <c r="BR197" s="40"/>
      <c r="BS197" s="36" t="str">
        <f>_xlfn.IFNA(VLOOKUP($BR197,[15]Master!$C$4:$J$13,2,FALSE),"-")</f>
        <v>-</v>
      </c>
      <c r="BT197" s="36" t="str">
        <f>_xlfn.IFNA(VLOOKUP($BR197,[15]Master!$C$4:$J$13,3,FALSE),"-")</f>
        <v>-</v>
      </c>
      <c r="BU197" s="36" t="str">
        <f>_xlfn.IFNA(VLOOKUP($BR197,[15]Master!$C$4:$J$13,4,FALSE),"-")</f>
        <v>-</v>
      </c>
      <c r="BV197" s="36" t="str">
        <f>_xlfn.IFNA(VLOOKUP($BR197,[15]Master!$C$4:$J$13,5,FALSE),"-")</f>
        <v>-</v>
      </c>
      <c r="BW197" s="36" t="str">
        <f>_xlfn.IFNA(VLOOKUP($BR197,[15]Master!$C$4:$J$13,6,FALSE),"-")</f>
        <v>-</v>
      </c>
      <c r="BX197" s="36" t="str">
        <f>_xlfn.IFNA(VLOOKUP($BR197,[15]Master!$C$4:$J$13,7,FALSE),"-")</f>
        <v>-</v>
      </c>
      <c r="BY197" s="36" t="str">
        <f>_xlfn.IFNA(VLOOKUP($BR197,[15]Master!$C$4:$J$13,8,FALSE),"-")</f>
        <v>-</v>
      </c>
      <c r="BZ197" s="35">
        <f t="shared" ref="BZ197:BZ260" si="5">SUM(BS197:BY197)</f>
        <v>0</v>
      </c>
    </row>
    <row r="198" spans="2:78" ht="15.75">
      <c r="B198" s="131" t="s">
        <v>409</v>
      </c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3"/>
      <c r="P198" s="131"/>
      <c r="Q198" s="132"/>
      <c r="R198" s="132"/>
      <c r="S198" s="132"/>
      <c r="T198" s="132"/>
      <c r="U198" s="132"/>
      <c r="V198" s="132"/>
      <c r="W198" s="132"/>
      <c r="X198" s="133"/>
      <c r="Y198" s="131"/>
      <c r="Z198" s="132"/>
      <c r="AA198" s="133"/>
      <c r="AB198" s="131"/>
      <c r="AC198" s="132"/>
      <c r="AD198" s="132"/>
      <c r="AE198" s="132"/>
      <c r="AF198" s="132"/>
      <c r="AG198" s="132"/>
      <c r="AH198" s="132"/>
      <c r="AI198" s="132"/>
      <c r="AJ198" s="133"/>
      <c r="AK198" s="131"/>
      <c r="AL198" s="132"/>
      <c r="AM198" s="133"/>
      <c r="AN198" s="131"/>
      <c r="AO198" s="132"/>
      <c r="AP198" s="132"/>
      <c r="AQ198" s="132"/>
      <c r="AR198" s="132"/>
      <c r="AS198" s="132"/>
      <c r="AT198" s="132"/>
      <c r="AU198" s="132"/>
      <c r="AV198" s="133"/>
      <c r="AW198" s="131"/>
      <c r="AX198" s="132"/>
      <c r="AY198" s="133"/>
      <c r="AZ198" s="131"/>
      <c r="BA198" s="132"/>
      <c r="BB198" s="132"/>
      <c r="BC198" s="132"/>
      <c r="BD198" s="132"/>
      <c r="BE198" s="132"/>
      <c r="BF198" s="132"/>
      <c r="BG198" s="132"/>
      <c r="BH198" s="132"/>
      <c r="BI198" s="132"/>
      <c r="BJ198" s="133"/>
      <c r="BR198" s="40"/>
      <c r="BS198" s="36" t="str">
        <f>_xlfn.IFNA(VLOOKUP($BR198,[15]Master!$C$4:$J$13,2,FALSE),"-")</f>
        <v>-</v>
      </c>
      <c r="BT198" s="36" t="str">
        <f>_xlfn.IFNA(VLOOKUP($BR198,[15]Master!$C$4:$J$13,3,FALSE),"-")</f>
        <v>-</v>
      </c>
      <c r="BU198" s="36" t="str">
        <f>_xlfn.IFNA(VLOOKUP($BR198,[15]Master!$C$4:$J$13,4,FALSE),"-")</f>
        <v>-</v>
      </c>
      <c r="BV198" s="36" t="str">
        <f>_xlfn.IFNA(VLOOKUP($BR198,[15]Master!$C$4:$J$13,5,FALSE),"-")</f>
        <v>-</v>
      </c>
      <c r="BW198" s="36" t="str">
        <f>_xlfn.IFNA(VLOOKUP($BR198,[15]Master!$C$4:$J$13,6,FALSE),"-")</f>
        <v>-</v>
      </c>
      <c r="BX198" s="36" t="str">
        <f>_xlfn.IFNA(VLOOKUP($BR198,[15]Master!$C$4:$J$13,7,FALSE),"-")</f>
        <v>-</v>
      </c>
      <c r="BY198" s="36" t="str">
        <f>_xlfn.IFNA(VLOOKUP($BR198,[15]Master!$C$4:$J$13,8,FALSE),"-")</f>
        <v>-</v>
      </c>
      <c r="BZ198" s="35">
        <f t="shared" si="5"/>
        <v>0</v>
      </c>
    </row>
    <row r="199" spans="2:78" ht="15" customHeight="1">
      <c r="B199" s="97"/>
      <c r="C199" s="98" t="s">
        <v>410</v>
      </c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9"/>
      <c r="P199" s="329" t="s">
        <v>411</v>
      </c>
      <c r="Q199" s="330"/>
      <c r="R199" s="330"/>
      <c r="S199" s="330"/>
      <c r="T199" s="330"/>
      <c r="U199" s="330"/>
      <c r="V199" s="330"/>
      <c r="W199" s="330"/>
      <c r="X199" s="331"/>
      <c r="Y199" s="97"/>
      <c r="Z199" s="98"/>
      <c r="AA199" s="99"/>
      <c r="AB199" s="97"/>
      <c r="AC199" s="98"/>
      <c r="AD199" s="98"/>
      <c r="AE199" s="98"/>
      <c r="AF199" s="98"/>
      <c r="AG199" s="98"/>
      <c r="AH199" s="98"/>
      <c r="AI199" s="98"/>
      <c r="AJ199" s="99"/>
      <c r="AK199" s="97"/>
      <c r="AL199" s="98"/>
      <c r="AM199" s="99"/>
      <c r="AN199" s="97"/>
      <c r="AO199" s="98"/>
      <c r="AP199" s="98"/>
      <c r="AQ199" s="98"/>
      <c r="AR199" s="98"/>
      <c r="AS199" s="98"/>
      <c r="AT199" s="98"/>
      <c r="AU199" s="98"/>
      <c r="AV199" s="99"/>
      <c r="AW199" s="97"/>
      <c r="AX199" s="98"/>
      <c r="AY199" s="99"/>
      <c r="AZ199" s="97"/>
      <c r="BA199" s="98"/>
      <c r="BB199" s="98"/>
      <c r="BC199" s="98"/>
      <c r="BD199" s="98"/>
      <c r="BE199" s="98"/>
      <c r="BF199" s="98"/>
      <c r="BG199" s="98"/>
      <c r="BH199" s="98"/>
      <c r="BI199" s="98"/>
      <c r="BJ199" s="99"/>
      <c r="BR199" s="40"/>
      <c r="BS199" s="36" t="str">
        <f>_xlfn.IFNA(VLOOKUP($BR199,[15]Master!$C$4:$J$13,2,FALSE),"-")</f>
        <v>-</v>
      </c>
      <c r="BT199" s="36" t="str">
        <f>_xlfn.IFNA(VLOOKUP($BR199,[15]Master!$C$4:$J$13,3,FALSE),"-")</f>
        <v>-</v>
      </c>
      <c r="BU199" s="36" t="str">
        <f>_xlfn.IFNA(VLOOKUP($BR199,[15]Master!$C$4:$J$13,4,FALSE),"-")</f>
        <v>-</v>
      </c>
      <c r="BV199" s="36" t="str">
        <f>_xlfn.IFNA(VLOOKUP($BR199,[15]Master!$C$4:$J$13,5,FALSE),"-")</f>
        <v>-</v>
      </c>
      <c r="BW199" s="36" t="str">
        <f>_xlfn.IFNA(VLOOKUP($BR199,[15]Master!$C$4:$J$13,6,FALSE),"-")</f>
        <v>-</v>
      </c>
      <c r="BX199" s="36" t="str">
        <f>_xlfn.IFNA(VLOOKUP($BR199,[15]Master!$C$4:$J$13,7,FALSE),"-")</f>
        <v>-</v>
      </c>
      <c r="BY199" s="36" t="str">
        <f>_xlfn.IFNA(VLOOKUP($BR199,[15]Master!$C$4:$J$13,8,FALSE),"-")</f>
        <v>-</v>
      </c>
      <c r="BZ199" s="35">
        <f t="shared" si="5"/>
        <v>0</v>
      </c>
    </row>
    <row r="200" spans="2:78" ht="15.75">
      <c r="B200" s="97"/>
      <c r="C200" s="98" t="s">
        <v>412</v>
      </c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9"/>
      <c r="P200" s="332"/>
      <c r="Q200" s="333"/>
      <c r="R200" s="333"/>
      <c r="S200" s="333"/>
      <c r="T200" s="333"/>
      <c r="U200" s="333"/>
      <c r="V200" s="333"/>
      <c r="W200" s="333"/>
      <c r="X200" s="334"/>
      <c r="Y200" s="97"/>
      <c r="Z200" s="98"/>
      <c r="AA200" s="99"/>
      <c r="AB200" s="97"/>
      <c r="AC200" s="98"/>
      <c r="AD200" s="98"/>
      <c r="AE200" s="98"/>
      <c r="AF200" s="98"/>
      <c r="AG200" s="98"/>
      <c r="AH200" s="98"/>
      <c r="AI200" s="98"/>
      <c r="AJ200" s="99"/>
      <c r="AK200" s="97"/>
      <c r="AL200" s="98"/>
      <c r="AM200" s="99"/>
      <c r="AN200" s="97"/>
      <c r="AO200" s="98"/>
      <c r="AP200" s="98"/>
      <c r="AQ200" s="98"/>
      <c r="AR200" s="98"/>
      <c r="AS200" s="98"/>
      <c r="AT200" s="98"/>
      <c r="AU200" s="98"/>
      <c r="AV200" s="99"/>
      <c r="AW200" s="97"/>
      <c r="AX200" s="98"/>
      <c r="AY200" s="99"/>
      <c r="AZ200" s="97"/>
      <c r="BA200" s="98"/>
      <c r="BB200" s="98"/>
      <c r="BC200" s="98"/>
      <c r="BD200" s="98"/>
      <c r="BE200" s="98"/>
      <c r="BF200" s="98"/>
      <c r="BG200" s="98"/>
      <c r="BH200" s="98"/>
      <c r="BI200" s="98"/>
      <c r="BJ200" s="99"/>
      <c r="BR200" s="40"/>
      <c r="BS200" s="36" t="str">
        <f>_xlfn.IFNA(VLOOKUP($BR200,[15]Master!$C$4:$J$13,2,FALSE),"-")</f>
        <v>-</v>
      </c>
      <c r="BT200" s="36" t="str">
        <f>_xlfn.IFNA(VLOOKUP($BR200,[15]Master!$C$4:$J$13,3,FALSE),"-")</f>
        <v>-</v>
      </c>
      <c r="BU200" s="36" t="str">
        <f>_xlfn.IFNA(VLOOKUP($BR200,[15]Master!$C$4:$J$13,4,FALSE),"-")</f>
        <v>-</v>
      </c>
      <c r="BV200" s="36" t="str">
        <f>_xlfn.IFNA(VLOOKUP($BR200,[15]Master!$C$4:$J$13,5,FALSE),"-")</f>
        <v>-</v>
      </c>
      <c r="BW200" s="36" t="str">
        <f>_xlfn.IFNA(VLOOKUP($BR200,[15]Master!$C$4:$J$13,6,FALSE),"-")</f>
        <v>-</v>
      </c>
      <c r="BX200" s="36" t="str">
        <f>_xlfn.IFNA(VLOOKUP($BR200,[15]Master!$C$4:$J$13,7,FALSE),"-")</f>
        <v>-</v>
      </c>
      <c r="BY200" s="36" t="str">
        <f>_xlfn.IFNA(VLOOKUP($BR200,[15]Master!$C$4:$J$13,8,FALSE),"-")</f>
        <v>-</v>
      </c>
      <c r="BZ200" s="35">
        <f t="shared" si="5"/>
        <v>0</v>
      </c>
    </row>
    <row r="201" spans="2:78" ht="15.75">
      <c r="B201" s="97"/>
      <c r="C201" s="98" t="s">
        <v>413</v>
      </c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9"/>
      <c r="P201" s="332"/>
      <c r="Q201" s="333"/>
      <c r="R201" s="333"/>
      <c r="S201" s="333"/>
      <c r="T201" s="333"/>
      <c r="U201" s="333"/>
      <c r="V201" s="333"/>
      <c r="W201" s="333"/>
      <c r="X201" s="334"/>
      <c r="Y201" s="97"/>
      <c r="Z201" s="98"/>
      <c r="AA201" s="99"/>
      <c r="AB201" s="97"/>
      <c r="AC201" s="98"/>
      <c r="AD201" s="98"/>
      <c r="AE201" s="98"/>
      <c r="AF201" s="98"/>
      <c r="AG201" s="98"/>
      <c r="AH201" s="98"/>
      <c r="AI201" s="98"/>
      <c r="AJ201" s="99"/>
      <c r="AK201" s="97"/>
      <c r="AL201" s="98"/>
      <c r="AM201" s="99"/>
      <c r="AN201" s="97"/>
      <c r="AO201" s="98"/>
      <c r="AP201" s="98"/>
      <c r="AQ201" s="98"/>
      <c r="AR201" s="98"/>
      <c r="AS201" s="98"/>
      <c r="AT201" s="98"/>
      <c r="AU201" s="98"/>
      <c r="AV201" s="99"/>
      <c r="AW201" s="97"/>
      <c r="AX201" s="98"/>
      <c r="AY201" s="99"/>
      <c r="AZ201" s="97"/>
      <c r="BA201" s="98"/>
      <c r="BB201" s="98"/>
      <c r="BC201" s="98"/>
      <c r="BD201" s="98"/>
      <c r="BE201" s="98"/>
      <c r="BF201" s="98"/>
      <c r="BG201" s="98"/>
      <c r="BH201" s="98"/>
      <c r="BI201" s="98"/>
      <c r="BJ201" s="99"/>
      <c r="BR201" s="40"/>
      <c r="BS201" s="36" t="str">
        <f>_xlfn.IFNA(VLOOKUP($BR201,[15]Master!$C$4:$J$13,2,FALSE),"-")</f>
        <v>-</v>
      </c>
      <c r="BT201" s="36" t="str">
        <f>_xlfn.IFNA(VLOOKUP($BR201,[15]Master!$C$4:$J$13,3,FALSE),"-")</f>
        <v>-</v>
      </c>
      <c r="BU201" s="36" t="str">
        <f>_xlfn.IFNA(VLOOKUP($BR201,[15]Master!$C$4:$J$13,4,FALSE),"-")</f>
        <v>-</v>
      </c>
      <c r="BV201" s="36" t="str">
        <f>_xlfn.IFNA(VLOOKUP($BR201,[15]Master!$C$4:$J$13,5,FALSE),"-")</f>
        <v>-</v>
      </c>
      <c r="BW201" s="36" t="str">
        <f>_xlfn.IFNA(VLOOKUP($BR201,[15]Master!$C$4:$J$13,6,FALSE),"-")</f>
        <v>-</v>
      </c>
      <c r="BX201" s="36" t="str">
        <f>_xlfn.IFNA(VLOOKUP($BR201,[15]Master!$C$4:$J$13,7,FALSE),"-")</f>
        <v>-</v>
      </c>
      <c r="BY201" s="36" t="str">
        <f>_xlfn.IFNA(VLOOKUP($BR201,[15]Master!$C$4:$J$13,8,FALSE),"-")</f>
        <v>-</v>
      </c>
      <c r="BZ201" s="35">
        <f t="shared" si="5"/>
        <v>0</v>
      </c>
    </row>
    <row r="202" spans="2:78" ht="15.75">
      <c r="B202" s="97"/>
      <c r="C202" s="98" t="s">
        <v>414</v>
      </c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9"/>
      <c r="P202" s="332"/>
      <c r="Q202" s="333"/>
      <c r="R202" s="333"/>
      <c r="S202" s="333"/>
      <c r="T202" s="333"/>
      <c r="U202" s="333"/>
      <c r="V202" s="333"/>
      <c r="W202" s="333"/>
      <c r="X202" s="334"/>
      <c r="Y202" s="97"/>
      <c r="Z202" s="98"/>
      <c r="AA202" s="99"/>
      <c r="AB202" s="97"/>
      <c r="AC202" s="98"/>
      <c r="AD202" s="98"/>
      <c r="AE202" s="98"/>
      <c r="AF202" s="98"/>
      <c r="AG202" s="98"/>
      <c r="AH202" s="98"/>
      <c r="AI202" s="98"/>
      <c r="AJ202" s="99"/>
      <c r="AK202" s="97"/>
      <c r="AL202" s="98"/>
      <c r="AM202" s="99"/>
      <c r="AN202" s="97"/>
      <c r="AO202" s="98"/>
      <c r="AP202" s="98"/>
      <c r="AQ202" s="98"/>
      <c r="AR202" s="98"/>
      <c r="AS202" s="98"/>
      <c r="AT202" s="98"/>
      <c r="AU202" s="98"/>
      <c r="AV202" s="99"/>
      <c r="AW202" s="97"/>
      <c r="AX202" s="98"/>
      <c r="AY202" s="99"/>
      <c r="AZ202" s="97"/>
      <c r="BA202" s="98"/>
      <c r="BB202" s="98"/>
      <c r="BC202" s="98"/>
      <c r="BD202" s="98"/>
      <c r="BE202" s="98"/>
      <c r="BF202" s="98"/>
      <c r="BG202" s="98"/>
      <c r="BH202" s="98"/>
      <c r="BI202" s="98"/>
      <c r="BJ202" s="99"/>
      <c r="BR202" s="40"/>
      <c r="BS202" s="36" t="str">
        <f>_xlfn.IFNA(VLOOKUP($BR202,[15]Master!$C$4:$J$13,2,FALSE),"-")</f>
        <v>-</v>
      </c>
      <c r="BT202" s="36" t="str">
        <f>_xlfn.IFNA(VLOOKUP($BR202,[15]Master!$C$4:$J$13,3,FALSE),"-")</f>
        <v>-</v>
      </c>
      <c r="BU202" s="36" t="str">
        <f>_xlfn.IFNA(VLOOKUP($BR202,[15]Master!$C$4:$J$13,4,FALSE),"-")</f>
        <v>-</v>
      </c>
      <c r="BV202" s="36" t="str">
        <f>_xlfn.IFNA(VLOOKUP($BR202,[15]Master!$C$4:$J$13,5,FALSE),"-")</f>
        <v>-</v>
      </c>
      <c r="BW202" s="36" t="str">
        <f>_xlfn.IFNA(VLOOKUP($BR202,[15]Master!$C$4:$J$13,6,FALSE),"-")</f>
        <v>-</v>
      </c>
      <c r="BX202" s="36" t="str">
        <f>_xlfn.IFNA(VLOOKUP($BR202,[15]Master!$C$4:$J$13,7,FALSE),"-")</f>
        <v>-</v>
      </c>
      <c r="BY202" s="36" t="str">
        <f>_xlfn.IFNA(VLOOKUP($BR202,[15]Master!$C$4:$J$13,8,FALSE),"-")</f>
        <v>-</v>
      </c>
      <c r="BZ202" s="35">
        <f t="shared" si="5"/>
        <v>0</v>
      </c>
    </row>
    <row r="203" spans="2:78" ht="15.75">
      <c r="B203" s="97"/>
      <c r="C203" s="98" t="s">
        <v>415</v>
      </c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9"/>
      <c r="P203" s="332"/>
      <c r="Q203" s="333"/>
      <c r="R203" s="333"/>
      <c r="S203" s="333"/>
      <c r="T203" s="333"/>
      <c r="U203" s="333"/>
      <c r="V203" s="333"/>
      <c r="W203" s="333"/>
      <c r="X203" s="334"/>
      <c r="Y203" s="97"/>
      <c r="Z203" s="98"/>
      <c r="AA203" s="99"/>
      <c r="AB203" s="97"/>
      <c r="AC203" s="98"/>
      <c r="AD203" s="98"/>
      <c r="AE203" s="98"/>
      <c r="AF203" s="98"/>
      <c r="AG203" s="98"/>
      <c r="AH203" s="98"/>
      <c r="AI203" s="98"/>
      <c r="AJ203" s="99"/>
      <c r="AK203" s="97"/>
      <c r="AL203" s="98"/>
      <c r="AM203" s="99"/>
      <c r="AN203" s="97"/>
      <c r="AO203" s="98"/>
      <c r="AP203" s="98"/>
      <c r="AQ203" s="98"/>
      <c r="AR203" s="98"/>
      <c r="AS203" s="98"/>
      <c r="AT203" s="98"/>
      <c r="AU203" s="98"/>
      <c r="AV203" s="99"/>
      <c r="AW203" s="97"/>
      <c r="AX203" s="98"/>
      <c r="AY203" s="99"/>
      <c r="AZ203" s="97"/>
      <c r="BA203" s="98"/>
      <c r="BB203" s="98"/>
      <c r="BC203" s="98"/>
      <c r="BD203" s="98"/>
      <c r="BE203" s="98"/>
      <c r="BF203" s="98"/>
      <c r="BG203" s="98"/>
      <c r="BH203" s="98"/>
      <c r="BI203" s="98"/>
      <c r="BJ203" s="99"/>
      <c r="BR203" s="40"/>
      <c r="BS203" s="36" t="str">
        <f>_xlfn.IFNA(VLOOKUP($BR203,[15]Master!$C$4:$J$13,2,FALSE),"-")</f>
        <v>-</v>
      </c>
      <c r="BT203" s="36" t="str">
        <f>_xlfn.IFNA(VLOOKUP($BR203,[15]Master!$C$4:$J$13,3,FALSE),"-")</f>
        <v>-</v>
      </c>
      <c r="BU203" s="36" t="str">
        <f>_xlfn.IFNA(VLOOKUP($BR203,[15]Master!$C$4:$J$13,4,FALSE),"-")</f>
        <v>-</v>
      </c>
      <c r="BV203" s="36" t="str">
        <f>_xlfn.IFNA(VLOOKUP($BR203,[15]Master!$C$4:$J$13,5,FALSE),"-")</f>
        <v>-</v>
      </c>
      <c r="BW203" s="36" t="str">
        <f>_xlfn.IFNA(VLOOKUP($BR203,[15]Master!$C$4:$J$13,6,FALSE),"-")</f>
        <v>-</v>
      </c>
      <c r="BX203" s="36" t="str">
        <f>_xlfn.IFNA(VLOOKUP($BR203,[15]Master!$C$4:$J$13,7,FALSE),"-")</f>
        <v>-</v>
      </c>
      <c r="BY203" s="36" t="str">
        <f>_xlfn.IFNA(VLOOKUP($BR203,[15]Master!$C$4:$J$13,8,FALSE),"-")</f>
        <v>-</v>
      </c>
      <c r="BZ203" s="35">
        <f t="shared" si="5"/>
        <v>0</v>
      </c>
    </row>
    <row r="204" spans="2:78" ht="15.75">
      <c r="B204" s="97"/>
      <c r="C204" s="98" t="s">
        <v>410</v>
      </c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9"/>
      <c r="P204" s="332"/>
      <c r="Q204" s="333"/>
      <c r="R204" s="333"/>
      <c r="S204" s="333"/>
      <c r="T204" s="333"/>
      <c r="U204" s="333"/>
      <c r="V204" s="333"/>
      <c r="W204" s="333"/>
      <c r="X204" s="334"/>
      <c r="Y204" s="97"/>
      <c r="Z204" s="98"/>
      <c r="AA204" s="99"/>
      <c r="AB204" s="97"/>
      <c r="AC204" s="98"/>
      <c r="AD204" s="98"/>
      <c r="AE204" s="98"/>
      <c r="AF204" s="98"/>
      <c r="AG204" s="98"/>
      <c r="AH204" s="98"/>
      <c r="AI204" s="98"/>
      <c r="AJ204" s="99"/>
      <c r="AK204" s="97"/>
      <c r="AL204" s="98"/>
      <c r="AM204" s="99"/>
      <c r="AN204" s="97"/>
      <c r="AO204" s="98"/>
      <c r="AP204" s="98"/>
      <c r="AQ204" s="98"/>
      <c r="AR204" s="98"/>
      <c r="AS204" s="98"/>
      <c r="AT204" s="98"/>
      <c r="AU204" s="98"/>
      <c r="AV204" s="99"/>
      <c r="AW204" s="97"/>
      <c r="AX204" s="98"/>
      <c r="AY204" s="99"/>
      <c r="AZ204" s="97"/>
      <c r="BA204" s="98"/>
      <c r="BB204" s="98"/>
      <c r="BC204" s="98"/>
      <c r="BD204" s="98"/>
      <c r="BE204" s="98"/>
      <c r="BF204" s="98"/>
      <c r="BG204" s="98"/>
      <c r="BH204" s="98"/>
      <c r="BI204" s="98"/>
      <c r="BJ204" s="99"/>
      <c r="BR204" s="40"/>
      <c r="BS204" s="36" t="str">
        <f>_xlfn.IFNA(VLOOKUP($BR204,[15]Master!$C$4:$J$13,2,FALSE),"-")</f>
        <v>-</v>
      </c>
      <c r="BT204" s="36" t="str">
        <f>_xlfn.IFNA(VLOOKUP($BR204,[15]Master!$C$4:$J$13,3,FALSE),"-")</f>
        <v>-</v>
      </c>
      <c r="BU204" s="36" t="str">
        <f>_xlfn.IFNA(VLOOKUP($BR204,[15]Master!$C$4:$J$13,4,FALSE),"-")</f>
        <v>-</v>
      </c>
      <c r="BV204" s="36" t="str">
        <f>_xlfn.IFNA(VLOOKUP($BR204,[15]Master!$C$4:$J$13,5,FALSE),"-")</f>
        <v>-</v>
      </c>
      <c r="BW204" s="36" t="str">
        <f>_xlfn.IFNA(VLOOKUP($BR204,[15]Master!$C$4:$J$13,6,FALSE),"-")</f>
        <v>-</v>
      </c>
      <c r="BX204" s="36" t="str">
        <f>_xlfn.IFNA(VLOOKUP($BR204,[15]Master!$C$4:$J$13,7,FALSE),"-")</f>
        <v>-</v>
      </c>
      <c r="BY204" s="36" t="str">
        <f>_xlfn.IFNA(VLOOKUP($BR204,[15]Master!$C$4:$J$13,8,FALSE),"-")</f>
        <v>-</v>
      </c>
      <c r="BZ204" s="35">
        <f t="shared" si="5"/>
        <v>0</v>
      </c>
    </row>
    <row r="205" spans="2:78" ht="15.75">
      <c r="B205" s="97"/>
      <c r="C205" s="98" t="s">
        <v>416</v>
      </c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9"/>
      <c r="P205" s="332"/>
      <c r="Q205" s="333"/>
      <c r="R205" s="333"/>
      <c r="S205" s="333"/>
      <c r="T205" s="333"/>
      <c r="U205" s="333"/>
      <c r="V205" s="333"/>
      <c r="W205" s="333"/>
      <c r="X205" s="334"/>
      <c r="Y205" s="97"/>
      <c r="Z205" s="98"/>
      <c r="AA205" s="99"/>
      <c r="AB205" s="97"/>
      <c r="AC205" s="98"/>
      <c r="AD205" s="98"/>
      <c r="AE205" s="98"/>
      <c r="AF205" s="98"/>
      <c r="AG205" s="98"/>
      <c r="AH205" s="98"/>
      <c r="AI205" s="98"/>
      <c r="AJ205" s="99"/>
      <c r="AK205" s="97"/>
      <c r="AL205" s="98"/>
      <c r="AM205" s="99"/>
      <c r="AN205" s="97"/>
      <c r="AO205" s="98"/>
      <c r="AP205" s="98"/>
      <c r="AQ205" s="98"/>
      <c r="AR205" s="98"/>
      <c r="AS205" s="98"/>
      <c r="AT205" s="98"/>
      <c r="AU205" s="98"/>
      <c r="AV205" s="99"/>
      <c r="AW205" s="97"/>
      <c r="AX205" s="98"/>
      <c r="AY205" s="99"/>
      <c r="AZ205" s="97"/>
      <c r="BA205" s="98"/>
      <c r="BB205" s="98"/>
      <c r="BC205" s="98"/>
      <c r="BD205" s="98"/>
      <c r="BE205" s="98"/>
      <c r="BF205" s="98"/>
      <c r="BG205" s="98"/>
      <c r="BH205" s="98"/>
      <c r="BI205" s="98"/>
      <c r="BJ205" s="99"/>
      <c r="BR205" s="40"/>
      <c r="BS205" s="36" t="str">
        <f>_xlfn.IFNA(VLOOKUP($BR205,[15]Master!$C$4:$J$13,2,FALSE),"-")</f>
        <v>-</v>
      </c>
      <c r="BT205" s="36" t="str">
        <f>_xlfn.IFNA(VLOOKUP($BR205,[15]Master!$C$4:$J$13,3,FALSE),"-")</f>
        <v>-</v>
      </c>
      <c r="BU205" s="36" t="str">
        <f>_xlfn.IFNA(VLOOKUP($BR205,[15]Master!$C$4:$J$13,4,FALSE),"-")</f>
        <v>-</v>
      </c>
      <c r="BV205" s="36" t="str">
        <f>_xlfn.IFNA(VLOOKUP($BR205,[15]Master!$C$4:$J$13,5,FALSE),"-")</f>
        <v>-</v>
      </c>
      <c r="BW205" s="36" t="str">
        <f>_xlfn.IFNA(VLOOKUP($BR205,[15]Master!$C$4:$J$13,6,FALSE),"-")</f>
        <v>-</v>
      </c>
      <c r="BX205" s="36" t="str">
        <f>_xlfn.IFNA(VLOOKUP($BR205,[15]Master!$C$4:$J$13,7,FALSE),"-")</f>
        <v>-</v>
      </c>
      <c r="BY205" s="36" t="str">
        <f>_xlfn.IFNA(VLOOKUP($BR205,[15]Master!$C$4:$J$13,8,FALSE),"-")</f>
        <v>-</v>
      </c>
      <c r="BZ205" s="35">
        <f t="shared" si="5"/>
        <v>0</v>
      </c>
    </row>
    <row r="206" spans="2:78" ht="15.75">
      <c r="B206" s="97"/>
      <c r="C206" s="98" t="s">
        <v>417</v>
      </c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9"/>
      <c r="P206" s="332"/>
      <c r="Q206" s="333"/>
      <c r="R206" s="333"/>
      <c r="S206" s="333"/>
      <c r="T206" s="333"/>
      <c r="U206" s="333"/>
      <c r="V206" s="333"/>
      <c r="W206" s="333"/>
      <c r="X206" s="334"/>
      <c r="Y206" s="97"/>
      <c r="Z206" s="98"/>
      <c r="AA206" s="99"/>
      <c r="AB206" s="97"/>
      <c r="AC206" s="98"/>
      <c r="AD206" s="98"/>
      <c r="AE206" s="98"/>
      <c r="AF206" s="98"/>
      <c r="AG206" s="98"/>
      <c r="AH206" s="98"/>
      <c r="AI206" s="98"/>
      <c r="AJ206" s="99"/>
      <c r="AK206" s="97"/>
      <c r="AL206" s="98"/>
      <c r="AM206" s="99"/>
      <c r="AN206" s="97"/>
      <c r="AO206" s="98"/>
      <c r="AP206" s="98"/>
      <c r="AQ206" s="98"/>
      <c r="AR206" s="98"/>
      <c r="AS206" s="98"/>
      <c r="AT206" s="98"/>
      <c r="AU206" s="98"/>
      <c r="AV206" s="99"/>
      <c r="AW206" s="97"/>
      <c r="AX206" s="98"/>
      <c r="AY206" s="99"/>
      <c r="AZ206" s="97"/>
      <c r="BA206" s="98"/>
      <c r="BB206" s="98"/>
      <c r="BC206" s="98"/>
      <c r="BD206" s="98"/>
      <c r="BE206" s="98"/>
      <c r="BF206" s="98"/>
      <c r="BG206" s="98"/>
      <c r="BH206" s="98"/>
      <c r="BI206" s="98"/>
      <c r="BJ206" s="99"/>
      <c r="BR206" s="40"/>
      <c r="BS206" s="36" t="str">
        <f>_xlfn.IFNA(VLOOKUP($BR206,[15]Master!$C$4:$J$13,2,FALSE),"-")</f>
        <v>-</v>
      </c>
      <c r="BT206" s="36" t="str">
        <f>_xlfn.IFNA(VLOOKUP($BR206,[15]Master!$C$4:$J$13,3,FALSE),"-")</f>
        <v>-</v>
      </c>
      <c r="BU206" s="36" t="str">
        <f>_xlfn.IFNA(VLOOKUP($BR206,[15]Master!$C$4:$J$13,4,FALSE),"-")</f>
        <v>-</v>
      </c>
      <c r="BV206" s="36" t="str">
        <f>_xlfn.IFNA(VLOOKUP($BR206,[15]Master!$C$4:$J$13,5,FALSE),"-")</f>
        <v>-</v>
      </c>
      <c r="BW206" s="36" t="str">
        <f>_xlfn.IFNA(VLOOKUP($BR206,[15]Master!$C$4:$J$13,6,FALSE),"-")</f>
        <v>-</v>
      </c>
      <c r="BX206" s="36" t="str">
        <f>_xlfn.IFNA(VLOOKUP($BR206,[15]Master!$C$4:$J$13,7,FALSE),"-")</f>
        <v>-</v>
      </c>
      <c r="BY206" s="36" t="str">
        <f>_xlfn.IFNA(VLOOKUP($BR206,[15]Master!$C$4:$J$13,8,FALSE),"-")</f>
        <v>-</v>
      </c>
      <c r="BZ206" s="35">
        <f t="shared" si="5"/>
        <v>0</v>
      </c>
    </row>
    <row r="207" spans="2:78" ht="15.75">
      <c r="B207" s="97"/>
      <c r="C207" s="98" t="s">
        <v>418</v>
      </c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9"/>
      <c r="P207" s="335"/>
      <c r="Q207" s="336"/>
      <c r="R207" s="336"/>
      <c r="S207" s="336"/>
      <c r="T207" s="336"/>
      <c r="U207" s="336"/>
      <c r="V207" s="336"/>
      <c r="W207" s="336"/>
      <c r="X207" s="337"/>
      <c r="Y207" s="97"/>
      <c r="Z207" s="98"/>
      <c r="AA207" s="99"/>
      <c r="AB207" s="97"/>
      <c r="AC207" s="98"/>
      <c r="AD207" s="98"/>
      <c r="AE207" s="98"/>
      <c r="AF207" s="98"/>
      <c r="AG207" s="98"/>
      <c r="AH207" s="98"/>
      <c r="AI207" s="98"/>
      <c r="AJ207" s="99"/>
      <c r="AK207" s="97"/>
      <c r="AL207" s="98"/>
      <c r="AM207" s="99"/>
      <c r="AN207" s="97"/>
      <c r="AO207" s="98"/>
      <c r="AP207" s="98"/>
      <c r="AQ207" s="98"/>
      <c r="AR207" s="98"/>
      <c r="AS207" s="98"/>
      <c r="AT207" s="98"/>
      <c r="AU207" s="98"/>
      <c r="AV207" s="99"/>
      <c r="AW207" s="97"/>
      <c r="AX207" s="98"/>
      <c r="AY207" s="99"/>
      <c r="AZ207" s="97"/>
      <c r="BA207" s="98"/>
      <c r="BB207" s="98"/>
      <c r="BC207" s="98"/>
      <c r="BD207" s="98"/>
      <c r="BE207" s="98"/>
      <c r="BF207" s="98"/>
      <c r="BG207" s="98"/>
      <c r="BH207" s="98"/>
      <c r="BI207" s="98"/>
      <c r="BJ207" s="99"/>
      <c r="BR207" s="40"/>
      <c r="BS207" s="36" t="str">
        <f>_xlfn.IFNA(VLOOKUP($BR207,[15]Master!$C$4:$J$13,2,FALSE),"-")</f>
        <v>-</v>
      </c>
      <c r="BT207" s="36" t="str">
        <f>_xlfn.IFNA(VLOOKUP($BR207,[15]Master!$C$4:$J$13,3,FALSE),"-")</f>
        <v>-</v>
      </c>
      <c r="BU207" s="36" t="str">
        <f>_xlfn.IFNA(VLOOKUP($BR207,[15]Master!$C$4:$J$13,4,FALSE),"-")</f>
        <v>-</v>
      </c>
      <c r="BV207" s="36" t="str">
        <f>_xlfn.IFNA(VLOOKUP($BR207,[15]Master!$C$4:$J$13,5,FALSE),"-")</f>
        <v>-</v>
      </c>
      <c r="BW207" s="36" t="str">
        <f>_xlfn.IFNA(VLOOKUP($BR207,[15]Master!$C$4:$J$13,6,FALSE),"-")</f>
        <v>-</v>
      </c>
      <c r="BX207" s="36" t="str">
        <f>_xlfn.IFNA(VLOOKUP($BR207,[15]Master!$C$4:$J$13,7,FALSE),"-")</f>
        <v>-</v>
      </c>
      <c r="BY207" s="36" t="str">
        <f>_xlfn.IFNA(VLOOKUP($BR207,[15]Master!$C$4:$J$13,8,FALSE),"-")</f>
        <v>-</v>
      </c>
      <c r="BZ207" s="35">
        <f t="shared" si="5"/>
        <v>0</v>
      </c>
    </row>
    <row r="208" spans="2:78" ht="15.75">
      <c r="B208" s="131" t="s">
        <v>419</v>
      </c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3"/>
      <c r="P208" s="131"/>
      <c r="Q208" s="132"/>
      <c r="R208" s="132"/>
      <c r="S208" s="132"/>
      <c r="T208" s="132"/>
      <c r="U208" s="132"/>
      <c r="V208" s="132"/>
      <c r="W208" s="132"/>
      <c r="X208" s="133"/>
      <c r="Y208" s="131"/>
      <c r="Z208" s="132"/>
      <c r="AA208" s="133"/>
      <c r="AB208" s="131"/>
      <c r="AC208" s="132"/>
      <c r="AD208" s="132"/>
      <c r="AE208" s="132"/>
      <c r="AF208" s="132"/>
      <c r="AG208" s="132"/>
      <c r="AH208" s="132"/>
      <c r="AI208" s="132"/>
      <c r="AJ208" s="133"/>
      <c r="AK208" s="131"/>
      <c r="AL208" s="132"/>
      <c r="AM208" s="133"/>
      <c r="AN208" s="131"/>
      <c r="AO208" s="132"/>
      <c r="AP208" s="132"/>
      <c r="AQ208" s="132"/>
      <c r="AR208" s="132"/>
      <c r="AS208" s="132"/>
      <c r="AT208" s="132"/>
      <c r="AU208" s="132"/>
      <c r="AV208" s="133"/>
      <c r="AW208" s="131"/>
      <c r="AX208" s="132"/>
      <c r="AY208" s="133"/>
      <c r="AZ208" s="131"/>
      <c r="BA208" s="132"/>
      <c r="BB208" s="132"/>
      <c r="BC208" s="132"/>
      <c r="BD208" s="132"/>
      <c r="BE208" s="132"/>
      <c r="BF208" s="132"/>
      <c r="BG208" s="132"/>
      <c r="BH208" s="132"/>
      <c r="BI208" s="132"/>
      <c r="BJ208" s="133"/>
      <c r="BR208" s="40"/>
      <c r="BS208" s="36" t="str">
        <f>_xlfn.IFNA(VLOOKUP($BR208,[15]Master!$C$4:$J$13,2,FALSE),"-")</f>
        <v>-</v>
      </c>
      <c r="BT208" s="36" t="str">
        <f>_xlfn.IFNA(VLOOKUP($BR208,[15]Master!$C$4:$J$13,3,FALSE),"-")</f>
        <v>-</v>
      </c>
      <c r="BU208" s="36" t="str">
        <f>_xlfn.IFNA(VLOOKUP($BR208,[15]Master!$C$4:$J$13,4,FALSE),"-")</f>
        <v>-</v>
      </c>
      <c r="BV208" s="36" t="str">
        <f>_xlfn.IFNA(VLOOKUP($BR208,[15]Master!$C$4:$J$13,5,FALSE),"-")</f>
        <v>-</v>
      </c>
      <c r="BW208" s="36" t="str">
        <f>_xlfn.IFNA(VLOOKUP($BR208,[15]Master!$C$4:$J$13,6,FALSE),"-")</f>
        <v>-</v>
      </c>
      <c r="BX208" s="36" t="str">
        <f>_xlfn.IFNA(VLOOKUP($BR208,[15]Master!$C$4:$J$13,7,FALSE),"-")</f>
        <v>-</v>
      </c>
      <c r="BY208" s="36" t="str">
        <f>_xlfn.IFNA(VLOOKUP($BR208,[15]Master!$C$4:$J$13,8,FALSE),"-")</f>
        <v>-</v>
      </c>
      <c r="BZ208" s="35">
        <f t="shared" si="5"/>
        <v>0</v>
      </c>
    </row>
    <row r="209" spans="2:78" ht="15.75">
      <c r="B209" s="97"/>
      <c r="C209" s="98" t="s">
        <v>420</v>
      </c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9"/>
      <c r="P209" s="97"/>
      <c r="Q209" s="98"/>
      <c r="R209" s="98"/>
      <c r="S209" s="98"/>
      <c r="T209" s="98"/>
      <c r="U209" s="98"/>
      <c r="V209" s="98"/>
      <c r="W209" s="98"/>
      <c r="X209" s="99"/>
      <c r="Y209" s="97"/>
      <c r="Z209" s="98"/>
      <c r="AA209" s="99"/>
      <c r="AB209" s="97"/>
      <c r="AC209" s="98"/>
      <c r="AD209" s="98"/>
      <c r="AE209" s="98"/>
      <c r="AF209" s="98"/>
      <c r="AG209" s="98"/>
      <c r="AH209" s="98"/>
      <c r="AI209" s="98"/>
      <c r="AJ209" s="99"/>
      <c r="AK209" s="97"/>
      <c r="AL209" s="98"/>
      <c r="AM209" s="99"/>
      <c r="AN209" s="97"/>
      <c r="AO209" s="98"/>
      <c r="AP209" s="98"/>
      <c r="AQ209" s="98"/>
      <c r="AR209" s="98"/>
      <c r="AS209" s="98"/>
      <c r="AT209" s="98"/>
      <c r="AU209" s="98"/>
      <c r="AV209" s="99"/>
      <c r="AW209" s="97"/>
      <c r="AX209" s="98"/>
      <c r="AY209" s="99"/>
      <c r="AZ209" s="97"/>
      <c r="BA209" s="98"/>
      <c r="BB209" s="98"/>
      <c r="BC209" s="98"/>
      <c r="BD209" s="98"/>
      <c r="BE209" s="98"/>
      <c r="BF209" s="98"/>
      <c r="BG209" s="98"/>
      <c r="BH209" s="98"/>
      <c r="BI209" s="98"/>
      <c r="BJ209" s="99"/>
      <c r="BR209" s="40"/>
      <c r="BS209" s="36" t="str">
        <f>_xlfn.IFNA(VLOOKUP($BR209,[15]Master!$C$4:$J$13,2,FALSE),"-")</f>
        <v>-</v>
      </c>
      <c r="BT209" s="36" t="str">
        <f>_xlfn.IFNA(VLOOKUP($BR209,[15]Master!$C$4:$J$13,3,FALSE),"-")</f>
        <v>-</v>
      </c>
      <c r="BU209" s="36" t="str">
        <f>_xlfn.IFNA(VLOOKUP($BR209,[15]Master!$C$4:$J$13,4,FALSE),"-")</f>
        <v>-</v>
      </c>
      <c r="BV209" s="36" t="str">
        <f>_xlfn.IFNA(VLOOKUP($BR209,[15]Master!$C$4:$J$13,5,FALSE),"-")</f>
        <v>-</v>
      </c>
      <c r="BW209" s="36" t="str">
        <f>_xlfn.IFNA(VLOOKUP($BR209,[15]Master!$C$4:$J$13,6,FALSE),"-")</f>
        <v>-</v>
      </c>
      <c r="BX209" s="36" t="str">
        <f>_xlfn.IFNA(VLOOKUP($BR209,[15]Master!$C$4:$J$13,7,FALSE),"-")</f>
        <v>-</v>
      </c>
      <c r="BY209" s="36" t="str">
        <f>_xlfn.IFNA(VLOOKUP($BR209,[15]Master!$C$4:$J$13,8,FALSE),"-")</f>
        <v>-</v>
      </c>
      <c r="BZ209" s="35">
        <f t="shared" si="5"/>
        <v>0</v>
      </c>
    </row>
    <row r="210" spans="2:78" ht="15.75">
      <c r="B210" s="97"/>
      <c r="C210" s="98" t="s">
        <v>421</v>
      </c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9"/>
      <c r="P210" s="97"/>
      <c r="Q210" s="98"/>
      <c r="R210" s="98"/>
      <c r="S210" s="98"/>
      <c r="T210" s="98"/>
      <c r="U210" s="98"/>
      <c r="V210" s="98"/>
      <c r="W210" s="98"/>
      <c r="X210" s="99"/>
      <c r="Y210" s="97"/>
      <c r="Z210" s="98"/>
      <c r="AA210" s="99"/>
      <c r="AB210" s="97"/>
      <c r="AC210" s="98"/>
      <c r="AD210" s="98"/>
      <c r="AE210" s="98"/>
      <c r="AF210" s="98"/>
      <c r="AG210" s="98"/>
      <c r="AH210" s="98"/>
      <c r="AI210" s="98"/>
      <c r="AJ210" s="99"/>
      <c r="AK210" s="97"/>
      <c r="AL210" s="98"/>
      <c r="AM210" s="99"/>
      <c r="AN210" s="97"/>
      <c r="AO210" s="98"/>
      <c r="AP210" s="98"/>
      <c r="AQ210" s="98"/>
      <c r="AR210" s="98"/>
      <c r="AS210" s="98"/>
      <c r="AT210" s="98"/>
      <c r="AU210" s="98"/>
      <c r="AV210" s="99"/>
      <c r="AW210" s="97"/>
      <c r="AX210" s="98"/>
      <c r="AY210" s="99"/>
      <c r="AZ210" s="97"/>
      <c r="BA210" s="98"/>
      <c r="BB210" s="98"/>
      <c r="BC210" s="98"/>
      <c r="BD210" s="98"/>
      <c r="BE210" s="98"/>
      <c r="BF210" s="98"/>
      <c r="BG210" s="98"/>
      <c r="BH210" s="98"/>
      <c r="BI210" s="98"/>
      <c r="BJ210" s="99"/>
      <c r="BR210" s="40"/>
      <c r="BS210" s="36" t="str">
        <f>_xlfn.IFNA(VLOOKUP($BR210,[15]Master!$C$4:$J$13,2,FALSE),"-")</f>
        <v>-</v>
      </c>
      <c r="BT210" s="36" t="str">
        <f>_xlfn.IFNA(VLOOKUP($BR210,[15]Master!$C$4:$J$13,3,FALSE),"-")</f>
        <v>-</v>
      </c>
      <c r="BU210" s="36" t="str">
        <f>_xlfn.IFNA(VLOOKUP($BR210,[15]Master!$C$4:$J$13,4,FALSE),"-")</f>
        <v>-</v>
      </c>
      <c r="BV210" s="36" t="str">
        <f>_xlfn.IFNA(VLOOKUP($BR210,[15]Master!$C$4:$J$13,5,FALSE),"-")</f>
        <v>-</v>
      </c>
      <c r="BW210" s="36" t="str">
        <f>_xlfn.IFNA(VLOOKUP($BR210,[15]Master!$C$4:$J$13,6,FALSE),"-")</f>
        <v>-</v>
      </c>
      <c r="BX210" s="36" t="str">
        <f>_xlfn.IFNA(VLOOKUP($BR210,[15]Master!$C$4:$J$13,7,FALSE),"-")</f>
        <v>-</v>
      </c>
      <c r="BY210" s="36" t="str">
        <f>_xlfn.IFNA(VLOOKUP($BR210,[15]Master!$C$4:$J$13,8,FALSE),"-")</f>
        <v>-</v>
      </c>
      <c r="BZ210" s="35">
        <f t="shared" si="5"/>
        <v>0</v>
      </c>
    </row>
    <row r="211" spans="2:78" ht="15.75">
      <c r="B211" s="97"/>
      <c r="C211" s="98" t="s">
        <v>422</v>
      </c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9"/>
      <c r="P211" s="97"/>
      <c r="Q211" s="98"/>
      <c r="R211" s="98"/>
      <c r="S211" s="98"/>
      <c r="T211" s="98"/>
      <c r="U211" s="98"/>
      <c r="V211" s="98"/>
      <c r="W211" s="98"/>
      <c r="X211" s="99"/>
      <c r="Y211" s="97"/>
      <c r="Z211" s="98"/>
      <c r="AA211" s="99"/>
      <c r="AB211" s="97"/>
      <c r="AC211" s="98"/>
      <c r="AD211" s="98"/>
      <c r="AE211" s="98"/>
      <c r="AF211" s="98"/>
      <c r="AG211" s="98"/>
      <c r="AH211" s="98"/>
      <c r="AI211" s="98"/>
      <c r="AJ211" s="99"/>
      <c r="AK211" s="97"/>
      <c r="AL211" s="98"/>
      <c r="AM211" s="99"/>
      <c r="AN211" s="97"/>
      <c r="AO211" s="98"/>
      <c r="AP211" s="98"/>
      <c r="AQ211" s="98"/>
      <c r="AR211" s="98"/>
      <c r="AS211" s="98"/>
      <c r="AT211" s="98"/>
      <c r="AU211" s="98"/>
      <c r="AV211" s="99"/>
      <c r="AW211" s="97"/>
      <c r="AX211" s="98"/>
      <c r="AY211" s="99"/>
      <c r="AZ211" s="97"/>
      <c r="BA211" s="98"/>
      <c r="BB211" s="98"/>
      <c r="BC211" s="98"/>
      <c r="BD211" s="98"/>
      <c r="BE211" s="98"/>
      <c r="BF211" s="98"/>
      <c r="BG211" s="98"/>
      <c r="BH211" s="98"/>
      <c r="BI211" s="98"/>
      <c r="BJ211" s="99"/>
      <c r="BR211" s="40"/>
      <c r="BS211" s="36" t="str">
        <f>_xlfn.IFNA(VLOOKUP($BR211,[15]Master!$C$4:$J$13,2,FALSE),"-")</f>
        <v>-</v>
      </c>
      <c r="BT211" s="36" t="str">
        <f>_xlfn.IFNA(VLOOKUP($BR211,[15]Master!$C$4:$J$13,3,FALSE),"-")</f>
        <v>-</v>
      </c>
      <c r="BU211" s="36" t="str">
        <f>_xlfn.IFNA(VLOOKUP($BR211,[15]Master!$C$4:$J$13,4,FALSE),"-")</f>
        <v>-</v>
      </c>
      <c r="BV211" s="36" t="str">
        <f>_xlfn.IFNA(VLOOKUP($BR211,[15]Master!$C$4:$J$13,5,FALSE),"-")</f>
        <v>-</v>
      </c>
      <c r="BW211" s="36" t="str">
        <f>_xlfn.IFNA(VLOOKUP($BR211,[15]Master!$C$4:$J$13,6,FALSE),"-")</f>
        <v>-</v>
      </c>
      <c r="BX211" s="36" t="str">
        <f>_xlfn.IFNA(VLOOKUP($BR211,[15]Master!$C$4:$J$13,7,FALSE),"-")</f>
        <v>-</v>
      </c>
      <c r="BY211" s="36" t="str">
        <f>_xlfn.IFNA(VLOOKUP($BR211,[15]Master!$C$4:$J$13,8,FALSE),"-")</f>
        <v>-</v>
      </c>
      <c r="BZ211" s="35">
        <f t="shared" si="5"/>
        <v>0</v>
      </c>
    </row>
    <row r="212" spans="2:78" ht="15.75">
      <c r="B212" s="97"/>
      <c r="C212" s="98" t="s">
        <v>423</v>
      </c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9"/>
      <c r="P212" s="97"/>
      <c r="Q212" s="98"/>
      <c r="R212" s="98"/>
      <c r="S212" s="98"/>
      <c r="T212" s="98"/>
      <c r="U212" s="98"/>
      <c r="V212" s="98"/>
      <c r="W212" s="98"/>
      <c r="X212" s="99"/>
      <c r="Y212" s="97"/>
      <c r="Z212" s="98"/>
      <c r="AA212" s="99"/>
      <c r="AB212" s="97"/>
      <c r="AC212" s="98"/>
      <c r="AD212" s="98"/>
      <c r="AE212" s="98"/>
      <c r="AF212" s="98"/>
      <c r="AG212" s="98"/>
      <c r="AH212" s="98"/>
      <c r="AI212" s="98"/>
      <c r="AJ212" s="99"/>
      <c r="AK212" s="97"/>
      <c r="AL212" s="98"/>
      <c r="AM212" s="99"/>
      <c r="AN212" s="97"/>
      <c r="AO212" s="98"/>
      <c r="AP212" s="98"/>
      <c r="AQ212" s="98"/>
      <c r="AR212" s="98"/>
      <c r="AS212" s="98"/>
      <c r="AT212" s="98"/>
      <c r="AU212" s="98"/>
      <c r="AV212" s="99"/>
      <c r="AW212" s="97"/>
      <c r="AX212" s="98"/>
      <c r="AY212" s="99"/>
      <c r="AZ212" s="97"/>
      <c r="BA212" s="98"/>
      <c r="BB212" s="98"/>
      <c r="BC212" s="98"/>
      <c r="BD212" s="98"/>
      <c r="BE212" s="98"/>
      <c r="BF212" s="98"/>
      <c r="BG212" s="98"/>
      <c r="BH212" s="98"/>
      <c r="BI212" s="98"/>
      <c r="BJ212" s="99"/>
      <c r="BR212" s="40"/>
      <c r="BS212" s="36" t="str">
        <f>_xlfn.IFNA(VLOOKUP($BR212,[15]Master!$C$4:$J$13,2,FALSE),"-")</f>
        <v>-</v>
      </c>
      <c r="BT212" s="36" t="str">
        <f>_xlfn.IFNA(VLOOKUP($BR212,[15]Master!$C$4:$J$13,3,FALSE),"-")</f>
        <v>-</v>
      </c>
      <c r="BU212" s="36" t="str">
        <f>_xlfn.IFNA(VLOOKUP($BR212,[15]Master!$C$4:$J$13,4,FALSE),"-")</f>
        <v>-</v>
      </c>
      <c r="BV212" s="36" t="str">
        <f>_xlfn.IFNA(VLOOKUP($BR212,[15]Master!$C$4:$J$13,5,FALSE),"-")</f>
        <v>-</v>
      </c>
      <c r="BW212" s="36" t="str">
        <f>_xlfn.IFNA(VLOOKUP($BR212,[15]Master!$C$4:$J$13,6,FALSE),"-")</f>
        <v>-</v>
      </c>
      <c r="BX212" s="36" t="str">
        <f>_xlfn.IFNA(VLOOKUP($BR212,[15]Master!$C$4:$J$13,7,FALSE),"-")</f>
        <v>-</v>
      </c>
      <c r="BY212" s="36" t="str">
        <f>_xlfn.IFNA(VLOOKUP($BR212,[15]Master!$C$4:$J$13,8,FALSE),"-")</f>
        <v>-</v>
      </c>
      <c r="BZ212" s="35">
        <f t="shared" si="5"/>
        <v>0</v>
      </c>
    </row>
    <row r="213" spans="2:78" ht="15.75">
      <c r="B213" s="97"/>
      <c r="C213" s="98" t="s">
        <v>424</v>
      </c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9"/>
      <c r="P213" s="97"/>
      <c r="Q213" s="98"/>
      <c r="R213" s="98"/>
      <c r="S213" s="98"/>
      <c r="T213" s="98"/>
      <c r="U213" s="98"/>
      <c r="V213" s="98"/>
      <c r="W213" s="98"/>
      <c r="X213" s="99"/>
      <c r="Y213" s="97"/>
      <c r="Z213" s="98"/>
      <c r="AA213" s="99"/>
      <c r="AB213" s="97"/>
      <c r="AC213" s="98"/>
      <c r="AD213" s="98"/>
      <c r="AE213" s="98"/>
      <c r="AF213" s="98"/>
      <c r="AG213" s="98"/>
      <c r="AH213" s="98"/>
      <c r="AI213" s="98"/>
      <c r="AJ213" s="99"/>
      <c r="AK213" s="97"/>
      <c r="AL213" s="98"/>
      <c r="AM213" s="99"/>
      <c r="AN213" s="97"/>
      <c r="AO213" s="98"/>
      <c r="AP213" s="98"/>
      <c r="AQ213" s="98"/>
      <c r="AR213" s="98"/>
      <c r="AS213" s="98"/>
      <c r="AT213" s="98"/>
      <c r="AU213" s="98"/>
      <c r="AV213" s="99"/>
      <c r="AW213" s="97"/>
      <c r="AX213" s="98"/>
      <c r="AY213" s="99"/>
      <c r="AZ213" s="97"/>
      <c r="BA213" s="98"/>
      <c r="BB213" s="98"/>
      <c r="BC213" s="98"/>
      <c r="BD213" s="98"/>
      <c r="BE213" s="98"/>
      <c r="BF213" s="98"/>
      <c r="BG213" s="98"/>
      <c r="BH213" s="98"/>
      <c r="BI213" s="98"/>
      <c r="BJ213" s="99"/>
      <c r="BR213" s="40"/>
      <c r="BS213" s="36" t="str">
        <f>_xlfn.IFNA(VLOOKUP($BR213,[15]Master!$C$4:$J$13,2,FALSE),"-")</f>
        <v>-</v>
      </c>
      <c r="BT213" s="36" t="str">
        <f>_xlfn.IFNA(VLOOKUP($BR213,[15]Master!$C$4:$J$13,3,FALSE),"-")</f>
        <v>-</v>
      </c>
      <c r="BU213" s="36" t="str">
        <f>_xlfn.IFNA(VLOOKUP($BR213,[15]Master!$C$4:$J$13,4,FALSE),"-")</f>
        <v>-</v>
      </c>
      <c r="BV213" s="36" t="str">
        <f>_xlfn.IFNA(VLOOKUP($BR213,[15]Master!$C$4:$J$13,5,FALSE),"-")</f>
        <v>-</v>
      </c>
      <c r="BW213" s="36" t="str">
        <f>_xlfn.IFNA(VLOOKUP($BR213,[15]Master!$C$4:$J$13,6,FALSE),"-")</f>
        <v>-</v>
      </c>
      <c r="BX213" s="36" t="str">
        <f>_xlfn.IFNA(VLOOKUP($BR213,[15]Master!$C$4:$J$13,7,FALSE),"-")</f>
        <v>-</v>
      </c>
      <c r="BY213" s="36" t="str">
        <f>_xlfn.IFNA(VLOOKUP($BR213,[15]Master!$C$4:$J$13,8,FALSE),"-")</f>
        <v>-</v>
      </c>
      <c r="BZ213" s="35">
        <f t="shared" si="5"/>
        <v>0</v>
      </c>
    </row>
    <row r="214" spans="2:78" ht="15.75">
      <c r="B214" s="97"/>
      <c r="C214" s="98" t="s">
        <v>425</v>
      </c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9"/>
      <c r="P214" s="97"/>
      <c r="Q214" s="98"/>
      <c r="R214" s="98"/>
      <c r="S214" s="98"/>
      <c r="T214" s="98"/>
      <c r="U214" s="98"/>
      <c r="V214" s="98"/>
      <c r="W214" s="98"/>
      <c r="X214" s="99"/>
      <c r="Y214" s="97"/>
      <c r="Z214" s="98"/>
      <c r="AA214" s="99"/>
      <c r="AB214" s="97"/>
      <c r="AC214" s="98"/>
      <c r="AD214" s="98"/>
      <c r="AE214" s="98"/>
      <c r="AF214" s="98"/>
      <c r="AG214" s="98"/>
      <c r="AH214" s="98"/>
      <c r="AI214" s="98"/>
      <c r="AJ214" s="99"/>
      <c r="AK214" s="97"/>
      <c r="AL214" s="98"/>
      <c r="AM214" s="99"/>
      <c r="AN214" s="97"/>
      <c r="AO214" s="98"/>
      <c r="AP214" s="98"/>
      <c r="AQ214" s="98"/>
      <c r="AR214" s="98"/>
      <c r="AS214" s="98"/>
      <c r="AT214" s="98"/>
      <c r="AU214" s="98"/>
      <c r="AV214" s="99"/>
      <c r="AW214" s="97"/>
      <c r="AX214" s="98"/>
      <c r="AY214" s="99"/>
      <c r="AZ214" s="97"/>
      <c r="BA214" s="98"/>
      <c r="BB214" s="98"/>
      <c r="BC214" s="98"/>
      <c r="BD214" s="98"/>
      <c r="BE214" s="98"/>
      <c r="BF214" s="98"/>
      <c r="BG214" s="98"/>
      <c r="BH214" s="98"/>
      <c r="BI214" s="98"/>
      <c r="BJ214" s="99"/>
      <c r="BR214" s="40"/>
      <c r="BS214" s="36" t="str">
        <f>_xlfn.IFNA(VLOOKUP($BR214,[15]Master!$C$4:$J$13,2,FALSE),"-")</f>
        <v>-</v>
      </c>
      <c r="BT214" s="36" t="str">
        <f>_xlfn.IFNA(VLOOKUP($BR214,[15]Master!$C$4:$J$13,3,FALSE),"-")</f>
        <v>-</v>
      </c>
      <c r="BU214" s="36" t="str">
        <f>_xlfn.IFNA(VLOOKUP($BR214,[15]Master!$C$4:$J$13,4,FALSE),"-")</f>
        <v>-</v>
      </c>
      <c r="BV214" s="36" t="str">
        <f>_xlfn.IFNA(VLOOKUP($BR214,[15]Master!$C$4:$J$13,5,FALSE),"-")</f>
        <v>-</v>
      </c>
      <c r="BW214" s="36" t="str">
        <f>_xlfn.IFNA(VLOOKUP($BR214,[15]Master!$C$4:$J$13,6,FALSE),"-")</f>
        <v>-</v>
      </c>
      <c r="BX214" s="36" t="str">
        <f>_xlfn.IFNA(VLOOKUP($BR214,[15]Master!$C$4:$J$13,7,FALSE),"-")</f>
        <v>-</v>
      </c>
      <c r="BY214" s="36" t="str">
        <f>_xlfn.IFNA(VLOOKUP($BR214,[15]Master!$C$4:$J$13,8,FALSE),"-")</f>
        <v>-</v>
      </c>
      <c r="BZ214" s="35">
        <f t="shared" si="5"/>
        <v>0</v>
      </c>
    </row>
    <row r="215" spans="2:78" ht="15.75">
      <c r="B215" s="97"/>
      <c r="C215" s="98" t="s">
        <v>426</v>
      </c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9"/>
      <c r="P215" s="97"/>
      <c r="Q215" s="98"/>
      <c r="R215" s="98"/>
      <c r="S215" s="98"/>
      <c r="T215" s="98"/>
      <c r="U215" s="98"/>
      <c r="V215" s="98"/>
      <c r="W215" s="98"/>
      <c r="X215" s="99"/>
      <c r="Y215" s="97"/>
      <c r="Z215" s="98"/>
      <c r="AA215" s="99"/>
      <c r="AB215" s="97"/>
      <c r="AC215" s="98"/>
      <c r="AD215" s="98"/>
      <c r="AE215" s="98"/>
      <c r="AF215" s="98"/>
      <c r="AG215" s="98"/>
      <c r="AH215" s="98"/>
      <c r="AI215" s="98"/>
      <c r="AJ215" s="99"/>
      <c r="AK215" s="97"/>
      <c r="AL215" s="98"/>
      <c r="AM215" s="99"/>
      <c r="AN215" s="97"/>
      <c r="AO215" s="98"/>
      <c r="AP215" s="98"/>
      <c r="AQ215" s="98"/>
      <c r="AR215" s="98"/>
      <c r="AS215" s="98"/>
      <c r="AT215" s="98"/>
      <c r="AU215" s="98"/>
      <c r="AV215" s="99"/>
      <c r="AW215" s="97"/>
      <c r="AX215" s="98"/>
      <c r="AY215" s="99"/>
      <c r="AZ215" s="97"/>
      <c r="BA215" s="98"/>
      <c r="BB215" s="98"/>
      <c r="BC215" s="98"/>
      <c r="BD215" s="98"/>
      <c r="BE215" s="98"/>
      <c r="BF215" s="98"/>
      <c r="BG215" s="98"/>
      <c r="BH215" s="98"/>
      <c r="BI215" s="98"/>
      <c r="BJ215" s="99"/>
      <c r="BR215" s="40"/>
      <c r="BS215" s="36" t="str">
        <f>_xlfn.IFNA(VLOOKUP($BR215,[15]Master!$C$4:$J$13,2,FALSE),"-")</f>
        <v>-</v>
      </c>
      <c r="BT215" s="36" t="str">
        <f>_xlfn.IFNA(VLOOKUP($BR215,[15]Master!$C$4:$J$13,3,FALSE),"-")</f>
        <v>-</v>
      </c>
      <c r="BU215" s="36" t="str">
        <f>_xlfn.IFNA(VLOOKUP($BR215,[15]Master!$C$4:$J$13,4,FALSE),"-")</f>
        <v>-</v>
      </c>
      <c r="BV215" s="36" t="str">
        <f>_xlfn.IFNA(VLOOKUP($BR215,[15]Master!$C$4:$J$13,5,FALSE),"-")</f>
        <v>-</v>
      </c>
      <c r="BW215" s="36" t="str">
        <f>_xlfn.IFNA(VLOOKUP($BR215,[15]Master!$C$4:$J$13,6,FALSE),"-")</f>
        <v>-</v>
      </c>
      <c r="BX215" s="36" t="str">
        <f>_xlfn.IFNA(VLOOKUP($BR215,[15]Master!$C$4:$J$13,7,FALSE),"-")</f>
        <v>-</v>
      </c>
      <c r="BY215" s="36" t="str">
        <f>_xlfn.IFNA(VLOOKUP($BR215,[15]Master!$C$4:$J$13,8,FALSE),"-")</f>
        <v>-</v>
      </c>
      <c r="BZ215" s="35">
        <f t="shared" si="5"/>
        <v>0</v>
      </c>
    </row>
    <row r="216" spans="2:78" ht="15.75">
      <c r="B216" s="97"/>
      <c r="C216" s="98" t="s">
        <v>427</v>
      </c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9"/>
      <c r="P216" s="97"/>
      <c r="Q216" s="98"/>
      <c r="R216" s="98"/>
      <c r="S216" s="98"/>
      <c r="T216" s="98"/>
      <c r="U216" s="98"/>
      <c r="V216" s="98"/>
      <c r="W216" s="98"/>
      <c r="X216" s="99"/>
      <c r="Y216" s="97"/>
      <c r="Z216" s="98"/>
      <c r="AA216" s="99"/>
      <c r="AB216" s="97"/>
      <c r="AC216" s="98"/>
      <c r="AD216" s="98"/>
      <c r="AE216" s="98"/>
      <c r="AF216" s="98"/>
      <c r="AG216" s="98"/>
      <c r="AH216" s="98"/>
      <c r="AI216" s="98"/>
      <c r="AJ216" s="99"/>
      <c r="AK216" s="97"/>
      <c r="AL216" s="98"/>
      <c r="AM216" s="99"/>
      <c r="AN216" s="97"/>
      <c r="AO216" s="98"/>
      <c r="AP216" s="98"/>
      <c r="AQ216" s="98"/>
      <c r="AR216" s="98"/>
      <c r="AS216" s="98"/>
      <c r="AT216" s="98"/>
      <c r="AU216" s="98"/>
      <c r="AV216" s="99"/>
      <c r="AW216" s="97"/>
      <c r="AX216" s="98"/>
      <c r="AY216" s="99"/>
      <c r="AZ216" s="97"/>
      <c r="BA216" s="98"/>
      <c r="BB216" s="98"/>
      <c r="BC216" s="98"/>
      <c r="BD216" s="98"/>
      <c r="BE216" s="98"/>
      <c r="BF216" s="98"/>
      <c r="BG216" s="98"/>
      <c r="BH216" s="98"/>
      <c r="BI216" s="98"/>
      <c r="BJ216" s="99"/>
      <c r="BR216" s="40"/>
      <c r="BS216" s="36" t="str">
        <f>_xlfn.IFNA(VLOOKUP($BR216,[15]Master!$C$4:$J$13,2,FALSE),"-")</f>
        <v>-</v>
      </c>
      <c r="BT216" s="36" t="str">
        <f>_xlfn.IFNA(VLOOKUP($BR216,[15]Master!$C$4:$J$13,3,FALSE),"-")</f>
        <v>-</v>
      </c>
      <c r="BU216" s="36" t="str">
        <f>_xlfn.IFNA(VLOOKUP($BR216,[15]Master!$C$4:$J$13,4,FALSE),"-")</f>
        <v>-</v>
      </c>
      <c r="BV216" s="36" t="str">
        <f>_xlfn.IFNA(VLOOKUP($BR216,[15]Master!$C$4:$J$13,5,FALSE),"-")</f>
        <v>-</v>
      </c>
      <c r="BW216" s="36" t="str">
        <f>_xlfn.IFNA(VLOOKUP($BR216,[15]Master!$C$4:$J$13,6,FALSE),"-")</f>
        <v>-</v>
      </c>
      <c r="BX216" s="36" t="str">
        <f>_xlfn.IFNA(VLOOKUP($BR216,[15]Master!$C$4:$J$13,7,FALSE),"-")</f>
        <v>-</v>
      </c>
      <c r="BY216" s="36" t="str">
        <f>_xlfn.IFNA(VLOOKUP($BR216,[15]Master!$C$4:$J$13,8,FALSE),"-")</f>
        <v>-</v>
      </c>
      <c r="BZ216" s="35">
        <f t="shared" si="5"/>
        <v>0</v>
      </c>
    </row>
    <row r="217" spans="2:78" ht="15.75">
      <c r="B217" s="97"/>
      <c r="C217" s="98" t="s">
        <v>428</v>
      </c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9"/>
      <c r="P217" s="97"/>
      <c r="Q217" s="98"/>
      <c r="R217" s="98"/>
      <c r="S217" s="98"/>
      <c r="T217" s="98"/>
      <c r="U217" s="98"/>
      <c r="V217" s="98"/>
      <c r="W217" s="98"/>
      <c r="X217" s="99"/>
      <c r="Y217" s="97"/>
      <c r="Z217" s="98"/>
      <c r="AA217" s="99"/>
      <c r="AB217" s="97"/>
      <c r="AC217" s="98"/>
      <c r="AD217" s="98"/>
      <c r="AE217" s="98"/>
      <c r="AF217" s="98"/>
      <c r="AG217" s="98"/>
      <c r="AH217" s="98"/>
      <c r="AI217" s="98"/>
      <c r="AJ217" s="99"/>
      <c r="AK217" s="97"/>
      <c r="AL217" s="98"/>
      <c r="AM217" s="99"/>
      <c r="AN217" s="97"/>
      <c r="AO217" s="98"/>
      <c r="AP217" s="98"/>
      <c r="AQ217" s="98"/>
      <c r="AR217" s="98"/>
      <c r="AS217" s="98"/>
      <c r="AT217" s="98"/>
      <c r="AU217" s="98"/>
      <c r="AV217" s="99"/>
      <c r="AW217" s="97"/>
      <c r="AX217" s="98"/>
      <c r="AY217" s="99"/>
      <c r="AZ217" s="97"/>
      <c r="BA217" s="98"/>
      <c r="BB217" s="98"/>
      <c r="BC217" s="98"/>
      <c r="BD217" s="98"/>
      <c r="BE217" s="98"/>
      <c r="BF217" s="98"/>
      <c r="BG217" s="98"/>
      <c r="BH217" s="98"/>
      <c r="BI217" s="98"/>
      <c r="BJ217" s="99"/>
      <c r="BR217" s="40"/>
      <c r="BS217" s="36" t="str">
        <f>_xlfn.IFNA(VLOOKUP($BR217,[15]Master!$C$4:$J$13,2,FALSE),"-")</f>
        <v>-</v>
      </c>
      <c r="BT217" s="36" t="str">
        <f>_xlfn.IFNA(VLOOKUP($BR217,[15]Master!$C$4:$J$13,3,FALSE),"-")</f>
        <v>-</v>
      </c>
      <c r="BU217" s="36" t="str">
        <f>_xlfn.IFNA(VLOOKUP($BR217,[15]Master!$C$4:$J$13,4,FALSE),"-")</f>
        <v>-</v>
      </c>
      <c r="BV217" s="36" t="str">
        <f>_xlfn.IFNA(VLOOKUP($BR217,[15]Master!$C$4:$J$13,5,FALSE),"-")</f>
        <v>-</v>
      </c>
      <c r="BW217" s="36" t="str">
        <f>_xlfn.IFNA(VLOOKUP($BR217,[15]Master!$C$4:$J$13,6,FALSE),"-")</f>
        <v>-</v>
      </c>
      <c r="BX217" s="36" t="str">
        <f>_xlfn.IFNA(VLOOKUP($BR217,[15]Master!$C$4:$J$13,7,FALSE),"-")</f>
        <v>-</v>
      </c>
      <c r="BY217" s="36" t="str">
        <f>_xlfn.IFNA(VLOOKUP($BR217,[15]Master!$C$4:$J$13,8,FALSE),"-")</f>
        <v>-</v>
      </c>
      <c r="BZ217" s="35">
        <f t="shared" si="5"/>
        <v>0</v>
      </c>
    </row>
    <row r="218" spans="2:78" ht="15.75">
      <c r="B218" s="97"/>
      <c r="C218" s="98" t="s">
        <v>429</v>
      </c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9"/>
      <c r="P218" s="97"/>
      <c r="Q218" s="98"/>
      <c r="R218" s="98"/>
      <c r="S218" s="98"/>
      <c r="T218" s="98"/>
      <c r="U218" s="98"/>
      <c r="V218" s="98"/>
      <c r="W218" s="98"/>
      <c r="X218" s="99"/>
      <c r="Y218" s="97"/>
      <c r="Z218" s="98"/>
      <c r="AA218" s="99"/>
      <c r="AB218" s="97"/>
      <c r="AC218" s="98"/>
      <c r="AD218" s="98"/>
      <c r="AE218" s="98"/>
      <c r="AF218" s="98"/>
      <c r="AG218" s="98"/>
      <c r="AH218" s="98"/>
      <c r="AI218" s="98"/>
      <c r="AJ218" s="99"/>
      <c r="AK218" s="97"/>
      <c r="AL218" s="98"/>
      <c r="AM218" s="99"/>
      <c r="AN218" s="97"/>
      <c r="AO218" s="98"/>
      <c r="AP218" s="98"/>
      <c r="AQ218" s="98"/>
      <c r="AR218" s="98"/>
      <c r="AS218" s="98"/>
      <c r="AT218" s="98"/>
      <c r="AU218" s="98"/>
      <c r="AV218" s="99"/>
      <c r="AW218" s="97"/>
      <c r="AX218" s="98"/>
      <c r="AY218" s="99"/>
      <c r="AZ218" s="97"/>
      <c r="BA218" s="98"/>
      <c r="BB218" s="98"/>
      <c r="BC218" s="98"/>
      <c r="BD218" s="98"/>
      <c r="BE218" s="98"/>
      <c r="BF218" s="98"/>
      <c r="BG218" s="98"/>
      <c r="BH218" s="98"/>
      <c r="BI218" s="98"/>
      <c r="BJ218" s="99"/>
      <c r="BR218" s="40"/>
      <c r="BS218" s="36" t="str">
        <f>_xlfn.IFNA(VLOOKUP($BR218,[15]Master!$C$4:$J$13,2,FALSE),"-")</f>
        <v>-</v>
      </c>
      <c r="BT218" s="36" t="str">
        <f>_xlfn.IFNA(VLOOKUP($BR218,[15]Master!$C$4:$J$13,3,FALSE),"-")</f>
        <v>-</v>
      </c>
      <c r="BU218" s="36" t="str">
        <f>_xlfn.IFNA(VLOOKUP($BR218,[15]Master!$C$4:$J$13,4,FALSE),"-")</f>
        <v>-</v>
      </c>
      <c r="BV218" s="36" t="str">
        <f>_xlfn.IFNA(VLOOKUP($BR218,[15]Master!$C$4:$J$13,5,FALSE),"-")</f>
        <v>-</v>
      </c>
      <c r="BW218" s="36" t="str">
        <f>_xlfn.IFNA(VLOOKUP($BR218,[15]Master!$C$4:$J$13,6,FALSE),"-")</f>
        <v>-</v>
      </c>
      <c r="BX218" s="36" t="str">
        <f>_xlfn.IFNA(VLOOKUP($BR218,[15]Master!$C$4:$J$13,7,FALSE),"-")</f>
        <v>-</v>
      </c>
      <c r="BY218" s="36" t="str">
        <f>_xlfn.IFNA(VLOOKUP($BR218,[15]Master!$C$4:$J$13,8,FALSE),"-")</f>
        <v>-</v>
      </c>
      <c r="BZ218" s="35">
        <f t="shared" si="5"/>
        <v>0</v>
      </c>
    </row>
    <row r="219" spans="2:78" ht="15.75">
      <c r="B219" s="97"/>
      <c r="C219" s="98" t="s">
        <v>430</v>
      </c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9"/>
      <c r="P219" s="97"/>
      <c r="Q219" s="98"/>
      <c r="R219" s="98"/>
      <c r="S219" s="98"/>
      <c r="T219" s="98"/>
      <c r="U219" s="98"/>
      <c r="V219" s="98"/>
      <c r="W219" s="98"/>
      <c r="X219" s="99"/>
      <c r="Y219" s="97"/>
      <c r="Z219" s="98"/>
      <c r="AA219" s="99"/>
      <c r="AB219" s="97"/>
      <c r="AC219" s="98"/>
      <c r="AD219" s="98"/>
      <c r="AE219" s="98"/>
      <c r="AF219" s="98"/>
      <c r="AG219" s="98"/>
      <c r="AH219" s="98"/>
      <c r="AI219" s="98"/>
      <c r="AJ219" s="99"/>
      <c r="AK219" s="97"/>
      <c r="AL219" s="98"/>
      <c r="AM219" s="99"/>
      <c r="AN219" s="97"/>
      <c r="AO219" s="98"/>
      <c r="AP219" s="98"/>
      <c r="AQ219" s="98"/>
      <c r="AR219" s="98"/>
      <c r="AS219" s="98"/>
      <c r="AT219" s="98"/>
      <c r="AU219" s="98"/>
      <c r="AV219" s="99"/>
      <c r="AW219" s="97"/>
      <c r="AX219" s="98"/>
      <c r="AY219" s="99"/>
      <c r="AZ219" s="97"/>
      <c r="BA219" s="98"/>
      <c r="BB219" s="98"/>
      <c r="BC219" s="98"/>
      <c r="BD219" s="98"/>
      <c r="BE219" s="98"/>
      <c r="BF219" s="98"/>
      <c r="BG219" s="98"/>
      <c r="BH219" s="98"/>
      <c r="BI219" s="98"/>
      <c r="BJ219" s="99"/>
      <c r="BR219" s="40"/>
      <c r="BS219" s="36" t="str">
        <f>_xlfn.IFNA(VLOOKUP($BR219,[15]Master!$C$4:$J$13,2,FALSE),"-")</f>
        <v>-</v>
      </c>
      <c r="BT219" s="36" t="str">
        <f>_xlfn.IFNA(VLOOKUP($BR219,[15]Master!$C$4:$J$13,3,FALSE),"-")</f>
        <v>-</v>
      </c>
      <c r="BU219" s="36" t="str">
        <f>_xlfn.IFNA(VLOOKUP($BR219,[15]Master!$C$4:$J$13,4,FALSE),"-")</f>
        <v>-</v>
      </c>
      <c r="BV219" s="36" t="str">
        <f>_xlfn.IFNA(VLOOKUP($BR219,[15]Master!$C$4:$J$13,5,FALSE),"-")</f>
        <v>-</v>
      </c>
      <c r="BW219" s="36" t="str">
        <f>_xlfn.IFNA(VLOOKUP($BR219,[15]Master!$C$4:$J$13,6,FALSE),"-")</f>
        <v>-</v>
      </c>
      <c r="BX219" s="36" t="str">
        <f>_xlfn.IFNA(VLOOKUP($BR219,[15]Master!$C$4:$J$13,7,FALSE),"-")</f>
        <v>-</v>
      </c>
      <c r="BY219" s="36" t="str">
        <f>_xlfn.IFNA(VLOOKUP($BR219,[15]Master!$C$4:$J$13,8,FALSE),"-")</f>
        <v>-</v>
      </c>
      <c r="BZ219" s="35">
        <f t="shared" si="5"/>
        <v>0</v>
      </c>
    </row>
    <row r="220" spans="2:78" ht="15.75">
      <c r="B220" s="97"/>
      <c r="C220" s="98" t="s">
        <v>431</v>
      </c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9"/>
      <c r="P220" s="97"/>
      <c r="Q220" s="98"/>
      <c r="R220" s="98"/>
      <c r="S220" s="98"/>
      <c r="T220" s="98"/>
      <c r="U220" s="98"/>
      <c r="V220" s="98"/>
      <c r="W220" s="98"/>
      <c r="X220" s="99"/>
      <c r="Y220" s="97"/>
      <c r="Z220" s="98"/>
      <c r="AA220" s="99"/>
      <c r="AB220" s="97"/>
      <c r="AC220" s="98"/>
      <c r="AD220" s="98"/>
      <c r="AE220" s="98"/>
      <c r="AF220" s="98"/>
      <c r="AG220" s="98"/>
      <c r="AH220" s="98"/>
      <c r="AI220" s="98"/>
      <c r="AJ220" s="99"/>
      <c r="AK220" s="97"/>
      <c r="AL220" s="98"/>
      <c r="AM220" s="99"/>
      <c r="AN220" s="97"/>
      <c r="AO220" s="98"/>
      <c r="AP220" s="98"/>
      <c r="AQ220" s="98"/>
      <c r="AR220" s="98"/>
      <c r="AS220" s="98"/>
      <c r="AT220" s="98"/>
      <c r="AU220" s="98"/>
      <c r="AV220" s="99"/>
      <c r="AW220" s="97"/>
      <c r="AX220" s="98"/>
      <c r="AY220" s="99"/>
      <c r="AZ220" s="97"/>
      <c r="BA220" s="98"/>
      <c r="BB220" s="98"/>
      <c r="BC220" s="98"/>
      <c r="BD220" s="98"/>
      <c r="BE220" s="98"/>
      <c r="BF220" s="98"/>
      <c r="BG220" s="98"/>
      <c r="BH220" s="98"/>
      <c r="BI220" s="98"/>
      <c r="BJ220" s="99"/>
      <c r="BR220" s="40"/>
      <c r="BS220" s="36" t="str">
        <f>_xlfn.IFNA(VLOOKUP($BR220,[15]Master!$C$4:$J$13,2,FALSE),"-")</f>
        <v>-</v>
      </c>
      <c r="BT220" s="36" t="str">
        <f>_xlfn.IFNA(VLOOKUP($BR220,[15]Master!$C$4:$J$13,3,FALSE),"-")</f>
        <v>-</v>
      </c>
      <c r="BU220" s="36" t="str">
        <f>_xlfn.IFNA(VLOOKUP($BR220,[15]Master!$C$4:$J$13,4,FALSE),"-")</f>
        <v>-</v>
      </c>
      <c r="BV220" s="36" t="str">
        <f>_xlfn.IFNA(VLOOKUP($BR220,[15]Master!$C$4:$J$13,5,FALSE),"-")</f>
        <v>-</v>
      </c>
      <c r="BW220" s="36" t="str">
        <f>_xlfn.IFNA(VLOOKUP($BR220,[15]Master!$C$4:$J$13,6,FALSE),"-")</f>
        <v>-</v>
      </c>
      <c r="BX220" s="36" t="str">
        <f>_xlfn.IFNA(VLOOKUP($BR220,[15]Master!$C$4:$J$13,7,FALSE),"-")</f>
        <v>-</v>
      </c>
      <c r="BY220" s="36" t="str">
        <f>_xlfn.IFNA(VLOOKUP($BR220,[15]Master!$C$4:$J$13,8,FALSE),"-")</f>
        <v>-</v>
      </c>
      <c r="BZ220" s="35">
        <f t="shared" si="5"/>
        <v>0</v>
      </c>
    </row>
    <row r="221" spans="2:78" ht="15.75">
      <c r="B221" s="97"/>
      <c r="C221" s="98" t="s">
        <v>432</v>
      </c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9"/>
      <c r="P221" s="97"/>
      <c r="Q221" s="98"/>
      <c r="R221" s="98"/>
      <c r="S221" s="98"/>
      <c r="T221" s="98"/>
      <c r="U221" s="98"/>
      <c r="V221" s="98"/>
      <c r="W221" s="98"/>
      <c r="X221" s="99"/>
      <c r="Y221" s="97"/>
      <c r="Z221" s="98"/>
      <c r="AA221" s="99"/>
      <c r="AB221" s="97"/>
      <c r="AC221" s="98"/>
      <c r="AD221" s="98"/>
      <c r="AE221" s="98"/>
      <c r="AF221" s="98"/>
      <c r="AG221" s="98"/>
      <c r="AH221" s="98"/>
      <c r="AI221" s="98"/>
      <c r="AJ221" s="99"/>
      <c r="AK221" s="97"/>
      <c r="AL221" s="98"/>
      <c r="AM221" s="99"/>
      <c r="AN221" s="97"/>
      <c r="AO221" s="98"/>
      <c r="AP221" s="98"/>
      <c r="AQ221" s="98"/>
      <c r="AR221" s="98"/>
      <c r="AS221" s="98"/>
      <c r="AT221" s="98"/>
      <c r="AU221" s="98"/>
      <c r="AV221" s="99"/>
      <c r="AW221" s="97"/>
      <c r="AX221" s="98"/>
      <c r="AY221" s="99"/>
      <c r="AZ221" s="97"/>
      <c r="BA221" s="98"/>
      <c r="BB221" s="98"/>
      <c r="BC221" s="98"/>
      <c r="BD221" s="98"/>
      <c r="BE221" s="98"/>
      <c r="BF221" s="98"/>
      <c r="BG221" s="98"/>
      <c r="BH221" s="98"/>
      <c r="BI221" s="98"/>
      <c r="BJ221" s="99"/>
      <c r="BR221" s="40"/>
      <c r="BS221" s="36" t="str">
        <f>_xlfn.IFNA(VLOOKUP($BR221,[15]Master!$C$4:$J$13,2,FALSE),"-")</f>
        <v>-</v>
      </c>
      <c r="BT221" s="36" t="str">
        <f>_xlfn.IFNA(VLOOKUP($BR221,[15]Master!$C$4:$J$13,3,FALSE),"-")</f>
        <v>-</v>
      </c>
      <c r="BU221" s="36" t="str">
        <f>_xlfn.IFNA(VLOOKUP($BR221,[15]Master!$C$4:$J$13,4,FALSE),"-")</f>
        <v>-</v>
      </c>
      <c r="BV221" s="36" t="str">
        <f>_xlfn.IFNA(VLOOKUP($BR221,[15]Master!$C$4:$J$13,5,FALSE),"-")</f>
        <v>-</v>
      </c>
      <c r="BW221" s="36" t="str">
        <f>_xlfn.IFNA(VLOOKUP($BR221,[15]Master!$C$4:$J$13,6,FALSE),"-")</f>
        <v>-</v>
      </c>
      <c r="BX221" s="36" t="str">
        <f>_xlfn.IFNA(VLOOKUP($BR221,[15]Master!$C$4:$J$13,7,FALSE),"-")</f>
        <v>-</v>
      </c>
      <c r="BY221" s="36" t="str">
        <f>_xlfn.IFNA(VLOOKUP($BR221,[15]Master!$C$4:$J$13,8,FALSE),"-")</f>
        <v>-</v>
      </c>
      <c r="BZ221" s="35">
        <f t="shared" si="5"/>
        <v>0</v>
      </c>
    </row>
    <row r="222" spans="2:78" ht="15.75">
      <c r="B222" s="97"/>
      <c r="C222" s="98" t="s">
        <v>433</v>
      </c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9"/>
      <c r="P222" s="97"/>
      <c r="Q222" s="98"/>
      <c r="R222" s="98"/>
      <c r="S222" s="98"/>
      <c r="T222" s="98"/>
      <c r="U222" s="98"/>
      <c r="V222" s="98"/>
      <c r="W222" s="98"/>
      <c r="X222" s="99"/>
      <c r="Y222" s="97"/>
      <c r="Z222" s="98"/>
      <c r="AA222" s="99"/>
      <c r="AB222" s="97"/>
      <c r="AC222" s="98"/>
      <c r="AD222" s="98"/>
      <c r="AE222" s="98"/>
      <c r="AF222" s="98"/>
      <c r="AG222" s="98"/>
      <c r="AH222" s="98"/>
      <c r="AI222" s="98"/>
      <c r="AJ222" s="99"/>
      <c r="AK222" s="97"/>
      <c r="AL222" s="98"/>
      <c r="AM222" s="99"/>
      <c r="AN222" s="97"/>
      <c r="AO222" s="98"/>
      <c r="AP222" s="98"/>
      <c r="AQ222" s="98"/>
      <c r="AR222" s="98"/>
      <c r="AS222" s="98"/>
      <c r="AT222" s="98"/>
      <c r="AU222" s="98"/>
      <c r="AV222" s="99"/>
      <c r="AW222" s="97"/>
      <c r="AX222" s="98"/>
      <c r="AY222" s="99"/>
      <c r="AZ222" s="97"/>
      <c r="BA222" s="98"/>
      <c r="BB222" s="98"/>
      <c r="BC222" s="98"/>
      <c r="BD222" s="98"/>
      <c r="BE222" s="98"/>
      <c r="BF222" s="98"/>
      <c r="BG222" s="98"/>
      <c r="BH222" s="98"/>
      <c r="BI222" s="98"/>
      <c r="BJ222" s="99"/>
      <c r="BR222" s="40"/>
      <c r="BS222" s="36" t="str">
        <f>_xlfn.IFNA(VLOOKUP($BR222,[15]Master!$C$4:$J$13,2,FALSE),"-")</f>
        <v>-</v>
      </c>
      <c r="BT222" s="36" t="str">
        <f>_xlfn.IFNA(VLOOKUP($BR222,[15]Master!$C$4:$J$13,3,FALSE),"-")</f>
        <v>-</v>
      </c>
      <c r="BU222" s="36" t="str">
        <f>_xlfn.IFNA(VLOOKUP($BR222,[15]Master!$C$4:$J$13,4,FALSE),"-")</f>
        <v>-</v>
      </c>
      <c r="BV222" s="36" t="str">
        <f>_xlfn.IFNA(VLOOKUP($BR222,[15]Master!$C$4:$J$13,5,FALSE),"-")</f>
        <v>-</v>
      </c>
      <c r="BW222" s="36" t="str">
        <f>_xlfn.IFNA(VLOOKUP($BR222,[15]Master!$C$4:$J$13,6,FALSE),"-")</f>
        <v>-</v>
      </c>
      <c r="BX222" s="36" t="str">
        <f>_xlfn.IFNA(VLOOKUP($BR222,[15]Master!$C$4:$J$13,7,FALSE),"-")</f>
        <v>-</v>
      </c>
      <c r="BY222" s="36" t="str">
        <f>_xlfn.IFNA(VLOOKUP($BR222,[15]Master!$C$4:$J$13,8,FALSE),"-")</f>
        <v>-</v>
      </c>
      <c r="BZ222" s="35">
        <f t="shared" si="5"/>
        <v>0</v>
      </c>
    </row>
    <row r="223" spans="2:78" ht="15.75">
      <c r="B223" s="97"/>
      <c r="C223" s="98" t="s">
        <v>434</v>
      </c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9"/>
      <c r="P223" s="97"/>
      <c r="Q223" s="98"/>
      <c r="R223" s="98"/>
      <c r="S223" s="98"/>
      <c r="T223" s="98"/>
      <c r="U223" s="98"/>
      <c r="V223" s="98"/>
      <c r="W223" s="98"/>
      <c r="X223" s="99"/>
      <c r="Y223" s="97"/>
      <c r="Z223" s="98"/>
      <c r="AA223" s="99"/>
      <c r="AB223" s="97"/>
      <c r="AC223" s="98"/>
      <c r="AD223" s="98"/>
      <c r="AE223" s="98"/>
      <c r="AF223" s="98"/>
      <c r="AG223" s="98"/>
      <c r="AH223" s="98"/>
      <c r="AI223" s="98"/>
      <c r="AJ223" s="99"/>
      <c r="AK223" s="97"/>
      <c r="AL223" s="98"/>
      <c r="AM223" s="99"/>
      <c r="AN223" s="97"/>
      <c r="AO223" s="98"/>
      <c r="AP223" s="98"/>
      <c r="AQ223" s="98"/>
      <c r="AR223" s="98"/>
      <c r="AS223" s="98"/>
      <c r="AT223" s="98"/>
      <c r="AU223" s="98"/>
      <c r="AV223" s="99"/>
      <c r="AW223" s="97"/>
      <c r="AX223" s="98"/>
      <c r="AY223" s="99"/>
      <c r="AZ223" s="97"/>
      <c r="BA223" s="98"/>
      <c r="BB223" s="98"/>
      <c r="BC223" s="98"/>
      <c r="BD223" s="98"/>
      <c r="BE223" s="98"/>
      <c r="BF223" s="98"/>
      <c r="BG223" s="98"/>
      <c r="BH223" s="98"/>
      <c r="BI223" s="98"/>
      <c r="BJ223" s="99"/>
      <c r="BR223" s="40"/>
      <c r="BS223" s="36" t="str">
        <f>_xlfn.IFNA(VLOOKUP($BR223,[15]Master!$C$4:$J$13,2,FALSE),"-")</f>
        <v>-</v>
      </c>
      <c r="BT223" s="36" t="str">
        <f>_xlfn.IFNA(VLOOKUP($BR223,[15]Master!$C$4:$J$13,3,FALSE),"-")</f>
        <v>-</v>
      </c>
      <c r="BU223" s="36" t="str">
        <f>_xlfn.IFNA(VLOOKUP($BR223,[15]Master!$C$4:$J$13,4,FALSE),"-")</f>
        <v>-</v>
      </c>
      <c r="BV223" s="36" t="str">
        <f>_xlfn.IFNA(VLOOKUP($BR223,[15]Master!$C$4:$J$13,5,FALSE),"-")</f>
        <v>-</v>
      </c>
      <c r="BW223" s="36" t="str">
        <f>_xlfn.IFNA(VLOOKUP($BR223,[15]Master!$C$4:$J$13,6,FALSE),"-")</f>
        <v>-</v>
      </c>
      <c r="BX223" s="36" t="str">
        <f>_xlfn.IFNA(VLOOKUP($BR223,[15]Master!$C$4:$J$13,7,FALSE),"-")</f>
        <v>-</v>
      </c>
      <c r="BY223" s="36" t="str">
        <f>_xlfn.IFNA(VLOOKUP($BR223,[15]Master!$C$4:$J$13,8,FALSE),"-")</f>
        <v>-</v>
      </c>
      <c r="BZ223" s="35">
        <f t="shared" si="5"/>
        <v>0</v>
      </c>
    </row>
    <row r="224" spans="2:78" ht="15.75">
      <c r="B224" s="97"/>
      <c r="C224" s="98" t="s">
        <v>435</v>
      </c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9"/>
      <c r="P224" s="97"/>
      <c r="Q224" s="98"/>
      <c r="R224" s="98"/>
      <c r="S224" s="98"/>
      <c r="T224" s="98"/>
      <c r="U224" s="98"/>
      <c r="V224" s="98"/>
      <c r="W224" s="98"/>
      <c r="X224" s="99"/>
      <c r="Y224" s="97"/>
      <c r="Z224" s="98"/>
      <c r="AA224" s="99"/>
      <c r="AB224" s="97"/>
      <c r="AC224" s="98"/>
      <c r="AD224" s="98"/>
      <c r="AE224" s="98"/>
      <c r="AF224" s="98"/>
      <c r="AG224" s="98"/>
      <c r="AH224" s="98"/>
      <c r="AI224" s="98"/>
      <c r="AJ224" s="99"/>
      <c r="AK224" s="97"/>
      <c r="AL224" s="98"/>
      <c r="AM224" s="99"/>
      <c r="AN224" s="97"/>
      <c r="AO224" s="98"/>
      <c r="AP224" s="98"/>
      <c r="AQ224" s="98"/>
      <c r="AR224" s="98"/>
      <c r="AS224" s="98"/>
      <c r="AT224" s="98"/>
      <c r="AU224" s="98"/>
      <c r="AV224" s="99"/>
      <c r="AW224" s="97"/>
      <c r="AX224" s="98"/>
      <c r="AY224" s="99"/>
      <c r="AZ224" s="97"/>
      <c r="BA224" s="98"/>
      <c r="BB224" s="98"/>
      <c r="BC224" s="98"/>
      <c r="BD224" s="98"/>
      <c r="BE224" s="98"/>
      <c r="BF224" s="98"/>
      <c r="BG224" s="98"/>
      <c r="BH224" s="98"/>
      <c r="BI224" s="98"/>
      <c r="BJ224" s="99"/>
      <c r="BR224" s="40"/>
      <c r="BS224" s="36" t="str">
        <f>_xlfn.IFNA(VLOOKUP($BR224,[15]Master!$C$4:$J$13,2,FALSE),"-")</f>
        <v>-</v>
      </c>
      <c r="BT224" s="36" t="str">
        <f>_xlfn.IFNA(VLOOKUP($BR224,[15]Master!$C$4:$J$13,3,FALSE),"-")</f>
        <v>-</v>
      </c>
      <c r="BU224" s="36" t="str">
        <f>_xlfn.IFNA(VLOOKUP($BR224,[15]Master!$C$4:$J$13,4,FALSE),"-")</f>
        <v>-</v>
      </c>
      <c r="BV224" s="36" t="str">
        <f>_xlfn.IFNA(VLOOKUP($BR224,[15]Master!$C$4:$J$13,5,FALSE),"-")</f>
        <v>-</v>
      </c>
      <c r="BW224" s="36" t="str">
        <f>_xlfn.IFNA(VLOOKUP($BR224,[15]Master!$C$4:$J$13,6,FALSE),"-")</f>
        <v>-</v>
      </c>
      <c r="BX224" s="36" t="str">
        <f>_xlfn.IFNA(VLOOKUP($BR224,[15]Master!$C$4:$J$13,7,FALSE),"-")</f>
        <v>-</v>
      </c>
      <c r="BY224" s="36" t="str">
        <f>_xlfn.IFNA(VLOOKUP($BR224,[15]Master!$C$4:$J$13,8,FALSE),"-")</f>
        <v>-</v>
      </c>
      <c r="BZ224" s="35">
        <f t="shared" si="5"/>
        <v>0</v>
      </c>
    </row>
    <row r="225" spans="2:78" ht="15.75">
      <c r="B225" s="97"/>
      <c r="C225" s="98" t="s">
        <v>436</v>
      </c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9"/>
      <c r="P225" s="97"/>
      <c r="Q225" s="98"/>
      <c r="R225" s="98"/>
      <c r="S225" s="98"/>
      <c r="T225" s="98"/>
      <c r="U225" s="98"/>
      <c r="V225" s="98"/>
      <c r="W225" s="98"/>
      <c r="X225" s="99"/>
      <c r="Y225" s="97"/>
      <c r="Z225" s="98"/>
      <c r="AA225" s="99"/>
      <c r="AB225" s="97"/>
      <c r="AC225" s="98"/>
      <c r="AD225" s="98"/>
      <c r="AE225" s="98"/>
      <c r="AF225" s="98"/>
      <c r="AG225" s="98"/>
      <c r="AH225" s="98"/>
      <c r="AI225" s="98"/>
      <c r="AJ225" s="99"/>
      <c r="AK225" s="97"/>
      <c r="AL225" s="98"/>
      <c r="AM225" s="99"/>
      <c r="AN225" s="97"/>
      <c r="AO225" s="98"/>
      <c r="AP225" s="98"/>
      <c r="AQ225" s="98"/>
      <c r="AR225" s="98"/>
      <c r="AS225" s="98"/>
      <c r="AT225" s="98"/>
      <c r="AU225" s="98"/>
      <c r="AV225" s="99"/>
      <c r="AW225" s="97"/>
      <c r="AX225" s="98"/>
      <c r="AY225" s="99"/>
      <c r="AZ225" s="97"/>
      <c r="BA225" s="98"/>
      <c r="BB225" s="98"/>
      <c r="BC225" s="98"/>
      <c r="BD225" s="98"/>
      <c r="BE225" s="98"/>
      <c r="BF225" s="98"/>
      <c r="BG225" s="98"/>
      <c r="BH225" s="98"/>
      <c r="BI225" s="98"/>
      <c r="BJ225" s="99"/>
      <c r="BR225" s="40"/>
      <c r="BS225" s="36" t="str">
        <f>_xlfn.IFNA(VLOOKUP($BR225,[15]Master!$C$4:$J$13,2,FALSE),"-")</f>
        <v>-</v>
      </c>
      <c r="BT225" s="36" t="str">
        <f>_xlfn.IFNA(VLOOKUP($BR225,[15]Master!$C$4:$J$13,3,FALSE),"-")</f>
        <v>-</v>
      </c>
      <c r="BU225" s="36" t="str">
        <f>_xlfn.IFNA(VLOOKUP($BR225,[15]Master!$C$4:$J$13,4,FALSE),"-")</f>
        <v>-</v>
      </c>
      <c r="BV225" s="36" t="str">
        <f>_xlfn.IFNA(VLOOKUP($BR225,[15]Master!$C$4:$J$13,5,FALSE),"-")</f>
        <v>-</v>
      </c>
      <c r="BW225" s="36" t="str">
        <f>_xlfn.IFNA(VLOOKUP($BR225,[15]Master!$C$4:$J$13,6,FALSE),"-")</f>
        <v>-</v>
      </c>
      <c r="BX225" s="36" t="str">
        <f>_xlfn.IFNA(VLOOKUP($BR225,[15]Master!$C$4:$J$13,7,FALSE),"-")</f>
        <v>-</v>
      </c>
      <c r="BY225" s="36" t="str">
        <f>_xlfn.IFNA(VLOOKUP($BR225,[15]Master!$C$4:$J$13,8,FALSE),"-")</f>
        <v>-</v>
      </c>
      <c r="BZ225" s="35">
        <f t="shared" si="5"/>
        <v>0</v>
      </c>
    </row>
    <row r="226" spans="2:78" ht="15.75">
      <c r="B226" s="97"/>
      <c r="C226" s="98" t="s">
        <v>437</v>
      </c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9"/>
      <c r="P226" s="97"/>
      <c r="Q226" s="98"/>
      <c r="R226" s="98"/>
      <c r="S226" s="98"/>
      <c r="T226" s="98"/>
      <c r="U226" s="98"/>
      <c r="V226" s="98"/>
      <c r="W226" s="98"/>
      <c r="X226" s="99"/>
      <c r="Y226" s="97"/>
      <c r="Z226" s="98"/>
      <c r="AA226" s="99"/>
      <c r="AB226" s="97"/>
      <c r="AC226" s="98"/>
      <c r="AD226" s="98"/>
      <c r="AE226" s="98"/>
      <c r="AF226" s="98"/>
      <c r="AG226" s="98"/>
      <c r="AH226" s="98"/>
      <c r="AI226" s="98"/>
      <c r="AJ226" s="99"/>
      <c r="AK226" s="97"/>
      <c r="AL226" s="98"/>
      <c r="AM226" s="99"/>
      <c r="AN226" s="97"/>
      <c r="AO226" s="98"/>
      <c r="AP226" s="98"/>
      <c r="AQ226" s="98"/>
      <c r="AR226" s="98"/>
      <c r="AS226" s="98"/>
      <c r="AT226" s="98"/>
      <c r="AU226" s="98"/>
      <c r="AV226" s="99"/>
      <c r="AW226" s="97"/>
      <c r="AX226" s="98"/>
      <c r="AY226" s="99"/>
      <c r="AZ226" s="97"/>
      <c r="BA226" s="98"/>
      <c r="BB226" s="98"/>
      <c r="BC226" s="98"/>
      <c r="BD226" s="98"/>
      <c r="BE226" s="98"/>
      <c r="BF226" s="98"/>
      <c r="BG226" s="98"/>
      <c r="BH226" s="98"/>
      <c r="BI226" s="98"/>
      <c r="BJ226" s="99"/>
      <c r="BR226" s="40"/>
      <c r="BS226" s="36" t="str">
        <f>_xlfn.IFNA(VLOOKUP($BR226,[15]Master!$C$4:$J$13,2,FALSE),"-")</f>
        <v>-</v>
      </c>
      <c r="BT226" s="36" t="str">
        <f>_xlfn.IFNA(VLOOKUP($BR226,[15]Master!$C$4:$J$13,3,FALSE),"-")</f>
        <v>-</v>
      </c>
      <c r="BU226" s="36" t="str">
        <f>_xlfn.IFNA(VLOOKUP($BR226,[15]Master!$C$4:$J$13,4,FALSE),"-")</f>
        <v>-</v>
      </c>
      <c r="BV226" s="36" t="str">
        <f>_xlfn.IFNA(VLOOKUP($BR226,[15]Master!$C$4:$J$13,5,FALSE),"-")</f>
        <v>-</v>
      </c>
      <c r="BW226" s="36" t="str">
        <f>_xlfn.IFNA(VLOOKUP($BR226,[15]Master!$C$4:$J$13,6,FALSE),"-")</f>
        <v>-</v>
      </c>
      <c r="BX226" s="36" t="str">
        <f>_xlfn.IFNA(VLOOKUP($BR226,[15]Master!$C$4:$J$13,7,FALSE),"-")</f>
        <v>-</v>
      </c>
      <c r="BY226" s="36" t="str">
        <f>_xlfn.IFNA(VLOOKUP($BR226,[15]Master!$C$4:$J$13,8,FALSE),"-")</f>
        <v>-</v>
      </c>
      <c r="BZ226" s="35">
        <f t="shared" si="5"/>
        <v>0</v>
      </c>
    </row>
    <row r="227" spans="2:78" ht="15.75">
      <c r="B227" s="97"/>
      <c r="C227" s="98" t="s">
        <v>438</v>
      </c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9"/>
      <c r="P227" s="97"/>
      <c r="Q227" s="98"/>
      <c r="R227" s="98"/>
      <c r="S227" s="98"/>
      <c r="T227" s="98"/>
      <c r="U227" s="98"/>
      <c r="V227" s="98"/>
      <c r="W227" s="98"/>
      <c r="X227" s="99"/>
      <c r="Y227" s="97"/>
      <c r="Z227" s="98"/>
      <c r="AA227" s="99"/>
      <c r="AB227" s="97"/>
      <c r="AC227" s="98"/>
      <c r="AD227" s="98"/>
      <c r="AE227" s="98"/>
      <c r="AF227" s="98"/>
      <c r="AG227" s="98"/>
      <c r="AH227" s="98"/>
      <c r="AI227" s="98"/>
      <c r="AJ227" s="99"/>
      <c r="AK227" s="97"/>
      <c r="AL227" s="98"/>
      <c r="AM227" s="99"/>
      <c r="AN227" s="97"/>
      <c r="AO227" s="98"/>
      <c r="AP227" s="98"/>
      <c r="AQ227" s="98"/>
      <c r="AR227" s="98"/>
      <c r="AS227" s="98"/>
      <c r="AT227" s="98"/>
      <c r="AU227" s="98"/>
      <c r="AV227" s="99"/>
      <c r="AW227" s="97"/>
      <c r="AX227" s="98"/>
      <c r="AY227" s="99"/>
      <c r="AZ227" s="97"/>
      <c r="BA227" s="98"/>
      <c r="BB227" s="98"/>
      <c r="BC227" s="98"/>
      <c r="BD227" s="98"/>
      <c r="BE227" s="98"/>
      <c r="BF227" s="98"/>
      <c r="BG227" s="98"/>
      <c r="BH227" s="98"/>
      <c r="BI227" s="98"/>
      <c r="BJ227" s="99"/>
      <c r="BR227" s="40"/>
      <c r="BS227" s="36" t="str">
        <f>_xlfn.IFNA(VLOOKUP($BR227,[15]Master!$C$4:$J$13,2,FALSE),"-")</f>
        <v>-</v>
      </c>
      <c r="BT227" s="36" t="str">
        <f>_xlfn.IFNA(VLOOKUP($BR227,[15]Master!$C$4:$J$13,3,FALSE),"-")</f>
        <v>-</v>
      </c>
      <c r="BU227" s="36" t="str">
        <f>_xlfn.IFNA(VLOOKUP($BR227,[15]Master!$C$4:$J$13,4,FALSE),"-")</f>
        <v>-</v>
      </c>
      <c r="BV227" s="36" t="str">
        <f>_xlfn.IFNA(VLOOKUP($BR227,[15]Master!$C$4:$J$13,5,FALSE),"-")</f>
        <v>-</v>
      </c>
      <c r="BW227" s="36" t="str">
        <f>_xlfn.IFNA(VLOOKUP($BR227,[15]Master!$C$4:$J$13,6,FALSE),"-")</f>
        <v>-</v>
      </c>
      <c r="BX227" s="36" t="str">
        <f>_xlfn.IFNA(VLOOKUP($BR227,[15]Master!$C$4:$J$13,7,FALSE),"-")</f>
        <v>-</v>
      </c>
      <c r="BY227" s="36" t="str">
        <f>_xlfn.IFNA(VLOOKUP($BR227,[15]Master!$C$4:$J$13,8,FALSE),"-")</f>
        <v>-</v>
      </c>
      <c r="BZ227" s="35">
        <f t="shared" si="5"/>
        <v>0</v>
      </c>
    </row>
    <row r="228" spans="2:78" ht="15.75">
      <c r="B228" s="97"/>
      <c r="C228" s="98" t="s">
        <v>439</v>
      </c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9"/>
      <c r="P228" s="97"/>
      <c r="Q228" s="98"/>
      <c r="R228" s="98"/>
      <c r="S228" s="98"/>
      <c r="T228" s="98"/>
      <c r="U228" s="98"/>
      <c r="V228" s="98"/>
      <c r="W228" s="98"/>
      <c r="X228" s="99"/>
      <c r="Y228" s="97"/>
      <c r="Z228" s="98"/>
      <c r="AA228" s="99"/>
      <c r="AB228" s="97"/>
      <c r="AC228" s="98"/>
      <c r="AD228" s="98"/>
      <c r="AE228" s="98"/>
      <c r="AF228" s="98"/>
      <c r="AG228" s="98"/>
      <c r="AH228" s="98"/>
      <c r="AI228" s="98"/>
      <c r="AJ228" s="99"/>
      <c r="AK228" s="97"/>
      <c r="AL228" s="98"/>
      <c r="AM228" s="99"/>
      <c r="AN228" s="97"/>
      <c r="AO228" s="98"/>
      <c r="AP228" s="98"/>
      <c r="AQ228" s="98"/>
      <c r="AR228" s="98"/>
      <c r="AS228" s="98"/>
      <c r="AT228" s="98"/>
      <c r="AU228" s="98"/>
      <c r="AV228" s="99"/>
      <c r="AW228" s="97"/>
      <c r="AX228" s="98"/>
      <c r="AY228" s="99"/>
      <c r="AZ228" s="97"/>
      <c r="BA228" s="98"/>
      <c r="BB228" s="98"/>
      <c r="BC228" s="98"/>
      <c r="BD228" s="98"/>
      <c r="BE228" s="98"/>
      <c r="BF228" s="98"/>
      <c r="BG228" s="98"/>
      <c r="BH228" s="98"/>
      <c r="BI228" s="98"/>
      <c r="BJ228" s="99"/>
      <c r="BR228" s="40"/>
      <c r="BS228" s="36" t="str">
        <f>_xlfn.IFNA(VLOOKUP($BR228,[15]Master!$C$4:$J$13,2,FALSE),"-")</f>
        <v>-</v>
      </c>
      <c r="BT228" s="36" t="str">
        <f>_xlfn.IFNA(VLOOKUP($BR228,[15]Master!$C$4:$J$13,3,FALSE),"-")</f>
        <v>-</v>
      </c>
      <c r="BU228" s="36" t="str">
        <f>_xlfn.IFNA(VLOOKUP($BR228,[15]Master!$C$4:$J$13,4,FALSE),"-")</f>
        <v>-</v>
      </c>
      <c r="BV228" s="36" t="str">
        <f>_xlfn.IFNA(VLOOKUP($BR228,[15]Master!$C$4:$J$13,5,FALSE),"-")</f>
        <v>-</v>
      </c>
      <c r="BW228" s="36" t="str">
        <f>_xlfn.IFNA(VLOOKUP($BR228,[15]Master!$C$4:$J$13,6,FALSE),"-")</f>
        <v>-</v>
      </c>
      <c r="BX228" s="36" t="str">
        <f>_xlfn.IFNA(VLOOKUP($BR228,[15]Master!$C$4:$J$13,7,FALSE),"-")</f>
        <v>-</v>
      </c>
      <c r="BY228" s="36" t="str">
        <f>_xlfn.IFNA(VLOOKUP($BR228,[15]Master!$C$4:$J$13,8,FALSE),"-")</f>
        <v>-</v>
      </c>
      <c r="BZ228" s="35">
        <f t="shared" si="5"/>
        <v>0</v>
      </c>
    </row>
    <row r="229" spans="2:78" ht="15.75">
      <c r="B229" s="97"/>
      <c r="C229" s="98" t="s">
        <v>440</v>
      </c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9"/>
      <c r="P229" s="97"/>
      <c r="Q229" s="98"/>
      <c r="R229" s="98"/>
      <c r="S229" s="98"/>
      <c r="T229" s="98"/>
      <c r="U229" s="98"/>
      <c r="V229" s="98"/>
      <c r="W229" s="98"/>
      <c r="X229" s="99"/>
      <c r="Y229" s="97"/>
      <c r="Z229" s="98"/>
      <c r="AA229" s="99"/>
      <c r="AB229" s="97"/>
      <c r="AC229" s="98"/>
      <c r="AD229" s="98"/>
      <c r="AE229" s="98"/>
      <c r="AF229" s="98"/>
      <c r="AG229" s="98"/>
      <c r="AH229" s="98"/>
      <c r="AI229" s="98"/>
      <c r="AJ229" s="99"/>
      <c r="AK229" s="97"/>
      <c r="AL229" s="98"/>
      <c r="AM229" s="99"/>
      <c r="AN229" s="97"/>
      <c r="AO229" s="98"/>
      <c r="AP229" s="98"/>
      <c r="AQ229" s="98"/>
      <c r="AR229" s="98"/>
      <c r="AS229" s="98"/>
      <c r="AT229" s="98"/>
      <c r="AU229" s="98"/>
      <c r="AV229" s="99"/>
      <c r="AW229" s="97"/>
      <c r="AX229" s="98"/>
      <c r="AY229" s="99"/>
      <c r="AZ229" s="97"/>
      <c r="BA229" s="98"/>
      <c r="BB229" s="98"/>
      <c r="BC229" s="98"/>
      <c r="BD229" s="98"/>
      <c r="BE229" s="98"/>
      <c r="BF229" s="98"/>
      <c r="BG229" s="98"/>
      <c r="BH229" s="98"/>
      <c r="BI229" s="98"/>
      <c r="BJ229" s="99"/>
      <c r="BR229" s="40"/>
      <c r="BS229" s="36" t="str">
        <f>_xlfn.IFNA(VLOOKUP($BR229,[15]Master!$C$4:$J$13,2,FALSE),"-")</f>
        <v>-</v>
      </c>
      <c r="BT229" s="36" t="str">
        <f>_xlfn.IFNA(VLOOKUP($BR229,[15]Master!$C$4:$J$13,3,FALSE),"-")</f>
        <v>-</v>
      </c>
      <c r="BU229" s="36" t="str">
        <f>_xlfn.IFNA(VLOOKUP($BR229,[15]Master!$C$4:$J$13,4,FALSE),"-")</f>
        <v>-</v>
      </c>
      <c r="BV229" s="36" t="str">
        <f>_xlfn.IFNA(VLOOKUP($BR229,[15]Master!$C$4:$J$13,5,FALSE),"-")</f>
        <v>-</v>
      </c>
      <c r="BW229" s="36" t="str">
        <f>_xlfn.IFNA(VLOOKUP($BR229,[15]Master!$C$4:$J$13,6,FALSE),"-")</f>
        <v>-</v>
      </c>
      <c r="BX229" s="36" t="str">
        <f>_xlfn.IFNA(VLOOKUP($BR229,[15]Master!$C$4:$J$13,7,FALSE),"-")</f>
        <v>-</v>
      </c>
      <c r="BY229" s="36" t="str">
        <f>_xlfn.IFNA(VLOOKUP($BR229,[15]Master!$C$4:$J$13,8,FALSE),"-")</f>
        <v>-</v>
      </c>
      <c r="BZ229" s="35">
        <f t="shared" si="5"/>
        <v>0</v>
      </c>
    </row>
    <row r="230" spans="2:78" ht="15.75">
      <c r="B230" s="97"/>
      <c r="C230" s="98" t="s">
        <v>441</v>
      </c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9"/>
      <c r="P230" s="97"/>
      <c r="Q230" s="98"/>
      <c r="R230" s="98"/>
      <c r="S230" s="98"/>
      <c r="T230" s="98"/>
      <c r="U230" s="98"/>
      <c r="V230" s="98"/>
      <c r="W230" s="98"/>
      <c r="X230" s="99"/>
      <c r="Y230" s="97"/>
      <c r="Z230" s="98"/>
      <c r="AA230" s="99"/>
      <c r="AB230" s="97"/>
      <c r="AC230" s="98"/>
      <c r="AD230" s="98"/>
      <c r="AE230" s="98"/>
      <c r="AF230" s="98"/>
      <c r="AG230" s="98"/>
      <c r="AH230" s="98"/>
      <c r="AI230" s="98"/>
      <c r="AJ230" s="99"/>
      <c r="AK230" s="97"/>
      <c r="AL230" s="98"/>
      <c r="AM230" s="99"/>
      <c r="AN230" s="97"/>
      <c r="AO230" s="98"/>
      <c r="AP230" s="98"/>
      <c r="AQ230" s="98"/>
      <c r="AR230" s="98"/>
      <c r="AS230" s="98"/>
      <c r="AT230" s="98"/>
      <c r="AU230" s="98"/>
      <c r="AV230" s="99"/>
      <c r="AW230" s="97"/>
      <c r="AX230" s="98"/>
      <c r="AY230" s="99"/>
      <c r="AZ230" s="97"/>
      <c r="BA230" s="98"/>
      <c r="BB230" s="98"/>
      <c r="BC230" s="98"/>
      <c r="BD230" s="98"/>
      <c r="BE230" s="98"/>
      <c r="BF230" s="98"/>
      <c r="BG230" s="98"/>
      <c r="BH230" s="98"/>
      <c r="BI230" s="98"/>
      <c r="BJ230" s="99"/>
      <c r="BR230" s="40"/>
      <c r="BS230" s="36" t="str">
        <f>_xlfn.IFNA(VLOOKUP($BR230,[15]Master!$C$4:$J$13,2,FALSE),"-")</f>
        <v>-</v>
      </c>
      <c r="BT230" s="36" t="str">
        <f>_xlfn.IFNA(VLOOKUP($BR230,[15]Master!$C$4:$J$13,3,FALSE),"-")</f>
        <v>-</v>
      </c>
      <c r="BU230" s="36" t="str">
        <f>_xlfn.IFNA(VLOOKUP($BR230,[15]Master!$C$4:$J$13,4,FALSE),"-")</f>
        <v>-</v>
      </c>
      <c r="BV230" s="36" t="str">
        <f>_xlfn.IFNA(VLOOKUP($BR230,[15]Master!$C$4:$J$13,5,FALSE),"-")</f>
        <v>-</v>
      </c>
      <c r="BW230" s="36" t="str">
        <f>_xlfn.IFNA(VLOOKUP($BR230,[15]Master!$C$4:$J$13,6,FALSE),"-")</f>
        <v>-</v>
      </c>
      <c r="BX230" s="36" t="str">
        <f>_xlfn.IFNA(VLOOKUP($BR230,[15]Master!$C$4:$J$13,7,FALSE),"-")</f>
        <v>-</v>
      </c>
      <c r="BY230" s="36" t="str">
        <f>_xlfn.IFNA(VLOOKUP($BR230,[15]Master!$C$4:$J$13,8,FALSE),"-")</f>
        <v>-</v>
      </c>
      <c r="BZ230" s="35">
        <f t="shared" si="5"/>
        <v>0</v>
      </c>
    </row>
    <row r="231" spans="2:78" ht="15.75">
      <c r="B231" s="97"/>
      <c r="C231" s="98" t="s">
        <v>442</v>
      </c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9"/>
      <c r="P231" s="97"/>
      <c r="Q231" s="98"/>
      <c r="R231" s="98"/>
      <c r="S231" s="98"/>
      <c r="T231" s="98"/>
      <c r="U231" s="98"/>
      <c r="V231" s="98"/>
      <c r="W231" s="98"/>
      <c r="X231" s="99"/>
      <c r="Y231" s="97"/>
      <c r="Z231" s="98"/>
      <c r="AA231" s="99"/>
      <c r="AB231" s="97"/>
      <c r="AC231" s="98"/>
      <c r="AD231" s="98"/>
      <c r="AE231" s="98"/>
      <c r="AF231" s="98"/>
      <c r="AG231" s="98"/>
      <c r="AH231" s="98"/>
      <c r="AI231" s="98"/>
      <c r="AJ231" s="99"/>
      <c r="AK231" s="97"/>
      <c r="AL231" s="98"/>
      <c r="AM231" s="99"/>
      <c r="AN231" s="97"/>
      <c r="AO231" s="98"/>
      <c r="AP231" s="98"/>
      <c r="AQ231" s="98"/>
      <c r="AR231" s="98"/>
      <c r="AS231" s="98"/>
      <c r="AT231" s="98"/>
      <c r="AU231" s="98"/>
      <c r="AV231" s="99"/>
      <c r="AW231" s="97"/>
      <c r="AX231" s="98"/>
      <c r="AY231" s="99"/>
      <c r="AZ231" s="97"/>
      <c r="BA231" s="98"/>
      <c r="BB231" s="98"/>
      <c r="BC231" s="98"/>
      <c r="BD231" s="98"/>
      <c r="BE231" s="98"/>
      <c r="BF231" s="98"/>
      <c r="BG231" s="98"/>
      <c r="BH231" s="98"/>
      <c r="BI231" s="98"/>
      <c r="BJ231" s="99"/>
      <c r="BR231" s="40"/>
      <c r="BS231" s="36" t="str">
        <f>_xlfn.IFNA(VLOOKUP($BR231,[15]Master!$C$4:$J$13,2,FALSE),"-")</f>
        <v>-</v>
      </c>
      <c r="BT231" s="36" t="str">
        <f>_xlfn.IFNA(VLOOKUP($BR231,[15]Master!$C$4:$J$13,3,FALSE),"-")</f>
        <v>-</v>
      </c>
      <c r="BU231" s="36" t="str">
        <f>_xlfn.IFNA(VLOOKUP($BR231,[15]Master!$C$4:$J$13,4,FALSE),"-")</f>
        <v>-</v>
      </c>
      <c r="BV231" s="36" t="str">
        <f>_xlfn.IFNA(VLOOKUP($BR231,[15]Master!$C$4:$J$13,5,FALSE),"-")</f>
        <v>-</v>
      </c>
      <c r="BW231" s="36" t="str">
        <f>_xlfn.IFNA(VLOOKUP($BR231,[15]Master!$C$4:$J$13,6,FALSE),"-")</f>
        <v>-</v>
      </c>
      <c r="BX231" s="36" t="str">
        <f>_xlfn.IFNA(VLOOKUP($BR231,[15]Master!$C$4:$J$13,7,FALSE),"-")</f>
        <v>-</v>
      </c>
      <c r="BY231" s="36" t="str">
        <f>_xlfn.IFNA(VLOOKUP($BR231,[15]Master!$C$4:$J$13,8,FALSE),"-")</f>
        <v>-</v>
      </c>
      <c r="BZ231" s="35">
        <f t="shared" si="5"/>
        <v>0</v>
      </c>
    </row>
    <row r="232" spans="2:78" ht="15.75">
      <c r="B232" s="97"/>
      <c r="C232" s="98" t="s">
        <v>443</v>
      </c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9"/>
      <c r="P232" s="97"/>
      <c r="Q232" s="98"/>
      <c r="R232" s="98"/>
      <c r="S232" s="98"/>
      <c r="T232" s="98"/>
      <c r="U232" s="98"/>
      <c r="V232" s="98"/>
      <c r="W232" s="98"/>
      <c r="X232" s="99"/>
      <c r="Y232" s="97"/>
      <c r="Z232" s="98"/>
      <c r="AA232" s="99"/>
      <c r="AB232" s="97"/>
      <c r="AC232" s="98"/>
      <c r="AD232" s="98"/>
      <c r="AE232" s="98"/>
      <c r="AF232" s="98"/>
      <c r="AG232" s="98"/>
      <c r="AH232" s="98"/>
      <c r="AI232" s="98"/>
      <c r="AJ232" s="99"/>
      <c r="AK232" s="97"/>
      <c r="AL232" s="98"/>
      <c r="AM232" s="99"/>
      <c r="AN232" s="97"/>
      <c r="AO232" s="98"/>
      <c r="AP232" s="98"/>
      <c r="AQ232" s="98"/>
      <c r="AR232" s="98"/>
      <c r="AS232" s="98"/>
      <c r="AT232" s="98"/>
      <c r="AU232" s="98"/>
      <c r="AV232" s="99"/>
      <c r="AW232" s="97"/>
      <c r="AX232" s="98"/>
      <c r="AY232" s="99"/>
      <c r="AZ232" s="97"/>
      <c r="BA232" s="98"/>
      <c r="BB232" s="98"/>
      <c r="BC232" s="98"/>
      <c r="BD232" s="98"/>
      <c r="BE232" s="98"/>
      <c r="BF232" s="98"/>
      <c r="BG232" s="98"/>
      <c r="BH232" s="98"/>
      <c r="BI232" s="98"/>
      <c r="BJ232" s="99"/>
      <c r="BR232" s="40"/>
      <c r="BS232" s="36" t="str">
        <f>_xlfn.IFNA(VLOOKUP($BR232,[15]Master!$C$4:$J$13,2,FALSE),"-")</f>
        <v>-</v>
      </c>
      <c r="BT232" s="36" t="str">
        <f>_xlfn.IFNA(VLOOKUP($BR232,[15]Master!$C$4:$J$13,3,FALSE),"-")</f>
        <v>-</v>
      </c>
      <c r="BU232" s="36" t="str">
        <f>_xlfn.IFNA(VLOOKUP($BR232,[15]Master!$C$4:$J$13,4,FALSE),"-")</f>
        <v>-</v>
      </c>
      <c r="BV232" s="36" t="str">
        <f>_xlfn.IFNA(VLOOKUP($BR232,[15]Master!$C$4:$J$13,5,FALSE),"-")</f>
        <v>-</v>
      </c>
      <c r="BW232" s="36" t="str">
        <f>_xlfn.IFNA(VLOOKUP($BR232,[15]Master!$C$4:$J$13,6,FALSE),"-")</f>
        <v>-</v>
      </c>
      <c r="BX232" s="36" t="str">
        <f>_xlfn.IFNA(VLOOKUP($BR232,[15]Master!$C$4:$J$13,7,FALSE),"-")</f>
        <v>-</v>
      </c>
      <c r="BY232" s="36" t="str">
        <f>_xlfn.IFNA(VLOOKUP($BR232,[15]Master!$C$4:$J$13,8,FALSE),"-")</f>
        <v>-</v>
      </c>
      <c r="BZ232" s="35">
        <f t="shared" si="5"/>
        <v>0</v>
      </c>
    </row>
    <row r="233" spans="2:78" ht="15.75">
      <c r="B233" s="97"/>
      <c r="C233" s="98" t="s">
        <v>444</v>
      </c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9"/>
      <c r="P233" s="97"/>
      <c r="Q233" s="98"/>
      <c r="R233" s="98"/>
      <c r="S233" s="98"/>
      <c r="T233" s="98"/>
      <c r="U233" s="98"/>
      <c r="V233" s="98"/>
      <c r="W233" s="98"/>
      <c r="X233" s="99"/>
      <c r="Y233" s="97"/>
      <c r="Z233" s="98"/>
      <c r="AA233" s="99"/>
      <c r="AB233" s="97"/>
      <c r="AC233" s="98"/>
      <c r="AD233" s="98"/>
      <c r="AE233" s="98"/>
      <c r="AF233" s="98"/>
      <c r="AG233" s="98"/>
      <c r="AH233" s="98"/>
      <c r="AI233" s="98"/>
      <c r="AJ233" s="99"/>
      <c r="AK233" s="97"/>
      <c r="AL233" s="98"/>
      <c r="AM233" s="99"/>
      <c r="AN233" s="97"/>
      <c r="AO233" s="98"/>
      <c r="AP233" s="98"/>
      <c r="AQ233" s="98"/>
      <c r="AR233" s="98"/>
      <c r="AS233" s="98"/>
      <c r="AT233" s="98"/>
      <c r="AU233" s="98"/>
      <c r="AV233" s="99"/>
      <c r="AW233" s="97"/>
      <c r="AX233" s="98"/>
      <c r="AY233" s="99"/>
      <c r="AZ233" s="97"/>
      <c r="BA233" s="98"/>
      <c r="BB233" s="98"/>
      <c r="BC233" s="98"/>
      <c r="BD233" s="98"/>
      <c r="BE233" s="98"/>
      <c r="BF233" s="98"/>
      <c r="BG233" s="98"/>
      <c r="BH233" s="98"/>
      <c r="BI233" s="98"/>
      <c r="BJ233" s="99"/>
      <c r="BR233" s="40"/>
      <c r="BS233" s="36" t="str">
        <f>_xlfn.IFNA(VLOOKUP($BR233,[15]Master!$C$4:$J$13,2,FALSE),"-")</f>
        <v>-</v>
      </c>
      <c r="BT233" s="36" t="str">
        <f>_xlfn.IFNA(VLOOKUP($BR233,[15]Master!$C$4:$J$13,3,FALSE),"-")</f>
        <v>-</v>
      </c>
      <c r="BU233" s="36" t="str">
        <f>_xlfn.IFNA(VLOOKUP($BR233,[15]Master!$C$4:$J$13,4,FALSE),"-")</f>
        <v>-</v>
      </c>
      <c r="BV233" s="36" t="str">
        <f>_xlfn.IFNA(VLOOKUP($BR233,[15]Master!$C$4:$J$13,5,FALSE),"-")</f>
        <v>-</v>
      </c>
      <c r="BW233" s="36" t="str">
        <f>_xlfn.IFNA(VLOOKUP($BR233,[15]Master!$C$4:$J$13,6,FALSE),"-")</f>
        <v>-</v>
      </c>
      <c r="BX233" s="36" t="str">
        <f>_xlfn.IFNA(VLOOKUP($BR233,[15]Master!$C$4:$J$13,7,FALSE),"-")</f>
        <v>-</v>
      </c>
      <c r="BY233" s="36" t="str">
        <f>_xlfn.IFNA(VLOOKUP($BR233,[15]Master!$C$4:$J$13,8,FALSE),"-")</f>
        <v>-</v>
      </c>
      <c r="BZ233" s="35">
        <f t="shared" si="5"/>
        <v>0</v>
      </c>
    </row>
    <row r="234" spans="2:78" ht="15.75">
      <c r="B234" s="97"/>
      <c r="C234" s="98" t="s">
        <v>445</v>
      </c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9"/>
      <c r="P234" s="97"/>
      <c r="Q234" s="98"/>
      <c r="R234" s="98"/>
      <c r="S234" s="98"/>
      <c r="T234" s="98"/>
      <c r="U234" s="98"/>
      <c r="V234" s="98"/>
      <c r="W234" s="98"/>
      <c r="X234" s="99"/>
      <c r="Y234" s="97"/>
      <c r="Z234" s="98"/>
      <c r="AA234" s="99"/>
      <c r="AB234" s="97"/>
      <c r="AC234" s="98"/>
      <c r="AD234" s="98"/>
      <c r="AE234" s="98"/>
      <c r="AF234" s="98"/>
      <c r="AG234" s="98"/>
      <c r="AH234" s="98"/>
      <c r="AI234" s="98"/>
      <c r="AJ234" s="99"/>
      <c r="AK234" s="97"/>
      <c r="AL234" s="98"/>
      <c r="AM234" s="99"/>
      <c r="AN234" s="97"/>
      <c r="AO234" s="98"/>
      <c r="AP234" s="98"/>
      <c r="AQ234" s="98"/>
      <c r="AR234" s="98"/>
      <c r="AS234" s="98"/>
      <c r="AT234" s="98"/>
      <c r="AU234" s="98"/>
      <c r="AV234" s="99"/>
      <c r="AW234" s="97"/>
      <c r="AX234" s="98"/>
      <c r="AY234" s="99"/>
      <c r="AZ234" s="97"/>
      <c r="BA234" s="98"/>
      <c r="BB234" s="98"/>
      <c r="BC234" s="98"/>
      <c r="BD234" s="98"/>
      <c r="BE234" s="98"/>
      <c r="BF234" s="98"/>
      <c r="BG234" s="98"/>
      <c r="BH234" s="98"/>
      <c r="BI234" s="98"/>
      <c r="BJ234" s="99"/>
      <c r="BR234" s="40"/>
      <c r="BS234" s="36" t="str">
        <f>_xlfn.IFNA(VLOOKUP($BR234,[15]Master!$C$4:$J$13,2,FALSE),"-")</f>
        <v>-</v>
      </c>
      <c r="BT234" s="36" t="str">
        <f>_xlfn.IFNA(VLOOKUP($BR234,[15]Master!$C$4:$J$13,3,FALSE),"-")</f>
        <v>-</v>
      </c>
      <c r="BU234" s="36" t="str">
        <f>_xlfn.IFNA(VLOOKUP($BR234,[15]Master!$C$4:$J$13,4,FALSE),"-")</f>
        <v>-</v>
      </c>
      <c r="BV234" s="36" t="str">
        <f>_xlfn.IFNA(VLOOKUP($BR234,[15]Master!$C$4:$J$13,5,FALSE),"-")</f>
        <v>-</v>
      </c>
      <c r="BW234" s="36" t="str">
        <f>_xlfn.IFNA(VLOOKUP($BR234,[15]Master!$C$4:$J$13,6,FALSE),"-")</f>
        <v>-</v>
      </c>
      <c r="BX234" s="36" t="str">
        <f>_xlfn.IFNA(VLOOKUP($BR234,[15]Master!$C$4:$J$13,7,FALSE),"-")</f>
        <v>-</v>
      </c>
      <c r="BY234" s="36" t="str">
        <f>_xlfn.IFNA(VLOOKUP($BR234,[15]Master!$C$4:$J$13,8,FALSE),"-")</f>
        <v>-</v>
      </c>
      <c r="BZ234" s="35">
        <f t="shared" si="5"/>
        <v>0</v>
      </c>
    </row>
    <row r="235" spans="2:78" ht="15.75">
      <c r="B235" s="97"/>
      <c r="C235" s="98" t="s">
        <v>446</v>
      </c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9"/>
      <c r="P235" s="97"/>
      <c r="Q235" s="98"/>
      <c r="R235" s="98"/>
      <c r="S235" s="98"/>
      <c r="T235" s="98"/>
      <c r="U235" s="98"/>
      <c r="V235" s="98"/>
      <c r="W235" s="98"/>
      <c r="X235" s="99"/>
      <c r="Y235" s="97"/>
      <c r="Z235" s="98"/>
      <c r="AA235" s="99"/>
      <c r="AB235" s="97"/>
      <c r="AC235" s="98"/>
      <c r="AD235" s="98"/>
      <c r="AE235" s="98"/>
      <c r="AF235" s="98"/>
      <c r="AG235" s="98"/>
      <c r="AH235" s="98"/>
      <c r="AI235" s="98"/>
      <c r="AJ235" s="99"/>
      <c r="AK235" s="97"/>
      <c r="AL235" s="98"/>
      <c r="AM235" s="99"/>
      <c r="AN235" s="97"/>
      <c r="AO235" s="98"/>
      <c r="AP235" s="98"/>
      <c r="AQ235" s="98"/>
      <c r="AR235" s="98"/>
      <c r="AS235" s="98"/>
      <c r="AT235" s="98"/>
      <c r="AU235" s="98"/>
      <c r="AV235" s="99"/>
      <c r="AW235" s="97"/>
      <c r="AX235" s="98"/>
      <c r="AY235" s="99"/>
      <c r="AZ235" s="97"/>
      <c r="BA235" s="98"/>
      <c r="BB235" s="98"/>
      <c r="BC235" s="98"/>
      <c r="BD235" s="98"/>
      <c r="BE235" s="98"/>
      <c r="BF235" s="98"/>
      <c r="BG235" s="98"/>
      <c r="BH235" s="98"/>
      <c r="BI235" s="98"/>
      <c r="BJ235" s="99"/>
      <c r="BR235" s="40"/>
      <c r="BS235" s="36" t="str">
        <f>_xlfn.IFNA(VLOOKUP($BR235,[15]Master!$C$4:$J$13,2,FALSE),"-")</f>
        <v>-</v>
      </c>
      <c r="BT235" s="36" t="str">
        <f>_xlfn.IFNA(VLOOKUP($BR235,[15]Master!$C$4:$J$13,3,FALSE),"-")</f>
        <v>-</v>
      </c>
      <c r="BU235" s="36" t="str">
        <f>_xlfn.IFNA(VLOOKUP($BR235,[15]Master!$C$4:$J$13,4,FALSE),"-")</f>
        <v>-</v>
      </c>
      <c r="BV235" s="36" t="str">
        <f>_xlfn.IFNA(VLOOKUP($BR235,[15]Master!$C$4:$J$13,5,FALSE),"-")</f>
        <v>-</v>
      </c>
      <c r="BW235" s="36" t="str">
        <f>_xlfn.IFNA(VLOOKUP($BR235,[15]Master!$C$4:$J$13,6,FALSE),"-")</f>
        <v>-</v>
      </c>
      <c r="BX235" s="36" t="str">
        <f>_xlfn.IFNA(VLOOKUP($BR235,[15]Master!$C$4:$J$13,7,FALSE),"-")</f>
        <v>-</v>
      </c>
      <c r="BY235" s="36" t="str">
        <f>_xlfn.IFNA(VLOOKUP($BR235,[15]Master!$C$4:$J$13,8,FALSE),"-")</f>
        <v>-</v>
      </c>
      <c r="BZ235" s="35">
        <f t="shared" si="5"/>
        <v>0</v>
      </c>
    </row>
    <row r="236" spans="2:78" ht="15.75">
      <c r="B236" s="97"/>
      <c r="C236" s="98" t="s">
        <v>447</v>
      </c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9"/>
      <c r="P236" s="97"/>
      <c r="Q236" s="98"/>
      <c r="R236" s="98"/>
      <c r="S236" s="98"/>
      <c r="T236" s="98"/>
      <c r="U236" s="98"/>
      <c r="V236" s="98"/>
      <c r="W236" s="98"/>
      <c r="X236" s="99"/>
      <c r="Y236" s="97"/>
      <c r="Z236" s="98"/>
      <c r="AA236" s="99"/>
      <c r="AB236" s="97"/>
      <c r="AC236" s="98"/>
      <c r="AD236" s="98"/>
      <c r="AE236" s="98"/>
      <c r="AF236" s="98"/>
      <c r="AG236" s="98"/>
      <c r="AH236" s="98"/>
      <c r="AI236" s="98"/>
      <c r="AJ236" s="99"/>
      <c r="AK236" s="97"/>
      <c r="AL236" s="98"/>
      <c r="AM236" s="99"/>
      <c r="AN236" s="97"/>
      <c r="AO236" s="98"/>
      <c r="AP236" s="98"/>
      <c r="AQ236" s="98"/>
      <c r="AR236" s="98"/>
      <c r="AS236" s="98"/>
      <c r="AT236" s="98"/>
      <c r="AU236" s="98"/>
      <c r="AV236" s="99"/>
      <c r="AW236" s="97"/>
      <c r="AX236" s="98"/>
      <c r="AY236" s="99"/>
      <c r="AZ236" s="97"/>
      <c r="BA236" s="98"/>
      <c r="BB236" s="98"/>
      <c r="BC236" s="98"/>
      <c r="BD236" s="98"/>
      <c r="BE236" s="98"/>
      <c r="BF236" s="98"/>
      <c r="BG236" s="98"/>
      <c r="BH236" s="98"/>
      <c r="BI236" s="98"/>
      <c r="BJ236" s="99"/>
      <c r="BR236" s="40"/>
      <c r="BS236" s="36" t="str">
        <f>_xlfn.IFNA(VLOOKUP($BR236,[15]Master!$C$4:$J$13,2,FALSE),"-")</f>
        <v>-</v>
      </c>
      <c r="BT236" s="36" t="str">
        <f>_xlfn.IFNA(VLOOKUP($BR236,[15]Master!$C$4:$J$13,3,FALSE),"-")</f>
        <v>-</v>
      </c>
      <c r="BU236" s="36" t="str">
        <f>_xlfn.IFNA(VLOOKUP($BR236,[15]Master!$C$4:$J$13,4,FALSE),"-")</f>
        <v>-</v>
      </c>
      <c r="BV236" s="36" t="str">
        <f>_xlfn.IFNA(VLOOKUP($BR236,[15]Master!$C$4:$J$13,5,FALSE),"-")</f>
        <v>-</v>
      </c>
      <c r="BW236" s="36" t="str">
        <f>_xlfn.IFNA(VLOOKUP($BR236,[15]Master!$C$4:$J$13,6,FALSE),"-")</f>
        <v>-</v>
      </c>
      <c r="BX236" s="36" t="str">
        <f>_xlfn.IFNA(VLOOKUP($BR236,[15]Master!$C$4:$J$13,7,FALSE),"-")</f>
        <v>-</v>
      </c>
      <c r="BY236" s="36" t="str">
        <f>_xlfn.IFNA(VLOOKUP($BR236,[15]Master!$C$4:$J$13,8,FALSE),"-")</f>
        <v>-</v>
      </c>
      <c r="BZ236" s="35">
        <f t="shared" si="5"/>
        <v>0</v>
      </c>
    </row>
    <row r="237" spans="2:78" ht="15.75">
      <c r="B237" s="97"/>
      <c r="C237" s="98" t="s">
        <v>448</v>
      </c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9"/>
      <c r="P237" s="97"/>
      <c r="Q237" s="98"/>
      <c r="R237" s="98"/>
      <c r="S237" s="98"/>
      <c r="T237" s="98"/>
      <c r="U237" s="98"/>
      <c r="V237" s="98"/>
      <c r="W237" s="98"/>
      <c r="X237" s="99"/>
      <c r="Y237" s="97"/>
      <c r="Z237" s="98"/>
      <c r="AA237" s="99"/>
      <c r="AB237" s="97"/>
      <c r="AC237" s="98"/>
      <c r="AD237" s="98"/>
      <c r="AE237" s="98"/>
      <c r="AF237" s="98"/>
      <c r="AG237" s="98"/>
      <c r="AH237" s="98"/>
      <c r="AI237" s="98"/>
      <c r="AJ237" s="99"/>
      <c r="AK237" s="97"/>
      <c r="AL237" s="98"/>
      <c r="AM237" s="99"/>
      <c r="AN237" s="97"/>
      <c r="AO237" s="98"/>
      <c r="AP237" s="98"/>
      <c r="AQ237" s="98"/>
      <c r="AR237" s="98"/>
      <c r="AS237" s="98"/>
      <c r="AT237" s="98"/>
      <c r="AU237" s="98"/>
      <c r="AV237" s="99"/>
      <c r="AW237" s="97"/>
      <c r="AX237" s="98"/>
      <c r="AY237" s="99"/>
      <c r="AZ237" s="97"/>
      <c r="BA237" s="98"/>
      <c r="BB237" s="98"/>
      <c r="BC237" s="98"/>
      <c r="BD237" s="98"/>
      <c r="BE237" s="98"/>
      <c r="BF237" s="98"/>
      <c r="BG237" s="98"/>
      <c r="BH237" s="98"/>
      <c r="BI237" s="98"/>
      <c r="BJ237" s="99"/>
      <c r="BR237" s="40"/>
      <c r="BS237" s="36" t="str">
        <f>_xlfn.IFNA(VLOOKUP($BR237,[15]Master!$C$4:$J$13,2,FALSE),"-")</f>
        <v>-</v>
      </c>
      <c r="BT237" s="36" t="str">
        <f>_xlfn.IFNA(VLOOKUP($BR237,[15]Master!$C$4:$J$13,3,FALSE),"-")</f>
        <v>-</v>
      </c>
      <c r="BU237" s="36" t="str">
        <f>_xlfn.IFNA(VLOOKUP($BR237,[15]Master!$C$4:$J$13,4,FALSE),"-")</f>
        <v>-</v>
      </c>
      <c r="BV237" s="36" t="str">
        <f>_xlfn.IFNA(VLOOKUP($BR237,[15]Master!$C$4:$J$13,5,FALSE),"-")</f>
        <v>-</v>
      </c>
      <c r="BW237" s="36" t="str">
        <f>_xlfn.IFNA(VLOOKUP($BR237,[15]Master!$C$4:$J$13,6,FALSE),"-")</f>
        <v>-</v>
      </c>
      <c r="BX237" s="36" t="str">
        <f>_xlfn.IFNA(VLOOKUP($BR237,[15]Master!$C$4:$J$13,7,FALSE),"-")</f>
        <v>-</v>
      </c>
      <c r="BY237" s="36" t="str">
        <f>_xlfn.IFNA(VLOOKUP($BR237,[15]Master!$C$4:$J$13,8,FALSE),"-")</f>
        <v>-</v>
      </c>
      <c r="BZ237" s="35">
        <f t="shared" si="5"/>
        <v>0</v>
      </c>
    </row>
    <row r="238" spans="2:78" ht="15.75">
      <c r="B238" s="97"/>
      <c r="C238" s="98" t="s">
        <v>390</v>
      </c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9"/>
      <c r="P238" s="97"/>
      <c r="Q238" s="98"/>
      <c r="R238" s="98"/>
      <c r="S238" s="98"/>
      <c r="T238" s="98"/>
      <c r="U238" s="98"/>
      <c r="V238" s="98"/>
      <c r="W238" s="98"/>
      <c r="X238" s="99"/>
      <c r="Y238" s="97"/>
      <c r="Z238" s="98"/>
      <c r="AA238" s="99"/>
      <c r="AB238" s="97"/>
      <c r="AC238" s="98"/>
      <c r="AD238" s="98"/>
      <c r="AE238" s="98"/>
      <c r="AF238" s="98"/>
      <c r="AG238" s="98"/>
      <c r="AH238" s="98"/>
      <c r="AI238" s="98"/>
      <c r="AJ238" s="99"/>
      <c r="AK238" s="97"/>
      <c r="AL238" s="98"/>
      <c r="AM238" s="99"/>
      <c r="AN238" s="97"/>
      <c r="AO238" s="98"/>
      <c r="AP238" s="98"/>
      <c r="AQ238" s="98"/>
      <c r="AR238" s="98"/>
      <c r="AS238" s="98"/>
      <c r="AT238" s="98"/>
      <c r="AU238" s="98"/>
      <c r="AV238" s="99"/>
      <c r="AW238" s="97"/>
      <c r="AX238" s="98"/>
      <c r="AY238" s="99"/>
      <c r="AZ238" s="97"/>
      <c r="BA238" s="98"/>
      <c r="BB238" s="98"/>
      <c r="BC238" s="98"/>
      <c r="BD238" s="98"/>
      <c r="BE238" s="98"/>
      <c r="BF238" s="98"/>
      <c r="BG238" s="98"/>
      <c r="BH238" s="98"/>
      <c r="BI238" s="98"/>
      <c r="BJ238" s="99"/>
      <c r="BR238" s="40"/>
      <c r="BS238" s="36" t="str">
        <f>_xlfn.IFNA(VLOOKUP($BR238,[15]Master!$C$4:$J$13,2,FALSE),"-")</f>
        <v>-</v>
      </c>
      <c r="BT238" s="36" t="str">
        <f>_xlfn.IFNA(VLOOKUP($BR238,[15]Master!$C$4:$J$13,3,FALSE),"-")</f>
        <v>-</v>
      </c>
      <c r="BU238" s="36" t="str">
        <f>_xlfn.IFNA(VLOOKUP($BR238,[15]Master!$C$4:$J$13,4,FALSE),"-")</f>
        <v>-</v>
      </c>
      <c r="BV238" s="36" t="str">
        <f>_xlfn.IFNA(VLOOKUP($BR238,[15]Master!$C$4:$J$13,5,FALSE),"-")</f>
        <v>-</v>
      </c>
      <c r="BW238" s="36" t="str">
        <f>_xlfn.IFNA(VLOOKUP($BR238,[15]Master!$C$4:$J$13,6,FALSE),"-")</f>
        <v>-</v>
      </c>
      <c r="BX238" s="36" t="str">
        <f>_xlfn.IFNA(VLOOKUP($BR238,[15]Master!$C$4:$J$13,7,FALSE),"-")</f>
        <v>-</v>
      </c>
      <c r="BY238" s="36" t="str">
        <f>_xlfn.IFNA(VLOOKUP($BR238,[15]Master!$C$4:$J$13,8,FALSE),"-")</f>
        <v>-</v>
      </c>
      <c r="BZ238" s="35">
        <f t="shared" si="5"/>
        <v>0</v>
      </c>
    </row>
    <row r="239" spans="2:78" ht="15.75">
      <c r="B239" s="97"/>
      <c r="C239" s="98" t="s">
        <v>390</v>
      </c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9"/>
      <c r="P239" s="97"/>
      <c r="Q239" s="98"/>
      <c r="R239" s="98"/>
      <c r="S239" s="98"/>
      <c r="T239" s="98"/>
      <c r="U239" s="98"/>
      <c r="V239" s="98"/>
      <c r="W239" s="98"/>
      <c r="X239" s="99"/>
      <c r="Y239" s="97"/>
      <c r="Z239" s="98"/>
      <c r="AA239" s="99"/>
      <c r="AB239" s="97"/>
      <c r="AC239" s="98"/>
      <c r="AD239" s="98"/>
      <c r="AE239" s="98"/>
      <c r="AF239" s="98"/>
      <c r="AG239" s="98"/>
      <c r="AH239" s="98"/>
      <c r="AI239" s="98"/>
      <c r="AJ239" s="99"/>
      <c r="AK239" s="97"/>
      <c r="AL239" s="98"/>
      <c r="AM239" s="99"/>
      <c r="AN239" s="97"/>
      <c r="AO239" s="98"/>
      <c r="AP239" s="98"/>
      <c r="AQ239" s="98"/>
      <c r="AR239" s="98"/>
      <c r="AS239" s="98"/>
      <c r="AT239" s="98"/>
      <c r="AU239" s="98"/>
      <c r="AV239" s="99"/>
      <c r="AW239" s="97"/>
      <c r="AX239" s="98"/>
      <c r="AY239" s="99"/>
      <c r="AZ239" s="97"/>
      <c r="BA239" s="98"/>
      <c r="BB239" s="98"/>
      <c r="BC239" s="98"/>
      <c r="BD239" s="98"/>
      <c r="BE239" s="98"/>
      <c r="BF239" s="98"/>
      <c r="BG239" s="98"/>
      <c r="BH239" s="98"/>
      <c r="BI239" s="98"/>
      <c r="BJ239" s="99"/>
      <c r="BR239" s="40"/>
      <c r="BS239" s="36" t="str">
        <f>_xlfn.IFNA(VLOOKUP($BR239,[15]Master!$C$4:$J$13,2,FALSE),"-")</f>
        <v>-</v>
      </c>
      <c r="BT239" s="36" t="str">
        <f>_xlfn.IFNA(VLOOKUP($BR239,[15]Master!$C$4:$J$13,3,FALSE),"-")</f>
        <v>-</v>
      </c>
      <c r="BU239" s="36" t="str">
        <f>_xlfn.IFNA(VLOOKUP($BR239,[15]Master!$C$4:$J$13,4,FALSE),"-")</f>
        <v>-</v>
      </c>
      <c r="BV239" s="36" t="str">
        <f>_xlfn.IFNA(VLOOKUP($BR239,[15]Master!$C$4:$J$13,5,FALSE),"-")</f>
        <v>-</v>
      </c>
      <c r="BW239" s="36" t="str">
        <f>_xlfn.IFNA(VLOOKUP($BR239,[15]Master!$C$4:$J$13,6,FALSE),"-")</f>
        <v>-</v>
      </c>
      <c r="BX239" s="36" t="str">
        <f>_xlfn.IFNA(VLOOKUP($BR239,[15]Master!$C$4:$J$13,7,FALSE),"-")</f>
        <v>-</v>
      </c>
      <c r="BY239" s="36" t="str">
        <f>_xlfn.IFNA(VLOOKUP($BR239,[15]Master!$C$4:$J$13,8,FALSE),"-")</f>
        <v>-</v>
      </c>
      <c r="BZ239" s="35">
        <f t="shared" si="5"/>
        <v>0</v>
      </c>
    </row>
    <row r="240" spans="2:78" ht="15.75">
      <c r="B240" s="131" t="s">
        <v>449</v>
      </c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3"/>
      <c r="P240" s="131"/>
      <c r="Q240" s="132"/>
      <c r="R240" s="132"/>
      <c r="S240" s="132"/>
      <c r="T240" s="132"/>
      <c r="U240" s="132"/>
      <c r="V240" s="132"/>
      <c r="W240" s="132"/>
      <c r="X240" s="133"/>
      <c r="Y240" s="131"/>
      <c r="Z240" s="132"/>
      <c r="AA240" s="133"/>
      <c r="AB240" s="131"/>
      <c r="AC240" s="132"/>
      <c r="AD240" s="132"/>
      <c r="AE240" s="132"/>
      <c r="AF240" s="132"/>
      <c r="AG240" s="132"/>
      <c r="AH240" s="132"/>
      <c r="AI240" s="132"/>
      <c r="AJ240" s="133"/>
      <c r="AK240" s="131"/>
      <c r="AL240" s="132"/>
      <c r="AM240" s="133"/>
      <c r="AN240" s="131"/>
      <c r="AO240" s="132"/>
      <c r="AP240" s="132"/>
      <c r="AQ240" s="132"/>
      <c r="AR240" s="132"/>
      <c r="AS240" s="132"/>
      <c r="AT240" s="132"/>
      <c r="AU240" s="132"/>
      <c r="AV240" s="133"/>
      <c r="AW240" s="131"/>
      <c r="AX240" s="132"/>
      <c r="AY240" s="133"/>
      <c r="AZ240" s="131"/>
      <c r="BA240" s="132"/>
      <c r="BB240" s="132"/>
      <c r="BC240" s="132"/>
      <c r="BD240" s="132"/>
      <c r="BE240" s="132"/>
      <c r="BF240" s="132"/>
      <c r="BG240" s="132"/>
      <c r="BH240" s="132"/>
      <c r="BI240" s="132"/>
      <c r="BJ240" s="133"/>
      <c r="BR240" s="40"/>
      <c r="BS240" s="36" t="str">
        <f>_xlfn.IFNA(VLOOKUP($BR240,[15]Master!$C$4:$J$13,2,FALSE),"-")</f>
        <v>-</v>
      </c>
      <c r="BT240" s="36" t="str">
        <f>_xlfn.IFNA(VLOOKUP($BR240,[15]Master!$C$4:$J$13,3,FALSE),"-")</f>
        <v>-</v>
      </c>
      <c r="BU240" s="36" t="str">
        <f>_xlfn.IFNA(VLOOKUP($BR240,[15]Master!$C$4:$J$13,4,FALSE),"-")</f>
        <v>-</v>
      </c>
      <c r="BV240" s="36" t="str">
        <f>_xlfn.IFNA(VLOOKUP($BR240,[15]Master!$C$4:$J$13,5,FALSE),"-")</f>
        <v>-</v>
      </c>
      <c r="BW240" s="36" t="str">
        <f>_xlfn.IFNA(VLOOKUP($BR240,[15]Master!$C$4:$J$13,6,FALSE),"-")</f>
        <v>-</v>
      </c>
      <c r="BX240" s="36" t="str">
        <f>_xlfn.IFNA(VLOOKUP($BR240,[15]Master!$C$4:$J$13,7,FALSE),"-")</f>
        <v>-</v>
      </c>
      <c r="BY240" s="36" t="str">
        <f>_xlfn.IFNA(VLOOKUP($BR240,[15]Master!$C$4:$J$13,8,FALSE),"-")</f>
        <v>-</v>
      </c>
      <c r="BZ240" s="35">
        <f t="shared" si="5"/>
        <v>0</v>
      </c>
    </row>
    <row r="241" spans="2:78" ht="15.75">
      <c r="B241" s="97"/>
      <c r="C241" s="98" t="s">
        <v>420</v>
      </c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9"/>
      <c r="P241" s="97"/>
      <c r="Q241" s="98"/>
      <c r="R241" s="98"/>
      <c r="S241" s="98"/>
      <c r="T241" s="98"/>
      <c r="U241" s="98"/>
      <c r="V241" s="98"/>
      <c r="W241" s="98"/>
      <c r="X241" s="99"/>
      <c r="Y241" s="97"/>
      <c r="Z241" s="98"/>
      <c r="AA241" s="99"/>
      <c r="AB241" s="97"/>
      <c r="AC241" s="98"/>
      <c r="AD241" s="98"/>
      <c r="AE241" s="98"/>
      <c r="AF241" s="98"/>
      <c r="AG241" s="98"/>
      <c r="AH241" s="98"/>
      <c r="AI241" s="98"/>
      <c r="AJ241" s="99"/>
      <c r="AK241" s="97"/>
      <c r="AL241" s="98"/>
      <c r="AM241" s="99"/>
      <c r="AN241" s="97"/>
      <c r="AO241" s="98"/>
      <c r="AP241" s="98"/>
      <c r="AQ241" s="98"/>
      <c r="AR241" s="98"/>
      <c r="AS241" s="98"/>
      <c r="AT241" s="98"/>
      <c r="AU241" s="98"/>
      <c r="AV241" s="99"/>
      <c r="AW241" s="97"/>
      <c r="AX241" s="98"/>
      <c r="AY241" s="99"/>
      <c r="AZ241" s="97"/>
      <c r="BA241" s="98"/>
      <c r="BB241" s="98"/>
      <c r="BC241" s="98"/>
      <c r="BD241" s="98"/>
      <c r="BE241" s="98"/>
      <c r="BF241" s="98"/>
      <c r="BG241" s="98"/>
      <c r="BH241" s="98"/>
      <c r="BI241" s="98"/>
      <c r="BJ241" s="99"/>
      <c r="BR241" s="40"/>
      <c r="BS241" s="36" t="str">
        <f>_xlfn.IFNA(VLOOKUP($BR241,[15]Master!$C$4:$J$13,2,FALSE),"-")</f>
        <v>-</v>
      </c>
      <c r="BT241" s="36" t="str">
        <f>_xlfn.IFNA(VLOOKUP($BR241,[15]Master!$C$4:$J$13,3,FALSE),"-")</f>
        <v>-</v>
      </c>
      <c r="BU241" s="36" t="str">
        <f>_xlfn.IFNA(VLOOKUP($BR241,[15]Master!$C$4:$J$13,4,FALSE),"-")</f>
        <v>-</v>
      </c>
      <c r="BV241" s="36" t="str">
        <f>_xlfn.IFNA(VLOOKUP($BR241,[15]Master!$C$4:$J$13,5,FALSE),"-")</f>
        <v>-</v>
      </c>
      <c r="BW241" s="36" t="str">
        <f>_xlfn.IFNA(VLOOKUP($BR241,[15]Master!$C$4:$J$13,6,FALSE),"-")</f>
        <v>-</v>
      </c>
      <c r="BX241" s="36" t="str">
        <f>_xlfn.IFNA(VLOOKUP($BR241,[15]Master!$C$4:$J$13,7,FALSE),"-")</f>
        <v>-</v>
      </c>
      <c r="BY241" s="36" t="str">
        <f>_xlfn.IFNA(VLOOKUP($BR241,[15]Master!$C$4:$J$13,8,FALSE),"-")</f>
        <v>-</v>
      </c>
      <c r="BZ241" s="35">
        <f t="shared" si="5"/>
        <v>0</v>
      </c>
    </row>
    <row r="242" spans="2:78" ht="15.75">
      <c r="B242" s="97"/>
      <c r="C242" s="98" t="s">
        <v>421</v>
      </c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9"/>
      <c r="P242" s="97"/>
      <c r="Q242" s="98"/>
      <c r="R242" s="98"/>
      <c r="S242" s="98"/>
      <c r="T242" s="98"/>
      <c r="U242" s="98"/>
      <c r="V242" s="98"/>
      <c r="W242" s="98"/>
      <c r="X242" s="99"/>
      <c r="Y242" s="97"/>
      <c r="Z242" s="98"/>
      <c r="AA242" s="99"/>
      <c r="AB242" s="97"/>
      <c r="AC242" s="98"/>
      <c r="AD242" s="98"/>
      <c r="AE242" s="98"/>
      <c r="AF242" s="98"/>
      <c r="AG242" s="98"/>
      <c r="AH242" s="98"/>
      <c r="AI242" s="98"/>
      <c r="AJ242" s="99"/>
      <c r="AK242" s="97"/>
      <c r="AL242" s="98"/>
      <c r="AM242" s="99"/>
      <c r="AN242" s="97"/>
      <c r="AO242" s="98"/>
      <c r="AP242" s="98"/>
      <c r="AQ242" s="98"/>
      <c r="AR242" s="98"/>
      <c r="AS242" s="98"/>
      <c r="AT242" s="98"/>
      <c r="AU242" s="98"/>
      <c r="AV242" s="99"/>
      <c r="AW242" s="97"/>
      <c r="AX242" s="98"/>
      <c r="AY242" s="99"/>
      <c r="AZ242" s="97"/>
      <c r="BA242" s="98"/>
      <c r="BB242" s="98"/>
      <c r="BC242" s="98"/>
      <c r="BD242" s="98"/>
      <c r="BE242" s="98"/>
      <c r="BF242" s="98"/>
      <c r="BG242" s="98"/>
      <c r="BH242" s="98"/>
      <c r="BI242" s="98"/>
      <c r="BJ242" s="99"/>
      <c r="BR242" s="40"/>
      <c r="BS242" s="36" t="str">
        <f>_xlfn.IFNA(VLOOKUP($BR242,[15]Master!$C$4:$J$13,2,FALSE),"-")</f>
        <v>-</v>
      </c>
      <c r="BT242" s="36" t="str">
        <f>_xlfn.IFNA(VLOOKUP($BR242,[15]Master!$C$4:$J$13,3,FALSE),"-")</f>
        <v>-</v>
      </c>
      <c r="BU242" s="36" t="str">
        <f>_xlfn.IFNA(VLOOKUP($BR242,[15]Master!$C$4:$J$13,4,FALSE),"-")</f>
        <v>-</v>
      </c>
      <c r="BV242" s="36" t="str">
        <f>_xlfn.IFNA(VLOOKUP($BR242,[15]Master!$C$4:$J$13,5,FALSE),"-")</f>
        <v>-</v>
      </c>
      <c r="BW242" s="36" t="str">
        <f>_xlfn.IFNA(VLOOKUP($BR242,[15]Master!$C$4:$J$13,6,FALSE),"-")</f>
        <v>-</v>
      </c>
      <c r="BX242" s="36" t="str">
        <f>_xlfn.IFNA(VLOOKUP($BR242,[15]Master!$C$4:$J$13,7,FALSE),"-")</f>
        <v>-</v>
      </c>
      <c r="BY242" s="36" t="str">
        <f>_xlfn.IFNA(VLOOKUP($BR242,[15]Master!$C$4:$J$13,8,FALSE),"-")</f>
        <v>-</v>
      </c>
      <c r="BZ242" s="35">
        <f t="shared" si="5"/>
        <v>0</v>
      </c>
    </row>
    <row r="243" spans="2:78" ht="15.75">
      <c r="B243" s="97"/>
      <c r="C243" s="98" t="s">
        <v>422</v>
      </c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9"/>
      <c r="P243" s="97"/>
      <c r="Q243" s="98"/>
      <c r="R243" s="98"/>
      <c r="S243" s="98"/>
      <c r="T243" s="98"/>
      <c r="U243" s="98"/>
      <c r="V243" s="98"/>
      <c r="W243" s="98"/>
      <c r="X243" s="99"/>
      <c r="Y243" s="97"/>
      <c r="Z243" s="98"/>
      <c r="AA243" s="99"/>
      <c r="AB243" s="97"/>
      <c r="AC243" s="98"/>
      <c r="AD243" s="98"/>
      <c r="AE243" s="98"/>
      <c r="AF243" s="98"/>
      <c r="AG243" s="98"/>
      <c r="AH243" s="98"/>
      <c r="AI243" s="98"/>
      <c r="AJ243" s="99"/>
      <c r="AK243" s="97"/>
      <c r="AL243" s="98"/>
      <c r="AM243" s="99"/>
      <c r="AN243" s="97"/>
      <c r="AO243" s="98"/>
      <c r="AP243" s="98"/>
      <c r="AQ243" s="98"/>
      <c r="AR243" s="98"/>
      <c r="AS243" s="98"/>
      <c r="AT243" s="98"/>
      <c r="AU243" s="98"/>
      <c r="AV243" s="99"/>
      <c r="AW243" s="97"/>
      <c r="AX243" s="98"/>
      <c r="AY243" s="99"/>
      <c r="AZ243" s="97"/>
      <c r="BA243" s="98"/>
      <c r="BB243" s="98"/>
      <c r="BC243" s="98"/>
      <c r="BD243" s="98"/>
      <c r="BE243" s="98"/>
      <c r="BF243" s="98"/>
      <c r="BG243" s="98"/>
      <c r="BH243" s="98"/>
      <c r="BI243" s="98"/>
      <c r="BJ243" s="99"/>
      <c r="BR243" s="40"/>
      <c r="BS243" s="36" t="str">
        <f>_xlfn.IFNA(VLOOKUP($BR243,[15]Master!$C$4:$J$13,2,FALSE),"-")</f>
        <v>-</v>
      </c>
      <c r="BT243" s="36" t="str">
        <f>_xlfn.IFNA(VLOOKUP($BR243,[15]Master!$C$4:$J$13,3,FALSE),"-")</f>
        <v>-</v>
      </c>
      <c r="BU243" s="36" t="str">
        <f>_xlfn.IFNA(VLOOKUP($BR243,[15]Master!$C$4:$J$13,4,FALSE),"-")</f>
        <v>-</v>
      </c>
      <c r="BV243" s="36" t="str">
        <f>_xlfn.IFNA(VLOOKUP($BR243,[15]Master!$C$4:$J$13,5,FALSE),"-")</f>
        <v>-</v>
      </c>
      <c r="BW243" s="36" t="str">
        <f>_xlfn.IFNA(VLOOKUP($BR243,[15]Master!$C$4:$J$13,6,FALSE),"-")</f>
        <v>-</v>
      </c>
      <c r="BX243" s="36" t="str">
        <f>_xlfn.IFNA(VLOOKUP($BR243,[15]Master!$C$4:$J$13,7,FALSE),"-")</f>
        <v>-</v>
      </c>
      <c r="BY243" s="36" t="str">
        <f>_xlfn.IFNA(VLOOKUP($BR243,[15]Master!$C$4:$J$13,8,FALSE),"-")</f>
        <v>-</v>
      </c>
      <c r="BZ243" s="35">
        <f t="shared" si="5"/>
        <v>0</v>
      </c>
    </row>
    <row r="244" spans="2:78" ht="15.75">
      <c r="B244" s="97"/>
      <c r="C244" s="98" t="s">
        <v>423</v>
      </c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9"/>
      <c r="P244" s="97"/>
      <c r="Q244" s="98"/>
      <c r="R244" s="98"/>
      <c r="S244" s="98"/>
      <c r="T244" s="98"/>
      <c r="U244" s="98"/>
      <c r="V244" s="98"/>
      <c r="W244" s="98"/>
      <c r="X244" s="99"/>
      <c r="Y244" s="97"/>
      <c r="Z244" s="98"/>
      <c r="AA244" s="99"/>
      <c r="AB244" s="97"/>
      <c r="AC244" s="98"/>
      <c r="AD244" s="98"/>
      <c r="AE244" s="98"/>
      <c r="AF244" s="98"/>
      <c r="AG244" s="98"/>
      <c r="AH244" s="98"/>
      <c r="AI244" s="98"/>
      <c r="AJ244" s="99"/>
      <c r="AK244" s="97"/>
      <c r="AL244" s="98"/>
      <c r="AM244" s="99"/>
      <c r="AN244" s="97"/>
      <c r="AO244" s="98"/>
      <c r="AP244" s="98"/>
      <c r="AQ244" s="98"/>
      <c r="AR244" s="98"/>
      <c r="AS244" s="98"/>
      <c r="AT244" s="98"/>
      <c r="AU244" s="98"/>
      <c r="AV244" s="99"/>
      <c r="AW244" s="97"/>
      <c r="AX244" s="98"/>
      <c r="AY244" s="99"/>
      <c r="AZ244" s="97"/>
      <c r="BA244" s="98"/>
      <c r="BB244" s="98"/>
      <c r="BC244" s="98"/>
      <c r="BD244" s="98"/>
      <c r="BE244" s="98"/>
      <c r="BF244" s="98"/>
      <c r="BG244" s="98"/>
      <c r="BH244" s="98"/>
      <c r="BI244" s="98"/>
      <c r="BJ244" s="99"/>
      <c r="BR244" s="40"/>
      <c r="BS244" s="36" t="str">
        <f>_xlfn.IFNA(VLOOKUP($BR244,[15]Master!$C$4:$J$13,2,FALSE),"-")</f>
        <v>-</v>
      </c>
      <c r="BT244" s="36" t="str">
        <f>_xlfn.IFNA(VLOOKUP($BR244,[15]Master!$C$4:$J$13,3,FALSE),"-")</f>
        <v>-</v>
      </c>
      <c r="BU244" s="36" t="str">
        <f>_xlfn.IFNA(VLOOKUP($BR244,[15]Master!$C$4:$J$13,4,FALSE),"-")</f>
        <v>-</v>
      </c>
      <c r="BV244" s="36" t="str">
        <f>_xlfn.IFNA(VLOOKUP($BR244,[15]Master!$C$4:$J$13,5,FALSE),"-")</f>
        <v>-</v>
      </c>
      <c r="BW244" s="36" t="str">
        <f>_xlfn.IFNA(VLOOKUP($BR244,[15]Master!$C$4:$J$13,6,FALSE),"-")</f>
        <v>-</v>
      </c>
      <c r="BX244" s="36" t="str">
        <f>_xlfn.IFNA(VLOOKUP($BR244,[15]Master!$C$4:$J$13,7,FALSE),"-")</f>
        <v>-</v>
      </c>
      <c r="BY244" s="36" t="str">
        <f>_xlfn.IFNA(VLOOKUP($BR244,[15]Master!$C$4:$J$13,8,FALSE),"-")</f>
        <v>-</v>
      </c>
      <c r="BZ244" s="35">
        <f t="shared" si="5"/>
        <v>0</v>
      </c>
    </row>
    <row r="245" spans="2:78" ht="15.75">
      <c r="B245" s="97"/>
      <c r="C245" s="98" t="s">
        <v>424</v>
      </c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9"/>
      <c r="P245" s="97"/>
      <c r="Q245" s="98"/>
      <c r="R245" s="98"/>
      <c r="S245" s="98"/>
      <c r="T245" s="98"/>
      <c r="U245" s="98"/>
      <c r="V245" s="98"/>
      <c r="W245" s="98"/>
      <c r="X245" s="99"/>
      <c r="Y245" s="97"/>
      <c r="Z245" s="98"/>
      <c r="AA245" s="99"/>
      <c r="AB245" s="97"/>
      <c r="AC245" s="98"/>
      <c r="AD245" s="98"/>
      <c r="AE245" s="98"/>
      <c r="AF245" s="98"/>
      <c r="AG245" s="98"/>
      <c r="AH245" s="98"/>
      <c r="AI245" s="98"/>
      <c r="AJ245" s="99"/>
      <c r="AK245" s="97"/>
      <c r="AL245" s="98"/>
      <c r="AM245" s="99"/>
      <c r="AN245" s="97"/>
      <c r="AO245" s="98"/>
      <c r="AP245" s="98"/>
      <c r="AQ245" s="98"/>
      <c r="AR245" s="98"/>
      <c r="AS245" s="98"/>
      <c r="AT245" s="98"/>
      <c r="AU245" s="98"/>
      <c r="AV245" s="99"/>
      <c r="AW245" s="97"/>
      <c r="AX245" s="98"/>
      <c r="AY245" s="99"/>
      <c r="AZ245" s="97"/>
      <c r="BA245" s="98"/>
      <c r="BB245" s="98"/>
      <c r="BC245" s="98"/>
      <c r="BD245" s="98"/>
      <c r="BE245" s="98"/>
      <c r="BF245" s="98"/>
      <c r="BG245" s="98"/>
      <c r="BH245" s="98"/>
      <c r="BI245" s="98"/>
      <c r="BJ245" s="99"/>
      <c r="BR245" s="40"/>
      <c r="BS245" s="36" t="str">
        <f>_xlfn.IFNA(VLOOKUP($BR245,[15]Master!$C$4:$J$13,2,FALSE),"-")</f>
        <v>-</v>
      </c>
      <c r="BT245" s="36" t="str">
        <f>_xlfn.IFNA(VLOOKUP($BR245,[15]Master!$C$4:$J$13,3,FALSE),"-")</f>
        <v>-</v>
      </c>
      <c r="BU245" s="36" t="str">
        <f>_xlfn.IFNA(VLOOKUP($BR245,[15]Master!$C$4:$J$13,4,FALSE),"-")</f>
        <v>-</v>
      </c>
      <c r="BV245" s="36" t="str">
        <f>_xlfn.IFNA(VLOOKUP($BR245,[15]Master!$C$4:$J$13,5,FALSE),"-")</f>
        <v>-</v>
      </c>
      <c r="BW245" s="36" t="str">
        <f>_xlfn.IFNA(VLOOKUP($BR245,[15]Master!$C$4:$J$13,6,FALSE),"-")</f>
        <v>-</v>
      </c>
      <c r="BX245" s="36" t="str">
        <f>_xlfn.IFNA(VLOOKUP($BR245,[15]Master!$C$4:$J$13,7,FALSE),"-")</f>
        <v>-</v>
      </c>
      <c r="BY245" s="36" t="str">
        <f>_xlfn.IFNA(VLOOKUP($BR245,[15]Master!$C$4:$J$13,8,FALSE),"-")</f>
        <v>-</v>
      </c>
      <c r="BZ245" s="35">
        <f t="shared" si="5"/>
        <v>0</v>
      </c>
    </row>
    <row r="246" spans="2:78" ht="15.75">
      <c r="B246" s="97"/>
      <c r="C246" s="98" t="s">
        <v>425</v>
      </c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9"/>
      <c r="P246" s="97"/>
      <c r="Q246" s="98"/>
      <c r="R246" s="98"/>
      <c r="S246" s="98"/>
      <c r="T246" s="98"/>
      <c r="U246" s="98"/>
      <c r="V246" s="98"/>
      <c r="W246" s="98"/>
      <c r="X246" s="99"/>
      <c r="Y246" s="97"/>
      <c r="Z246" s="98"/>
      <c r="AA246" s="99"/>
      <c r="AB246" s="97"/>
      <c r="AC246" s="98"/>
      <c r="AD246" s="98"/>
      <c r="AE246" s="98"/>
      <c r="AF246" s="98"/>
      <c r="AG246" s="98"/>
      <c r="AH246" s="98"/>
      <c r="AI246" s="98"/>
      <c r="AJ246" s="99"/>
      <c r="AK246" s="97"/>
      <c r="AL246" s="98"/>
      <c r="AM246" s="99"/>
      <c r="AN246" s="97"/>
      <c r="AO246" s="98"/>
      <c r="AP246" s="98"/>
      <c r="AQ246" s="98"/>
      <c r="AR246" s="98"/>
      <c r="AS246" s="98"/>
      <c r="AT246" s="98"/>
      <c r="AU246" s="98"/>
      <c r="AV246" s="99"/>
      <c r="AW246" s="97"/>
      <c r="AX246" s="98"/>
      <c r="AY246" s="99"/>
      <c r="AZ246" s="97"/>
      <c r="BA246" s="98"/>
      <c r="BB246" s="98"/>
      <c r="BC246" s="98"/>
      <c r="BD246" s="98"/>
      <c r="BE246" s="98"/>
      <c r="BF246" s="98"/>
      <c r="BG246" s="98"/>
      <c r="BH246" s="98"/>
      <c r="BI246" s="98"/>
      <c r="BJ246" s="99"/>
      <c r="BR246" s="40"/>
      <c r="BS246" s="36" t="str">
        <f>_xlfn.IFNA(VLOOKUP($BR246,[15]Master!$C$4:$J$13,2,FALSE),"-")</f>
        <v>-</v>
      </c>
      <c r="BT246" s="36" t="str">
        <f>_xlfn.IFNA(VLOOKUP($BR246,[15]Master!$C$4:$J$13,3,FALSE),"-")</f>
        <v>-</v>
      </c>
      <c r="BU246" s="36" t="str">
        <f>_xlfn.IFNA(VLOOKUP($BR246,[15]Master!$C$4:$J$13,4,FALSE),"-")</f>
        <v>-</v>
      </c>
      <c r="BV246" s="36" t="str">
        <f>_xlfn.IFNA(VLOOKUP($BR246,[15]Master!$C$4:$J$13,5,FALSE),"-")</f>
        <v>-</v>
      </c>
      <c r="BW246" s="36" t="str">
        <f>_xlfn.IFNA(VLOOKUP($BR246,[15]Master!$C$4:$J$13,6,FALSE),"-")</f>
        <v>-</v>
      </c>
      <c r="BX246" s="36" t="str">
        <f>_xlfn.IFNA(VLOOKUP($BR246,[15]Master!$C$4:$J$13,7,FALSE),"-")</f>
        <v>-</v>
      </c>
      <c r="BY246" s="36" t="str">
        <f>_xlfn.IFNA(VLOOKUP($BR246,[15]Master!$C$4:$J$13,8,FALSE),"-")</f>
        <v>-</v>
      </c>
      <c r="BZ246" s="35">
        <f t="shared" si="5"/>
        <v>0</v>
      </c>
    </row>
    <row r="247" spans="2:78" ht="15.75">
      <c r="B247" s="97"/>
      <c r="C247" s="98" t="s">
        <v>426</v>
      </c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9"/>
      <c r="P247" s="97"/>
      <c r="Q247" s="98"/>
      <c r="R247" s="98"/>
      <c r="S247" s="98"/>
      <c r="T247" s="98"/>
      <c r="U247" s="98"/>
      <c r="V247" s="98"/>
      <c r="W247" s="98"/>
      <c r="X247" s="99"/>
      <c r="Y247" s="97"/>
      <c r="Z247" s="98"/>
      <c r="AA247" s="99"/>
      <c r="AB247" s="97"/>
      <c r="AC247" s="98"/>
      <c r="AD247" s="98"/>
      <c r="AE247" s="98"/>
      <c r="AF247" s="98"/>
      <c r="AG247" s="98"/>
      <c r="AH247" s="98"/>
      <c r="AI247" s="98"/>
      <c r="AJ247" s="99"/>
      <c r="AK247" s="97"/>
      <c r="AL247" s="98"/>
      <c r="AM247" s="99"/>
      <c r="AN247" s="97"/>
      <c r="AO247" s="98"/>
      <c r="AP247" s="98"/>
      <c r="AQ247" s="98"/>
      <c r="AR247" s="98"/>
      <c r="AS247" s="98"/>
      <c r="AT247" s="98"/>
      <c r="AU247" s="98"/>
      <c r="AV247" s="99"/>
      <c r="AW247" s="97"/>
      <c r="AX247" s="98"/>
      <c r="AY247" s="99"/>
      <c r="AZ247" s="97"/>
      <c r="BA247" s="98"/>
      <c r="BB247" s="98"/>
      <c r="BC247" s="98"/>
      <c r="BD247" s="98"/>
      <c r="BE247" s="98"/>
      <c r="BF247" s="98"/>
      <c r="BG247" s="98"/>
      <c r="BH247" s="98"/>
      <c r="BI247" s="98"/>
      <c r="BJ247" s="99"/>
      <c r="BR247" s="40"/>
      <c r="BS247" s="36" t="str">
        <f>_xlfn.IFNA(VLOOKUP($BR247,[15]Master!$C$4:$J$13,2,FALSE),"-")</f>
        <v>-</v>
      </c>
      <c r="BT247" s="36" t="str">
        <f>_xlfn.IFNA(VLOOKUP($BR247,[15]Master!$C$4:$J$13,3,FALSE),"-")</f>
        <v>-</v>
      </c>
      <c r="BU247" s="36" t="str">
        <f>_xlfn.IFNA(VLOOKUP($BR247,[15]Master!$C$4:$J$13,4,FALSE),"-")</f>
        <v>-</v>
      </c>
      <c r="BV247" s="36" t="str">
        <f>_xlfn.IFNA(VLOOKUP($BR247,[15]Master!$C$4:$J$13,5,FALSE),"-")</f>
        <v>-</v>
      </c>
      <c r="BW247" s="36" t="str">
        <f>_xlfn.IFNA(VLOOKUP($BR247,[15]Master!$C$4:$J$13,6,FALSE),"-")</f>
        <v>-</v>
      </c>
      <c r="BX247" s="36" t="str">
        <f>_xlfn.IFNA(VLOOKUP($BR247,[15]Master!$C$4:$J$13,7,FALSE),"-")</f>
        <v>-</v>
      </c>
      <c r="BY247" s="36" t="str">
        <f>_xlfn.IFNA(VLOOKUP($BR247,[15]Master!$C$4:$J$13,8,FALSE),"-")</f>
        <v>-</v>
      </c>
      <c r="BZ247" s="35">
        <f t="shared" si="5"/>
        <v>0</v>
      </c>
    </row>
    <row r="248" spans="2:78" ht="15.75">
      <c r="B248" s="97"/>
      <c r="C248" s="98" t="s">
        <v>427</v>
      </c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9"/>
      <c r="P248" s="97"/>
      <c r="Q248" s="98"/>
      <c r="R248" s="98"/>
      <c r="S248" s="98"/>
      <c r="T248" s="98"/>
      <c r="U248" s="98"/>
      <c r="V248" s="98"/>
      <c r="W248" s="98"/>
      <c r="X248" s="99"/>
      <c r="Y248" s="97"/>
      <c r="Z248" s="98"/>
      <c r="AA248" s="99"/>
      <c r="AB248" s="97"/>
      <c r="AC248" s="98"/>
      <c r="AD248" s="98"/>
      <c r="AE248" s="98"/>
      <c r="AF248" s="98"/>
      <c r="AG248" s="98"/>
      <c r="AH248" s="98"/>
      <c r="AI248" s="98"/>
      <c r="AJ248" s="99"/>
      <c r="AK248" s="97"/>
      <c r="AL248" s="98"/>
      <c r="AM248" s="99"/>
      <c r="AN248" s="97"/>
      <c r="AO248" s="98"/>
      <c r="AP248" s="98"/>
      <c r="AQ248" s="98"/>
      <c r="AR248" s="98"/>
      <c r="AS248" s="98"/>
      <c r="AT248" s="98"/>
      <c r="AU248" s="98"/>
      <c r="AV248" s="99"/>
      <c r="AW248" s="97"/>
      <c r="AX248" s="98"/>
      <c r="AY248" s="99"/>
      <c r="AZ248" s="97"/>
      <c r="BA248" s="98"/>
      <c r="BB248" s="98"/>
      <c r="BC248" s="98"/>
      <c r="BD248" s="98"/>
      <c r="BE248" s="98"/>
      <c r="BF248" s="98"/>
      <c r="BG248" s="98"/>
      <c r="BH248" s="98"/>
      <c r="BI248" s="98"/>
      <c r="BJ248" s="99"/>
      <c r="BR248" s="40"/>
      <c r="BS248" s="36" t="str">
        <f>_xlfn.IFNA(VLOOKUP($BR248,[15]Master!$C$4:$J$13,2,FALSE),"-")</f>
        <v>-</v>
      </c>
      <c r="BT248" s="36" t="str">
        <f>_xlfn.IFNA(VLOOKUP($BR248,[15]Master!$C$4:$J$13,3,FALSE),"-")</f>
        <v>-</v>
      </c>
      <c r="BU248" s="36" t="str">
        <f>_xlfn.IFNA(VLOOKUP($BR248,[15]Master!$C$4:$J$13,4,FALSE),"-")</f>
        <v>-</v>
      </c>
      <c r="BV248" s="36" t="str">
        <f>_xlfn.IFNA(VLOOKUP($BR248,[15]Master!$C$4:$J$13,5,FALSE),"-")</f>
        <v>-</v>
      </c>
      <c r="BW248" s="36" t="str">
        <f>_xlfn.IFNA(VLOOKUP($BR248,[15]Master!$C$4:$J$13,6,FALSE),"-")</f>
        <v>-</v>
      </c>
      <c r="BX248" s="36" t="str">
        <f>_xlfn.IFNA(VLOOKUP($BR248,[15]Master!$C$4:$J$13,7,FALSE),"-")</f>
        <v>-</v>
      </c>
      <c r="BY248" s="36" t="str">
        <f>_xlfn.IFNA(VLOOKUP($BR248,[15]Master!$C$4:$J$13,8,FALSE),"-")</f>
        <v>-</v>
      </c>
      <c r="BZ248" s="35">
        <f t="shared" si="5"/>
        <v>0</v>
      </c>
    </row>
    <row r="249" spans="2:78" ht="15.75">
      <c r="B249" s="97"/>
      <c r="C249" s="98" t="s">
        <v>428</v>
      </c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9"/>
      <c r="P249" s="97"/>
      <c r="Q249" s="98"/>
      <c r="R249" s="98"/>
      <c r="S249" s="98"/>
      <c r="T249" s="98"/>
      <c r="U249" s="98"/>
      <c r="V249" s="98"/>
      <c r="W249" s="98"/>
      <c r="X249" s="99"/>
      <c r="Y249" s="97"/>
      <c r="Z249" s="98"/>
      <c r="AA249" s="99"/>
      <c r="AB249" s="97"/>
      <c r="AC249" s="98"/>
      <c r="AD249" s="98"/>
      <c r="AE249" s="98"/>
      <c r="AF249" s="98"/>
      <c r="AG249" s="98"/>
      <c r="AH249" s="98"/>
      <c r="AI249" s="98"/>
      <c r="AJ249" s="99"/>
      <c r="AK249" s="97"/>
      <c r="AL249" s="98"/>
      <c r="AM249" s="99"/>
      <c r="AN249" s="97"/>
      <c r="AO249" s="98"/>
      <c r="AP249" s="98"/>
      <c r="AQ249" s="98"/>
      <c r="AR249" s="98"/>
      <c r="AS249" s="98"/>
      <c r="AT249" s="98"/>
      <c r="AU249" s="98"/>
      <c r="AV249" s="99"/>
      <c r="AW249" s="97"/>
      <c r="AX249" s="98"/>
      <c r="AY249" s="99"/>
      <c r="AZ249" s="97"/>
      <c r="BA249" s="98"/>
      <c r="BB249" s="98"/>
      <c r="BC249" s="98"/>
      <c r="BD249" s="98"/>
      <c r="BE249" s="98"/>
      <c r="BF249" s="98"/>
      <c r="BG249" s="98"/>
      <c r="BH249" s="98"/>
      <c r="BI249" s="98"/>
      <c r="BJ249" s="99"/>
      <c r="BR249" s="40"/>
      <c r="BS249" s="36" t="str">
        <f>_xlfn.IFNA(VLOOKUP($BR249,[15]Master!$C$4:$J$13,2,FALSE),"-")</f>
        <v>-</v>
      </c>
      <c r="BT249" s="36" t="str">
        <f>_xlfn.IFNA(VLOOKUP($BR249,[15]Master!$C$4:$J$13,3,FALSE),"-")</f>
        <v>-</v>
      </c>
      <c r="BU249" s="36" t="str">
        <f>_xlfn.IFNA(VLOOKUP($BR249,[15]Master!$C$4:$J$13,4,FALSE),"-")</f>
        <v>-</v>
      </c>
      <c r="BV249" s="36" t="str">
        <f>_xlfn.IFNA(VLOOKUP($BR249,[15]Master!$C$4:$J$13,5,FALSE),"-")</f>
        <v>-</v>
      </c>
      <c r="BW249" s="36" t="str">
        <f>_xlfn.IFNA(VLOOKUP($BR249,[15]Master!$C$4:$J$13,6,FALSE),"-")</f>
        <v>-</v>
      </c>
      <c r="BX249" s="36" t="str">
        <f>_xlfn.IFNA(VLOOKUP($BR249,[15]Master!$C$4:$J$13,7,FALSE),"-")</f>
        <v>-</v>
      </c>
      <c r="BY249" s="36" t="str">
        <f>_xlfn.IFNA(VLOOKUP($BR249,[15]Master!$C$4:$J$13,8,FALSE),"-")</f>
        <v>-</v>
      </c>
      <c r="BZ249" s="35">
        <f t="shared" si="5"/>
        <v>0</v>
      </c>
    </row>
    <row r="250" spans="2:78" ht="15.75">
      <c r="B250" s="97"/>
      <c r="C250" s="98" t="s">
        <v>429</v>
      </c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9"/>
      <c r="P250" s="97"/>
      <c r="Q250" s="98"/>
      <c r="R250" s="98"/>
      <c r="S250" s="98"/>
      <c r="T250" s="98"/>
      <c r="U250" s="98"/>
      <c r="V250" s="98"/>
      <c r="W250" s="98"/>
      <c r="X250" s="99"/>
      <c r="Y250" s="97"/>
      <c r="Z250" s="98"/>
      <c r="AA250" s="99"/>
      <c r="AB250" s="97"/>
      <c r="AC250" s="98"/>
      <c r="AD250" s="98"/>
      <c r="AE250" s="98"/>
      <c r="AF250" s="98"/>
      <c r="AG250" s="98"/>
      <c r="AH250" s="98"/>
      <c r="AI250" s="98"/>
      <c r="AJ250" s="99"/>
      <c r="AK250" s="97"/>
      <c r="AL250" s="98"/>
      <c r="AM250" s="99"/>
      <c r="AN250" s="97"/>
      <c r="AO250" s="98"/>
      <c r="AP250" s="98"/>
      <c r="AQ250" s="98"/>
      <c r="AR250" s="98"/>
      <c r="AS250" s="98"/>
      <c r="AT250" s="98"/>
      <c r="AU250" s="98"/>
      <c r="AV250" s="99"/>
      <c r="AW250" s="97"/>
      <c r="AX250" s="98"/>
      <c r="AY250" s="99"/>
      <c r="AZ250" s="97"/>
      <c r="BA250" s="98"/>
      <c r="BB250" s="98"/>
      <c r="BC250" s="98"/>
      <c r="BD250" s="98"/>
      <c r="BE250" s="98"/>
      <c r="BF250" s="98"/>
      <c r="BG250" s="98"/>
      <c r="BH250" s="98"/>
      <c r="BI250" s="98"/>
      <c r="BJ250" s="99"/>
      <c r="BR250" s="40"/>
      <c r="BS250" s="36" t="str">
        <f>_xlfn.IFNA(VLOOKUP($BR250,[15]Master!$C$4:$J$13,2,FALSE),"-")</f>
        <v>-</v>
      </c>
      <c r="BT250" s="36" t="str">
        <f>_xlfn.IFNA(VLOOKUP($BR250,[15]Master!$C$4:$J$13,3,FALSE),"-")</f>
        <v>-</v>
      </c>
      <c r="BU250" s="36" t="str">
        <f>_xlfn.IFNA(VLOOKUP($BR250,[15]Master!$C$4:$J$13,4,FALSE),"-")</f>
        <v>-</v>
      </c>
      <c r="BV250" s="36" t="str">
        <f>_xlfn.IFNA(VLOOKUP($BR250,[15]Master!$C$4:$J$13,5,FALSE),"-")</f>
        <v>-</v>
      </c>
      <c r="BW250" s="36" t="str">
        <f>_xlfn.IFNA(VLOOKUP($BR250,[15]Master!$C$4:$J$13,6,FALSE),"-")</f>
        <v>-</v>
      </c>
      <c r="BX250" s="36" t="str">
        <f>_xlfn.IFNA(VLOOKUP($BR250,[15]Master!$C$4:$J$13,7,FALSE),"-")</f>
        <v>-</v>
      </c>
      <c r="BY250" s="36" t="str">
        <f>_xlfn.IFNA(VLOOKUP($BR250,[15]Master!$C$4:$J$13,8,FALSE),"-")</f>
        <v>-</v>
      </c>
      <c r="BZ250" s="35">
        <f t="shared" si="5"/>
        <v>0</v>
      </c>
    </row>
    <row r="251" spans="2:78" ht="15.75">
      <c r="B251" s="97"/>
      <c r="C251" s="98" t="s">
        <v>430</v>
      </c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9"/>
      <c r="P251" s="97"/>
      <c r="Q251" s="98"/>
      <c r="R251" s="98"/>
      <c r="S251" s="98"/>
      <c r="T251" s="98"/>
      <c r="U251" s="98"/>
      <c r="V251" s="98"/>
      <c r="W251" s="98"/>
      <c r="X251" s="99"/>
      <c r="Y251" s="97"/>
      <c r="Z251" s="98"/>
      <c r="AA251" s="99"/>
      <c r="AB251" s="97"/>
      <c r="AC251" s="98"/>
      <c r="AD251" s="98"/>
      <c r="AE251" s="98"/>
      <c r="AF251" s="98"/>
      <c r="AG251" s="98"/>
      <c r="AH251" s="98"/>
      <c r="AI251" s="98"/>
      <c r="AJ251" s="99"/>
      <c r="AK251" s="97"/>
      <c r="AL251" s="98"/>
      <c r="AM251" s="99"/>
      <c r="AN251" s="97"/>
      <c r="AO251" s="98"/>
      <c r="AP251" s="98"/>
      <c r="AQ251" s="98"/>
      <c r="AR251" s="98"/>
      <c r="AS251" s="98"/>
      <c r="AT251" s="98"/>
      <c r="AU251" s="98"/>
      <c r="AV251" s="99"/>
      <c r="AW251" s="97"/>
      <c r="AX251" s="98"/>
      <c r="AY251" s="99"/>
      <c r="AZ251" s="97"/>
      <c r="BA251" s="98"/>
      <c r="BB251" s="98"/>
      <c r="BC251" s="98"/>
      <c r="BD251" s="98"/>
      <c r="BE251" s="98"/>
      <c r="BF251" s="98"/>
      <c r="BG251" s="98"/>
      <c r="BH251" s="98"/>
      <c r="BI251" s="98"/>
      <c r="BJ251" s="99"/>
      <c r="BR251" s="40"/>
      <c r="BS251" s="36" t="str">
        <f>_xlfn.IFNA(VLOOKUP($BR251,[15]Master!$C$4:$J$13,2,FALSE),"-")</f>
        <v>-</v>
      </c>
      <c r="BT251" s="36" t="str">
        <f>_xlfn.IFNA(VLOOKUP($BR251,[15]Master!$C$4:$J$13,3,FALSE),"-")</f>
        <v>-</v>
      </c>
      <c r="BU251" s="36" t="str">
        <f>_xlfn.IFNA(VLOOKUP($BR251,[15]Master!$C$4:$J$13,4,FALSE),"-")</f>
        <v>-</v>
      </c>
      <c r="BV251" s="36" t="str">
        <f>_xlfn.IFNA(VLOOKUP($BR251,[15]Master!$C$4:$J$13,5,FALSE),"-")</f>
        <v>-</v>
      </c>
      <c r="BW251" s="36" t="str">
        <f>_xlfn.IFNA(VLOOKUP($BR251,[15]Master!$C$4:$J$13,6,FALSE),"-")</f>
        <v>-</v>
      </c>
      <c r="BX251" s="36" t="str">
        <f>_xlfn.IFNA(VLOOKUP($BR251,[15]Master!$C$4:$J$13,7,FALSE),"-")</f>
        <v>-</v>
      </c>
      <c r="BY251" s="36" t="str">
        <f>_xlfn.IFNA(VLOOKUP($BR251,[15]Master!$C$4:$J$13,8,FALSE),"-")</f>
        <v>-</v>
      </c>
      <c r="BZ251" s="35">
        <f t="shared" si="5"/>
        <v>0</v>
      </c>
    </row>
    <row r="252" spans="2:78" ht="15.75">
      <c r="B252" s="97"/>
      <c r="C252" s="98" t="s">
        <v>431</v>
      </c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9"/>
      <c r="P252" s="97"/>
      <c r="Q252" s="98"/>
      <c r="R252" s="98"/>
      <c r="S252" s="98"/>
      <c r="T252" s="98"/>
      <c r="U252" s="98"/>
      <c r="V252" s="98"/>
      <c r="W252" s="98"/>
      <c r="X252" s="99"/>
      <c r="Y252" s="97"/>
      <c r="Z252" s="98"/>
      <c r="AA252" s="99"/>
      <c r="AB252" s="97"/>
      <c r="AC252" s="98"/>
      <c r="AD252" s="98"/>
      <c r="AE252" s="98"/>
      <c r="AF252" s="98"/>
      <c r="AG252" s="98"/>
      <c r="AH252" s="98"/>
      <c r="AI252" s="98"/>
      <c r="AJ252" s="99"/>
      <c r="AK252" s="97"/>
      <c r="AL252" s="98"/>
      <c r="AM252" s="99"/>
      <c r="AN252" s="97"/>
      <c r="AO252" s="98"/>
      <c r="AP252" s="98"/>
      <c r="AQ252" s="98"/>
      <c r="AR252" s="98"/>
      <c r="AS252" s="98"/>
      <c r="AT252" s="98"/>
      <c r="AU252" s="98"/>
      <c r="AV252" s="99"/>
      <c r="AW252" s="97"/>
      <c r="AX252" s="98"/>
      <c r="AY252" s="99"/>
      <c r="AZ252" s="97"/>
      <c r="BA252" s="98"/>
      <c r="BB252" s="98"/>
      <c r="BC252" s="98"/>
      <c r="BD252" s="98"/>
      <c r="BE252" s="98"/>
      <c r="BF252" s="98"/>
      <c r="BG252" s="98"/>
      <c r="BH252" s="98"/>
      <c r="BI252" s="98"/>
      <c r="BJ252" s="99"/>
      <c r="BR252" s="40"/>
      <c r="BS252" s="36" t="str">
        <f>_xlfn.IFNA(VLOOKUP($BR252,[15]Master!$C$4:$J$13,2,FALSE),"-")</f>
        <v>-</v>
      </c>
      <c r="BT252" s="36" t="str">
        <f>_xlfn.IFNA(VLOOKUP($BR252,[15]Master!$C$4:$J$13,3,FALSE),"-")</f>
        <v>-</v>
      </c>
      <c r="BU252" s="36" t="str">
        <f>_xlfn.IFNA(VLOOKUP($BR252,[15]Master!$C$4:$J$13,4,FALSE),"-")</f>
        <v>-</v>
      </c>
      <c r="BV252" s="36" t="str">
        <f>_xlfn.IFNA(VLOOKUP($BR252,[15]Master!$C$4:$J$13,5,FALSE),"-")</f>
        <v>-</v>
      </c>
      <c r="BW252" s="36" t="str">
        <f>_xlfn.IFNA(VLOOKUP($BR252,[15]Master!$C$4:$J$13,6,FALSE),"-")</f>
        <v>-</v>
      </c>
      <c r="BX252" s="36" t="str">
        <f>_xlfn.IFNA(VLOOKUP($BR252,[15]Master!$C$4:$J$13,7,FALSE),"-")</f>
        <v>-</v>
      </c>
      <c r="BY252" s="36" t="str">
        <f>_xlfn.IFNA(VLOOKUP($BR252,[15]Master!$C$4:$J$13,8,FALSE),"-")</f>
        <v>-</v>
      </c>
      <c r="BZ252" s="35">
        <f t="shared" si="5"/>
        <v>0</v>
      </c>
    </row>
    <row r="253" spans="2:78" ht="15.75">
      <c r="B253" s="97"/>
      <c r="C253" s="98" t="s">
        <v>432</v>
      </c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9"/>
      <c r="P253" s="97"/>
      <c r="Q253" s="98"/>
      <c r="R253" s="98"/>
      <c r="S253" s="98"/>
      <c r="T253" s="98"/>
      <c r="U253" s="98"/>
      <c r="V253" s="98"/>
      <c r="W253" s="98"/>
      <c r="X253" s="99"/>
      <c r="Y253" s="97"/>
      <c r="Z253" s="98"/>
      <c r="AA253" s="99"/>
      <c r="AB253" s="97"/>
      <c r="AC253" s="98"/>
      <c r="AD253" s="98"/>
      <c r="AE253" s="98"/>
      <c r="AF253" s="98"/>
      <c r="AG253" s="98"/>
      <c r="AH253" s="98"/>
      <c r="AI253" s="98"/>
      <c r="AJ253" s="99"/>
      <c r="AK253" s="97"/>
      <c r="AL253" s="98"/>
      <c r="AM253" s="99"/>
      <c r="AN253" s="97"/>
      <c r="AO253" s="98"/>
      <c r="AP253" s="98"/>
      <c r="AQ253" s="98"/>
      <c r="AR253" s="98"/>
      <c r="AS253" s="98"/>
      <c r="AT253" s="98"/>
      <c r="AU253" s="98"/>
      <c r="AV253" s="99"/>
      <c r="AW253" s="97"/>
      <c r="AX253" s="98"/>
      <c r="AY253" s="99"/>
      <c r="AZ253" s="97"/>
      <c r="BA253" s="98"/>
      <c r="BB253" s="98"/>
      <c r="BC253" s="98"/>
      <c r="BD253" s="98"/>
      <c r="BE253" s="98"/>
      <c r="BF253" s="98"/>
      <c r="BG253" s="98"/>
      <c r="BH253" s="98"/>
      <c r="BI253" s="98"/>
      <c r="BJ253" s="99"/>
      <c r="BR253" s="40"/>
      <c r="BS253" s="36" t="str">
        <f>_xlfn.IFNA(VLOOKUP($BR253,[15]Master!$C$4:$J$13,2,FALSE),"-")</f>
        <v>-</v>
      </c>
      <c r="BT253" s="36" t="str">
        <f>_xlfn.IFNA(VLOOKUP($BR253,[15]Master!$C$4:$J$13,3,FALSE),"-")</f>
        <v>-</v>
      </c>
      <c r="BU253" s="36" t="str">
        <f>_xlfn.IFNA(VLOOKUP($BR253,[15]Master!$C$4:$J$13,4,FALSE),"-")</f>
        <v>-</v>
      </c>
      <c r="BV253" s="36" t="str">
        <f>_xlfn.IFNA(VLOOKUP($BR253,[15]Master!$C$4:$J$13,5,FALSE),"-")</f>
        <v>-</v>
      </c>
      <c r="BW253" s="36" t="str">
        <f>_xlfn.IFNA(VLOOKUP($BR253,[15]Master!$C$4:$J$13,6,FALSE),"-")</f>
        <v>-</v>
      </c>
      <c r="BX253" s="36" t="str">
        <f>_xlfn.IFNA(VLOOKUP($BR253,[15]Master!$C$4:$J$13,7,FALSE),"-")</f>
        <v>-</v>
      </c>
      <c r="BY253" s="36" t="str">
        <f>_xlfn.IFNA(VLOOKUP($BR253,[15]Master!$C$4:$J$13,8,FALSE),"-")</f>
        <v>-</v>
      </c>
      <c r="BZ253" s="35">
        <f t="shared" si="5"/>
        <v>0</v>
      </c>
    </row>
    <row r="254" spans="2:78" ht="15.75">
      <c r="B254" s="97"/>
      <c r="C254" s="98" t="s">
        <v>433</v>
      </c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9"/>
      <c r="P254" s="97"/>
      <c r="Q254" s="98"/>
      <c r="R254" s="98"/>
      <c r="S254" s="98"/>
      <c r="T254" s="98"/>
      <c r="U254" s="98"/>
      <c r="V254" s="98"/>
      <c r="W254" s="98"/>
      <c r="X254" s="99"/>
      <c r="Y254" s="97"/>
      <c r="Z254" s="98"/>
      <c r="AA254" s="99"/>
      <c r="AB254" s="97"/>
      <c r="AC254" s="98"/>
      <c r="AD254" s="98"/>
      <c r="AE254" s="98"/>
      <c r="AF254" s="98"/>
      <c r="AG254" s="98"/>
      <c r="AH254" s="98"/>
      <c r="AI254" s="98"/>
      <c r="AJ254" s="99"/>
      <c r="AK254" s="97"/>
      <c r="AL254" s="98"/>
      <c r="AM254" s="99"/>
      <c r="AN254" s="97"/>
      <c r="AO254" s="98"/>
      <c r="AP254" s="98"/>
      <c r="AQ254" s="98"/>
      <c r="AR254" s="98"/>
      <c r="AS254" s="98"/>
      <c r="AT254" s="98"/>
      <c r="AU254" s="98"/>
      <c r="AV254" s="99"/>
      <c r="AW254" s="97"/>
      <c r="AX254" s="98"/>
      <c r="AY254" s="99"/>
      <c r="AZ254" s="97"/>
      <c r="BA254" s="98"/>
      <c r="BB254" s="98"/>
      <c r="BC254" s="98"/>
      <c r="BD254" s="98"/>
      <c r="BE254" s="98"/>
      <c r="BF254" s="98"/>
      <c r="BG254" s="98"/>
      <c r="BH254" s="98"/>
      <c r="BI254" s="98"/>
      <c r="BJ254" s="99"/>
      <c r="BR254" s="40"/>
      <c r="BS254" s="36" t="str">
        <f>_xlfn.IFNA(VLOOKUP($BR254,[15]Master!$C$4:$J$13,2,FALSE),"-")</f>
        <v>-</v>
      </c>
      <c r="BT254" s="36" t="str">
        <f>_xlfn.IFNA(VLOOKUP($BR254,[15]Master!$C$4:$J$13,3,FALSE),"-")</f>
        <v>-</v>
      </c>
      <c r="BU254" s="36" t="str">
        <f>_xlfn.IFNA(VLOOKUP($BR254,[15]Master!$C$4:$J$13,4,FALSE),"-")</f>
        <v>-</v>
      </c>
      <c r="BV254" s="36" t="str">
        <f>_xlfn.IFNA(VLOOKUP($BR254,[15]Master!$C$4:$J$13,5,FALSE),"-")</f>
        <v>-</v>
      </c>
      <c r="BW254" s="36" t="str">
        <f>_xlfn.IFNA(VLOOKUP($BR254,[15]Master!$C$4:$J$13,6,FALSE),"-")</f>
        <v>-</v>
      </c>
      <c r="BX254" s="36" t="str">
        <f>_xlfn.IFNA(VLOOKUP($BR254,[15]Master!$C$4:$J$13,7,FALSE),"-")</f>
        <v>-</v>
      </c>
      <c r="BY254" s="36" t="str">
        <f>_xlfn.IFNA(VLOOKUP($BR254,[15]Master!$C$4:$J$13,8,FALSE),"-")</f>
        <v>-</v>
      </c>
      <c r="BZ254" s="35">
        <f t="shared" si="5"/>
        <v>0</v>
      </c>
    </row>
    <row r="255" spans="2:78" ht="15.75">
      <c r="B255" s="97"/>
      <c r="C255" s="98" t="s">
        <v>434</v>
      </c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9"/>
      <c r="P255" s="97"/>
      <c r="Q255" s="98"/>
      <c r="R255" s="98"/>
      <c r="S255" s="98"/>
      <c r="T255" s="98"/>
      <c r="U255" s="98"/>
      <c r="V255" s="98"/>
      <c r="W255" s="98"/>
      <c r="X255" s="99"/>
      <c r="Y255" s="97"/>
      <c r="Z255" s="98"/>
      <c r="AA255" s="99"/>
      <c r="AB255" s="97"/>
      <c r="AC255" s="98"/>
      <c r="AD255" s="98"/>
      <c r="AE255" s="98"/>
      <c r="AF255" s="98"/>
      <c r="AG255" s="98"/>
      <c r="AH255" s="98"/>
      <c r="AI255" s="98"/>
      <c r="AJ255" s="99"/>
      <c r="AK255" s="97"/>
      <c r="AL255" s="98"/>
      <c r="AM255" s="99"/>
      <c r="AN255" s="97"/>
      <c r="AO255" s="98"/>
      <c r="AP255" s="98"/>
      <c r="AQ255" s="98"/>
      <c r="AR255" s="98"/>
      <c r="AS255" s="98"/>
      <c r="AT255" s="98"/>
      <c r="AU255" s="98"/>
      <c r="AV255" s="99"/>
      <c r="AW255" s="97"/>
      <c r="AX255" s="98"/>
      <c r="AY255" s="99"/>
      <c r="AZ255" s="97"/>
      <c r="BA255" s="98"/>
      <c r="BB255" s="98"/>
      <c r="BC255" s="98"/>
      <c r="BD255" s="98"/>
      <c r="BE255" s="98"/>
      <c r="BF255" s="98"/>
      <c r="BG255" s="98"/>
      <c r="BH255" s="98"/>
      <c r="BI255" s="98"/>
      <c r="BJ255" s="99"/>
      <c r="BR255" s="40"/>
      <c r="BS255" s="36" t="str">
        <f>_xlfn.IFNA(VLOOKUP($BR255,[15]Master!$C$4:$J$13,2,FALSE),"-")</f>
        <v>-</v>
      </c>
      <c r="BT255" s="36" t="str">
        <f>_xlfn.IFNA(VLOOKUP($BR255,[15]Master!$C$4:$J$13,3,FALSE),"-")</f>
        <v>-</v>
      </c>
      <c r="BU255" s="36" t="str">
        <f>_xlfn.IFNA(VLOOKUP($BR255,[15]Master!$C$4:$J$13,4,FALSE),"-")</f>
        <v>-</v>
      </c>
      <c r="BV255" s="36" t="str">
        <f>_xlfn.IFNA(VLOOKUP($BR255,[15]Master!$C$4:$J$13,5,FALSE),"-")</f>
        <v>-</v>
      </c>
      <c r="BW255" s="36" t="str">
        <f>_xlfn.IFNA(VLOOKUP($BR255,[15]Master!$C$4:$J$13,6,FALSE),"-")</f>
        <v>-</v>
      </c>
      <c r="BX255" s="36" t="str">
        <f>_xlfn.IFNA(VLOOKUP($BR255,[15]Master!$C$4:$J$13,7,FALSE),"-")</f>
        <v>-</v>
      </c>
      <c r="BY255" s="36" t="str">
        <f>_xlfn.IFNA(VLOOKUP($BR255,[15]Master!$C$4:$J$13,8,FALSE),"-")</f>
        <v>-</v>
      </c>
      <c r="BZ255" s="35">
        <f t="shared" si="5"/>
        <v>0</v>
      </c>
    </row>
    <row r="256" spans="2:78" ht="15.75">
      <c r="B256" s="97"/>
      <c r="C256" s="98" t="s">
        <v>435</v>
      </c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9"/>
      <c r="P256" s="97"/>
      <c r="Q256" s="98"/>
      <c r="R256" s="98"/>
      <c r="S256" s="98"/>
      <c r="T256" s="98"/>
      <c r="U256" s="98"/>
      <c r="V256" s="98"/>
      <c r="W256" s="98"/>
      <c r="X256" s="99"/>
      <c r="Y256" s="97"/>
      <c r="Z256" s="98"/>
      <c r="AA256" s="99"/>
      <c r="AB256" s="97"/>
      <c r="AC256" s="98"/>
      <c r="AD256" s="98"/>
      <c r="AE256" s="98"/>
      <c r="AF256" s="98"/>
      <c r="AG256" s="98"/>
      <c r="AH256" s="98"/>
      <c r="AI256" s="98"/>
      <c r="AJ256" s="99"/>
      <c r="AK256" s="97"/>
      <c r="AL256" s="98"/>
      <c r="AM256" s="99"/>
      <c r="AN256" s="97"/>
      <c r="AO256" s="98"/>
      <c r="AP256" s="98"/>
      <c r="AQ256" s="98"/>
      <c r="AR256" s="98"/>
      <c r="AS256" s="98"/>
      <c r="AT256" s="98"/>
      <c r="AU256" s="98"/>
      <c r="AV256" s="99"/>
      <c r="AW256" s="97"/>
      <c r="AX256" s="98"/>
      <c r="AY256" s="99"/>
      <c r="AZ256" s="97"/>
      <c r="BA256" s="98"/>
      <c r="BB256" s="98"/>
      <c r="BC256" s="98"/>
      <c r="BD256" s="98"/>
      <c r="BE256" s="98"/>
      <c r="BF256" s="98"/>
      <c r="BG256" s="98"/>
      <c r="BH256" s="98"/>
      <c r="BI256" s="98"/>
      <c r="BJ256" s="99"/>
      <c r="BR256" s="40"/>
      <c r="BS256" s="36" t="str">
        <f>_xlfn.IFNA(VLOOKUP($BR256,[15]Master!$C$4:$J$13,2,FALSE),"-")</f>
        <v>-</v>
      </c>
      <c r="BT256" s="36" t="str">
        <f>_xlfn.IFNA(VLOOKUP($BR256,[15]Master!$C$4:$J$13,3,FALSE),"-")</f>
        <v>-</v>
      </c>
      <c r="BU256" s="36" t="str">
        <f>_xlfn.IFNA(VLOOKUP($BR256,[15]Master!$C$4:$J$13,4,FALSE),"-")</f>
        <v>-</v>
      </c>
      <c r="BV256" s="36" t="str">
        <f>_xlfn.IFNA(VLOOKUP($BR256,[15]Master!$C$4:$J$13,5,FALSE),"-")</f>
        <v>-</v>
      </c>
      <c r="BW256" s="36" t="str">
        <f>_xlfn.IFNA(VLOOKUP($BR256,[15]Master!$C$4:$J$13,6,FALSE),"-")</f>
        <v>-</v>
      </c>
      <c r="BX256" s="36" t="str">
        <f>_xlfn.IFNA(VLOOKUP($BR256,[15]Master!$C$4:$J$13,7,FALSE),"-")</f>
        <v>-</v>
      </c>
      <c r="BY256" s="36" t="str">
        <f>_xlfn.IFNA(VLOOKUP($BR256,[15]Master!$C$4:$J$13,8,FALSE),"-")</f>
        <v>-</v>
      </c>
      <c r="BZ256" s="35">
        <f t="shared" si="5"/>
        <v>0</v>
      </c>
    </row>
    <row r="257" spans="2:78" ht="15.75">
      <c r="B257" s="97"/>
      <c r="C257" s="98" t="s">
        <v>436</v>
      </c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9"/>
      <c r="P257" s="97"/>
      <c r="Q257" s="98"/>
      <c r="R257" s="98"/>
      <c r="S257" s="98"/>
      <c r="T257" s="98"/>
      <c r="U257" s="98"/>
      <c r="V257" s="98"/>
      <c r="W257" s="98"/>
      <c r="X257" s="99"/>
      <c r="Y257" s="97"/>
      <c r="Z257" s="98"/>
      <c r="AA257" s="99"/>
      <c r="AB257" s="97"/>
      <c r="AC257" s="98"/>
      <c r="AD257" s="98"/>
      <c r="AE257" s="98"/>
      <c r="AF257" s="98"/>
      <c r="AG257" s="98"/>
      <c r="AH257" s="98"/>
      <c r="AI257" s="98"/>
      <c r="AJ257" s="99"/>
      <c r="AK257" s="97"/>
      <c r="AL257" s="98"/>
      <c r="AM257" s="99"/>
      <c r="AN257" s="97"/>
      <c r="AO257" s="98"/>
      <c r="AP257" s="98"/>
      <c r="AQ257" s="98"/>
      <c r="AR257" s="98"/>
      <c r="AS257" s="98"/>
      <c r="AT257" s="98"/>
      <c r="AU257" s="98"/>
      <c r="AV257" s="99"/>
      <c r="AW257" s="97"/>
      <c r="AX257" s="98"/>
      <c r="AY257" s="99"/>
      <c r="AZ257" s="97"/>
      <c r="BA257" s="98"/>
      <c r="BB257" s="98"/>
      <c r="BC257" s="98"/>
      <c r="BD257" s="98"/>
      <c r="BE257" s="98"/>
      <c r="BF257" s="98"/>
      <c r="BG257" s="98"/>
      <c r="BH257" s="98"/>
      <c r="BI257" s="98"/>
      <c r="BJ257" s="99"/>
      <c r="BR257" s="40"/>
      <c r="BS257" s="36" t="str">
        <f>_xlfn.IFNA(VLOOKUP($BR257,[15]Master!$C$4:$J$13,2,FALSE),"-")</f>
        <v>-</v>
      </c>
      <c r="BT257" s="36" t="str">
        <f>_xlfn.IFNA(VLOOKUP($BR257,[15]Master!$C$4:$J$13,3,FALSE),"-")</f>
        <v>-</v>
      </c>
      <c r="BU257" s="36" t="str">
        <f>_xlfn.IFNA(VLOOKUP($BR257,[15]Master!$C$4:$J$13,4,FALSE),"-")</f>
        <v>-</v>
      </c>
      <c r="BV257" s="36" t="str">
        <f>_xlfn.IFNA(VLOOKUP($BR257,[15]Master!$C$4:$J$13,5,FALSE),"-")</f>
        <v>-</v>
      </c>
      <c r="BW257" s="36" t="str">
        <f>_xlfn.IFNA(VLOOKUP($BR257,[15]Master!$C$4:$J$13,6,FALSE),"-")</f>
        <v>-</v>
      </c>
      <c r="BX257" s="36" t="str">
        <f>_xlfn.IFNA(VLOOKUP($BR257,[15]Master!$C$4:$J$13,7,FALSE),"-")</f>
        <v>-</v>
      </c>
      <c r="BY257" s="36" t="str">
        <f>_xlfn.IFNA(VLOOKUP($BR257,[15]Master!$C$4:$J$13,8,FALSE),"-")</f>
        <v>-</v>
      </c>
      <c r="BZ257" s="35">
        <f t="shared" si="5"/>
        <v>0</v>
      </c>
    </row>
    <row r="258" spans="2:78" ht="15.75">
      <c r="B258" s="97"/>
      <c r="C258" s="98" t="s">
        <v>437</v>
      </c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9"/>
      <c r="P258" s="97"/>
      <c r="Q258" s="98"/>
      <c r="R258" s="98"/>
      <c r="S258" s="98"/>
      <c r="T258" s="98"/>
      <c r="U258" s="98"/>
      <c r="V258" s="98"/>
      <c r="W258" s="98"/>
      <c r="X258" s="99"/>
      <c r="Y258" s="97"/>
      <c r="Z258" s="98"/>
      <c r="AA258" s="99"/>
      <c r="AB258" s="97"/>
      <c r="AC258" s="98"/>
      <c r="AD258" s="98"/>
      <c r="AE258" s="98"/>
      <c r="AF258" s="98"/>
      <c r="AG258" s="98"/>
      <c r="AH258" s="98"/>
      <c r="AI258" s="98"/>
      <c r="AJ258" s="99"/>
      <c r="AK258" s="97"/>
      <c r="AL258" s="98"/>
      <c r="AM258" s="99"/>
      <c r="AN258" s="97"/>
      <c r="AO258" s="98"/>
      <c r="AP258" s="98"/>
      <c r="AQ258" s="98"/>
      <c r="AR258" s="98"/>
      <c r="AS258" s="98"/>
      <c r="AT258" s="98"/>
      <c r="AU258" s="98"/>
      <c r="AV258" s="99"/>
      <c r="AW258" s="97"/>
      <c r="AX258" s="98"/>
      <c r="AY258" s="99"/>
      <c r="AZ258" s="97"/>
      <c r="BA258" s="98"/>
      <c r="BB258" s="98"/>
      <c r="BC258" s="98"/>
      <c r="BD258" s="98"/>
      <c r="BE258" s="98"/>
      <c r="BF258" s="98"/>
      <c r="BG258" s="98"/>
      <c r="BH258" s="98"/>
      <c r="BI258" s="98"/>
      <c r="BJ258" s="99"/>
      <c r="BR258" s="40"/>
      <c r="BS258" s="36" t="str">
        <f>_xlfn.IFNA(VLOOKUP($BR258,[15]Master!$C$4:$J$13,2,FALSE),"-")</f>
        <v>-</v>
      </c>
      <c r="BT258" s="36" t="str">
        <f>_xlfn.IFNA(VLOOKUP($BR258,[15]Master!$C$4:$J$13,3,FALSE),"-")</f>
        <v>-</v>
      </c>
      <c r="BU258" s="36" t="str">
        <f>_xlfn.IFNA(VLOOKUP($BR258,[15]Master!$C$4:$J$13,4,FALSE),"-")</f>
        <v>-</v>
      </c>
      <c r="BV258" s="36" t="str">
        <f>_xlfn.IFNA(VLOOKUP($BR258,[15]Master!$C$4:$J$13,5,FALSE),"-")</f>
        <v>-</v>
      </c>
      <c r="BW258" s="36" t="str">
        <f>_xlfn.IFNA(VLOOKUP($BR258,[15]Master!$C$4:$J$13,6,FALSE),"-")</f>
        <v>-</v>
      </c>
      <c r="BX258" s="36" t="str">
        <f>_xlfn.IFNA(VLOOKUP($BR258,[15]Master!$C$4:$J$13,7,FALSE),"-")</f>
        <v>-</v>
      </c>
      <c r="BY258" s="36" t="str">
        <f>_xlfn.IFNA(VLOOKUP($BR258,[15]Master!$C$4:$J$13,8,FALSE),"-")</f>
        <v>-</v>
      </c>
      <c r="BZ258" s="35">
        <f t="shared" si="5"/>
        <v>0</v>
      </c>
    </row>
    <row r="259" spans="2:78" ht="15.75">
      <c r="B259" s="97"/>
      <c r="C259" s="98" t="s">
        <v>438</v>
      </c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9"/>
      <c r="P259" s="97"/>
      <c r="Q259" s="98"/>
      <c r="R259" s="98"/>
      <c r="S259" s="98"/>
      <c r="T259" s="98"/>
      <c r="U259" s="98"/>
      <c r="V259" s="98"/>
      <c r="W259" s="98"/>
      <c r="X259" s="99"/>
      <c r="Y259" s="97"/>
      <c r="Z259" s="98"/>
      <c r="AA259" s="99"/>
      <c r="AB259" s="97"/>
      <c r="AC259" s="98"/>
      <c r="AD259" s="98"/>
      <c r="AE259" s="98"/>
      <c r="AF259" s="98"/>
      <c r="AG259" s="98"/>
      <c r="AH259" s="98"/>
      <c r="AI259" s="98"/>
      <c r="AJ259" s="99"/>
      <c r="AK259" s="97"/>
      <c r="AL259" s="98"/>
      <c r="AM259" s="99"/>
      <c r="AN259" s="97"/>
      <c r="AO259" s="98"/>
      <c r="AP259" s="98"/>
      <c r="AQ259" s="98"/>
      <c r="AR259" s="98"/>
      <c r="AS259" s="98"/>
      <c r="AT259" s="98"/>
      <c r="AU259" s="98"/>
      <c r="AV259" s="99"/>
      <c r="AW259" s="97"/>
      <c r="AX259" s="98"/>
      <c r="AY259" s="99"/>
      <c r="AZ259" s="97"/>
      <c r="BA259" s="98"/>
      <c r="BB259" s="98"/>
      <c r="BC259" s="98"/>
      <c r="BD259" s="98"/>
      <c r="BE259" s="98"/>
      <c r="BF259" s="98"/>
      <c r="BG259" s="98"/>
      <c r="BH259" s="98"/>
      <c r="BI259" s="98"/>
      <c r="BJ259" s="99"/>
      <c r="BR259" s="40"/>
      <c r="BS259" s="36" t="str">
        <f>_xlfn.IFNA(VLOOKUP($BR259,[15]Master!$C$4:$J$13,2,FALSE),"-")</f>
        <v>-</v>
      </c>
      <c r="BT259" s="36" t="str">
        <f>_xlfn.IFNA(VLOOKUP($BR259,[15]Master!$C$4:$J$13,3,FALSE),"-")</f>
        <v>-</v>
      </c>
      <c r="BU259" s="36" t="str">
        <f>_xlfn.IFNA(VLOOKUP($BR259,[15]Master!$C$4:$J$13,4,FALSE),"-")</f>
        <v>-</v>
      </c>
      <c r="BV259" s="36" t="str">
        <f>_xlfn.IFNA(VLOOKUP($BR259,[15]Master!$C$4:$J$13,5,FALSE),"-")</f>
        <v>-</v>
      </c>
      <c r="BW259" s="36" t="str">
        <f>_xlfn.IFNA(VLOOKUP($BR259,[15]Master!$C$4:$J$13,6,FALSE),"-")</f>
        <v>-</v>
      </c>
      <c r="BX259" s="36" t="str">
        <f>_xlfn.IFNA(VLOOKUP($BR259,[15]Master!$C$4:$J$13,7,FALSE),"-")</f>
        <v>-</v>
      </c>
      <c r="BY259" s="36" t="str">
        <f>_xlfn.IFNA(VLOOKUP($BR259,[15]Master!$C$4:$J$13,8,FALSE),"-")</f>
        <v>-</v>
      </c>
      <c r="BZ259" s="35">
        <f t="shared" si="5"/>
        <v>0</v>
      </c>
    </row>
    <row r="260" spans="2:78" ht="15.75">
      <c r="B260" s="97"/>
      <c r="C260" s="98" t="s">
        <v>439</v>
      </c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9"/>
      <c r="P260" s="97"/>
      <c r="Q260" s="98"/>
      <c r="R260" s="98"/>
      <c r="S260" s="98"/>
      <c r="T260" s="98"/>
      <c r="U260" s="98"/>
      <c r="V260" s="98"/>
      <c r="W260" s="98"/>
      <c r="X260" s="99"/>
      <c r="Y260" s="97"/>
      <c r="Z260" s="98"/>
      <c r="AA260" s="99"/>
      <c r="AB260" s="97"/>
      <c r="AC260" s="98"/>
      <c r="AD260" s="98"/>
      <c r="AE260" s="98"/>
      <c r="AF260" s="98"/>
      <c r="AG260" s="98"/>
      <c r="AH260" s="98"/>
      <c r="AI260" s="98"/>
      <c r="AJ260" s="99"/>
      <c r="AK260" s="97"/>
      <c r="AL260" s="98"/>
      <c r="AM260" s="99"/>
      <c r="AN260" s="97"/>
      <c r="AO260" s="98"/>
      <c r="AP260" s="98"/>
      <c r="AQ260" s="98"/>
      <c r="AR260" s="98"/>
      <c r="AS260" s="98"/>
      <c r="AT260" s="98"/>
      <c r="AU260" s="98"/>
      <c r="AV260" s="99"/>
      <c r="AW260" s="97"/>
      <c r="AX260" s="98"/>
      <c r="AY260" s="99"/>
      <c r="AZ260" s="97"/>
      <c r="BA260" s="98"/>
      <c r="BB260" s="98"/>
      <c r="BC260" s="98"/>
      <c r="BD260" s="98"/>
      <c r="BE260" s="98"/>
      <c r="BF260" s="98"/>
      <c r="BG260" s="98"/>
      <c r="BH260" s="98"/>
      <c r="BI260" s="98"/>
      <c r="BJ260" s="99"/>
      <c r="BR260" s="40"/>
      <c r="BS260" s="36" t="str">
        <f>_xlfn.IFNA(VLOOKUP($BR260,[15]Master!$C$4:$J$13,2,FALSE),"-")</f>
        <v>-</v>
      </c>
      <c r="BT260" s="36" t="str">
        <f>_xlfn.IFNA(VLOOKUP($BR260,[15]Master!$C$4:$J$13,3,FALSE),"-")</f>
        <v>-</v>
      </c>
      <c r="BU260" s="36" t="str">
        <f>_xlfn.IFNA(VLOOKUP($BR260,[15]Master!$C$4:$J$13,4,FALSE),"-")</f>
        <v>-</v>
      </c>
      <c r="BV260" s="36" t="str">
        <f>_xlfn.IFNA(VLOOKUP($BR260,[15]Master!$C$4:$J$13,5,FALSE),"-")</f>
        <v>-</v>
      </c>
      <c r="BW260" s="36" t="str">
        <f>_xlfn.IFNA(VLOOKUP($BR260,[15]Master!$C$4:$J$13,6,FALSE),"-")</f>
        <v>-</v>
      </c>
      <c r="BX260" s="36" t="str">
        <f>_xlfn.IFNA(VLOOKUP($BR260,[15]Master!$C$4:$J$13,7,FALSE),"-")</f>
        <v>-</v>
      </c>
      <c r="BY260" s="36" t="str">
        <f>_xlfn.IFNA(VLOOKUP($BR260,[15]Master!$C$4:$J$13,8,FALSE),"-")</f>
        <v>-</v>
      </c>
      <c r="BZ260" s="35">
        <f t="shared" si="5"/>
        <v>0</v>
      </c>
    </row>
    <row r="261" spans="2:78" ht="15.75">
      <c r="B261" s="97"/>
      <c r="C261" s="98" t="s">
        <v>450</v>
      </c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9"/>
      <c r="P261" s="97"/>
      <c r="Q261" s="98"/>
      <c r="R261" s="98"/>
      <c r="S261" s="98"/>
      <c r="T261" s="98"/>
      <c r="U261" s="98"/>
      <c r="V261" s="98"/>
      <c r="W261" s="98"/>
      <c r="X261" s="99"/>
      <c r="Y261" s="97"/>
      <c r="Z261" s="98"/>
      <c r="AA261" s="99"/>
      <c r="AB261" s="97"/>
      <c r="AC261" s="98"/>
      <c r="AD261" s="98"/>
      <c r="AE261" s="98"/>
      <c r="AF261" s="98"/>
      <c r="AG261" s="98"/>
      <c r="AH261" s="98"/>
      <c r="AI261" s="98"/>
      <c r="AJ261" s="99"/>
      <c r="AK261" s="97"/>
      <c r="AL261" s="98"/>
      <c r="AM261" s="99"/>
      <c r="AN261" s="97"/>
      <c r="AO261" s="98"/>
      <c r="AP261" s="98"/>
      <c r="AQ261" s="98"/>
      <c r="AR261" s="98"/>
      <c r="AS261" s="98"/>
      <c r="AT261" s="98"/>
      <c r="AU261" s="98"/>
      <c r="AV261" s="99"/>
      <c r="AW261" s="97"/>
      <c r="AX261" s="98"/>
      <c r="AY261" s="99"/>
      <c r="AZ261" s="97"/>
      <c r="BA261" s="98"/>
      <c r="BB261" s="98"/>
      <c r="BC261" s="98"/>
      <c r="BD261" s="98"/>
      <c r="BE261" s="98"/>
      <c r="BF261" s="98"/>
      <c r="BG261" s="98"/>
      <c r="BH261" s="98"/>
      <c r="BI261" s="98"/>
      <c r="BJ261" s="99"/>
      <c r="BR261" s="40"/>
      <c r="BS261" s="36" t="str">
        <f>_xlfn.IFNA(VLOOKUP($BR261,[15]Master!$C$4:$J$13,2,FALSE),"-")</f>
        <v>-</v>
      </c>
      <c r="BT261" s="36" t="str">
        <f>_xlfn.IFNA(VLOOKUP($BR261,[15]Master!$C$4:$J$13,3,FALSE),"-")</f>
        <v>-</v>
      </c>
      <c r="BU261" s="36" t="str">
        <f>_xlfn.IFNA(VLOOKUP($BR261,[15]Master!$C$4:$J$13,4,FALSE),"-")</f>
        <v>-</v>
      </c>
      <c r="BV261" s="36" t="str">
        <f>_xlfn.IFNA(VLOOKUP($BR261,[15]Master!$C$4:$J$13,5,FALSE),"-")</f>
        <v>-</v>
      </c>
      <c r="BW261" s="36" t="str">
        <f>_xlfn.IFNA(VLOOKUP($BR261,[15]Master!$C$4:$J$13,6,FALSE),"-")</f>
        <v>-</v>
      </c>
      <c r="BX261" s="36" t="str">
        <f>_xlfn.IFNA(VLOOKUP($BR261,[15]Master!$C$4:$J$13,7,FALSE),"-")</f>
        <v>-</v>
      </c>
      <c r="BY261" s="36" t="str">
        <f>_xlfn.IFNA(VLOOKUP($BR261,[15]Master!$C$4:$J$13,8,FALSE),"-")</f>
        <v>-</v>
      </c>
      <c r="BZ261" s="35">
        <f t="shared" ref="BZ261:BZ314" si="6">SUM(BS261:BY261)</f>
        <v>0</v>
      </c>
    </row>
    <row r="262" spans="2:78" ht="15.75">
      <c r="B262" s="97"/>
      <c r="C262" s="98" t="s">
        <v>451</v>
      </c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9"/>
      <c r="P262" s="97"/>
      <c r="Q262" s="98"/>
      <c r="R262" s="98"/>
      <c r="S262" s="98"/>
      <c r="T262" s="98"/>
      <c r="U262" s="98"/>
      <c r="V262" s="98"/>
      <c r="W262" s="98"/>
      <c r="X262" s="99"/>
      <c r="Y262" s="97"/>
      <c r="Z262" s="98"/>
      <c r="AA262" s="99"/>
      <c r="AB262" s="97"/>
      <c r="AC262" s="98"/>
      <c r="AD262" s="98"/>
      <c r="AE262" s="98"/>
      <c r="AF262" s="98"/>
      <c r="AG262" s="98"/>
      <c r="AH262" s="98"/>
      <c r="AI262" s="98"/>
      <c r="AJ262" s="99"/>
      <c r="AK262" s="97"/>
      <c r="AL262" s="98"/>
      <c r="AM262" s="99"/>
      <c r="AN262" s="97"/>
      <c r="AO262" s="98"/>
      <c r="AP262" s="98"/>
      <c r="AQ262" s="98"/>
      <c r="AR262" s="98"/>
      <c r="AS262" s="98"/>
      <c r="AT262" s="98"/>
      <c r="AU262" s="98"/>
      <c r="AV262" s="99"/>
      <c r="AW262" s="97"/>
      <c r="AX262" s="98"/>
      <c r="AY262" s="99"/>
      <c r="AZ262" s="97"/>
      <c r="BA262" s="98"/>
      <c r="BB262" s="98"/>
      <c r="BC262" s="98"/>
      <c r="BD262" s="98"/>
      <c r="BE262" s="98"/>
      <c r="BF262" s="98"/>
      <c r="BG262" s="98"/>
      <c r="BH262" s="98"/>
      <c r="BI262" s="98"/>
      <c r="BJ262" s="99"/>
      <c r="BR262" s="40"/>
      <c r="BS262" s="36" t="str">
        <f>_xlfn.IFNA(VLOOKUP($BR262,[15]Master!$C$4:$J$13,2,FALSE),"-")</f>
        <v>-</v>
      </c>
      <c r="BT262" s="36" t="str">
        <f>_xlfn.IFNA(VLOOKUP($BR262,[15]Master!$C$4:$J$13,3,FALSE),"-")</f>
        <v>-</v>
      </c>
      <c r="BU262" s="36" t="str">
        <f>_xlfn.IFNA(VLOOKUP($BR262,[15]Master!$C$4:$J$13,4,FALSE),"-")</f>
        <v>-</v>
      </c>
      <c r="BV262" s="36" t="str">
        <f>_xlfn.IFNA(VLOOKUP($BR262,[15]Master!$C$4:$J$13,5,FALSE),"-")</f>
        <v>-</v>
      </c>
      <c r="BW262" s="36" t="str">
        <f>_xlfn.IFNA(VLOOKUP($BR262,[15]Master!$C$4:$J$13,6,FALSE),"-")</f>
        <v>-</v>
      </c>
      <c r="BX262" s="36" t="str">
        <f>_xlfn.IFNA(VLOOKUP($BR262,[15]Master!$C$4:$J$13,7,FALSE),"-")</f>
        <v>-</v>
      </c>
      <c r="BY262" s="36" t="str">
        <f>_xlfn.IFNA(VLOOKUP($BR262,[15]Master!$C$4:$J$13,8,FALSE),"-")</f>
        <v>-</v>
      </c>
      <c r="BZ262" s="35">
        <f t="shared" si="6"/>
        <v>0</v>
      </c>
    </row>
    <row r="263" spans="2:78" ht="15.75">
      <c r="B263" s="131" t="s">
        <v>452</v>
      </c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3"/>
      <c r="P263" s="131"/>
      <c r="Q263" s="132"/>
      <c r="R263" s="132"/>
      <c r="S263" s="132"/>
      <c r="T263" s="132"/>
      <c r="U263" s="132"/>
      <c r="V263" s="132"/>
      <c r="W263" s="132"/>
      <c r="X263" s="133"/>
      <c r="Y263" s="131"/>
      <c r="Z263" s="132"/>
      <c r="AA263" s="133"/>
      <c r="AB263" s="131"/>
      <c r="AC263" s="132"/>
      <c r="AD263" s="132"/>
      <c r="AE263" s="132"/>
      <c r="AF263" s="132"/>
      <c r="AG263" s="132"/>
      <c r="AH263" s="132"/>
      <c r="AI263" s="132"/>
      <c r="AJ263" s="133"/>
      <c r="AK263" s="131"/>
      <c r="AL263" s="132"/>
      <c r="AM263" s="133"/>
      <c r="AN263" s="131"/>
      <c r="AO263" s="132"/>
      <c r="AP263" s="132"/>
      <c r="AQ263" s="132"/>
      <c r="AR263" s="132"/>
      <c r="AS263" s="132"/>
      <c r="AT263" s="132"/>
      <c r="AU263" s="132"/>
      <c r="AV263" s="133"/>
      <c r="AW263" s="131"/>
      <c r="AX263" s="132"/>
      <c r="AY263" s="133"/>
      <c r="AZ263" s="131"/>
      <c r="BA263" s="132"/>
      <c r="BB263" s="132"/>
      <c r="BC263" s="132"/>
      <c r="BD263" s="132"/>
      <c r="BE263" s="132"/>
      <c r="BF263" s="132"/>
      <c r="BG263" s="132"/>
      <c r="BH263" s="132"/>
      <c r="BI263" s="132"/>
      <c r="BJ263" s="133"/>
      <c r="BR263" s="40"/>
      <c r="BS263" s="36" t="str">
        <f>_xlfn.IFNA(VLOOKUP($BR263,[15]Master!$C$4:$J$13,2,FALSE),"-")</f>
        <v>-</v>
      </c>
      <c r="BT263" s="36" t="str">
        <f>_xlfn.IFNA(VLOOKUP($BR263,[15]Master!$C$4:$J$13,3,FALSE),"-")</f>
        <v>-</v>
      </c>
      <c r="BU263" s="36" t="str">
        <f>_xlfn.IFNA(VLOOKUP($BR263,[15]Master!$C$4:$J$13,4,FALSE),"-")</f>
        <v>-</v>
      </c>
      <c r="BV263" s="36" t="str">
        <f>_xlfn.IFNA(VLOOKUP($BR263,[15]Master!$C$4:$J$13,5,FALSE),"-")</f>
        <v>-</v>
      </c>
      <c r="BW263" s="36" t="str">
        <f>_xlfn.IFNA(VLOOKUP($BR263,[15]Master!$C$4:$J$13,6,FALSE),"-")</f>
        <v>-</v>
      </c>
      <c r="BX263" s="36" t="str">
        <f>_xlfn.IFNA(VLOOKUP($BR263,[15]Master!$C$4:$J$13,7,FALSE),"-")</f>
        <v>-</v>
      </c>
      <c r="BY263" s="36" t="str">
        <f>_xlfn.IFNA(VLOOKUP($BR263,[15]Master!$C$4:$J$13,8,FALSE),"-")</f>
        <v>-</v>
      </c>
      <c r="BZ263" s="35">
        <f t="shared" si="6"/>
        <v>0</v>
      </c>
    </row>
    <row r="264" spans="2:78" ht="15.75">
      <c r="B264" s="97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9"/>
      <c r="P264" s="97"/>
      <c r="Q264" s="98"/>
      <c r="R264" s="98"/>
      <c r="S264" s="98"/>
      <c r="T264" s="98"/>
      <c r="U264" s="98"/>
      <c r="V264" s="98"/>
      <c r="W264" s="98"/>
      <c r="X264" s="99"/>
      <c r="Y264" s="97"/>
      <c r="Z264" s="98"/>
      <c r="AA264" s="99"/>
      <c r="AB264" s="97"/>
      <c r="AC264" s="98"/>
      <c r="AD264" s="98"/>
      <c r="AE264" s="98"/>
      <c r="AF264" s="98"/>
      <c r="AG264" s="98"/>
      <c r="AH264" s="98"/>
      <c r="AI264" s="98"/>
      <c r="AJ264" s="99"/>
      <c r="AK264" s="97"/>
      <c r="AL264" s="98"/>
      <c r="AM264" s="99"/>
      <c r="AN264" s="97"/>
      <c r="AO264" s="98"/>
      <c r="AP264" s="98"/>
      <c r="AQ264" s="98"/>
      <c r="AR264" s="98"/>
      <c r="AS264" s="98"/>
      <c r="AT264" s="98"/>
      <c r="AU264" s="98"/>
      <c r="AV264" s="99"/>
      <c r="AW264" s="97"/>
      <c r="AX264" s="98"/>
      <c r="AY264" s="99"/>
      <c r="AZ264" s="97"/>
      <c r="BA264" s="98"/>
      <c r="BB264" s="98"/>
      <c r="BC264" s="98"/>
      <c r="BD264" s="98"/>
      <c r="BE264" s="98"/>
      <c r="BF264" s="98"/>
      <c r="BG264" s="98"/>
      <c r="BH264" s="98"/>
      <c r="BI264" s="98"/>
      <c r="BJ264" s="99"/>
      <c r="BR264" s="40"/>
      <c r="BS264" s="36" t="str">
        <f>_xlfn.IFNA(VLOOKUP($BR264,[15]Master!$C$4:$J$13,2,FALSE),"-")</f>
        <v>-</v>
      </c>
      <c r="BT264" s="36" t="str">
        <f>_xlfn.IFNA(VLOOKUP($BR264,[15]Master!$C$4:$J$13,3,FALSE),"-")</f>
        <v>-</v>
      </c>
      <c r="BU264" s="36" t="str">
        <f>_xlfn.IFNA(VLOOKUP($BR264,[15]Master!$C$4:$J$13,4,FALSE),"-")</f>
        <v>-</v>
      </c>
      <c r="BV264" s="36" t="str">
        <f>_xlfn.IFNA(VLOOKUP($BR264,[15]Master!$C$4:$J$13,5,FALSE),"-")</f>
        <v>-</v>
      </c>
      <c r="BW264" s="36" t="str">
        <f>_xlfn.IFNA(VLOOKUP($BR264,[15]Master!$C$4:$J$13,6,FALSE),"-")</f>
        <v>-</v>
      </c>
      <c r="BX264" s="36" t="str">
        <f>_xlfn.IFNA(VLOOKUP($BR264,[15]Master!$C$4:$J$13,7,FALSE),"-")</f>
        <v>-</v>
      </c>
      <c r="BY264" s="36" t="str">
        <f>_xlfn.IFNA(VLOOKUP($BR264,[15]Master!$C$4:$J$13,8,FALSE),"-")</f>
        <v>-</v>
      </c>
      <c r="BZ264" s="35">
        <f t="shared" si="6"/>
        <v>0</v>
      </c>
    </row>
    <row r="265" spans="2:78" ht="15.75">
      <c r="B265" s="97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9"/>
      <c r="P265" s="97"/>
      <c r="Q265" s="98"/>
      <c r="R265" s="98"/>
      <c r="S265" s="98"/>
      <c r="T265" s="98"/>
      <c r="U265" s="98"/>
      <c r="V265" s="98"/>
      <c r="W265" s="98"/>
      <c r="X265" s="99"/>
      <c r="Y265" s="97"/>
      <c r="Z265" s="98"/>
      <c r="AA265" s="99"/>
      <c r="AB265" s="97"/>
      <c r="AC265" s="98"/>
      <c r="AD265" s="98"/>
      <c r="AE265" s="98"/>
      <c r="AF265" s="98"/>
      <c r="AG265" s="98"/>
      <c r="AH265" s="98"/>
      <c r="AI265" s="98"/>
      <c r="AJ265" s="99"/>
      <c r="AK265" s="97"/>
      <c r="AL265" s="98"/>
      <c r="AM265" s="99"/>
      <c r="AN265" s="97"/>
      <c r="AO265" s="98"/>
      <c r="AP265" s="98"/>
      <c r="AQ265" s="98"/>
      <c r="AR265" s="98"/>
      <c r="AS265" s="98"/>
      <c r="AT265" s="98"/>
      <c r="AU265" s="98"/>
      <c r="AV265" s="99"/>
      <c r="AW265" s="97"/>
      <c r="AX265" s="98"/>
      <c r="AY265" s="99"/>
      <c r="AZ265" s="97"/>
      <c r="BA265" s="98"/>
      <c r="BB265" s="98"/>
      <c r="BC265" s="98"/>
      <c r="BD265" s="98"/>
      <c r="BE265" s="98"/>
      <c r="BF265" s="98"/>
      <c r="BG265" s="98"/>
      <c r="BH265" s="98"/>
      <c r="BI265" s="98"/>
      <c r="BJ265" s="99"/>
      <c r="BR265" s="40"/>
      <c r="BS265" s="36" t="str">
        <f>_xlfn.IFNA(VLOOKUP($BR265,[15]Master!$C$4:$J$13,2,FALSE),"-")</f>
        <v>-</v>
      </c>
      <c r="BT265" s="36" t="str">
        <f>_xlfn.IFNA(VLOOKUP($BR265,[15]Master!$C$4:$J$13,3,FALSE),"-")</f>
        <v>-</v>
      </c>
      <c r="BU265" s="36" t="str">
        <f>_xlfn.IFNA(VLOOKUP($BR265,[15]Master!$C$4:$J$13,4,FALSE),"-")</f>
        <v>-</v>
      </c>
      <c r="BV265" s="36" t="str">
        <f>_xlfn.IFNA(VLOOKUP($BR265,[15]Master!$C$4:$J$13,5,FALSE),"-")</f>
        <v>-</v>
      </c>
      <c r="BW265" s="36" t="str">
        <f>_xlfn.IFNA(VLOOKUP($BR265,[15]Master!$C$4:$J$13,6,FALSE),"-")</f>
        <v>-</v>
      </c>
      <c r="BX265" s="36" t="str">
        <f>_xlfn.IFNA(VLOOKUP($BR265,[15]Master!$C$4:$J$13,7,FALSE),"-")</f>
        <v>-</v>
      </c>
      <c r="BY265" s="36" t="str">
        <f>_xlfn.IFNA(VLOOKUP($BR265,[15]Master!$C$4:$J$13,8,FALSE),"-")</f>
        <v>-</v>
      </c>
      <c r="BZ265" s="35">
        <f t="shared" si="6"/>
        <v>0</v>
      </c>
    </row>
    <row r="266" spans="2:78" ht="15.75">
      <c r="B266" s="97" t="s">
        <v>453</v>
      </c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9"/>
      <c r="P266" s="97"/>
      <c r="Q266" s="98"/>
      <c r="R266" s="98"/>
      <c r="S266" s="98"/>
      <c r="T266" s="98"/>
      <c r="U266" s="98"/>
      <c r="V266" s="98"/>
      <c r="W266" s="98"/>
      <c r="X266" s="99"/>
      <c r="Y266" s="97"/>
      <c r="Z266" s="98"/>
      <c r="AA266" s="99"/>
      <c r="AB266" s="97"/>
      <c r="AC266" s="98"/>
      <c r="AD266" s="98"/>
      <c r="AE266" s="98"/>
      <c r="AF266" s="98"/>
      <c r="AG266" s="98"/>
      <c r="AH266" s="98"/>
      <c r="AI266" s="98"/>
      <c r="AJ266" s="99"/>
      <c r="AK266" s="97"/>
      <c r="AL266" s="98"/>
      <c r="AM266" s="99"/>
      <c r="AN266" s="97"/>
      <c r="AO266" s="98"/>
      <c r="AP266" s="98"/>
      <c r="AQ266" s="98"/>
      <c r="AR266" s="98"/>
      <c r="AS266" s="98"/>
      <c r="AT266" s="98"/>
      <c r="AU266" s="98"/>
      <c r="AV266" s="99"/>
      <c r="AW266" s="97"/>
      <c r="AX266" s="98"/>
      <c r="AY266" s="99"/>
      <c r="AZ266" s="97"/>
      <c r="BA266" s="98"/>
      <c r="BB266" s="98"/>
      <c r="BC266" s="98"/>
      <c r="BD266" s="98"/>
      <c r="BE266" s="98"/>
      <c r="BF266" s="98"/>
      <c r="BG266" s="98"/>
      <c r="BH266" s="98"/>
      <c r="BI266" s="98"/>
      <c r="BJ266" s="99"/>
      <c r="BR266" s="40"/>
      <c r="BS266" s="36" t="str">
        <f>_xlfn.IFNA(VLOOKUP($BR266,[15]Master!$C$4:$J$13,2,FALSE),"-")</f>
        <v>-</v>
      </c>
      <c r="BT266" s="36" t="str">
        <f>_xlfn.IFNA(VLOOKUP($BR266,[15]Master!$C$4:$J$13,3,FALSE),"-")</f>
        <v>-</v>
      </c>
      <c r="BU266" s="36" t="str">
        <f>_xlfn.IFNA(VLOOKUP($BR266,[15]Master!$C$4:$J$13,4,FALSE),"-")</f>
        <v>-</v>
      </c>
      <c r="BV266" s="36" t="str">
        <f>_xlfn.IFNA(VLOOKUP($BR266,[15]Master!$C$4:$J$13,5,FALSE),"-")</f>
        <v>-</v>
      </c>
      <c r="BW266" s="36" t="str">
        <f>_xlfn.IFNA(VLOOKUP($BR266,[15]Master!$C$4:$J$13,6,FALSE),"-")</f>
        <v>-</v>
      </c>
      <c r="BX266" s="36" t="str">
        <f>_xlfn.IFNA(VLOOKUP($BR266,[15]Master!$C$4:$J$13,7,FALSE),"-")</f>
        <v>-</v>
      </c>
      <c r="BY266" s="36" t="str">
        <f>_xlfn.IFNA(VLOOKUP($BR266,[15]Master!$C$4:$J$13,8,FALSE),"-")</f>
        <v>-</v>
      </c>
      <c r="BZ266" s="35">
        <f t="shared" si="6"/>
        <v>0</v>
      </c>
    </row>
    <row r="267" spans="2:78" ht="15.75">
      <c r="B267" s="97" t="s">
        <v>454</v>
      </c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9"/>
      <c r="P267" s="97"/>
      <c r="Q267" s="98"/>
      <c r="R267" s="98"/>
      <c r="S267" s="98"/>
      <c r="T267" s="98"/>
      <c r="U267" s="98"/>
      <c r="V267" s="98"/>
      <c r="W267" s="98"/>
      <c r="X267" s="99"/>
      <c r="Y267" s="97"/>
      <c r="Z267" s="98"/>
      <c r="AA267" s="99"/>
      <c r="AB267" s="97"/>
      <c r="AC267" s="98"/>
      <c r="AD267" s="98"/>
      <c r="AE267" s="98"/>
      <c r="AF267" s="98"/>
      <c r="AG267" s="98"/>
      <c r="AH267" s="98"/>
      <c r="AI267" s="98"/>
      <c r="AJ267" s="99"/>
      <c r="AK267" s="97"/>
      <c r="AL267" s="98"/>
      <c r="AM267" s="99"/>
      <c r="AN267" s="97"/>
      <c r="AO267" s="98"/>
      <c r="AP267" s="98"/>
      <c r="AQ267" s="98"/>
      <c r="AR267" s="98"/>
      <c r="AS267" s="98"/>
      <c r="AT267" s="98"/>
      <c r="AU267" s="98"/>
      <c r="AV267" s="99"/>
      <c r="AW267" s="97"/>
      <c r="AX267" s="98"/>
      <c r="AY267" s="99"/>
      <c r="AZ267" s="97"/>
      <c r="BA267" s="98"/>
      <c r="BB267" s="98"/>
      <c r="BC267" s="98"/>
      <c r="BD267" s="98"/>
      <c r="BE267" s="98"/>
      <c r="BF267" s="98"/>
      <c r="BG267" s="98"/>
      <c r="BH267" s="98"/>
      <c r="BI267" s="98"/>
      <c r="BJ267" s="99"/>
      <c r="BR267" s="40"/>
      <c r="BS267" s="36" t="str">
        <f>_xlfn.IFNA(VLOOKUP($BR267,[15]Master!$C$4:$J$13,2,FALSE),"-")</f>
        <v>-</v>
      </c>
      <c r="BT267" s="36" t="str">
        <f>_xlfn.IFNA(VLOOKUP($BR267,[15]Master!$C$4:$J$13,3,FALSE),"-")</f>
        <v>-</v>
      </c>
      <c r="BU267" s="36" t="str">
        <f>_xlfn.IFNA(VLOOKUP($BR267,[15]Master!$C$4:$J$13,4,FALSE),"-")</f>
        <v>-</v>
      </c>
      <c r="BV267" s="36" t="str">
        <f>_xlfn.IFNA(VLOOKUP($BR267,[15]Master!$C$4:$J$13,5,FALSE),"-")</f>
        <v>-</v>
      </c>
      <c r="BW267" s="36" t="str">
        <f>_xlfn.IFNA(VLOOKUP($BR267,[15]Master!$C$4:$J$13,6,FALSE),"-")</f>
        <v>-</v>
      </c>
      <c r="BX267" s="36" t="str">
        <f>_xlfn.IFNA(VLOOKUP($BR267,[15]Master!$C$4:$J$13,7,FALSE),"-")</f>
        <v>-</v>
      </c>
      <c r="BY267" s="36" t="str">
        <f>_xlfn.IFNA(VLOOKUP($BR267,[15]Master!$C$4:$J$13,8,FALSE),"-")</f>
        <v>-</v>
      </c>
      <c r="BZ267" s="35">
        <f t="shared" si="6"/>
        <v>0</v>
      </c>
    </row>
    <row r="268" spans="2:78" ht="15.75">
      <c r="B268" s="97" t="s">
        <v>455</v>
      </c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9"/>
      <c r="P268" s="97"/>
      <c r="Q268" s="98"/>
      <c r="R268" s="98"/>
      <c r="S268" s="98"/>
      <c r="T268" s="98"/>
      <c r="U268" s="98"/>
      <c r="V268" s="98"/>
      <c r="W268" s="98"/>
      <c r="X268" s="99"/>
      <c r="Y268" s="97"/>
      <c r="Z268" s="98"/>
      <c r="AA268" s="99"/>
      <c r="AB268" s="97"/>
      <c r="AC268" s="98"/>
      <c r="AD268" s="98"/>
      <c r="AE268" s="98"/>
      <c r="AF268" s="98"/>
      <c r="AG268" s="98"/>
      <c r="AH268" s="98"/>
      <c r="AI268" s="98"/>
      <c r="AJ268" s="99"/>
      <c r="AK268" s="97"/>
      <c r="AL268" s="98"/>
      <c r="AM268" s="99"/>
      <c r="AN268" s="97"/>
      <c r="AO268" s="98"/>
      <c r="AP268" s="98"/>
      <c r="AQ268" s="98"/>
      <c r="AR268" s="98"/>
      <c r="AS268" s="98"/>
      <c r="AT268" s="98"/>
      <c r="AU268" s="98"/>
      <c r="AV268" s="99"/>
      <c r="AW268" s="97"/>
      <c r="AX268" s="98"/>
      <c r="AY268" s="99"/>
      <c r="AZ268" s="97"/>
      <c r="BA268" s="98"/>
      <c r="BB268" s="98"/>
      <c r="BC268" s="98"/>
      <c r="BD268" s="98"/>
      <c r="BE268" s="98"/>
      <c r="BF268" s="98"/>
      <c r="BG268" s="98"/>
      <c r="BH268" s="98"/>
      <c r="BI268" s="98"/>
      <c r="BJ268" s="99"/>
      <c r="BR268" s="40"/>
      <c r="BS268" s="36" t="str">
        <f>_xlfn.IFNA(VLOOKUP($BR268,[15]Master!$C$4:$J$13,2,FALSE),"-")</f>
        <v>-</v>
      </c>
      <c r="BT268" s="36" t="str">
        <f>_xlfn.IFNA(VLOOKUP($BR268,[15]Master!$C$4:$J$13,3,FALSE),"-")</f>
        <v>-</v>
      </c>
      <c r="BU268" s="36" t="str">
        <f>_xlfn.IFNA(VLOOKUP($BR268,[15]Master!$C$4:$J$13,4,FALSE),"-")</f>
        <v>-</v>
      </c>
      <c r="BV268" s="36" t="str">
        <f>_xlfn.IFNA(VLOOKUP($BR268,[15]Master!$C$4:$J$13,5,FALSE),"-")</f>
        <v>-</v>
      </c>
      <c r="BW268" s="36" t="str">
        <f>_xlfn.IFNA(VLOOKUP($BR268,[15]Master!$C$4:$J$13,6,FALSE),"-")</f>
        <v>-</v>
      </c>
      <c r="BX268" s="36" t="str">
        <f>_xlfn.IFNA(VLOOKUP($BR268,[15]Master!$C$4:$J$13,7,FALSE),"-")</f>
        <v>-</v>
      </c>
      <c r="BY268" s="36" t="str">
        <f>_xlfn.IFNA(VLOOKUP($BR268,[15]Master!$C$4:$J$13,8,FALSE),"-")</f>
        <v>-</v>
      </c>
      <c r="BZ268" s="35">
        <f t="shared" si="6"/>
        <v>0</v>
      </c>
    </row>
    <row r="269" spans="2:78" ht="15.75">
      <c r="B269" s="97" t="s">
        <v>456</v>
      </c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9"/>
      <c r="P269" s="97"/>
      <c r="Q269" s="98"/>
      <c r="R269" s="98"/>
      <c r="S269" s="98"/>
      <c r="T269" s="98"/>
      <c r="U269" s="98"/>
      <c r="V269" s="98"/>
      <c r="W269" s="98"/>
      <c r="X269" s="99"/>
      <c r="Y269" s="97"/>
      <c r="Z269" s="98"/>
      <c r="AA269" s="99"/>
      <c r="AB269" s="97"/>
      <c r="AC269" s="98"/>
      <c r="AD269" s="98"/>
      <c r="AE269" s="98"/>
      <c r="AF269" s="98"/>
      <c r="AG269" s="98"/>
      <c r="AH269" s="98"/>
      <c r="AI269" s="98"/>
      <c r="AJ269" s="99"/>
      <c r="AK269" s="97"/>
      <c r="AL269" s="98"/>
      <c r="AM269" s="99"/>
      <c r="AN269" s="97"/>
      <c r="AO269" s="98"/>
      <c r="AP269" s="98"/>
      <c r="AQ269" s="98"/>
      <c r="AR269" s="98"/>
      <c r="AS269" s="98"/>
      <c r="AT269" s="98"/>
      <c r="AU269" s="98"/>
      <c r="AV269" s="99"/>
      <c r="AW269" s="97"/>
      <c r="AX269" s="98"/>
      <c r="AY269" s="99"/>
      <c r="AZ269" s="97"/>
      <c r="BA269" s="98"/>
      <c r="BB269" s="98"/>
      <c r="BC269" s="98"/>
      <c r="BD269" s="98"/>
      <c r="BE269" s="98"/>
      <c r="BF269" s="98"/>
      <c r="BG269" s="98"/>
      <c r="BH269" s="98"/>
      <c r="BI269" s="98"/>
      <c r="BJ269" s="99"/>
      <c r="BR269" s="40"/>
      <c r="BS269" s="36" t="str">
        <f>_xlfn.IFNA(VLOOKUP($BR269,[15]Master!$C$4:$J$13,2,FALSE),"-")</f>
        <v>-</v>
      </c>
      <c r="BT269" s="36" t="str">
        <f>_xlfn.IFNA(VLOOKUP($BR269,[15]Master!$C$4:$J$13,3,FALSE),"-")</f>
        <v>-</v>
      </c>
      <c r="BU269" s="36" t="str">
        <f>_xlfn.IFNA(VLOOKUP($BR269,[15]Master!$C$4:$J$13,4,FALSE),"-")</f>
        <v>-</v>
      </c>
      <c r="BV269" s="36" t="str">
        <f>_xlfn.IFNA(VLOOKUP($BR269,[15]Master!$C$4:$J$13,5,FALSE),"-")</f>
        <v>-</v>
      </c>
      <c r="BW269" s="36" t="str">
        <f>_xlfn.IFNA(VLOOKUP($BR269,[15]Master!$C$4:$J$13,6,FALSE),"-")</f>
        <v>-</v>
      </c>
      <c r="BX269" s="36" t="str">
        <f>_xlfn.IFNA(VLOOKUP($BR269,[15]Master!$C$4:$J$13,7,FALSE),"-")</f>
        <v>-</v>
      </c>
      <c r="BY269" s="36" t="str">
        <f>_xlfn.IFNA(VLOOKUP($BR269,[15]Master!$C$4:$J$13,8,FALSE),"-")</f>
        <v>-</v>
      </c>
      <c r="BZ269" s="35">
        <f t="shared" si="6"/>
        <v>0</v>
      </c>
    </row>
    <row r="270" spans="2:78" ht="15.75">
      <c r="B270" s="97" t="s">
        <v>457</v>
      </c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9"/>
      <c r="P270" s="97"/>
      <c r="Q270" s="98"/>
      <c r="R270" s="98"/>
      <c r="S270" s="98"/>
      <c r="T270" s="98"/>
      <c r="U270" s="98"/>
      <c r="V270" s="98"/>
      <c r="W270" s="98"/>
      <c r="X270" s="99"/>
      <c r="Y270" s="97"/>
      <c r="Z270" s="98"/>
      <c r="AA270" s="99"/>
      <c r="AB270" s="97"/>
      <c r="AC270" s="98"/>
      <c r="AD270" s="98"/>
      <c r="AE270" s="98"/>
      <c r="AF270" s="98"/>
      <c r="AG270" s="98"/>
      <c r="AH270" s="98"/>
      <c r="AI270" s="98"/>
      <c r="AJ270" s="99"/>
      <c r="AK270" s="97"/>
      <c r="AL270" s="98"/>
      <c r="AM270" s="99"/>
      <c r="AN270" s="97"/>
      <c r="AO270" s="98"/>
      <c r="AP270" s="98"/>
      <c r="AQ270" s="98"/>
      <c r="AR270" s="98"/>
      <c r="AS270" s="98"/>
      <c r="AT270" s="98"/>
      <c r="AU270" s="98"/>
      <c r="AV270" s="99"/>
      <c r="AW270" s="97"/>
      <c r="AX270" s="98"/>
      <c r="AY270" s="99"/>
      <c r="AZ270" s="97"/>
      <c r="BA270" s="98"/>
      <c r="BB270" s="98"/>
      <c r="BC270" s="98"/>
      <c r="BD270" s="98"/>
      <c r="BE270" s="98"/>
      <c r="BF270" s="98"/>
      <c r="BG270" s="98"/>
      <c r="BH270" s="98"/>
      <c r="BI270" s="98"/>
      <c r="BJ270" s="99"/>
      <c r="BR270" s="40"/>
      <c r="BS270" s="36" t="str">
        <f>_xlfn.IFNA(VLOOKUP($BR270,[15]Master!$C$4:$J$13,2,FALSE),"-")</f>
        <v>-</v>
      </c>
      <c r="BT270" s="36" t="str">
        <f>_xlfn.IFNA(VLOOKUP($BR270,[15]Master!$C$4:$J$13,3,FALSE),"-")</f>
        <v>-</v>
      </c>
      <c r="BU270" s="36" t="str">
        <f>_xlfn.IFNA(VLOOKUP($BR270,[15]Master!$C$4:$J$13,4,FALSE),"-")</f>
        <v>-</v>
      </c>
      <c r="BV270" s="36" t="str">
        <f>_xlfn.IFNA(VLOOKUP($BR270,[15]Master!$C$4:$J$13,5,FALSE),"-")</f>
        <v>-</v>
      </c>
      <c r="BW270" s="36" t="str">
        <f>_xlfn.IFNA(VLOOKUP($BR270,[15]Master!$C$4:$J$13,6,FALSE),"-")</f>
        <v>-</v>
      </c>
      <c r="BX270" s="36" t="str">
        <f>_xlfn.IFNA(VLOOKUP($BR270,[15]Master!$C$4:$J$13,7,FALSE),"-")</f>
        <v>-</v>
      </c>
      <c r="BY270" s="36" t="str">
        <f>_xlfn.IFNA(VLOOKUP($BR270,[15]Master!$C$4:$J$13,8,FALSE),"-")</f>
        <v>-</v>
      </c>
      <c r="BZ270" s="35">
        <f t="shared" si="6"/>
        <v>0</v>
      </c>
    </row>
    <row r="271" spans="2:78" ht="15.75">
      <c r="B271" s="97" t="s">
        <v>458</v>
      </c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9"/>
      <c r="P271" s="97"/>
      <c r="Q271" s="98"/>
      <c r="R271" s="98"/>
      <c r="S271" s="98"/>
      <c r="T271" s="98"/>
      <c r="U271" s="98"/>
      <c r="V271" s="98"/>
      <c r="W271" s="98"/>
      <c r="X271" s="99"/>
      <c r="Y271" s="97"/>
      <c r="Z271" s="98"/>
      <c r="AA271" s="99"/>
      <c r="AB271" s="97"/>
      <c r="AC271" s="98"/>
      <c r="AD271" s="98"/>
      <c r="AE271" s="98"/>
      <c r="AF271" s="98"/>
      <c r="AG271" s="98"/>
      <c r="AH271" s="98"/>
      <c r="AI271" s="98"/>
      <c r="AJ271" s="99"/>
      <c r="AK271" s="97"/>
      <c r="AL271" s="98"/>
      <c r="AM271" s="99"/>
      <c r="AN271" s="97"/>
      <c r="AO271" s="98"/>
      <c r="AP271" s="98"/>
      <c r="AQ271" s="98"/>
      <c r="AR271" s="98"/>
      <c r="AS271" s="98"/>
      <c r="AT271" s="98"/>
      <c r="AU271" s="98"/>
      <c r="AV271" s="99"/>
      <c r="AW271" s="97"/>
      <c r="AX271" s="98"/>
      <c r="AY271" s="99"/>
      <c r="AZ271" s="97"/>
      <c r="BA271" s="98"/>
      <c r="BB271" s="98"/>
      <c r="BC271" s="98"/>
      <c r="BD271" s="98"/>
      <c r="BE271" s="98"/>
      <c r="BF271" s="98"/>
      <c r="BG271" s="98"/>
      <c r="BH271" s="98"/>
      <c r="BI271" s="98"/>
      <c r="BJ271" s="99"/>
      <c r="BR271" s="40"/>
      <c r="BS271" s="36" t="str">
        <f>_xlfn.IFNA(VLOOKUP($BR271,[15]Master!$C$4:$J$13,2,FALSE),"-")</f>
        <v>-</v>
      </c>
      <c r="BT271" s="36" t="str">
        <f>_xlfn.IFNA(VLOOKUP($BR271,[15]Master!$C$4:$J$13,3,FALSE),"-")</f>
        <v>-</v>
      </c>
      <c r="BU271" s="36" t="str">
        <f>_xlfn.IFNA(VLOOKUP($BR271,[15]Master!$C$4:$J$13,4,FALSE),"-")</f>
        <v>-</v>
      </c>
      <c r="BV271" s="36" t="str">
        <f>_xlfn.IFNA(VLOOKUP($BR271,[15]Master!$C$4:$J$13,5,FALSE),"-")</f>
        <v>-</v>
      </c>
      <c r="BW271" s="36" t="str">
        <f>_xlfn.IFNA(VLOOKUP($BR271,[15]Master!$C$4:$J$13,6,FALSE),"-")</f>
        <v>-</v>
      </c>
      <c r="BX271" s="36" t="str">
        <f>_xlfn.IFNA(VLOOKUP($BR271,[15]Master!$C$4:$J$13,7,FALSE),"-")</f>
        <v>-</v>
      </c>
      <c r="BY271" s="36" t="str">
        <f>_xlfn.IFNA(VLOOKUP($BR271,[15]Master!$C$4:$J$13,8,FALSE),"-")</f>
        <v>-</v>
      </c>
      <c r="BZ271" s="35">
        <f t="shared" si="6"/>
        <v>0</v>
      </c>
    </row>
    <row r="272" spans="2:78" ht="15.75">
      <c r="B272" s="97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9"/>
      <c r="P272" s="97"/>
      <c r="Q272" s="98"/>
      <c r="R272" s="98"/>
      <c r="S272" s="98"/>
      <c r="T272" s="98"/>
      <c r="U272" s="98"/>
      <c r="V272" s="98"/>
      <c r="W272" s="98"/>
      <c r="X272" s="99"/>
      <c r="Y272" s="97"/>
      <c r="Z272" s="98"/>
      <c r="AA272" s="99"/>
      <c r="AB272" s="97"/>
      <c r="AC272" s="98"/>
      <c r="AD272" s="98"/>
      <c r="AE272" s="98"/>
      <c r="AF272" s="98"/>
      <c r="AG272" s="98"/>
      <c r="AH272" s="98"/>
      <c r="AI272" s="98"/>
      <c r="AJ272" s="99"/>
      <c r="AK272" s="97"/>
      <c r="AL272" s="98"/>
      <c r="AM272" s="99"/>
      <c r="AN272" s="97"/>
      <c r="AO272" s="98"/>
      <c r="AP272" s="98"/>
      <c r="AQ272" s="98"/>
      <c r="AR272" s="98"/>
      <c r="AS272" s="98"/>
      <c r="AT272" s="98"/>
      <c r="AU272" s="98"/>
      <c r="AV272" s="99"/>
      <c r="AW272" s="97"/>
      <c r="AX272" s="98"/>
      <c r="AY272" s="99"/>
      <c r="AZ272" s="97"/>
      <c r="BA272" s="98"/>
      <c r="BB272" s="98"/>
      <c r="BC272" s="98"/>
      <c r="BD272" s="98"/>
      <c r="BE272" s="98"/>
      <c r="BF272" s="98"/>
      <c r="BG272" s="98"/>
      <c r="BH272" s="98"/>
      <c r="BI272" s="98"/>
      <c r="BJ272" s="99"/>
      <c r="BR272" s="40"/>
      <c r="BS272" s="36" t="str">
        <f>_xlfn.IFNA(VLOOKUP($BR272,[15]Master!$C$4:$J$13,2,FALSE),"-")</f>
        <v>-</v>
      </c>
      <c r="BT272" s="36" t="str">
        <f>_xlfn.IFNA(VLOOKUP($BR272,[15]Master!$C$4:$J$13,3,FALSE),"-")</f>
        <v>-</v>
      </c>
      <c r="BU272" s="36" t="str">
        <f>_xlfn.IFNA(VLOOKUP($BR272,[15]Master!$C$4:$J$13,4,FALSE),"-")</f>
        <v>-</v>
      </c>
      <c r="BV272" s="36" t="str">
        <f>_xlfn.IFNA(VLOOKUP($BR272,[15]Master!$C$4:$J$13,5,FALSE),"-")</f>
        <v>-</v>
      </c>
      <c r="BW272" s="36" t="str">
        <f>_xlfn.IFNA(VLOOKUP($BR272,[15]Master!$C$4:$J$13,6,FALSE),"-")</f>
        <v>-</v>
      </c>
      <c r="BX272" s="36" t="str">
        <f>_xlfn.IFNA(VLOOKUP($BR272,[15]Master!$C$4:$J$13,7,FALSE),"-")</f>
        <v>-</v>
      </c>
      <c r="BY272" s="36" t="str">
        <f>_xlfn.IFNA(VLOOKUP($BR272,[15]Master!$C$4:$J$13,8,FALSE),"-")</f>
        <v>-</v>
      </c>
      <c r="BZ272" s="35">
        <f t="shared" si="6"/>
        <v>0</v>
      </c>
    </row>
    <row r="273" spans="2:78" ht="15.75">
      <c r="B273" s="97" t="s">
        <v>459</v>
      </c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9"/>
      <c r="P273" s="97"/>
      <c r="Q273" s="98"/>
      <c r="R273" s="98"/>
      <c r="S273" s="98"/>
      <c r="T273" s="98"/>
      <c r="U273" s="98"/>
      <c r="V273" s="98"/>
      <c r="W273" s="98"/>
      <c r="X273" s="99"/>
      <c r="Y273" s="97"/>
      <c r="Z273" s="98"/>
      <c r="AA273" s="99"/>
      <c r="AB273" s="97"/>
      <c r="AC273" s="98"/>
      <c r="AD273" s="98"/>
      <c r="AE273" s="98"/>
      <c r="AF273" s="98"/>
      <c r="AG273" s="98"/>
      <c r="AH273" s="98"/>
      <c r="AI273" s="98"/>
      <c r="AJ273" s="99"/>
      <c r="AK273" s="97"/>
      <c r="AL273" s="98"/>
      <c r="AM273" s="99"/>
      <c r="AN273" s="97"/>
      <c r="AO273" s="98"/>
      <c r="AP273" s="98"/>
      <c r="AQ273" s="98"/>
      <c r="AR273" s="98"/>
      <c r="AS273" s="98"/>
      <c r="AT273" s="98"/>
      <c r="AU273" s="98"/>
      <c r="AV273" s="99"/>
      <c r="AW273" s="97"/>
      <c r="AX273" s="98"/>
      <c r="AY273" s="99"/>
      <c r="AZ273" s="97"/>
      <c r="BA273" s="98"/>
      <c r="BB273" s="98"/>
      <c r="BC273" s="98"/>
      <c r="BD273" s="98"/>
      <c r="BE273" s="98"/>
      <c r="BF273" s="98"/>
      <c r="BG273" s="98"/>
      <c r="BH273" s="98"/>
      <c r="BI273" s="98"/>
      <c r="BJ273" s="99"/>
      <c r="BR273" s="40"/>
      <c r="BS273" s="36" t="str">
        <f>_xlfn.IFNA(VLOOKUP($BR273,[15]Master!$C$4:$J$13,2,FALSE),"-")</f>
        <v>-</v>
      </c>
      <c r="BT273" s="36" t="str">
        <f>_xlfn.IFNA(VLOOKUP($BR273,[15]Master!$C$4:$J$13,3,FALSE),"-")</f>
        <v>-</v>
      </c>
      <c r="BU273" s="36" t="str">
        <f>_xlfn.IFNA(VLOOKUP($BR273,[15]Master!$C$4:$J$13,4,FALSE),"-")</f>
        <v>-</v>
      </c>
      <c r="BV273" s="36" t="str">
        <f>_xlfn.IFNA(VLOOKUP($BR273,[15]Master!$C$4:$J$13,5,FALSE),"-")</f>
        <v>-</v>
      </c>
      <c r="BW273" s="36" t="str">
        <f>_xlfn.IFNA(VLOOKUP($BR273,[15]Master!$C$4:$J$13,6,FALSE),"-")</f>
        <v>-</v>
      </c>
      <c r="BX273" s="36" t="str">
        <f>_xlfn.IFNA(VLOOKUP($BR273,[15]Master!$C$4:$J$13,7,FALSE),"-")</f>
        <v>-</v>
      </c>
      <c r="BY273" s="36" t="str">
        <f>_xlfn.IFNA(VLOOKUP($BR273,[15]Master!$C$4:$J$13,8,FALSE),"-")</f>
        <v>-</v>
      </c>
      <c r="BZ273" s="35">
        <f t="shared" si="6"/>
        <v>0</v>
      </c>
    </row>
    <row r="274" spans="2:78" ht="15.75">
      <c r="B274" s="97"/>
      <c r="C274" s="98" t="s">
        <v>460</v>
      </c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9"/>
      <c r="P274" s="97"/>
      <c r="Q274" s="98"/>
      <c r="R274" s="98"/>
      <c r="S274" s="98"/>
      <c r="T274" s="98"/>
      <c r="U274" s="98"/>
      <c r="V274" s="98"/>
      <c r="W274" s="98"/>
      <c r="X274" s="99"/>
      <c r="Y274" s="97"/>
      <c r="Z274" s="98"/>
      <c r="AA274" s="99"/>
      <c r="AB274" s="97"/>
      <c r="AC274" s="98"/>
      <c r="AD274" s="98"/>
      <c r="AE274" s="98"/>
      <c r="AF274" s="98"/>
      <c r="AG274" s="98"/>
      <c r="AH274" s="98"/>
      <c r="AI274" s="98"/>
      <c r="AJ274" s="99"/>
      <c r="AK274" s="97"/>
      <c r="AL274" s="98"/>
      <c r="AM274" s="99"/>
      <c r="AN274" s="97"/>
      <c r="AO274" s="98"/>
      <c r="AP274" s="98"/>
      <c r="AQ274" s="98"/>
      <c r="AR274" s="98"/>
      <c r="AS274" s="98"/>
      <c r="AT274" s="98"/>
      <c r="AU274" s="98"/>
      <c r="AV274" s="99"/>
      <c r="AW274" s="97" t="s">
        <v>461</v>
      </c>
      <c r="AX274" s="98"/>
      <c r="AY274" s="99"/>
      <c r="AZ274" s="97" t="s">
        <v>462</v>
      </c>
      <c r="BA274" s="98"/>
      <c r="BB274" s="98"/>
      <c r="BC274" s="98"/>
      <c r="BD274" s="98"/>
      <c r="BE274" s="98"/>
      <c r="BF274" s="98"/>
      <c r="BG274" s="98"/>
      <c r="BH274" s="98"/>
      <c r="BI274" s="98"/>
      <c r="BJ274" s="99"/>
      <c r="BR274" s="40"/>
      <c r="BS274" s="36" t="str">
        <f>_xlfn.IFNA(VLOOKUP($BR274,[15]Master!$C$4:$J$13,2,FALSE),"-")</f>
        <v>-</v>
      </c>
      <c r="BT274" s="36" t="str">
        <f>_xlfn.IFNA(VLOOKUP($BR274,[15]Master!$C$4:$J$13,3,FALSE),"-")</f>
        <v>-</v>
      </c>
      <c r="BU274" s="36" t="str">
        <f>_xlfn.IFNA(VLOOKUP($BR274,[15]Master!$C$4:$J$13,4,FALSE),"-")</f>
        <v>-</v>
      </c>
      <c r="BV274" s="36" t="str">
        <f>_xlfn.IFNA(VLOOKUP($BR274,[15]Master!$C$4:$J$13,5,FALSE),"-")</f>
        <v>-</v>
      </c>
      <c r="BW274" s="36" t="str">
        <f>_xlfn.IFNA(VLOOKUP($BR274,[15]Master!$C$4:$J$13,6,FALSE),"-")</f>
        <v>-</v>
      </c>
      <c r="BX274" s="36" t="str">
        <f>_xlfn.IFNA(VLOOKUP($BR274,[15]Master!$C$4:$J$13,7,FALSE),"-")</f>
        <v>-</v>
      </c>
      <c r="BY274" s="36" t="str">
        <f>_xlfn.IFNA(VLOOKUP($BR274,[15]Master!$C$4:$J$13,8,FALSE),"-")</f>
        <v>-</v>
      </c>
      <c r="BZ274" s="35">
        <f t="shared" si="6"/>
        <v>0</v>
      </c>
    </row>
    <row r="275" spans="2:78" ht="15.75">
      <c r="B275" s="97"/>
      <c r="C275" s="98" t="s">
        <v>463</v>
      </c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9"/>
      <c r="P275" s="97"/>
      <c r="Q275" s="98"/>
      <c r="R275" s="98"/>
      <c r="S275" s="98"/>
      <c r="T275" s="98"/>
      <c r="U275" s="98"/>
      <c r="V275" s="98"/>
      <c r="W275" s="98"/>
      <c r="X275" s="99"/>
      <c r="Y275" s="97"/>
      <c r="Z275" s="98"/>
      <c r="AA275" s="99"/>
      <c r="AB275" s="97"/>
      <c r="AC275" s="98"/>
      <c r="AD275" s="98"/>
      <c r="AE275" s="98"/>
      <c r="AF275" s="98"/>
      <c r="AG275" s="98"/>
      <c r="AH275" s="98"/>
      <c r="AI275" s="98"/>
      <c r="AJ275" s="99"/>
      <c r="AK275" s="97"/>
      <c r="AL275" s="98"/>
      <c r="AM275" s="99"/>
      <c r="AN275" s="97"/>
      <c r="AO275" s="98"/>
      <c r="AP275" s="98"/>
      <c r="AQ275" s="98"/>
      <c r="AR275" s="98"/>
      <c r="AS275" s="98"/>
      <c r="AT275" s="98"/>
      <c r="AU275" s="98"/>
      <c r="AV275" s="99"/>
      <c r="AW275" s="97" t="s">
        <v>464</v>
      </c>
      <c r="AX275" s="98"/>
      <c r="AY275" s="99"/>
      <c r="AZ275" s="97" t="s">
        <v>465</v>
      </c>
      <c r="BA275" s="98"/>
      <c r="BB275" s="98"/>
      <c r="BC275" s="98"/>
      <c r="BD275" s="98"/>
      <c r="BE275" s="98"/>
      <c r="BF275" s="98"/>
      <c r="BG275" s="98"/>
      <c r="BH275" s="98"/>
      <c r="BI275" s="98"/>
      <c r="BJ275" s="99"/>
      <c r="BR275" s="40"/>
      <c r="BS275" s="36" t="str">
        <f>_xlfn.IFNA(VLOOKUP($BR275,[15]Master!$C$4:$J$13,2,FALSE),"-")</f>
        <v>-</v>
      </c>
      <c r="BT275" s="36" t="str">
        <f>_xlfn.IFNA(VLOOKUP($BR275,[15]Master!$C$4:$J$13,3,FALSE),"-")</f>
        <v>-</v>
      </c>
      <c r="BU275" s="36" t="str">
        <f>_xlfn.IFNA(VLOOKUP($BR275,[15]Master!$C$4:$J$13,4,FALSE),"-")</f>
        <v>-</v>
      </c>
      <c r="BV275" s="36" t="str">
        <f>_xlfn.IFNA(VLOOKUP($BR275,[15]Master!$C$4:$J$13,5,FALSE),"-")</f>
        <v>-</v>
      </c>
      <c r="BW275" s="36" t="str">
        <f>_xlfn.IFNA(VLOOKUP($BR275,[15]Master!$C$4:$J$13,6,FALSE),"-")</f>
        <v>-</v>
      </c>
      <c r="BX275" s="36" t="str">
        <f>_xlfn.IFNA(VLOOKUP($BR275,[15]Master!$C$4:$J$13,7,FALSE),"-")</f>
        <v>-</v>
      </c>
      <c r="BY275" s="36" t="str">
        <f>_xlfn.IFNA(VLOOKUP($BR275,[15]Master!$C$4:$J$13,8,FALSE),"-")</f>
        <v>-</v>
      </c>
      <c r="BZ275" s="35">
        <f t="shared" si="6"/>
        <v>0</v>
      </c>
    </row>
    <row r="276" spans="2:78" ht="15.75">
      <c r="B276" s="97"/>
      <c r="C276" s="98" t="s">
        <v>466</v>
      </c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9"/>
      <c r="P276" s="97"/>
      <c r="Q276" s="98"/>
      <c r="R276" s="98"/>
      <c r="S276" s="98"/>
      <c r="T276" s="98"/>
      <c r="U276" s="98"/>
      <c r="V276" s="98"/>
      <c r="W276" s="98"/>
      <c r="X276" s="99"/>
      <c r="Y276" s="97"/>
      <c r="Z276" s="98"/>
      <c r="AA276" s="99"/>
      <c r="AB276" s="97"/>
      <c r="AC276" s="98"/>
      <c r="AD276" s="98"/>
      <c r="AE276" s="98"/>
      <c r="AF276" s="98"/>
      <c r="AG276" s="98"/>
      <c r="AH276" s="98"/>
      <c r="AI276" s="98"/>
      <c r="AJ276" s="99"/>
      <c r="AK276" s="97"/>
      <c r="AL276" s="98"/>
      <c r="AM276" s="99"/>
      <c r="AN276" s="97"/>
      <c r="AO276" s="98"/>
      <c r="AP276" s="98"/>
      <c r="AQ276" s="98"/>
      <c r="AR276" s="98"/>
      <c r="AS276" s="98"/>
      <c r="AT276" s="98"/>
      <c r="AU276" s="98"/>
      <c r="AV276" s="99"/>
      <c r="AW276" s="97" t="s">
        <v>467</v>
      </c>
      <c r="AX276" s="98"/>
      <c r="AY276" s="99"/>
      <c r="AZ276" s="97" t="s">
        <v>468</v>
      </c>
      <c r="BA276" s="98"/>
      <c r="BB276" s="98"/>
      <c r="BC276" s="98"/>
      <c r="BD276" s="98"/>
      <c r="BE276" s="98"/>
      <c r="BF276" s="98"/>
      <c r="BG276" s="98"/>
      <c r="BH276" s="98"/>
      <c r="BI276" s="98"/>
      <c r="BJ276" s="99"/>
      <c r="BR276" s="40"/>
      <c r="BS276" s="36" t="str">
        <f>_xlfn.IFNA(VLOOKUP($BR276,[15]Master!$C$4:$J$13,2,FALSE),"-")</f>
        <v>-</v>
      </c>
      <c r="BT276" s="36" t="str">
        <f>_xlfn.IFNA(VLOOKUP($BR276,[15]Master!$C$4:$J$13,3,FALSE),"-")</f>
        <v>-</v>
      </c>
      <c r="BU276" s="36" t="str">
        <f>_xlfn.IFNA(VLOOKUP($BR276,[15]Master!$C$4:$J$13,4,FALSE),"-")</f>
        <v>-</v>
      </c>
      <c r="BV276" s="36" t="str">
        <f>_xlfn.IFNA(VLOOKUP($BR276,[15]Master!$C$4:$J$13,5,FALSE),"-")</f>
        <v>-</v>
      </c>
      <c r="BW276" s="36" t="str">
        <f>_xlfn.IFNA(VLOOKUP($BR276,[15]Master!$C$4:$J$13,6,FALSE),"-")</f>
        <v>-</v>
      </c>
      <c r="BX276" s="36" t="str">
        <f>_xlfn.IFNA(VLOOKUP($BR276,[15]Master!$C$4:$J$13,7,FALSE),"-")</f>
        <v>-</v>
      </c>
      <c r="BY276" s="36" t="str">
        <f>_xlfn.IFNA(VLOOKUP($BR276,[15]Master!$C$4:$J$13,8,FALSE),"-")</f>
        <v>-</v>
      </c>
      <c r="BZ276" s="35">
        <f t="shared" si="6"/>
        <v>0</v>
      </c>
    </row>
    <row r="277" spans="2:78" ht="15.75">
      <c r="B277" s="97"/>
      <c r="C277" s="98" t="s">
        <v>469</v>
      </c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9"/>
      <c r="P277" s="97"/>
      <c r="Q277" s="98"/>
      <c r="R277" s="98"/>
      <c r="S277" s="98"/>
      <c r="T277" s="98"/>
      <c r="U277" s="98"/>
      <c r="V277" s="98"/>
      <c r="W277" s="98"/>
      <c r="X277" s="99"/>
      <c r="Y277" s="97"/>
      <c r="Z277" s="98"/>
      <c r="AA277" s="99"/>
      <c r="AB277" s="97"/>
      <c r="AC277" s="98"/>
      <c r="AD277" s="98"/>
      <c r="AE277" s="98"/>
      <c r="AF277" s="98"/>
      <c r="AG277" s="98"/>
      <c r="AH277" s="98"/>
      <c r="AI277" s="98"/>
      <c r="AJ277" s="99"/>
      <c r="AK277" s="97"/>
      <c r="AL277" s="98"/>
      <c r="AM277" s="99"/>
      <c r="AN277" s="97"/>
      <c r="AO277" s="98"/>
      <c r="AP277" s="98"/>
      <c r="AQ277" s="98"/>
      <c r="AR277" s="98"/>
      <c r="AS277" s="98"/>
      <c r="AT277" s="98"/>
      <c r="AU277" s="98"/>
      <c r="AV277" s="99"/>
      <c r="AW277" s="97" t="s">
        <v>470</v>
      </c>
      <c r="AX277" s="98"/>
      <c r="AY277" s="99"/>
      <c r="AZ277" s="97" t="s">
        <v>471</v>
      </c>
      <c r="BA277" s="98"/>
      <c r="BB277" s="98"/>
      <c r="BC277" s="98"/>
      <c r="BD277" s="98"/>
      <c r="BE277" s="98"/>
      <c r="BF277" s="98"/>
      <c r="BG277" s="98"/>
      <c r="BH277" s="98"/>
      <c r="BI277" s="98"/>
      <c r="BJ277" s="99"/>
      <c r="BR277" s="40"/>
      <c r="BS277" s="36" t="str">
        <f>_xlfn.IFNA(VLOOKUP($BR277,[15]Master!$C$4:$J$13,2,FALSE),"-")</f>
        <v>-</v>
      </c>
      <c r="BT277" s="36" t="str">
        <f>_xlfn.IFNA(VLOOKUP($BR277,[15]Master!$C$4:$J$13,3,FALSE),"-")</f>
        <v>-</v>
      </c>
      <c r="BU277" s="36" t="str">
        <f>_xlfn.IFNA(VLOOKUP($BR277,[15]Master!$C$4:$J$13,4,FALSE),"-")</f>
        <v>-</v>
      </c>
      <c r="BV277" s="36" t="str">
        <f>_xlfn.IFNA(VLOOKUP($BR277,[15]Master!$C$4:$J$13,5,FALSE),"-")</f>
        <v>-</v>
      </c>
      <c r="BW277" s="36" t="str">
        <f>_xlfn.IFNA(VLOOKUP($BR277,[15]Master!$C$4:$J$13,6,FALSE),"-")</f>
        <v>-</v>
      </c>
      <c r="BX277" s="36" t="str">
        <f>_xlfn.IFNA(VLOOKUP($BR277,[15]Master!$C$4:$J$13,7,FALSE),"-")</f>
        <v>-</v>
      </c>
      <c r="BY277" s="36" t="str">
        <f>_xlfn.IFNA(VLOOKUP($BR277,[15]Master!$C$4:$J$13,8,FALSE),"-")</f>
        <v>-</v>
      </c>
      <c r="BZ277" s="35">
        <f t="shared" si="6"/>
        <v>0</v>
      </c>
    </row>
    <row r="278" spans="2:78" ht="15.75">
      <c r="B278" s="97"/>
      <c r="C278" s="98" t="s">
        <v>472</v>
      </c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9"/>
      <c r="P278" s="97"/>
      <c r="Q278" s="98"/>
      <c r="R278" s="98"/>
      <c r="S278" s="98"/>
      <c r="T278" s="98"/>
      <c r="U278" s="98"/>
      <c r="V278" s="98"/>
      <c r="W278" s="98"/>
      <c r="X278" s="99"/>
      <c r="Y278" s="97"/>
      <c r="Z278" s="98"/>
      <c r="AA278" s="99"/>
      <c r="AB278" s="97"/>
      <c r="AC278" s="98"/>
      <c r="AD278" s="98"/>
      <c r="AE278" s="98"/>
      <c r="AF278" s="98"/>
      <c r="AG278" s="98"/>
      <c r="AH278" s="98"/>
      <c r="AI278" s="98"/>
      <c r="AJ278" s="99"/>
      <c r="AK278" s="97"/>
      <c r="AL278" s="98"/>
      <c r="AM278" s="99"/>
      <c r="AN278" s="97"/>
      <c r="AO278" s="98"/>
      <c r="AP278" s="98"/>
      <c r="AQ278" s="98"/>
      <c r="AR278" s="98"/>
      <c r="AS278" s="98"/>
      <c r="AT278" s="98"/>
      <c r="AU278" s="98"/>
      <c r="AV278" s="99"/>
      <c r="AW278" s="97" t="s">
        <v>473</v>
      </c>
      <c r="AX278" s="98"/>
      <c r="AY278" s="99"/>
      <c r="AZ278" s="97" t="s">
        <v>474</v>
      </c>
      <c r="BA278" s="98"/>
      <c r="BB278" s="98"/>
      <c r="BC278" s="98"/>
      <c r="BD278" s="98"/>
      <c r="BE278" s="98"/>
      <c r="BF278" s="98"/>
      <c r="BG278" s="98"/>
      <c r="BH278" s="98"/>
      <c r="BI278" s="98"/>
      <c r="BJ278" s="99"/>
      <c r="BR278" s="40"/>
      <c r="BS278" s="36" t="str">
        <f>_xlfn.IFNA(VLOOKUP($BR278,[15]Master!$C$4:$J$13,2,FALSE),"-")</f>
        <v>-</v>
      </c>
      <c r="BT278" s="36" t="str">
        <f>_xlfn.IFNA(VLOOKUP($BR278,[15]Master!$C$4:$J$13,3,FALSE),"-")</f>
        <v>-</v>
      </c>
      <c r="BU278" s="36" t="str">
        <f>_xlfn.IFNA(VLOOKUP($BR278,[15]Master!$C$4:$J$13,4,FALSE),"-")</f>
        <v>-</v>
      </c>
      <c r="BV278" s="36" t="str">
        <f>_xlfn.IFNA(VLOOKUP($BR278,[15]Master!$C$4:$J$13,5,FALSE),"-")</f>
        <v>-</v>
      </c>
      <c r="BW278" s="36" t="str">
        <f>_xlfn.IFNA(VLOOKUP($BR278,[15]Master!$C$4:$J$13,6,FALSE),"-")</f>
        <v>-</v>
      </c>
      <c r="BX278" s="36" t="str">
        <f>_xlfn.IFNA(VLOOKUP($BR278,[15]Master!$C$4:$J$13,7,FALSE),"-")</f>
        <v>-</v>
      </c>
      <c r="BY278" s="36" t="str">
        <f>_xlfn.IFNA(VLOOKUP($BR278,[15]Master!$C$4:$J$13,8,FALSE),"-")</f>
        <v>-</v>
      </c>
      <c r="BZ278" s="35">
        <f t="shared" si="6"/>
        <v>0</v>
      </c>
    </row>
    <row r="279" spans="2:78" ht="15.75">
      <c r="B279" s="97"/>
      <c r="C279" s="98" t="s">
        <v>475</v>
      </c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9"/>
      <c r="P279" s="97"/>
      <c r="Q279" s="98"/>
      <c r="R279" s="98"/>
      <c r="S279" s="98"/>
      <c r="T279" s="98"/>
      <c r="U279" s="98"/>
      <c r="V279" s="98"/>
      <c r="W279" s="98"/>
      <c r="X279" s="99"/>
      <c r="Y279" s="97"/>
      <c r="Z279" s="98"/>
      <c r="AA279" s="99"/>
      <c r="AB279" s="97"/>
      <c r="AC279" s="98"/>
      <c r="AD279" s="98"/>
      <c r="AE279" s="98"/>
      <c r="AF279" s="98"/>
      <c r="AG279" s="98"/>
      <c r="AH279" s="98"/>
      <c r="AI279" s="98"/>
      <c r="AJ279" s="99"/>
      <c r="AK279" s="97"/>
      <c r="AL279" s="98"/>
      <c r="AM279" s="99"/>
      <c r="AN279" s="97"/>
      <c r="AO279" s="98"/>
      <c r="AP279" s="98"/>
      <c r="AQ279" s="98"/>
      <c r="AR279" s="98"/>
      <c r="AS279" s="98"/>
      <c r="AT279" s="98"/>
      <c r="AU279" s="98"/>
      <c r="AV279" s="99"/>
      <c r="AW279" s="97" t="s">
        <v>476</v>
      </c>
      <c r="AX279" s="98"/>
      <c r="AY279" s="99"/>
      <c r="AZ279" s="97" t="s">
        <v>477</v>
      </c>
      <c r="BA279" s="98"/>
      <c r="BB279" s="98"/>
      <c r="BC279" s="98"/>
      <c r="BD279" s="98"/>
      <c r="BE279" s="98"/>
      <c r="BF279" s="98"/>
      <c r="BG279" s="98"/>
      <c r="BH279" s="98"/>
      <c r="BI279" s="98"/>
      <c r="BJ279" s="99"/>
      <c r="BR279" s="40"/>
      <c r="BS279" s="36" t="str">
        <f>_xlfn.IFNA(VLOOKUP($BR279,[15]Master!$C$4:$J$13,2,FALSE),"-")</f>
        <v>-</v>
      </c>
      <c r="BT279" s="36" t="str">
        <f>_xlfn.IFNA(VLOOKUP($BR279,[15]Master!$C$4:$J$13,3,FALSE),"-")</f>
        <v>-</v>
      </c>
      <c r="BU279" s="36" t="str">
        <f>_xlfn.IFNA(VLOOKUP($BR279,[15]Master!$C$4:$J$13,4,FALSE),"-")</f>
        <v>-</v>
      </c>
      <c r="BV279" s="36" t="str">
        <f>_xlfn.IFNA(VLOOKUP($BR279,[15]Master!$C$4:$J$13,5,FALSE),"-")</f>
        <v>-</v>
      </c>
      <c r="BW279" s="36" t="str">
        <f>_xlfn.IFNA(VLOOKUP($BR279,[15]Master!$C$4:$J$13,6,FALSE),"-")</f>
        <v>-</v>
      </c>
      <c r="BX279" s="36" t="str">
        <f>_xlfn.IFNA(VLOOKUP($BR279,[15]Master!$C$4:$J$13,7,FALSE),"-")</f>
        <v>-</v>
      </c>
      <c r="BY279" s="36" t="str">
        <f>_xlfn.IFNA(VLOOKUP($BR279,[15]Master!$C$4:$J$13,8,FALSE),"-")</f>
        <v>-</v>
      </c>
      <c r="BZ279" s="35">
        <f t="shared" si="6"/>
        <v>0</v>
      </c>
    </row>
    <row r="280" spans="2:78" ht="15.75">
      <c r="B280" s="97"/>
      <c r="C280" s="98" t="s">
        <v>478</v>
      </c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9"/>
      <c r="P280" s="97"/>
      <c r="Q280" s="98"/>
      <c r="R280" s="98"/>
      <c r="S280" s="98"/>
      <c r="T280" s="98"/>
      <c r="U280" s="98"/>
      <c r="V280" s="98"/>
      <c r="W280" s="98"/>
      <c r="X280" s="99"/>
      <c r="Y280" s="97"/>
      <c r="Z280" s="98"/>
      <c r="AA280" s="99"/>
      <c r="AB280" s="97"/>
      <c r="AC280" s="98"/>
      <c r="AD280" s="98"/>
      <c r="AE280" s="98"/>
      <c r="AF280" s="98"/>
      <c r="AG280" s="98"/>
      <c r="AH280" s="98"/>
      <c r="AI280" s="98"/>
      <c r="AJ280" s="99"/>
      <c r="AK280" s="97"/>
      <c r="AL280" s="98"/>
      <c r="AM280" s="99"/>
      <c r="AN280" s="97"/>
      <c r="AO280" s="98"/>
      <c r="AP280" s="98"/>
      <c r="AQ280" s="98"/>
      <c r="AR280" s="98"/>
      <c r="AS280" s="98"/>
      <c r="AT280" s="98"/>
      <c r="AU280" s="98"/>
      <c r="AV280" s="99"/>
      <c r="AW280" s="97" t="s">
        <v>479</v>
      </c>
      <c r="AX280" s="98"/>
      <c r="AY280" s="99"/>
      <c r="AZ280" s="97" t="s">
        <v>480</v>
      </c>
      <c r="BA280" s="98"/>
      <c r="BB280" s="98"/>
      <c r="BC280" s="98"/>
      <c r="BD280" s="98"/>
      <c r="BE280" s="98"/>
      <c r="BF280" s="98"/>
      <c r="BG280" s="98"/>
      <c r="BH280" s="98"/>
      <c r="BI280" s="98"/>
      <c r="BJ280" s="99"/>
      <c r="BR280" s="40"/>
      <c r="BS280" s="36" t="str">
        <f>_xlfn.IFNA(VLOOKUP($BR280,[15]Master!$C$4:$J$13,2,FALSE),"-")</f>
        <v>-</v>
      </c>
      <c r="BT280" s="36" t="str">
        <f>_xlfn.IFNA(VLOOKUP($BR280,[15]Master!$C$4:$J$13,3,FALSE),"-")</f>
        <v>-</v>
      </c>
      <c r="BU280" s="36" t="str">
        <f>_xlfn.IFNA(VLOOKUP($BR280,[15]Master!$C$4:$J$13,4,FALSE),"-")</f>
        <v>-</v>
      </c>
      <c r="BV280" s="36" t="str">
        <f>_xlfn.IFNA(VLOOKUP($BR280,[15]Master!$C$4:$J$13,5,FALSE),"-")</f>
        <v>-</v>
      </c>
      <c r="BW280" s="36" t="str">
        <f>_xlfn.IFNA(VLOOKUP($BR280,[15]Master!$C$4:$J$13,6,FALSE),"-")</f>
        <v>-</v>
      </c>
      <c r="BX280" s="36" t="str">
        <f>_xlfn.IFNA(VLOOKUP($BR280,[15]Master!$C$4:$J$13,7,FALSE),"-")</f>
        <v>-</v>
      </c>
      <c r="BY280" s="36" t="str">
        <f>_xlfn.IFNA(VLOOKUP($BR280,[15]Master!$C$4:$J$13,8,FALSE),"-")</f>
        <v>-</v>
      </c>
      <c r="BZ280" s="35">
        <f t="shared" si="6"/>
        <v>0</v>
      </c>
    </row>
    <row r="281" spans="2:78" ht="15.75">
      <c r="B281" s="97"/>
      <c r="C281" s="98" t="s">
        <v>481</v>
      </c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9"/>
      <c r="P281" s="97"/>
      <c r="Q281" s="98"/>
      <c r="R281" s="98"/>
      <c r="S281" s="98"/>
      <c r="T281" s="98"/>
      <c r="U281" s="98"/>
      <c r="V281" s="98"/>
      <c r="W281" s="98"/>
      <c r="X281" s="99"/>
      <c r="Y281" s="97"/>
      <c r="Z281" s="98"/>
      <c r="AA281" s="99"/>
      <c r="AB281" s="97"/>
      <c r="AC281" s="98"/>
      <c r="AD281" s="98"/>
      <c r="AE281" s="98"/>
      <c r="AF281" s="98"/>
      <c r="AG281" s="98"/>
      <c r="AH281" s="98"/>
      <c r="AI281" s="98"/>
      <c r="AJ281" s="99"/>
      <c r="AK281" s="97"/>
      <c r="AL281" s="98"/>
      <c r="AM281" s="99"/>
      <c r="AN281" s="97"/>
      <c r="AO281" s="98"/>
      <c r="AP281" s="98"/>
      <c r="AQ281" s="98"/>
      <c r="AR281" s="98"/>
      <c r="AS281" s="98"/>
      <c r="AT281" s="98"/>
      <c r="AU281" s="98"/>
      <c r="AV281" s="99"/>
      <c r="AW281" s="97" t="s">
        <v>482</v>
      </c>
      <c r="AX281" s="98"/>
      <c r="AY281" s="99"/>
      <c r="AZ281" s="97" t="s">
        <v>483</v>
      </c>
      <c r="BA281" s="98"/>
      <c r="BB281" s="98"/>
      <c r="BC281" s="98"/>
      <c r="BD281" s="98"/>
      <c r="BE281" s="98"/>
      <c r="BF281" s="98"/>
      <c r="BG281" s="98"/>
      <c r="BH281" s="98"/>
      <c r="BI281" s="98"/>
      <c r="BJ281" s="99"/>
      <c r="BR281" s="40"/>
      <c r="BS281" s="36" t="str">
        <f>_xlfn.IFNA(VLOOKUP($BR281,[15]Master!$C$4:$J$13,2,FALSE),"-")</f>
        <v>-</v>
      </c>
      <c r="BT281" s="36" t="str">
        <f>_xlfn.IFNA(VLOOKUP($BR281,[15]Master!$C$4:$J$13,3,FALSE),"-")</f>
        <v>-</v>
      </c>
      <c r="BU281" s="36" t="str">
        <f>_xlfn.IFNA(VLOOKUP($BR281,[15]Master!$C$4:$J$13,4,FALSE),"-")</f>
        <v>-</v>
      </c>
      <c r="BV281" s="36" t="str">
        <f>_xlfn.IFNA(VLOOKUP($BR281,[15]Master!$C$4:$J$13,5,FALSE),"-")</f>
        <v>-</v>
      </c>
      <c r="BW281" s="36" t="str">
        <f>_xlfn.IFNA(VLOOKUP($BR281,[15]Master!$C$4:$J$13,6,FALSE),"-")</f>
        <v>-</v>
      </c>
      <c r="BX281" s="36" t="str">
        <f>_xlfn.IFNA(VLOOKUP($BR281,[15]Master!$C$4:$J$13,7,FALSE),"-")</f>
        <v>-</v>
      </c>
      <c r="BY281" s="36" t="str">
        <f>_xlfn.IFNA(VLOOKUP($BR281,[15]Master!$C$4:$J$13,8,FALSE),"-")</f>
        <v>-</v>
      </c>
      <c r="BZ281" s="35">
        <f t="shared" si="6"/>
        <v>0</v>
      </c>
    </row>
    <row r="282" spans="2:78" ht="15.75">
      <c r="B282" s="97"/>
      <c r="C282" s="98" t="s">
        <v>484</v>
      </c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9"/>
      <c r="P282" s="97"/>
      <c r="Q282" s="98"/>
      <c r="R282" s="98"/>
      <c r="S282" s="98"/>
      <c r="T282" s="98"/>
      <c r="U282" s="98"/>
      <c r="V282" s="98"/>
      <c r="W282" s="98"/>
      <c r="X282" s="99"/>
      <c r="Y282" s="97"/>
      <c r="Z282" s="98"/>
      <c r="AA282" s="99"/>
      <c r="AB282" s="97"/>
      <c r="AC282" s="98"/>
      <c r="AD282" s="98"/>
      <c r="AE282" s="98"/>
      <c r="AF282" s="98"/>
      <c r="AG282" s="98"/>
      <c r="AH282" s="98"/>
      <c r="AI282" s="98"/>
      <c r="AJ282" s="99"/>
      <c r="AK282" s="97"/>
      <c r="AL282" s="98"/>
      <c r="AM282" s="99"/>
      <c r="AN282" s="97"/>
      <c r="AO282" s="98"/>
      <c r="AP282" s="98"/>
      <c r="AQ282" s="98"/>
      <c r="AR282" s="98"/>
      <c r="AS282" s="98"/>
      <c r="AT282" s="98"/>
      <c r="AU282" s="98"/>
      <c r="AV282" s="99"/>
      <c r="AW282" s="97" t="s">
        <v>485</v>
      </c>
      <c r="AX282" s="98"/>
      <c r="AY282" s="99"/>
      <c r="AZ282" s="97" t="s">
        <v>486</v>
      </c>
      <c r="BA282" s="98"/>
      <c r="BB282" s="98"/>
      <c r="BC282" s="98"/>
      <c r="BD282" s="98"/>
      <c r="BE282" s="98"/>
      <c r="BF282" s="98"/>
      <c r="BG282" s="98"/>
      <c r="BH282" s="98"/>
      <c r="BI282" s="98"/>
      <c r="BJ282" s="99"/>
      <c r="BR282" s="40"/>
      <c r="BS282" s="36" t="str">
        <f>_xlfn.IFNA(VLOOKUP($BR282,[15]Master!$C$4:$J$13,2,FALSE),"-")</f>
        <v>-</v>
      </c>
      <c r="BT282" s="36" t="str">
        <f>_xlfn.IFNA(VLOOKUP($BR282,[15]Master!$C$4:$J$13,3,FALSE),"-")</f>
        <v>-</v>
      </c>
      <c r="BU282" s="36" t="str">
        <f>_xlfn.IFNA(VLOOKUP($BR282,[15]Master!$C$4:$J$13,4,FALSE),"-")</f>
        <v>-</v>
      </c>
      <c r="BV282" s="36" t="str">
        <f>_xlfn.IFNA(VLOOKUP($BR282,[15]Master!$C$4:$J$13,5,FALSE),"-")</f>
        <v>-</v>
      </c>
      <c r="BW282" s="36" t="str">
        <f>_xlfn.IFNA(VLOOKUP($BR282,[15]Master!$C$4:$J$13,6,FALSE),"-")</f>
        <v>-</v>
      </c>
      <c r="BX282" s="36" t="str">
        <f>_xlfn.IFNA(VLOOKUP($BR282,[15]Master!$C$4:$J$13,7,FALSE),"-")</f>
        <v>-</v>
      </c>
      <c r="BY282" s="36" t="str">
        <f>_xlfn.IFNA(VLOOKUP($BR282,[15]Master!$C$4:$J$13,8,FALSE),"-")</f>
        <v>-</v>
      </c>
      <c r="BZ282" s="35">
        <f t="shared" si="6"/>
        <v>0</v>
      </c>
    </row>
    <row r="283" spans="2:78" ht="15.75">
      <c r="B283" s="97"/>
      <c r="C283" s="98" t="s">
        <v>487</v>
      </c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9"/>
      <c r="P283" s="97"/>
      <c r="Q283" s="98"/>
      <c r="R283" s="98"/>
      <c r="S283" s="98"/>
      <c r="T283" s="98"/>
      <c r="U283" s="98"/>
      <c r="V283" s="98"/>
      <c r="W283" s="98"/>
      <c r="X283" s="99"/>
      <c r="Y283" s="97"/>
      <c r="Z283" s="98"/>
      <c r="AA283" s="99"/>
      <c r="AB283" s="97"/>
      <c r="AC283" s="98"/>
      <c r="AD283" s="98"/>
      <c r="AE283" s="98"/>
      <c r="AF283" s="98"/>
      <c r="AG283" s="98"/>
      <c r="AH283" s="98"/>
      <c r="AI283" s="98"/>
      <c r="AJ283" s="99"/>
      <c r="AK283" s="97"/>
      <c r="AL283" s="98"/>
      <c r="AM283" s="99"/>
      <c r="AN283" s="97"/>
      <c r="AO283" s="98"/>
      <c r="AP283" s="98"/>
      <c r="AQ283" s="98"/>
      <c r="AR283" s="98"/>
      <c r="AS283" s="98"/>
      <c r="AT283" s="98"/>
      <c r="AU283" s="98"/>
      <c r="AV283" s="99"/>
      <c r="AW283" s="97" t="s">
        <v>488</v>
      </c>
      <c r="AX283" s="98"/>
      <c r="AY283" s="99"/>
      <c r="AZ283" s="97" t="s">
        <v>489</v>
      </c>
      <c r="BA283" s="98"/>
      <c r="BB283" s="98"/>
      <c r="BC283" s="98"/>
      <c r="BD283" s="98"/>
      <c r="BE283" s="98"/>
      <c r="BF283" s="98"/>
      <c r="BG283" s="98"/>
      <c r="BH283" s="98"/>
      <c r="BI283" s="98"/>
      <c r="BJ283" s="99"/>
      <c r="BR283" s="40"/>
      <c r="BS283" s="36" t="str">
        <f>_xlfn.IFNA(VLOOKUP($BR283,[15]Master!$C$4:$J$13,2,FALSE),"-")</f>
        <v>-</v>
      </c>
      <c r="BT283" s="36" t="str">
        <f>_xlfn.IFNA(VLOOKUP($BR283,[15]Master!$C$4:$J$13,3,FALSE),"-")</f>
        <v>-</v>
      </c>
      <c r="BU283" s="36" t="str">
        <f>_xlfn.IFNA(VLOOKUP($BR283,[15]Master!$C$4:$J$13,4,FALSE),"-")</f>
        <v>-</v>
      </c>
      <c r="BV283" s="36" t="str">
        <f>_xlfn.IFNA(VLOOKUP($BR283,[15]Master!$C$4:$J$13,5,FALSE),"-")</f>
        <v>-</v>
      </c>
      <c r="BW283" s="36" t="str">
        <f>_xlfn.IFNA(VLOOKUP($BR283,[15]Master!$C$4:$J$13,6,FALSE),"-")</f>
        <v>-</v>
      </c>
      <c r="BX283" s="36" t="str">
        <f>_xlfn.IFNA(VLOOKUP($BR283,[15]Master!$C$4:$J$13,7,FALSE),"-")</f>
        <v>-</v>
      </c>
      <c r="BY283" s="36" t="str">
        <f>_xlfn.IFNA(VLOOKUP($BR283,[15]Master!$C$4:$J$13,8,FALSE),"-")</f>
        <v>-</v>
      </c>
      <c r="BZ283" s="35">
        <f t="shared" si="6"/>
        <v>0</v>
      </c>
    </row>
    <row r="284" spans="2:78" ht="15.75">
      <c r="B284" s="97"/>
      <c r="C284" s="98" t="s">
        <v>490</v>
      </c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9"/>
      <c r="P284" s="97"/>
      <c r="Q284" s="98"/>
      <c r="R284" s="98"/>
      <c r="S284" s="98"/>
      <c r="T284" s="98"/>
      <c r="U284" s="98"/>
      <c r="V284" s="98"/>
      <c r="W284" s="98"/>
      <c r="X284" s="99"/>
      <c r="Y284" s="97"/>
      <c r="Z284" s="98"/>
      <c r="AA284" s="99"/>
      <c r="AB284" s="97"/>
      <c r="AC284" s="98"/>
      <c r="AD284" s="98"/>
      <c r="AE284" s="98"/>
      <c r="AF284" s="98"/>
      <c r="AG284" s="98"/>
      <c r="AH284" s="98"/>
      <c r="AI284" s="98"/>
      <c r="AJ284" s="99"/>
      <c r="AK284" s="97"/>
      <c r="AL284" s="98"/>
      <c r="AM284" s="99"/>
      <c r="AN284" s="97"/>
      <c r="AO284" s="98"/>
      <c r="AP284" s="98"/>
      <c r="AQ284" s="98"/>
      <c r="AR284" s="98"/>
      <c r="AS284" s="98"/>
      <c r="AT284" s="98"/>
      <c r="AU284" s="98"/>
      <c r="AV284" s="99"/>
      <c r="AW284" s="97" t="s">
        <v>491</v>
      </c>
      <c r="AX284" s="98"/>
      <c r="AY284" s="99"/>
      <c r="AZ284" s="97" t="s">
        <v>492</v>
      </c>
      <c r="BA284" s="98"/>
      <c r="BB284" s="98"/>
      <c r="BC284" s="98"/>
      <c r="BD284" s="98"/>
      <c r="BE284" s="98"/>
      <c r="BF284" s="98"/>
      <c r="BG284" s="98"/>
      <c r="BH284" s="98"/>
      <c r="BI284" s="98"/>
      <c r="BJ284" s="99"/>
      <c r="BR284" s="40"/>
      <c r="BS284" s="36" t="str">
        <f>_xlfn.IFNA(VLOOKUP($BR284,[15]Master!$C$4:$J$13,2,FALSE),"-")</f>
        <v>-</v>
      </c>
      <c r="BT284" s="36" t="str">
        <f>_xlfn.IFNA(VLOOKUP($BR284,[15]Master!$C$4:$J$13,3,FALSE),"-")</f>
        <v>-</v>
      </c>
      <c r="BU284" s="36" t="str">
        <f>_xlfn.IFNA(VLOOKUP($BR284,[15]Master!$C$4:$J$13,4,FALSE),"-")</f>
        <v>-</v>
      </c>
      <c r="BV284" s="36" t="str">
        <f>_xlfn.IFNA(VLOOKUP($BR284,[15]Master!$C$4:$J$13,5,FALSE),"-")</f>
        <v>-</v>
      </c>
      <c r="BW284" s="36" t="str">
        <f>_xlfn.IFNA(VLOOKUP($BR284,[15]Master!$C$4:$J$13,6,FALSE),"-")</f>
        <v>-</v>
      </c>
      <c r="BX284" s="36" t="str">
        <f>_xlfn.IFNA(VLOOKUP($BR284,[15]Master!$C$4:$J$13,7,FALSE),"-")</f>
        <v>-</v>
      </c>
      <c r="BY284" s="36" t="str">
        <f>_xlfn.IFNA(VLOOKUP($BR284,[15]Master!$C$4:$J$13,8,FALSE),"-")</f>
        <v>-</v>
      </c>
      <c r="BZ284" s="35">
        <f t="shared" si="6"/>
        <v>0</v>
      </c>
    </row>
    <row r="285" spans="2:78" ht="15.75">
      <c r="B285" s="97"/>
      <c r="C285" s="98" t="s">
        <v>493</v>
      </c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9"/>
      <c r="P285" s="97"/>
      <c r="Q285" s="98"/>
      <c r="R285" s="98"/>
      <c r="S285" s="98"/>
      <c r="T285" s="98"/>
      <c r="U285" s="98"/>
      <c r="V285" s="98"/>
      <c r="W285" s="98"/>
      <c r="X285" s="99"/>
      <c r="Y285" s="97"/>
      <c r="Z285" s="98"/>
      <c r="AA285" s="99"/>
      <c r="AB285" s="97"/>
      <c r="AC285" s="98"/>
      <c r="AD285" s="98"/>
      <c r="AE285" s="98"/>
      <c r="AF285" s="98"/>
      <c r="AG285" s="98"/>
      <c r="AH285" s="98"/>
      <c r="AI285" s="98"/>
      <c r="AJ285" s="99"/>
      <c r="AK285" s="97"/>
      <c r="AL285" s="98"/>
      <c r="AM285" s="99"/>
      <c r="AN285" s="97"/>
      <c r="AO285" s="98"/>
      <c r="AP285" s="98"/>
      <c r="AQ285" s="98"/>
      <c r="AR285" s="98"/>
      <c r="AS285" s="98"/>
      <c r="AT285" s="98"/>
      <c r="AU285" s="98"/>
      <c r="AV285" s="99"/>
      <c r="AW285" s="97" t="s">
        <v>494</v>
      </c>
      <c r="AX285" s="98"/>
      <c r="AY285" s="99"/>
      <c r="AZ285" s="97" t="s">
        <v>495</v>
      </c>
      <c r="BA285" s="98"/>
      <c r="BB285" s="98"/>
      <c r="BC285" s="98"/>
      <c r="BD285" s="98"/>
      <c r="BE285" s="98"/>
      <c r="BF285" s="98"/>
      <c r="BG285" s="98"/>
      <c r="BH285" s="98"/>
      <c r="BI285" s="98"/>
      <c r="BJ285" s="99"/>
      <c r="BR285" s="40"/>
      <c r="BS285" s="36" t="str">
        <f>_xlfn.IFNA(VLOOKUP($BR285,[15]Master!$C$4:$J$13,2,FALSE),"-")</f>
        <v>-</v>
      </c>
      <c r="BT285" s="36" t="str">
        <f>_xlfn.IFNA(VLOOKUP($BR285,[15]Master!$C$4:$J$13,3,FALSE),"-")</f>
        <v>-</v>
      </c>
      <c r="BU285" s="36" t="str">
        <f>_xlfn.IFNA(VLOOKUP($BR285,[15]Master!$C$4:$J$13,4,FALSE),"-")</f>
        <v>-</v>
      </c>
      <c r="BV285" s="36" t="str">
        <f>_xlfn.IFNA(VLOOKUP($BR285,[15]Master!$C$4:$J$13,5,FALSE),"-")</f>
        <v>-</v>
      </c>
      <c r="BW285" s="36" t="str">
        <f>_xlfn.IFNA(VLOOKUP($BR285,[15]Master!$C$4:$J$13,6,FALSE),"-")</f>
        <v>-</v>
      </c>
      <c r="BX285" s="36" t="str">
        <f>_xlfn.IFNA(VLOOKUP($BR285,[15]Master!$C$4:$J$13,7,FALSE),"-")</f>
        <v>-</v>
      </c>
      <c r="BY285" s="36" t="str">
        <f>_xlfn.IFNA(VLOOKUP($BR285,[15]Master!$C$4:$J$13,8,FALSE),"-")</f>
        <v>-</v>
      </c>
      <c r="BZ285" s="35">
        <f t="shared" si="6"/>
        <v>0</v>
      </c>
    </row>
    <row r="286" spans="2:78" ht="15.75">
      <c r="B286" s="97"/>
      <c r="C286" s="98" t="s">
        <v>496</v>
      </c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9"/>
      <c r="P286" s="97"/>
      <c r="Q286" s="98"/>
      <c r="R286" s="98"/>
      <c r="S286" s="98"/>
      <c r="T286" s="98"/>
      <c r="U286" s="98"/>
      <c r="V286" s="98"/>
      <c r="W286" s="98"/>
      <c r="X286" s="99"/>
      <c r="Y286" s="97"/>
      <c r="Z286" s="98"/>
      <c r="AA286" s="99"/>
      <c r="AB286" s="97"/>
      <c r="AC286" s="98"/>
      <c r="AD286" s="98"/>
      <c r="AE286" s="98"/>
      <c r="AF286" s="98"/>
      <c r="AG286" s="98"/>
      <c r="AH286" s="98"/>
      <c r="AI286" s="98"/>
      <c r="AJ286" s="99"/>
      <c r="AK286" s="97"/>
      <c r="AL286" s="98"/>
      <c r="AM286" s="99"/>
      <c r="AN286" s="97"/>
      <c r="AO286" s="98"/>
      <c r="AP286" s="98"/>
      <c r="AQ286" s="98"/>
      <c r="AR286" s="98"/>
      <c r="AS286" s="98"/>
      <c r="AT286" s="98"/>
      <c r="AU286" s="98"/>
      <c r="AV286" s="99"/>
      <c r="AW286" s="97" t="s">
        <v>497</v>
      </c>
      <c r="AX286" s="98"/>
      <c r="AY286" s="99"/>
      <c r="AZ286" s="97" t="s">
        <v>498</v>
      </c>
      <c r="BA286" s="98"/>
      <c r="BB286" s="98"/>
      <c r="BC286" s="98"/>
      <c r="BD286" s="98"/>
      <c r="BE286" s="98"/>
      <c r="BF286" s="98"/>
      <c r="BG286" s="98"/>
      <c r="BH286" s="98"/>
      <c r="BI286" s="98"/>
      <c r="BJ286" s="99"/>
      <c r="BR286" s="40"/>
      <c r="BS286" s="36" t="str">
        <f>_xlfn.IFNA(VLOOKUP($BR286,[15]Master!$C$4:$J$13,2,FALSE),"-")</f>
        <v>-</v>
      </c>
      <c r="BT286" s="36" t="str">
        <f>_xlfn.IFNA(VLOOKUP($BR286,[15]Master!$C$4:$J$13,3,FALSE),"-")</f>
        <v>-</v>
      </c>
      <c r="BU286" s="36" t="str">
        <f>_xlfn.IFNA(VLOOKUP($BR286,[15]Master!$C$4:$J$13,4,FALSE),"-")</f>
        <v>-</v>
      </c>
      <c r="BV286" s="36" t="str">
        <f>_xlfn.IFNA(VLOOKUP($BR286,[15]Master!$C$4:$J$13,5,FALSE),"-")</f>
        <v>-</v>
      </c>
      <c r="BW286" s="36" t="str">
        <f>_xlfn.IFNA(VLOOKUP($BR286,[15]Master!$C$4:$J$13,6,FALSE),"-")</f>
        <v>-</v>
      </c>
      <c r="BX286" s="36" t="str">
        <f>_xlfn.IFNA(VLOOKUP($BR286,[15]Master!$C$4:$J$13,7,FALSE),"-")</f>
        <v>-</v>
      </c>
      <c r="BY286" s="36" t="str">
        <f>_xlfn.IFNA(VLOOKUP($BR286,[15]Master!$C$4:$J$13,8,FALSE),"-")</f>
        <v>-</v>
      </c>
      <c r="BZ286" s="35">
        <f t="shared" si="6"/>
        <v>0</v>
      </c>
    </row>
    <row r="287" spans="2:78" ht="15.75">
      <c r="B287" s="97"/>
      <c r="C287" s="98" t="s">
        <v>499</v>
      </c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9"/>
      <c r="P287" s="97"/>
      <c r="Q287" s="98"/>
      <c r="R287" s="98"/>
      <c r="S287" s="98"/>
      <c r="T287" s="98"/>
      <c r="U287" s="98"/>
      <c r="V287" s="98"/>
      <c r="W287" s="98"/>
      <c r="X287" s="99"/>
      <c r="Y287" s="97"/>
      <c r="Z287" s="98"/>
      <c r="AA287" s="99"/>
      <c r="AB287" s="97"/>
      <c r="AC287" s="98"/>
      <c r="AD287" s="98"/>
      <c r="AE287" s="98"/>
      <c r="AF287" s="98"/>
      <c r="AG287" s="98"/>
      <c r="AH287" s="98"/>
      <c r="AI287" s="98"/>
      <c r="AJ287" s="99"/>
      <c r="AK287" s="97"/>
      <c r="AL287" s="98"/>
      <c r="AM287" s="99"/>
      <c r="AN287" s="97"/>
      <c r="AO287" s="98"/>
      <c r="AP287" s="98"/>
      <c r="AQ287" s="98"/>
      <c r="AR287" s="98"/>
      <c r="AS287" s="98"/>
      <c r="AT287" s="98"/>
      <c r="AU287" s="98"/>
      <c r="AV287" s="99"/>
      <c r="AW287" s="97" t="s">
        <v>500</v>
      </c>
      <c r="AX287" s="98"/>
      <c r="AY287" s="99"/>
      <c r="AZ287" s="97" t="s">
        <v>501</v>
      </c>
      <c r="BA287" s="98"/>
      <c r="BB287" s="98"/>
      <c r="BC287" s="98"/>
      <c r="BD287" s="98"/>
      <c r="BE287" s="98"/>
      <c r="BF287" s="98"/>
      <c r="BG287" s="98"/>
      <c r="BH287" s="98"/>
      <c r="BI287" s="98"/>
      <c r="BJ287" s="99"/>
      <c r="BR287" s="40"/>
      <c r="BS287" s="36" t="str">
        <f>_xlfn.IFNA(VLOOKUP($BR287,[15]Master!$C$4:$J$13,2,FALSE),"-")</f>
        <v>-</v>
      </c>
      <c r="BT287" s="36" t="str">
        <f>_xlfn.IFNA(VLOOKUP($BR287,[15]Master!$C$4:$J$13,3,FALSE),"-")</f>
        <v>-</v>
      </c>
      <c r="BU287" s="36" t="str">
        <f>_xlfn.IFNA(VLOOKUP($BR287,[15]Master!$C$4:$J$13,4,FALSE),"-")</f>
        <v>-</v>
      </c>
      <c r="BV287" s="36" t="str">
        <f>_xlfn.IFNA(VLOOKUP($BR287,[15]Master!$C$4:$J$13,5,FALSE),"-")</f>
        <v>-</v>
      </c>
      <c r="BW287" s="36" t="str">
        <f>_xlfn.IFNA(VLOOKUP($BR287,[15]Master!$C$4:$J$13,6,FALSE),"-")</f>
        <v>-</v>
      </c>
      <c r="BX287" s="36" t="str">
        <f>_xlfn.IFNA(VLOOKUP($BR287,[15]Master!$C$4:$J$13,7,FALSE),"-")</f>
        <v>-</v>
      </c>
      <c r="BY287" s="36" t="str">
        <f>_xlfn.IFNA(VLOOKUP($BR287,[15]Master!$C$4:$J$13,8,FALSE),"-")</f>
        <v>-</v>
      </c>
      <c r="BZ287" s="35">
        <f t="shared" si="6"/>
        <v>0</v>
      </c>
    </row>
    <row r="288" spans="2:78" ht="15.75">
      <c r="B288" s="97"/>
      <c r="C288" s="98" t="s">
        <v>502</v>
      </c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9"/>
      <c r="P288" s="97"/>
      <c r="Q288" s="98"/>
      <c r="R288" s="98"/>
      <c r="S288" s="98"/>
      <c r="T288" s="98"/>
      <c r="U288" s="98"/>
      <c r="V288" s="98"/>
      <c r="W288" s="98"/>
      <c r="X288" s="99"/>
      <c r="Y288" s="97"/>
      <c r="Z288" s="98"/>
      <c r="AA288" s="99"/>
      <c r="AB288" s="97"/>
      <c r="AC288" s="98"/>
      <c r="AD288" s="98"/>
      <c r="AE288" s="98"/>
      <c r="AF288" s="98"/>
      <c r="AG288" s="98"/>
      <c r="AH288" s="98"/>
      <c r="AI288" s="98"/>
      <c r="AJ288" s="99"/>
      <c r="AK288" s="97"/>
      <c r="AL288" s="98"/>
      <c r="AM288" s="99"/>
      <c r="AN288" s="97"/>
      <c r="AO288" s="98"/>
      <c r="AP288" s="98"/>
      <c r="AQ288" s="98"/>
      <c r="AR288" s="98"/>
      <c r="AS288" s="98"/>
      <c r="AT288" s="98"/>
      <c r="AU288" s="98"/>
      <c r="AV288" s="99"/>
      <c r="AW288" s="97" t="s">
        <v>503</v>
      </c>
      <c r="AX288" s="98"/>
      <c r="AY288" s="99"/>
      <c r="AZ288" s="97" t="s">
        <v>504</v>
      </c>
      <c r="BA288" s="98"/>
      <c r="BB288" s="98"/>
      <c r="BC288" s="98"/>
      <c r="BD288" s="98"/>
      <c r="BE288" s="98"/>
      <c r="BF288" s="98"/>
      <c r="BG288" s="98"/>
      <c r="BH288" s="98"/>
      <c r="BI288" s="98"/>
      <c r="BJ288" s="99"/>
      <c r="BR288" s="40"/>
      <c r="BS288" s="36" t="str">
        <f>_xlfn.IFNA(VLOOKUP($BR288,[15]Master!$C$4:$J$13,2,FALSE),"-")</f>
        <v>-</v>
      </c>
      <c r="BT288" s="36" t="str">
        <f>_xlfn.IFNA(VLOOKUP($BR288,[15]Master!$C$4:$J$13,3,FALSE),"-")</f>
        <v>-</v>
      </c>
      <c r="BU288" s="36" t="str">
        <f>_xlfn.IFNA(VLOOKUP($BR288,[15]Master!$C$4:$J$13,4,FALSE),"-")</f>
        <v>-</v>
      </c>
      <c r="BV288" s="36" t="str">
        <f>_xlfn.IFNA(VLOOKUP($BR288,[15]Master!$C$4:$J$13,5,FALSE),"-")</f>
        <v>-</v>
      </c>
      <c r="BW288" s="36" t="str">
        <f>_xlfn.IFNA(VLOOKUP($BR288,[15]Master!$C$4:$J$13,6,FALSE),"-")</f>
        <v>-</v>
      </c>
      <c r="BX288" s="36" t="str">
        <f>_xlfn.IFNA(VLOOKUP($BR288,[15]Master!$C$4:$J$13,7,FALSE),"-")</f>
        <v>-</v>
      </c>
      <c r="BY288" s="36" t="str">
        <f>_xlfn.IFNA(VLOOKUP($BR288,[15]Master!$C$4:$J$13,8,FALSE),"-")</f>
        <v>-</v>
      </c>
      <c r="BZ288" s="35">
        <f t="shared" si="6"/>
        <v>0</v>
      </c>
    </row>
    <row r="289" spans="2:78" ht="15.75">
      <c r="B289" s="97"/>
      <c r="C289" s="98" t="s">
        <v>505</v>
      </c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9"/>
      <c r="P289" s="97"/>
      <c r="Q289" s="98"/>
      <c r="R289" s="98"/>
      <c r="S289" s="98"/>
      <c r="T289" s="98"/>
      <c r="U289" s="98"/>
      <c r="V289" s="98"/>
      <c r="W289" s="98"/>
      <c r="X289" s="99"/>
      <c r="Y289" s="97"/>
      <c r="Z289" s="98"/>
      <c r="AA289" s="99"/>
      <c r="AB289" s="97"/>
      <c r="AC289" s="98"/>
      <c r="AD289" s="98"/>
      <c r="AE289" s="98"/>
      <c r="AF289" s="98"/>
      <c r="AG289" s="98"/>
      <c r="AH289" s="98"/>
      <c r="AI289" s="98"/>
      <c r="AJ289" s="99"/>
      <c r="AK289" s="97"/>
      <c r="AL289" s="98"/>
      <c r="AM289" s="99"/>
      <c r="AN289" s="97"/>
      <c r="AO289" s="98"/>
      <c r="AP289" s="98"/>
      <c r="AQ289" s="98"/>
      <c r="AR289" s="98"/>
      <c r="AS289" s="98"/>
      <c r="AT289" s="98"/>
      <c r="AU289" s="98"/>
      <c r="AV289" s="99"/>
      <c r="AW289" s="97" t="s">
        <v>506</v>
      </c>
      <c r="AX289" s="98"/>
      <c r="AY289" s="99"/>
      <c r="AZ289" s="97" t="s">
        <v>507</v>
      </c>
      <c r="BA289" s="98"/>
      <c r="BB289" s="98"/>
      <c r="BC289" s="98"/>
      <c r="BD289" s="98"/>
      <c r="BE289" s="98"/>
      <c r="BF289" s="98"/>
      <c r="BG289" s="98"/>
      <c r="BH289" s="98"/>
      <c r="BI289" s="98"/>
      <c r="BJ289" s="99"/>
      <c r="BR289" s="40"/>
      <c r="BS289" s="36" t="str">
        <f>_xlfn.IFNA(VLOOKUP($BR289,[15]Master!$C$4:$J$13,2,FALSE),"-")</f>
        <v>-</v>
      </c>
      <c r="BT289" s="36" t="str">
        <f>_xlfn.IFNA(VLOOKUP($BR289,[15]Master!$C$4:$J$13,3,FALSE),"-")</f>
        <v>-</v>
      </c>
      <c r="BU289" s="36" t="str">
        <f>_xlfn.IFNA(VLOOKUP($BR289,[15]Master!$C$4:$J$13,4,FALSE),"-")</f>
        <v>-</v>
      </c>
      <c r="BV289" s="36" t="str">
        <f>_xlfn.IFNA(VLOOKUP($BR289,[15]Master!$C$4:$J$13,5,FALSE),"-")</f>
        <v>-</v>
      </c>
      <c r="BW289" s="36" t="str">
        <f>_xlfn.IFNA(VLOOKUP($BR289,[15]Master!$C$4:$J$13,6,FALSE),"-")</f>
        <v>-</v>
      </c>
      <c r="BX289" s="36" t="str">
        <f>_xlfn.IFNA(VLOOKUP($BR289,[15]Master!$C$4:$J$13,7,FALSE),"-")</f>
        <v>-</v>
      </c>
      <c r="BY289" s="36" t="str">
        <f>_xlfn.IFNA(VLOOKUP($BR289,[15]Master!$C$4:$J$13,8,FALSE),"-")</f>
        <v>-</v>
      </c>
      <c r="BZ289" s="35">
        <f t="shared" si="6"/>
        <v>0</v>
      </c>
    </row>
    <row r="290" spans="2:78" ht="15.75">
      <c r="B290" s="97"/>
      <c r="C290" s="98" t="s">
        <v>508</v>
      </c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9"/>
      <c r="P290" s="97"/>
      <c r="Q290" s="98"/>
      <c r="R290" s="98"/>
      <c r="S290" s="98"/>
      <c r="T290" s="98"/>
      <c r="U290" s="98"/>
      <c r="V290" s="98"/>
      <c r="W290" s="98"/>
      <c r="X290" s="99"/>
      <c r="Y290" s="97"/>
      <c r="Z290" s="98"/>
      <c r="AA290" s="99"/>
      <c r="AB290" s="97"/>
      <c r="AC290" s="98"/>
      <c r="AD290" s="98"/>
      <c r="AE290" s="98"/>
      <c r="AF290" s="98"/>
      <c r="AG290" s="98"/>
      <c r="AH290" s="98"/>
      <c r="AI290" s="98"/>
      <c r="AJ290" s="99"/>
      <c r="AK290" s="97"/>
      <c r="AL290" s="98"/>
      <c r="AM290" s="99"/>
      <c r="AN290" s="97"/>
      <c r="AO290" s="98"/>
      <c r="AP290" s="98"/>
      <c r="AQ290" s="98"/>
      <c r="AR290" s="98"/>
      <c r="AS290" s="98"/>
      <c r="AT290" s="98"/>
      <c r="AU290" s="98"/>
      <c r="AV290" s="99"/>
      <c r="AW290" s="97" t="s">
        <v>509</v>
      </c>
      <c r="AX290" s="98"/>
      <c r="AY290" s="99"/>
      <c r="AZ290" s="97" t="s">
        <v>510</v>
      </c>
      <c r="BA290" s="98"/>
      <c r="BB290" s="98"/>
      <c r="BC290" s="98"/>
      <c r="BD290" s="98"/>
      <c r="BE290" s="98"/>
      <c r="BF290" s="98"/>
      <c r="BG290" s="98"/>
      <c r="BH290" s="98"/>
      <c r="BI290" s="98"/>
      <c r="BJ290" s="99"/>
      <c r="BR290" s="40"/>
      <c r="BS290" s="36" t="str">
        <f>_xlfn.IFNA(VLOOKUP($BR290,[15]Master!$C$4:$J$13,2,FALSE),"-")</f>
        <v>-</v>
      </c>
      <c r="BT290" s="36" t="str">
        <f>_xlfn.IFNA(VLOOKUP($BR290,[15]Master!$C$4:$J$13,3,FALSE),"-")</f>
        <v>-</v>
      </c>
      <c r="BU290" s="36" t="str">
        <f>_xlfn.IFNA(VLOOKUP($BR290,[15]Master!$C$4:$J$13,4,FALSE),"-")</f>
        <v>-</v>
      </c>
      <c r="BV290" s="36" t="str">
        <f>_xlfn.IFNA(VLOOKUP($BR290,[15]Master!$C$4:$J$13,5,FALSE),"-")</f>
        <v>-</v>
      </c>
      <c r="BW290" s="36" t="str">
        <f>_xlfn.IFNA(VLOOKUP($BR290,[15]Master!$C$4:$J$13,6,FALSE),"-")</f>
        <v>-</v>
      </c>
      <c r="BX290" s="36" t="str">
        <f>_xlfn.IFNA(VLOOKUP($BR290,[15]Master!$C$4:$J$13,7,FALSE),"-")</f>
        <v>-</v>
      </c>
      <c r="BY290" s="36" t="str">
        <f>_xlfn.IFNA(VLOOKUP($BR290,[15]Master!$C$4:$J$13,8,FALSE),"-")</f>
        <v>-</v>
      </c>
      <c r="BZ290" s="35">
        <f t="shared" si="6"/>
        <v>0</v>
      </c>
    </row>
    <row r="291" spans="2:78" ht="15.75">
      <c r="B291" s="97"/>
      <c r="C291" s="98" t="s">
        <v>511</v>
      </c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9"/>
      <c r="P291" s="97"/>
      <c r="Q291" s="98"/>
      <c r="R291" s="98"/>
      <c r="S291" s="98"/>
      <c r="T291" s="98"/>
      <c r="U291" s="98"/>
      <c r="V291" s="98"/>
      <c r="W291" s="98"/>
      <c r="X291" s="99"/>
      <c r="Y291" s="97"/>
      <c r="Z291" s="98"/>
      <c r="AA291" s="99"/>
      <c r="AB291" s="97"/>
      <c r="AC291" s="98"/>
      <c r="AD291" s="98"/>
      <c r="AE291" s="98"/>
      <c r="AF291" s="98"/>
      <c r="AG291" s="98"/>
      <c r="AH291" s="98"/>
      <c r="AI291" s="98"/>
      <c r="AJ291" s="99"/>
      <c r="AK291" s="97"/>
      <c r="AL291" s="98"/>
      <c r="AM291" s="99"/>
      <c r="AN291" s="97"/>
      <c r="AO291" s="98"/>
      <c r="AP291" s="98"/>
      <c r="AQ291" s="98"/>
      <c r="AR291" s="98"/>
      <c r="AS291" s="98"/>
      <c r="AT291" s="98"/>
      <c r="AU291" s="98"/>
      <c r="AV291" s="99"/>
      <c r="AW291" s="97" t="s">
        <v>512</v>
      </c>
      <c r="AX291" s="98"/>
      <c r="AY291" s="99"/>
      <c r="AZ291" s="97" t="s">
        <v>513</v>
      </c>
      <c r="BA291" s="98"/>
      <c r="BB291" s="98"/>
      <c r="BC291" s="98"/>
      <c r="BD291" s="98"/>
      <c r="BE291" s="98"/>
      <c r="BF291" s="98"/>
      <c r="BG291" s="98"/>
      <c r="BH291" s="98"/>
      <c r="BI291" s="98"/>
      <c r="BJ291" s="99"/>
      <c r="BR291" s="40"/>
      <c r="BS291" s="36" t="str">
        <f>_xlfn.IFNA(VLOOKUP($BR291,[15]Master!$C$4:$J$13,2,FALSE),"-")</f>
        <v>-</v>
      </c>
      <c r="BT291" s="36" t="str">
        <f>_xlfn.IFNA(VLOOKUP($BR291,[15]Master!$C$4:$J$13,3,FALSE),"-")</f>
        <v>-</v>
      </c>
      <c r="BU291" s="36" t="str">
        <f>_xlfn.IFNA(VLOOKUP($BR291,[15]Master!$C$4:$J$13,4,FALSE),"-")</f>
        <v>-</v>
      </c>
      <c r="BV291" s="36" t="str">
        <f>_xlfn.IFNA(VLOOKUP($BR291,[15]Master!$C$4:$J$13,5,FALSE),"-")</f>
        <v>-</v>
      </c>
      <c r="BW291" s="36" t="str">
        <f>_xlfn.IFNA(VLOOKUP($BR291,[15]Master!$C$4:$J$13,6,FALSE),"-")</f>
        <v>-</v>
      </c>
      <c r="BX291" s="36" t="str">
        <f>_xlfn.IFNA(VLOOKUP($BR291,[15]Master!$C$4:$J$13,7,FALSE),"-")</f>
        <v>-</v>
      </c>
      <c r="BY291" s="36" t="str">
        <f>_xlfn.IFNA(VLOOKUP($BR291,[15]Master!$C$4:$J$13,8,FALSE),"-")</f>
        <v>-</v>
      </c>
      <c r="BZ291" s="35">
        <f t="shared" si="6"/>
        <v>0</v>
      </c>
    </row>
    <row r="292" spans="2:78" ht="15.75">
      <c r="B292" s="97"/>
      <c r="C292" s="98" t="s">
        <v>514</v>
      </c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9"/>
      <c r="P292" s="97"/>
      <c r="Q292" s="98"/>
      <c r="R292" s="98"/>
      <c r="S292" s="98"/>
      <c r="T292" s="98"/>
      <c r="U292" s="98"/>
      <c r="V292" s="98"/>
      <c r="W292" s="98"/>
      <c r="X292" s="99"/>
      <c r="Y292" s="97"/>
      <c r="Z292" s="98"/>
      <c r="AA292" s="99"/>
      <c r="AB292" s="97"/>
      <c r="AC292" s="98"/>
      <c r="AD292" s="98"/>
      <c r="AE292" s="98"/>
      <c r="AF292" s="98"/>
      <c r="AG292" s="98"/>
      <c r="AH292" s="98"/>
      <c r="AI292" s="98"/>
      <c r="AJ292" s="99"/>
      <c r="AK292" s="97"/>
      <c r="AL292" s="98"/>
      <c r="AM292" s="99"/>
      <c r="AN292" s="97"/>
      <c r="AO292" s="98"/>
      <c r="AP292" s="98"/>
      <c r="AQ292" s="98"/>
      <c r="AR292" s="98"/>
      <c r="AS292" s="98"/>
      <c r="AT292" s="98"/>
      <c r="AU292" s="98"/>
      <c r="AV292" s="99"/>
      <c r="AW292" s="97" t="s">
        <v>515</v>
      </c>
      <c r="AX292" s="98"/>
      <c r="AY292" s="99"/>
      <c r="AZ292" s="97" t="s">
        <v>516</v>
      </c>
      <c r="BA292" s="98"/>
      <c r="BB292" s="98"/>
      <c r="BC292" s="98"/>
      <c r="BD292" s="98"/>
      <c r="BE292" s="98"/>
      <c r="BF292" s="98"/>
      <c r="BG292" s="98"/>
      <c r="BH292" s="98"/>
      <c r="BI292" s="98"/>
      <c r="BJ292" s="99"/>
      <c r="BR292" s="40"/>
      <c r="BS292" s="36" t="str">
        <f>_xlfn.IFNA(VLOOKUP($BR292,[15]Master!$C$4:$J$13,2,FALSE),"-")</f>
        <v>-</v>
      </c>
      <c r="BT292" s="36" t="str">
        <f>_xlfn.IFNA(VLOOKUP($BR292,[15]Master!$C$4:$J$13,3,FALSE),"-")</f>
        <v>-</v>
      </c>
      <c r="BU292" s="36" t="str">
        <f>_xlfn.IFNA(VLOOKUP($BR292,[15]Master!$C$4:$J$13,4,FALSE),"-")</f>
        <v>-</v>
      </c>
      <c r="BV292" s="36" t="str">
        <f>_xlfn.IFNA(VLOOKUP($BR292,[15]Master!$C$4:$J$13,5,FALSE),"-")</f>
        <v>-</v>
      </c>
      <c r="BW292" s="36" t="str">
        <f>_xlfn.IFNA(VLOOKUP($BR292,[15]Master!$C$4:$J$13,6,FALSE),"-")</f>
        <v>-</v>
      </c>
      <c r="BX292" s="36" t="str">
        <f>_xlfn.IFNA(VLOOKUP($BR292,[15]Master!$C$4:$J$13,7,FALSE),"-")</f>
        <v>-</v>
      </c>
      <c r="BY292" s="36" t="str">
        <f>_xlfn.IFNA(VLOOKUP($BR292,[15]Master!$C$4:$J$13,8,FALSE),"-")</f>
        <v>-</v>
      </c>
      <c r="BZ292" s="35">
        <f t="shared" si="6"/>
        <v>0</v>
      </c>
    </row>
    <row r="293" spans="2:78" ht="15.75">
      <c r="B293" s="97"/>
      <c r="C293" s="98" t="s">
        <v>517</v>
      </c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9"/>
      <c r="P293" s="97"/>
      <c r="Q293" s="98"/>
      <c r="R293" s="98"/>
      <c r="S293" s="98"/>
      <c r="T293" s="98"/>
      <c r="U293" s="98"/>
      <c r="V293" s="98"/>
      <c r="W293" s="98"/>
      <c r="X293" s="99"/>
      <c r="Y293" s="97"/>
      <c r="Z293" s="98"/>
      <c r="AA293" s="99"/>
      <c r="AB293" s="97"/>
      <c r="AC293" s="98"/>
      <c r="AD293" s="98"/>
      <c r="AE293" s="98"/>
      <c r="AF293" s="98"/>
      <c r="AG293" s="98"/>
      <c r="AH293" s="98"/>
      <c r="AI293" s="98"/>
      <c r="AJ293" s="99"/>
      <c r="AK293" s="97"/>
      <c r="AL293" s="98"/>
      <c r="AM293" s="99"/>
      <c r="AN293" s="97"/>
      <c r="AO293" s="98"/>
      <c r="AP293" s="98"/>
      <c r="AQ293" s="98"/>
      <c r="AR293" s="98"/>
      <c r="AS293" s="98"/>
      <c r="AT293" s="98"/>
      <c r="AU293" s="98"/>
      <c r="AV293" s="99"/>
      <c r="AW293" s="97" t="s">
        <v>518</v>
      </c>
      <c r="AX293" s="98"/>
      <c r="AY293" s="99"/>
      <c r="AZ293" s="97" t="s">
        <v>519</v>
      </c>
      <c r="BA293" s="98"/>
      <c r="BB293" s="98"/>
      <c r="BC293" s="98"/>
      <c r="BD293" s="98"/>
      <c r="BE293" s="98"/>
      <c r="BF293" s="98"/>
      <c r="BG293" s="98"/>
      <c r="BH293" s="98"/>
      <c r="BI293" s="98"/>
      <c r="BJ293" s="99"/>
      <c r="BR293" s="40"/>
      <c r="BS293" s="36" t="str">
        <f>_xlfn.IFNA(VLOOKUP($BR293,[15]Master!$C$4:$J$13,2,FALSE),"-")</f>
        <v>-</v>
      </c>
      <c r="BT293" s="36" t="str">
        <f>_xlfn.IFNA(VLOOKUP($BR293,[15]Master!$C$4:$J$13,3,FALSE),"-")</f>
        <v>-</v>
      </c>
      <c r="BU293" s="36" t="str">
        <f>_xlfn.IFNA(VLOOKUP($BR293,[15]Master!$C$4:$J$13,4,FALSE),"-")</f>
        <v>-</v>
      </c>
      <c r="BV293" s="36" t="str">
        <f>_xlfn.IFNA(VLOOKUP($BR293,[15]Master!$C$4:$J$13,5,FALSE),"-")</f>
        <v>-</v>
      </c>
      <c r="BW293" s="36" t="str">
        <f>_xlfn.IFNA(VLOOKUP($BR293,[15]Master!$C$4:$J$13,6,FALSE),"-")</f>
        <v>-</v>
      </c>
      <c r="BX293" s="36" t="str">
        <f>_xlfn.IFNA(VLOOKUP($BR293,[15]Master!$C$4:$J$13,7,FALSE),"-")</f>
        <v>-</v>
      </c>
      <c r="BY293" s="36" t="str">
        <f>_xlfn.IFNA(VLOOKUP($BR293,[15]Master!$C$4:$J$13,8,FALSE),"-")</f>
        <v>-</v>
      </c>
      <c r="BZ293" s="35">
        <f t="shared" si="6"/>
        <v>0</v>
      </c>
    </row>
    <row r="294" spans="2:78" ht="15.75">
      <c r="B294" s="97"/>
      <c r="C294" s="98" t="s">
        <v>520</v>
      </c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9"/>
      <c r="P294" s="97"/>
      <c r="Q294" s="98"/>
      <c r="R294" s="98"/>
      <c r="S294" s="98"/>
      <c r="T294" s="98"/>
      <c r="U294" s="98"/>
      <c r="V294" s="98"/>
      <c r="W294" s="98"/>
      <c r="X294" s="99"/>
      <c r="Y294" s="97"/>
      <c r="Z294" s="98"/>
      <c r="AA294" s="99"/>
      <c r="AB294" s="97"/>
      <c r="AC294" s="98"/>
      <c r="AD294" s="98"/>
      <c r="AE294" s="98"/>
      <c r="AF294" s="98"/>
      <c r="AG294" s="98"/>
      <c r="AH294" s="98"/>
      <c r="AI294" s="98"/>
      <c r="AJ294" s="99"/>
      <c r="AK294" s="97"/>
      <c r="AL294" s="98"/>
      <c r="AM294" s="99"/>
      <c r="AN294" s="97"/>
      <c r="AO294" s="98"/>
      <c r="AP294" s="98"/>
      <c r="AQ294" s="98"/>
      <c r="AR294" s="98"/>
      <c r="AS294" s="98"/>
      <c r="AT294" s="98"/>
      <c r="AU294" s="98"/>
      <c r="AV294" s="99"/>
      <c r="AW294" s="97" t="s">
        <v>521</v>
      </c>
      <c r="AX294" s="98"/>
      <c r="AY294" s="99"/>
      <c r="AZ294" s="97" t="s">
        <v>522</v>
      </c>
      <c r="BA294" s="98"/>
      <c r="BB294" s="98"/>
      <c r="BC294" s="98"/>
      <c r="BD294" s="98"/>
      <c r="BE294" s="98"/>
      <c r="BF294" s="98"/>
      <c r="BG294" s="98"/>
      <c r="BH294" s="98"/>
      <c r="BI294" s="98"/>
      <c r="BJ294" s="99"/>
      <c r="BR294" s="40"/>
      <c r="BS294" s="36" t="str">
        <f>_xlfn.IFNA(VLOOKUP($BR294,[15]Master!$C$4:$J$13,2,FALSE),"-")</f>
        <v>-</v>
      </c>
      <c r="BT294" s="36" t="str">
        <f>_xlfn.IFNA(VLOOKUP($BR294,[15]Master!$C$4:$J$13,3,FALSE),"-")</f>
        <v>-</v>
      </c>
      <c r="BU294" s="36" t="str">
        <f>_xlfn.IFNA(VLOOKUP($BR294,[15]Master!$C$4:$J$13,4,FALSE),"-")</f>
        <v>-</v>
      </c>
      <c r="BV294" s="36" t="str">
        <f>_xlfn.IFNA(VLOOKUP($BR294,[15]Master!$C$4:$J$13,5,FALSE),"-")</f>
        <v>-</v>
      </c>
      <c r="BW294" s="36" t="str">
        <f>_xlfn.IFNA(VLOOKUP($BR294,[15]Master!$C$4:$J$13,6,FALSE),"-")</f>
        <v>-</v>
      </c>
      <c r="BX294" s="36" t="str">
        <f>_xlfn.IFNA(VLOOKUP($BR294,[15]Master!$C$4:$J$13,7,FALSE),"-")</f>
        <v>-</v>
      </c>
      <c r="BY294" s="36" t="str">
        <f>_xlfn.IFNA(VLOOKUP($BR294,[15]Master!$C$4:$J$13,8,FALSE),"-")</f>
        <v>-</v>
      </c>
      <c r="BZ294" s="35">
        <f t="shared" si="6"/>
        <v>0</v>
      </c>
    </row>
    <row r="295" spans="2:78" ht="15.75">
      <c r="B295" s="97"/>
      <c r="C295" s="98" t="s">
        <v>523</v>
      </c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9"/>
      <c r="P295" s="97"/>
      <c r="Q295" s="98"/>
      <c r="R295" s="98"/>
      <c r="S295" s="98"/>
      <c r="T295" s="98"/>
      <c r="U295" s="98"/>
      <c r="V295" s="98"/>
      <c r="W295" s="98"/>
      <c r="X295" s="99"/>
      <c r="Y295" s="97"/>
      <c r="Z295" s="98"/>
      <c r="AA295" s="99"/>
      <c r="AB295" s="97"/>
      <c r="AC295" s="98"/>
      <c r="AD295" s="98"/>
      <c r="AE295" s="98"/>
      <c r="AF295" s="98"/>
      <c r="AG295" s="98"/>
      <c r="AH295" s="98"/>
      <c r="AI295" s="98"/>
      <c r="AJ295" s="99"/>
      <c r="AK295" s="97"/>
      <c r="AL295" s="98"/>
      <c r="AM295" s="99"/>
      <c r="AN295" s="97"/>
      <c r="AO295" s="98"/>
      <c r="AP295" s="98"/>
      <c r="AQ295" s="98"/>
      <c r="AR295" s="98"/>
      <c r="AS295" s="98"/>
      <c r="AT295" s="98"/>
      <c r="AU295" s="98"/>
      <c r="AV295" s="99"/>
      <c r="AW295" s="97" t="s">
        <v>524</v>
      </c>
      <c r="AX295" s="98"/>
      <c r="AY295" s="99"/>
      <c r="AZ295" s="97" t="s">
        <v>525</v>
      </c>
      <c r="BA295" s="98"/>
      <c r="BB295" s="98"/>
      <c r="BC295" s="98"/>
      <c r="BD295" s="98"/>
      <c r="BE295" s="98"/>
      <c r="BF295" s="98"/>
      <c r="BG295" s="98"/>
      <c r="BH295" s="98"/>
      <c r="BI295" s="98"/>
      <c r="BJ295" s="99"/>
      <c r="BR295" s="40"/>
      <c r="BS295" s="36" t="str">
        <f>_xlfn.IFNA(VLOOKUP($BR295,[15]Master!$C$4:$J$13,2,FALSE),"-")</f>
        <v>-</v>
      </c>
      <c r="BT295" s="36" t="str">
        <f>_xlfn.IFNA(VLOOKUP($BR295,[15]Master!$C$4:$J$13,3,FALSE),"-")</f>
        <v>-</v>
      </c>
      <c r="BU295" s="36" t="str">
        <f>_xlfn.IFNA(VLOOKUP($BR295,[15]Master!$C$4:$J$13,4,FALSE),"-")</f>
        <v>-</v>
      </c>
      <c r="BV295" s="36" t="str">
        <f>_xlfn.IFNA(VLOOKUP($BR295,[15]Master!$C$4:$J$13,5,FALSE),"-")</f>
        <v>-</v>
      </c>
      <c r="BW295" s="36" t="str">
        <f>_xlfn.IFNA(VLOOKUP($BR295,[15]Master!$C$4:$J$13,6,FALSE),"-")</f>
        <v>-</v>
      </c>
      <c r="BX295" s="36" t="str">
        <f>_xlfn.IFNA(VLOOKUP($BR295,[15]Master!$C$4:$J$13,7,FALSE),"-")</f>
        <v>-</v>
      </c>
      <c r="BY295" s="36" t="str">
        <f>_xlfn.IFNA(VLOOKUP($BR295,[15]Master!$C$4:$J$13,8,FALSE),"-")</f>
        <v>-</v>
      </c>
      <c r="BZ295" s="35">
        <f t="shared" si="6"/>
        <v>0</v>
      </c>
    </row>
    <row r="296" spans="2:78" ht="15.75">
      <c r="B296" s="97"/>
      <c r="C296" s="98" t="s">
        <v>526</v>
      </c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9"/>
      <c r="P296" s="97"/>
      <c r="Q296" s="98"/>
      <c r="R296" s="98"/>
      <c r="S296" s="98"/>
      <c r="T296" s="98"/>
      <c r="U296" s="98"/>
      <c r="V296" s="98"/>
      <c r="W296" s="98"/>
      <c r="X296" s="99"/>
      <c r="Y296" s="97"/>
      <c r="Z296" s="98"/>
      <c r="AA296" s="99"/>
      <c r="AB296" s="97"/>
      <c r="AC296" s="98"/>
      <c r="AD296" s="98"/>
      <c r="AE296" s="98"/>
      <c r="AF296" s="98"/>
      <c r="AG296" s="98"/>
      <c r="AH296" s="98"/>
      <c r="AI296" s="98"/>
      <c r="AJ296" s="99"/>
      <c r="AK296" s="97"/>
      <c r="AL296" s="98"/>
      <c r="AM296" s="99"/>
      <c r="AN296" s="97"/>
      <c r="AO296" s="98"/>
      <c r="AP296" s="98"/>
      <c r="AQ296" s="98"/>
      <c r="AR296" s="98"/>
      <c r="AS296" s="98"/>
      <c r="AT296" s="98"/>
      <c r="AU296" s="98"/>
      <c r="AV296" s="99"/>
      <c r="AW296" s="97" t="s">
        <v>527</v>
      </c>
      <c r="AX296" s="98"/>
      <c r="AY296" s="99"/>
      <c r="AZ296" s="97" t="s">
        <v>528</v>
      </c>
      <c r="BA296" s="98"/>
      <c r="BB296" s="98"/>
      <c r="BC296" s="98"/>
      <c r="BD296" s="98"/>
      <c r="BE296" s="98"/>
      <c r="BF296" s="98"/>
      <c r="BG296" s="98"/>
      <c r="BH296" s="98"/>
      <c r="BI296" s="98"/>
      <c r="BJ296" s="99"/>
      <c r="BR296" s="40"/>
      <c r="BS296" s="36" t="str">
        <f>_xlfn.IFNA(VLOOKUP($BR296,[15]Master!$C$4:$J$13,2,FALSE),"-")</f>
        <v>-</v>
      </c>
      <c r="BT296" s="36" t="str">
        <f>_xlfn.IFNA(VLOOKUP($BR296,[15]Master!$C$4:$J$13,3,FALSE),"-")</f>
        <v>-</v>
      </c>
      <c r="BU296" s="36" t="str">
        <f>_xlfn.IFNA(VLOOKUP($BR296,[15]Master!$C$4:$J$13,4,FALSE),"-")</f>
        <v>-</v>
      </c>
      <c r="BV296" s="36" t="str">
        <f>_xlfn.IFNA(VLOOKUP($BR296,[15]Master!$C$4:$J$13,5,FALSE),"-")</f>
        <v>-</v>
      </c>
      <c r="BW296" s="36" t="str">
        <f>_xlfn.IFNA(VLOOKUP($BR296,[15]Master!$C$4:$J$13,6,FALSE),"-")</f>
        <v>-</v>
      </c>
      <c r="BX296" s="36" t="str">
        <f>_xlfn.IFNA(VLOOKUP($BR296,[15]Master!$C$4:$J$13,7,FALSE),"-")</f>
        <v>-</v>
      </c>
      <c r="BY296" s="36" t="str">
        <f>_xlfn.IFNA(VLOOKUP($BR296,[15]Master!$C$4:$J$13,8,FALSE),"-")</f>
        <v>-</v>
      </c>
      <c r="BZ296" s="35">
        <f t="shared" si="6"/>
        <v>0</v>
      </c>
    </row>
    <row r="297" spans="2:78" ht="15.75">
      <c r="B297" s="97"/>
      <c r="C297" s="98" t="s">
        <v>529</v>
      </c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9"/>
      <c r="P297" s="97"/>
      <c r="Q297" s="98"/>
      <c r="R297" s="98"/>
      <c r="S297" s="98"/>
      <c r="T297" s="98"/>
      <c r="U297" s="98"/>
      <c r="V297" s="98"/>
      <c r="W297" s="98"/>
      <c r="X297" s="99"/>
      <c r="Y297" s="97"/>
      <c r="Z297" s="98"/>
      <c r="AA297" s="99"/>
      <c r="AB297" s="97"/>
      <c r="AC297" s="98"/>
      <c r="AD297" s="98"/>
      <c r="AE297" s="98"/>
      <c r="AF297" s="98"/>
      <c r="AG297" s="98"/>
      <c r="AH297" s="98"/>
      <c r="AI297" s="98"/>
      <c r="AJ297" s="99"/>
      <c r="AK297" s="97"/>
      <c r="AL297" s="98"/>
      <c r="AM297" s="99"/>
      <c r="AN297" s="97"/>
      <c r="AO297" s="98"/>
      <c r="AP297" s="98"/>
      <c r="AQ297" s="98"/>
      <c r="AR297" s="98"/>
      <c r="AS297" s="98"/>
      <c r="AT297" s="98"/>
      <c r="AU297" s="98"/>
      <c r="AV297" s="99"/>
      <c r="AW297" s="97" t="s">
        <v>530</v>
      </c>
      <c r="AX297" s="98"/>
      <c r="AY297" s="99"/>
      <c r="AZ297" s="97" t="s">
        <v>531</v>
      </c>
      <c r="BA297" s="98"/>
      <c r="BB297" s="98"/>
      <c r="BC297" s="98"/>
      <c r="BD297" s="98"/>
      <c r="BE297" s="98"/>
      <c r="BF297" s="98"/>
      <c r="BG297" s="98"/>
      <c r="BH297" s="98"/>
      <c r="BI297" s="98"/>
      <c r="BJ297" s="99"/>
      <c r="BR297" s="40"/>
      <c r="BS297" s="36" t="str">
        <f>_xlfn.IFNA(VLOOKUP($BR297,[15]Master!$C$4:$J$13,2,FALSE),"-")</f>
        <v>-</v>
      </c>
      <c r="BT297" s="36" t="str">
        <f>_xlfn.IFNA(VLOOKUP($BR297,[15]Master!$C$4:$J$13,3,FALSE),"-")</f>
        <v>-</v>
      </c>
      <c r="BU297" s="36" t="str">
        <f>_xlfn.IFNA(VLOOKUP($BR297,[15]Master!$C$4:$J$13,4,FALSE),"-")</f>
        <v>-</v>
      </c>
      <c r="BV297" s="36" t="str">
        <f>_xlfn.IFNA(VLOOKUP($BR297,[15]Master!$C$4:$J$13,5,FALSE),"-")</f>
        <v>-</v>
      </c>
      <c r="BW297" s="36" t="str">
        <f>_xlfn.IFNA(VLOOKUP($BR297,[15]Master!$C$4:$J$13,6,FALSE),"-")</f>
        <v>-</v>
      </c>
      <c r="BX297" s="36" t="str">
        <f>_xlfn.IFNA(VLOOKUP($BR297,[15]Master!$C$4:$J$13,7,FALSE),"-")</f>
        <v>-</v>
      </c>
      <c r="BY297" s="36" t="str">
        <f>_xlfn.IFNA(VLOOKUP($BR297,[15]Master!$C$4:$J$13,8,FALSE),"-")</f>
        <v>-</v>
      </c>
      <c r="BZ297" s="35">
        <f t="shared" si="6"/>
        <v>0</v>
      </c>
    </row>
    <row r="298" spans="2:78" ht="15.75">
      <c r="B298" s="97"/>
      <c r="C298" s="98" t="s">
        <v>532</v>
      </c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9"/>
      <c r="P298" s="97"/>
      <c r="Q298" s="98"/>
      <c r="R298" s="98"/>
      <c r="S298" s="98"/>
      <c r="T298" s="98"/>
      <c r="U298" s="98"/>
      <c r="V298" s="98"/>
      <c r="W298" s="98"/>
      <c r="X298" s="99"/>
      <c r="Y298" s="97"/>
      <c r="Z298" s="98"/>
      <c r="AA298" s="99"/>
      <c r="AB298" s="97"/>
      <c r="AC298" s="98"/>
      <c r="AD298" s="98"/>
      <c r="AE298" s="98"/>
      <c r="AF298" s="98"/>
      <c r="AG298" s="98"/>
      <c r="AH298" s="98"/>
      <c r="AI298" s="98"/>
      <c r="AJ298" s="99"/>
      <c r="AK298" s="97"/>
      <c r="AL298" s="98"/>
      <c r="AM298" s="99"/>
      <c r="AN298" s="97"/>
      <c r="AO298" s="98"/>
      <c r="AP298" s="98"/>
      <c r="AQ298" s="98"/>
      <c r="AR298" s="98"/>
      <c r="AS298" s="98"/>
      <c r="AT298" s="98"/>
      <c r="AU298" s="98"/>
      <c r="AV298" s="99"/>
      <c r="AW298" s="97" t="s">
        <v>533</v>
      </c>
      <c r="AX298" s="98"/>
      <c r="AY298" s="99"/>
      <c r="AZ298" s="97" t="s">
        <v>534</v>
      </c>
      <c r="BA298" s="98"/>
      <c r="BB298" s="98"/>
      <c r="BC298" s="98"/>
      <c r="BD298" s="98"/>
      <c r="BE298" s="98"/>
      <c r="BF298" s="98"/>
      <c r="BG298" s="98"/>
      <c r="BH298" s="98"/>
      <c r="BI298" s="98"/>
      <c r="BJ298" s="99"/>
      <c r="BR298" s="40"/>
      <c r="BS298" s="36" t="str">
        <f>_xlfn.IFNA(VLOOKUP($BR298,[15]Master!$C$4:$J$13,2,FALSE),"-")</f>
        <v>-</v>
      </c>
      <c r="BT298" s="36" t="str">
        <f>_xlfn.IFNA(VLOOKUP($BR298,[15]Master!$C$4:$J$13,3,FALSE),"-")</f>
        <v>-</v>
      </c>
      <c r="BU298" s="36" t="str">
        <f>_xlfn.IFNA(VLOOKUP($BR298,[15]Master!$C$4:$J$13,4,FALSE),"-")</f>
        <v>-</v>
      </c>
      <c r="BV298" s="36" t="str">
        <f>_xlfn.IFNA(VLOOKUP($BR298,[15]Master!$C$4:$J$13,5,FALSE),"-")</f>
        <v>-</v>
      </c>
      <c r="BW298" s="36" t="str">
        <f>_xlfn.IFNA(VLOOKUP($BR298,[15]Master!$C$4:$J$13,6,FALSE),"-")</f>
        <v>-</v>
      </c>
      <c r="BX298" s="36" t="str">
        <f>_xlfn.IFNA(VLOOKUP($BR298,[15]Master!$C$4:$J$13,7,FALSE),"-")</f>
        <v>-</v>
      </c>
      <c r="BY298" s="36" t="str">
        <f>_xlfn.IFNA(VLOOKUP($BR298,[15]Master!$C$4:$J$13,8,FALSE),"-")</f>
        <v>-</v>
      </c>
      <c r="BZ298" s="35">
        <f t="shared" si="6"/>
        <v>0</v>
      </c>
    </row>
    <row r="299" spans="2:78" ht="15.75">
      <c r="B299" s="97"/>
      <c r="C299" s="98" t="s">
        <v>535</v>
      </c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9"/>
      <c r="P299" s="97"/>
      <c r="Q299" s="98"/>
      <c r="R299" s="98"/>
      <c r="S299" s="98"/>
      <c r="T299" s="98"/>
      <c r="U299" s="98"/>
      <c r="V299" s="98"/>
      <c r="W299" s="98"/>
      <c r="X299" s="99"/>
      <c r="Y299" s="97"/>
      <c r="Z299" s="98"/>
      <c r="AA299" s="99"/>
      <c r="AB299" s="97"/>
      <c r="AC299" s="98"/>
      <c r="AD299" s="98"/>
      <c r="AE299" s="98"/>
      <c r="AF299" s="98"/>
      <c r="AG299" s="98"/>
      <c r="AH299" s="98"/>
      <c r="AI299" s="98"/>
      <c r="AJ299" s="99"/>
      <c r="AK299" s="97"/>
      <c r="AL299" s="98"/>
      <c r="AM299" s="99"/>
      <c r="AN299" s="97"/>
      <c r="AO299" s="98"/>
      <c r="AP299" s="98"/>
      <c r="AQ299" s="98"/>
      <c r="AR299" s="98"/>
      <c r="AS299" s="98"/>
      <c r="AT299" s="98"/>
      <c r="AU299" s="98"/>
      <c r="AV299" s="99"/>
      <c r="AW299" s="97" t="s">
        <v>536</v>
      </c>
      <c r="AX299" s="98"/>
      <c r="AY299" s="99"/>
      <c r="AZ299" s="97" t="s">
        <v>537</v>
      </c>
      <c r="BA299" s="98"/>
      <c r="BB299" s="98"/>
      <c r="BC299" s="98"/>
      <c r="BD299" s="98"/>
      <c r="BE299" s="98"/>
      <c r="BF299" s="98"/>
      <c r="BG299" s="98"/>
      <c r="BH299" s="98"/>
      <c r="BI299" s="98"/>
      <c r="BJ299" s="99"/>
      <c r="BR299" s="40"/>
      <c r="BS299" s="36" t="str">
        <f>_xlfn.IFNA(VLOOKUP($BR299,[15]Master!$C$4:$J$13,2,FALSE),"-")</f>
        <v>-</v>
      </c>
      <c r="BT299" s="36" t="str">
        <f>_xlfn.IFNA(VLOOKUP($BR299,[15]Master!$C$4:$J$13,3,FALSE),"-")</f>
        <v>-</v>
      </c>
      <c r="BU299" s="36" t="str">
        <f>_xlfn.IFNA(VLOOKUP($BR299,[15]Master!$C$4:$J$13,4,FALSE),"-")</f>
        <v>-</v>
      </c>
      <c r="BV299" s="36" t="str">
        <f>_xlfn.IFNA(VLOOKUP($BR299,[15]Master!$C$4:$J$13,5,FALSE),"-")</f>
        <v>-</v>
      </c>
      <c r="BW299" s="36" t="str">
        <f>_xlfn.IFNA(VLOOKUP($BR299,[15]Master!$C$4:$J$13,6,FALSE),"-")</f>
        <v>-</v>
      </c>
      <c r="BX299" s="36" t="str">
        <f>_xlfn.IFNA(VLOOKUP($BR299,[15]Master!$C$4:$J$13,7,FALSE),"-")</f>
        <v>-</v>
      </c>
      <c r="BY299" s="36" t="str">
        <f>_xlfn.IFNA(VLOOKUP($BR299,[15]Master!$C$4:$J$13,8,FALSE),"-")</f>
        <v>-</v>
      </c>
      <c r="BZ299" s="35">
        <f t="shared" si="6"/>
        <v>0</v>
      </c>
    </row>
    <row r="300" spans="2:78" ht="15.75">
      <c r="B300" s="97"/>
      <c r="C300" s="98" t="s">
        <v>538</v>
      </c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9"/>
      <c r="P300" s="97"/>
      <c r="Q300" s="98"/>
      <c r="R300" s="98"/>
      <c r="S300" s="98"/>
      <c r="T300" s="98"/>
      <c r="U300" s="98"/>
      <c r="V300" s="98"/>
      <c r="W300" s="98"/>
      <c r="X300" s="99"/>
      <c r="Y300" s="97"/>
      <c r="Z300" s="98"/>
      <c r="AA300" s="99"/>
      <c r="AB300" s="97"/>
      <c r="AC300" s="98"/>
      <c r="AD300" s="98"/>
      <c r="AE300" s="98"/>
      <c r="AF300" s="98"/>
      <c r="AG300" s="98"/>
      <c r="AH300" s="98"/>
      <c r="AI300" s="98"/>
      <c r="AJ300" s="99"/>
      <c r="AK300" s="97"/>
      <c r="AL300" s="98"/>
      <c r="AM300" s="99"/>
      <c r="AN300" s="97"/>
      <c r="AO300" s="98"/>
      <c r="AP300" s="98"/>
      <c r="AQ300" s="98"/>
      <c r="AR300" s="98"/>
      <c r="AS300" s="98"/>
      <c r="AT300" s="98"/>
      <c r="AU300" s="98"/>
      <c r="AV300" s="99"/>
      <c r="AW300" s="97" t="s">
        <v>539</v>
      </c>
      <c r="AX300" s="98"/>
      <c r="AY300" s="99"/>
      <c r="AZ300" s="97" t="s">
        <v>540</v>
      </c>
      <c r="BA300" s="98"/>
      <c r="BB300" s="98"/>
      <c r="BC300" s="98"/>
      <c r="BD300" s="98"/>
      <c r="BE300" s="98"/>
      <c r="BF300" s="98"/>
      <c r="BG300" s="98"/>
      <c r="BH300" s="98"/>
      <c r="BI300" s="98"/>
      <c r="BJ300" s="99"/>
      <c r="BR300" s="40"/>
      <c r="BS300" s="36" t="str">
        <f>_xlfn.IFNA(VLOOKUP($BR300,[15]Master!$C$4:$J$13,2,FALSE),"-")</f>
        <v>-</v>
      </c>
      <c r="BT300" s="36" t="str">
        <f>_xlfn.IFNA(VLOOKUP($BR300,[15]Master!$C$4:$J$13,3,FALSE),"-")</f>
        <v>-</v>
      </c>
      <c r="BU300" s="36" t="str">
        <f>_xlfn.IFNA(VLOOKUP($BR300,[15]Master!$C$4:$J$13,4,FALSE),"-")</f>
        <v>-</v>
      </c>
      <c r="BV300" s="36" t="str">
        <f>_xlfn.IFNA(VLOOKUP($BR300,[15]Master!$C$4:$J$13,5,FALSE),"-")</f>
        <v>-</v>
      </c>
      <c r="BW300" s="36" t="str">
        <f>_xlfn.IFNA(VLOOKUP($BR300,[15]Master!$C$4:$J$13,6,FALSE),"-")</f>
        <v>-</v>
      </c>
      <c r="BX300" s="36" t="str">
        <f>_xlfn.IFNA(VLOOKUP($BR300,[15]Master!$C$4:$J$13,7,FALSE),"-")</f>
        <v>-</v>
      </c>
      <c r="BY300" s="36" t="str">
        <f>_xlfn.IFNA(VLOOKUP($BR300,[15]Master!$C$4:$J$13,8,FALSE),"-")</f>
        <v>-</v>
      </c>
      <c r="BZ300" s="35">
        <f t="shared" si="6"/>
        <v>0</v>
      </c>
    </row>
    <row r="301" spans="2:78" ht="15.75">
      <c r="B301" s="97"/>
      <c r="C301" s="98" t="s">
        <v>541</v>
      </c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9"/>
      <c r="P301" s="97"/>
      <c r="Q301" s="98"/>
      <c r="R301" s="98"/>
      <c r="S301" s="98"/>
      <c r="T301" s="98"/>
      <c r="U301" s="98"/>
      <c r="V301" s="98"/>
      <c r="W301" s="98"/>
      <c r="X301" s="99"/>
      <c r="Y301" s="97"/>
      <c r="Z301" s="98"/>
      <c r="AA301" s="99"/>
      <c r="AB301" s="97"/>
      <c r="AC301" s="98"/>
      <c r="AD301" s="98"/>
      <c r="AE301" s="98"/>
      <c r="AF301" s="98"/>
      <c r="AG301" s="98"/>
      <c r="AH301" s="98"/>
      <c r="AI301" s="98"/>
      <c r="AJ301" s="99"/>
      <c r="AK301" s="97"/>
      <c r="AL301" s="98"/>
      <c r="AM301" s="99"/>
      <c r="AN301" s="97"/>
      <c r="AO301" s="98"/>
      <c r="AP301" s="98"/>
      <c r="AQ301" s="98"/>
      <c r="AR301" s="98"/>
      <c r="AS301" s="98"/>
      <c r="AT301" s="98"/>
      <c r="AU301" s="98"/>
      <c r="AV301" s="99"/>
      <c r="AW301" s="97" t="s">
        <v>542</v>
      </c>
      <c r="AX301" s="98"/>
      <c r="AY301" s="99"/>
      <c r="AZ301" s="97" t="s">
        <v>543</v>
      </c>
      <c r="BA301" s="98"/>
      <c r="BB301" s="98"/>
      <c r="BC301" s="98"/>
      <c r="BD301" s="98"/>
      <c r="BE301" s="98"/>
      <c r="BF301" s="98"/>
      <c r="BG301" s="98"/>
      <c r="BH301" s="98"/>
      <c r="BI301" s="98"/>
      <c r="BJ301" s="99"/>
      <c r="BR301" s="40"/>
      <c r="BS301" s="36" t="str">
        <f>_xlfn.IFNA(VLOOKUP($BR301,[15]Master!$C$4:$J$13,2,FALSE),"-")</f>
        <v>-</v>
      </c>
      <c r="BT301" s="36" t="str">
        <f>_xlfn.IFNA(VLOOKUP($BR301,[15]Master!$C$4:$J$13,3,FALSE),"-")</f>
        <v>-</v>
      </c>
      <c r="BU301" s="36" t="str">
        <f>_xlfn.IFNA(VLOOKUP($BR301,[15]Master!$C$4:$J$13,4,FALSE),"-")</f>
        <v>-</v>
      </c>
      <c r="BV301" s="36" t="str">
        <f>_xlfn.IFNA(VLOOKUP($BR301,[15]Master!$C$4:$J$13,5,FALSE),"-")</f>
        <v>-</v>
      </c>
      <c r="BW301" s="36" t="str">
        <f>_xlfn.IFNA(VLOOKUP($BR301,[15]Master!$C$4:$J$13,6,FALSE),"-")</f>
        <v>-</v>
      </c>
      <c r="BX301" s="36" t="str">
        <f>_xlfn.IFNA(VLOOKUP($BR301,[15]Master!$C$4:$J$13,7,FALSE),"-")</f>
        <v>-</v>
      </c>
      <c r="BY301" s="36" t="str">
        <f>_xlfn.IFNA(VLOOKUP($BR301,[15]Master!$C$4:$J$13,8,FALSE),"-")</f>
        <v>-</v>
      </c>
      <c r="BZ301" s="35">
        <f t="shared" si="6"/>
        <v>0</v>
      </c>
    </row>
    <row r="302" spans="2:78" ht="15.75">
      <c r="B302" s="97"/>
      <c r="C302" s="98" t="s">
        <v>544</v>
      </c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9"/>
      <c r="P302" s="97"/>
      <c r="Q302" s="98"/>
      <c r="R302" s="98"/>
      <c r="S302" s="98"/>
      <c r="T302" s="98"/>
      <c r="U302" s="98"/>
      <c r="V302" s="98"/>
      <c r="W302" s="98"/>
      <c r="X302" s="99"/>
      <c r="Y302" s="97"/>
      <c r="Z302" s="98"/>
      <c r="AA302" s="99"/>
      <c r="AB302" s="97"/>
      <c r="AC302" s="98"/>
      <c r="AD302" s="98"/>
      <c r="AE302" s="98"/>
      <c r="AF302" s="98"/>
      <c r="AG302" s="98"/>
      <c r="AH302" s="98"/>
      <c r="AI302" s="98"/>
      <c r="AJ302" s="99"/>
      <c r="AK302" s="97"/>
      <c r="AL302" s="98"/>
      <c r="AM302" s="99"/>
      <c r="AN302" s="97"/>
      <c r="AO302" s="98"/>
      <c r="AP302" s="98"/>
      <c r="AQ302" s="98"/>
      <c r="AR302" s="98"/>
      <c r="AS302" s="98"/>
      <c r="AT302" s="98"/>
      <c r="AU302" s="98"/>
      <c r="AV302" s="99"/>
      <c r="AW302" s="97" t="s">
        <v>545</v>
      </c>
      <c r="AX302" s="98"/>
      <c r="AY302" s="99"/>
      <c r="AZ302" s="97" t="s">
        <v>546</v>
      </c>
      <c r="BA302" s="98"/>
      <c r="BB302" s="98"/>
      <c r="BC302" s="98"/>
      <c r="BD302" s="98"/>
      <c r="BE302" s="98"/>
      <c r="BF302" s="98"/>
      <c r="BG302" s="98"/>
      <c r="BH302" s="98"/>
      <c r="BI302" s="98"/>
      <c r="BJ302" s="99"/>
      <c r="BR302" s="40"/>
      <c r="BS302" s="36" t="str">
        <f>_xlfn.IFNA(VLOOKUP($BR302,[15]Master!$C$4:$J$13,2,FALSE),"-")</f>
        <v>-</v>
      </c>
      <c r="BT302" s="36" t="str">
        <f>_xlfn.IFNA(VLOOKUP($BR302,[15]Master!$C$4:$J$13,3,FALSE),"-")</f>
        <v>-</v>
      </c>
      <c r="BU302" s="36" t="str">
        <f>_xlfn.IFNA(VLOOKUP($BR302,[15]Master!$C$4:$J$13,4,FALSE),"-")</f>
        <v>-</v>
      </c>
      <c r="BV302" s="36" t="str">
        <f>_xlfn.IFNA(VLOOKUP($BR302,[15]Master!$C$4:$J$13,5,FALSE),"-")</f>
        <v>-</v>
      </c>
      <c r="BW302" s="36" t="str">
        <f>_xlfn.IFNA(VLOOKUP($BR302,[15]Master!$C$4:$J$13,6,FALSE),"-")</f>
        <v>-</v>
      </c>
      <c r="BX302" s="36" t="str">
        <f>_xlfn.IFNA(VLOOKUP($BR302,[15]Master!$C$4:$J$13,7,FALSE),"-")</f>
        <v>-</v>
      </c>
      <c r="BY302" s="36" t="str">
        <f>_xlfn.IFNA(VLOOKUP($BR302,[15]Master!$C$4:$J$13,8,FALSE),"-")</f>
        <v>-</v>
      </c>
      <c r="BZ302" s="35">
        <f t="shared" si="6"/>
        <v>0</v>
      </c>
    </row>
    <row r="303" spans="2:78" ht="15.75">
      <c r="B303" s="97" t="s">
        <v>547</v>
      </c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9"/>
      <c r="P303" s="97"/>
      <c r="Q303" s="98"/>
      <c r="R303" s="98"/>
      <c r="S303" s="98"/>
      <c r="T303" s="98"/>
      <c r="U303" s="98"/>
      <c r="V303" s="98"/>
      <c r="W303" s="98"/>
      <c r="X303" s="99"/>
      <c r="Y303" s="97"/>
      <c r="Z303" s="98"/>
      <c r="AA303" s="99"/>
      <c r="AB303" s="97"/>
      <c r="AC303" s="98"/>
      <c r="AD303" s="98"/>
      <c r="AE303" s="98"/>
      <c r="AF303" s="98"/>
      <c r="AG303" s="98"/>
      <c r="AH303" s="98"/>
      <c r="AI303" s="98"/>
      <c r="AJ303" s="99"/>
      <c r="AK303" s="97"/>
      <c r="AL303" s="98"/>
      <c r="AM303" s="99"/>
      <c r="AN303" s="97"/>
      <c r="AO303" s="98"/>
      <c r="AP303" s="98"/>
      <c r="AQ303" s="98"/>
      <c r="AR303" s="98"/>
      <c r="AS303" s="98"/>
      <c r="AT303" s="98"/>
      <c r="AU303" s="98"/>
      <c r="AV303" s="99"/>
      <c r="AW303" s="97"/>
      <c r="AX303" s="98"/>
      <c r="AY303" s="99"/>
      <c r="AZ303" s="97"/>
      <c r="BA303" s="98"/>
      <c r="BB303" s="98"/>
      <c r="BC303" s="98"/>
      <c r="BD303" s="98"/>
      <c r="BE303" s="98"/>
      <c r="BF303" s="98"/>
      <c r="BG303" s="98"/>
      <c r="BH303" s="98"/>
      <c r="BI303" s="98"/>
      <c r="BJ303" s="99"/>
      <c r="BR303" s="40"/>
      <c r="BS303" s="36" t="str">
        <f>_xlfn.IFNA(VLOOKUP($BR303,[15]Master!$C$4:$J$13,2,FALSE),"-")</f>
        <v>-</v>
      </c>
      <c r="BT303" s="36" t="str">
        <f>_xlfn.IFNA(VLOOKUP($BR303,[15]Master!$C$4:$J$13,3,FALSE),"-")</f>
        <v>-</v>
      </c>
      <c r="BU303" s="36" t="str">
        <f>_xlfn.IFNA(VLOOKUP($BR303,[15]Master!$C$4:$J$13,4,FALSE),"-")</f>
        <v>-</v>
      </c>
      <c r="BV303" s="36" t="str">
        <f>_xlfn.IFNA(VLOOKUP($BR303,[15]Master!$C$4:$J$13,5,FALSE),"-")</f>
        <v>-</v>
      </c>
      <c r="BW303" s="36" t="str">
        <f>_xlfn.IFNA(VLOOKUP($BR303,[15]Master!$C$4:$J$13,6,FALSE),"-")</f>
        <v>-</v>
      </c>
      <c r="BX303" s="36" t="str">
        <f>_xlfn.IFNA(VLOOKUP($BR303,[15]Master!$C$4:$J$13,7,FALSE),"-")</f>
        <v>-</v>
      </c>
      <c r="BY303" s="36" t="str">
        <f>_xlfn.IFNA(VLOOKUP($BR303,[15]Master!$C$4:$J$13,8,FALSE),"-")</f>
        <v>-</v>
      </c>
      <c r="BZ303" s="35">
        <f t="shared" si="6"/>
        <v>0</v>
      </c>
    </row>
    <row r="304" spans="2:78" ht="15.75">
      <c r="B304" s="97"/>
      <c r="C304" s="98" t="s">
        <v>548</v>
      </c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9"/>
      <c r="P304" s="97"/>
      <c r="Q304" s="98"/>
      <c r="R304" s="98"/>
      <c r="S304" s="98"/>
      <c r="T304" s="98"/>
      <c r="U304" s="98"/>
      <c r="V304" s="98"/>
      <c r="W304" s="98"/>
      <c r="X304" s="99"/>
      <c r="Y304" s="97"/>
      <c r="Z304" s="98"/>
      <c r="AA304" s="99"/>
      <c r="AB304" s="97"/>
      <c r="AC304" s="98"/>
      <c r="AD304" s="98"/>
      <c r="AE304" s="98"/>
      <c r="AF304" s="98"/>
      <c r="AG304" s="98"/>
      <c r="AH304" s="98"/>
      <c r="AI304" s="98"/>
      <c r="AJ304" s="99"/>
      <c r="AK304" s="97"/>
      <c r="AL304" s="98"/>
      <c r="AM304" s="99"/>
      <c r="AN304" s="97"/>
      <c r="AO304" s="98"/>
      <c r="AP304" s="98"/>
      <c r="AQ304" s="98"/>
      <c r="AR304" s="98"/>
      <c r="AS304" s="98"/>
      <c r="AT304" s="98"/>
      <c r="AU304" s="98"/>
      <c r="AV304" s="99"/>
      <c r="AW304" s="97"/>
      <c r="AX304" s="98"/>
      <c r="AY304" s="99"/>
      <c r="AZ304" s="97"/>
      <c r="BA304" s="98"/>
      <c r="BB304" s="98"/>
      <c r="BC304" s="98"/>
      <c r="BD304" s="98"/>
      <c r="BE304" s="98"/>
      <c r="BF304" s="98"/>
      <c r="BG304" s="98"/>
      <c r="BH304" s="98"/>
      <c r="BI304" s="98"/>
      <c r="BJ304" s="99"/>
      <c r="BR304" s="40"/>
      <c r="BS304" s="36" t="str">
        <f>_xlfn.IFNA(VLOOKUP($BR304,[15]Master!$C$4:$J$13,2,FALSE),"-")</f>
        <v>-</v>
      </c>
      <c r="BT304" s="36" t="str">
        <f>_xlfn.IFNA(VLOOKUP($BR304,[15]Master!$C$4:$J$13,3,FALSE),"-")</f>
        <v>-</v>
      </c>
      <c r="BU304" s="36" t="str">
        <f>_xlfn.IFNA(VLOOKUP($BR304,[15]Master!$C$4:$J$13,4,FALSE),"-")</f>
        <v>-</v>
      </c>
      <c r="BV304" s="36" t="str">
        <f>_xlfn.IFNA(VLOOKUP($BR304,[15]Master!$C$4:$J$13,5,FALSE),"-")</f>
        <v>-</v>
      </c>
      <c r="BW304" s="36" t="str">
        <f>_xlfn.IFNA(VLOOKUP($BR304,[15]Master!$C$4:$J$13,6,FALSE),"-")</f>
        <v>-</v>
      </c>
      <c r="BX304" s="36" t="str">
        <f>_xlfn.IFNA(VLOOKUP($BR304,[15]Master!$C$4:$J$13,7,FALSE),"-")</f>
        <v>-</v>
      </c>
      <c r="BY304" s="36" t="str">
        <f>_xlfn.IFNA(VLOOKUP($BR304,[15]Master!$C$4:$J$13,8,FALSE),"-")</f>
        <v>-</v>
      </c>
      <c r="BZ304" s="35">
        <f t="shared" si="6"/>
        <v>0</v>
      </c>
    </row>
    <row r="305" spans="2:78" ht="15.75">
      <c r="B305" s="97"/>
      <c r="C305" s="98"/>
      <c r="D305" s="98" t="s">
        <v>549</v>
      </c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9"/>
      <c r="P305" s="97"/>
      <c r="Q305" s="98"/>
      <c r="R305" s="98"/>
      <c r="S305" s="98"/>
      <c r="T305" s="98"/>
      <c r="U305" s="98"/>
      <c r="V305" s="98"/>
      <c r="W305" s="98"/>
      <c r="X305" s="99"/>
      <c r="Y305" s="97"/>
      <c r="Z305" s="98"/>
      <c r="AA305" s="99"/>
      <c r="AB305" s="97"/>
      <c r="AC305" s="98"/>
      <c r="AD305" s="98"/>
      <c r="AE305" s="98"/>
      <c r="AF305" s="98"/>
      <c r="AG305" s="98"/>
      <c r="AH305" s="98"/>
      <c r="AI305" s="98"/>
      <c r="AJ305" s="99"/>
      <c r="AK305" s="97"/>
      <c r="AL305" s="98"/>
      <c r="AM305" s="99"/>
      <c r="AN305" s="97"/>
      <c r="AO305" s="98"/>
      <c r="AP305" s="98"/>
      <c r="AQ305" s="98"/>
      <c r="AR305" s="98"/>
      <c r="AS305" s="98"/>
      <c r="AT305" s="98"/>
      <c r="AU305" s="98"/>
      <c r="AV305" s="99"/>
      <c r="AW305" s="97"/>
      <c r="AX305" s="98"/>
      <c r="AY305" s="99"/>
      <c r="AZ305" s="97"/>
      <c r="BA305" s="98"/>
      <c r="BB305" s="98"/>
      <c r="BC305" s="98"/>
      <c r="BD305" s="98"/>
      <c r="BE305" s="98"/>
      <c r="BF305" s="98"/>
      <c r="BG305" s="98"/>
      <c r="BH305" s="98"/>
      <c r="BI305" s="98"/>
      <c r="BJ305" s="99"/>
      <c r="BR305" s="40"/>
      <c r="BS305" s="36" t="str">
        <f>_xlfn.IFNA(VLOOKUP($BR305,[15]Master!$C$4:$J$13,2,FALSE),"-")</f>
        <v>-</v>
      </c>
      <c r="BT305" s="36" t="str">
        <f>_xlfn.IFNA(VLOOKUP($BR305,[15]Master!$C$4:$J$13,3,FALSE),"-")</f>
        <v>-</v>
      </c>
      <c r="BU305" s="36" t="str">
        <f>_xlfn.IFNA(VLOOKUP($BR305,[15]Master!$C$4:$J$13,4,FALSE),"-")</f>
        <v>-</v>
      </c>
      <c r="BV305" s="36" t="str">
        <f>_xlfn.IFNA(VLOOKUP($BR305,[15]Master!$C$4:$J$13,5,FALSE),"-")</f>
        <v>-</v>
      </c>
      <c r="BW305" s="36" t="str">
        <f>_xlfn.IFNA(VLOOKUP($BR305,[15]Master!$C$4:$J$13,6,FALSE),"-")</f>
        <v>-</v>
      </c>
      <c r="BX305" s="36" t="str">
        <f>_xlfn.IFNA(VLOOKUP($BR305,[15]Master!$C$4:$J$13,7,FALSE),"-")</f>
        <v>-</v>
      </c>
      <c r="BY305" s="36" t="str">
        <f>_xlfn.IFNA(VLOOKUP($BR305,[15]Master!$C$4:$J$13,8,FALSE),"-")</f>
        <v>-</v>
      </c>
      <c r="BZ305" s="35">
        <f t="shared" si="6"/>
        <v>0</v>
      </c>
    </row>
    <row r="306" spans="2:78" ht="15.75">
      <c r="B306" s="97"/>
      <c r="C306" s="98"/>
      <c r="D306" s="98" t="s">
        <v>550</v>
      </c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9"/>
      <c r="P306" s="97"/>
      <c r="Q306" s="98"/>
      <c r="R306" s="98"/>
      <c r="S306" s="98"/>
      <c r="T306" s="98"/>
      <c r="U306" s="98"/>
      <c r="V306" s="98"/>
      <c r="W306" s="98"/>
      <c r="X306" s="99"/>
      <c r="Y306" s="97"/>
      <c r="Z306" s="98"/>
      <c r="AA306" s="99"/>
      <c r="AB306" s="97"/>
      <c r="AC306" s="98"/>
      <c r="AD306" s="98"/>
      <c r="AE306" s="98"/>
      <c r="AF306" s="98"/>
      <c r="AG306" s="98"/>
      <c r="AH306" s="98"/>
      <c r="AI306" s="98"/>
      <c r="AJ306" s="99"/>
      <c r="AK306" s="97"/>
      <c r="AL306" s="98"/>
      <c r="AM306" s="99"/>
      <c r="AN306" s="97"/>
      <c r="AO306" s="98"/>
      <c r="AP306" s="98"/>
      <c r="AQ306" s="98"/>
      <c r="AR306" s="98"/>
      <c r="AS306" s="98"/>
      <c r="AT306" s="98"/>
      <c r="AU306" s="98"/>
      <c r="AV306" s="99"/>
      <c r="AW306" s="97"/>
      <c r="AX306" s="98"/>
      <c r="AY306" s="99"/>
      <c r="AZ306" s="97"/>
      <c r="BA306" s="98"/>
      <c r="BB306" s="98"/>
      <c r="BC306" s="98"/>
      <c r="BD306" s="98"/>
      <c r="BE306" s="98"/>
      <c r="BF306" s="98"/>
      <c r="BG306" s="98"/>
      <c r="BH306" s="98"/>
      <c r="BI306" s="98"/>
      <c r="BJ306" s="99"/>
      <c r="BR306" s="40"/>
      <c r="BS306" s="36" t="str">
        <f>_xlfn.IFNA(VLOOKUP($BR306,[15]Master!$C$4:$J$13,2,FALSE),"-")</f>
        <v>-</v>
      </c>
      <c r="BT306" s="36" t="str">
        <f>_xlfn.IFNA(VLOOKUP($BR306,[15]Master!$C$4:$J$13,3,FALSE),"-")</f>
        <v>-</v>
      </c>
      <c r="BU306" s="36" t="str">
        <f>_xlfn.IFNA(VLOOKUP($BR306,[15]Master!$C$4:$J$13,4,FALSE),"-")</f>
        <v>-</v>
      </c>
      <c r="BV306" s="36" t="str">
        <f>_xlfn.IFNA(VLOOKUP($BR306,[15]Master!$C$4:$J$13,5,FALSE),"-")</f>
        <v>-</v>
      </c>
      <c r="BW306" s="36" t="str">
        <f>_xlfn.IFNA(VLOOKUP($BR306,[15]Master!$C$4:$J$13,6,FALSE),"-")</f>
        <v>-</v>
      </c>
      <c r="BX306" s="36" t="str">
        <f>_xlfn.IFNA(VLOOKUP($BR306,[15]Master!$C$4:$J$13,7,FALSE),"-")</f>
        <v>-</v>
      </c>
      <c r="BY306" s="36" t="str">
        <f>_xlfn.IFNA(VLOOKUP($BR306,[15]Master!$C$4:$J$13,8,FALSE),"-")</f>
        <v>-</v>
      </c>
      <c r="BZ306" s="35">
        <f t="shared" si="6"/>
        <v>0</v>
      </c>
    </row>
    <row r="307" spans="2:78" ht="15.75">
      <c r="B307" s="97"/>
      <c r="C307" s="98" t="s">
        <v>551</v>
      </c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9"/>
      <c r="P307" s="97"/>
      <c r="Q307" s="98"/>
      <c r="R307" s="98"/>
      <c r="S307" s="98"/>
      <c r="T307" s="98"/>
      <c r="U307" s="98"/>
      <c r="V307" s="98"/>
      <c r="W307" s="98"/>
      <c r="X307" s="99"/>
      <c r="Y307" s="97"/>
      <c r="Z307" s="98"/>
      <c r="AA307" s="99"/>
      <c r="AB307" s="97"/>
      <c r="AC307" s="98"/>
      <c r="AD307" s="98"/>
      <c r="AE307" s="98"/>
      <c r="AF307" s="98"/>
      <c r="AG307" s="98"/>
      <c r="AH307" s="98"/>
      <c r="AI307" s="98"/>
      <c r="AJ307" s="99"/>
      <c r="AK307" s="97"/>
      <c r="AL307" s="98"/>
      <c r="AM307" s="99"/>
      <c r="AN307" s="97"/>
      <c r="AO307" s="98"/>
      <c r="AP307" s="98"/>
      <c r="AQ307" s="98"/>
      <c r="AR307" s="98"/>
      <c r="AS307" s="98"/>
      <c r="AT307" s="98"/>
      <c r="AU307" s="98"/>
      <c r="AV307" s="99"/>
      <c r="AW307" s="97"/>
      <c r="AX307" s="98"/>
      <c r="AY307" s="99"/>
      <c r="AZ307" s="97"/>
      <c r="BA307" s="98"/>
      <c r="BB307" s="98"/>
      <c r="BC307" s="98"/>
      <c r="BD307" s="98"/>
      <c r="BE307" s="98"/>
      <c r="BF307" s="98"/>
      <c r="BG307" s="98"/>
      <c r="BH307" s="98"/>
      <c r="BI307" s="98"/>
      <c r="BJ307" s="99"/>
      <c r="BR307" s="40"/>
      <c r="BS307" s="36" t="str">
        <f>_xlfn.IFNA(VLOOKUP($BR307,[15]Master!$C$4:$J$13,2,FALSE),"-")</f>
        <v>-</v>
      </c>
      <c r="BT307" s="36" t="str">
        <f>_xlfn.IFNA(VLOOKUP($BR307,[15]Master!$C$4:$J$13,3,FALSE),"-")</f>
        <v>-</v>
      </c>
      <c r="BU307" s="36" t="str">
        <f>_xlfn.IFNA(VLOOKUP($BR307,[15]Master!$C$4:$J$13,4,FALSE),"-")</f>
        <v>-</v>
      </c>
      <c r="BV307" s="36" t="str">
        <f>_xlfn.IFNA(VLOOKUP($BR307,[15]Master!$C$4:$J$13,5,FALSE),"-")</f>
        <v>-</v>
      </c>
      <c r="BW307" s="36" t="str">
        <f>_xlfn.IFNA(VLOOKUP($BR307,[15]Master!$C$4:$J$13,6,FALSE),"-")</f>
        <v>-</v>
      </c>
      <c r="BX307" s="36" t="str">
        <f>_xlfn.IFNA(VLOOKUP($BR307,[15]Master!$C$4:$J$13,7,FALSE),"-")</f>
        <v>-</v>
      </c>
      <c r="BY307" s="36" t="str">
        <f>_xlfn.IFNA(VLOOKUP($BR307,[15]Master!$C$4:$J$13,8,FALSE),"-")</f>
        <v>-</v>
      </c>
      <c r="BZ307" s="35">
        <f t="shared" si="6"/>
        <v>0</v>
      </c>
    </row>
    <row r="308" spans="2:78" ht="15.75">
      <c r="B308" s="97"/>
      <c r="C308" s="98"/>
      <c r="D308" s="98" t="s">
        <v>549</v>
      </c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9"/>
      <c r="P308" s="97"/>
      <c r="Q308" s="98"/>
      <c r="R308" s="98"/>
      <c r="S308" s="98"/>
      <c r="T308" s="98"/>
      <c r="U308" s="98"/>
      <c r="V308" s="98"/>
      <c r="W308" s="98"/>
      <c r="X308" s="99"/>
      <c r="Y308" s="97"/>
      <c r="Z308" s="98"/>
      <c r="AA308" s="99"/>
      <c r="AB308" s="97"/>
      <c r="AC308" s="98"/>
      <c r="AD308" s="98"/>
      <c r="AE308" s="98"/>
      <c r="AF308" s="98"/>
      <c r="AG308" s="98"/>
      <c r="AH308" s="98"/>
      <c r="AI308" s="98"/>
      <c r="AJ308" s="99"/>
      <c r="AK308" s="97"/>
      <c r="AL308" s="98"/>
      <c r="AM308" s="99"/>
      <c r="AN308" s="97"/>
      <c r="AO308" s="98"/>
      <c r="AP308" s="98"/>
      <c r="AQ308" s="98"/>
      <c r="AR308" s="98"/>
      <c r="AS308" s="98"/>
      <c r="AT308" s="98"/>
      <c r="AU308" s="98"/>
      <c r="AV308" s="99"/>
      <c r="AW308" s="97"/>
      <c r="AX308" s="98"/>
      <c r="AY308" s="99"/>
      <c r="AZ308" s="97"/>
      <c r="BA308" s="98"/>
      <c r="BB308" s="98"/>
      <c r="BC308" s="98"/>
      <c r="BD308" s="98"/>
      <c r="BE308" s="98"/>
      <c r="BF308" s="98"/>
      <c r="BG308" s="98"/>
      <c r="BH308" s="98"/>
      <c r="BI308" s="98"/>
      <c r="BJ308" s="99"/>
      <c r="BR308" s="40"/>
      <c r="BS308" s="36" t="str">
        <f>_xlfn.IFNA(VLOOKUP($BR308,[15]Master!$C$4:$J$13,2,FALSE),"-")</f>
        <v>-</v>
      </c>
      <c r="BT308" s="36" t="str">
        <f>_xlfn.IFNA(VLOOKUP($BR308,[15]Master!$C$4:$J$13,3,FALSE),"-")</f>
        <v>-</v>
      </c>
      <c r="BU308" s="36" t="str">
        <f>_xlfn.IFNA(VLOOKUP($BR308,[15]Master!$C$4:$J$13,4,FALSE),"-")</f>
        <v>-</v>
      </c>
      <c r="BV308" s="36" t="str">
        <f>_xlfn.IFNA(VLOOKUP($BR308,[15]Master!$C$4:$J$13,5,FALSE),"-")</f>
        <v>-</v>
      </c>
      <c r="BW308" s="36" t="str">
        <f>_xlfn.IFNA(VLOOKUP($BR308,[15]Master!$C$4:$J$13,6,FALSE),"-")</f>
        <v>-</v>
      </c>
      <c r="BX308" s="36" t="str">
        <f>_xlfn.IFNA(VLOOKUP($BR308,[15]Master!$C$4:$J$13,7,FALSE),"-")</f>
        <v>-</v>
      </c>
      <c r="BY308" s="36" t="str">
        <f>_xlfn.IFNA(VLOOKUP($BR308,[15]Master!$C$4:$J$13,8,FALSE),"-")</f>
        <v>-</v>
      </c>
      <c r="BZ308" s="35">
        <f t="shared" si="6"/>
        <v>0</v>
      </c>
    </row>
    <row r="309" spans="2:78" ht="15.75">
      <c r="B309" s="97"/>
      <c r="C309" s="98"/>
      <c r="D309" s="98" t="s">
        <v>550</v>
      </c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9"/>
      <c r="P309" s="97"/>
      <c r="Q309" s="98"/>
      <c r="R309" s="98"/>
      <c r="S309" s="98"/>
      <c r="T309" s="98"/>
      <c r="U309" s="98"/>
      <c r="V309" s="98"/>
      <c r="W309" s="98"/>
      <c r="X309" s="99"/>
      <c r="Y309" s="97"/>
      <c r="Z309" s="98"/>
      <c r="AA309" s="99"/>
      <c r="AB309" s="97"/>
      <c r="AC309" s="98"/>
      <c r="AD309" s="98"/>
      <c r="AE309" s="98"/>
      <c r="AF309" s="98"/>
      <c r="AG309" s="98"/>
      <c r="AH309" s="98"/>
      <c r="AI309" s="98"/>
      <c r="AJ309" s="99"/>
      <c r="AK309" s="97"/>
      <c r="AL309" s="98"/>
      <c r="AM309" s="99"/>
      <c r="AN309" s="97"/>
      <c r="AO309" s="98"/>
      <c r="AP309" s="98"/>
      <c r="AQ309" s="98"/>
      <c r="AR309" s="98"/>
      <c r="AS309" s="98"/>
      <c r="AT309" s="98"/>
      <c r="AU309" s="98"/>
      <c r="AV309" s="99"/>
      <c r="AW309" s="97"/>
      <c r="AX309" s="98"/>
      <c r="AY309" s="99"/>
      <c r="AZ309" s="97"/>
      <c r="BA309" s="98"/>
      <c r="BB309" s="98"/>
      <c r="BC309" s="98"/>
      <c r="BD309" s="98"/>
      <c r="BE309" s="98"/>
      <c r="BF309" s="98"/>
      <c r="BG309" s="98"/>
      <c r="BH309" s="98"/>
      <c r="BI309" s="98"/>
      <c r="BJ309" s="99"/>
      <c r="BR309" s="40"/>
      <c r="BS309" s="36" t="str">
        <f>_xlfn.IFNA(VLOOKUP($BR309,[15]Master!$C$4:$J$13,2,FALSE),"-")</f>
        <v>-</v>
      </c>
      <c r="BT309" s="36" t="str">
        <f>_xlfn.IFNA(VLOOKUP($BR309,[15]Master!$C$4:$J$13,3,FALSE),"-")</f>
        <v>-</v>
      </c>
      <c r="BU309" s="36" t="str">
        <f>_xlfn.IFNA(VLOOKUP($BR309,[15]Master!$C$4:$J$13,4,FALSE),"-")</f>
        <v>-</v>
      </c>
      <c r="BV309" s="36" t="str">
        <f>_xlfn.IFNA(VLOOKUP($BR309,[15]Master!$C$4:$J$13,5,FALSE),"-")</f>
        <v>-</v>
      </c>
      <c r="BW309" s="36" t="str">
        <f>_xlfn.IFNA(VLOOKUP($BR309,[15]Master!$C$4:$J$13,6,FALSE),"-")</f>
        <v>-</v>
      </c>
      <c r="BX309" s="36" t="str">
        <f>_xlfn.IFNA(VLOOKUP($BR309,[15]Master!$C$4:$J$13,7,FALSE),"-")</f>
        <v>-</v>
      </c>
      <c r="BY309" s="36" t="str">
        <f>_xlfn.IFNA(VLOOKUP($BR309,[15]Master!$C$4:$J$13,8,FALSE),"-")</f>
        <v>-</v>
      </c>
      <c r="BZ309" s="35">
        <f t="shared" si="6"/>
        <v>0</v>
      </c>
    </row>
    <row r="310" spans="2:78" ht="15.75">
      <c r="B310" s="97"/>
      <c r="C310" s="98" t="s">
        <v>552</v>
      </c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9"/>
      <c r="P310" s="97"/>
      <c r="Q310" s="98"/>
      <c r="R310" s="98"/>
      <c r="S310" s="98"/>
      <c r="T310" s="98"/>
      <c r="U310" s="98"/>
      <c r="V310" s="98"/>
      <c r="W310" s="98"/>
      <c r="X310" s="99"/>
      <c r="Y310" s="97"/>
      <c r="Z310" s="98"/>
      <c r="AA310" s="99"/>
      <c r="AB310" s="97"/>
      <c r="AC310" s="98"/>
      <c r="AD310" s="98"/>
      <c r="AE310" s="98"/>
      <c r="AF310" s="98"/>
      <c r="AG310" s="98"/>
      <c r="AH310" s="98"/>
      <c r="AI310" s="98"/>
      <c r="AJ310" s="99"/>
      <c r="AK310" s="97"/>
      <c r="AL310" s="98"/>
      <c r="AM310" s="99"/>
      <c r="AN310" s="97"/>
      <c r="AO310" s="98"/>
      <c r="AP310" s="98"/>
      <c r="AQ310" s="98"/>
      <c r="AR310" s="98"/>
      <c r="AS310" s="98"/>
      <c r="AT310" s="98"/>
      <c r="AU310" s="98"/>
      <c r="AV310" s="99"/>
      <c r="AW310" s="97"/>
      <c r="AX310" s="98"/>
      <c r="AY310" s="99"/>
      <c r="AZ310" s="97"/>
      <c r="BA310" s="98"/>
      <c r="BB310" s="98"/>
      <c r="BC310" s="98"/>
      <c r="BD310" s="98"/>
      <c r="BE310" s="98"/>
      <c r="BF310" s="98"/>
      <c r="BG310" s="98"/>
      <c r="BH310" s="98"/>
      <c r="BI310" s="98"/>
      <c r="BJ310" s="99"/>
      <c r="BR310" s="40"/>
      <c r="BS310" s="36" t="str">
        <f>_xlfn.IFNA(VLOOKUP($BR310,[15]Master!$C$4:$J$13,2,FALSE),"-")</f>
        <v>-</v>
      </c>
      <c r="BT310" s="36" t="str">
        <f>_xlfn.IFNA(VLOOKUP($BR310,[15]Master!$C$4:$J$13,3,FALSE),"-")</f>
        <v>-</v>
      </c>
      <c r="BU310" s="36" t="str">
        <f>_xlfn.IFNA(VLOOKUP($BR310,[15]Master!$C$4:$J$13,4,FALSE),"-")</f>
        <v>-</v>
      </c>
      <c r="BV310" s="36" t="str">
        <f>_xlfn.IFNA(VLOOKUP($BR310,[15]Master!$C$4:$J$13,5,FALSE),"-")</f>
        <v>-</v>
      </c>
      <c r="BW310" s="36" t="str">
        <f>_xlfn.IFNA(VLOOKUP($BR310,[15]Master!$C$4:$J$13,6,FALSE),"-")</f>
        <v>-</v>
      </c>
      <c r="BX310" s="36" t="str">
        <f>_xlfn.IFNA(VLOOKUP($BR310,[15]Master!$C$4:$J$13,7,FALSE),"-")</f>
        <v>-</v>
      </c>
      <c r="BY310" s="36" t="str">
        <f>_xlfn.IFNA(VLOOKUP($BR310,[15]Master!$C$4:$J$13,8,FALSE),"-")</f>
        <v>-</v>
      </c>
      <c r="BZ310" s="35">
        <f t="shared" si="6"/>
        <v>0</v>
      </c>
    </row>
    <row r="311" spans="2:78" ht="15.75">
      <c r="B311" s="97"/>
      <c r="C311" s="98"/>
      <c r="D311" s="98" t="s">
        <v>549</v>
      </c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9"/>
      <c r="P311" s="97"/>
      <c r="Q311" s="98"/>
      <c r="R311" s="98"/>
      <c r="S311" s="98"/>
      <c r="T311" s="98"/>
      <c r="U311" s="98"/>
      <c r="V311" s="98"/>
      <c r="W311" s="98"/>
      <c r="X311" s="99"/>
      <c r="Y311" s="97"/>
      <c r="Z311" s="98"/>
      <c r="AA311" s="99"/>
      <c r="AB311" s="97"/>
      <c r="AC311" s="98"/>
      <c r="AD311" s="98"/>
      <c r="AE311" s="98"/>
      <c r="AF311" s="98"/>
      <c r="AG311" s="98"/>
      <c r="AH311" s="98"/>
      <c r="AI311" s="98"/>
      <c r="AJ311" s="99"/>
      <c r="AK311" s="97"/>
      <c r="AL311" s="98"/>
      <c r="AM311" s="99"/>
      <c r="AN311" s="97"/>
      <c r="AO311" s="98"/>
      <c r="AP311" s="98"/>
      <c r="AQ311" s="98"/>
      <c r="AR311" s="98"/>
      <c r="AS311" s="98"/>
      <c r="AT311" s="98"/>
      <c r="AU311" s="98"/>
      <c r="AV311" s="99"/>
      <c r="AW311" s="97"/>
      <c r="AX311" s="98"/>
      <c r="AY311" s="99"/>
      <c r="AZ311" s="97"/>
      <c r="BA311" s="98"/>
      <c r="BB311" s="98"/>
      <c r="BC311" s="98"/>
      <c r="BD311" s="98"/>
      <c r="BE311" s="98"/>
      <c r="BF311" s="98"/>
      <c r="BG311" s="98"/>
      <c r="BH311" s="98"/>
      <c r="BI311" s="98"/>
      <c r="BJ311" s="99"/>
      <c r="BR311" s="40"/>
      <c r="BS311" s="36" t="str">
        <f>_xlfn.IFNA(VLOOKUP($BR311,[15]Master!$C$4:$J$13,2,FALSE),"-")</f>
        <v>-</v>
      </c>
      <c r="BT311" s="36" t="str">
        <f>_xlfn.IFNA(VLOOKUP($BR311,[15]Master!$C$4:$J$13,3,FALSE),"-")</f>
        <v>-</v>
      </c>
      <c r="BU311" s="36" t="str">
        <f>_xlfn.IFNA(VLOOKUP($BR311,[15]Master!$C$4:$J$13,4,FALSE),"-")</f>
        <v>-</v>
      </c>
      <c r="BV311" s="36" t="str">
        <f>_xlfn.IFNA(VLOOKUP($BR311,[15]Master!$C$4:$J$13,5,FALSE),"-")</f>
        <v>-</v>
      </c>
      <c r="BW311" s="36" t="str">
        <f>_xlfn.IFNA(VLOOKUP($BR311,[15]Master!$C$4:$J$13,6,FALSE),"-")</f>
        <v>-</v>
      </c>
      <c r="BX311" s="36" t="str">
        <f>_xlfn.IFNA(VLOOKUP($BR311,[15]Master!$C$4:$J$13,7,FALSE),"-")</f>
        <v>-</v>
      </c>
      <c r="BY311" s="36" t="str">
        <f>_xlfn.IFNA(VLOOKUP($BR311,[15]Master!$C$4:$J$13,8,FALSE),"-")</f>
        <v>-</v>
      </c>
      <c r="BZ311" s="35">
        <f t="shared" si="6"/>
        <v>0</v>
      </c>
    </row>
    <row r="312" spans="2:78" ht="15.75">
      <c r="B312" s="97"/>
      <c r="C312" s="98"/>
      <c r="D312" s="98"/>
      <c r="E312" s="98" t="s">
        <v>553</v>
      </c>
      <c r="F312" s="98"/>
      <c r="G312" s="98"/>
      <c r="H312" s="98"/>
      <c r="I312" s="98"/>
      <c r="J312" s="98"/>
      <c r="K312" s="98"/>
      <c r="L312" s="98"/>
      <c r="M312" s="98"/>
      <c r="N312" s="98"/>
      <c r="O312" s="99"/>
      <c r="P312" s="97"/>
      <c r="Q312" s="98"/>
      <c r="R312" s="98"/>
      <c r="S312" s="98"/>
      <c r="T312" s="98"/>
      <c r="U312" s="98"/>
      <c r="V312" s="98"/>
      <c r="W312" s="98"/>
      <c r="X312" s="99"/>
      <c r="Y312" s="97"/>
      <c r="Z312" s="98"/>
      <c r="AA312" s="99"/>
      <c r="AB312" s="97"/>
      <c r="AC312" s="98"/>
      <c r="AD312" s="98"/>
      <c r="AE312" s="98"/>
      <c r="AF312" s="98"/>
      <c r="AG312" s="98"/>
      <c r="AH312" s="98"/>
      <c r="AI312" s="98"/>
      <c r="AJ312" s="99"/>
      <c r="AK312" s="97"/>
      <c r="AL312" s="98"/>
      <c r="AM312" s="99"/>
      <c r="AN312" s="97"/>
      <c r="AO312" s="98"/>
      <c r="AP312" s="98"/>
      <c r="AQ312" s="98"/>
      <c r="AR312" s="98"/>
      <c r="AS312" s="98"/>
      <c r="AT312" s="98"/>
      <c r="AU312" s="98"/>
      <c r="AV312" s="99"/>
      <c r="AW312" s="97"/>
      <c r="AX312" s="98"/>
      <c r="AY312" s="99"/>
      <c r="AZ312" s="97"/>
      <c r="BA312" s="98"/>
      <c r="BB312" s="98"/>
      <c r="BC312" s="98"/>
      <c r="BD312" s="98"/>
      <c r="BE312" s="98"/>
      <c r="BF312" s="98"/>
      <c r="BG312" s="98"/>
      <c r="BH312" s="98"/>
      <c r="BI312" s="98"/>
      <c r="BJ312" s="99"/>
      <c r="BR312" s="40"/>
      <c r="BS312" s="36" t="str">
        <f>_xlfn.IFNA(VLOOKUP($BR312,[15]Master!$C$4:$J$13,2,FALSE),"-")</f>
        <v>-</v>
      </c>
      <c r="BT312" s="36" t="str">
        <f>_xlfn.IFNA(VLOOKUP($BR312,[15]Master!$C$4:$J$13,3,FALSE),"-")</f>
        <v>-</v>
      </c>
      <c r="BU312" s="36" t="str">
        <f>_xlfn.IFNA(VLOOKUP($BR312,[15]Master!$C$4:$J$13,4,FALSE),"-")</f>
        <v>-</v>
      </c>
      <c r="BV312" s="36" t="str">
        <f>_xlfn.IFNA(VLOOKUP($BR312,[15]Master!$C$4:$J$13,5,FALSE),"-")</f>
        <v>-</v>
      </c>
      <c r="BW312" s="36" t="str">
        <f>_xlfn.IFNA(VLOOKUP($BR312,[15]Master!$C$4:$J$13,6,FALSE),"-")</f>
        <v>-</v>
      </c>
      <c r="BX312" s="36" t="str">
        <f>_xlfn.IFNA(VLOOKUP($BR312,[15]Master!$C$4:$J$13,7,FALSE),"-")</f>
        <v>-</v>
      </c>
      <c r="BY312" s="36" t="str">
        <f>_xlfn.IFNA(VLOOKUP($BR312,[15]Master!$C$4:$J$13,8,FALSE),"-")</f>
        <v>-</v>
      </c>
      <c r="BZ312" s="35">
        <f t="shared" si="6"/>
        <v>0</v>
      </c>
    </row>
    <row r="313" spans="2:78" ht="15.75">
      <c r="B313" s="97"/>
      <c r="C313" s="98"/>
      <c r="D313" s="98" t="s">
        <v>550</v>
      </c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9"/>
      <c r="P313" s="97"/>
      <c r="Q313" s="98"/>
      <c r="R313" s="98"/>
      <c r="S313" s="98"/>
      <c r="T313" s="98"/>
      <c r="U313" s="98"/>
      <c r="V313" s="98"/>
      <c r="W313" s="98"/>
      <c r="X313" s="99"/>
      <c r="Y313" s="97"/>
      <c r="Z313" s="98"/>
      <c r="AA313" s="99"/>
      <c r="AB313" s="97"/>
      <c r="AC313" s="98"/>
      <c r="AD313" s="98"/>
      <c r="AE313" s="98"/>
      <c r="AF313" s="98"/>
      <c r="AG313" s="98"/>
      <c r="AH313" s="98"/>
      <c r="AI313" s="98"/>
      <c r="AJ313" s="99"/>
      <c r="AK313" s="97"/>
      <c r="AL313" s="98"/>
      <c r="AM313" s="99"/>
      <c r="AN313" s="97"/>
      <c r="AO313" s="98"/>
      <c r="AP313" s="98"/>
      <c r="AQ313" s="98"/>
      <c r="AR313" s="98"/>
      <c r="AS313" s="98"/>
      <c r="AT313" s="98"/>
      <c r="AU313" s="98"/>
      <c r="AV313" s="99"/>
      <c r="AW313" s="97"/>
      <c r="AX313" s="98"/>
      <c r="AY313" s="99"/>
      <c r="AZ313" s="97"/>
      <c r="BA313" s="98"/>
      <c r="BB313" s="98"/>
      <c r="BC313" s="98"/>
      <c r="BD313" s="98"/>
      <c r="BE313" s="98"/>
      <c r="BF313" s="98"/>
      <c r="BG313" s="98"/>
      <c r="BH313" s="98"/>
      <c r="BI313" s="98"/>
      <c r="BJ313" s="99"/>
      <c r="BR313" s="40"/>
      <c r="BS313" s="36" t="str">
        <f>_xlfn.IFNA(VLOOKUP($BR313,[15]Master!$C$4:$J$13,2,FALSE),"-")</f>
        <v>-</v>
      </c>
      <c r="BT313" s="36" t="str">
        <f>_xlfn.IFNA(VLOOKUP($BR313,[15]Master!$C$4:$J$13,3,FALSE),"-")</f>
        <v>-</v>
      </c>
      <c r="BU313" s="36" t="str">
        <f>_xlfn.IFNA(VLOOKUP($BR313,[15]Master!$C$4:$J$13,4,FALSE),"-")</f>
        <v>-</v>
      </c>
      <c r="BV313" s="36" t="str">
        <f>_xlfn.IFNA(VLOOKUP($BR313,[15]Master!$C$4:$J$13,5,FALSE),"-")</f>
        <v>-</v>
      </c>
      <c r="BW313" s="36" t="str">
        <f>_xlfn.IFNA(VLOOKUP($BR313,[15]Master!$C$4:$J$13,6,FALSE),"-")</f>
        <v>-</v>
      </c>
      <c r="BX313" s="36" t="str">
        <f>_xlfn.IFNA(VLOOKUP($BR313,[15]Master!$C$4:$J$13,7,FALSE),"-")</f>
        <v>-</v>
      </c>
      <c r="BY313" s="36" t="str">
        <f>_xlfn.IFNA(VLOOKUP($BR313,[15]Master!$C$4:$J$13,8,FALSE),"-")</f>
        <v>-</v>
      </c>
      <c r="BZ313" s="35">
        <f t="shared" si="6"/>
        <v>0</v>
      </c>
    </row>
    <row r="314" spans="2:78" ht="15.75">
      <c r="B314" s="88" t="s">
        <v>554</v>
      </c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90"/>
      <c r="P314" s="88"/>
      <c r="Q314" s="89"/>
      <c r="R314" s="89"/>
      <c r="S314" s="89"/>
      <c r="T314" s="89"/>
      <c r="U314" s="89"/>
      <c r="V314" s="89"/>
      <c r="W314" s="89"/>
      <c r="X314" s="90"/>
      <c r="Y314" s="88"/>
      <c r="Z314" s="89"/>
      <c r="AA314" s="90"/>
      <c r="AB314" s="88"/>
      <c r="AC314" s="89"/>
      <c r="AD314" s="89"/>
      <c r="AE314" s="89"/>
      <c r="AF314" s="89"/>
      <c r="AG314" s="89"/>
      <c r="AH314" s="89"/>
      <c r="AI314" s="89"/>
      <c r="AJ314" s="90"/>
      <c r="AK314" s="88"/>
      <c r="AL314" s="89"/>
      <c r="AM314" s="90"/>
      <c r="AN314" s="88"/>
      <c r="AO314" s="89"/>
      <c r="AP314" s="89"/>
      <c r="AQ314" s="89"/>
      <c r="AR314" s="89"/>
      <c r="AS314" s="89"/>
      <c r="AT314" s="89"/>
      <c r="AU314" s="89"/>
      <c r="AV314" s="90"/>
      <c r="AW314" s="88"/>
      <c r="AX314" s="89"/>
      <c r="AY314" s="90"/>
      <c r="AZ314" s="88"/>
      <c r="BA314" s="89"/>
      <c r="BB314" s="89"/>
      <c r="BC314" s="89"/>
      <c r="BD314" s="89"/>
      <c r="BE314" s="89"/>
      <c r="BF314" s="89"/>
      <c r="BG314" s="89"/>
      <c r="BH314" s="89"/>
      <c r="BI314" s="89"/>
      <c r="BJ314" s="90"/>
      <c r="BR314" s="40"/>
      <c r="BS314" s="36" t="str">
        <f>_xlfn.IFNA(VLOOKUP($BR314,[15]Master!$C$4:$J$13,2,FALSE),"-")</f>
        <v>-</v>
      </c>
      <c r="BT314" s="36" t="str">
        <f>_xlfn.IFNA(VLOOKUP($BR314,[15]Master!$C$4:$J$13,3,FALSE),"-")</f>
        <v>-</v>
      </c>
      <c r="BU314" s="36" t="str">
        <f>_xlfn.IFNA(VLOOKUP($BR314,[15]Master!$C$4:$J$13,4,FALSE),"-")</f>
        <v>-</v>
      </c>
      <c r="BV314" s="36" t="str">
        <f>_xlfn.IFNA(VLOOKUP($BR314,[15]Master!$C$4:$J$13,5,FALSE),"-")</f>
        <v>-</v>
      </c>
      <c r="BW314" s="36" t="str">
        <f>_xlfn.IFNA(VLOOKUP($BR314,[15]Master!$C$4:$J$13,6,FALSE),"-")</f>
        <v>-</v>
      </c>
      <c r="BX314" s="36" t="str">
        <f>_xlfn.IFNA(VLOOKUP($BR314,[15]Master!$C$4:$J$13,7,FALSE),"-")</f>
        <v>-</v>
      </c>
      <c r="BY314" s="36" t="str">
        <f>_xlfn.IFNA(VLOOKUP($BR314,[15]Master!$C$4:$J$13,8,FALSE),"-")</f>
        <v>-</v>
      </c>
      <c r="BZ314" s="35">
        <f t="shared" si="6"/>
        <v>0</v>
      </c>
    </row>
  </sheetData>
  <mergeCells count="30">
    <mergeCell ref="AZ180:BJ180"/>
    <mergeCell ref="AN180:AV180"/>
    <mergeCell ref="AB180:AJ180"/>
    <mergeCell ref="P180:X180"/>
    <mergeCell ref="B180:O180"/>
    <mergeCell ref="AY2:BB3"/>
    <mergeCell ref="AP4:BK4"/>
    <mergeCell ref="P8:X8"/>
    <mergeCell ref="AB8:AJ8"/>
    <mergeCell ref="BC1:BG1"/>
    <mergeCell ref="BH1:BK1"/>
    <mergeCell ref="BC2:BG3"/>
    <mergeCell ref="BH2:BK3"/>
    <mergeCell ref="AY1:BB1"/>
    <mergeCell ref="H4:T4"/>
    <mergeCell ref="U4:Y4"/>
    <mergeCell ref="Z4:AO4"/>
    <mergeCell ref="AT1:AX1"/>
    <mergeCell ref="A2:J3"/>
    <mergeCell ref="K2:V3"/>
    <mergeCell ref="AP2:AS3"/>
    <mergeCell ref="AT2:AX3"/>
    <mergeCell ref="P199:X207"/>
    <mergeCell ref="A1:J1"/>
    <mergeCell ref="K1:V1"/>
    <mergeCell ref="W1:AO3"/>
    <mergeCell ref="AP1:AS1"/>
    <mergeCell ref="P133:X133"/>
    <mergeCell ref="AB133:AJ133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5F45-EB6E-4578-A471-BDD3F57683F7}">
  <sheetPr>
    <pageSetUpPr fitToPage="1"/>
  </sheetPr>
  <dimension ref="B1:K22"/>
  <sheetViews>
    <sheetView showGridLines="0" view="pageBreakPreview" zoomScale="85" zoomScaleNormal="100" zoomScaleSheetLayoutView="85" workbookViewId="0"/>
  </sheetViews>
  <sheetFormatPr defaultRowHeight="15.75"/>
  <cols>
    <col min="1" max="1" width="8.88671875" style="134"/>
    <col min="2" max="2" width="22.33203125" style="134" customWidth="1"/>
    <col min="3" max="3" width="14.77734375" style="134" customWidth="1"/>
    <col min="4" max="5" width="13.44140625" style="135" customWidth="1"/>
    <col min="6" max="6" width="29.44140625" style="135" customWidth="1"/>
    <col min="7" max="8" width="22.109375" style="135" customWidth="1"/>
    <col min="9" max="9" width="15.77734375" style="135" customWidth="1"/>
    <col min="10" max="10" width="13.44140625" style="135" customWidth="1"/>
    <col min="11" max="17" width="8.88671875" style="134"/>
    <col min="18" max="18" width="11.21875" style="134" customWidth="1"/>
    <col min="19" max="16384" width="8.88671875" style="134"/>
  </cols>
  <sheetData>
    <row r="1" spans="2:11">
      <c r="C1" s="134">
        <v>1</v>
      </c>
      <c r="D1" s="135">
        <v>2</v>
      </c>
      <c r="E1" s="134">
        <v>3</v>
      </c>
      <c r="F1" s="135">
        <v>4</v>
      </c>
      <c r="G1" s="134">
        <v>5</v>
      </c>
      <c r="H1" s="135">
        <v>6</v>
      </c>
      <c r="I1" s="134">
        <v>7</v>
      </c>
      <c r="J1" s="135">
        <v>8</v>
      </c>
    </row>
    <row r="2" spans="2:11">
      <c r="D2" s="29" t="s">
        <v>555</v>
      </c>
    </row>
    <row r="3" spans="2:11" ht="31.5">
      <c r="B3" s="28"/>
      <c r="C3" s="30" t="s">
        <v>556</v>
      </c>
      <c r="D3" s="31" t="s">
        <v>557</v>
      </c>
      <c r="E3" s="31" t="s">
        <v>558</v>
      </c>
      <c r="F3" s="32" t="s">
        <v>54</v>
      </c>
      <c r="G3" s="32" t="s">
        <v>559</v>
      </c>
      <c r="H3" s="32" t="s">
        <v>560</v>
      </c>
      <c r="I3" s="32" t="s">
        <v>561</v>
      </c>
      <c r="J3" s="32" t="s">
        <v>562</v>
      </c>
      <c r="K3" s="33" t="s">
        <v>61</v>
      </c>
    </row>
    <row r="4" spans="2:11">
      <c r="B4" s="136" t="s">
        <v>162</v>
      </c>
      <c r="C4" s="136" t="s">
        <v>162</v>
      </c>
      <c r="D4" s="137">
        <v>0.15</v>
      </c>
      <c r="E4" s="137">
        <v>0.5</v>
      </c>
      <c r="F4" s="137">
        <v>0.1</v>
      </c>
      <c r="G4" s="137">
        <v>0.05</v>
      </c>
      <c r="H4" s="137">
        <v>0.1</v>
      </c>
      <c r="I4" s="137">
        <v>0.05</v>
      </c>
      <c r="J4" s="137">
        <v>0.1</v>
      </c>
      <c r="K4" s="136">
        <f>SUM(D4:J4)</f>
        <v>1.05</v>
      </c>
    </row>
    <row r="5" spans="2:11">
      <c r="B5" s="136" t="s">
        <v>209</v>
      </c>
      <c r="C5" s="136" t="s">
        <v>209</v>
      </c>
      <c r="D5" s="137">
        <v>0.3</v>
      </c>
      <c r="E5" s="137">
        <v>1</v>
      </c>
      <c r="F5" s="137">
        <v>0.2</v>
      </c>
      <c r="G5" s="137">
        <v>0.1</v>
      </c>
      <c r="H5" s="137">
        <v>0.2</v>
      </c>
      <c r="I5" s="137">
        <v>0.1</v>
      </c>
      <c r="J5" s="137">
        <v>0.2</v>
      </c>
      <c r="K5" s="136">
        <f t="shared" ref="K5:K13" si="0">SUM(D5:J5)</f>
        <v>2.1</v>
      </c>
    </row>
    <row r="6" spans="2:11">
      <c r="B6" s="136" t="s">
        <v>204</v>
      </c>
      <c r="C6" s="136" t="s">
        <v>204</v>
      </c>
      <c r="D6" s="137">
        <v>0.52500000000000002</v>
      </c>
      <c r="E6" s="137">
        <v>1.75</v>
      </c>
      <c r="F6" s="137">
        <v>0.35000000000000003</v>
      </c>
      <c r="G6" s="137">
        <v>0.17500000000000002</v>
      </c>
      <c r="H6" s="137">
        <v>0.35000000000000003</v>
      </c>
      <c r="I6" s="137">
        <v>0.17500000000000002</v>
      </c>
      <c r="J6" s="137">
        <v>0.35000000000000003</v>
      </c>
      <c r="K6" s="136">
        <f t="shared" si="0"/>
        <v>3.6749999999999998</v>
      </c>
    </row>
    <row r="7" spans="2:11">
      <c r="B7" s="136" t="s">
        <v>173</v>
      </c>
      <c r="C7" s="136" t="s">
        <v>173</v>
      </c>
      <c r="D7" s="137">
        <v>0.75</v>
      </c>
      <c r="E7" s="137">
        <v>2.5</v>
      </c>
      <c r="F7" s="137">
        <v>0.5</v>
      </c>
      <c r="G7" s="137">
        <v>0.25</v>
      </c>
      <c r="H7" s="137">
        <v>0.5</v>
      </c>
      <c r="I7" s="137">
        <v>0.25</v>
      </c>
      <c r="J7" s="137">
        <v>0.5</v>
      </c>
      <c r="K7" s="136">
        <f t="shared" si="0"/>
        <v>5.25</v>
      </c>
    </row>
    <row r="8" spans="2:11">
      <c r="B8" s="136" t="s">
        <v>563</v>
      </c>
      <c r="C8" s="136" t="s">
        <v>563</v>
      </c>
      <c r="D8" s="138">
        <v>0</v>
      </c>
      <c r="E8" s="138">
        <v>0</v>
      </c>
      <c r="F8" s="138">
        <v>0</v>
      </c>
      <c r="G8" s="138">
        <v>0</v>
      </c>
      <c r="H8" s="138">
        <v>0</v>
      </c>
      <c r="I8" s="138">
        <v>0</v>
      </c>
      <c r="J8" s="138">
        <v>0</v>
      </c>
      <c r="K8" s="139">
        <f t="shared" si="0"/>
        <v>0</v>
      </c>
    </row>
    <row r="9" spans="2:11">
      <c r="B9" s="136" t="s">
        <v>189</v>
      </c>
      <c r="C9" s="136" t="s">
        <v>189</v>
      </c>
      <c r="D9" s="140">
        <f>85%*D4</f>
        <v>0.1275</v>
      </c>
      <c r="E9" s="140">
        <f t="shared" ref="E9:J9" si="1">85%*E4</f>
        <v>0.42499999999999999</v>
      </c>
      <c r="F9" s="140">
        <f t="shared" si="1"/>
        <v>8.5000000000000006E-2</v>
      </c>
      <c r="G9" s="140">
        <f t="shared" si="1"/>
        <v>4.2500000000000003E-2</v>
      </c>
      <c r="H9" s="140">
        <f t="shared" si="1"/>
        <v>8.5000000000000006E-2</v>
      </c>
      <c r="I9" s="140">
        <f t="shared" si="1"/>
        <v>4.2500000000000003E-2</v>
      </c>
      <c r="J9" s="140">
        <f t="shared" si="1"/>
        <v>8.5000000000000006E-2</v>
      </c>
      <c r="K9" s="136">
        <f t="shared" si="0"/>
        <v>0.89249999999999985</v>
      </c>
    </row>
    <row r="10" spans="2:11">
      <c r="B10" s="136" t="s">
        <v>197</v>
      </c>
      <c r="C10" s="136" t="s">
        <v>197</v>
      </c>
      <c r="D10" s="140">
        <f t="shared" ref="D10:J13" si="2">85%*D5</f>
        <v>0.255</v>
      </c>
      <c r="E10" s="140">
        <f t="shared" si="2"/>
        <v>0.85</v>
      </c>
      <c r="F10" s="140">
        <f t="shared" si="2"/>
        <v>0.17</v>
      </c>
      <c r="G10" s="140">
        <f t="shared" si="2"/>
        <v>8.5000000000000006E-2</v>
      </c>
      <c r="H10" s="140">
        <f t="shared" si="2"/>
        <v>0.17</v>
      </c>
      <c r="I10" s="140">
        <f t="shared" si="2"/>
        <v>8.5000000000000006E-2</v>
      </c>
      <c r="J10" s="140">
        <f t="shared" si="2"/>
        <v>0.17</v>
      </c>
      <c r="K10" s="136">
        <f t="shared" si="0"/>
        <v>1.7849999999999997</v>
      </c>
    </row>
    <row r="11" spans="2:11">
      <c r="B11" s="136" t="s">
        <v>564</v>
      </c>
      <c r="C11" s="136" t="s">
        <v>564</v>
      </c>
      <c r="D11" s="140">
        <f t="shared" si="2"/>
        <v>0.44624999999999998</v>
      </c>
      <c r="E11" s="140">
        <f t="shared" si="2"/>
        <v>1.4875</v>
      </c>
      <c r="F11" s="140">
        <f t="shared" si="2"/>
        <v>0.29750000000000004</v>
      </c>
      <c r="G11" s="140">
        <f t="shared" si="2"/>
        <v>0.14875000000000002</v>
      </c>
      <c r="H11" s="140">
        <f t="shared" si="2"/>
        <v>0.29750000000000004</v>
      </c>
      <c r="I11" s="140">
        <f t="shared" si="2"/>
        <v>0.14875000000000002</v>
      </c>
      <c r="J11" s="140">
        <f t="shared" si="2"/>
        <v>0.29750000000000004</v>
      </c>
      <c r="K11" s="136">
        <f t="shared" si="0"/>
        <v>3.1237500000000002</v>
      </c>
    </row>
    <row r="12" spans="2:11">
      <c r="B12" s="136" t="s">
        <v>565</v>
      </c>
      <c r="C12" s="136" t="s">
        <v>565</v>
      </c>
      <c r="D12" s="140">
        <f t="shared" si="2"/>
        <v>0.63749999999999996</v>
      </c>
      <c r="E12" s="140">
        <f t="shared" si="2"/>
        <v>2.125</v>
      </c>
      <c r="F12" s="140">
        <f t="shared" si="2"/>
        <v>0.42499999999999999</v>
      </c>
      <c r="G12" s="140">
        <f t="shared" si="2"/>
        <v>0.21249999999999999</v>
      </c>
      <c r="H12" s="140">
        <f t="shared" si="2"/>
        <v>0.42499999999999999</v>
      </c>
      <c r="I12" s="140">
        <f t="shared" si="2"/>
        <v>0.21249999999999999</v>
      </c>
      <c r="J12" s="140">
        <f t="shared" si="2"/>
        <v>0.42499999999999999</v>
      </c>
      <c r="K12" s="136">
        <f t="shared" si="0"/>
        <v>4.4624999999999995</v>
      </c>
    </row>
    <row r="13" spans="2:11">
      <c r="B13" s="136" t="s">
        <v>566</v>
      </c>
      <c r="C13" s="136" t="s">
        <v>566</v>
      </c>
      <c r="D13" s="140">
        <f t="shared" si="2"/>
        <v>0</v>
      </c>
      <c r="E13" s="140">
        <f t="shared" si="2"/>
        <v>0</v>
      </c>
      <c r="F13" s="140">
        <f t="shared" si="2"/>
        <v>0</v>
      </c>
      <c r="G13" s="140">
        <f t="shared" si="2"/>
        <v>0</v>
      </c>
      <c r="H13" s="140">
        <f t="shared" si="2"/>
        <v>0</v>
      </c>
      <c r="I13" s="140">
        <f t="shared" si="2"/>
        <v>0</v>
      </c>
      <c r="J13" s="140">
        <f t="shared" si="2"/>
        <v>0</v>
      </c>
      <c r="K13" s="136">
        <f t="shared" si="0"/>
        <v>0</v>
      </c>
    </row>
    <row r="16" spans="2:11">
      <c r="D16" s="141"/>
      <c r="J16" s="141"/>
    </row>
    <row r="17" spans="2:10" ht="15.75" customHeight="1">
      <c r="C17" s="142" t="s">
        <v>567</v>
      </c>
      <c r="D17" s="143" t="s">
        <v>162</v>
      </c>
      <c r="E17" s="143" t="s">
        <v>209</v>
      </c>
      <c r="F17" s="143" t="s">
        <v>204</v>
      </c>
      <c r="G17" s="143" t="s">
        <v>173</v>
      </c>
      <c r="H17" s="143" t="s">
        <v>563</v>
      </c>
      <c r="J17" s="134"/>
    </row>
    <row r="18" spans="2:10">
      <c r="B18" s="347" t="s">
        <v>568</v>
      </c>
      <c r="C18" s="148" t="s">
        <v>569</v>
      </c>
      <c r="D18" s="144" t="s">
        <v>570</v>
      </c>
      <c r="E18" s="145">
        <v>2</v>
      </c>
      <c r="F18" s="146" t="s">
        <v>571</v>
      </c>
      <c r="G18" s="146" t="s">
        <v>572</v>
      </c>
      <c r="H18" s="147" t="s">
        <v>573</v>
      </c>
      <c r="J18" s="134"/>
    </row>
    <row r="19" spans="2:10" ht="31.5">
      <c r="B19" s="347"/>
      <c r="C19" s="148" t="s">
        <v>574</v>
      </c>
      <c r="D19" s="149" t="s">
        <v>575</v>
      </c>
      <c r="E19" s="149" t="s">
        <v>576</v>
      </c>
      <c r="F19" s="150" t="s">
        <v>577</v>
      </c>
      <c r="G19" s="150" t="s">
        <v>578</v>
      </c>
      <c r="H19" s="147" t="s">
        <v>579</v>
      </c>
      <c r="J19" s="134"/>
    </row>
    <row r="20" spans="2:10" ht="31.5">
      <c r="B20" s="347"/>
      <c r="C20" s="148" t="s">
        <v>580</v>
      </c>
      <c r="D20" s="149" t="s">
        <v>575</v>
      </c>
      <c r="E20" s="149" t="s">
        <v>581</v>
      </c>
      <c r="F20" s="150" t="s">
        <v>577</v>
      </c>
      <c r="G20" s="150" t="s">
        <v>578</v>
      </c>
      <c r="H20" s="147" t="s">
        <v>579</v>
      </c>
      <c r="J20" s="134"/>
    </row>
    <row r="21" spans="2:10" ht="154.5" customHeight="1">
      <c r="B21" s="347"/>
      <c r="C21" s="148" t="s">
        <v>582</v>
      </c>
      <c r="D21" s="151" t="s">
        <v>583</v>
      </c>
      <c r="E21" s="151" t="s">
        <v>583</v>
      </c>
      <c r="F21" s="151" t="s">
        <v>584</v>
      </c>
      <c r="G21" s="151" t="s">
        <v>585</v>
      </c>
      <c r="H21" s="152" t="s">
        <v>586</v>
      </c>
    </row>
    <row r="22" spans="2:10" ht="21" customHeight="1">
      <c r="B22" s="347"/>
      <c r="C22" s="153" t="s">
        <v>587</v>
      </c>
      <c r="D22" s="154" t="s">
        <v>588</v>
      </c>
      <c r="E22" s="154" t="s">
        <v>589</v>
      </c>
      <c r="F22" s="154" t="s">
        <v>590</v>
      </c>
      <c r="G22" s="154" t="s">
        <v>591</v>
      </c>
      <c r="H22" s="155" t="s">
        <v>592</v>
      </c>
    </row>
  </sheetData>
  <mergeCells count="1">
    <mergeCell ref="B18:B22"/>
  </mergeCells>
  <pageMargins left="0.7" right="0.7" top="0.75" bottom="0.75" header="0.3" footer="0.3"/>
  <pageSetup scale="4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0C85-D883-474B-9F29-EB69D60DEF42}">
  <sheetPr>
    <pageSetUpPr fitToPage="1"/>
  </sheetPr>
  <dimension ref="A1:BK55"/>
  <sheetViews>
    <sheetView view="pageBreakPreview" zoomScale="75" zoomScaleNormal="75" zoomScaleSheetLayoutView="75" workbookViewId="0">
      <selection sqref="A1:J1"/>
    </sheetView>
  </sheetViews>
  <sheetFormatPr defaultColWidth="2.77734375" defaultRowHeight="15" customHeight="1"/>
  <cols>
    <col min="1" max="60" width="2.77734375" customWidth="1"/>
  </cols>
  <sheetData>
    <row r="1" spans="1:63" ht="24.95" customHeight="1">
      <c r="A1" s="262" t="s">
        <v>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2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250" t="s">
        <v>3</v>
      </c>
      <c r="AQ1" s="251"/>
      <c r="AR1" s="251"/>
      <c r="AS1" s="252"/>
      <c r="AT1" s="250" t="s">
        <v>4</v>
      </c>
      <c r="AU1" s="251"/>
      <c r="AV1" s="251"/>
      <c r="AW1" s="251"/>
      <c r="AX1" s="252"/>
      <c r="AY1" s="250" t="s">
        <v>5</v>
      </c>
      <c r="AZ1" s="251"/>
      <c r="BA1" s="251"/>
      <c r="BB1" s="252"/>
      <c r="BC1" s="250" t="s">
        <v>6</v>
      </c>
      <c r="BD1" s="251"/>
      <c r="BE1" s="251"/>
      <c r="BF1" s="251"/>
      <c r="BG1" s="252"/>
      <c r="BH1" s="250" t="s">
        <v>7</v>
      </c>
      <c r="BI1" s="251"/>
      <c r="BJ1" s="251"/>
      <c r="BK1" s="252"/>
    </row>
    <row r="2" spans="1:63" ht="15" customHeight="1">
      <c r="A2" s="285" t="s">
        <v>8</v>
      </c>
      <c r="B2" s="280"/>
      <c r="C2" s="280"/>
      <c r="D2" s="280"/>
      <c r="E2" s="280"/>
      <c r="F2" s="280"/>
      <c r="G2" s="280"/>
      <c r="H2" s="280"/>
      <c r="I2" s="280"/>
      <c r="J2" s="281"/>
      <c r="K2" s="285" t="s">
        <v>9</v>
      </c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1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279" t="str">
        <f>改訂履歴!$H$11</f>
        <v>XoaLT</v>
      </c>
      <c r="AQ2" s="280"/>
      <c r="AR2" s="280"/>
      <c r="AS2" s="281"/>
      <c r="AT2" s="273">
        <f>改訂履歴!$B$11</f>
        <v>45408</v>
      </c>
      <c r="AU2" s="274"/>
      <c r="AV2" s="274"/>
      <c r="AW2" s="274"/>
      <c r="AX2" s="275"/>
      <c r="AY2" s="279" t="str">
        <f>LOOKUP(2,1/(改訂履歴!H11:H30000&lt;&gt;""),改訂履歴!H11:H30000)</f>
        <v>XoaLT</v>
      </c>
      <c r="AZ2" s="280"/>
      <c r="BA2" s="280"/>
      <c r="BB2" s="281"/>
      <c r="BC2" s="273">
        <f>LOOKUP(2,1/(改訂履歴!B11:B30000&lt;&gt;""),改訂履歴!B11:B30000)</f>
        <v>45408</v>
      </c>
      <c r="BD2" s="274"/>
      <c r="BE2" s="274"/>
      <c r="BF2" s="274"/>
      <c r="BG2" s="275"/>
      <c r="BH2" s="267">
        <f>LOOKUP(2,1/(改訂履歴!O11:O30000&lt;&gt;""),改訂履歴!O11:O30000)</f>
        <v>0.1</v>
      </c>
      <c r="BI2" s="268"/>
      <c r="BJ2" s="268"/>
      <c r="BK2" s="269"/>
    </row>
    <row r="3" spans="1:63" ht="15" customHeight="1">
      <c r="A3" s="282"/>
      <c r="B3" s="283"/>
      <c r="C3" s="283"/>
      <c r="D3" s="283"/>
      <c r="E3" s="283"/>
      <c r="F3" s="283"/>
      <c r="G3" s="283"/>
      <c r="H3" s="283"/>
      <c r="I3" s="283"/>
      <c r="J3" s="284"/>
      <c r="K3" s="282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4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282"/>
      <c r="AQ3" s="283"/>
      <c r="AR3" s="283"/>
      <c r="AS3" s="284"/>
      <c r="AT3" s="276"/>
      <c r="AU3" s="277"/>
      <c r="AV3" s="277"/>
      <c r="AW3" s="277"/>
      <c r="AX3" s="278"/>
      <c r="AY3" s="282"/>
      <c r="AZ3" s="283"/>
      <c r="BA3" s="283"/>
      <c r="BB3" s="284"/>
      <c r="BC3" s="276"/>
      <c r="BD3" s="277"/>
      <c r="BE3" s="277"/>
      <c r="BF3" s="277"/>
      <c r="BG3" s="278"/>
      <c r="BH3" s="270"/>
      <c r="BI3" s="271"/>
      <c r="BJ3" s="271"/>
      <c r="BK3" s="272"/>
    </row>
    <row r="4" spans="1:63" ht="24.95" customHeight="1">
      <c r="A4" s="250" t="s">
        <v>10</v>
      </c>
      <c r="B4" s="251"/>
      <c r="C4" s="251"/>
      <c r="D4" s="251"/>
      <c r="E4" s="251"/>
      <c r="F4" s="251"/>
      <c r="G4" s="252"/>
      <c r="H4" s="266" t="s">
        <v>11</v>
      </c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4"/>
      <c r="T4" s="265"/>
      <c r="U4" s="250" t="s">
        <v>12</v>
      </c>
      <c r="V4" s="251"/>
      <c r="W4" s="251"/>
      <c r="X4" s="251"/>
      <c r="Y4" s="252"/>
      <c r="Z4" s="266" t="s">
        <v>13</v>
      </c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5"/>
      <c r="AP4" s="263" t="s">
        <v>593</v>
      </c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264"/>
      <c r="BG4" s="264"/>
      <c r="BH4" s="264"/>
      <c r="BI4" s="264"/>
      <c r="BJ4" s="264"/>
      <c r="BK4" s="26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594</v>
      </c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D45273-6BD2-4C2D-93BE-7E3E74AD7E13}"/>
</file>

<file path=customXml/itemProps2.xml><?xml version="1.0" encoding="utf-8"?>
<ds:datastoreItem xmlns:ds="http://schemas.openxmlformats.org/officeDocument/2006/customXml" ds:itemID="{6F99AF11-1033-463D-A222-D4A418B7A63A}"/>
</file>

<file path=customXml/itemProps3.xml><?xml version="1.0" encoding="utf-8"?>
<ds:datastoreItem xmlns:ds="http://schemas.openxmlformats.org/officeDocument/2006/customXml" ds:itemID="{6BFE020F-CE80-42DC-B6AC-D848206E8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青柳  光彦</cp:lastModifiedBy>
  <cp:revision/>
  <dcterms:created xsi:type="dcterms:W3CDTF">2015-06-05T18:19:34Z</dcterms:created>
  <dcterms:modified xsi:type="dcterms:W3CDTF">2024-05-10T07:33:20Z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