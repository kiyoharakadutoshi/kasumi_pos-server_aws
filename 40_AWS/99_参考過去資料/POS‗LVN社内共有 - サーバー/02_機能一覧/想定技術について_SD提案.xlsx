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 SYSTEM\30_implementation\32_design\JP\02_機能一覧\30_POSサーバー\"/>
    </mc:Choice>
  </mc:AlternateContent>
  <xr:revisionPtr revIDLastSave="0" documentId="13_ncr:1_{B3F68D9A-EA86-4E7D-A9FB-9B737719C9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サマリー" sheetId="2" r:id="rId1"/>
    <sheet name="バックエンド" sheetId="3" r:id="rId2"/>
    <sheet name="フロントエンド" sheetId="1" r:id="rId3"/>
    <sheet name="DB" sheetId="4" r:id="rId4"/>
    <sheet name="システム構成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/>
  <c r="G7" i="1"/>
  <c r="F19" i="3"/>
  <c r="F18" i="3"/>
  <c r="F17" i="3"/>
  <c r="F16" i="3"/>
</calcChain>
</file>

<file path=xl/sharedStrings.xml><?xml version="1.0" encoding="utf-8"?>
<sst xmlns="http://schemas.openxmlformats.org/spreadsheetml/2006/main" count="224" uniqueCount="175">
  <si>
    <t>So sánh với đề xuất Infra ban đầu</t>
  </si>
  <si>
    <t>S3 Glacier: chưa có</t>
  </si>
  <si>
    <t>EC2 Sport: chưa có</t>
  </si>
  <si>
    <t>Tên chức năng thì giống hiểu là liên quan tới search tại chức năng số 13</t>
  </si>
  <si>
    <t>AWS Open Search: chưa có</t>
  </si>
  <si>
    <t>Xem xét chức năng này nên tích hợp QuickSign và Athena hay không?</t>
  </si>
  <si>
    <t>Cái này sao lại là video nhỉ?
Có khác gì đặc biệt với chức năng số 2 không?</t>
  </si>
  <si>
    <t>Chưa mô tả trong file thiết kế</t>
  </si>
  <si>
    <t>Đang hiểu là có thể deploy, đẩy bản update source code trong 3p</t>
  </si>
  <si>
    <t>Chưa mô tả trong sơ đồ thiết kế</t>
  </si>
  <si>
    <t>+ Với các yêu cầu phi chức năng trên SD phân tích như sau :</t>
  </si>
  <si>
    <r>
      <rPr>
        <sz val="11"/>
        <color rgb="FF000000"/>
        <rFont val="Meiryo UI"/>
        <family val="2"/>
      </rPr>
      <t>使用予定技術</t>
    </r>
  </si>
  <si>
    <r>
      <rPr>
        <sz val="11"/>
        <color rgb="FF000000"/>
        <rFont val="Meiryo UI"/>
        <family val="2"/>
      </rPr>
      <t>バックエンド</t>
    </r>
  </si>
  <si>
    <r>
      <rPr>
        <sz val="11"/>
        <color rgb="FF000000"/>
        <rFont val="Meiryo UI"/>
        <family val="2"/>
      </rPr>
      <t>：提案</t>
    </r>
  </si>
  <si>
    <r>
      <rPr>
        <sz val="11"/>
        <color rgb="FF000000"/>
        <rFont val="Meiryo UI"/>
        <family val="2"/>
      </rPr>
      <t>最新版</t>
    </r>
  </si>
  <si>
    <r>
      <rPr>
        <b/>
        <sz val="11"/>
        <color rgb="FF000000"/>
        <rFont val="Meiryo UI"/>
        <family val="2"/>
      </rPr>
      <t>LTS version</t>
    </r>
  </si>
  <si>
    <r>
      <rPr>
        <sz val="11"/>
        <color rgb="FF000000"/>
        <rFont val="Meiryo UI"/>
        <family val="2"/>
      </rPr>
      <t>Java</t>
    </r>
  </si>
  <si>
    <r>
      <rPr>
        <sz val="11"/>
        <color rgb="FF000000"/>
        <rFont val="Meiryo UI"/>
        <family val="2"/>
      </rPr>
      <t>参照先</t>
    </r>
  </si>
  <si>
    <r>
      <rPr>
        <sz val="11"/>
        <color rgb="FF000000"/>
        <rFont val="Meiryo UI"/>
        <family val="2"/>
      </rPr>
      <t>https://www.oracle.com/java/technologies/downloads/</t>
    </r>
  </si>
  <si>
    <r>
      <rPr>
        <b/>
        <sz val="11"/>
        <color rgb="FF000000"/>
        <rFont val="Meiryo UI"/>
        <family val="2"/>
      </rPr>
      <t>Spring Boot</t>
    </r>
  </si>
  <si>
    <r>
      <rPr>
        <sz val="11"/>
        <color rgb="FF000000"/>
        <rFont val="Meiryo UI"/>
        <family val="2"/>
      </rPr>
      <t>3.3.0</t>
    </r>
  </si>
  <si>
    <r>
      <rPr>
        <sz val="11"/>
        <color rgb="FF000000"/>
        <rFont val="Meiryo UI"/>
        <family val="2"/>
      </rPr>
      <t>https://github.com/spring-projects/spring-boot/tree/v3.1.11</t>
    </r>
  </si>
  <si>
    <r>
      <rPr>
        <sz val="11"/>
        <color rgb="FF000000"/>
        <rFont val="Meiryo UI"/>
        <family val="2"/>
      </rPr>
      <t>フロントエンド</t>
    </r>
  </si>
  <si>
    <r>
      <rPr>
        <b/>
        <sz val="11"/>
        <color rgb="FF000000"/>
        <rFont val="Meiryo UI"/>
        <family val="2"/>
      </rPr>
      <t>React TypeScript</t>
    </r>
  </si>
  <si>
    <r>
      <rPr>
        <sz val="11"/>
        <color rgb="FF000000"/>
        <rFont val="Meiryo UI"/>
        <family val="2"/>
      </rPr>
      <t>18.3.1</t>
    </r>
  </si>
  <si>
    <r>
      <rPr>
        <sz val="11"/>
        <color rgb="FF000000"/>
        <rFont val="Meiryo UI"/>
        <family val="2"/>
      </rPr>
      <t>https://react.dev/versions</t>
    </r>
  </si>
  <si>
    <r>
      <rPr>
        <sz val="11"/>
        <color rgb="FF000000"/>
        <rFont val="Meiryo UI"/>
        <family val="2"/>
      </rPr>
      <t>データベース</t>
    </r>
  </si>
  <si>
    <r>
      <rPr>
        <sz val="11"/>
        <color rgb="FF000000"/>
        <rFont val="Meiryo UI"/>
        <family val="2"/>
      </rPr>
      <t>DB</t>
    </r>
  </si>
  <si>
    <r>
      <rPr>
        <b/>
        <sz val="11"/>
        <color rgb="FF000000"/>
        <rFont val="Meiryo UI"/>
        <family val="2"/>
      </rPr>
      <t>Postgresql</t>
    </r>
  </si>
  <si>
    <r>
      <rPr>
        <sz val="11"/>
        <color rgb="FF000000"/>
        <rFont val="Meiryo UI"/>
        <family val="2"/>
      </rPr>
      <t>https://docs.amazonaws.cn/AmazonRDS/latest/AuroraUserGuide/Aurora.VersionPolicy.html</t>
    </r>
  </si>
  <si>
    <r>
      <rPr>
        <sz val="11"/>
        <color rgb="FF000000"/>
        <rFont val="Meiryo UI"/>
        <family val="2"/>
      </rPr>
      <t>https://www.postgresql.org/support/versioning/</t>
    </r>
  </si>
  <si>
    <r>
      <rPr>
        <sz val="11"/>
        <color rgb="FF000000"/>
        <rFont val="Meiryo UI"/>
        <family val="2"/>
      </rPr>
      <t>SD部門の提案</t>
    </r>
  </si>
  <si>
    <r>
      <rPr>
        <sz val="11"/>
        <color rgb="FF000000"/>
        <rFont val="Meiryo UI"/>
        <family val="2"/>
      </rPr>
      <t>構築 Serverless</t>
    </r>
  </si>
  <si>
    <r>
      <rPr>
        <sz val="11"/>
        <color rgb="FF000000"/>
        <rFont val="Meiryo UI"/>
        <family val="2"/>
      </rPr>
      <t>提案サービス</t>
    </r>
  </si>
  <si>
    <r>
      <rPr>
        <sz val="11"/>
        <color rgb="FF000000"/>
        <rFont val="Meiryo UI"/>
        <family val="2"/>
      </rPr>
      <t>No</t>
    </r>
  </si>
  <si>
    <r>
      <rPr>
        <sz val="11"/>
        <color rgb="FF000000"/>
        <rFont val="Meiryo UI"/>
        <family val="2"/>
      </rPr>
      <t>サービス種</t>
    </r>
  </si>
  <si>
    <r>
      <rPr>
        <b/>
        <sz val="11"/>
        <color rgb="FF000000"/>
        <rFont val="Meiryo UI"/>
        <family val="2"/>
      </rPr>
      <t>サービス名</t>
    </r>
  </si>
  <si>
    <r>
      <rPr>
        <sz val="11"/>
        <color rgb="FF000000"/>
        <rFont val="Meiryo UI"/>
        <family val="2"/>
      </rPr>
      <t>使用の目的</t>
    </r>
  </si>
  <si>
    <r>
      <rPr>
        <sz val="11"/>
        <color rgb="FF000000"/>
        <rFont val="Meiryo UI"/>
        <family val="2"/>
      </rPr>
      <t>提案状況</t>
    </r>
  </si>
  <si>
    <r>
      <rPr>
        <b/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</si>
  <si>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Storage</t>
    </r>
  </si>
  <si>
    <r>
      <rPr>
        <sz val="11"/>
        <color rgb="FF000000"/>
        <rFont val="Meiryo UI"/>
        <family val="2"/>
      </rPr>
      <t>S3</t>
    </r>
  </si>
  <si>
    <r>
      <rPr>
        <sz val="11"/>
        <color rgb="FF000000"/>
        <rFont val="Meiryo UI"/>
        <family val="2"/>
      </rPr>
      <t>ファイル保存</t>
    </r>
  </si>
  <si>
    <r>
      <rPr>
        <sz val="11"/>
        <color rgb="FF000000"/>
        <rFont val="Meiryo UI"/>
        <family val="2"/>
      </rPr>
      <t>使用すべき</t>
    </r>
  </si>
  <si>
    <r>
      <rPr>
        <sz val="11"/>
        <color rgb="FF000000"/>
        <rFont val="Meiryo UI"/>
        <family val="2"/>
      </rPr>
      <t>Glacier</t>
    </r>
  </si>
  <si>
    <r>
      <rPr>
        <sz val="11"/>
        <color rgb="FF000000"/>
        <rFont val="Meiryo UI"/>
        <family val="2"/>
      </rPr>
      <t>めったに使用しないファイルを保存する</t>
    </r>
  </si>
  <si>
    <r>
      <rPr>
        <sz val="11"/>
        <color rgb="FF000000"/>
        <rFont val="Meiryo UI"/>
        <family val="2"/>
      </rPr>
      <t>収納や使用頻度作業に応じて選ぶ</t>
    </r>
  </si>
  <si>
    <r>
      <rPr>
        <sz val="11"/>
        <color rgb="FF000000"/>
        <rFont val="Meiryo UI"/>
        <family val="2"/>
      </rPr>
      <t>Glacier Deep Archive</t>
    </r>
  </si>
  <si>
    <r>
      <rPr>
        <sz val="11"/>
        <color rgb="FF000000"/>
        <rFont val="Meiryo UI"/>
        <family val="2"/>
      </rPr>
      <t>Compute</t>
    </r>
  </si>
  <si>
    <r>
      <rPr>
        <sz val="11"/>
        <color rgb="FF000000"/>
        <rFont val="Meiryo UI"/>
        <family val="2"/>
      </rPr>
      <t>Lamda</t>
    </r>
  </si>
  <si>
    <r>
      <rPr>
        <sz val="11"/>
        <color rgb="FF000000"/>
        <rFont val="Meiryo UI"/>
        <family val="2"/>
      </rPr>
      <t>小規模なデータ処理ジョブに使用される</t>
    </r>
  </si>
  <si>
    <r>
      <rPr>
        <sz val="11"/>
        <color rgb="FF000000"/>
        <rFont val="Meiryo UI"/>
        <family val="2"/>
      </rPr>
      <t>両方使用</t>
    </r>
  </si>
  <si>
    <r>
      <rPr>
        <sz val="11"/>
        <color rgb="FF000000"/>
        <rFont val="Meiryo UI"/>
        <family val="2"/>
      </rPr>
      <t>ECS Batch</t>
    </r>
  </si>
  <si>
    <r>
      <rPr>
        <sz val="11"/>
        <color rgb="FF000000"/>
        <rFont val="Meiryo UI"/>
        <family val="2"/>
      </rPr>
      <t>大量のデータを処理するジョブに使用される</t>
    </r>
  </si>
  <si>
    <r>
      <rPr>
        <sz val="11"/>
        <color rgb="FF000000"/>
        <rFont val="Meiryo UI"/>
        <family val="2"/>
      </rPr>
      <t>EC2 Sport</t>
    </r>
  </si>
  <si>
    <r>
      <rPr>
        <sz val="11"/>
        <color rgb="FF000000"/>
        <rFont val="Meiryo UI"/>
        <family val="2"/>
      </rPr>
      <t>バッチ処理に使用される</t>
    </r>
  </si>
  <si>
    <r>
      <rPr>
        <sz val="11"/>
        <color rgb="FF000000"/>
        <rFont val="Meiryo UI"/>
        <family val="2"/>
      </rPr>
      <t>検討可能</t>
    </r>
  </si>
  <si>
    <r>
      <rPr>
        <sz val="11"/>
        <color rgb="FF000000"/>
        <rFont val="Meiryo UI"/>
        <family val="2"/>
      </rPr>
      <t>Analytics</t>
    </r>
  </si>
  <si>
    <r>
      <rPr>
        <sz val="11"/>
        <color rgb="FF000000"/>
        <rFont val="Meiryo UI"/>
        <family val="2"/>
      </rPr>
      <t>QuickSight</t>
    </r>
  </si>
  <si>
    <r>
      <rPr>
        <sz val="11"/>
        <color rgb="FF000000"/>
        <rFont val="Meiryo UI"/>
        <family val="2"/>
      </rPr>
      <t>レポート処理に使用される</t>
    </r>
  </si>
  <si>
    <r>
      <rPr>
        <sz val="11"/>
        <color rgb="FF000000"/>
        <rFont val="Meiryo UI"/>
        <family val="2"/>
      </rPr>
      <t>Athena</t>
    </r>
  </si>
  <si>
    <r>
      <rPr>
        <sz val="11"/>
        <color rgb="FF000000"/>
        <rFont val="Meiryo UI"/>
        <family val="2"/>
      </rPr>
      <t>Management</t>
    </r>
  </si>
  <si>
    <r>
      <rPr>
        <sz val="11"/>
        <color rgb="FF000000"/>
        <rFont val="Meiryo UI"/>
        <family val="2"/>
      </rPr>
      <t>CloudWatch</t>
    </r>
  </si>
  <si>
    <r>
      <rPr>
        <sz val="11"/>
        <color rgb="FF000000"/>
        <rFont val="Meiryo UI"/>
        <family val="2"/>
      </rPr>
      <t>サーバ管理監視</t>
    </r>
  </si>
  <si>
    <r>
      <rPr>
        <sz val="11"/>
        <color rgb="FF000000"/>
        <rFont val="Meiryo UI"/>
        <family val="2"/>
      </rPr>
      <t>Application Monitoring</t>
    </r>
  </si>
  <si>
    <r>
      <rPr>
        <sz val="11"/>
        <color rgb="FF000000"/>
        <rFont val="Meiryo UI"/>
        <family val="2"/>
      </rPr>
      <t>Searching</t>
    </r>
  </si>
  <si>
    <r>
      <rPr>
        <sz val="11"/>
        <color rgb="FF000000"/>
        <rFont val="Meiryo UI"/>
        <family val="2"/>
      </rPr>
      <t>OpenSeach</t>
    </r>
  </si>
  <si>
    <r>
      <rPr>
        <sz val="11"/>
        <color rgb="FF000000"/>
        <rFont val="Meiryo UI"/>
        <family val="2"/>
      </rPr>
      <t>全文検索、あいまい検索をサポート</t>
    </r>
  </si>
  <si>
    <r>
      <rPr>
        <sz val="11"/>
        <color rgb="FF000000"/>
        <rFont val="Meiryo UI"/>
        <family val="2"/>
      </rPr>
      <t>AWS Aurora</t>
    </r>
  </si>
  <si>
    <r>
      <rPr>
        <sz val="11"/>
        <color rgb="FF000000"/>
        <rFont val="Meiryo UI"/>
        <family val="2"/>
      </rPr>
      <t>リアルタイムバックアップをサポート</t>
    </r>
  </si>
  <si>
    <r>
      <rPr>
        <sz val="11"/>
        <color rgb="FF000000"/>
        <rFont val="Meiryo UI"/>
        <family val="2"/>
      </rPr>
      <t>2 つのうち 1 つを使用する</t>
    </r>
  </si>
  <si>
    <r>
      <rPr>
        <sz val="11"/>
        <color rgb="FF000000"/>
        <rFont val="Meiryo UI"/>
        <family val="2"/>
      </rPr>
      <t>AWS RDS</t>
    </r>
  </si>
  <si>
    <r>
      <rPr>
        <sz val="11"/>
        <color rgb="FF000000"/>
        <rFont val="Meiryo UI"/>
        <family val="2"/>
      </rPr>
      <t>https://2022.stateofjs.com/en-US/libraries/front-end-frameworks/#front_end_frameworks_section_streams</t>
    </r>
  </si>
  <si>
    <r>
      <rPr>
        <sz val="11"/>
        <color rgb="FF000000"/>
        <rFont val="Meiryo UI"/>
        <family val="2"/>
      </rPr>
      <t>https://athemes.com/guides/angular-vs-react-vs-vue/</t>
    </r>
  </si>
  <si>
    <r>
      <rPr>
        <sz val="11"/>
        <color rgb="FF000000"/>
        <rFont val="Meiryo UI"/>
        <family val="2"/>
      </rPr>
      <t>評価指標</t>
    </r>
  </si>
  <si>
    <r>
      <rPr>
        <sz val="11"/>
        <color rgb="FF000000"/>
        <rFont val="Meiryo UI"/>
        <family val="2"/>
      </rPr>
      <t>人気度</t>
    </r>
  </si>
  <si>
    <r>
      <rPr>
        <sz val="11"/>
        <color rgb="FF000000"/>
        <rFont val="Meiryo UI"/>
        <family val="2"/>
      </rPr>
      <t>パフォーマンス</t>
    </r>
  </si>
  <si>
    <r>
      <rPr>
        <sz val="11"/>
        <color rgb="FF000000"/>
        <rFont val="Meiryo UI"/>
        <family val="2"/>
      </rPr>
      <t>サイズ</t>
    </r>
  </si>
  <si>
    <r>
      <rPr>
        <sz val="11"/>
        <color rgb="FF000000"/>
        <rFont val="Meiryo UI"/>
        <family val="2"/>
      </rPr>
      <t>大規模プロジェクトに応じる</t>
    </r>
  </si>
  <si>
    <r>
      <rPr>
        <sz val="11"/>
        <color rgb="FF000000"/>
        <rFont val="Meiryo UI"/>
        <family val="2"/>
      </rPr>
      <t>合計</t>
    </r>
  </si>
  <si>
    <r>
      <rPr>
        <b/>
        <sz val="11"/>
        <color rgb="FF000000"/>
        <rFont val="Meiryo UI"/>
        <family val="2"/>
      </rPr>
      <t>React</t>
    </r>
  </si>
  <si>
    <r>
      <rPr>
        <b/>
        <sz val="11"/>
        <color rgb="FF000000"/>
        <rFont val="Meiryo UI"/>
        <family val="2"/>
      </rPr>
      <t>Angular</t>
    </r>
  </si>
  <si>
    <r>
      <rPr>
        <b/>
        <sz val="11"/>
        <color rgb="FF000000"/>
        <rFont val="Meiryo UI"/>
        <family val="2"/>
      </rPr>
      <t>Vue</t>
    </r>
  </si>
  <si>
    <r>
      <rPr>
        <b/>
        <sz val="11"/>
        <color rgb="FF000000"/>
        <rFont val="Meiryo UI"/>
        <family val="2"/>
      </rPr>
      <t>MySQL</t>
    </r>
  </si>
  <si>
    <r>
      <rPr>
        <sz val="11"/>
        <color rgb="FF000000"/>
        <rFont val="Meiryo UI"/>
        <family val="2"/>
      </rPr>
      <t>パフォーマンスが高く、複雑なクエリ</t>
    </r>
  </si>
  <si>
    <r>
      <rPr>
        <sz val="11"/>
        <color rgb="FF000000"/>
        <rFont val="Meiryo UI"/>
        <family val="2"/>
      </rPr>
      <t>パフォーマンスが高く、単純なCRUDタスク</t>
    </r>
  </si>
  <si>
    <r>
      <rPr>
        <sz val="11"/>
        <color rgb="FF000000"/>
        <rFont val="Meiryo UI"/>
        <family val="2"/>
      </rPr>
      <t>性能</t>
    </r>
  </si>
  <si>
    <r>
      <rPr>
        <sz val="11"/>
        <color rgb="FF000000"/>
        <rFont val="Meiryo UI"/>
        <family val="2"/>
      </rPr>
      <t>完全な標準SQL、高度な機能</t>
    </r>
  </si>
  <si>
    <r>
      <rPr>
        <sz val="11"/>
        <color rgb="FF000000"/>
        <rFont val="Meiryo UI"/>
        <family val="2"/>
      </rPr>
      <t>標準SQL、ストレージエンジンをサポート</t>
    </r>
  </si>
  <si>
    <r>
      <rPr>
        <sz val="11"/>
        <color rgb="FF000000"/>
        <rFont val="Meiryo UI"/>
        <family val="2"/>
      </rPr>
      <t>コンミュニティ</t>
    </r>
  </si>
  <si>
    <r>
      <rPr>
        <sz val="11"/>
        <color rgb="FF000000"/>
        <rFont val="Meiryo UI"/>
        <family val="2"/>
      </rPr>
      <t>コンミュニティが広くて、豊富なドキュメント</t>
    </r>
  </si>
  <si>
    <r>
      <rPr>
        <sz val="11"/>
        <color rgb="FF000000"/>
        <rFont val="Meiryo UI"/>
        <family val="2"/>
      </rPr>
      <t>セキュリティ</t>
    </r>
  </si>
  <si>
    <r>
      <rPr>
        <sz val="11"/>
        <color rgb="FF000000"/>
        <rFont val="Meiryo UI"/>
        <family val="2"/>
      </rPr>
      <t>セキュリティが高くて、細かい制御をサポートする</t>
    </r>
  </si>
  <si>
    <r>
      <rPr>
        <sz val="11"/>
        <color rgb="FF000000"/>
        <rFont val="Meiryo UI"/>
        <family val="2"/>
      </rPr>
      <t>良いですが、慎重な構成が必要です</t>
    </r>
  </si>
  <si>
    <r>
      <rPr>
        <sz val="11"/>
        <color rgb="FF000000"/>
        <rFont val="Meiryo UI"/>
        <family val="2"/>
      </rPr>
      <t>適用</t>
    </r>
  </si>
  <si>
    <r>
      <rPr>
        <sz val="11"/>
        <color rgb="FF000000"/>
        <rFont val="Meiryo UI"/>
        <family val="2"/>
      </rPr>
      <t>高いデータ整合性、複雑なクエリ、データ分析を必要とするアプリケーション</t>
    </r>
  </si>
  <si>
    <r>
      <rPr>
        <sz val="11"/>
        <color rgb="FF000000"/>
        <rFont val="Meiryo UI"/>
        <family val="2"/>
      </rPr>
      <t>コンテンツ管理システムや大量の処理、シンプルさ、高性能を必要とするやプロジェクトに適している</t>
    </r>
  </si>
  <si>
    <r>
      <rPr>
        <sz val="11"/>
        <color rgb="FF000000"/>
        <rFont val="Meiryo UI"/>
        <family val="2"/>
      </rPr>
      <t>→Postgresを提案する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</si>
  <si>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</si>
  <si>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機能名</t>
    </r>
  </si>
  <si>
    <r>
      <rPr>
        <sz val="11"/>
        <color rgb="FF000000"/>
        <rFont val="Meiryo UI"/>
        <family val="2"/>
      </rPr>
      <t>説明</t>
    </r>
  </si>
  <si>
    <r>
      <rPr>
        <sz val="11"/>
        <color rgb="FF000000"/>
        <rFont val="Meiryo UI"/>
        <family val="2"/>
      </rPr>
      <t>QA</t>
    </r>
  </si>
  <si>
    <r>
      <rPr>
        <sz val="11"/>
        <color rgb="FF000000"/>
        <rFont val="Meiryo UI"/>
        <family val="2"/>
      </rPr>
      <t>SD提案</t>
    </r>
  </si>
  <si>
    <r>
      <rPr>
        <sz val="11"/>
        <color rgb="FF000000"/>
        <rFont val="Meiryo UI"/>
        <family val="2"/>
      </rPr>
      <t>ファイル送信・受信</t>
    </r>
  </si>
  <si>
    <r>
      <rPr>
        <sz val="11"/>
        <color rgb="FF000000"/>
        <rFont val="Meiryo UI"/>
        <family val="2"/>
      </rPr>
      <t>・POSサーバーは基幹システム、Scan&amp;Goシステム、クレジットカード決済会社のシステムなどからファイルを受信する。
・現在の手法：FTP、HULFTなど→他の手法にも対応できるように準備しておく</t>
    </r>
  </si>
  <si>
    <r>
      <rPr>
        <sz val="11"/>
        <color rgb="FF000000"/>
        <rFont val="Meiryo UI"/>
        <family val="2"/>
      </rPr>
      <t xml:space="preserve">1. どんなファイルを受信するか？ 
2. 
3. </t>
    </r>
  </si>
  <si>
    <r>
      <rPr>
        <sz val="11"/>
        <color rgb="FF000000"/>
        <rFont val="Meiryo UI"/>
        <family val="2"/>
      </rPr>
      <t>基幹システムはFPT/SFTP経由でファイルをPOSサーバーに送信する (AWSのSFTP機能を使用してS3に直接プッシュする)
Pos サーバーはS3上に署名付きURLを作成し、クライアントにプッシュする。</t>
    </r>
  </si>
  <si>
    <r>
      <rPr>
        <sz val="11"/>
        <color rgb="FF000000"/>
        <rFont val="Meiryo UI"/>
        <family val="2"/>
      </rPr>
      <t>ファイルを最大3か月保存する仕様があったが、その仕様が変わる可能がある
場合によって、保存時間が変わる可能（数年ほど）</t>
    </r>
  </si>
  <si>
    <r>
      <rPr>
        <sz val="11"/>
        <color rgb="FF000000"/>
        <rFont val="Meiryo UI"/>
        <family val="2"/>
      </rPr>
      <t>S3 Standardで保存し、3か月後にS3Glacierに切り替えてコストを節約する</t>
    </r>
  </si>
  <si>
    <r>
      <rPr>
        <sz val="11"/>
        <color rgb="FF000000"/>
        <rFont val="Meiryo UI"/>
        <family val="2"/>
      </rPr>
      <t>取得したデータをDBにインポートする機能</t>
    </r>
  </si>
  <si>
    <r>
      <rPr>
        <sz val="11"/>
        <color rgb="FF000000"/>
        <rFont val="Meiryo UI"/>
        <family val="2"/>
      </rPr>
      <t>Webサーバでデータの更新、新規、修正、削除できるようにする 
POSサーバの負荷配分</t>
    </r>
  </si>
  <si>
    <r>
      <rPr>
        <sz val="11"/>
        <color rgb="FF000000"/>
        <rFont val="Meiryo UI"/>
        <family val="2"/>
      </rPr>
      <t>この機能は、少量をインポートする場合はLambda関数で使用し、大量の場合はECSバッチを使用する EC2 Sportを使用することも検討可能</t>
    </r>
  </si>
  <si>
    <r>
      <rPr>
        <sz val="11"/>
        <color rgb="FF000000"/>
        <rFont val="Meiryo UI"/>
        <family val="2"/>
      </rPr>
      <t>Webサーバー上の日本語で検索（例：ジャーナルの検索など）</t>
    </r>
  </si>
  <si>
    <r>
      <rPr>
        <sz val="11"/>
        <color rgb="FF000000"/>
        <rFont val="Meiryo UI"/>
        <family val="2"/>
      </rPr>
      <t>PDF・CSV出力機能（クライエント側でそのファイルをダウンロード）</t>
    </r>
  </si>
  <si>
    <r>
      <rPr>
        <sz val="11"/>
        <color rgb="FF000000"/>
        <rFont val="Meiryo UI"/>
        <family val="2"/>
      </rPr>
      <t>WS Opensearchにプッシュして全文検索を使用する</t>
    </r>
  </si>
  <si>
    <r>
      <rPr>
        <sz val="11"/>
        <color rgb="FF000000"/>
        <rFont val="Meiryo UI"/>
        <family val="2"/>
      </rPr>
      <t>DBのリアルタイムバックアップ</t>
    </r>
  </si>
  <si>
    <r>
      <rPr>
        <sz val="11"/>
        <color rgb="FF000000"/>
        <rFont val="Meiryo UI"/>
        <family val="2"/>
      </rPr>
      <t>バックアップDBの準備</t>
    </r>
  </si>
  <si>
    <r>
      <rPr>
        <sz val="11"/>
        <color rgb="FF000000"/>
        <rFont val="Meiryo UI"/>
        <family val="2"/>
      </rPr>
      <t>AWSのリードレプリカを使用して負荷を分散するか、マルチマスターをさまざまなアベイラビリティーゾーンに分散してリアルタイム冗長性を実現する</t>
    </r>
  </si>
  <si>
    <r>
      <rPr>
        <sz val="11"/>
        <color rgb="FF000000"/>
        <rFont val="Meiryo UI"/>
        <family val="2"/>
      </rPr>
      <t xml:space="preserve">データ統計機能 </t>
    </r>
  </si>
  <si>
    <r>
      <rPr>
        <sz val="11"/>
        <color rgb="FF000000"/>
        <rFont val="Meiryo UI"/>
        <family val="2"/>
      </rPr>
      <t>速報・日報・月報・四半期報・年報</t>
    </r>
  </si>
  <si>
    <r>
      <rPr>
        <sz val="11"/>
        <color rgb="FF000000"/>
        <rFont val="Meiryo UI"/>
        <family val="2"/>
      </rPr>
      <t xml:space="preserve">1. 
</t>
    </r>
  </si>
  <si>
    <r>
      <rPr>
        <sz val="11"/>
        <color rgb="FF000000"/>
        <rFont val="Meiryo UI"/>
        <family val="2"/>
      </rPr>
      <t>統計とレポートの作成にAWSのQuickSignとAthenaを使用する</t>
    </r>
  </si>
  <si>
    <r>
      <rPr>
        <sz val="11"/>
        <color rgb="FF000000"/>
        <rFont val="Meiryo UI"/>
        <family val="2"/>
      </rPr>
      <t>カード連携機能</t>
    </r>
  </si>
  <si>
    <r>
      <rPr>
        <sz val="11"/>
        <color rgb="FF000000"/>
        <rFont val="Meiryo UI"/>
        <family val="2"/>
      </rPr>
      <t>～分/回</t>
    </r>
  </si>
  <si>
    <r>
      <rPr>
        <sz val="11"/>
        <color rgb="FF000000"/>
        <rFont val="Meiryo UI"/>
        <family val="2"/>
      </rPr>
      <t xml:space="preserve"> 
2. </t>
    </r>
  </si>
  <si>
    <r>
      <rPr>
        <sz val="11"/>
        <color rgb="FF000000"/>
        <rFont val="Meiryo UI"/>
        <family val="2"/>
      </rPr>
      <t>データの形式は？ 単なるテキスト/json の場合は、Message Quereを使用する。リアルタイムの場合は、Websocketの使用を検討</t>
    </r>
  </si>
  <si>
    <r>
      <rPr>
        <sz val="11"/>
        <color rgb="FF000000"/>
        <rFont val="Meiryo UI"/>
        <family val="2"/>
      </rPr>
      <t>ログ・Video保存機能</t>
    </r>
  </si>
  <si>
    <r>
      <rPr>
        <sz val="11"/>
        <color rgb="FF000000"/>
        <rFont val="Meiryo UI"/>
        <family val="2"/>
      </rPr>
      <t>S3 Glacier に安価で保存する</t>
    </r>
  </si>
  <si>
    <r>
      <rPr>
        <sz val="11"/>
        <color rgb="FF000000"/>
        <rFont val="Meiryo UI"/>
        <family val="2"/>
      </rPr>
      <t>POSサーバーはUSMHネットワークに接続する。</t>
    </r>
  </si>
  <si>
    <r>
      <rPr>
        <sz val="11"/>
        <color rgb="FF000000"/>
        <rFont val="Meiryo UI"/>
        <family val="2"/>
      </rPr>
      <t>（AWS direct connectは？）</t>
    </r>
  </si>
  <si>
    <r>
      <rPr>
        <sz val="11"/>
        <color rgb="FF000000"/>
        <rFont val="Meiryo UI"/>
        <family val="2"/>
      </rPr>
      <t>Direct Connect またはVPNを使用する場合は、両方とも問題ありません</t>
    </r>
  </si>
  <si>
    <r>
      <rPr>
        <sz val="11"/>
        <color rgb="FF000000"/>
        <rFont val="Meiryo UI"/>
        <family val="2"/>
      </rPr>
      <t>メンテナンスにVPNを使用する</t>
    </r>
  </si>
  <si>
    <r>
      <rPr>
        <sz val="11"/>
        <color rgb="FF000000"/>
        <rFont val="Meiryo UI"/>
        <family val="2"/>
      </rPr>
      <t>AWSの中でリモートデスクトップを作成（複数の人を同時にリモート操作して欲しい）</t>
    </r>
  </si>
  <si>
    <r>
      <rPr>
        <sz val="11"/>
        <color rgb="FF000000"/>
        <rFont val="Meiryo UI"/>
        <family val="2"/>
      </rPr>
      <t>Windowを利用しないほうが良い。もしどうしても利用したい場合、AWSのSSM機能を使用すればよい。ただし、最大人数は 2 人だけです。3 人以上が同時にリモートの場合は、非常に高価なUserCALライセンスを購入する必要。</t>
    </r>
  </si>
  <si>
    <r>
      <rPr>
        <sz val="11"/>
        <color rgb="FF000000"/>
        <rFont val="Meiryo UI"/>
        <family val="2"/>
      </rPr>
      <t xml:space="preserve">異常時の警告機能 </t>
    </r>
  </si>
  <si>
    <r>
      <rPr>
        <sz val="11"/>
        <color rgb="FF000000"/>
        <rFont val="Meiryo UI"/>
        <family val="2"/>
      </rPr>
      <t>データ連携、特売設定などの時にトラブルが発生したらどうしますか？
トラブル時の体制</t>
    </r>
  </si>
  <si>
    <r>
      <rPr>
        <sz val="11"/>
        <color rgb="FF000000"/>
        <rFont val="Meiryo UI"/>
        <family val="2"/>
      </rPr>
      <t xml:space="preserve">Application MonitoringとCloudwatch Arlam </t>
    </r>
  </si>
  <si>
    <r>
      <rPr>
        <sz val="11"/>
        <color rgb="FF000000"/>
        <rFont val="Meiryo UI"/>
        <family val="2"/>
      </rPr>
      <t>データ更新機能</t>
    </r>
  </si>
  <si>
    <r>
      <rPr>
        <sz val="11"/>
        <color rgb="FF000000"/>
        <rFont val="Meiryo UI"/>
        <family val="2"/>
      </rPr>
      <t>プログラムアップデートは３分以内で欲しい</t>
    </r>
  </si>
  <si>
    <r>
      <rPr>
        <sz val="11"/>
        <color rgb="FF000000"/>
        <rFont val="Meiryo UI"/>
        <family val="2"/>
      </rPr>
      <t>アプリでOTA機能が必要</t>
    </r>
  </si>
  <si>
    <r>
      <rPr>
        <sz val="11"/>
        <color rgb="FF000000"/>
        <rFont val="Meiryo UI"/>
        <family val="2"/>
      </rPr>
      <t>全文検索機能、あいまい検索機能</t>
    </r>
  </si>
  <si>
    <r>
      <rPr>
        <sz val="11"/>
        <color rgb="FF000000"/>
        <rFont val="Meiryo UI"/>
        <family val="2"/>
      </rPr>
      <t>OpenSearch仕様</t>
    </r>
  </si>
  <si>
    <r>
      <rPr>
        <sz val="11"/>
        <color rgb="FF000000"/>
        <rFont val="Meiryo UI"/>
        <family val="2"/>
      </rPr>
      <t>非機能要件</t>
    </r>
  </si>
  <si>
    <r>
      <rPr>
        <sz val="11"/>
        <color rgb="FF000000"/>
        <rFont val="Meiryo UI"/>
        <family val="2"/>
      </rPr>
      <t>・現在、このシステムを使用する店舗は500以上あると想像
・このシステムの設定はPOSレジ(約16,000台のマシン) に影響する。
→将来には店舗数は増えることも想像
上記の情報を踏まえて、現在点のリクエストは以下のように想像する。
・システムの最大ユーザ数：1,500
・同時利用ユーザー数：3 * 500 = 1,500人
・件数レコードについて、
１レジに当たり、一日300の取引があると想像
→16.000レジ台の場合、一日あたり~~4,800,000レシートがある
→いヶ月分は ~144,000,000になると想像</t>
    </r>
  </si>
  <si>
    <r>
      <rPr>
        <sz val="11"/>
        <color rgb="FF000000"/>
        <rFont val="Meiryo UI"/>
        <family val="2"/>
      </rPr>
      <t xml:space="preserve">・ユーザーが同時に使用する時間：06~09時、17～20時 </t>
    </r>
  </si>
  <si>
    <r>
      <rPr>
        <sz val="11"/>
        <color rgb="FF000000"/>
        <rFont val="Meiryo UI"/>
        <family val="2"/>
      </rPr>
      <t>・1日あたりの平均使用時間：09～16時、20～23時</t>
    </r>
  </si>
  <si>
    <r>
      <rPr>
        <sz val="11"/>
        <color rgb="FF000000"/>
        <rFont val="Meiryo UI"/>
        <family val="2"/>
      </rPr>
      <t>・めったに使用時間：23時以降</t>
    </r>
  </si>
  <si>
    <r>
      <rPr>
        <sz val="11"/>
        <color rgb="FF000000"/>
        <rFont val="Meiryo UI"/>
        <family val="2"/>
      </rPr>
      <t>サーバーレスアーキテクチャを使用すればよい。サーバーレスでは、ユーザー数が突然増加すると、AWS システムが自動的にリソースを増やし、ユーザーが少ない場合はリソースを減らす。</t>
    </r>
  </si>
  <si>
    <r>
      <rPr>
        <sz val="11"/>
        <color rgb="FF000000"/>
        <rFont val="Meiryo UI"/>
        <family val="2"/>
      </rPr>
      <t>＋レシートの保存については、日本の法律では3か月、取引履歴は1年間保存することが記憶している。</t>
    </r>
  </si>
  <si>
    <r>
      <rPr>
        <sz val="11"/>
        <color rgb="FF000000"/>
        <rFont val="Meiryo UI"/>
        <family val="2"/>
      </rPr>
      <t xml:space="preserve"> レシートはS3 infrequent accessにオブジェクトファイル (pdf、png、jpg...) として保存される。トランザクション履歴はDynamoDB に保存され、s3 に保存されているレシートのObjectIDへ参照する。</t>
    </r>
  </si>
  <si>
    <r>
      <rPr>
        <sz val="11"/>
        <color rgb="FF000000"/>
        <rFont val="Meiryo UI"/>
        <family val="2"/>
      </rPr>
      <t>3か月ごとにデータを1回ローテーションする →トランザクション履歴とレシートをS3 GlacierまたはS3 Glacier DeepArchive（激安価格）に保存すれば、数十億件のレシートを保存することは問題ありません。</t>
    </r>
  </si>
  <si>
    <r>
      <rPr>
        <sz val="11"/>
        <color rgb="FF000000"/>
        <rFont val="Meiryo UI"/>
        <family val="2"/>
      </rPr>
      <t>各言語の比較</t>
    </r>
  </si>
  <si>
    <r>
      <rPr>
        <sz val="11"/>
        <color rgb="FF000000"/>
        <rFont val="Meiryo UI"/>
        <family val="2"/>
      </rPr>
      <t>https://kanikakanwar.hashnode.dev/choosing-the-right-backend-language-a-comprehensive-comparison-of-java-python-rust-and-javascript</t>
    </r>
  </si>
  <si>
    <r>
      <rPr>
        <sz val="11"/>
        <color rgb="FF000000"/>
        <rFont val="Meiryo UI"/>
        <family val="2"/>
      </rPr>
      <t>https://distantjob.com/blog/c-vs-java/</t>
    </r>
  </si>
  <si>
    <r>
      <rPr>
        <sz val="11"/>
        <color rgb="FF000000"/>
        <rFont val="Meiryo UI"/>
        <family val="2"/>
      </rPr>
      <t>プログラムの言語</t>
    </r>
  </si>
  <si>
    <r>
      <rPr>
        <sz val="11"/>
        <color rgb="FF000000"/>
        <rFont val="Meiryo UI"/>
        <family val="2"/>
      </rPr>
      <t>特長</t>
    </r>
  </si>
  <si>
    <r>
      <rPr>
        <sz val="11"/>
        <color rgb="FF000000"/>
        <rFont val="Meiryo UI"/>
        <family val="2"/>
      </rPr>
      <t>弱点</t>
    </r>
  </si>
  <si>
    <r>
      <rPr>
        <sz val="11"/>
        <color rgb="FF000000"/>
        <rFont val="Meiryo UI"/>
        <family val="2"/>
      </rPr>
      <t>よく使われる</t>
    </r>
  </si>
  <si>
    <r>
      <rPr>
        <b/>
        <sz val="11"/>
        <color rgb="FF000000"/>
        <rFont val="Meiryo UI"/>
        <family val="2"/>
      </rPr>
      <t>Python</t>
    </r>
  </si>
  <si>
    <r>
      <rPr>
        <sz val="11"/>
        <color rgb="FF000000"/>
        <rFont val="Meiryo UI"/>
        <family val="2"/>
      </rPr>
      <t>学びやすく、大規模なコミュニティ、強力なフレームワーク (Django、Flask)</t>
    </r>
  </si>
  <si>
    <r>
      <rPr>
        <sz val="11"/>
        <color rgb="FF000000"/>
        <rFont val="Meiryo UI"/>
        <family val="2"/>
      </rPr>
      <t>パフォーマンスが低下し、クライアント側が実行されない</t>
    </r>
  </si>
  <si>
    <r>
      <rPr>
        <sz val="11"/>
        <color rgb="FF000000"/>
        <rFont val="Meiryo UI"/>
        <family val="2"/>
      </rPr>
      <t>Web アプリケーションやデータ サイエンスなどの他の分野に使用する</t>
    </r>
  </si>
  <si>
    <r>
      <rPr>
        <b/>
        <sz val="11"/>
        <color rgb="FF000000"/>
        <rFont val="Meiryo UI"/>
        <family val="2"/>
      </rPr>
      <t>Ruby</t>
    </r>
  </si>
  <si>
    <r>
      <rPr>
        <sz val="11"/>
        <color rgb="FF000000"/>
        <rFont val="Meiryo UI"/>
        <family val="2"/>
      </rPr>
      <t>開発の加速 (Rails)、優れたコミュニティ サポート</t>
    </r>
  </si>
  <si>
    <r>
      <rPr>
        <sz val="11"/>
        <color rgb="FF000000"/>
        <rFont val="Meiryo UI"/>
        <family val="2"/>
      </rPr>
      <t>パフォーマンスが低い、人気が低い</t>
    </r>
  </si>
  <si>
    <r>
      <rPr>
        <sz val="11"/>
        <color rgb="FF000000"/>
        <rFont val="Meiryo UI"/>
        <family val="2"/>
      </rPr>
      <t>Ruby on Railsを使用してWebアプリケーションを迅速に開発する必要がある場合</t>
    </r>
  </si>
  <si>
    <r>
      <rPr>
        <b/>
        <sz val="11"/>
        <color rgb="FF000000"/>
        <rFont val="Meiryo UI"/>
        <family val="2"/>
      </rPr>
      <t>Java</t>
    </r>
  </si>
  <si>
    <r>
      <rPr>
        <sz val="11"/>
        <color rgb="FF000000"/>
        <rFont val="Meiryo UI"/>
        <family val="2"/>
      </rPr>
      <t>高性能、優れたセキュリティ、クロスプラットフォーム</t>
    </r>
  </si>
  <si>
    <r>
      <rPr>
        <sz val="11"/>
        <color rgb="FF000000"/>
        <rFont val="Meiryo UI"/>
        <family val="2"/>
      </rPr>
      <t>言語の構文が複雑でアプリケーションの起動が遅くなる</t>
    </r>
  </si>
  <si>
    <r>
      <rPr>
        <sz val="11"/>
        <color rgb="FF000000"/>
        <rFont val="Meiryo UI"/>
        <family val="2"/>
      </rPr>
      <t>高いパフォーマンスとセキュリティを必要とする大規模なアプリケーションを開発する場合</t>
    </r>
  </si>
  <si>
    <r>
      <rPr>
        <b/>
        <sz val="11"/>
        <color rgb="FF000000"/>
        <rFont val="Meiryo UI"/>
        <family val="2"/>
      </rPr>
      <t>C#</t>
    </r>
  </si>
  <si>
    <r>
      <rPr>
        <sz val="11"/>
        <color rgb="FF000000"/>
        <rFont val="Meiryo UI"/>
        <family val="2"/>
      </rPr>
      <t>高性能、優れたセキュリティ、.NET Core によるクロスプラットフォーム開発</t>
    </r>
  </si>
  <si>
    <r>
      <rPr>
        <sz val="11"/>
        <color rgb="FF000000"/>
        <rFont val="Meiryo UI"/>
        <family val="2"/>
      </rPr>
      <t>複雑な構文、より多くのリソースが必要</t>
    </r>
  </si>
  <si>
    <r>
      <rPr>
        <sz val="11"/>
        <color rgb="FF000000"/>
        <rFont val="Meiryo UI"/>
        <family val="2"/>
      </rPr>
      <t>特に .NET プラットフォーム上で、高いパフォーマンスとセキュリティ要件を必要とする Web アプリケーションを開発する場合</t>
    </r>
  </si>
  <si>
    <r>
      <rPr>
        <sz val="11"/>
        <color rgb="FF000000"/>
        <rFont val="Meiryo UI"/>
        <family val="2"/>
      </rPr>
      <t>基準に従って比較: 10 点スケールで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</si>
</sst>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rgb="FF000000"/>
      <name val="Meiryo UI"/>
      <family val="2"/>
    </font>
    <font>
      <b/>
      <sz val="11"/>
      <name val="Meiryo UI"/>
      <family val="2"/>
    </font>
    <font>
      <sz val="11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3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6" borderId="1" xfId="0" applyFont="1" applyFill="1" applyBorder="1"/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0" xfId="0" quotePrefix="1" applyFont="1"/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6" fillId="0" borderId="0" xfId="0" applyFont="1"/>
    <xf numFmtId="0" fontId="7" fillId="0" borderId="0" xfId="0" applyFont="1"/>
    <xf numFmtId="0" fontId="7" fillId="0" borderId="0" xfId="0" quotePrefix="1" applyFont="1" applyAlignment="1">
      <alignment horizontal="left" wrapText="1"/>
    </xf>
    <xf numFmtId="0" fontId="2" fillId="7" borderId="0" xfId="0" quotePrefix="1" applyFont="1" applyFill="1"/>
    <xf numFmtId="0" fontId="2" fillId="7" borderId="0" xfId="0" applyFont="1" applyFill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2075047</xdr:colOff>
      <xdr:row>36</xdr:row>
      <xdr:rowOff>37220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220450" cy="7038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F9A7-3E87-44C6-8C0B-62B0FA7F35E7}">
  <dimension ref="A1:N33"/>
  <sheetViews>
    <sheetView tabSelected="1" view="pageBreakPreview" zoomScale="85" zoomScaleNormal="100" zoomScaleSheetLayoutView="85" workbookViewId="0"/>
  </sheetViews>
  <sheetFormatPr defaultRowHeight="15.75" x14ac:dyDescent="0.25"/>
  <cols>
    <col min="1" max="1" width="7.7109375" style="1" customWidth="1"/>
    <col min="2" max="13" width="9.140625" style="1" customWidth="1"/>
    <col min="14" max="16384" width="9.140625" style="1"/>
  </cols>
  <sheetData>
    <row r="1" spans="1:12" x14ac:dyDescent="0.25">
      <c r="A1" s="2" t="s">
        <v>11</v>
      </c>
    </row>
    <row r="3" spans="1:12" x14ac:dyDescent="0.25">
      <c r="A3" s="2" t="s">
        <v>12</v>
      </c>
      <c r="I3" s="3"/>
      <c r="J3" s="1" t="s">
        <v>13</v>
      </c>
    </row>
    <row r="4" spans="1:12" x14ac:dyDescent="0.25">
      <c r="B4" s="4" t="s">
        <v>12</v>
      </c>
      <c r="C4" s="4"/>
      <c r="D4" s="4" t="s">
        <v>14</v>
      </c>
      <c r="E4" s="4"/>
      <c r="F4" s="4" t="s">
        <v>15</v>
      </c>
      <c r="G4" s="4"/>
    </row>
    <row r="5" spans="1:12" x14ac:dyDescent="0.25">
      <c r="B5" s="5" t="s">
        <v>16</v>
      </c>
      <c r="C5" s="5"/>
      <c r="D5" s="6">
        <v>22</v>
      </c>
      <c r="E5" s="6"/>
      <c r="F5" s="7">
        <v>17</v>
      </c>
      <c r="G5" s="7"/>
      <c r="I5" s="1" t="s">
        <v>17</v>
      </c>
      <c r="L5" s="1" t="s">
        <v>18</v>
      </c>
    </row>
    <row r="6" spans="1:12" x14ac:dyDescent="0.25">
      <c r="B6" s="5" t="s">
        <v>19</v>
      </c>
      <c r="C6" s="5"/>
      <c r="D6" s="7" t="s">
        <v>20</v>
      </c>
      <c r="E6" s="7"/>
      <c r="F6" s="6">
        <v>3.1</v>
      </c>
      <c r="G6" s="6"/>
      <c r="I6" s="1" t="s">
        <v>17</v>
      </c>
      <c r="L6" s="1" t="s">
        <v>21</v>
      </c>
    </row>
    <row r="8" spans="1:12" x14ac:dyDescent="0.25">
      <c r="A8" s="2" t="s">
        <v>22</v>
      </c>
    </row>
    <row r="10" spans="1:12" x14ac:dyDescent="0.25">
      <c r="B10" s="4" t="s">
        <v>22</v>
      </c>
      <c r="C10" s="4"/>
      <c r="D10" s="4" t="s">
        <v>14</v>
      </c>
      <c r="E10" s="4"/>
      <c r="F10" s="4" t="s">
        <v>15</v>
      </c>
      <c r="G10" s="4"/>
    </row>
    <row r="11" spans="1:12" x14ac:dyDescent="0.25">
      <c r="B11" s="5" t="s">
        <v>23</v>
      </c>
      <c r="C11" s="5"/>
      <c r="D11" s="7" t="s">
        <v>24</v>
      </c>
      <c r="E11" s="7"/>
      <c r="F11" s="6"/>
      <c r="G11" s="6"/>
      <c r="I11" s="1" t="s">
        <v>17</v>
      </c>
      <c r="L11" s="1" t="s">
        <v>25</v>
      </c>
    </row>
    <row r="13" spans="1:12" x14ac:dyDescent="0.25">
      <c r="A13" s="2" t="s">
        <v>26</v>
      </c>
    </row>
    <row r="14" spans="1:12" x14ac:dyDescent="0.25">
      <c r="A14" s="2"/>
      <c r="B14" s="4" t="s">
        <v>27</v>
      </c>
      <c r="C14" s="4"/>
      <c r="D14" s="4" t="s">
        <v>14</v>
      </c>
      <c r="E14" s="4"/>
      <c r="F14" s="4" t="s">
        <v>15</v>
      </c>
      <c r="G14" s="4"/>
    </row>
    <row r="15" spans="1:12" x14ac:dyDescent="0.25">
      <c r="B15" s="5" t="s">
        <v>28</v>
      </c>
      <c r="C15" s="5"/>
      <c r="D15" s="7">
        <v>16.3</v>
      </c>
      <c r="E15" s="7"/>
      <c r="F15" s="6"/>
      <c r="G15" s="6"/>
      <c r="I15" s="1" t="s">
        <v>17</v>
      </c>
      <c r="L15" s="1" t="s">
        <v>29</v>
      </c>
    </row>
    <row r="16" spans="1:12" x14ac:dyDescent="0.25">
      <c r="L16" s="1" t="s">
        <v>30</v>
      </c>
    </row>
    <row r="17" spans="1:14" x14ac:dyDescent="0.25">
      <c r="A17" s="2" t="s">
        <v>31</v>
      </c>
    </row>
    <row r="18" spans="1:14" x14ac:dyDescent="0.25">
      <c r="A18" s="8" t="s">
        <v>32</v>
      </c>
    </row>
    <row r="19" spans="1:14" x14ac:dyDescent="0.25">
      <c r="A19" s="8" t="s">
        <v>33</v>
      </c>
    </row>
    <row r="20" spans="1:14" x14ac:dyDescent="0.25">
      <c r="A20" s="9" t="s">
        <v>34</v>
      </c>
      <c r="B20" s="10" t="s">
        <v>35</v>
      </c>
      <c r="C20" s="11"/>
      <c r="D20" s="10" t="s">
        <v>36</v>
      </c>
      <c r="E20" s="12"/>
      <c r="F20" s="11"/>
      <c r="G20" s="4" t="s">
        <v>37</v>
      </c>
      <c r="H20" s="4"/>
      <c r="I20" s="4"/>
      <c r="J20" s="4"/>
      <c r="K20" s="4" t="s">
        <v>38</v>
      </c>
      <c r="L20" s="4"/>
      <c r="M20" s="4" t="s">
        <v>39</v>
      </c>
      <c r="N20" s="4"/>
    </row>
    <row r="21" spans="1:14" x14ac:dyDescent="0.25">
      <c r="A21" s="13">
        <v>1</v>
      </c>
      <c r="B21" s="14" t="s">
        <v>40</v>
      </c>
      <c r="C21" s="15"/>
      <c r="D21" s="14" t="s">
        <v>41</v>
      </c>
      <c r="E21" s="16"/>
      <c r="F21" s="15"/>
      <c r="G21" s="17" t="s">
        <v>42</v>
      </c>
      <c r="H21" s="17"/>
      <c r="I21" s="17"/>
      <c r="J21" s="17"/>
      <c r="K21" s="7" t="s">
        <v>43</v>
      </c>
      <c r="L21" s="7"/>
      <c r="M21" s="14"/>
      <c r="N21" s="15"/>
    </row>
    <row r="22" spans="1:14" ht="21.75" customHeight="1" x14ac:dyDescent="0.25">
      <c r="A22" s="13">
        <v>2</v>
      </c>
      <c r="B22" s="14" t="s">
        <v>40</v>
      </c>
      <c r="C22" s="15"/>
      <c r="D22" s="14" t="s">
        <v>44</v>
      </c>
      <c r="E22" s="16"/>
      <c r="F22" s="15"/>
      <c r="G22" s="17" t="s">
        <v>45</v>
      </c>
      <c r="H22" s="17"/>
      <c r="I22" s="17"/>
      <c r="J22" s="17"/>
      <c r="K22" s="7" t="s">
        <v>43</v>
      </c>
      <c r="L22" s="7"/>
      <c r="M22" s="18" t="s">
        <v>46</v>
      </c>
      <c r="N22" s="19"/>
    </row>
    <row r="23" spans="1:14" ht="21.75" customHeight="1" x14ac:dyDescent="0.25">
      <c r="A23" s="13">
        <v>3</v>
      </c>
      <c r="B23" s="14" t="s">
        <v>40</v>
      </c>
      <c r="C23" s="15"/>
      <c r="D23" s="14" t="s">
        <v>47</v>
      </c>
      <c r="E23" s="16"/>
      <c r="F23" s="15"/>
      <c r="G23" s="17" t="s">
        <v>45</v>
      </c>
      <c r="H23" s="17"/>
      <c r="I23" s="17"/>
      <c r="J23" s="17"/>
      <c r="K23" s="7" t="s">
        <v>43</v>
      </c>
      <c r="L23" s="7"/>
      <c r="M23" s="20"/>
      <c r="N23" s="21"/>
    </row>
    <row r="24" spans="1:14" x14ac:dyDescent="0.25">
      <c r="A24" s="13">
        <v>4</v>
      </c>
      <c r="B24" s="14" t="s">
        <v>48</v>
      </c>
      <c r="C24" s="15"/>
      <c r="D24" s="14" t="s">
        <v>49</v>
      </c>
      <c r="E24" s="16"/>
      <c r="F24" s="15"/>
      <c r="G24" s="17" t="s">
        <v>50</v>
      </c>
      <c r="H24" s="17"/>
      <c r="I24" s="17"/>
      <c r="J24" s="17"/>
      <c r="K24" s="7" t="s">
        <v>43</v>
      </c>
      <c r="L24" s="7"/>
      <c r="M24" s="22" t="s">
        <v>51</v>
      </c>
      <c r="N24" s="23"/>
    </row>
    <row r="25" spans="1:14" x14ac:dyDescent="0.25">
      <c r="A25" s="13">
        <v>5</v>
      </c>
      <c r="B25" s="14" t="s">
        <v>48</v>
      </c>
      <c r="C25" s="15"/>
      <c r="D25" s="14" t="s">
        <v>52</v>
      </c>
      <c r="E25" s="16"/>
      <c r="F25" s="15"/>
      <c r="G25" s="17" t="s">
        <v>53</v>
      </c>
      <c r="H25" s="17"/>
      <c r="I25" s="17"/>
      <c r="J25" s="17"/>
      <c r="K25" s="7" t="s">
        <v>43</v>
      </c>
      <c r="L25" s="7"/>
      <c r="M25" s="24"/>
      <c r="N25" s="25"/>
    </row>
    <row r="26" spans="1:14" x14ac:dyDescent="0.25">
      <c r="A26" s="13">
        <v>6</v>
      </c>
      <c r="B26" s="14" t="s">
        <v>48</v>
      </c>
      <c r="C26" s="15"/>
      <c r="D26" s="14" t="s">
        <v>54</v>
      </c>
      <c r="E26" s="16"/>
      <c r="F26" s="15"/>
      <c r="G26" s="17" t="s">
        <v>55</v>
      </c>
      <c r="H26" s="17"/>
      <c r="I26" s="17"/>
      <c r="J26" s="17"/>
      <c r="K26" s="6" t="s">
        <v>56</v>
      </c>
      <c r="L26" s="6"/>
      <c r="M26" s="6"/>
      <c r="N26" s="6"/>
    </row>
    <row r="27" spans="1:14" x14ac:dyDescent="0.25">
      <c r="A27" s="13">
        <v>7</v>
      </c>
      <c r="B27" s="14" t="s">
        <v>57</v>
      </c>
      <c r="C27" s="15"/>
      <c r="D27" s="14" t="s">
        <v>58</v>
      </c>
      <c r="E27" s="16"/>
      <c r="F27" s="15"/>
      <c r="G27" s="17" t="s">
        <v>59</v>
      </c>
      <c r="H27" s="17"/>
      <c r="I27" s="17"/>
      <c r="J27" s="17"/>
      <c r="K27" s="6" t="s">
        <v>56</v>
      </c>
      <c r="L27" s="6"/>
      <c r="M27" s="6"/>
      <c r="N27" s="6"/>
    </row>
    <row r="28" spans="1:14" x14ac:dyDescent="0.25">
      <c r="A28" s="13">
        <v>8</v>
      </c>
      <c r="B28" s="14" t="s">
        <v>57</v>
      </c>
      <c r="C28" s="15"/>
      <c r="D28" s="14" t="s">
        <v>60</v>
      </c>
      <c r="E28" s="16"/>
      <c r="F28" s="15"/>
      <c r="G28" s="17" t="s">
        <v>59</v>
      </c>
      <c r="H28" s="17"/>
      <c r="I28" s="17"/>
      <c r="J28" s="17"/>
      <c r="K28" s="6" t="s">
        <v>56</v>
      </c>
      <c r="L28" s="6"/>
      <c r="M28" s="6"/>
      <c r="N28" s="6"/>
    </row>
    <row r="29" spans="1:14" x14ac:dyDescent="0.25">
      <c r="A29" s="13">
        <v>9</v>
      </c>
      <c r="B29" s="14" t="s">
        <v>61</v>
      </c>
      <c r="C29" s="15"/>
      <c r="D29" s="14" t="s">
        <v>62</v>
      </c>
      <c r="E29" s="16"/>
      <c r="F29" s="15"/>
      <c r="G29" s="17" t="s">
        <v>63</v>
      </c>
      <c r="H29" s="17"/>
      <c r="I29" s="17"/>
      <c r="J29" s="17"/>
      <c r="K29" s="7" t="s">
        <v>43</v>
      </c>
      <c r="L29" s="7"/>
      <c r="M29" s="6"/>
      <c r="N29" s="6"/>
    </row>
    <row r="30" spans="1:14" x14ac:dyDescent="0.25">
      <c r="A30" s="13">
        <v>10</v>
      </c>
      <c r="B30" s="14" t="s">
        <v>61</v>
      </c>
      <c r="C30" s="15"/>
      <c r="D30" s="14" t="s">
        <v>64</v>
      </c>
      <c r="E30" s="16"/>
      <c r="F30" s="15"/>
      <c r="G30" s="17" t="s">
        <v>63</v>
      </c>
      <c r="H30" s="17"/>
      <c r="I30" s="17"/>
      <c r="J30" s="17"/>
      <c r="K30" s="7" t="s">
        <v>43</v>
      </c>
      <c r="L30" s="7"/>
      <c r="M30" s="6"/>
      <c r="N30" s="6"/>
    </row>
    <row r="31" spans="1:14" x14ac:dyDescent="0.25">
      <c r="A31" s="13">
        <v>11</v>
      </c>
      <c r="B31" s="14" t="s">
        <v>65</v>
      </c>
      <c r="C31" s="15"/>
      <c r="D31" s="14" t="s">
        <v>66</v>
      </c>
      <c r="E31" s="16"/>
      <c r="F31" s="15"/>
      <c r="G31" s="17" t="s">
        <v>67</v>
      </c>
      <c r="H31" s="17"/>
      <c r="I31" s="17"/>
      <c r="J31" s="17"/>
      <c r="K31" s="7" t="s">
        <v>43</v>
      </c>
      <c r="L31" s="7"/>
      <c r="M31" s="6"/>
      <c r="N31" s="6"/>
    </row>
    <row r="32" spans="1:14" x14ac:dyDescent="0.25">
      <c r="A32" s="13">
        <v>12</v>
      </c>
      <c r="B32" s="14" t="s">
        <v>26</v>
      </c>
      <c r="C32" s="15"/>
      <c r="D32" s="14" t="s">
        <v>68</v>
      </c>
      <c r="E32" s="16"/>
      <c r="F32" s="15"/>
      <c r="G32" s="17" t="s">
        <v>69</v>
      </c>
      <c r="H32" s="17"/>
      <c r="I32" s="17"/>
      <c r="J32" s="17"/>
      <c r="K32" s="7" t="s">
        <v>43</v>
      </c>
      <c r="L32" s="7"/>
      <c r="M32" s="22" t="s">
        <v>70</v>
      </c>
      <c r="N32" s="23"/>
    </row>
    <row r="33" spans="1:14" x14ac:dyDescent="0.25">
      <c r="A33" s="13">
        <v>13</v>
      </c>
      <c r="B33" s="14" t="s">
        <v>26</v>
      </c>
      <c r="C33" s="15"/>
      <c r="D33" s="14" t="s">
        <v>71</v>
      </c>
      <c r="E33" s="16"/>
      <c r="F33" s="15"/>
      <c r="G33" s="17" t="s">
        <v>69</v>
      </c>
      <c r="H33" s="17"/>
      <c r="I33" s="17"/>
      <c r="J33" s="17"/>
      <c r="K33" s="7" t="s">
        <v>43</v>
      </c>
      <c r="L33" s="7"/>
      <c r="M33" s="24"/>
      <c r="N33" s="25"/>
    </row>
  </sheetData>
  <mergeCells count="88">
    <mergeCell ref="M22:N23"/>
    <mergeCell ref="M31:N31"/>
    <mergeCell ref="M24:N25"/>
    <mergeCell ref="M32:N33"/>
    <mergeCell ref="M26:N26"/>
    <mergeCell ref="M27:N27"/>
    <mergeCell ref="M28:N28"/>
    <mergeCell ref="M29:N29"/>
    <mergeCell ref="M30:N30"/>
    <mergeCell ref="M20:N20"/>
    <mergeCell ref="B20:C20"/>
    <mergeCell ref="D20:F20"/>
    <mergeCell ref="B21:C21"/>
    <mergeCell ref="D21:F21"/>
    <mergeCell ref="G20:J20"/>
    <mergeCell ref="K20:L20"/>
    <mergeCell ref="G21:J21"/>
    <mergeCell ref="K21:L21"/>
    <mergeCell ref="M21:N21"/>
    <mergeCell ref="B22:C22"/>
    <mergeCell ref="D22:F22"/>
    <mergeCell ref="B28:C28"/>
    <mergeCell ref="D28:F28"/>
    <mergeCell ref="B27:C27"/>
    <mergeCell ref="D27:F27"/>
    <mergeCell ref="B24:C24"/>
    <mergeCell ref="D24:F24"/>
    <mergeCell ref="B25:C25"/>
    <mergeCell ref="D25:F25"/>
    <mergeCell ref="B26:C26"/>
    <mergeCell ref="D26:F26"/>
    <mergeCell ref="B23:C23"/>
    <mergeCell ref="D23:F23"/>
    <mergeCell ref="B32:C32"/>
    <mergeCell ref="D32:F32"/>
    <mergeCell ref="B31:C31"/>
    <mergeCell ref="D31:F31"/>
    <mergeCell ref="B29:C29"/>
    <mergeCell ref="D29:F29"/>
    <mergeCell ref="B30:C30"/>
    <mergeCell ref="D30:F30"/>
    <mergeCell ref="G22:J22"/>
    <mergeCell ref="K22:L22"/>
    <mergeCell ref="G28:J28"/>
    <mergeCell ref="K28:L28"/>
    <mergeCell ref="G27:J27"/>
    <mergeCell ref="K27:L27"/>
    <mergeCell ref="G24:J24"/>
    <mergeCell ref="K24:L24"/>
    <mergeCell ref="G25:J25"/>
    <mergeCell ref="K25:L25"/>
    <mergeCell ref="G26:J26"/>
    <mergeCell ref="K26:L26"/>
    <mergeCell ref="G23:J23"/>
    <mergeCell ref="K23:L23"/>
    <mergeCell ref="G32:J32"/>
    <mergeCell ref="K32:L32"/>
    <mergeCell ref="G31:J31"/>
    <mergeCell ref="K31:L31"/>
    <mergeCell ref="G29:J29"/>
    <mergeCell ref="K29:L29"/>
    <mergeCell ref="G30:J30"/>
    <mergeCell ref="K30:L30"/>
    <mergeCell ref="B14:C14"/>
    <mergeCell ref="D14:E14"/>
    <mergeCell ref="F14:G14"/>
    <mergeCell ref="B4:C4"/>
    <mergeCell ref="D4:E4"/>
    <mergeCell ref="F4:G4"/>
    <mergeCell ref="B5:C5"/>
    <mergeCell ref="D5:E5"/>
    <mergeCell ref="F5:G5"/>
    <mergeCell ref="K33:L33"/>
    <mergeCell ref="B6:C6"/>
    <mergeCell ref="D6:E6"/>
    <mergeCell ref="F6:G6"/>
    <mergeCell ref="B33:C33"/>
    <mergeCell ref="D33:F33"/>
    <mergeCell ref="G33:J33"/>
    <mergeCell ref="B15:C15"/>
    <mergeCell ref="D15:E15"/>
    <mergeCell ref="F15:G15"/>
    <mergeCell ref="B10:C10"/>
    <mergeCell ref="D10:E10"/>
    <mergeCell ref="F10:G10"/>
    <mergeCell ref="B11:C11"/>
    <mergeCell ref="D11:E11"/>
    <mergeCell ref="F11:G11"/>
  </mergeCells>
  <pageMargins left="0.7" right="0.7" top="0.75" bottom="0.75" header="0.3" footer="0.3"/>
  <pageSetup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EBBA-9065-4C9B-8915-1D4A172438C8}">
  <dimension ref="A1:Q19"/>
  <sheetViews>
    <sheetView view="pageBreakPreview" zoomScaleNormal="100" zoomScaleSheetLayoutView="100" workbookViewId="0"/>
  </sheetViews>
  <sheetFormatPr defaultRowHeight="15.75" x14ac:dyDescent="0.25"/>
  <cols>
    <col min="1" max="13" width="9.140625" style="1" customWidth="1"/>
    <col min="14" max="16384" width="9.140625" style="1"/>
  </cols>
  <sheetData>
    <row r="1" spans="1:17" x14ac:dyDescent="0.25">
      <c r="A1" s="1" t="s">
        <v>17</v>
      </c>
    </row>
    <row r="2" spans="1:17" x14ac:dyDescent="0.25">
      <c r="B2" s="1" t="s">
        <v>151</v>
      </c>
    </row>
    <row r="3" spans="1:17" x14ac:dyDescent="0.25">
      <c r="C3" s="1" t="s">
        <v>152</v>
      </c>
    </row>
    <row r="4" spans="1:17" x14ac:dyDescent="0.25">
      <c r="C4" s="1" t="s">
        <v>153</v>
      </c>
    </row>
    <row r="7" spans="1:17" x14ac:dyDescent="0.25">
      <c r="A7" s="32" t="s">
        <v>154</v>
      </c>
      <c r="B7" s="32"/>
      <c r="C7" s="32" t="s">
        <v>155</v>
      </c>
      <c r="D7" s="32"/>
      <c r="E7" s="32"/>
      <c r="F7" s="32"/>
      <c r="G7" s="32"/>
      <c r="H7" s="32" t="s">
        <v>156</v>
      </c>
      <c r="I7" s="32"/>
      <c r="J7" s="32"/>
      <c r="K7" s="32"/>
      <c r="L7" s="32"/>
      <c r="M7" s="32" t="s">
        <v>157</v>
      </c>
      <c r="N7" s="32"/>
      <c r="O7" s="32"/>
      <c r="P7" s="32"/>
      <c r="Q7" s="32"/>
    </row>
    <row r="8" spans="1:17" ht="34.5" customHeight="1" x14ac:dyDescent="0.25">
      <c r="A8" s="5" t="s">
        <v>158</v>
      </c>
      <c r="B8" s="5"/>
      <c r="C8" s="52" t="s">
        <v>159</v>
      </c>
      <c r="D8" s="52"/>
      <c r="E8" s="52"/>
      <c r="F8" s="52"/>
      <c r="G8" s="52"/>
      <c r="H8" s="52" t="s">
        <v>160</v>
      </c>
      <c r="I8" s="52"/>
      <c r="J8" s="52"/>
      <c r="K8" s="52"/>
      <c r="L8" s="52"/>
      <c r="M8" s="34" t="s">
        <v>161</v>
      </c>
      <c r="N8" s="34"/>
      <c r="O8" s="34"/>
      <c r="P8" s="34"/>
      <c r="Q8" s="34"/>
    </row>
    <row r="9" spans="1:17" ht="34.5" customHeight="1" x14ac:dyDescent="0.25">
      <c r="A9" s="5" t="s">
        <v>162</v>
      </c>
      <c r="B9" s="5"/>
      <c r="C9" s="52" t="s">
        <v>163</v>
      </c>
      <c r="D9" s="52"/>
      <c r="E9" s="52"/>
      <c r="F9" s="52"/>
      <c r="G9" s="52"/>
      <c r="H9" s="52" t="s">
        <v>164</v>
      </c>
      <c r="I9" s="52"/>
      <c r="J9" s="52"/>
      <c r="K9" s="52"/>
      <c r="L9" s="52"/>
      <c r="M9" s="34" t="s">
        <v>165</v>
      </c>
      <c r="N9" s="34"/>
      <c r="O9" s="34"/>
      <c r="P9" s="34"/>
      <c r="Q9" s="34"/>
    </row>
    <row r="10" spans="1:17" ht="34.5" customHeight="1" x14ac:dyDescent="0.25">
      <c r="A10" s="5" t="s">
        <v>166</v>
      </c>
      <c r="B10" s="5"/>
      <c r="C10" s="52" t="s">
        <v>167</v>
      </c>
      <c r="D10" s="52"/>
      <c r="E10" s="52"/>
      <c r="F10" s="52"/>
      <c r="G10" s="52"/>
      <c r="H10" s="52" t="s">
        <v>168</v>
      </c>
      <c r="I10" s="52"/>
      <c r="J10" s="52"/>
      <c r="K10" s="52"/>
      <c r="L10" s="52"/>
      <c r="M10" s="34" t="s">
        <v>169</v>
      </c>
      <c r="N10" s="34"/>
      <c r="O10" s="34"/>
      <c r="P10" s="34"/>
      <c r="Q10" s="34"/>
    </row>
    <row r="11" spans="1:17" ht="45.75" customHeight="1" x14ac:dyDescent="0.25">
      <c r="A11" s="5" t="s">
        <v>170</v>
      </c>
      <c r="B11" s="5"/>
      <c r="C11" s="52" t="s">
        <v>171</v>
      </c>
      <c r="D11" s="52"/>
      <c r="E11" s="52"/>
      <c r="F11" s="52"/>
      <c r="G11" s="52"/>
      <c r="H11" s="52" t="s">
        <v>172</v>
      </c>
      <c r="I11" s="52"/>
      <c r="J11" s="52"/>
      <c r="K11" s="52"/>
      <c r="L11" s="52"/>
      <c r="M11" s="34" t="s">
        <v>173</v>
      </c>
      <c r="N11" s="34"/>
      <c r="O11" s="34"/>
      <c r="P11" s="34"/>
      <c r="Q11" s="34"/>
    </row>
    <row r="12" spans="1:17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</row>
    <row r="13" spans="1:17" x14ac:dyDescent="0.25">
      <c r="A13" s="1" t="s">
        <v>174</v>
      </c>
    </row>
    <row r="15" spans="1:17" ht="31.5" x14ac:dyDescent="0.25">
      <c r="A15" s="32" t="s">
        <v>154</v>
      </c>
      <c r="B15" s="32"/>
      <c r="C15" s="54" t="s">
        <v>76</v>
      </c>
      <c r="D15" s="54" t="s">
        <v>91</v>
      </c>
      <c r="E15" s="54" t="s">
        <v>75</v>
      </c>
      <c r="F15" s="54" t="s">
        <v>79</v>
      </c>
      <c r="G15" s="45"/>
      <c r="H15" s="45"/>
    </row>
    <row r="16" spans="1:17" ht="15" customHeight="1" x14ac:dyDescent="0.25">
      <c r="A16" s="5" t="s">
        <v>158</v>
      </c>
      <c r="B16" s="5"/>
      <c r="C16" s="55">
        <v>6</v>
      </c>
      <c r="D16" s="55">
        <v>8</v>
      </c>
      <c r="E16" s="55">
        <v>9</v>
      </c>
      <c r="F16" s="55">
        <f t="shared" ref="F16:F18" si="0">SUM(C16:E16)</f>
        <v>23</v>
      </c>
      <c r="G16" s="45"/>
      <c r="H16" s="45"/>
    </row>
    <row r="17" spans="1:8" ht="15" customHeight="1" x14ac:dyDescent="0.25">
      <c r="A17" s="5" t="s">
        <v>162</v>
      </c>
      <c r="B17" s="5"/>
      <c r="C17" s="55">
        <v>6</v>
      </c>
      <c r="D17" s="55">
        <v>7</v>
      </c>
      <c r="E17" s="55">
        <v>7</v>
      </c>
      <c r="F17" s="55">
        <f t="shared" si="0"/>
        <v>20</v>
      </c>
      <c r="G17" s="45"/>
      <c r="H17" s="45"/>
    </row>
    <row r="18" spans="1:8" ht="15" customHeight="1" x14ac:dyDescent="0.25">
      <c r="A18" s="56" t="s">
        <v>166</v>
      </c>
      <c r="B18" s="56"/>
      <c r="C18" s="57">
        <v>9</v>
      </c>
      <c r="D18" s="57">
        <v>9</v>
      </c>
      <c r="E18" s="57">
        <v>8</v>
      </c>
      <c r="F18" s="57">
        <f t="shared" si="0"/>
        <v>26</v>
      </c>
      <c r="G18" s="45"/>
      <c r="H18" s="45"/>
    </row>
    <row r="19" spans="1:8" ht="15" customHeight="1" x14ac:dyDescent="0.25">
      <c r="A19" s="5" t="s">
        <v>170</v>
      </c>
      <c r="B19" s="5"/>
      <c r="C19" s="55">
        <v>9</v>
      </c>
      <c r="D19" s="55">
        <v>9</v>
      </c>
      <c r="E19" s="55">
        <v>8</v>
      </c>
      <c r="F19" s="55">
        <f>SUM(C19:E19)</f>
        <v>26</v>
      </c>
      <c r="G19" s="45"/>
      <c r="H19" s="45"/>
    </row>
  </sheetData>
  <mergeCells count="29">
    <mergeCell ref="A19:B19"/>
    <mergeCell ref="A18:B18"/>
    <mergeCell ref="A16:B16"/>
    <mergeCell ref="A17:B17"/>
    <mergeCell ref="A15:B15"/>
    <mergeCell ref="A11:B11"/>
    <mergeCell ref="C11:G11"/>
    <mergeCell ref="H11:L11"/>
    <mergeCell ref="M11:Q11"/>
    <mergeCell ref="A12:B12"/>
    <mergeCell ref="C12:G12"/>
    <mergeCell ref="H12:L12"/>
    <mergeCell ref="M12:Q12"/>
    <mergeCell ref="A9:B9"/>
    <mergeCell ref="C9:G9"/>
    <mergeCell ref="H9:L9"/>
    <mergeCell ref="M9:Q9"/>
    <mergeCell ref="A10:B10"/>
    <mergeCell ref="C10:G10"/>
    <mergeCell ref="H10:L10"/>
    <mergeCell ref="M10:Q10"/>
    <mergeCell ref="A7:B7"/>
    <mergeCell ref="C7:G7"/>
    <mergeCell ref="H7:L7"/>
    <mergeCell ref="M7:Q7"/>
    <mergeCell ref="A8:B8"/>
    <mergeCell ref="C8:G8"/>
    <mergeCell ref="H8:L8"/>
    <mergeCell ref="M8:Q8"/>
  </mergeCells>
  <pageMargins left="0.7" right="0.7" top="0.75" bottom="0.75" header="0.3" footer="0.3"/>
  <pageSetup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1C04-5CEA-4A97-8E58-FC01BCC57654}">
  <dimension ref="B2:G9"/>
  <sheetViews>
    <sheetView view="pageBreakPreview" zoomScaleNormal="100" zoomScaleSheetLayoutView="100" workbookViewId="0"/>
  </sheetViews>
  <sheetFormatPr defaultRowHeight="15.75" x14ac:dyDescent="0.25"/>
  <cols>
    <col min="1" max="1" width="9.140625" style="1" customWidth="1"/>
    <col min="2" max="2" width="28.28515625" style="1" customWidth="1"/>
    <col min="3" max="6" width="12.140625" style="1" customWidth="1"/>
    <col min="7" max="7" width="9.140625" style="1" customWidth="1"/>
    <col min="8" max="8" width="12.140625" style="1" customWidth="1"/>
    <col min="9" max="16384" width="9.140625" style="1"/>
  </cols>
  <sheetData>
    <row r="2" spans="2:7" x14ac:dyDescent="0.25">
      <c r="B2" s="1" t="s">
        <v>17</v>
      </c>
    </row>
    <row r="3" spans="2:7" x14ac:dyDescent="0.25">
      <c r="B3" s="1" t="s">
        <v>72</v>
      </c>
    </row>
    <row r="4" spans="2:7" x14ac:dyDescent="0.25">
      <c r="B4" s="1" t="s">
        <v>73</v>
      </c>
    </row>
    <row r="5" spans="2:7" ht="15.75" customHeight="1" x14ac:dyDescent="0.25"/>
    <row r="6" spans="2:7" ht="39" customHeight="1" x14ac:dyDescent="0.25">
      <c r="B6" s="26" t="s">
        <v>74</v>
      </c>
      <c r="C6" s="27" t="s">
        <v>75</v>
      </c>
      <c r="D6" s="27" t="s">
        <v>76</v>
      </c>
      <c r="E6" s="27" t="s">
        <v>77</v>
      </c>
      <c r="F6" s="27" t="s">
        <v>78</v>
      </c>
      <c r="G6" s="28" t="s">
        <v>79</v>
      </c>
    </row>
    <row r="7" spans="2:7" x14ac:dyDescent="0.25">
      <c r="B7" s="29" t="s">
        <v>80</v>
      </c>
      <c r="C7" s="30">
        <v>9</v>
      </c>
      <c r="D7" s="30">
        <v>9</v>
      </c>
      <c r="E7" s="30">
        <v>7</v>
      </c>
      <c r="F7" s="30">
        <v>9</v>
      </c>
      <c r="G7" s="30">
        <f>SUM(C7:F7)</f>
        <v>34</v>
      </c>
    </row>
    <row r="8" spans="2:7" x14ac:dyDescent="0.25">
      <c r="B8" s="31" t="s">
        <v>81</v>
      </c>
      <c r="C8" s="13">
        <v>7</v>
      </c>
      <c r="D8" s="13">
        <v>7</v>
      </c>
      <c r="E8" s="13">
        <v>7</v>
      </c>
      <c r="F8" s="13">
        <v>9</v>
      </c>
      <c r="G8" s="13">
        <f>SUM(C8:F8)</f>
        <v>30</v>
      </c>
    </row>
    <row r="9" spans="2:7" x14ac:dyDescent="0.25">
      <c r="B9" s="31" t="s">
        <v>82</v>
      </c>
      <c r="C9" s="13">
        <v>9</v>
      </c>
      <c r="D9" s="13">
        <v>9</v>
      </c>
      <c r="E9" s="13">
        <v>9</v>
      </c>
      <c r="F9" s="13">
        <v>6</v>
      </c>
      <c r="G9" s="13">
        <f>SUM(C9:F9)</f>
        <v>33</v>
      </c>
    </row>
  </sheetData>
  <pageMargins left="0.7" right="0.7" top="0.75" bottom="0.75" header="0.3" footer="0.3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5C39-15D9-4CEE-BC82-A0DF1905C0C9}">
  <dimension ref="A2:N9"/>
  <sheetViews>
    <sheetView view="pageBreakPreview" zoomScaleNormal="100" zoomScaleSheetLayoutView="100" workbookViewId="0"/>
  </sheetViews>
  <sheetFormatPr defaultRowHeight="15.75" x14ac:dyDescent="0.25"/>
  <cols>
    <col min="1" max="9" width="9.140625" style="1" customWidth="1"/>
    <col min="10" max="16384" width="9.140625" style="1"/>
  </cols>
  <sheetData>
    <row r="2" spans="1:14" x14ac:dyDescent="0.25">
      <c r="A2" s="32" t="s">
        <v>74</v>
      </c>
      <c r="B2" s="32"/>
      <c r="C2" s="33" t="s">
        <v>28</v>
      </c>
      <c r="D2" s="33"/>
      <c r="E2" s="33"/>
      <c r="F2" s="33"/>
      <c r="G2" s="33"/>
      <c r="H2" s="33"/>
      <c r="I2" s="33" t="s">
        <v>83</v>
      </c>
      <c r="J2" s="33"/>
      <c r="K2" s="33"/>
      <c r="L2" s="33"/>
      <c r="M2" s="33"/>
      <c r="N2" s="33"/>
    </row>
    <row r="3" spans="1:14" ht="25.5" customHeight="1" x14ac:dyDescent="0.25">
      <c r="A3" s="5" t="s">
        <v>76</v>
      </c>
      <c r="B3" s="5"/>
      <c r="C3" s="6" t="s">
        <v>84</v>
      </c>
      <c r="D3" s="6"/>
      <c r="E3" s="6"/>
      <c r="F3" s="6"/>
      <c r="G3" s="6"/>
      <c r="H3" s="6"/>
      <c r="I3" s="6" t="s">
        <v>85</v>
      </c>
      <c r="J3" s="6"/>
      <c r="K3" s="6"/>
      <c r="L3" s="6"/>
      <c r="M3" s="6"/>
      <c r="N3" s="6"/>
    </row>
    <row r="4" spans="1:14" ht="25.5" customHeight="1" x14ac:dyDescent="0.25">
      <c r="A4" s="5" t="s">
        <v>86</v>
      </c>
      <c r="B4" s="5"/>
      <c r="C4" s="6" t="s">
        <v>87</v>
      </c>
      <c r="D4" s="6"/>
      <c r="E4" s="6"/>
      <c r="F4" s="6"/>
      <c r="G4" s="6"/>
      <c r="H4" s="6"/>
      <c r="I4" s="6" t="s">
        <v>88</v>
      </c>
      <c r="J4" s="6"/>
      <c r="K4" s="6"/>
      <c r="L4" s="6"/>
      <c r="M4" s="6"/>
      <c r="N4" s="6"/>
    </row>
    <row r="5" spans="1:14" ht="25.5" customHeight="1" x14ac:dyDescent="0.25">
      <c r="A5" s="5" t="s">
        <v>89</v>
      </c>
      <c r="B5" s="5"/>
      <c r="C5" s="6" t="s">
        <v>90</v>
      </c>
      <c r="D5" s="6"/>
      <c r="E5" s="6"/>
      <c r="F5" s="6"/>
      <c r="G5" s="6"/>
      <c r="H5" s="6"/>
      <c r="I5" s="6" t="s">
        <v>90</v>
      </c>
      <c r="J5" s="6"/>
      <c r="K5" s="6"/>
      <c r="L5" s="6"/>
      <c r="M5" s="6"/>
      <c r="N5" s="6"/>
    </row>
    <row r="6" spans="1:14" ht="25.5" customHeight="1" x14ac:dyDescent="0.25">
      <c r="A6" s="5" t="s">
        <v>91</v>
      </c>
      <c r="B6" s="5"/>
      <c r="C6" s="6" t="s">
        <v>92</v>
      </c>
      <c r="D6" s="6"/>
      <c r="E6" s="6"/>
      <c r="F6" s="6"/>
      <c r="G6" s="6"/>
      <c r="H6" s="6"/>
      <c r="I6" s="6" t="s">
        <v>93</v>
      </c>
      <c r="J6" s="6"/>
      <c r="K6" s="6"/>
      <c r="L6" s="6"/>
      <c r="M6" s="6"/>
      <c r="N6" s="6"/>
    </row>
    <row r="7" spans="1:14" ht="34.5" customHeight="1" x14ac:dyDescent="0.25">
      <c r="A7" s="5" t="s">
        <v>94</v>
      </c>
      <c r="B7" s="5"/>
      <c r="C7" s="34" t="s">
        <v>95</v>
      </c>
      <c r="D7" s="34"/>
      <c r="E7" s="34"/>
      <c r="F7" s="34"/>
      <c r="G7" s="34"/>
      <c r="H7" s="34"/>
      <c r="I7" s="34" t="s">
        <v>96</v>
      </c>
      <c r="J7" s="34"/>
      <c r="K7" s="34"/>
      <c r="L7" s="34"/>
      <c r="M7" s="34"/>
      <c r="N7" s="34"/>
    </row>
    <row r="9" spans="1:14" x14ac:dyDescent="0.25">
      <c r="A9" s="35" t="s">
        <v>97</v>
      </c>
    </row>
  </sheetData>
  <mergeCells count="18">
    <mergeCell ref="A7:B7"/>
    <mergeCell ref="C7:H7"/>
    <mergeCell ref="I7:N7"/>
    <mergeCell ref="C5:H5"/>
    <mergeCell ref="I5:N5"/>
    <mergeCell ref="C6:H6"/>
    <mergeCell ref="I6:N6"/>
    <mergeCell ref="A2:B2"/>
    <mergeCell ref="A3:B3"/>
    <mergeCell ref="A4:B4"/>
    <mergeCell ref="A5:B5"/>
    <mergeCell ref="A6:B6"/>
    <mergeCell ref="C2:H2"/>
    <mergeCell ref="I2:N2"/>
    <mergeCell ref="C3:H3"/>
    <mergeCell ref="I3:N3"/>
    <mergeCell ref="C4:H4"/>
    <mergeCell ref="I4:N4"/>
  </mergeCells>
  <pageMargins left="0.7" right="0.7" top="0.75" bottom="0.75" header="0.3" footer="0.3"/>
  <pageSetup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9B37-9573-457F-B0DE-F7DA20D30918}">
  <dimension ref="B40:V106"/>
  <sheetViews>
    <sheetView view="pageBreakPreview" zoomScale="85" zoomScaleNormal="100" zoomScaleSheetLayoutView="85" workbookViewId="0"/>
  </sheetViews>
  <sheetFormatPr defaultRowHeight="15.75" x14ac:dyDescent="0.25"/>
  <cols>
    <col min="1" max="16" width="9.140625" style="1" customWidth="1"/>
    <col min="17" max="17" width="33" style="1" customWidth="1"/>
    <col min="18" max="18" width="35.28515625" style="1" hidden="1" customWidth="1"/>
    <col min="19" max="16384" width="9.140625" style="1"/>
  </cols>
  <sheetData>
    <row r="40" spans="2:18" x14ac:dyDescent="0.25">
      <c r="B40" s="2" t="s">
        <v>98</v>
      </c>
    </row>
    <row r="41" spans="2:18" x14ac:dyDescent="0.25">
      <c r="B41" s="36" t="s">
        <v>34</v>
      </c>
      <c r="C41" s="37" t="s">
        <v>99</v>
      </c>
      <c r="D41" s="38"/>
      <c r="E41" s="38"/>
      <c r="F41" s="39"/>
      <c r="G41" s="37" t="s">
        <v>100</v>
      </c>
      <c r="H41" s="38"/>
      <c r="I41" s="38"/>
      <c r="J41" s="38"/>
      <c r="K41" s="38"/>
      <c r="L41" s="39"/>
      <c r="M41" s="37" t="s">
        <v>101</v>
      </c>
      <c r="N41" s="38"/>
      <c r="O41" s="38"/>
      <c r="P41" s="39"/>
      <c r="Q41" s="40" t="s">
        <v>102</v>
      </c>
      <c r="R41" s="1" t="s">
        <v>0</v>
      </c>
    </row>
    <row r="42" spans="2:18" ht="31.5" customHeight="1" x14ac:dyDescent="0.25">
      <c r="B42" s="41">
        <v>1</v>
      </c>
      <c r="C42" s="42" t="s">
        <v>103</v>
      </c>
      <c r="D42" s="42"/>
      <c r="E42" s="42"/>
      <c r="F42" s="42"/>
      <c r="G42" s="43" t="s">
        <v>104</v>
      </c>
      <c r="H42" s="42"/>
      <c r="I42" s="42"/>
      <c r="J42" s="42"/>
      <c r="K42" s="42"/>
      <c r="L42" s="42"/>
      <c r="M42" s="42" t="s">
        <v>105</v>
      </c>
      <c r="N42" s="42"/>
      <c r="O42" s="42"/>
      <c r="P42" s="42"/>
      <c r="Q42" s="44" t="s">
        <v>106</v>
      </c>
    </row>
    <row r="43" spans="2:18" ht="31.5" customHeight="1" x14ac:dyDescent="0.25"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4"/>
    </row>
    <row r="44" spans="2:18" ht="45.75" customHeight="1" x14ac:dyDescent="0.25">
      <c r="B44" s="41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4"/>
    </row>
    <row r="45" spans="2:18" x14ac:dyDescent="0.25">
      <c r="B45" s="41">
        <v>2</v>
      </c>
      <c r="C45" s="42" t="s">
        <v>42</v>
      </c>
      <c r="D45" s="42"/>
      <c r="E45" s="42"/>
      <c r="F45" s="42"/>
      <c r="G45" s="43" t="s">
        <v>107</v>
      </c>
      <c r="H45" s="42"/>
      <c r="I45" s="42"/>
      <c r="J45" s="42"/>
      <c r="K45" s="42"/>
      <c r="L45" s="42"/>
      <c r="M45" s="42"/>
      <c r="N45" s="42"/>
      <c r="O45" s="42"/>
      <c r="P45" s="42"/>
      <c r="Q45" s="44" t="s">
        <v>108</v>
      </c>
      <c r="R45" s="1" t="s">
        <v>1</v>
      </c>
    </row>
    <row r="46" spans="2:18" x14ac:dyDescent="0.25"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4"/>
    </row>
    <row r="47" spans="2:18" x14ac:dyDescent="0.25"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4"/>
    </row>
    <row r="48" spans="2:18" x14ac:dyDescent="0.25">
      <c r="B48" s="41">
        <v>3</v>
      </c>
      <c r="C48" s="42" t="s">
        <v>109</v>
      </c>
      <c r="D48" s="42"/>
      <c r="E48" s="42"/>
      <c r="F48" s="42"/>
      <c r="G48" s="43" t="s">
        <v>110</v>
      </c>
      <c r="H48" s="42"/>
      <c r="I48" s="42"/>
      <c r="J48" s="42"/>
      <c r="K48" s="42"/>
      <c r="L48" s="42"/>
      <c r="M48" s="42"/>
      <c r="N48" s="42"/>
      <c r="O48" s="42"/>
      <c r="P48" s="42"/>
      <c r="Q48" s="44" t="s">
        <v>111</v>
      </c>
      <c r="R48" s="1" t="s">
        <v>2</v>
      </c>
    </row>
    <row r="49" spans="2:18" x14ac:dyDescent="0.25"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4"/>
    </row>
    <row r="50" spans="2:18" ht="52.5" customHeight="1" x14ac:dyDescent="0.25"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4"/>
    </row>
    <row r="51" spans="2:18" x14ac:dyDescent="0.25">
      <c r="B51" s="41">
        <v>4</v>
      </c>
      <c r="C51" s="42" t="s">
        <v>112</v>
      </c>
      <c r="D51" s="42"/>
      <c r="E51" s="42"/>
      <c r="F51" s="42"/>
      <c r="G51" s="43" t="s">
        <v>113</v>
      </c>
      <c r="H51" s="42"/>
      <c r="I51" s="42"/>
      <c r="J51" s="42"/>
      <c r="K51" s="42"/>
      <c r="L51" s="42"/>
      <c r="M51" s="42" t="s">
        <v>3</v>
      </c>
      <c r="N51" s="42"/>
      <c r="O51" s="42"/>
      <c r="P51" s="42"/>
      <c r="Q51" s="44" t="s">
        <v>114</v>
      </c>
      <c r="R51" s="1" t="s">
        <v>4</v>
      </c>
    </row>
    <row r="52" spans="2:18" x14ac:dyDescent="0.25"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4"/>
    </row>
    <row r="53" spans="2:18" x14ac:dyDescent="0.25"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4"/>
    </row>
    <row r="54" spans="2:18" x14ac:dyDescent="0.25">
      <c r="B54" s="41">
        <v>5</v>
      </c>
      <c r="C54" s="42" t="s">
        <v>115</v>
      </c>
      <c r="D54" s="42"/>
      <c r="E54" s="42"/>
      <c r="F54" s="42"/>
      <c r="G54" s="43" t="s">
        <v>116</v>
      </c>
      <c r="H54" s="42"/>
      <c r="I54" s="42"/>
      <c r="J54" s="42"/>
      <c r="K54" s="42"/>
      <c r="L54" s="42"/>
      <c r="M54" s="42"/>
      <c r="N54" s="42"/>
      <c r="O54" s="42"/>
      <c r="P54" s="42"/>
      <c r="Q54" s="44" t="s">
        <v>117</v>
      </c>
    </row>
    <row r="55" spans="2:18" x14ac:dyDescent="0.25"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4"/>
    </row>
    <row r="56" spans="2:18" ht="54" customHeight="1" x14ac:dyDescent="0.25"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4"/>
    </row>
    <row r="57" spans="2:18" ht="25.5" customHeight="1" x14ac:dyDescent="0.25">
      <c r="B57" s="41">
        <v>6</v>
      </c>
      <c r="C57" s="42" t="s">
        <v>118</v>
      </c>
      <c r="D57" s="42"/>
      <c r="E57" s="42"/>
      <c r="F57" s="42"/>
      <c r="G57" s="43" t="s">
        <v>119</v>
      </c>
      <c r="H57" s="42"/>
      <c r="I57" s="42"/>
      <c r="J57" s="42"/>
      <c r="K57" s="42"/>
      <c r="L57" s="42"/>
      <c r="M57" s="42" t="s">
        <v>120</v>
      </c>
      <c r="N57" s="42"/>
      <c r="O57" s="42"/>
      <c r="P57" s="42"/>
      <c r="Q57" s="44" t="s">
        <v>121</v>
      </c>
      <c r="R57" s="45" t="s">
        <v>5</v>
      </c>
    </row>
    <row r="58" spans="2:18" ht="25.5" customHeight="1" x14ac:dyDescent="0.25"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4"/>
    </row>
    <row r="59" spans="2:18" ht="25.5" customHeight="1" x14ac:dyDescent="0.25"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4"/>
    </row>
    <row r="60" spans="2:18" ht="20.25" customHeight="1" x14ac:dyDescent="0.25">
      <c r="B60" s="41">
        <v>7</v>
      </c>
      <c r="C60" s="42" t="s">
        <v>122</v>
      </c>
      <c r="D60" s="42"/>
      <c r="E60" s="42"/>
      <c r="F60" s="42"/>
      <c r="G60" s="43" t="s">
        <v>123</v>
      </c>
      <c r="H60" s="42"/>
      <c r="I60" s="42"/>
      <c r="J60" s="42"/>
      <c r="K60" s="42"/>
      <c r="L60" s="42"/>
      <c r="M60" s="42" t="s">
        <v>124</v>
      </c>
      <c r="N60" s="42"/>
      <c r="O60" s="42"/>
      <c r="P60" s="42"/>
      <c r="Q60" s="44" t="s">
        <v>125</v>
      </c>
    </row>
    <row r="61" spans="2:18" ht="20.25" customHeight="1" x14ac:dyDescent="0.25"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4"/>
    </row>
    <row r="62" spans="2:18" ht="20.25" customHeight="1" x14ac:dyDescent="0.25"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4"/>
    </row>
    <row r="63" spans="2:18" x14ac:dyDescent="0.25">
      <c r="B63" s="41">
        <v>8</v>
      </c>
      <c r="C63" s="42" t="s">
        <v>126</v>
      </c>
      <c r="D63" s="42"/>
      <c r="E63" s="42"/>
      <c r="F63" s="42"/>
      <c r="G63" s="43"/>
      <c r="H63" s="42"/>
      <c r="I63" s="42"/>
      <c r="J63" s="42"/>
      <c r="K63" s="42"/>
      <c r="L63" s="42"/>
      <c r="M63" s="42" t="s">
        <v>6</v>
      </c>
      <c r="N63" s="42"/>
      <c r="O63" s="42"/>
      <c r="P63" s="42"/>
      <c r="Q63" s="46" t="s">
        <v>127</v>
      </c>
    </row>
    <row r="64" spans="2:18" x14ac:dyDescent="0.25"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6"/>
    </row>
    <row r="65" spans="2:18" x14ac:dyDescent="0.25"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6"/>
    </row>
    <row r="66" spans="2:18" x14ac:dyDescent="0.25">
      <c r="B66" s="41">
        <v>9</v>
      </c>
      <c r="C66" s="42" t="s">
        <v>128</v>
      </c>
      <c r="D66" s="42"/>
      <c r="E66" s="42"/>
      <c r="F66" s="42"/>
      <c r="G66" s="43" t="s">
        <v>129</v>
      </c>
      <c r="H66" s="42"/>
      <c r="I66" s="42"/>
      <c r="J66" s="42"/>
      <c r="K66" s="42"/>
      <c r="L66" s="42"/>
      <c r="M66" s="42"/>
      <c r="N66" s="42"/>
      <c r="O66" s="42"/>
      <c r="P66" s="42"/>
      <c r="Q66" s="44" t="s">
        <v>130</v>
      </c>
    </row>
    <row r="67" spans="2:18" x14ac:dyDescent="0.25"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4"/>
    </row>
    <row r="68" spans="2:18" x14ac:dyDescent="0.25"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4"/>
    </row>
    <row r="69" spans="2:18" ht="15" customHeight="1" x14ac:dyDescent="0.25">
      <c r="B69" s="41">
        <v>10</v>
      </c>
      <c r="C69" s="42" t="s">
        <v>131</v>
      </c>
      <c r="D69" s="42"/>
      <c r="E69" s="42"/>
      <c r="F69" s="42"/>
      <c r="G69" s="43" t="s">
        <v>132</v>
      </c>
      <c r="H69" s="42"/>
      <c r="I69" s="42"/>
      <c r="J69" s="42"/>
      <c r="K69" s="42"/>
      <c r="L69" s="42"/>
      <c r="M69" s="42"/>
      <c r="N69" s="42"/>
      <c r="O69" s="42"/>
      <c r="P69" s="42"/>
      <c r="Q69" s="44" t="s">
        <v>133</v>
      </c>
    </row>
    <row r="70" spans="2:18" x14ac:dyDescent="0.25"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4"/>
    </row>
    <row r="71" spans="2:18" ht="67.5" customHeight="1" x14ac:dyDescent="0.25">
      <c r="B71" s="41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4"/>
    </row>
    <row r="72" spans="2:18" x14ac:dyDescent="0.25">
      <c r="B72" s="41">
        <v>11</v>
      </c>
      <c r="C72" s="42" t="s">
        <v>134</v>
      </c>
      <c r="D72" s="42"/>
      <c r="E72" s="42"/>
      <c r="F72" s="42"/>
      <c r="G72" s="43" t="s">
        <v>135</v>
      </c>
      <c r="H72" s="42"/>
      <c r="I72" s="42"/>
      <c r="J72" s="42"/>
      <c r="K72" s="42"/>
      <c r="L72" s="42"/>
      <c r="M72" s="42"/>
      <c r="N72" s="42"/>
      <c r="O72" s="42"/>
      <c r="P72" s="42"/>
      <c r="Q72" s="44" t="s">
        <v>136</v>
      </c>
      <c r="R72" s="1" t="s">
        <v>7</v>
      </c>
    </row>
    <row r="73" spans="2:18" x14ac:dyDescent="0.25"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4"/>
    </row>
    <row r="74" spans="2:18" x14ac:dyDescent="0.25"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4"/>
    </row>
    <row r="75" spans="2:18" x14ac:dyDescent="0.25">
      <c r="B75" s="41">
        <v>12</v>
      </c>
      <c r="C75" s="42" t="s">
        <v>137</v>
      </c>
      <c r="D75" s="42"/>
      <c r="E75" s="42"/>
      <c r="F75" s="42"/>
      <c r="G75" s="43" t="s">
        <v>138</v>
      </c>
      <c r="H75" s="42"/>
      <c r="I75" s="42"/>
      <c r="J75" s="42"/>
      <c r="K75" s="42"/>
      <c r="L75" s="42"/>
      <c r="M75" s="42" t="s">
        <v>8</v>
      </c>
      <c r="N75" s="42"/>
      <c r="O75" s="42"/>
      <c r="P75" s="42"/>
      <c r="Q75" s="44" t="s">
        <v>139</v>
      </c>
    </row>
    <row r="76" spans="2:18" x14ac:dyDescent="0.25"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4"/>
    </row>
    <row r="77" spans="2:18" x14ac:dyDescent="0.25"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4"/>
    </row>
    <row r="78" spans="2:18" x14ac:dyDescent="0.25">
      <c r="B78" s="41">
        <v>13</v>
      </c>
      <c r="C78" s="42" t="s">
        <v>140</v>
      </c>
      <c r="D78" s="42"/>
      <c r="E78" s="42"/>
      <c r="F78" s="42"/>
      <c r="G78" s="43"/>
      <c r="H78" s="42"/>
      <c r="I78" s="42"/>
      <c r="J78" s="42"/>
      <c r="K78" s="42"/>
      <c r="L78" s="42"/>
      <c r="M78" s="42"/>
      <c r="N78" s="42"/>
      <c r="O78" s="42"/>
      <c r="P78" s="42"/>
      <c r="Q78" s="44" t="s">
        <v>141</v>
      </c>
      <c r="R78" s="1" t="s">
        <v>9</v>
      </c>
    </row>
    <row r="79" spans="2:18" x14ac:dyDescent="0.25"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4"/>
    </row>
    <row r="80" spans="2:18" x14ac:dyDescent="0.25"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4"/>
    </row>
    <row r="83" spans="2:12" x14ac:dyDescent="0.25">
      <c r="B83" s="47" t="s">
        <v>142</v>
      </c>
      <c r="C83" s="48"/>
      <c r="D83" s="48"/>
      <c r="E83" s="48"/>
      <c r="F83" s="48"/>
      <c r="G83" s="48"/>
      <c r="H83" s="48"/>
      <c r="I83" s="48"/>
      <c r="J83" s="48"/>
      <c r="K83" s="48"/>
      <c r="L83" s="48"/>
    </row>
    <row r="84" spans="2:12" ht="12.75" customHeight="1" x14ac:dyDescent="0.25">
      <c r="B84" s="48"/>
      <c r="C84" s="49" t="s">
        <v>143</v>
      </c>
      <c r="D84" s="49"/>
      <c r="E84" s="49"/>
      <c r="F84" s="49"/>
      <c r="G84" s="49"/>
      <c r="H84" s="49"/>
      <c r="I84" s="49"/>
      <c r="J84" s="49"/>
      <c r="K84" s="49"/>
      <c r="L84" s="49"/>
    </row>
    <row r="85" spans="2:12" ht="12.75" customHeight="1" x14ac:dyDescent="0.25">
      <c r="B85" s="48"/>
      <c r="C85" s="49"/>
      <c r="D85" s="49"/>
      <c r="E85" s="49"/>
      <c r="F85" s="49"/>
      <c r="G85" s="49"/>
      <c r="H85" s="49"/>
      <c r="I85" s="49"/>
      <c r="J85" s="49"/>
      <c r="K85" s="49"/>
      <c r="L85" s="49"/>
    </row>
    <row r="86" spans="2:12" ht="12.75" customHeight="1" x14ac:dyDescent="0.25">
      <c r="B86" s="48"/>
      <c r="C86" s="49"/>
      <c r="D86" s="49"/>
      <c r="E86" s="49"/>
      <c r="F86" s="49"/>
      <c r="G86" s="49"/>
      <c r="H86" s="49"/>
      <c r="I86" s="49"/>
      <c r="J86" s="49"/>
      <c r="K86" s="49"/>
      <c r="L86" s="49"/>
    </row>
    <row r="87" spans="2:12" ht="12.75" customHeight="1" x14ac:dyDescent="0.25">
      <c r="B87" s="48"/>
      <c r="C87" s="49"/>
      <c r="D87" s="49"/>
      <c r="E87" s="49"/>
      <c r="F87" s="49"/>
      <c r="G87" s="49"/>
      <c r="H87" s="49"/>
      <c r="I87" s="49"/>
      <c r="J87" s="49"/>
      <c r="K87" s="49"/>
      <c r="L87" s="49"/>
    </row>
    <row r="88" spans="2:12" ht="12.75" customHeight="1" x14ac:dyDescent="0.25">
      <c r="B88" s="48"/>
      <c r="C88" s="49"/>
      <c r="D88" s="49"/>
      <c r="E88" s="49"/>
      <c r="F88" s="49"/>
      <c r="G88" s="49"/>
      <c r="H88" s="49"/>
      <c r="I88" s="49"/>
      <c r="J88" s="49"/>
      <c r="K88" s="49"/>
      <c r="L88" s="49"/>
    </row>
    <row r="89" spans="2:12" ht="12.75" customHeight="1" x14ac:dyDescent="0.25">
      <c r="B89" s="48"/>
      <c r="C89" s="49"/>
      <c r="D89" s="49"/>
      <c r="E89" s="49"/>
      <c r="F89" s="49"/>
      <c r="G89" s="49"/>
      <c r="H89" s="49"/>
      <c r="I89" s="49"/>
      <c r="J89" s="49"/>
      <c r="K89" s="49"/>
      <c r="L89" s="49"/>
    </row>
    <row r="90" spans="2:12" ht="12.75" customHeight="1" x14ac:dyDescent="0.25">
      <c r="B90" s="48"/>
      <c r="C90" s="49"/>
      <c r="D90" s="49"/>
      <c r="E90" s="49"/>
      <c r="F90" s="49"/>
      <c r="G90" s="49"/>
      <c r="H90" s="49"/>
      <c r="I90" s="49"/>
      <c r="J90" s="49"/>
      <c r="K90" s="49"/>
      <c r="L90" s="49"/>
    </row>
    <row r="91" spans="2:12" ht="12.75" customHeight="1" x14ac:dyDescent="0.25">
      <c r="B91" s="48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spans="2:12" ht="12.75" customHeight="1" x14ac:dyDescent="0.25"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</row>
    <row r="93" spans="2:12" ht="12.75" customHeight="1" x14ac:dyDescent="0.25"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</row>
    <row r="94" spans="2:12" ht="12.75" customHeight="1" x14ac:dyDescent="0.25"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</row>
    <row r="95" spans="2:12" ht="12.75" customHeight="1" x14ac:dyDescent="0.25"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</row>
    <row r="96" spans="2:12" ht="12.75" customHeight="1" x14ac:dyDescent="0.25"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</row>
    <row r="99" spans="2:22" x14ac:dyDescent="0.25">
      <c r="B99" s="50" t="s">
        <v>10</v>
      </c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spans="2:22" x14ac:dyDescent="0.25">
      <c r="B100" s="51"/>
      <c r="C100" s="50" t="s">
        <v>144</v>
      </c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spans="2:22" x14ac:dyDescent="0.25">
      <c r="B101" s="51"/>
      <c r="C101" s="50" t="s">
        <v>145</v>
      </c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spans="2:22" x14ac:dyDescent="0.25">
      <c r="B102" s="51"/>
      <c r="C102" s="50" t="s">
        <v>146</v>
      </c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spans="2:22" x14ac:dyDescent="0.25">
      <c r="B103" s="51" t="s">
        <v>147</v>
      </c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spans="2:22" x14ac:dyDescent="0.25">
      <c r="B104" s="50" t="s">
        <v>148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2:22" x14ac:dyDescent="0.25">
      <c r="B105" s="51" t="s">
        <v>149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spans="2:22" x14ac:dyDescent="0.25">
      <c r="B106" s="51" t="s">
        <v>150</v>
      </c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</sheetData>
  <mergeCells count="69">
    <mergeCell ref="C84:L96"/>
    <mergeCell ref="C41:F41"/>
    <mergeCell ref="G41:L41"/>
    <mergeCell ref="M41:P41"/>
    <mergeCell ref="B42:B44"/>
    <mergeCell ref="C42:F44"/>
    <mergeCell ref="G42:L44"/>
    <mergeCell ref="M42:P44"/>
    <mergeCell ref="B51:B53"/>
    <mergeCell ref="C51:F53"/>
    <mergeCell ref="G51:L53"/>
    <mergeCell ref="M51:P53"/>
    <mergeCell ref="B57:B59"/>
    <mergeCell ref="C57:F59"/>
    <mergeCell ref="G57:L59"/>
    <mergeCell ref="M57:P59"/>
    <mergeCell ref="Q42:Q44"/>
    <mergeCell ref="B45:B47"/>
    <mergeCell ref="C45:F47"/>
    <mergeCell ref="G45:L47"/>
    <mergeCell ref="M45:P47"/>
    <mergeCell ref="Q45:Q47"/>
    <mergeCell ref="Q51:Q53"/>
    <mergeCell ref="B48:B50"/>
    <mergeCell ref="C48:F50"/>
    <mergeCell ref="G48:L50"/>
    <mergeCell ref="M48:P50"/>
    <mergeCell ref="Q48:Q50"/>
    <mergeCell ref="Q57:Q59"/>
    <mergeCell ref="B54:B56"/>
    <mergeCell ref="C54:F56"/>
    <mergeCell ref="G54:L56"/>
    <mergeCell ref="M54:P56"/>
    <mergeCell ref="Q54:Q56"/>
    <mergeCell ref="B63:B65"/>
    <mergeCell ref="C63:F65"/>
    <mergeCell ref="G63:L65"/>
    <mergeCell ref="M63:P65"/>
    <mergeCell ref="Q63:Q65"/>
    <mergeCell ref="B60:B62"/>
    <mergeCell ref="C60:F62"/>
    <mergeCell ref="G60:L62"/>
    <mergeCell ref="M60:P62"/>
    <mergeCell ref="Q60:Q62"/>
    <mergeCell ref="B69:B71"/>
    <mergeCell ref="C69:F71"/>
    <mergeCell ref="G69:L71"/>
    <mergeCell ref="M69:P71"/>
    <mergeCell ref="Q69:Q71"/>
    <mergeCell ref="B66:B68"/>
    <mergeCell ref="C66:F68"/>
    <mergeCell ref="G66:L68"/>
    <mergeCell ref="M66:P68"/>
    <mergeCell ref="Q66:Q68"/>
    <mergeCell ref="B75:B77"/>
    <mergeCell ref="C75:F77"/>
    <mergeCell ref="G75:L77"/>
    <mergeCell ref="M75:P77"/>
    <mergeCell ref="Q75:Q77"/>
    <mergeCell ref="B72:B74"/>
    <mergeCell ref="C72:F74"/>
    <mergeCell ref="G72:L74"/>
    <mergeCell ref="M72:P74"/>
    <mergeCell ref="Q72:Q74"/>
    <mergeCell ref="B78:B80"/>
    <mergeCell ref="C78:F80"/>
    <mergeCell ref="G78:L80"/>
    <mergeCell ref="M78:P80"/>
    <mergeCell ref="Q78:Q80"/>
  </mergeCells>
  <pageMargins left="0.7" right="0.7" top="0.75" bottom="0.75" header="0.3" footer="0.3"/>
  <pageSetup scale="4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237A95-1E85-4C0E-B726-AFAFF9DF7E54}"/>
</file>

<file path=customXml/itemProps2.xml><?xml version="1.0" encoding="utf-8"?>
<ds:datastoreItem xmlns:ds="http://schemas.openxmlformats.org/officeDocument/2006/customXml" ds:itemID="{16ECB7DD-16FA-43C4-8821-74C07D8D1470}"/>
</file>

<file path=customXml/itemProps3.xml><?xml version="1.0" encoding="utf-8"?>
<ds:datastoreItem xmlns:ds="http://schemas.openxmlformats.org/officeDocument/2006/customXml" ds:itemID="{D4A6CCD5-46B7-4A25-B305-C879E7F9A32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バックエンド</vt:lpstr>
      <vt:lpstr>フロントエンド</vt:lpstr>
      <vt:lpstr>DB</vt:lpstr>
      <vt:lpstr>システム構成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Nguyen Mai Anh</cp:lastModifiedBy>
  <dcterms:created xsi:type="dcterms:W3CDTF">2024-05-22T06:18:48Z</dcterms:created>
  <dcterms:modified xsi:type="dcterms:W3CDTF">2024-06-05T11:04:03Z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