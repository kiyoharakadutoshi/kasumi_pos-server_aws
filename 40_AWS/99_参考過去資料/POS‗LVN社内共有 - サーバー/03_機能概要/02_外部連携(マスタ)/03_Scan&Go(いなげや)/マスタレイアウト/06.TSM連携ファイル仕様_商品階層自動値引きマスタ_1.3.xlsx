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417" documentId="13_ncr:1_{7B4B3278-01E9-4B28-87FF-D560FB31B12E}" xr6:coauthVersionLast="47" xr6:coauthVersionMax="47" xr10:uidLastSave="{544F96A1-7AF9-4A51-BDE8-D16CE76351BF}"/>
  <bookViews>
    <workbookView xWindow="19200" yWindow="9120" windowWidth="27015" windowHeight="16350" xr2:uid="{839C4A3C-7964-4DAB-A179-965EB10D823D}"/>
  </bookViews>
  <sheets>
    <sheet name="改版履歴" sheetId="1" r:id="rId1"/>
    <sheet name="商品階層自動値引き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商品階層自動値引きマスタ!$B$1:$R$48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<sst xmlns="http://schemas.openxmlformats.org/spreadsheetml/2006/main" count="251" uniqueCount="180">
  <si>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</si>
  <si>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</si>
  <si>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</si>
  <si>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</si>
  <si>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</si>
  <si>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</si>
  <si>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</si>
  <si>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</si>
  <si>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</si>
  <si>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</si>
  <si>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</si>
  <si>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商品階層自動値引きマスタ連携</t>
    <rPh sb="0" eb="8">
      <t>ショウヒンカイソウジドウネビ</t>
    </rPh>
    <rPh sb="12" eb="14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</si>
  <si>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</si>
  <si>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</si>
  <si>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</si>
  <si>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</si>
  <si>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</si>
  <si>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</si>
  <si>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</si>
  <si>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</si>
  <si>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</si>
  <si>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</si>
  <si>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</si>
  <si>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商品階層自動値引きマスタ</t>
    <phoneticPr fontId="3"/>
  </si>
  <si>
    <t>＜2024/5/22 打合せ内容の反映＞
・未使用項目セルをグレーにする
（視認性をよくするため。連携項目としては残る）
・以下の項目を修正
　No.2 店舗コード(STR_ID)：項目名/項目ID/備考を他のマスタに合わせて変更
　No.35 緊急登録日時(EMERGENCY_TM)：項目を追加
＜内部指摘を反映＞
・型の表記を他のマスタレイアウトに合わせて変更
・備考に一部の項目だけ記載されていた"(固定)"、"(可変)"を削除
・型がStringの項目について、桁数が可変の場合は"MAX"を記載
・PKの記載方法を他のマスタレイアウトに合わせて"〇"から番号に変更
・以下の項目を修正
　No.6 内部ディスカウントクラスID(DISC_CLSS_ID)：項目名/項目ID/を他の
　　　　　マスタに合わせて変更
　No.21 メーカーコード(SUB_ID)：備考に"未使用"を追加
　No.23 開始時間(PROMO_BGN_TM)：他のマスタに合わせて4桁形式に変更
　No.24 終了時間(PROMO_END_TM)：他のマスタに合わせて4桁形式に変更
　No.26 月曜日除外フラグ(MON_EXCL_FG)
　～No.32 日曜日除外フラグ(SUN_EXCL_FG)：項目名/備考を他のマスタに
　　　　　　合わせて変更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91" eb="93">
      <t>コウモク</t>
    </rPh>
    <rPh sb="93" eb="94">
      <t>メイ</t>
    </rPh>
    <rPh sb="95" eb="97">
      <t>コウモク</t>
    </rPh>
    <rPh sb="100" eb="102">
      <t>ビコウ</t>
    </rPh>
    <rPh sb="103" eb="104">
      <t>タ</t>
    </rPh>
    <rPh sb="109" eb="110">
      <t>ア</t>
    </rPh>
    <rPh sb="113" eb="115">
      <t>ヘンコウ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</si>
  <si>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</si>
  <si>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</si>
  <si>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</si>
  <si>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＜内部指摘を反映＞
・以下の項目を追加
 No.35 内部イベントコード(EVNT_ID)	
 ※項目追加に伴い、追加項目以降の既存項目(緊急登録日時/作成日)の番号が1増加
・レイアウト項目一覧表の下部に補足説明を追加</t>
    <rPh sb="17" eb="19">
      <t>ツイカ</t>
    </rPh>
    <rPh sb="49" eb="51">
      <t>コウモク</t>
    </rPh>
    <rPh sb="51" eb="53">
      <t>ツイカ</t>
    </rPh>
    <rPh sb="54" eb="55">
      <t>トモナ</t>
    </rPh>
    <rPh sb="57" eb="59">
      <t>ツイカ</t>
    </rPh>
    <rPh sb="59" eb="61">
      <t>コウモク</t>
    </rPh>
    <rPh sb="61" eb="63">
      <t>イコウ</t>
    </rPh>
    <rPh sb="64" eb="66">
      <t>キゾン</t>
    </rPh>
    <rPh sb="66" eb="68">
      <t>コウモク</t>
    </rPh>
    <rPh sb="81" eb="83">
      <t>バンゴウ</t>
    </rPh>
    <rPh sb="85" eb="87">
      <t>ゾウカ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</si>
  <si>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</si>
  <si>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</si>
  <si>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</si>
  <si>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</si>
  <si>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</si>
  <si>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</si>
  <si>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</si>
  <si>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商品階層自動値引きマスタ連携</t>
    <rPh sb="0" eb="2">
      <t>ショウヒン</t>
    </rPh>
    <rPh sb="2" eb="8">
      <t>カイソウジドウネビ</t>
    </rPh>
    <rPh sb="12" eb="14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</si>
  <si>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</si>
  <si>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</si>
  <si>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</si>
  <si>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</si>
  <si>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IG_AUTODISC_yyyymmddhhmmss.CSV
IG_MNT_AUTODISC_yyyymmddhhmmss.CSV</t>
    <phoneticPr fontId="2"/>
  </si>
  <si>
    <t>ファイル名</t>
    <phoneticPr fontId="8"/>
  </si>
  <si>
    <t>商品階層自動値引きマスタ</t>
    <rPh sb="0" eb="8">
      <t>ショウヒンカイソウジドウネビ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</si>
  <si>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</si>
  <si>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</si>
  <si>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</si>
  <si>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</si>
  <si>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</si>
  <si>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</si>
  <si>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</si>
  <si>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</si>
  <si>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</si>
  <si>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</si>
  <si>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</si>
  <si>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</si>
  <si>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  <rPh sb="0" eb="2">
      <t>ショリ</t>
    </rPh>
    <rPh sb="2" eb="4">
      <t>クブン</t>
    </rPh>
    <phoneticPr fontId="3"/>
  </si>
  <si>
    <t>PRCS_TYP</t>
  </si>
  <si>
    <t>String</t>
    <phoneticPr fontId="3"/>
  </si>
  <si>
    <t>○</t>
  </si>
  <si>
    <t>処理区分（A：追加、U：更新、D：削除）　※全件一括の場合は「A」を設定する</t>
    <phoneticPr fontId="3"/>
  </si>
  <si>
    <t>店舗コード</t>
  </si>
  <si>
    <t>STR_ID</t>
  </si>
  <si>
    <t>Long</t>
  </si>
  <si>
    <t>店舗番号×10000　※先頭ゼロ埋めなし</t>
    <phoneticPr fontId="2"/>
  </si>
  <si>
    <t>*1.1</t>
    <phoneticPr fontId="3"/>
  </si>
  <si>
    <t>開始日</t>
    <rPh sb="0" eb="3">
      <t>カイシビ</t>
    </rPh>
    <phoneticPr fontId="3"/>
  </si>
  <si>
    <t>EVNT_BGN_TM</t>
  </si>
  <si>
    <t>開始日 ※ＹＹＹＹＭＭＤＤ形式で８桁フル設定</t>
    <phoneticPr fontId="3"/>
  </si>
  <si>
    <t>終了日</t>
    <rPh sb="0" eb="3">
      <t>シュウリョウビ</t>
    </rPh>
    <phoneticPr fontId="3"/>
  </si>
  <si>
    <t>EVNT_END_TM</t>
  </si>
  <si>
    <t>終了日 ※ＹＹＹＹＭＭＤＤ形式で８桁フル設定</t>
    <phoneticPr fontId="3"/>
  </si>
  <si>
    <t>終了後自動削除日</t>
    <rPh sb="0" eb="3">
      <t>シュウリョウゴ</t>
    </rPh>
    <rPh sb="3" eb="5">
      <t>ジドウ</t>
    </rPh>
    <rPh sb="5" eb="8">
      <t>サクジョビ</t>
    </rPh>
    <phoneticPr fontId="3"/>
  </si>
  <si>
    <t>EVNT_DEL_DT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</si>
  <si>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3</t>
    </r>
    <phoneticPr fontId="3"/>
  </si>
  <si>
    <r>
      <t>終了後自動削除日　※</t>
    </r>
    <r>
      <rPr>
        <sz val="9"/>
        <color rgb="FFFF0000"/>
        <rFont val="ＭＳ Ｐゴシック"/>
        <family val="3"/>
        <charset val="128"/>
      </rPr>
      <t>未使用時はNullを設定</t>
    </r>
    <phoneticPr fontId="3"/>
  </si>
  <si>
    <t>内部ディスカウントクラスID</t>
    <rPh sb="0" eb="2">
      <t>ナイブ</t>
    </rPh>
    <phoneticPr fontId="2"/>
  </si>
  <si>
    <t>DISC_CLSS_ID</t>
  </si>
  <si>
    <t>Long</t>
    <phoneticPr fontId="3"/>
  </si>
  <si>
    <r>
      <rPr>
        <sz val="9"/>
        <color rgb="FFFF0000"/>
        <rFont val="ＭＳ Ｐゴシック"/>
        <family val="3"/>
        <charset val="128"/>
      </rPr>
      <t>値引種別　※トランに設定する内部識別子</t>
    </r>
    <r>
      <rPr>
        <sz val="9"/>
        <rFont val="ＭＳ Ｐゴシック"/>
        <family val="3"/>
        <charset val="128"/>
      </rPr>
      <t xml:space="preserve">
91323：中分類自動値引除外
91324：中分類自動値引
91325：大分類自動値引除外
91326：大分類自動値引</t>
    </r>
    <rPh sb="29" eb="31">
      <t>ジドウ</t>
    </rPh>
    <rPh sb="31" eb="33">
      <t>ネビキ</t>
    </rPh>
    <rPh sb="33" eb="35">
      <t>ジョガイ</t>
    </rPh>
    <rPh sb="63" eb="65">
      <t>ジョガイ</t>
    </rPh>
    <rPh sb="75" eb="77">
      <t>ジドウ</t>
    </rPh>
    <rPh sb="77" eb="79">
      <t>ネビキ</t>
    </rPh>
    <phoneticPr fontId="3"/>
  </si>
  <si>
    <t>分類コード</t>
    <rPh sb="0" eb="2">
      <t>ブンルイ</t>
    </rPh>
    <phoneticPr fontId="3"/>
  </si>
  <si>
    <t>EVNT_NBR</t>
  </si>
  <si>
    <t>分類コード※先頭ゼロ埋め7桁</t>
    <rPh sb="6" eb="8">
      <t>セントウ</t>
    </rPh>
    <phoneticPr fontId="3"/>
  </si>
  <si>
    <t>補助コード</t>
    <phoneticPr fontId="3"/>
  </si>
  <si>
    <t>AUX_CD</t>
  </si>
  <si>
    <t>Integer</t>
  </si>
  <si>
    <t>未使用　※NULL固定</t>
    <phoneticPr fontId="3"/>
  </si>
  <si>
    <t>*1.1</t>
    <phoneticPr fontId="2"/>
  </si>
  <si>
    <t>ディスカウント方法</t>
    <phoneticPr fontId="3"/>
  </si>
  <si>
    <t>DISC_MTHD</t>
  </si>
  <si>
    <t>ディスカウント方法（１：額引、２：率引）</t>
  </si>
  <si>
    <t>保留指示フラグ</t>
    <rPh sb="0" eb="2">
      <t>ホリュウ</t>
    </rPh>
    <rPh sb="2" eb="4">
      <t>シジ</t>
    </rPh>
    <phoneticPr fontId="3"/>
  </si>
  <si>
    <t>EVNT_EXCL_FG</t>
  </si>
  <si>
    <t>保留指示フラグ（０：保留なし　１：保留）</t>
  </si>
  <si>
    <t>ディスカウント値</t>
    <rPh sb="7" eb="8">
      <t>チ</t>
    </rPh>
    <phoneticPr fontId="3"/>
  </si>
  <si>
    <t>DISC_VALUE</t>
  </si>
  <si>
    <t>Double</t>
  </si>
  <si>
    <t>値引額/割引率
※値引の時は値引額，割引の時は割引率（1～100），値引除外の時は０固定</t>
    <phoneticPr fontId="3"/>
  </si>
  <si>
    <t>商品階層コード・レベル１</t>
    <phoneticPr fontId="3"/>
  </si>
  <si>
    <t>MDSE_STRC_NBR_1</t>
  </si>
  <si>
    <t>String</t>
  </si>
  <si>
    <t>商品階層コード・レベル１ ※部門コード右詰め2桁、　頭ゼロ埋め</t>
    <rPh sb="0" eb="2">
      <t>ショウヒン</t>
    </rPh>
    <rPh sb="2" eb="4">
      <t>カイソウ</t>
    </rPh>
    <rPh sb="19" eb="20">
      <t>ミギ</t>
    </rPh>
    <rPh sb="20" eb="21">
      <t>ヅ</t>
    </rPh>
    <rPh sb="26" eb="27">
      <t>アタマ</t>
    </rPh>
    <phoneticPr fontId="14"/>
  </si>
  <si>
    <t>商品階層コード・レベル２</t>
  </si>
  <si>
    <t>MDSE_STRC_NBR_2</t>
  </si>
  <si>
    <t>商品階層コード・レベル２ ※大分類コード右詰め4桁、頭ゼロ埋め</t>
    <rPh sb="0" eb="2">
      <t>ショウヒン</t>
    </rPh>
    <rPh sb="2" eb="4">
      <t>カイソウ</t>
    </rPh>
    <phoneticPr fontId="14"/>
  </si>
  <si>
    <t>商品階層コード・レベル３</t>
  </si>
  <si>
    <t>MDSE_STRC_NBR_3</t>
  </si>
  <si>
    <t>商品階層コード・レベル３ ※中分類コード右詰め6桁、頭ゼロ埋め
※大分類コードの自動値引/自動値引除外の場合は未使用ゼロ埋め</t>
    <rPh sb="0" eb="2">
      <t>ショウヒン</t>
    </rPh>
    <rPh sb="2" eb="4">
      <t>カイソウ</t>
    </rPh>
    <rPh sb="33" eb="36">
      <t>ダイブンルイ</t>
    </rPh>
    <rPh sb="40" eb="42">
      <t>ジドウ</t>
    </rPh>
    <rPh sb="42" eb="44">
      <t>ネビキ</t>
    </rPh>
    <rPh sb="45" eb="47">
      <t>ジドウ</t>
    </rPh>
    <rPh sb="47" eb="49">
      <t>ネビキ</t>
    </rPh>
    <rPh sb="49" eb="51">
      <t>ジョガイ</t>
    </rPh>
    <rPh sb="52" eb="54">
      <t>バアイ</t>
    </rPh>
    <rPh sb="55" eb="58">
      <t>ミシヨウ</t>
    </rPh>
    <rPh sb="60" eb="61">
      <t>ウ</t>
    </rPh>
    <phoneticPr fontId="14"/>
  </si>
  <si>
    <t>商品階層コード・レベル４</t>
  </si>
  <si>
    <t>MDSE_STRC_NBR_4</t>
  </si>
  <si>
    <t>商品階層コード・レベル４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</si>
  <si>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商品階層コード・レベル５</t>
  </si>
  <si>
    <t>MDSE_STRC_NBR_5</t>
  </si>
  <si>
    <t>商品階層コード・レベル５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</si>
  <si>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商品階層コード・レベル６</t>
  </si>
  <si>
    <t>MDSE_STRC_NBR_6</t>
  </si>
  <si>
    <t>商品階層コード・レベル６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</si>
  <si>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商品階層コード・レベル７</t>
  </si>
  <si>
    <t>MDSE_STRC_NBR_7</t>
  </si>
  <si>
    <t>商品階層コード・レベル７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</si>
  <si>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商品階層コード・レベル８</t>
  </si>
  <si>
    <t>MDSE_STRC_NBR_8</t>
  </si>
  <si>
    <t>商品階層コード・レベル８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</si>
  <si>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商品階層コード・レベル９</t>
  </si>
  <si>
    <t>MDSE_STRC_NBR_9</t>
  </si>
  <si>
    <t>商品階層コード・レベル９ 未使用ゼロ埋め</t>
    <rPh sb="0" eb="2">
      <t>ショウヒン</t>
    </rPh>
    <rPh sb="2" eb="4">
      <t>カイソウ</t>
    </rPh>
    <rPh sb="13" eb="16">
      <t>ミシヨウ</t>
    </rPh>
    <phoneticPr fontId="14"/>
  </si>
  <si>
    <t>メーカーコード</t>
    <phoneticPr fontId="3"/>
  </si>
  <si>
    <t>SUB_ID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</si>
  <si>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10</t>
    </r>
    <phoneticPr fontId="3"/>
  </si>
  <si>
    <r>
      <t>メーカーコード　※</t>
    </r>
    <r>
      <rPr>
        <sz val="9"/>
        <color rgb="FFFF0000"/>
        <rFont val="ＭＳ Ｐゴシック"/>
        <family val="3"/>
        <charset val="128"/>
      </rPr>
      <t>未使用、</t>
    </r>
    <r>
      <rPr>
        <sz val="9"/>
        <rFont val="ＭＳ Ｐゴシック"/>
        <family val="3"/>
        <charset val="128"/>
      </rPr>
      <t>NULL固定</t>
    </r>
    <rPh sb="9" eb="12">
      <t>ミシヨウ</t>
    </rPh>
    <phoneticPr fontId="3"/>
  </si>
  <si>
    <t>自動値引対象最低金額</t>
    <phoneticPr fontId="3"/>
  </si>
  <si>
    <t>MIN_AMT</t>
  </si>
  <si>
    <t>Currency</t>
  </si>
  <si>
    <t>自動値引対象最低金額 ※設定しない場合0固定</t>
    <rPh sb="0" eb="2">
      <t>ジドウ</t>
    </rPh>
    <rPh sb="2" eb="4">
      <t>ネビキ</t>
    </rPh>
    <rPh sb="4" eb="6">
      <t>タイショウ</t>
    </rPh>
    <rPh sb="6" eb="8">
      <t>サイテイ</t>
    </rPh>
    <rPh sb="8" eb="10">
      <t>キンガク</t>
    </rPh>
    <rPh sb="12" eb="14">
      <t>セッテイ</t>
    </rPh>
    <rPh sb="17" eb="19">
      <t>バアイ</t>
    </rPh>
    <rPh sb="20" eb="22">
      <t>コテイ</t>
    </rPh>
    <phoneticPr fontId="14"/>
  </si>
  <si>
    <t>開始時間</t>
    <rPh sb="0" eb="4">
      <t>カイシジカン</t>
    </rPh>
    <phoneticPr fontId="3"/>
  </si>
  <si>
    <t>PROMO_BGN_TM</t>
  </si>
  <si>
    <t>HHMM形式で４桁フルに設定（２４時間制）　＊未設定時はNullを設定</t>
  </si>
  <si>
    <t>終了時間</t>
    <rPh sb="0" eb="2">
      <t>シュウリョウ</t>
    </rPh>
    <rPh sb="2" eb="4">
      <t>ジカン</t>
    </rPh>
    <phoneticPr fontId="3"/>
  </si>
  <si>
    <t>PROMO_END_TM</t>
  </si>
  <si>
    <t>期間フラグ</t>
    <rPh sb="0" eb="2">
      <t>キカン</t>
    </rPh>
    <phoneticPr fontId="3"/>
  </si>
  <si>
    <t>TIME_SERVICE_FG</t>
  </si>
  <si>
    <t>0：期間、１：曜日、2：期間＋時間、3：期間＋曜日＋時間　※値引除外の時は０固定</t>
    <rPh sb="2" eb="4">
      <t>キカン</t>
    </rPh>
    <rPh sb="7" eb="9">
      <t>ヨウビ</t>
    </rPh>
    <rPh sb="12" eb="14">
      <t>キカン</t>
    </rPh>
    <rPh sb="15" eb="17">
      <t>ジカン</t>
    </rPh>
    <rPh sb="20" eb="22">
      <t>キカン</t>
    </rPh>
    <rPh sb="23" eb="25">
      <t>ヨウビ</t>
    </rPh>
    <rPh sb="26" eb="28">
      <t>ジカン</t>
    </rPh>
    <phoneticPr fontId="14"/>
  </si>
  <si>
    <r>
      <t>月曜日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</si>
  <si>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MON_EXCL_FG</t>
  </si>
  <si>
    <t>0:除外しない　1:除外する</t>
  </si>
  <si>
    <r>
      <t>火曜日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</si>
  <si>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TUES_EXCL_FG</t>
  </si>
  <si>
    <r>
      <t>水曜日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</si>
  <si>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WED_EXCL_FG</t>
  </si>
  <si>
    <r>
      <t>木曜日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</si>
  <si>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THURS_EXCL_FG</t>
  </si>
  <si>
    <r>
      <t>金曜日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</si>
  <si>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FRI_EXCL_FG</t>
  </si>
  <si>
    <r>
      <t>土曜日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</si>
  <si>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SAT_EXCEL_FG</t>
  </si>
  <si>
    <r>
      <t>日曜日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</si>
  <si>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SUN_EXCL_FG</t>
  </si>
  <si>
    <t>内部ディスカウントID</t>
    <rPh sb="0" eb="2">
      <t>ナイブ</t>
    </rPh>
    <phoneticPr fontId="2"/>
  </si>
  <si>
    <t>DISC_ID</t>
    <phoneticPr fontId="2"/>
  </si>
  <si>
    <t>Long</t>
    <phoneticPr fontId="2"/>
  </si>
  <si>
    <t>内部ディスカウント識別子　※トランに設定する内部識別子</t>
    <rPh sb="0" eb="2">
      <t>ナイブ</t>
    </rPh>
    <rPh sb="18" eb="20">
      <t>セッテイ</t>
    </rPh>
    <rPh sb="22" eb="24">
      <t>ナイブ</t>
    </rPh>
    <rPh sb="24" eb="27">
      <t>シキベツシ</t>
    </rPh>
    <phoneticPr fontId="2"/>
  </si>
  <si>
    <t>内部商品分類番号</t>
    <rPh sb="0" eb="2">
      <t>ナイブ</t>
    </rPh>
    <phoneticPr fontId="3"/>
  </si>
  <si>
    <t>MDSE_XREF_NO</t>
  </si>
  <si>
    <t>内部識別用の商品分類コード　※トランに設定する内部識別子</t>
    <rPh sb="4" eb="5">
      <t>ヨウ</t>
    </rPh>
    <phoneticPr fontId="3"/>
  </si>
  <si>
    <t>内部イベントコード</t>
    <rPh sb="0" eb="2">
      <t>ナイブ</t>
    </rPh>
    <phoneticPr fontId="2"/>
  </si>
  <si>
    <t>EVNT_ID</t>
    <phoneticPr fontId="2"/>
  </si>
  <si>
    <t>String</t>
    <phoneticPr fontId="2"/>
  </si>
  <si>
    <t>MAX 6</t>
    <phoneticPr fontId="2"/>
  </si>
  <si>
    <t>内部識別コード。数字6桁以内　※トランに設定する内部識別子</t>
    <phoneticPr fontId="2"/>
  </si>
  <si>
    <t>*1.3</t>
    <phoneticPr fontId="2"/>
  </si>
  <si>
    <t>緊急登録日時</t>
    <rPh sb="0" eb="2">
      <t>キンキュウ</t>
    </rPh>
    <rPh sb="2" eb="4">
      <t>トウロク</t>
    </rPh>
    <rPh sb="4" eb="6">
      <t>ニチジ</t>
    </rPh>
    <phoneticPr fontId="2"/>
  </si>
  <si>
    <t>EMERGENCY_TM</t>
    <phoneticPr fontId="2"/>
  </si>
  <si>
    <t>MAX 18</t>
    <phoneticPr fontId="2"/>
  </si>
  <si>
    <t>緊急登録日時をYYYYMMDDHHMMSS.SSS形式[年(4桁)月(2桁)日(2桁)時(2桁)分(2桁)秒(整数部2桁＋ピリオド1桁＋小数点以下3桁)]で18桁で設定
※未登録時はNullを設定
※同一の値引種別のデータが複数存在し、かつ、緊急登録日付が営業日と一致する場合は、緊急登録日時が最新のデータが優先される</t>
    <rPh sb="0" eb="2">
      <t>キンキュウ</t>
    </rPh>
    <rPh sb="2" eb="4">
      <t>トウロク</t>
    </rPh>
    <rPh sb="4" eb="6">
      <t>ニチジ</t>
    </rPh>
    <rPh sb="28" eb="29">
      <t>ネン</t>
    </rPh>
    <rPh sb="31" eb="32">
      <t>ケタ</t>
    </rPh>
    <rPh sb="33" eb="34">
      <t>ツキ</t>
    </rPh>
    <rPh sb="36" eb="37">
      <t>ケタ</t>
    </rPh>
    <rPh sb="38" eb="39">
      <t>ヒ</t>
    </rPh>
    <rPh sb="41" eb="42">
      <t>ケタ</t>
    </rPh>
    <rPh sb="43" eb="44">
      <t>ジ</t>
    </rPh>
    <rPh sb="46" eb="47">
      <t>ケタ</t>
    </rPh>
    <rPh sb="48" eb="49">
      <t>フン</t>
    </rPh>
    <rPh sb="51" eb="52">
      <t>ケタ</t>
    </rPh>
    <rPh sb="53" eb="54">
      <t>ビョウ</t>
    </rPh>
    <rPh sb="55" eb="57">
      <t>セイスウ</t>
    </rPh>
    <rPh sb="57" eb="58">
      <t>ブ</t>
    </rPh>
    <rPh sb="59" eb="60">
      <t>ケタ</t>
    </rPh>
    <rPh sb="66" eb="67">
      <t>ケタ</t>
    </rPh>
    <rPh sb="68" eb="70">
      <t>ショウスウ</t>
    </rPh>
    <rPh sb="70" eb="71">
      <t>テン</t>
    </rPh>
    <rPh sb="71" eb="73">
      <t>イカ</t>
    </rPh>
    <rPh sb="74" eb="75">
      <t>ケタ</t>
    </rPh>
    <rPh sb="80" eb="81">
      <t>ケタ</t>
    </rPh>
    <rPh sb="82" eb="84">
      <t>セッテイ</t>
    </rPh>
    <rPh sb="86" eb="87">
      <t>ミ</t>
    </rPh>
    <rPh sb="87" eb="89">
      <t>トウロク</t>
    </rPh>
    <rPh sb="89" eb="90">
      <t>ジ</t>
    </rPh>
    <rPh sb="90" eb="91">
      <t>テイジ</t>
    </rPh>
    <rPh sb="96" eb="98">
      <t>セッテイ</t>
    </rPh>
    <rPh sb="100" eb="102">
      <t>ドウイツ</t>
    </rPh>
    <rPh sb="112" eb="114">
      <t>フクスウ</t>
    </rPh>
    <rPh sb="114" eb="116">
      <t>ソンザイ</t>
    </rPh>
    <rPh sb="121" eb="123">
      <t>キンキュウ</t>
    </rPh>
    <rPh sb="123" eb="125">
      <t>トウロク</t>
    </rPh>
    <rPh sb="125" eb="127">
      <t>ヒヅケ</t>
    </rPh>
    <rPh sb="128" eb="131">
      <t>エイギョウビ</t>
    </rPh>
    <rPh sb="132" eb="134">
      <t>イッチ</t>
    </rPh>
    <rPh sb="136" eb="138">
      <t>バアイ</t>
    </rPh>
    <rPh sb="144" eb="146">
      <t>ニチジ</t>
    </rPh>
    <rPh sb="147" eb="149">
      <t>サイシン</t>
    </rPh>
    <rPh sb="154" eb="156">
      <t>ユウセン</t>
    </rPh>
    <phoneticPr fontId="2"/>
  </si>
  <si>
    <t>*1.1,*1.3</t>
    <phoneticPr fontId="2"/>
  </si>
  <si>
    <t>CRT_DT</t>
  </si>
  <si>
    <t>YYYYMMDD形式で８桁フルに設定</t>
    <phoneticPr fontId="2"/>
  </si>
  <si>
    <t>*1.3</t>
    <phoneticPr fontId="3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</si>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</sst>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5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49" xfId="9" applyFont="1" applyBorder="1" applyAlignment="1">
      <alignment horizontal="right" vertical="center"/>
    </xf>
    <xf numFmtId="0" fontId="28" fillId="0" borderId="7" xfId="9" applyFont="1" applyBorder="1" applyAlignment="1">
      <alignment horizontal="left" vertical="center"/>
    </xf>
    <xf numFmtId="0" fontId="30" fillId="0" borderId="49" xfId="9" applyFont="1" applyBorder="1" applyAlignment="1">
      <alignment horizontal="center" vertical="center"/>
    </xf>
    <xf numFmtId="0" fontId="28" fillId="0" borderId="49" xfId="9" applyFont="1" applyBorder="1" applyAlignment="1">
      <alignment horizontal="center" vertical="center"/>
    </xf>
    <xf numFmtId="0" fontId="30" fillId="5" borderId="49" xfId="9" applyFont="1" applyFill="1" applyBorder="1" applyAlignment="1">
      <alignment horizontal="center" vertical="center"/>
    </xf>
    <xf numFmtId="0" fontId="31" fillId="0" borderId="0" xfId="2" applyFont="1" applyAlignment="1">
      <alignment vertical="center"/>
    </xf>
    <xf numFmtId="0" fontId="28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2" fillId="0" borderId="28" xfId="7" applyFont="1" applyBorder="1" applyAlignment="1">
      <alignment horizontal="left" vertical="top" wrapText="1"/>
    </xf>
    <xf numFmtId="0" fontId="32" fillId="0" borderId="23" xfId="7" applyFont="1" applyBorder="1" applyAlignment="1">
      <alignment horizontal="left" vertical="top" wrapText="1"/>
    </xf>
    <xf numFmtId="0" fontId="32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vertical="center" shrinkToFit="1"/>
    </xf>
    <xf numFmtId="0" fontId="25" fillId="0" borderId="6" xfId="9" applyFont="1" applyBorder="1" applyAlignment="1">
      <alignment vertical="center" shrinkToFit="1"/>
    </xf>
    <xf numFmtId="0" fontId="25" fillId="0" borderId="7" xfId="9" applyFont="1" applyBorder="1" applyAlignment="1">
      <alignment vertical="center" shrinkToFit="1"/>
    </xf>
    <xf numFmtId="0" fontId="28" fillId="0" borderId="8" xfId="9" applyFont="1" applyBorder="1" applyAlignment="1">
      <alignment vertical="center" shrinkToFit="1"/>
    </xf>
    <xf numFmtId="0" fontId="28" fillId="0" borderId="6" xfId="9" applyFont="1" applyBorder="1" applyAlignment="1">
      <alignment vertical="center" shrinkToFit="1"/>
    </xf>
    <xf numFmtId="0" fontId="28" fillId="0" borderId="7" xfId="9" applyFont="1" applyBorder="1" applyAlignment="1">
      <alignment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8" fillId="0" borderId="8" xfId="9" applyFont="1" applyBorder="1" applyAlignment="1">
      <alignment horizontal="left" vertical="center" wrapText="1"/>
    </xf>
    <xf numFmtId="0" fontId="28" fillId="0" borderId="6" xfId="9" applyFont="1" applyBorder="1" applyAlignment="1">
      <alignment horizontal="left" vertical="center"/>
    </xf>
    <xf numFmtId="0" fontId="28" fillId="0" borderId="7" xfId="9" applyFont="1" applyBorder="1" applyAlignment="1">
      <alignment horizontal="left" vertical="center"/>
    </xf>
    <xf numFmtId="0" fontId="28" fillId="0" borderId="8" xfId="9" applyFont="1" applyBorder="1" applyAlignment="1">
      <alignment horizontal="left" vertical="center"/>
    </xf>
    <xf numFmtId="0" fontId="25" fillId="5" borderId="8" xfId="9" applyFont="1" applyFill="1" applyBorder="1" applyAlignment="1">
      <alignment vertical="center" shrinkToFit="1"/>
    </xf>
    <xf numFmtId="0" fontId="25" fillId="5" borderId="6" xfId="9" applyFont="1" applyFill="1" applyBorder="1" applyAlignment="1">
      <alignment vertical="center" shrinkToFit="1"/>
    </xf>
    <xf numFmtId="0" fontId="25" fillId="5" borderId="7" xfId="9" applyFont="1" applyFill="1" applyBorder="1" applyAlignment="1">
      <alignment vertical="center" shrinkToFit="1"/>
    </xf>
    <xf numFmtId="0" fontId="25" fillId="0" borderId="8" xfId="9" applyFont="1" applyBorder="1" applyAlignment="1">
      <alignment vertical="center" wrapText="1" shrinkToFi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5" fillId="0" borderId="59" xfId="9" applyNumberFormat="1" applyFont="1" applyBorder="1" applyAlignment="1">
      <alignment horizontal="left" vertical="center" wrapText="1"/>
    </xf>
    <xf numFmtId="49" fontId="25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9" fillId="0" borderId="8" xfId="9" applyFont="1" applyBorder="1" applyAlignment="1">
      <alignment vertical="center"/>
    </xf>
    <xf numFmtId="0" fontId="29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</cellXfs>
  <cellStyles count="10">
    <cellStyle name="Normal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topLeftCell="A8" zoomScale="120" zoomScaleNormal="120" zoomScaleSheetLayoutView="100" workbookViewId="0">
      <selection activeCell="A10" sqref="A10"/>
    </sheetView>
  </sheetViews>
  <sheetFormatPr defaultColWidth="7.375" defaultRowHeight="14.25"/>
  <cols>
    <col min="1" max="56" width="2.25" style="1" customWidth="1"/>
    <col min="57" max="16384" width="7.375" style="5"/>
  </cols>
  <sheetData>
    <row r="2" spans="1:57" ht="15" thickBot="1">
      <c r="AV2" s="2"/>
      <c r="AX2" s="2"/>
      <c r="AY2" s="3"/>
      <c r="AZ2" s="3"/>
      <c r="BA2" s="4"/>
      <c r="BB2" s="4"/>
      <c r="BC2" s="4"/>
      <c r="BD2" s="4"/>
    </row>
    <row r="3" spans="1:57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1" t="s">
        <v>1</v>
      </c>
      <c r="P3" s="115"/>
      <c r="Q3" s="115"/>
      <c r="R3" s="115"/>
      <c r="S3" s="115"/>
      <c r="T3" s="116"/>
      <c r="U3" s="114" t="s">
        <v>2</v>
      </c>
      <c r="V3" s="115"/>
      <c r="W3" s="115"/>
      <c r="X3" s="115"/>
      <c r="Y3" s="115"/>
      <c r="Z3" s="115"/>
      <c r="AA3" s="116"/>
      <c r="AB3" s="132" t="s">
        <v>3</v>
      </c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4"/>
      <c r="AO3" s="114" t="s">
        <v>4</v>
      </c>
      <c r="AP3" s="116"/>
      <c r="AQ3" s="111" t="s">
        <v>5</v>
      </c>
      <c r="AR3" s="112"/>
      <c r="AS3" s="113"/>
      <c r="AT3" s="114" t="s">
        <v>6</v>
      </c>
      <c r="AU3" s="115"/>
      <c r="AV3" s="115"/>
      <c r="AW3" s="116"/>
      <c r="AX3" s="111" t="s">
        <v>7</v>
      </c>
      <c r="AY3" s="112"/>
      <c r="AZ3" s="113"/>
      <c r="BA3" s="114" t="s">
        <v>8</v>
      </c>
      <c r="BB3" s="115"/>
      <c r="BC3" s="115"/>
      <c r="BD3" s="116"/>
    </row>
    <row r="4" spans="1:57" ht="15" thickBot="1">
      <c r="B4" s="117" t="s">
        <v>9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  <c r="O4" s="120" t="s">
        <v>10</v>
      </c>
      <c r="P4" s="121"/>
      <c r="Q4" s="121"/>
      <c r="R4" s="121"/>
      <c r="S4" s="121"/>
      <c r="T4" s="122"/>
      <c r="U4" s="138" t="s">
        <v>11</v>
      </c>
      <c r="V4" s="139"/>
      <c r="W4" s="139"/>
      <c r="X4" s="139"/>
      <c r="Y4" s="139"/>
      <c r="Z4" s="139"/>
      <c r="AA4" s="140"/>
      <c r="AB4" s="135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7"/>
      <c r="AO4" s="123">
        <f>MAX(I7:K22)</f>
        <v>1.3</v>
      </c>
      <c r="AP4" s="124"/>
      <c r="AQ4" s="125" t="s">
        <v>12</v>
      </c>
      <c r="AR4" s="126"/>
      <c r="AS4" s="127"/>
      <c r="AT4" s="128">
        <f>MAX(D7:H22)</f>
        <v>45681</v>
      </c>
      <c r="AU4" s="129"/>
      <c r="AV4" s="129"/>
      <c r="AW4" s="129"/>
      <c r="AX4" s="125" t="s">
        <v>13</v>
      </c>
      <c r="AY4" s="126"/>
      <c r="AZ4" s="127"/>
      <c r="BA4" s="128">
        <v>45434</v>
      </c>
      <c r="BB4" s="129"/>
      <c r="BC4" s="129"/>
      <c r="BD4" s="130"/>
    </row>
    <row r="5" spans="1:57" ht="15" thickTop="1"/>
    <row r="6" spans="1:57">
      <c r="B6" s="101" t="s">
        <v>14</v>
      </c>
      <c r="C6" s="94"/>
      <c r="D6" s="102" t="s">
        <v>15</v>
      </c>
      <c r="E6" s="103"/>
      <c r="F6" s="103"/>
      <c r="G6" s="103"/>
      <c r="H6" s="104"/>
      <c r="I6" s="105" t="s">
        <v>16</v>
      </c>
      <c r="J6" s="105"/>
      <c r="K6" s="105"/>
      <c r="L6" s="106" t="s">
        <v>17</v>
      </c>
      <c r="M6" s="94"/>
      <c r="N6" s="94"/>
      <c r="O6" s="94"/>
      <c r="P6" s="94"/>
      <c r="Q6" s="94"/>
      <c r="R6" s="94"/>
      <c r="S6" s="94"/>
      <c r="T6" s="107"/>
      <c r="U6" s="106" t="s">
        <v>18</v>
      </c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107"/>
      <c r="AS6" s="106" t="s">
        <v>19</v>
      </c>
      <c r="AT6" s="94"/>
      <c r="AU6" s="94"/>
      <c r="AV6" s="94"/>
      <c r="AW6" s="107"/>
      <c r="AX6" s="94" t="s">
        <v>20</v>
      </c>
      <c r="AY6" s="94"/>
      <c r="AZ6" s="94"/>
      <c r="BA6" s="94"/>
      <c r="BB6" s="94"/>
      <c r="BC6" s="94"/>
      <c r="BD6" s="95"/>
    </row>
    <row r="7" spans="1:57" ht="24.95" customHeight="1">
      <c r="B7" s="85">
        <f t="shared" ref="B7:B22" si="0">ROW()-6</f>
        <v>1</v>
      </c>
      <c r="C7" s="86"/>
      <c r="D7" s="96">
        <v>45434</v>
      </c>
      <c r="E7" s="97"/>
      <c r="F7" s="97"/>
      <c r="G7" s="97"/>
      <c r="H7" s="98"/>
      <c r="I7" s="90">
        <v>1</v>
      </c>
      <c r="J7" s="90"/>
      <c r="K7" s="90"/>
      <c r="L7" s="108" t="s">
        <v>21</v>
      </c>
      <c r="M7" s="109"/>
      <c r="N7" s="109"/>
      <c r="O7" s="109"/>
      <c r="P7" s="109"/>
      <c r="Q7" s="109"/>
      <c r="R7" s="109"/>
      <c r="S7" s="109"/>
      <c r="T7" s="110"/>
      <c r="U7" s="108" t="s">
        <v>22</v>
      </c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10"/>
      <c r="AS7" s="80"/>
      <c r="AT7" s="81"/>
      <c r="AU7" s="81"/>
      <c r="AV7" s="81"/>
      <c r="AW7" s="82"/>
      <c r="AX7" s="99"/>
      <c r="AY7" s="99"/>
      <c r="AZ7" s="99"/>
      <c r="BA7" s="99"/>
      <c r="BB7" s="99"/>
      <c r="BC7" s="99"/>
      <c r="BD7" s="100"/>
    </row>
    <row r="8" spans="1:57" ht="251.25" customHeight="1">
      <c r="B8" s="72">
        <f t="shared" si="0"/>
        <v>2</v>
      </c>
      <c r="C8" s="73"/>
      <c r="D8" s="74">
        <v>45439</v>
      </c>
      <c r="E8" s="75"/>
      <c r="F8" s="75"/>
      <c r="G8" s="75"/>
      <c r="H8" s="76"/>
      <c r="I8" s="90">
        <v>1.1000000000000001</v>
      </c>
      <c r="J8" s="90"/>
      <c r="K8" s="90"/>
      <c r="L8" s="91" t="s">
        <v>23</v>
      </c>
      <c r="M8" s="92"/>
      <c r="N8" s="92"/>
      <c r="O8" s="92"/>
      <c r="P8" s="92"/>
      <c r="Q8" s="92"/>
      <c r="R8" s="92"/>
      <c r="S8" s="92"/>
      <c r="T8" s="93"/>
      <c r="U8" s="46" t="s">
        <v>24</v>
      </c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8"/>
      <c r="AS8" s="80" t="s">
        <v>25</v>
      </c>
      <c r="AT8" s="81"/>
      <c r="AU8" s="81"/>
      <c r="AV8" s="81"/>
      <c r="AW8" s="82"/>
      <c r="AX8" s="83"/>
      <c r="AY8" s="83"/>
      <c r="AZ8" s="83"/>
      <c r="BA8" s="83"/>
      <c r="BB8" s="83"/>
      <c r="BC8" s="83"/>
      <c r="BD8" s="84"/>
      <c r="BE8" s="44" t="s">
        <v>26</v>
      </c>
    </row>
    <row r="9" spans="1:57" ht="24.95" customHeight="1">
      <c r="B9" s="85">
        <f t="shared" si="0"/>
        <v>3</v>
      </c>
      <c r="C9" s="86"/>
      <c r="D9" s="74">
        <v>45441</v>
      </c>
      <c r="E9" s="75"/>
      <c r="F9" s="75"/>
      <c r="G9" s="75"/>
      <c r="H9" s="76"/>
      <c r="I9" s="90">
        <v>1.2</v>
      </c>
      <c r="J9" s="90"/>
      <c r="K9" s="90"/>
      <c r="L9" s="46" t="s">
        <v>23</v>
      </c>
      <c r="M9" s="47"/>
      <c r="N9" s="47"/>
      <c r="O9" s="47"/>
      <c r="P9" s="47"/>
      <c r="Q9" s="47"/>
      <c r="R9" s="47"/>
      <c r="S9" s="47"/>
      <c r="T9" s="48"/>
      <c r="U9" s="46" t="s">
        <v>27</v>
      </c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8"/>
      <c r="AS9" s="80" t="s">
        <v>25</v>
      </c>
      <c r="AT9" s="81"/>
      <c r="AU9" s="81"/>
      <c r="AV9" s="81"/>
      <c r="AW9" s="82"/>
      <c r="AX9" s="83"/>
      <c r="AY9" s="83"/>
      <c r="AZ9" s="83"/>
      <c r="BA9" s="83"/>
      <c r="BB9" s="83"/>
      <c r="BC9" s="83"/>
      <c r="BD9" s="84"/>
    </row>
    <row r="10" spans="1:57" ht="63.75" customHeight="1">
      <c r="A10" s="9"/>
      <c r="B10" s="72">
        <f t="shared" si="0"/>
        <v>4</v>
      </c>
      <c r="C10" s="73"/>
      <c r="D10" s="74">
        <v>45681</v>
      </c>
      <c r="E10" s="75"/>
      <c r="F10" s="75"/>
      <c r="G10" s="75"/>
      <c r="H10" s="76"/>
      <c r="I10" s="90">
        <v>1.3</v>
      </c>
      <c r="J10" s="90"/>
      <c r="K10" s="90"/>
      <c r="L10" s="46" t="s">
        <v>23</v>
      </c>
      <c r="M10" s="47"/>
      <c r="N10" s="47"/>
      <c r="O10" s="47"/>
      <c r="P10" s="47"/>
      <c r="Q10" s="47"/>
      <c r="R10" s="47"/>
      <c r="S10" s="47"/>
      <c r="T10" s="48"/>
      <c r="U10" s="46" t="s">
        <v>28</v>
      </c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8"/>
      <c r="AS10" s="80" t="s">
        <v>25</v>
      </c>
      <c r="AT10" s="81"/>
      <c r="AU10" s="81"/>
      <c r="AV10" s="81"/>
      <c r="AW10" s="82"/>
      <c r="AX10" s="83"/>
      <c r="AY10" s="83"/>
      <c r="AZ10" s="83"/>
      <c r="BA10" s="83"/>
      <c r="BB10" s="83"/>
      <c r="BC10" s="83"/>
      <c r="BD10" s="84"/>
    </row>
    <row r="11" spans="1:57" ht="24.95" customHeight="1">
      <c r="A11" s="9"/>
      <c r="B11" s="85">
        <f t="shared" si="0"/>
        <v>5</v>
      </c>
      <c r="C11" s="86"/>
      <c r="D11" s="74"/>
      <c r="E11" s="75"/>
      <c r="F11" s="75"/>
      <c r="G11" s="75"/>
      <c r="H11" s="76"/>
      <c r="I11" s="90"/>
      <c r="J11" s="90"/>
      <c r="K11" s="90"/>
      <c r="L11" s="46"/>
      <c r="M11" s="47"/>
      <c r="N11" s="47"/>
      <c r="O11" s="47"/>
      <c r="P11" s="47"/>
      <c r="Q11" s="47"/>
      <c r="R11" s="47"/>
      <c r="S11" s="47"/>
      <c r="T11" s="48"/>
      <c r="U11" s="46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8"/>
      <c r="AS11" s="80"/>
      <c r="AT11" s="81"/>
      <c r="AU11" s="81"/>
      <c r="AV11" s="81"/>
      <c r="AW11" s="82"/>
      <c r="AX11" s="83"/>
      <c r="AY11" s="83"/>
      <c r="AZ11" s="83"/>
      <c r="BA11" s="83"/>
      <c r="BB11" s="83"/>
      <c r="BC11" s="83"/>
      <c r="BD11" s="84"/>
    </row>
    <row r="12" spans="1:57" ht="24.95" customHeight="1">
      <c r="A12" s="9"/>
      <c r="B12" s="72">
        <f t="shared" si="0"/>
        <v>6</v>
      </c>
      <c r="C12" s="73"/>
      <c r="D12" s="74"/>
      <c r="E12" s="75"/>
      <c r="F12" s="75"/>
      <c r="G12" s="75"/>
      <c r="H12" s="76"/>
      <c r="I12" s="88"/>
      <c r="J12" s="88"/>
      <c r="K12" s="88"/>
      <c r="L12" s="46"/>
      <c r="M12" s="47"/>
      <c r="N12" s="47"/>
      <c r="O12" s="47"/>
      <c r="P12" s="47"/>
      <c r="Q12" s="47"/>
      <c r="R12" s="47"/>
      <c r="S12" s="47"/>
      <c r="T12" s="48"/>
      <c r="U12" s="46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8"/>
      <c r="AS12" s="89"/>
      <c r="AT12" s="89"/>
      <c r="AU12" s="89"/>
      <c r="AV12" s="89"/>
      <c r="AW12" s="89"/>
      <c r="AX12" s="83"/>
      <c r="AY12" s="83"/>
      <c r="AZ12" s="83"/>
      <c r="BA12" s="83"/>
      <c r="BB12" s="83"/>
      <c r="BC12" s="83"/>
      <c r="BD12" s="84"/>
    </row>
    <row r="13" spans="1:57" ht="24.95" customHeight="1">
      <c r="A13" s="9"/>
      <c r="B13" s="85">
        <f t="shared" si="0"/>
        <v>7</v>
      </c>
      <c r="C13" s="86"/>
      <c r="D13" s="74"/>
      <c r="E13" s="75"/>
      <c r="F13" s="75"/>
      <c r="G13" s="75"/>
      <c r="H13" s="76"/>
      <c r="I13" s="87"/>
      <c r="J13" s="87"/>
      <c r="K13" s="87"/>
      <c r="L13" s="46"/>
      <c r="M13" s="47"/>
      <c r="N13" s="47"/>
      <c r="O13" s="47"/>
      <c r="P13" s="47"/>
      <c r="Q13" s="47"/>
      <c r="R13" s="47"/>
      <c r="S13" s="47"/>
      <c r="T13" s="48"/>
      <c r="U13" s="46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8"/>
      <c r="AS13" s="80"/>
      <c r="AT13" s="81"/>
      <c r="AU13" s="81"/>
      <c r="AV13" s="81"/>
      <c r="AW13" s="82"/>
      <c r="AX13" s="83"/>
      <c r="AY13" s="83"/>
      <c r="AZ13" s="83"/>
      <c r="BA13" s="83"/>
      <c r="BB13" s="83"/>
      <c r="BC13" s="83"/>
      <c r="BD13" s="84"/>
    </row>
    <row r="14" spans="1:57" ht="24.95" customHeight="1">
      <c r="A14" s="9"/>
      <c r="B14" s="72">
        <f t="shared" si="0"/>
        <v>8</v>
      </c>
      <c r="C14" s="73"/>
      <c r="D14" s="74"/>
      <c r="E14" s="75"/>
      <c r="F14" s="75"/>
      <c r="G14" s="75"/>
      <c r="H14" s="76"/>
      <c r="I14" s="87"/>
      <c r="J14" s="87"/>
      <c r="K14" s="87"/>
      <c r="L14" s="46"/>
      <c r="M14" s="47"/>
      <c r="N14" s="47"/>
      <c r="O14" s="47"/>
      <c r="P14" s="47"/>
      <c r="Q14" s="47"/>
      <c r="R14" s="47"/>
      <c r="S14" s="47"/>
      <c r="T14" s="48"/>
      <c r="U14" s="46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8"/>
      <c r="AS14" s="80"/>
      <c r="AT14" s="81"/>
      <c r="AU14" s="81"/>
      <c r="AV14" s="81"/>
      <c r="AW14" s="82"/>
      <c r="AX14" s="83"/>
      <c r="AY14" s="83"/>
      <c r="AZ14" s="83"/>
      <c r="BA14" s="83"/>
      <c r="BB14" s="83"/>
      <c r="BC14" s="83"/>
      <c r="BD14" s="84"/>
    </row>
    <row r="15" spans="1:57" ht="24.95" customHeight="1">
      <c r="A15" s="9"/>
      <c r="B15" s="85">
        <f t="shared" si="0"/>
        <v>9</v>
      </c>
      <c r="C15" s="86"/>
      <c r="D15" s="74"/>
      <c r="E15" s="75"/>
      <c r="F15" s="75"/>
      <c r="G15" s="75"/>
      <c r="H15" s="76"/>
      <c r="I15" s="87"/>
      <c r="J15" s="87"/>
      <c r="K15" s="87"/>
      <c r="L15" s="46"/>
      <c r="M15" s="47"/>
      <c r="N15" s="47"/>
      <c r="O15" s="47"/>
      <c r="P15" s="47"/>
      <c r="Q15" s="47"/>
      <c r="R15" s="47"/>
      <c r="S15" s="47"/>
      <c r="T15" s="48"/>
      <c r="U15" s="46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8"/>
      <c r="AS15" s="80"/>
      <c r="AT15" s="81"/>
      <c r="AU15" s="81"/>
      <c r="AV15" s="81"/>
      <c r="AW15" s="82"/>
      <c r="AX15" s="83"/>
      <c r="AY15" s="83"/>
      <c r="AZ15" s="83"/>
      <c r="BA15" s="83"/>
      <c r="BB15" s="83"/>
      <c r="BC15" s="83"/>
      <c r="BD15" s="84"/>
    </row>
    <row r="16" spans="1:57" ht="24.95" customHeight="1">
      <c r="A16" s="9"/>
      <c r="B16" s="72">
        <f t="shared" si="0"/>
        <v>10</v>
      </c>
      <c r="C16" s="73"/>
      <c r="D16" s="74"/>
      <c r="E16" s="75"/>
      <c r="F16" s="75"/>
      <c r="G16" s="75"/>
      <c r="H16" s="76"/>
      <c r="I16" s="87"/>
      <c r="J16" s="87"/>
      <c r="K16" s="87"/>
      <c r="L16" s="46"/>
      <c r="M16" s="47"/>
      <c r="N16" s="47"/>
      <c r="O16" s="47"/>
      <c r="P16" s="47"/>
      <c r="Q16" s="47"/>
      <c r="R16" s="47"/>
      <c r="S16" s="47"/>
      <c r="T16" s="48"/>
      <c r="U16" s="46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8"/>
      <c r="AS16" s="80"/>
      <c r="AT16" s="81"/>
      <c r="AU16" s="81"/>
      <c r="AV16" s="81"/>
      <c r="AW16" s="82"/>
      <c r="AX16" s="83"/>
      <c r="AY16" s="83"/>
      <c r="AZ16" s="83"/>
      <c r="BA16" s="83"/>
      <c r="BB16" s="83"/>
      <c r="BC16" s="83"/>
      <c r="BD16" s="84"/>
    </row>
    <row r="17" spans="1:56" ht="24.95" customHeight="1">
      <c r="A17" s="9"/>
      <c r="B17" s="85">
        <f t="shared" si="0"/>
        <v>11</v>
      </c>
      <c r="C17" s="86"/>
      <c r="D17" s="74"/>
      <c r="E17" s="75"/>
      <c r="F17" s="75"/>
      <c r="G17" s="75"/>
      <c r="H17" s="76"/>
      <c r="I17" s="87"/>
      <c r="J17" s="87"/>
      <c r="K17" s="87"/>
      <c r="L17" s="46"/>
      <c r="M17" s="47"/>
      <c r="N17" s="47"/>
      <c r="O17" s="47"/>
      <c r="P17" s="47"/>
      <c r="Q17" s="47"/>
      <c r="R17" s="47"/>
      <c r="S17" s="47"/>
      <c r="T17" s="48"/>
      <c r="U17" s="46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8"/>
      <c r="AS17" s="80"/>
      <c r="AT17" s="81"/>
      <c r="AU17" s="81"/>
      <c r="AV17" s="81"/>
      <c r="AW17" s="82"/>
      <c r="AX17" s="83"/>
      <c r="AY17" s="83"/>
      <c r="AZ17" s="83"/>
      <c r="BA17" s="83"/>
      <c r="BB17" s="83"/>
      <c r="BC17" s="83"/>
      <c r="BD17" s="84"/>
    </row>
    <row r="18" spans="1:56" ht="24.95" customHeight="1">
      <c r="A18" s="9"/>
      <c r="B18" s="72">
        <f t="shared" si="0"/>
        <v>12</v>
      </c>
      <c r="C18" s="73"/>
      <c r="D18" s="74"/>
      <c r="E18" s="75"/>
      <c r="F18" s="75"/>
      <c r="G18" s="75"/>
      <c r="H18" s="76"/>
      <c r="I18" s="77"/>
      <c r="J18" s="78"/>
      <c r="K18" s="79"/>
      <c r="L18" s="46"/>
      <c r="M18" s="47"/>
      <c r="N18" s="47"/>
      <c r="O18" s="47"/>
      <c r="P18" s="47"/>
      <c r="Q18" s="47"/>
      <c r="R18" s="47"/>
      <c r="S18" s="47"/>
      <c r="T18" s="48"/>
      <c r="U18" s="46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8"/>
      <c r="AS18" s="80"/>
      <c r="AT18" s="81"/>
      <c r="AU18" s="81"/>
      <c r="AV18" s="81"/>
      <c r="AW18" s="82"/>
      <c r="AX18" s="83"/>
      <c r="AY18" s="83"/>
      <c r="AZ18" s="83"/>
      <c r="BA18" s="83"/>
      <c r="BB18" s="83"/>
      <c r="BC18" s="83"/>
      <c r="BD18" s="84"/>
    </row>
    <row r="19" spans="1:56" ht="24.95" customHeight="1">
      <c r="A19" s="9"/>
      <c r="B19" s="85">
        <f t="shared" si="0"/>
        <v>13</v>
      </c>
      <c r="C19" s="86"/>
      <c r="D19" s="74"/>
      <c r="E19" s="75"/>
      <c r="F19" s="75"/>
      <c r="G19" s="75"/>
      <c r="H19" s="76"/>
      <c r="I19" s="77"/>
      <c r="J19" s="78"/>
      <c r="K19" s="79"/>
      <c r="L19" s="46"/>
      <c r="M19" s="47"/>
      <c r="N19" s="47"/>
      <c r="O19" s="47"/>
      <c r="P19" s="47"/>
      <c r="Q19" s="47"/>
      <c r="R19" s="47"/>
      <c r="S19" s="47"/>
      <c r="T19" s="48"/>
      <c r="U19" s="46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8"/>
      <c r="AS19" s="80"/>
      <c r="AT19" s="81"/>
      <c r="AU19" s="81"/>
      <c r="AV19" s="81"/>
      <c r="AW19" s="82"/>
      <c r="AX19" s="83"/>
      <c r="AY19" s="83"/>
      <c r="AZ19" s="83"/>
      <c r="BA19" s="83"/>
      <c r="BB19" s="83"/>
      <c r="BC19" s="83"/>
      <c r="BD19" s="84"/>
    </row>
    <row r="20" spans="1:56" ht="24.95" customHeight="1">
      <c r="A20" s="9"/>
      <c r="B20" s="72">
        <f t="shared" si="0"/>
        <v>14</v>
      </c>
      <c r="C20" s="73"/>
      <c r="D20" s="74"/>
      <c r="E20" s="75"/>
      <c r="F20" s="75"/>
      <c r="G20" s="75"/>
      <c r="H20" s="76"/>
      <c r="I20" s="77"/>
      <c r="J20" s="78"/>
      <c r="K20" s="79"/>
      <c r="L20" s="46"/>
      <c r="M20" s="47"/>
      <c r="N20" s="47"/>
      <c r="O20" s="47"/>
      <c r="P20" s="47"/>
      <c r="Q20" s="47"/>
      <c r="R20" s="47"/>
      <c r="S20" s="47"/>
      <c r="T20" s="48"/>
      <c r="U20" s="46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8"/>
      <c r="AS20" s="80"/>
      <c r="AT20" s="81"/>
      <c r="AU20" s="81"/>
      <c r="AV20" s="81"/>
      <c r="AW20" s="82"/>
      <c r="AX20" s="83"/>
      <c r="AY20" s="83"/>
      <c r="AZ20" s="83"/>
      <c r="BA20" s="83"/>
      <c r="BB20" s="83"/>
      <c r="BC20" s="83"/>
      <c r="BD20" s="84"/>
    </row>
    <row r="21" spans="1:56" ht="24.95" customHeight="1">
      <c r="A21" s="9"/>
      <c r="B21" s="72">
        <f t="shared" si="0"/>
        <v>15</v>
      </c>
      <c r="C21" s="73"/>
      <c r="D21" s="74"/>
      <c r="E21" s="75"/>
      <c r="F21" s="75"/>
      <c r="G21" s="75"/>
      <c r="H21" s="76"/>
      <c r="I21" s="77"/>
      <c r="J21" s="78"/>
      <c r="K21" s="79"/>
      <c r="L21" s="46"/>
      <c r="M21" s="47"/>
      <c r="N21" s="47"/>
      <c r="O21" s="47"/>
      <c r="P21" s="47"/>
      <c r="Q21" s="47"/>
      <c r="R21" s="47"/>
      <c r="S21" s="47"/>
      <c r="T21" s="48"/>
      <c r="U21" s="46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8"/>
      <c r="AS21" s="80"/>
      <c r="AT21" s="81"/>
      <c r="AU21" s="81"/>
      <c r="AV21" s="81"/>
      <c r="AW21" s="82"/>
      <c r="AX21" s="55"/>
      <c r="AY21" s="56"/>
      <c r="AZ21" s="56"/>
      <c r="BA21" s="56"/>
      <c r="BB21" s="56"/>
      <c r="BC21" s="56"/>
      <c r="BD21" s="57"/>
    </row>
    <row r="22" spans="1:56" ht="24.95" customHeight="1">
      <c r="A22" s="9"/>
      <c r="B22" s="58">
        <f t="shared" si="0"/>
        <v>16</v>
      </c>
      <c r="C22" s="59"/>
      <c r="D22" s="60"/>
      <c r="E22" s="61"/>
      <c r="F22" s="61"/>
      <c r="G22" s="61"/>
      <c r="H22" s="62"/>
      <c r="I22" s="63"/>
      <c r="J22" s="64"/>
      <c r="K22" s="65"/>
      <c r="L22" s="49"/>
      <c r="M22" s="50"/>
      <c r="N22" s="50"/>
      <c r="O22" s="50"/>
      <c r="P22" s="50"/>
      <c r="Q22" s="50"/>
      <c r="R22" s="50"/>
      <c r="S22" s="50"/>
      <c r="T22" s="51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4"/>
      <c r="AS22" s="66"/>
      <c r="AT22" s="67"/>
      <c r="AU22" s="67"/>
      <c r="AV22" s="67"/>
      <c r="AW22" s="68"/>
      <c r="AX22" s="69"/>
      <c r="AY22" s="70"/>
      <c r="AZ22" s="70"/>
      <c r="BA22" s="70"/>
      <c r="BB22" s="70"/>
      <c r="BC22" s="70"/>
      <c r="BD22" s="71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87"/>
  <sheetViews>
    <sheetView showGridLines="0" topLeftCell="A27" zoomScale="120" zoomScaleNormal="120" zoomScaleSheetLayoutView="80" workbookViewId="0">
      <selection activeCell="A43" sqref="A43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>
      <c r="B1" s="186" t="s">
        <v>29</v>
      </c>
      <c r="C1" s="187"/>
      <c r="D1" s="13"/>
      <c r="E1" s="14"/>
      <c r="F1" s="192"/>
      <c r="G1" s="192"/>
      <c r="H1" s="193"/>
      <c r="I1" s="193"/>
      <c r="J1" s="194"/>
      <c r="K1" s="195"/>
      <c r="L1" s="196"/>
      <c r="M1" s="197" t="s">
        <v>30</v>
      </c>
      <c r="N1" s="197"/>
      <c r="O1" s="15" t="s">
        <v>31</v>
      </c>
      <c r="P1" s="197" t="s">
        <v>32</v>
      </c>
      <c r="Q1" s="198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204"/>
      <c r="AX1" s="204"/>
      <c r="AY1" s="204"/>
      <c r="AZ1" s="204"/>
      <c r="BA1" s="204"/>
      <c r="BB1" s="204"/>
      <c r="BC1" s="217"/>
      <c r="BD1" s="217"/>
      <c r="BE1" s="217"/>
      <c r="BF1" s="217"/>
      <c r="BG1" s="217"/>
      <c r="BH1" s="217"/>
      <c r="BI1" s="204"/>
      <c r="BJ1" s="204"/>
      <c r="BK1" s="204"/>
      <c r="BL1" s="204"/>
      <c r="BM1" s="204"/>
      <c r="BN1" s="204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>
      <c r="B2" s="188"/>
      <c r="C2" s="189"/>
      <c r="D2" s="21" t="s">
        <v>33</v>
      </c>
      <c r="E2" s="22" t="s">
        <v>34</v>
      </c>
      <c r="F2" s="205" t="s">
        <v>35</v>
      </c>
      <c r="G2" s="205"/>
      <c r="H2" s="206"/>
      <c r="I2" s="206"/>
      <c r="J2" s="207" t="s">
        <v>36</v>
      </c>
      <c r="K2" s="208"/>
      <c r="L2" s="209"/>
      <c r="M2" s="210">
        <f>改版履歴!AO4</f>
        <v>1.3</v>
      </c>
      <c r="N2" s="211"/>
      <c r="O2" s="212">
        <f>改版履歴!AT4</f>
        <v>45681</v>
      </c>
      <c r="P2" s="214" t="s">
        <v>12</v>
      </c>
      <c r="Q2" s="215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>
      <c r="B3" s="190"/>
      <c r="C3" s="191"/>
      <c r="D3" s="23"/>
      <c r="E3" s="24" t="s">
        <v>37</v>
      </c>
      <c r="F3" s="199" t="s">
        <v>38</v>
      </c>
      <c r="G3" s="199"/>
      <c r="H3" s="200"/>
      <c r="I3" s="200"/>
      <c r="J3" s="201" t="s">
        <v>39</v>
      </c>
      <c r="K3" s="202"/>
      <c r="L3" s="203"/>
      <c r="M3" s="211"/>
      <c r="N3" s="211"/>
      <c r="O3" s="213"/>
      <c r="P3" s="216"/>
      <c r="Q3" s="215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7.95" customHeight="1" thickBot="1">
      <c r="B4" s="166" t="s">
        <v>40</v>
      </c>
      <c r="C4" s="167"/>
      <c r="D4" s="168" t="s">
        <v>41</v>
      </c>
      <c r="E4" s="169"/>
      <c r="F4" s="170" t="s">
        <v>42</v>
      </c>
      <c r="G4" s="171"/>
      <c r="H4" s="172"/>
      <c r="I4" s="173"/>
      <c r="J4" s="174" t="s">
        <v>43</v>
      </c>
      <c r="K4" s="175"/>
      <c r="L4" s="175"/>
      <c r="M4" s="175"/>
      <c r="N4" s="176"/>
      <c r="O4" s="32" t="s">
        <v>44</v>
      </c>
      <c r="P4" s="177" t="s">
        <v>45</v>
      </c>
      <c r="Q4" s="218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>
      <c r="B6" s="178" t="s">
        <v>46</v>
      </c>
      <c r="C6" s="180" t="s">
        <v>47</v>
      </c>
      <c r="D6" s="182" t="s">
        <v>48</v>
      </c>
      <c r="E6" s="183"/>
      <c r="F6" s="178" t="s">
        <v>49</v>
      </c>
      <c r="G6" s="178" t="s">
        <v>50</v>
      </c>
      <c r="H6" s="178" t="s">
        <v>51</v>
      </c>
      <c r="I6" s="158" t="s">
        <v>52</v>
      </c>
      <c r="J6" s="159"/>
      <c r="K6" s="160" t="s">
        <v>53</v>
      </c>
      <c r="L6" s="161"/>
      <c r="M6" s="161"/>
      <c r="N6" s="161"/>
      <c r="O6" s="161"/>
      <c r="P6" s="161"/>
      <c r="Q6" s="162"/>
    </row>
    <row r="7" spans="2:96" ht="12.75" customHeight="1">
      <c r="B7" s="179"/>
      <c r="C7" s="181"/>
      <c r="D7" s="184"/>
      <c r="E7" s="185"/>
      <c r="F7" s="179"/>
      <c r="G7" s="179"/>
      <c r="H7" s="179"/>
      <c r="I7" s="27" t="s">
        <v>54</v>
      </c>
      <c r="J7" s="27" t="s">
        <v>55</v>
      </c>
      <c r="K7" s="163"/>
      <c r="L7" s="164"/>
      <c r="M7" s="164"/>
      <c r="N7" s="164"/>
      <c r="O7" s="164"/>
      <c r="P7" s="164"/>
      <c r="Q7" s="165"/>
    </row>
    <row r="8" spans="2:96" ht="12.75" customHeight="1">
      <c r="B8" s="28">
        <v>1</v>
      </c>
      <c r="C8" s="29" t="s">
        <v>56</v>
      </c>
      <c r="D8" s="219" t="s">
        <v>57</v>
      </c>
      <c r="E8" s="220"/>
      <c r="F8" s="41" t="s">
        <v>58</v>
      </c>
      <c r="G8" s="33"/>
      <c r="H8" s="30" t="s">
        <v>59</v>
      </c>
      <c r="I8" s="28">
        <v>1</v>
      </c>
      <c r="J8" s="28"/>
      <c r="K8" s="141" t="s">
        <v>60</v>
      </c>
      <c r="L8" s="142"/>
      <c r="M8" s="142"/>
      <c r="N8" s="142"/>
      <c r="O8" s="142"/>
      <c r="P8" s="142"/>
      <c r="Q8" s="143"/>
    </row>
    <row r="9" spans="2:96" ht="12.75" customHeight="1">
      <c r="B9" s="28">
        <v>2</v>
      </c>
      <c r="C9" s="40" t="s">
        <v>61</v>
      </c>
      <c r="D9" s="221" t="s">
        <v>62</v>
      </c>
      <c r="E9" s="222"/>
      <c r="F9" s="41" t="s">
        <v>63</v>
      </c>
      <c r="G9" s="41">
        <v>1</v>
      </c>
      <c r="H9" s="30" t="s">
        <v>59</v>
      </c>
      <c r="I9" s="28"/>
      <c r="J9" s="28"/>
      <c r="K9" s="153" t="s">
        <v>64</v>
      </c>
      <c r="L9" s="151"/>
      <c r="M9" s="151"/>
      <c r="N9" s="151"/>
      <c r="O9" s="151"/>
      <c r="P9" s="151"/>
      <c r="Q9" s="152"/>
      <c r="R9" s="38" t="s">
        <v>65</v>
      </c>
    </row>
    <row r="10" spans="2:96" ht="12.75" customHeight="1">
      <c r="B10" s="28">
        <v>3</v>
      </c>
      <c r="C10" s="29" t="s">
        <v>66</v>
      </c>
      <c r="D10" s="219" t="s">
        <v>67</v>
      </c>
      <c r="E10" s="220"/>
      <c r="F10" s="41" t="s">
        <v>58</v>
      </c>
      <c r="G10" s="33"/>
      <c r="H10" s="30"/>
      <c r="I10" s="28">
        <v>8</v>
      </c>
      <c r="J10" s="28"/>
      <c r="K10" s="141" t="s">
        <v>68</v>
      </c>
      <c r="L10" s="142"/>
      <c r="M10" s="142"/>
      <c r="N10" s="142"/>
      <c r="O10" s="142"/>
      <c r="P10" s="142"/>
      <c r="Q10" s="143"/>
      <c r="R10" s="38" t="s">
        <v>65</v>
      </c>
    </row>
    <row r="11" spans="2:96" ht="12.75" customHeight="1">
      <c r="B11" s="28">
        <v>4</v>
      </c>
      <c r="C11" s="29" t="s">
        <v>69</v>
      </c>
      <c r="D11" s="219" t="s">
        <v>70</v>
      </c>
      <c r="E11" s="220"/>
      <c r="F11" s="41" t="s">
        <v>58</v>
      </c>
      <c r="G11" s="33"/>
      <c r="H11" s="30"/>
      <c r="I11" s="28">
        <v>8</v>
      </c>
      <c r="J11" s="28"/>
      <c r="K11" s="141" t="s">
        <v>71</v>
      </c>
      <c r="L11" s="142"/>
      <c r="M11" s="142"/>
      <c r="N11" s="142"/>
      <c r="O11" s="142"/>
      <c r="P11" s="142"/>
      <c r="Q11" s="143"/>
      <c r="R11" s="38" t="s">
        <v>65</v>
      </c>
    </row>
    <row r="12" spans="2:96" ht="12.75" customHeight="1">
      <c r="B12" s="28">
        <v>5</v>
      </c>
      <c r="C12" s="29" t="s">
        <v>72</v>
      </c>
      <c r="D12" s="219" t="s">
        <v>73</v>
      </c>
      <c r="E12" s="220"/>
      <c r="F12" s="41" t="s">
        <v>58</v>
      </c>
      <c r="G12" s="33"/>
      <c r="H12" s="30"/>
      <c r="I12" s="28" t="s">
        <v>74</v>
      </c>
      <c r="J12" s="28"/>
      <c r="K12" s="141" t="s">
        <v>75</v>
      </c>
      <c r="L12" s="142"/>
      <c r="M12" s="142"/>
      <c r="N12" s="142"/>
      <c r="O12" s="142"/>
      <c r="P12" s="142"/>
      <c r="Q12" s="143"/>
      <c r="R12" s="38" t="s">
        <v>65</v>
      </c>
    </row>
    <row r="13" spans="2:96" ht="62.25" customHeight="1">
      <c r="B13" s="28">
        <v>6</v>
      </c>
      <c r="C13" s="40" t="s">
        <v>76</v>
      </c>
      <c r="D13" s="219" t="s">
        <v>77</v>
      </c>
      <c r="E13" s="220"/>
      <c r="F13" s="41" t="s">
        <v>78</v>
      </c>
      <c r="G13" s="33"/>
      <c r="H13" s="30"/>
      <c r="I13" s="28"/>
      <c r="J13" s="28"/>
      <c r="K13" s="157" t="s">
        <v>79</v>
      </c>
      <c r="L13" s="142"/>
      <c r="M13" s="142"/>
      <c r="N13" s="142"/>
      <c r="O13" s="142"/>
      <c r="P13" s="142"/>
      <c r="Q13" s="143"/>
      <c r="R13" s="38" t="s">
        <v>65</v>
      </c>
    </row>
    <row r="14" spans="2:96" ht="12.75" customHeight="1">
      <c r="B14" s="28">
        <v>7</v>
      </c>
      <c r="C14" s="29" t="s">
        <v>80</v>
      </c>
      <c r="D14" s="219" t="s">
        <v>81</v>
      </c>
      <c r="E14" s="220"/>
      <c r="F14" s="41" t="s">
        <v>58</v>
      </c>
      <c r="G14" s="33"/>
      <c r="H14" s="30"/>
      <c r="I14" s="28">
        <v>7</v>
      </c>
      <c r="J14" s="28"/>
      <c r="K14" s="141" t="s">
        <v>82</v>
      </c>
      <c r="L14" s="142"/>
      <c r="M14" s="142"/>
      <c r="N14" s="142"/>
      <c r="O14" s="142"/>
      <c r="P14" s="142"/>
      <c r="Q14" s="143"/>
    </row>
    <row r="15" spans="2:96" ht="12.75" customHeight="1">
      <c r="B15" s="34">
        <v>8</v>
      </c>
      <c r="C15" s="35" t="s">
        <v>83</v>
      </c>
      <c r="D15" s="223" t="s">
        <v>84</v>
      </c>
      <c r="E15" s="224"/>
      <c r="F15" s="43" t="s">
        <v>85</v>
      </c>
      <c r="G15" s="36"/>
      <c r="H15" s="37"/>
      <c r="I15" s="34"/>
      <c r="J15" s="34"/>
      <c r="K15" s="154" t="s">
        <v>86</v>
      </c>
      <c r="L15" s="155"/>
      <c r="M15" s="155"/>
      <c r="N15" s="155"/>
      <c r="O15" s="155"/>
      <c r="P15" s="155"/>
      <c r="Q15" s="156"/>
      <c r="R15" s="38" t="s">
        <v>87</v>
      </c>
    </row>
    <row r="16" spans="2:96" ht="12.75" customHeight="1">
      <c r="B16" s="28">
        <v>9</v>
      </c>
      <c r="C16" s="29" t="s">
        <v>88</v>
      </c>
      <c r="D16" s="219" t="s">
        <v>89</v>
      </c>
      <c r="E16" s="220"/>
      <c r="F16" s="41" t="s">
        <v>85</v>
      </c>
      <c r="G16" s="33"/>
      <c r="H16" s="30"/>
      <c r="I16" s="28"/>
      <c r="J16" s="28"/>
      <c r="K16" s="141" t="s">
        <v>90</v>
      </c>
      <c r="L16" s="142"/>
      <c r="M16" s="142"/>
      <c r="N16" s="142"/>
      <c r="O16" s="142"/>
      <c r="P16" s="142"/>
      <c r="Q16" s="143"/>
      <c r="R16" s="38" t="s">
        <v>87</v>
      </c>
    </row>
    <row r="17" spans="2:18" ht="12.75" customHeight="1">
      <c r="B17" s="28">
        <v>10</v>
      </c>
      <c r="C17" s="29" t="s">
        <v>91</v>
      </c>
      <c r="D17" s="219" t="s">
        <v>92</v>
      </c>
      <c r="E17" s="220"/>
      <c r="F17" s="41" t="s">
        <v>85</v>
      </c>
      <c r="G17" s="33"/>
      <c r="H17" s="30"/>
      <c r="I17" s="28"/>
      <c r="J17" s="28"/>
      <c r="K17" s="141" t="s">
        <v>93</v>
      </c>
      <c r="L17" s="142"/>
      <c r="M17" s="142"/>
      <c r="N17" s="142"/>
      <c r="O17" s="142"/>
      <c r="P17" s="142"/>
      <c r="Q17" s="143"/>
      <c r="R17" s="38" t="s">
        <v>87</v>
      </c>
    </row>
    <row r="18" spans="2:18" ht="27" customHeight="1">
      <c r="B18" s="28">
        <v>11</v>
      </c>
      <c r="C18" s="29" t="s">
        <v>94</v>
      </c>
      <c r="D18" s="219" t="s">
        <v>95</v>
      </c>
      <c r="E18" s="220"/>
      <c r="F18" s="41" t="s">
        <v>96</v>
      </c>
      <c r="G18" s="33"/>
      <c r="H18" s="30"/>
      <c r="I18" s="28"/>
      <c r="J18" s="28"/>
      <c r="K18" s="157" t="s">
        <v>97</v>
      </c>
      <c r="L18" s="142"/>
      <c r="M18" s="142"/>
      <c r="N18" s="142"/>
      <c r="O18" s="142"/>
      <c r="P18" s="142"/>
      <c r="Q18" s="143"/>
      <c r="R18" s="38" t="s">
        <v>87</v>
      </c>
    </row>
    <row r="19" spans="2:18" ht="12.75" customHeight="1">
      <c r="B19" s="28">
        <v>12</v>
      </c>
      <c r="C19" s="29" t="s">
        <v>98</v>
      </c>
      <c r="D19" s="219" t="s">
        <v>99</v>
      </c>
      <c r="E19" s="220"/>
      <c r="F19" s="41" t="s">
        <v>100</v>
      </c>
      <c r="G19" s="33"/>
      <c r="H19" s="30"/>
      <c r="I19" s="28">
        <v>12</v>
      </c>
      <c r="J19" s="28"/>
      <c r="K19" s="141" t="s">
        <v>101</v>
      </c>
      <c r="L19" s="142"/>
      <c r="M19" s="142"/>
      <c r="N19" s="142"/>
      <c r="O19" s="142"/>
      <c r="P19" s="142"/>
      <c r="Q19" s="143"/>
    </row>
    <row r="20" spans="2:18" ht="12.75" customHeight="1">
      <c r="B20" s="28">
        <v>13</v>
      </c>
      <c r="C20" s="29" t="s">
        <v>102</v>
      </c>
      <c r="D20" s="219" t="s">
        <v>103</v>
      </c>
      <c r="E20" s="220"/>
      <c r="F20" s="41" t="s">
        <v>100</v>
      </c>
      <c r="G20" s="33"/>
      <c r="H20" s="30"/>
      <c r="I20" s="28">
        <v>12</v>
      </c>
      <c r="J20" s="28"/>
      <c r="K20" s="141" t="s">
        <v>104</v>
      </c>
      <c r="L20" s="142"/>
      <c r="M20" s="142"/>
      <c r="N20" s="142"/>
      <c r="O20" s="142"/>
      <c r="P20" s="142"/>
      <c r="Q20" s="143"/>
    </row>
    <row r="21" spans="2:18" ht="25.5" customHeight="1">
      <c r="B21" s="28">
        <v>14</v>
      </c>
      <c r="C21" s="29" t="s">
        <v>105</v>
      </c>
      <c r="D21" s="219" t="s">
        <v>106</v>
      </c>
      <c r="E21" s="220"/>
      <c r="F21" s="41" t="s">
        <v>100</v>
      </c>
      <c r="G21" s="33"/>
      <c r="H21" s="30"/>
      <c r="I21" s="28">
        <v>12</v>
      </c>
      <c r="J21" s="28"/>
      <c r="K21" s="157" t="s">
        <v>107</v>
      </c>
      <c r="L21" s="142"/>
      <c r="M21" s="142"/>
      <c r="N21" s="142"/>
      <c r="O21" s="142"/>
      <c r="P21" s="142"/>
      <c r="Q21" s="143"/>
    </row>
    <row r="22" spans="2:18" ht="12.75" customHeight="1">
      <c r="B22" s="34">
        <v>15</v>
      </c>
      <c r="C22" s="35" t="s">
        <v>108</v>
      </c>
      <c r="D22" s="223" t="s">
        <v>109</v>
      </c>
      <c r="E22" s="224"/>
      <c r="F22" s="43" t="s">
        <v>100</v>
      </c>
      <c r="G22" s="36"/>
      <c r="H22" s="37"/>
      <c r="I22" s="34">
        <v>12</v>
      </c>
      <c r="J22" s="34"/>
      <c r="K22" s="154" t="s">
        <v>110</v>
      </c>
      <c r="L22" s="155"/>
      <c r="M22" s="155"/>
      <c r="N22" s="155"/>
      <c r="O22" s="155"/>
      <c r="P22" s="155"/>
      <c r="Q22" s="156"/>
      <c r="R22" s="38" t="s">
        <v>87</v>
      </c>
    </row>
    <row r="23" spans="2:18" ht="12.75" customHeight="1">
      <c r="B23" s="34">
        <v>16</v>
      </c>
      <c r="C23" s="35" t="s">
        <v>111</v>
      </c>
      <c r="D23" s="223" t="s">
        <v>112</v>
      </c>
      <c r="E23" s="224"/>
      <c r="F23" s="43" t="s">
        <v>100</v>
      </c>
      <c r="G23" s="36"/>
      <c r="H23" s="37"/>
      <c r="I23" s="34">
        <v>12</v>
      </c>
      <c r="J23" s="34"/>
      <c r="K23" s="154" t="s">
        <v>113</v>
      </c>
      <c r="L23" s="155"/>
      <c r="M23" s="155"/>
      <c r="N23" s="155"/>
      <c r="O23" s="155"/>
      <c r="P23" s="155"/>
      <c r="Q23" s="156"/>
      <c r="R23" s="38" t="s">
        <v>87</v>
      </c>
    </row>
    <row r="24" spans="2:18" ht="12.75" customHeight="1">
      <c r="B24" s="34">
        <v>17</v>
      </c>
      <c r="C24" s="35" t="s">
        <v>114</v>
      </c>
      <c r="D24" s="223" t="s">
        <v>115</v>
      </c>
      <c r="E24" s="224"/>
      <c r="F24" s="43" t="s">
        <v>100</v>
      </c>
      <c r="G24" s="36"/>
      <c r="H24" s="37"/>
      <c r="I24" s="34">
        <v>12</v>
      </c>
      <c r="J24" s="34"/>
      <c r="K24" s="154" t="s">
        <v>116</v>
      </c>
      <c r="L24" s="155"/>
      <c r="M24" s="155"/>
      <c r="N24" s="155"/>
      <c r="O24" s="155"/>
      <c r="P24" s="155"/>
      <c r="Q24" s="156"/>
      <c r="R24" s="38" t="s">
        <v>87</v>
      </c>
    </row>
    <row r="25" spans="2:18" ht="12.75" customHeight="1">
      <c r="B25" s="34">
        <v>18</v>
      </c>
      <c r="C25" s="35" t="s">
        <v>117</v>
      </c>
      <c r="D25" s="223" t="s">
        <v>118</v>
      </c>
      <c r="E25" s="224"/>
      <c r="F25" s="43" t="s">
        <v>100</v>
      </c>
      <c r="G25" s="36"/>
      <c r="H25" s="37"/>
      <c r="I25" s="34">
        <v>12</v>
      </c>
      <c r="J25" s="34"/>
      <c r="K25" s="154" t="s">
        <v>119</v>
      </c>
      <c r="L25" s="155"/>
      <c r="M25" s="155"/>
      <c r="N25" s="155"/>
      <c r="O25" s="155"/>
      <c r="P25" s="155"/>
      <c r="Q25" s="156"/>
      <c r="R25" s="38" t="s">
        <v>87</v>
      </c>
    </row>
    <row r="26" spans="2:18" ht="12.75" customHeight="1">
      <c r="B26" s="34">
        <v>19</v>
      </c>
      <c r="C26" s="35" t="s">
        <v>120</v>
      </c>
      <c r="D26" s="223" t="s">
        <v>121</v>
      </c>
      <c r="E26" s="224"/>
      <c r="F26" s="43" t="s">
        <v>100</v>
      </c>
      <c r="G26" s="36"/>
      <c r="H26" s="37"/>
      <c r="I26" s="34">
        <v>12</v>
      </c>
      <c r="J26" s="34"/>
      <c r="K26" s="154" t="s">
        <v>122</v>
      </c>
      <c r="L26" s="155"/>
      <c r="M26" s="155"/>
      <c r="N26" s="155"/>
      <c r="O26" s="155"/>
      <c r="P26" s="155"/>
      <c r="Q26" s="156"/>
      <c r="R26" s="38" t="s">
        <v>87</v>
      </c>
    </row>
    <row r="27" spans="2:18" ht="12.75" customHeight="1">
      <c r="B27" s="34">
        <v>20</v>
      </c>
      <c r="C27" s="35" t="s">
        <v>123</v>
      </c>
      <c r="D27" s="223" t="s">
        <v>124</v>
      </c>
      <c r="E27" s="224"/>
      <c r="F27" s="43" t="s">
        <v>100</v>
      </c>
      <c r="G27" s="36"/>
      <c r="H27" s="37"/>
      <c r="I27" s="34">
        <v>12</v>
      </c>
      <c r="J27" s="34"/>
      <c r="K27" s="154" t="s">
        <v>125</v>
      </c>
      <c r="L27" s="155"/>
      <c r="M27" s="155"/>
      <c r="N27" s="155"/>
      <c r="O27" s="155"/>
      <c r="P27" s="155"/>
      <c r="Q27" s="156"/>
      <c r="R27" s="38" t="s">
        <v>87</v>
      </c>
    </row>
    <row r="28" spans="2:18" ht="12.75" customHeight="1">
      <c r="B28" s="34">
        <v>21</v>
      </c>
      <c r="C28" s="35" t="s">
        <v>126</v>
      </c>
      <c r="D28" s="223" t="s">
        <v>127</v>
      </c>
      <c r="E28" s="224"/>
      <c r="F28" s="43" t="s">
        <v>100</v>
      </c>
      <c r="G28" s="36"/>
      <c r="H28" s="37"/>
      <c r="I28" s="34" t="s">
        <v>128</v>
      </c>
      <c r="J28" s="34"/>
      <c r="K28" s="154" t="s">
        <v>129</v>
      </c>
      <c r="L28" s="155"/>
      <c r="M28" s="155"/>
      <c r="N28" s="155"/>
      <c r="O28" s="155"/>
      <c r="P28" s="155"/>
      <c r="Q28" s="156"/>
      <c r="R28" s="38" t="s">
        <v>87</v>
      </c>
    </row>
    <row r="29" spans="2:18" ht="12.75" customHeight="1">
      <c r="B29" s="28">
        <v>22</v>
      </c>
      <c r="C29" s="29" t="s">
        <v>130</v>
      </c>
      <c r="D29" s="219" t="s">
        <v>131</v>
      </c>
      <c r="E29" s="220"/>
      <c r="F29" s="41" t="s">
        <v>132</v>
      </c>
      <c r="G29" s="33"/>
      <c r="H29" s="30"/>
      <c r="I29" s="28"/>
      <c r="J29" s="28"/>
      <c r="K29" s="141" t="s">
        <v>133</v>
      </c>
      <c r="L29" s="142"/>
      <c r="M29" s="142"/>
      <c r="N29" s="142"/>
      <c r="O29" s="142"/>
      <c r="P29" s="142"/>
      <c r="Q29" s="143"/>
      <c r="R29" s="38" t="s">
        <v>87</v>
      </c>
    </row>
    <row r="30" spans="2:18" ht="12.75" customHeight="1">
      <c r="B30" s="28">
        <v>23</v>
      </c>
      <c r="C30" s="29" t="s">
        <v>134</v>
      </c>
      <c r="D30" s="219" t="s">
        <v>135</v>
      </c>
      <c r="E30" s="220"/>
      <c r="F30" s="41" t="s">
        <v>100</v>
      </c>
      <c r="G30" s="33"/>
      <c r="H30" s="30"/>
      <c r="I30" s="39">
        <v>4</v>
      </c>
      <c r="J30" s="28"/>
      <c r="K30" s="144" t="s">
        <v>136</v>
      </c>
      <c r="L30" s="145"/>
      <c r="M30" s="145"/>
      <c r="N30" s="145"/>
      <c r="O30" s="145"/>
      <c r="P30" s="145"/>
      <c r="Q30" s="146"/>
      <c r="R30" s="38" t="s">
        <v>87</v>
      </c>
    </row>
    <row r="31" spans="2:18" ht="12.75" customHeight="1">
      <c r="B31" s="28">
        <v>24</v>
      </c>
      <c r="C31" s="29" t="s">
        <v>137</v>
      </c>
      <c r="D31" s="219" t="s">
        <v>138</v>
      </c>
      <c r="E31" s="220"/>
      <c r="F31" s="41" t="s">
        <v>100</v>
      </c>
      <c r="G31" s="33"/>
      <c r="H31" s="30"/>
      <c r="I31" s="39">
        <v>4</v>
      </c>
      <c r="J31" s="28"/>
      <c r="K31" s="144" t="s">
        <v>136</v>
      </c>
      <c r="L31" s="145"/>
      <c r="M31" s="145"/>
      <c r="N31" s="145"/>
      <c r="O31" s="145"/>
      <c r="P31" s="145"/>
      <c r="Q31" s="146"/>
      <c r="R31" s="38" t="s">
        <v>87</v>
      </c>
    </row>
    <row r="32" spans="2:18" ht="12.75" customHeight="1">
      <c r="B32" s="28">
        <v>25</v>
      </c>
      <c r="C32" s="29" t="s">
        <v>139</v>
      </c>
      <c r="D32" s="219" t="s">
        <v>140</v>
      </c>
      <c r="E32" s="220"/>
      <c r="F32" s="41" t="s">
        <v>85</v>
      </c>
      <c r="G32" s="33"/>
      <c r="H32" s="30"/>
      <c r="I32" s="28"/>
      <c r="J32" s="28"/>
      <c r="K32" s="141" t="s">
        <v>141</v>
      </c>
      <c r="L32" s="142"/>
      <c r="M32" s="142"/>
      <c r="N32" s="142"/>
      <c r="O32" s="142"/>
      <c r="P32" s="142"/>
      <c r="Q32" s="143"/>
      <c r="R32" s="38" t="s">
        <v>87</v>
      </c>
    </row>
    <row r="33" spans="2:18" ht="12.75" customHeight="1">
      <c r="B33" s="28">
        <v>26</v>
      </c>
      <c r="C33" s="29" t="s">
        <v>142</v>
      </c>
      <c r="D33" s="219" t="s">
        <v>143</v>
      </c>
      <c r="E33" s="220"/>
      <c r="F33" s="41" t="s">
        <v>85</v>
      </c>
      <c r="G33" s="33"/>
      <c r="H33" s="30"/>
      <c r="I33" s="28"/>
      <c r="J33" s="28"/>
      <c r="K33" s="144" t="s">
        <v>144</v>
      </c>
      <c r="L33" s="145"/>
      <c r="M33" s="145"/>
      <c r="N33" s="145"/>
      <c r="O33" s="145"/>
      <c r="P33" s="145"/>
      <c r="Q33" s="146"/>
      <c r="R33" s="38" t="s">
        <v>87</v>
      </c>
    </row>
    <row r="34" spans="2:18" ht="12.75" customHeight="1">
      <c r="B34" s="28">
        <v>27</v>
      </c>
      <c r="C34" s="29" t="s">
        <v>145</v>
      </c>
      <c r="D34" s="219" t="s">
        <v>146</v>
      </c>
      <c r="E34" s="220"/>
      <c r="F34" s="41" t="s">
        <v>85</v>
      </c>
      <c r="G34" s="33"/>
      <c r="H34" s="30"/>
      <c r="I34" s="28"/>
      <c r="J34" s="28"/>
      <c r="K34" s="144" t="s">
        <v>144</v>
      </c>
      <c r="L34" s="145"/>
      <c r="M34" s="145"/>
      <c r="N34" s="145"/>
      <c r="O34" s="145"/>
      <c r="P34" s="145"/>
      <c r="Q34" s="146"/>
      <c r="R34" s="38" t="s">
        <v>87</v>
      </c>
    </row>
    <row r="35" spans="2:18" ht="12.75" customHeight="1">
      <c r="B35" s="28">
        <v>28</v>
      </c>
      <c r="C35" s="29" t="s">
        <v>147</v>
      </c>
      <c r="D35" s="219" t="s">
        <v>148</v>
      </c>
      <c r="E35" s="220"/>
      <c r="F35" s="41" t="s">
        <v>85</v>
      </c>
      <c r="G35" s="33"/>
      <c r="H35" s="30"/>
      <c r="I35" s="28"/>
      <c r="J35" s="28"/>
      <c r="K35" s="144" t="s">
        <v>144</v>
      </c>
      <c r="L35" s="145"/>
      <c r="M35" s="145"/>
      <c r="N35" s="145"/>
      <c r="O35" s="145"/>
      <c r="P35" s="145"/>
      <c r="Q35" s="146"/>
      <c r="R35" s="38" t="s">
        <v>87</v>
      </c>
    </row>
    <row r="36" spans="2:18" ht="12.75" customHeight="1">
      <c r="B36" s="28">
        <v>29</v>
      </c>
      <c r="C36" s="29" t="s">
        <v>149</v>
      </c>
      <c r="D36" s="219" t="s">
        <v>150</v>
      </c>
      <c r="E36" s="220"/>
      <c r="F36" s="41" t="s">
        <v>85</v>
      </c>
      <c r="G36" s="33"/>
      <c r="H36" s="30"/>
      <c r="I36" s="28"/>
      <c r="J36" s="28"/>
      <c r="K36" s="144" t="s">
        <v>144</v>
      </c>
      <c r="L36" s="145"/>
      <c r="M36" s="145"/>
      <c r="N36" s="145"/>
      <c r="O36" s="145"/>
      <c r="P36" s="145"/>
      <c r="Q36" s="146"/>
      <c r="R36" s="38" t="s">
        <v>87</v>
      </c>
    </row>
    <row r="37" spans="2:18" ht="12.75" customHeight="1">
      <c r="B37" s="28">
        <v>30</v>
      </c>
      <c r="C37" s="29" t="s">
        <v>151</v>
      </c>
      <c r="D37" s="219" t="s">
        <v>152</v>
      </c>
      <c r="E37" s="220"/>
      <c r="F37" s="41" t="s">
        <v>85</v>
      </c>
      <c r="G37" s="33"/>
      <c r="H37" s="30"/>
      <c r="I37" s="28"/>
      <c r="J37" s="28"/>
      <c r="K37" s="144" t="s">
        <v>144</v>
      </c>
      <c r="L37" s="145"/>
      <c r="M37" s="145"/>
      <c r="N37" s="145"/>
      <c r="O37" s="145"/>
      <c r="P37" s="145"/>
      <c r="Q37" s="146"/>
      <c r="R37" s="38" t="s">
        <v>87</v>
      </c>
    </row>
    <row r="38" spans="2:18" ht="12.75" customHeight="1">
      <c r="B38" s="28">
        <v>31</v>
      </c>
      <c r="C38" s="29" t="s">
        <v>153</v>
      </c>
      <c r="D38" s="219" t="s">
        <v>154</v>
      </c>
      <c r="E38" s="220"/>
      <c r="F38" s="41" t="s">
        <v>85</v>
      </c>
      <c r="G38" s="33"/>
      <c r="H38" s="30"/>
      <c r="I38" s="28"/>
      <c r="J38" s="28"/>
      <c r="K38" s="144" t="s">
        <v>144</v>
      </c>
      <c r="L38" s="145"/>
      <c r="M38" s="145"/>
      <c r="N38" s="145"/>
      <c r="O38" s="145"/>
      <c r="P38" s="145"/>
      <c r="Q38" s="146"/>
      <c r="R38" s="38" t="s">
        <v>87</v>
      </c>
    </row>
    <row r="39" spans="2:18" ht="12.75" customHeight="1">
      <c r="B39" s="28">
        <v>32</v>
      </c>
      <c r="C39" s="29" t="s">
        <v>155</v>
      </c>
      <c r="D39" s="219" t="s">
        <v>156</v>
      </c>
      <c r="E39" s="220"/>
      <c r="F39" s="41" t="s">
        <v>85</v>
      </c>
      <c r="G39" s="33"/>
      <c r="H39" s="30"/>
      <c r="I39" s="28"/>
      <c r="J39" s="28"/>
      <c r="K39" s="144" t="s">
        <v>144</v>
      </c>
      <c r="L39" s="145"/>
      <c r="M39" s="145"/>
      <c r="N39" s="145"/>
      <c r="O39" s="145"/>
      <c r="P39" s="145"/>
      <c r="Q39" s="146"/>
      <c r="R39" s="38" t="s">
        <v>87</v>
      </c>
    </row>
    <row r="40" spans="2:18" ht="12.75" customHeight="1">
      <c r="B40" s="28">
        <v>33</v>
      </c>
      <c r="C40" s="29" t="s">
        <v>157</v>
      </c>
      <c r="D40" s="219" t="s">
        <v>158</v>
      </c>
      <c r="E40" s="220"/>
      <c r="F40" s="33" t="s">
        <v>159</v>
      </c>
      <c r="G40" s="41">
        <v>2</v>
      </c>
      <c r="H40" s="30" t="s">
        <v>59</v>
      </c>
      <c r="I40" s="28"/>
      <c r="J40" s="28"/>
      <c r="K40" s="147" t="s">
        <v>160</v>
      </c>
      <c r="L40" s="148"/>
      <c r="M40" s="148"/>
      <c r="N40" s="148"/>
      <c r="O40" s="148"/>
      <c r="P40" s="148"/>
      <c r="Q40" s="149"/>
    </row>
    <row r="41" spans="2:18" ht="12.75" customHeight="1">
      <c r="B41" s="28">
        <v>34</v>
      </c>
      <c r="C41" s="29" t="s">
        <v>161</v>
      </c>
      <c r="D41" s="219" t="s">
        <v>162</v>
      </c>
      <c r="E41" s="220"/>
      <c r="F41" s="41" t="s">
        <v>85</v>
      </c>
      <c r="G41" s="33"/>
      <c r="H41" s="30"/>
      <c r="I41" s="28"/>
      <c r="J41" s="28"/>
      <c r="K41" s="147" t="s">
        <v>163</v>
      </c>
      <c r="L41" s="148"/>
      <c r="M41" s="148"/>
      <c r="N41" s="148"/>
      <c r="O41" s="148"/>
      <c r="P41" s="148"/>
      <c r="Q41" s="149"/>
      <c r="R41" s="38" t="s">
        <v>87</v>
      </c>
    </row>
    <row r="42" spans="2:18" ht="12.75" customHeight="1">
      <c r="B42" s="39">
        <v>35</v>
      </c>
      <c r="C42" s="40" t="s">
        <v>164</v>
      </c>
      <c r="D42" s="221" t="s">
        <v>165</v>
      </c>
      <c r="E42" s="222"/>
      <c r="F42" s="41" t="s">
        <v>166</v>
      </c>
      <c r="G42" s="41"/>
      <c r="H42" s="42"/>
      <c r="I42" s="39" t="s">
        <v>167</v>
      </c>
      <c r="J42" s="39"/>
      <c r="K42" s="153" t="s">
        <v>168</v>
      </c>
      <c r="L42" s="151"/>
      <c r="M42" s="151"/>
      <c r="N42" s="151"/>
      <c r="O42" s="151"/>
      <c r="P42" s="151"/>
      <c r="Q42" s="152"/>
      <c r="R42" s="38" t="s">
        <v>169</v>
      </c>
    </row>
    <row r="43" spans="2:18" ht="57.75" customHeight="1">
      <c r="B43" s="39">
        <v>36</v>
      </c>
      <c r="C43" s="40" t="s">
        <v>170</v>
      </c>
      <c r="D43" s="221" t="s">
        <v>171</v>
      </c>
      <c r="E43" s="222"/>
      <c r="F43" s="41" t="s">
        <v>166</v>
      </c>
      <c r="G43" s="41"/>
      <c r="H43" s="42"/>
      <c r="I43" s="39" t="s">
        <v>172</v>
      </c>
      <c r="J43" s="39"/>
      <c r="K43" s="150" t="s">
        <v>173</v>
      </c>
      <c r="L43" s="151"/>
      <c r="M43" s="151"/>
      <c r="N43" s="151"/>
      <c r="O43" s="151"/>
      <c r="P43" s="151"/>
      <c r="Q43" s="152"/>
      <c r="R43" s="38" t="s">
        <v>174</v>
      </c>
    </row>
    <row r="44" spans="2:18" ht="12.75" customHeight="1">
      <c r="B44" s="39">
        <v>37</v>
      </c>
      <c r="C44" s="29" t="s">
        <v>8</v>
      </c>
      <c r="D44" s="219" t="s">
        <v>175</v>
      </c>
      <c r="E44" s="220"/>
      <c r="F44" s="33" t="s">
        <v>100</v>
      </c>
      <c r="G44" s="33"/>
      <c r="H44" s="30"/>
      <c r="I44" s="28">
        <v>8</v>
      </c>
      <c r="J44" s="28"/>
      <c r="K44" s="147" t="s">
        <v>176</v>
      </c>
      <c r="L44" s="148"/>
      <c r="M44" s="148"/>
      <c r="N44" s="148"/>
      <c r="O44" s="148"/>
      <c r="P44" s="148"/>
      <c r="Q44" s="149"/>
      <c r="R44" s="38" t="s">
        <v>177</v>
      </c>
    </row>
    <row r="45" spans="2:18" ht="12.75" customHeight="1">
      <c r="B45" s="28"/>
      <c r="C45" s="29"/>
      <c r="D45" s="219"/>
      <c r="E45" s="220"/>
      <c r="F45" s="33"/>
      <c r="G45" s="33"/>
      <c r="H45" s="30"/>
      <c r="I45" s="28"/>
      <c r="J45" s="28"/>
      <c r="K45" s="141"/>
      <c r="L45" s="142"/>
      <c r="M45" s="142"/>
      <c r="N45" s="142"/>
      <c r="O45" s="142"/>
      <c r="P45" s="142"/>
      <c r="Q45" s="143"/>
    </row>
    <row r="46" spans="2:18" ht="12.75" customHeight="1">
      <c r="B46" s="28"/>
      <c r="C46" s="29"/>
      <c r="D46" s="219"/>
      <c r="E46" s="220"/>
      <c r="F46" s="33"/>
      <c r="G46" s="33"/>
      <c r="H46" s="30"/>
      <c r="I46" s="28"/>
      <c r="J46" s="28"/>
      <c r="K46" s="141"/>
      <c r="L46" s="142"/>
      <c r="M46" s="142"/>
      <c r="N46" s="142"/>
      <c r="O46" s="142"/>
      <c r="P46" s="142"/>
      <c r="Q46" s="143"/>
    </row>
    <row r="47" spans="2:18" ht="12.75" customHeight="1">
      <c r="B47" s="45" t="s">
        <v>178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8" t="s">
        <v>169</v>
      </c>
    </row>
    <row r="48" spans="2:18" ht="12.75" customHeight="1">
      <c r="B48" s="45" t="s">
        <v>179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8" t="s">
        <v>169</v>
      </c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</sheetData>
  <mergeCells count="109"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I6:J6"/>
    <mergeCell ref="K6:Q7"/>
    <mergeCell ref="D8:E8"/>
    <mergeCell ref="K8:Q8"/>
    <mergeCell ref="B4:C4"/>
    <mergeCell ref="D4:E4"/>
    <mergeCell ref="F4:I4"/>
    <mergeCell ref="J4:N4"/>
    <mergeCell ref="P4:Q4"/>
    <mergeCell ref="B6:B7"/>
    <mergeCell ref="C6:C7"/>
    <mergeCell ref="D6:E7"/>
    <mergeCell ref="F6:F7"/>
    <mergeCell ref="H6:H7"/>
    <mergeCell ref="G6:G7"/>
    <mergeCell ref="D12:E12"/>
    <mergeCell ref="K12:Q12"/>
    <mergeCell ref="D13:E13"/>
    <mergeCell ref="K13:Q13"/>
    <mergeCell ref="D14:E14"/>
    <mergeCell ref="K14:Q14"/>
    <mergeCell ref="D9:E9"/>
    <mergeCell ref="K9:Q9"/>
    <mergeCell ref="D10:E10"/>
    <mergeCell ref="K10:Q10"/>
    <mergeCell ref="D11:E11"/>
    <mergeCell ref="K11:Q11"/>
    <mergeCell ref="D17:E17"/>
    <mergeCell ref="K17:Q17"/>
    <mergeCell ref="D18:E18"/>
    <mergeCell ref="K18:Q18"/>
    <mergeCell ref="D19:E19"/>
    <mergeCell ref="K19:Q19"/>
    <mergeCell ref="D15:E15"/>
    <mergeCell ref="K15:Q15"/>
    <mergeCell ref="D16:E16"/>
    <mergeCell ref="K16:Q16"/>
    <mergeCell ref="D23:E23"/>
    <mergeCell ref="K23:Q23"/>
    <mergeCell ref="D24:E24"/>
    <mergeCell ref="K24:Q24"/>
    <mergeCell ref="D25:E25"/>
    <mergeCell ref="K25:Q25"/>
    <mergeCell ref="D20:E20"/>
    <mergeCell ref="K20:Q20"/>
    <mergeCell ref="D21:E21"/>
    <mergeCell ref="K21:Q21"/>
    <mergeCell ref="D22:E22"/>
    <mergeCell ref="K22:Q22"/>
    <mergeCell ref="D29:E29"/>
    <mergeCell ref="K29:Q29"/>
    <mergeCell ref="D26:E26"/>
    <mergeCell ref="K26:Q26"/>
    <mergeCell ref="D27:E27"/>
    <mergeCell ref="K27:Q27"/>
    <mergeCell ref="D28:E28"/>
    <mergeCell ref="K28:Q28"/>
    <mergeCell ref="D30:E30"/>
    <mergeCell ref="K30:Q30"/>
    <mergeCell ref="D37:E37"/>
    <mergeCell ref="K37:Q37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6:E46"/>
    <mergeCell ref="K46:Q46"/>
    <mergeCell ref="D38:E38"/>
    <mergeCell ref="K38:Q38"/>
    <mergeCell ref="D39:E39"/>
    <mergeCell ref="K39:Q39"/>
    <mergeCell ref="D45:E45"/>
    <mergeCell ref="K45:Q45"/>
    <mergeCell ref="D40:E40"/>
    <mergeCell ref="K40:Q40"/>
    <mergeCell ref="D44:E44"/>
    <mergeCell ref="K44:Q44"/>
    <mergeCell ref="D41:E41"/>
    <mergeCell ref="K41:Q41"/>
    <mergeCell ref="D43:E43"/>
    <mergeCell ref="K43:Q43"/>
    <mergeCell ref="D42:E42"/>
    <mergeCell ref="K42:Q42"/>
  </mergeCells>
  <phoneticPr fontId="3"/>
  <dataValidations count="2">
    <dataValidation type="list" allowBlank="1" showInputMessage="1" showErrorMessage="1" sqref="P4:Q4" xr:uid="{3794F707-B2FC-4472-8264-154111A33128}">
      <formula1>"TXT,CSV,TSV"</formula1>
    </dataValidation>
    <dataValidation type="list" allowBlank="1" showInputMessage="1" showErrorMessage="1" sqref="H8:H46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64216A-9B83-475C-9800-7D77BF5E8180}"/>
</file>

<file path=customXml/itemProps2.xml><?xml version="1.0" encoding="utf-8"?>
<ds:datastoreItem xmlns:ds="http://schemas.openxmlformats.org/officeDocument/2006/customXml" ds:itemID="{000755CE-1968-46E4-9A33-93C6AE90FAE6}"/>
</file>

<file path=customXml/itemProps3.xml><?xml version="1.0" encoding="utf-8"?>
<ds:datastoreItem xmlns:ds="http://schemas.openxmlformats.org/officeDocument/2006/customXml" ds:itemID="{41A13ACF-8662-4F19-8680-327964AD71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NGA Nguyen Thi 1 (VTI.D10)</cp:lastModifiedBy>
  <cp:revision/>
  <dcterms:created xsi:type="dcterms:W3CDTF">2024-03-28T08:59:33Z</dcterms:created>
  <dcterms:modified xsi:type="dcterms:W3CDTF">2025-03-19T08:15:49Z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