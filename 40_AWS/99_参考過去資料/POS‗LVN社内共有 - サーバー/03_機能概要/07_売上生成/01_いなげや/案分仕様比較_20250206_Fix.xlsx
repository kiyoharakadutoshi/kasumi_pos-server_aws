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/Shared Documents/General/Luvinaより/00_機能概要/付随資料/"/>
    </mc:Choice>
  </mc:AlternateContent>
  <xr:revisionPtr revIDLastSave="0" documentId="8_{07BDA83A-A554-4D78-B219-A07C8FE5995D}" xr6:coauthVersionLast="47" xr6:coauthVersionMax="47" xr10:uidLastSave="{00000000-0000-0000-0000-000000000000}"/>
  <bookViews>
    <workbookView xWindow="17670" yWindow="-19200" windowWidth="18210" windowHeight="9705" activeTab="2" xr2:uid="{E5A8A9C5-347A-4A0D-BD05-1F4CFBA8C0EA}"/>
  </bookViews>
  <sheets>
    <sheet name="まとめ" sheetId="1" r:id="rId1"/>
    <sheet name="富士通計算式" sheetId="2" r:id="rId2"/>
    <sheet name="SG計算式" sheetId="4" r:id="rId3"/>
    <sheet name="だおうやったらずれる " sheetId="5" r:id="rId4"/>
  </sheets>
  <definedNames>
    <definedName name="_xlnm.Print_Area" localSheetId="2">SG計算式!#REF!</definedName>
    <definedName name="_xlnm.Print_Area" localSheetId="0">まとめ!$B$2:$E$19</definedName>
    <definedName name="_xlnm.Print_Area" localSheetId="1">富士通計算式!#REF!</definedName>
    <definedName name="_xlnm.Print_Titles" localSheetId="2">SG計算式!#REF!</definedName>
    <definedName name="_xlnm.Print_Titles" localSheetId="1">富士通計算式!#REF!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7" i="2" l="1"/>
  <c r="U138" i="2"/>
  <c r="U140" i="2"/>
  <c r="U134" i="2"/>
  <c r="U136" i="2" s="1"/>
  <c r="U135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T131" i="4"/>
  <c r="AT130" i="4"/>
  <c r="AN130" i="4"/>
  <c r="D12" i="5"/>
  <c r="D11" i="5"/>
  <c r="E5" i="5"/>
  <c r="G5" i="5" s="1"/>
  <c r="E4" i="5"/>
  <c r="D5" i="5"/>
  <c r="D4" i="5"/>
  <c r="C6" i="5"/>
  <c r="E7" i="5" s="1"/>
  <c r="BL130" i="4"/>
  <c r="BH130" i="4"/>
  <c r="BD130" i="4"/>
  <c r="AZ130" i="4"/>
  <c r="AR130" i="4"/>
  <c r="AV125" i="4"/>
  <c r="BN125" i="4" s="1"/>
  <c r="AN125" i="4"/>
  <c r="AL125" i="4"/>
  <c r="AP125" i="4" s="1"/>
  <c r="AT125" i="4" s="1"/>
  <c r="AJ125" i="4"/>
  <c r="AH125" i="4"/>
  <c r="BN73" i="4"/>
  <c r="AV73" i="4"/>
  <c r="AN73" i="4"/>
  <c r="AL73" i="4"/>
  <c r="AP73" i="4" s="1"/>
  <c r="AJ73" i="4"/>
  <c r="AH73" i="4"/>
  <c r="CE27" i="4"/>
  <c r="CC27" i="4"/>
  <c r="BQ26" i="4"/>
  <c r="BJ26" i="4"/>
  <c r="BF26" i="4"/>
  <c r="BB26" i="4"/>
  <c r="AX26" i="4"/>
  <c r="AV26" i="4"/>
  <c r="BN26" i="4" s="1"/>
  <c r="AN26" i="4"/>
  <c r="AJ26" i="4"/>
  <c r="AL26" i="4" s="1"/>
  <c r="AP26" i="4" s="1"/>
  <c r="AH26" i="4"/>
  <c r="W26" i="4"/>
  <c r="CE25" i="4"/>
  <c r="BQ25" i="4"/>
  <c r="BN25" i="4"/>
  <c r="BJ25" i="4"/>
  <c r="BF25" i="4"/>
  <c r="BB25" i="4"/>
  <c r="AX25" i="4"/>
  <c r="AV25" i="4"/>
  <c r="AP25" i="4"/>
  <c r="AN25" i="4"/>
  <c r="AT25" i="4" s="1"/>
  <c r="AL25" i="4"/>
  <c r="AJ25" i="4"/>
  <c r="AH25" i="4"/>
  <c r="W25" i="4"/>
  <c r="BQ24" i="4"/>
  <c r="BN24" i="4"/>
  <c r="BJ24" i="4"/>
  <c r="BF24" i="4"/>
  <c r="BB24" i="4"/>
  <c r="AX24" i="4"/>
  <c r="AV24" i="4"/>
  <c r="AN24" i="4"/>
  <c r="AL24" i="4"/>
  <c r="AP24" i="4" s="1"/>
  <c r="AJ24" i="4"/>
  <c r="AH24" i="4"/>
  <c r="W24" i="4"/>
  <c r="BQ23" i="4"/>
  <c r="BN23" i="4"/>
  <c r="BJ23" i="4"/>
  <c r="BF23" i="4"/>
  <c r="BB23" i="4"/>
  <c r="AX23" i="4"/>
  <c r="AV23" i="4"/>
  <c r="AN23" i="4"/>
  <c r="AL23" i="4"/>
  <c r="AP23" i="4" s="1"/>
  <c r="AJ23" i="4"/>
  <c r="AH23" i="4"/>
  <c r="W23" i="4"/>
  <c r="CE22" i="4"/>
  <c r="BQ22" i="4"/>
  <c r="BN22" i="4"/>
  <c r="BJ22" i="4"/>
  <c r="BF22" i="4"/>
  <c r="BB22" i="4"/>
  <c r="AX22" i="4"/>
  <c r="AV22" i="4"/>
  <c r="AN22" i="4"/>
  <c r="AL22" i="4"/>
  <c r="AP22" i="4" s="1"/>
  <c r="AT22" i="4" s="1"/>
  <c r="AJ22" i="4"/>
  <c r="AH22" i="4"/>
  <c r="W22" i="4"/>
  <c r="CV21" i="4"/>
  <c r="BQ21" i="4"/>
  <c r="BJ21" i="4"/>
  <c r="BF21" i="4"/>
  <c r="BB21" i="4"/>
  <c r="AX21" i="4"/>
  <c r="AV21" i="4"/>
  <c r="BN21" i="4" s="1"/>
  <c r="AN21" i="4"/>
  <c r="AL21" i="4"/>
  <c r="AP21" i="4" s="1"/>
  <c r="AT21" i="4" s="1"/>
  <c r="AJ21" i="4"/>
  <c r="AH21" i="4"/>
  <c r="W21" i="4"/>
  <c r="BQ20" i="4"/>
  <c r="BJ20" i="4"/>
  <c r="BF20" i="4"/>
  <c r="BB20" i="4"/>
  <c r="AX20" i="4"/>
  <c r="AV20" i="4"/>
  <c r="BN20" i="4" s="1"/>
  <c r="AN20" i="4"/>
  <c r="AL20" i="4"/>
  <c r="AP20" i="4" s="1"/>
  <c r="AT20" i="4" s="1"/>
  <c r="AJ20" i="4"/>
  <c r="AH20" i="4"/>
  <c r="W20" i="4"/>
  <c r="BQ19" i="4"/>
  <c r="BJ19" i="4"/>
  <c r="BF19" i="4"/>
  <c r="BB19" i="4"/>
  <c r="AX19" i="4"/>
  <c r="AV19" i="4"/>
  <c r="BN19" i="4" s="1"/>
  <c r="AN19" i="4"/>
  <c r="AL19" i="4"/>
  <c r="AP19" i="4" s="1"/>
  <c r="AT19" i="4" s="1"/>
  <c r="AJ19" i="4"/>
  <c r="AH19" i="4"/>
  <c r="W19" i="4"/>
  <c r="BQ18" i="4"/>
  <c r="BJ18" i="4"/>
  <c r="BF18" i="4"/>
  <c r="BB18" i="4"/>
  <c r="AX18" i="4"/>
  <c r="AV18" i="4"/>
  <c r="BN18" i="4" s="1"/>
  <c r="AN18" i="4"/>
  <c r="AL18" i="4"/>
  <c r="AP18" i="4" s="1"/>
  <c r="AT18" i="4" s="1"/>
  <c r="AJ18" i="4"/>
  <c r="AH18" i="4"/>
  <c r="W18" i="4"/>
  <c r="BQ17" i="4"/>
  <c r="BN17" i="4"/>
  <c r="BJ17" i="4"/>
  <c r="BF17" i="4"/>
  <c r="BB17" i="4"/>
  <c r="AX17" i="4"/>
  <c r="AV17" i="4"/>
  <c r="AN17" i="4"/>
  <c r="AT17" i="4" s="1"/>
  <c r="AL17" i="4"/>
  <c r="AP17" i="4" s="1"/>
  <c r="AJ17" i="4"/>
  <c r="AH17" i="4"/>
  <c r="W17" i="4"/>
  <c r="BQ16" i="4"/>
  <c r="BJ16" i="4"/>
  <c r="BF16" i="4"/>
  <c r="BB16" i="4"/>
  <c r="AX16" i="4"/>
  <c r="AV16" i="4"/>
  <c r="BN16" i="4" s="1"/>
  <c r="AN16" i="4"/>
  <c r="AJ16" i="4"/>
  <c r="AL16" i="4" s="1"/>
  <c r="AP16" i="4" s="1"/>
  <c r="AT16" i="4" s="1"/>
  <c r="AH16" i="4"/>
  <c r="W16" i="4"/>
  <c r="BQ15" i="4"/>
  <c r="BN15" i="4"/>
  <c r="BJ15" i="4"/>
  <c r="BF15" i="4"/>
  <c r="BB15" i="4"/>
  <c r="AX15" i="4"/>
  <c r="AV15" i="4"/>
  <c r="AN15" i="4"/>
  <c r="AL15" i="4"/>
  <c r="AP15" i="4" s="1"/>
  <c r="AJ15" i="4"/>
  <c r="AH15" i="4"/>
  <c r="W15" i="4"/>
  <c r="BQ14" i="4"/>
  <c r="BJ14" i="4"/>
  <c r="BF14" i="4"/>
  <c r="BB14" i="4"/>
  <c r="AX14" i="4"/>
  <c r="AV14" i="4"/>
  <c r="BN14" i="4" s="1"/>
  <c r="AN14" i="4"/>
  <c r="AJ14" i="4"/>
  <c r="AL14" i="4" s="1"/>
  <c r="AP14" i="4" s="1"/>
  <c r="AH14" i="4"/>
  <c r="W14" i="4"/>
  <c r="BQ13" i="4"/>
  <c r="BN13" i="4"/>
  <c r="BJ13" i="4"/>
  <c r="BF13" i="4"/>
  <c r="BB13" i="4"/>
  <c r="AX13" i="4"/>
  <c r="AV13" i="4"/>
  <c r="AN13" i="4"/>
  <c r="AL13" i="4"/>
  <c r="AP13" i="4" s="1"/>
  <c r="AJ13" i="4"/>
  <c r="AH13" i="4"/>
  <c r="W13" i="4"/>
  <c r="BQ12" i="4"/>
  <c r="BJ12" i="4"/>
  <c r="BF12" i="4"/>
  <c r="BB12" i="4"/>
  <c r="AX12" i="4"/>
  <c r="AV12" i="4"/>
  <c r="BN12" i="4" s="1"/>
  <c r="AN12" i="4"/>
  <c r="AJ12" i="4"/>
  <c r="AL12" i="4" s="1"/>
  <c r="AP12" i="4" s="1"/>
  <c r="AH12" i="4"/>
  <c r="W12" i="4"/>
  <c r="BQ11" i="4"/>
  <c r="BJ11" i="4"/>
  <c r="BF11" i="4"/>
  <c r="BB11" i="4"/>
  <c r="AX11" i="4"/>
  <c r="AV11" i="4"/>
  <c r="BN11" i="4" s="1"/>
  <c r="AN11" i="4"/>
  <c r="AL11" i="4"/>
  <c r="AP11" i="4" s="1"/>
  <c r="AT11" i="4" s="1"/>
  <c r="AJ11" i="4"/>
  <c r="AH11" i="4"/>
  <c r="W11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BQ10" i="4"/>
  <c r="BJ10" i="4"/>
  <c r="BF10" i="4"/>
  <c r="BB10" i="4"/>
  <c r="AX10" i="4"/>
  <c r="AV10" i="4"/>
  <c r="AN10" i="4"/>
  <c r="AL10" i="4"/>
  <c r="AP10" i="4" s="1"/>
  <c r="AJ10" i="4"/>
  <c r="AH10" i="4"/>
  <c r="W10" i="4"/>
  <c r="AV130" i="2"/>
  <c r="CD26" i="2"/>
  <c r="BU26" i="2"/>
  <c r="AZ26" i="2"/>
  <c r="BB26" i="2" s="1"/>
  <c r="AR26" i="2"/>
  <c r="AT26" i="2" s="1"/>
  <c r="AX26" i="2" s="1"/>
  <c r="AN26" i="2"/>
  <c r="AL26" i="2"/>
  <c r="W26" i="2"/>
  <c r="CD25" i="2"/>
  <c r="BS25" i="2"/>
  <c r="AZ25" i="2"/>
  <c r="BB25" i="2" s="1"/>
  <c r="AR25" i="2"/>
  <c r="AT25" i="2" s="1"/>
  <c r="AX25" i="2" s="1"/>
  <c r="AN25" i="2"/>
  <c r="AL25" i="2"/>
  <c r="W25" i="2"/>
  <c r="CD24" i="2"/>
  <c r="BQ24" i="2"/>
  <c r="BQ25" i="2" s="1"/>
  <c r="BB24" i="2"/>
  <c r="AZ24" i="2"/>
  <c r="AR24" i="2"/>
  <c r="AT24" i="2" s="1"/>
  <c r="AX24" i="2" s="1"/>
  <c r="AN24" i="2"/>
  <c r="AL24" i="2"/>
  <c r="W24" i="2"/>
  <c r="CD23" i="2"/>
  <c r="BU23" i="2"/>
  <c r="BU25" i="2" s="1"/>
  <c r="AZ23" i="2"/>
  <c r="BB23" i="2" s="1"/>
  <c r="AR23" i="2"/>
  <c r="AT23" i="2" s="1"/>
  <c r="AX23" i="2" s="1"/>
  <c r="AN23" i="2"/>
  <c r="AL23" i="2"/>
  <c r="W23" i="2"/>
  <c r="CD22" i="2"/>
  <c r="BU22" i="2"/>
  <c r="BU27" i="2" s="1"/>
  <c r="BQ22" i="2"/>
  <c r="AZ22" i="2"/>
  <c r="BB22" i="2" s="1"/>
  <c r="AR22" i="2"/>
  <c r="AT22" i="2" s="1"/>
  <c r="AX22" i="2" s="1"/>
  <c r="AN22" i="2"/>
  <c r="AL22" i="2"/>
  <c r="W22" i="2"/>
  <c r="CD21" i="2"/>
  <c r="BS21" i="2"/>
  <c r="AZ21" i="2"/>
  <c r="BB21" i="2" s="1"/>
  <c r="AR21" i="2"/>
  <c r="AT21" i="2" s="1"/>
  <c r="AX21" i="2" s="1"/>
  <c r="AN21" i="2"/>
  <c r="AL21" i="2"/>
  <c r="W21" i="2"/>
  <c r="CO20" i="2"/>
  <c r="CD20" i="2"/>
  <c r="BS20" i="2"/>
  <c r="BS22" i="2" s="1"/>
  <c r="BS27" i="2" s="1"/>
  <c r="AZ20" i="2"/>
  <c r="BB20" i="2" s="1"/>
  <c r="AR20" i="2"/>
  <c r="AT20" i="2" s="1"/>
  <c r="AX20" i="2" s="1"/>
  <c r="AN20" i="2"/>
  <c r="AL20" i="2"/>
  <c r="W20" i="2"/>
  <c r="CO19" i="2"/>
  <c r="CD19" i="2"/>
  <c r="BB19" i="2"/>
  <c r="AZ19" i="2"/>
  <c r="AR19" i="2"/>
  <c r="AT19" i="2" s="1"/>
  <c r="AX19" i="2" s="1"/>
  <c r="AN19" i="2"/>
  <c r="AL19" i="2"/>
  <c r="W19" i="2"/>
  <c r="CD18" i="2"/>
  <c r="BB18" i="2"/>
  <c r="AZ18" i="2"/>
  <c r="AR18" i="2"/>
  <c r="AT18" i="2" s="1"/>
  <c r="AX18" i="2" s="1"/>
  <c r="AN18" i="2"/>
  <c r="AL18" i="2"/>
  <c r="W18" i="2"/>
  <c r="CD17" i="2"/>
  <c r="AZ17" i="2"/>
  <c r="BB17" i="2" s="1"/>
  <c r="AR17" i="2"/>
  <c r="AT17" i="2" s="1"/>
  <c r="AX17" i="2" s="1"/>
  <c r="AN17" i="2"/>
  <c r="AL17" i="2"/>
  <c r="W17" i="2"/>
  <c r="CD16" i="2"/>
  <c r="AZ16" i="2"/>
  <c r="BB16" i="2" s="1"/>
  <c r="AR16" i="2"/>
  <c r="AT16" i="2" s="1"/>
  <c r="AX16" i="2" s="1"/>
  <c r="AN16" i="2"/>
  <c r="AL16" i="2"/>
  <c r="W16" i="2"/>
  <c r="CD15" i="2"/>
  <c r="AZ15" i="2"/>
  <c r="BB15" i="2" s="1"/>
  <c r="AR15" i="2"/>
  <c r="AT15" i="2" s="1"/>
  <c r="AX15" i="2" s="1"/>
  <c r="AN15" i="2"/>
  <c r="AL15" i="2"/>
  <c r="W15" i="2"/>
  <c r="CD14" i="2"/>
  <c r="AZ14" i="2"/>
  <c r="BB14" i="2" s="1"/>
  <c r="AR14" i="2"/>
  <c r="AT14" i="2" s="1"/>
  <c r="AX14" i="2" s="1"/>
  <c r="AN14" i="2"/>
  <c r="AL14" i="2"/>
  <c r="W14" i="2"/>
  <c r="CD13" i="2"/>
  <c r="BB13" i="2"/>
  <c r="AZ13" i="2"/>
  <c r="AR13" i="2"/>
  <c r="AT13" i="2" s="1"/>
  <c r="AX13" i="2" s="1"/>
  <c r="AN13" i="2"/>
  <c r="AL13" i="2"/>
  <c r="W13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CD12" i="2"/>
  <c r="AZ12" i="2"/>
  <c r="BB12" i="2" s="1"/>
  <c r="AR12" i="2"/>
  <c r="AT12" i="2" s="1"/>
  <c r="AX12" i="2" s="1"/>
  <c r="AN12" i="2"/>
  <c r="AL12" i="2"/>
  <c r="W12" i="2"/>
  <c r="A12" i="2"/>
  <c r="CD11" i="2"/>
  <c r="AZ11" i="2"/>
  <c r="BB11" i="2" s="1"/>
  <c r="AR11" i="2"/>
  <c r="AT11" i="2" s="1"/>
  <c r="AX11" i="2" s="1"/>
  <c r="AN11" i="2"/>
  <c r="AL11" i="2"/>
  <c r="W11" i="2"/>
  <c r="A11" i="2"/>
  <c r="CD10" i="2"/>
  <c r="AZ10" i="2"/>
  <c r="AR10" i="2"/>
  <c r="AT10" i="2" s="1"/>
  <c r="AN10" i="2"/>
  <c r="AL10" i="2"/>
  <c r="W10" i="2"/>
  <c r="U139" i="2" l="1"/>
  <c r="CO21" i="2"/>
  <c r="D13" i="5"/>
  <c r="D14" i="5" s="1"/>
  <c r="E14" i="5"/>
  <c r="H5" i="5"/>
  <c r="I5" i="5" s="1"/>
  <c r="E6" i="5"/>
  <c r="G4" i="5" s="1"/>
  <c r="H4" i="5" s="1"/>
  <c r="AT14" i="4"/>
  <c r="AT10" i="4"/>
  <c r="AB27" i="4" a="1"/>
  <c r="AB27" i="4" s="1"/>
  <c r="AD27" i="4" a="1"/>
  <c r="AD27" i="4" s="1"/>
  <c r="L27" i="4" a="1"/>
  <c r="L27" i="4" s="1"/>
  <c r="A28" i="4"/>
  <c r="Y27" i="4" a="1"/>
  <c r="Y27" i="4" s="1"/>
  <c r="F27" i="4" a="1"/>
  <c r="F27" i="4" s="1"/>
  <c r="AT12" i="4"/>
  <c r="AT15" i="4"/>
  <c r="AT13" i="4"/>
  <c r="AT24" i="4"/>
  <c r="AT23" i="4"/>
  <c r="AT26" i="4"/>
  <c r="BN10" i="4"/>
  <c r="AT73" i="4"/>
  <c r="AF27" i="2" a="1"/>
  <c r="AF27" i="2" s="1"/>
  <c r="AB27" i="2" a="1"/>
  <c r="AB27" i="2" s="1"/>
  <c r="Y27" i="2" a="1"/>
  <c r="Y27" i="2" s="1"/>
  <c r="L27" i="2" a="1"/>
  <c r="L27" i="2" s="1"/>
  <c r="A28" i="2"/>
  <c r="F27" i="2" a="1"/>
  <c r="F27" i="2" s="1"/>
  <c r="AX10" i="2"/>
  <c r="BB10" i="2"/>
  <c r="E11" i="5" l="1"/>
  <c r="G11" i="5" s="1"/>
  <c r="H11" i="5" s="1"/>
  <c r="E12" i="5"/>
  <c r="I4" i="5"/>
  <c r="I6" i="5" s="1"/>
  <c r="H6" i="5"/>
  <c r="J5" i="5"/>
  <c r="J4" i="5"/>
  <c r="G6" i="5"/>
  <c r="Q27" i="4" a="1"/>
  <c r="Q27" i="4" s="1"/>
  <c r="U27" i="4" a="1"/>
  <c r="U27" i="4" s="1"/>
  <c r="BJ27" i="4"/>
  <c r="BF27" i="4"/>
  <c r="BB27" i="4"/>
  <c r="W27" i="4"/>
  <c r="F28" i="4" a="1"/>
  <c r="F28" i="4" s="1"/>
  <c r="AD28" i="4" a="1"/>
  <c r="AD28" i="4" s="1"/>
  <c r="AB28" i="4" a="1"/>
  <c r="AB28" i="4" s="1"/>
  <c r="L28" i="4" a="1"/>
  <c r="L28" i="4" s="1"/>
  <c r="A29" i="4"/>
  <c r="Y28" i="4" a="1"/>
  <c r="Y28" i="4" s="1"/>
  <c r="Y28" i="2" a="1"/>
  <c r="Y28" i="2" s="1"/>
  <c r="L28" i="2" a="1"/>
  <c r="L28" i="2" s="1"/>
  <c r="F28" i="2" a="1"/>
  <c r="F28" i="2" s="1"/>
  <c r="A29" i="2"/>
  <c r="AF28" i="2" a="1"/>
  <c r="AF28" i="2" s="1"/>
  <c r="AB28" i="2" a="1"/>
  <c r="AB28" i="2" s="1"/>
  <c r="Q27" i="2" a="1"/>
  <c r="Q27" i="2" s="1"/>
  <c r="BD27" i="2"/>
  <c r="U27" i="2" a="1"/>
  <c r="U27" i="2" s="1"/>
  <c r="E13" i="5" l="1"/>
  <c r="G12" i="5" s="1"/>
  <c r="H12" i="5" s="1"/>
  <c r="J12" i="5" s="1"/>
  <c r="I11" i="5"/>
  <c r="J6" i="5"/>
  <c r="J11" i="5"/>
  <c r="BF28" i="4"/>
  <c r="BJ28" i="4"/>
  <c r="Q28" i="4" a="1"/>
  <c r="Q28" i="4" s="1"/>
  <c r="AX28" i="4"/>
  <c r="U28" i="4" a="1"/>
  <c r="U28" i="4" s="1"/>
  <c r="W28" i="4" s="1"/>
  <c r="F29" i="4" a="1"/>
  <c r="F29" i="4" s="1"/>
  <c r="AD29" i="4" a="1"/>
  <c r="AD29" i="4" s="1"/>
  <c r="AB29" i="4" a="1"/>
  <c r="AB29" i="4" s="1"/>
  <c r="L29" i="4" a="1"/>
  <c r="L29" i="4" s="1"/>
  <c r="A30" i="4"/>
  <c r="Y29" i="4" a="1"/>
  <c r="Y29" i="4" s="1"/>
  <c r="AN27" i="4"/>
  <c r="AJ27" i="4"/>
  <c r="AH27" i="4"/>
  <c r="S27" i="4"/>
  <c r="S27" i="2"/>
  <c r="BF27" i="2"/>
  <c r="Y29" i="2" a="1"/>
  <c r="Y29" i="2" s="1"/>
  <c r="L29" i="2" a="1"/>
  <c r="L29" i="2" s="1"/>
  <c r="F29" i="2" a="1"/>
  <c r="F29" i="2" s="1"/>
  <c r="A30" i="2"/>
  <c r="AF29" i="2" a="1"/>
  <c r="AF29" i="2" s="1"/>
  <c r="AB29" i="2" a="1"/>
  <c r="AB29" i="2" s="1"/>
  <c r="AP27" i="2"/>
  <c r="AJ27" i="2"/>
  <c r="W27" i="2"/>
  <c r="BD28" i="2"/>
  <c r="U28" i="2" a="1"/>
  <c r="U28" i="2" s="1"/>
  <c r="Q28" i="2" a="1"/>
  <c r="Q28" i="2" s="1"/>
  <c r="S28" i="2" l="1"/>
  <c r="H13" i="5"/>
  <c r="H15" i="5" s="1"/>
  <c r="J13" i="5"/>
  <c r="J15" i="5" s="1"/>
  <c r="G13" i="5"/>
  <c r="I12" i="5"/>
  <c r="I13" i="5" s="1"/>
  <c r="S28" i="4"/>
  <c r="A31" i="4"/>
  <c r="AD30" i="4" a="1"/>
  <c r="AD30" i="4" s="1"/>
  <c r="AB30" i="4" a="1"/>
  <c r="AB30" i="4" s="1"/>
  <c r="L30" i="4" a="1"/>
  <c r="L30" i="4" s="1"/>
  <c r="Y30" i="4" a="1"/>
  <c r="Y30" i="4" s="1"/>
  <c r="F30" i="4" a="1"/>
  <c r="F30" i="4" s="1"/>
  <c r="BQ27" i="4"/>
  <c r="BB29" i="4"/>
  <c r="U29" i="4" a="1"/>
  <c r="U29" i="4" s="1"/>
  <c r="BJ29" i="4"/>
  <c r="Q29" i="4" a="1"/>
  <c r="Q29" i="4" s="1"/>
  <c r="BF29" i="4"/>
  <c r="AJ28" i="4"/>
  <c r="AH28" i="4"/>
  <c r="BQ28" i="4"/>
  <c r="BF28" i="2"/>
  <c r="F30" i="2" a="1"/>
  <c r="F30" i="2" s="1"/>
  <c r="A31" i="2"/>
  <c r="AF30" i="2" a="1"/>
  <c r="AF30" i="2" s="1"/>
  <c r="AB30" i="2" a="1"/>
  <c r="AB30" i="2" s="1"/>
  <c r="L30" i="2" a="1"/>
  <c r="L30" i="2" s="1"/>
  <c r="Y30" i="2" a="1"/>
  <c r="Y30" i="2" s="1"/>
  <c r="BD29" i="2"/>
  <c r="U29" i="2" a="1"/>
  <c r="U29" i="2" s="1"/>
  <c r="Q29" i="2" a="1"/>
  <c r="Q29" i="2" s="1"/>
  <c r="S29" i="2" s="1"/>
  <c r="AP28" i="2"/>
  <c r="AJ28" i="2"/>
  <c r="CD28" i="2"/>
  <c r="CD27" i="2"/>
  <c r="W28" i="2"/>
  <c r="S29" i="4" l="1"/>
  <c r="AB31" i="4" a="1"/>
  <c r="AB31" i="4" s="1"/>
  <c r="AD31" i="4" a="1"/>
  <c r="AD31" i="4" s="1"/>
  <c r="L31" i="4" a="1"/>
  <c r="L31" i="4" s="1"/>
  <c r="Y31" i="4" a="1"/>
  <c r="Y31" i="4" s="1"/>
  <c r="F31" i="4" a="1"/>
  <c r="F31" i="4" s="1"/>
  <c r="A32" i="4"/>
  <c r="AX30" i="4"/>
  <c r="U30" i="4" a="1"/>
  <c r="U30" i="4" s="1"/>
  <c r="BJ30" i="4"/>
  <c r="Q30" i="4" a="1"/>
  <c r="Q30" i="4" s="1"/>
  <c r="BF30" i="4"/>
  <c r="AN28" i="4"/>
  <c r="W29" i="4"/>
  <c r="AH29" i="4"/>
  <c r="AN29" i="4" s="1"/>
  <c r="AJ29" i="4"/>
  <c r="BQ29" i="4"/>
  <c r="BD30" i="2"/>
  <c r="U30" i="2" a="1"/>
  <c r="U30" i="2" s="1"/>
  <c r="W30" i="2" s="1"/>
  <c r="Q30" i="2" a="1"/>
  <c r="Q30" i="2" s="1"/>
  <c r="F31" i="2" a="1"/>
  <c r="F31" i="2" s="1"/>
  <c r="A32" i="2"/>
  <c r="AF31" i="2" a="1"/>
  <c r="AF31" i="2" s="1"/>
  <c r="AB31" i="2" a="1"/>
  <c r="AB31" i="2" s="1"/>
  <c r="Y31" i="2" a="1"/>
  <c r="Y31" i="2" s="1"/>
  <c r="L31" i="2" a="1"/>
  <c r="L31" i="2" s="1"/>
  <c r="AJ29" i="2"/>
  <c r="CD29" i="2"/>
  <c r="AP29" i="2"/>
  <c r="W29" i="2"/>
  <c r="BF29" i="2"/>
  <c r="AH30" i="4" l="1"/>
  <c r="AN30" i="4" s="1"/>
  <c r="BQ30" i="4"/>
  <c r="AJ30" i="4"/>
  <c r="Q31" i="4" a="1"/>
  <c r="Q31" i="4" s="1"/>
  <c r="S31" i="4" s="1"/>
  <c r="BB31" i="4"/>
  <c r="U31" i="4" a="1"/>
  <c r="U31" i="4" s="1"/>
  <c r="BJ31" i="4"/>
  <c r="BF31" i="4"/>
  <c r="AB32" i="4" a="1"/>
  <c r="AB32" i="4" s="1"/>
  <c r="Y32" i="4" a="1"/>
  <c r="Y32" i="4" s="1"/>
  <c r="F32" i="4" a="1"/>
  <c r="F32" i="4" s="1"/>
  <c r="A33" i="4"/>
  <c r="AD32" i="4" a="1"/>
  <c r="AD32" i="4" s="1"/>
  <c r="L32" i="4" a="1"/>
  <c r="L32" i="4" s="1"/>
  <c r="S30" i="4"/>
  <c r="W30" i="4"/>
  <c r="U31" i="2" a="1"/>
  <c r="U31" i="2" s="1"/>
  <c r="Q31" i="2" a="1"/>
  <c r="Q31" i="2" s="1"/>
  <c r="BD31" i="2"/>
  <c r="A33" i="2"/>
  <c r="AF32" i="2" a="1"/>
  <c r="AF32" i="2" s="1"/>
  <c r="AB32" i="2" a="1"/>
  <c r="AB32" i="2" s="1"/>
  <c r="Y32" i="2" a="1"/>
  <c r="Y32" i="2" s="1"/>
  <c r="L32" i="2" a="1"/>
  <c r="L32" i="2" s="1"/>
  <c r="F32" i="2" a="1"/>
  <c r="F32" i="2" s="1"/>
  <c r="S30" i="2"/>
  <c r="AJ30" i="2"/>
  <c r="CD30" i="2"/>
  <c r="AP30" i="2"/>
  <c r="BF30" i="2"/>
  <c r="BF31" i="2" l="1"/>
  <c r="S31" i="2"/>
  <c r="BQ31" i="4"/>
  <c r="AJ31" i="4"/>
  <c r="AH31" i="4"/>
  <c r="AN31" i="4" s="1"/>
  <c r="W32" i="4"/>
  <c r="W31" i="4"/>
  <c r="Q32" i="4" a="1"/>
  <c r="Q32" i="4" s="1"/>
  <c r="S32" i="4" s="1"/>
  <c r="U32" i="4" a="1"/>
  <c r="U32" i="4" s="1"/>
  <c r="BJ32" i="4"/>
  <c r="BF32" i="4"/>
  <c r="BB32" i="4"/>
  <c r="Y33" i="4" a="1"/>
  <c r="Y33" i="4" s="1"/>
  <c r="L33" i="4" a="1"/>
  <c r="L33" i="4" s="1"/>
  <c r="AB33" i="4" a="1"/>
  <c r="AB33" i="4" s="1"/>
  <c r="F33" i="4" a="1"/>
  <c r="F33" i="4" s="1"/>
  <c r="A34" i="4"/>
  <c r="AD33" i="4" a="1"/>
  <c r="AD33" i="4" s="1"/>
  <c r="U32" i="2" a="1"/>
  <c r="U32" i="2" s="1"/>
  <c r="Q32" i="2" a="1"/>
  <c r="Q32" i="2" s="1"/>
  <c r="BD32" i="2"/>
  <c r="A34" i="2"/>
  <c r="AF33" i="2" a="1"/>
  <c r="AF33" i="2" s="1"/>
  <c r="AB33" i="2" a="1"/>
  <c r="AB33" i="2" s="1"/>
  <c r="Y33" i="2" a="1"/>
  <c r="Y33" i="2" s="1"/>
  <c r="L33" i="2" a="1"/>
  <c r="L33" i="2" s="1"/>
  <c r="F33" i="2" a="1"/>
  <c r="F33" i="2" s="1"/>
  <c r="AJ31" i="2"/>
  <c r="AP31" i="2"/>
  <c r="W31" i="2"/>
  <c r="BJ33" i="4" l="1"/>
  <c r="U33" i="4" a="1"/>
  <c r="U33" i="4" s="1"/>
  <c r="BF33" i="4"/>
  <c r="Q33" i="4" a="1"/>
  <c r="Q33" i="4" s="1"/>
  <c r="AX33" i="4"/>
  <c r="F34" i="4" a="1"/>
  <c r="F34" i="4" s="1"/>
  <c r="Y34" i="4" a="1"/>
  <c r="Y34" i="4" s="1"/>
  <c r="AD34" i="4" a="1"/>
  <c r="AD34" i="4" s="1"/>
  <c r="AB34" i="4" a="1"/>
  <c r="AB34" i="4" s="1"/>
  <c r="L34" i="4" a="1"/>
  <c r="L34" i="4" s="1"/>
  <c r="A35" i="4"/>
  <c r="BQ32" i="4"/>
  <c r="AJ32" i="4"/>
  <c r="AH32" i="4"/>
  <c r="AN32" i="4" s="1"/>
  <c r="S32" i="2"/>
  <c r="CD32" i="2"/>
  <c r="AP32" i="2"/>
  <c r="AJ32" i="2"/>
  <c r="W32" i="2"/>
  <c r="Q33" i="2" a="1"/>
  <c r="Q33" i="2" s="1"/>
  <c r="BD33" i="2"/>
  <c r="U33" i="2" a="1"/>
  <c r="U33" i="2" s="1"/>
  <c r="AB34" i="2" a="1"/>
  <c r="AB34" i="2" s="1"/>
  <c r="Y34" i="2" a="1"/>
  <c r="Y34" i="2" s="1"/>
  <c r="L34" i="2" a="1"/>
  <c r="L34" i="2" s="1"/>
  <c r="F34" i="2" a="1"/>
  <c r="F34" i="2" s="1"/>
  <c r="A35" i="2"/>
  <c r="AF34" i="2" a="1"/>
  <c r="AF34" i="2" s="1"/>
  <c r="CD31" i="2"/>
  <c r="BF32" i="2"/>
  <c r="S33" i="2" l="1"/>
  <c r="A36" i="4"/>
  <c r="AD35" i="4" a="1"/>
  <c r="AD35" i="4" s="1"/>
  <c r="AB35" i="4" a="1"/>
  <c r="AB35" i="4" s="1"/>
  <c r="L35" i="4" a="1"/>
  <c r="L35" i="4" s="1"/>
  <c r="Y35" i="4" a="1"/>
  <c r="Y35" i="4" s="1"/>
  <c r="F35" i="4" a="1"/>
  <c r="F35" i="4" s="1"/>
  <c r="BF34" i="4"/>
  <c r="BB34" i="4"/>
  <c r="U34" i="4" a="1"/>
  <c r="U34" i="4" s="1"/>
  <c r="BJ34" i="4"/>
  <c r="Q34" i="4" a="1"/>
  <c r="Q34" i="4" s="1"/>
  <c r="S34" i="4" s="1"/>
  <c r="AN33" i="4"/>
  <c r="AJ33" i="4"/>
  <c r="BQ33" i="4"/>
  <c r="AH33" i="4"/>
  <c r="W33" i="4"/>
  <c r="S33" i="4"/>
  <c r="AB35" i="2" a="1"/>
  <c r="AB35" i="2" s="1"/>
  <c r="Y35" i="2" a="1"/>
  <c r="Y35" i="2" s="1"/>
  <c r="L35" i="2" a="1"/>
  <c r="L35" i="2" s="1"/>
  <c r="F35" i="2" a="1"/>
  <c r="F35" i="2" s="1"/>
  <c r="A36" i="2"/>
  <c r="AF35" i="2" a="1"/>
  <c r="AF35" i="2" s="1"/>
  <c r="CD33" i="2"/>
  <c r="AP33" i="2"/>
  <c r="AJ33" i="2"/>
  <c r="W33" i="2"/>
  <c r="BF33" i="2"/>
  <c r="Q34" i="2" a="1"/>
  <c r="Q34" i="2" s="1"/>
  <c r="BD34" i="2"/>
  <c r="U34" i="2" a="1"/>
  <c r="U34" i="2" s="1"/>
  <c r="S34" i="2" l="1"/>
  <c r="AX35" i="4"/>
  <c r="U35" i="4" a="1"/>
  <c r="U35" i="4" s="1"/>
  <c r="BJ35" i="4"/>
  <c r="Q35" i="4" a="1"/>
  <c r="Q35" i="4" s="1"/>
  <c r="S35" i="4" s="1"/>
  <c r="BF35" i="4"/>
  <c r="A37" i="4"/>
  <c r="AD36" i="4" a="1"/>
  <c r="AD36" i="4" s="1"/>
  <c r="AB36" i="4" a="1"/>
  <c r="AB36" i="4" s="1"/>
  <c r="L36" i="4" a="1"/>
  <c r="L36" i="4" s="1"/>
  <c r="Y36" i="4" a="1"/>
  <c r="Y36" i="4" s="1"/>
  <c r="F36" i="4" a="1"/>
  <c r="F36" i="4" s="1"/>
  <c r="AJ34" i="4"/>
  <c r="AH34" i="4"/>
  <c r="AN34" i="4"/>
  <c r="BQ34" i="4"/>
  <c r="W34" i="4"/>
  <c r="CD34" i="2"/>
  <c r="AP34" i="2"/>
  <c r="AJ34" i="2"/>
  <c r="Q35" i="2" a="1"/>
  <c r="Q35" i="2" s="1"/>
  <c r="BD35" i="2"/>
  <c r="U35" i="2" a="1"/>
  <c r="U35" i="2" s="1"/>
  <c r="W34" i="2"/>
  <c r="BF34" i="2"/>
  <c r="Y36" i="2" a="1"/>
  <c r="Y36" i="2" s="1"/>
  <c r="L36" i="2" a="1"/>
  <c r="L36" i="2" s="1"/>
  <c r="F36" i="2" a="1"/>
  <c r="F36" i="2" s="1"/>
  <c r="A37" i="2"/>
  <c r="AF36" i="2" a="1"/>
  <c r="AF36" i="2" s="1"/>
  <c r="AB36" i="2" a="1"/>
  <c r="AB36" i="2" s="1"/>
  <c r="AB37" i="4" l="1" a="1"/>
  <c r="AB37" i="4" s="1"/>
  <c r="AD37" i="4" a="1"/>
  <c r="AD37" i="4" s="1"/>
  <c r="L37" i="4" a="1"/>
  <c r="L37" i="4" s="1"/>
  <c r="Y37" i="4" a="1"/>
  <c r="Y37" i="4" s="1"/>
  <c r="F37" i="4" a="1"/>
  <c r="F37" i="4" s="1"/>
  <c r="A38" i="4"/>
  <c r="BQ35" i="4"/>
  <c r="AJ35" i="4"/>
  <c r="AH35" i="4"/>
  <c r="AN35" i="4" s="1"/>
  <c r="W35" i="4"/>
  <c r="U36" i="4" a="1"/>
  <c r="U36" i="4" s="1"/>
  <c r="BJ36" i="4"/>
  <c r="Q36" i="4" a="1"/>
  <c r="Q36" i="4" s="1"/>
  <c r="BF36" i="4"/>
  <c r="AX36" i="4"/>
  <c r="Y37" i="2" a="1"/>
  <c r="Y37" i="2" s="1"/>
  <c r="L37" i="2" a="1"/>
  <c r="L37" i="2" s="1"/>
  <c r="F37" i="2" a="1"/>
  <c r="F37" i="2" s="1"/>
  <c r="A38" i="2"/>
  <c r="AF37" i="2" a="1"/>
  <c r="AF37" i="2" s="1"/>
  <c r="AB37" i="2" a="1"/>
  <c r="AB37" i="2" s="1"/>
  <c r="BF35" i="2"/>
  <c r="S35" i="2"/>
  <c r="CD35" i="2"/>
  <c r="AP35" i="2"/>
  <c r="AJ35" i="2"/>
  <c r="W35" i="2"/>
  <c r="BD36" i="2"/>
  <c r="U36" i="2" a="1"/>
  <c r="U36" i="2" s="1"/>
  <c r="Q36" i="2" a="1"/>
  <c r="Q36" i="2" s="1"/>
  <c r="S36" i="4" l="1"/>
  <c r="AB38" i="4" a="1"/>
  <c r="AB38" i="4" s="1"/>
  <c r="A39" i="4"/>
  <c r="L38" i="4" a="1"/>
  <c r="L38" i="4" s="1"/>
  <c r="AD38" i="4" a="1"/>
  <c r="AD38" i="4" s="1"/>
  <c r="F38" i="4" a="1"/>
  <c r="F38" i="4" s="1"/>
  <c r="Y38" i="4" a="1"/>
  <c r="Y38" i="4" s="1"/>
  <c r="AJ36" i="4"/>
  <c r="AH36" i="4"/>
  <c r="AN36" i="4"/>
  <c r="BQ36" i="4"/>
  <c r="W36" i="4"/>
  <c r="Q37" i="4" a="1"/>
  <c r="Q37" i="4" s="1"/>
  <c r="S37" i="4" s="1"/>
  <c r="BJ37" i="4"/>
  <c r="BF37" i="4"/>
  <c r="BB37" i="4"/>
  <c r="U37" i="4" a="1"/>
  <c r="U37" i="4" s="1"/>
  <c r="BD37" i="2"/>
  <c r="U37" i="2" a="1"/>
  <c r="U37" i="2" s="1"/>
  <c r="Q37" i="2" a="1"/>
  <c r="Q37" i="2" s="1"/>
  <c r="F38" i="2" a="1"/>
  <c r="F38" i="2" s="1"/>
  <c r="A39" i="2"/>
  <c r="AF38" i="2" a="1"/>
  <c r="AF38" i="2" s="1"/>
  <c r="AB38" i="2" a="1"/>
  <c r="AB38" i="2" s="1"/>
  <c r="Y38" i="2" a="1"/>
  <c r="Y38" i="2" s="1"/>
  <c r="L38" i="2" a="1"/>
  <c r="L38" i="2" s="1"/>
  <c r="S36" i="2"/>
  <c r="AP36" i="2"/>
  <c r="AJ36" i="2"/>
  <c r="CD36" i="2"/>
  <c r="W36" i="2"/>
  <c r="W37" i="2"/>
  <c r="BF36" i="2"/>
  <c r="BF38" i="4" l="1"/>
  <c r="Q38" i="4" a="1"/>
  <c r="Q38" i="4" s="1"/>
  <c r="BJ38" i="4"/>
  <c r="BB38" i="4"/>
  <c r="U38" i="4" a="1"/>
  <c r="U38" i="4" s="1"/>
  <c r="BQ37" i="4"/>
  <c r="AH37" i="4"/>
  <c r="AN37" i="4" s="1"/>
  <c r="AJ37" i="4"/>
  <c r="W37" i="4"/>
  <c r="F39" i="4" a="1"/>
  <c r="F39" i="4" s="1"/>
  <c r="Y39" i="4" a="1"/>
  <c r="Y39" i="4" s="1"/>
  <c r="L39" i="4" a="1"/>
  <c r="L39" i="4" s="1"/>
  <c r="A40" i="4"/>
  <c r="AD39" i="4" a="1"/>
  <c r="AD39" i="4" s="1"/>
  <c r="AB39" i="4" a="1"/>
  <c r="AB39" i="4" s="1"/>
  <c r="S37" i="2"/>
  <c r="BD38" i="2"/>
  <c r="U38" i="2" a="1"/>
  <c r="U38" i="2" s="1"/>
  <c r="W38" i="2" s="1"/>
  <c r="Q38" i="2" a="1"/>
  <c r="Q38" i="2" s="1"/>
  <c r="AJ37" i="2"/>
  <c r="CD37" i="2"/>
  <c r="AP37" i="2"/>
  <c r="F39" i="2" a="1"/>
  <c r="F39" i="2" s="1"/>
  <c r="A40" i="2"/>
  <c r="AF39" i="2" a="1"/>
  <c r="AF39" i="2" s="1"/>
  <c r="AB39" i="2" a="1"/>
  <c r="AB39" i="2" s="1"/>
  <c r="Y39" i="2" a="1"/>
  <c r="Y39" i="2" s="1"/>
  <c r="L39" i="2" a="1"/>
  <c r="L39" i="2" s="1"/>
  <c r="BF37" i="2"/>
  <c r="S38" i="2" l="1"/>
  <c r="AJ38" i="4"/>
  <c r="BQ38" i="4"/>
  <c r="AH38" i="4"/>
  <c r="AN38" i="4" s="1"/>
  <c r="W38" i="4"/>
  <c r="BB39" i="4"/>
  <c r="BJ39" i="4"/>
  <c r="U39" i="4" a="1"/>
  <c r="U39" i="4" s="1"/>
  <c r="Q39" i="4" a="1"/>
  <c r="Q39" i="4" s="1"/>
  <c r="BF39" i="4"/>
  <c r="S38" i="4"/>
  <c r="AB40" i="4" a="1"/>
  <c r="AB40" i="4" s="1"/>
  <c r="F40" i="4" a="1"/>
  <c r="F40" i="4" s="1"/>
  <c r="A41" i="4"/>
  <c r="L40" i="4" a="1"/>
  <c r="L40" i="4" s="1"/>
  <c r="AD40" i="4" a="1"/>
  <c r="AD40" i="4" s="1"/>
  <c r="Y40" i="4" a="1"/>
  <c r="Y40" i="4" s="1"/>
  <c r="AJ38" i="2"/>
  <c r="CD38" i="2"/>
  <c r="AP38" i="2"/>
  <c r="BF38" i="2"/>
  <c r="A41" i="2"/>
  <c r="AF40" i="2" a="1"/>
  <c r="AF40" i="2" s="1"/>
  <c r="AB40" i="2" a="1"/>
  <c r="AB40" i="2" s="1"/>
  <c r="Y40" i="2" a="1"/>
  <c r="Y40" i="2" s="1"/>
  <c r="L40" i="2" a="1"/>
  <c r="L40" i="2" s="1"/>
  <c r="F40" i="2" a="1"/>
  <c r="F40" i="2" s="1"/>
  <c r="U39" i="2" a="1"/>
  <c r="U39" i="2" s="1"/>
  <c r="Q39" i="2" a="1"/>
  <c r="Q39" i="2" s="1"/>
  <c r="S39" i="2" s="1"/>
  <c r="BD39" i="2"/>
  <c r="BF39" i="2" l="1"/>
  <c r="AD41" i="4" a="1"/>
  <c r="AD41" i="4" s="1"/>
  <c r="F41" i="4" a="1"/>
  <c r="F41" i="4" s="1"/>
  <c r="AB41" i="4" a="1"/>
  <c r="AB41" i="4" s="1"/>
  <c r="Y41" i="4" a="1"/>
  <c r="Y41" i="4" s="1"/>
  <c r="L41" i="4" a="1"/>
  <c r="L41" i="4" s="1"/>
  <c r="A42" i="4"/>
  <c r="Q40" i="4" a="1"/>
  <c r="Q40" i="4" s="1"/>
  <c r="S40" i="4" s="1"/>
  <c r="BJ40" i="4"/>
  <c r="BF40" i="4"/>
  <c r="BB40" i="4"/>
  <c r="U40" i="4" a="1"/>
  <c r="U40" i="4" s="1"/>
  <c r="S39" i="4"/>
  <c r="AH39" i="4"/>
  <c r="AN39" i="4"/>
  <c r="AJ39" i="4"/>
  <c r="BQ39" i="4"/>
  <c r="W39" i="4"/>
  <c r="AJ39" i="2"/>
  <c r="CD39" i="2"/>
  <c r="AP39" i="2"/>
  <c r="W39" i="2"/>
  <c r="U40" i="2" a="1"/>
  <c r="U40" i="2" s="1"/>
  <c r="Q40" i="2" a="1"/>
  <c r="Q40" i="2" s="1"/>
  <c r="S40" i="2" s="1"/>
  <c r="BD40" i="2"/>
  <c r="A42" i="2"/>
  <c r="AF41" i="2" a="1"/>
  <c r="AF41" i="2" s="1"/>
  <c r="AB41" i="2" a="1"/>
  <c r="AB41" i="2" s="1"/>
  <c r="Y41" i="2" a="1"/>
  <c r="Y41" i="2" s="1"/>
  <c r="L41" i="2" a="1"/>
  <c r="L41" i="2" s="1"/>
  <c r="F41" i="2" a="1"/>
  <c r="F41" i="2" s="1"/>
  <c r="BF40" i="2" l="1"/>
  <c r="BQ40" i="4"/>
  <c r="AJ40" i="4"/>
  <c r="AH40" i="4"/>
  <c r="AN40" i="4"/>
  <c r="W40" i="4"/>
  <c r="Q41" i="4" a="1"/>
  <c r="Q41" i="4" s="1"/>
  <c r="S41" i="4" s="1"/>
  <c r="BF41" i="4"/>
  <c r="U41" i="4" a="1"/>
  <c r="U41" i="4" s="1"/>
  <c r="BB41" i="4"/>
  <c r="BJ41" i="4"/>
  <c r="Y42" i="4" a="1"/>
  <c r="Y42" i="4" s="1"/>
  <c r="L42" i="4" a="1"/>
  <c r="L42" i="4" s="1"/>
  <c r="F42" i="4" a="1"/>
  <c r="F42" i="4" s="1"/>
  <c r="AB42" i="4" a="1"/>
  <c r="AB42" i="4" s="1"/>
  <c r="A43" i="4"/>
  <c r="AD42" i="4" a="1"/>
  <c r="AD42" i="4" s="1"/>
  <c r="CD40" i="2"/>
  <c r="AP40" i="2"/>
  <c r="AJ40" i="2"/>
  <c r="W40" i="2"/>
  <c r="Q41" i="2" a="1"/>
  <c r="Q41" i="2" s="1"/>
  <c r="BD41" i="2"/>
  <c r="U41" i="2" a="1"/>
  <c r="U41" i="2" s="1"/>
  <c r="W41" i="2" s="1"/>
  <c r="AB42" i="2" a="1"/>
  <c r="AB42" i="2" s="1"/>
  <c r="Y42" i="2" a="1"/>
  <c r="Y42" i="2" s="1"/>
  <c r="L42" i="2" a="1"/>
  <c r="L42" i="2" s="1"/>
  <c r="F42" i="2" a="1"/>
  <c r="F42" i="2" s="1"/>
  <c r="A43" i="2"/>
  <c r="AF42" i="2" a="1"/>
  <c r="AF42" i="2" s="1"/>
  <c r="BF41" i="2" l="1"/>
  <c r="L43" i="4" a="1"/>
  <c r="L43" i="4" s="1"/>
  <c r="AD43" i="4" a="1"/>
  <c r="AD43" i="4" s="1"/>
  <c r="Y43" i="4" a="1"/>
  <c r="Y43" i="4" s="1"/>
  <c r="F43" i="4" a="1"/>
  <c r="F43" i="4" s="1"/>
  <c r="A44" i="4"/>
  <c r="AB43" i="4" a="1"/>
  <c r="AB43" i="4" s="1"/>
  <c r="BJ42" i="4"/>
  <c r="BF42" i="4"/>
  <c r="U42" i="4" a="1"/>
  <c r="U42" i="4" s="1"/>
  <c r="BB42" i="4"/>
  <c r="Q42" i="4" a="1"/>
  <c r="Q42" i="4" s="1"/>
  <c r="S42" i="4" s="1"/>
  <c r="AH41" i="4"/>
  <c r="AN41" i="4" s="1"/>
  <c r="BQ41" i="4"/>
  <c r="AJ41" i="4"/>
  <c r="W41" i="4"/>
  <c r="AB43" i="2" a="1"/>
  <c r="AB43" i="2" s="1"/>
  <c r="Y43" i="2" a="1"/>
  <c r="Y43" i="2" s="1"/>
  <c r="L43" i="2" a="1"/>
  <c r="L43" i="2" s="1"/>
  <c r="F43" i="2" a="1"/>
  <c r="F43" i="2" s="1"/>
  <c r="A44" i="2"/>
  <c r="AF43" i="2" a="1"/>
  <c r="AF43" i="2" s="1"/>
  <c r="Q42" i="2" a="1"/>
  <c r="Q42" i="2" s="1"/>
  <c r="BD42" i="2"/>
  <c r="BF42" i="2" s="1"/>
  <c r="U42" i="2" a="1"/>
  <c r="U42" i="2" s="1"/>
  <c r="CD41" i="2"/>
  <c r="AP41" i="2"/>
  <c r="AJ41" i="2"/>
  <c r="S41" i="2"/>
  <c r="W43" i="4" l="1"/>
  <c r="AH42" i="4"/>
  <c r="AN42" i="4" s="1"/>
  <c r="BQ42" i="4"/>
  <c r="AJ42" i="4"/>
  <c r="W42" i="4"/>
  <c r="BF43" i="4"/>
  <c r="BJ43" i="4"/>
  <c r="U43" i="4" a="1"/>
  <c r="U43" i="4" s="1"/>
  <c r="Q43" i="4" a="1"/>
  <c r="Q43" i="4" s="1"/>
  <c r="S43" i="4" s="1"/>
  <c r="BB43" i="4"/>
  <c r="F44" i="4" a="1"/>
  <c r="F44" i="4" s="1"/>
  <c r="AD44" i="4" a="1"/>
  <c r="AD44" i="4" s="1"/>
  <c r="L44" i="4" a="1"/>
  <c r="L44" i="4" s="1"/>
  <c r="A45" i="4"/>
  <c r="AB44" i="4" a="1"/>
  <c r="AB44" i="4" s="1"/>
  <c r="Y44" i="4" a="1"/>
  <c r="Y44" i="4" s="1"/>
  <c r="S42" i="2"/>
  <c r="Q43" i="2" a="1"/>
  <c r="Q43" i="2" s="1"/>
  <c r="BD43" i="2"/>
  <c r="BF43" i="2" s="1"/>
  <c r="U43" i="2" a="1"/>
  <c r="U43" i="2" s="1"/>
  <c r="CD42" i="2"/>
  <c r="AP42" i="2"/>
  <c r="AJ42" i="2"/>
  <c r="W42" i="2"/>
  <c r="Y44" i="2" a="1"/>
  <c r="Y44" i="2" s="1"/>
  <c r="L44" i="2" a="1"/>
  <c r="L44" i="2" s="1"/>
  <c r="F44" i="2" a="1"/>
  <c r="F44" i="2" s="1"/>
  <c r="A45" i="2"/>
  <c r="AF44" i="2" a="1"/>
  <c r="AF44" i="2" s="1"/>
  <c r="AB44" i="2" a="1"/>
  <c r="AB44" i="2" s="1"/>
  <c r="F45" i="4" l="1" a="1"/>
  <c r="F45" i="4" s="1"/>
  <c r="AD45" i="4" a="1"/>
  <c r="AD45" i="4" s="1"/>
  <c r="A46" i="4"/>
  <c r="AB45" i="4" a="1"/>
  <c r="AB45" i="4" s="1"/>
  <c r="L45" i="4" a="1"/>
  <c r="L45" i="4" s="1"/>
  <c r="Y45" i="4" a="1"/>
  <c r="Y45" i="4" s="1"/>
  <c r="BB44" i="4"/>
  <c r="BJ44" i="4"/>
  <c r="U44" i="4" a="1"/>
  <c r="U44" i="4" s="1"/>
  <c r="BF44" i="4"/>
  <c r="Q44" i="4" a="1"/>
  <c r="Q44" i="4" s="1"/>
  <c r="AJ43" i="4"/>
  <c r="AH43" i="4"/>
  <c r="AN43" i="4" s="1"/>
  <c r="BQ43" i="4"/>
  <c r="BD44" i="2"/>
  <c r="U44" i="2" a="1"/>
  <c r="U44" i="2" s="1"/>
  <c r="Q44" i="2" a="1"/>
  <c r="Q44" i="2" s="1"/>
  <c r="CD43" i="2"/>
  <c r="AP43" i="2"/>
  <c r="AJ43" i="2"/>
  <c r="W43" i="2"/>
  <c r="Y45" i="2" a="1"/>
  <c r="Y45" i="2" s="1"/>
  <c r="L45" i="2" a="1"/>
  <c r="L45" i="2" s="1"/>
  <c r="F45" i="2" a="1"/>
  <c r="F45" i="2" s="1"/>
  <c r="A46" i="2"/>
  <c r="AF45" i="2" a="1"/>
  <c r="AF45" i="2" s="1"/>
  <c r="AB45" i="2" a="1"/>
  <c r="AB45" i="2" s="1"/>
  <c r="S43" i="2"/>
  <c r="BF44" i="2" l="1"/>
  <c r="S44" i="2"/>
  <c r="U45" i="4" a="1"/>
  <c r="U45" i="4" s="1"/>
  <c r="W45" i="4" s="1"/>
  <c r="BB45" i="4"/>
  <c r="BJ45" i="4"/>
  <c r="BF45" i="4"/>
  <c r="Q45" i="4" a="1"/>
  <c r="Q45" i="4" s="1"/>
  <c r="S44" i="4"/>
  <c r="AH44" i="4"/>
  <c r="AJ44" i="4"/>
  <c r="BQ44" i="4"/>
  <c r="AN44" i="4"/>
  <c r="W44" i="4"/>
  <c r="A47" i="4"/>
  <c r="AD46" i="4" a="1"/>
  <c r="AD46" i="4" s="1"/>
  <c r="AB46" i="4" a="1"/>
  <c r="AB46" i="4" s="1"/>
  <c r="F46" i="4" a="1"/>
  <c r="F46" i="4" s="1"/>
  <c r="L46" i="4" a="1"/>
  <c r="L46" i="4" s="1"/>
  <c r="Y46" i="4" a="1"/>
  <c r="Y46" i="4" s="1"/>
  <c r="BD45" i="2"/>
  <c r="BF45" i="2" s="1"/>
  <c r="U45" i="2" a="1"/>
  <c r="U45" i="2" s="1"/>
  <c r="Q45" i="2" a="1"/>
  <c r="Q45" i="2" s="1"/>
  <c r="S45" i="2" s="1"/>
  <c r="AP44" i="2"/>
  <c r="AJ44" i="2"/>
  <c r="CD44" i="2"/>
  <c r="W44" i="2"/>
  <c r="F46" i="2" a="1"/>
  <c r="F46" i="2" s="1"/>
  <c r="A47" i="2"/>
  <c r="AF46" i="2" a="1"/>
  <c r="AF46" i="2" s="1"/>
  <c r="AB46" i="2" a="1"/>
  <c r="AB46" i="2" s="1"/>
  <c r="Y46" i="2" a="1"/>
  <c r="Y46" i="2" s="1"/>
  <c r="L46" i="2" a="1"/>
  <c r="L46" i="2" s="1"/>
  <c r="S45" i="4" l="1"/>
  <c r="BF46" i="4"/>
  <c r="U46" i="4" a="1"/>
  <c r="U46" i="4" s="1"/>
  <c r="BB46" i="4"/>
  <c r="BJ46" i="4"/>
  <c r="Q46" i="4" a="1"/>
  <c r="Q46" i="4" s="1"/>
  <c r="S46" i="4" s="1"/>
  <c r="AB47" i="4" a="1"/>
  <c r="AB47" i="4" s="1"/>
  <c r="Y47" i="4" a="1"/>
  <c r="Y47" i="4" s="1"/>
  <c r="F47" i="4" a="1"/>
  <c r="F47" i="4" s="1"/>
  <c r="L47" i="4" a="1"/>
  <c r="L47" i="4" s="1"/>
  <c r="AD47" i="4" a="1"/>
  <c r="AD47" i="4" s="1"/>
  <c r="A48" i="4"/>
  <c r="AJ45" i="4"/>
  <c r="AH45" i="4"/>
  <c r="BQ45" i="4"/>
  <c r="AN45" i="4"/>
  <c r="F47" i="2" a="1"/>
  <c r="F47" i="2" s="1"/>
  <c r="A48" i="2"/>
  <c r="AF47" i="2" a="1"/>
  <c r="AF47" i="2" s="1"/>
  <c r="AB47" i="2" a="1"/>
  <c r="AB47" i="2" s="1"/>
  <c r="Y47" i="2" a="1"/>
  <c r="Y47" i="2" s="1"/>
  <c r="L47" i="2" a="1"/>
  <c r="L47" i="2" s="1"/>
  <c r="AJ45" i="2"/>
  <c r="CD45" i="2"/>
  <c r="AP45" i="2"/>
  <c r="W45" i="2"/>
  <c r="BD46" i="2"/>
  <c r="BF46" i="2" s="1"/>
  <c r="U46" i="2" a="1"/>
  <c r="U46" i="2" s="1"/>
  <c r="Q46" i="2" a="1"/>
  <c r="Q46" i="2" s="1"/>
  <c r="S46" i="2" s="1"/>
  <c r="AH46" i="4" l="1"/>
  <c r="AN46" i="4" s="1"/>
  <c r="AJ46" i="4"/>
  <c r="BQ46" i="4"/>
  <c r="W46" i="4"/>
  <c r="BF47" i="4"/>
  <c r="U47" i="4" a="1"/>
  <c r="U47" i="4" s="1"/>
  <c r="BB47" i="4"/>
  <c r="BJ47" i="4"/>
  <c r="Q47" i="4" a="1"/>
  <c r="Q47" i="4" s="1"/>
  <c r="AB48" i="4" a="1"/>
  <c r="AB48" i="4" s="1"/>
  <c r="Y48" i="4" a="1"/>
  <c r="Y48" i="4" s="1"/>
  <c r="F48" i="4" a="1"/>
  <c r="F48" i="4" s="1"/>
  <c r="AD48" i="4" a="1"/>
  <c r="AD48" i="4" s="1"/>
  <c r="A49" i="4"/>
  <c r="L48" i="4" a="1"/>
  <c r="L48" i="4" s="1"/>
  <c r="AJ46" i="2"/>
  <c r="CD46" i="2"/>
  <c r="AP46" i="2"/>
  <c r="W46" i="2"/>
  <c r="U47" i="2" a="1"/>
  <c r="U47" i="2" s="1"/>
  <c r="Q47" i="2" a="1"/>
  <c r="Q47" i="2" s="1"/>
  <c r="S47" i="2" s="1"/>
  <c r="BD47" i="2"/>
  <c r="BF47" i="2" s="1"/>
  <c r="A49" i="2"/>
  <c r="AF48" i="2" a="1"/>
  <c r="AF48" i="2" s="1"/>
  <c r="AB48" i="2" a="1"/>
  <c r="AB48" i="2" s="1"/>
  <c r="Y48" i="2" a="1"/>
  <c r="Y48" i="2" s="1"/>
  <c r="L48" i="2" a="1"/>
  <c r="L48" i="2" s="1"/>
  <c r="F48" i="2" a="1"/>
  <c r="F48" i="2" s="1"/>
  <c r="Q48" i="4" l="1" a="1"/>
  <c r="Q48" i="4" s="1"/>
  <c r="S48" i="4" s="1"/>
  <c r="BF48" i="4"/>
  <c r="U48" i="4" a="1"/>
  <c r="U48" i="4" s="1"/>
  <c r="BJ48" i="4"/>
  <c r="BB48" i="4"/>
  <c r="S47" i="4"/>
  <c r="AH47" i="4"/>
  <c r="AN47" i="4" s="1"/>
  <c r="BQ47" i="4"/>
  <c r="AJ47" i="4"/>
  <c r="W47" i="4"/>
  <c r="AD49" i="4" a="1"/>
  <c r="AD49" i="4" s="1"/>
  <c r="Y49" i="4" a="1"/>
  <c r="Y49" i="4" s="1"/>
  <c r="A50" i="4"/>
  <c r="L49" i="4" a="1"/>
  <c r="L49" i="4" s="1"/>
  <c r="F49" i="4" a="1"/>
  <c r="F49" i="4" s="1"/>
  <c r="AB49" i="4" a="1"/>
  <c r="AB49" i="4" s="1"/>
  <c r="U48" i="2" a="1"/>
  <c r="U48" i="2" s="1"/>
  <c r="Q48" i="2" a="1"/>
  <c r="Q48" i="2" s="1"/>
  <c r="BD48" i="2"/>
  <c r="BF48" i="2" s="1"/>
  <c r="A50" i="2"/>
  <c r="AF49" i="2" a="1"/>
  <c r="AF49" i="2" s="1"/>
  <c r="AB49" i="2" a="1"/>
  <c r="AB49" i="2" s="1"/>
  <c r="Y49" i="2" a="1"/>
  <c r="Y49" i="2" s="1"/>
  <c r="L49" i="2" a="1"/>
  <c r="L49" i="2" s="1"/>
  <c r="F49" i="2" a="1"/>
  <c r="F49" i="2" s="1"/>
  <c r="AJ47" i="2"/>
  <c r="CD47" i="2"/>
  <c r="AP47" i="2"/>
  <c r="W47" i="2"/>
  <c r="Q49" i="4" l="1" a="1"/>
  <c r="Q49" i="4" s="1"/>
  <c r="S49" i="4" s="1"/>
  <c r="BJ49" i="4"/>
  <c r="BF49" i="4"/>
  <c r="U49" i="4" a="1"/>
  <c r="U49" i="4" s="1"/>
  <c r="BB49" i="4"/>
  <c r="BQ48" i="4"/>
  <c r="AH48" i="4"/>
  <c r="AN48" i="4" s="1"/>
  <c r="AJ48" i="4"/>
  <c r="W48" i="4"/>
  <c r="Y50" i="4" a="1"/>
  <c r="Y50" i="4" s="1"/>
  <c r="L50" i="4" a="1"/>
  <c r="L50" i="4" s="1"/>
  <c r="AD50" i="4" a="1"/>
  <c r="AD50" i="4" s="1"/>
  <c r="A51" i="4"/>
  <c r="AB50" i="4" a="1"/>
  <c r="AB50" i="4" s="1"/>
  <c r="F50" i="4" a="1"/>
  <c r="F50" i="4" s="1"/>
  <c r="Y50" i="2" a="1"/>
  <c r="Y50" i="2" s="1"/>
  <c r="AF50" i="2" a="1"/>
  <c r="AF50" i="2" s="1"/>
  <c r="AB50" i="2" a="1"/>
  <c r="AB50" i="2" s="1"/>
  <c r="L50" i="2" a="1"/>
  <c r="L50" i="2" s="1"/>
  <c r="A51" i="2"/>
  <c r="F50" i="2" a="1"/>
  <c r="F50" i="2" s="1"/>
  <c r="CD48" i="2"/>
  <c r="AP48" i="2"/>
  <c r="AJ48" i="2"/>
  <c r="W48" i="2"/>
  <c r="Q49" i="2" a="1"/>
  <c r="Q49" i="2" s="1"/>
  <c r="BD49" i="2"/>
  <c r="BF49" i="2" s="1"/>
  <c r="U49" i="2" a="1"/>
  <c r="U49" i="2" s="1"/>
  <c r="S48" i="2"/>
  <c r="A52" i="4" l="1"/>
  <c r="AB51" i="4" a="1"/>
  <c r="AB51" i="4" s="1"/>
  <c r="L51" i="4" a="1"/>
  <c r="L51" i="4" s="1"/>
  <c r="AD51" i="4" a="1"/>
  <c r="AD51" i="4" s="1"/>
  <c r="Y51" i="4" a="1"/>
  <c r="Y51" i="4" s="1"/>
  <c r="F51" i="4" a="1"/>
  <c r="F51" i="4" s="1"/>
  <c r="BJ50" i="4"/>
  <c r="BF50" i="4"/>
  <c r="U50" i="4" a="1"/>
  <c r="U50" i="4" s="1"/>
  <c r="BB50" i="4"/>
  <c r="Q50" i="4" a="1"/>
  <c r="Q50" i="4" s="1"/>
  <c r="S50" i="4" s="1"/>
  <c r="AN49" i="4"/>
  <c r="AJ49" i="4"/>
  <c r="AH49" i="4"/>
  <c r="BQ49" i="4"/>
  <c r="W49" i="4"/>
  <c r="CD49" i="2"/>
  <c r="AP49" i="2"/>
  <c r="AJ49" i="2"/>
  <c r="W49" i="2"/>
  <c r="BD50" i="2"/>
  <c r="Q50" i="2" a="1"/>
  <c r="Q50" i="2" s="1"/>
  <c r="U50" i="2" a="1"/>
  <c r="U50" i="2" s="1"/>
  <c r="S49" i="2"/>
  <c r="Y51" i="2" a="1"/>
  <c r="Y51" i="2" s="1"/>
  <c r="L51" i="2" a="1"/>
  <c r="L51" i="2" s="1"/>
  <c r="AF51" i="2" a="1"/>
  <c r="AF51" i="2" s="1"/>
  <c r="AB51" i="2" a="1"/>
  <c r="AB51" i="2" s="1"/>
  <c r="F51" i="2" a="1"/>
  <c r="F51" i="2" s="1"/>
  <c r="A52" i="2"/>
  <c r="BF51" i="4" l="1"/>
  <c r="BB51" i="4"/>
  <c r="U51" i="4" a="1"/>
  <c r="U51" i="4" s="1"/>
  <c r="Q51" i="4" a="1"/>
  <c r="Q51" i="4" s="1"/>
  <c r="S51" i="4" s="1"/>
  <c r="BJ51" i="4"/>
  <c r="AJ50" i="4"/>
  <c r="AH50" i="4"/>
  <c r="AN50" i="4"/>
  <c r="BQ50" i="4"/>
  <c r="W50" i="4"/>
  <c r="F52" i="4" a="1"/>
  <c r="F52" i="4" s="1"/>
  <c r="AD52" i="4" a="1"/>
  <c r="AD52" i="4" s="1"/>
  <c r="A53" i="4"/>
  <c r="AB52" i="4" a="1"/>
  <c r="AB52" i="4" s="1"/>
  <c r="Y52" i="4" a="1"/>
  <c r="Y52" i="4" s="1"/>
  <c r="L52" i="4" a="1"/>
  <c r="L52" i="4" s="1"/>
  <c r="AP50" i="2"/>
  <c r="CD50" i="2"/>
  <c r="AJ50" i="2"/>
  <c r="W50" i="2"/>
  <c r="F52" i="2" a="1"/>
  <c r="F52" i="2" s="1"/>
  <c r="AB52" i="2" a="1"/>
  <c r="AB52" i="2" s="1"/>
  <c r="L52" i="2" a="1"/>
  <c r="L52" i="2" s="1"/>
  <c r="A53" i="2"/>
  <c r="Y52" i="2" a="1"/>
  <c r="Y52" i="2" s="1"/>
  <c r="AF52" i="2" a="1"/>
  <c r="AF52" i="2" s="1"/>
  <c r="S50" i="2"/>
  <c r="BF50" i="2"/>
  <c r="BD51" i="2"/>
  <c r="BF51" i="2" s="1"/>
  <c r="Q51" i="2" a="1"/>
  <c r="Q51" i="2" s="1"/>
  <c r="U51" i="2" a="1"/>
  <c r="U51" i="2" s="1"/>
  <c r="BB52" i="4" l="1"/>
  <c r="BF52" i="4"/>
  <c r="U52" i="4" a="1"/>
  <c r="U52" i="4" s="1"/>
  <c r="Q52" i="4" a="1"/>
  <c r="Q52" i="4" s="1"/>
  <c r="S52" i="4" s="1"/>
  <c r="BJ52" i="4"/>
  <c r="AJ51" i="4"/>
  <c r="AH51" i="4"/>
  <c r="BQ51" i="4"/>
  <c r="AN51" i="4"/>
  <c r="W51" i="4"/>
  <c r="Y53" i="4" a="1"/>
  <c r="Y53" i="4" s="1"/>
  <c r="F53" i="4" a="1"/>
  <c r="F53" i="4" s="1"/>
  <c r="A54" i="4"/>
  <c r="AB53" i="4" a="1"/>
  <c r="AB53" i="4" s="1"/>
  <c r="AD53" i="4" a="1"/>
  <c r="AD53" i="4" s="1"/>
  <c r="L53" i="4" a="1"/>
  <c r="L53" i="4" s="1"/>
  <c r="AP51" i="2"/>
  <c r="CD51" i="2"/>
  <c r="AJ51" i="2"/>
  <c r="W51" i="2"/>
  <c r="BD52" i="2"/>
  <c r="BF52" i="2" s="1"/>
  <c r="U52" i="2" a="1"/>
  <c r="U52" i="2" s="1"/>
  <c r="Q52" i="2" a="1"/>
  <c r="Q52" i="2" s="1"/>
  <c r="S51" i="2"/>
  <c r="F53" i="2" a="1"/>
  <c r="F53" i="2" s="1"/>
  <c r="AB53" i="2" a="1"/>
  <c r="AB53" i="2" s="1"/>
  <c r="L53" i="2" a="1"/>
  <c r="L53" i="2" s="1"/>
  <c r="A54" i="2"/>
  <c r="Y53" i="2" a="1"/>
  <c r="Y53" i="2" s="1"/>
  <c r="AF53" i="2" a="1"/>
  <c r="AF53" i="2" s="1"/>
  <c r="U53" i="4" l="1" a="1"/>
  <c r="U53" i="4" s="1"/>
  <c r="BF53" i="4"/>
  <c r="Q53" i="4" a="1"/>
  <c r="Q53" i="4" s="1"/>
  <c r="S53" i="4" s="1"/>
  <c r="BB53" i="4"/>
  <c r="BJ53" i="4"/>
  <c r="AH52" i="4"/>
  <c r="AN52" i="4" s="1"/>
  <c r="BQ52" i="4"/>
  <c r="AJ52" i="4"/>
  <c r="W52" i="4"/>
  <c r="A55" i="4"/>
  <c r="AD54" i="4" a="1"/>
  <c r="AD54" i="4" s="1"/>
  <c r="AB54" i="4" a="1"/>
  <c r="AB54" i="4" s="1"/>
  <c r="Y54" i="4" a="1"/>
  <c r="Y54" i="4" s="1"/>
  <c r="L54" i="4" a="1"/>
  <c r="L54" i="4" s="1"/>
  <c r="F54" i="4" a="1"/>
  <c r="F54" i="4" s="1"/>
  <c r="S52" i="2"/>
  <c r="AJ52" i="2"/>
  <c r="AP52" i="2"/>
  <c r="CD52" i="2"/>
  <c r="W52" i="2"/>
  <c r="U53" i="2" a="1"/>
  <c r="U53" i="2" s="1"/>
  <c r="Q53" i="2" a="1"/>
  <c r="Q53" i="2" s="1"/>
  <c r="S53" i="2" s="1"/>
  <c r="BD53" i="2"/>
  <c r="BF53" i="2" s="1"/>
  <c r="A55" i="2"/>
  <c r="AF54" i="2" a="1"/>
  <c r="AF54" i="2" s="1"/>
  <c r="Y54" i="2" a="1"/>
  <c r="Y54" i="2" s="1"/>
  <c r="F54" i="2" a="1"/>
  <c r="F54" i="2" s="1"/>
  <c r="AB54" i="2" a="1"/>
  <c r="AB54" i="2" s="1"/>
  <c r="L54" i="2" a="1"/>
  <c r="L54" i="2" s="1"/>
  <c r="Q54" i="4" l="1" a="1"/>
  <c r="Q54" i="4" s="1"/>
  <c r="BJ54" i="4"/>
  <c r="BF54" i="4"/>
  <c r="U54" i="4" a="1"/>
  <c r="U54" i="4" s="1"/>
  <c r="BB54" i="4"/>
  <c r="AD55" i="4" a="1"/>
  <c r="AD55" i="4" s="1"/>
  <c r="A56" i="4"/>
  <c r="L55" i="4" a="1"/>
  <c r="L55" i="4" s="1"/>
  <c r="Y55" i="4" a="1"/>
  <c r="Y55" i="4" s="1"/>
  <c r="F55" i="4" a="1"/>
  <c r="F55" i="4" s="1"/>
  <c r="AB55" i="4" a="1"/>
  <c r="AB55" i="4" s="1"/>
  <c r="BQ53" i="4"/>
  <c r="AH53" i="4"/>
  <c r="AN53" i="4" s="1"/>
  <c r="AJ53" i="4"/>
  <c r="W53" i="4"/>
  <c r="A56" i="2"/>
  <c r="AF55" i="2" a="1"/>
  <c r="AF55" i="2" s="1"/>
  <c r="Y55" i="2" a="1"/>
  <c r="Y55" i="2" s="1"/>
  <c r="F55" i="2" a="1"/>
  <c r="F55" i="2" s="1"/>
  <c r="AB55" i="2" a="1"/>
  <c r="AB55" i="2" s="1"/>
  <c r="L55" i="2" a="1"/>
  <c r="L55" i="2" s="1"/>
  <c r="W54" i="2"/>
  <c r="U54" i="2" a="1"/>
  <c r="U54" i="2" s="1"/>
  <c r="Q54" i="2" a="1"/>
  <c r="Q54" i="2" s="1"/>
  <c r="S54" i="2" s="1"/>
  <c r="BD54" i="2"/>
  <c r="BF54" i="2" s="1"/>
  <c r="AJ53" i="2"/>
  <c r="AP53" i="2"/>
  <c r="CD53" i="2"/>
  <c r="W53" i="2"/>
  <c r="BQ54" i="4" l="1"/>
  <c r="AJ54" i="4"/>
  <c r="AH54" i="4"/>
  <c r="AN54" i="4" s="1"/>
  <c r="W54" i="4"/>
  <c r="S54" i="4"/>
  <c r="AB56" i="4" a="1"/>
  <c r="AB56" i="4" s="1"/>
  <c r="A57" i="4"/>
  <c r="L56" i="4" a="1"/>
  <c r="L56" i="4" s="1"/>
  <c r="Y56" i="4" a="1"/>
  <c r="Y56" i="4" s="1"/>
  <c r="AD56" i="4" a="1"/>
  <c r="AD56" i="4" s="1"/>
  <c r="F56" i="4" a="1"/>
  <c r="F56" i="4" s="1"/>
  <c r="BJ55" i="4"/>
  <c r="BF55" i="4"/>
  <c r="U55" i="4" a="1"/>
  <c r="U55" i="4" s="1"/>
  <c r="Q55" i="4" a="1"/>
  <c r="Q55" i="4" s="1"/>
  <c r="BB55" i="4"/>
  <c r="AP54" i="2"/>
  <c r="CD54" i="2"/>
  <c r="AJ54" i="2"/>
  <c r="U55" i="2" a="1"/>
  <c r="U55" i="2" s="1"/>
  <c r="Q55" i="2" a="1"/>
  <c r="Q55" i="2" s="1"/>
  <c r="BD55" i="2"/>
  <c r="BF55" i="2" s="1"/>
  <c r="AB56" i="2" a="1"/>
  <c r="AB56" i="2" s="1"/>
  <c r="L56" i="2" a="1"/>
  <c r="L56" i="2" s="1"/>
  <c r="AF56" i="2" a="1"/>
  <c r="AF56" i="2" s="1"/>
  <c r="F56" i="2" a="1"/>
  <c r="F56" i="2" s="1"/>
  <c r="Y56" i="2" a="1"/>
  <c r="Y56" i="2" s="1"/>
  <c r="A57" i="2"/>
  <c r="AD57" i="4" l="1" a="1"/>
  <c r="AD57" i="4" s="1"/>
  <c r="A58" i="4"/>
  <c r="AB57" i="4" a="1"/>
  <c r="AB57" i="4" s="1"/>
  <c r="L57" i="4" a="1"/>
  <c r="L57" i="4" s="1"/>
  <c r="F57" i="4" a="1"/>
  <c r="F57" i="4" s="1"/>
  <c r="Y57" i="4" a="1"/>
  <c r="Y57" i="4" s="1"/>
  <c r="S55" i="4"/>
  <c r="Q56" i="4" a="1"/>
  <c r="Q56" i="4" s="1"/>
  <c r="BJ56" i="4"/>
  <c r="BB56" i="4"/>
  <c r="U56" i="4" a="1"/>
  <c r="U56" i="4" s="1"/>
  <c r="BF56" i="4"/>
  <c r="AJ55" i="4"/>
  <c r="AH55" i="4"/>
  <c r="AN55" i="4" s="1"/>
  <c r="BQ55" i="4"/>
  <c r="W55" i="4"/>
  <c r="AP55" i="2"/>
  <c r="CD55" i="2"/>
  <c r="AJ55" i="2"/>
  <c r="Q56" i="2" a="1"/>
  <c r="Q56" i="2" s="1"/>
  <c r="BD56" i="2"/>
  <c r="BF56" i="2" s="1"/>
  <c r="U56" i="2" a="1"/>
  <c r="U56" i="2" s="1"/>
  <c r="W56" i="2" s="1"/>
  <c r="W55" i="2"/>
  <c r="S55" i="2"/>
  <c r="AB57" i="2" a="1"/>
  <c r="AB57" i="2" s="1"/>
  <c r="F57" i="2" a="1"/>
  <c r="F57" i="2" s="1"/>
  <c r="A58" i="2"/>
  <c r="L57" i="2" a="1"/>
  <c r="L57" i="2" s="1"/>
  <c r="AF57" i="2" a="1"/>
  <c r="AF57" i="2" s="1"/>
  <c r="Y57" i="2" a="1"/>
  <c r="Y57" i="2" s="1"/>
  <c r="S56" i="2" l="1"/>
  <c r="BQ56" i="4"/>
  <c r="AJ56" i="4"/>
  <c r="AH56" i="4"/>
  <c r="AN56" i="4" s="1"/>
  <c r="W56" i="4"/>
  <c r="A59" i="4"/>
  <c r="Y58" i="4" a="1"/>
  <c r="Y58" i="4" s="1"/>
  <c r="L58" i="4" a="1"/>
  <c r="L58" i="4" s="1"/>
  <c r="F58" i="4" a="1"/>
  <c r="F58" i="4" s="1"/>
  <c r="AB58" i="4" a="1"/>
  <c r="AB58" i="4" s="1"/>
  <c r="AD58" i="4" a="1"/>
  <c r="AD58" i="4" s="1"/>
  <c r="AX57" i="4"/>
  <c r="BJ57" i="4"/>
  <c r="U57" i="4" a="1"/>
  <c r="U57" i="4" s="1"/>
  <c r="Q57" i="4" a="1"/>
  <c r="Q57" i="4" s="1"/>
  <c r="S57" i="4" s="1"/>
  <c r="BF57" i="4"/>
  <c r="S56" i="4"/>
  <c r="CD56" i="2"/>
  <c r="AP56" i="2"/>
  <c r="AJ56" i="2"/>
  <c r="Q57" i="2" a="1"/>
  <c r="Q57" i="2" s="1"/>
  <c r="U57" i="2" a="1"/>
  <c r="U57" i="2" s="1"/>
  <c r="BD57" i="2"/>
  <c r="Y58" i="2" a="1"/>
  <c r="Y58" i="2" s="1"/>
  <c r="L58" i="2" a="1"/>
  <c r="L58" i="2" s="1"/>
  <c r="F58" i="2" a="1"/>
  <c r="F58" i="2" s="1"/>
  <c r="AB58" i="2" a="1"/>
  <c r="AB58" i="2" s="1"/>
  <c r="A59" i="2"/>
  <c r="AF58" i="2" a="1"/>
  <c r="AF58" i="2" s="1"/>
  <c r="S57" i="2" l="1"/>
  <c r="BF57" i="2"/>
  <c r="AN57" i="4"/>
  <c r="BQ57" i="4"/>
  <c r="AJ57" i="4"/>
  <c r="AH57" i="4"/>
  <c r="W57" i="4"/>
  <c r="A60" i="4"/>
  <c r="AD59" i="4" a="1"/>
  <c r="AD59" i="4" s="1"/>
  <c r="L59" i="4" a="1"/>
  <c r="L59" i="4" s="1"/>
  <c r="AB59" i="4" a="1"/>
  <c r="AB59" i="4" s="1"/>
  <c r="F59" i="4" a="1"/>
  <c r="F59" i="4" s="1"/>
  <c r="Y59" i="4" a="1"/>
  <c r="Y59" i="4" s="1"/>
  <c r="AX58" i="4"/>
  <c r="Q58" i="4" a="1"/>
  <c r="Q58" i="4" s="1"/>
  <c r="BJ58" i="4"/>
  <c r="BF58" i="4"/>
  <c r="U58" i="4" a="1"/>
  <c r="U58" i="4" s="1"/>
  <c r="Y59" i="2" a="1"/>
  <c r="Y59" i="2" s="1"/>
  <c r="L59" i="2" a="1"/>
  <c r="L59" i="2" s="1"/>
  <c r="A60" i="2"/>
  <c r="AF59" i="2" a="1"/>
  <c r="AF59" i="2" s="1"/>
  <c r="F59" i="2" a="1"/>
  <c r="F59" i="2" s="1"/>
  <c r="AB59" i="2" a="1"/>
  <c r="AB59" i="2" s="1"/>
  <c r="U58" i="2" a="1"/>
  <c r="U58" i="2" s="1"/>
  <c r="BD58" i="2"/>
  <c r="Q58" i="2" a="1"/>
  <c r="Q58" i="2" s="1"/>
  <c r="CD57" i="2"/>
  <c r="AP57" i="2"/>
  <c r="AJ57" i="2"/>
  <c r="W57" i="2"/>
  <c r="AH58" i="4" l="1"/>
  <c r="AN58" i="4"/>
  <c r="AJ58" i="4"/>
  <c r="BQ58" i="4"/>
  <c r="W58" i="4"/>
  <c r="U59" i="4" a="1"/>
  <c r="U59" i="4" s="1"/>
  <c r="BJ59" i="4"/>
  <c r="BB59" i="4"/>
  <c r="Q59" i="4" a="1"/>
  <c r="Q59" i="4" s="1"/>
  <c r="S59" i="4" s="1"/>
  <c r="BF59" i="4"/>
  <c r="S58" i="4"/>
  <c r="A61" i="4"/>
  <c r="AD60" i="4" a="1"/>
  <c r="AD60" i="4" s="1"/>
  <c r="Y60" i="4" a="1"/>
  <c r="Y60" i="4" s="1"/>
  <c r="F60" i="4" a="1"/>
  <c r="F60" i="4" s="1"/>
  <c r="AB60" i="4" a="1"/>
  <c r="AB60" i="4" s="1"/>
  <c r="L60" i="4" a="1"/>
  <c r="L60" i="4" s="1"/>
  <c r="AP58" i="2"/>
  <c r="AJ58" i="2"/>
  <c r="CD58" i="2"/>
  <c r="W58" i="2"/>
  <c r="S58" i="2"/>
  <c r="AL58" i="2" s="1"/>
  <c r="AN58" i="2" s="1"/>
  <c r="BD59" i="2"/>
  <c r="BF59" i="2" s="1"/>
  <c r="Q59" i="2" a="1"/>
  <c r="Q59" i="2" s="1"/>
  <c r="U59" i="2" a="1"/>
  <c r="U59" i="2" s="1"/>
  <c r="F60" i="2" a="1"/>
  <c r="F60" i="2" s="1"/>
  <c r="A61" i="2"/>
  <c r="AF60" i="2" a="1"/>
  <c r="AF60" i="2" s="1"/>
  <c r="L60" i="2" a="1"/>
  <c r="L60" i="2" s="1"/>
  <c r="AB60" i="2" a="1"/>
  <c r="AB60" i="2" s="1"/>
  <c r="Y60" i="2" a="1"/>
  <c r="Y60" i="2" s="1"/>
  <c r="BF58" i="2"/>
  <c r="W60" i="4" l="1"/>
  <c r="BF60" i="4"/>
  <c r="AX60" i="4"/>
  <c r="U60" i="4" a="1"/>
  <c r="U60" i="4" s="1"/>
  <c r="Q60" i="4" a="1"/>
  <c r="Q60" i="4" s="1"/>
  <c r="S60" i="4" s="1"/>
  <c r="BB60" i="4"/>
  <c r="AJ59" i="4"/>
  <c r="BQ59" i="4"/>
  <c r="AH59" i="4"/>
  <c r="AN59" i="4" s="1"/>
  <c r="W59" i="4"/>
  <c r="AB61" i="4" a="1"/>
  <c r="AB61" i="4" s="1"/>
  <c r="L61" i="4" a="1"/>
  <c r="L61" i="4" s="1"/>
  <c r="AD61" i="4" a="1"/>
  <c r="AD61" i="4" s="1"/>
  <c r="F61" i="4" a="1"/>
  <c r="F61" i="4" s="1"/>
  <c r="Y61" i="4" a="1"/>
  <c r="Y61" i="4" s="1"/>
  <c r="A62" i="4"/>
  <c r="AP59" i="2"/>
  <c r="AJ59" i="2"/>
  <c r="CD59" i="2"/>
  <c r="W59" i="2"/>
  <c r="F61" i="2" a="1"/>
  <c r="F61" i="2" s="1"/>
  <c r="AB61" i="2" a="1"/>
  <c r="AB61" i="2" s="1"/>
  <c r="A62" i="2"/>
  <c r="AF61" i="2" a="1"/>
  <c r="AF61" i="2" s="1"/>
  <c r="Y61" i="2" a="1"/>
  <c r="Y61" i="2" s="1"/>
  <c r="L61" i="2" a="1"/>
  <c r="L61" i="2" s="1"/>
  <c r="W60" i="2"/>
  <c r="S59" i="2"/>
  <c r="BD60" i="2"/>
  <c r="BF60" i="2" s="1"/>
  <c r="U60" i="2" a="1"/>
  <c r="U60" i="2" s="1"/>
  <c r="Q60" i="2" a="1"/>
  <c r="Q60" i="2" s="1"/>
  <c r="S60" i="2" l="1"/>
  <c r="AL60" i="2" s="1"/>
  <c r="AN60" i="2" s="1"/>
  <c r="Q61" i="4" a="1"/>
  <c r="Q61" i="4" s="1"/>
  <c r="U61" i="4" a="1"/>
  <c r="U61" i="4" s="1"/>
  <c r="AX61" i="4"/>
  <c r="BJ61" i="4"/>
  <c r="BF61" i="4"/>
  <c r="BB61" i="4"/>
  <c r="AB62" i="4" a="1"/>
  <c r="AB62" i="4" s="1"/>
  <c r="A63" i="4"/>
  <c r="L62" i="4" a="1"/>
  <c r="L62" i="4" s="1"/>
  <c r="AD62" i="4" a="1"/>
  <c r="AD62" i="4" s="1"/>
  <c r="Y62" i="4" a="1"/>
  <c r="Y62" i="4" s="1"/>
  <c r="F62" i="4" a="1"/>
  <c r="F62" i="4" s="1"/>
  <c r="BQ60" i="4"/>
  <c r="AJ60" i="4"/>
  <c r="AH60" i="4"/>
  <c r="AN60" i="4"/>
  <c r="BJ60" i="4"/>
  <c r="AJ60" i="2"/>
  <c r="CD60" i="2"/>
  <c r="AP60" i="2"/>
  <c r="U61" i="2" a="1"/>
  <c r="U61" i="2" s="1"/>
  <c r="Q61" i="2" a="1"/>
  <c r="Q61" i="2" s="1"/>
  <c r="S61" i="2" s="1"/>
  <c r="AL61" i="2" s="1"/>
  <c r="BD61" i="2"/>
  <c r="BF61" i="2" s="1"/>
  <c r="A63" i="2"/>
  <c r="AF62" i="2" a="1"/>
  <c r="AF62" i="2" s="1"/>
  <c r="AB62" i="2" a="1"/>
  <c r="AB62" i="2" s="1"/>
  <c r="F62" i="2" a="1"/>
  <c r="F62" i="2" s="1"/>
  <c r="Y62" i="2" a="1"/>
  <c r="Y62" i="2" s="1"/>
  <c r="L62" i="2" a="1"/>
  <c r="L62" i="2" s="1"/>
  <c r="Q62" i="4" l="1" a="1"/>
  <c r="Q62" i="4" s="1"/>
  <c r="BF62" i="4"/>
  <c r="AX62" i="4"/>
  <c r="U62" i="4" a="1"/>
  <c r="U62" i="4" s="1"/>
  <c r="BB62" i="4"/>
  <c r="BQ61" i="4"/>
  <c r="AN61" i="4"/>
  <c r="AJ61" i="4"/>
  <c r="AH61" i="4"/>
  <c r="W61" i="4"/>
  <c r="S61" i="4"/>
  <c r="Y63" i="4" a="1"/>
  <c r="Y63" i="4" s="1"/>
  <c r="L63" i="4" a="1"/>
  <c r="L63" i="4" s="1"/>
  <c r="AB63" i="4" a="1"/>
  <c r="AB63" i="4" s="1"/>
  <c r="A64" i="4"/>
  <c r="AD63" i="4" a="1"/>
  <c r="AD63" i="4" s="1"/>
  <c r="F63" i="4" a="1"/>
  <c r="F63" i="4" s="1"/>
  <c r="U62" i="2" a="1"/>
  <c r="U62" i="2" s="1"/>
  <c r="Q62" i="2" a="1"/>
  <c r="Q62" i="2" s="1"/>
  <c r="BD62" i="2"/>
  <c r="BF62" i="2" s="1"/>
  <c r="AJ61" i="2"/>
  <c r="CD61" i="2"/>
  <c r="AP61" i="2"/>
  <c r="AN61" i="2"/>
  <c r="W61" i="2"/>
  <c r="W62" i="2"/>
  <c r="A64" i="2"/>
  <c r="AF63" i="2" a="1"/>
  <c r="AF63" i="2" s="1"/>
  <c r="AB63" i="2" a="1"/>
  <c r="AB63" i="2" s="1"/>
  <c r="Y63" i="2" a="1"/>
  <c r="Y63" i="2" s="1"/>
  <c r="L63" i="2" a="1"/>
  <c r="L63" i="2" s="1"/>
  <c r="F63" i="2" a="1"/>
  <c r="F63" i="2" s="1"/>
  <c r="S62" i="2" l="1"/>
  <c r="AL62" i="2" s="1"/>
  <c r="BJ63" i="4"/>
  <c r="U63" i="4" a="1"/>
  <c r="U63" i="4" s="1"/>
  <c r="BF63" i="4"/>
  <c r="BB63" i="4"/>
  <c r="AX63" i="4"/>
  <c r="Q63" i="4" a="1"/>
  <c r="Q63" i="4" s="1"/>
  <c r="S63" i="4" s="1"/>
  <c r="Y64" i="4" a="1"/>
  <c r="Y64" i="4" s="1"/>
  <c r="L64" i="4" a="1"/>
  <c r="L64" i="4" s="1"/>
  <c r="AD64" i="4" a="1"/>
  <c r="AD64" i="4" s="1"/>
  <c r="AB64" i="4" a="1"/>
  <c r="AB64" i="4" s="1"/>
  <c r="F64" i="4" a="1"/>
  <c r="F64" i="4" s="1"/>
  <c r="A65" i="4"/>
  <c r="BQ62" i="4"/>
  <c r="AN62" i="4"/>
  <c r="AH62" i="4"/>
  <c r="AJ62" i="4"/>
  <c r="W62" i="4"/>
  <c r="BJ62" i="4"/>
  <c r="S62" i="4"/>
  <c r="CD62" i="2"/>
  <c r="AP62" i="2"/>
  <c r="AJ62" i="2"/>
  <c r="AN62" i="2"/>
  <c r="U63" i="2" a="1"/>
  <c r="U63" i="2" s="1"/>
  <c r="Q63" i="2" a="1"/>
  <c r="Q63" i="2" s="1"/>
  <c r="BD63" i="2"/>
  <c r="BF63" i="2" s="1"/>
  <c r="A65" i="2"/>
  <c r="AF64" i="2" a="1"/>
  <c r="AF64" i="2" s="1"/>
  <c r="AB64" i="2" a="1"/>
  <c r="AB64" i="2" s="1"/>
  <c r="Y64" i="2" a="1"/>
  <c r="Y64" i="2" s="1"/>
  <c r="L64" i="2" a="1"/>
  <c r="L64" i="2" s="1"/>
  <c r="F64" i="2" a="1"/>
  <c r="F64" i="2" s="1"/>
  <c r="F65" i="4" l="1" a="1"/>
  <c r="F65" i="4" s="1"/>
  <c r="A66" i="4"/>
  <c r="L65" i="4" a="1"/>
  <c r="L65" i="4" s="1"/>
  <c r="AD65" i="4" a="1"/>
  <c r="AD65" i="4" s="1"/>
  <c r="AB65" i="4" a="1"/>
  <c r="AB65" i="4" s="1"/>
  <c r="Y65" i="4" a="1"/>
  <c r="Y65" i="4" s="1"/>
  <c r="BJ64" i="4"/>
  <c r="BF64" i="4"/>
  <c r="BB64" i="4"/>
  <c r="Q64" i="4" a="1"/>
  <c r="Q64" i="4" s="1"/>
  <c r="U64" i="4" a="1"/>
  <c r="U64" i="4" s="1"/>
  <c r="AX64" i="4"/>
  <c r="AN63" i="4"/>
  <c r="AJ63" i="4"/>
  <c r="BQ63" i="4"/>
  <c r="AH63" i="4"/>
  <c r="W63" i="4"/>
  <c r="CD63" i="2"/>
  <c r="AP63" i="2"/>
  <c r="AJ63" i="2"/>
  <c r="W63" i="2"/>
  <c r="Q64" i="2" a="1"/>
  <c r="Q64" i="2" s="1"/>
  <c r="BD64" i="2"/>
  <c r="BF64" i="2" s="1"/>
  <c r="U64" i="2" a="1"/>
  <c r="U64" i="2" s="1"/>
  <c r="AB65" i="2" a="1"/>
  <c r="AB65" i="2" s="1"/>
  <c r="Y65" i="2" a="1"/>
  <c r="Y65" i="2" s="1"/>
  <c r="L65" i="2" a="1"/>
  <c r="L65" i="2" s="1"/>
  <c r="F65" i="2" a="1"/>
  <c r="F65" i="2" s="1"/>
  <c r="AF65" i="2" a="1"/>
  <c r="AF65" i="2" s="1"/>
  <c r="A66" i="2"/>
  <c r="S63" i="2"/>
  <c r="AL63" i="2" s="1"/>
  <c r="AN63" i="2" s="1"/>
  <c r="S64" i="2" l="1"/>
  <c r="AL64" i="2" s="1"/>
  <c r="AN64" i="2" s="1"/>
  <c r="AJ64" i="4"/>
  <c r="BQ64" i="4"/>
  <c r="AH64" i="4"/>
  <c r="AN64" i="4"/>
  <c r="W64" i="4"/>
  <c r="BF65" i="4"/>
  <c r="BB65" i="4"/>
  <c r="AX65" i="4"/>
  <c r="Q65" i="4" a="1"/>
  <c r="Q65" i="4" s="1"/>
  <c r="U65" i="4" a="1"/>
  <c r="U65" i="4" s="1"/>
  <c r="BJ65" i="4"/>
  <c r="S64" i="4"/>
  <c r="F66" i="4" a="1"/>
  <c r="F66" i="4" s="1"/>
  <c r="AD66" i="4" a="1"/>
  <c r="AD66" i="4" s="1"/>
  <c r="AB66" i="4" a="1"/>
  <c r="AB66" i="4" s="1"/>
  <c r="L66" i="4" a="1"/>
  <c r="L66" i="4" s="1"/>
  <c r="A67" i="4"/>
  <c r="Y66" i="4" a="1"/>
  <c r="Y66" i="4" s="1"/>
  <c r="AB66" i="2" a="1"/>
  <c r="AB66" i="2" s="1"/>
  <c r="Y66" i="2" a="1"/>
  <c r="Y66" i="2" s="1"/>
  <c r="L66" i="2" a="1"/>
  <c r="L66" i="2" s="1"/>
  <c r="F66" i="2" a="1"/>
  <c r="F66" i="2" s="1"/>
  <c r="AF66" i="2" a="1"/>
  <c r="AF66" i="2" s="1"/>
  <c r="A67" i="2"/>
  <c r="Q65" i="2" a="1"/>
  <c r="Q65" i="2" s="1"/>
  <c r="BD65" i="2"/>
  <c r="BF65" i="2" s="1"/>
  <c r="U65" i="2" a="1"/>
  <c r="U65" i="2" s="1"/>
  <c r="CD64" i="2"/>
  <c r="AP64" i="2"/>
  <c r="AJ64" i="2"/>
  <c r="W64" i="2"/>
  <c r="BB66" i="4" l="1"/>
  <c r="AX66" i="4"/>
  <c r="U66" i="4" a="1"/>
  <c r="U66" i="4" s="1"/>
  <c r="BJ66" i="4"/>
  <c r="Q66" i="4" a="1"/>
  <c r="Q66" i="4" s="1"/>
  <c r="S66" i="4" s="1"/>
  <c r="BF66" i="4"/>
  <c r="A68" i="4"/>
  <c r="AD67" i="4" a="1"/>
  <c r="AD67" i="4" s="1"/>
  <c r="F67" i="4" a="1"/>
  <c r="F67" i="4" s="1"/>
  <c r="AB67" i="4" a="1"/>
  <c r="AB67" i="4" s="1"/>
  <c r="Y67" i="4" a="1"/>
  <c r="Y67" i="4" s="1"/>
  <c r="L67" i="4" a="1"/>
  <c r="L67" i="4" s="1"/>
  <c r="AJ65" i="4"/>
  <c r="AH65" i="4"/>
  <c r="AN65" i="4"/>
  <c r="BQ65" i="4"/>
  <c r="W65" i="4"/>
  <c r="S65" i="4"/>
  <c r="CD65" i="2"/>
  <c r="AP65" i="2"/>
  <c r="AJ65" i="2"/>
  <c r="W65" i="2"/>
  <c r="S65" i="2"/>
  <c r="AL65" i="2" s="1"/>
  <c r="AN65" i="2" s="1"/>
  <c r="Y67" i="2" a="1"/>
  <c r="Y67" i="2" s="1"/>
  <c r="L67" i="2" a="1"/>
  <c r="L67" i="2" s="1"/>
  <c r="F67" i="2" a="1"/>
  <c r="F67" i="2" s="1"/>
  <c r="A68" i="2"/>
  <c r="AF67" i="2" a="1"/>
  <c r="AF67" i="2" s="1"/>
  <c r="AB67" i="2" a="1"/>
  <c r="AB67" i="2" s="1"/>
  <c r="Q66" i="2" a="1"/>
  <c r="Q66" i="2" s="1"/>
  <c r="BD66" i="2"/>
  <c r="BF66" i="2" s="1"/>
  <c r="U66" i="2" a="1"/>
  <c r="U66" i="2" s="1"/>
  <c r="A69" i="4" l="1"/>
  <c r="AD68" i="4" a="1"/>
  <c r="AD68" i="4" s="1"/>
  <c r="AB68" i="4" a="1"/>
  <c r="AB68" i="4" s="1"/>
  <c r="L68" i="4" a="1"/>
  <c r="L68" i="4" s="1"/>
  <c r="Y68" i="4" a="1"/>
  <c r="Y68" i="4" s="1"/>
  <c r="F68" i="4" a="1"/>
  <c r="F68" i="4" s="1"/>
  <c r="AH66" i="4"/>
  <c r="BQ66" i="4"/>
  <c r="AJ66" i="4"/>
  <c r="AN66" i="4"/>
  <c r="W66" i="4"/>
  <c r="AX67" i="4"/>
  <c r="U67" i="4" a="1"/>
  <c r="U67" i="4" s="1"/>
  <c r="BF67" i="4"/>
  <c r="BJ67" i="4"/>
  <c r="BB67" i="4"/>
  <c r="Q67" i="4" a="1"/>
  <c r="Q67" i="4" s="1"/>
  <c r="S67" i="4" s="1"/>
  <c r="BD67" i="2"/>
  <c r="BF67" i="2" s="1"/>
  <c r="U67" i="2" a="1"/>
  <c r="U67" i="2" s="1"/>
  <c r="Q67" i="2" a="1"/>
  <c r="Q67" i="2" s="1"/>
  <c r="S67" i="2" s="1"/>
  <c r="AL67" i="2" s="1"/>
  <c r="S66" i="2"/>
  <c r="AL66" i="2" s="1"/>
  <c r="AN66" i="2" s="1"/>
  <c r="Y68" i="2" a="1"/>
  <c r="Y68" i="2" s="1"/>
  <c r="L68" i="2" a="1"/>
  <c r="L68" i="2" s="1"/>
  <c r="F68" i="2" a="1"/>
  <c r="F68" i="2" s="1"/>
  <c r="A69" i="2"/>
  <c r="AF68" i="2" a="1"/>
  <c r="AF68" i="2" s="1"/>
  <c r="AB68" i="2" a="1"/>
  <c r="AB68" i="2" s="1"/>
  <c r="CD66" i="2"/>
  <c r="AP66" i="2"/>
  <c r="AJ66" i="2"/>
  <c r="W66" i="2"/>
  <c r="W67" i="2"/>
  <c r="AJ67" i="4" l="1"/>
  <c r="AH67" i="4"/>
  <c r="AN67" i="4" s="1"/>
  <c r="BQ67" i="4"/>
  <c r="W67" i="4"/>
  <c r="BJ68" i="4"/>
  <c r="Q68" i="4" a="1"/>
  <c r="Q68" i="4" s="1"/>
  <c r="BB68" i="4"/>
  <c r="BF68" i="4"/>
  <c r="U68" i="4" a="1"/>
  <c r="U68" i="4" s="1"/>
  <c r="AB69" i="4" a="1"/>
  <c r="AB69" i="4" s="1"/>
  <c r="L69" i="4" a="1"/>
  <c r="L69" i="4" s="1"/>
  <c r="F69" i="4" a="1"/>
  <c r="F69" i="4" s="1"/>
  <c r="A70" i="4"/>
  <c r="AD69" i="4" a="1"/>
  <c r="AD69" i="4" s="1"/>
  <c r="Y69" i="4" a="1"/>
  <c r="Y69" i="4" s="1"/>
  <c r="BD68" i="2"/>
  <c r="BF68" i="2" s="1"/>
  <c r="U68" i="2" a="1"/>
  <c r="U68" i="2" s="1"/>
  <c r="Q68" i="2" a="1"/>
  <c r="Q68" i="2" s="1"/>
  <c r="AP67" i="2"/>
  <c r="AN67" i="2"/>
  <c r="AJ67" i="2"/>
  <c r="CD67" i="2"/>
  <c r="Y69" i="2" a="1"/>
  <c r="Y69" i="2" s="1"/>
  <c r="L69" i="2" a="1"/>
  <c r="L69" i="2" s="1"/>
  <c r="F69" i="2" a="1"/>
  <c r="F69" i="2" s="1"/>
  <c r="A70" i="2"/>
  <c r="AF69" i="2" a="1"/>
  <c r="AF69" i="2" s="1"/>
  <c r="AB69" i="2" a="1"/>
  <c r="AB69" i="2" s="1"/>
  <c r="W68" i="2"/>
  <c r="AB70" i="4" l="1" a="1"/>
  <c r="AB70" i="4" s="1"/>
  <c r="L70" i="4" a="1"/>
  <c r="L70" i="4" s="1"/>
  <c r="F70" i="4" a="1"/>
  <c r="F70" i="4" s="1"/>
  <c r="AD70" i="4" a="1"/>
  <c r="AD70" i="4" s="1"/>
  <c r="Y70" i="4" a="1"/>
  <c r="Y70" i="4" s="1"/>
  <c r="A71" i="4"/>
  <c r="S68" i="4"/>
  <c r="AH68" i="4"/>
  <c r="AJ68" i="4"/>
  <c r="BQ68" i="4"/>
  <c r="AN68" i="4"/>
  <c r="W68" i="4"/>
  <c r="Q69" i="4" a="1"/>
  <c r="Q69" i="4" s="1"/>
  <c r="BF69" i="4"/>
  <c r="AX69" i="4"/>
  <c r="BJ69" i="4"/>
  <c r="U69" i="4" a="1"/>
  <c r="U69" i="4" s="1"/>
  <c r="BD69" i="2"/>
  <c r="BF69" i="2" s="1"/>
  <c r="U69" i="2" a="1"/>
  <c r="U69" i="2" s="1"/>
  <c r="Q69" i="2" a="1"/>
  <c r="Q69" i="2" s="1"/>
  <c r="S69" i="2" s="1"/>
  <c r="S68" i="2"/>
  <c r="F70" i="2" a="1"/>
  <c r="F70" i="2" s="1"/>
  <c r="A71" i="2"/>
  <c r="AF70" i="2" a="1"/>
  <c r="AF70" i="2" s="1"/>
  <c r="AB70" i="2" a="1"/>
  <c r="AB70" i="2" s="1"/>
  <c r="Y70" i="2" a="1"/>
  <c r="Y70" i="2" s="1"/>
  <c r="L70" i="2" a="1"/>
  <c r="L70" i="2" s="1"/>
  <c r="AP68" i="2"/>
  <c r="AJ68" i="2"/>
  <c r="CD68" i="2"/>
  <c r="BQ69" i="4" l="1"/>
  <c r="AJ69" i="4"/>
  <c r="AH69" i="4"/>
  <c r="AN69" i="4" s="1"/>
  <c r="W69" i="4"/>
  <c r="BF70" i="4"/>
  <c r="Q70" i="4" a="1"/>
  <c r="Q70" i="4" s="1"/>
  <c r="S70" i="4" s="1"/>
  <c r="AX70" i="4"/>
  <c r="U70" i="4" a="1"/>
  <c r="U70" i="4" s="1"/>
  <c r="BJ70" i="4"/>
  <c r="S69" i="4"/>
  <c r="F71" i="4" a="1"/>
  <c r="F71" i="4" s="1"/>
  <c r="Y71" i="4" a="1"/>
  <c r="Y71" i="4" s="1"/>
  <c r="L71" i="4" a="1"/>
  <c r="L71" i="4" s="1"/>
  <c r="A72" i="4"/>
  <c r="AD71" i="4" a="1"/>
  <c r="AD71" i="4" s="1"/>
  <c r="AB71" i="4" a="1"/>
  <c r="AB71" i="4" s="1"/>
  <c r="F71" i="2" a="1"/>
  <c r="F71" i="2" s="1"/>
  <c r="A72" i="2"/>
  <c r="AF71" i="2" a="1"/>
  <c r="AF71" i="2" s="1"/>
  <c r="AB71" i="2" a="1"/>
  <c r="AB71" i="2" s="1"/>
  <c r="Y71" i="2" a="1"/>
  <c r="Y71" i="2" s="1"/>
  <c r="L71" i="2" a="1"/>
  <c r="L71" i="2" s="1"/>
  <c r="AJ69" i="2"/>
  <c r="CD69" i="2"/>
  <c r="AP69" i="2"/>
  <c r="W69" i="2"/>
  <c r="BD70" i="2"/>
  <c r="BF70" i="2" s="1"/>
  <c r="U70" i="2" a="1"/>
  <c r="U70" i="2" s="1"/>
  <c r="Q70" i="2" a="1"/>
  <c r="Q70" i="2" s="1"/>
  <c r="S70" i="2" s="1"/>
  <c r="BB71" i="4" l="1"/>
  <c r="BJ71" i="4"/>
  <c r="U71" i="4" a="1"/>
  <c r="U71" i="4" s="1"/>
  <c r="Q71" i="4" a="1"/>
  <c r="Q71" i="4" s="1"/>
  <c r="S71" i="4" s="1"/>
  <c r="BF71" i="4"/>
  <c r="Y72" i="4" a="1"/>
  <c r="Y72" i="4" s="1"/>
  <c r="L72" i="4" a="1"/>
  <c r="L72" i="4" s="1"/>
  <c r="AD72" i="4" a="1"/>
  <c r="AD72" i="4" s="1"/>
  <c r="F72" i="4" a="1"/>
  <c r="F72" i="4" s="1"/>
  <c r="A73" i="4"/>
  <c r="AB72" i="4" a="1"/>
  <c r="AB72" i="4" s="1"/>
  <c r="AJ70" i="4"/>
  <c r="BQ70" i="4"/>
  <c r="AH70" i="4"/>
  <c r="AN70" i="4" s="1"/>
  <c r="W70" i="4"/>
  <c r="A73" i="2"/>
  <c r="AF72" i="2" a="1"/>
  <c r="AF72" i="2" s="1"/>
  <c r="AB72" i="2" a="1"/>
  <c r="AB72" i="2" s="1"/>
  <c r="Y72" i="2" a="1"/>
  <c r="Y72" i="2" s="1"/>
  <c r="L72" i="2" a="1"/>
  <c r="L72" i="2" s="1"/>
  <c r="F72" i="2" a="1"/>
  <c r="F72" i="2" s="1"/>
  <c r="U71" i="2" a="1"/>
  <c r="U71" i="2" s="1"/>
  <c r="Q71" i="2" a="1"/>
  <c r="Q71" i="2" s="1"/>
  <c r="S71" i="2" s="1"/>
  <c r="BD71" i="2"/>
  <c r="BF71" i="2" s="1"/>
  <c r="AJ70" i="2"/>
  <c r="CD70" i="2"/>
  <c r="AP70" i="2"/>
  <c r="W70" i="2"/>
  <c r="AH71" i="4" l="1"/>
  <c r="AN71" i="4"/>
  <c r="AJ71" i="4"/>
  <c r="BQ71" i="4"/>
  <c r="W71" i="4"/>
  <c r="U72" i="4" a="1"/>
  <c r="U72" i="4" s="1"/>
  <c r="BJ72" i="4"/>
  <c r="BF72" i="4"/>
  <c r="Q72" i="4" a="1"/>
  <c r="Q72" i="4" s="1"/>
  <c r="BB72" i="4"/>
  <c r="A74" i="4"/>
  <c r="AD73" i="4" a="1"/>
  <c r="AD73" i="4" s="1"/>
  <c r="F73" i="4" a="1"/>
  <c r="F73" i="4" s="1"/>
  <c r="AB73" i="4" a="1"/>
  <c r="AB73" i="4" s="1"/>
  <c r="Y73" i="4" a="1"/>
  <c r="Y73" i="4" s="1"/>
  <c r="BQ73" i="4" s="1"/>
  <c r="L73" i="4" a="1"/>
  <c r="L73" i="4" s="1"/>
  <c r="AF73" i="2" a="1"/>
  <c r="AF73" i="2" s="1"/>
  <c r="A74" i="2"/>
  <c r="AB73" i="2" a="1"/>
  <c r="AB73" i="2" s="1"/>
  <c r="Y73" i="2" a="1"/>
  <c r="Y73" i="2" s="1"/>
  <c r="L73" i="2" a="1"/>
  <c r="L73" i="2" s="1"/>
  <c r="F73" i="2" a="1"/>
  <c r="F73" i="2" s="1"/>
  <c r="AJ71" i="2"/>
  <c r="CD71" i="2"/>
  <c r="AP71" i="2"/>
  <c r="W71" i="2"/>
  <c r="U72" i="2" a="1"/>
  <c r="U72" i="2" s="1"/>
  <c r="Q72" i="2" a="1"/>
  <c r="Q72" i="2" s="1"/>
  <c r="S72" i="2" s="1"/>
  <c r="BD72" i="2"/>
  <c r="BF72" i="2" s="1"/>
  <c r="AJ72" i="4" l="1"/>
  <c r="BQ72" i="4"/>
  <c r="AH72" i="4"/>
  <c r="AN72" i="4" s="1"/>
  <c r="W72" i="4"/>
  <c r="W73" i="4"/>
  <c r="AX73" i="4"/>
  <c r="BJ73" i="4"/>
  <c r="BF73" i="4"/>
  <c r="BB73" i="4"/>
  <c r="Y74" i="4" a="1"/>
  <c r="Y74" i="4" s="1"/>
  <c r="L74" i="4" a="1"/>
  <c r="L74" i="4" s="1"/>
  <c r="AB74" i="4" a="1"/>
  <c r="AB74" i="4" s="1"/>
  <c r="AD74" i="4" a="1"/>
  <c r="AD74" i="4" s="1"/>
  <c r="F74" i="4" a="1"/>
  <c r="F74" i="4" s="1"/>
  <c r="A75" i="4"/>
  <c r="S72" i="4"/>
  <c r="AL73" i="2"/>
  <c r="BD73" i="2"/>
  <c r="CD72" i="2"/>
  <c r="AP72" i="2"/>
  <c r="AJ72" i="2"/>
  <c r="W72" i="2"/>
  <c r="Y74" i="2" a="1"/>
  <c r="Y74" i="2" s="1"/>
  <c r="L74" i="2" a="1"/>
  <c r="L74" i="2" s="1"/>
  <c r="AF74" i="2" a="1"/>
  <c r="AF74" i="2" s="1"/>
  <c r="A75" i="2"/>
  <c r="AB74" i="2" a="1"/>
  <c r="AB74" i="2" s="1"/>
  <c r="F74" i="2" a="1"/>
  <c r="F74" i="2" s="1"/>
  <c r="AB75" i="4" l="1" a="1"/>
  <c r="AB75" i="4" s="1"/>
  <c r="A76" i="4"/>
  <c r="AD75" i="4" a="1"/>
  <c r="AD75" i="4" s="1"/>
  <c r="F75" i="4" a="1"/>
  <c r="F75" i="4" s="1"/>
  <c r="Y75" i="4" a="1"/>
  <c r="Y75" i="4" s="1"/>
  <c r="L75" i="4" a="1"/>
  <c r="L75" i="4" s="1"/>
  <c r="BJ74" i="4"/>
  <c r="Q74" i="4" a="1"/>
  <c r="Q74" i="4" s="1"/>
  <c r="BF74" i="4"/>
  <c r="AX74" i="4"/>
  <c r="U74" i="4" a="1"/>
  <c r="U74" i="4" s="1"/>
  <c r="CD73" i="2"/>
  <c r="AP73" i="2"/>
  <c r="AR73" i="2" s="1"/>
  <c r="AT73" i="2" s="1"/>
  <c r="AX73" i="2" s="1"/>
  <c r="AN73" i="2"/>
  <c r="AJ73" i="2"/>
  <c r="AZ73" i="2"/>
  <c r="W73" i="2"/>
  <c r="L75" i="2" a="1"/>
  <c r="L75" i="2" s="1"/>
  <c r="Y75" i="2" a="1"/>
  <c r="Y75" i="2" s="1"/>
  <c r="F75" i="2" a="1"/>
  <c r="F75" i="2" s="1"/>
  <c r="AF75" i="2" a="1"/>
  <c r="AF75" i="2" s="1"/>
  <c r="A76" i="2"/>
  <c r="AB75" i="2" a="1"/>
  <c r="AB75" i="2" s="1"/>
  <c r="BD74" i="2"/>
  <c r="BF74" i="2" s="1"/>
  <c r="U74" i="2" a="1"/>
  <c r="U74" i="2" s="1"/>
  <c r="W74" i="2" s="1"/>
  <c r="Q74" i="2" a="1"/>
  <c r="Q74" i="2" s="1"/>
  <c r="BF75" i="4" l="1"/>
  <c r="Q75" i="4" a="1"/>
  <c r="Q75" i="4" s="1"/>
  <c r="BJ75" i="4"/>
  <c r="AX75" i="4"/>
  <c r="U75" i="4" a="1"/>
  <c r="U75" i="4" s="1"/>
  <c r="F76" i="4" a="1"/>
  <c r="F76" i="4" s="1"/>
  <c r="Y76" i="4" a="1"/>
  <c r="Y76" i="4" s="1"/>
  <c r="L76" i="4" a="1"/>
  <c r="L76" i="4" s="1"/>
  <c r="AB76" i="4" a="1"/>
  <c r="AB76" i="4" s="1"/>
  <c r="AD76" i="4" a="1"/>
  <c r="AD76" i="4" s="1"/>
  <c r="A77" i="4"/>
  <c r="BQ74" i="4"/>
  <c r="AJ74" i="4"/>
  <c r="AH74" i="4"/>
  <c r="AN74" i="4" s="1"/>
  <c r="W74" i="4"/>
  <c r="S74" i="4"/>
  <c r="S74" i="2"/>
  <c r="AL74" i="2" s="1"/>
  <c r="AN74" i="2" s="1"/>
  <c r="F76" i="2" a="1"/>
  <c r="F76" i="2" s="1"/>
  <c r="AF76" i="2" a="1"/>
  <c r="AF76" i="2" s="1"/>
  <c r="A77" i="2"/>
  <c r="AB76" i="2" a="1"/>
  <c r="AB76" i="2" s="1"/>
  <c r="L76" i="2" a="1"/>
  <c r="L76" i="2" s="1"/>
  <c r="Y76" i="2" a="1"/>
  <c r="Y76" i="2" s="1"/>
  <c r="BH73" i="2"/>
  <c r="BB73" i="2"/>
  <c r="AJ74" i="2"/>
  <c r="CD74" i="2"/>
  <c r="AP74" i="2"/>
  <c r="BD75" i="2"/>
  <c r="BF75" i="2" s="1"/>
  <c r="U75" i="2" a="1"/>
  <c r="U75" i="2" s="1"/>
  <c r="Q75" i="2" a="1"/>
  <c r="Q75" i="2" s="1"/>
  <c r="Y77" i="4" l="1" a="1"/>
  <c r="Y77" i="4" s="1"/>
  <c r="L77" i="4" a="1"/>
  <c r="L77" i="4" s="1"/>
  <c r="AD77" i="4" a="1"/>
  <c r="AD77" i="4" s="1"/>
  <c r="AB77" i="4" a="1"/>
  <c r="AB77" i="4" s="1"/>
  <c r="A78" i="4"/>
  <c r="F77" i="4" a="1"/>
  <c r="F77" i="4" s="1"/>
  <c r="AJ75" i="4"/>
  <c r="BQ75" i="4"/>
  <c r="AH75" i="4"/>
  <c r="AN75" i="4" s="1"/>
  <c r="W75" i="4"/>
  <c r="BB76" i="4"/>
  <c r="BJ76" i="4"/>
  <c r="Q76" i="4" a="1"/>
  <c r="Q76" i="4" s="1"/>
  <c r="S76" i="4" s="1"/>
  <c r="U76" i="4" a="1"/>
  <c r="U76" i="4" s="1"/>
  <c r="BF76" i="4"/>
  <c r="S75" i="4"/>
  <c r="F77" i="2" a="1"/>
  <c r="F77" i="2" s="1"/>
  <c r="AF77" i="2" a="1"/>
  <c r="AF77" i="2" s="1"/>
  <c r="A78" i="2"/>
  <c r="AB77" i="2" a="1"/>
  <c r="AB77" i="2" s="1"/>
  <c r="L77" i="2" a="1"/>
  <c r="L77" i="2" s="1"/>
  <c r="Y77" i="2" a="1"/>
  <c r="Y77" i="2" s="1"/>
  <c r="Q76" i="2" a="1"/>
  <c r="Q76" i="2" s="1"/>
  <c r="U76" i="2" a="1"/>
  <c r="U76" i="2" s="1"/>
  <c r="BD76" i="2"/>
  <c r="BF76" i="2" s="1"/>
  <c r="S75" i="2"/>
  <c r="AL75" i="2" s="1"/>
  <c r="AN75" i="2" s="1"/>
  <c r="CD75" i="2"/>
  <c r="AP75" i="2"/>
  <c r="AJ75" i="2"/>
  <c r="W75" i="2"/>
  <c r="A79" i="4" l="1"/>
  <c r="AD78" i="4" a="1"/>
  <c r="AD78" i="4" s="1"/>
  <c r="F78" i="4" a="1"/>
  <c r="F78" i="4" s="1"/>
  <c r="Y78" i="4" a="1"/>
  <c r="Y78" i="4" s="1"/>
  <c r="L78" i="4" a="1"/>
  <c r="L78" i="4" s="1"/>
  <c r="AB78" i="4" a="1"/>
  <c r="AB78" i="4" s="1"/>
  <c r="U77" i="4" a="1"/>
  <c r="U77" i="4" s="1"/>
  <c r="BJ77" i="4"/>
  <c r="BF77" i="4"/>
  <c r="Q77" i="4" a="1"/>
  <c r="Q77" i="4" s="1"/>
  <c r="S77" i="4" s="1"/>
  <c r="BB77" i="4"/>
  <c r="AH76" i="4"/>
  <c r="AN76" i="4"/>
  <c r="BQ76" i="4"/>
  <c r="AJ76" i="4"/>
  <c r="W76" i="4"/>
  <c r="A79" i="2"/>
  <c r="AF78" i="2" a="1"/>
  <c r="AF78" i="2" s="1"/>
  <c r="AB78" i="2" a="1"/>
  <c r="AB78" i="2" s="1"/>
  <c r="L78" i="2" a="1"/>
  <c r="L78" i="2" s="1"/>
  <c r="Y78" i="2" a="1"/>
  <c r="Y78" i="2" s="1"/>
  <c r="F78" i="2" a="1"/>
  <c r="F78" i="2" s="1"/>
  <c r="AJ76" i="2"/>
  <c r="CD76" i="2"/>
  <c r="AP76" i="2"/>
  <c r="W76" i="2"/>
  <c r="U77" i="2" a="1"/>
  <c r="U77" i="2" s="1"/>
  <c r="BD77" i="2"/>
  <c r="BF77" i="2" s="1"/>
  <c r="Q77" i="2" a="1"/>
  <c r="Q77" i="2" s="1"/>
  <c r="S77" i="2" s="1"/>
  <c r="S76" i="2"/>
  <c r="BF78" i="4" l="1"/>
  <c r="U78" i="4" a="1"/>
  <c r="U78" i="4" s="1"/>
  <c r="Q78" i="4" a="1"/>
  <c r="Q78" i="4" s="1"/>
  <c r="S78" i="4" s="1"/>
  <c r="BJ78" i="4"/>
  <c r="AX78" i="4"/>
  <c r="AJ77" i="4"/>
  <c r="AH77" i="4"/>
  <c r="AN77" i="4" s="1"/>
  <c r="BQ77" i="4"/>
  <c r="W77" i="4"/>
  <c r="F79" i="4" a="1"/>
  <c r="F79" i="4" s="1"/>
  <c r="AD79" i="4" a="1"/>
  <c r="AD79" i="4" s="1"/>
  <c r="L79" i="4" a="1"/>
  <c r="L79" i="4" s="1"/>
  <c r="AB79" i="4" a="1"/>
  <c r="AB79" i="4" s="1"/>
  <c r="Y79" i="4" a="1"/>
  <c r="Y79" i="4" s="1"/>
  <c r="A80" i="4"/>
  <c r="AJ77" i="2"/>
  <c r="CD77" i="2"/>
  <c r="AP77" i="2"/>
  <c r="BD78" i="2"/>
  <c r="BF78" i="2" s="1"/>
  <c r="U78" i="2" a="1"/>
  <c r="U78" i="2" s="1"/>
  <c r="Q78" i="2" a="1"/>
  <c r="Q78" i="2" s="1"/>
  <c r="AF79" i="2" a="1"/>
  <c r="AF79" i="2" s="1"/>
  <c r="AB79" i="2" a="1"/>
  <c r="AB79" i="2" s="1"/>
  <c r="A80" i="2"/>
  <c r="L79" i="2" a="1"/>
  <c r="L79" i="2" s="1"/>
  <c r="Y79" i="2" a="1"/>
  <c r="Y79" i="2" s="1"/>
  <c r="F79" i="2" a="1"/>
  <c r="F79" i="2" s="1"/>
  <c r="W77" i="2"/>
  <c r="BB79" i="4" l="1"/>
  <c r="U79" i="4" a="1"/>
  <c r="U79" i="4" s="1"/>
  <c r="BJ79" i="4"/>
  <c r="BF79" i="4"/>
  <c r="Q79" i="4" a="1"/>
  <c r="Q79" i="4" s="1"/>
  <c r="AJ78" i="4"/>
  <c r="AH78" i="4"/>
  <c r="BQ78" i="4"/>
  <c r="AN78" i="4"/>
  <c r="W78" i="4"/>
  <c r="AB80" i="4" a="1"/>
  <c r="AB80" i="4" s="1"/>
  <c r="A81" i="4"/>
  <c r="AD80" i="4" a="1"/>
  <c r="AD80" i="4" s="1"/>
  <c r="L80" i="4" a="1"/>
  <c r="L80" i="4" s="1"/>
  <c r="F80" i="4" a="1"/>
  <c r="F80" i="4" s="1"/>
  <c r="Y80" i="4" a="1"/>
  <c r="Y80" i="4" s="1"/>
  <c r="AB80" i="2" a="1"/>
  <c r="AB80" i="2" s="1"/>
  <c r="Y80" i="2" a="1"/>
  <c r="Y80" i="2" s="1"/>
  <c r="F80" i="2" a="1"/>
  <c r="F80" i="2" s="1"/>
  <c r="AF80" i="2" a="1"/>
  <c r="AF80" i="2" s="1"/>
  <c r="A81" i="2"/>
  <c r="L80" i="2" a="1"/>
  <c r="L80" i="2" s="1"/>
  <c r="BD79" i="2"/>
  <c r="BF79" i="2" s="1"/>
  <c r="U79" i="2" a="1"/>
  <c r="U79" i="2" s="1"/>
  <c r="Q79" i="2" a="1"/>
  <c r="Q79" i="2" s="1"/>
  <c r="S78" i="2"/>
  <c r="CD78" i="2"/>
  <c r="AP78" i="2"/>
  <c r="AJ78" i="2"/>
  <c r="W78" i="2"/>
  <c r="S79" i="2" l="1"/>
  <c r="AH79" i="4"/>
  <c r="AN79" i="4" s="1"/>
  <c r="BQ79" i="4"/>
  <c r="AJ79" i="4"/>
  <c r="W79" i="4"/>
  <c r="Q80" i="4" a="1"/>
  <c r="Q80" i="4" s="1"/>
  <c r="U80" i="4" a="1"/>
  <c r="U80" i="4" s="1"/>
  <c r="BJ80" i="4"/>
  <c r="BF80" i="4"/>
  <c r="BB80" i="4"/>
  <c r="A82" i="4"/>
  <c r="AD81" i="4" a="1"/>
  <c r="AD81" i="4" s="1"/>
  <c r="AB81" i="4" a="1"/>
  <c r="AB81" i="4" s="1"/>
  <c r="F81" i="4" a="1"/>
  <c r="F81" i="4" s="1"/>
  <c r="Y81" i="4" a="1"/>
  <c r="Y81" i="4" s="1"/>
  <c r="L81" i="4" a="1"/>
  <c r="L81" i="4" s="1"/>
  <c r="S79" i="4"/>
  <c r="AF81" i="2" a="1"/>
  <c r="AF81" i="2" s="1"/>
  <c r="A82" i="2"/>
  <c r="AB81" i="2" a="1"/>
  <c r="AB81" i="2" s="1"/>
  <c r="L81" i="2" a="1"/>
  <c r="L81" i="2" s="1"/>
  <c r="Y81" i="2" a="1"/>
  <c r="Y81" i="2" s="1"/>
  <c r="F81" i="2" a="1"/>
  <c r="F81" i="2" s="1"/>
  <c r="AJ79" i="2"/>
  <c r="CD79" i="2"/>
  <c r="AP79" i="2"/>
  <c r="W79" i="2"/>
  <c r="Q80" i="2" a="1"/>
  <c r="Q80" i="2" s="1"/>
  <c r="BD80" i="2"/>
  <c r="BF80" i="2" s="1"/>
  <c r="U80" i="2" a="1"/>
  <c r="U80" i="2" s="1"/>
  <c r="S80" i="2" l="1"/>
  <c r="BF81" i="4"/>
  <c r="BB81" i="4"/>
  <c r="U81" i="4" a="1"/>
  <c r="U81" i="4" s="1"/>
  <c r="Q81" i="4" a="1"/>
  <c r="Q81" i="4" s="1"/>
  <c r="S81" i="4" s="1"/>
  <c r="BJ81" i="4"/>
  <c r="S80" i="4"/>
  <c r="Y82" i="4" a="1"/>
  <c r="Y82" i="4" s="1"/>
  <c r="L82" i="4" a="1"/>
  <c r="L82" i="4" s="1"/>
  <c r="A83" i="4"/>
  <c r="AB82" i="4" a="1"/>
  <c r="AB82" i="4" s="1"/>
  <c r="AD82" i="4" a="1"/>
  <c r="AD82" i="4" s="1"/>
  <c r="F82" i="4" a="1"/>
  <c r="F82" i="4" s="1"/>
  <c r="BQ80" i="4"/>
  <c r="AH80" i="4"/>
  <c r="AN80" i="4" s="1"/>
  <c r="AJ80" i="4"/>
  <c r="W80" i="4"/>
  <c r="CD80" i="2"/>
  <c r="AP80" i="2"/>
  <c r="AJ80" i="2"/>
  <c r="W80" i="2"/>
  <c r="Y82" i="2" a="1"/>
  <c r="Y82" i="2" s="1"/>
  <c r="L82" i="2" a="1"/>
  <c r="L82" i="2" s="1"/>
  <c r="AF82" i="2" a="1"/>
  <c r="AF82" i="2" s="1"/>
  <c r="A83" i="2"/>
  <c r="AB82" i="2" a="1"/>
  <c r="AB82" i="2" s="1"/>
  <c r="F82" i="2" a="1"/>
  <c r="F82" i="2" s="1"/>
  <c r="Q81" i="2" a="1"/>
  <c r="Q81" i="2" s="1"/>
  <c r="BD81" i="2"/>
  <c r="BF81" i="2" s="1"/>
  <c r="U81" i="2" a="1"/>
  <c r="U81" i="2" s="1"/>
  <c r="AJ81" i="4" l="1"/>
  <c r="BQ81" i="4"/>
  <c r="AH81" i="4"/>
  <c r="AN81" i="4" s="1"/>
  <c r="W81" i="4"/>
  <c r="BJ82" i="4"/>
  <c r="Q82" i="4" a="1"/>
  <c r="Q82" i="4" s="1"/>
  <c r="BF82" i="4"/>
  <c r="BB82" i="4"/>
  <c r="U82" i="4" a="1"/>
  <c r="U82" i="4" s="1"/>
  <c r="A84" i="4"/>
  <c r="AB83" i="4" a="1"/>
  <c r="AB83" i="4" s="1"/>
  <c r="L83" i="4" a="1"/>
  <c r="L83" i="4" s="1"/>
  <c r="AD83" i="4" a="1"/>
  <c r="AD83" i="4" s="1"/>
  <c r="Y83" i="4" a="1"/>
  <c r="Y83" i="4" s="1"/>
  <c r="F83" i="4" a="1"/>
  <c r="F83" i="4" s="1"/>
  <c r="A84" i="2"/>
  <c r="AB83" i="2" a="1"/>
  <c r="AB83" i="2" s="1"/>
  <c r="L83" i="2" a="1"/>
  <c r="L83" i="2" s="1"/>
  <c r="Y83" i="2" a="1"/>
  <c r="Y83" i="2" s="1"/>
  <c r="F83" i="2" a="1"/>
  <c r="F83" i="2" s="1"/>
  <c r="AF83" i="2" a="1"/>
  <c r="AF83" i="2" s="1"/>
  <c r="S81" i="2"/>
  <c r="BD82" i="2"/>
  <c r="BF82" i="2" s="1"/>
  <c r="U82" i="2" a="1"/>
  <c r="U82" i="2" s="1"/>
  <c r="Q82" i="2" a="1"/>
  <c r="Q82" i="2" s="1"/>
  <c r="AP81" i="2"/>
  <c r="CD81" i="2"/>
  <c r="AJ81" i="2"/>
  <c r="W81" i="2"/>
  <c r="Y84" i="4" l="1" a="1"/>
  <c r="Y84" i="4" s="1"/>
  <c r="L84" i="4" a="1"/>
  <c r="L84" i="4" s="1"/>
  <c r="F84" i="4" a="1"/>
  <c r="F84" i="4" s="1"/>
  <c r="A85" i="4"/>
  <c r="AD84" i="4" a="1"/>
  <c r="AD84" i="4" s="1"/>
  <c r="AB84" i="4" a="1"/>
  <c r="AB84" i="4" s="1"/>
  <c r="BQ82" i="4"/>
  <c r="AJ82" i="4"/>
  <c r="AH82" i="4"/>
  <c r="AN82" i="4"/>
  <c r="W82" i="4"/>
  <c r="BB83" i="4"/>
  <c r="BJ83" i="4"/>
  <c r="BF83" i="4"/>
  <c r="U83" i="4" a="1"/>
  <c r="U83" i="4" s="1"/>
  <c r="Q83" i="4" a="1"/>
  <c r="Q83" i="4" s="1"/>
  <c r="S83" i="4" s="1"/>
  <c r="S82" i="4"/>
  <c r="F84" i="2" a="1"/>
  <c r="F84" i="2" s="1"/>
  <c r="AF84" i="2" a="1"/>
  <c r="AF84" i="2" s="1"/>
  <c r="A85" i="2"/>
  <c r="AB84" i="2" a="1"/>
  <c r="AB84" i="2" s="1"/>
  <c r="L84" i="2" a="1"/>
  <c r="L84" i="2" s="1"/>
  <c r="Y84" i="2" a="1"/>
  <c r="Y84" i="2" s="1"/>
  <c r="S82" i="2"/>
  <c r="AJ82" i="2"/>
  <c r="CD82" i="2"/>
  <c r="AP82" i="2"/>
  <c r="W82" i="2"/>
  <c r="BD83" i="2"/>
  <c r="BF83" i="2" s="1"/>
  <c r="U83" i="2" a="1"/>
  <c r="U83" i="2" s="1"/>
  <c r="Q83" i="2" a="1"/>
  <c r="Q83" i="2" s="1"/>
  <c r="S83" i="2" s="1"/>
  <c r="BJ84" i="4" l="1"/>
  <c r="BB84" i="4"/>
  <c r="U84" i="4" a="1"/>
  <c r="U84" i="4" s="1"/>
  <c r="Q84" i="4" a="1"/>
  <c r="Q84" i="4" s="1"/>
  <c r="S84" i="4" s="1"/>
  <c r="BF84" i="4"/>
  <c r="AN83" i="4"/>
  <c r="BQ83" i="4"/>
  <c r="AJ83" i="4"/>
  <c r="AH83" i="4"/>
  <c r="W83" i="4"/>
  <c r="Y85" i="4" a="1"/>
  <c r="Y85" i="4" s="1"/>
  <c r="F85" i="4" a="1"/>
  <c r="F85" i="4" s="1"/>
  <c r="AB85" i="4" a="1"/>
  <c r="AB85" i="4" s="1"/>
  <c r="L85" i="4" a="1"/>
  <c r="L85" i="4" s="1"/>
  <c r="A86" i="4"/>
  <c r="AD85" i="4" a="1"/>
  <c r="AD85" i="4" s="1"/>
  <c r="CD83" i="2"/>
  <c r="AP83" i="2"/>
  <c r="AJ83" i="2"/>
  <c r="BD84" i="2"/>
  <c r="BF84" i="2" s="1"/>
  <c r="Q84" i="2" a="1"/>
  <c r="Q84" i="2" s="1"/>
  <c r="U84" i="2" a="1"/>
  <c r="U84" i="2" s="1"/>
  <c r="Y85" i="2" a="1"/>
  <c r="Y85" i="2" s="1"/>
  <c r="F85" i="2" a="1"/>
  <c r="F85" i="2" s="1"/>
  <c r="AF85" i="2" a="1"/>
  <c r="AF85" i="2" s="1"/>
  <c r="A86" i="2"/>
  <c r="AB85" i="2" a="1"/>
  <c r="AB85" i="2" s="1"/>
  <c r="L85" i="2" a="1"/>
  <c r="L85" i="2" s="1"/>
  <c r="W83" i="2"/>
  <c r="W84" i="2"/>
  <c r="BJ85" i="4" l="1"/>
  <c r="BF85" i="4"/>
  <c r="Q85" i="4" a="1"/>
  <c r="Q85" i="4" s="1"/>
  <c r="BB85" i="4"/>
  <c r="U85" i="4" a="1"/>
  <c r="U85" i="4" s="1"/>
  <c r="BQ84" i="4"/>
  <c r="AJ84" i="4"/>
  <c r="AH84" i="4"/>
  <c r="AN84" i="4" s="1"/>
  <c r="W84" i="4"/>
  <c r="F86" i="4" a="1"/>
  <c r="F86" i="4" s="1"/>
  <c r="A87" i="4"/>
  <c r="Y86" i="4" a="1"/>
  <c r="Y86" i="4" s="1"/>
  <c r="L86" i="4" a="1"/>
  <c r="L86" i="4" s="1"/>
  <c r="AD86" i="4" a="1"/>
  <c r="AD86" i="4" s="1"/>
  <c r="AB86" i="4" a="1"/>
  <c r="AB86" i="4" s="1"/>
  <c r="A87" i="2"/>
  <c r="AF86" i="2" a="1"/>
  <c r="AF86" i="2" s="1"/>
  <c r="AB86" i="2" a="1"/>
  <c r="AB86" i="2" s="1"/>
  <c r="L86" i="2" a="1"/>
  <c r="L86" i="2" s="1"/>
  <c r="Y86" i="2" a="1"/>
  <c r="Y86" i="2" s="1"/>
  <c r="F86" i="2" a="1"/>
  <c r="F86" i="2" s="1"/>
  <c r="U85" i="2" a="1"/>
  <c r="U85" i="2" s="1"/>
  <c r="W85" i="2" s="1"/>
  <c r="BD85" i="2"/>
  <c r="BF85" i="2" s="1"/>
  <c r="Q85" i="2" a="1"/>
  <c r="Q85" i="2" s="1"/>
  <c r="S85" i="2" s="1"/>
  <c r="AJ84" i="2"/>
  <c r="CD84" i="2"/>
  <c r="AP84" i="2"/>
  <c r="S84" i="2"/>
  <c r="AJ85" i="4" l="1"/>
  <c r="AH85" i="4"/>
  <c r="AN85" i="4" s="1"/>
  <c r="BQ85" i="4"/>
  <c r="W85" i="4"/>
  <c r="F87" i="4" a="1"/>
  <c r="F87" i="4" s="1"/>
  <c r="A88" i="4"/>
  <c r="Y87" i="4" a="1"/>
  <c r="Y87" i="4" s="1"/>
  <c r="L87" i="4" a="1"/>
  <c r="L87" i="4" s="1"/>
  <c r="AD87" i="4" a="1"/>
  <c r="AD87" i="4" s="1"/>
  <c r="AB87" i="4" a="1"/>
  <c r="AB87" i="4" s="1"/>
  <c r="S85" i="4"/>
  <c r="BF86" i="4"/>
  <c r="BB86" i="4"/>
  <c r="Q86" i="4" a="1"/>
  <c r="Q86" i="4" s="1"/>
  <c r="BJ86" i="4"/>
  <c r="U86" i="4" a="1"/>
  <c r="U86" i="4" s="1"/>
  <c r="Q86" i="2" a="1"/>
  <c r="Q86" i="2" s="1"/>
  <c r="BD86" i="2"/>
  <c r="BF86" i="2" s="1"/>
  <c r="U86" i="2" a="1"/>
  <c r="U86" i="2" s="1"/>
  <c r="AF87" i="2" a="1"/>
  <c r="AF87" i="2" s="1"/>
  <c r="AB87" i="2" a="1"/>
  <c r="AB87" i="2" s="1"/>
  <c r="A88" i="2"/>
  <c r="L87" i="2" a="1"/>
  <c r="L87" i="2" s="1"/>
  <c r="Y87" i="2" a="1"/>
  <c r="Y87" i="2" s="1"/>
  <c r="F87" i="2" a="1"/>
  <c r="F87" i="2" s="1"/>
  <c r="CD85" i="2"/>
  <c r="AP85" i="2"/>
  <c r="AJ85" i="2"/>
  <c r="S86" i="2" l="1"/>
  <c r="BB87" i="4"/>
  <c r="AX87" i="4"/>
  <c r="U87" i="4" a="1"/>
  <c r="U87" i="4" s="1"/>
  <c r="BJ87" i="4" s="1"/>
  <c r="Q87" i="4" a="1"/>
  <c r="Q87" i="4" s="1"/>
  <c r="S87" i="4" s="1"/>
  <c r="BF87" i="4"/>
  <c r="AJ86" i="4"/>
  <c r="AH86" i="4"/>
  <c r="AN86" i="4" s="1"/>
  <c r="BQ86" i="4"/>
  <c r="W86" i="4"/>
  <c r="S86" i="4"/>
  <c r="A89" i="4"/>
  <c r="AD88" i="4" a="1"/>
  <c r="AD88" i="4" s="1"/>
  <c r="Y88" i="4" a="1"/>
  <c r="Y88" i="4" s="1"/>
  <c r="L88" i="4" a="1"/>
  <c r="L88" i="4" s="1"/>
  <c r="F88" i="4" a="1"/>
  <c r="F88" i="4" s="1"/>
  <c r="AB88" i="4" a="1"/>
  <c r="AB88" i="4" s="1"/>
  <c r="BD87" i="2"/>
  <c r="BF87" i="2" s="1"/>
  <c r="U87" i="2" a="1"/>
  <c r="U87" i="2" s="1"/>
  <c r="Q87" i="2" a="1"/>
  <c r="Q87" i="2" s="1"/>
  <c r="AB88" i="2" a="1"/>
  <c r="AB88" i="2" s="1"/>
  <c r="A89" i="2"/>
  <c r="L88" i="2" a="1"/>
  <c r="L88" i="2" s="1"/>
  <c r="Y88" i="2" a="1"/>
  <c r="Y88" i="2" s="1"/>
  <c r="F88" i="2" a="1"/>
  <c r="F88" i="2" s="1"/>
  <c r="AF88" i="2" a="1"/>
  <c r="AF88" i="2" s="1"/>
  <c r="CD86" i="2"/>
  <c r="AP86" i="2"/>
  <c r="AJ86" i="2"/>
  <c r="W86" i="2"/>
  <c r="AH87" i="4" l="1"/>
  <c r="AJ87" i="4"/>
  <c r="AN87" i="4"/>
  <c r="BQ87" i="4"/>
  <c r="W87" i="4"/>
  <c r="U88" i="4" a="1"/>
  <c r="U88" i="4" s="1"/>
  <c r="BJ88" i="4"/>
  <c r="Q88" i="4" a="1"/>
  <c r="Q88" i="4" s="1"/>
  <c r="S88" i="4" s="1"/>
  <c r="BF88" i="4"/>
  <c r="BB88" i="4"/>
  <c r="A90" i="4"/>
  <c r="AD89" i="4" a="1"/>
  <c r="AD89" i="4" s="1"/>
  <c r="AB89" i="4" a="1"/>
  <c r="AB89" i="4" s="1"/>
  <c r="L89" i="4" a="1"/>
  <c r="L89" i="4" s="1"/>
  <c r="F89" i="4" a="1"/>
  <c r="F89" i="4" s="1"/>
  <c r="Y89" i="4" a="1"/>
  <c r="Y89" i="4" s="1"/>
  <c r="Q88" i="2" a="1"/>
  <c r="Q88" i="2" s="1"/>
  <c r="BD88" i="2"/>
  <c r="BF88" i="2" s="1"/>
  <c r="U88" i="2" a="1"/>
  <c r="U88" i="2" s="1"/>
  <c r="S87" i="2"/>
  <c r="AL87" i="2" s="1"/>
  <c r="AN87" i="2" s="1"/>
  <c r="AJ87" i="2"/>
  <c r="CD87" i="2"/>
  <c r="AP87" i="2"/>
  <c r="W87" i="2"/>
  <c r="W88" i="2"/>
  <c r="AF89" i="2" a="1"/>
  <c r="AF89" i="2" s="1"/>
  <c r="A90" i="2"/>
  <c r="AB89" i="2" a="1"/>
  <c r="AB89" i="2" s="1"/>
  <c r="L89" i="2" a="1"/>
  <c r="L89" i="2" s="1"/>
  <c r="Y89" i="2" a="1"/>
  <c r="Y89" i="2" s="1"/>
  <c r="F89" i="2" a="1"/>
  <c r="F89" i="2" s="1"/>
  <c r="BF89" i="4" l="1"/>
  <c r="BB89" i="4"/>
  <c r="U89" i="4" a="1"/>
  <c r="U89" i="4" s="1"/>
  <c r="BJ89" i="4"/>
  <c r="Q89" i="4" a="1"/>
  <c r="Q89" i="4" s="1"/>
  <c r="S89" i="4" s="1"/>
  <c r="AB90" i="4" a="1"/>
  <c r="AB90" i="4" s="1"/>
  <c r="AD90" i="4" a="1"/>
  <c r="AD90" i="4" s="1"/>
  <c r="L90" i="4" a="1"/>
  <c r="L90" i="4" s="1"/>
  <c r="Y90" i="4" a="1"/>
  <c r="Y90" i="4" s="1"/>
  <c r="A91" i="4"/>
  <c r="F90" i="4" a="1"/>
  <c r="F90" i="4" s="1"/>
  <c r="AH88" i="4"/>
  <c r="AN88" i="4"/>
  <c r="BQ88" i="4"/>
  <c r="AJ88" i="4"/>
  <c r="W88" i="4"/>
  <c r="S88" i="2"/>
  <c r="Q89" i="2" a="1"/>
  <c r="Q89" i="2" s="1"/>
  <c r="BD89" i="2"/>
  <c r="BF89" i="2" s="1"/>
  <c r="U89" i="2" a="1"/>
  <c r="U89" i="2" s="1"/>
  <c r="W89" i="2" s="1"/>
  <c r="Y90" i="2" a="1"/>
  <c r="Y90" i="2" s="1"/>
  <c r="L90" i="2" a="1"/>
  <c r="L90" i="2" s="1"/>
  <c r="F90" i="2" a="1"/>
  <c r="F90" i="2" s="1"/>
  <c r="AF90" i="2" a="1"/>
  <c r="AF90" i="2" s="1"/>
  <c r="A91" i="2"/>
  <c r="AB90" i="2" a="1"/>
  <c r="AB90" i="2" s="1"/>
  <c r="CD88" i="2"/>
  <c r="AP88" i="2"/>
  <c r="AJ88" i="2"/>
  <c r="S89" i="2" l="1"/>
  <c r="AB91" i="4" a="1"/>
  <c r="AB91" i="4" s="1"/>
  <c r="Y91" i="4" a="1"/>
  <c r="Y91" i="4" s="1"/>
  <c r="F91" i="4" a="1"/>
  <c r="F91" i="4" s="1"/>
  <c r="A92" i="4"/>
  <c r="L91" i="4" a="1"/>
  <c r="L91" i="4" s="1"/>
  <c r="AD91" i="4" a="1"/>
  <c r="AD91" i="4" s="1"/>
  <c r="BQ89" i="4"/>
  <c r="AJ89" i="4"/>
  <c r="AN89" i="4"/>
  <c r="AH89" i="4"/>
  <c r="W89" i="4"/>
  <c r="Q90" i="4" a="1"/>
  <c r="Q90" i="4" s="1"/>
  <c r="S90" i="4" s="1"/>
  <c r="BB90" i="4"/>
  <c r="U90" i="4" a="1"/>
  <c r="U90" i="4" s="1"/>
  <c r="BJ90" i="4"/>
  <c r="BF90" i="4"/>
  <c r="BD90" i="2"/>
  <c r="BF90" i="2" s="1"/>
  <c r="U90" i="2" a="1"/>
  <c r="U90" i="2" s="1"/>
  <c r="Q90" i="2" a="1"/>
  <c r="Q90" i="2" s="1"/>
  <c r="S90" i="2" s="1"/>
  <c r="AP89" i="2"/>
  <c r="CD89" i="2"/>
  <c r="AJ89" i="2"/>
  <c r="A92" i="2"/>
  <c r="AB91" i="2" a="1"/>
  <c r="AB91" i="2" s="1"/>
  <c r="L91" i="2" a="1"/>
  <c r="L91" i="2" s="1"/>
  <c r="Y91" i="2" a="1"/>
  <c r="Y91" i="2" s="1"/>
  <c r="F91" i="2" a="1"/>
  <c r="F91" i="2" s="1"/>
  <c r="AF91" i="2" a="1"/>
  <c r="AF91" i="2" s="1"/>
  <c r="Q91" i="4" l="1" a="1"/>
  <c r="Q91" i="4" s="1"/>
  <c r="BJ91" i="4"/>
  <c r="BF91" i="4"/>
  <c r="U91" i="4" a="1"/>
  <c r="U91" i="4" s="1"/>
  <c r="BB91" i="4"/>
  <c r="Y92" i="4" a="1"/>
  <c r="Y92" i="4" s="1"/>
  <c r="L92" i="4" a="1"/>
  <c r="L92" i="4" s="1"/>
  <c r="AB92" i="4" a="1"/>
  <c r="AB92" i="4" s="1"/>
  <c r="F92" i="4" a="1"/>
  <c r="F92" i="4" s="1"/>
  <c r="AD92" i="4" a="1"/>
  <c r="AD92" i="4" s="1"/>
  <c r="A93" i="4"/>
  <c r="BQ90" i="4"/>
  <c r="AJ90" i="4"/>
  <c r="AH90" i="4"/>
  <c r="AN90" i="4" s="1"/>
  <c r="W90" i="4"/>
  <c r="F92" i="2" a="1"/>
  <c r="F92" i="2" s="1"/>
  <c r="AF92" i="2" a="1"/>
  <c r="AF92" i="2" s="1"/>
  <c r="A93" i="2"/>
  <c r="AB92" i="2" a="1"/>
  <c r="AB92" i="2" s="1"/>
  <c r="L92" i="2" a="1"/>
  <c r="L92" i="2" s="1"/>
  <c r="Y92" i="2" a="1"/>
  <c r="Y92" i="2" s="1"/>
  <c r="BD91" i="2"/>
  <c r="BF91" i="2" s="1"/>
  <c r="Q91" i="2" a="1"/>
  <c r="Q91" i="2" s="1"/>
  <c r="U91" i="2" a="1"/>
  <c r="U91" i="2" s="1"/>
  <c r="CD90" i="2"/>
  <c r="AP90" i="2"/>
  <c r="AJ90" i="2"/>
  <c r="W90" i="2"/>
  <c r="W91" i="2"/>
  <c r="S91" i="2" l="1"/>
  <c r="AB93" i="4" a="1"/>
  <c r="AB93" i="4" s="1"/>
  <c r="F93" i="4" a="1"/>
  <c r="F93" i="4" s="1"/>
  <c r="L93" i="4" a="1"/>
  <c r="L93" i="4" s="1"/>
  <c r="AD93" i="4" a="1"/>
  <c r="AD93" i="4" s="1"/>
  <c r="Y93" i="4" a="1"/>
  <c r="Y93" i="4" s="1"/>
  <c r="A94" i="4"/>
  <c r="BJ92" i="4"/>
  <c r="U92" i="4" a="1"/>
  <c r="U92" i="4" s="1"/>
  <c r="BF92" i="4"/>
  <c r="Q92" i="4" a="1"/>
  <c r="Q92" i="4" s="1"/>
  <c r="S92" i="4" s="1"/>
  <c r="AX92" i="4"/>
  <c r="BQ91" i="4"/>
  <c r="AH91" i="4"/>
  <c r="AN91" i="4" s="1"/>
  <c r="AJ91" i="4"/>
  <c r="W91" i="4"/>
  <c r="S91" i="4"/>
  <c r="AB93" i="2" a="1"/>
  <c r="AB93" i="2" s="1"/>
  <c r="L93" i="2" a="1"/>
  <c r="L93" i="2" s="1"/>
  <c r="A94" i="2"/>
  <c r="Y93" i="2" a="1"/>
  <c r="Y93" i="2" s="1"/>
  <c r="F93" i="2" a="1"/>
  <c r="F93" i="2" s="1"/>
  <c r="AF93" i="2" a="1"/>
  <c r="AF93" i="2" s="1"/>
  <c r="U92" i="2" a="1"/>
  <c r="U92" i="2" s="1"/>
  <c r="BD92" i="2"/>
  <c r="BF92" i="2" s="1"/>
  <c r="Q92" i="2" a="1"/>
  <c r="Q92" i="2" s="1"/>
  <c r="CD91" i="2"/>
  <c r="AP91" i="2"/>
  <c r="AJ91" i="2"/>
  <c r="BB93" i="4" l="1"/>
  <c r="BJ93" i="4"/>
  <c r="BF93" i="4"/>
  <c r="U93" i="4" a="1"/>
  <c r="U93" i="4" s="1"/>
  <c r="Q93" i="4" a="1"/>
  <c r="Q93" i="4" s="1"/>
  <c r="AJ92" i="4"/>
  <c r="BQ92" i="4"/>
  <c r="AH92" i="4"/>
  <c r="AN92" i="4" s="1"/>
  <c r="W92" i="4"/>
  <c r="AB94" i="4" a="1"/>
  <c r="AB94" i="4" s="1"/>
  <c r="Y94" i="4" a="1"/>
  <c r="Y94" i="4" s="1"/>
  <c r="F94" i="4" a="1"/>
  <c r="F94" i="4" s="1"/>
  <c r="A95" i="4"/>
  <c r="AD94" i="4" a="1"/>
  <c r="AD94" i="4" s="1"/>
  <c r="L94" i="4" a="1"/>
  <c r="L94" i="4" s="1"/>
  <c r="AJ92" i="2"/>
  <c r="CD92" i="2"/>
  <c r="AP92" i="2"/>
  <c r="W92" i="2"/>
  <c r="F94" i="2" a="1"/>
  <c r="F94" i="2" s="1"/>
  <c r="A95" i="2"/>
  <c r="AF94" i="2" a="1"/>
  <c r="AF94" i="2" s="1"/>
  <c r="Y94" i="2" a="1"/>
  <c r="Y94" i="2" s="1"/>
  <c r="AB94" i="2" a="1"/>
  <c r="AB94" i="2" s="1"/>
  <c r="L94" i="2" a="1"/>
  <c r="L94" i="2" s="1"/>
  <c r="BD93" i="2"/>
  <c r="BF93" i="2" s="1"/>
  <c r="U93" i="2" a="1"/>
  <c r="U93" i="2" s="1"/>
  <c r="Q93" i="2" a="1"/>
  <c r="Q93" i="2" s="1"/>
  <c r="S92" i="2"/>
  <c r="AL92" i="2" s="1"/>
  <c r="AN92" i="2" s="1"/>
  <c r="S93" i="4" l="1"/>
  <c r="BQ93" i="4"/>
  <c r="AH93" i="4"/>
  <c r="AJ93" i="4"/>
  <c r="AN93" i="4"/>
  <c r="W93" i="4"/>
  <c r="AX94" i="4"/>
  <c r="U94" i="4" a="1"/>
  <c r="U94" i="4" s="1"/>
  <c r="Q94" i="4" a="1"/>
  <c r="Q94" i="4" s="1"/>
  <c r="S94" i="4" s="1"/>
  <c r="BJ94" i="4"/>
  <c r="BF94" i="4"/>
  <c r="Y95" i="4" a="1"/>
  <c r="Y95" i="4" s="1"/>
  <c r="L95" i="4" a="1"/>
  <c r="L95" i="4" s="1"/>
  <c r="A96" i="4"/>
  <c r="AD95" i="4" a="1"/>
  <c r="AD95" i="4" s="1"/>
  <c r="F95" i="4" a="1"/>
  <c r="F95" i="4" s="1"/>
  <c r="AB95" i="4" a="1"/>
  <c r="AB95" i="4" s="1"/>
  <c r="S93" i="2"/>
  <c r="U94" i="2" a="1"/>
  <c r="U94" i="2" s="1"/>
  <c r="Q94" i="2" a="1"/>
  <c r="Q94" i="2" s="1"/>
  <c r="BD94" i="2"/>
  <c r="BF94" i="2" s="1"/>
  <c r="AP93" i="2"/>
  <c r="CD93" i="2"/>
  <c r="AJ93" i="2"/>
  <c r="W93" i="2"/>
  <c r="A96" i="2"/>
  <c r="AF95" i="2" a="1"/>
  <c r="AF95" i="2" s="1"/>
  <c r="AB95" i="2" a="1"/>
  <c r="AB95" i="2" s="1"/>
  <c r="F95" i="2" a="1"/>
  <c r="F95" i="2" s="1"/>
  <c r="Y95" i="2" a="1"/>
  <c r="Y95" i="2" s="1"/>
  <c r="L95" i="2" a="1"/>
  <c r="L95" i="2" s="1"/>
  <c r="BJ95" i="4" l="1"/>
  <c r="Q95" i="4" a="1"/>
  <c r="Q95" i="4" s="1"/>
  <c r="AX95" i="4"/>
  <c r="U95" i="4" a="1"/>
  <c r="U95" i="4" s="1"/>
  <c r="BF95" i="4"/>
  <c r="Y96" i="4" a="1"/>
  <c r="Y96" i="4" s="1"/>
  <c r="A97" i="4"/>
  <c r="AD96" i="4" a="1"/>
  <c r="AD96" i="4" s="1"/>
  <c r="F96" i="4" a="1"/>
  <c r="F96" i="4" s="1"/>
  <c r="AB96" i="4" a="1"/>
  <c r="AB96" i="4" s="1"/>
  <c r="L96" i="4" a="1"/>
  <c r="L96" i="4" s="1"/>
  <c r="AJ94" i="4"/>
  <c r="BQ94" i="4"/>
  <c r="AH94" i="4"/>
  <c r="AN94" i="4" s="1"/>
  <c r="W94" i="4"/>
  <c r="A97" i="2"/>
  <c r="AF96" i="2" a="1"/>
  <c r="AF96" i="2" s="1"/>
  <c r="AB96" i="2" a="1"/>
  <c r="AB96" i="2" s="1"/>
  <c r="L96" i="2" a="1"/>
  <c r="L96" i="2" s="1"/>
  <c r="F96" i="2" a="1"/>
  <c r="F96" i="2" s="1"/>
  <c r="Y96" i="2" a="1"/>
  <c r="Y96" i="2" s="1"/>
  <c r="S94" i="2"/>
  <c r="AJ94" i="2"/>
  <c r="AP94" i="2"/>
  <c r="CD94" i="2"/>
  <c r="W94" i="2"/>
  <c r="U95" i="2" a="1"/>
  <c r="U95" i="2" s="1"/>
  <c r="BD95" i="2"/>
  <c r="BF95" i="2" s="1"/>
  <c r="Q95" i="2" a="1"/>
  <c r="Q95" i="2" s="1"/>
  <c r="S95" i="2" s="1"/>
  <c r="BF96" i="4" l="1"/>
  <c r="BB96" i="4"/>
  <c r="AX96" i="4"/>
  <c r="U96" i="4" a="1"/>
  <c r="U96" i="4" s="1"/>
  <c r="Q96" i="4" a="1"/>
  <c r="Q96" i="4" s="1"/>
  <c r="S96" i="4" s="1"/>
  <c r="S95" i="4"/>
  <c r="AJ95" i="4"/>
  <c r="AH95" i="4"/>
  <c r="BQ95" i="4"/>
  <c r="AN95" i="4"/>
  <c r="W95" i="4"/>
  <c r="F97" i="4" a="1"/>
  <c r="F97" i="4" s="1"/>
  <c r="AB97" i="4" a="1"/>
  <c r="AB97" i="4" s="1"/>
  <c r="A98" i="4"/>
  <c r="Y97" i="4" a="1"/>
  <c r="Y97" i="4" s="1"/>
  <c r="AD97" i="4" a="1"/>
  <c r="AD97" i="4" s="1"/>
  <c r="L97" i="4" a="1"/>
  <c r="L97" i="4" s="1"/>
  <c r="Q96" i="2" a="1"/>
  <c r="Q96" i="2" s="1"/>
  <c r="U96" i="2" a="1"/>
  <c r="U96" i="2" s="1"/>
  <c r="BD96" i="2"/>
  <c r="BF96" i="2" s="1"/>
  <c r="AB97" i="2" a="1"/>
  <c r="AB97" i="2" s="1"/>
  <c r="Y97" i="2" a="1"/>
  <c r="Y97" i="2" s="1"/>
  <c r="A98" i="2"/>
  <c r="L97" i="2" a="1"/>
  <c r="L97" i="2" s="1"/>
  <c r="AF97" i="2" a="1"/>
  <c r="AF97" i="2" s="1"/>
  <c r="F97" i="2" a="1"/>
  <c r="F97" i="2" s="1"/>
  <c r="AP95" i="2"/>
  <c r="CD95" i="2"/>
  <c r="AJ95" i="2"/>
  <c r="W95" i="2"/>
  <c r="S96" i="2" l="1"/>
  <c r="AL96" i="2" s="1"/>
  <c r="AN96" i="2" s="1"/>
  <c r="L98" i="4" a="1"/>
  <c r="L98" i="4" s="1"/>
  <c r="A99" i="4"/>
  <c r="AD98" i="4" a="1"/>
  <c r="AD98" i="4" s="1"/>
  <c r="F98" i="4" a="1"/>
  <c r="F98" i="4" s="1"/>
  <c r="Y98" i="4" a="1"/>
  <c r="Y98" i="4" s="1"/>
  <c r="AB98" i="4" a="1"/>
  <c r="AB98" i="4" s="1"/>
  <c r="AJ96" i="4"/>
  <c r="AN96" i="4"/>
  <c r="AH96" i="4"/>
  <c r="BQ96" i="4"/>
  <c r="W96" i="4"/>
  <c r="BJ96" i="4"/>
  <c r="Q97" i="4" a="1"/>
  <c r="Q97" i="4" s="1"/>
  <c r="S97" i="4" s="1"/>
  <c r="U97" i="4" a="1"/>
  <c r="U97" i="4" s="1"/>
  <c r="AX97" i="4"/>
  <c r="BJ97" i="4"/>
  <c r="BF97" i="4"/>
  <c r="Q97" i="2" a="1"/>
  <c r="Q97" i="2" s="1"/>
  <c r="U97" i="2" a="1"/>
  <c r="U97" i="2" s="1"/>
  <c r="BD97" i="2"/>
  <c r="BF97" i="2" s="1"/>
  <c r="CD96" i="2"/>
  <c r="AJ96" i="2"/>
  <c r="AP96" i="2"/>
  <c r="W96" i="2"/>
  <c r="AB98" i="2" a="1"/>
  <c r="AB98" i="2" s="1"/>
  <c r="Y98" i="2" a="1"/>
  <c r="Y98" i="2" s="1"/>
  <c r="L98" i="2" a="1"/>
  <c r="L98" i="2" s="1"/>
  <c r="A99" i="2"/>
  <c r="AF98" i="2" a="1"/>
  <c r="AF98" i="2" s="1"/>
  <c r="F98" i="2" a="1"/>
  <c r="F98" i="2" s="1"/>
  <c r="W97" i="2"/>
  <c r="S97" i="2" l="1"/>
  <c r="AH97" i="4"/>
  <c r="AN97" i="4" s="1"/>
  <c r="BQ97" i="4"/>
  <c r="AJ97" i="4"/>
  <c r="W97" i="4"/>
  <c r="AX98" i="4"/>
  <c r="U98" i="4" a="1"/>
  <c r="U98" i="4" s="1"/>
  <c r="Q98" i="4" a="1"/>
  <c r="Q98" i="4" s="1"/>
  <c r="BJ98" i="4"/>
  <c r="BF98" i="4"/>
  <c r="A100" i="4"/>
  <c r="AD99" i="4" a="1"/>
  <c r="AD99" i="4" s="1"/>
  <c r="Y99" i="4" a="1"/>
  <c r="Y99" i="4" s="1"/>
  <c r="L99" i="4" a="1"/>
  <c r="L99" i="4" s="1"/>
  <c r="F99" i="4" a="1"/>
  <c r="F99" i="4" s="1"/>
  <c r="AB99" i="4" a="1"/>
  <c r="AB99" i="4" s="1"/>
  <c r="CD97" i="2"/>
  <c r="AP97" i="2"/>
  <c r="AJ97" i="2"/>
  <c r="Q98" i="2" a="1"/>
  <c r="Q98" i="2" s="1"/>
  <c r="BD98" i="2"/>
  <c r="BF98" i="2" s="1"/>
  <c r="U98" i="2" a="1"/>
  <c r="U98" i="2" s="1"/>
  <c r="A100" i="2"/>
  <c r="AB99" i="2" a="1"/>
  <c r="AB99" i="2" s="1"/>
  <c r="L99" i="2" a="1"/>
  <c r="L99" i="2" s="1"/>
  <c r="Y99" i="2" a="1"/>
  <c r="Y99" i="2" s="1"/>
  <c r="F99" i="2" a="1"/>
  <c r="F99" i="2" s="1"/>
  <c r="AF99" i="2" a="1"/>
  <c r="AF99" i="2" s="1"/>
  <c r="S98" i="2" l="1"/>
  <c r="S98" i="4"/>
  <c r="BQ98" i="4"/>
  <c r="AJ98" i="4"/>
  <c r="AH98" i="4"/>
  <c r="AN98" i="4" s="1"/>
  <c r="W98" i="4"/>
  <c r="BJ99" i="4"/>
  <c r="U99" i="4" a="1"/>
  <c r="U99" i="4" s="1"/>
  <c r="BF99" i="4"/>
  <c r="BB99" i="4"/>
  <c r="Q99" i="4" a="1"/>
  <c r="Q99" i="4" s="1"/>
  <c r="S99" i="4" s="1"/>
  <c r="Y100" i="4" a="1"/>
  <c r="Y100" i="4" s="1"/>
  <c r="A101" i="4"/>
  <c r="AD100" i="4" a="1"/>
  <c r="AD100" i="4" s="1"/>
  <c r="F100" i="4" a="1"/>
  <c r="F100" i="4" s="1"/>
  <c r="AB100" i="4" a="1"/>
  <c r="AB100" i="4" s="1"/>
  <c r="L100" i="4" a="1"/>
  <c r="L100" i="4" s="1"/>
  <c r="CD98" i="2"/>
  <c r="AP98" i="2"/>
  <c r="AJ98" i="2"/>
  <c r="W98" i="2"/>
  <c r="BD99" i="2"/>
  <c r="BF99" i="2" s="1"/>
  <c r="U99" i="2" a="1"/>
  <c r="U99" i="2" s="1"/>
  <c r="Q99" i="2" a="1"/>
  <c r="Q99" i="2" s="1"/>
  <c r="AB100" i="2" a="1"/>
  <c r="AB100" i="2" s="1"/>
  <c r="F100" i="2" a="1"/>
  <c r="F100" i="2" s="1"/>
  <c r="L100" i="2" a="1"/>
  <c r="L100" i="2" s="1"/>
  <c r="AF100" i="2" a="1"/>
  <c r="AF100" i="2" s="1"/>
  <c r="A101" i="2"/>
  <c r="Y100" i="2" a="1"/>
  <c r="Y100" i="2" s="1"/>
  <c r="BQ99" i="4" l="1"/>
  <c r="AJ99" i="4"/>
  <c r="AH99" i="4"/>
  <c r="AN99" i="4" s="1"/>
  <c r="W99" i="4"/>
  <c r="BF100" i="4"/>
  <c r="BJ100" i="4"/>
  <c r="Q100" i="4" a="1"/>
  <c r="Q100" i="4" s="1"/>
  <c r="AX100" i="4"/>
  <c r="U100" i="4" a="1"/>
  <c r="U100" i="4" s="1"/>
  <c r="AB101" i="4" a="1"/>
  <c r="AB101" i="4" s="1"/>
  <c r="F101" i="4" a="1"/>
  <c r="F101" i="4" s="1"/>
  <c r="AD101" i="4" a="1"/>
  <c r="AD101" i="4" s="1"/>
  <c r="L101" i="4" a="1"/>
  <c r="L101" i="4" s="1"/>
  <c r="A102" i="4"/>
  <c r="Y101" i="4" a="1"/>
  <c r="Y101" i="4" s="1"/>
  <c r="S99" i="2"/>
  <c r="Q100" i="2" a="1"/>
  <c r="Q100" i="2" s="1"/>
  <c r="U100" i="2" a="1"/>
  <c r="U100" i="2" s="1"/>
  <c r="BD100" i="2"/>
  <c r="BF100" i="2" s="1"/>
  <c r="CD99" i="2"/>
  <c r="AP99" i="2"/>
  <c r="AJ99" i="2"/>
  <c r="W99" i="2"/>
  <c r="W100" i="2"/>
  <c r="AF101" i="2" a="1"/>
  <c r="AF101" i="2" s="1"/>
  <c r="L101" i="2" a="1"/>
  <c r="L101" i="2" s="1"/>
  <c r="F101" i="2" a="1"/>
  <c r="F101" i="2" s="1"/>
  <c r="A102" i="2"/>
  <c r="AB101" i="2" a="1"/>
  <c r="AB101" i="2" s="1"/>
  <c r="Y101" i="2" a="1"/>
  <c r="Y101" i="2" s="1"/>
  <c r="W101" i="4" l="1"/>
  <c r="AJ100" i="4"/>
  <c r="AH100" i="4"/>
  <c r="AN100" i="4"/>
  <c r="BQ100" i="4"/>
  <c r="W100" i="4"/>
  <c r="A103" i="4"/>
  <c r="AD102" i="4" a="1"/>
  <c r="AD102" i="4" s="1"/>
  <c r="L102" i="4" a="1"/>
  <c r="L102" i="4" s="1"/>
  <c r="F102" i="4" a="1"/>
  <c r="F102" i="4" s="1"/>
  <c r="AB102" i="4" a="1"/>
  <c r="AB102" i="4" s="1"/>
  <c r="Y102" i="4" a="1"/>
  <c r="Y102" i="4" s="1"/>
  <c r="S100" i="4"/>
  <c r="Q101" i="4" a="1"/>
  <c r="Q101" i="4" s="1"/>
  <c r="BB101" i="4"/>
  <c r="BJ101" i="4"/>
  <c r="BF101" i="4"/>
  <c r="U101" i="4" a="1"/>
  <c r="U101" i="4" s="1"/>
  <c r="Y102" i="2" a="1"/>
  <c r="Y102" i="2" s="1"/>
  <c r="L102" i="2" a="1"/>
  <c r="L102" i="2" s="1"/>
  <c r="A103" i="2"/>
  <c r="AF102" i="2" a="1"/>
  <c r="AF102" i="2" s="1"/>
  <c r="F102" i="2" a="1"/>
  <c r="F102" i="2" s="1"/>
  <c r="AB102" i="2" a="1"/>
  <c r="AB102" i="2" s="1"/>
  <c r="CD100" i="2"/>
  <c r="AJ100" i="2"/>
  <c r="AP100" i="2"/>
  <c r="S100" i="2"/>
  <c r="AL100" i="2" s="1"/>
  <c r="AN100" i="2" s="1"/>
  <c r="U101" i="2" a="1"/>
  <c r="U101" i="2" s="1"/>
  <c r="BD101" i="2"/>
  <c r="BF101" i="2" s="1"/>
  <c r="Q101" i="2" a="1"/>
  <c r="Q101" i="2" s="1"/>
  <c r="S101" i="2" s="1"/>
  <c r="U102" i="4" l="1" a="1"/>
  <c r="U102" i="4" s="1"/>
  <c r="BF102" i="4"/>
  <c r="Q102" i="4" a="1"/>
  <c r="Q102" i="4" s="1"/>
  <c r="S102" i="4" s="1"/>
  <c r="BB102" i="4"/>
  <c r="BJ102" i="4"/>
  <c r="S101" i="4"/>
  <c r="Y103" i="4" a="1"/>
  <c r="Y103" i="4" s="1"/>
  <c r="L103" i="4" a="1"/>
  <c r="L103" i="4" s="1"/>
  <c r="A104" i="4"/>
  <c r="AD103" i="4" a="1"/>
  <c r="AD103" i="4" s="1"/>
  <c r="AB103" i="4" a="1"/>
  <c r="AB103" i="4" s="1"/>
  <c r="F103" i="4" a="1"/>
  <c r="F103" i="4" s="1"/>
  <c r="BQ101" i="4"/>
  <c r="AH101" i="4"/>
  <c r="AN101" i="4"/>
  <c r="AJ101" i="4"/>
  <c r="AP101" i="2"/>
  <c r="CD101" i="2"/>
  <c r="AJ101" i="2"/>
  <c r="W101" i="2"/>
  <c r="BD102" i="2"/>
  <c r="BF102" i="2" s="1"/>
  <c r="Q102" i="2" a="1"/>
  <c r="Q102" i="2" s="1"/>
  <c r="U102" i="2" a="1"/>
  <c r="U102" i="2" s="1"/>
  <c r="A104" i="2"/>
  <c r="AF103" i="2" a="1"/>
  <c r="AF103" i="2" s="1"/>
  <c r="AB103" i="2" a="1"/>
  <c r="AB103" i="2" s="1"/>
  <c r="L103" i="2" a="1"/>
  <c r="L103" i="2" s="1"/>
  <c r="Y103" i="2" a="1"/>
  <c r="Y103" i="2" s="1"/>
  <c r="F103" i="2" a="1"/>
  <c r="F103" i="2" s="1"/>
  <c r="S102" i="2" l="1"/>
  <c r="BJ103" i="4"/>
  <c r="BB103" i="4"/>
  <c r="BF103" i="4"/>
  <c r="U103" i="4" a="1"/>
  <c r="U103" i="4" s="1"/>
  <c r="Q103" i="4" a="1"/>
  <c r="Q103" i="4" s="1"/>
  <c r="S103" i="4" s="1"/>
  <c r="AB104" i="4" a="1"/>
  <c r="AB104" i="4" s="1"/>
  <c r="L104" i="4" a="1"/>
  <c r="L104" i="4" s="1"/>
  <c r="AD104" i="4" a="1"/>
  <c r="AD104" i="4" s="1"/>
  <c r="F104" i="4" a="1"/>
  <c r="F104" i="4" s="1"/>
  <c r="Y104" i="4" a="1"/>
  <c r="Y104" i="4" s="1"/>
  <c r="A105" i="4"/>
  <c r="AJ102" i="4"/>
  <c r="AH102" i="4"/>
  <c r="AN102" i="4" s="1"/>
  <c r="BQ102" i="4"/>
  <c r="W102" i="4"/>
  <c r="AJ102" i="2"/>
  <c r="CD102" i="2"/>
  <c r="AP102" i="2"/>
  <c r="W102" i="2"/>
  <c r="BD103" i="2"/>
  <c r="Q103" i="2" a="1"/>
  <c r="Q103" i="2" s="1"/>
  <c r="U103" i="2" a="1"/>
  <c r="U103" i="2" s="1"/>
  <c r="F104" i="2" a="1"/>
  <c r="F104" i="2" s="1"/>
  <c r="AB104" i="2" a="1"/>
  <c r="AB104" i="2" s="1"/>
  <c r="AF104" i="2" a="1"/>
  <c r="AF104" i="2" s="1"/>
  <c r="L104" i="2" a="1"/>
  <c r="L104" i="2" s="1"/>
  <c r="A105" i="2"/>
  <c r="Y104" i="2" a="1"/>
  <c r="Y104" i="2" s="1"/>
  <c r="BF104" i="4" l="1"/>
  <c r="Q104" i="4" a="1"/>
  <c r="Q104" i="4" s="1"/>
  <c r="S104" i="4" s="1"/>
  <c r="BJ104" i="4"/>
  <c r="U104" i="4" a="1"/>
  <c r="U104" i="4" s="1"/>
  <c r="BB104" i="4"/>
  <c r="AJ103" i="4"/>
  <c r="AH103" i="4"/>
  <c r="AN103" i="4" s="1"/>
  <c r="BQ103" i="4"/>
  <c r="W103" i="4"/>
  <c r="F105" i="4" a="1"/>
  <c r="F105" i="4" s="1"/>
  <c r="AB105" i="4" a="1"/>
  <c r="AB105" i="4" s="1"/>
  <c r="AD105" i="4" a="1"/>
  <c r="AD105" i="4" s="1"/>
  <c r="A106" i="4"/>
  <c r="Y105" i="4" a="1"/>
  <c r="Y105" i="4" s="1"/>
  <c r="L105" i="4" a="1"/>
  <c r="L105" i="4" s="1"/>
  <c r="BF103" i="2"/>
  <c r="AP103" i="2"/>
  <c r="AJ103" i="2"/>
  <c r="CD103" i="2"/>
  <c r="W103" i="2"/>
  <c r="S103" i="2"/>
  <c r="L105" i="2" a="1"/>
  <c r="L105" i="2" s="1"/>
  <c r="AB105" i="2" a="1"/>
  <c r="AB105" i="2" s="1"/>
  <c r="Y105" i="2" a="1"/>
  <c r="Y105" i="2" s="1"/>
  <c r="F105" i="2" a="1"/>
  <c r="F105" i="2" s="1"/>
  <c r="AF105" i="2" a="1"/>
  <c r="AF105" i="2" s="1"/>
  <c r="A106" i="2"/>
  <c r="Q104" i="2" a="1"/>
  <c r="Q104" i="2" s="1"/>
  <c r="U104" i="2" a="1"/>
  <c r="U104" i="2" s="1"/>
  <c r="BD104" i="2"/>
  <c r="BF104" i="2" s="1"/>
  <c r="AJ104" i="4" l="1"/>
  <c r="BQ104" i="4"/>
  <c r="AH104" i="4"/>
  <c r="AN104" i="4" s="1"/>
  <c r="W104" i="4"/>
  <c r="A107" i="4"/>
  <c r="AD106" i="4" a="1"/>
  <c r="AD106" i="4" s="1"/>
  <c r="Y106" i="4" a="1"/>
  <c r="Y106" i="4" s="1"/>
  <c r="L106" i="4" a="1"/>
  <c r="L106" i="4" s="1"/>
  <c r="F106" i="4" a="1"/>
  <c r="F106" i="4" s="1"/>
  <c r="AB106" i="4" a="1"/>
  <c r="AB106" i="4" s="1"/>
  <c r="BB105" i="4"/>
  <c r="Q105" i="4" a="1"/>
  <c r="Q105" i="4" s="1"/>
  <c r="S105" i="4" s="1"/>
  <c r="BJ105" i="4"/>
  <c r="U105" i="4" a="1"/>
  <c r="U105" i="4" s="1"/>
  <c r="BF105" i="4"/>
  <c r="U105" i="2" a="1"/>
  <c r="U105" i="2" s="1"/>
  <c r="BD105" i="2"/>
  <c r="BF105" i="2" s="1"/>
  <c r="Q105" i="2" a="1"/>
  <c r="Q105" i="2" s="1"/>
  <c r="W105" i="2"/>
  <c r="AJ104" i="2"/>
  <c r="CD104" i="2"/>
  <c r="AP104" i="2"/>
  <c r="W104" i="2"/>
  <c r="S104" i="2"/>
  <c r="A107" i="2"/>
  <c r="AF106" i="2" a="1"/>
  <c r="AF106" i="2" s="1"/>
  <c r="Y106" i="2" a="1"/>
  <c r="Y106" i="2" s="1"/>
  <c r="L106" i="2" a="1"/>
  <c r="L106" i="2" s="1"/>
  <c r="AB106" i="2" a="1"/>
  <c r="AB106" i="2" s="1"/>
  <c r="F106" i="2" a="1"/>
  <c r="F106" i="2" s="1"/>
  <c r="S105" i="2" l="1"/>
  <c r="A108" i="4"/>
  <c r="AD107" i="4" a="1"/>
  <c r="AD107" i="4" s="1"/>
  <c r="Y107" i="4" a="1"/>
  <c r="Y107" i="4" s="1"/>
  <c r="L107" i="4" a="1"/>
  <c r="L107" i="4" s="1"/>
  <c r="AB107" i="4" a="1"/>
  <c r="AB107" i="4" s="1"/>
  <c r="F107" i="4" a="1"/>
  <c r="F107" i="4" s="1"/>
  <c r="AH105" i="4"/>
  <c r="BQ105" i="4"/>
  <c r="AN105" i="4"/>
  <c r="AJ105" i="4"/>
  <c r="W105" i="4"/>
  <c r="U106" i="4" a="1"/>
  <c r="U106" i="4" s="1"/>
  <c r="BJ106" i="4"/>
  <c r="BB106" i="4"/>
  <c r="Q106" i="4" a="1"/>
  <c r="Q106" i="4" s="1"/>
  <c r="S106" i="4" s="1"/>
  <c r="BF106" i="4"/>
  <c r="AP105" i="2"/>
  <c r="CD105" i="2"/>
  <c r="AJ105" i="2"/>
  <c r="U106" i="2" a="1"/>
  <c r="U106" i="2" s="1"/>
  <c r="BD106" i="2"/>
  <c r="BF106" i="2" s="1"/>
  <c r="Q106" i="2" a="1"/>
  <c r="Q106" i="2" s="1"/>
  <c r="F107" i="2" a="1"/>
  <c r="F107" i="2" s="1"/>
  <c r="Y107" i="2" a="1"/>
  <c r="Y107" i="2" s="1"/>
  <c r="A108" i="2"/>
  <c r="AF107" i="2" a="1"/>
  <c r="AF107" i="2" s="1"/>
  <c r="AB107" i="2" a="1"/>
  <c r="AB107" i="2" s="1"/>
  <c r="L107" i="2" a="1"/>
  <c r="L107" i="2" s="1"/>
  <c r="AN106" i="4" l="1"/>
  <c r="AH106" i="4"/>
  <c r="AJ106" i="4"/>
  <c r="BQ106" i="4"/>
  <c r="W106" i="4"/>
  <c r="BJ107" i="4"/>
  <c r="BF107" i="4"/>
  <c r="U107" i="4" a="1"/>
  <c r="U107" i="4" s="1"/>
  <c r="Q107" i="4" a="1"/>
  <c r="Q107" i="4" s="1"/>
  <c r="BB107" i="4"/>
  <c r="AB108" i="4" a="1"/>
  <c r="AB108" i="4" s="1"/>
  <c r="F108" i="4" a="1"/>
  <c r="F108" i="4" s="1"/>
  <c r="A109" i="4"/>
  <c r="AD108" i="4" a="1"/>
  <c r="AD108" i="4" s="1"/>
  <c r="L108" i="4" a="1"/>
  <c r="L108" i="4" s="1"/>
  <c r="Y108" i="4" a="1"/>
  <c r="Y108" i="4" s="1"/>
  <c r="S106" i="2"/>
  <c r="AJ106" i="2"/>
  <c r="CD106" i="2"/>
  <c r="AP106" i="2"/>
  <c r="W106" i="2"/>
  <c r="BD107" i="2"/>
  <c r="BF107" i="2" s="1"/>
  <c r="Q107" i="2" a="1"/>
  <c r="Q107" i="2" s="1"/>
  <c r="S107" i="2" s="1"/>
  <c r="U107" i="2" a="1"/>
  <c r="U107" i="2" s="1"/>
  <c r="AB108" i="2" a="1"/>
  <c r="AB108" i="2" s="1"/>
  <c r="F108" i="2" a="1"/>
  <c r="F108" i="2" s="1"/>
  <c r="AF108" i="2" a="1"/>
  <c r="AF108" i="2" s="1"/>
  <c r="Y108" i="2" a="1"/>
  <c r="Y108" i="2" s="1"/>
  <c r="A109" i="2"/>
  <c r="L108" i="2" a="1"/>
  <c r="L108" i="2" s="1"/>
  <c r="AJ107" i="4" l="1"/>
  <c r="BQ107" i="4"/>
  <c r="AH107" i="4"/>
  <c r="AN107" i="4"/>
  <c r="W107" i="4"/>
  <c r="Q108" i="4" a="1"/>
  <c r="Q108" i="4" s="1"/>
  <c r="S108" i="4" s="1"/>
  <c r="BF108" i="4"/>
  <c r="BB108" i="4"/>
  <c r="U108" i="4" a="1"/>
  <c r="U108" i="4" s="1"/>
  <c r="BJ108" i="4"/>
  <c r="A110" i="4"/>
  <c r="AD109" i="4" a="1"/>
  <c r="AD109" i="4" s="1"/>
  <c r="AB109" i="4" a="1"/>
  <c r="AB109" i="4" s="1"/>
  <c r="F109" i="4" a="1"/>
  <c r="F109" i="4" s="1"/>
  <c r="Y109" i="4" a="1"/>
  <c r="Y109" i="4" s="1"/>
  <c r="L109" i="4" a="1"/>
  <c r="L109" i="4" s="1"/>
  <c r="W108" i="4"/>
  <c r="S107" i="4"/>
  <c r="AP107" i="2"/>
  <c r="AJ107" i="2"/>
  <c r="CD107" i="2"/>
  <c r="L109" i="2" a="1"/>
  <c r="L109" i="2" s="1"/>
  <c r="A110" i="2"/>
  <c r="AF109" i="2" a="1"/>
  <c r="AF109" i="2" s="1"/>
  <c r="AB109" i="2" a="1"/>
  <c r="AB109" i="2" s="1"/>
  <c r="Y109" i="2" a="1"/>
  <c r="Y109" i="2" s="1"/>
  <c r="F109" i="2" a="1"/>
  <c r="F109" i="2" s="1"/>
  <c r="W107" i="2"/>
  <c r="Q108" i="2" a="1"/>
  <c r="Q108" i="2" s="1"/>
  <c r="BD108" i="2"/>
  <c r="BF108" i="2" s="1"/>
  <c r="U108" i="2" a="1"/>
  <c r="U108" i="2" s="1"/>
  <c r="BB109" i="4" l="1"/>
  <c r="Q109" i="4" a="1"/>
  <c r="Q109" i="4" s="1"/>
  <c r="BJ109" i="4"/>
  <c r="BF109" i="4"/>
  <c r="U109" i="4" a="1"/>
  <c r="U109" i="4" s="1"/>
  <c r="A111" i="4"/>
  <c r="AD110" i="4" a="1"/>
  <c r="AD110" i="4" s="1"/>
  <c r="Y110" i="4" a="1"/>
  <c r="Y110" i="4" s="1"/>
  <c r="L110" i="4" a="1"/>
  <c r="L110" i="4" s="1"/>
  <c r="AB110" i="4" a="1"/>
  <c r="AB110" i="4" s="1"/>
  <c r="F110" i="4" a="1"/>
  <c r="F110" i="4" s="1"/>
  <c r="BQ108" i="4"/>
  <c r="AJ108" i="4"/>
  <c r="AH108" i="4"/>
  <c r="AN108" i="4"/>
  <c r="CD108" i="2"/>
  <c r="AJ108" i="2"/>
  <c r="AP108" i="2"/>
  <c r="W108" i="2"/>
  <c r="S108" i="2"/>
  <c r="U109" i="2" a="1"/>
  <c r="U109" i="2" s="1"/>
  <c r="Q109" i="2" a="1"/>
  <c r="Q109" i="2" s="1"/>
  <c r="BD109" i="2"/>
  <c r="BF109" i="2" s="1"/>
  <c r="Y110" i="2" a="1"/>
  <c r="Y110" i="2" s="1"/>
  <c r="L110" i="2" a="1"/>
  <c r="L110" i="2" s="1"/>
  <c r="A111" i="2"/>
  <c r="AF110" i="2" a="1"/>
  <c r="AF110" i="2" s="1"/>
  <c r="AB110" i="2" a="1"/>
  <c r="AB110" i="2" s="1"/>
  <c r="F110" i="2" a="1"/>
  <c r="F110" i="2" s="1"/>
  <c r="S109" i="2" l="1"/>
  <c r="BQ109" i="4"/>
  <c r="AH109" i="4"/>
  <c r="AN109" i="4" s="1"/>
  <c r="AJ109" i="4"/>
  <c r="S109" i="4"/>
  <c r="W109" i="4"/>
  <c r="AX110" i="4"/>
  <c r="U110" i="4" a="1"/>
  <c r="U110" i="4" s="1"/>
  <c r="BJ110" i="4"/>
  <c r="BF110" i="4"/>
  <c r="Q110" i="4" a="1"/>
  <c r="Q110" i="4" s="1"/>
  <c r="S110" i="4" s="1"/>
  <c r="A112" i="4"/>
  <c r="AD111" i="4" a="1"/>
  <c r="AD111" i="4" s="1"/>
  <c r="AB111" i="4" a="1"/>
  <c r="AB111" i="4" s="1"/>
  <c r="Y111" i="4" a="1"/>
  <c r="Y111" i="4" s="1"/>
  <c r="L111" i="4" a="1"/>
  <c r="L111" i="4" s="1"/>
  <c r="F111" i="4" a="1"/>
  <c r="F111" i="4" s="1"/>
  <c r="W110" i="2"/>
  <c r="AP109" i="2"/>
  <c r="CD109" i="2"/>
  <c r="AJ109" i="2"/>
  <c r="W109" i="2"/>
  <c r="U110" i="2" a="1"/>
  <c r="U110" i="2" s="1"/>
  <c r="Q110" i="2" a="1"/>
  <c r="Q110" i="2" s="1"/>
  <c r="S110" i="2" s="1"/>
  <c r="AL110" i="2" s="1"/>
  <c r="BD110" i="2"/>
  <c r="BF110" i="2" s="1"/>
  <c r="F111" i="2" a="1"/>
  <c r="F111" i="2" s="1"/>
  <c r="Y111" i="2" a="1"/>
  <c r="Y111" i="2" s="1"/>
  <c r="A112" i="2"/>
  <c r="AF111" i="2" a="1"/>
  <c r="AF111" i="2" s="1"/>
  <c r="AB111" i="2" a="1"/>
  <c r="AB111" i="2" s="1"/>
  <c r="L111" i="2" a="1"/>
  <c r="L111" i="2" s="1"/>
  <c r="Q111" i="4" l="1" a="1"/>
  <c r="Q111" i="4" s="1"/>
  <c r="BJ111" i="4"/>
  <c r="BF111" i="4"/>
  <c r="U111" i="4" a="1"/>
  <c r="U111" i="4" s="1"/>
  <c r="AX111" i="4"/>
  <c r="AB112" i="4" a="1"/>
  <c r="AB112" i="4" s="1"/>
  <c r="Y112" i="4" a="1"/>
  <c r="Y112" i="4" s="1"/>
  <c r="L112" i="4" a="1"/>
  <c r="L112" i="4" s="1"/>
  <c r="A113" i="4"/>
  <c r="AD112" i="4" a="1"/>
  <c r="AD112" i="4" s="1"/>
  <c r="F112" i="4" a="1"/>
  <c r="F112" i="4" s="1"/>
  <c r="AJ110" i="4"/>
  <c r="BQ110" i="4"/>
  <c r="AH110" i="4"/>
  <c r="AN110" i="4" s="1"/>
  <c r="W110" i="4"/>
  <c r="F112" i="2" a="1"/>
  <c r="F112" i="2" s="1"/>
  <c r="AB112" i="2" a="1"/>
  <c r="AB112" i="2" s="1"/>
  <c r="Y112" i="2" a="1"/>
  <c r="Y112" i="2" s="1"/>
  <c r="A113" i="2"/>
  <c r="AF112" i="2" a="1"/>
  <c r="AF112" i="2" s="1"/>
  <c r="L112" i="2" a="1"/>
  <c r="L112" i="2" s="1"/>
  <c r="AN110" i="2"/>
  <c r="AP110" i="2"/>
  <c r="CD110" i="2"/>
  <c r="AJ110" i="2"/>
  <c r="BD111" i="2"/>
  <c r="BF111" i="2" s="1"/>
  <c r="U111" i="2" a="1"/>
  <c r="U111" i="2" s="1"/>
  <c r="Q111" i="2" a="1"/>
  <c r="Q111" i="2" s="1"/>
  <c r="S111" i="2" s="1"/>
  <c r="AL111" i="2" s="1"/>
  <c r="BQ111" i="4" l="1"/>
  <c r="AJ111" i="4"/>
  <c r="AH111" i="4"/>
  <c r="AN111" i="4" s="1"/>
  <c r="W111" i="4"/>
  <c r="Q112" i="4" a="1"/>
  <c r="Q112" i="4" s="1"/>
  <c r="S112" i="4" s="1"/>
  <c r="BJ112" i="4"/>
  <c r="BF112" i="4"/>
  <c r="U112" i="4" a="1"/>
  <c r="U112" i="4" s="1"/>
  <c r="AX112" i="4"/>
  <c r="AB113" i="4" a="1"/>
  <c r="AB113" i="4" s="1"/>
  <c r="Y113" i="4" a="1"/>
  <c r="Y113" i="4" s="1"/>
  <c r="L113" i="4" a="1"/>
  <c r="L113" i="4" s="1"/>
  <c r="F113" i="4" a="1"/>
  <c r="F113" i="4" s="1"/>
  <c r="AD113" i="4" a="1"/>
  <c r="AD113" i="4" s="1"/>
  <c r="A114" i="4"/>
  <c r="S111" i="4"/>
  <c r="A114" i="2"/>
  <c r="AF113" i="2" a="1"/>
  <c r="AF113" i="2" s="1"/>
  <c r="L113" i="2" a="1"/>
  <c r="L113" i="2" s="1"/>
  <c r="F113" i="2" a="1"/>
  <c r="F113" i="2" s="1"/>
  <c r="AB113" i="2" a="1"/>
  <c r="AB113" i="2" s="1"/>
  <c r="Y113" i="2" a="1"/>
  <c r="Y113" i="2" s="1"/>
  <c r="AP111" i="2"/>
  <c r="CD111" i="2"/>
  <c r="AN111" i="2"/>
  <c r="AJ111" i="2"/>
  <c r="W111" i="2"/>
  <c r="Q112" i="2" a="1"/>
  <c r="Q112" i="2" s="1"/>
  <c r="U112" i="2" a="1"/>
  <c r="U112" i="2" s="1"/>
  <c r="BD112" i="2"/>
  <c r="BF112" i="2" s="1"/>
  <c r="Q113" i="4" l="1" a="1"/>
  <c r="Q113" i="4" s="1"/>
  <c r="BJ113" i="4"/>
  <c r="BF113" i="4"/>
  <c r="BB113" i="4"/>
  <c r="U113" i="4" a="1"/>
  <c r="U113" i="4" s="1"/>
  <c r="BQ112" i="4"/>
  <c r="AJ112" i="4"/>
  <c r="AH112" i="4"/>
  <c r="AN112" i="4" s="1"/>
  <c r="W112" i="4"/>
  <c r="Y114" i="4" a="1"/>
  <c r="Y114" i="4" s="1"/>
  <c r="L114" i="4" a="1"/>
  <c r="L114" i="4" s="1"/>
  <c r="F114" i="4" a="1"/>
  <c r="F114" i="4" s="1"/>
  <c r="AD114" i="4" a="1"/>
  <c r="AD114" i="4" s="1"/>
  <c r="AB114" i="4" a="1"/>
  <c r="AB114" i="4" s="1"/>
  <c r="A115" i="4"/>
  <c r="U113" i="2" a="1"/>
  <c r="U113" i="2" s="1"/>
  <c r="BD113" i="2"/>
  <c r="BF113" i="2" s="1"/>
  <c r="Q113" i="2" a="1"/>
  <c r="Q113" i="2" s="1"/>
  <c r="A115" i="2"/>
  <c r="AF114" i="2" a="1"/>
  <c r="AF114" i="2" s="1"/>
  <c r="Y114" i="2" a="1"/>
  <c r="Y114" i="2" s="1"/>
  <c r="L114" i="2" a="1"/>
  <c r="L114" i="2" s="1"/>
  <c r="F114" i="2" a="1"/>
  <c r="F114" i="2" s="1"/>
  <c r="AB114" i="2" a="1"/>
  <c r="AB114" i="2" s="1"/>
  <c r="AJ112" i="2"/>
  <c r="CD112" i="2"/>
  <c r="AP112" i="2"/>
  <c r="W112" i="2"/>
  <c r="S112" i="2"/>
  <c r="AL112" i="2" s="1"/>
  <c r="AN112" i="2" s="1"/>
  <c r="S113" i="2" l="1"/>
  <c r="BQ113" i="4"/>
  <c r="AJ113" i="4"/>
  <c r="AH113" i="4"/>
  <c r="AN113" i="4" s="1"/>
  <c r="W113" i="4"/>
  <c r="AB115" i="4" a="1"/>
  <c r="AB115" i="4" s="1"/>
  <c r="Y115" i="4" a="1"/>
  <c r="Y115" i="4" s="1"/>
  <c r="L115" i="4" a="1"/>
  <c r="L115" i="4" s="1"/>
  <c r="F115" i="4" a="1"/>
  <c r="F115" i="4" s="1"/>
  <c r="A116" i="4"/>
  <c r="AD115" i="4" a="1"/>
  <c r="AD115" i="4" s="1"/>
  <c r="BJ114" i="4"/>
  <c r="BF114" i="4"/>
  <c r="BB114" i="4"/>
  <c r="U114" i="4" a="1"/>
  <c r="U114" i="4" s="1"/>
  <c r="Q114" i="4" a="1"/>
  <c r="Q114" i="4" s="1"/>
  <c r="S113" i="4"/>
  <c r="AP113" i="2"/>
  <c r="AJ113" i="2"/>
  <c r="CD113" i="2"/>
  <c r="W113" i="2"/>
  <c r="AB115" i="2" a="1"/>
  <c r="AB115" i="2" s="1"/>
  <c r="F115" i="2" a="1"/>
  <c r="F115" i="2" s="1"/>
  <c r="AF115" i="2" a="1"/>
  <c r="AF115" i="2" s="1"/>
  <c r="A116" i="2"/>
  <c r="Y115" i="2" a="1"/>
  <c r="Y115" i="2" s="1"/>
  <c r="L115" i="2" a="1"/>
  <c r="L115" i="2" s="1"/>
  <c r="BD114" i="2"/>
  <c r="BF114" i="2" s="1"/>
  <c r="Q114" i="2" a="1"/>
  <c r="Q114" i="2" s="1"/>
  <c r="U114" i="2" a="1"/>
  <c r="U114" i="2" s="1"/>
  <c r="BJ115" i="4" l="1"/>
  <c r="BF115" i="4"/>
  <c r="BB115" i="4"/>
  <c r="U115" i="4" a="1"/>
  <c r="U115" i="4" s="1"/>
  <c r="Q115" i="4" a="1"/>
  <c r="Q115" i="4" s="1"/>
  <c r="S115" i="4" s="1"/>
  <c r="Y116" i="4" a="1"/>
  <c r="Y116" i="4" s="1"/>
  <c r="L116" i="4" a="1"/>
  <c r="L116" i="4" s="1"/>
  <c r="F116" i="4" a="1"/>
  <c r="F116" i="4" s="1"/>
  <c r="A117" i="4"/>
  <c r="AD116" i="4" a="1"/>
  <c r="AD116" i="4" s="1"/>
  <c r="AB116" i="4" a="1"/>
  <c r="AB116" i="4" s="1"/>
  <c r="BQ114" i="4"/>
  <c r="AJ114" i="4"/>
  <c r="AH114" i="4"/>
  <c r="AN114" i="4" s="1"/>
  <c r="W114" i="4"/>
  <c r="S114" i="4"/>
  <c r="AJ114" i="2"/>
  <c r="AP114" i="2"/>
  <c r="CD114" i="2"/>
  <c r="W114" i="2"/>
  <c r="S114" i="2"/>
  <c r="AB116" i="2" a="1"/>
  <c r="AB116" i="2" s="1"/>
  <c r="F116" i="2" a="1"/>
  <c r="F116" i="2" s="1"/>
  <c r="A117" i="2"/>
  <c r="AF116" i="2" a="1"/>
  <c r="AF116" i="2" s="1"/>
  <c r="L116" i="2" a="1"/>
  <c r="L116" i="2" s="1"/>
  <c r="Y116" i="2" a="1"/>
  <c r="Y116" i="2" s="1"/>
  <c r="Q115" i="2" a="1"/>
  <c r="Q115" i="2" s="1"/>
  <c r="BD115" i="2"/>
  <c r="BF115" i="2" s="1"/>
  <c r="U115" i="2" a="1"/>
  <c r="U115" i="2" s="1"/>
  <c r="S115" i="2" l="1"/>
  <c r="BJ116" i="4"/>
  <c r="BF116" i="4"/>
  <c r="BB116" i="4"/>
  <c r="U116" i="4" a="1"/>
  <c r="U116" i="4" s="1"/>
  <c r="Q116" i="4" a="1"/>
  <c r="Q116" i="4" s="1"/>
  <c r="BQ115" i="4"/>
  <c r="AJ115" i="4"/>
  <c r="AH115" i="4"/>
  <c r="AN115" i="4" s="1"/>
  <c r="W115" i="4"/>
  <c r="Y117" i="4" a="1"/>
  <c r="Y117" i="4" s="1"/>
  <c r="L117" i="4" a="1"/>
  <c r="L117" i="4" s="1"/>
  <c r="F117" i="4" a="1"/>
  <c r="F117" i="4" s="1"/>
  <c r="A118" i="4"/>
  <c r="AD117" i="4" a="1"/>
  <c r="AD117" i="4" s="1"/>
  <c r="AB117" i="4" a="1"/>
  <c r="AB117" i="4" s="1"/>
  <c r="Q116" i="2" a="1"/>
  <c r="Q116" i="2" s="1"/>
  <c r="U116" i="2" a="1"/>
  <c r="U116" i="2" s="1"/>
  <c r="BD116" i="2"/>
  <c r="BF116" i="2" s="1"/>
  <c r="CD115" i="2"/>
  <c r="AJ115" i="2"/>
  <c r="AP115" i="2"/>
  <c r="W115" i="2"/>
  <c r="Y117" i="2" a="1"/>
  <c r="Y117" i="2" s="1"/>
  <c r="L117" i="2" a="1"/>
  <c r="L117" i="2" s="1"/>
  <c r="A118" i="2"/>
  <c r="AF117" i="2" a="1"/>
  <c r="AF117" i="2" s="1"/>
  <c r="AB117" i="2" a="1"/>
  <c r="AB117" i="2" s="1"/>
  <c r="F117" i="2" a="1"/>
  <c r="F117" i="2" s="1"/>
  <c r="W116" i="2"/>
  <c r="S116" i="2" l="1"/>
  <c r="BJ117" i="4"/>
  <c r="BF117" i="4"/>
  <c r="BB117" i="4"/>
  <c r="U117" i="4" a="1"/>
  <c r="U117" i="4" s="1"/>
  <c r="Q117" i="4" a="1"/>
  <c r="Q117" i="4" s="1"/>
  <c r="S116" i="4"/>
  <c r="F118" i="4" a="1"/>
  <c r="F118" i="4" s="1"/>
  <c r="A119" i="4"/>
  <c r="AD118" i="4" a="1"/>
  <c r="AD118" i="4" s="1"/>
  <c r="AB118" i="4" a="1"/>
  <c r="AB118" i="4" s="1"/>
  <c r="Y118" i="4" a="1"/>
  <c r="Y118" i="4" s="1"/>
  <c r="L118" i="4" a="1"/>
  <c r="L118" i="4" s="1"/>
  <c r="AN116" i="4"/>
  <c r="AJ116" i="4"/>
  <c r="AH116" i="4"/>
  <c r="BQ116" i="4"/>
  <c r="W116" i="4"/>
  <c r="CD116" i="2"/>
  <c r="AP116" i="2"/>
  <c r="AJ116" i="2"/>
  <c r="Y118" i="2" a="1"/>
  <c r="Y118" i="2" s="1"/>
  <c r="L118" i="2" a="1"/>
  <c r="L118" i="2" s="1"/>
  <c r="A119" i="2"/>
  <c r="AF118" i="2" a="1"/>
  <c r="AF118" i="2" s="1"/>
  <c r="AB118" i="2" a="1"/>
  <c r="AB118" i="2" s="1"/>
  <c r="F118" i="2" a="1"/>
  <c r="F118" i="2" s="1"/>
  <c r="U117" i="2" a="1"/>
  <c r="U117" i="2" s="1"/>
  <c r="BD117" i="2"/>
  <c r="BF117" i="2" s="1"/>
  <c r="Q117" i="2" a="1"/>
  <c r="Q117" i="2" s="1"/>
  <c r="S117" i="2" l="1"/>
  <c r="S117" i="4"/>
  <c r="AJ117" i="4"/>
  <c r="AH117" i="4"/>
  <c r="BQ117" i="4"/>
  <c r="AN117" i="4"/>
  <c r="W117" i="4"/>
  <c r="W118" i="4"/>
  <c r="BF118" i="4"/>
  <c r="BB118" i="4"/>
  <c r="U118" i="4" a="1"/>
  <c r="U118" i="4" s="1"/>
  <c r="Q118" i="4" a="1"/>
  <c r="Q118" i="4" s="1"/>
  <c r="S118" i="4" s="1"/>
  <c r="BJ118" i="4"/>
  <c r="F119" i="4" a="1"/>
  <c r="F119" i="4" s="1"/>
  <c r="A120" i="4"/>
  <c r="AD119" i="4" a="1"/>
  <c r="AD119" i="4" s="1"/>
  <c r="AB119" i="4" a="1"/>
  <c r="AB119" i="4" s="1"/>
  <c r="Y119" i="4" a="1"/>
  <c r="Y119" i="4" s="1"/>
  <c r="L119" i="4" a="1"/>
  <c r="L119" i="4" s="1"/>
  <c r="AP117" i="2"/>
  <c r="CD117" i="2"/>
  <c r="AJ117" i="2"/>
  <c r="W117" i="2"/>
  <c r="BD118" i="2"/>
  <c r="BF118" i="2" s="1"/>
  <c r="Q118" i="2" a="1"/>
  <c r="Q118" i="2" s="1"/>
  <c r="U118" i="2" a="1"/>
  <c r="U118" i="2" s="1"/>
  <c r="F119" i="2" a="1"/>
  <c r="F119" i="2" s="1"/>
  <c r="AB119" i="2" a="1"/>
  <c r="AB119" i="2" s="1"/>
  <c r="Y119" i="2" a="1"/>
  <c r="Y119" i="2" s="1"/>
  <c r="A120" i="2"/>
  <c r="L119" i="2" a="1"/>
  <c r="L119" i="2" s="1"/>
  <c r="AF119" i="2" a="1"/>
  <c r="AF119" i="2" s="1"/>
  <c r="AJ118" i="4" l="1"/>
  <c r="AH118" i="4"/>
  <c r="BQ118" i="4"/>
  <c r="AN118" i="4"/>
  <c r="A121" i="4"/>
  <c r="AD120" i="4" a="1"/>
  <c r="AD120" i="4" s="1"/>
  <c r="AB120" i="4" a="1"/>
  <c r="AB120" i="4" s="1"/>
  <c r="Y120" i="4" a="1"/>
  <c r="Y120" i="4" s="1"/>
  <c r="L120" i="4" a="1"/>
  <c r="L120" i="4" s="1"/>
  <c r="F120" i="4" a="1"/>
  <c r="F120" i="4" s="1"/>
  <c r="BB119" i="4"/>
  <c r="U119" i="4" a="1"/>
  <c r="U119" i="4" s="1"/>
  <c r="Q119" i="4" a="1"/>
  <c r="Q119" i="4" s="1"/>
  <c r="S119" i="4" s="1"/>
  <c r="BJ119" i="4"/>
  <c r="BF119" i="4"/>
  <c r="CD118" i="2"/>
  <c r="AP118" i="2"/>
  <c r="AJ118" i="2"/>
  <c r="W118" i="2"/>
  <c r="BD119" i="2"/>
  <c r="BF119" i="2" s="1"/>
  <c r="Q119" i="2" a="1"/>
  <c r="Q119" i="2" s="1"/>
  <c r="S119" i="2" s="1"/>
  <c r="U119" i="2" a="1"/>
  <c r="U119" i="2" s="1"/>
  <c r="S118" i="2"/>
  <c r="F120" i="2" a="1"/>
  <c r="F120" i="2" s="1"/>
  <c r="AB120" i="2" a="1"/>
  <c r="AB120" i="2" s="1"/>
  <c r="Y120" i="2" a="1"/>
  <c r="Y120" i="2" s="1"/>
  <c r="L120" i="2" a="1"/>
  <c r="L120" i="2" s="1"/>
  <c r="AF120" i="2" a="1"/>
  <c r="AF120" i="2" s="1"/>
  <c r="A121" i="2"/>
  <c r="U120" i="4" l="1" a="1"/>
  <c r="U120" i="4" s="1"/>
  <c r="Q120" i="4" a="1"/>
  <c r="Q120" i="4" s="1"/>
  <c r="S120" i="4" s="1"/>
  <c r="BJ120" i="4"/>
  <c r="BF120" i="4"/>
  <c r="BB120" i="4"/>
  <c r="A122" i="4"/>
  <c r="AD121" i="4" a="1"/>
  <c r="AD121" i="4" s="1"/>
  <c r="AB121" i="4" a="1"/>
  <c r="AB121" i="4" s="1"/>
  <c r="Y121" i="4" a="1"/>
  <c r="Y121" i="4" s="1"/>
  <c r="L121" i="4" a="1"/>
  <c r="L121" i="4" s="1"/>
  <c r="F121" i="4" a="1"/>
  <c r="F121" i="4" s="1"/>
  <c r="AH119" i="4"/>
  <c r="BQ119" i="4"/>
  <c r="AN119" i="4"/>
  <c r="AJ119" i="4"/>
  <c r="W119" i="4"/>
  <c r="A122" i="2"/>
  <c r="AF121" i="2" a="1"/>
  <c r="AF121" i="2" s="1"/>
  <c r="Y121" i="2" a="1"/>
  <c r="Y121" i="2" s="1"/>
  <c r="L121" i="2" a="1"/>
  <c r="L121" i="2" s="1"/>
  <c r="F121" i="2" a="1"/>
  <c r="F121" i="2" s="1"/>
  <c r="AB121" i="2" a="1"/>
  <c r="AB121" i="2" s="1"/>
  <c r="U120" i="2" a="1"/>
  <c r="U120" i="2" s="1"/>
  <c r="Q120" i="2" a="1"/>
  <c r="Q120" i="2" s="1"/>
  <c r="S120" i="2" s="1"/>
  <c r="BD120" i="2"/>
  <c r="BF120" i="2" s="1"/>
  <c r="AJ119" i="2"/>
  <c r="CD119" i="2"/>
  <c r="AP119" i="2"/>
  <c r="W119" i="2"/>
  <c r="W120" i="2"/>
  <c r="AB122" i="4" l="1" a="1"/>
  <c r="AB122" i="4" s="1"/>
  <c r="Y122" i="4" a="1"/>
  <c r="Y122" i="4" s="1"/>
  <c r="L122" i="4" a="1"/>
  <c r="L122" i="4" s="1"/>
  <c r="F122" i="4" a="1"/>
  <c r="F122" i="4" s="1"/>
  <c r="A123" i="4"/>
  <c r="AD122" i="4" a="1"/>
  <c r="AD122" i="4" s="1"/>
  <c r="Q121" i="4" a="1"/>
  <c r="Q121" i="4" s="1"/>
  <c r="BJ121" i="4"/>
  <c r="BF121" i="4"/>
  <c r="BB121" i="4"/>
  <c r="U121" i="4" a="1"/>
  <c r="U121" i="4" s="1"/>
  <c r="BQ120" i="4"/>
  <c r="AN120" i="4"/>
  <c r="AJ120" i="4"/>
  <c r="AH120" i="4"/>
  <c r="W120" i="4"/>
  <c r="AJ120" i="2"/>
  <c r="CD120" i="2"/>
  <c r="AP120" i="2"/>
  <c r="U121" i="2" a="1"/>
  <c r="U121" i="2" s="1"/>
  <c r="BD121" i="2"/>
  <c r="BF121" i="2" s="1"/>
  <c r="Q121" i="2" a="1"/>
  <c r="Q121" i="2" s="1"/>
  <c r="S121" i="2" s="1"/>
  <c r="A123" i="2"/>
  <c r="AF122" i="2" a="1"/>
  <c r="AF122" i="2" s="1"/>
  <c r="Y122" i="2" a="1"/>
  <c r="Y122" i="2" s="1"/>
  <c r="L122" i="2" a="1"/>
  <c r="L122" i="2" s="1"/>
  <c r="F122" i="2" a="1"/>
  <c r="F122" i="2" s="1"/>
  <c r="AB122" i="2" a="1"/>
  <c r="AB122" i="2" s="1"/>
  <c r="Q122" i="4" l="1" a="1"/>
  <c r="Q122" i="4" s="1"/>
  <c r="BJ122" i="4"/>
  <c r="BF122" i="4"/>
  <c r="BB122" i="4"/>
  <c r="U122" i="4" a="1"/>
  <c r="U122" i="4" s="1"/>
  <c r="AB123" i="4" a="1"/>
  <c r="AB123" i="4" s="1"/>
  <c r="Y123" i="4" a="1"/>
  <c r="Y123" i="4" s="1"/>
  <c r="L123" i="4" a="1"/>
  <c r="L123" i="4" s="1"/>
  <c r="F123" i="4" a="1"/>
  <c r="F123" i="4" s="1"/>
  <c r="A124" i="4"/>
  <c r="AD123" i="4" a="1"/>
  <c r="AD123" i="4" s="1"/>
  <c r="BQ121" i="4"/>
  <c r="AJ121" i="4"/>
  <c r="AH121" i="4"/>
  <c r="AN121" i="4" s="1"/>
  <c r="W121" i="4"/>
  <c r="S121" i="4"/>
  <c r="AB123" i="2" a="1"/>
  <c r="AB123" i="2" s="1"/>
  <c r="Y123" i="2" a="1"/>
  <c r="Y123" i="2" s="1"/>
  <c r="L123" i="2" a="1"/>
  <c r="L123" i="2" s="1"/>
  <c r="F123" i="2" a="1"/>
  <c r="F123" i="2" s="1"/>
  <c r="AF123" i="2" a="1"/>
  <c r="AF123" i="2" s="1"/>
  <c r="A124" i="2"/>
  <c r="AP121" i="2"/>
  <c r="CD121" i="2"/>
  <c r="AJ121" i="2"/>
  <c r="W121" i="2"/>
  <c r="BD122" i="2"/>
  <c r="BF122" i="2" s="1"/>
  <c r="U122" i="2" a="1"/>
  <c r="U122" i="2" s="1"/>
  <c r="Q122" i="2" a="1"/>
  <c r="Q122" i="2" s="1"/>
  <c r="S122" i="2" s="1"/>
  <c r="Y124" i="4" l="1" a="1"/>
  <c r="Y124" i="4" s="1"/>
  <c r="L124" i="4" a="1"/>
  <c r="L124" i="4" s="1"/>
  <c r="F124" i="4" a="1"/>
  <c r="F124" i="4" s="1"/>
  <c r="A125" i="4"/>
  <c r="AD124" i="4" a="1"/>
  <c r="AD124" i="4" s="1"/>
  <c r="AB124" i="4" a="1"/>
  <c r="AB124" i="4" s="1"/>
  <c r="S122" i="4"/>
  <c r="BQ122" i="4"/>
  <c r="AJ122" i="4"/>
  <c r="AH122" i="4"/>
  <c r="AN122" i="4" s="1"/>
  <c r="W122" i="4"/>
  <c r="Q123" i="4" a="1"/>
  <c r="Q123" i="4" s="1"/>
  <c r="S123" i="4" s="1"/>
  <c r="BJ123" i="4"/>
  <c r="BF123" i="4"/>
  <c r="BB123" i="4"/>
  <c r="U123" i="4" a="1"/>
  <c r="U123" i="4" s="1"/>
  <c r="AP122" i="2"/>
  <c r="AJ122" i="2"/>
  <c r="CD122" i="2"/>
  <c r="W122" i="2"/>
  <c r="AB124" i="2" a="1"/>
  <c r="AB124" i="2" s="1"/>
  <c r="F124" i="2" a="1"/>
  <c r="F124" i="2" s="1"/>
  <c r="A125" i="2"/>
  <c r="AF124" i="2" a="1"/>
  <c r="AF124" i="2" s="1"/>
  <c r="Y124" i="2" a="1"/>
  <c r="Y124" i="2" s="1"/>
  <c r="L124" i="2" a="1"/>
  <c r="L124" i="2" s="1"/>
  <c r="Q123" i="2" a="1"/>
  <c r="Q123" i="2" s="1"/>
  <c r="BD123" i="2"/>
  <c r="BF123" i="2" s="1"/>
  <c r="U123" i="2" a="1"/>
  <c r="U123" i="2" s="1"/>
  <c r="W123" i="2"/>
  <c r="S123" i="2" l="1"/>
  <c r="BJ124" i="4"/>
  <c r="BF124" i="4"/>
  <c r="BB124" i="4"/>
  <c r="U124" i="4" a="1"/>
  <c r="U124" i="4" s="1"/>
  <c r="Q124" i="4" a="1"/>
  <c r="Q124" i="4" s="1"/>
  <c r="L125" i="4" a="1"/>
  <c r="L125" i="4" s="1"/>
  <c r="A126" i="4"/>
  <c r="AD125" i="4" a="1"/>
  <c r="AD125" i="4" s="1"/>
  <c r="F125" i="4" a="1"/>
  <c r="F125" i="4" s="1"/>
  <c r="AB125" i="4" a="1"/>
  <c r="AB125" i="4" s="1"/>
  <c r="Y125" i="4" a="1"/>
  <c r="Y125" i="4" s="1"/>
  <c r="BQ125" i="4" s="1"/>
  <c r="BQ123" i="4"/>
  <c r="AJ123" i="4"/>
  <c r="AH123" i="4"/>
  <c r="AN123" i="4" s="1"/>
  <c r="W123" i="4"/>
  <c r="Q124" i="2" a="1"/>
  <c r="Q124" i="2" s="1"/>
  <c r="BD124" i="2"/>
  <c r="BF124" i="2" s="1"/>
  <c r="U124" i="2" a="1"/>
  <c r="U124" i="2" s="1"/>
  <c r="CD123" i="2"/>
  <c r="AJ123" i="2"/>
  <c r="AP123" i="2"/>
  <c r="Y125" i="2" a="1"/>
  <c r="Y125" i="2" s="1"/>
  <c r="L125" i="2" a="1"/>
  <c r="L125" i="2" s="1"/>
  <c r="F125" i="2" a="1"/>
  <c r="F125" i="2" s="1"/>
  <c r="AF125" i="2" a="1"/>
  <c r="AF125" i="2" s="1"/>
  <c r="A126" i="2"/>
  <c r="AB125" i="2" a="1"/>
  <c r="AB125" i="2" s="1"/>
  <c r="S124" i="2" l="1"/>
  <c r="AX125" i="4"/>
  <c r="BJ125" i="4"/>
  <c r="BF125" i="4"/>
  <c r="BB125" i="4"/>
  <c r="A127" i="4"/>
  <c r="AD126" i="4" a="1"/>
  <c r="AD126" i="4" s="1"/>
  <c r="AB126" i="4" a="1"/>
  <c r="AB126" i="4" s="1"/>
  <c r="Y126" i="4" a="1"/>
  <c r="Y126" i="4" s="1"/>
  <c r="L126" i="4" a="1"/>
  <c r="L126" i="4" s="1"/>
  <c r="F126" i="4" a="1"/>
  <c r="F126" i="4" s="1"/>
  <c r="AN124" i="4"/>
  <c r="AJ124" i="4"/>
  <c r="AH124" i="4"/>
  <c r="BQ124" i="4"/>
  <c r="W124" i="4"/>
  <c r="W125" i="4"/>
  <c r="S124" i="4"/>
  <c r="Y126" i="2" a="1"/>
  <c r="Y126" i="2" s="1"/>
  <c r="L126" i="2" a="1"/>
  <c r="L126" i="2" s="1"/>
  <c r="F126" i="2" a="1"/>
  <c r="F126" i="2" s="1"/>
  <c r="A127" i="2"/>
  <c r="AF126" i="2" a="1"/>
  <c r="AF126" i="2" s="1"/>
  <c r="AB126" i="2" a="1"/>
  <c r="AB126" i="2" s="1"/>
  <c r="AL125" i="2"/>
  <c r="BD125" i="2"/>
  <c r="CD124" i="2"/>
  <c r="AP124" i="2"/>
  <c r="AJ124" i="2"/>
  <c r="W124" i="2"/>
  <c r="AB127" i="4" l="1" a="1"/>
  <c r="AB127" i="4" s="1"/>
  <c r="Y127" i="4" a="1"/>
  <c r="Y127" i="4" s="1"/>
  <c r="L127" i="4" a="1"/>
  <c r="L127" i="4" s="1"/>
  <c r="F127" i="4" a="1"/>
  <c r="F127" i="4" s="1"/>
  <c r="A128" i="4"/>
  <c r="AD127" i="4" a="1"/>
  <c r="AD127" i="4" s="1"/>
  <c r="Q126" i="4" a="1"/>
  <c r="Q126" i="4" s="1"/>
  <c r="BJ126" i="4"/>
  <c r="BF126" i="4"/>
  <c r="BB126" i="4"/>
  <c r="U126" i="4" a="1"/>
  <c r="U126" i="4" s="1"/>
  <c r="CD125" i="2"/>
  <c r="AP125" i="2"/>
  <c r="AR125" i="2" s="1"/>
  <c r="AT125" i="2" s="1"/>
  <c r="AX125" i="2" s="1"/>
  <c r="AN125" i="2"/>
  <c r="AJ125" i="2"/>
  <c r="AZ125" i="2"/>
  <c r="W125" i="2"/>
  <c r="U126" i="2" a="1"/>
  <c r="U126" i="2" s="1"/>
  <c r="Q126" i="2" a="1"/>
  <c r="Q126" i="2" s="1"/>
  <c r="S126" i="2" s="1"/>
  <c r="BD126" i="2"/>
  <c r="BF126" i="2" s="1"/>
  <c r="A128" i="2"/>
  <c r="L127" i="2" a="1"/>
  <c r="L127" i="2" s="1"/>
  <c r="Y127" i="2" a="1"/>
  <c r="Y127" i="2" s="1"/>
  <c r="AF127" i="2" a="1"/>
  <c r="AF127" i="2" s="1"/>
  <c r="AB127" i="2" a="1"/>
  <c r="AB127" i="2" s="1"/>
  <c r="F127" i="2" a="1"/>
  <c r="F127" i="2" s="1"/>
  <c r="BQ126" i="4" l="1"/>
  <c r="AJ126" i="4"/>
  <c r="AH126" i="4"/>
  <c r="AN126" i="4" s="1"/>
  <c r="W126" i="4"/>
  <c r="AB128" i="4" a="1"/>
  <c r="AB128" i="4" s="1"/>
  <c r="Y128" i="4" a="1"/>
  <c r="Y128" i="4" s="1"/>
  <c r="L128" i="4" a="1"/>
  <c r="L128" i="4" s="1"/>
  <c r="F128" i="4" a="1"/>
  <c r="F128" i="4" s="1"/>
  <c r="A129" i="4"/>
  <c r="AD128" i="4" a="1"/>
  <c r="AD128" i="4" s="1"/>
  <c r="Q127" i="4" a="1"/>
  <c r="Q127" i="4" s="1"/>
  <c r="S127" i="4" s="1"/>
  <c r="BJ127" i="4"/>
  <c r="BF127" i="4"/>
  <c r="BB127" i="4"/>
  <c r="U127" i="4" a="1"/>
  <c r="U127" i="4" s="1"/>
  <c r="S126" i="4"/>
  <c r="AP126" i="2"/>
  <c r="AJ126" i="2"/>
  <c r="CD126" i="2"/>
  <c r="W126" i="2"/>
  <c r="BD127" i="2"/>
  <c r="BF127" i="2" s="1"/>
  <c r="U127" i="2" a="1"/>
  <c r="U127" i="2" s="1"/>
  <c r="Q127" i="2" a="1"/>
  <c r="Q127" i="2" s="1"/>
  <c r="AB128" i="2" a="1"/>
  <c r="AB128" i="2" s="1"/>
  <c r="AF128" i="2" a="1"/>
  <c r="AF128" i="2" s="1"/>
  <c r="A129" i="2"/>
  <c r="L128" i="2" a="1"/>
  <c r="L128" i="2" s="1"/>
  <c r="Y128" i="2" a="1"/>
  <c r="Y128" i="2" s="1"/>
  <c r="F128" i="2" a="1"/>
  <c r="F128" i="2" s="1"/>
  <c r="BH125" i="2"/>
  <c r="BB125" i="2"/>
  <c r="S127" i="2" l="1"/>
  <c r="Q128" i="4" a="1"/>
  <c r="Q128" i="4" s="1"/>
  <c r="BJ128" i="4"/>
  <c r="BF128" i="4"/>
  <c r="BB128" i="4"/>
  <c r="U128" i="4" a="1"/>
  <c r="U128" i="4" s="1"/>
  <c r="BQ127" i="4"/>
  <c r="AN127" i="4"/>
  <c r="AJ127" i="4"/>
  <c r="AH127" i="4"/>
  <c r="W127" i="4"/>
  <c r="Y129" i="4" a="1"/>
  <c r="Y129" i="4" s="1"/>
  <c r="L129" i="4" a="1"/>
  <c r="L129" i="4" s="1"/>
  <c r="F129" i="4" a="1"/>
  <c r="F129" i="4" s="1"/>
  <c r="AD129" i="4" a="1"/>
  <c r="AD129" i="4" s="1"/>
  <c r="AB129" i="4" a="1"/>
  <c r="AB129" i="4" s="1"/>
  <c r="F129" i="2" a="1"/>
  <c r="F129" i="2" s="1"/>
  <c r="AF129" i="2" a="1"/>
  <c r="AF129" i="2" s="1"/>
  <c r="AB129" i="2" a="1"/>
  <c r="AB129" i="2" s="1"/>
  <c r="L129" i="2" a="1"/>
  <c r="L129" i="2" s="1"/>
  <c r="Y129" i="2" a="1"/>
  <c r="Y129" i="2" s="1"/>
  <c r="Q128" i="2" a="1"/>
  <c r="Q128" i="2" s="1"/>
  <c r="S128" i="2" s="1"/>
  <c r="BD128" i="2"/>
  <c r="BF128" i="2" s="1"/>
  <c r="U128" i="2" a="1"/>
  <c r="U128" i="2" s="1"/>
  <c r="CD127" i="2"/>
  <c r="AP127" i="2"/>
  <c r="AJ127" i="2"/>
  <c r="W127" i="2"/>
  <c r="BQ128" i="4" l="1"/>
  <c r="AJ128" i="4"/>
  <c r="AH128" i="4"/>
  <c r="AN128" i="4" s="1"/>
  <c r="W128" i="4"/>
  <c r="BJ129" i="4"/>
  <c r="BJ130" i="4" s="1"/>
  <c r="BF129" i="4"/>
  <c r="BF130" i="4" s="1"/>
  <c r="BB129" i="4"/>
  <c r="U129" i="4" a="1"/>
  <c r="U129" i="4" s="1"/>
  <c r="Q129" i="4" a="1"/>
  <c r="Q129" i="4" s="1"/>
  <c r="CC13" i="4"/>
  <c r="CA16" i="4"/>
  <c r="CC16" i="4"/>
  <c r="S128" i="4"/>
  <c r="BS16" i="2"/>
  <c r="BQ16" i="2"/>
  <c r="BS13" i="2"/>
  <c r="BQ13" i="2"/>
  <c r="CD128" i="2"/>
  <c r="AP128" i="2"/>
  <c r="AJ128" i="2"/>
  <c r="W128" i="2"/>
  <c r="BD129" i="2"/>
  <c r="U129" i="2" a="1"/>
  <c r="U129" i="2" s="1"/>
  <c r="Q129" i="2" a="1"/>
  <c r="Q129" i="2" s="1"/>
  <c r="CE13" i="4" l="1"/>
  <c r="CA13" i="4" s="1"/>
  <c r="S129" i="4"/>
  <c r="Q130" i="4"/>
  <c r="AN129" i="4"/>
  <c r="AJ129" i="4"/>
  <c r="AH129" i="4"/>
  <c r="AH130" i="4" s="1"/>
  <c r="BQ129" i="4"/>
  <c r="W129" i="4"/>
  <c r="U130" i="4"/>
  <c r="AL123" i="4"/>
  <c r="AP123" i="4" s="1"/>
  <c r="AT123" i="4" s="1"/>
  <c r="AV123" i="4" s="1"/>
  <c r="AL124" i="4"/>
  <c r="AP124" i="4" s="1"/>
  <c r="AT124" i="4" s="1"/>
  <c r="AV124" i="4" s="1"/>
  <c r="CE16" i="4"/>
  <c r="S129" i="2"/>
  <c r="Q130" i="2"/>
  <c r="AP129" i="2"/>
  <c r="AJ129" i="2"/>
  <c r="AJ130" i="2" s="1"/>
  <c r="W129" i="2"/>
  <c r="U130" i="2"/>
  <c r="U133" i="2" s="1"/>
  <c r="U141" i="2" s="1"/>
  <c r="U142" i="2" s="1"/>
  <c r="U143" i="2" s="1"/>
  <c r="BF129" i="2"/>
  <c r="BF130" i="2" s="1"/>
  <c r="BD130" i="2"/>
  <c r="BU13" i="2"/>
  <c r="AR122" i="2"/>
  <c r="BU16" i="2"/>
  <c r="BN124" i="4" l="1"/>
  <c r="BN123" i="4"/>
  <c r="CV14" i="4"/>
  <c r="BH131" i="4"/>
  <c r="AL129" i="4"/>
  <c r="AP129" i="4" s="1"/>
  <c r="AT129" i="4" s="1"/>
  <c r="AV129" i="4" s="1"/>
  <c r="AL28" i="4"/>
  <c r="AP28" i="4" s="1"/>
  <c r="AT28" i="4" s="1"/>
  <c r="AV28" i="4" s="1"/>
  <c r="AL27" i="4"/>
  <c r="AP27" i="4" s="1"/>
  <c r="AL29" i="4"/>
  <c r="AP29" i="4" s="1"/>
  <c r="AT29" i="4" s="1"/>
  <c r="AV29" i="4" s="1"/>
  <c r="AL31" i="4"/>
  <c r="AP31" i="4" s="1"/>
  <c r="AT31" i="4" s="1"/>
  <c r="AV31" i="4" s="1"/>
  <c r="AL30" i="4"/>
  <c r="AP30" i="4" s="1"/>
  <c r="AT30" i="4" s="1"/>
  <c r="AV30" i="4" s="1"/>
  <c r="AL33" i="4"/>
  <c r="AP33" i="4" s="1"/>
  <c r="AT33" i="4" s="1"/>
  <c r="AV33" i="4" s="1"/>
  <c r="AL32" i="4"/>
  <c r="AP32" i="4" s="1"/>
  <c r="AT32" i="4" s="1"/>
  <c r="AV32" i="4" s="1"/>
  <c r="AL34" i="4"/>
  <c r="AP34" i="4" s="1"/>
  <c r="AT34" i="4" s="1"/>
  <c r="AV34" i="4" s="1"/>
  <c r="AL37" i="4"/>
  <c r="AP37" i="4" s="1"/>
  <c r="AT37" i="4" s="1"/>
  <c r="AV37" i="4" s="1"/>
  <c r="AL39" i="4"/>
  <c r="AP39" i="4" s="1"/>
  <c r="AT39" i="4" s="1"/>
  <c r="AV39" i="4" s="1"/>
  <c r="AL35" i="4"/>
  <c r="AP35" i="4" s="1"/>
  <c r="AT35" i="4" s="1"/>
  <c r="AV35" i="4" s="1"/>
  <c r="AL36" i="4"/>
  <c r="AP36" i="4" s="1"/>
  <c r="AT36" i="4" s="1"/>
  <c r="AV36" i="4" s="1"/>
  <c r="AL38" i="4"/>
  <c r="AP38" i="4" s="1"/>
  <c r="AT38" i="4" s="1"/>
  <c r="AV38" i="4" s="1"/>
  <c r="AL43" i="4"/>
  <c r="AP43" i="4" s="1"/>
  <c r="AT43" i="4" s="1"/>
  <c r="AV43" i="4" s="1"/>
  <c r="AL42" i="4"/>
  <c r="AP42" i="4" s="1"/>
  <c r="AT42" i="4" s="1"/>
  <c r="AV42" i="4" s="1"/>
  <c r="AL40" i="4"/>
  <c r="AP40" i="4" s="1"/>
  <c r="AT40" i="4" s="1"/>
  <c r="AV40" i="4" s="1"/>
  <c r="AL41" i="4"/>
  <c r="AP41" i="4" s="1"/>
  <c r="AT41" i="4" s="1"/>
  <c r="AV41" i="4" s="1"/>
  <c r="AL46" i="4"/>
  <c r="AP46" i="4" s="1"/>
  <c r="AT46" i="4" s="1"/>
  <c r="AV46" i="4" s="1"/>
  <c r="AL44" i="4"/>
  <c r="AP44" i="4" s="1"/>
  <c r="AT44" i="4" s="1"/>
  <c r="AV44" i="4" s="1"/>
  <c r="AL45" i="4"/>
  <c r="AP45" i="4" s="1"/>
  <c r="AT45" i="4" s="1"/>
  <c r="AV45" i="4" s="1"/>
  <c r="AL47" i="4"/>
  <c r="AP47" i="4" s="1"/>
  <c r="AT47" i="4" s="1"/>
  <c r="AV47" i="4" s="1"/>
  <c r="AL52" i="4"/>
  <c r="AP52" i="4" s="1"/>
  <c r="AT52" i="4" s="1"/>
  <c r="AV52" i="4" s="1"/>
  <c r="AL48" i="4"/>
  <c r="AP48" i="4" s="1"/>
  <c r="AT48" i="4" s="1"/>
  <c r="AV48" i="4" s="1"/>
  <c r="AL51" i="4"/>
  <c r="AP51" i="4" s="1"/>
  <c r="AT51" i="4" s="1"/>
  <c r="AV51" i="4" s="1"/>
  <c r="AL49" i="4"/>
  <c r="AP49" i="4" s="1"/>
  <c r="AT49" i="4" s="1"/>
  <c r="AV49" i="4" s="1"/>
  <c r="AL50" i="4"/>
  <c r="AP50" i="4" s="1"/>
  <c r="AT50" i="4" s="1"/>
  <c r="AV50" i="4" s="1"/>
  <c r="AL53" i="4"/>
  <c r="AP53" i="4" s="1"/>
  <c r="AT53" i="4" s="1"/>
  <c r="AV53" i="4" s="1"/>
  <c r="AL54" i="4"/>
  <c r="AP54" i="4" s="1"/>
  <c r="AT54" i="4" s="1"/>
  <c r="AV54" i="4" s="1"/>
  <c r="AL56" i="4"/>
  <c r="AP56" i="4" s="1"/>
  <c r="AT56" i="4" s="1"/>
  <c r="AV56" i="4" s="1"/>
  <c r="AL55" i="4"/>
  <c r="AP55" i="4" s="1"/>
  <c r="AT55" i="4" s="1"/>
  <c r="AV55" i="4" s="1"/>
  <c r="AL57" i="4"/>
  <c r="AP57" i="4" s="1"/>
  <c r="AT57" i="4" s="1"/>
  <c r="AV57" i="4" s="1"/>
  <c r="AL58" i="4"/>
  <c r="AP58" i="4" s="1"/>
  <c r="AT58" i="4" s="1"/>
  <c r="AV58" i="4" s="1"/>
  <c r="AL61" i="4"/>
  <c r="AP61" i="4" s="1"/>
  <c r="AT61" i="4" s="1"/>
  <c r="AV61" i="4" s="1"/>
  <c r="BN61" i="4" s="1"/>
  <c r="AL59" i="4"/>
  <c r="AP59" i="4" s="1"/>
  <c r="AT59" i="4" s="1"/>
  <c r="AV59" i="4" s="1"/>
  <c r="AL60" i="4"/>
  <c r="AP60" i="4" s="1"/>
  <c r="AT60" i="4" s="1"/>
  <c r="AV60" i="4" s="1"/>
  <c r="AL62" i="4"/>
  <c r="AP62" i="4" s="1"/>
  <c r="AT62" i="4" s="1"/>
  <c r="AV62" i="4" s="1"/>
  <c r="BN62" i="4" s="1"/>
  <c r="AL63" i="4"/>
  <c r="AP63" i="4" s="1"/>
  <c r="AT63" i="4" s="1"/>
  <c r="AV63" i="4" s="1"/>
  <c r="BN63" i="4" s="1"/>
  <c r="CV13" i="4" s="1"/>
  <c r="AL65" i="4"/>
  <c r="AP65" i="4" s="1"/>
  <c r="AT65" i="4" s="1"/>
  <c r="AV65" i="4" s="1"/>
  <c r="BN65" i="4" s="1"/>
  <c r="AL66" i="4"/>
  <c r="AP66" i="4" s="1"/>
  <c r="AT66" i="4" s="1"/>
  <c r="AV66" i="4" s="1"/>
  <c r="BN66" i="4" s="1"/>
  <c r="AL64" i="4"/>
  <c r="AP64" i="4" s="1"/>
  <c r="AT64" i="4" s="1"/>
  <c r="AV64" i="4" s="1"/>
  <c r="BN64" i="4" s="1"/>
  <c r="AL68" i="4"/>
  <c r="AP68" i="4" s="1"/>
  <c r="AT68" i="4" s="1"/>
  <c r="AV68" i="4" s="1"/>
  <c r="AL67" i="4"/>
  <c r="AP67" i="4" s="1"/>
  <c r="AT67" i="4" s="1"/>
  <c r="AV67" i="4" s="1"/>
  <c r="BN67" i="4" s="1"/>
  <c r="AL69" i="4"/>
  <c r="AP69" i="4" s="1"/>
  <c r="AT69" i="4" s="1"/>
  <c r="AV69" i="4" s="1"/>
  <c r="AL70" i="4"/>
  <c r="AP70" i="4" s="1"/>
  <c r="AT70" i="4" s="1"/>
  <c r="AV70" i="4" s="1"/>
  <c r="AL71" i="4"/>
  <c r="AP71" i="4" s="1"/>
  <c r="AT71" i="4" s="1"/>
  <c r="AV71" i="4" s="1"/>
  <c r="AL75" i="4"/>
  <c r="AP75" i="4" s="1"/>
  <c r="AT75" i="4" s="1"/>
  <c r="AV75" i="4" s="1"/>
  <c r="AL72" i="4"/>
  <c r="AP72" i="4" s="1"/>
  <c r="AT72" i="4" s="1"/>
  <c r="AV72" i="4" s="1"/>
  <c r="AL74" i="4"/>
  <c r="AP74" i="4" s="1"/>
  <c r="AT74" i="4" s="1"/>
  <c r="AV74" i="4" s="1"/>
  <c r="AL77" i="4"/>
  <c r="AP77" i="4" s="1"/>
  <c r="AT77" i="4" s="1"/>
  <c r="AV77" i="4" s="1"/>
  <c r="AL79" i="4"/>
  <c r="AP79" i="4" s="1"/>
  <c r="AT79" i="4" s="1"/>
  <c r="AV79" i="4" s="1"/>
  <c r="AL76" i="4"/>
  <c r="AP76" i="4" s="1"/>
  <c r="AT76" i="4" s="1"/>
  <c r="AV76" i="4" s="1"/>
  <c r="AL78" i="4"/>
  <c r="AP78" i="4" s="1"/>
  <c r="AT78" i="4" s="1"/>
  <c r="AV78" i="4" s="1"/>
  <c r="AL80" i="4"/>
  <c r="AP80" i="4" s="1"/>
  <c r="AT80" i="4" s="1"/>
  <c r="AV80" i="4" s="1"/>
  <c r="AL81" i="4"/>
  <c r="AP81" i="4" s="1"/>
  <c r="AT81" i="4" s="1"/>
  <c r="AV81" i="4" s="1"/>
  <c r="AL82" i="4"/>
  <c r="AP82" i="4" s="1"/>
  <c r="AT82" i="4" s="1"/>
  <c r="AV82" i="4" s="1"/>
  <c r="AL83" i="4"/>
  <c r="AP83" i="4" s="1"/>
  <c r="AT83" i="4" s="1"/>
  <c r="AV83" i="4" s="1"/>
  <c r="AL84" i="4"/>
  <c r="AP84" i="4" s="1"/>
  <c r="AT84" i="4" s="1"/>
  <c r="AV84" i="4" s="1"/>
  <c r="AL86" i="4"/>
  <c r="AP86" i="4" s="1"/>
  <c r="AT86" i="4" s="1"/>
  <c r="AV86" i="4" s="1"/>
  <c r="AL87" i="4"/>
  <c r="AP87" i="4" s="1"/>
  <c r="AT87" i="4" s="1"/>
  <c r="AV87" i="4" s="1"/>
  <c r="BN87" i="4" s="1"/>
  <c r="AL85" i="4"/>
  <c r="AP85" i="4" s="1"/>
  <c r="AT85" i="4" s="1"/>
  <c r="AV85" i="4" s="1"/>
  <c r="AL88" i="4"/>
  <c r="AP88" i="4" s="1"/>
  <c r="AT88" i="4" s="1"/>
  <c r="AV88" i="4" s="1"/>
  <c r="AL90" i="4"/>
  <c r="AP90" i="4" s="1"/>
  <c r="AT90" i="4" s="1"/>
  <c r="AV90" i="4" s="1"/>
  <c r="AL89" i="4"/>
  <c r="AP89" i="4" s="1"/>
  <c r="AT89" i="4" s="1"/>
  <c r="AV89" i="4" s="1"/>
  <c r="AL92" i="4"/>
  <c r="AP92" i="4" s="1"/>
  <c r="AT92" i="4" s="1"/>
  <c r="AV92" i="4" s="1"/>
  <c r="AL91" i="4"/>
  <c r="AP91" i="4" s="1"/>
  <c r="AT91" i="4" s="1"/>
  <c r="AV91" i="4" s="1"/>
  <c r="AL93" i="4"/>
  <c r="AP93" i="4" s="1"/>
  <c r="AT93" i="4" s="1"/>
  <c r="AV93" i="4" s="1"/>
  <c r="AL94" i="4"/>
  <c r="AP94" i="4" s="1"/>
  <c r="AT94" i="4" s="1"/>
  <c r="AV94" i="4" s="1"/>
  <c r="AL96" i="4"/>
  <c r="AP96" i="4" s="1"/>
  <c r="AT96" i="4" s="1"/>
  <c r="AV96" i="4" s="1"/>
  <c r="BN96" i="4" s="1"/>
  <c r="AL95" i="4"/>
  <c r="AP95" i="4" s="1"/>
  <c r="AT95" i="4" s="1"/>
  <c r="AV95" i="4" s="1"/>
  <c r="AL98" i="4"/>
  <c r="AP98" i="4" s="1"/>
  <c r="AT98" i="4" s="1"/>
  <c r="AV98" i="4" s="1"/>
  <c r="AL99" i="4"/>
  <c r="AP99" i="4" s="1"/>
  <c r="AT99" i="4" s="1"/>
  <c r="AV99" i="4" s="1"/>
  <c r="AL97" i="4"/>
  <c r="AP97" i="4" s="1"/>
  <c r="AT97" i="4" s="1"/>
  <c r="AV97" i="4" s="1"/>
  <c r="AL100" i="4"/>
  <c r="AP100" i="4" s="1"/>
  <c r="AT100" i="4" s="1"/>
  <c r="AV100" i="4" s="1"/>
  <c r="AL101" i="4"/>
  <c r="AP101" i="4" s="1"/>
  <c r="AT101" i="4" s="1"/>
  <c r="AV101" i="4" s="1"/>
  <c r="AL102" i="4"/>
  <c r="AP102" i="4" s="1"/>
  <c r="AT102" i="4" s="1"/>
  <c r="AV102" i="4" s="1"/>
  <c r="AL103" i="4"/>
  <c r="AP103" i="4" s="1"/>
  <c r="AT103" i="4" s="1"/>
  <c r="AV103" i="4" s="1"/>
  <c r="AL104" i="4"/>
  <c r="AP104" i="4" s="1"/>
  <c r="AT104" i="4" s="1"/>
  <c r="AV104" i="4" s="1"/>
  <c r="AL105" i="4"/>
  <c r="AP105" i="4" s="1"/>
  <c r="AT105" i="4" s="1"/>
  <c r="AV105" i="4" s="1"/>
  <c r="AL106" i="4"/>
  <c r="AP106" i="4" s="1"/>
  <c r="AT106" i="4" s="1"/>
  <c r="AV106" i="4" s="1"/>
  <c r="AL107" i="4"/>
  <c r="AP107" i="4" s="1"/>
  <c r="AT107" i="4" s="1"/>
  <c r="AV107" i="4" s="1"/>
  <c r="AL108" i="4"/>
  <c r="AP108" i="4" s="1"/>
  <c r="AT108" i="4" s="1"/>
  <c r="AV108" i="4" s="1"/>
  <c r="AL109" i="4"/>
  <c r="AP109" i="4" s="1"/>
  <c r="AT109" i="4" s="1"/>
  <c r="AV109" i="4" s="1"/>
  <c r="AL111" i="4"/>
  <c r="AP111" i="4" s="1"/>
  <c r="AT111" i="4" s="1"/>
  <c r="AV111" i="4" s="1"/>
  <c r="AL110" i="4"/>
  <c r="AP110" i="4" s="1"/>
  <c r="AT110" i="4" s="1"/>
  <c r="AV110" i="4" s="1"/>
  <c r="AL112" i="4"/>
  <c r="AP112" i="4" s="1"/>
  <c r="AT112" i="4" s="1"/>
  <c r="AV112" i="4" s="1"/>
  <c r="AL114" i="4"/>
  <c r="AP114" i="4" s="1"/>
  <c r="AT114" i="4" s="1"/>
  <c r="AV114" i="4" s="1"/>
  <c r="AL113" i="4"/>
  <c r="AP113" i="4" s="1"/>
  <c r="AT113" i="4" s="1"/>
  <c r="AV113" i="4" s="1"/>
  <c r="AL115" i="4"/>
  <c r="AP115" i="4" s="1"/>
  <c r="AT115" i="4" s="1"/>
  <c r="AV115" i="4" s="1"/>
  <c r="AL116" i="4"/>
  <c r="AP116" i="4" s="1"/>
  <c r="AT116" i="4" s="1"/>
  <c r="AV116" i="4" s="1"/>
  <c r="AL118" i="4"/>
  <c r="AP118" i="4" s="1"/>
  <c r="AT118" i="4" s="1"/>
  <c r="AV118" i="4" s="1"/>
  <c r="AL117" i="4"/>
  <c r="AP117" i="4" s="1"/>
  <c r="AT117" i="4" s="1"/>
  <c r="AV117" i="4" s="1"/>
  <c r="AL120" i="4"/>
  <c r="AP120" i="4" s="1"/>
  <c r="AT120" i="4" s="1"/>
  <c r="AV120" i="4" s="1"/>
  <c r="AL119" i="4"/>
  <c r="AP119" i="4" s="1"/>
  <c r="AT119" i="4" s="1"/>
  <c r="AV119" i="4" s="1"/>
  <c r="AL122" i="4"/>
  <c r="AP122" i="4" s="1"/>
  <c r="AT122" i="4" s="1"/>
  <c r="AV122" i="4" s="1"/>
  <c r="AL127" i="4"/>
  <c r="AP127" i="4" s="1"/>
  <c r="AT127" i="4" s="1"/>
  <c r="AV127" i="4" s="1"/>
  <c r="AL121" i="4"/>
  <c r="AP121" i="4" s="1"/>
  <c r="AT121" i="4" s="1"/>
  <c r="AV121" i="4" s="1"/>
  <c r="AL128" i="4"/>
  <c r="AP128" i="4" s="1"/>
  <c r="AT128" i="4" s="1"/>
  <c r="AV128" i="4" s="1"/>
  <c r="AL126" i="4"/>
  <c r="AP126" i="4" s="1"/>
  <c r="AT126" i="4" s="1"/>
  <c r="AV126" i="4" s="1"/>
  <c r="AL129" i="2"/>
  <c r="AN129" i="2" s="1"/>
  <c r="AR129" i="2"/>
  <c r="AR27" i="2"/>
  <c r="AT27" i="2" s="1"/>
  <c r="AR28" i="2"/>
  <c r="AR31" i="2"/>
  <c r="AR30" i="2"/>
  <c r="AR29" i="2"/>
  <c r="AR32" i="2"/>
  <c r="AR33" i="2"/>
  <c r="AT33" i="2" s="1"/>
  <c r="AX33" i="2" s="1"/>
  <c r="AZ33" i="2" s="1"/>
  <c r="AR35" i="2"/>
  <c r="AR37" i="2"/>
  <c r="AR34" i="2"/>
  <c r="AR36" i="2"/>
  <c r="AR38" i="2"/>
  <c r="AR40" i="2"/>
  <c r="AR42" i="2"/>
  <c r="AT42" i="2" s="1"/>
  <c r="AX42" i="2" s="1"/>
  <c r="AZ42" i="2" s="1"/>
  <c r="AR39" i="2"/>
  <c r="AR44" i="2"/>
  <c r="AR41" i="2"/>
  <c r="AT41" i="2" s="1"/>
  <c r="AX41" i="2" s="1"/>
  <c r="AZ41" i="2" s="1"/>
  <c r="AR43" i="2"/>
  <c r="AR46" i="2"/>
  <c r="AR49" i="2"/>
  <c r="AR45" i="2"/>
  <c r="AT45" i="2" s="1"/>
  <c r="AX45" i="2" s="1"/>
  <c r="AZ45" i="2" s="1"/>
  <c r="AR47" i="2"/>
  <c r="AR48" i="2"/>
  <c r="AR50" i="2"/>
  <c r="AR53" i="2"/>
  <c r="AR54" i="2"/>
  <c r="AR51" i="2"/>
  <c r="AR55" i="2"/>
  <c r="AR52" i="2"/>
  <c r="AR56" i="2"/>
  <c r="AR57" i="2"/>
  <c r="AR58" i="2"/>
  <c r="AT58" i="2" s="1"/>
  <c r="AX58" i="2" s="1"/>
  <c r="AZ58" i="2" s="1"/>
  <c r="AR60" i="2"/>
  <c r="AT60" i="2" s="1"/>
  <c r="AX60" i="2" s="1"/>
  <c r="AZ60" i="2" s="1"/>
  <c r="AR59" i="2"/>
  <c r="AR65" i="2"/>
  <c r="AT65" i="2" s="1"/>
  <c r="AX65" i="2" s="1"/>
  <c r="AZ65" i="2" s="1"/>
  <c r="AR61" i="2"/>
  <c r="AT61" i="2" s="1"/>
  <c r="AX61" i="2" s="1"/>
  <c r="AZ61" i="2" s="1"/>
  <c r="AR62" i="2"/>
  <c r="AT62" i="2" s="1"/>
  <c r="AX62" i="2" s="1"/>
  <c r="AZ62" i="2" s="1"/>
  <c r="AR67" i="2"/>
  <c r="AT67" i="2" s="1"/>
  <c r="AX67" i="2" s="1"/>
  <c r="AZ67" i="2" s="1"/>
  <c r="AR63" i="2"/>
  <c r="AT63" i="2" s="1"/>
  <c r="AX63" i="2" s="1"/>
  <c r="AZ63" i="2" s="1"/>
  <c r="AR64" i="2"/>
  <c r="AT64" i="2" s="1"/>
  <c r="AX64" i="2" s="1"/>
  <c r="AZ64" i="2" s="1"/>
  <c r="AR68" i="2"/>
  <c r="AR66" i="2"/>
  <c r="AT66" i="2" s="1"/>
  <c r="AX66" i="2" s="1"/>
  <c r="AZ66" i="2" s="1"/>
  <c r="AR70" i="2"/>
  <c r="AR69" i="2"/>
  <c r="AT69" i="2" s="1"/>
  <c r="AX69" i="2" s="1"/>
  <c r="AZ69" i="2" s="1"/>
  <c r="AR71" i="2"/>
  <c r="AR72" i="2"/>
  <c r="AR76" i="2"/>
  <c r="AR74" i="2"/>
  <c r="AT74" i="2" s="1"/>
  <c r="AX74" i="2" s="1"/>
  <c r="AZ74" i="2" s="1"/>
  <c r="AR75" i="2"/>
  <c r="AT75" i="2" s="1"/>
  <c r="AX75" i="2" s="1"/>
  <c r="AZ75" i="2" s="1"/>
  <c r="AR78" i="2"/>
  <c r="AR77" i="2"/>
  <c r="AR79" i="2"/>
  <c r="AR82" i="2"/>
  <c r="AR80" i="2"/>
  <c r="AR84" i="2"/>
  <c r="AR81" i="2"/>
  <c r="AR83" i="2"/>
  <c r="AR87" i="2"/>
  <c r="AT87" i="2" s="1"/>
  <c r="AX87" i="2" s="1"/>
  <c r="AZ87" i="2" s="1"/>
  <c r="AR85" i="2"/>
  <c r="AR86" i="2"/>
  <c r="AR88" i="2"/>
  <c r="AR90" i="2"/>
  <c r="AR89" i="2"/>
  <c r="AR91" i="2"/>
  <c r="AR92" i="2"/>
  <c r="AT92" i="2" s="1"/>
  <c r="AX92" i="2" s="1"/>
  <c r="AZ92" i="2" s="1"/>
  <c r="AR94" i="2"/>
  <c r="AR97" i="2"/>
  <c r="AR93" i="2"/>
  <c r="AR95" i="2"/>
  <c r="AR96" i="2"/>
  <c r="AT96" i="2" s="1"/>
  <c r="AX96" i="2" s="1"/>
  <c r="AZ96" i="2" s="1"/>
  <c r="AR100" i="2"/>
  <c r="AT100" i="2" s="1"/>
  <c r="AX100" i="2" s="1"/>
  <c r="AZ100" i="2" s="1"/>
  <c r="AR98" i="2"/>
  <c r="AR99" i="2"/>
  <c r="AR101" i="2"/>
  <c r="AR102" i="2"/>
  <c r="AR104" i="2"/>
  <c r="AR103" i="2"/>
  <c r="AR105" i="2"/>
  <c r="AR106" i="2"/>
  <c r="AR107" i="2"/>
  <c r="AR108" i="2"/>
  <c r="AR109" i="2"/>
  <c r="AR110" i="2"/>
  <c r="AT110" i="2" s="1"/>
  <c r="AX110" i="2" s="1"/>
  <c r="AZ110" i="2" s="1"/>
  <c r="AR111" i="2"/>
  <c r="AT111" i="2" s="1"/>
  <c r="AX111" i="2" s="1"/>
  <c r="AZ111" i="2" s="1"/>
  <c r="AR113" i="2"/>
  <c r="AR112" i="2"/>
  <c r="AT112" i="2" s="1"/>
  <c r="AX112" i="2" s="1"/>
  <c r="AZ112" i="2" s="1"/>
  <c r="AR119" i="2"/>
  <c r="AT119" i="2" s="1"/>
  <c r="AX119" i="2" s="1"/>
  <c r="AZ119" i="2" s="1"/>
  <c r="AR115" i="2"/>
  <c r="AR114" i="2"/>
  <c r="AR117" i="2"/>
  <c r="AR116" i="2"/>
  <c r="AR118" i="2"/>
  <c r="AR120" i="2"/>
  <c r="AT120" i="2" s="1"/>
  <c r="AX120" i="2" s="1"/>
  <c r="AZ120" i="2" s="1"/>
  <c r="AR121" i="2"/>
  <c r="AT121" i="2" s="1"/>
  <c r="AX121" i="2" s="1"/>
  <c r="AZ121" i="2" s="1"/>
  <c r="AR123" i="2"/>
  <c r="AR124" i="2"/>
  <c r="AR126" i="2"/>
  <c r="AR128" i="2"/>
  <c r="AR127" i="2"/>
  <c r="CD129" i="2"/>
  <c r="BN129" i="4" l="1"/>
  <c r="BN102" i="4"/>
  <c r="BN112" i="4"/>
  <c r="BN94" i="4"/>
  <c r="BN69" i="4"/>
  <c r="BN44" i="4"/>
  <c r="BN126" i="4"/>
  <c r="BN93" i="4"/>
  <c r="BN50" i="4"/>
  <c r="BN128" i="4"/>
  <c r="BN116" i="4"/>
  <c r="BN108" i="4"/>
  <c r="BN100" i="4"/>
  <c r="BN91" i="4"/>
  <c r="BN84" i="4"/>
  <c r="BN77" i="4"/>
  <c r="BN68" i="4"/>
  <c r="BN49" i="4"/>
  <c r="BN41" i="4"/>
  <c r="BN37" i="4"/>
  <c r="BN28" i="4"/>
  <c r="CA11" i="4"/>
  <c r="CP11" i="4"/>
  <c r="BN119" i="4"/>
  <c r="BN111" i="4"/>
  <c r="BN76" i="4"/>
  <c r="BN53" i="4"/>
  <c r="BN29" i="4"/>
  <c r="BN109" i="4"/>
  <c r="AP130" i="4"/>
  <c r="AT27" i="4"/>
  <c r="BN121" i="4"/>
  <c r="BN115" i="4"/>
  <c r="BN107" i="4"/>
  <c r="BN97" i="4"/>
  <c r="BN92" i="4"/>
  <c r="BN83" i="4"/>
  <c r="BN74" i="4"/>
  <c r="BN58" i="4"/>
  <c r="BN51" i="4"/>
  <c r="BN40" i="4"/>
  <c r="BN34" i="4"/>
  <c r="BN117" i="4"/>
  <c r="BN60" i="4"/>
  <c r="CV15" i="4" s="1"/>
  <c r="CC14" i="4"/>
  <c r="BN35" i="4"/>
  <c r="BN118" i="4"/>
  <c r="BN86" i="4"/>
  <c r="BN59" i="4"/>
  <c r="BN46" i="4"/>
  <c r="BN127" i="4"/>
  <c r="BN113" i="4"/>
  <c r="BN106" i="4"/>
  <c r="BN99" i="4"/>
  <c r="BN89" i="4"/>
  <c r="BN82" i="4"/>
  <c r="BN72" i="4"/>
  <c r="BN57" i="4"/>
  <c r="BN48" i="4"/>
  <c r="BN42" i="4"/>
  <c r="BN32" i="4"/>
  <c r="BN101" i="4"/>
  <c r="BN79" i="4"/>
  <c r="BN39" i="4"/>
  <c r="BN122" i="4"/>
  <c r="BN114" i="4"/>
  <c r="BN105" i="4"/>
  <c r="BN98" i="4"/>
  <c r="BN90" i="4"/>
  <c r="BN81" i="4"/>
  <c r="BN75" i="4"/>
  <c r="BN55" i="4"/>
  <c r="BN52" i="4"/>
  <c r="BN43" i="4"/>
  <c r="BN33" i="4"/>
  <c r="BN104" i="4"/>
  <c r="BN88" i="4"/>
  <c r="BN47" i="4"/>
  <c r="BN30" i="4"/>
  <c r="BN95" i="4"/>
  <c r="BN80" i="4"/>
  <c r="BN71" i="4"/>
  <c r="BN56" i="4"/>
  <c r="BN38" i="4"/>
  <c r="BN120" i="4"/>
  <c r="BN110" i="4"/>
  <c r="BN103" i="4"/>
  <c r="BN85" i="4"/>
  <c r="BN78" i="4"/>
  <c r="BN70" i="4"/>
  <c r="BN54" i="4"/>
  <c r="BN45" i="4"/>
  <c r="BN36" i="4"/>
  <c r="BN31" i="4"/>
  <c r="BB119" i="2"/>
  <c r="BH119" i="2"/>
  <c r="BB100" i="2"/>
  <c r="BH100" i="2"/>
  <c r="BH63" i="2"/>
  <c r="BB63" i="2"/>
  <c r="BH33" i="2"/>
  <c r="BB33" i="2"/>
  <c r="BH121" i="2"/>
  <c r="BB121" i="2"/>
  <c r="BB112" i="2"/>
  <c r="BH112" i="2"/>
  <c r="BH96" i="2"/>
  <c r="BB96" i="2"/>
  <c r="BH67" i="2"/>
  <c r="BB67" i="2"/>
  <c r="BH42" i="2"/>
  <c r="BB42" i="2"/>
  <c r="BB120" i="2"/>
  <c r="BH120" i="2"/>
  <c r="BH62" i="2"/>
  <c r="BB62" i="2"/>
  <c r="BB45" i="2"/>
  <c r="BH45" i="2"/>
  <c r="AL28" i="2"/>
  <c r="AN28" i="2" s="1"/>
  <c r="AT28" i="2" s="1"/>
  <c r="AX28" i="2" s="1"/>
  <c r="AZ28" i="2" s="1"/>
  <c r="AL27" i="2"/>
  <c r="AL29" i="2"/>
  <c r="AN29" i="2" s="1"/>
  <c r="AT29" i="2" s="1"/>
  <c r="AL31" i="2"/>
  <c r="AN31" i="2" s="1"/>
  <c r="AT31" i="2" s="1"/>
  <c r="AX31" i="2" s="1"/>
  <c r="AZ31" i="2" s="1"/>
  <c r="AL30" i="2"/>
  <c r="AN30" i="2" s="1"/>
  <c r="AT30" i="2" s="1"/>
  <c r="AX30" i="2" s="1"/>
  <c r="AZ30" i="2" s="1"/>
  <c r="AL32" i="2"/>
  <c r="AN32" i="2" s="1"/>
  <c r="AT32" i="2" s="1"/>
  <c r="AX32" i="2" s="1"/>
  <c r="AZ32" i="2" s="1"/>
  <c r="AL33" i="2"/>
  <c r="AN33" i="2" s="1"/>
  <c r="AL34" i="2"/>
  <c r="AN34" i="2" s="1"/>
  <c r="AT34" i="2" s="1"/>
  <c r="AX34" i="2" s="1"/>
  <c r="AZ34" i="2" s="1"/>
  <c r="AL35" i="2"/>
  <c r="AN35" i="2" s="1"/>
  <c r="AT35" i="2" s="1"/>
  <c r="AX35" i="2" s="1"/>
  <c r="AZ35" i="2" s="1"/>
  <c r="AL36" i="2"/>
  <c r="AN36" i="2" s="1"/>
  <c r="AT36" i="2" s="1"/>
  <c r="AX36" i="2" s="1"/>
  <c r="AZ36" i="2" s="1"/>
  <c r="AL38" i="2"/>
  <c r="AN38" i="2" s="1"/>
  <c r="AT38" i="2" s="1"/>
  <c r="AX38" i="2" s="1"/>
  <c r="AZ38" i="2" s="1"/>
  <c r="AL37" i="2"/>
  <c r="AN37" i="2" s="1"/>
  <c r="AT37" i="2" s="1"/>
  <c r="AX37" i="2" s="1"/>
  <c r="AZ37" i="2" s="1"/>
  <c r="AL39" i="2"/>
  <c r="AN39" i="2" s="1"/>
  <c r="AT39" i="2" s="1"/>
  <c r="AX39" i="2" s="1"/>
  <c r="AZ39" i="2" s="1"/>
  <c r="AL40" i="2"/>
  <c r="AN40" i="2" s="1"/>
  <c r="AT40" i="2" s="1"/>
  <c r="AX40" i="2" s="1"/>
  <c r="AZ40" i="2" s="1"/>
  <c r="AL41" i="2"/>
  <c r="AN41" i="2" s="1"/>
  <c r="AL42" i="2"/>
  <c r="AN42" i="2" s="1"/>
  <c r="AL44" i="2"/>
  <c r="AN44" i="2" s="1"/>
  <c r="AT44" i="2" s="1"/>
  <c r="AX44" i="2" s="1"/>
  <c r="AZ44" i="2" s="1"/>
  <c r="AL43" i="2"/>
  <c r="AN43" i="2" s="1"/>
  <c r="AT43" i="2" s="1"/>
  <c r="AX43" i="2" s="1"/>
  <c r="AZ43" i="2" s="1"/>
  <c r="AL45" i="2"/>
  <c r="AN45" i="2" s="1"/>
  <c r="AL46" i="2"/>
  <c r="AN46" i="2" s="1"/>
  <c r="AT46" i="2" s="1"/>
  <c r="AX46" i="2" s="1"/>
  <c r="AZ46" i="2" s="1"/>
  <c r="AL47" i="2"/>
  <c r="AN47" i="2" s="1"/>
  <c r="AT47" i="2" s="1"/>
  <c r="AX47" i="2" s="1"/>
  <c r="AZ47" i="2" s="1"/>
  <c r="AL48" i="2"/>
  <c r="AN48" i="2" s="1"/>
  <c r="AT48" i="2" s="1"/>
  <c r="AX48" i="2" s="1"/>
  <c r="AZ48" i="2" s="1"/>
  <c r="AL49" i="2"/>
  <c r="AN49" i="2" s="1"/>
  <c r="AT49" i="2" s="1"/>
  <c r="AX49" i="2" s="1"/>
  <c r="AZ49" i="2" s="1"/>
  <c r="AL50" i="2"/>
  <c r="AN50" i="2" s="1"/>
  <c r="AT50" i="2" s="1"/>
  <c r="AX50" i="2" s="1"/>
  <c r="AZ50" i="2" s="1"/>
  <c r="AL51" i="2"/>
  <c r="AN51" i="2" s="1"/>
  <c r="AT51" i="2" s="1"/>
  <c r="AX51" i="2" s="1"/>
  <c r="AZ51" i="2" s="1"/>
  <c r="AL52" i="2"/>
  <c r="AN52" i="2" s="1"/>
  <c r="AT52" i="2" s="1"/>
  <c r="AX52" i="2" s="1"/>
  <c r="AZ52" i="2" s="1"/>
  <c r="AL53" i="2"/>
  <c r="AN53" i="2" s="1"/>
  <c r="AT53" i="2" s="1"/>
  <c r="AX53" i="2" s="1"/>
  <c r="AZ53" i="2" s="1"/>
  <c r="AL54" i="2"/>
  <c r="AN54" i="2" s="1"/>
  <c r="AT54" i="2" s="1"/>
  <c r="AX54" i="2" s="1"/>
  <c r="AZ54" i="2" s="1"/>
  <c r="AL56" i="2"/>
  <c r="AN56" i="2" s="1"/>
  <c r="AT56" i="2" s="1"/>
  <c r="AX56" i="2" s="1"/>
  <c r="AZ56" i="2" s="1"/>
  <c r="AL55" i="2"/>
  <c r="AN55" i="2" s="1"/>
  <c r="AT55" i="2" s="1"/>
  <c r="AX55" i="2" s="1"/>
  <c r="AZ55" i="2" s="1"/>
  <c r="AL57" i="2"/>
  <c r="AN57" i="2" s="1"/>
  <c r="AT57" i="2" s="1"/>
  <c r="AX57" i="2" s="1"/>
  <c r="AZ57" i="2" s="1"/>
  <c r="AL59" i="2"/>
  <c r="AN59" i="2" s="1"/>
  <c r="AT59" i="2" s="1"/>
  <c r="AX59" i="2" s="1"/>
  <c r="AZ59" i="2" s="1"/>
  <c r="AL68" i="2"/>
  <c r="AN68" i="2" s="1"/>
  <c r="AT68" i="2" s="1"/>
  <c r="AX68" i="2" s="1"/>
  <c r="AZ68" i="2" s="1"/>
  <c r="AL69" i="2"/>
  <c r="AN69" i="2" s="1"/>
  <c r="AL70" i="2"/>
  <c r="AN70" i="2" s="1"/>
  <c r="AT70" i="2" s="1"/>
  <c r="AX70" i="2" s="1"/>
  <c r="AZ70" i="2" s="1"/>
  <c r="AL71" i="2"/>
  <c r="AN71" i="2" s="1"/>
  <c r="AT71" i="2" s="1"/>
  <c r="AX71" i="2" s="1"/>
  <c r="AZ71" i="2" s="1"/>
  <c r="AL72" i="2"/>
  <c r="AN72" i="2" s="1"/>
  <c r="AT72" i="2" s="1"/>
  <c r="AX72" i="2" s="1"/>
  <c r="AZ72" i="2" s="1"/>
  <c r="AL76" i="2"/>
  <c r="AN76" i="2" s="1"/>
  <c r="AT76" i="2" s="1"/>
  <c r="AX76" i="2" s="1"/>
  <c r="AZ76" i="2" s="1"/>
  <c r="AL77" i="2"/>
  <c r="AN77" i="2" s="1"/>
  <c r="AT77" i="2" s="1"/>
  <c r="AX77" i="2" s="1"/>
  <c r="AZ77" i="2" s="1"/>
  <c r="AL79" i="2"/>
  <c r="AN79" i="2" s="1"/>
  <c r="AT79" i="2" s="1"/>
  <c r="AX79" i="2" s="1"/>
  <c r="AZ79" i="2" s="1"/>
  <c r="AL78" i="2"/>
  <c r="AN78" i="2" s="1"/>
  <c r="AT78" i="2" s="1"/>
  <c r="AX78" i="2" s="1"/>
  <c r="AZ78" i="2" s="1"/>
  <c r="AL80" i="2"/>
  <c r="AN80" i="2" s="1"/>
  <c r="AT80" i="2" s="1"/>
  <c r="AX80" i="2" s="1"/>
  <c r="AZ80" i="2" s="1"/>
  <c r="AL81" i="2"/>
  <c r="AN81" i="2" s="1"/>
  <c r="AT81" i="2" s="1"/>
  <c r="AX81" i="2" s="1"/>
  <c r="AZ81" i="2" s="1"/>
  <c r="AL83" i="2"/>
  <c r="AN83" i="2" s="1"/>
  <c r="AT83" i="2" s="1"/>
  <c r="AX83" i="2" s="1"/>
  <c r="AZ83" i="2" s="1"/>
  <c r="AL82" i="2"/>
  <c r="AN82" i="2" s="1"/>
  <c r="AT82" i="2" s="1"/>
  <c r="AX82" i="2" s="1"/>
  <c r="AZ82" i="2" s="1"/>
  <c r="AL85" i="2"/>
  <c r="AN85" i="2" s="1"/>
  <c r="AT85" i="2" s="1"/>
  <c r="AX85" i="2" s="1"/>
  <c r="AZ85" i="2" s="1"/>
  <c r="AL84" i="2"/>
  <c r="AN84" i="2" s="1"/>
  <c r="AT84" i="2" s="1"/>
  <c r="AX84" i="2" s="1"/>
  <c r="AZ84" i="2" s="1"/>
  <c r="AL86" i="2"/>
  <c r="AN86" i="2" s="1"/>
  <c r="AT86" i="2" s="1"/>
  <c r="AX86" i="2" s="1"/>
  <c r="AZ86" i="2" s="1"/>
  <c r="AL89" i="2"/>
  <c r="AN89" i="2" s="1"/>
  <c r="AT89" i="2" s="1"/>
  <c r="AX89" i="2" s="1"/>
  <c r="AZ89" i="2" s="1"/>
  <c r="AL88" i="2"/>
  <c r="AN88" i="2" s="1"/>
  <c r="AT88" i="2" s="1"/>
  <c r="AX88" i="2" s="1"/>
  <c r="AZ88" i="2" s="1"/>
  <c r="AL90" i="2"/>
  <c r="AN90" i="2" s="1"/>
  <c r="AT90" i="2" s="1"/>
  <c r="AX90" i="2" s="1"/>
  <c r="AZ90" i="2" s="1"/>
  <c r="AL91" i="2"/>
  <c r="AN91" i="2" s="1"/>
  <c r="AT91" i="2" s="1"/>
  <c r="AX91" i="2" s="1"/>
  <c r="AZ91" i="2" s="1"/>
  <c r="AL93" i="2"/>
  <c r="AN93" i="2" s="1"/>
  <c r="AT93" i="2" s="1"/>
  <c r="AX93" i="2" s="1"/>
  <c r="AZ93" i="2" s="1"/>
  <c r="AL95" i="2"/>
  <c r="AN95" i="2" s="1"/>
  <c r="AT95" i="2" s="1"/>
  <c r="AX95" i="2" s="1"/>
  <c r="AZ95" i="2" s="1"/>
  <c r="AL94" i="2"/>
  <c r="AN94" i="2" s="1"/>
  <c r="AT94" i="2" s="1"/>
  <c r="AX94" i="2" s="1"/>
  <c r="AZ94" i="2" s="1"/>
  <c r="AL97" i="2"/>
  <c r="AN97" i="2" s="1"/>
  <c r="AT97" i="2" s="1"/>
  <c r="AX97" i="2" s="1"/>
  <c r="AZ97" i="2" s="1"/>
  <c r="AL98" i="2"/>
  <c r="AN98" i="2" s="1"/>
  <c r="AT98" i="2" s="1"/>
  <c r="AX98" i="2" s="1"/>
  <c r="AZ98" i="2" s="1"/>
  <c r="AL99" i="2"/>
  <c r="AN99" i="2" s="1"/>
  <c r="AT99" i="2" s="1"/>
  <c r="AX99" i="2" s="1"/>
  <c r="AZ99" i="2" s="1"/>
  <c r="AL101" i="2"/>
  <c r="AN101" i="2" s="1"/>
  <c r="AT101" i="2" s="1"/>
  <c r="AX101" i="2" s="1"/>
  <c r="AZ101" i="2" s="1"/>
  <c r="AL102" i="2"/>
  <c r="AN102" i="2" s="1"/>
  <c r="AT102" i="2" s="1"/>
  <c r="AX102" i="2" s="1"/>
  <c r="AZ102" i="2" s="1"/>
  <c r="AL103" i="2"/>
  <c r="AN103" i="2" s="1"/>
  <c r="AT103" i="2" s="1"/>
  <c r="AX103" i="2" s="1"/>
  <c r="AZ103" i="2" s="1"/>
  <c r="AL104" i="2"/>
  <c r="AN104" i="2" s="1"/>
  <c r="AT104" i="2" s="1"/>
  <c r="AX104" i="2" s="1"/>
  <c r="AZ104" i="2" s="1"/>
  <c r="AL105" i="2"/>
  <c r="AN105" i="2" s="1"/>
  <c r="AT105" i="2" s="1"/>
  <c r="AX105" i="2" s="1"/>
  <c r="AZ105" i="2" s="1"/>
  <c r="AL106" i="2"/>
  <c r="AN106" i="2" s="1"/>
  <c r="AT106" i="2" s="1"/>
  <c r="AX106" i="2" s="1"/>
  <c r="AZ106" i="2" s="1"/>
  <c r="AL107" i="2"/>
  <c r="AN107" i="2" s="1"/>
  <c r="AT107" i="2" s="1"/>
  <c r="AX107" i="2" s="1"/>
  <c r="AZ107" i="2" s="1"/>
  <c r="AL109" i="2"/>
  <c r="AN109" i="2" s="1"/>
  <c r="AT109" i="2" s="1"/>
  <c r="AX109" i="2" s="1"/>
  <c r="AZ109" i="2" s="1"/>
  <c r="AL108" i="2"/>
  <c r="AN108" i="2" s="1"/>
  <c r="AT108" i="2" s="1"/>
  <c r="AX108" i="2" s="1"/>
  <c r="AZ108" i="2" s="1"/>
  <c r="AL113" i="2"/>
  <c r="AN113" i="2" s="1"/>
  <c r="AT113" i="2" s="1"/>
  <c r="AX113" i="2" s="1"/>
  <c r="AZ113" i="2" s="1"/>
  <c r="AL115" i="2"/>
  <c r="AN115" i="2" s="1"/>
  <c r="AT115" i="2" s="1"/>
  <c r="AX115" i="2" s="1"/>
  <c r="AZ115" i="2" s="1"/>
  <c r="AL114" i="2"/>
  <c r="AN114" i="2" s="1"/>
  <c r="AT114" i="2" s="1"/>
  <c r="AX114" i="2" s="1"/>
  <c r="AZ114" i="2" s="1"/>
  <c r="AL116" i="2"/>
  <c r="AN116" i="2" s="1"/>
  <c r="AT116" i="2" s="1"/>
  <c r="AX116" i="2" s="1"/>
  <c r="AZ116" i="2" s="1"/>
  <c r="AL117" i="2"/>
  <c r="AN117" i="2" s="1"/>
  <c r="AT117" i="2" s="1"/>
  <c r="AX117" i="2" s="1"/>
  <c r="AZ117" i="2" s="1"/>
  <c r="AL118" i="2"/>
  <c r="AN118" i="2" s="1"/>
  <c r="AT118" i="2" s="1"/>
  <c r="AX118" i="2" s="1"/>
  <c r="AZ118" i="2" s="1"/>
  <c r="AL119" i="2"/>
  <c r="AN119" i="2" s="1"/>
  <c r="AL120" i="2"/>
  <c r="AN120" i="2" s="1"/>
  <c r="AL121" i="2"/>
  <c r="AN121" i="2" s="1"/>
  <c r="AL122" i="2"/>
  <c r="AN122" i="2" s="1"/>
  <c r="AT122" i="2" s="1"/>
  <c r="AX122" i="2" s="1"/>
  <c r="AZ122" i="2" s="1"/>
  <c r="AL123" i="2"/>
  <c r="AN123" i="2" s="1"/>
  <c r="AT123" i="2" s="1"/>
  <c r="AX123" i="2" s="1"/>
  <c r="AZ123" i="2" s="1"/>
  <c r="AL124" i="2"/>
  <c r="AN124" i="2" s="1"/>
  <c r="AT124" i="2" s="1"/>
  <c r="AX124" i="2" s="1"/>
  <c r="AZ124" i="2" s="1"/>
  <c r="AL126" i="2"/>
  <c r="AN126" i="2" s="1"/>
  <c r="AT126" i="2" s="1"/>
  <c r="AX126" i="2" s="1"/>
  <c r="AZ126" i="2" s="1"/>
  <c r="AL127" i="2"/>
  <c r="AN127" i="2" s="1"/>
  <c r="AT127" i="2" s="1"/>
  <c r="AX127" i="2" s="1"/>
  <c r="AZ127" i="2" s="1"/>
  <c r="AL128" i="2"/>
  <c r="AN128" i="2" s="1"/>
  <c r="AT128" i="2" s="1"/>
  <c r="AX128" i="2" s="1"/>
  <c r="AZ128" i="2" s="1"/>
  <c r="CI14" i="2"/>
  <c r="BH111" i="2"/>
  <c r="BB111" i="2"/>
  <c r="BB69" i="2"/>
  <c r="BH69" i="2"/>
  <c r="BB61" i="2"/>
  <c r="BH61" i="2"/>
  <c r="BH110" i="2"/>
  <c r="BB110" i="2"/>
  <c r="BH65" i="2"/>
  <c r="BB65" i="2"/>
  <c r="BB87" i="2"/>
  <c r="BH87" i="2"/>
  <c r="BH66" i="2"/>
  <c r="BB66" i="2"/>
  <c r="BB92" i="2"/>
  <c r="BH92" i="2"/>
  <c r="BH75" i="2"/>
  <c r="BB75" i="2"/>
  <c r="BB60" i="2"/>
  <c r="BH60" i="2"/>
  <c r="BS14" i="2"/>
  <c r="BQ14" i="2"/>
  <c r="BQ15" i="2" s="1"/>
  <c r="BH41" i="2"/>
  <c r="BB41" i="2"/>
  <c r="AX27" i="2"/>
  <c r="AZ27" i="2" s="1"/>
  <c r="BB74" i="2"/>
  <c r="BH74" i="2"/>
  <c r="BH64" i="2"/>
  <c r="BB64" i="2"/>
  <c r="BH58" i="2"/>
  <c r="BB58" i="2"/>
  <c r="AT129" i="2"/>
  <c r="AX129" i="2" s="1"/>
  <c r="AZ129" i="2" s="1"/>
  <c r="CI13" i="2" l="1"/>
  <c r="CI15" i="2"/>
  <c r="CE14" i="4"/>
  <c r="CC15" i="4"/>
  <c r="AV27" i="4"/>
  <c r="CE11" i="4"/>
  <c r="CC11" i="4" s="1"/>
  <c r="BB123" i="2"/>
  <c r="BH123" i="2"/>
  <c r="BB95" i="2"/>
  <c r="BH95" i="2"/>
  <c r="BB76" i="2"/>
  <c r="BH76" i="2"/>
  <c r="BH48" i="2"/>
  <c r="BB48" i="2"/>
  <c r="BH40" i="2"/>
  <c r="BB40" i="2"/>
  <c r="BH32" i="2"/>
  <c r="BB32" i="2"/>
  <c r="BB103" i="2"/>
  <c r="BH103" i="2"/>
  <c r="BH82" i="2"/>
  <c r="BB82" i="2"/>
  <c r="BH56" i="2"/>
  <c r="BB56" i="2"/>
  <c r="BB47" i="2"/>
  <c r="BH47" i="2"/>
  <c r="BB39" i="2"/>
  <c r="BH39" i="2"/>
  <c r="BH72" i="2"/>
  <c r="BB72" i="2"/>
  <c r="BH90" i="2"/>
  <c r="BB90" i="2"/>
  <c r="AX29" i="2"/>
  <c r="AZ29" i="2" s="1"/>
  <c r="BQ10" i="2" s="1"/>
  <c r="AT130" i="2"/>
  <c r="BH80" i="2"/>
  <c r="BB80" i="2"/>
  <c r="BH127" i="2"/>
  <c r="BB127" i="2"/>
  <c r="BH89" i="2"/>
  <c r="BB89" i="2"/>
  <c r="BH106" i="2"/>
  <c r="BB106" i="2"/>
  <c r="BH124" i="2"/>
  <c r="BB124" i="2"/>
  <c r="BH105" i="2"/>
  <c r="BB105" i="2"/>
  <c r="BB84" i="2"/>
  <c r="BH84" i="2"/>
  <c r="BH57" i="2"/>
  <c r="BB57" i="2"/>
  <c r="BH83" i="2"/>
  <c r="BB83" i="2"/>
  <c r="BH126" i="2"/>
  <c r="BB126" i="2"/>
  <c r="BB128" i="2"/>
  <c r="BH128" i="2"/>
  <c r="BU14" i="2"/>
  <c r="BU15" i="2" s="1"/>
  <c r="BS15" i="2"/>
  <c r="BH78" i="2"/>
  <c r="BB78" i="2"/>
  <c r="BB51" i="2"/>
  <c r="BH51" i="2"/>
  <c r="AL130" i="2"/>
  <c r="AN27" i="2"/>
  <c r="AN130" i="2" s="1"/>
  <c r="BH129" i="2"/>
  <c r="BB129" i="2"/>
  <c r="BH28" i="2"/>
  <c r="BB28" i="2"/>
  <c r="BQ11" i="2"/>
  <c r="BS11" i="2" s="1"/>
  <c r="CI11" i="2"/>
  <c r="BB30" i="2"/>
  <c r="BH30" i="2"/>
  <c r="BB79" i="2"/>
  <c r="BH79" i="2"/>
  <c r="BH35" i="2"/>
  <c r="BB35" i="2"/>
  <c r="BH27" i="2"/>
  <c r="BB27" i="2"/>
  <c r="BB99" i="2"/>
  <c r="BH99" i="2"/>
  <c r="BH34" i="2"/>
  <c r="BB34" i="2"/>
  <c r="BH116" i="2"/>
  <c r="BB116" i="2"/>
  <c r="BB38" i="2"/>
  <c r="BH38" i="2"/>
  <c r="BH86" i="2"/>
  <c r="BB86" i="2"/>
  <c r="BB71" i="2"/>
  <c r="BH71" i="2"/>
  <c r="BH44" i="2"/>
  <c r="BB44" i="2"/>
  <c r="BB108" i="2"/>
  <c r="BH108" i="2"/>
  <c r="BB70" i="2"/>
  <c r="BH70" i="2"/>
  <c r="BH49" i="2"/>
  <c r="BB49" i="2"/>
  <c r="BH93" i="2"/>
  <c r="BB93" i="2"/>
  <c r="BH81" i="2"/>
  <c r="BB81" i="2"/>
  <c r="BB37" i="2"/>
  <c r="BH37" i="2"/>
  <c r="BH43" i="2"/>
  <c r="BB43" i="2"/>
  <c r="BB94" i="2"/>
  <c r="BH94" i="2"/>
  <c r="BH91" i="2"/>
  <c r="BB91" i="2"/>
  <c r="BH68" i="2"/>
  <c r="BB68" i="2"/>
  <c r="BH54" i="2"/>
  <c r="BB54" i="2"/>
  <c r="BH77" i="2"/>
  <c r="BB77" i="2"/>
  <c r="BH55" i="2"/>
  <c r="BB55" i="2"/>
  <c r="BB104" i="2"/>
  <c r="BH104" i="2"/>
  <c r="BH88" i="2"/>
  <c r="BB88" i="2"/>
  <c r="BH98" i="2"/>
  <c r="BB98" i="2"/>
  <c r="BH59" i="2"/>
  <c r="BB59" i="2"/>
  <c r="BH109" i="2"/>
  <c r="BB109" i="2"/>
  <c r="BB31" i="2"/>
  <c r="BH31" i="2"/>
  <c r="BH85" i="2"/>
  <c r="BB85" i="2"/>
  <c r="BH122" i="2"/>
  <c r="BB122" i="2"/>
  <c r="BH50" i="2"/>
  <c r="BB50" i="2"/>
  <c r="BB114" i="2"/>
  <c r="BH114" i="2"/>
  <c r="BH101" i="2"/>
  <c r="BB101" i="2"/>
  <c r="BH107" i="2"/>
  <c r="BB107" i="2"/>
  <c r="BB53" i="2"/>
  <c r="BH53" i="2"/>
  <c r="BH117" i="2"/>
  <c r="BB117" i="2"/>
  <c r="BH36" i="2"/>
  <c r="BB36" i="2"/>
  <c r="BH97" i="2"/>
  <c r="BB97" i="2"/>
  <c r="BB115" i="2"/>
  <c r="BH115" i="2"/>
  <c r="BB46" i="2"/>
  <c r="BH46" i="2"/>
  <c r="BH102" i="2"/>
  <c r="BB102" i="2"/>
  <c r="BH118" i="2"/>
  <c r="BB118" i="2"/>
  <c r="BB52" i="2"/>
  <c r="BH52" i="2"/>
  <c r="BH113" i="2"/>
  <c r="BB113" i="2"/>
  <c r="CI10" i="2" l="1"/>
  <c r="CK10" i="2" s="1"/>
  <c r="CK11" i="2" s="1"/>
  <c r="CM11" i="2" s="1"/>
  <c r="CO11" i="2" s="1"/>
  <c r="BQ12" i="2"/>
  <c r="BQ17" i="2" s="1"/>
  <c r="AZ130" i="2"/>
  <c r="BB69" i="4"/>
  <c r="BB100" i="4"/>
  <c r="BB97" i="4"/>
  <c r="BB58" i="4"/>
  <c r="BB98" i="4"/>
  <c r="BB95" i="4"/>
  <c r="BB28" i="4"/>
  <c r="BB92" i="4"/>
  <c r="BB78" i="4"/>
  <c r="BB36" i="4"/>
  <c r="BB112" i="4"/>
  <c r="BB35" i="4"/>
  <c r="BB57" i="4"/>
  <c r="BB110" i="4"/>
  <c r="BB70" i="4"/>
  <c r="BB94" i="4"/>
  <c r="BB111" i="4"/>
  <c r="BB74" i="4"/>
  <c r="BB75" i="4"/>
  <c r="BB33" i="4"/>
  <c r="BB30" i="4"/>
  <c r="BN27" i="4"/>
  <c r="BN130" i="4" s="1"/>
  <c r="AV130" i="4"/>
  <c r="CA10" i="4"/>
  <c r="CB33" i="4"/>
  <c r="CB30" i="4"/>
  <c r="CB34" i="4"/>
  <c r="CP10" i="4"/>
  <c r="BL131" i="4"/>
  <c r="CE15" i="4"/>
  <c r="CA14" i="4"/>
  <c r="CA15" i="4" s="1"/>
  <c r="BU11" i="2"/>
  <c r="AX130" i="2"/>
  <c r="BB29" i="2"/>
  <c r="BB130" i="2" s="1"/>
  <c r="BH29" i="2"/>
  <c r="CI16" i="2" l="1"/>
  <c r="BS10" i="2"/>
  <c r="BS12" i="2" s="1"/>
  <c r="BS17" i="2" s="1"/>
  <c r="CA10" i="2" s="1"/>
  <c r="BH130" i="2"/>
  <c r="CR10" i="4"/>
  <c r="CR11" i="4" s="1"/>
  <c r="CT11" i="4" s="1"/>
  <c r="CV11" i="4" s="1"/>
  <c r="CV16" i="4"/>
  <c r="CA12" i="4"/>
  <c r="CA17" i="4" s="1"/>
  <c r="CE10" i="4"/>
  <c r="BB130" i="4"/>
  <c r="BD131" i="4" s="1"/>
  <c r="CM10" i="2" l="1"/>
  <c r="CO10" i="2" s="1"/>
  <c r="CO12" i="2" s="1"/>
  <c r="BU10" i="2"/>
  <c r="BU12" i="2" s="1"/>
  <c r="BU17" i="2" s="1"/>
  <c r="CE12" i="4"/>
  <c r="CE17" i="4" s="1"/>
  <c r="AX124" i="4"/>
  <c r="AX123" i="4"/>
  <c r="AX129" i="4"/>
  <c r="AX50" i="4"/>
  <c r="AX68" i="4"/>
  <c r="AX76" i="4"/>
  <c r="AX117" i="4"/>
  <c r="AX86" i="4"/>
  <c r="AX113" i="4"/>
  <c r="AX82" i="4"/>
  <c r="AX42" i="4"/>
  <c r="AX39" i="4"/>
  <c r="AX55" i="4"/>
  <c r="AX104" i="4"/>
  <c r="AX38" i="4"/>
  <c r="AX85" i="4"/>
  <c r="AX45" i="4"/>
  <c r="AX54" i="4"/>
  <c r="AX102" i="4"/>
  <c r="AX44" i="4"/>
  <c r="AX128" i="4"/>
  <c r="AX91" i="4"/>
  <c r="AX49" i="4"/>
  <c r="AX53" i="4"/>
  <c r="AX121" i="4"/>
  <c r="AX51" i="4"/>
  <c r="AX59" i="4"/>
  <c r="AX106" i="4"/>
  <c r="AX72" i="4"/>
  <c r="AX32" i="4"/>
  <c r="AX122" i="4"/>
  <c r="AX90" i="4"/>
  <c r="AX52" i="4"/>
  <c r="AX88" i="4"/>
  <c r="AX80" i="4"/>
  <c r="AX120" i="4"/>
  <c r="AX48" i="4"/>
  <c r="AX126" i="4"/>
  <c r="AX116" i="4"/>
  <c r="AX84" i="4"/>
  <c r="AX41" i="4"/>
  <c r="AX119" i="4"/>
  <c r="AX29" i="4"/>
  <c r="AX115" i="4"/>
  <c r="AX83" i="4"/>
  <c r="AX40" i="4"/>
  <c r="AX46" i="4"/>
  <c r="AX99" i="4"/>
  <c r="AX101" i="4"/>
  <c r="AX114" i="4"/>
  <c r="AX81" i="4"/>
  <c r="AX43" i="4"/>
  <c r="AX47" i="4"/>
  <c r="AX71" i="4"/>
  <c r="AX31" i="4"/>
  <c r="AX93" i="4"/>
  <c r="AX108" i="4"/>
  <c r="AX77" i="4"/>
  <c r="AX37" i="4"/>
  <c r="AX109" i="4"/>
  <c r="AX107" i="4"/>
  <c r="AX34" i="4"/>
  <c r="AX118" i="4"/>
  <c r="AX127" i="4"/>
  <c r="AX89" i="4"/>
  <c r="AX79" i="4"/>
  <c r="AX105" i="4"/>
  <c r="AX56" i="4"/>
  <c r="AX103" i="4"/>
  <c r="AX27" i="4"/>
  <c r="CC10" i="4"/>
  <c r="AX130" i="4" l="1"/>
  <c r="AZ131" i="4" s="1"/>
  <c r="CT10" i="4"/>
  <c r="CV10" i="4" s="1"/>
  <c r="CV12" i="4" s="1"/>
  <c r="CC12" i="4"/>
  <c r="CC17" i="4" s="1"/>
  <c r="CK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Nguyên</author>
  </authors>
  <commentList>
    <comment ref="AL8" authorId="0" shapeId="0" xr:uid="{EF6D833C-14B6-4B31-A020-77650954EFC4}">
      <text>
        <r>
          <rPr>
            <b/>
            <sz val="8"/>
            <color indexed="81"/>
            <rFont val="Meiryo UI"/>
            <family val="3"/>
            <charset val="128"/>
          </rPr>
          <t>値引金額/
値引対象の小計
で、実質の値引率を算出し、売価に掛けて値引額を算出。
なので、5％引きが、5.002％になる。
結果、割り切れるものが、割り切れなくなり、切上げで１円上がる。</t>
        </r>
      </text>
    </comment>
    <comment ref="AV9" authorId="0" shapeId="0" xr:uid="{A3A4332E-B41E-4FA2-AF01-1DBEB047262E}">
      <text>
        <r>
          <rPr>
            <b/>
            <sz val="10"/>
            <color indexed="81"/>
            <rFont val="MS P ゴシック"/>
            <family val="3"/>
            <charset val="128"/>
          </rPr>
          <t>同じランクの場合、スキャン順に調整する。</t>
        </r>
      </text>
    </comment>
    <comment ref="M132" authorId="0" shapeId="0" xr:uid="{745669F0-9D15-4911-9C4D-95D8CCC9FAD4}">
      <text>
        <r>
          <rPr>
            <b/>
            <sz val="10"/>
            <color indexed="81"/>
            <rFont val="游ゴシック"/>
            <family val="3"/>
            <charset val="128"/>
            <scheme val="minor"/>
          </rPr>
          <t>　(1)小計値引額計算
明細値引後の小計額より外税売上のうち割引除外対象金額①を減算し、かつ内税売上②と非課税売上③を除いた金額を割引対象金額④として算出します。
割引対象金額より5％を値引額として算出し、端数は小数点以下切り上げて小計値引額⑤とします。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Thanh Nguyên</author>
  </authors>
  <commentList>
    <comment ref="AN9" authorId="0" shapeId="0" xr:uid="{665B62FE-CD01-427F-BF24-CCCF8CF14E19}">
      <text>
        <r>
          <rPr>
            <b/>
            <sz val="10"/>
            <color indexed="81"/>
            <rFont val="MS P ゴシック"/>
            <family val="3"/>
            <charset val="128"/>
          </rPr>
          <t>値引の基準となる価格は、
値引前単価×値引率の</t>
        </r>
        <r>
          <rPr>
            <b/>
            <sz val="10"/>
            <color indexed="10"/>
            <rFont val="MS P ゴシック"/>
            <family val="3"/>
            <charset val="128"/>
          </rPr>
          <t>切り捨て</t>
        </r>
        <r>
          <rPr>
            <sz val="10"/>
            <color indexed="81"/>
            <rFont val="MS P ゴシック"/>
            <family val="3"/>
            <charset val="128"/>
          </rPr>
          <t xml:space="preserve">
</t>
        </r>
      </text>
    </comment>
    <comment ref="AP9" authorId="0" shapeId="0" xr:uid="{103C39A8-694E-4BDE-97B3-62025AD4F14F}">
      <text>
        <r>
          <rPr>
            <b/>
            <sz val="10"/>
            <color indexed="81"/>
            <rFont val="Meiryo UI"/>
            <family val="3"/>
            <charset val="128"/>
          </rPr>
          <t>ランキング上位57までに、-1して値引きを増やす。
金額が大きいものから、値引金額を</t>
        </r>
        <r>
          <rPr>
            <b/>
            <sz val="10"/>
            <color indexed="10"/>
            <rFont val="Meiryo UI"/>
            <family val="3"/>
            <charset val="128"/>
          </rPr>
          <t>足す。</t>
        </r>
      </text>
    </comment>
    <comment ref="AR9" authorId="0" shapeId="0" xr:uid="{785B7773-0C3F-42EE-948D-E7800D069703}">
      <text>
        <r>
          <rPr>
            <b/>
            <sz val="10"/>
            <color indexed="81"/>
            <rFont val="Meiryo UI"/>
            <family val="3"/>
            <charset val="128"/>
          </rPr>
          <t>もし、同価格のものがあり、どちらから、値引したらよいか不明な場合、スキャンの逆順で値引する。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<sst xmlns="http://schemas.openxmlformats.org/spreadsheetml/2006/main" count="12982" uniqueCount="1426">
  <si>
    <t>●富士通POSとignicaPOS 小計値引計算方法の違い。</t>
    <rPh sb="1" eb="4">
      <t>フジツウ</t>
    </rPh>
    <rPh sb="18" eb="20">
      <t>ショウケイ</t>
    </rPh>
    <rPh sb="20" eb="22">
      <t>ネビキ</t>
    </rPh>
    <rPh sb="22" eb="24">
      <t>ケイサン</t>
    </rPh>
    <rPh sb="24" eb="26">
      <t>ホウホウ</t>
    </rPh>
    <rPh sb="27" eb="28">
      <t>チガ</t>
    </rPh>
    <phoneticPr fontId="1"/>
  </si>
  <si>
    <t xml:space="preserve">　
</t>
    <phoneticPr fontId="1"/>
  </si>
  <si>
    <t>富士通POS</t>
    <rPh sb="0" eb="3">
      <t>フジツウ</t>
    </rPh>
    <phoneticPr fontId="1"/>
  </si>
  <si>
    <t>ignicaPOS</t>
    <phoneticPr fontId="1"/>
  </si>
  <si>
    <t>影響</t>
    <rPh sb="0" eb="2">
      <t>エイキョウ</t>
    </rPh>
    <phoneticPr fontId="1"/>
  </si>
  <si>
    <t>商品単位の値引金額</t>
    <rPh sb="0" eb="2">
      <t>ショウヒン</t>
    </rPh>
    <rPh sb="2" eb="4">
      <t>タンイ</t>
    </rPh>
    <rPh sb="5" eb="7">
      <t>ネビキ</t>
    </rPh>
    <rPh sb="7" eb="9">
      <t>キンガク</t>
    </rPh>
    <phoneticPr fontId="1"/>
  </si>
  <si>
    <t>＝値引金額/値引対象の小計×単価</t>
    <rPh sb="14" eb="16">
      <t>タンカ</t>
    </rPh>
    <phoneticPr fontId="1"/>
  </si>
  <si>
    <r>
      <rPr>
        <b/>
        <u/>
        <sz val="12"/>
        <color theme="1"/>
        <rFont val="Meiryo UI"/>
        <family val="3"/>
        <charset val="128"/>
      </rPr>
      <t>=割引率×単価</t>
    </r>
    <rPh sb="1" eb="4">
      <t>ワリビキリツ</t>
    </rPh>
    <rPh sb="5" eb="7">
      <t>タンカ</t>
    </rPh>
    <phoneticPr fontId="1"/>
  </si>
  <si>
    <r>
      <rPr>
        <b/>
        <u/>
        <sz val="12"/>
        <color theme="1"/>
        <rFont val="Meiryo UI"/>
        <family val="3"/>
        <charset val="128"/>
      </rPr>
      <t>商品単位の売価に1円の差が出る。</t>
    </r>
    <r>
      <rPr>
        <b/>
        <u/>
        <sz val="10"/>
        <color theme="1"/>
        <rFont val="Meiryo UI"/>
        <family val="3"/>
        <charset val="128"/>
      </rPr>
      <t xml:space="preserve">
</t>
    </r>
    <r>
      <rPr>
        <sz val="10"/>
        <color theme="1"/>
        <rFont val="Meiryo UI"/>
        <family val="3"/>
        <charset val="128"/>
      </rPr>
      <t>※この影響により、税抜き8％ 10％の対象金額に差が出る。
富士通POSは、小計値引事態も、切上げを行っているため、ここも案分している。
値引対象商品の小計\38,362 ×値引率 5％　＝1918.1円の切上げで
1,919円に切上げ。　端数の0.9をも案分対象にしている。</t>
    </r>
    <rPh sb="0" eb="2">
      <t>ショウヒン</t>
    </rPh>
    <rPh sb="2" eb="4">
      <t>タンイ</t>
    </rPh>
    <rPh sb="5" eb="7">
      <t>バイカ</t>
    </rPh>
    <rPh sb="9" eb="10">
      <t>エン</t>
    </rPh>
    <rPh sb="11" eb="12">
      <t>サ</t>
    </rPh>
    <rPh sb="13" eb="14">
      <t>デ</t>
    </rPh>
    <rPh sb="20" eb="22">
      <t>エイキョウ</t>
    </rPh>
    <rPh sb="26" eb="28">
      <t>ゼイヌ</t>
    </rPh>
    <rPh sb="36" eb="38">
      <t>タイショウ</t>
    </rPh>
    <rPh sb="38" eb="40">
      <t>キンガク</t>
    </rPh>
    <rPh sb="41" eb="42">
      <t>サ</t>
    </rPh>
    <rPh sb="43" eb="44">
      <t>デ</t>
    </rPh>
    <rPh sb="47" eb="50">
      <t>フジツウ</t>
    </rPh>
    <rPh sb="55" eb="57">
      <t>ショウケイ</t>
    </rPh>
    <rPh sb="57" eb="59">
      <t>ネビキ</t>
    </rPh>
    <rPh sb="59" eb="61">
      <t>ジタイ</t>
    </rPh>
    <rPh sb="63" eb="65">
      <t>キリア</t>
    </rPh>
    <rPh sb="67" eb="68">
      <t>オコナ</t>
    </rPh>
    <rPh sb="78" eb="80">
      <t>アンブン</t>
    </rPh>
    <rPh sb="119" eb="120">
      <t>エン</t>
    </rPh>
    <rPh sb="121" eb="123">
      <t>キリア</t>
    </rPh>
    <rPh sb="131" eb="132">
      <t>エン</t>
    </rPh>
    <rPh sb="133" eb="135">
      <t>キリア</t>
    </rPh>
    <rPh sb="138" eb="140">
      <t>ハスウ</t>
    </rPh>
    <rPh sb="146" eb="148">
      <t>アンブン</t>
    </rPh>
    <rPh sb="148" eb="150">
      <t>タイショウ</t>
    </rPh>
    <phoneticPr fontId="1"/>
  </si>
  <si>
    <r>
      <rPr>
        <b/>
        <u/>
        <sz val="12"/>
        <color theme="1"/>
        <rFont val="Meiryo UI"/>
        <family val="3"/>
        <charset val="128"/>
      </rPr>
      <t>商品単位の売価にX円の差が出る。</t>
    </r>
    <r>
      <rPr>
        <sz val="10"/>
        <color theme="1"/>
        <rFont val="Meiryo UI"/>
        <family val="3"/>
        <charset val="128"/>
      </rPr>
      <t xml:space="preserve">
おそらく、ポイント施策の違いが影響しているかと思う。商品ごとにポイントN倍などの設定をしている場合、1ポイントずつ調整すると、付与ポイントに影響が出にくいと考える。
いなげや様の場合は、プラスポイント設定で、商品の売価に関係なく、＋Xポイント付与設定のために、単価の変更による付与ポイントへの影響がない。
</t>
    </r>
    <rPh sb="26" eb="28">
      <t>シサク</t>
    </rPh>
    <rPh sb="29" eb="30">
      <t>チガ</t>
    </rPh>
    <rPh sb="32" eb="34">
      <t>エイキョウ</t>
    </rPh>
    <rPh sb="40" eb="41">
      <t>オモ</t>
    </rPh>
    <rPh sb="43" eb="45">
      <t>ショウヒン</t>
    </rPh>
    <rPh sb="53" eb="54">
      <t>バイ</t>
    </rPh>
    <rPh sb="57" eb="59">
      <t>セッテイ</t>
    </rPh>
    <rPh sb="64" eb="66">
      <t>バアイ</t>
    </rPh>
    <rPh sb="74" eb="76">
      <t>チョウセイ</t>
    </rPh>
    <rPh sb="80" eb="82">
      <t>フヨ</t>
    </rPh>
    <rPh sb="87" eb="89">
      <t>エイキョウ</t>
    </rPh>
    <rPh sb="90" eb="91">
      <t>デ</t>
    </rPh>
    <rPh sb="95" eb="96">
      <t>カンガ</t>
    </rPh>
    <rPh sb="104" eb="105">
      <t>サマ</t>
    </rPh>
    <rPh sb="106" eb="108">
      <t>バアイ</t>
    </rPh>
    <rPh sb="117" eb="119">
      <t>セッテイ</t>
    </rPh>
    <rPh sb="121" eb="123">
      <t>ショウヒン</t>
    </rPh>
    <rPh sb="124" eb="126">
      <t>バイカ</t>
    </rPh>
    <rPh sb="127" eb="129">
      <t>カンケイ</t>
    </rPh>
    <rPh sb="138" eb="140">
      <t>フヨ</t>
    </rPh>
    <rPh sb="140" eb="142">
      <t>セッテイ</t>
    </rPh>
    <rPh sb="147" eb="149">
      <t>タンカ</t>
    </rPh>
    <rPh sb="150" eb="152">
      <t>ヘンコウ</t>
    </rPh>
    <rPh sb="155" eb="157">
      <t>フヨ</t>
    </rPh>
    <rPh sb="163" eb="165">
      <t>エイキョウ</t>
    </rPh>
    <phoneticPr fontId="1"/>
  </si>
  <si>
    <t>商品単位の売価に、1円の差が出る。</t>
    <phoneticPr fontId="1"/>
  </si>
  <si>
    <r>
      <rPr>
        <u/>
        <sz val="10"/>
        <color theme="1"/>
        <rFont val="Meiryo UI"/>
        <family val="3"/>
        <charset val="128"/>
      </rPr>
      <t>商品単位の売価に、2円の差が出る。</t>
    </r>
    <r>
      <rPr>
        <sz val="10"/>
        <color theme="1"/>
        <rFont val="Meiryo UI"/>
        <family val="3"/>
        <charset val="128"/>
      </rPr>
      <t xml:space="preserve">
(最大で、いくらまで差が出るかは試算してません。)</t>
    </r>
    <rPh sb="10" eb="11">
      <t>エン</t>
    </rPh>
    <rPh sb="12" eb="13">
      <t>サ</t>
    </rPh>
    <rPh sb="14" eb="15">
      <t>デ</t>
    </rPh>
    <rPh sb="19" eb="21">
      <t>サイダイ</t>
    </rPh>
    <rPh sb="28" eb="29">
      <t>サ</t>
    </rPh>
    <rPh sb="30" eb="31">
      <t>デ</t>
    </rPh>
    <rPh sb="34" eb="36">
      <t>シサン</t>
    </rPh>
    <phoneticPr fontId="1"/>
  </si>
  <si>
    <r>
      <rPr>
        <b/>
        <u/>
        <sz val="12"/>
        <color theme="1"/>
        <rFont val="Meiryo UI"/>
        <family val="3"/>
        <charset val="128"/>
      </rPr>
      <t>値引金額小計の調整②</t>
    </r>
    <r>
      <rPr>
        <sz val="12"/>
        <color theme="1"/>
        <rFont val="Meiryo UI"/>
        <family val="3"/>
        <charset val="128"/>
      </rPr>
      <t xml:space="preserve">
</t>
    </r>
    <r>
      <rPr>
        <sz val="10"/>
        <color theme="1"/>
        <rFont val="Meiryo UI"/>
        <family val="3"/>
        <charset val="128"/>
      </rPr>
      <t>端数調整</t>
    </r>
    <rPh sb="11" eb="13">
      <t>ハスウ</t>
    </rPh>
    <rPh sb="13" eb="15">
      <t>チョウセイ</t>
    </rPh>
    <phoneticPr fontId="1"/>
  </si>
  <si>
    <r>
      <t>値引対象商品の小計×値引率と、値引金額小計の調整①の合計を行い、</t>
    </r>
    <r>
      <rPr>
        <b/>
        <u/>
        <sz val="12"/>
        <color theme="1"/>
        <rFont val="Meiryo UI"/>
        <family val="3"/>
        <charset val="128"/>
      </rPr>
      <t>最後の商品で端数調整</t>
    </r>
    <rPh sb="0" eb="2">
      <t>ネビキ</t>
    </rPh>
    <rPh sb="2" eb="4">
      <t>タイショウ</t>
    </rPh>
    <rPh sb="4" eb="6">
      <t>ショウヒン</t>
    </rPh>
    <rPh sb="7" eb="9">
      <t>ショウケイ</t>
    </rPh>
    <rPh sb="10" eb="12">
      <t>ネビキ</t>
    </rPh>
    <rPh sb="12" eb="13">
      <t>リツ</t>
    </rPh>
    <rPh sb="15" eb="17">
      <t>ネビキ</t>
    </rPh>
    <rPh sb="17" eb="19">
      <t>キンガク</t>
    </rPh>
    <rPh sb="19" eb="21">
      <t>ショウケイ</t>
    </rPh>
    <rPh sb="22" eb="24">
      <t>チョウセイ</t>
    </rPh>
    <rPh sb="26" eb="28">
      <t>ゴウケイ</t>
    </rPh>
    <rPh sb="29" eb="30">
      <t>オコナ</t>
    </rPh>
    <rPh sb="32" eb="34">
      <t>サイゴ</t>
    </rPh>
    <rPh sb="35" eb="37">
      <t>ショウヒン</t>
    </rPh>
    <rPh sb="38" eb="40">
      <t>ハスウ</t>
    </rPh>
    <rPh sb="40" eb="42">
      <t>チョウセイ</t>
    </rPh>
    <phoneticPr fontId="1"/>
  </si>
  <si>
    <t>1円ずつ調整しているために、発生しない。</t>
    <rPh sb="1" eb="2">
      <t>エン</t>
    </rPh>
    <rPh sb="4" eb="6">
      <t>チョウセイ</t>
    </rPh>
    <rPh sb="14" eb="16">
      <t>ハッセイ</t>
    </rPh>
    <phoneticPr fontId="1"/>
  </si>
  <si>
    <r>
      <t xml:space="preserve">商品単位の売価にX円の差が出る。
</t>
    </r>
    <r>
      <rPr>
        <sz val="10"/>
        <color theme="1"/>
        <rFont val="Meiryo UI"/>
        <family val="3"/>
        <charset val="128"/>
      </rPr>
      <t>サンプル計算では、5円の差がでた。</t>
    </r>
    <r>
      <rPr>
        <u/>
        <sz val="10"/>
        <color theme="1"/>
        <rFont val="Meiryo UI"/>
        <family val="3"/>
        <charset val="128"/>
      </rPr>
      <t xml:space="preserve">
(最大で、いくらまで差が出るかは試算してません。)</t>
    </r>
    <rPh sb="0" eb="2">
      <t>ショウヒン</t>
    </rPh>
    <rPh sb="2" eb="4">
      <t>タンイ</t>
    </rPh>
    <rPh sb="5" eb="7">
      <t>バイカ</t>
    </rPh>
    <rPh sb="9" eb="10">
      <t>エン</t>
    </rPh>
    <rPh sb="11" eb="12">
      <t>サ</t>
    </rPh>
    <rPh sb="13" eb="14">
      <t>デ</t>
    </rPh>
    <rPh sb="21" eb="23">
      <t>ケイサン</t>
    </rPh>
    <rPh sb="27" eb="28">
      <t>エン</t>
    </rPh>
    <rPh sb="29" eb="30">
      <t>サ</t>
    </rPh>
    <phoneticPr fontId="1"/>
  </si>
  <si>
    <t xml:space="preserve">例）値引対象商品の小計\38,362-　値引率 5％
小計値引金額＝\1,919
値引金額小計の調整①の結果、\1,916 残り\3
調整対象商品の次の売価が@100の場合、本来5％の\5を引くところ、\3にする。
</t>
    <rPh sb="0" eb="1">
      <t>レイ</t>
    </rPh>
    <rPh sb="27" eb="29">
      <t>ショウケイ</t>
    </rPh>
    <rPh sb="29" eb="31">
      <t>ネビキ</t>
    </rPh>
    <rPh sb="31" eb="33">
      <t>キンガク</t>
    </rPh>
    <rPh sb="53" eb="55">
      <t>ケッカ</t>
    </rPh>
    <rPh sb="63" eb="64">
      <t>ノコ</t>
    </rPh>
    <rPh sb="68" eb="70">
      <t>チョウセイ</t>
    </rPh>
    <rPh sb="70" eb="72">
      <t>タイショウ</t>
    </rPh>
    <rPh sb="72" eb="74">
      <t>ショウヒン</t>
    </rPh>
    <rPh sb="75" eb="76">
      <t>ツギ</t>
    </rPh>
    <rPh sb="77" eb="79">
      <t>バイカ</t>
    </rPh>
    <rPh sb="85" eb="87">
      <t>バアイ</t>
    </rPh>
    <rPh sb="88" eb="90">
      <t>ホンライ</t>
    </rPh>
    <rPh sb="96" eb="97">
      <t>ヒ</t>
    </rPh>
    <phoneticPr fontId="1"/>
  </si>
  <si>
    <t>ー</t>
    <phoneticPr fontId="1"/>
  </si>
  <si>
    <r>
      <rPr>
        <b/>
        <u/>
        <sz val="12"/>
        <color theme="1"/>
        <rFont val="Meiryo UI"/>
        <family val="3"/>
        <charset val="128"/>
      </rPr>
      <t>値引金額小計の調整③</t>
    </r>
    <r>
      <rPr>
        <sz val="12"/>
        <color theme="1"/>
        <rFont val="Meiryo UI"/>
        <family val="3"/>
        <charset val="128"/>
      </rPr>
      <t xml:space="preserve">
</t>
    </r>
    <r>
      <rPr>
        <sz val="10"/>
        <color theme="1"/>
        <rFont val="Meiryo UI"/>
        <family val="3"/>
        <charset val="128"/>
      </rPr>
      <t>最終調整対象商品で、同じ売価が複数あった場合。</t>
    </r>
    <phoneticPr fontId="1"/>
  </si>
  <si>
    <r>
      <t xml:space="preserve">
以上の手法により小計値引金額の単価を決定し、8%税抜対象金額、10%税抜対象金額をそれぞれ合計して、算出。
</t>
    </r>
    <r>
      <rPr>
        <b/>
        <u/>
        <sz val="12"/>
        <color theme="1"/>
        <rFont val="Meiryo UI"/>
        <family val="3"/>
        <charset val="128"/>
      </rPr>
      <t xml:space="preserve">計算方法は同じですが、商品単位での金額が変わるため、8%　10％の対象金額が異なるため、結果：税込金額も変わる。
</t>
    </r>
    <rPh sb="1" eb="3">
      <t>イジョウ</t>
    </rPh>
    <rPh sb="4" eb="6">
      <t>シュホウ</t>
    </rPh>
    <rPh sb="9" eb="11">
      <t>ショウケイ</t>
    </rPh>
    <rPh sb="11" eb="13">
      <t>ネビキ</t>
    </rPh>
    <rPh sb="13" eb="15">
      <t>キンガク</t>
    </rPh>
    <rPh sb="16" eb="18">
      <t>タンカ</t>
    </rPh>
    <rPh sb="19" eb="21">
      <t>ケッテイ</t>
    </rPh>
    <rPh sb="25" eb="29">
      <t>ゼイバツタイショウ</t>
    </rPh>
    <rPh sb="29" eb="31">
      <t>キンガク</t>
    </rPh>
    <rPh sb="35" eb="37">
      <t>ゼイヌ</t>
    </rPh>
    <rPh sb="37" eb="39">
      <t>タイショウ</t>
    </rPh>
    <rPh sb="39" eb="41">
      <t>キンガク</t>
    </rPh>
    <rPh sb="46" eb="48">
      <t>ゴウケイ</t>
    </rPh>
    <rPh sb="51" eb="53">
      <t>サンシュツ</t>
    </rPh>
    <rPh sb="55" eb="59">
      <t>ケイサンホウホウ</t>
    </rPh>
    <rPh sb="60" eb="61">
      <t>オナ</t>
    </rPh>
    <rPh sb="66" eb="68">
      <t>ショウヒン</t>
    </rPh>
    <rPh sb="68" eb="70">
      <t>タンイ</t>
    </rPh>
    <rPh sb="72" eb="74">
      <t>キンガク</t>
    </rPh>
    <rPh sb="75" eb="76">
      <t>カ</t>
    </rPh>
    <rPh sb="88" eb="90">
      <t>タイショウ</t>
    </rPh>
    <rPh sb="90" eb="92">
      <t>キンガク</t>
    </rPh>
    <rPh sb="93" eb="94">
      <t>コト</t>
    </rPh>
    <rPh sb="99" eb="101">
      <t>ケッカ</t>
    </rPh>
    <rPh sb="102" eb="104">
      <t>ゼイコミ</t>
    </rPh>
    <rPh sb="104" eb="106">
      <t>キンガク</t>
    </rPh>
    <rPh sb="107" eb="108">
      <t>カ</t>
    </rPh>
    <phoneticPr fontId="1"/>
  </si>
  <si>
    <t>税込金額算出</t>
    <rPh sb="0" eb="2">
      <t>ゼイコミ</t>
    </rPh>
    <rPh sb="4" eb="6">
      <t>サンシュツ</t>
    </rPh>
    <phoneticPr fontId="1"/>
  </si>
  <si>
    <r>
      <t xml:space="preserve">外税8%   30,933 → 33,407
外税10% 11,000 </t>
    </r>
    <r>
      <rPr>
        <b/>
        <sz val="10"/>
        <color rgb="FFFF0000"/>
        <rFont val="Meiryo UI"/>
        <family val="3"/>
        <charset val="128"/>
      </rPr>
      <t>→ 12,100</t>
    </r>
    <r>
      <rPr>
        <sz val="10"/>
        <color theme="1"/>
        <rFont val="Meiryo UI"/>
        <family val="3"/>
        <charset val="128"/>
      </rPr>
      <t>　←割り切れてしまう。
内税10%	   2,578 →  2,578
非課税       3,060 →  3,060
小計        47,337 →</t>
    </r>
    <r>
      <rPr>
        <b/>
        <u/>
        <sz val="10"/>
        <color rgb="FFFF0000"/>
        <rFont val="Meiryo UI"/>
        <family val="3"/>
        <charset val="128"/>
      </rPr>
      <t xml:space="preserve"> 51,145</t>
    </r>
    <phoneticPr fontId="1"/>
  </si>
  <si>
    <r>
      <t xml:space="preserve">外税8%   30,935 (+2) → 33,409 (+2) 
外税10% 10,998 (-2) </t>
    </r>
    <r>
      <rPr>
        <b/>
        <sz val="10"/>
        <color rgb="FFFF0000"/>
        <rFont val="Meiryo UI"/>
        <family val="3"/>
        <charset val="128"/>
      </rPr>
      <t xml:space="preserve">→ 12,097 (-3) </t>
    </r>
    <r>
      <rPr>
        <sz val="10"/>
        <color theme="1"/>
        <rFont val="Meiryo UI"/>
        <family val="3"/>
        <charset val="128"/>
      </rPr>
      <t xml:space="preserve">
内税10%	   2,578 →  2,578
非課税       3,060 →  3,060
小計        47,337 → </t>
    </r>
    <r>
      <rPr>
        <b/>
        <u/>
        <sz val="10"/>
        <color rgb="FFFF0000"/>
        <rFont val="Meiryo UI"/>
        <family val="3"/>
        <charset val="128"/>
      </rPr>
      <t>51,144</t>
    </r>
    <phoneticPr fontId="1"/>
  </si>
  <si>
    <t>商品単位での算出方法の違いにより、
税率ごとの小計金額に数円の差が発生する。
税率10％の税込金額を算出の際に、小数点以下切り捨ての結果、1円のずれに。</t>
    <rPh sb="0" eb="2">
      <t>ショウヒン</t>
    </rPh>
    <rPh sb="2" eb="4">
      <t>タンイ</t>
    </rPh>
    <rPh sb="6" eb="10">
      <t>サンシュツホウホウ</t>
    </rPh>
    <rPh sb="11" eb="12">
      <t>チガ</t>
    </rPh>
    <rPh sb="18" eb="20">
      <t>ゼイリツ</t>
    </rPh>
    <rPh sb="23" eb="25">
      <t>ショウケイ</t>
    </rPh>
    <rPh sb="25" eb="27">
      <t>キンガク</t>
    </rPh>
    <rPh sb="28" eb="30">
      <t>スウエン</t>
    </rPh>
    <rPh sb="31" eb="32">
      <t>サ</t>
    </rPh>
    <rPh sb="33" eb="35">
      <t>ハッセイ</t>
    </rPh>
    <rPh sb="39" eb="41">
      <t>ゼイリツ</t>
    </rPh>
    <rPh sb="45" eb="47">
      <t>ゼイコミ</t>
    </rPh>
    <rPh sb="47" eb="49">
      <t>キンガク</t>
    </rPh>
    <rPh sb="50" eb="52">
      <t>サンシュツ</t>
    </rPh>
    <rPh sb="53" eb="54">
      <t>サイ</t>
    </rPh>
    <rPh sb="56" eb="59">
      <t>ショウスウテン</t>
    </rPh>
    <rPh sb="59" eb="61">
      <t>イカ</t>
    </rPh>
    <rPh sb="61" eb="62">
      <t>キ</t>
    </rPh>
    <rPh sb="63" eb="64">
      <t>ス</t>
    </rPh>
    <rPh sb="66" eb="68">
      <t>ケッカ</t>
    </rPh>
    <rPh sb="70" eb="71">
      <t>エン</t>
    </rPh>
    <phoneticPr fontId="1"/>
  </si>
  <si>
    <t>顧客請求金額</t>
    <rPh sb="0" eb="2">
      <t>コキャク</t>
    </rPh>
    <rPh sb="2" eb="4">
      <t>セイキュウ</t>
    </rPh>
    <rPh sb="4" eb="6">
      <t>キンガク</t>
    </rPh>
    <phoneticPr fontId="1"/>
  </si>
  <si>
    <t xml:space="preserve"> 51,145円</t>
    <rPh sb="7" eb="8">
      <t>エン</t>
    </rPh>
    <phoneticPr fontId="1"/>
  </si>
  <si>
    <t xml:space="preserve"> 51,144円</t>
    <phoneticPr fontId="1"/>
  </si>
  <si>
    <t>差：1円　ignicaPOSが少ない</t>
    <rPh sb="0" eb="1">
      <t>サ</t>
    </rPh>
    <rPh sb="3" eb="4">
      <t>エン</t>
    </rPh>
    <rPh sb="15" eb="16">
      <t>スク</t>
    </rPh>
    <phoneticPr fontId="1"/>
  </si>
  <si>
    <t>※富士通POS側の計算式(25/01/29)</t>
    <rPh sb="1" eb="4">
      <t>フジツウ</t>
    </rPh>
    <rPh sb="7" eb="8">
      <t>ガワ</t>
    </rPh>
    <rPh sb="9" eb="12">
      <t>ケイサンシキ</t>
    </rPh>
    <phoneticPr fontId="15"/>
  </si>
  <si>
    <t xml:space="preserve">  meta: {</t>
  </si>
  <si>
    <t xml:space="preserve"> </t>
    <phoneticPr fontId="15"/>
  </si>
  <si>
    <t>商品</t>
    <rPh sb="0" eb="2">
      <t>ショウヒン</t>
    </rPh>
    <phoneticPr fontId="15"/>
  </si>
  <si>
    <t>レシート表記</t>
    <rPh sb="4" eb="6">
      <t>ヒョウキ</t>
    </rPh>
    <phoneticPr fontId="16"/>
  </si>
  <si>
    <t>小計値引き内部計算</t>
    <rPh sb="5" eb="7">
      <t>ナイブ</t>
    </rPh>
    <rPh sb="7" eb="9">
      <t>ケイサン</t>
    </rPh>
    <phoneticPr fontId="15"/>
  </si>
  <si>
    <t>付与ポイント</t>
    <rPh sb="0" eb="2">
      <t>フヨ</t>
    </rPh>
    <phoneticPr fontId="15"/>
  </si>
  <si>
    <t>対象額</t>
    <phoneticPr fontId="16"/>
  </si>
  <si>
    <t>ポイント
利用</t>
    <rPh sb="5" eb="7">
      <t>リヨウ</t>
    </rPh>
    <phoneticPr fontId="16"/>
  </si>
  <si>
    <t>優待券
利用</t>
    <rPh sb="0" eb="3">
      <t>ユウタイケン</t>
    </rPh>
    <rPh sb="4" eb="6">
      <t>リヨウ</t>
    </rPh>
    <phoneticPr fontId="16"/>
  </si>
  <si>
    <t>値引後
税込
小計</t>
    <phoneticPr fontId="16"/>
  </si>
  <si>
    <t>按分</t>
    <rPh sb="0" eb="2">
      <t>アンブン</t>
    </rPh>
    <phoneticPr fontId="15"/>
  </si>
  <si>
    <t>値引按分額</t>
    <rPh sb="0" eb="2">
      <t>ネビキ</t>
    </rPh>
    <rPh sb="2" eb="5">
      <t>アンブンガク</t>
    </rPh>
    <phoneticPr fontId="16"/>
  </si>
  <si>
    <t>値引後金額</t>
    <phoneticPr fontId="16"/>
  </si>
  <si>
    <t xml:space="preserve">    transaction_id: 7d0e961413cd42248ad460bd60ce0491,</t>
  </si>
  <si>
    <t>2025-01-24 17:17:36:909,SfCommitTradeASY,INF,Input Data=&lt;CUSTOMER&gt;&lt;TRADE_HEAD&gt;&lt;CARD_NB&gt;1818200616391&lt;/CARD_NB&gt;&lt;CARD_KB&gt;12&lt;/CARD_KB&gt;&lt;HAKKOUTEN_CD&gt;0&lt;/HAKKOUTEN_CD&gt;&lt;KAITENPO_CD&gt;0000005&lt;/KAITENPO_CD&gt;&lt;KAIAGE_DT&gt;20250124&lt;/KAIAGE_DT&gt;&lt;KAIAGE_TM&gt;171735&lt;/KAIAGE_TM&gt;&lt;REJI_NB&gt;0321&lt;/REJI_NB&gt;&lt;TORIHIKI_NB&gt;1&lt;/TORIHIKI_NB&gt;&lt;KAIKINTT_VL&gt;47020&lt;/KAIKINTT_VL&gt;&lt;KEIYAKU_DT&gt;20230908&lt;/KEIYAKU_DT&gt;&lt;NEWBUY_DT&gt;20250124&lt;/NEWBUY_DT&gt;&lt;POINTYUKO_YM1&gt;0&lt;/POINTYUKO_YM1&gt;&lt;POINT_QT1&gt;45033&lt;/POINT_QT1&gt;&lt;POINTYUKO_YM2&gt;0&lt;/POINTYUKO_YM2&gt;&lt;POINT_QT2&gt;0&lt;/POINT_QT2&gt;&lt;MNLBAI_RT /&gt;&lt;PKAIKIN_VAL&gt;14475651&lt;/PKAIKIN_VAL&gt;&lt;TASDAN_CD /&gt;&lt;BRTPOINT_DT /&gt;&lt;NYMPOINT_DT /&gt;&lt;RTNPOINT_DT /&gt;&lt;KOKRANKUP_FG /&gt;&lt;TICKETSTOP_FG /&gt;&lt;PAYPOINT_QT&gt;0&lt;/PAYPOINT_QT&gt;&lt;ECOPOINT_QT /&gt;&lt;CATALINA_QT&gt;0&lt;/CATALINA_QT&gt;&lt;/TRADE_HEAD&gt;</t>
  </si>
  <si>
    <t>部門</t>
    <rPh sb="0" eb="2">
      <t>ブモン</t>
    </rPh>
    <phoneticPr fontId="15"/>
  </si>
  <si>
    <t>商品名</t>
    <rPh sb="0" eb="2">
      <t>ショウヒン</t>
    </rPh>
    <rPh sb="2" eb="3">
      <t>メイ</t>
    </rPh>
    <phoneticPr fontId="15"/>
  </si>
  <si>
    <t>Scanコード</t>
    <phoneticPr fontId="15"/>
  </si>
  <si>
    <t>Scan
価格</t>
    <rPh sb="5" eb="7">
      <t>カカク</t>
    </rPh>
    <phoneticPr fontId="15"/>
  </si>
  <si>
    <t>値引</t>
    <rPh sb="0" eb="2">
      <t>ネビキ</t>
    </rPh>
    <phoneticPr fontId="15"/>
  </si>
  <si>
    <t>修正後</t>
    <rPh sb="0" eb="2">
      <t>シュウセイ</t>
    </rPh>
    <rPh sb="2" eb="3">
      <t>ゴ</t>
    </rPh>
    <phoneticPr fontId="15"/>
  </si>
  <si>
    <t>CHK</t>
    <phoneticPr fontId="15"/>
  </si>
  <si>
    <t>税区分</t>
    <rPh sb="0" eb="3">
      <t>ゼイクブン</t>
    </rPh>
    <phoneticPr fontId="16"/>
  </si>
  <si>
    <t>値引
除外</t>
    <rPh sb="0" eb="2">
      <t>ネビキ</t>
    </rPh>
    <rPh sb="3" eb="5">
      <t>ジョガイ</t>
    </rPh>
    <phoneticPr fontId="16"/>
  </si>
  <si>
    <t>値引
率</t>
    <rPh sb="0" eb="2">
      <t>ネビキ</t>
    </rPh>
    <rPh sb="3" eb="4">
      <t>リツ</t>
    </rPh>
    <phoneticPr fontId="15"/>
  </si>
  <si>
    <t>端数
処理前</t>
    <rPh sb="0" eb="2">
      <t>ハスウ</t>
    </rPh>
    <rPh sb="3" eb="5">
      <t>ショリ</t>
    </rPh>
    <rPh sb="5" eb="6">
      <t>マエ</t>
    </rPh>
    <phoneticPr fontId="15"/>
  </si>
  <si>
    <t>値引
金額
ベース</t>
    <rPh sb="0" eb="2">
      <t>ネビキ</t>
    </rPh>
    <rPh sb="3" eb="5">
      <t>キンガク</t>
    </rPh>
    <phoneticPr fontId="15"/>
  </si>
  <si>
    <t>売価</t>
    <rPh sb="0" eb="2">
      <t>バイカ</t>
    </rPh>
    <phoneticPr fontId="15"/>
  </si>
  <si>
    <t>売価
ランキング</t>
    <rPh sb="0" eb="2">
      <t>バイカ</t>
    </rPh>
    <phoneticPr fontId="15"/>
  </si>
  <si>
    <t>ランキング何位まで値引に反映させるか？</t>
    <rPh sb="5" eb="7">
      <t>ナンイ</t>
    </rPh>
    <rPh sb="9" eb="11">
      <t>ネビキ</t>
    </rPh>
    <rPh sb="12" eb="14">
      <t>ハンエイ</t>
    </rPh>
    <phoneticPr fontId="15"/>
  </si>
  <si>
    <t>確定
値引</t>
    <rPh sb="0" eb="2">
      <t>カクテイ</t>
    </rPh>
    <rPh sb="3" eb="5">
      <t>ネビキ</t>
    </rPh>
    <phoneticPr fontId="15"/>
  </si>
  <si>
    <t>値引後
金額</t>
    <rPh sb="0" eb="2">
      <t>ネビキ</t>
    </rPh>
    <rPh sb="2" eb="3">
      <t>ゴ</t>
    </rPh>
    <rPh sb="4" eb="6">
      <t>キンガク</t>
    </rPh>
    <phoneticPr fontId="15"/>
  </si>
  <si>
    <t>値引後
税込</t>
    <rPh sb="0" eb="2">
      <t>ネビキ</t>
    </rPh>
    <rPh sb="2" eb="3">
      <t>ゴ</t>
    </rPh>
    <rPh sb="4" eb="6">
      <t>ゼイコミ</t>
    </rPh>
    <phoneticPr fontId="15"/>
  </si>
  <si>
    <t>Satisfaへ送信</t>
    <rPh sb="8" eb="10">
      <t>ソウシン</t>
    </rPh>
    <phoneticPr fontId="15"/>
  </si>
  <si>
    <t>通常</t>
    <rPh sb="0" eb="2">
      <t>ツウジョウ</t>
    </rPh>
    <phoneticPr fontId="15"/>
  </si>
  <si>
    <t>特別</t>
    <rPh sb="0" eb="2">
      <t>トクベツ</t>
    </rPh>
    <phoneticPr fontId="15"/>
  </si>
  <si>
    <t>税率</t>
    <rPh sb="0" eb="2">
      <t>ゼイリツ</t>
    </rPh>
    <phoneticPr fontId="16"/>
  </si>
  <si>
    <t>税抜</t>
    <rPh sb="0" eb="2">
      <t>ゼイヌキ</t>
    </rPh>
    <phoneticPr fontId="16"/>
  </si>
  <si>
    <t>税込</t>
    <rPh sb="0" eb="2">
      <t>ゼイコ</t>
    </rPh>
    <phoneticPr fontId="16"/>
  </si>
  <si>
    <t>税額</t>
    <phoneticPr fontId="16"/>
  </si>
  <si>
    <t>除外</t>
    <rPh sb="0" eb="2">
      <t>ジョガイ</t>
    </rPh>
    <phoneticPr fontId="16"/>
  </si>
  <si>
    <t>フラグ</t>
    <phoneticPr fontId="16"/>
  </si>
  <si>
    <t>税込</t>
    <rPh sb="0" eb="2">
      <t>ゼイコミ</t>
    </rPh>
    <phoneticPr fontId="16"/>
  </si>
  <si>
    <t>按分額</t>
    <rPh sb="0" eb="3">
      <t>アンブンガク</t>
    </rPh>
    <phoneticPr fontId="16"/>
  </si>
  <si>
    <t>税込</t>
    <phoneticPr fontId="16"/>
  </si>
  <si>
    <t xml:space="preserve">    practice_mode: false,</t>
  </si>
  <si>
    <t>調整</t>
    <rPh sb="0" eb="2">
      <t>チョウセイ</t>
    </rPh>
    <phoneticPr fontId="15"/>
  </si>
  <si>
    <t>税抜</t>
    <rPh sb="0" eb="2">
      <t>ゼイヌキ</t>
    </rPh>
    <phoneticPr fontId="15"/>
  </si>
  <si>
    <t>税込</t>
    <rPh sb="0" eb="2">
      <t>ゼイコ</t>
    </rPh>
    <phoneticPr fontId="15"/>
  </si>
  <si>
    <t xml:space="preserve">    sales_mode: sales,</t>
  </si>
  <si>
    <t>外税8%</t>
    <phoneticPr fontId="16"/>
  </si>
  <si>
    <t/>
  </si>
  <si>
    <t xml:space="preserve">    company_code: 800,</t>
  </si>
  <si>
    <t>外税10%</t>
    <phoneticPr fontId="16"/>
  </si>
  <si>
    <t xml:space="preserve">    company_name: 株式会社いなげや         ,</t>
  </si>
  <si>
    <t>外税額計</t>
    <rPh sb="0" eb="2">
      <t>ソトゼイ</t>
    </rPh>
    <rPh sb="2" eb="3">
      <t>ガク</t>
    </rPh>
    <rPh sb="3" eb="4">
      <t>ケイ</t>
    </rPh>
    <phoneticPr fontId="15"/>
  </si>
  <si>
    <t>税額計</t>
    <phoneticPr fontId="15"/>
  </si>
  <si>
    <t xml:space="preserve">    store_code: 00005,</t>
  </si>
  <si>
    <t>内税8%</t>
    <phoneticPr fontId="16"/>
  </si>
  <si>
    <t>非課税</t>
    <phoneticPr fontId="15"/>
  </si>
  <si>
    <t xml:space="preserve">    store_name: レストラン店 (ステージングテスト),</t>
  </si>
  <si>
    <t>内税10%</t>
    <phoneticPr fontId="16"/>
  </si>
  <si>
    <t>P除外8%</t>
    <rPh sb="1" eb="3">
      <t>ジョガイ</t>
    </rPh>
    <phoneticPr fontId="15"/>
  </si>
  <si>
    <t xml:space="preserve">    store_telno: 00000000000,</t>
  </si>
  <si>
    <t>内税額計</t>
    <rPh sb="0" eb="2">
      <t>ウチゼイ</t>
    </rPh>
    <rPh sb="2" eb="3">
      <t>ガク</t>
    </rPh>
    <rPh sb="3" eb="4">
      <t>ケイ</t>
    </rPh>
    <phoneticPr fontId="15"/>
  </si>
  <si>
    <t>P除外10%</t>
    <rPh sb="1" eb="3">
      <t>ジョガイ</t>
    </rPh>
    <phoneticPr fontId="15"/>
  </si>
  <si>
    <t xml:space="preserve">    store_faxno: null,</t>
  </si>
  <si>
    <t>非課税</t>
    <phoneticPr fontId="16"/>
  </si>
  <si>
    <t>合計</t>
    <rPh sb="0" eb="2">
      <t>ゴウケイ</t>
    </rPh>
    <phoneticPr fontId="15"/>
  </si>
  <si>
    <t xml:space="preserve">    instore_code: 326,</t>
  </si>
  <si>
    <t xml:space="preserve">    account_id: PosGuest,</t>
  </si>
  <si>
    <t>↓富士通レシート値</t>
    <rPh sb="1" eb="4">
      <t>フジツウ</t>
    </rPh>
    <rPh sb="8" eb="9">
      <t>チ</t>
    </rPh>
    <phoneticPr fontId="16"/>
  </si>
  <si>
    <t xml:space="preserve">    account_name: null,</t>
  </si>
  <si>
    <t xml:space="preserve">    business_date: 2025/01/27,</t>
  </si>
  <si>
    <t xml:space="preserve">    business_open_count: 110,</t>
  </si>
  <si>
    <t xml:space="preserve">    transaction_datetime: 2025-01-27T16:02:55.4776601+09:00,</t>
  </si>
  <si>
    <t xml:space="preserve">    transaction_datetime_receipt_fmt: 2025年01月27日(月)16:02,</t>
  </si>
  <si>
    <t xml:space="preserve">    journal_no: 000000000000001869,</t>
  </si>
  <si>
    <t xml:space="preserve">    receipt_no: 1869,</t>
  </si>
  <si>
    <t xml:space="preserve">    confirm_age: true</t>
  </si>
  <si>
    <t xml:space="preserve">  },</t>
  </si>
  <si>
    <t>01:菓子</t>
  </si>
  <si>
    <t xml:space="preserve">  header: {</t>
  </si>
  <si>
    <t>&lt;TRADE_LINE&gt;&lt;TORIHIKIMS_NB&gt;103&lt;/TORIHIKIMS_NB&gt;&lt;LBUNRUI_CD&gt;01&lt;/LBUNRUI_CD&gt;&lt;MBUNRUI_CD&gt;0101&lt;/MBUNRUI_CD&gt;&lt;SBUNRUI_CD&gt;010101&lt;/SBUNRUI_CD&gt;&lt;MAKER_CD /&gt;&lt;TANPIN_CD&gt;0000001138081&lt;/TANPIN_CD&gt;&lt;SYOHIN_NA&gt;ｶﾌﾞｷｱｹﾞ&lt;/SYOHIN_NA&gt;&lt;KAIAGE_QT&gt;1&lt;/KAIAGE_QT&gt;&lt;KAIPRICE_FG /&gt;&lt;KAIKIN_VL&gt;19&lt;/KAIKIN_VL&gt;&lt;INTAX_VL&gt;20&lt;/INTAX_VL&gt;&lt;KAIGEN_VL&gt;0&lt;/KAIGEN_VL&gt;&lt;IRO_CD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</si>
  <si>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&lt;/TORIHIKIMS_NB&gt;&lt;LBUNRUI_CD&gt;01&lt;/LBUNRUI_CD&gt;&lt;MBUNRUI_CD&gt;0101&lt;/MBUNRUI_CD&gt;&lt;SBUNRUI_CD&gt;010101&lt;/SBUNRUI_CD&gt;&lt;TANPIN_CD&gt;01138081&lt;/TANPIN_CD&gt;&lt;SYOHIN_NA&gt;ｶﾌﾞｷｱｹﾞ&lt;/SYOHIN_NA&gt;&lt;KAIAGE_QT&gt;1&lt;/KAIAGE_QT&gt;&lt;KAIKIN_VL&gt;43&lt;/KAIKIN_VL&gt;&lt;INTAX_VL&gt;0&lt;/INTAX_VL&gt;&lt;KAIGEN_VL&gt;0&lt;/KAIGEN_VL&gt;&lt;PTARGET_FG&gt;1&lt;/PTARGET_FG&gt;&lt;BARGEN_FG&gt;0&lt;/BARGEN_FG&gt;&lt;/TRADE_LINE&gt;</t>
  </si>
  <si>
    <t>51:食玩</t>
  </si>
  <si>
    <t xml:space="preserve">    total_quantity_fmt: 101,</t>
  </si>
  <si>
    <t>&lt;TRADE_LINE&gt;&lt;TORIHIKIMS_NB&gt;102&lt;/TORIHIKIMS_NB&gt;&lt;LBUNRUI_CD&gt;51&lt;/LBUNRUI_CD&gt;&lt;MBUNRUI_CD&gt;5104&lt;/MBUNRUI_CD&gt;&lt;SBUNRUI_CD&gt;510403&lt;/SBUNRUI_CD&gt;&lt;MAKER_CD /&gt;&lt;TANPIN_CD&gt;0000051017521&lt;/TANPIN_CD&gt;&lt;SYOHIN_NA&gt;ﾌﾟﾛﾔｷﾕｳﾁﾂﾌﾟｽ&lt;/SYOHIN_NA&gt;&lt;KAIAGE_QT&gt;1&lt;/KAIAGE_QT&gt;&lt;KAIPRICE_FG /&gt;&lt;KAIKIN_VL&gt;85&lt;/KAIKIN_VL&gt;&lt;INTAX_VL&gt;93&lt;/INTAX_VL&gt;&lt;KAIGEN_VL&gt;0&lt;/KAIGEN_VL&gt;&lt;IRO_CD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</si>
  <si>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&lt;/TORIHIKIMS_NB&gt;&lt;LBUNRUI_CD&gt;51&lt;/LBUNRUI_CD&gt;&lt;MBUNRUI_CD&gt;5104&lt;/MBUNRUI_CD&gt;&lt;SBUNRUI_CD&gt;510403&lt;/SBUNRUI_CD&gt;&lt;TANPIN_CD&gt;51017521&lt;/TANPIN_CD&gt;&lt;SYOHIN_NA&gt;ﾌﾟﾛﾔｷﾕｳﾁﾂﾌﾟｽ&lt;/SYOHIN_NA&gt;&lt;KAIAGE_QT&gt;1&lt;/KAIAGE_QT&gt;&lt;KAIKIN_VL&gt;103&lt;/KAIKIN_VL&gt;&lt;INTAX_VL&gt;0&lt;/INTAX_VL&gt;&lt;KAIGEN_VL&gt;0&lt;/KAIGEN_VL&gt;&lt;PTARGET_FG&gt;1&lt;/PTARGET_FG&gt;&lt;BARGEN_FG&gt;0&lt;/BARGEN_FG&gt;&lt;/TRADE_LINE&gt;</t>
  </si>
  <si>
    <t>03:一般食品</t>
  </si>
  <si>
    <t xml:space="preserve">    subtotal_price_fmt: ￥47,571,</t>
  </si>
  <si>
    <t>&lt;TRADE_LINE&gt;&lt;TORIHIKIMS_NB&gt;101&lt;/TORIHIKIMS_NB&gt;&lt;LBUNRUI_CD&gt;03&lt;/LBUNRUI_CD&gt;&lt;MBUNRUI_CD&gt;0362&lt;/MBUNRUI_CD&gt;&lt;SBUNRUI_CD&gt;036207&lt;/SBUNRUI_CD&gt;&lt;MAKER_CD /&gt;&lt;TANPIN_CD&gt;0000003047091&lt;/TANPIN_CD&gt;&lt;SYOHIN_NA&gt;ｻﾄｳｷﾘﾓﾁﾂｷﾀﾃｼ&lt;/SYOHIN_NA&gt;&lt;KAIAGE_QT&gt;1&lt;/KAIAGE_QT&gt;&lt;KAIPRICE_FG /&gt;&lt;KAIKIN_VL&gt;119&lt;/KAIKIN_VL&gt;&lt;INTAX_VL&gt;128&lt;/INTAX_VL&gt;&lt;KAIGEN_VL&gt;0&lt;/KAIGEN_VL&gt;&lt;IRO_CD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</si>
  <si>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&lt;/TORIHIKIMS_NB&gt;&lt;LBUNRUI_CD&gt;03&lt;/LBUNRUI_CD&gt;&lt;MBUNRUI_CD&gt;0362&lt;/MBUNRUI_CD&gt;&lt;SBUNRUI_CD&gt;036207&lt;/SBUNRUI_CD&gt;&lt;TANPIN_CD&gt;03047091&lt;/TANPIN_CD&gt;&lt;SYOHIN_NA&gt;ｻﾄｳｷﾘﾓﾁﾂｷﾀﾃｼ&lt;/SYOHIN_NA&gt;&lt;KAIAGE_QT&gt;1&lt;/KAIAGE_QT&gt;&lt;KAIKIN_VL&gt;135&lt;/KAIKIN_VL&gt;&lt;INTAX_VL&gt;0&lt;/INTAX_VL&gt;&lt;KAIGEN_VL&gt;0&lt;/KAIGEN_VL&gt;&lt;PTARGET_FG&gt;1&lt;/PTARGET_FG&gt;&lt;BARGEN_FG&gt;0&lt;/BARGEN_FG&gt;&lt;/TRADE_LINE&gt;</t>
  </si>
  <si>
    <t>53:みりん・医薬部外品</t>
  </si>
  <si>
    <t xml:space="preserve">    subtotal_discount_target_price_fmt: ￥1,919,</t>
  </si>
  <si>
    <t>&lt;TRADE_LINE&gt;&lt;TORIHIKIMS_NB&gt;100&lt;/TORIHIKIMS_NB&gt;&lt;LBUNRUI_CD&gt;53&lt;/LBUNRUI_CD&gt;&lt;MBUNRUI_CD&gt;5367&lt;/MBUNRUI_CD&gt;&lt;SBUNRUI_CD&gt;536702&lt;/SBUNRUI_CD&gt;&lt;MAKER_CD /&gt;&lt;TANPIN_CD&gt;0000053302486&lt;/TANPIN_CD&gt;&lt;SYOHIN_NA&gt;ｷｰｺｰﾋｰﾌｲﾙﾀｰﾑ&lt;/SYOHIN_NA&gt;&lt;KAIAGE_QT&gt;1&lt;/KAIAGE_QT&gt;&lt;KAIPRICE_FG /&gt;&lt;KAIKIN_VL&gt;175&lt;/KAIKIN_VL&gt;&lt;INTAX_VL&gt;192&lt;/INTAX_VL&gt;&lt;KAIGEN_VL&gt;0&lt;/KAIGEN_VL&gt;&lt;IRO_CD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</si>
  <si>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&lt;/TORIHIKIMS_NB&gt;&lt;LBUNRUI_CD&gt;53&lt;/LBUNRUI_CD&gt;&lt;MBUNRUI_CD&gt;5367&lt;/MBUNRUI_CD&gt;&lt;SBUNRUI_CD&gt;536702&lt;/SBUNRUI_CD&gt;&lt;TANPIN_CD&gt;53302486&lt;/TANPIN_CD&gt;&lt;SYOHIN_NA&gt;ｷｰｺｰﾋｰﾌｲﾙﾀｰﾑ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</si>
  <si>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08:農水産乾物</t>
  </si>
  <si>
    <t xml:space="preserve">    total_price_fmt: ￥51,144,</t>
  </si>
  <si>
    <t>&lt;TRADE_LINE&gt;&lt;TORIHIKIMS_NB&gt;99&lt;/TORIHIKIMS_NB&gt;&lt;LBUNRUI_CD&gt;08&lt;/LBUNRUI_CD&gt;&lt;MBUNRUI_CD&gt;0801&lt;/MBUNRUI_CD&gt;&lt;SBUNRUI_CD&gt;080101&lt;/SBUNRUI_CD&gt;&lt;MAKER_CD /&gt;&lt;TANPIN_CD&gt;0000008001413&lt;/TANPIN_CD&gt;&lt;SYOHIN_NA&gt;ｻﾂﾎﾟﾛｼｵ5ﾊﾟﾂｸ&lt;/SYOHIN_NA&gt;&lt;KAIAGE_QT&gt;1&lt;/KAIAGE_QT&gt;&lt;KAIPRICE_FG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</si>
  <si>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&lt;/TORIHIKIMS_NB&gt;&lt;LBUNRUI_CD&gt;08&lt;/LBUNRUI_CD&gt;&lt;MBUNRUI_CD&gt;0801&lt;/MBUNRUI_CD&gt;&lt;SBUNRUI_CD&gt;080101&lt;/SBUNRUI_CD&gt;&lt;TANPIN_CD&gt;08001413&lt;/TANPIN_CD&gt;&lt;SYOHIN_NA&gt;ｻﾂﾎﾟﾛｼｵ5ﾊﾟﾂｸ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</si>
  <si>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54:米</t>
  </si>
  <si>
    <t xml:space="preserve">    subtotal_discount: [</t>
  </si>
  <si>
    <t>&lt;TRADE_LINE&gt;&lt;TORIHIKIMS_NB&gt;98&lt;/TORIHIKIMS_NB&gt;&lt;LBUNRUI_CD&gt;54&lt;/LBUNRUI_CD&gt;&lt;MBUNRUI_CD&gt;5401&lt;/MBUNRUI_CD&gt;&lt;SBUNRUI_CD&gt;540103&lt;/SBUNRUI_CD&gt;&lt;MAKER_CD /&gt;&lt;TANPIN_CD&gt;0000054007313&lt;/TANPIN_CD&gt;&lt;SYOHIN_NA&gt;ｱｷﾀｺﾏﾁ5KG&lt;/SYOHIN_NA&gt;&lt;KAIAGE_QT&gt;1&lt;/KAIAGE_QT&gt;&lt;KAIPRICE_FG /&gt;&lt;KAIKIN_VL&gt;3600&lt;/KAIKIN_VL&gt;&lt;INTAX_VL&gt;3888&lt;/INTAX_VL&gt;&lt;KAIGEN_VL&gt;0&lt;/KAIGEN_VL&gt;&lt;IRO_CD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</si>
  <si>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11&lt;/TORIHIKIMS_NB&gt;&lt;LBUNRUI_CD&gt;54&lt;/LBUNRUI_CD&gt;&lt;MBUNRUI_CD&gt;5401&lt;/MBUNRUI_CD&gt;&lt;SBUNRUI_CD&gt;540103&lt;/SBUNRUI_CD&gt;&lt;TANPIN_CD&gt;54007313&lt;/TANPIN_CD&gt;&lt;SYOHIN_NA&gt;ｱｷﾀｺﾏﾁ5KG&lt;/SYOHIN_NA&gt;&lt;KAIAGE_QT&gt;1&lt;/KAIAGE_QT&gt;&lt;KAIKIN_VL&gt;3600&lt;/KAIKIN_VL&gt;&lt;INTAX_VL&gt;0&lt;/INTAX_VL&gt;&lt;KAIGEN_VL&gt;0&lt;/KAIGEN_VL&gt;&lt;PTARGET_FG&gt;1&lt;/PTARGET_FG&gt;&lt;BARGEN_FG&gt;0&lt;/BARGEN_FG&gt;&lt;/TRADE_LINE&gt;</t>
  </si>
  <si>
    <t>07:日用雑貨</t>
  </si>
  <si>
    <t xml:space="preserve">      {</t>
  </si>
  <si>
    <t>&lt;TRADE_LINE&gt;&lt;TORIHIKIMS_NB&gt;97&lt;/TORIHIKIMS_NB&gt;&lt;LBUNRUI_CD&gt;07&lt;/LBUNRUI_CD&gt;&lt;MBUNRUI_CD&gt;0701&lt;/MBUNRUI_CD&gt;&lt;SBUNRUI_CD&gt;070104&lt;/SBUNRUI_CD&gt;&lt;MAKER_CD /&gt;&lt;TANPIN_CD&gt;0000007215886&lt;/TANPIN_CD&gt;&lt;SYOHIN_NA&gt;ﾋﾞｵﾚﾋﾔﾀｵﾙ&lt;/SYOHIN_NA&gt;&lt;KAIAGE_QT&gt;1&lt;/KAIAGE_QT&gt;&lt;KAIPRICE_FG /&gt;&lt;KAIKIN_VL&gt;71&lt;/KAIKIN_VL&gt;&lt;INTAX_VL&gt;78&lt;/INTAX_VL&gt;&lt;KAIGEN_VL&gt;0&lt;/KAIGEN_VL&gt;&lt;IRO_CD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</si>
  <si>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&lt;/TORIHIKIMS_NB&gt;&lt;LBUNRUI_CD&gt;07&lt;/LBUNRUI_CD&gt;&lt;MBUNRUI_CD&gt;0701&lt;/MBUNRUI_CD&gt;&lt;SBUNRUI_CD&gt;070104&lt;/SBUNRUI_CD&gt;&lt;TANPIN_CD&gt;07215886&lt;/TANPIN_CD&gt;&lt;SYOHIN_NA&gt;ﾋﾞｵﾚﾋﾔﾀｵﾙ&lt;/SYOHIN_NA&gt;&lt;KAIAGE_QT&gt;1&lt;/KAIAGE_QT&gt;&lt;KAIKIN_VL&gt;92&lt;/KAIKIN_VL&gt;&lt;INTAX_VL&gt;0&lt;/INTAX_VL&gt;&lt;KAIGEN_VL&gt;0&lt;/KAIGEN_VL&gt;&lt;PTARGET_FG&gt;1&lt;/PTARGET_FG&gt;&lt;BARGEN_FG&gt;0&lt;/BARGEN_FG&gt;&lt;/TRADE_LINE&gt;</t>
  </si>
  <si>
    <t>57:ベビーフード</t>
  </si>
  <si>
    <t xml:space="preserve">        subtotal_discountl_no: 1,</t>
  </si>
  <si>
    <t>&lt;TRADE_LINE&gt;&lt;TORIHIKIMS_NB&gt;96&lt;/TORIHIKIMS_NB&gt;&lt;LBUNRUI_CD&gt;57&lt;/LBUNRUI_CD&gt;&lt;MBUNRUI_CD&gt;5708&lt;/MBUNRUI_CD&gt;&lt;SBUNRUI_CD&gt;570802&lt;/SBUNRUI_CD&gt;&lt;MAKER_CD /&gt;&lt;TANPIN_CD&gt;0000057001308&lt;/TANPIN_CD&gt;&lt;SYOHIN_NA&gt;ﾊﾟﾂｸｺﾞﾊﾝ6ｺ&lt;/SYOHIN_NA&gt;&lt;KAIAGE_QT&gt;1&lt;/KAIAGE_QT&gt;&lt;KAIPRICE_FG /&gt;&lt;KAIKIN_VL&gt;759&lt;/KAIKIN_VL&gt;&lt;INTAX_VL&gt;819&lt;/INTAX_VL&gt;&lt;KAIGEN_VL&gt;0&lt;/KAIGEN_VL&gt;&lt;IRO_CD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</si>
  <si>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&lt;/TORIHIKIMS_NB&gt;&lt;LBUNRUI_CD&gt;57&lt;/LBUNRUI_CD&gt;&lt;MBUNRUI_CD&gt;5708&lt;/MBUNRUI_CD&gt;&lt;SBUNRUI_CD&gt;570802&lt;/SBUNRUI_CD&gt;&lt;TANPIN_CD&gt;57001308&lt;/TANPIN_CD&gt;&lt;SYOHIN_NA&gt;ﾊﾟﾂｸｺﾞﾊﾝ6ｺ&lt;/SYOHIN_NA&gt;&lt;KAIAGE_QT&gt;1&lt;/KAIAGE_QT&gt;&lt;KAIKIN_VL&gt;759&lt;/KAIKIN_VL&gt;&lt;INTAX_VL&gt;0&lt;/INTAX_VL&gt;&lt;KAIGEN_VL&gt;0&lt;/KAIGEN_VL&gt;&lt;PTARGET_FG&gt;1&lt;/PTARGET_FG&gt;&lt;BARGEN_FG&gt;0&lt;/BARGEN_FG&gt;&lt;/TRADE_LINE&gt;</t>
  </si>
  <si>
    <t>12:バラエティ－</t>
  </si>
  <si>
    <t xml:space="preserve">        subtotal_discountl_name: 小計割引,</t>
  </si>
  <si>
    <t>&lt;TRADE_LINE&gt;&lt;TORIHIKIMS_NB&gt;95&lt;/TORIHIKIMS_NB&gt;&lt;LBUNRUI_CD&gt;12&lt;/LBUNRUI_CD&gt;&lt;MBUNRUI_CD&gt;1211&lt;/MBUNRUI_CD&gt;&lt;SBUNRUI_CD&gt;121104&lt;/SBUNRUI_CD&gt;&lt;MAKER_CD /&gt;&lt;TANPIN_CD&gt;0000012093963&lt;/TANPIN_CD&gt;&lt;SYOHIN_NA&gt;ﾋﾟﾂﾁﾔｰ2.1L&lt;/SYOHIN_NA&gt;&lt;KAIAGE_QT&gt;1&lt;/KAIAGE_QT&gt;&lt;KAIPRICE_FG /&gt;&lt;KAIKIN_VL&gt;949&lt;/KAIKIN_VL&gt;&lt;INTAX_VL&gt;1043&lt;/INTAX_VL&gt;&lt;KAIGEN_VL&gt;0&lt;/KAIGEN_VL&gt;&lt;IRO_CD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</si>
  <si>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&lt;/TORIHIKIMS_NB&gt;&lt;LBUNRUI_CD&gt;12&lt;/LBUNRUI_CD&gt;&lt;MBUNRUI_CD&gt;1211&lt;/MBUNRUI_CD&gt;&lt;SBUNRUI_CD&gt;121104&lt;/SBUNRUI_CD&gt;&lt;TANPIN_CD&gt;12093963&lt;/TANPIN_CD&gt;&lt;SYOHIN_NA&gt;ﾋﾟﾂﾁﾔｰ2.1L&lt;/SYOHIN_NA&gt;&lt;KAIAGE_QT&gt;1&lt;/KAIAGE_QT&gt;&lt;KAIKIN_VL&gt;949&lt;/KAIKIN_VL&gt;&lt;INTAX_VL&gt;0&lt;/INTAX_VL&gt;&lt;KAIGEN_VL&gt;0&lt;/KAIGEN_VL&gt;&lt;PTARGET_FG&gt;1&lt;/PTARGET_FG&gt;&lt;BARGEN_FG&gt;0&lt;/BARGEN_FG&gt;&lt;/TRADE_LINE&gt;</t>
  </si>
  <si>
    <t>13:実用衣料</t>
  </si>
  <si>
    <t xml:space="preserve">        subtotal_discountl_code: null,</t>
  </si>
  <si>
    <t>&lt;TRADE_LINE&gt;&lt;TORIHIKIMS_NB&gt;94&lt;/TORIHIKIMS_NB&gt;&lt;LBUNRUI_CD&gt;13&lt;/LBUNRUI_CD&gt;&lt;MBUNRUI_CD&gt;1304&lt;/MBUNRUI_CD&gt;&lt;SBUNRUI_CD&gt;130401&lt;/SBUNRUI_CD&gt;&lt;MAKER_CD /&gt;&lt;TANPIN_CD&gt;0000013533681&lt;/TANPIN_CD&gt;&lt;SYOHIN_NA&gt;ｶｻ&lt;/SYOHIN_NA&gt;&lt;KAIAGE_QT&gt;1&lt;/KAIAGE_QT&gt;&lt;KAIPRICE_FG /&gt;&lt;KAIKIN_VL&gt;455&lt;/KAIKIN_VL&gt;&lt;INTAX_VL&gt;500&lt;/INTAX_VL&gt;&lt;KAIGEN_VL&gt;0&lt;/KAIGEN_VL&gt;&lt;IRO_CD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</si>
  <si>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&lt;/TORIHIKIMS_NB&gt;&lt;LBUNRUI_CD&gt;13&lt;/LBUNRUI_CD&gt;&lt;MBUNRUI_CD&gt;1304&lt;/MBUNRUI_CD&gt;&lt;SBUNRUI_CD&gt;130401&lt;/SBUNRUI_CD&gt;&lt;TANPIN_CD&gt;13533681&lt;/TANPIN_CD&gt;&lt;SYOHIN_NA&gt;ｶｻ&lt;/SYOHIN_NA&gt;&lt;KAIAGE_QT&gt;1&lt;/KAIAGE_QT&gt;&lt;KAIKIN_VL&gt;455&lt;/KAIKIN_VL&gt;&lt;INTAX_VL&gt;0&lt;/INTAX_VL&gt;&lt;KAIGEN_VL&gt;0&lt;/KAIGEN_VL&gt;&lt;PTARGET_FG&gt;1&lt;/PTARGET_FG&gt;&lt;BARGEN_FG&gt;0&lt;/BARGEN_FG&gt;&lt;/TRADE_LINE&gt;</t>
  </si>
  <si>
    <t>10:テ゛イリ－</t>
  </si>
  <si>
    <t xml:space="preserve">        subtotal_discountl_quantity: null,</t>
  </si>
  <si>
    <t>&lt;TRADE_LINE&gt;&lt;TORIHIKIMS_NB&gt;93&lt;/TORIHIKIMS_NB&gt;&lt;LBUNRUI_CD&gt;10&lt;/LBUNRUI_CD&gt;&lt;MBUNRUI_CD&gt;1035&lt;/MBUNRUI_CD&gt;&lt;SBUNRUI_CD&gt;103501&lt;/SBUNRUI_CD&gt;&lt;MAKER_CD /&gt;&lt;TANPIN_CD&gt;0000010044001&lt;/TANPIN_CD&gt;&lt;SYOHIN_NA&gt;ｷﾇﾋﾞｼﾞﾝ&lt;/SYOHIN_NA&gt;&lt;KAIAGE_QT&gt;1&lt;/KAIAGE_QT&gt;&lt;KAIPRICE_FG /&gt;&lt;KAIKIN_VL&gt;90&lt;/KAIKIN_VL&gt;&lt;INTAX_VL&gt;97&lt;/INTAX_VL&gt;&lt;KAIGEN_VL&gt;0&lt;/KAIGEN_VL&gt;&lt;IRO_CD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</si>
  <si>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&lt;/TORIHIKIMS_NB&gt;&lt;LBUNRUI_CD&gt;10&lt;/LBUNRUI_CD&gt;&lt;MBUNRUI_CD&gt;1035&lt;/MBUNRUI_CD&gt;&lt;SBUNRUI_CD&gt;103501&lt;/SBUNRUI_CD&gt;&lt;TANPIN_CD&gt;10044001&lt;/TANPIN_CD&gt;&lt;SYOHIN_NA&gt;ｷﾇﾋﾞｼﾞﾝ&lt;/SYOHIN_NA&gt;&lt;KAIAGE_QT&gt;1&lt;/KAIAGE_QT&gt;&lt;KAIKIN_VL&gt;105&lt;/KAIKIN_VL&gt;&lt;INTAX_VL&gt;0&lt;/INTAX_VL&gt;&lt;KAIGEN_VL&gt;0&lt;/KAIGEN_VL&gt;&lt;PTARGET_FG&gt;1&lt;/PTARGET_FG&gt;&lt;BARGEN_FG&gt;0&lt;/BARGEN_FG&gt;&lt;/TRADE_LINE&gt;</t>
  </si>
  <si>
    <t>34:ベ－カリ－</t>
  </si>
  <si>
    <t xml:space="preserve">        subtotal_discount_unit_price: 5%,</t>
  </si>
  <si>
    <t>&lt;TRADE_LINE&gt;&lt;TORIHIKIMS_NB&gt;92&lt;/TORIHIKIMS_NB&gt;&lt;LBUNRUI_CD&gt;34&lt;/LBUNRUI_CD&gt;&lt;MBUNRUI_CD&gt;3401&lt;/MBUNRUI_CD&gt;&lt;SBUNRUI_CD&gt;340111&lt;/SBUNRUI_CD&gt;&lt;MAKER_CD /&gt;&lt;TANPIN_CD&gt;0000034021221&lt;/TANPIN_CD&gt;&lt;SYOHIN_NA&gt;ﾛｲﾔﾙﾌﾞﾚﾂﾄﾞ6&lt;/SYOHIN_NA&gt;&lt;KAIAGE_QT&gt;1&lt;/KAIAGE_QT&gt;&lt;KAIPRICE_FG /&gt;&lt;KAIKIN_VL&gt;178&lt;/KAIKIN_VL&gt;&lt;INTAX_VL&gt;192&lt;/INTAX_VL&gt;&lt;KAIGEN_VL&gt;0&lt;/KAIGEN_VL&gt;&lt;IRO_CD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</si>
  <si>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20&lt;/TORIHIKIMS_NB&gt;&lt;LBUNRUI_CD&gt;34&lt;/LBUNRUI_CD&gt;&lt;MBUNRUI_CD&gt;3401&lt;/MBUNRUI_CD&gt;&lt;SBUNRUI_CD&gt;340111&lt;/SBUNRUI_CD&gt;&lt;TANPIN_CD&gt;34021221&lt;/TANPIN_CD&gt;&lt;SYOHIN_NA&gt;ﾛｲﾔﾙﾌﾞﾚﾂﾄﾞ6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</si>
  <si>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11:乳製品・冷食</t>
  </si>
  <si>
    <t xml:space="preserve">        subtotal_discount_fmt: -￥1919</t>
  </si>
  <si>
    <t>&lt;TRADE_LINE&gt;&lt;TORIHIKIMS_NB&gt;91&lt;/TORIHIKIMS_NB&gt;&lt;LBUNRUI_CD&gt;11&lt;/LBUNRUI_CD&gt;&lt;MBUNRUI_CD&gt;1157&lt;/MBUNRUI_CD&gt;&lt;SBUNRUI_CD&gt;115701&lt;/SBUNRUI_CD&gt;&lt;MAKER_CD /&gt;&lt;TANPIN_CD&gt;0000011570351&lt;/TANPIN_CD&gt;&lt;SYOHIN_NA&gt;ﾕｷﾒｸﾞﾗｸﾉｳL&lt;/SYOHIN_NA&gt;&lt;KAIAGE_QT&gt;1&lt;/KAIAGE_QT&gt;&lt;KAIPRICE_FG /&gt;&lt;KAIKIN_VL&gt;129&lt;/KAIKIN_VL&gt;&lt;INTAX_VL&gt;139&lt;/INTAX_VL&gt;&lt;KAIGEN_VL&gt;0&lt;/KAIGEN_VL&gt;&lt;IRO_CD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</si>
  <si>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21&lt;/TORIHIKIMS_NB&gt;&lt;LBUNRUI_CD&gt;11&lt;/LBUNRUI_CD&gt;&lt;MBUNRUI_CD&gt;1157&lt;/MBUNRUI_CD&gt;&lt;SBUNRUI_CD&gt;115701&lt;/SBUNRUI_CD&gt;&lt;TANPIN_CD&gt;11570351&lt;/TANPIN_CD&gt;&lt;SYOHIN_NA&gt;ﾕｷﾒｸﾞﾗｸﾉｳL&lt;/SYOHIN_NA&gt;&lt;KAIAGE_QT&gt;1&lt;/KAIAGE_QT&gt;&lt;KAIKIN_VL&gt;142&lt;/KAIKIN_VL&gt;&lt;INTAX_VL&gt;0&lt;/INTAX_VL&gt;&lt;KAIGEN_VL&gt;0&lt;/KAIGEN_VL&gt;&lt;PTARGET_FG&gt;1&lt;/PTARGET_FG&gt;&lt;BARGEN_FG&gt;0&lt;/BARGEN_FG&gt;&lt;/TRADE_LINE&gt;</t>
  </si>
  <si>
    <t>02:野菜</t>
  </si>
  <si>
    <t xml:space="preserve">      },</t>
  </si>
  <si>
    <t>&lt;TRADE_LINE&gt;&lt;TORIHIKIMS_NB&gt;90&lt;/TORIHIKIMS_NB&gt;&lt;LBUNRUI_CD&gt;02&lt;/LBUNRUI_CD&gt;&lt;MBUNRUI_CD&gt;0201&lt;/MBUNRUI_CD&gt;&lt;SBUNRUI_CD&gt;020101&lt;/SBUNRUI_CD&gt;&lt;MAKER_CD /&gt;&lt;TANPIN_CD&gt;0000002002841&lt;/TANPIN_CD&gt;&lt;SYOHIN_NA&gt;ｷﾕｳﾘ&lt;/SYOHIN_NA&gt;&lt;KAIAGE_QT&gt;1&lt;/KAIAGE_QT&gt;&lt;KAIPRICE_FG /&gt;&lt;KAIKIN_VL&gt;177&lt;/KAIKIN_VL&gt;&lt;INTAX_VL&gt;191&lt;/INTAX_VL&gt;&lt;KAIGEN_VL&gt;0&lt;/KAIGEN_VL&gt;&lt;IRO_CD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</si>
  <si>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22&lt;/TORIHIKIMS_NB&gt;&lt;LBUNRUI_CD&gt;02&lt;/LBUNRUI_CD&gt;&lt;MBUNRUI_CD&gt;0201&lt;/MBUNRUI_CD&gt;&lt;SBUNRUI_CD&gt;020101&lt;/SBUNRUI_CD&gt;&lt;TANPIN_CD&gt;02002841&lt;/TANPIN_CD&gt;&lt;SYOHIN_NA&gt;ｷﾕｳﾘ&lt;/SYOHIN_NA&gt;&lt;KAIAGE_QT&gt;1&lt;/KAIAGE_QT&gt;&lt;KAIKIN_VL&gt;188&lt;/KAIKIN_VL&gt;&lt;INTAX_VL&gt;0&lt;/INTAX_VL&gt;&lt;KAIGEN_VL&gt;0&lt;/KAIGEN_VL&gt;&lt;PTARGET_FG&gt;1&lt;/PTARGET_FG&gt;&lt;BARGEN_FG&gt;0&lt;/BARGEN_FG&gt;&lt;/TRADE_LINE&gt;</t>
  </si>
  <si>
    <t>&lt;TRADE_LINE&gt;&lt;TORIHIKIMS_NB&gt;89&lt;/TORIHIKIMS_NB&gt;&lt;LBUNRUI_CD&gt;02&lt;/LBUNRUI_CD&gt;&lt;MBUNRUI_CD&gt;0205&lt;/MBUNRUI_CD&gt;&lt;SBUNRUI_CD&gt;020508&lt;/SBUNRUI_CD&gt;&lt;MAKER_CD /&gt;&lt;TANPIN_CD&gt;0000002104199&lt;/TANPIN_CD&gt;&lt;SYOHIN_NA&gt;ﾀﾏﾈｷﾞ&lt;/SYOHIN_NA&gt;&lt;KAIAGE_QT&gt;1&lt;/KAIAGE_QT&gt;&lt;KAIPRICE_FG /&gt;&lt;KAIKIN_VL&gt;18&lt;/KAIKIN_VL&gt;&lt;INTAX_VL&gt;19&lt;/INTAX_VL&gt;&lt;KAIGEN_VL&gt;0&lt;/KAIGEN_VL&gt;&lt;IRO_CD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</si>
  <si>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23&lt;/TORIHIKIMS_NB&gt;&lt;LBUNRUI_CD&gt;02&lt;/LBUNRUI_CD&gt;&lt;MBUNRUI_CD&gt;0205&lt;/MBUNRUI_CD&gt;&lt;SBUNRUI_CD&gt;020508&lt;/SBUNRUI_CD&gt;&lt;TANPIN_CD&gt;02104199&lt;/TANPIN_CD&gt;&lt;SYOHIN_NA&gt;ﾀﾏﾈｷﾞ&lt;/SYOHIN_NA&gt;&lt;KAIAGE_QT&gt;1&lt;/KAIAGE_QT&gt;&lt;KAIKIN_VL&gt;39&lt;/KAIKIN_VL&gt;&lt;INTAX_VL&gt;0&lt;/INTAX_VL&gt;&lt;KAIGEN_VL&gt;0&lt;/KAIGEN_VL&gt;&lt;PTARGET_FG&gt;1&lt;/PTARGET_FG&gt;&lt;BARGEN_FG&gt;0&lt;/BARGEN_FG&gt;&lt;/TRADE_LINE&gt;</t>
  </si>
  <si>
    <t xml:space="preserve">        subtotal_discountl_no: 2,</t>
  </si>
  <si>
    <t>&lt;TRADE_LINE&gt;&lt;TORIHIKIMS_NB&gt;88&lt;/TORIHIKIMS_NB&gt;&lt;LBUNRUI_CD&gt;02&lt;/LBUNRUI_CD&gt;&lt;MBUNRUI_CD&gt;0201&lt;/MBUNRUI_CD&gt;&lt;SBUNRUI_CD&gt;020109&lt;/SBUNRUI_CD&gt;&lt;MAKER_CD /&gt;&lt;TANPIN_CD&gt;0000002020726&lt;/TANPIN_CD&gt;&lt;SYOHIN_NA&gt;ｺｸｻﾝｶﾎﾞﾁﾔ&lt;/SYOHIN_NA&gt;&lt;KAIAGE_QT&gt;1&lt;/KAIAGE_QT&gt;&lt;KAIPRICE_FG /&gt;&lt;KAIKIN_VL&gt;79&lt;/KAIKIN_VL&gt;&lt;INTAX_VL&gt;85&lt;/INTAX_VL&gt;&lt;KAIGEN_VL&gt;0&lt;/KAIGEN_VL&gt;&lt;IRO_CD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</si>
  <si>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24&lt;/TORIHIKIMS_NB&gt;&lt;LBUNRUI_CD&gt;02&lt;/LBUNRUI_CD&gt;&lt;MBUNRUI_CD&gt;0201&lt;/MBUNRUI_CD&gt;&lt;SBUNRUI_CD&gt;020109&lt;/SBUNRUI_CD&gt;&lt;TANPIN_CD&gt;02020726&lt;/TANPIN_CD&gt;&lt;SYOHIN_NA&gt;ｺｸｻﾝｶﾎﾞﾁﾔ&lt;/SYOHIN_NA&gt;&lt;KAIAGE_QT&gt;1&lt;/KAIAGE_QT&gt;&lt;KAIKIN_VL&gt;97&lt;/KAIKIN_VL&gt;&lt;INTAX_VL&gt;0&lt;/INTAX_VL&gt;&lt;KAIGEN_VL&gt;0&lt;/KAIGEN_VL&gt;&lt;PTARGET_FG&gt;1&lt;/PTARGET_FG&gt;&lt;BARGEN_FG&gt;0&lt;/BARGEN_FG&gt;&lt;/TRADE_LINE&gt;</t>
  </si>
  <si>
    <t>09:果物</t>
  </si>
  <si>
    <t xml:space="preserve">        subtotal_discountl_name: ご優待券,</t>
  </si>
  <si>
    <t>&lt;TRADE_LINE&gt;&lt;TORIHIKIMS_NB&gt;87&lt;/TORIHIKIMS_NB&gt;&lt;LBUNRUI_CD&gt;09&lt;/LBUNRUI_CD&gt;&lt;MBUNRUI_CD&gt;0936&lt;/MBUNRUI_CD&gt;&lt;SBUNRUI_CD&gt;093602&lt;/SBUNRUI_CD&gt;&lt;MAKER_CD /&gt;&lt;TANPIN_CD&gt;0000009001913&lt;/TANPIN_CD&gt;&lt;SYOHIN_NA&gt;ｴﾅｼﾞｰﾅﾊﾞﾅﾅ&lt;/SYOHIN_NA&gt;&lt;KAIAGE_QT&gt;1&lt;/KAIAGE_QT&gt;&lt;KAIPRICE_FG /&gt;&lt;KAIKIN_VL&gt;177&lt;/KAIKIN_VL&gt;&lt;INTAX_VL&gt;191&lt;/INTAX_VL&gt;&lt;KAIGEN_VL&gt;0&lt;/KAIGEN_VL&gt;&lt;IRO_CD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</si>
  <si>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25&lt;/TORIHIKIMS_NB&gt;&lt;LBUNRUI_CD&gt;09&lt;/LBUNRUI_CD&gt;&lt;MBUNRUI_CD&gt;0936&lt;/MBUNRUI_CD&gt;&lt;SBUNRUI_CD&gt;093602&lt;/SBUNRUI_CD&gt;&lt;TANPIN_CD&gt;09001913&lt;/TANPIN_CD&gt;&lt;SYOHIN_NA&gt;ｴﾅｼﾞｰﾅﾊﾞﾅﾅ&lt;/SYOHIN_NA&gt;&lt;KAIAGE_QT&gt;1&lt;/KAIAGE_QT&gt;&lt;KAIKIN_VL&gt;188&lt;/KAIKIN_VL&gt;&lt;INTAX_VL&gt;0&lt;/INTAX_VL&gt;&lt;KAIGEN_VL&gt;0&lt;/KAIGEN_VL&gt;&lt;PTARGET_FG&gt;1&lt;/PTARGET_FG&gt;&lt;BARGEN_FG&gt;0&lt;/BARGEN_FG&gt;&lt;/TRADE_LINE&gt;</t>
  </si>
  <si>
    <t xml:space="preserve">        subtotal_discountl_code: gift,</t>
  </si>
  <si>
    <t>&lt;TRADE_LINE&gt;&lt;TORIHIKIMS_NB&gt;86&lt;/TORIHIKIMS_NB&gt;&lt;LBUNRUI_CD&gt;09&lt;/LBUNRUI_CD&gt;&lt;MBUNRUI_CD&gt;0928&lt;/MBUNRUI_CD&gt;&lt;SBUNRUI_CD&gt;092801&lt;/SBUNRUI_CD&gt;&lt;MAKER_CD /&gt;&lt;TANPIN_CD&gt;0000009038388&lt;/TANPIN_CD&gt;&lt;SYOHIN_NA&gt;ｺｳｽｲﾅｼ&lt;/SYOHIN_NA&gt;&lt;KAIAGE_QT&gt;1&lt;/KAIAGE_QT&gt;&lt;KAIPRICE_FG /&gt;&lt;KAIKIN_VL&gt;569&lt;/KAIKIN_VL&gt;&lt;INTAX_VL&gt;614&lt;/INTAX_VL&gt;&lt;KAIGEN_VL&gt;0&lt;/KAIGEN_VL&gt;&lt;IRO_CD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</si>
  <si>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26&lt;/TORIHIKIMS_NB&gt;&lt;LBUNRUI_CD&gt;09&lt;/LBUNRUI_CD&gt;&lt;MBUNRUI_CD&gt;0928&lt;/MBUNRUI_CD&gt;&lt;SBUNRUI_CD&gt;092801&lt;/SBUNRUI_CD&gt;&lt;TANPIN_CD&gt;09038388&lt;/TANPIN_CD&gt;&lt;SYOHIN_NA&gt;ｺｳｽｲﾅｼ&lt;/SYOHIN_NA&gt;&lt;KAIAGE_QT&gt;1&lt;/KAIAGE_QT&gt;&lt;KAIKIN_VL&gt;569&lt;/KAIKIN_VL&gt;&lt;INTAX_VL&gt;0&lt;/INTAX_VL&gt;&lt;KAIGEN_VL&gt;0&lt;/KAIGEN_VL&gt;&lt;PTARGET_FG&gt;1&lt;/PTARGET_FG&gt;&lt;BARGEN_FG&gt;0&lt;/BARGEN_FG&gt;&lt;/TRADE_LINE&gt;</t>
  </si>
  <si>
    <t xml:space="preserve">        subtotal_discountl_quantity: 2,</t>
  </si>
  <si>
    <t>&lt;TRADE_LINE&gt;&lt;TORIHIKIMS_NB&gt;85&lt;/TORIHIKIMS_NB&gt;&lt;LBUNRUI_CD&gt;09&lt;/LBUNRUI_CD&gt;&lt;MBUNRUI_CD&gt;0924&lt;/MBUNRUI_CD&gt;&lt;SBUNRUI_CD&gt;092403&lt;/SBUNRUI_CD&gt;&lt;MAKER_CD /&gt;&lt;TANPIN_CD&gt;0000009100971&lt;/TANPIN_CD&gt;&lt;SYOHIN_NA&gt;ｼﾔｲﾝﾏｽｶﾂﾄ&lt;/SYOHIN_NA&gt;&lt;KAIAGE_QT&gt;1&lt;/KAIAGE_QT&gt;&lt;KAIPRICE_FG /&gt;&lt;KAIKIN_VL&gt;80&lt;/KAIKIN_VL&gt;&lt;INTAX_VL&gt;86&lt;/INTAX_VL&gt;&lt;KAIGEN_VL&gt;0&lt;/KAIGEN_VL&gt;&lt;IRO_CD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</si>
  <si>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27&lt;/TORIHIKIMS_NB&gt;&lt;LBUNRUI_CD&gt;09&lt;/LBUNRUI_CD&gt;&lt;MBUNRUI_CD&gt;0924&lt;/MBUNRUI_CD&gt;&lt;SBUNRUI_CD&gt;092403&lt;/SBUNRUI_CD&gt;&lt;TANPIN_CD&gt;09100971&lt;/TANPIN_CD&gt;&lt;SYOHIN_NA&gt;ｼﾔｲﾝﾏｽｶﾂﾄ&lt;/SYOHIN_NA&gt;&lt;KAIAGE_QT&gt;1&lt;/KAIAGE_QT&gt;&lt;KAIKIN_VL&gt;100&lt;/KAIKIN_VL&gt;&lt;INTAX_VL&gt;0&lt;/INTAX_VL&gt;&lt;KAIGEN_VL&gt;0&lt;/KAIGEN_VL&gt;&lt;PTARGET_FG&gt;1&lt;/PTARGET_FG&gt;&lt;BARGEN_FG&gt;0&lt;/BARGEN_FG&gt;&lt;/TRADE_LINE&gt;</t>
  </si>
  <si>
    <t>04:鮮魚</t>
  </si>
  <si>
    <t xml:space="preserve">        subtotal_discount_unit_price: ￥200,</t>
  </si>
  <si>
    <t>&lt;TRADE_LINE&gt;&lt;TORIHIKIMS_NB&gt;84&lt;/TORIHIKIMS_NB&gt;&lt;LBUNRUI_CD&gt;04&lt;/LBUNRUI_CD&gt;&lt;MBUNRUI_CD&gt;0415&lt;/MBUNRUI_CD&gt;&lt;SBUNRUI_CD&gt;041504&lt;/SBUNRUI_CD&gt;&lt;MAKER_CD /&gt;&lt;TANPIN_CD&gt;0000004066499&lt;/TANPIN_CD&gt;&lt;SYOHIN_NA&gt;ｶｺﾞｼﾏｹﾝｻﾝﾔﾏﾀ&lt;/SYOHIN_NA&gt;&lt;KAIAGE_QT&gt;1&lt;/KAIAGE_QT&gt;&lt;KAIPRICE_FG /&gt;&lt;KAIKIN_VL&gt;2270&lt;/KAIKIN_VL&gt;&lt;INTAX_VL&gt;2451&lt;/INTAX_VL&gt;&lt;KAIGEN_VL&gt;0&lt;/KAIGEN_VL&gt;&lt;IRO_CD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</si>
  <si>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28&lt;/TORIHIKIMS_NB&gt;&lt;LBUNRUI_CD&gt;04&lt;/LBUNRUI_CD&gt;&lt;MBUNRUI_CD&gt;0415&lt;/MBUNRUI_CD&gt;&lt;SBUNRUI_CD&gt;041504&lt;/SBUNRUI_CD&gt;&lt;TANPIN_CD&gt;04066499&lt;/TANPIN_CD&gt;&lt;SYOHIN_NA&gt;ｶｺﾞｼﾏｹﾝｻﾝﾔﾏﾀ&lt;/SYOHIN_NA&gt;&lt;KAIAGE_QT&gt;1&lt;/KAIAGE_QT&gt;&lt;KAIKIN_VL&gt;2270&lt;/KAIKIN_VL&gt;&lt;INTAX_VL&gt;0&lt;/INTAX_VL&gt;&lt;KAIGEN_VL&gt;0&lt;/KAIGEN_VL&gt;&lt;PTARGET_FG&gt;1&lt;/PTARGET_FG&gt;&lt;BARGEN_FG&gt;0&lt;/BARGEN_FG&gt;&lt;/TRADE_LINE&gt;</t>
  </si>
  <si>
    <t xml:space="preserve">        subtotal_discount_fmt: -￥200</t>
  </si>
  <si>
    <t>&lt;TRADE_LINE&gt;&lt;TORIHIKIMS_NB&gt;83&lt;/TORIHIKIMS_NB&gt;&lt;LBUNRUI_CD&gt;04&lt;/LBUNRUI_CD&gt;&lt;MBUNRUI_CD&gt;0401&lt;/MBUNRUI_CD&gt;&lt;SBUNRUI_CD&gt;040109&lt;/SBUNRUI_CD&gt;&lt;MAKER_CD /&gt;&lt;TANPIN_CD&gt;0000004032501&lt;/TANPIN_CD&gt;&lt;SYOHIN_NA&gt;ﾏｸﾞﾛﾀﾂﾌﾟﾘﾓﾘｱ&lt;/SYOHIN_NA&gt;&lt;KAIAGE_QT&gt;1&lt;/KAIAGE_QT&gt;&lt;KAIPRICE_FG /&gt;&lt;KAIKIN_VL&gt;271&lt;/KAIKIN_VL&gt;&lt;INTAX_VL&gt;292&lt;/INTAX_VL&gt;&lt;KAIGEN_VL&gt;0&lt;/KAIGEN_VL&gt;&lt;IRO_CD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</si>
  <si>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29&lt;/TORIHIKIMS_NB&gt;&lt;LBUNRUI_CD&gt;04&lt;/LBUNRUI_CD&gt;&lt;MBUNRUI_CD&gt;0401&lt;/MBUNRUI_CD&gt;&lt;SBUNRUI_CD&gt;040109&lt;/SBUNRUI_CD&gt;&lt;TANPIN_CD&gt;04032501&lt;/TANPIN_CD&gt;&lt;SYOHIN_NA&gt;ﾏｸﾞﾛﾀﾂﾌﾟﾘﾓﾘｱ&lt;/SYOHIN_NA&gt;&lt;KAIAGE_QT&gt;1&lt;/KAIAGE_QT&gt;&lt;KAIKIN_VL&gt;275&lt;/KAIKIN_VL&gt;&lt;INTAX_VL&gt;0&lt;/INTAX_VL&gt;&lt;KAIGEN_VL&gt;0&lt;/KAIGEN_VL&gt;&lt;PTARGET_FG&gt;1&lt;/PTARGET_FG&gt;&lt;BARGEN_FG&gt;0&lt;/BARGEN_FG&gt;&lt;/TRADE_LINE&gt;</t>
  </si>
  <si>
    <t>06:塩干</t>
  </si>
  <si>
    <t>&lt;TRADE_LINE&gt;&lt;TORIHIKIMS_NB&gt;82&lt;/TORIHIKIMS_NB&gt;&lt;LBUNRUI_CD&gt;06&lt;/LBUNRUI_CD&gt;&lt;MBUNRUI_CD&gt;0627&lt;/MBUNRUI_CD&gt;&lt;SBUNRUI_CD&gt;062706&lt;/SBUNRUI_CD&gt;&lt;MAKER_CD /&gt;&lt;TANPIN_CD&gt;0000006061940&lt;/TANPIN_CD&gt;&lt;SYOHIN_NA&gt;ﾔｷｻｹﾎｸﾞｼ&lt;/SYOHIN_NA&gt;&lt;KAIAGE_QT&gt;1&lt;/KAIAGE_QT&gt;&lt;KAIPRICE_FG /&gt;&lt;KAIKIN_VL&gt;181&lt;/KAIKIN_VL&gt;&lt;INTAX_VL&gt;195&lt;/INTAX_VL&gt;&lt;KAIGEN_VL&gt;0&lt;/KAIGEN_VL&gt;&lt;IRO_CD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</si>
  <si>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31&lt;/TORIHIKIMS_NB&gt;&lt;LBUNRUI_CD&gt;06&lt;/LBUNRUI_CD&gt;&lt;MBUNRUI_CD&gt;0627&lt;/MBUNRUI_CD&gt;&lt;SBUNRUI_CD&gt;062706&lt;/SBUNRUI_CD&gt;&lt;TANPIN_CD&gt;06061940&lt;/TANPIN_CD&gt;&lt;SYOHIN_NA&gt;ﾔｷｻｹﾎｸﾞｼ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</si>
  <si>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&lt;TRADE_LINE&gt;&lt;TORIHIKIMS_NB&gt;81&lt;/TORIHIKIMS_NB&gt;&lt;LBUNRUI_CD&gt;06&lt;/LBUNRUI_CD&gt;&lt;MBUNRUI_CD&gt;0631&lt;/MBUNRUI_CD&gt;&lt;SBUNRUI_CD&gt;063101&lt;/SBUNRUI_CD&gt;&lt;MAKER_CD /&gt;&lt;TANPIN_CD&gt;0000006099190&lt;/TANPIN_CD&gt;&lt;SYOHIN_NA&gt;ｱｼﾞﾋﾗｷ&lt;/SYOHIN_NA&gt;&lt;KAIAGE_QT&gt;1&lt;/KAIAGE_QT&gt;&lt;KAIPRICE_FG /&gt;&lt;KAIKIN_VL&gt;310&lt;/KAIKIN_VL&gt;&lt;INTAX_VL&gt;334&lt;/INTAX_VL&gt;&lt;KAIGEN_VL&gt;0&lt;/KAIGEN_VL&gt;&lt;IRO_CD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</si>
  <si>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33&lt;/TORIHIKIMS_NB&gt;&lt;LBUNRUI_CD&gt;06&lt;/LBUNRUI_CD&gt;&lt;MBUNRUI_CD&gt;0631&lt;/MBUNRUI_CD&gt;&lt;SBUNRUI_CD&gt;063101&lt;/SBUNRUI_CD&gt;&lt;TANPIN_CD&gt;06099190&lt;/TANPIN_CD&gt;&lt;SYOHIN_NA&gt;ｱｼﾞﾋﾗｷ&lt;/SYOHIN_NA&gt;&lt;KAIAGE_QT&gt;1&lt;/KAIAGE_QT&gt;&lt;KAIKIN_VL&gt;312&lt;/KAIKIN_VL&gt;&lt;INTAX_VL&gt;0&lt;/INTAX_VL&gt;&lt;KAIGEN_VL&gt;0&lt;/KAIGEN_VL&gt;&lt;PTARGET_FG&gt;1&lt;/PTARGET_FG&gt;&lt;BARGEN_FG&gt;0&lt;/BARGEN_FG&gt;&lt;/TRADE_LINE&gt;</t>
  </si>
  <si>
    <t>05:精肉</t>
  </si>
  <si>
    <t xml:space="preserve">        subtotal_discountl_no: 3,</t>
  </si>
  <si>
    <t>&lt;TRADE_LINE&gt;&lt;TORIHIKIMS_NB&gt;80&lt;/TORIHIKIMS_NB&gt;&lt;LBUNRUI_CD&gt;05&lt;/LBUNRUI_CD&gt;&lt;MBUNRUI_CD&gt;0510&lt;/MBUNRUI_CD&gt;&lt;SBUNRUI_CD&gt;051001&lt;/SBUNRUI_CD&gt;&lt;MAKER_CD /&gt;&lt;TANPIN_CD&gt;0000005030153&lt;/TANPIN_CD&gt;&lt;SYOHIN_NA&gt;NH ｼﾔｳｴﾂｾﾝX2&lt;/SYOHIN_NA&gt;&lt;KAIAGE_QT&gt;1&lt;/KAIAGE_QT&gt;&lt;KAIPRICE_FG /&gt;&lt;KAIKIN_VL&gt;379&lt;/KAIKIN_VL&gt;&lt;INTAX_VL&gt;409&lt;/INTAX_VL&gt;&lt;KAIGEN_VL&gt;0&lt;/KAIGEN_VL&gt;&lt;IRO_CD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</si>
  <si>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&lt;TRADE_LINE&gt;&lt;TORIHIKIMS_NB&gt;34&lt;/TORIHIKIMS_NB&gt;&lt;LBUNRUI_CD&gt;05&lt;/LBUNRUI_CD&gt;&lt;MBUNRUI_CD&gt;0510&lt;/MBUNRUI_CD&gt;&lt;SBUNRUI_CD&gt;051001&lt;/SBUNRUI_CD&gt;&lt;TANPIN_CD&gt;05030153&lt;/TANPIN_CD&gt;&lt;SYOHIN_NA&gt;NH ｼﾔｳｴﾂｾﾝX2&lt;/SYOHIN_NA&gt;&lt;KAIAGE_QT&gt;1&lt;/KAIAGE_QT&gt;&lt;KAIKIN_VL&gt;379&lt;/KAIKIN_VL&gt;&lt;INTAX_VL&gt;0&lt;/INTAX_VL&gt;&lt;KAIGEN_VL&gt;0&lt;/KAIGEN_VL&gt;&lt;PTARGET_FG&gt;1&lt;/PTARGET_FG&gt;&lt;BARGEN_FG&gt;0&lt;/BARGEN_FG&gt;&lt;/TRADE_LINE&gt;</t>
  </si>
  <si>
    <t xml:space="preserve">        subtotal_discountl_name: ｽﾄｱｸｰﾎﾟﾝ,</t>
  </si>
  <si>
    <t>&lt;TRADE_LINE&gt;&lt;TORIHIKIMS_NB&gt;79&lt;/TORIHIKIMS_NB&gt;&lt;LBUNRUI_CD&gt;05&lt;/LBUNRUI_CD&gt;&lt;MBUNRUI_CD&gt;0503&lt;/MBUNRUI_CD&gt;&lt;SBUNRUI_CD&gt;050303&lt;/SBUNRUI_CD&gt;&lt;MAKER_CD /&gt;&lt;TANPIN_CD&gt;0000005020522&lt;/TANPIN_CD&gt;&lt;SYOHIN_NA&gt;ｺｸｻﾝﾜｶﾄﾞﾘ ﾓﾓ&lt;/SYOHIN_NA&gt;&lt;KAIAGE_QT&gt;1&lt;/KAIAGE_QT&gt;&lt;KAIPRICE_FG /&gt;&lt;KAIKIN_VL&gt;271&lt;/KAIKIN_VL&gt;&lt;INTAX_VL&gt;292&lt;/INTAX_VL&gt;&lt;KAIGEN_VL&gt;0&lt;/KAIGEN_VL&gt;&lt;IRO_CD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</si>
  <si>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&lt;TRADE_LINE&gt;&lt;TORIHIKIMS_NB&gt;36&lt;/TORIHIKIMS_NB&gt;&lt;LBUNRUI_CD&gt;05&lt;/LBUNRUI_CD&gt;&lt;MBUNRUI_CD&gt;0503&lt;/MBUNRUI_CD&gt;&lt;SBUNRUI_CD&gt;050303&lt;/SBUNRUI_CD&gt;&lt;TANPIN_CD&gt;05020522&lt;/TANPIN_CD&gt;&lt;SYOHIN_NA&gt;ｺｸｻﾝﾜｶﾄﾞﾘ ﾓﾓ&lt;/SYOHIN_NA&gt;&lt;KAIAGE_QT&gt;1&lt;/KAIAGE_QT&gt;&lt;KAIKIN_VL&gt;275&lt;/KAIKIN_VL&gt;&lt;INTAX_VL&gt;0&lt;/INTAX_VL&gt;&lt;KAIGEN_VL&gt;0&lt;/KAIGEN_VL&gt;&lt;PTARGET_FG&gt;1&lt;/PTARGET_FG&gt;&lt;BARGEN_FG&gt;0&lt;/BARGEN_FG&gt;&lt;/TRADE_LINE&gt;</t>
  </si>
  <si>
    <t>20:惣菜</t>
  </si>
  <si>
    <t xml:space="preserve">        subtotal_discountl_code: coupon,</t>
  </si>
  <si>
    <t>&lt;TRADE_LINE&gt;&lt;TORIHIKIMS_NB&gt;78&lt;/TORIHIKIMS_NB&gt;&lt;LBUNRUI_CD&gt;20&lt;/LBUNRUI_CD&gt;&lt;MBUNRUI_CD&gt;2008&lt;/MBUNRUI_CD&gt;&lt;SBUNRUI_CD&gt;200802&lt;/SBUNRUI_CD&gt;&lt;MAKER_CD /&gt;&lt;TANPIN_CD&gt;0000020825340&lt;/TANPIN_CD&gt;&lt;SYOHIN_NA&gt;ﾎﾟﾃﾄｻﾗﾀﾞ&lt;/SYOHIN_NA&gt;&lt;KAIAGE_QT&gt;1&lt;/KAIAGE_QT&gt;&lt;KAIPRICE_FG /&gt;&lt;KAIKIN_VL&gt;130&lt;/KAIKIN_VL&gt;&lt;INTAX_VL&gt;140&lt;/INTAX_VL&gt;&lt;KAIGEN_VL&gt;0&lt;/KAIGEN_VL&gt;&lt;IRO_CD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</si>
  <si>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38&lt;/TORIHIKIMS_NB&gt;&lt;LBUNRUI_CD&gt;20&lt;/LBUNRUI_CD&gt;&lt;MBUNRUI_CD&gt;2008&lt;/MBUNRUI_CD&gt;&lt;SBUNRUI_CD&gt;200802&lt;/SBUNRUI_CD&gt;&lt;TANPIN_CD&gt;20825340&lt;/TANPIN_CD&gt;&lt;SYOHIN_NA&gt;ﾎﾟﾃﾄｻﾗﾀﾞ&lt;/SYOHIN_NA&gt;&lt;KAIAGE_QT&gt;1&lt;/KAIAGE_QT&gt;&lt;KAIKIN_VL&gt;141&lt;/KAIKIN_VL&gt;&lt;INTAX_VL&gt;0&lt;/INTAX_VL&gt;&lt;KAIGEN_VL&gt;0&lt;/KAIGEN_VL&gt;&lt;PTARGET_FG&gt;1&lt;/PTARGET_FG&gt;&lt;BARGEN_FG&gt;0&lt;/BARGEN_FG&gt;&lt;/TRADE_LINE&gt;</t>
  </si>
  <si>
    <t xml:space="preserve">        subtotal_discountl_quantity: 1,</t>
  </si>
  <si>
    <t>&lt;TRADE_LINE&gt;&lt;TORIHIKIMS_NB&gt;77&lt;/TORIHIKIMS_NB&gt;&lt;LBUNRUI_CD&gt;20&lt;/LBUNRUI_CD&gt;&lt;MBUNRUI_CD&gt;2004&lt;/MBUNRUI_CD&gt;&lt;SBUNRUI_CD&gt;200401&lt;/SBUNRUI_CD&gt;&lt;MAKER_CD /&gt;&lt;TANPIN_CD&gt;0000020421028&lt;/TANPIN_CD&gt;&lt;SYOHIN_NA&gt;ﾄﾝｶﾂｲﾁﾏｲ&lt;/SYOHIN_NA&gt;&lt;KAIAGE_QT&gt;1&lt;/KAIAGE_QT&gt;&lt;KAIPRICE_FG /&gt;&lt;KAIKIN_VL&gt;330&lt;/KAIKIN_VL&gt;&lt;INTAX_VL&gt;356&lt;/INTAX_VL&gt;&lt;KAIGEN_VL&gt;0&lt;/KAIGEN_VL&gt;&lt;IRO_CD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</si>
  <si>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40&lt;/TORIHIKIMS_NB&gt;&lt;LBUNRUI_CD&gt;20&lt;/LBUNRUI_CD&gt;&lt;MBUNRUI_CD&gt;2004&lt;/MBUNRUI_CD&gt;&lt;SBUNRUI_CD&gt;200401&lt;/SBUNRUI_CD&gt;&lt;TANPIN_CD&gt;20421028&lt;/TANPIN_CD&gt;&lt;SYOHIN_NA&gt;ﾄﾝｶﾂｲﾁﾏｲ&lt;/SYOHIN_NA&gt;&lt;KAIAGE_QT&gt;1&lt;/KAIAGE_QT&gt;&lt;KAIKIN_VL&gt;331&lt;/KAIKIN_VL&gt;&lt;INTAX_VL&gt;0&lt;/INTAX_VL&gt;&lt;KAIGEN_VL&gt;0&lt;/KAIGEN_VL&gt;&lt;PTARGET_FG&gt;1&lt;/PTARGET_FG&gt;&lt;BARGEN_FG&gt;0&lt;/BARGEN_FG&gt;&lt;/TRADE_LINE&gt;</t>
  </si>
  <si>
    <t>23:寿司</t>
  </si>
  <si>
    <t xml:space="preserve">        subtotal_discount_unit_price: ￥20,</t>
  </si>
  <si>
    <t>&lt;TRADE_LINE&gt;&lt;TORIHIKIMS_NB&gt;76&lt;/TORIHIKIMS_NB&gt;&lt;LBUNRUI_CD&gt;23&lt;/LBUNRUI_CD&gt;&lt;MBUNRUI_CD&gt;2304&lt;/MBUNRUI_CD&gt;&lt;SBUNRUI_CD&gt;230402&lt;/SBUNRUI_CD&gt;&lt;MAKER_CD /&gt;&lt;TANPIN_CD&gt;0000023364475&lt;/TANPIN_CD&gt;&lt;SYOHIN_NA&gt;ﾊﾞﾂﾃﾗ 6ｶﾝ&lt;/SYOHIN_NA&gt;&lt;KAIAGE_QT&gt;1&lt;/KAIAGE_QT&gt;&lt;KAIPRICE_FG /&gt;&lt;KAIKIN_VL&gt;379&lt;/KAIKIN_VL&gt;&lt;INTAX_VL&gt;409&lt;/INTAX_VL&gt;&lt;KAIGEN_VL&gt;0&lt;/KAIGEN_VL&gt;&lt;IRO_CD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</si>
  <si>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&lt;TRADE_LINE&gt;&lt;TORIHIKIMS_NB&gt;42&lt;/TORIHIKIMS_NB&gt;&lt;LBUNRUI_CD&gt;23&lt;/LBUNRUI_CD&gt;&lt;MBUNRUI_CD&gt;2304&lt;/MBUNRUI_CD&gt;&lt;SBUNRUI_CD&gt;230402&lt;/SBUNRUI_CD&gt;&lt;TANPIN_CD&gt;23364475&lt;/TANPIN_CD&gt;&lt;SYOHIN_NA&gt;ﾊﾞﾂﾃﾗ 6ｶﾝ&lt;/SYOHIN_NA&gt;&lt;KAIAGE_QT&gt;1&lt;/KAIAGE_QT&gt;&lt;KAIKIN_VL&gt;379&lt;/KAIKIN_VL&gt;&lt;INTAX_VL&gt;0&lt;/INTAX_VL&gt;&lt;KAIGEN_VL&gt;0&lt;/KAIGEN_VL&gt;&lt;PTARGET_FG&gt;1&lt;/PTARGET_FG&gt;&lt;BARGEN_FG&gt;0&lt;/BARGEN_FG&gt;&lt;/TRADE_LINE&gt;</t>
  </si>
  <si>
    <t xml:space="preserve">        subtotal_discount_fmt: -￥20</t>
  </si>
  <si>
    <t>&lt;TRADE_LINE&gt;&lt;TORIHIKIMS_NB&gt;75&lt;/TORIHIKIMS_NB&gt;&lt;LBUNRUI_CD&gt;23&lt;/LBUNRUI_CD&gt;&lt;MBUNRUI_CD&gt;2301&lt;/MBUNRUI_CD&gt;&lt;SBUNRUI_CD&gt;230101&lt;/SBUNRUI_CD&gt;&lt;MAKER_CD /&gt;&lt;TANPIN_CD&gt;0000023374071&lt;/TANPIN_CD&gt;&lt;SYOHIN_NA&gt;ﾆｷﾞﾘ ｶｵﾘ&lt;/SYOHIN_NA&gt;&lt;KAIAGE_QT&gt;1&lt;/KAIAGE_QT&gt;&lt;KAIPRICE_FG /&gt;&lt;KAIKIN_VL&gt;759&lt;/KAIKIN_VL&gt;&lt;INTAX_VL&gt;819&lt;/INTAX_VL&gt;&lt;KAIGEN_VL&gt;0&lt;/KAIGEN_VL&gt;&lt;IRO_CD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</si>
  <si>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&lt;TRADE_LINE&gt;&lt;TORIHIKIMS_NB&gt;43&lt;/TORIHIKIMS_NB&gt;&lt;LBUNRUI_CD&gt;23&lt;/LBUNRUI_CD&gt;&lt;MBUNRUI_CD&gt;2301&lt;/MBUNRUI_CD&gt;&lt;SBUNRUI_CD&gt;230101&lt;/SBUNRUI_CD&gt;&lt;TANPIN_CD&gt;23374071&lt;/TANPIN_CD&gt;&lt;SYOHIN_NA&gt;ﾆｷﾞﾘ ｶｵﾘ&lt;/SYOHIN_NA&gt;&lt;KAIAGE_QT&gt;1&lt;/KAIAGE_QT&gt;&lt;KAIKIN_VL&gt;759&lt;/KAIKIN_VL&gt;&lt;INTAX_VL&gt;0&lt;/INTAX_VL&gt;&lt;KAIGEN_VL&gt;0&lt;/KAIGEN_VL&gt;&lt;PTARGET_FG&gt;1&lt;/PTARGET_FG&gt;&lt;BARGEN_FG&gt;0&lt;/BARGEN_FG&gt;&lt;/TRADE_LINE&gt;</t>
  </si>
  <si>
    <t>43:ホ゛ンマタン</t>
  </si>
  <si>
    <t>&lt;TRADE_LINE&gt;&lt;TORIHIKIMS_NB&gt;74&lt;/TORIHIKIMS_NB&gt;&lt;LBUNRUI_CD&gt;43&lt;/LBUNRUI_CD&gt;&lt;MBUNRUI_CD&gt;4306&lt;/MBUNRUI_CD&gt;&lt;SBUNRUI_CD&gt;430601&lt;/SBUNRUI_CD&gt;&lt;MAKER_CD /&gt;&lt;TANPIN_CD&gt;0000043146937&lt;/TANPIN_CD&gt;&lt;SYOHIN_NA&gt;ﾐﾆﾊﾟﾝﾂﾒｱﾜｾ6ｺ&lt;/SYOHIN_NA&gt;&lt;KAIAGE_QT&gt;1&lt;/KAIAGE_QT&gt;&lt;KAIPRICE_FG /&gt;&lt;KAIKIN_VL&gt;231&lt;/KAIKIN_VL&gt;&lt;INTAX_VL&gt;249&lt;/INTAX_VL&gt;&lt;KAIGEN_VL&gt;0&lt;/KAIGEN_VL&gt;&lt;IRO_CD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</si>
  <si>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44&lt;/TORIHIKIMS_NB&gt;&lt;LBUNRUI_CD&gt;43&lt;/LBUNRUI_CD&gt;&lt;MBUNRUI_CD&gt;4306&lt;/MBUNRUI_CD&gt;&lt;SBUNRUI_CD&gt;430601&lt;/SBUNRUI_CD&gt;&lt;TANPIN_CD&gt;43146937&lt;/TANPIN_CD&gt;&lt;SYOHIN_NA&gt;ﾐﾆﾊﾟﾝﾂﾒｱﾜｾ6ｺ&lt;/SYOHIN_NA&gt;&lt;KAIAGE_QT&gt;1&lt;/KAIAGE_QT&gt;&lt;KAIKIN_VL&gt;236&lt;/KAIKIN_VL&gt;&lt;INTAX_VL&gt;0&lt;/INTAX_VL&gt;&lt;KAIGEN_VL&gt;0&lt;/KAIGEN_VL&gt;&lt;PTARGET_FG&gt;1&lt;/PTARGET_FG&gt;&lt;BARGEN_FG&gt;0&lt;/BARGEN_FG&gt;&lt;/TRADE_LINE&gt;</t>
  </si>
  <si>
    <t>&lt;TRADE_LINE&gt;&lt;TORIHIKIMS_NB&gt;73&lt;/TORIHIKIMS_NB&gt;&lt;LBUNRUI_CD&gt;53&lt;/LBUNRUI_CD&gt;&lt;MBUNRUI_CD&gt;5344&lt;/MBUNRUI_CD&gt;&lt;SBUNRUI_CD&gt;534444&lt;/SBUNRUI_CD&gt;&lt;MAKER_CD /&gt;&lt;TANPIN_CD&gt;0000053287908&lt;/TANPIN_CD&gt;&lt;SYOHIN_NA&gt;IGｼﾞﾕｸｾｲﾐﾘﾝ&lt;/SYOHIN_NA&gt;&lt;KAIAGE_QT&gt;1&lt;/KAIAGE_QT&gt;&lt;KAIPRICE_FG /&gt;&lt;KAIKIN_VL&gt;311&lt;/KAIKIN_VL&gt;&lt;INTAX_VL&gt;342&lt;/INTAX_VL&gt;&lt;KAIGEN_VL&gt;0&lt;/KAIGEN_VL&gt;&lt;IRO_CD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</si>
  <si>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46&lt;/TORIHIKIMS_NB&gt;&lt;LBUNRUI_CD&gt;53&lt;/LBUNRUI_CD&gt;&lt;MBUNRUI_CD&gt;5344&lt;/MBUNRUI_CD&gt;&lt;SBUNRUI_CD&gt;534444&lt;/SBUNRUI_CD&gt;&lt;TANPIN_CD&gt;53287908&lt;/TANPIN_CD&gt;&lt;SYOHIN_NA&gt;IGｼﾞﾕｸｾｲﾐﾘﾝ&lt;/SYOHIN_NA&gt;&lt;KAIAGE_QT&gt;1&lt;/KAIAGE_QT&gt;&lt;KAIKIN_VL&gt;312&lt;/KAIKIN_VL&gt;&lt;INTAX_VL&gt;0&lt;/INTAX_VL&gt;&lt;KAIGEN_VL&gt;0&lt;/KAIGEN_VL&gt;&lt;PTARGET_FG&gt;1&lt;/PTARGET_FG&gt;&lt;BARGEN_FG&gt;0&lt;/BARGEN_FG&gt;&lt;/TRADE_LINE&gt;</t>
  </si>
  <si>
    <t>44:酒</t>
  </si>
  <si>
    <t xml:space="preserve">        subtotal_discountl_no: 4,</t>
  </si>
  <si>
    <t>&lt;TRADE_LINE&gt;&lt;TORIHIKIMS_NB&gt;72&lt;/TORIHIKIMS_NB&gt;&lt;LBUNRUI_CD&gt;44&lt;/LBUNRUI_CD&gt;&lt;MBUNRUI_CD&gt;4404&lt;/MBUNRUI_CD&gt;&lt;SBUNRUI_CD&gt;440401&lt;/SBUNRUI_CD&gt;&lt;MAKER_CD /&gt;&lt;TANPIN_CD&gt;0000044002556&lt;/TANPIN_CD&gt;&lt;SYOHIN_NA&gt;ｽｰﾊﾟｰﾄﾞﾗｲ6P&lt;/SYOHIN_NA&gt;&lt;KAIAGE_QT&gt;1&lt;/KAIAGE_QT&gt;&lt;KAIPRICE_FG /&gt;&lt;KAIKIN_VL&gt;1055&lt;/KAIKIN_VL&gt;&lt;INTAX_VL&gt;1160&lt;/INTAX_VL&gt;&lt;KAIGEN_VL&gt;0&lt;/KAIGEN_VL&gt;&lt;IRO_CD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</si>
  <si>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48&lt;/TORIHIKIMS_NB&gt;&lt;LBUNRUI_CD&gt;44&lt;/LBUNRUI_CD&gt;&lt;MBUNRUI_CD&gt;4404&lt;/MBUNRUI_CD&gt;&lt;SBUNRUI_CD&gt;440401&lt;/SBUNRUI_CD&gt;&lt;TANPIN_CD&gt;44002556&lt;/TANPIN_CD&gt;&lt;SYOHIN_NA&gt;ｽｰﾊﾟｰﾄﾞﾗｲ6P&lt;/SYOHIN_NA&gt;&lt;KAIAGE_QT&gt;1&lt;/KAIAGE_QT&gt;&lt;KAIKIN_VL&gt;1055&lt;/KAIKIN_VL&gt;&lt;INTAX_VL&gt;0&lt;/INTAX_VL&gt;&lt;KAIGEN_VL&gt;0&lt;/KAIGEN_VL&gt;&lt;PTARGET_FG&gt;1&lt;/PTARGET_FG&gt;&lt;BARGEN_FG&gt;0&lt;/BARGEN_FG&gt;&lt;/TRADE_LINE&gt;</t>
  </si>
  <si>
    <t>48:その他酒</t>
  </si>
  <si>
    <t>&lt;TRADE_LINE&gt;&lt;TORIHIKIMS_NB&gt;71&lt;/TORIHIKIMS_NB&gt;&lt;LBUNRUI_CD&gt;48&lt;/LBUNRUI_CD&gt;&lt;MBUNRUI_CD&gt;4803&lt;/MBUNRUI_CD&gt;&lt;SBUNRUI_CD&gt;480301&lt;/SBUNRUI_CD&gt;&lt;MAKER_CD /&gt;&lt;TANPIN_CD&gt;0000048001554&lt;/TANPIN_CD&gt;&lt;SYOHIN_NA&gt;ﾄﾞﾗｲｾﾞﾛ6ｶﾝ&lt;/SYOHIN_NA&gt;&lt;KAIAGE_QT&gt;1&lt;/KAIAGE_QT&gt;&lt;KAIPRICE_FG /&gt;&lt;KAIKIN_VL&gt;569&lt;/KAIKIN_VL&gt;&lt;INTAX_VL&gt;614&lt;/INTAX_VL&gt;&lt;KAIGEN_VL&gt;0&lt;/KAIGEN_VL&gt;&lt;IRO_CD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</si>
  <si>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52&lt;/TORIHIKIMS_NB&gt;&lt;LBUNRUI_CD&gt;48&lt;/LBUNRUI_CD&gt;&lt;MBUNRUI_CD&gt;4803&lt;/MBUNRUI_CD&gt;&lt;SBUNRUI_CD&gt;480301&lt;/SBUNRUI_CD&gt;&lt;TANPIN_CD&gt;48001554&lt;/TANPIN_CD&gt;&lt;SYOHIN_NA&gt;ﾄﾞﾗｲｾﾞﾛ6ｶﾝ&lt;/SYOHIN_NA&gt;&lt;KAIAGE_QT&gt;1&lt;/KAIAGE_QT&gt;&lt;KAIKIN_VL&gt;569&lt;/KAIKIN_VL&gt;&lt;INTAX_VL&gt;0&lt;/INTAX_VL&gt;&lt;KAIGEN_VL&gt;0&lt;/KAIGEN_VL&gt;&lt;PTARGET_FG&gt;1&lt;/PTARGET_FG&gt;&lt;BARGEN_FG&gt;0&lt;/BARGEN_FG&gt;&lt;/TRADE_LINE&gt;</t>
  </si>
  <si>
    <t>14:タハ゛コ</t>
  </si>
  <si>
    <t>※</t>
  </si>
  <si>
    <t>&lt;TRADE_LINE&gt;&lt;TORIHIKIMS_NB&gt;70&lt;/TORIHIKIMS_NB&gt;&lt;LBUNRUI_CD&gt;14&lt;/LBUNRUI_CD&gt;&lt;MBUNRUI_CD&gt;1474&lt;/MBUNRUI_CD&gt;&lt;SBUNRUI_CD&gt;147401&lt;/SBUNRUI_CD&gt;&lt;MAKER_CD /&gt;&lt;TANPIN_CD&gt;0000014000059&lt;/TANPIN_CD&gt;&lt;SYOHIN_NA&gt;ﾀﾊﾞｺ&lt;/SYOHIN_NA&gt;&lt;KAIAGE_QT&gt;1&lt;/KAIAGE_QT&gt;&lt;KAIPRICE_FG /&gt;&lt;KAIKIN_VL&gt;600&lt;/KAIKIN_VL&gt;&lt;INTAX_VL&gt;600&lt;/INTAX_VL&gt;&lt;KAIGEN_VL&gt;0&lt;/KAIGEN_VL&gt;&lt;IRO_CD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</si>
  <si>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54&lt;/TORIHIKIMS_NB&gt;&lt;LBUNRUI_CD&gt;14&lt;/LBUNRUI_CD&gt;&lt;MBUNRUI_CD&gt;1474&lt;/MBUNRUI_CD&gt;&lt;SBUNRUI_CD&gt;147401&lt;/SBUNRUI_CD&gt;&lt;TANPIN_CD&gt;14000059&lt;/TANPIN_CD&gt;&lt;SYOHIN_NA&gt;ﾀﾊﾞｺ&lt;/SYOHIN_NA&gt;&lt;KAIAGE_QT&gt;1&lt;/KAIAGE_QT&gt;&lt;KAIKIN_VL&gt;600&lt;/KAIKIN_VL&gt;&lt;INTAX_VL&gt;54&lt;/INTAX_VL&gt;&lt;KAIGEN_VL&gt;0&lt;/KAIGEN_VL&gt;&lt;PTARGET_FG&gt;1&lt;/PTARGET_FG&gt;&lt;BARGEN_FG&gt;0&lt;/BARGEN_FG&gt;&lt;/TRADE_LINE&gt;</t>
  </si>
  <si>
    <t>&lt;TRADE_LINE&gt;&lt;TORIHIKIMS_NB&gt;69&lt;/TORIHIKIMS_NB&gt;&lt;LBUNRUI_CD&gt;14&lt;/LBUNRUI_CD&gt;&lt;MBUNRUI_CD&gt;1474&lt;/MBUNRUI_CD&gt;&lt;SBUNRUI_CD&gt;147402&lt;/SBUNRUI_CD&gt;&lt;MAKER_CD /&gt;&lt;TANPIN_CD&gt;0000014010887&lt;/TANPIN_CD&gt;&lt;SYOHIN_NA&gt;ﾃﾘｱM&lt;/SYOHIN_NA&gt;&lt;KAIAGE_QT&gt;1&lt;/KAIAGE_QT&gt;&lt;KAIPRICE_FG /&gt;&lt;KAIKIN_VL&gt;580&lt;/KAIKIN_VL&gt;&lt;INTAX_VL&gt;580&lt;/INTAX_VL&gt;&lt;KAIGEN_VL&gt;0&lt;/KAIGEN_VL&gt;&lt;IRO_CD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</si>
  <si>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58&lt;/TORIHIKIMS_NB&gt;&lt;LBUNRUI_CD&gt;14&lt;/LBUNRUI_CD&gt;&lt;MBUNRUI_CD&gt;1474&lt;/MBUNRUI_CD&gt;&lt;SBUNRUI_CD&gt;147402&lt;/SBUNRUI_CD&gt;&lt;TANPIN_CD&gt;14010887&lt;/TANPIN_CD&gt;&lt;SYOHIN_NA&gt;ﾃﾘｱM&lt;/SYOHIN_NA&gt;&lt;KAIAGE_QT&gt;1&lt;/KAIAGE_QT&gt;&lt;KAIKIN_VL&gt;580&lt;/KAIKIN_VL&gt;&lt;INTAX_VL&gt;53&lt;/INTAX_VL&gt;&lt;KAIGEN_VL&gt;0&lt;/KAIGEN_VL&gt;&lt;PTARGET_FG&gt;1&lt;/PTARGET_FG&gt;&lt;BARGEN_FG&gt;0&lt;/BARGEN_FG&gt;&lt;/TRADE_LINE&gt;</t>
  </si>
  <si>
    <t>46:地域指定用品</t>
  </si>
  <si>
    <t xml:space="preserve">        subtotal_discount_unit_price: ￥25,</t>
  </si>
  <si>
    <t>&lt;TRADE_LINE&gt;&lt;TORIHIKIMS_NB&gt;68&lt;/TORIHIKIMS_NB&gt;&lt;LBUNRUI_CD&gt;46&lt;/LBUNRUI_CD&gt;&lt;MBUNRUI_CD&gt;4601&lt;/MBUNRUI_CD&gt;&lt;SBUNRUI_CD&gt;460102&lt;/SBUNRUI_CD&gt;&lt;MAKER_CD /&gt;&lt;TANPIN_CD&gt;0000046001433&lt;/TANPIN_CD&gt;&lt;SYOHIN_NA&gt;ｺﾞﾐﾌﾞｸﾛ20&lt;/SYOHIN_NA&gt;&lt;KAIAGE_QT&gt;1&lt;/KAIAGE_QT&gt;&lt;KAIPRICE_FG /&gt;&lt;KAIKIN_VL&gt;400&lt;/KAIKIN_VL&gt;&lt;INTAX_VL&gt;400&lt;/INTAX_VL&gt;&lt;KAIGEN_VL&gt;0&lt;/KAIGEN_VL&gt;&lt;IRO_CD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</si>
  <si>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60&lt;/TORIHIKIMS_NB&gt;&lt;LBUNRUI_CD&gt;46&lt;/LBUNRUI_CD&gt;&lt;MBUNRUI_CD&gt;4601&lt;/MBUNRUI_CD&gt;&lt;SBUNRUI_CD&gt;460102&lt;/SBUNRUI_CD&gt;&lt;TANPIN_CD&gt;46001433&lt;/TANPIN_CD&gt;&lt;SYOHIN_NA&gt;ｺﾞﾐﾌﾞｸﾛ20&lt;/SYOHIN_NA&gt;&lt;KAIAGE_QT&gt;1&lt;/KAIAGE_QT&gt;&lt;KAIKIN_VL&gt;400&lt;/KAIKIN_VL&gt;&lt;INTAX_VL&gt;36&lt;/INTAX_VL&gt;&lt;KAIGEN_VL&gt;0&lt;/KAIGEN_VL&gt;&lt;PTARGET_FG&gt;1&lt;/PTARGET_FG&gt;&lt;BARGEN_FG&gt;0&lt;/BARGEN_FG&gt;&lt;/TRADE_LINE&gt;</t>
  </si>
  <si>
    <t>58:非課税商品</t>
  </si>
  <si>
    <t xml:space="preserve">        subtotal_discount_fmt: -￥25</t>
  </si>
  <si>
    <t>&lt;TRADE_LINE&gt;&lt;TORIHIKIMS_NB&gt;67&lt;/TORIHIKIMS_NB&gt;&lt;LBUNRUI_CD&gt;58&lt;/LBUNRUI_CD&gt;&lt;MBUNRUI_CD&gt;5801&lt;/MBUNRUI_CD&gt;&lt;SBUNRUI_CD&gt;580197&lt;/SBUNRUI_CD&gt;&lt;MAKER_CD /&gt;&lt;TANPIN_CD&gt;0000058001051&lt;/TANPIN_CD&gt;&lt;SYOHIN_NA&gt;ﾊｶﾞｷ&lt;/SYOHIN_NA&gt;&lt;KAIAGE_QT&gt;1&lt;/KAIAGE_QT&gt;&lt;KAIPRICE_FG /&gt;&lt;KAIKIN_VL&gt;85&lt;/KAIKIN_VL&gt;&lt;INTAX_VL&gt;85&lt;/INTAX_VL&gt;&lt;KAIGEN_VL&gt;0&lt;/KAIGEN_VL&gt;&lt;IRO_CD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</si>
  <si>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62&lt;/TORIHIKIMS_NB&gt;&lt;LBUNRUI_CD&gt;58&lt;/LBUNRUI_CD&gt;&lt;MBUNRUI_CD&gt;5801&lt;/MBUNRUI_CD&gt;&lt;SBUNRUI_CD&gt;580197&lt;/SBUNRUI_CD&gt;&lt;TANPIN_CD&gt;58001051&lt;/TANPIN_CD&gt;&lt;SYOHIN_NA&gt;ﾊｶﾞｷ&lt;/SYOHIN_NA&gt;&lt;KAIAGE_QT&gt;1&lt;/KAIAGE_QT&gt;&lt;KAIKIN_VL&gt;85&lt;/KAIKIN_VL&gt;&lt;INTAX_VL&gt;0&lt;/INTAX_VL&gt;&lt;KAIGEN_VL&gt;0&lt;/KAIGEN_VL&gt;&lt;PTARGET_FG&gt;1&lt;/PTARGET_FG&gt;&lt;BARGEN_FG&gt;0&lt;/BARGEN_FG&gt;&lt;/TRADE_LINE&gt;</t>
  </si>
  <si>
    <t>59:商品券</t>
  </si>
  <si>
    <t>&lt;TRADE_LINE&gt;&lt;TORIHIKIMS_NB&gt;66&lt;/TORIHIKIMS_NB&gt;&lt;LBUNRUI_CD&gt;59&lt;/LBUNRUI_CD&gt;&lt;MAKER_CD /&gt;&lt;TANPIN_CD&gt;0000059000007&lt;/TANPIN_CD&gt;&lt;SYOHIN_NA&gt;ｼﾖｳﾋﾝｹﾝ 1000&lt;/SYOHIN_NA&gt;&lt;KAIAGE_QT&gt;1&lt;/KAIAGE_QT&gt;&lt;KAIPRICE_FG /&gt;&lt;KAIKIN_VL&gt;1000&lt;/KAIKIN_VL&gt;&lt;INTAX_VL&gt;1000&lt;/INTAX_VL&gt;&lt;KAIGEN_VL&gt;0&lt;/KAIGEN_VL&gt;&lt;IRO_CD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</si>
  <si>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&lt;TRADE_LINE&gt;&lt;TORIHIKIMS_NB&gt;65&lt;/TORIHIKIMS_NB&gt;&lt;LBUNRUI_CD&gt;59&lt;/LBUNRUI_CD&gt;&lt;MBUNRUI_CD&gt;5900&lt;/MBUNRUI_CD&gt;&lt;SBUNRUI_CD&gt;590000&lt;/SBUNRUI_CD&gt;&lt;TANPIN_CD&gt;59000007&lt;/TANPIN_CD&gt;&lt;SYOHIN_NA&gt;ｼﾖｳﾋﾝｹﾝ 1000&lt;/SYOHIN_NA&gt;&lt;KAIAGE_QT&gt;1&lt;/KAIAGE_QT&gt;&lt;KAIKIN_VL&gt;1000&lt;/KAIKIN_VL&gt;&lt;INTAX_VL&gt;0&lt;/INTAX_VL&gt;&lt;KAIGEN_VL&gt;0&lt;/KAIGEN_VL&gt;&lt;PTARGET_FG&gt;1&lt;/PTARGET_FG&gt;&lt;BARGEN_FG&gt;0&lt;/BARGEN_FG&gt;&lt;/TRADE_LINE&gt;</t>
  </si>
  <si>
    <t>&lt;TRADE_LINE&gt;&lt;TORIHIKIMS_NB&gt;65&lt;/TORIHIKIMS_NB&gt;&lt;LBUNRUI_CD&gt;58&lt;/LBUNRUI_CD&gt;&lt;MBUNRUI_CD&gt;5801&lt;/MBUNRUI_CD&gt;&lt;SBUNRUI_CD&gt;580101&lt;/SBUNRUI_CD&gt;&lt;MAKER_CD /&gt;&lt;TANPIN_CD&gt;0000058010033&lt;/TANPIN_CD&gt;&lt;SYOHIN_NA&gt;ﾋﾞｰﾙｷﾞﾌﾄｹﾝｶﾝ&lt;/SYOHIN_NA&gt;&lt;KAIAGE_QT&gt;1&lt;/KAIAGE_QT&gt;&lt;KAIPRICE_FG /&gt;&lt;KAIKIN_VL&gt;560&lt;/KAIKIN_VL&gt;&lt;INTAX_VL&gt;560&lt;/INTAX_VL&gt;&lt;KAIGEN_VL&gt;0&lt;/KAIGEN_VL&gt;&lt;IRO_CD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</si>
  <si>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67&lt;/TORIHIKIMS_NB&gt;&lt;LBUNRUI_CD&gt;58&lt;/LBUNRUI_CD&gt;&lt;MBUNRUI_CD&gt;5801&lt;/MBUNRUI_CD&gt;&lt;SBUNRUI_CD&gt;580101&lt;/SBUNRUI_CD&gt;&lt;TANPIN_CD&gt;58010033&lt;/TANPIN_CD&gt;&lt;SYOHIN_NA&gt;ﾋﾞｰﾙｷﾞﾌﾄｹﾝｶﾝ&lt;/SYOHIN_NA&gt;&lt;KAIAGE_QT&gt;1&lt;/KAIAGE_QT&gt;&lt;KAIKIN_VL&gt;560&lt;/KAIKIN_VL&gt;&lt;INTAX_VL&gt;0&lt;/INTAX_VL&gt;&lt;KAIGEN_VL&gt;0&lt;/KAIGEN_VL&gt;&lt;PTARGET_FG&gt;1&lt;/PTARGET_FG&gt;&lt;BARGEN_FG&gt;0&lt;/BARGEN_FG&gt;&lt;/TRADE_LINE&gt;</t>
  </si>
  <si>
    <t xml:space="preserve">        subtotal_discountl_no: 5,</t>
  </si>
  <si>
    <t>&lt;TRADE_LINE&gt;&lt;TORIHIKIMS_NB&gt;64&lt;/TORIHIKIMS_NB&gt;&lt;LBUNRUI_CD&gt;58&lt;/LBUNRUI_CD&gt;&lt;MBUNRUI_CD&gt;5801&lt;/MBUNRUI_CD&gt;&lt;SBUNRUI_CD&gt;580101&lt;/SBUNRUI_CD&gt;&lt;MAKER_CD /&gt;&lt;TANPIN_CD&gt;0000058010025&lt;/TANPIN_CD&gt;&lt;SYOHIN_NA&gt;ﾋﾞｰﾙｷﾞﾌﾄｹﾝﾋﾞ&lt;/SYOHIN_NA&gt;&lt;KAIAGE_QT&gt;1&lt;/KAIAGE_QT&gt;&lt;KAIPRICE_FG /&gt;&lt;KAIKIN_VL&gt;915&lt;/KAIKIN_VL&gt;&lt;INTAX_VL&gt;915&lt;/INTAX_VL&gt;&lt;KAIGEN_VL&gt;0&lt;/KAIGEN_VL&gt;&lt;IRO_CD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</si>
  <si>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69&lt;/TORIHIKIMS_NB&gt;&lt;LBUNRUI_CD&gt;58&lt;/LBUNRUI_CD&gt;&lt;MBUNRUI_CD&gt;5801&lt;/MBUNRUI_CD&gt;&lt;SBUNRUI_CD&gt;580101&lt;/SBUNRUI_CD&gt;&lt;TANPIN_CD&gt;58010025&lt;/TANPIN_CD&gt;&lt;SYOHIN_NA&gt;ﾋﾞｰﾙｷﾞﾌﾄｹﾝﾋﾞ&lt;/SYOHIN_NA&gt;&lt;KAIAGE_QT&gt;1&lt;/KAIAGE_QT&gt;&lt;KAIKIN_VL&gt;915&lt;/KAIKIN_VL&gt;&lt;INTAX_VL&gt;0&lt;/INTAX_VL&gt;&lt;KAIGEN_VL&gt;0&lt;/KAIGEN_VL&gt;&lt;PTARGET_FG&gt;1&lt;/PTARGET_FG&gt;&lt;BARGEN_FG&gt;0&lt;/BARGEN_FG&gt;&lt;/TRADE_LINE&gt;</t>
  </si>
  <si>
    <t xml:space="preserve">        subtotal_discountl_name: ポイント利用,</t>
  </si>
  <si>
    <t>&lt;TRADE_LINE&gt;&lt;TORIHIKIMS_NB&gt;63&lt;/TORIHIKIMS_NB&gt;&lt;LBUNRUI_CD&gt;58&lt;/LBUNRUI_CD&gt;&lt;MBUNRUI_CD&gt;5801&lt;/MBUNRUI_CD&gt;&lt;SBUNRUI_CD&gt;580101&lt;/SBUNRUI_CD&gt;&lt;MAKER_CD /&gt;&lt;TANPIN_CD&gt;0000058000330&lt;/TANPIN_CD&gt;&lt;SYOHIN_NA&gt;ｵｺﾒ ｷﾞﾌﾄｹﾝ&lt;/SYOHIN_NA&gt;&lt;KAIAGE_QT&gt;1&lt;/KAIAGE_QT&gt;&lt;KAIPRICE_FG /&gt;&lt;KAIKIN_VL&gt;500&lt;/KAIKIN_VL&gt;&lt;INTAX_VL&gt;500&lt;/INTAX_VL&gt;&lt;KAIGEN_VL&gt;0&lt;/KAIGEN_VL&gt;&lt;IRO_CD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</si>
  <si>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&lt;TRADE_LINE&gt;&lt;TORIHIKIMS_NB&gt;71&lt;/TORIHIKIMS_NB&gt;&lt;LBUNRUI_CD&gt;58&lt;/LBUNRUI_CD&gt;&lt;MBUNRUI_CD&gt;5801&lt;/MBUNRUI_CD&gt;&lt;SBUNRUI_CD&gt;580101&lt;/SBUNRUI_CD&gt;&lt;TANPIN_CD&gt;58000330&lt;/TANPIN_CD&gt;&lt;SYOHIN_NA&gt;ｵｺﾒ ｷﾞﾌﾄｹﾝ&lt;/SYOHIN_NA&gt;&lt;KAIAGE_QT&gt;1&lt;/KAIAGE_QT&gt;&lt;KAIKIN_VL&gt;500&lt;/KAIKIN_VL&gt;&lt;INTAX_VL&gt;0&lt;/INTAX_VL&gt;&lt;KAIGEN_VL&gt;0&lt;/KAIGEN_VL&gt;&lt;PTARGET_FG&gt;1&lt;/PTARGET_FG&gt;&lt;BARGEN_FG&gt;0&lt;/BARGEN_FG&gt;&lt;/TRADE_LINE&gt;</t>
  </si>
  <si>
    <t xml:space="preserve">        subtotal_discountl_code: point,</t>
  </si>
  <si>
    <t>&lt;TRADE_LINE&gt;&lt;TORIHIKIMS_NB&gt;62&lt;/TORIHIKIMS_NB&gt;&lt;LBUNRUI_CD&gt;11&lt;/LBUNRUI_CD&gt;&lt;MBUNRUI_CD&gt;1152&lt;/MBUNRUI_CD&gt;&lt;SBUNRUI_CD&gt;115201&lt;/SBUNRUI_CD&gt;&lt;MAKER_CD /&gt;&lt;TANPIN_CD&gt;0000011521694&lt;/TANPIN_CD&gt;&lt;SYOHIN_NA&gt;ﾌﾞﾛﾂｺﾘｰ&lt;/SYOHIN_NA&gt;&lt;KAIAGE_QT&gt;1&lt;/KAIAGE_QT&gt;&lt;KAIPRICE_FG /&gt;&lt;KAIKIN_VL&gt;341&lt;/KAIKIN_VL&gt;&lt;INTAX_VL&gt;368&lt;/INTAX_VL&gt;&lt;KAIGEN_VL&gt;0&lt;/KAIGEN_VL&gt;&lt;IRO_CD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</si>
  <si>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73&lt;/TORIHIKIMS_NB&gt;&lt;LBUNRUI_CD&gt;11&lt;/LBUNRUI_CD&gt;&lt;MBUNRUI_CD&gt;1152&lt;/MBUNRUI_CD&gt;&lt;SBUNRUI_CD&gt;115201&lt;/SBUNRUI_CD&gt;&lt;TANPIN_CD&gt;11521694&lt;/TANPIN_CD&gt;&lt;SYOHIN_NA&gt;ﾌﾞﾛﾂｺﾘｰ&lt;/SYOHIN_NA&gt;&lt;KAIAGE_QT&gt;1&lt;/KAIAGE_QT&gt;&lt;KAIKIN_VL&gt;341&lt;/KAIKIN_VL&gt;&lt;INTAX_VL&gt;0&lt;/INTAX_VL&gt;&lt;KAIGEN_VL&gt;0&lt;/KAIGEN_VL&gt;&lt;PTARGET_FG&gt;1&lt;/PTARGET_FG&gt;&lt;BARGEN_FG&gt;0&lt;/BARGEN_FG&gt;&lt;/TRADE_LINE&gt;</t>
  </si>
  <si>
    <t>&lt;TRADE_LINE&gt;&lt;TORIHIKIMS_NB&gt;61&lt;/TORIHIKIMS_NB&gt;&lt;LBUNRUI_CD&gt;07&lt;/LBUNRUI_CD&gt;&lt;MBUNRUI_CD&gt;0788&lt;/MBUNRUI_CD&gt;&lt;SBUNRUI_CD&gt;078801&lt;/SBUNRUI_CD&gt;&lt;MAKER_CD /&gt;&lt;TANPIN_CD&gt;0000007880006&lt;/TANPIN_CD&gt;&lt;SYOHIN_NA&gt;&amp;gt;ﾚｼﾞﾌﾞｸﾛ&lt;/SYOHIN_NA&gt;&lt;KAIAGE_QT&gt;1&lt;/KAIAGE_QT&gt;&lt;KAIPRICE_FG /&gt;&lt;KAIKIN_VL&gt;0&lt;/KAIKIN_VL&gt;&lt;INTAX_VL&gt;0&lt;/INTAX_VL&gt;&lt;KAIGEN_VL&gt;0&lt;/KAIGEN_VL&gt;&lt;IRO_CD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</si>
  <si>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74&lt;/TORIHIKIMS_NB&gt;&lt;LBUNRUI_CD&gt;07&lt;/LBUNRUI_CD&gt;&lt;MBUNRUI_CD&gt;0788&lt;/MBUNRUI_CD&gt;&lt;SBUNRUI_CD&gt;078801&lt;/SBUNRUI_CD&gt;&lt;TANPIN_CD&gt;07880006&lt;/TANPIN_CD&gt;&lt;SYOHIN_NA&gt;ﾚｼﾞﾌﾞｸﾛ&lt;/SYOHIN_NA&gt;&lt;KAIAGE_QT&gt;1&lt;/KAIAGE_QT&gt;&lt;KAIKIN_VL&gt;5&lt;/KAIKIN_VL&gt;&lt;INTAX_VL&gt;0&lt;/INTAX_VL&gt;&lt;KAIGEN_VL&gt;0&lt;/KAIGEN_VL&gt;&lt;PTARGET_FG&gt;1&lt;/PTARGET_FG&gt;&lt;BARGEN_FG&gt;0&lt;/BARGEN_FG&gt;&lt;/TRADE_LINE&gt;</t>
  </si>
  <si>
    <t xml:space="preserve">        subtotal_discount_unit_price: ￥4,999,</t>
  </si>
  <si>
    <t>&lt;TRADE_LINE&gt;&lt;TORIHIKIMS_NB&gt;60&lt;/TORIHIKIMS_NB&gt;&lt;LBUNRUI_CD&gt;12&lt;/LBUNRUI_CD&gt;&lt;MBUNRUI_CD&gt;1241&lt;/MBUNRUI_CD&gt;&lt;SBUNRUI_CD&gt;124101&lt;/SBUNRUI_CD&gt;&lt;MAKER_CD /&gt;&lt;TANPIN_CD&gt;0000012125032&lt;/TANPIN_CD&gt;&lt;SYOHIN_NA&gt;ｴﾎﾞﾙﾀﾈｵ ﾀﾝ3&lt;/SYOHIN_NA&gt;&lt;KAIAGE_QT&gt;1&lt;/KAIAGE_QT&gt;&lt;KAIPRICE_FG /&gt;&lt;KAIKIN_VL&gt;1035&lt;/KAIKIN_VL&gt;&lt;INTAX_VL&gt;1138&lt;/INTAX_VL&gt;&lt;KAIGEN_VL&gt;0&lt;/KAIGEN_VL&gt;&lt;IRO_CD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</si>
  <si>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&lt;TRADE_LINE&gt;&lt;TORIHIKIMS_NB&gt;78&lt;/TORIHIKIMS_NB&gt;&lt;LBUNRUI_CD&gt;12&lt;/LBUNRUI_CD&gt;&lt;MBUNRUI_CD&gt;1241&lt;/MBUNRUI_CD&gt;&lt;SBUNRUI_CD&gt;124101&lt;/SBUNRUI_CD&gt;&lt;TANPIN_CD&gt;12125032&lt;/TANPIN_CD&gt;&lt;SYOHIN_NA&gt;ｴﾎﾞﾙﾀﾈｵ ﾀﾝ3&lt;/SYOHIN_NA&gt;&lt;KAIAGE_QT&gt;1&lt;/KAIAGE_QT&gt;&lt;KAIKIN_VL&gt;1035&lt;/KAIKIN_VL&gt;&lt;INTAX_VL&gt;0&lt;/INTAX_VL&gt;&lt;KAIGEN_VL&gt;0&lt;/KAIGEN_VL&gt;&lt;PTARGET_FG&gt;1&lt;/PTARGET_FG&gt;&lt;BARGEN_FG&gt;0&lt;/BARGEN_FG&gt;&lt;/TRADE_LINE&gt;</t>
  </si>
  <si>
    <t xml:space="preserve">        subtotal_discount_fmt: -￥4999</t>
  </si>
  <si>
    <t>&lt;TRADE_LINE&gt;&lt;TORIHIKIMS_NB&gt;59&lt;/TORIHIKIMS_NB&gt;&lt;LBUNRUI_CD&gt;10&lt;/LBUNRUI_CD&gt;&lt;MBUNRUI_CD&gt;1040&lt;/MBUNRUI_CD&gt;&lt;SBUNRUI_CD&gt;104006&lt;/SBUNRUI_CD&gt;&lt;MAKER_CD /&gt;&lt;TANPIN_CD&gt;0000010401008&lt;/TANPIN_CD&gt;&lt;SYOHIN_NA&gt;ﾅﾝｺｳﾊﾞｲｼｿ&lt;/SYOHIN_NA&gt;&lt;KAIAGE_QT&gt;1&lt;/KAIAGE_QT&gt;&lt;KAIPRICE_FG /&gt;&lt;KAIKIN_VL&gt;455&lt;/KAIKIN_VL&gt;&lt;INTAX_VL&gt;491&lt;/INTAX_VL&gt;&lt;KAIGEN_VL&gt;0&lt;/KAIGEN_VL&gt;&lt;IRO_CD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</si>
  <si>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77&lt;/TORIHIKIMS_NB&gt;&lt;LBUNRUI_CD&gt;10&lt;/LBUNRUI_CD&gt;&lt;MBUNRUI_CD&gt;1040&lt;/MBUNRUI_CD&gt;&lt;SBUNRUI_CD&gt;104006&lt;/SBUNRUI_CD&gt;&lt;TANPIN_CD&gt;10401008&lt;/TANPIN_CD&gt;&lt;SYOHIN_NA&gt;ﾅﾝｺｳﾊﾞｲｼｿ&lt;/SYOHIN_NA&gt;&lt;KAIAGE_QT&gt;1&lt;/KAIAGE_QT&gt;&lt;KAIKIN_VL&gt;455&lt;/KAIKIN_VL&gt;&lt;INTAX_VL&gt;0&lt;/INTAX_VL&gt;&lt;KAIGEN_VL&gt;0&lt;/KAIGEN_VL&gt;&lt;PTARGET_FG&gt;1&lt;/PTARGET_FG&gt;&lt;BARGEN_FG&gt;0&lt;/BARGEN_FG&gt;&lt;/TRADE_LINE&gt;</t>
  </si>
  <si>
    <t xml:space="preserve">      }</t>
  </si>
  <si>
    <t>&lt;TRADE_LINE&gt;&lt;TORIHIKIMS_NB&gt;58&lt;/TORIHIKIMS_NB&gt;&lt;LBUNRUI_CD&gt;10&lt;/LBUNRUI_CD&gt;&lt;MBUNRUI_CD&gt;1040&lt;/MBUNRUI_CD&gt;&lt;SBUNRUI_CD&gt;104002&lt;/SBUNRUI_CD&gt;&lt;MAKER_CD /&gt;&lt;TANPIN_CD&gt;0000010119728&lt;/TANPIN_CD&gt;&lt;SYOHIN_NA&gt;ﾇｶｷﾕｳﾘ&lt;/SYOHIN_NA&gt;&lt;KAIAGE_QT&gt;1&lt;/KAIAGE_QT&gt;&lt;KAIPRICE_FG /&gt;&lt;KAIKIN_VL&gt;246&lt;/KAIKIN_VL&gt;&lt;INTAX_VL&gt;265&lt;/INTAX_VL&gt;&lt;KAIGEN_VL&gt;0&lt;/KAIGEN_VL&gt;&lt;IRO_CD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</si>
  <si>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75&lt;/TORIHIKIMS_NB&gt;&lt;LBUNRUI_CD&gt;10&lt;/LBUNRUI_CD&gt;&lt;MBUNRUI_CD&gt;1040&lt;/MBUNRUI_CD&gt;&lt;SBUNRUI_CD&gt;104002&lt;/SBUNRUI_CD&gt;&lt;TANPIN_CD&gt;10119728&lt;/TANPIN_CD&gt;&lt;SYOHIN_NA&gt;ﾇｶｷﾕｳﾘ&lt;/SYOHIN_NA&gt;&lt;KAIAGE_QT&gt;1&lt;/KAIAGE_QT&gt;&lt;KAIKIN_VL&gt;249&lt;/KAIKIN_VL&gt;&lt;INTAX_VL&gt;0&lt;/INTAX_VL&gt;&lt;KAIGEN_VL&gt;0&lt;/KAIGEN_VL&gt;&lt;PTARGET_FG&gt;1&lt;/PTARGET_FG&gt;&lt;BARGEN_FG&gt;0&lt;/BARGEN_FG&gt;&lt;/TRADE_LINE&gt;</t>
  </si>
  <si>
    <t xml:space="preserve">    ]</t>
  </si>
  <si>
    <t>47:雑誌</t>
  </si>
  <si>
    <t>&lt;TRADE_LINE&gt;&lt;TORIHIKIMS_NB&gt;56&lt;/TORIHIKIMS_NB&gt;&lt;LBUNRUI_CD&gt;47&lt;/LBUNRUI_CD&gt;&lt;MAKER_CD /&gt;&lt;TANPIN_CD&gt;0000047002344&lt;/TANPIN_CD&gt;&lt;SYOHIN_NA&gt;ｻﾞﾂｼ&lt;/SYOHIN_NA&gt;&lt;KAIAGE_QT&gt;1&lt;/KAIAGE_QT&gt;&lt;KAIPRICE_FG /&gt;&lt;KAIKIN_VL&gt;1100&lt;/KAIKIN_VL&gt;&lt;INTAX_VL&gt;1210&lt;/INTAX_VL&gt;&lt;KAIGEN_VL&gt;0&lt;/KAIGEN_VL&gt;&lt;IRO_CD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</si>
  <si>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80&lt;/TORIHIKIMS_NB&gt;&lt;LBUNRUI_CD&gt;47&lt;/LBUNRUI_CD&gt;&lt;MBUNRUI_CD&gt;4700&lt;/MBUNRUI_CD&gt;&lt;SBUNRUI_CD&gt;470000&lt;/SBUNRUI_CD&gt;&lt;TANPIN_CD&gt;47002352&lt;/TANPIN_CD&gt;&lt;SYOHIN_NA&gt;ｻﾞﾂｼ&lt;/SYOHIN_NA&gt;&lt;KAIAGE_QT&gt;1&lt;/KAIAGE_QT&gt;&lt;KAIKIN_VL&gt;1100&lt;/KAIKIN_VL&gt;&lt;INTAX_VL&gt;0&lt;/INTAX_VL&gt;&lt;KAIGEN_VL&gt;0&lt;/KAIGEN_VL&gt;&lt;PTARGET_FG&gt;1&lt;/PTARGET_FG&gt;&lt;BARGEN_FG&gt;0&lt;/BARGEN_FG&gt;&lt;/TRADE_LINE&gt;</t>
  </si>
  <si>
    <t xml:space="preserve">  items: [</t>
  </si>
  <si>
    <t>&lt;TRADE_LINE&gt;&lt;TORIHIKIMS_NB&gt;55&lt;/TORIHIKIMS_NB&gt;&lt;LBUNRUI_CD&gt;47&lt;/LBUNRUI_CD&gt;&lt;MAKER_CD /&gt;&lt;TANPIN_CD&gt;0000047002344&lt;/TANPIN_CD&gt;&lt;SYOHIN_NA&gt;ｻﾞﾂｼ&lt;/SYOHIN_NA&gt;&lt;KAIAGE_QT&gt;1&lt;/KAIAGE_QT&gt;&lt;KAIPRICE_FG /&gt;&lt;KAIKIN_VL&gt;1980&lt;/KAIKIN_VL&gt;&lt;INTAX_VL&gt;2178&lt;/INTAX_VL&gt;&lt;KAIGEN_VL&gt;0&lt;/KAIGEN_VL&gt;&lt;IRO_CD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</si>
  <si>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79&lt;/TORIHIKIMS_NB&gt;&lt;LBUNRUI_CD&gt;47&lt;/LBUNRUI_CD&gt;&lt;MBUNRUI_CD&gt;4700&lt;/MBUNRUI_CD&gt;&lt;SBUNRUI_CD&gt;470000&lt;/SBUNRUI_CD&gt;&lt;TANPIN_CD&gt;47002352&lt;/TANPIN_CD&gt;&lt;SYOHIN_NA&gt;ｻﾞﾂｼ&lt;/SYOHIN_NA&gt;&lt;KAIAGE_QT&gt;1&lt;/KAIAGE_QT&gt;&lt;KAIKIN_VL&gt;1980&lt;/KAIKIN_VL&gt;&lt;INTAX_VL&gt;0&lt;/INTAX_VL&gt;&lt;KAIGEN_VL&gt;0&lt;/KAIGEN_VL&gt;&lt;PTARGET_FG&gt;1&lt;/PTARGET_FG&gt;&lt;BARGEN_FG&gt;0&lt;/BARGEN_FG&gt;&lt;/TRADE_LINE&gt;</t>
  </si>
  <si>
    <t xml:space="preserve">    {</t>
  </si>
  <si>
    <t>&lt;TRADE_LINE&gt;&lt;TORIHIKIMS_NB&gt;54&lt;/TORIHIKIMS_NB&gt;&lt;LBUNRUI_CD&gt;02&lt;/LBUNRUI_CD&gt;&lt;MBUNRUI_CD&gt;0200&lt;/MBUNRUI_CD&gt;&lt;MAKER_CD /&gt;&lt;SYOHIN_NA&gt;ﾔｻｲ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</si>
  <si>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81&lt;/TORIHIKIMS_NB&gt;&lt;LBUNRUI_CD&gt;02&lt;/LBUNRUI_CD&gt;&lt;MBUNRUI_CD&gt;0200&lt;/MBUNRUI_CD&gt;&lt;SBUNRUI_CD&gt;1&lt;/SBUNRUI_CD&gt;&lt;TANPIN_CD&gt;0200&lt;/TANPIN_CD&gt;&lt;SYOHIN_NA&gt;ﾔｻｲ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</si>
  <si>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item_no: 1,</t>
  </si>
  <si>
    <t>&lt;TRADE_LINE&gt;&lt;TORIHIKIMS_NB&gt;53&lt;/TORIHIKIMS_NB&gt;&lt;LBUNRUI_CD&gt;09&lt;/LBUNRUI_CD&gt;&lt;MBUNRUI_CD&gt;0900&lt;/MBUNRUI_CD&gt;&lt;MAKER_CD /&gt;&lt;SYOHIN_NA&gt;ｸﾀﾞﾓﾉ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</si>
  <si>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82&lt;/TORIHIKIMS_NB&gt;&lt;LBUNRUI_CD&gt;09&lt;/LBUNRUI_CD&gt;&lt;MBUNRUI_CD&gt;0900&lt;/MBUNRUI_CD&gt;&lt;SBUNRUI_CD&gt;1&lt;/SBUNRUI_CD&gt;&lt;TANPIN_CD&gt;0900&lt;/TANPIN_CD&gt;&lt;SYOHIN_NA&gt;ｸﾀﾞﾓﾉ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</si>
  <si>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15:フロ－ラル</t>
  </si>
  <si>
    <t xml:space="preserve">      item_cancel_line: false,</t>
  </si>
  <si>
    <t>&lt;TRADE_LINE&gt;&lt;TORIHIKIMS_NB&gt;52&lt;/TORIHIKIMS_NB&gt;&lt;LBUNRUI_CD&gt;15&lt;/LBUNRUI_CD&gt;&lt;MBUNRUI_CD&gt;1500&lt;/MBUNRUI_CD&gt;&lt;MAKER_CD /&gt;&lt;SYOHIN_NA&gt;ﾊﾅ    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</si>
  <si>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83&lt;/TORIHIKIMS_NB&gt;&lt;LBUNRUI_CD&gt;15&lt;/LBUNRUI_CD&gt;&lt;MBUNRUI_CD&gt;1500&lt;/MBUNRUI_CD&gt;&lt;SBUNRUI_CD&gt;1&lt;/SBUNRUI_CD&gt;&lt;TANPIN_CD&gt;1500&lt;/TANPIN_CD&gt;&lt;SYOHIN_NA&gt;ﾊﾅ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</si>
  <si>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item_manual_discount: false,</t>
  </si>
  <si>
    <t>&lt;TRADE_LINE&gt;&lt;TORIHIKIMS_NB&gt;51&lt;/TORIHIKIMS_NB&gt;&lt;LBUNRUI_CD&gt;04&lt;/LBUNRUI_CD&gt;&lt;MBUNRUI_CD&gt;0400&lt;/MBUNRUI_CD&gt;&lt;MAKER_CD /&gt;&lt;SYOHIN_NA&gt;ｾﾝｷﾞｮ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</si>
  <si>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84&lt;/TORIHIKIMS_NB&gt;&lt;LBUNRUI_CD&gt;04&lt;/LBUNRUI_CD&gt;&lt;MBUNRUI_CD&gt;0400&lt;/MBUNRUI_CD&gt;&lt;SBUNRUI_CD&gt;1&lt;/SBUNRUI_CD&gt;&lt;TANPIN_CD&gt;0400&lt;/TANPIN_CD&gt;&lt;SYOHIN_NA&gt;ｾﾝｷﾞﾖ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</si>
  <si>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item_scan_code: 4901990020534,</t>
  </si>
  <si>
    <t>&lt;TRADE_LINE&gt;&lt;TORIHIKIMS_NB&gt;50&lt;/TORIHIKIMS_NB&gt;&lt;LBUNRUI_CD&gt;06&lt;/LBUNRUI_CD&gt;&lt;MBUNRUI_CD&gt;0600&lt;/MBUNRUI_CD&gt;&lt;MAKER_CD /&gt;&lt;SYOHIN_NA&gt;ｴﾝｶﾝ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</si>
  <si>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85&lt;/TORIHIKIMS_NB&gt;&lt;LBUNRUI_CD&gt;06&lt;/LBUNRUI_CD&gt;&lt;MBUNRUI_CD&gt;0600&lt;/MBUNRUI_CD&gt;&lt;SBUNRUI_CD&gt;1&lt;/SBUNRUI_CD&gt;&lt;TANPIN_CD&gt;0600&lt;/TANPIN_CD&gt;&lt;SYOHIN_NA&gt;ｴﾝｶ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</si>
  <si>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item_code: 4901990020534,</t>
  </si>
  <si>
    <t>&lt;TRADE_LINE&gt;&lt;TORIHIKIMS_NB&gt;49&lt;/TORIHIKIMS_NB&gt;&lt;LBUNRUI_CD&gt;05&lt;/LBUNRUI_CD&gt;&lt;MBUNRUI_CD&gt;0500&lt;/MBUNRUI_CD&gt;&lt;MAKER_CD /&gt;&lt;SYOHIN_NA&gt;ｾｲﾆｸ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</si>
  <si>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86&lt;/TORIHIKIMS_NB&gt;&lt;LBUNRUI_CD&gt;05&lt;/LBUNRUI_CD&gt;&lt;MBUNRUI_CD&gt;0500&lt;/MBUNRUI_CD&gt;&lt;SBUNRUI_CD&gt;1&lt;/SBUNRUI_CD&gt;&lt;TANPIN_CD&gt;0500&lt;/TANPIN_CD&gt;&lt;SYOHIN_NA&gt;ｾｲﾆｸ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</si>
  <si>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item_plu: 0000008002452,</t>
  </si>
  <si>
    <t>&lt;TRADE_LINE&gt;&lt;TORIHIKIMS_NB&gt;48&lt;/TORIHIKIMS_NB&gt;&lt;LBUNRUI_CD&gt;10&lt;/LBUNRUI_CD&gt;&lt;MBUNRUI_CD&gt;1000&lt;/MBUNRUI_CD&gt;&lt;MAKER_CD /&gt;&lt;SYOHIN_NA&gt;ﾃﾞｲﾘ-ｼｮｸﾋﾝ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</si>
  <si>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87&lt;/TORIHIKIMS_NB&gt;&lt;LBUNRUI_CD&gt;10&lt;/LBUNRUI_CD&gt;&lt;MBUNRUI_CD&gt;1000&lt;/MBUNRUI_CD&gt;&lt;SBUNRUI_CD&gt;1&lt;/SBUNRUI_CD&gt;&lt;TANPIN_CD&gt;1000&lt;/TANPIN_CD&gt;&lt;SYOHIN_NA&gt;ﾃﾞｲﾘ-ｼｮｸ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</si>
  <si>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item_category: 08,</t>
  </si>
  <si>
    <t>&lt;TRADE_LINE&gt;&lt;TORIHIKIMS_NB&gt;47&lt;/TORIHIKIMS_NB&gt;&lt;LBUNRUI_CD&gt;11&lt;/LBUNRUI_CD&gt;&lt;MBUNRUI_CD&gt;1100&lt;/MBUNRUI_CD&gt;&lt;MAKER_CD /&gt;&lt;SYOHIN_NA&gt;ﾆｭｳｾｲﾋﾝﾚｲｼｮｸ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</si>
  <si>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88&lt;/TORIHIKIMS_NB&gt;&lt;LBUNRUI_CD&gt;11&lt;/LBUNRUI_CD&gt;&lt;MBUNRUI_CD&gt;1100&lt;/MBUNRUI_CD&gt;&lt;SBUNRUI_CD&gt;1&lt;/SBUNRUI_CD&gt;&lt;TANPIN_CD&gt;1100&lt;/TANPIN_CD&gt;&lt;SYOHIN_NA&gt;ﾆｭｳｾｲﾋﾝﾚｲｼｮｸ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</si>
  <si>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item_category_1: 0801,</t>
  </si>
  <si>
    <t>&lt;TRADE_LINE&gt;&lt;TORIHIKIMS_NB&gt;46&lt;/TORIHIKIMS_NB&gt;&lt;LBUNRUI_CD&gt;34&lt;/LBUNRUI_CD&gt;&lt;MBUNRUI_CD&gt;3400&lt;/MBUNRUI_CD&gt;&lt;MAKER_CD /&gt;&lt;SYOHIN_NA&gt;ﾍﾞ-ｶﾘ-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</si>
  <si>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89&lt;/TORIHIKIMS_NB&gt;&lt;LBUNRUI_CD&gt;34&lt;/LBUNRUI_CD&gt;&lt;MBUNRUI_CD&gt;3400&lt;/MBUNRUI_CD&gt;&lt;SBUNRUI_CD&gt;1&lt;/SBUNRUI_CD&gt;&lt;TANPIN_CD&gt;3400&lt;/TANPIN_CD&gt;&lt;SYOHIN_NA&gt;ﾍﾞ-ｶﾘ-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</si>
  <si>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item_category_2: 080102,</t>
  </si>
  <si>
    <t>&lt;TRADE_LINE&gt;&lt;TORIHIKIMS_NB&gt;45&lt;/TORIHIKIMS_NB&gt;&lt;LBUNRUI_CD&gt;43&lt;/LBUNRUI_CD&gt;&lt;MBUNRUI_CD&gt;4300&lt;/MBUNRUI_CD&gt;&lt;MAKER_CD /&gt;&lt;SYOHIN_NA&gt;ﾎﾞﾝﾏﾀﾝ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</si>
  <si>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90&lt;/TORIHIKIMS_NB&gt;&lt;LBUNRUI_CD&gt;43&lt;/LBUNRUI_CD&gt;&lt;MBUNRUI_CD&gt;4300&lt;/MBUNRUI_CD&gt;&lt;SBUNRUI_CD&gt;1&lt;/SBUNRUI_CD&gt;&lt;TANPIN_CD&gt;4300&lt;/TANPIN_CD&gt;&lt;SYOHIN_NA&gt;ﾎﾞﾝﾏﾀ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</si>
  <si>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item_name: マルちゃん　緑のたぬき　　　　　　　　　,</t>
  </si>
  <si>
    <t>&lt;TRADE_LINE&gt;&lt;TORIHIKIMS_NB&gt;44&lt;/TORIHIKIMS_NB&gt;&lt;LBUNRUI_CD&gt;54&lt;/LBUNRUI_CD&gt;&lt;MBUNRUI_CD&gt;5400&lt;/MBUNRUI_CD&gt;&lt;MAKER_CD /&gt;&lt;SYOHIN_NA&gt;ｺﾒ 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</si>
  <si>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91&lt;/TORIHIKIMS_NB&gt;&lt;LBUNRUI_CD&gt;54&lt;/LBUNRUI_CD&gt;&lt;MBUNRUI_CD&gt;5400&lt;/MBUNRUI_CD&gt;&lt;SBUNRUI_CD&gt;1&lt;/SBUNRUI_CD&gt;&lt;TANPIN_CD&gt;5400&lt;/TANPIN_CD&gt;&lt;SYOHIN_NA&gt;ｺﾒ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</si>
  <si>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item_name_short: ﾐﾄﾞﾘﾉﾀﾇｷ,</t>
  </si>
  <si>
    <t>&lt;TRADE_LINE&gt;&lt;TORIHIKIMS_NB&gt;43&lt;/TORIHIKIMS_NB&gt;&lt;LBUNRUI_CD&gt;14&lt;/LBUNRUI_CD&gt;&lt;MBUNRUI_CD&gt;1400&lt;/MBUNRUI_CD&gt;&lt;MAKER_CD /&gt;&lt;SYOHIN_NA&gt;ﾀﾊﾞｺ                &lt;/SYOHIN_NA&gt;&lt;KAIAGE_QT&gt;1&lt;/KAIAGE_QT&gt;&lt;KAIPRICE_FG /&gt;&lt;KAIKIN_VL&gt;499&lt;/KAIKIN_VL&gt;&lt;INTAX_VL&gt;499&lt;/INTAX_VL&gt;&lt;KAIGEN_VL&gt;0&lt;/KAIGEN_VL&gt;&lt;IRO_CD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</si>
  <si>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92&lt;/TORIHIKIMS_NB&gt;&lt;LBUNRUI_CD&gt;14&lt;/LBUNRUI_CD&gt;&lt;MBUNRUI_CD&gt;1400&lt;/MBUNRUI_CD&gt;&lt;SBUNRUI_CD&gt;1&lt;/SBUNRUI_CD&gt;&lt;TANPIN_CD&gt;1400&lt;/TANPIN_CD&gt;&lt;SYOHIN_NA&gt;ﾀﾊﾞｺ&lt;/SYOHIN_NA&gt;&lt;KAIAGE_QT&gt;1&lt;/KAIAGE_QT&gt;&lt;KAIKIN_VL&gt;499&lt;/KAIKIN_VL&gt;&lt;INTAX_VL&gt;45&lt;/INTAX_VL&gt;&lt;KAIGEN_VL&gt;0&lt;/KAIGEN_VL&gt;&lt;PTARGET_FG&gt;1&lt;/PTARGET_FG&gt;&lt;BARGEN_FG&gt;0&lt;/BARGEN_FG&gt;&lt;/TRADE_LINE&gt;</t>
  </si>
  <si>
    <t xml:space="preserve">      item_unit_price_fmt: ￥169,</t>
  </si>
  <si>
    <t>&lt;TRADE_LINE&gt;&lt;TORIHIKIMS_NB&gt;42&lt;/TORIHIKIMS_NB&gt;&lt;LBUNRUI_CD&gt;01&lt;/LBUNRUI_CD&gt;&lt;MBUNRUI_CD&gt;0100&lt;/MBUNRUI_CD&gt;&lt;MAKER_CD /&gt;&lt;SYOHIN_NA&gt;ｶｼ 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</si>
  <si>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93&lt;/TORIHIKIMS_NB&gt;&lt;LBUNRUI_CD&gt;01&lt;/LBUNRUI_CD&gt;&lt;MBUNRUI_CD&gt;0100&lt;/MBUNRUI_CD&gt;&lt;SBUNRUI_CD&gt;1&lt;/SBUNRUI_CD&gt;&lt;TANPIN_CD&gt;0100&lt;/TANPIN_CD&gt;&lt;SYOHIN_NA&gt;ｶｼ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</si>
  <si>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item_quantity: 1,</t>
  </si>
  <si>
    <t>&lt;TRADE_LINE&gt;&lt;TORIHIKIMS_NB&gt;41&lt;/TORIHIKIMS_NB&gt;&lt;LBUNRUI_CD&gt;03&lt;/LBUNRUI_CD&gt;&lt;MBUNRUI_CD&gt;0300&lt;/MBUNRUI_CD&gt;&lt;MAKER_CD /&gt;&lt;SYOHIN_NA&gt;ｲｯﾊﾟﾝｼｮｸﾋﾝ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</si>
  <si>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94&lt;/TORIHIKIMS_NB&gt;&lt;LBUNRUI_CD&gt;03&lt;/LBUNRUI_CD&gt;&lt;MBUNRUI_CD&gt;0300&lt;/MBUNRUI_CD&gt;&lt;SBUNRUI_CD&gt;1&lt;/SBUNRUI_CD&gt;&lt;TANPIN_CD&gt;0300&lt;/TANPIN_CD&gt;&lt;SYOHIN_NA&gt;ｲﾂﾊﾟﾝｼﾖｸ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</si>
  <si>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item_price_fmt: ￥169,</t>
  </si>
  <si>
    <t>&lt;TRADE_LINE&gt;&lt;TORIHIKIMS_NB&gt;40&lt;/TORIHIKIMS_NB&gt;&lt;LBUNRUI_CD&gt;08&lt;/LBUNRUI_CD&gt;&lt;MBUNRUI_CD&gt;0800&lt;/MBUNRUI_CD&gt;&lt;MAKER_CD /&gt;&lt;SYOHIN_NA&gt;ｶﾝﾌﾞﾂ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</si>
  <si>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95&lt;/TORIHIKIMS_NB&gt;&lt;LBUNRUI_CD&gt;08&lt;/LBUNRUI_CD&gt;&lt;MBUNRUI_CD&gt;0800&lt;/MBUNRUI_CD&gt;&lt;SBUNRUI_CD&gt;1&lt;/SBUNRUI_CD&gt;&lt;TANPIN_CD&gt;0800&lt;/TANPIN_CD&gt;&lt;SYOHIN_NA&gt;ｶﾝﾌﾞﾂ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</si>
  <si>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item_price_discount_fmt: ￥169,</t>
  </si>
  <si>
    <t>&lt;TRADE_LINE&gt;&lt;TORIHIKIMS_NB&gt;39&lt;/TORIHIKIMS_NB&gt;&lt;LBUNRUI_CD&gt;48&lt;/LBUNRUI_CD&gt;&lt;MBUNRUI_CD&gt;4800&lt;/MBUNRUI_CD&gt;&lt;MAKER_CD /&gt;&lt;SYOHIN_NA&gt;ｿﾉﾀｻｹ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</si>
  <si>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96&lt;/TORIHIKIMS_NB&gt;&lt;LBUNRUI_CD&gt;48&lt;/LBUNRUI_CD&gt;&lt;MBUNRUI_CD&gt;4800&lt;/MBUNRUI_CD&gt;&lt;SBUNRUI_CD&gt;1&lt;/SBUNRUI_CD&gt;&lt;TANPIN_CD&gt;4800&lt;/TANPIN_CD&gt;&lt;SYOHIN_NA&gt;ｿﾉﾀｻｹ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</si>
  <si>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item_tax_fmt: 外税8%,</t>
  </si>
  <si>
    <t>&lt;TRADE_LINE&gt;&lt;TORIHIKIMS_NB&gt;38&lt;/TORIHIKIMS_NB&gt;&lt;LBUNRUI_CD&gt;44&lt;/LBUNRUI_CD&gt;&lt;MBUNRUI_CD&gt;4400&lt;/MBUNRUI_CD&gt;&lt;MAKER_CD /&gt;&lt;SYOHIN_NA&gt;ｻｹ                  &lt;/SYOHIN_NA&gt;&lt;KAIAGE_QT&gt;1&lt;/KAIAGE_QT&gt;&lt;KAIPRICE_FG /&gt;&lt;KAIKIN_VL&gt;499&lt;/KAIKIN_VL&gt;&lt;INTAX_VL&gt;548&lt;/INTAX_VL&gt;&lt;KAIGEN_VL&gt;0&lt;/KAIGEN_VL&gt;&lt;IRO_CD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</si>
  <si>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97&lt;/TORIHIKIMS_NB&gt;&lt;LBUNRUI_CD&gt;44&lt;/LBUNRUI_CD&gt;&lt;MBUNRUI_CD&gt;4400&lt;/MBUNRUI_CD&gt;&lt;SBUNRUI_CD&gt;1&lt;/SBUNRUI_CD&gt;&lt;TANPIN_CD&gt;4400&lt;/TANPIN_CD&gt;&lt;SYOHIN_NA&gt;ｻｹ&lt;/SYOHIN_NA&gt;&lt;KAIAGE_QT&gt;1&lt;/KAIAGE_QT&gt;&lt;KAIKIN_VL&gt;499&lt;/KAIKIN_VL&gt;&lt;INTAX_VL&gt;0&lt;/INTAX_VL&gt;&lt;KAIGEN_VL&gt;0&lt;/KAIGEN_VL&gt;&lt;PTARGET_FG&gt;1&lt;/PTARGET_FG&gt;&lt;BARGEN_FG&gt;0&lt;/BARGEN_FG&gt;&lt;/TRADE_LINE&gt;</t>
  </si>
  <si>
    <t xml:space="preserve">      item_eatin: false,</t>
  </si>
  <si>
    <t>&lt;TRADE_LINE&gt;&lt;TORIHIKIMS_NB&gt;37&lt;/TORIHIKIMS_NB&gt;&lt;LBUNRUI_CD&gt;20&lt;/LBUNRUI_CD&gt;&lt;MBUNRUI_CD&gt;2000&lt;/MBUNRUI_CD&gt;&lt;MAKER_CD /&gt;&lt;SYOHIN_NA&gt;ｿｳｻﾞｲ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</si>
  <si>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99&lt;/TORIHIKIMS_NB&gt;&lt;LBUNRUI_CD&gt;20&lt;/LBUNRUI_CD&gt;&lt;MBUNRUI_CD&gt;2000&lt;/MBUNRUI_CD&gt;&lt;SBUNRUI_CD&gt;1&lt;/SBUNRUI_CD&gt;&lt;TANPIN_CD&gt;2000&lt;/TANPIN_CD&gt;&lt;SYOHIN_NA&gt;ｿｳｻﾞｲ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</si>
  <si>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item_age_limit: false,</t>
  </si>
  <si>
    <t>&lt;TRADE_LINE&gt;&lt;TORIHIKIMS_NB&gt;36&lt;/TORIHIKIMS_NB&gt;&lt;LBUNRUI_CD&gt;07&lt;/LBUNRUI_CD&gt;&lt;MBUNRUI_CD&gt;0700&lt;/MBUNRUI_CD&gt;&lt;MAKER_CD /&gt;&lt;SYOHIN_NA&gt;ｻﾞｯｶ  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</si>
  <si>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100&lt;/TORIHIKIMS_NB&gt;&lt;LBUNRUI_CD&gt;07&lt;/LBUNRUI_CD&gt;&lt;MBUNRUI_CD&gt;0700&lt;/MBUNRUI_CD&gt;&lt;SBUNRUI_CD&gt;1&lt;/SBUNRUI_CD&gt;&lt;TANPIN_CD&gt;0700&lt;/TANPIN_CD&gt;&lt;SYOHIN_NA&gt;ｻﾞｯｶ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</si>
  <si>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discount_prohibition: 0,</t>
  </si>
  <si>
    <t>&lt;TRADE_LINE&gt;&lt;TORIHIKIMS_NB&gt;35&lt;/TORIHIKIMS_NB&gt;&lt;LBUNRUI_CD&gt;12&lt;/LBUNRUI_CD&gt;&lt;MBUNRUI_CD&gt;1200&lt;/MBUNRUI_CD&gt;&lt;MAKER_CD /&gt;&lt;SYOHIN_NA&gt;ﾊﾞﾗｴﾃｨ-ｻﾞｯｶ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</si>
  <si>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101&lt;/TORIHIKIMS_NB&gt;&lt;LBUNRUI_CD&gt;12&lt;/LBUNRUI_CD&gt;&lt;MBUNRUI_CD&gt;1200&lt;/MBUNRUI_CD&gt;&lt;SBUNRUI_CD&gt;1&lt;/SBUNRUI_CD&gt;&lt;TANPIN_CD&gt;1200&lt;/TANPIN_CD&gt;&lt;SYOHIN_NA&gt;ﾊﾞﾗｴﾃｨ-ｻﾞｯｶ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</si>
  <si>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self_medication: false,</t>
  </si>
  <si>
    <t>&lt;TRADE_LINE&gt;&lt;TORIHIKIMS_NB&gt;34&lt;/TORIHIKIMS_NB&gt;&lt;LBUNRUI_CD&gt;46&lt;/LBUNRUI_CD&gt;&lt;MBUNRUI_CD&gt;4600&lt;/MBUNRUI_CD&gt;&lt;MAKER_CD /&gt;&lt;SYOHIN_NA&gt;ﾁｲｷｼﾃｲﾖｳﾋﾝ          &lt;/SYOHIN_NA&gt;&lt;KAIAGE_QT&gt;1&lt;/KAIAGE_QT&gt;&lt;KAIPRICE_FG /&gt;&lt;KAIKIN_VL&gt;499&lt;/KAIKIN_VL&gt;&lt;INTAX_VL&gt;499&lt;/INTAX_VL&gt;&lt;KAIGEN_VL&gt;0&lt;/KAIGEN_VL&gt;&lt;IRO_CD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</si>
  <si>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102&lt;/TORIHIKIMS_NB&gt;&lt;LBUNRUI_CD&gt;46&lt;/LBUNRUI_CD&gt;&lt;MBUNRUI_CD&gt;4600&lt;/MBUNRUI_CD&gt;&lt;SBUNRUI_CD&gt;1&lt;/SBUNRUI_CD&gt;&lt;TANPIN_CD&gt;4600&lt;/TANPIN_CD&gt;&lt;SYOHIN_NA&gt;ﾁｲｷｼﾃｲﾖｳﾋﾝ&lt;/SYOHIN_NA&gt;&lt;KAIAGE_QT&gt;1&lt;/KAIAGE_QT&gt;&lt;KAIKIN_VL&gt;499&lt;/KAIKIN_VL&gt;&lt;INTAX_VL&gt;46&lt;/INTAX_VL&gt;&lt;KAIGEN_VL&gt;0&lt;/KAIGEN_VL&gt;&lt;PTARGET_FG&gt;1&lt;/PTARGET_FG&gt;&lt;BARGEN_FG&gt;0&lt;/BARGEN_FG&gt;&lt;/TRADE_LINE&gt;</t>
  </si>
  <si>
    <t xml:space="preserve">      item_discount: []</t>
  </si>
  <si>
    <t>&lt;TRADE_LINE&gt;&lt;TORIHIKIMS_NB&gt;33&lt;/TORIHIKIMS_NB&gt;&lt;LBUNRUI_CD&gt;13&lt;/LBUNRUI_CD&gt;&lt;MBUNRUI_CD&gt;1300&lt;/MBUNRUI_CD&gt;&lt;MAKER_CD /&gt;&lt;SYOHIN_NA&gt;ｲﾘｮｳﾋﾝ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</si>
  <si>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103&lt;/TORIHIKIMS_NB&gt;&lt;LBUNRUI_CD&gt;13&lt;/LBUNRUI_CD&gt;&lt;MBUNRUI_CD&gt;1300&lt;/MBUNRUI_CD&gt;&lt;SBUNRUI_CD&gt;1&lt;/SBUNRUI_CD&gt;&lt;TANPIN_CD&gt;1300&lt;/TANPIN_CD&gt;&lt;SYOHIN_NA&gt;ｲﾘｮｳ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</si>
  <si>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27:アウター衣料</t>
  </si>
  <si>
    <t xml:space="preserve">    },</t>
  </si>
  <si>
    <t>&lt;TRADE_LINE&gt;&lt;TORIHIKIMS_NB&gt;32&lt;/TORIHIKIMS_NB&gt;&lt;LBUNRUI_CD&gt;27&lt;/LBUNRUI_CD&gt;&lt;MBUNRUI_CD&gt;2700&lt;/MBUNRUI_CD&gt;&lt;MAKER_CD /&gt;&lt;SYOHIN_NA&gt;ｲﾘﾖｳﾋﾝ              &lt;/SYOHIN_NA&gt;&lt;KAIAGE_QT&gt;1&lt;/KAIAGE_QT&gt;&lt;KAIPRICE_FG /&gt;&lt;KAIKIN_VL&gt;474&lt;/KAIKIN_VL&gt;&lt;INTAX_VL&gt;521&lt;/INTAX_VL&gt;&lt;KAIGEN_VL&gt;0&lt;/KAIGEN_VL&gt;&lt;IRO_CD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</si>
  <si>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104&lt;/TORIHIKIMS_NB&gt;&lt;LBUNRUI_CD&gt;27&lt;/LBUNRUI_CD&gt;&lt;MBUNRUI_CD&gt;2700&lt;/MBUNRUI_CD&gt;&lt;SBUNRUI_CD&gt;1&lt;/SBUNRUI_CD&gt;&lt;TANPIN_CD&gt;2700&lt;/TANPIN_CD&gt;&lt;SYOHIN_NA&gt;ｲﾘﾖｳﾋﾝ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</si>
  <si>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>&lt;TRADE_LINE&gt;&lt;TORIHIKIMS_NB&gt;31&lt;/TORIHIKIMS_NB&gt;&lt;LBUNRUI_CD&gt;23&lt;/LBUNRUI_CD&gt;&lt;MBUNRUI_CD&gt;2300&lt;/MBUNRUI_CD&gt;&lt;MAKER_CD /&gt;&lt;SYOHIN_NA&gt;ｽｼ                  &lt;/SYOHIN_NA&gt;&lt;KAIAGE_QT&gt;1&lt;/KAIAGE_QT&gt;&lt;KAIPRICE_FG /&gt;&lt;KAIKIN_VL&gt;474&lt;/KAIKIN_VL&gt;&lt;INTAX_VL&gt;511&lt;/INTAX_VL&gt;&lt;KAIGEN_VL&gt;0&lt;/KAIGEN_VL&gt;&lt;IRO_CD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</si>
  <si>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105&lt;/TORIHIKIMS_NB&gt;&lt;LBUNRUI_CD&gt;23&lt;/LBUNRUI_CD&gt;&lt;MBUNRUI_CD&gt;2300&lt;/MBUNRUI_CD&gt;&lt;SBUNRUI_CD&gt;1&lt;/SBUNRUI_CD&gt;&lt;TANPIN_CD&gt;2300&lt;/TANPIN_CD&gt;&lt;SYOHIN_NA&gt;ｽｼ&lt;/SYOHIN_NA&gt;&lt;KAIAGE_QT&gt;1&lt;/KAIAGE_QT&gt;&lt;KAIKIN_VL&gt;474&lt;/KAIKIN_VL&gt;&lt;INTAX_VL&gt;0&lt;/INTAX_VL&gt;&lt;KAIGEN_VL&gt;0&lt;/KAIGEN_VL&gt;&lt;PTARGET_FG&gt;1&lt;/PTARGET_FG&gt;&lt;BARGEN_FG&gt;0&lt;/BARGEN_FG&gt;&lt;/TRADE_LINE&gt;</t>
  </si>
  <si>
    <t xml:space="preserve">      item_no: 2,</t>
  </si>
  <si>
    <t>&lt;TRADE_LINE&gt;&lt;TORIHIKIMS_NB&gt;30&lt;/TORIHIKIMS_NB&gt;&lt;LBUNRUI_CD&gt;47&lt;/LBUNRUI_CD&gt;&lt;MBUNRUI_CD&gt;4700&lt;/MBUNRUI_CD&gt;&lt;MAKER_CD /&gt;&lt;SYOHIN_NA&gt;ｻﾞﾂｼ                &lt;/SYOHIN_NA&gt;&lt;KAIAGE_QT&gt;1&lt;/KAIAGE_QT&gt;&lt;KAIPRICE_FG /&gt;&lt;KAIKIN_VL&gt;499&lt;/KAIKIN_VL&gt;&lt;INTAX_VL&gt;548&lt;/INTAX_VL&gt;&lt;KAIGEN_VL&gt;0&lt;/KAIGEN_VL&gt;&lt;IRO_CD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</si>
  <si>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106&lt;/TORIHIKIMS_NB&gt;&lt;LBUNRUI_CD&gt;47&lt;/LBUNRUI_CD&gt;&lt;MBUNRUI_CD&gt;4700&lt;/MBUNRUI_CD&gt;&lt;SBUNRUI_CD&gt;1&lt;/SBUNRUI_CD&gt;&lt;TANPIN_CD&gt;4700&lt;/TANPIN_CD&gt;&lt;SYOHIN_NA&gt;ｻﾞﾂｼ&lt;/SYOHIN_NA&gt;&lt;KAIAGE_QT&gt;1&lt;/KAIAGE_QT&gt;&lt;KAIKIN_VL&gt;499&lt;/KAIKIN_VL&gt;&lt;INTAX_VL&gt;0&lt;/INTAX_VL&gt;&lt;KAIGEN_VL&gt;0&lt;/KAIGEN_VL&gt;&lt;PTARGET_FG&gt;1&lt;/PTARGET_FG&gt;&lt;BARGEN_FG&gt;0&lt;/BARGEN_FG&gt;&lt;/TRADE_LINE&gt;</t>
  </si>
  <si>
    <t>&lt;TRADE_LINE&gt;&lt;TORIHIKIMS_NB&gt;29&lt;/TORIHIKIMS_NB&gt;&lt;LBUNRUI_CD&gt;05&lt;/LBUNRUI_CD&gt;&lt;MBUNRUI_CD&gt;0502&lt;/MBUNRUI_CD&gt;&lt;SBUNRUI_CD&gt;050203&lt;/SBUNRUI_CD&gt;&lt;MAKER_CD /&gt;&lt;TANPIN_CD&gt;0000005002168&lt;/TANPIN_CD&gt;&lt;SYOHIN_NA&gt;ｺｸｻﾝﾌﾞﾀﾆｸｼﾖｳ&lt;/SYOHIN_NA&gt;&lt;KAIAGE_QT&gt;1&lt;/KAIAGE_QT&gt;&lt;KAIPRICE_FG /&gt;&lt;KAIKIN_VL&gt;1884&lt;/KAIKIN_VL&gt;&lt;INTAX_VL&gt;2034&lt;/INTAX_VL&gt;&lt;KAIGEN_VL&gt;0&lt;/KAIGEN_VL&gt;&lt;IRO_CD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</si>
  <si>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157&lt;/TORIHIKIMS_NB&gt;&lt;LBUNRUI_CD&gt;05&lt;/LBUNRUI_CD&gt;&lt;MBUNRUI_CD&gt;0502&lt;/MBUNRUI_CD&gt;&lt;SBUNRUI_CD&gt;050203&lt;/SBUNRUI_CD&gt;&lt;TANPIN_CD&gt;05002168&lt;/TANPIN_CD&gt;&lt;SYOHIN_NA&gt;ｺｸｻﾝﾌﾞﾀﾆｸｼﾖｳ&lt;/SYOHIN_NA&gt;&lt;KAIAGE_QT&gt;1&lt;/KAIAGE_QT&gt;&lt;KAIKIN_VL&gt;1884&lt;/KAIKIN_VL&gt;&lt;INTAX_VL&gt;0&lt;/INTAX_VL&gt;&lt;KAIGEN_VL&gt;0&lt;/KAIGEN_VL&gt;&lt;PTARGET_FG&gt;1&lt;/PTARGET_FG&gt;&lt;BARGEN_FG&gt;0&lt;/BARGEN_FG&gt;&lt;/TRADE_LINE&gt;</t>
  </si>
  <si>
    <t>&lt;TRADE_LINE&gt;&lt;TORIHIKIMS_NB&gt;28&lt;/TORIHIKIMS_NB&gt;&lt;LBUNRUI_CD&gt;05&lt;/LBUNRUI_CD&gt;&lt;MBUNRUI_CD&gt;0502&lt;/MBUNRUI_CD&gt;&lt;SBUNRUI_CD&gt;050203&lt;/SBUNRUI_CD&gt;&lt;MAKER_CD /&gt;&lt;TANPIN_CD&gt;0000005002168&lt;/TANPIN_CD&gt;&lt;SYOHIN_NA&gt;ｺｸｻﾝﾌﾞﾀﾆｸｼﾖｳ&lt;/SYOHIN_NA&gt;&lt;KAIAGE_QT&gt;1&lt;/KAIAGE_QT&gt;&lt;KAIPRICE_FG /&gt;&lt;KAIKIN_VL&gt;1649&lt;/KAIKIN_VL&gt;&lt;INTAX_VL&gt;1780&lt;/INTAX_VL&gt;&lt;KAIGEN_VL&gt;0&lt;/KAIGEN_VL&gt;&lt;IRO_CD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</si>
  <si>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159&lt;/TORIHIKIMS_NB&gt;&lt;LBUNRUI_CD&gt;05&lt;/LBUNRUI_CD&gt;&lt;MBUNRUI_CD&gt;0502&lt;/MBUNRUI_CD&gt;&lt;SBUNRUI_CD&gt;050203&lt;/SBUNRUI_CD&gt;&lt;TANPIN_CD&gt;05002168&lt;/TANPIN_CD&gt;&lt;SYOHIN_NA&gt;ｺｸｻﾝﾌﾞﾀﾆｸｼﾖｳ&lt;/SYOHIN_NA&gt;&lt;KAIAGE_QT&gt;1&lt;/KAIAGE_QT&gt;&lt;KAIKIN_VL&gt;1649&lt;/KAIKIN_VL&gt;&lt;INTAX_VL&gt;0&lt;/INTAX_VL&gt;&lt;KAIGEN_VL&gt;0&lt;/KAIGEN_VL&gt;&lt;PTARGET_FG&gt;1&lt;/PTARGET_FG&gt;&lt;BARGEN_FG&gt;0&lt;/BARGEN_FG&gt;&lt;/TRADE_LINE&gt;</t>
  </si>
  <si>
    <t xml:space="preserve">      item_scan_code: 4901990020503,</t>
  </si>
  <si>
    <t>&lt;TRADE_LINE&gt;&lt;TORIHIKIMS_NB&gt;27&lt;/TORIHIKIMS_NB&gt;&lt;LBUNRUI_CD&gt;05&lt;/LBUNRUI_CD&gt;&lt;MBUNRUI_CD&gt;0502&lt;/MBUNRUI_CD&gt;&lt;SBUNRUI_CD&gt;050203&lt;/SBUNRUI_CD&gt;&lt;MAKER_CD /&gt;&lt;TANPIN_CD&gt;0000005002168&lt;/TANPIN_CD&gt;&lt;SYOHIN_NA&gt;ｺｸｻﾝﾌﾞﾀﾆｸｼﾖｳ&lt;/SYOHIN_NA&gt;&lt;KAIAGE_QT&gt;1&lt;/KAIAGE_QT&gt;&lt;KAIPRICE_FG /&gt;&lt;KAIKIN_VL&gt;1177&lt;/KAIKIN_VL&gt;&lt;INTAX_VL&gt;1271&lt;/INTAX_VL&gt;&lt;KAIGEN_VL&gt;0&lt;/KAIGEN_VL&gt;&lt;IRO_CD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</si>
  <si>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161&lt;/TORIHIKIMS_NB&gt;&lt;LBUNRUI_CD&gt;05&lt;/LBUNRUI_CD&gt;&lt;MBUNRUI_CD&gt;0502&lt;/MBUNRUI_CD&gt;&lt;SBUNRUI_CD&gt;050203&lt;/SBUNRUI_CD&gt;&lt;TANPIN_CD&gt;05002168&lt;/TANPIN_CD&gt;&lt;SYOHIN_NA&gt;ｺｸｻﾝﾌﾞﾀﾆｸｼﾖｳ&lt;/SYOHIN_NA&gt;&lt;KAIAGE_QT&gt;1&lt;/KAIAGE_QT&gt;&lt;KAIKIN_VL&gt;1177&lt;/KAIKIN_VL&gt;&lt;INTAX_VL&gt;0&lt;/INTAX_VL&gt;&lt;KAIGEN_VL&gt;0&lt;/KAIGEN_VL&gt;&lt;PTARGET_FG&gt;1&lt;/PTARGET_FG&gt;&lt;BARGEN_FG&gt;0&lt;/BARGEN_FG&gt;&lt;/TRADE_LINE&gt;</t>
  </si>
  <si>
    <t xml:space="preserve">      item_code: 4901990020503,</t>
  </si>
  <si>
    <t>&lt;TRADE_LINE&gt;&lt;TORIHIKIMS_NB&gt;26&lt;/TORIHIKIMS_NB&gt;&lt;LBUNRUI_CD&gt;04&lt;/LBUNRUI_CD&gt;&lt;MBUNRUI_CD&gt;0401&lt;/MBUNRUI_CD&gt;&lt;SBUNRUI_CD&gt;040101&lt;/SBUNRUI_CD&gt;&lt;MAKER_CD /&gt;&lt;TANPIN_CD&gt;0000004000064&lt;/TANPIN_CD&gt;&lt;SYOHIN_NA&gt;ﾎﾝﾏｸﾞﾛ&lt;/SYOHIN_NA&gt;&lt;KAIAGE_QT&gt;1&lt;/KAIAGE_QT&gt;&lt;KAIPRICE_FG /&gt;&lt;KAIKIN_VL&gt;188&lt;/KAIKIN_VL&gt;&lt;INTAX_VL&gt;203&lt;/INTAX_VL&gt;&lt;KAIGEN_VL&gt;0&lt;/KAIGEN_VL&gt;&lt;IRO_CD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</si>
  <si>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163&lt;/TORIHIKIMS_NB&gt;&lt;LBUNRUI_CD&gt;04&lt;/LBUNRUI_CD&gt;&lt;MBUNRUI_CD&gt;0401&lt;/MBUNRUI_CD&gt;&lt;SBUNRUI_CD&gt;040101&lt;/SBUNRUI_CD&gt;&lt;TANPIN_CD&gt;04000064&lt;/TANPIN_CD&gt;&lt;SYOHIN_NA&gt;ﾎﾝﾏｸﾞﾛ&lt;/SYOHIN_NA&gt;&lt;KAIAGE_QT&gt;1&lt;/KAIAGE_QT&gt;&lt;KAIKIN_VL&gt;179&lt;/KAIKIN_VL&gt;&lt;INTAX_VL&gt;0&lt;/INTAX_VL&gt;&lt;KAIGEN_VL&gt;0&lt;/KAIGEN_VL&gt;&lt;PTARGET_FG&gt;1&lt;/PTARGET_FG&gt;&lt;BARGEN_FG&gt;0&lt;/BARGEN_FG&gt;&lt;/TRADE_LINE&gt;</t>
  </si>
  <si>
    <t xml:space="preserve">      item_plu: 0000008002339,</t>
  </si>
  <si>
    <t>&lt;TRADE_LINE&gt;&lt;TORIHIKIMS_NB&gt;25&lt;/TORIHIKIMS_NB&gt;&lt;LBUNRUI_CD&gt;04&lt;/LBUNRUI_CD&gt;&lt;MBUNRUI_CD&gt;0401&lt;/MBUNRUI_CD&gt;&lt;SBUNRUI_CD&gt;040101&lt;/SBUNRUI_CD&gt;&lt;MAKER_CD /&gt;&lt;TANPIN_CD&gt;0000004000064&lt;/TANPIN_CD&gt;&lt;SYOHIN_NA&gt;ﾎﾝﾏｸﾞﾛ&lt;/SYOHIN_NA&gt;&lt;KAIAGE_QT&gt;1&lt;/KAIAGE_QT&gt;&lt;KAIPRICE_FG /&gt;&lt;KAIKIN_VL&gt;165&lt;/KAIKIN_VL&gt;&lt;INTAX_VL&gt;178&lt;/INTAX_VL&gt;&lt;KAIGEN_VL&gt;0&lt;/KAIGEN_VL&gt;&lt;IRO_CD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</si>
  <si>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165&lt;/TORIHIKIMS_NB&gt;&lt;LBUNRUI_CD&gt;04&lt;/LBUNRUI_CD&gt;&lt;MBUNRUI_CD&gt;0401&lt;/MBUNRUI_CD&gt;&lt;SBUNRUI_CD&gt;040101&lt;/SBUNRUI_CD&gt;&lt;TANPIN_CD&gt;04000064&lt;/TANPIN_CD&gt;&lt;SYOHIN_NA&gt;ﾎﾝﾏｸﾞﾛ&lt;/SYOHIN_NA&gt;&lt;KAIAGE_QT&gt;1&lt;/KAIAGE_QT&gt;&lt;KAIKIN_VL&gt;156&lt;/KAIKIN_VL&gt;&lt;INTAX_VL&gt;0&lt;/INTAX_VL&gt;&lt;KAIGEN_VL&gt;0&lt;/KAIGEN_VL&gt;&lt;PTARGET_FG&gt;1&lt;/PTARGET_FG&gt;&lt;BARGEN_FG&gt;0&lt;/BARGEN_FG&gt;&lt;/TRADE_LINE&gt;</t>
  </si>
  <si>
    <t>&lt;TRADE_LINE&gt;&lt;TORIHIKIMS_NB&gt;24&lt;/TORIHIKIMS_NB&gt;&lt;LBUNRUI_CD&gt;04&lt;/LBUNRUI_CD&gt;&lt;MBUNRUI_CD&gt;0401&lt;/MBUNRUI_CD&gt;&lt;SBUNRUI_CD&gt;040101&lt;/SBUNRUI_CD&gt;&lt;MAKER_CD /&gt;&lt;TANPIN_CD&gt;0000004000064&lt;/TANPIN_CD&gt;&lt;SYOHIN_NA&gt;ﾎﾝﾏｸﾞﾛ&lt;/SYOHIN_NA&gt;&lt;KAIAGE_QT&gt;1&lt;/KAIAGE_QT&gt;&lt;KAIPRICE_FG /&gt;&lt;KAIKIN_VL&gt;118&lt;/KAIKIN_VL&gt;&lt;INTAX_VL&gt;127&lt;/INTAX_VL&gt;&lt;KAIGEN_VL&gt;0&lt;/KAIGEN_VL&gt;&lt;IRO_CD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</si>
  <si>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167&lt;/TORIHIKIMS_NB&gt;&lt;LBUNRUI_CD&gt;04&lt;/LBUNRUI_CD&gt;&lt;MBUNRUI_CD&gt;0401&lt;/MBUNRUI_CD&gt;&lt;SBUNRUI_CD&gt;040101&lt;/SBUNRUI_CD&gt;&lt;TANPIN_CD&gt;04000064&lt;/TANPIN_CD&gt;&lt;SYOHIN_NA&gt;ﾎﾝﾏｸﾞﾛ&lt;/SYOHIN_NA&gt;&lt;KAIAGE_QT&gt;1&lt;/KAIAGE_QT&gt;&lt;KAIKIN_VL&gt;112&lt;/KAIKIN_VL&gt;&lt;INTAX_VL&gt;0&lt;/INTAX_VL&gt;&lt;KAIGEN_VL&gt;0&lt;/KAIGEN_VL&gt;&lt;PTARGET_FG&gt;1&lt;/PTARGET_FG&gt;&lt;BARGEN_FG&gt;0&lt;/BARGEN_FG&gt;&lt;/TRADE_LINE&gt;</t>
  </si>
  <si>
    <t>&lt;TRADE_LINE&gt;&lt;TORIHIKIMS_NB&gt;23&lt;/TORIHIKIMS_NB&gt;&lt;LBUNRUI_CD&gt;20&lt;/LBUNRUI_CD&gt;&lt;MBUNRUI_CD&gt;2001&lt;/MBUNRUI_CD&gt;&lt;SBUNRUI_CD&gt;200101&lt;/SBUNRUI_CD&gt;&lt;MAKER_CD /&gt;&lt;TANPIN_CD&gt;0000020110642&lt;/TANPIN_CD&gt;&lt;SYOHIN_NA&gt;ﾉﾘﾍﾞﾝﾄｳ&lt;/SYOHIN_NA&gt;&lt;KAIAGE_QT&gt;1&lt;/KAIAGE_QT&gt;&lt;KAIPRICE_FG /&gt;&lt;KAIKIN_VL&gt;398&lt;/KAIKIN_VL&gt;&lt;INTAX_VL&gt;429&lt;/INTAX_VL&gt;&lt;KAIGEN_VL&gt;0&lt;/KAIGEN_VL&gt;&lt;IRO_CD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</si>
  <si>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169&lt;/TORIHIKIMS_NB&gt;&lt;LBUNRUI_CD&gt;20&lt;/LBUNRUI_CD&gt;&lt;MBUNRUI_CD&gt;2001&lt;/MBUNRUI_CD&gt;&lt;SBUNRUI_CD&gt;200101&lt;/SBUNRUI_CD&gt;&lt;TANPIN_CD&gt;20110642&lt;/TANPIN_CD&gt;&lt;SYOHIN_NA&gt;ﾉﾘﾍﾞﾝﾄｳ&lt;/SYOHIN_NA&gt;&lt;KAIAGE_QT&gt;1&lt;/KAIAGE_QT&gt;&lt;KAIKIN_VL&gt;378&lt;/KAIKIN_VL&gt;&lt;INTAX_VL&gt;0&lt;/INTAX_VL&gt;&lt;KAIGEN_VL&gt;0&lt;/KAIGEN_VL&gt;&lt;PTARGET_FG&gt;1&lt;/PTARGET_FG&gt;&lt;BARGEN_FG&gt;0&lt;/BARGEN_FG&gt;&lt;/TRADE_LINE&gt;</t>
  </si>
  <si>
    <t>&lt;TRADE_LINE&gt;&lt;TORIHIKIMS_NB&gt;22&lt;/TORIHIKIMS_NB&gt;&lt;LBUNRUI_CD&gt;20&lt;/LBUNRUI_CD&gt;&lt;MBUNRUI_CD&gt;2001&lt;/MBUNRUI_CD&gt;&lt;SBUNRUI_CD&gt;200101&lt;/SBUNRUI_CD&gt;&lt;MAKER_CD /&gt;&lt;TANPIN_CD&gt;0000020110642&lt;/TANPIN_CD&gt;&lt;SYOHIN_NA&gt;ﾉﾘﾍﾞﾝﾄｳ&lt;/SYOHIN_NA&gt;&lt;KAIAGE_QT&gt;1&lt;/KAIAGE_QT&gt;&lt;KAIPRICE_FG /&gt;&lt;KAIKIN_VL&gt;348&lt;/KAIKIN_VL&gt;&lt;INTAX_VL&gt;375&lt;/INTAX_VL&gt;&lt;KAIGEN_VL&gt;0&lt;/KAIGEN_VL&gt;&lt;IRO_CD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</si>
  <si>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171&lt;/TORIHIKIMS_NB&gt;&lt;LBUNRUI_CD&gt;20&lt;/LBUNRUI_CD&gt;&lt;MBUNRUI_CD&gt;2001&lt;/MBUNRUI_CD&gt;&lt;SBUNRUI_CD&gt;200101&lt;/SBUNRUI_CD&gt;&lt;TANPIN_CD&gt;20110642&lt;/TANPIN_CD&gt;&lt;SYOHIN_NA&gt;ﾉﾘﾍﾞﾝﾄｳ&lt;/SYOHIN_NA&gt;&lt;KAIAGE_QT&gt;1&lt;/KAIAGE_QT&gt;&lt;KAIKIN_VL&gt;330&lt;/KAIKIN_VL&gt;&lt;INTAX_VL&gt;0&lt;/INTAX_VL&gt;&lt;KAIGEN_VL&gt;0&lt;/KAIGEN_VL&gt;&lt;PTARGET_FG&gt;1&lt;/PTARGET_FG&gt;&lt;BARGEN_FG&gt;0&lt;/BARGEN_FG&gt;&lt;/TRADE_LINE&gt;</t>
  </si>
  <si>
    <t xml:space="preserve">      item_name: マルちゃん　赤いきつね　　　　　　　　　,</t>
  </si>
  <si>
    <t>&lt;TRADE_LINE&gt;&lt;TORIHIKIMS_NB&gt;21&lt;/TORIHIKIMS_NB&gt;&lt;LBUNRUI_CD&gt;20&lt;/LBUNRUI_CD&gt;&lt;MBUNRUI_CD&gt;2001&lt;/MBUNRUI_CD&gt;&lt;SBUNRUI_CD&gt;200101&lt;/SBUNRUI_CD&gt;&lt;MAKER_CD /&gt;&lt;TANPIN_CD&gt;0000020110642&lt;/TANPIN_CD&gt;&lt;SYOHIN_NA&gt;ﾉﾘﾍﾞﾝﾄｳ&lt;/SYOHIN_NA&gt;&lt;KAIAGE_QT&gt;1&lt;/KAIAGE_QT&gt;&lt;KAIPRICE_FG /&gt;&lt;KAIKIN_VL&gt;249&lt;/KAIKIN_VL&gt;&lt;INTAX_VL&gt;268&lt;/INTAX_VL&gt;&lt;KAIGEN_VL&gt;0&lt;/KAIGEN_VL&gt;&lt;IRO_CD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</si>
  <si>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173&lt;/TORIHIKIMS_NB&gt;&lt;LBUNRUI_CD&gt;20&lt;/LBUNRUI_CD&gt;&lt;MBUNRUI_CD&gt;2001&lt;/MBUNRUI_CD&gt;&lt;SBUNRUI_CD&gt;200101&lt;/SBUNRUI_CD&gt;&lt;TANPIN_CD&gt;20110642&lt;/TANPIN_CD&gt;&lt;SYOHIN_NA&gt;ﾉﾘﾍﾞﾝﾄｳ&lt;/SYOHIN_NA&gt;&lt;KAIAGE_QT&gt;1&lt;/KAIAGE_QT&gt;&lt;KAIKIN_VL&gt;236&lt;/KAIKIN_VL&gt;&lt;INTAX_VL&gt;0&lt;/INTAX_VL&gt;&lt;KAIGEN_VL&gt;0&lt;/KAIGEN_VL&gt;&lt;PTARGET_FG&gt;1&lt;/PTARGET_FG&gt;&lt;BARGEN_FG&gt;0&lt;/BARGEN_FG&gt;&lt;/TRADE_LINE&gt;</t>
  </si>
  <si>
    <t xml:space="preserve">      item_name_short: ｱｶｲｷﾂﾈ,</t>
  </si>
  <si>
    <t>&lt;TRADE_LINE&gt;&lt;TORIHIKIMS_NB&gt;20&lt;/TORIHIKIMS_NB&gt;&lt;LBUNRUI_CD&gt;44&lt;/LBUNRUI_CD&gt;&lt;MBUNRUI_CD&gt;4404&lt;/MBUNRUI_CD&gt;&lt;SBUNRUI_CD&gt;440401&lt;/SBUNRUI_CD&gt;&lt;MAKER_CD /&gt;&lt;TANPIN_CD&gt;0000044002530&lt;/TANPIN_CD&gt;&lt;SYOHIN_NA&gt;ｽｰﾊﾟｰﾄﾞﾗｲ350&lt;/SYOHIN_NA&gt;&lt;KAIAGE_QT&gt;1&lt;/KAIAGE_QT&gt;&lt;KAIPRICE_FG /&gt;&lt;KAIKIN_VL&gt;143&lt;/KAIKIN_VL&gt;&lt;INTAX_VL&gt;157&lt;/INTAX_VL&gt;&lt;KAIGEN_VL&gt;0&lt;/KAIGEN_VL&gt;&lt;IRO_CD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</si>
  <si>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175&lt;/TORIHIKIMS_NB&gt;&lt;LBUNRUI_CD&gt;44&lt;/LBUNRUI_CD&gt;&lt;MBUNRUI_CD&gt;4404&lt;/MBUNRUI_CD&gt;&lt;SBUNRUI_CD&gt;440401&lt;/SBUNRUI_CD&gt;&lt;TANPIN_CD&gt;44002530&lt;/TANPIN_CD&gt;&lt;SYOHIN_NA&gt;ｽｰﾊﾟｰﾄﾞﾗｲ350&lt;/SYOHIN_NA&gt;&lt;KAIAGE_QT&gt;1&lt;/KAIAGE_QT&gt;&lt;KAIKIN_VL&gt;143&lt;/KAIKIN_VL&gt;&lt;INTAX_VL&gt;0&lt;/INTAX_VL&gt;&lt;KAIGEN_VL&gt;0&lt;/KAIGEN_VL&gt;&lt;PTARGET_FG&gt;1&lt;/PTARGET_FG&gt;&lt;BARGEN_FG&gt;0&lt;/BARGEN_FG&gt;&lt;/TRADE_LINE&gt;</t>
  </si>
  <si>
    <t>&lt;TRADE_LINE&gt;&lt;TORIHIKIMS_NB&gt;19&lt;/TORIHIKIMS_NB&gt;&lt;LBUNRUI_CD&gt;44&lt;/LBUNRUI_CD&gt;&lt;MBUNRUI_CD&gt;4404&lt;/MBUNRUI_CD&gt;&lt;SBUNRUI_CD&gt;440401&lt;/SBUNRUI_CD&gt;&lt;MAKER_CD /&gt;&lt;TANPIN_CD&gt;0000044002530&lt;/TANPIN_CD&gt;&lt;SYOHIN_NA&gt;ｽｰﾊﾟｰﾄﾞﾗｲ350&lt;/SYOHIN_NA&gt;&lt;KAIAGE_QT&gt;1&lt;/KAIAGE_QT&gt;&lt;KAIPRICE_FG /&gt;&lt;KAIKIN_VL&gt;125&lt;/KAIKIN_VL&gt;&lt;INTAX_VL&gt;137&lt;/INTAX_VL&gt;&lt;KAIGEN_VL&gt;0&lt;/KAIGEN_VL&gt;&lt;IRO_CD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</si>
  <si>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177&lt;/TORIHIKIMS_NB&gt;&lt;LBUNRUI_CD&gt;44&lt;/LBUNRUI_CD&gt;&lt;MBUNRUI_CD&gt;4404&lt;/MBUNRUI_CD&gt;&lt;SBUNRUI_CD&gt;440401&lt;/SBUNRUI_CD&gt;&lt;TANPIN_CD&gt;44002530&lt;/TANPIN_CD&gt;&lt;SYOHIN_NA&gt;ｽｰﾊﾟｰﾄﾞﾗｲ350&lt;/SYOHIN_NA&gt;&lt;KAIAGE_QT&gt;1&lt;/KAIAGE_QT&gt;&lt;KAIKIN_VL&gt;125&lt;/KAIKIN_VL&gt;&lt;INTAX_VL&gt;0&lt;/INTAX_VL&gt;&lt;KAIGEN_VL&gt;0&lt;/KAIGEN_VL&gt;&lt;PTARGET_FG&gt;1&lt;/PTARGET_FG&gt;&lt;BARGEN_FG&gt;0&lt;/BARGEN_FG&gt;&lt;/TRADE_LINE&gt;</t>
  </si>
  <si>
    <t>&lt;TRADE_LINE&gt;&lt;TORIHIKIMS_NB&gt;18&lt;/TORIHIKIMS_NB&gt;&lt;LBUNRUI_CD&gt;44&lt;/LBUNRUI_CD&gt;&lt;MBUNRUI_CD&gt;4404&lt;/MBUNRUI_CD&gt;&lt;SBUNRUI_CD&gt;440401&lt;/SBUNRUI_CD&gt;&lt;MAKER_CD /&gt;&lt;TANPIN_CD&gt;0000044002530&lt;/TANPIN_CD&gt;&lt;SYOHIN_NA&gt;ｽｰﾊﾟｰﾄﾞﾗｲ350&lt;/SYOHIN_NA&gt;&lt;KAIAGE_QT&gt;1&lt;/KAIAGE_QT&gt;&lt;KAIPRICE_FG /&gt;&lt;KAIKIN_VL&gt;89&lt;/KAIKIN_VL&gt;&lt;INTAX_VL&gt;97&lt;/INTAX_VL&gt;&lt;KAIGEN_VL&gt;0&lt;/KAIGEN_VL&gt;&lt;IRO_CD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</si>
  <si>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179&lt;/TORIHIKIMS_NB&gt;&lt;LBUNRUI_CD&gt;44&lt;/LBUNRUI_CD&gt;&lt;MBUNRUI_CD&gt;4404&lt;/MBUNRUI_CD&gt;&lt;SBUNRUI_CD&gt;440401&lt;/SBUNRUI_CD&gt;&lt;TANPIN_CD&gt;44002530&lt;/TANPIN_CD&gt;&lt;SYOHIN_NA&gt;ｽｰﾊﾟｰﾄﾞﾗｲ350&lt;/SYOHIN_NA&gt;&lt;KAIAGE_QT&gt;1&lt;/KAIAGE_QT&gt;&lt;KAIKIN_VL&gt;89&lt;/KAIKIN_VL&gt;&lt;INTAX_VL&gt;0&lt;/INTAX_VL&gt;&lt;KAIGEN_VL&gt;0&lt;/KAIGEN_VL&gt;&lt;PTARGET_FG&gt;1&lt;/PTARGET_FG&gt;&lt;BARGEN_FG&gt;0&lt;/BARGEN_FG&gt;&lt;/TRADE_LINE&gt;</t>
  </si>
  <si>
    <t>&lt;TRADE_LINE&gt;&lt;TORIHIKIMS_NB&gt;17&lt;/TORIHIKIMS_NB&gt;&lt;LBUNRUI_CD&gt;09&lt;/LBUNRUI_CD&gt;&lt;MBUNRUI_CD&gt;0931&lt;/MBUNRUI_CD&gt;&lt;SBUNRUI_CD&gt;093111&lt;/SBUNRUI_CD&gt;&lt;MAKER_CD /&gt;&lt;TANPIN_CD&gt;0000009005676&lt;/TANPIN_CD&gt;&lt;SYOHIN_NA&gt;ﾌﾞﾙ-ﾍﾞﾘ-&lt;/SYOHIN_NA&gt;&lt;KAIAGE_QT&gt;1&lt;/KAIAGE_QT&gt;&lt;KAIPRICE_FG /&gt;&lt;KAIKIN_VL&gt;358&lt;/KAIKIN_VL&gt;&lt;INTAX_VL&gt;386&lt;/INTAX_VL&gt;&lt;KAIGEN_VL&gt;0&lt;/KAIGEN_VL&gt;&lt;IRO_CD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</si>
  <si>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133&lt;/TORIHIKIMS_NB&gt;&lt;LBUNRUI_CD&gt;09&lt;/LBUNRUI_CD&gt;&lt;MBUNRUI_CD&gt;0931&lt;/MBUNRUI_CD&gt;&lt;SBUNRUI_CD&gt;093111&lt;/SBUNRUI_CD&gt;&lt;TANPIN_CD&gt;09005676&lt;/TANPIN_CD&gt;&lt;SYOHIN_NA&gt;ﾌﾞﾙ-ﾍﾞﾘ-&lt;/SYOHIN_NA&gt;&lt;KAIAGE_QT&gt;1&lt;/KAIAGE_QT&gt;&lt;KAIKIN_VL&gt;340&lt;/KAIKIN_VL&gt;&lt;INTAX_VL&gt;0&lt;/INTAX_VL&gt;&lt;KAIGEN_VL&gt;0&lt;/KAIGEN_VL&gt;&lt;PTARGET_FG&gt;1&lt;/PTARGET_FG&gt;&lt;BARGEN_FG&gt;0&lt;/BARGEN_FG&gt;&lt;/TRADE_LINE&gt;</t>
  </si>
  <si>
    <t>&lt;TRADE_LINE&gt;&lt;TORIHIKIMS_NB&gt;16&lt;/TORIHIKIMS_NB&gt;&lt;LBUNRUI_CD&gt;09&lt;/LBUNRUI_CD&gt;&lt;MBUNRUI_CD&gt;0931&lt;/MBUNRUI_CD&gt;&lt;SBUNRUI_CD&gt;093111&lt;/SBUNRUI_CD&gt;&lt;MAKER_CD /&gt;&lt;TANPIN_CD&gt;0000009005676&lt;/TANPIN_CD&gt;&lt;SYOHIN_NA&gt;ﾌﾞﾙ-ﾍﾞﾘ-&lt;/SYOHIN_NA&gt;&lt;KAIAGE_QT&gt;1&lt;/KAIAGE_QT&gt;&lt;KAIPRICE_FG /&gt;&lt;KAIKIN_VL&gt;318&lt;/KAIKIN_VL&gt;&lt;INTAX_VL&gt;343&lt;/INTAX_VL&gt;&lt;KAIGEN_VL&gt;0&lt;/KAIGEN_VL&gt;&lt;IRO_CD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</si>
  <si>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135&lt;/TORIHIKIMS_NB&gt;&lt;LBUNRUI_CD&gt;09&lt;/LBUNRUI_CD&gt;&lt;MBUNRUI_CD&gt;0931&lt;/MBUNRUI_CD&gt;&lt;SBUNRUI_CD&gt;093111&lt;/SBUNRUI_CD&gt;&lt;TANPIN_CD&gt;09005676&lt;/TANPIN_CD&gt;&lt;SYOHIN_NA&gt;ﾌﾞﾙ-ﾍﾞﾘ-&lt;/SYOHIN_NA&gt;&lt;KAIAGE_QT&gt;1&lt;/KAIAGE_QT&gt;&lt;KAIKIN_VL&gt;302&lt;/KAIKIN_VL&gt;&lt;INTAX_VL&gt;0&lt;/INTAX_VL&gt;&lt;KAIGEN_VL&gt;0&lt;/KAIGEN_VL&gt;&lt;PTARGET_FG&gt;1&lt;/PTARGET_FG&gt;&lt;BARGEN_FG&gt;0&lt;/BARGEN_FG&gt;&lt;/TRADE_LINE&gt;</t>
  </si>
  <si>
    <t>&lt;TRADE_LINE&gt;&lt;TORIHIKIMS_NB&gt;15&lt;/TORIHIKIMS_NB&gt;&lt;LBUNRUI_CD&gt;09&lt;/LBUNRUI_CD&gt;&lt;MBUNRUI_CD&gt;0931&lt;/MBUNRUI_CD&gt;&lt;SBUNRUI_CD&gt;093111&lt;/SBUNRUI_CD&gt;&lt;MAKER_CD /&gt;&lt;TANPIN_CD&gt;0000009005676&lt;/TANPIN_CD&gt;&lt;SYOHIN_NA&gt;ﾌﾞﾙ-ﾍﾞﾘ-&lt;/SYOHIN_NA&gt;&lt;KAIAGE_QT&gt;1&lt;/KAIAGE_QT&gt;&lt;KAIPRICE_FG /&gt;&lt;KAIKIN_VL&gt;199&lt;/KAIKIN_VL&gt;&lt;INTAX_VL&gt;214&lt;/INTAX_VL&gt;&lt;KAIGEN_VL&gt;0&lt;/KAIGEN_VL&gt;&lt;IRO_CD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</si>
  <si>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137&lt;/TORIHIKIMS_NB&gt;&lt;LBUNRUI_CD&gt;09&lt;/LBUNRUI_CD&gt;&lt;MBUNRUI_CD&gt;0931&lt;/MBUNRUI_CD&gt;&lt;SBUNRUI_CD&gt;093111&lt;/SBUNRUI_CD&gt;&lt;TANPIN_CD&gt;09005676&lt;/TANPIN_CD&gt;&lt;SYOHIN_NA&gt;ﾌﾞﾙ-ﾍﾞﾘ-&lt;/SYOHIN_NA&gt;&lt;KAIAGE_QT&gt;1&lt;/KAIAGE_QT&gt;&lt;KAIKIN_VL&gt;189&lt;/KAIKIN_VL&gt;&lt;INTAX_VL&gt;0&lt;/INTAX_VL&gt;&lt;KAIGEN_VL&gt;0&lt;/KAIGEN_VL&gt;&lt;PTARGET_FG&gt;1&lt;/PTARGET_FG&gt;&lt;BARGEN_FG&gt;0&lt;/BARGEN_FG&gt;&lt;/TRADE_LINE&gt;</t>
  </si>
  <si>
    <t>&lt;TRADE_LINE&gt;&lt;TORIHIKIMS_NB&gt;14&lt;/TORIHIKIMS_NB&gt;&lt;LBUNRUI_CD&gt;01&lt;/LBUNRUI_CD&gt;&lt;MBUNRUI_CD&gt;0103&lt;/MBUNRUI_CD&gt;&lt;SBUNRUI_CD&gt;010301&lt;/SBUNRUI_CD&gt;&lt;MAKER_CD /&gt;&lt;TANPIN_CD&gt;0000001243691&lt;/TANPIN_CD&gt;&lt;SYOHIN_NA&gt;ｼﾖｰﾄﾌﾞﾚﾂﾄﾞ&lt;/SYOHIN_NA&gt;&lt;KAIAGE_QT&gt;1&lt;/KAIAGE_QT&gt;&lt;KAIPRICE_FG /&gt;&lt;KAIKIN_VL&gt;383&lt;/KAIKIN_VL&gt;&lt;INTAX_VL&gt;413&lt;/INTAX_VL&gt;&lt;KAIGEN_VL&gt;0&lt;/KAIGEN_VL&gt;&lt;IRO_CD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</si>
  <si>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139&lt;/TORIHIKIMS_NB&gt;&lt;LBUNRUI_CD&gt;01&lt;/LBUNRUI_CD&gt;&lt;MBUNRUI_CD&gt;0103&lt;/MBUNRUI_CD&gt;&lt;SBUNRUI_CD&gt;010301&lt;/SBUNRUI_CD&gt;&lt;TANPIN_CD&gt;01243691&lt;/TANPIN_CD&gt;&lt;SYOHIN_NA&gt;ｼﾖｰﾄﾌﾞﾚﾂﾄﾞ&lt;/SYOHIN_NA&gt;&lt;KAIAGE_QT&gt;1&lt;/KAIAGE_QT&gt;&lt;KAIKIN_VL&gt;363&lt;/KAIKIN_VL&gt;&lt;INTAX_VL&gt;0&lt;/INTAX_VL&gt;&lt;KAIGEN_VL&gt;0&lt;/KAIGEN_VL&gt;&lt;PTARGET_FG&gt;1&lt;/PTARGET_FG&gt;&lt;BARGEN_FG&gt;0&lt;/BARGEN_FG&gt;&lt;/TRADE_LINE&gt;</t>
  </si>
  <si>
    <t>&lt;TRADE_LINE&gt;&lt;TORIHIKIMS_NB&gt;13&lt;/TORIHIKIMS_NB&gt;&lt;LBUNRUI_CD&gt;01&lt;/LBUNRUI_CD&gt;&lt;MBUNRUI_CD&gt;0103&lt;/MBUNRUI_CD&gt;&lt;SBUNRUI_CD&gt;010301&lt;/SBUNRUI_CD&gt;&lt;MAKER_CD /&gt;&lt;TANPIN_CD&gt;0000001243691&lt;/TANPIN_CD&gt;&lt;SYOHIN_NA&gt;ｼﾖｰﾄﾌﾞﾚﾂﾄﾞ&lt;/SYOHIN_NA&gt;&lt;KAIAGE_QT&gt;1&lt;/KAIAGE_QT&gt;&lt;KAIPRICE_FG /&gt;&lt;KAIKIN_VL&gt;335&lt;/KAIKIN_VL&gt;&lt;INTAX_VL&gt;361&lt;/INTAX_VL&gt;&lt;KAIGEN_VL&gt;0&lt;/KAIGEN_VL&gt;&lt;IRO_CD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</si>
  <si>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141&lt;/TORIHIKIMS_NB&gt;&lt;LBUNRUI_CD&gt;01&lt;/LBUNRUI_CD&gt;&lt;MBUNRUI_CD&gt;0103&lt;/MBUNRUI_CD&gt;&lt;SBUNRUI_CD&gt;010301&lt;/SBUNRUI_CD&gt;&lt;TANPIN_CD&gt;01243691&lt;/TANPIN_CD&gt;&lt;SYOHIN_NA&gt;ｼﾖｰﾄﾌﾞﾚﾂﾄﾞ&lt;/SYOHIN_NA&gt;&lt;KAIAGE_QT&gt;1&lt;/KAIAGE_QT&gt;&lt;KAIKIN_VL&gt;318&lt;/KAIKIN_VL&gt;&lt;INTAX_VL&gt;0&lt;/INTAX_VL&gt;&lt;KAIGEN_VL&gt;0&lt;/KAIGEN_VL&gt;&lt;PTARGET_FG&gt;1&lt;/PTARGET_FG&gt;&lt;BARGEN_FG&gt;0&lt;/BARGEN_FG&gt;&lt;/TRADE_LINE&gt;</t>
  </si>
  <si>
    <t>&lt;TRADE_LINE&gt;&lt;TORIHIKIMS_NB&gt;12&lt;/TORIHIKIMS_NB&gt;&lt;LBUNRUI_CD&gt;01&lt;/LBUNRUI_CD&gt;&lt;MBUNRUI_CD&gt;0103&lt;/MBUNRUI_CD&gt;&lt;SBUNRUI_CD&gt;010301&lt;/SBUNRUI_CD&gt;&lt;MAKER_CD /&gt;&lt;TANPIN_CD&gt;0000001243691&lt;/TANPIN_CD&gt;&lt;SYOHIN_NA&gt;ｼﾖｰﾄﾌﾞﾚﾂﾄﾞ&lt;/SYOHIN_NA&gt;&lt;KAIAGE_QT&gt;1&lt;/KAIAGE_QT&gt;&lt;KAIPRICE_FG /&gt;&lt;KAIKIN_VL&gt;239&lt;/KAIKIN_VL&gt;&lt;INTAX_VL&gt;258&lt;/INTAX_VL&gt;&lt;KAIGEN_VL&gt;0&lt;/KAIGEN_VL&gt;&lt;IRO_CD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</si>
  <si>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143&lt;/TORIHIKIMS_NB&gt;&lt;LBUNRUI_CD&gt;01&lt;/LBUNRUI_CD&gt;&lt;MBUNRUI_CD&gt;0103&lt;/MBUNRUI_CD&gt;&lt;SBUNRUI_CD&gt;010301&lt;/SBUNRUI_CD&gt;&lt;TANPIN_CD&gt;01243691&lt;/TANPIN_CD&gt;&lt;SYOHIN_NA&gt;ｼﾖｰﾄﾌﾞﾚﾂﾄﾞ&lt;/SYOHIN_NA&gt;&lt;KAIAGE_QT&gt;1&lt;/KAIAGE_QT&gt;&lt;KAIKIN_VL&gt;227&lt;/KAIKIN_VL&gt;&lt;INTAX_VL&gt;0&lt;/INTAX_VL&gt;&lt;KAIGEN_VL&gt;0&lt;/KAIGEN_VL&gt;&lt;PTARGET_FG&gt;1&lt;/PTARGET_FG&gt;&lt;BARGEN_FG&gt;0&lt;/BARGEN_FG&gt;&lt;/TRADE_LINE&gt;</t>
  </si>
  <si>
    <t>&lt;TRADE_LINE&gt;&lt;TORIHIKIMS_NB&gt;11&lt;/TORIHIKIMS_NB&gt;&lt;LBUNRUI_CD&gt;01&lt;/LBUNRUI_CD&gt;&lt;MBUNRUI_CD&gt;0103&lt;/MBUNRUI_CD&gt;&lt;SBUNRUI_CD&gt;010301&lt;/SBUNRUI_CD&gt;&lt;MAKER_CD /&gt;&lt;TANPIN_CD&gt;0000001115162&lt;/TANPIN_CD&gt;&lt;SYOHIN_NA&gt;ｸﾞﾘｺ ﾎﾟﾂﾌﾟｷﾔ&lt;/SYOHIN_NA&gt;&lt;KAIAGE_QT&gt;1&lt;/KAIAGE_QT&gt;&lt;KAIPRICE_FG /&gt;&lt;KAIKIN_VL&gt;39&lt;/KAIKIN_VL&gt;&lt;INTAX_VL&gt;42&lt;/INTAX_VL&gt;&lt;KAIGEN_VL&gt;0&lt;/KAIGEN_VL&gt;&lt;IRO_CD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</si>
  <si>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&lt;TRADE_LINE&gt;&lt;TORIHIKIMS_NB&gt;145&lt;/TORIHIKIMS_NB&gt;&lt;LBUNRUI_CD&gt;01&lt;/LBUNRUI_CD&gt;&lt;MBUNRUI_CD&gt;0103&lt;/MBUNRUI_CD&gt;&lt;SBUNRUI_CD&gt;010301&lt;/SBUNRUI_CD&gt;&lt;TANPIN_CD&gt;01115162&lt;/TANPIN_CD&gt;&lt;SYOHIN_NA&gt;ｸﾞﾘｺ ﾎﾟﾂﾌﾟｷﾔ&lt;/SYOHIN_NA&gt;&lt;KAIAGE_QT&gt;1&lt;/KAIAGE_QT&gt;&lt;KAIKIN_VL&gt;39&lt;/KAIKIN_VL&gt;&lt;INTAX_VL&gt;0&lt;/INTAX_VL&gt;&lt;KAIGEN_VL&gt;0&lt;/KAIGEN_VL&gt;&lt;PTARGET_FG&gt;1&lt;/PTARGET_FG&gt;&lt;BARGEN_FG&gt;0&lt;/BARGEN_FG&gt;&lt;/TRADE_LINE&gt;</t>
  </si>
  <si>
    <t>&lt;TRADE_LINE&gt;&lt;TORIHIKIMS_NB&gt;10&lt;/TORIHIKIMS_NB&gt;&lt;LBUNRUI_CD&gt;01&lt;/LBUNRUI_CD&gt;&lt;MBUNRUI_CD&gt;0103&lt;/MBUNRUI_CD&gt;&lt;SBUNRUI_CD&gt;010301&lt;/SBUNRUI_CD&gt;&lt;MAKER_CD /&gt;&lt;TANPIN_CD&gt;0000001115162&lt;/TANPIN_CD&gt;&lt;SYOHIN_NA&gt;ｸﾞﾘｺ ﾎﾟﾂﾌﾟｷﾔ&lt;/SYOHIN_NA&gt;&lt;KAIAGE_QT&gt;1&lt;/KAIAGE_QT&gt;&lt;KAIPRICE_FG /&gt;&lt;KAIKIN_VL&gt;34&lt;/KAIKIN_VL&gt;&lt;INTAX_VL&gt;36&lt;/INTAX_VL&gt;&lt;KAIGEN_VL&gt;0&lt;/KAIGEN_VL&gt;&lt;IRO_CD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</si>
  <si>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&lt;TRADE_LINE&gt;&lt;TORIHIKIMS_NB&gt;147&lt;/TORIHIKIMS_NB&gt;&lt;LBUNRUI_CD&gt;01&lt;/LBUNRUI_CD&gt;&lt;MBUNRUI_CD&gt;0103&lt;/MBUNRUI_CD&gt;&lt;SBUNRUI_CD&gt;010301&lt;/SBUNRUI_CD&gt;&lt;TANPIN_CD&gt;01115162&lt;/TANPIN_CD&gt;&lt;SYOHIN_NA&gt;ｸﾞﾘｺ ﾎﾟﾂﾌﾟｷﾔ&lt;/SYOHIN_NA&gt;&lt;KAIAGE_QT&gt;1&lt;/KAIAGE_QT&gt;&lt;KAIKIN_VL&gt;34&lt;/KAIKIN_VL&gt;&lt;INTAX_VL&gt;0&lt;/INTAX_VL&gt;&lt;KAIGEN_VL&gt;0&lt;/KAIGEN_VL&gt;&lt;PTARGET_FG&gt;1&lt;/PTARGET_FG&gt;&lt;BARGEN_FG&gt;0&lt;/BARGEN_FG&gt;&lt;/TRADE_LINE&gt;</t>
  </si>
  <si>
    <t>&lt;TRADE_LINE&gt;&lt;TORIHIKIMS_NB&gt;9&lt;/TORIHIKIMS_NB&gt;&lt;LBUNRUI_CD&gt;01&lt;/LBUNRUI_CD&gt;&lt;MBUNRUI_CD&gt;0103&lt;/MBUNRUI_CD&gt;&lt;SBUNRUI_CD&gt;010301&lt;/SBUNRUI_CD&gt;&lt;MAKER_CD /&gt;&lt;TANPIN_CD&gt;0000001115162&lt;/TANPIN_CD&gt;&lt;SYOHIN_NA&gt;ｸﾞﾘｺ ﾎﾟﾂﾌﾟｷﾔ&lt;/SYOHIN_NA&gt;&lt;KAIAGE_QT&gt;1&lt;/KAIAGE_QT&gt;&lt;KAIPRICE_FG /&gt;&lt;KAIKIN_VL&gt;24&lt;/KAIKIN_VL&gt;&lt;INTAX_VL&gt;25&lt;/INTAX_VL&gt;&lt;KAIGEN_VL&gt;0&lt;/KAIGEN_VL&gt;&lt;IRO_CD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</si>
  <si>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&lt;TRADE_LINE&gt;&lt;TORIHIKIMS_NB&gt;149&lt;/TORIHIKIMS_NB&gt;&lt;LBUNRUI_CD&gt;01&lt;/LBUNRUI_CD&gt;&lt;MBUNRUI_CD&gt;0103&lt;/MBUNRUI_CD&gt;&lt;SBUNRUI_CD&gt;010301&lt;/SBUNRUI_CD&gt;&lt;TANPIN_CD&gt;01115162&lt;/TANPIN_CD&gt;&lt;SYOHIN_NA&gt;ｸﾞﾘｺ ﾎﾟﾂﾌﾟｷﾔ&lt;/SYOHIN_NA&gt;&lt;KAIAGE_QT&gt;1&lt;/KAIAGE_QT&gt;&lt;KAIKIN_VL&gt;24&lt;/KAIKIN_VL&gt;&lt;INTAX_VL&gt;0&lt;/INTAX_VL&gt;&lt;KAIGEN_VL&gt;0&lt;/KAIGEN_VL&gt;&lt;PTARGET_FG&gt;1&lt;/PTARGET_FG&gt;&lt;BARGEN_FG&gt;0&lt;/BARGEN_FG&gt;&lt;/TRADE_LINE&gt;</t>
  </si>
  <si>
    <t>&lt;TRADE_LINE&gt;&lt;TORIHIKIMS_NB&gt;8&lt;/TORIHIKIMS_NB&gt;&lt;LBUNRUI_CD&gt;09&lt;/LBUNRUI_CD&gt;&lt;MBUNRUI_CD&gt;0932&lt;/MBUNRUI_CD&gt;&lt;SBUNRUI_CD&gt;093211&lt;/SBUNRUI_CD&gt;&lt;MAKER_CD /&gt;&lt;TANPIN_CD&gt;0000009045988&lt;/TANPIN_CD&gt;&lt;SYOHIN_NA&gt;ｵｰﾙﾄﾞｺｺﾅﾂﾂ&lt;/SYOHIN_NA&gt;&lt;KAIAGE_QT&gt;1&lt;/KAIAGE_QT&gt;&lt;KAIPRICE_FG /&gt;&lt;KAIKIN_VL&gt;399&lt;/KAIKIN_VL&gt;&lt;INTAX_VL&gt;430&lt;/INTAX_VL&gt;&lt;KAIGEN_VL&gt;0&lt;/KAIGEN_VL&gt;&lt;IRO_CD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</si>
  <si>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151&lt;/TORIHIKIMS_NB&gt;&lt;LBUNRUI_CD&gt;09&lt;/LBUNRUI_CD&gt;&lt;MBUNRUI_CD&gt;0932&lt;/MBUNRUI_CD&gt;&lt;SBUNRUI_CD&gt;093211&lt;/SBUNRUI_CD&gt;&lt;TANPIN_CD&gt;09045988&lt;/TANPIN_CD&gt;&lt;SYOHIN_NA&gt;ｵｰﾙﾄﾞｺｺﾅﾂﾂ&lt;/SYOHIN_NA&gt;&lt;KAIAGE_QT&gt;1&lt;/KAIAGE_QT&gt;&lt;KAIKIN_VL&gt;379&lt;/KAIKIN_VL&gt;&lt;INTAX_VL&gt;0&lt;/INTAX_VL&gt;&lt;KAIGEN_VL&gt;0&lt;/KAIGEN_VL&gt;&lt;PTARGET_FG&gt;1&lt;/PTARGET_FG&gt;&lt;BARGEN_FG&gt;0&lt;/BARGEN_FG&gt;&lt;/TRADE_LINE&gt;</t>
  </si>
  <si>
    <t xml:space="preserve">      item_no: 3,</t>
  </si>
  <si>
    <t>&lt;TRADE_LINE&gt;&lt;TORIHIKIMS_NB&gt;7&lt;/TORIHIKIMS_NB&gt;&lt;LBUNRUI_CD&gt;09&lt;/LBUNRUI_CD&gt;&lt;MBUNRUI_CD&gt;0932&lt;/MBUNRUI_CD&gt;&lt;SBUNRUI_CD&gt;093211&lt;/SBUNRUI_CD&gt;&lt;MAKER_CD /&gt;&lt;TANPIN_CD&gt;0000009045988&lt;/TANPIN_CD&gt;&lt;SYOHIN_NA&gt;ｵｰﾙﾄﾞｺｺﾅﾂﾂ&lt;/SYOHIN_NA&gt;&lt;KAIAGE_QT&gt;1&lt;/KAIAGE_QT&gt;&lt;KAIPRICE_FG /&gt;&lt;KAIKIN_VL&gt;349&lt;/KAIKIN_VL&gt;&lt;INTAX_VL&gt;376&lt;/INTAX_VL&gt;&lt;KAIGEN_VL&gt;0&lt;/KAIGEN_VL&gt;&lt;IRO_CD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</si>
  <si>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153&lt;/TORIHIKIMS_NB&gt;&lt;LBUNRUI_CD&gt;09&lt;/LBUNRUI_CD&gt;&lt;MBUNRUI_CD&gt;0932&lt;/MBUNRUI_CD&gt;&lt;SBUNRUI_CD&gt;093211&lt;/SBUNRUI_CD&gt;&lt;TANPIN_CD&gt;09045988&lt;/TANPIN_CD&gt;&lt;SYOHIN_NA&gt;ｵｰﾙﾄﾞｺｺﾅﾂﾂ&lt;/SYOHIN_NA&gt;&lt;KAIAGE_QT&gt;1&lt;/KAIAGE_QT&gt;&lt;KAIKIN_VL&gt;331&lt;/KAIKIN_VL&gt;&lt;INTAX_VL&gt;0&lt;/INTAX_VL&gt;&lt;KAIGEN_VL&gt;0&lt;/KAIGEN_VL&gt;&lt;PTARGET_FG&gt;1&lt;/PTARGET_FG&gt;&lt;BARGEN_FG&gt;0&lt;/BARGEN_FG&gt;&lt;/TRADE_LINE&gt;</t>
  </si>
  <si>
    <t>&lt;TRADE_LINE&gt;&lt;TORIHIKIMS_NB&gt;6&lt;/TORIHIKIMS_NB&gt;&lt;LBUNRUI_CD&gt;09&lt;/LBUNRUI_CD&gt;&lt;MBUNRUI_CD&gt;0932&lt;/MBUNRUI_CD&gt;&lt;SBUNRUI_CD&gt;093211&lt;/SBUNRUI_CD&gt;&lt;MAKER_CD /&gt;&lt;TANPIN_CD&gt;0000009045988&lt;/TANPIN_CD&gt;&lt;SYOHIN_NA&gt;ｵｰﾙﾄﾞｺｺﾅﾂﾂ&lt;/SYOHIN_NA&gt;&lt;KAIAGE_QT&gt;1&lt;/KAIAGE_QT&gt;&lt;KAIPRICE_FG /&gt;&lt;KAIKIN_VL&gt;249&lt;/KAIKIN_VL&gt;&lt;INTAX_VL&gt;268&lt;/INTAX_VL&gt;&lt;KAIGEN_VL&gt;0&lt;/KAIGEN_VL&gt;&lt;IRO_CD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</si>
  <si>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155&lt;/TORIHIKIMS_NB&gt;&lt;LBUNRUI_CD&gt;09&lt;/LBUNRUI_CD&gt;&lt;MBUNRUI_CD&gt;0932&lt;/MBUNRUI_CD&gt;&lt;SBUNRUI_CD&gt;093211&lt;/SBUNRUI_CD&gt;&lt;TANPIN_CD&gt;09045988&lt;/TANPIN_CD&gt;&lt;SYOHIN_NA&gt;ｵｰﾙﾄﾞｺｺﾅﾂﾂ&lt;/SYOHIN_NA&gt;&lt;KAIAGE_QT&gt;1&lt;/KAIAGE_QT&gt;&lt;KAIKIN_VL&gt;236&lt;/KAIKIN_VL&gt;&lt;INTAX_VL&gt;0&lt;/INTAX_VL&gt;&lt;KAIGEN_VL&gt;0&lt;/KAIGEN_VL&gt;&lt;PTARGET_FG&gt;1&lt;/PTARGET_FG&gt;&lt;BARGEN_FG&gt;0&lt;/BARGEN_FG&gt;&lt;/TRADE_LINE&gt;</t>
  </si>
  <si>
    <t xml:space="preserve">      item_scan_code: 49698626,</t>
  </si>
  <si>
    <t>&lt;TRADE_LINE&gt;&lt;TORIHIKIMS_NB&gt;4&lt;/TORIHIKIMS_NB&gt;&lt;LBUNRUI_CD&gt;08&lt;/LBUNRUI_CD&gt;&lt;MBUNRUI_CD&gt;0801&lt;/MBUNRUI_CD&gt;&lt;SBUNRUI_CD&gt;080102&lt;/SBUNRUI_CD&gt;&lt;MAKER_CD /&gt;&lt;TANPIN_CD&gt;0000008002185&lt;/TANPIN_CD&gt;&lt;SYOHIN_NA&gt;ｶﾚ-ﾇ-ﾄﾞﾙ&lt;/SYOHIN_NA&gt;&lt;KAIAGE_QT&gt;1&lt;/KAIAGE_QT&gt;&lt;KAIPRICE_FG /&gt;&lt;KAIKIN_VL&gt;189&lt;/KAIKIN_VL&gt;&lt;INTAX_VL&gt;204&lt;/INTAX_VL&gt;&lt;KAIGEN_VL&gt;0&lt;/KAIGEN_VL&gt;&lt;IRO_CD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</si>
  <si>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181&lt;/TORIHIKIMS_NB&gt;&lt;LBUNRUI_CD&gt;08&lt;/LBUNRUI_CD&gt;&lt;MBUNRUI_CD&gt;0801&lt;/MBUNRUI_CD&gt;&lt;SBUNRUI_CD&gt;080102&lt;/SBUNRUI_CD&gt;&lt;TANPIN_CD&gt;08002185&lt;/TANPIN_CD&gt;&lt;SYOHIN_NA&gt;ｶﾚ-ﾇ-ﾄﾞﾙ&lt;/SYOHIN_NA&gt;&lt;KAIAGE_QT&gt;1&lt;/KAIAGE_QT&gt;&lt;KAIKIN_VL&gt;179&lt;/KAIKIN_VL&gt;&lt;INTAX_VL&gt;0&lt;/INTAX_VL&gt;&lt;KAIGEN_VL&gt;0&lt;/KAIGEN_VL&gt;&lt;PTARGET_FG&gt;1&lt;/PTARGET_FG&gt;&lt;BARGEN_FG&gt;0&lt;/BARGEN_FG&gt;&lt;/TRADE_LINE&gt;</t>
  </si>
  <si>
    <t xml:space="preserve">      item_code: 0000049698626,</t>
  </si>
  <si>
    <t>&lt;TRADE_LINE&gt;&lt;TORIHIKIMS_NB&gt;3&lt;/TORIHIKIMS_NB&gt;&lt;LBUNRUI_CD&gt;08&lt;/LBUNRUI_CD&gt;&lt;MBUNRUI_CD&gt;0801&lt;/MBUNRUI_CD&gt;&lt;SBUNRUI_CD&gt;080102&lt;/SBUNRUI_CD&gt;&lt;MAKER_CD /&gt;&lt;TANPIN_CD&gt;0000008002002&lt;/TANPIN_CD&gt;&lt;SYOHIN_NA&gt;ｶﾂﾌﾟﾇ-ﾄﾞﾙ&lt;/SYOHIN_NA&gt;&lt;KAIAGE_QT&gt;1&lt;/KAIAGE_QT&gt;&lt;KAIPRICE_FG /&gt;&lt;KAIKIN_VL&gt;189&lt;/KAIKIN_VL&gt;&lt;INTAX_VL&gt;204&lt;/INTAX_VL&gt;&lt;KAIGEN_VL&gt;0&lt;/KAIGEN_VL&gt;&lt;IRO_CD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</si>
  <si>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182&lt;/TORIHIKIMS_NB&gt;&lt;LBUNRUI_CD&gt;08&lt;/LBUNRUI_CD&gt;&lt;MBUNRUI_CD&gt;0801&lt;/MBUNRUI_CD&gt;&lt;SBUNRUI_CD&gt;080102&lt;/SBUNRUI_CD&gt;&lt;TANPIN_CD&gt;08002002&lt;/TANPIN_CD&gt;&lt;SYOHIN_NA&gt;ｶﾂﾌﾟﾇ-ﾄﾞﾙ&lt;/SYOHIN_NA&gt;&lt;KAIAGE_QT&gt;1&lt;/KAIAGE_QT&gt;&lt;KAIKIN_VL&gt;179&lt;/KAIKIN_VL&gt;&lt;INTAX_VL&gt;0&lt;/INTAX_VL&gt;&lt;KAIGEN_VL&gt;0&lt;/KAIGEN_VL&gt;&lt;PTARGET_FG&gt;1&lt;/PTARGET_FG&gt;&lt;BARGEN_FG&gt;0&lt;/BARGEN_FG&gt;&lt;/TRADE_LINE&gt;</t>
  </si>
  <si>
    <t xml:space="preserve">      item_plu: 0000008002002,</t>
  </si>
  <si>
    <t>&lt;TRADE_LINE&gt;&lt;TORIHIKIMS_NB&gt;2&lt;/TORIHIKIMS_NB&gt;&lt;LBUNRUI_CD&gt;08&lt;/LBUNRUI_CD&gt;&lt;MBUNRUI_CD&gt;0801&lt;/MBUNRUI_CD&gt;&lt;SBUNRUI_CD&gt;080102&lt;/SBUNRUI_CD&gt;&lt;MAKER_CD /&gt;&lt;TANPIN_CD&gt;0000008002339&lt;/TANPIN_CD&gt;&lt;SYOHIN_NA&gt;ｱｶｲｷﾂﾈ&lt;/SYOHIN_NA&gt;&lt;KAIAGE_QT&gt;1&lt;/KAIAGE_QT&gt;&lt;KAIPRICE_FG /&gt;&lt;KAIKIN_VL&gt;169&lt;/KAIKIN_VL&gt;&lt;INTAX_VL&gt;182&lt;/INTAX_VL&gt;&lt;KAIGEN_VL&gt;0&lt;/KAIGEN_VL&gt;&lt;IRO_CD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</t>
  </si>
  <si>
    <t>&lt;TRADE_LINE&gt;&lt;TORIHIKIMS_NB&gt;183&lt;/TORIHIKIMS_NB&gt;&lt;LBUNRUI_CD&gt;08&lt;/LBUNRUI_CD&gt;&lt;MBUNRUI_CD&gt;0801&lt;/MBUNRUI_CD&gt;&lt;SBUNRUI_CD&gt;080102&lt;/SBUNRUI_CD&gt;&lt;TANPIN_CD&gt;08002339&lt;/TANPIN_CD&gt;&lt;SYOHIN_NA&gt;ｱｶｲｷﾂﾈ&lt;/SYOHIN_NA&gt;&lt;KAIAGE_QT&gt;1&lt;/KAIAGE_QT&gt;&lt;KAIKIN_VL&gt;160&lt;/KAIKIN_VL&gt;&lt;INTAX_VL&gt;0&lt;/INTAX_VL&gt;&lt;KAIGEN_VL&gt;0&lt;/KAIGEN_VL&gt;&lt;PTARGET_FG&gt;1&lt;/PTARGET_FG&gt;&lt;BARGEN_FG&gt;0&lt;/BARGEN_FG&gt;&lt;/TRADE_LINE&gt;</t>
  </si>
  <si>
    <t>&lt;TRADE_LINE&gt;&lt;TORIHIKIMS_NB&gt;1&lt;/TORIHIKIMS_NB&gt;&lt;LBUNRUI_CD&gt;08&lt;/LBUNRUI_CD&gt;&lt;MBUNRUI_CD&gt;0801&lt;/MBUNRUI_CD&gt;&lt;SBUNRUI_CD&gt;080102&lt;/SBUNRUI_CD&gt;&lt;MAKER_CD /&gt;&lt;TANPIN_CD&gt;0000008002452&lt;/TANPIN_CD&gt;&lt;SYOHIN_NA&gt;ﾐﾄﾞﾘﾉﾀﾇｷ&lt;/SYOHIN_NA&gt;&lt;KAIAGE_QT&gt;1&lt;/KAIAGE_QT&gt;&lt;KAIPRICE_FG /&gt;&lt;KAIKIN_VL&gt;169&lt;/KAIKIN_VL&gt;&lt;INTAX_VL&gt;182&lt;/INTAX_VL&gt;&lt;KAIGEN_VL&gt;0&lt;/KAIGEN_VL&gt;&lt;IRO_CD /&gt;&lt;IRO_NA /&gt;&lt;SIZE_CD /&gt;&lt;SIZE_NA /&gt;&lt;BRAND_CD /&gt;&lt;BRAND_NA /&gt;&lt;PTARGET_FG&gt;1&lt;/PTARGET_FG&gt;&lt;BARGEN_FG&gt;0&lt;/BARGEN_FG&gt;&lt;HANSOKURCT_NB /&gt;&lt;PRICEKIN_VL /&gt;&lt;/TRADE_LINE&gt;&lt;TRADE_PAYBD&gt;&lt;CASH_VL&gt;0&lt;/CASH_VL&gt;&lt;CREDIT_VL&gt;41933&lt;/CREDIT_VL&gt;&lt;OTHER_VL&gt;5638&lt;/OTHER_VL&gt;&lt;/TRADE_PAYBD&gt;&lt;HANSOKU_LINE&gt;&lt;HANSOKURCT_NB&gt;00101011201508170001&lt;/HANSOKURCT_NB&gt;&lt;/HANSOKU_LINE&gt;&lt;/CUSTOMER&gt;</t>
  </si>
  <si>
    <t>&lt;TRADE_LINE&gt;&lt;TORIHIKIMS_NB&gt;184&lt;/TORIHIKIMS_NB&gt;&lt;LBUNRUI_CD&gt;08&lt;/LBUNRUI_CD&gt;&lt;MBUNRUI_CD&gt;0801&lt;/MBUNRUI_CD&gt;&lt;SBUNRUI_CD&gt;080102&lt;/SBUNRUI_CD&gt;&lt;TANPIN_CD&gt;08002452&lt;/TANPIN_CD&gt;&lt;SYOHIN_NA&gt;ﾐﾄﾞﾘﾉﾀﾇｷ&lt;/SYOHIN_NA&gt;&lt;KAIAGE_QT&gt;1&lt;/KAIAGE_QT&gt;&lt;KAIKIN_VL&gt;160&lt;/KAIKIN_VL&gt;&lt;INTAX_VL&gt;0&lt;/INTAX_VL&gt;&lt;KAIGEN_VL&gt;0&lt;/KAIGEN_VL&gt;&lt;PTARGET_FG&gt;1&lt;/PTARGET_FG&gt;&lt;BARGEN_FG&gt;0&lt;/BARGEN_FG&gt;&lt;/TRADE_LINE&gt;&lt;TRADE_PAYBD&gt;&lt;CASH_VL&gt;13776&lt;/CASH_VL&gt;&lt;CREDIT_VL&gt;37369&lt;/CREDIT_VL&gt;&lt;OTHER_VL&gt;0&lt;/OTHER_VL&gt;&lt;/TRADE_PAYBD&gt;&lt;/CUSTOMER&gt;,0,,204800)</t>
  </si>
  <si>
    <t>合計</t>
    <rPh sb="0" eb="2">
      <t>ゴウケイ</t>
    </rPh>
    <phoneticPr fontId="16"/>
  </si>
  <si>
    <t>ー</t>
    <phoneticPr fontId="15"/>
  </si>
  <si>
    <t xml:space="preserve">      item_name: 日清　カップヌードル　　　　　　　　　　,</t>
  </si>
  <si>
    <t>※付与ポイント</t>
    <rPh sb="1" eb="3">
      <t>フヨ</t>
    </rPh>
    <phoneticPr fontId="15"/>
  </si>
  <si>
    <t xml:space="preserve">      item_name_short: ｶﾂﾌﾟﾇ-ﾄﾞﾙ,</t>
  </si>
  <si>
    <t>P対象金額</t>
    <phoneticPr fontId="15"/>
  </si>
  <si>
    <t>ピンクカード</t>
    <phoneticPr fontId="15"/>
  </si>
  <si>
    <t xml:space="preserve">      item_unit_price_fmt: ￥189,</t>
  </si>
  <si>
    <t>V-カード</t>
    <phoneticPr fontId="15"/>
  </si>
  <si>
    <t>外税8%</t>
    <phoneticPr fontId="15"/>
  </si>
  <si>
    <t xml:space="preserve">      item_price_fmt: ￥189,</t>
  </si>
  <si>
    <t>外税10%</t>
    <phoneticPr fontId="15"/>
  </si>
  <si>
    <t xml:space="preserve">      item_price_discount_fmt: ￥189,</t>
  </si>
  <si>
    <t xml:space="preserve">      item_no: 4,</t>
  </si>
  <si>
    <t xml:space="preserve">      item_scan_code: 49698145,</t>
  </si>
  <si>
    <t xml:space="preserve">      item_code: 0000049698145,</t>
  </si>
  <si>
    <t xml:space="preserve">      item_plu: 0000008002185,</t>
  </si>
  <si>
    <t xml:space="preserve">      item_name: 日清　カップヌードル　カレー　　　　　　,</t>
  </si>
  <si>
    <t xml:space="preserve">      item_name_short: ｶﾚ-ﾇ-ﾄﾞﾙ,</t>
  </si>
  <si>
    <t xml:space="preserve">      item_no: 5,</t>
  </si>
  <si>
    <t xml:space="preserve">      item_cancel_line: true,</t>
  </si>
  <si>
    <t xml:space="preserve">      item_scan_code: 0269406704756030000205,</t>
  </si>
  <si>
    <t xml:space="preserve">      item_code: 0269406700000,</t>
  </si>
  <si>
    <t xml:space="preserve">      item_plu: 0000004000064,</t>
  </si>
  <si>
    <t xml:space="preserve">      item_category: 04,</t>
  </si>
  <si>
    <t xml:space="preserve">      item_category_1: 0401,</t>
  </si>
  <si>
    <t xml:space="preserve">      item_category_2: 040101,</t>
  </si>
  <si>
    <t xml:space="preserve">      item_name: 本まぐろ赤身スライス刺養解番７６１　　　,</t>
  </si>
  <si>
    <t xml:space="preserve">      item_name_short: ﾎﾝﾏｸﾞﾛ,</t>
  </si>
  <si>
    <t xml:space="preserve">      item_unit_price_fmt: ￥475,</t>
  </si>
  <si>
    <t xml:space="preserve">      item_price_fmt: ￥475,</t>
  </si>
  <si>
    <t xml:space="preserve">      item_discount: [</t>
  </si>
  <si>
    <t xml:space="preserve">        {</t>
  </si>
  <si>
    <t xml:space="preserve">          item_discount_no: null,</t>
  </si>
  <si>
    <t xml:space="preserve">          item_discount_name: 割引,</t>
  </si>
  <si>
    <t xml:space="preserve">          item_discount_quantity: null,</t>
  </si>
  <si>
    <t xml:space="preserve">          item_discount_times: null,</t>
  </si>
  <si>
    <t xml:space="preserve">          item_discount_unit_price: 20%,</t>
  </si>
  <si>
    <t xml:space="preserve">          item_discount_price: -￥48</t>
  </si>
  <si>
    <t xml:space="preserve">        },</t>
  </si>
  <si>
    <t xml:space="preserve">          item_discount_name: 分類値引,</t>
  </si>
  <si>
    <t xml:space="preserve">          item_discount_unit_price: 50%,</t>
  </si>
  <si>
    <t xml:space="preserve">          item_discount_price: -￥238</t>
  </si>
  <si>
    <t xml:space="preserve">        }</t>
  </si>
  <si>
    <t xml:space="preserve">      ]</t>
  </si>
  <si>
    <t xml:space="preserve">      item_no: 6,</t>
  </si>
  <si>
    <t xml:space="preserve">      item_scan_code: 8938535840032030000504,</t>
  </si>
  <si>
    <t xml:space="preserve">      item_code: 8938535840032,</t>
  </si>
  <si>
    <t xml:space="preserve">      item_plu: 0000009045988,</t>
  </si>
  <si>
    <t xml:space="preserve">      item_category: 09,</t>
  </si>
  <si>
    <t xml:space="preserve">      item_category_1: 0932,</t>
  </si>
  <si>
    <t xml:space="preserve">      item_category_2: 093211,</t>
  </si>
  <si>
    <t xml:space="preserve">      item_name: オールドココナッツ　　　　　　　　　　　,</t>
  </si>
  <si>
    <t xml:space="preserve">      item_name_short: ｵｰﾙﾄﾞｺｺﾅﾂﾂ,</t>
  </si>
  <si>
    <t xml:space="preserve">      item_unit_price_fmt: ￥499,</t>
  </si>
  <si>
    <t xml:space="preserve">      item_price_fmt: ￥499,</t>
  </si>
  <si>
    <t xml:space="preserve">      item_price_discount_fmt: ￥249,</t>
  </si>
  <si>
    <t xml:space="preserve">          item_discount_price: -￥250</t>
  </si>
  <si>
    <t xml:space="preserve">      item_no: 7,</t>
  </si>
  <si>
    <t xml:space="preserve">      item_scan_code: 8938535840032030000306,</t>
  </si>
  <si>
    <t xml:space="preserve">      item_price_discount_fmt: ￥349,</t>
  </si>
  <si>
    <t xml:space="preserve">          item_discount_unit_price: 30%,</t>
  </si>
  <si>
    <t xml:space="preserve">          item_discount_price: -￥150</t>
  </si>
  <si>
    <t xml:space="preserve">      item_no: 8,</t>
  </si>
  <si>
    <t xml:space="preserve">      item_scan_code: 8938535840032030000207,</t>
  </si>
  <si>
    <t xml:space="preserve">      item_price_discount_fmt: ￥399,</t>
  </si>
  <si>
    <t xml:space="preserve">          item_discount_price: -￥100</t>
  </si>
  <si>
    <t xml:space="preserve">      item_no: 9,</t>
  </si>
  <si>
    <t xml:space="preserve">      item_scan_code: 0000045183553830000502,</t>
  </si>
  <si>
    <t xml:space="preserve">      item_code: 0000045183553,</t>
  </si>
  <si>
    <t xml:space="preserve">      item_plu: 0000001115162,</t>
  </si>
  <si>
    <t xml:space="preserve">      item_category: 01,</t>
  </si>
  <si>
    <t xml:space="preserve">      item_category_1: 0103,</t>
  </si>
  <si>
    <t xml:space="preserve">      item_category_2: 010301,</t>
  </si>
  <si>
    <t xml:space="preserve">      item_name: グリコ　ポップキャン　　　　　　　　　　,</t>
  </si>
  <si>
    <t xml:space="preserve">      item_name_short: ｸﾞﾘｺ ﾎﾟﾂﾌﾟｷﾔ,</t>
  </si>
  <si>
    <t xml:space="preserve">      item_unit_price_fmt: ￥49,</t>
  </si>
  <si>
    <t xml:space="preserve">      item_price_fmt: ￥49,</t>
  </si>
  <si>
    <t xml:space="preserve">      item_price_discount_fmt: ￥24,</t>
  </si>
  <si>
    <t xml:space="preserve">          item_discount_price: -￥25</t>
  </si>
  <si>
    <t xml:space="preserve">      item_no: 10,</t>
  </si>
  <si>
    <t xml:space="preserve">      item_scan_code: 0000045183553830000304,</t>
  </si>
  <si>
    <t xml:space="preserve">      item_price_discount_fmt: ￥34,</t>
  </si>
  <si>
    <t xml:space="preserve">          item_discount_price: -￥15</t>
  </si>
  <si>
    <t xml:space="preserve">      item_no: 11,</t>
  </si>
  <si>
    <t xml:space="preserve">      item_scan_code: 0000045183553830000205,</t>
  </si>
  <si>
    <t xml:space="preserve">      item_price_discount_fmt: ￥39,</t>
  </si>
  <si>
    <t xml:space="preserve">          item_discount_price: -￥10</t>
  </si>
  <si>
    <t xml:space="preserve">      item_no: 12,</t>
  </si>
  <si>
    <t xml:space="preserve">      item_scan_code: 0039047001152230000506,</t>
  </si>
  <si>
    <t xml:space="preserve">      item_code: 0039047001152,</t>
  </si>
  <si>
    <t xml:space="preserve">      item_plu: 0000001243691,</t>
  </si>
  <si>
    <t xml:space="preserve">      item_name: ウォーカー　ショートブレッド　　　　　　,</t>
  </si>
  <si>
    <t xml:space="preserve">      item_name_short: ｼﾖｰﾄﾌﾞﾚﾂﾄﾞ,</t>
  </si>
  <si>
    <t xml:space="preserve">      item_unit_price_fmt: ￥479,</t>
  </si>
  <si>
    <t xml:space="preserve">      item_price_fmt: ￥479,</t>
  </si>
  <si>
    <t xml:space="preserve">      item_price_discount_fmt: ￥239,</t>
  </si>
  <si>
    <t xml:space="preserve">          item_discount_price: -￥240</t>
  </si>
  <si>
    <t xml:space="preserve">      item_no: 13,</t>
  </si>
  <si>
    <t xml:space="preserve">      item_scan_code: 0039047001152230000308,</t>
  </si>
  <si>
    <t xml:space="preserve">      item_price_discount_fmt: ￥335,</t>
  </si>
  <si>
    <t xml:space="preserve">          item_discount_price: -￥144</t>
  </si>
  <si>
    <t xml:space="preserve">      item_no: 14,</t>
  </si>
  <si>
    <t xml:space="preserve">      item_scan_code: 0039047001152230000209,</t>
  </si>
  <si>
    <t xml:space="preserve">      item_price_discount_fmt: ￥383,</t>
  </si>
  <si>
    <t xml:space="preserve">          item_discount_price: -￥96</t>
  </si>
  <si>
    <t xml:space="preserve">      item_no: 15,</t>
  </si>
  <si>
    <t xml:space="preserve">      item_scan_code: 0714300114618230000500,</t>
  </si>
  <si>
    <t xml:space="preserve">      item_code: 0714300114618,</t>
  </si>
  <si>
    <t xml:space="preserve">      item_plu: 0000009005676,</t>
  </si>
  <si>
    <t xml:space="preserve">      item_category_1: 0931,</t>
  </si>
  <si>
    <t xml:space="preserve">      item_category_2: 093111,</t>
  </si>
  <si>
    <t xml:space="preserve">      item_name: ブルーベリー　　　　　　　　　　　　　　,</t>
  </si>
  <si>
    <t xml:space="preserve">      item_name_short: ﾌﾞﾙ-ﾍﾞﾘ-,</t>
  </si>
  <si>
    <t xml:space="preserve">      item_unit_price_fmt: ￥398,</t>
  </si>
  <si>
    <t xml:space="preserve">      item_price_fmt: ￥398,</t>
  </si>
  <si>
    <t xml:space="preserve">      item_price_discount_fmt: ￥199,</t>
  </si>
  <si>
    <t xml:space="preserve">          item_discount_price: -￥199</t>
  </si>
  <si>
    <t xml:space="preserve">      item_no: 16,</t>
  </si>
  <si>
    <t xml:space="preserve">      item_scan_code: 0714300114618230000203,</t>
  </si>
  <si>
    <t xml:space="preserve">      item_price_discount_fmt: ￥318,</t>
  </si>
  <si>
    <t xml:space="preserve">          item_discount_price: -￥80</t>
  </si>
  <si>
    <t xml:space="preserve">      item_no: 17,</t>
  </si>
  <si>
    <t xml:space="preserve">      item_scan_code: 0714300114618230000104,</t>
  </si>
  <si>
    <t xml:space="preserve">      item_price_discount_fmt: ￥358,</t>
  </si>
  <si>
    <t xml:space="preserve">          item_discount_unit_price: 10%,</t>
  </si>
  <si>
    <t xml:space="preserve">          item_discount_price: -￥40</t>
  </si>
  <si>
    <t xml:space="preserve">      item_no: 18,</t>
  </si>
  <si>
    <t xml:space="preserve">      item_scan_code: 4901004006714030000502,</t>
  </si>
  <si>
    <t xml:space="preserve">      item_code: 4901004006714,</t>
  </si>
  <si>
    <t xml:space="preserve">      item_plu: 0000044002530,</t>
  </si>
  <si>
    <t xml:space="preserve">      item_category: 44,</t>
  </si>
  <si>
    <t xml:space="preserve">      item_category_1: 4404,</t>
  </si>
  <si>
    <t xml:space="preserve">      item_category_2: 440401,</t>
  </si>
  <si>
    <t xml:space="preserve">      item_name: アサヒ　スーパードライ　３５０ｍｌ　　　,</t>
  </si>
  <si>
    <t xml:space="preserve">      item_name_short: ｽｰﾊﾟｰﾄﾞﾗｲ350,</t>
  </si>
  <si>
    <t xml:space="preserve">      item_unit_price_fmt: ￥179,</t>
  </si>
  <si>
    <t xml:space="preserve">      item_price_fmt: ￥179,</t>
  </si>
  <si>
    <t xml:space="preserve">      item_price_discount_fmt: ￥89,</t>
  </si>
  <si>
    <t xml:space="preserve">      item_tax_fmt: 外税10%,</t>
  </si>
  <si>
    <t xml:space="preserve">      item_age_limit: true,</t>
  </si>
  <si>
    <t xml:space="preserve">      discount_prohibition: 1,</t>
  </si>
  <si>
    <t xml:space="preserve">          item_discount_price: -￥90</t>
  </si>
  <si>
    <t xml:space="preserve">      item_no: 19,</t>
  </si>
  <si>
    <t xml:space="preserve">      item_scan_code: 4901004006714030000304,</t>
  </si>
  <si>
    <t xml:space="preserve">      item_price_discount_fmt: ￥125,</t>
  </si>
  <si>
    <t xml:space="preserve">          item_discount_price: -￥54</t>
  </si>
  <si>
    <t xml:space="preserve">      item_no: 20,</t>
  </si>
  <si>
    <t xml:space="preserve">      item_scan_code: 4901004006714030000205,</t>
  </si>
  <si>
    <t xml:space="preserve">      item_price_discount_fmt: ￥143,</t>
  </si>
  <si>
    <t xml:space="preserve">          item_discount_price: -￥36</t>
  </si>
  <si>
    <t xml:space="preserve">      item_no: 21,</t>
  </si>
  <si>
    <t xml:space="preserve">      item_scan_code: 0237962604988030000500,</t>
  </si>
  <si>
    <t xml:space="preserve">      item_code: 0237962600000,</t>
  </si>
  <si>
    <t xml:space="preserve">      item_plu: 0000020110642,</t>
  </si>
  <si>
    <t xml:space="preserve">      item_category: 20,</t>
  </si>
  <si>
    <t xml:space="preserve">      item_category_1: 2001,</t>
  </si>
  <si>
    <t xml:space="preserve">      item_category_2: 200101,</t>
  </si>
  <si>
    <t xml:space="preserve">      item_name: のり弁当（生姜と合わせだしの塩唐揚げ）　,</t>
  </si>
  <si>
    <t xml:space="preserve">      item_name_short: ﾉﾘﾍﾞﾝﾄｳ,</t>
  </si>
  <si>
    <t xml:space="preserve">      item_unit_price_fmt: ￥498,</t>
  </si>
  <si>
    <t xml:space="preserve">      item_price_fmt: ￥498,</t>
  </si>
  <si>
    <t xml:space="preserve">          item_discount_price: -￥249</t>
  </si>
  <si>
    <t xml:space="preserve">      item_no: 22,</t>
  </si>
  <si>
    <t xml:space="preserve">      item_scan_code: 0237962604988030000302,</t>
  </si>
  <si>
    <t xml:space="preserve">      item_price_discount_fmt: ￥348,</t>
  </si>
  <si>
    <t xml:space="preserve">      item_no: 23,</t>
  </si>
  <si>
    <t xml:space="preserve">      item_scan_code: 0237962604988030000203,</t>
  </si>
  <si>
    <t xml:space="preserve">      item_price_discount_fmt: ￥398,</t>
  </si>
  <si>
    <t xml:space="preserve">      item_no: 24,</t>
  </si>
  <si>
    <t xml:space="preserve">      item_scan_code: 0269406704756030000502,</t>
  </si>
  <si>
    <t xml:space="preserve">      item_price_discount_fmt: ￥118,</t>
  </si>
  <si>
    <t xml:space="preserve">          item_discount_price: -￥119</t>
  </si>
  <si>
    <t xml:space="preserve">      item_no: 25,</t>
  </si>
  <si>
    <t xml:space="preserve">      item_scan_code: 0269406704756030000304,</t>
  </si>
  <si>
    <t xml:space="preserve">      item_price_discount_fmt: ￥165,</t>
  </si>
  <si>
    <t xml:space="preserve">          item_discount_price: -￥72</t>
  </si>
  <si>
    <t xml:space="preserve">      item_no: 26,</t>
  </si>
  <si>
    <t xml:space="preserve">      item_no: 27,</t>
  </si>
  <si>
    <t xml:space="preserve">      item_scan_code: 0226642624804030000502,</t>
  </si>
  <si>
    <t xml:space="preserve">      item_code: 0226642600000,</t>
  </si>
  <si>
    <t xml:space="preserve">      item_plu: 0000005002168,</t>
  </si>
  <si>
    <t xml:space="preserve">      item_category: 05,</t>
  </si>
  <si>
    <t xml:space="preserve">      item_category_1: 0502,</t>
  </si>
  <si>
    <t xml:space="preserve">      item_category_2: 050203,</t>
  </si>
  <si>
    <t xml:space="preserve">      item_name: 国産豚肉生姜焼き用（ロース）　　　　　　,</t>
  </si>
  <si>
    <t xml:space="preserve">      item_name_short: ｺｸｻﾝﾌﾞﾀﾆｸｼﾖｳ,</t>
  </si>
  <si>
    <t xml:space="preserve">      item_unit_price_fmt: ￥2,480,</t>
  </si>
  <si>
    <t xml:space="preserve">      item_price_fmt: ￥2,480,</t>
  </si>
  <si>
    <t xml:space="preserve">      item_price_discount_fmt: ￥1,240,</t>
  </si>
  <si>
    <t xml:space="preserve">          item_discount_price: -￥1240</t>
  </si>
  <si>
    <t xml:space="preserve">      item_no: 28,</t>
  </si>
  <si>
    <t xml:space="preserve">      item_scan_code: 0226642624804030000304,</t>
  </si>
  <si>
    <t xml:space="preserve">      item_price_discount_fmt: ￥1,736,</t>
  </si>
  <si>
    <t xml:space="preserve">          item_discount_price: -￥744</t>
  </si>
  <si>
    <t xml:space="preserve">      item_no: 29,</t>
  </si>
  <si>
    <t xml:space="preserve">      item_scan_code: 0226642624804030000205,</t>
  </si>
  <si>
    <t xml:space="preserve">      item_price_discount_fmt: ￥1,984,</t>
  </si>
  <si>
    <t xml:space="preserve">          item_discount_price: -￥496</t>
  </si>
  <si>
    <t xml:space="preserve">      item_no: 30,</t>
  </si>
  <si>
    <t xml:space="preserve">      item_scan_code: 4700,</t>
  </si>
  <si>
    <t xml:space="preserve">      item_code: 4700,</t>
  </si>
  <si>
    <t xml:space="preserve">      item_plu: null,</t>
  </si>
  <si>
    <t xml:space="preserve">      item_category: 47,</t>
  </si>
  <si>
    <t xml:space="preserve">      item_category_1: 4700,</t>
  </si>
  <si>
    <t xml:space="preserve">      item_category_2: null,</t>
  </si>
  <si>
    <t xml:space="preserve">      item_name: 雑誌　　　　　　　　    ,</t>
  </si>
  <si>
    <t xml:space="preserve">      item_name_short: ｻﾞﾂｼ                ,</t>
  </si>
  <si>
    <t xml:space="preserve">      item_price_discount_fmt: ￥499,</t>
  </si>
  <si>
    <t xml:space="preserve">      item_no: 31,</t>
  </si>
  <si>
    <t xml:space="preserve">      item_scan_code: 2300,</t>
  </si>
  <si>
    <t xml:space="preserve">      item_code: 2300,</t>
  </si>
  <si>
    <t xml:space="preserve">      item_category: 23,</t>
  </si>
  <si>
    <t xml:space="preserve">      item_category_1: 2300,</t>
  </si>
  <si>
    <t xml:space="preserve">      item_name: 寿司　　　　　　　　    ,</t>
  </si>
  <si>
    <t xml:space="preserve">      item_name_short: ｽｼ                  ,</t>
  </si>
  <si>
    <t xml:space="preserve">      item_no: 32,</t>
  </si>
  <si>
    <t xml:space="preserve">      item_scan_code: 2700,</t>
  </si>
  <si>
    <t xml:space="preserve">      item_code: 2700,</t>
  </si>
  <si>
    <t xml:space="preserve">      item_category: 27,</t>
  </si>
  <si>
    <t xml:space="preserve">      item_category_1: 2700,</t>
  </si>
  <si>
    <t xml:space="preserve">      item_name: アウター衣料　　　　    ,</t>
  </si>
  <si>
    <t xml:space="preserve">      item_name_short: ｲﾘﾖｳﾋﾝ              ,</t>
  </si>
  <si>
    <t xml:space="preserve">      item_no: 33,</t>
  </si>
  <si>
    <t xml:space="preserve">      item_scan_code: 1300,</t>
  </si>
  <si>
    <t xml:space="preserve">      item_code: 1300,</t>
  </si>
  <si>
    <t xml:space="preserve">      item_category: 13,</t>
  </si>
  <si>
    <t xml:space="preserve">      item_category_1: 1300,</t>
  </si>
  <si>
    <t xml:space="preserve">      item_name: 実用衣料　　　　　　    ,</t>
  </si>
  <si>
    <t xml:space="preserve">      item_name_short: ｲﾘｮｳﾋﾝ              ,</t>
  </si>
  <si>
    <t xml:space="preserve">      item_no: 34,</t>
  </si>
  <si>
    <t xml:space="preserve">      item_scan_code: 4600,</t>
  </si>
  <si>
    <t xml:space="preserve">      item_code: 4600,</t>
  </si>
  <si>
    <t xml:space="preserve">      item_category: 46,</t>
  </si>
  <si>
    <t xml:space="preserve">      item_category_1: 4600,</t>
  </si>
  <si>
    <t xml:space="preserve">      item_name: 地域指定用品　　　　    ,</t>
  </si>
  <si>
    <t xml:space="preserve">      item_name_short: ﾁｲｷｼﾃｲﾖｳﾋﾝ          ,</t>
  </si>
  <si>
    <t xml:space="preserve">      item_tax_fmt: 内税10%,</t>
  </si>
  <si>
    <t xml:space="preserve">      item_no: 35,</t>
  </si>
  <si>
    <t xml:space="preserve">      item_scan_code: 1200,</t>
  </si>
  <si>
    <t xml:space="preserve">      item_code: 1200,</t>
  </si>
  <si>
    <t xml:space="preserve">      item_category: 12,</t>
  </si>
  <si>
    <t xml:space="preserve">      item_category_1: 1200,</t>
  </si>
  <si>
    <t xml:space="preserve">      item_name: バラエティ−　　　　    ,</t>
  </si>
  <si>
    <t xml:space="preserve">      item_name_short: ﾊﾞﾗｴﾃｨ-ｻﾞｯｶ         ,</t>
  </si>
  <si>
    <t xml:space="preserve">      item_no: 36,</t>
  </si>
  <si>
    <t xml:space="preserve">      item_scan_code: 0700,</t>
  </si>
  <si>
    <t xml:space="preserve">      item_code: 0700,</t>
  </si>
  <si>
    <t xml:space="preserve">      item_category: 07,</t>
  </si>
  <si>
    <t xml:space="preserve">      item_category_1: 0700,</t>
  </si>
  <si>
    <t xml:space="preserve">      item_name: 日用雑貨　　　　　　    ,</t>
  </si>
  <si>
    <t xml:space="preserve">      item_name_short: ｻﾞｯｶ                ,</t>
  </si>
  <si>
    <t xml:space="preserve">      item_no: 37,</t>
  </si>
  <si>
    <t xml:space="preserve">      item_scan_code: 2000,</t>
  </si>
  <si>
    <t xml:space="preserve">      item_code: 2000,</t>
  </si>
  <si>
    <t xml:space="preserve">      item_category_1: 2000,</t>
  </si>
  <si>
    <t xml:space="preserve">      item_name: 惣菜　　　　　　　　    ,</t>
  </si>
  <si>
    <t xml:space="preserve">      item_name_short: ｿｳｻﾞｲ               ,</t>
  </si>
  <si>
    <t xml:space="preserve">      item_no: 38,</t>
  </si>
  <si>
    <t xml:space="preserve">      item_scan_code: 4400,</t>
  </si>
  <si>
    <t xml:space="preserve">      item_code: 4400,</t>
  </si>
  <si>
    <t xml:space="preserve">      item_category_1: 4400,</t>
  </si>
  <si>
    <t xml:space="preserve">      item_name: 酒　　　　　　　　　    ,</t>
  </si>
  <si>
    <t xml:space="preserve">      item_name_short: ｻｹ                  ,</t>
  </si>
  <si>
    <t xml:space="preserve">      item_no: 39,</t>
  </si>
  <si>
    <t xml:space="preserve">      item_scan_code: 4800,</t>
  </si>
  <si>
    <t xml:space="preserve">      item_code: 4800,</t>
  </si>
  <si>
    <t xml:space="preserve">      item_category: 48,</t>
  </si>
  <si>
    <t xml:space="preserve">      item_category_1: 4800,</t>
  </si>
  <si>
    <t xml:space="preserve">      item_name: その他酒　　　　　　    ,</t>
  </si>
  <si>
    <t xml:space="preserve">      item_name_short: ｿﾉﾀｻｹ               ,</t>
  </si>
  <si>
    <t xml:space="preserve">      item_no: 40,</t>
  </si>
  <si>
    <t xml:space="preserve">      item_scan_code: 0800,</t>
  </si>
  <si>
    <t xml:space="preserve">      item_code: 0800,</t>
  </si>
  <si>
    <t xml:space="preserve">      item_category_1: 0800,</t>
  </si>
  <si>
    <t xml:space="preserve">      item_name: 農水産乾物　　　　　    ,</t>
  </si>
  <si>
    <t xml:space="preserve">      item_name_short: ｶﾝﾌﾞﾂ               ,</t>
  </si>
  <si>
    <t xml:space="preserve">      item_no: 41,</t>
  </si>
  <si>
    <t xml:space="preserve">      item_scan_code: 0300,</t>
  </si>
  <si>
    <t xml:space="preserve">      item_code: 0300,</t>
  </si>
  <si>
    <t xml:space="preserve">      item_category: 03,</t>
  </si>
  <si>
    <t xml:space="preserve">      item_category_1: 0300,</t>
  </si>
  <si>
    <t xml:space="preserve">      item_name: 一般食品　　　　　　    ,</t>
  </si>
  <si>
    <t xml:space="preserve">      item_name_short: ｲｯﾊﾟﾝｼｮｸﾋﾝ          ,</t>
  </si>
  <si>
    <t xml:space="preserve">      item_no: 42,</t>
  </si>
  <si>
    <t xml:space="preserve">      item_scan_code: 0100,</t>
  </si>
  <si>
    <t xml:space="preserve">      item_code: 0100,</t>
  </si>
  <si>
    <t xml:space="preserve">      item_category_1: 0100,</t>
  </si>
  <si>
    <t xml:space="preserve">      item_name: 菓子　　　　　　　　    ,</t>
  </si>
  <si>
    <t xml:space="preserve">      item_name_short: ｶｼ                  ,</t>
  </si>
  <si>
    <t xml:space="preserve">      item_no: 43,</t>
  </si>
  <si>
    <t xml:space="preserve">      item_scan_code: 1400,</t>
  </si>
  <si>
    <t xml:space="preserve">      item_code: 1400,</t>
  </si>
  <si>
    <t xml:space="preserve">      item_category: 14,</t>
  </si>
  <si>
    <t xml:space="preserve">      item_category_1: 1400,</t>
  </si>
  <si>
    <t xml:space="preserve">      item_name: タハ゛コ　　　　　　    ,</t>
  </si>
  <si>
    <t xml:space="preserve">      item_name_short: ﾀﾊﾞｺ                ,</t>
  </si>
  <si>
    <t xml:space="preserve">      item_no: 44,</t>
  </si>
  <si>
    <t xml:space="preserve">      item_scan_code: 5400,</t>
  </si>
  <si>
    <t xml:space="preserve">      item_code: 5400,</t>
  </si>
  <si>
    <t xml:space="preserve">      item_category: 54,</t>
  </si>
  <si>
    <t xml:space="preserve">      item_category_1: 5400,</t>
  </si>
  <si>
    <t xml:space="preserve">      item_name: 米　　　　　　　　　    ,</t>
  </si>
  <si>
    <t xml:space="preserve">      item_name_short: ｺﾒ                  ,</t>
  </si>
  <si>
    <t xml:space="preserve">      item_no: 45,</t>
  </si>
  <si>
    <t xml:space="preserve">      item_scan_code: 4300,</t>
  </si>
  <si>
    <t xml:space="preserve">      item_code: 4300,</t>
  </si>
  <si>
    <t xml:space="preserve">      item_category: 43,</t>
  </si>
  <si>
    <t xml:space="preserve">      item_category_1: 4300,</t>
  </si>
  <si>
    <t xml:space="preserve">      item_name: ホ゛ンマタン　　　　    ,</t>
  </si>
  <si>
    <t xml:space="preserve">      item_name_short: ﾎﾞﾝﾏﾀﾝ              ,</t>
  </si>
  <si>
    <t xml:space="preserve">      item_no: 46,</t>
  </si>
  <si>
    <t xml:space="preserve">      item_scan_code: 3400,</t>
  </si>
  <si>
    <t xml:space="preserve">      item_code: 3400,</t>
  </si>
  <si>
    <t xml:space="preserve">      item_category: 34,</t>
  </si>
  <si>
    <t xml:space="preserve">      item_category_1: 3400,</t>
  </si>
  <si>
    <t xml:space="preserve">      item_name: ベ−カリ−　　　　　    ,</t>
  </si>
  <si>
    <t xml:space="preserve">      item_name_short: ﾍﾞ-ｶﾘ-              ,</t>
  </si>
  <si>
    <t xml:space="preserve">      item_no: 47,</t>
  </si>
  <si>
    <t xml:space="preserve">      item_scan_code: 1100,</t>
  </si>
  <si>
    <t xml:space="preserve">      item_code: 1100,</t>
  </si>
  <si>
    <t xml:space="preserve">      item_category: 11,</t>
  </si>
  <si>
    <t xml:space="preserve">      item_category_1: 1100,</t>
  </si>
  <si>
    <t xml:space="preserve">      item_name: 乳製品・冷食　　　　    ,</t>
  </si>
  <si>
    <t xml:space="preserve">      item_name_short: ﾆｭｳｾｲﾋﾝﾚｲｼｮｸ        ,</t>
  </si>
  <si>
    <t xml:space="preserve">      item_no: 48,</t>
  </si>
  <si>
    <t xml:space="preserve">      item_scan_code: 1000,</t>
  </si>
  <si>
    <t xml:space="preserve">      item_code: 1000,</t>
  </si>
  <si>
    <t xml:space="preserve">      item_category: 10,</t>
  </si>
  <si>
    <t xml:space="preserve">      item_category_1: 1000,</t>
  </si>
  <si>
    <t xml:space="preserve">      item_name: テ゛イリ−　　　　　    ,</t>
  </si>
  <si>
    <t xml:space="preserve">      item_name_short: ﾃﾞｲﾘ-ｼｮｸﾋﾝ          ,</t>
  </si>
  <si>
    <t xml:space="preserve">      item_no: 49,</t>
  </si>
  <si>
    <t xml:space="preserve">      item_scan_code: 0500,</t>
  </si>
  <si>
    <t xml:space="preserve">      item_code: 0500,</t>
  </si>
  <si>
    <t xml:space="preserve">      item_category_1: 0500,</t>
  </si>
  <si>
    <t xml:space="preserve">      item_name: 精肉　　　　　　　　    ,</t>
  </si>
  <si>
    <t xml:space="preserve">      item_name_short: ｾｲﾆｸ                ,</t>
  </si>
  <si>
    <t xml:space="preserve">      item_no: 50,</t>
  </si>
  <si>
    <t xml:space="preserve">      item_scan_code: 0600,</t>
  </si>
  <si>
    <t xml:space="preserve">      item_code: 0600,</t>
  </si>
  <si>
    <t xml:space="preserve">      item_category: 06,</t>
  </si>
  <si>
    <t xml:space="preserve">      item_category_1: 0600,</t>
  </si>
  <si>
    <t xml:space="preserve">      item_name: 塩干　　　　　　　　    ,</t>
  </si>
  <si>
    <t xml:space="preserve">      item_name_short: ｴﾝｶﾝ                ,</t>
  </si>
  <si>
    <t xml:space="preserve">      item_no: 51,</t>
  </si>
  <si>
    <t xml:space="preserve">      item_scan_code: 0400,</t>
  </si>
  <si>
    <t xml:space="preserve">      item_code: 0400,</t>
  </si>
  <si>
    <t xml:space="preserve">      item_category_1: 0400,</t>
  </si>
  <si>
    <t xml:space="preserve">      item_name: 鮮魚　　　　　　　　    ,</t>
  </si>
  <si>
    <t xml:space="preserve">      item_name_short: ｾﾝｷﾞｮ               ,</t>
  </si>
  <si>
    <t xml:space="preserve">      item_no: 52,</t>
  </si>
  <si>
    <t xml:space="preserve">      item_scan_code: 1500,</t>
  </si>
  <si>
    <t xml:space="preserve">      item_code: 1500,</t>
  </si>
  <si>
    <t xml:space="preserve">      item_category: 15,</t>
  </si>
  <si>
    <t xml:space="preserve">      item_category_1: 1500,</t>
  </si>
  <si>
    <t xml:space="preserve">      item_name: フロ−ラル　　　　　    ,</t>
  </si>
  <si>
    <t xml:space="preserve">      item_name_short: ﾊﾅ                  ,</t>
  </si>
  <si>
    <t xml:space="preserve">      item_no: 53,</t>
  </si>
  <si>
    <t xml:space="preserve">      item_scan_code: 0900,</t>
  </si>
  <si>
    <t xml:space="preserve">      item_code: 0900,</t>
  </si>
  <si>
    <t xml:space="preserve">      item_category_1: 0900,</t>
  </si>
  <si>
    <t xml:space="preserve">      item_name: 果物　　　　　　　　    ,</t>
  </si>
  <si>
    <t xml:space="preserve">      item_name_short: ｸﾀﾞﾓﾉ               ,</t>
  </si>
  <si>
    <t xml:space="preserve">      item_no: 54,</t>
  </si>
  <si>
    <t xml:space="preserve">      item_scan_code: 0200,</t>
  </si>
  <si>
    <t xml:space="preserve">      item_code: 0200,</t>
  </si>
  <si>
    <t xml:space="preserve">      item_category: 02,</t>
  </si>
  <si>
    <t xml:space="preserve">      item_category_1: 0200,</t>
  </si>
  <si>
    <t xml:space="preserve">      item_name: 野菜　　　　　　　　    ,</t>
  </si>
  <si>
    <t xml:space="preserve">      item_name_short: ﾔｻｲ                 ,</t>
  </si>
  <si>
    <t xml:space="preserve">      item_no: 55,</t>
  </si>
  <si>
    <t xml:space="preserve">      item_scan_code: 97842971136741923055019805,</t>
  </si>
  <si>
    <t xml:space="preserve">      item_code: 4910000000008,</t>
  </si>
  <si>
    <t xml:space="preserve">      item_plu: 0000047002344,</t>
  </si>
  <si>
    <t xml:space="preserve">      item_category_1: null,</t>
  </si>
  <si>
    <t xml:space="preserve">      item_name: 新共通雑誌コード　　　　　　　　　　　　,</t>
  </si>
  <si>
    <t xml:space="preserve">      item_name_short: ｻﾞﾂｼ,</t>
  </si>
  <si>
    <t xml:space="preserve">      item_unit_price_fmt: ￥1,980,</t>
  </si>
  <si>
    <t xml:space="preserve">      item_price_fmt: ￥1,980,</t>
  </si>
  <si>
    <t xml:space="preserve">      item_price_discount_fmt: ￥1,980,</t>
  </si>
  <si>
    <t xml:space="preserve">      item_no: 56,</t>
  </si>
  <si>
    <t xml:space="preserve">      item_scan_code: 97842971113111922036011005,</t>
  </si>
  <si>
    <t xml:space="preserve">      item_unit_price_fmt: ￥1,100,</t>
  </si>
  <si>
    <t xml:space="preserve">      item_price_fmt: ￥1,100,</t>
  </si>
  <si>
    <t xml:space="preserve">      item_price_discount_fmt: ￥1,100,</t>
  </si>
  <si>
    <t xml:space="preserve">      item_no: 57,</t>
  </si>
  <si>
    <t xml:space="preserve">      item_scan_code: 4902016151478,</t>
  </si>
  <si>
    <t xml:space="preserve">      item_code: 4902016151478,</t>
  </si>
  <si>
    <t xml:space="preserve">      item_plu: 0000010119728,</t>
  </si>
  <si>
    <t xml:space="preserve">      item_category_1: 1040,</t>
  </si>
  <si>
    <t xml:space="preserve">      item_category_2: 104002,</t>
  </si>
  <si>
    <t xml:space="preserve">      item_name: ピックルス　ぬか胡瓜　　　　　　　　　　,</t>
  </si>
  <si>
    <t xml:space="preserve">      item_name_short: ﾇｶｷﾕｳﾘ,</t>
  </si>
  <si>
    <t xml:space="preserve">      item_unit_price_fmt: ￥329,</t>
  </si>
  <si>
    <t xml:space="preserve">      item_price_fmt: ￥329,</t>
  </si>
  <si>
    <t xml:space="preserve">      item_price_discount_fmt: ￥263,</t>
  </si>
  <si>
    <t xml:space="preserve">          item_discount_price: -￥66</t>
  </si>
  <si>
    <t xml:space="preserve">      item_no: 58,</t>
  </si>
  <si>
    <t xml:space="preserve">      item_no: 59,</t>
  </si>
  <si>
    <t xml:space="preserve">      item_scan_code: 4904962014548,</t>
  </si>
  <si>
    <t xml:space="preserve">      item_code: 4904962014548,</t>
  </si>
  <si>
    <t xml:space="preserve">      item_plu: 0000010401008,</t>
  </si>
  <si>
    <t xml:space="preserve">      item_category_2: 104006,</t>
  </si>
  <si>
    <t xml:space="preserve">      item_name: トノハタ　紀州産南高梅しそ漬味梅干　　　,</t>
  </si>
  <si>
    <t xml:space="preserve">      item_name_short: ﾅﾝｺｳﾊﾞｲｼｿ,</t>
  </si>
  <si>
    <t xml:space="preserve">      item_unit_price_fmt: ￥599,</t>
  </si>
  <si>
    <t xml:space="preserve">      item_price_fmt: ￥599,</t>
  </si>
  <si>
    <t xml:space="preserve">      item_price_discount_fmt: ￥479,</t>
  </si>
  <si>
    <t xml:space="preserve">          item_discount_price: -￥120</t>
  </si>
  <si>
    <t xml:space="preserve">      item_no: 60,</t>
  </si>
  <si>
    <t xml:space="preserve">      item_scan_code: 4549077899057,</t>
  </si>
  <si>
    <t xml:space="preserve">      item_code: 4549077899057,</t>
  </si>
  <si>
    <t xml:space="preserve">      item_plu: 0000012125032,</t>
  </si>
  <si>
    <t xml:space="preserve">      item_category_1: 1241,</t>
  </si>
  <si>
    <t xml:space="preserve">      item_category_2: 124101,</t>
  </si>
  <si>
    <t xml:space="preserve">      item_name: パナソニック　エボルタネオ単３　８本入　,</t>
  </si>
  <si>
    <t xml:space="preserve">      item_name_short: ｴﾎﾞﾙﾀﾈｵ ﾀﾝ3,</t>
  </si>
  <si>
    <t xml:space="preserve">      item_unit_price_fmt: ￥1,090,</t>
  </si>
  <si>
    <t xml:space="preserve">      item_price_fmt: ￥1,090,</t>
  </si>
  <si>
    <t xml:space="preserve">      item_price_discount_fmt: ￥1,090,</t>
  </si>
  <si>
    <t xml:space="preserve">      item_no: 61,</t>
  </si>
  <si>
    <t xml:space="preserve">      item_scan_code: 4901683053108,</t>
  </si>
  <si>
    <t xml:space="preserve">      item_code: 4901683053108,</t>
  </si>
  <si>
    <t xml:space="preserve">      item_plu: 0000007880006,</t>
  </si>
  <si>
    <t xml:space="preserve">      item_category_1: 0788,</t>
  </si>
  <si>
    <t xml:space="preserve">      item_category_2: 078801,</t>
  </si>
  <si>
    <t xml:space="preserve">      item_name: レジ袋　　　　　　　　　　　　　　　　　,</t>
  </si>
  <si>
    <t xml:space="preserve">      item_name_short: &gt;ﾚｼﾞﾌﾞｸﾛ,</t>
  </si>
  <si>
    <t xml:space="preserve">      item_unit_price_fmt: ￥5,</t>
  </si>
  <si>
    <t xml:space="preserve">      item_price_fmt: ￥5,</t>
  </si>
  <si>
    <t xml:space="preserve">      item_price_discount_fmt: ￥5,</t>
  </si>
  <si>
    <t xml:space="preserve">      item_no: 62,</t>
  </si>
  <si>
    <t xml:space="preserve">      item_scan_code: 4967777017173,</t>
  </si>
  <si>
    <t xml:space="preserve">      item_code: 4967777017173,</t>
  </si>
  <si>
    <t xml:space="preserve">      item_plu: 0000011521694,</t>
  </si>
  <si>
    <t xml:space="preserve">      item_category_1: 1152,</t>
  </si>
  <si>
    <t xml:space="preserve">      item_category_2: 115201,</t>
  </si>
  <si>
    <t xml:space="preserve">      item_name: 富士通商　お徳用　ブロッコリー　　　　　,</t>
  </si>
  <si>
    <t xml:space="preserve">      item_name_short: ﾌﾞﾛﾂｺﾘｰ,</t>
  </si>
  <si>
    <t xml:space="preserve">      item_unit_price_fmt: ￥359,</t>
  </si>
  <si>
    <t xml:space="preserve">      item_price_fmt: ￥359,</t>
  </si>
  <si>
    <t xml:space="preserve">      item_price_discount_fmt: ￥359,</t>
  </si>
  <si>
    <t xml:space="preserve">      item_no: 63,</t>
  </si>
  <si>
    <t xml:space="preserve">      item_scan_code: 4908010721006,</t>
  </si>
  <si>
    <t xml:space="preserve">      item_code: 4908010721006,</t>
  </si>
  <si>
    <t xml:space="preserve">      item_plu: 0000058000330,</t>
  </si>
  <si>
    <t xml:space="preserve">      item_category: 58,</t>
  </si>
  <si>
    <t xml:space="preserve">      item_category_1: 5801,</t>
  </si>
  <si>
    <t xml:space="preserve">      item_category_2: 580101,</t>
  </si>
  <si>
    <t xml:space="preserve">      item_name: 全農連　おこめギフト券　１Ｋｇ　　　　　,</t>
  </si>
  <si>
    <t xml:space="preserve">      item_name_short: ｵｺﾒ ｷﾞﾌﾄｹﾝ,</t>
  </si>
  <si>
    <t xml:space="preserve">      item_unit_price_fmt: ￥500,</t>
  </si>
  <si>
    <t xml:space="preserve">      item_price_fmt: ￥500,</t>
  </si>
  <si>
    <t xml:space="preserve">      item_price_discount_fmt: ￥500,</t>
  </si>
  <si>
    <t xml:space="preserve">      item_tax_fmt: 非課税,</t>
  </si>
  <si>
    <t xml:space="preserve">      item_no: 64,</t>
  </si>
  <si>
    <t xml:space="preserve">      item_scan_code: 4959092100159,</t>
  </si>
  <si>
    <t xml:space="preserve">      item_code: 4959092100159,</t>
  </si>
  <si>
    <t xml:space="preserve">      item_plu: 0000058010025,</t>
  </si>
  <si>
    <t xml:space="preserve">      item_name: ビール共通ギフト券　大瓶２本券　Ａー２５,</t>
  </si>
  <si>
    <t xml:space="preserve">      item_name_short: ﾋﾞｰﾙｷﾞﾌﾄｹﾝﾋﾞ,</t>
  </si>
  <si>
    <t xml:space="preserve">      item_unit_price_fmt: ￥915,</t>
  </si>
  <si>
    <t xml:space="preserve">      item_price_fmt: ￥915,</t>
  </si>
  <si>
    <t xml:space="preserve">      item_price_discount_fmt: ￥915,</t>
  </si>
  <si>
    <t xml:space="preserve">      item_no: 65,</t>
  </si>
  <si>
    <t xml:space="preserve">      item_scan_code: 4959092600109,</t>
  </si>
  <si>
    <t xml:space="preserve">      item_code: 4959092600109,</t>
  </si>
  <si>
    <t xml:space="preserve">      item_plu: 0000058010033,</t>
  </si>
  <si>
    <t xml:space="preserve">      item_name: ビール共通ギフト券３５０×２缶券　Ｋ１１,</t>
  </si>
  <si>
    <t xml:space="preserve">      item_name_short: ﾋﾞｰﾙｷﾞﾌﾄｹﾝｶﾝ,</t>
  </si>
  <si>
    <t xml:space="preserve">      item_unit_price_fmt: ￥560,</t>
  </si>
  <si>
    <t xml:space="preserve">      item_price_fmt: ￥560,</t>
  </si>
  <si>
    <t xml:space="preserve">      item_price_discount_fmt: ￥560,</t>
  </si>
  <si>
    <t xml:space="preserve">      item_no: 66,</t>
  </si>
  <si>
    <t xml:space="preserve">      item_scan_code: 03801000,</t>
  </si>
  <si>
    <t xml:space="preserve">      item_code: 0000003801000,</t>
  </si>
  <si>
    <t xml:space="preserve">      item_plu: 0000059000007,</t>
  </si>
  <si>
    <t xml:space="preserve">      item_category: 59,</t>
  </si>
  <si>
    <t xml:space="preserve">      item_name: いなげや商品券　１０００円　　　　　　　,</t>
  </si>
  <si>
    <t xml:space="preserve">      item_name_short: ｼﾖｳﾋﾝｹﾝ 1000,</t>
  </si>
  <si>
    <t xml:space="preserve">      item_unit_price_fmt: ￥1,000,</t>
  </si>
  <si>
    <t xml:space="preserve">      item_price_fmt: ￥1,000,</t>
  </si>
  <si>
    <t xml:space="preserve">      item_price_discount_fmt: ￥1,000,</t>
  </si>
  <si>
    <t xml:space="preserve">      item_no: 67,</t>
  </si>
  <si>
    <t xml:space="preserve">      item_scan_code: 05341801,</t>
  </si>
  <si>
    <t xml:space="preserve">      item_code: 0000005341801,</t>
  </si>
  <si>
    <t xml:space="preserve">      item_plu: 0000058001051,</t>
  </si>
  <si>
    <t xml:space="preserve">      item_category_2: 580197,</t>
  </si>
  <si>
    <t xml:space="preserve">      item_name: ハガキ　　８５円　　　　　　　　　　　　,</t>
  </si>
  <si>
    <t xml:space="preserve">      item_name_short: ﾊｶﾞｷ,</t>
  </si>
  <si>
    <t xml:space="preserve">      item_unit_price_fmt: ￥85,</t>
  </si>
  <si>
    <t xml:space="preserve">      item_price_fmt: ￥85,</t>
  </si>
  <si>
    <t xml:space="preserve">      item_price_discount_fmt: ￥85,</t>
  </si>
  <si>
    <t xml:space="preserve">      item_no: 68,</t>
  </si>
  <si>
    <t xml:space="preserve">      item_scan_code: 4535508000086,</t>
  </si>
  <si>
    <t xml:space="preserve">      item_code: 4535508000086,</t>
  </si>
  <si>
    <t xml:space="preserve">      item_plu: 0000046001433,</t>
  </si>
  <si>
    <t xml:space="preserve">      item_category_1: 4601,</t>
  </si>
  <si>
    <t xml:space="preserve">      item_category_2: 460102,</t>
  </si>
  <si>
    <t xml:space="preserve">      item_name: 武蔵野市指定ゴミ袋　２０リットル　　　　,</t>
  </si>
  <si>
    <t xml:space="preserve">      item_name_short: ｺﾞﾐﾌﾞｸﾛ20,</t>
  </si>
  <si>
    <t xml:space="preserve">      item_unit_price_fmt: ￥400,</t>
  </si>
  <si>
    <t xml:space="preserve">      item_price_fmt: ￥400,</t>
  </si>
  <si>
    <t xml:space="preserve">      item_price_discount_fmt: ￥400,</t>
  </si>
  <si>
    <t xml:space="preserve">      item_no: 69,</t>
  </si>
  <si>
    <t xml:space="preserve">      item_scan_code: 7622100832898,</t>
  </si>
  <si>
    <t xml:space="preserve">      item_code: 7622100832898,</t>
  </si>
  <si>
    <t xml:space="preserve">      item_plu: 0000014010887,</t>
  </si>
  <si>
    <t xml:space="preserve">      item_category_1: 1474,</t>
  </si>
  <si>
    <t xml:space="preserve">      item_category_2: 147402,</t>
  </si>
  <si>
    <t xml:space="preserve">      item_name: テリア　メンソール　１個　　　　　　　　,</t>
  </si>
  <si>
    <t xml:space="preserve">      item_name_short: ﾃﾘｱM,</t>
  </si>
  <si>
    <t xml:space="preserve">      item_unit_price_fmt: ￥580,</t>
  </si>
  <si>
    <t xml:space="preserve">      item_price_fmt: ￥580,</t>
  </si>
  <si>
    <t xml:space="preserve">      item_price_discount_fmt: ￥580,</t>
  </si>
  <si>
    <t xml:space="preserve">      item_no: 70,</t>
  </si>
  <si>
    <t xml:space="preserve">      item_scan_code: 49400397,</t>
  </si>
  <si>
    <t xml:space="preserve">      item_code: 0000049400397,</t>
  </si>
  <si>
    <t xml:space="preserve">      item_plu: 0000014000059,</t>
  </si>
  <si>
    <t xml:space="preserve">      item_category_2: 147401,</t>
  </si>
  <si>
    <t xml:space="preserve">      item_name: セブンスター　１個　　　　　　　　　　　,</t>
  </si>
  <si>
    <t xml:space="preserve">      item_name_short: ﾀﾊﾞｺ,</t>
  </si>
  <si>
    <t xml:space="preserve">      item_unit_price_fmt: ￥600,</t>
  </si>
  <si>
    <t xml:space="preserve">      item_price_fmt: ￥600,</t>
  </si>
  <si>
    <t xml:space="preserve">      item_price_discount_fmt: ￥600,</t>
  </si>
  <si>
    <t xml:space="preserve">      item_no: 71,</t>
  </si>
  <si>
    <t xml:space="preserve">      item_scan_code: 4904230030010,</t>
  </si>
  <si>
    <t xml:space="preserve">      item_code: 4904230030010,</t>
  </si>
  <si>
    <t xml:space="preserve">      item_plu: 0000048001554,</t>
  </si>
  <si>
    <t xml:space="preserve">      item_category_1: 4803,</t>
  </si>
  <si>
    <t xml:space="preserve">      item_category_2: 480301,</t>
  </si>
  <si>
    <t xml:space="preserve">      item_name: アサヒ　ドライゼロ　３５０ｍｌ×６　　　,</t>
  </si>
  <si>
    <t xml:space="preserve">      item_name_short: ﾄﾞﾗｲｾﾞﾛ6ｶﾝ,</t>
  </si>
  <si>
    <t xml:space="preserve">      item_price_discount_fmt: ￥599,</t>
  </si>
  <si>
    <t xml:space="preserve">      item_no: 72,</t>
  </si>
  <si>
    <t xml:space="preserve">      item_scan_code: 4901004006721,</t>
  </si>
  <si>
    <t xml:space="preserve">      item_code: 4901004006721,</t>
  </si>
  <si>
    <t xml:space="preserve">      item_plu: 0000044002556,</t>
  </si>
  <si>
    <t xml:space="preserve">      item_name: アサヒ　スーパードライ　３５０ｍｌ×６　,</t>
  </si>
  <si>
    <t xml:space="preserve">      item_name_short: ｽｰﾊﾟｰﾄﾞﾗｲ6P,</t>
  </si>
  <si>
    <t xml:space="preserve">      item_unit_price_fmt: ￥1,055,</t>
  </si>
  <si>
    <t xml:space="preserve">      item_price_fmt: ￥1,055,</t>
  </si>
  <si>
    <t xml:space="preserve">      item_price_discount_fmt: ￥1,055,</t>
  </si>
  <si>
    <t xml:space="preserve">      item_no: 73,</t>
  </si>
  <si>
    <t xml:space="preserve">      item_scan_code: 4901515001536,</t>
  </si>
  <si>
    <t xml:space="preserve">      item_code: 4901515001536,</t>
  </si>
  <si>
    <t xml:space="preserve">      item_plu: 0000053287908,</t>
  </si>
  <si>
    <t xml:space="preserve">      item_category: 53,</t>
  </si>
  <si>
    <t xml:space="preserve">      item_category_1: 5344,</t>
  </si>
  <si>
    <t xml:space="preserve">      item_category_2: 534444,</t>
  </si>
  <si>
    <t xml:space="preserve">      item_name: ＩＧマンジョウ　濃厚熟成本みりん　１Ｌ　,</t>
  </si>
  <si>
    <t xml:space="preserve">      item_name_short: IGｼﾞﾕｸｾｲﾐﾘﾝ,</t>
  </si>
  <si>
    <t xml:space="preserve">      item_price_discount_fmt: ￥329,</t>
  </si>
  <si>
    <t xml:space="preserve">      item_no: 74,</t>
  </si>
  <si>
    <t xml:space="preserve">      item_scan_code: 04971573,</t>
  </si>
  <si>
    <t xml:space="preserve">      item_code: 0000004971573,</t>
  </si>
  <si>
    <t xml:space="preserve">      item_plu: 0000043146937,</t>
  </si>
  <si>
    <t xml:space="preserve">      item_category_1: 4306,</t>
  </si>
  <si>
    <t xml:space="preserve">      item_category_2: 430601,</t>
  </si>
  <si>
    <t xml:space="preserve">      item_name: ミニパン詰め合わせ６コ入　　　　　　　　,</t>
  </si>
  <si>
    <t xml:space="preserve">      item_name_short: ﾐﾆﾊﾟﾝﾂﾒｱﾜｾ6ｺ,</t>
  </si>
  <si>
    <t xml:space="preserve">      item_unit_price_fmt: ￥249,</t>
  </si>
  <si>
    <t xml:space="preserve">      item_price_fmt: ￥249,</t>
  </si>
  <si>
    <t xml:space="preserve">      item_no: 75,</t>
  </si>
  <si>
    <t xml:space="preserve">      item_scan_code: 224847807992,</t>
  </si>
  <si>
    <t xml:space="preserve">      item_code: 0224847800000,</t>
  </si>
  <si>
    <t xml:space="preserve">      item_plu: 0000023374071,</t>
  </si>
  <si>
    <t xml:space="preserve">      item_category_1: 2301,</t>
  </si>
  <si>
    <t xml:space="preserve">      item_category_2: 230101,</t>
  </si>
  <si>
    <t xml:space="preserve">      item_name: にぎり寿司　かおり　　　　　　　　　　　,</t>
  </si>
  <si>
    <t xml:space="preserve">      item_name_short: ﾆｷﾞﾘ ｶｵﾘ,</t>
  </si>
  <si>
    <t xml:space="preserve">      item_unit_price_fmt: ￥799,</t>
  </si>
  <si>
    <t xml:space="preserve">      item_price_fmt: ￥799,</t>
  </si>
  <si>
    <t xml:space="preserve">      item_price_discount_fmt: ￥799,</t>
  </si>
  <si>
    <t xml:space="preserve">      item_no: 76,</t>
  </si>
  <si>
    <t xml:space="preserve">      item_scan_code: 4945224356181,</t>
  </si>
  <si>
    <t xml:space="preserve">      item_code: 4945224356181,</t>
  </si>
  <si>
    <t xml:space="preserve">      item_plu: 0000023364475,</t>
  </si>
  <si>
    <t xml:space="preserve">      item_category_1: 2304,</t>
  </si>
  <si>
    <t xml:space="preserve">      item_category_2: 230402,</t>
  </si>
  <si>
    <t xml:space="preserve">      item_name: 押し寿司バッテラ６カン（アウト）　　　　,</t>
  </si>
  <si>
    <t xml:space="preserve">      item_name_short: ﾊﾞﾂﾃﾗ 6ｶﾝ,</t>
  </si>
  <si>
    <t xml:space="preserve">      item_unit_price_fmt: ￥399,</t>
  </si>
  <si>
    <t xml:space="preserve">      item_price_fmt: ￥399,</t>
  </si>
  <si>
    <t xml:space="preserve">      item_no: 77,</t>
  </si>
  <si>
    <t xml:space="preserve">      item_scan_code: 248954603995,</t>
  </si>
  <si>
    <t xml:space="preserve">      item_code: 0248954600000,</t>
  </si>
  <si>
    <t xml:space="preserve">      item_plu: 0000020421028,</t>
  </si>
  <si>
    <t xml:space="preserve">      item_category_1: 2004,</t>
  </si>
  <si>
    <t xml:space="preserve">      item_category_2: 200401,</t>
  </si>
  <si>
    <t xml:space="preserve">      item_name: 熟成三元豚の柔らかロースとんかつ１枚　　,</t>
  </si>
  <si>
    <t xml:space="preserve">      item_name_short: ﾄﾝｶﾂｲﾁﾏｲ,</t>
  </si>
  <si>
    <t xml:space="preserve">      item_unit_price_fmt: ￥349,</t>
  </si>
  <si>
    <t xml:space="preserve">      item_price_fmt: ￥349,</t>
  </si>
  <si>
    <t xml:space="preserve">      item_no: 78,</t>
  </si>
  <si>
    <t xml:space="preserve">      item_scan_code: 4517888134469,</t>
  </si>
  <si>
    <t xml:space="preserve">      item_code: 4517888134469,</t>
  </si>
  <si>
    <t xml:space="preserve">      item_plu: 0000020825340,</t>
  </si>
  <si>
    <t xml:space="preserve">      item_category_1: 2008,</t>
  </si>
  <si>
    <t xml:space="preserve">      item_category_2: 200802,</t>
  </si>
  <si>
    <t xml:space="preserve">      item_name: こだわりポテトサラダ（中）　　　　　　　,</t>
  </si>
  <si>
    <t xml:space="preserve">      item_name_short: ﾎﾟﾃﾄｻﾗﾀﾞ,</t>
  </si>
  <si>
    <t xml:space="preserve">      item_unit_price_fmt: ￥149,</t>
  </si>
  <si>
    <t xml:space="preserve">      item_price_fmt: ￥149,</t>
  </si>
  <si>
    <t xml:space="preserve">      item_price_discount_fmt: ￥149,</t>
  </si>
  <si>
    <t xml:space="preserve">      item_no: 79,</t>
  </si>
  <si>
    <t xml:space="preserve">      item_scan_code: 211281405808,</t>
  </si>
  <si>
    <t xml:space="preserve">      item_code: 0211281400000,</t>
  </si>
  <si>
    <t xml:space="preserve">      item_plu: 0000005020522,</t>
  </si>
  <si>
    <t xml:space="preserve">      item_category_1: 0503,</t>
  </si>
  <si>
    <t xml:space="preserve">      item_category_2: 050303,</t>
  </si>
  <si>
    <t xml:space="preserve">      item_name: 国産若鶏（もも）　２枚　　　　　　　　　,</t>
  </si>
  <si>
    <t xml:space="preserve">      item_name_short: ｺｸｻﾝﾜｶﾄﾞﾘ ﾓﾓ,</t>
  </si>
  <si>
    <t xml:space="preserve">      item_unit_price_fmt: ￥290,</t>
  </si>
  <si>
    <t xml:space="preserve">      item_price_fmt: ￥290,</t>
  </si>
  <si>
    <t xml:space="preserve">      item_price_discount_fmt: ￥290,</t>
  </si>
  <si>
    <t xml:space="preserve">      item_no: 80,</t>
  </si>
  <si>
    <t xml:space="preserve">      item_scan_code: 4902115379551,</t>
  </si>
  <si>
    <t xml:space="preserve">      item_code: 4902115379551,</t>
  </si>
  <si>
    <t xml:space="preserve">      item_plu: 0000005030153,</t>
  </si>
  <si>
    <t xml:space="preserve">      item_category_1: 0510,</t>
  </si>
  <si>
    <t xml:space="preserve">      item_category_2: 051001,</t>
  </si>
  <si>
    <t xml:space="preserve">      item_name: 日本ハム　シャウエッセン　２個束　　　　,</t>
  </si>
  <si>
    <t xml:space="preserve">      item_name_short: NH ｼﾔｳｴﾂｾﾝX2,</t>
  </si>
  <si>
    <t xml:space="preserve">      item_no: 81,</t>
  </si>
  <si>
    <t xml:space="preserve">      item_scan_code: 292187403297,</t>
  </si>
  <si>
    <t xml:space="preserve">      item_code: 0292187400000,</t>
  </si>
  <si>
    <t xml:space="preserve">      item_plu: 0000006099190,</t>
  </si>
  <si>
    <t xml:space="preserve">      item_category_1: 0631,</t>
  </si>
  <si>
    <t xml:space="preserve">      item_category_2: 063101,</t>
  </si>
  <si>
    <t xml:space="preserve">      item_name: ＣＰ食セレ真あじ開き天日塩干２枚入　　　,</t>
  </si>
  <si>
    <t xml:space="preserve">      item_name_short: ｱｼﾞﾋﾗｷ,</t>
  </si>
  <si>
    <t xml:space="preserve">      item_no: 82,</t>
  </si>
  <si>
    <t xml:space="preserve">      item_scan_code: 4902150131718,</t>
  </si>
  <si>
    <t xml:space="preserve">      item_code: 4902150131718,</t>
  </si>
  <si>
    <t xml:space="preserve">      item_plu: 0000006061940,</t>
  </si>
  <si>
    <t xml:space="preserve">      item_category_1: 0627,</t>
  </si>
  <si>
    <t xml:space="preserve">      item_category_2: 062706,</t>
  </si>
  <si>
    <t xml:space="preserve">      item_name: ＣＳ食セレ　焼鮭ほぐし１００ｇ　２４入　,</t>
  </si>
  <si>
    <t xml:space="preserve">      item_name_short: ﾔｷｻｹﾎｸﾞｼ,</t>
  </si>
  <si>
    <t xml:space="preserve">      item_unit_price_fmt: ￥200,</t>
  </si>
  <si>
    <t xml:space="preserve">      item_price_fmt: ￥200,</t>
  </si>
  <si>
    <t xml:space="preserve">      item_price_discount_fmt: ￥200,</t>
  </si>
  <si>
    <t xml:space="preserve">      item_no: 83,</t>
  </si>
  <si>
    <t xml:space="preserve">      item_scan_code: 281021705802,</t>
  </si>
  <si>
    <t xml:space="preserve">      item_code: 0281021700000,</t>
  </si>
  <si>
    <t xml:space="preserve">      item_plu: 0000004032501,</t>
  </si>
  <si>
    <t xml:space="preserve">      item_category_2: 040109,</t>
  </si>
  <si>
    <t xml:space="preserve">      item_name: まぐろたっぷり盛合わせ品番３１１８　　　,</t>
  </si>
  <si>
    <t xml:space="preserve">      item_name_short: ﾏｸﾞﾛﾀﾂﾌﾟﾘﾓﾘｱ,</t>
  </si>
  <si>
    <t xml:space="preserve">          item_discount_price: -￥290</t>
  </si>
  <si>
    <t xml:space="preserve">      item_no: 84,</t>
  </si>
  <si>
    <t xml:space="preserve">      item_scan_code: 4963646020169,</t>
  </si>
  <si>
    <t xml:space="preserve">      item_code: 4963646020169,</t>
  </si>
  <si>
    <t xml:space="preserve">      item_plu: 0000004066499,</t>
  </si>
  <si>
    <t xml:space="preserve">      item_category_1: 0415,</t>
  </si>
  <si>
    <t xml:space="preserve">      item_category_2: 041504,</t>
  </si>
  <si>
    <t xml:space="preserve">      item_name: ＰＫ鹿児島県産山田のうなぎ長焼　１尾　　,</t>
  </si>
  <si>
    <t xml:space="preserve">      item_name_short: ｶｺﾞｼﾏｹﾝｻﾝﾔﾏﾀ,</t>
  </si>
  <si>
    <t xml:space="preserve">      item_unit_price_fmt: ￥2,390,</t>
  </si>
  <si>
    <t xml:space="preserve">      item_price_fmt: ￥2,390,</t>
  </si>
  <si>
    <t xml:space="preserve">      item_price_discount_fmt: ￥2,390,</t>
  </si>
  <si>
    <t xml:space="preserve">      item_no: 85,</t>
  </si>
  <si>
    <t xml:space="preserve">      item_scan_code: 285005001003,</t>
  </si>
  <si>
    <t xml:space="preserve">      item_code: 0285005000000,</t>
  </si>
  <si>
    <t xml:space="preserve">      item_plu: 0000009100971,</t>
  </si>
  <si>
    <t xml:space="preserve">      item_category_1: 0924,</t>
  </si>
  <si>
    <t xml:space="preserve">      item_category_2: 092403,</t>
  </si>
  <si>
    <t xml:space="preserve">      item_name: シャインマスカット　　　　　　　　　　　,</t>
  </si>
  <si>
    <t xml:space="preserve">      item_name_short: ｼﾔｲﾝﾏｽｶﾂﾄ,</t>
  </si>
  <si>
    <t xml:space="preserve">      item_unit_price_fmt: ￥100,</t>
  </si>
  <si>
    <t xml:space="preserve">      item_price_fmt: ￥100,</t>
  </si>
  <si>
    <t xml:space="preserve">      item_price_discount_fmt: ￥100,</t>
  </si>
  <si>
    <t xml:space="preserve">      item_no: 86,</t>
  </si>
  <si>
    <t xml:space="preserve">      item_scan_code: 04570561,</t>
  </si>
  <si>
    <t xml:space="preserve">      item_code: 0000004570561,</t>
  </si>
  <si>
    <t xml:space="preserve">      item_plu: 0000009038388,</t>
  </si>
  <si>
    <t xml:space="preserve">      item_category_1: 0928,</t>
  </si>
  <si>
    <t xml:space="preserve">      item_category_2: 092801,</t>
  </si>
  <si>
    <t xml:space="preserve">      item_name: 幸水梨（インストア）　　　　　　　　　　,</t>
  </si>
  <si>
    <t xml:space="preserve">      item_name_short: ｺｳｽｲﾅｼ,</t>
  </si>
  <si>
    <t xml:space="preserve">      item_no: 87,</t>
  </si>
  <si>
    <t xml:space="preserve">      item_scan_code: 4975612534068,</t>
  </si>
  <si>
    <t xml:space="preserve">      item_code: 4975612534068,</t>
  </si>
  <si>
    <t xml:space="preserve">      item_plu: 0000009001913,</t>
  </si>
  <si>
    <t xml:space="preserve">      item_category_1: 0936,</t>
  </si>
  <si>
    <t xml:space="preserve">      item_category_2: 093602,</t>
  </si>
  <si>
    <t xml:space="preserve">      item_name: エナジーナバナナ１便　　　　　　　　　　,</t>
  </si>
  <si>
    <t xml:space="preserve">      item_name_short: ｴﾅｼﾞｰﾅﾊﾞﾅﾅ,</t>
  </si>
  <si>
    <t xml:space="preserve">      item_unit_price_fmt: ￥198,</t>
  </si>
  <si>
    <t xml:space="preserve">      item_price_fmt: ￥198,</t>
  </si>
  <si>
    <t xml:space="preserve">      item_price_discount_fmt: ￥198,</t>
  </si>
  <si>
    <t xml:space="preserve">      item_no: 88,</t>
  </si>
  <si>
    <t xml:space="preserve">      item_scan_code: 224307701006,</t>
  </si>
  <si>
    <t xml:space="preserve">      item_code: 0224307700000,</t>
  </si>
  <si>
    <t xml:space="preserve">      item_plu: 0000002020726,</t>
  </si>
  <si>
    <t xml:space="preserve">      item_category_1: 0201,</t>
  </si>
  <si>
    <t xml:space="preserve">      item_category_2: 020109,</t>
  </si>
  <si>
    <t xml:space="preserve">      item_name: 国産南瓜ユニツト　　　　　　　　　　　　,</t>
  </si>
  <si>
    <t xml:space="preserve">      item_name_short: ｺｸｻﾝｶﾎﾞﾁﾔ,</t>
  </si>
  <si>
    <t xml:space="preserve">      item_no: 89,</t>
  </si>
  <si>
    <t xml:space="preserve">      item_scan_code: 06161927,</t>
  </si>
  <si>
    <t xml:space="preserve">      item_code: 0000006161927,</t>
  </si>
  <si>
    <t xml:space="preserve">      item_plu: 0000002104199,</t>
  </si>
  <si>
    <t xml:space="preserve">      item_category_1: 0205,</t>
  </si>
  <si>
    <t xml:space="preserve">      item_category_2: 020508,</t>
  </si>
  <si>
    <t xml:space="preserve">      item_name: たまねぎ　バラ　　　　　　　　　　２７４,</t>
  </si>
  <si>
    <t xml:space="preserve">      item_name_short: ﾀﾏﾈｷﾞ,</t>
  </si>
  <si>
    <t xml:space="preserve">      item_unit_price_fmt: ￥39,</t>
  </si>
  <si>
    <t xml:space="preserve">      item_price_fmt: ￥39,</t>
  </si>
  <si>
    <t xml:space="preserve">      item_no: 90,</t>
  </si>
  <si>
    <t xml:space="preserve">      item_scan_code: 4515848152034,</t>
  </si>
  <si>
    <t xml:space="preserve">      item_code: 4515848152034,</t>
  </si>
  <si>
    <t xml:space="preserve">      item_plu: 0000002002841,</t>
  </si>
  <si>
    <t xml:space="preserve">      item_category_2: 020101,</t>
  </si>
  <si>
    <t xml:space="preserve">      item_name: きゅうり（袋）　　　　　　　　　　　　　,</t>
  </si>
  <si>
    <t xml:space="preserve">      item_name_short: ｷﾕｳﾘ,</t>
  </si>
  <si>
    <t xml:space="preserve">      item_no: 91,</t>
  </si>
  <si>
    <t xml:space="preserve">      item_scan_code: 4908011510906,</t>
  </si>
  <si>
    <t xml:space="preserve">      item_code: 4908011510906,</t>
  </si>
  <si>
    <t xml:space="preserve">      item_plu: 0000011570351,</t>
  </si>
  <si>
    <t xml:space="preserve">      item_category_1: 1157,</t>
  </si>
  <si>
    <t xml:space="preserve">      item_category_2: 115701,</t>
  </si>
  <si>
    <t xml:space="preserve">      item_name: 雪メグミルク　酪農牛乳１Ｌ　　　　　　　,</t>
  </si>
  <si>
    <t xml:space="preserve">      item_name_short: ﾕｷﾒｸﾞﾗｸﾉｳL,</t>
  </si>
  <si>
    <t xml:space="preserve">      item_unit_price_fmt: ￥150,</t>
  </si>
  <si>
    <t xml:space="preserve">      item_price_fmt: ￥150,</t>
  </si>
  <si>
    <t xml:space="preserve">      item_price_discount_fmt: ￥150,</t>
  </si>
  <si>
    <t xml:space="preserve">      item_no: 92,</t>
  </si>
  <si>
    <t xml:space="preserve">      item_scan_code: 4903110002222,</t>
  </si>
  <si>
    <t xml:space="preserve">      item_code: 4903110002222,</t>
  </si>
  <si>
    <t xml:space="preserve">      item_plu: 0000034021221,</t>
  </si>
  <si>
    <t xml:space="preserve">      item_category_1: 3401,</t>
  </si>
  <si>
    <t xml:space="preserve">      item_category_2: 340111,</t>
  </si>
  <si>
    <t xml:space="preserve">      item_name: ヤマザキ　ロイヤルブレッド　６枚入　　　,</t>
  </si>
  <si>
    <t xml:space="preserve">      item_name_short: ﾛｲﾔﾙﾌﾞﾚﾂﾄﾞ6,</t>
  </si>
  <si>
    <t xml:space="preserve">      item_unit_price_fmt: ￥199,</t>
  </si>
  <si>
    <t xml:space="preserve">      item_price_fmt: ￥199,</t>
  </si>
  <si>
    <t xml:space="preserve">      item_no: 93,</t>
  </si>
  <si>
    <t xml:space="preserve">      item_scan_code: 4901160110188,</t>
  </si>
  <si>
    <t xml:space="preserve">      item_code: 4901160110188,</t>
  </si>
  <si>
    <t xml:space="preserve">      item_plu: 0000010044001,</t>
  </si>
  <si>
    <t xml:space="preserve">      item_category_1: 1035,</t>
  </si>
  <si>
    <t xml:space="preserve">      item_category_2: 103501,</t>
  </si>
  <si>
    <t xml:space="preserve">      item_name: おかめ豆腐　絹美人　３Ｐ　　　　　　　　,</t>
  </si>
  <si>
    <t xml:space="preserve">      item_name_short: ｷﾇﾋﾞｼﾞﾝ,</t>
  </si>
  <si>
    <t xml:space="preserve">      item_unit_price_fmt: ￥159,</t>
  </si>
  <si>
    <t xml:space="preserve">      item_price_fmt: ￥159,</t>
  </si>
  <si>
    <t xml:space="preserve">      item_price_discount_fmt: ￥111,</t>
  </si>
  <si>
    <t xml:space="preserve">      item_no: 94,</t>
  </si>
  <si>
    <t xml:space="preserve">      item_scan_code: 4571315752206,</t>
  </si>
  <si>
    <t xml:space="preserve">      item_code: 4571315752206,</t>
  </si>
  <si>
    <t xml:space="preserve">      item_plu: 0000013533681,</t>
  </si>
  <si>
    <t xml:space="preserve">      item_category_1: 1304,</t>
  </si>
  <si>
    <t xml:space="preserve">      item_category_2: 130401,</t>
  </si>
  <si>
    <t xml:space="preserve">      item_name: 桑ジャンプビニール傘６５ＣＭ　　　　　　,</t>
  </si>
  <si>
    <t xml:space="preserve">      item_name_short: ｶｻ,</t>
  </si>
  <si>
    <t xml:space="preserve">      item_unit_price_fmt: ￥480,</t>
  </si>
  <si>
    <t xml:space="preserve">      item_price_fmt: ￥480,</t>
  </si>
  <si>
    <t xml:space="preserve">      item_price_discount_fmt: ￥480,</t>
  </si>
  <si>
    <t xml:space="preserve">      item_no: 95,</t>
  </si>
  <si>
    <t xml:space="preserve">      item_scan_code: 4901126128684,</t>
  </si>
  <si>
    <t xml:space="preserve">      item_code: 4901126128684,</t>
  </si>
  <si>
    <t xml:space="preserve">      item_plu: 0000012093963,</t>
  </si>
  <si>
    <t xml:space="preserve">      item_category_1: 1211,</t>
  </si>
  <si>
    <t xml:space="preserve">      item_category_2: 121104,</t>
  </si>
  <si>
    <t xml:space="preserve">      item_name: 岩崎　シームレスピッチャー２．１Ｌ　　　,</t>
  </si>
  <si>
    <t xml:space="preserve">      item_name_short: ﾋﾟﾂﾁﾔｰ2.1L,</t>
  </si>
  <si>
    <t xml:space="preserve">      item_unit_price_fmt: ￥999,</t>
  </si>
  <si>
    <t xml:space="preserve">      item_price_fmt: ￥999,</t>
  </si>
  <si>
    <t xml:space="preserve">      item_price_discount_fmt: ￥999,</t>
  </si>
  <si>
    <t xml:space="preserve">      item_no: 96,</t>
  </si>
  <si>
    <t xml:space="preserve">      item_scan_code: 4902508139434,</t>
  </si>
  <si>
    <t xml:space="preserve">      item_code: 4902508139434,</t>
  </si>
  <si>
    <t xml:space="preserve">      item_plu: 0000057001308,</t>
  </si>
  <si>
    <t xml:space="preserve">      item_category: 57,</t>
  </si>
  <si>
    <t xml:space="preserve">      item_category_1: 5708,</t>
  </si>
  <si>
    <t xml:space="preserve">      item_category_2: 570802,</t>
  </si>
  <si>
    <t xml:space="preserve">      item_name: Ｐ．パックゴハン９０Ｇ６個　　　　　　　,</t>
  </si>
  <si>
    <t xml:space="preserve">      item_name_short: ﾊﾟﾂｸｺﾞﾊﾝ6ｺ,</t>
  </si>
  <si>
    <t xml:space="preserve">      item_no: 97,</t>
  </si>
  <si>
    <t xml:space="preserve">      item_scan_code: 4901301379894,</t>
  </si>
  <si>
    <t xml:space="preserve">      item_code: 4901301379894,</t>
  </si>
  <si>
    <t xml:space="preserve">      item_plu: 0000007215886,</t>
  </si>
  <si>
    <t xml:space="preserve">      item_category_1: 0701,</t>
  </si>
  <si>
    <t xml:space="preserve">      item_category_2: 070104,</t>
  </si>
  <si>
    <t xml:space="preserve">      item_name: 花王　ビオレ冷タオル　無香性　　　　　　,</t>
  </si>
  <si>
    <t xml:space="preserve">      item_name_short: ﾋﾞｵﾚﾋﾔﾀｵﾙ,</t>
  </si>
  <si>
    <t xml:space="preserve">      item_price_discount_fmt: ￥92,</t>
  </si>
  <si>
    <t xml:space="preserve">          item_discount_no: M001,</t>
  </si>
  <si>
    <t xml:space="preserve">          item_discount_name: まとめ値引,</t>
  </si>
  <si>
    <t xml:space="preserve">          item_discount_quantity: 3点,</t>
  </si>
  <si>
    <t xml:space="preserve">          item_discount_times: 1回,</t>
  </si>
  <si>
    <t xml:space="preserve">          item_discount_unit_price: @407,</t>
  </si>
  <si>
    <t xml:space="preserve">          item_discount_price: -￥407</t>
  </si>
  <si>
    <t xml:space="preserve">      item_no: 98,</t>
  </si>
  <si>
    <t xml:space="preserve">      item_scan_code: 4931849100452,</t>
  </si>
  <si>
    <t xml:space="preserve">      item_code: 4931849100452,</t>
  </si>
  <si>
    <t xml:space="preserve">      item_plu: 0000054007313,</t>
  </si>
  <si>
    <t xml:space="preserve">      item_category_1: 5401,</t>
  </si>
  <si>
    <t xml:space="preserve">      item_category_2: 540103,</t>
  </si>
  <si>
    <t xml:space="preserve">      item_name: 食卓応援　秋田あきたこまち　５ｋｇ　　　,</t>
  </si>
  <si>
    <t xml:space="preserve">      item_name_short: ｱｷﾀｺﾏﾁ5KG,</t>
  </si>
  <si>
    <t xml:space="preserve">      item_unit_price_fmt: ￥3,790,</t>
  </si>
  <si>
    <t xml:space="preserve">      item_price_fmt: ￥3,790,</t>
  </si>
  <si>
    <t xml:space="preserve">      item_price_discount_fmt: ￥3,790,</t>
  </si>
  <si>
    <t xml:space="preserve">      item_no: 99,</t>
  </si>
  <si>
    <t xml:space="preserve">      item_scan_code: 4901734000280,</t>
  </si>
  <si>
    <t xml:space="preserve">      item_code: 4901734000280,</t>
  </si>
  <si>
    <t xml:space="preserve">      item_plu: 0000008001413,</t>
  </si>
  <si>
    <t xml:space="preserve">      item_category_2: 080101,</t>
  </si>
  <si>
    <t xml:space="preserve">      item_name: サッポロ一番　塩ラーメン　５食入　　　　,</t>
  </si>
  <si>
    <t xml:space="preserve">      item_name_short: ｻﾂﾎﾟﾛｼｵ5ﾊﾟﾂｸ,</t>
  </si>
  <si>
    <t xml:space="preserve">      item_no: 100,</t>
  </si>
  <si>
    <t xml:space="preserve">      item_scan_code: 4901372279703,</t>
  </si>
  <si>
    <t xml:space="preserve">      item_code: 4901372279703,</t>
  </si>
  <si>
    <t xml:space="preserve">      item_plu: 0000053302486,</t>
  </si>
  <si>
    <t xml:space="preserve">      item_category_1: 5367,</t>
  </si>
  <si>
    <t xml:space="preserve">      item_category_2: 536702,</t>
  </si>
  <si>
    <t xml:space="preserve">      item_name: キー　コーヒーフィルター無漂白　１００Ｐ,</t>
  </si>
  <si>
    <t xml:space="preserve">      item_name_short: ｷｰｺｰﾋｰﾌｲﾙﾀｰﾑ,</t>
  </si>
  <si>
    <t xml:space="preserve">      item_no: 101,</t>
  </si>
  <si>
    <t xml:space="preserve">      item_scan_code: 4973360286819,</t>
  </si>
  <si>
    <t xml:space="preserve">      item_code: 4973360286819,</t>
  </si>
  <si>
    <t xml:space="preserve">      item_plu: 0000003047091,</t>
  </si>
  <si>
    <t xml:space="preserve">      item_category_1: 0362,</t>
  </si>
  <si>
    <t xml:space="preserve">      item_category_2: 036207,</t>
  </si>
  <si>
    <t xml:space="preserve">      item_name: サトウ　切り餅つきたてシングルパック　　,</t>
  </si>
  <si>
    <t xml:space="preserve">      item_name_short: ｻﾄｳｷﾘﾓﾁﾂｷﾀﾃｼ,</t>
  </si>
  <si>
    <t xml:space="preserve">      item_unit_price_fmt: ￥779,</t>
  </si>
  <si>
    <t xml:space="preserve">      item_price_fmt: ￥779,</t>
  </si>
  <si>
    <t xml:space="preserve">          item_discount_unit_price: @636,</t>
  </si>
  <si>
    <t xml:space="preserve">          item_discount_price: -￥636</t>
  </si>
  <si>
    <t xml:space="preserve">      item_no: 102,</t>
  </si>
  <si>
    <t xml:space="preserve">      item_scan_code: 4901330903084,</t>
  </si>
  <si>
    <t xml:space="preserve">      item_code: 4901330903084,</t>
  </si>
  <si>
    <t xml:space="preserve">      item_plu: 0000051017521,</t>
  </si>
  <si>
    <t xml:space="preserve">      item_category: 51,</t>
  </si>
  <si>
    <t xml:space="preserve">      item_category_1: 5104,</t>
  </si>
  <si>
    <t xml:space="preserve">      item_category_2: 510403,</t>
  </si>
  <si>
    <t xml:space="preserve">      item_name: カルビー　２０２４プロ野球チップス　　　,</t>
  </si>
  <si>
    <t xml:space="preserve">      item_name_short: ﾌﾟﾛﾔｷﾕｳﾁﾂﾌﾟｽ,</t>
  </si>
  <si>
    <t xml:space="preserve">      item_unit_price_fmt: ￥109,</t>
  </si>
  <si>
    <t xml:space="preserve">      item_price_fmt: ￥109,</t>
  </si>
  <si>
    <t xml:space="preserve">      item_price_discount_fmt: ￥109,</t>
  </si>
  <si>
    <t xml:space="preserve">      item_no: 103,</t>
  </si>
  <si>
    <t xml:space="preserve">      item_scan_code: 4901035115133,</t>
  </si>
  <si>
    <t xml:space="preserve">      item_code: 4901035115133,</t>
  </si>
  <si>
    <t xml:space="preserve">      item_plu: 0000001138081,</t>
  </si>
  <si>
    <t xml:space="preserve">      item_category_1: 0101,</t>
  </si>
  <si>
    <t xml:space="preserve">      item_category_2: 010101,</t>
  </si>
  <si>
    <t xml:space="preserve">      item_name: 天乃屋　歌舞伎揚　　　　　　　　　　　　,</t>
  </si>
  <si>
    <t xml:space="preserve">      item_name_short: ｶﾌﾞｷｱｹﾞ,</t>
  </si>
  <si>
    <t xml:space="preserve">      item_unit_price_fmt: ￥229,</t>
  </si>
  <si>
    <t xml:space="preserve">      item_price_fmt: ￥229,</t>
  </si>
  <si>
    <t xml:space="preserve">      item_price_discount_fmt: ￥43,</t>
  </si>
  <si>
    <t xml:space="preserve">          item_discount_unit_price: @186,</t>
  </si>
  <si>
    <t xml:space="preserve">          item_discount_price: -￥186</t>
  </si>
  <si>
    <t xml:space="preserve">    }</t>
  </si>
  <si>
    <t xml:space="preserve">  ],</t>
  </si>
  <si>
    <t xml:space="preserve">  tax: {</t>
  </si>
  <si>
    <t xml:space="preserve">    taxlist: [</t>
  </si>
  <si>
    <t xml:space="preserve">        tax_type: tax_exclude,</t>
  </si>
  <si>
    <t xml:space="preserve">        tax_per: 8,</t>
  </si>
  <si>
    <t xml:space="preserve">        tax_price_fmt: ￥2,474,</t>
  </si>
  <si>
    <t xml:space="preserve">        taxable_amount_fmt: ￥30,935</t>
  </si>
  <si>
    <t xml:space="preserve">        tax_per: 10,</t>
  </si>
  <si>
    <t xml:space="preserve">        tax_price_fmt: ￥1,099,</t>
  </si>
  <si>
    <t xml:space="preserve">        taxable_amount_fmt: ￥10,998</t>
  </si>
  <si>
    <t xml:space="preserve">        tax_type: tax_include,</t>
  </si>
  <si>
    <t xml:space="preserve">        tax_price_fmt: ￥234,</t>
  </si>
  <si>
    <t xml:space="preserve">        taxable_amount_fmt: ￥2,578</t>
  </si>
  <si>
    <t xml:space="preserve">        tax_type: tax_exempt,</t>
  </si>
  <si>
    <t xml:space="preserve">        tax_per: 0,</t>
  </si>
  <si>
    <t xml:space="preserve">        tax_price_fmt: ￥0,</t>
  </si>
  <si>
    <t xml:space="preserve">        taxable_amount_fmt: ￥3,060</t>
  </si>
  <si>
    <t xml:space="preserve">  tax_discount: {</t>
  </si>
  <si>
    <t xml:space="preserve">        tax_price_fmt: ￥2,189,</t>
  </si>
  <si>
    <t xml:space="preserve">        taxable_amount_fmt: ￥29,559</t>
  </si>
  <si>
    <t xml:space="preserve">        tax_price_fmt: ￥1,207,</t>
  </si>
  <si>
    <t xml:space="preserve">        taxable_amount_fmt: ￥13,281</t>
  </si>
  <si>
    <t xml:space="preserve">  payment: {</t>
  </si>
  <si>
    <t xml:space="preserve">    payment_total_price: 45900,</t>
  </si>
  <si>
    <t xml:space="preserve">    payment_total_price_fmt: ￥45,900,</t>
  </si>
  <si>
    <t xml:space="preserve">    payment_remaining_price: 0,</t>
  </si>
  <si>
    <t xml:space="preserve">    payment_remaining_price_fmt: ￥0,</t>
  </si>
  <si>
    <t xml:space="preserve">    company_discount_total: 5244,</t>
  </si>
  <si>
    <t xml:space="preserve">    stamp_duty_target: 12855,</t>
  </si>
  <si>
    <t xml:space="preserve">    payment_list: [</t>
  </si>
  <si>
    <t xml:space="preserve">        payment_no: 1,</t>
  </si>
  <si>
    <t xml:space="preserve">        payment_type: null,</t>
  </si>
  <si>
    <t xml:space="preserve">        payment_name: いなげや商品券,</t>
  </si>
  <si>
    <t xml:space="preserve">        payment_code: 03801000,</t>
  </si>
  <si>
    <t xml:space="preserve">        payment_quantity: 2,</t>
  </si>
  <si>
    <t xml:space="preserve">        payment_amount_fmt: -￥2000,</t>
  </si>
  <si>
    <t xml:space="preserve">        payment_deposit_amount_fmt: ￥1,000,</t>
  </si>
  <si>
    <t xml:space="preserve">        payment_change_amount_fmt: ￥0,</t>
  </si>
  <si>
    <t xml:space="preserve">        is_change_enabled: true,</t>
  </si>
  <si>
    <t xml:space="preserve">        is_company_discount: false</t>
  </si>
  <si>
    <t xml:space="preserve">        payment_no: 2,</t>
  </si>
  <si>
    <t xml:space="preserve">        payment_name: カスミ商品券,</t>
  </si>
  <si>
    <t xml:space="preserve">        payment_code: 00044912,</t>
  </si>
  <si>
    <t xml:space="preserve">        payment_quantity: 1,</t>
  </si>
  <si>
    <t xml:space="preserve">        payment_amount_fmt: -￥1000,</t>
  </si>
  <si>
    <t xml:space="preserve">        payment_no: 3,</t>
  </si>
  <si>
    <t xml:space="preserve">        payment_code: 00044929,</t>
  </si>
  <si>
    <t xml:space="preserve">        payment_amount_fmt: -￥500,</t>
  </si>
  <si>
    <t xml:space="preserve">        payment_deposit_amount_fmt: ￥500,</t>
  </si>
  <si>
    <t xml:space="preserve">        payment_no: 4,</t>
  </si>
  <si>
    <t xml:space="preserve">        payment_name: ビール共通券,</t>
  </si>
  <si>
    <t xml:space="preserve">        payment_code: 4959092600031,</t>
  </si>
  <si>
    <t xml:space="preserve">        payment_amount_fmt: -￥960,</t>
  </si>
  <si>
    <t xml:space="preserve">        payment_deposit_amount_fmt: ￥480,</t>
  </si>
  <si>
    <t xml:space="preserve">        payment_no: 5,</t>
  </si>
  <si>
    <t xml:space="preserve">        payment_code: 4959092100081,</t>
  </si>
  <si>
    <t xml:space="preserve">        payment_amount_fmt: -￥1412,</t>
  </si>
  <si>
    <t xml:space="preserve">        payment_deposit_amount_fmt: ￥706,</t>
  </si>
  <si>
    <t xml:space="preserve">        payment_no: 6,</t>
  </si>
  <si>
    <t xml:space="preserve">        payment_name: おこめギフト券,</t>
  </si>
  <si>
    <t xml:space="preserve">        payment_code: 4908010721006,</t>
  </si>
  <si>
    <t xml:space="preserve">        payment_amount_fmt: -￥880,</t>
  </si>
  <si>
    <t xml:space="preserve">        payment_deposit_amount_fmt: ￥440,</t>
  </si>
  <si>
    <t xml:space="preserve">        payment_no: 7,</t>
  </si>
  <si>
    <t xml:space="preserve">        payment_name: ご優待券USMH,</t>
  </si>
  <si>
    <t xml:space="preserve">        payment_code: 9848311420107,</t>
  </si>
  <si>
    <t xml:space="preserve">        payment_quantity: 5,</t>
  </si>
  <si>
    <t xml:space="preserve">        payment_deposit_amount_fmt: ￥100,</t>
  </si>
  <si>
    <t xml:space="preserve">        payment_no: 8,</t>
  </si>
  <si>
    <t xml:space="preserve">        payment_name: ﾒｰｶｰｸｰﾎﾟﾝ,</t>
  </si>
  <si>
    <t xml:space="preserve">        payment_code: 9829125560166,</t>
  </si>
  <si>
    <t xml:space="preserve">        payment_amount_fmt: -￥80,</t>
  </si>
  <si>
    <t xml:space="preserve">        payment_deposit_amount_fmt: ￥80,</t>
  </si>
  <si>
    <t xml:space="preserve">        is_change_enabled: false,</t>
  </si>
  <si>
    <t xml:space="preserve">        payment_no: 9,</t>
  </si>
  <si>
    <t xml:space="preserve">        payment_code: 9821381430405,</t>
  </si>
  <si>
    <t xml:space="preserve">        payment_amount_fmt: -￥200,</t>
  </si>
  <si>
    <t xml:space="preserve">        payment_deposit_amount_fmt: ￥200,</t>
  </si>
  <si>
    <t xml:space="preserve">        payment_no: 10,</t>
  </si>
  <si>
    <t xml:space="preserve">        payment_type: 101,</t>
  </si>
  <si>
    <t xml:space="preserve">        payment_name: 商品券ｲﾅｹﾞﾔ,</t>
  </si>
  <si>
    <t xml:space="preserve">        payment_code: null,</t>
  </si>
  <si>
    <t xml:space="preserve">        payment_no: 11,</t>
  </si>
  <si>
    <t xml:space="preserve">        payment_type: 201,</t>
  </si>
  <si>
    <t xml:space="preserve">        payment_name: クレジット,</t>
  </si>
  <si>
    <t xml:space="preserve">        payment_quantity: null,</t>
  </si>
  <si>
    <t xml:space="preserve">        payment_amount_fmt: -￥37368,</t>
  </si>
  <si>
    <t xml:space="preserve">        payment_deposit_amount_fmt: ￥37,368,</t>
  </si>
  <si>
    <t xml:space="preserve">  employee: {</t>
  </si>
  <si>
    <t xml:space="preserve">    code: 1430556,</t>
  </si>
  <si>
    <t xml:space="preserve">    name:  ｶｷｻﾞｷ</t>
  </si>
  <si>
    <t xml:space="preserve">  ing_point: {</t>
  </si>
  <si>
    <t xml:space="preserve">    available_point: 60361,</t>
  </si>
  <si>
    <t xml:space="preserve">    is_v_card: 1</t>
  </si>
  <si>
    <t xml:space="preserve">  }</t>
  </si>
  <si>
    <t>}</t>
  </si>
  <si>
    <t>※Scan＆Goの計算式(25/01/29)</t>
    <rPh sb="9" eb="12">
      <t>ケイサンシキ</t>
    </rPh>
    <phoneticPr fontId="15"/>
  </si>
  <si>
    <t>↓ignicaレシート値</t>
    <rPh sb="11" eb="12">
      <t>チ</t>
    </rPh>
    <phoneticPr fontId="16"/>
  </si>
  <si>
    <t>ポイント付与按分</t>
    <rPh sb="4" eb="6">
      <t>フヨ</t>
    </rPh>
    <rPh sb="6" eb="8">
      <t>アンブン</t>
    </rPh>
    <phoneticPr fontId="15"/>
  </si>
  <si>
    <t>付与率</t>
    <rPh sb="0" eb="2">
      <t>フヨ</t>
    </rPh>
    <rPh sb="2" eb="3">
      <t>リツ</t>
    </rPh>
    <phoneticPr fontId="15"/>
  </si>
  <si>
    <r>
      <rPr>
        <sz val="8"/>
        <rFont val="Meiryo UI"/>
        <family val="3"/>
        <charset val="128"/>
      </rPr>
      <t>無効</t>
    </r>
    <r>
      <rPr>
        <sz val="6"/>
        <rFont val="Meiryo UI"/>
        <family val="3"/>
        <charset val="128"/>
      </rPr>
      <t xml:space="preserve">
※削除FG</t>
    </r>
    <rPh sb="0" eb="2">
      <t>ムコウ</t>
    </rPh>
    <rPh sb="4" eb="6">
      <t>サクジョ</t>
    </rPh>
    <phoneticPr fontId="16"/>
  </si>
  <si>
    <r>
      <t xml:space="preserve">※参考値
</t>
    </r>
    <r>
      <rPr>
        <sz val="6"/>
        <color rgb="FFFF0000"/>
        <rFont val="Meiryo UI"/>
        <family val="3"/>
        <charset val="128"/>
      </rPr>
      <t>修正後*値引率</t>
    </r>
    <rPh sb="1" eb="3">
      <t>サンコウ</t>
    </rPh>
    <rPh sb="3" eb="4">
      <t>チ</t>
    </rPh>
    <rPh sb="5" eb="7">
      <t>シュウセイ</t>
    </rPh>
    <rPh sb="7" eb="8">
      <t>ゴ</t>
    </rPh>
    <rPh sb="9" eb="11">
      <t>ネビキ</t>
    </rPh>
    <rPh sb="11" eb="12">
      <t>リツ</t>
    </rPh>
    <phoneticPr fontId="15"/>
  </si>
  <si>
    <t>値引対象
売価</t>
    <rPh sb="0" eb="2">
      <t>ネビキ</t>
    </rPh>
    <rPh sb="2" eb="4">
      <t>タイショウ</t>
    </rPh>
    <rPh sb="5" eb="7">
      <t>バイカ</t>
    </rPh>
    <phoneticPr fontId="15"/>
  </si>
  <si>
    <t>調整前税額</t>
    <rPh sb="0" eb="2">
      <t>チョウセイ</t>
    </rPh>
    <rPh sb="2" eb="3">
      <t>マエ</t>
    </rPh>
    <rPh sb="3" eb="5">
      <t>ゼイガク</t>
    </rPh>
    <phoneticPr fontId="15"/>
  </si>
  <si>
    <t>←調整</t>
    <rPh sb="1" eb="3">
      <t>チョウセイ</t>
    </rPh>
    <phoneticPr fontId="15"/>
  </si>
  <si>
    <t>←調整</t>
    <phoneticPr fontId="15"/>
  </si>
  <si>
    <t>内税8%</t>
    <phoneticPr fontId="15"/>
  </si>
  <si>
    <t>内税10%</t>
    <phoneticPr fontId="15"/>
  </si>
  <si>
    <t>打ち間違え(無効)</t>
    <rPh sb="0" eb="1">
      <t>ウ</t>
    </rPh>
    <rPh sb="2" eb="4">
      <t>マチガ</t>
    </rPh>
    <rPh sb="6" eb="8">
      <t>ムコウ</t>
    </rPh>
    <phoneticPr fontId="15"/>
  </si>
  <si>
    <t>調整チェック↑→</t>
    <rPh sb="0" eb="2">
      <t>チョウセイ</t>
    </rPh>
    <phoneticPr fontId="15"/>
  </si>
  <si>
    <r>
      <t>例）単価200円　小計値引率 5% (さんにち割を想定)
\190 ＝ @\200 × 5%　（端数がある場合は、</t>
    </r>
    <r>
      <rPr>
        <b/>
        <sz val="10"/>
        <color rgb="FFFF0000"/>
        <rFont val="Meiryo UI"/>
        <family val="3"/>
        <charset val="128"/>
      </rPr>
      <t>切り下げ</t>
    </r>
    <r>
      <rPr>
        <sz val="10"/>
        <color theme="1"/>
        <rFont val="Meiryo UI"/>
        <family val="3"/>
        <charset val="128"/>
      </rPr>
      <t xml:space="preserve">）
</t>
    </r>
    <r>
      <rPr>
        <b/>
        <u/>
        <sz val="10"/>
        <color theme="1"/>
        <rFont val="Meiryo UI"/>
        <family val="3"/>
        <charset val="128"/>
      </rPr>
      <t>結果：@\200 → \190</t>
    </r>
    <rPh sb="0" eb="1">
      <t>レイ</t>
    </rPh>
    <rPh sb="2" eb="4">
      <t>タンカ</t>
    </rPh>
    <rPh sb="7" eb="8">
      <t>エン</t>
    </rPh>
    <rPh sb="9" eb="11">
      <t>ショウケイ</t>
    </rPh>
    <rPh sb="11" eb="13">
      <t>ネビキ</t>
    </rPh>
    <rPh sb="13" eb="14">
      <t>リツ</t>
    </rPh>
    <rPh sb="23" eb="24">
      <t>ワリ</t>
    </rPh>
    <rPh sb="25" eb="27">
      <t>ソウテイ</t>
    </rPh>
    <rPh sb="48" eb="50">
      <t>ハスウ</t>
    </rPh>
    <rPh sb="53" eb="55">
      <t>バアイ</t>
    </rPh>
    <rPh sb="57" eb="58">
      <t>キ</t>
    </rPh>
    <rPh sb="59" eb="60">
      <t>サ</t>
    </rPh>
    <phoneticPr fontId="1"/>
  </si>
  <si>
    <r>
      <t>例）単価\200　小計値引率 5% (さんにち割を想定)
全商品小計 \49,490-　値引対象商品の小計\38,362-　値引率 5％
設定値引率 5.002% =(\49,490-\38,362) /\38,362
単品値引金額 \11=@200×5.002%の</t>
    </r>
    <r>
      <rPr>
        <b/>
        <sz val="10"/>
        <color rgb="FFFF0000"/>
        <rFont val="Meiryo UI"/>
        <family val="3"/>
        <charset val="128"/>
      </rPr>
      <t>切上げ</t>
    </r>
    <r>
      <rPr>
        <sz val="10"/>
        <color theme="1"/>
        <rFont val="Meiryo UI"/>
        <family val="3"/>
        <charset val="128"/>
      </rPr>
      <t xml:space="preserve">
</t>
    </r>
    <r>
      <rPr>
        <b/>
        <u/>
        <sz val="10"/>
        <color theme="1"/>
        <rFont val="Meiryo UI"/>
        <family val="3"/>
        <charset val="128"/>
      </rPr>
      <t xml:space="preserve">結果：@\200 → \189
</t>
    </r>
    <rPh sb="0" eb="1">
      <t>レイ</t>
    </rPh>
    <rPh sb="2" eb="4">
      <t>タンカ</t>
    </rPh>
    <rPh sb="9" eb="11">
      <t>ショウケイ</t>
    </rPh>
    <rPh sb="11" eb="14">
      <t>ネビキリツ</t>
    </rPh>
    <rPh sb="23" eb="24">
      <t>ワリ</t>
    </rPh>
    <rPh sb="25" eb="27">
      <t>ソウテイ</t>
    </rPh>
    <rPh sb="29" eb="32">
      <t>ゼンショウヒン</t>
    </rPh>
    <rPh sb="32" eb="34">
      <t>ショウケイ</t>
    </rPh>
    <rPh sb="44" eb="48">
      <t>ネビキタイショウ</t>
    </rPh>
    <rPh sb="48" eb="50">
      <t>ショウヒン</t>
    </rPh>
    <rPh sb="51" eb="53">
      <t>ショウケイ</t>
    </rPh>
    <rPh sb="62" eb="65">
      <t>ネビキリツ</t>
    </rPh>
    <rPh sb="69" eb="71">
      <t>セッテイ</t>
    </rPh>
    <rPh sb="71" eb="74">
      <t>ネビキリツ</t>
    </rPh>
    <rPh sb="110" eb="112">
      <t>タンピン</t>
    </rPh>
    <rPh sb="112" eb="114">
      <t>ネビキ</t>
    </rPh>
    <rPh sb="114" eb="116">
      <t>キンガク</t>
    </rPh>
    <rPh sb="133" eb="135">
      <t>キリア</t>
    </rPh>
    <rPh sb="137" eb="139">
      <t>ケッカ</t>
    </rPh>
    <phoneticPr fontId="1"/>
  </si>
  <si>
    <r>
      <rPr>
        <b/>
        <u/>
        <sz val="12"/>
        <color theme="1"/>
        <rFont val="Meiryo UI"/>
        <family val="3"/>
        <charset val="128"/>
      </rPr>
      <t>値引金額小計の調整①</t>
    </r>
    <r>
      <rPr>
        <sz val="12"/>
        <color theme="1"/>
        <rFont val="Meiryo UI"/>
        <family val="3"/>
        <charset val="128"/>
      </rPr>
      <t xml:space="preserve">
</t>
    </r>
    <rPh sb="0" eb="2">
      <t>ネビキ</t>
    </rPh>
    <rPh sb="2" eb="4">
      <t>キンガク</t>
    </rPh>
    <rPh sb="4" eb="6">
      <t>ショウケイ</t>
    </rPh>
    <rPh sb="7" eb="9">
      <t>チョウセイ</t>
    </rPh>
    <phoneticPr fontId="1"/>
  </si>
  <si>
    <r>
      <t xml:space="preserve">値引単価を算出する際に、切上げを行っているので、値引単価合計が、
</t>
    </r>
    <r>
      <rPr>
        <b/>
        <sz val="12"/>
        <color rgb="FFFF0000"/>
        <rFont val="Meiryo UI"/>
        <family val="3"/>
        <charset val="128"/>
      </rPr>
      <t>小計×値引率より多くなる。</t>
    </r>
    <r>
      <rPr>
        <sz val="12"/>
        <color theme="1"/>
        <rFont val="Meiryo UI"/>
        <family val="3"/>
        <charset val="128"/>
      </rPr>
      <t xml:space="preserve">
</t>
    </r>
    <r>
      <rPr>
        <b/>
        <sz val="12"/>
        <color rgb="FFFF0000"/>
        <rFont val="Meiryo UI"/>
        <family val="3"/>
        <charset val="128"/>
      </rPr>
      <t>単価の低い</t>
    </r>
    <r>
      <rPr>
        <sz val="12"/>
        <color theme="1"/>
        <rFont val="Meiryo UI"/>
        <family val="3"/>
        <charset val="128"/>
      </rPr>
      <t>ものから商品単位で、</t>
    </r>
    <r>
      <rPr>
        <b/>
        <u/>
        <sz val="12"/>
        <color rgb="FFFF0000"/>
        <rFont val="Meiryo UI"/>
        <family val="3"/>
        <charset val="128"/>
      </rPr>
      <t>小計値引をキャンセル</t>
    </r>
    <r>
      <rPr>
        <sz val="12"/>
        <color theme="1"/>
        <rFont val="Meiryo UI"/>
        <family val="3"/>
        <charset val="128"/>
      </rPr>
      <t xml:space="preserve">
値引対象商品の小計×値引率と、値引金額小計とを合わる。
</t>
    </r>
    <r>
      <rPr>
        <b/>
        <sz val="12"/>
        <color theme="1"/>
        <rFont val="Meiryo UI"/>
        <family val="3"/>
        <charset val="128"/>
      </rPr>
      <t>(※影響を受ける商品が少ない)</t>
    </r>
    <rPh sb="0" eb="2">
      <t>ネビキ</t>
    </rPh>
    <rPh sb="2" eb="4">
      <t>タンカ</t>
    </rPh>
    <rPh sb="5" eb="7">
      <t>サンシュツ</t>
    </rPh>
    <rPh sb="9" eb="10">
      <t>サイ</t>
    </rPh>
    <rPh sb="12" eb="14">
      <t>キリア</t>
    </rPh>
    <rPh sb="16" eb="17">
      <t>オコナ</t>
    </rPh>
    <rPh sb="24" eb="28">
      <t>ネビキタンカ</t>
    </rPh>
    <rPh sb="28" eb="30">
      <t>ゴウケイ</t>
    </rPh>
    <rPh sb="33" eb="35">
      <t>ショウケイ</t>
    </rPh>
    <rPh sb="36" eb="39">
      <t>ネビキリツ</t>
    </rPh>
    <rPh sb="41" eb="42">
      <t>オオ</t>
    </rPh>
    <rPh sb="47" eb="49">
      <t>タンカ</t>
    </rPh>
    <rPh sb="50" eb="51">
      <t>ヒク</t>
    </rPh>
    <rPh sb="56" eb="58">
      <t>ショウヒン</t>
    </rPh>
    <rPh sb="58" eb="60">
      <t>タンイ</t>
    </rPh>
    <rPh sb="62" eb="64">
      <t>ショウケイ</t>
    </rPh>
    <rPh sb="64" eb="66">
      <t>ネビキ</t>
    </rPh>
    <rPh sb="88" eb="90">
      <t>ネビキ</t>
    </rPh>
    <rPh sb="90" eb="92">
      <t>キンガク</t>
    </rPh>
    <rPh sb="92" eb="94">
      <t>ショウケイ</t>
    </rPh>
    <rPh sb="96" eb="97">
      <t>ア</t>
    </rPh>
    <rPh sb="112" eb="113">
      <t>スク</t>
    </rPh>
    <phoneticPr fontId="1"/>
  </si>
  <si>
    <r>
      <t xml:space="preserve">値引単価を算出する際に、切下げを行っているので、値引単価合計が、
</t>
    </r>
    <r>
      <rPr>
        <b/>
        <sz val="12"/>
        <color rgb="FFFF0000"/>
        <rFont val="Meiryo UI"/>
        <family val="3"/>
        <charset val="128"/>
      </rPr>
      <t>小計×値引率より少なくなる。</t>
    </r>
    <r>
      <rPr>
        <sz val="12"/>
        <color theme="1"/>
        <rFont val="Meiryo UI"/>
        <family val="3"/>
        <charset val="128"/>
      </rPr>
      <t xml:space="preserve">
</t>
    </r>
    <r>
      <rPr>
        <b/>
        <sz val="12"/>
        <color rgb="FFFF0000"/>
        <rFont val="Meiryo UI"/>
        <family val="3"/>
        <charset val="128"/>
      </rPr>
      <t>単価の高い</t>
    </r>
    <r>
      <rPr>
        <sz val="12"/>
        <color theme="1"/>
        <rFont val="Meiryo UI"/>
        <family val="3"/>
        <charset val="128"/>
      </rPr>
      <t>ものから、商品単位で、</t>
    </r>
    <r>
      <rPr>
        <b/>
        <u/>
        <sz val="12"/>
        <color rgb="FFFF0000"/>
        <rFont val="Meiryo UI"/>
        <family val="3"/>
        <charset val="128"/>
      </rPr>
      <t>1円ずつ値引を増やす。</t>
    </r>
    <r>
      <rPr>
        <sz val="12"/>
        <color theme="1"/>
        <rFont val="Meiryo UI"/>
        <family val="3"/>
        <charset val="128"/>
      </rPr>
      <t xml:space="preserve">
値引対象商品の小計×値引率と、値引金額小計とを合わる。
</t>
    </r>
    <r>
      <rPr>
        <b/>
        <sz val="12"/>
        <color theme="1"/>
        <rFont val="Meiryo UI"/>
        <family val="3"/>
        <charset val="128"/>
      </rPr>
      <t>(※影響を受ける商品が多い)</t>
    </r>
    <rPh sb="13" eb="14">
      <t>サ</t>
    </rPh>
    <rPh sb="41" eb="42">
      <t>スク</t>
    </rPh>
    <rPh sb="51" eb="52">
      <t>タカ</t>
    </rPh>
    <rPh sb="58" eb="60">
      <t>ショウヒン</t>
    </rPh>
    <rPh sb="60" eb="62">
      <t>タンイ</t>
    </rPh>
    <rPh sb="65" eb="66">
      <t>エン</t>
    </rPh>
    <rPh sb="68" eb="70">
      <t>ネビキ</t>
    </rPh>
    <rPh sb="106" eb="108">
      <t>エイキョウ</t>
    </rPh>
    <rPh sb="109" eb="110">
      <t>ウ</t>
    </rPh>
    <rPh sb="112" eb="114">
      <t>ショウヒン</t>
    </rPh>
    <rPh sb="115" eb="116">
      <t>オオ</t>
    </rPh>
    <phoneticPr fontId="1"/>
  </si>
  <si>
    <r>
      <t xml:space="preserve">例）単価 \3,790 　小計値引率 5% (さんにち割を想定)
</t>
    </r>
    <r>
      <rPr>
        <b/>
        <sz val="10"/>
        <color rgb="FFFF0000"/>
        <rFont val="Meiryo UI"/>
        <family val="3"/>
        <charset val="128"/>
      </rPr>
      <t>\189.5 ＝@\3,790× 5% →切上げなので、\190-</t>
    </r>
    <r>
      <rPr>
        <sz val="10"/>
        <color theme="1"/>
        <rFont val="Meiryo UI"/>
        <family val="3"/>
        <charset val="128"/>
      </rPr>
      <t xml:space="preserve">
@\3,600 = @3,790 -190
単価が高いものなので、調整対象</t>
    </r>
    <r>
      <rPr>
        <b/>
        <sz val="10"/>
        <color rgb="FFFF0000"/>
        <rFont val="Meiryo UI"/>
        <family val="3"/>
        <charset val="128"/>
      </rPr>
      <t>外</t>
    </r>
    <r>
      <rPr>
        <sz val="10"/>
        <color theme="1"/>
        <rFont val="Meiryo UI"/>
        <family val="3"/>
        <charset val="128"/>
      </rPr>
      <t xml:space="preserve">となり、調整無し
</t>
    </r>
    <r>
      <rPr>
        <b/>
        <u/>
        <sz val="10"/>
        <color theme="1"/>
        <rFont val="Meiryo UI"/>
        <family val="3"/>
        <charset val="128"/>
      </rPr>
      <t>結果：@\3,790 → \3,600</t>
    </r>
    <rPh sb="0" eb="1">
      <t>レイ</t>
    </rPh>
    <rPh sb="54" eb="56">
      <t>キリア</t>
    </rPh>
    <rPh sb="104" eb="105">
      <t>ガイ</t>
    </rPh>
    <rPh sb="109" eb="111">
      <t>チョウセイ</t>
    </rPh>
    <rPh sb="111" eb="112">
      <t>ナ</t>
    </rPh>
    <phoneticPr fontId="1"/>
  </si>
  <si>
    <r>
      <t xml:space="preserve">例）単価 \3,790 　小計値引率 5% (さんにち割を想定)
</t>
    </r>
    <r>
      <rPr>
        <b/>
        <sz val="10"/>
        <color rgb="FFFF0000"/>
        <rFont val="Meiryo UI"/>
        <family val="3"/>
        <charset val="128"/>
      </rPr>
      <t>\189.5 ＝@\3,790× 5% →切下げなので、\189-</t>
    </r>
    <r>
      <rPr>
        <sz val="10"/>
        <color theme="1"/>
        <rFont val="Meiryo UI"/>
        <family val="3"/>
        <charset val="128"/>
      </rPr>
      <t xml:space="preserve">
@\3,601 = @3,790 -189
単価が高いものなので、</t>
    </r>
    <r>
      <rPr>
        <b/>
        <sz val="10"/>
        <color rgb="FFFF0000"/>
        <rFont val="Meiryo UI"/>
        <family val="3"/>
        <charset val="128"/>
      </rPr>
      <t>調整対象</t>
    </r>
    <r>
      <rPr>
        <sz val="10"/>
        <color theme="1"/>
        <rFont val="Meiryo UI"/>
        <family val="3"/>
        <charset val="128"/>
      </rPr>
      <t xml:space="preserve">となり、値引を1円増やす
</t>
    </r>
    <r>
      <rPr>
        <b/>
        <u/>
        <sz val="10"/>
        <color theme="1"/>
        <rFont val="Meiryo UI"/>
        <family val="3"/>
        <charset val="128"/>
      </rPr>
      <t xml:space="preserve">結果：@\3,790 → \3,600
</t>
    </r>
    <rPh sb="55" eb="56">
      <t>サ</t>
    </rPh>
    <rPh sb="89" eb="91">
      <t>タンカ</t>
    </rPh>
    <rPh sb="92" eb="93">
      <t>タカ</t>
    </rPh>
    <rPh sb="100" eb="102">
      <t>チョウセイ</t>
    </rPh>
    <rPh sb="102" eb="104">
      <t>タイショウ</t>
    </rPh>
    <rPh sb="108" eb="110">
      <t>ネビキ</t>
    </rPh>
    <rPh sb="112" eb="113">
      <t>エン</t>
    </rPh>
    <rPh sb="113" eb="114">
      <t>フ</t>
    </rPh>
    <phoneticPr fontId="1"/>
  </si>
  <si>
    <r>
      <t xml:space="preserve">例）単価 \39 　小計値引率 5% (さんにち割を想定)
</t>
    </r>
    <r>
      <rPr>
        <b/>
        <sz val="10"/>
        <color rgb="FFFF0000"/>
        <rFont val="Meiryo UI"/>
        <family val="3"/>
        <charset val="128"/>
      </rPr>
      <t>\1.95 ＝@\37× 5% →切あげなので、\2-</t>
    </r>
    <r>
      <rPr>
        <sz val="10"/>
        <color theme="1"/>
        <rFont val="Meiryo UI"/>
        <family val="3"/>
        <charset val="128"/>
      </rPr>
      <t xml:space="preserve">
@\39 = 5％引きの場合、2円引くべきですが、
単価が低い順のキャンセル対象となり、小計値引対象外にする。
</t>
    </r>
    <r>
      <rPr>
        <b/>
        <u/>
        <sz val="10"/>
        <color theme="1"/>
        <rFont val="Meiryo UI"/>
        <family val="3"/>
        <charset val="128"/>
      </rPr>
      <t>結果：@\39 → \39</t>
    </r>
    <r>
      <rPr>
        <sz val="10"/>
        <color theme="1"/>
        <rFont val="Meiryo UI"/>
        <family val="3"/>
        <charset val="128"/>
      </rPr>
      <t xml:space="preserve">
</t>
    </r>
    <rPh sb="0" eb="1">
      <t>レイ</t>
    </rPh>
    <rPh sb="2" eb="4">
      <t>タンカ</t>
    </rPh>
    <rPh sb="67" eb="68">
      <t>ヒ</t>
    </rPh>
    <rPh sb="70" eb="72">
      <t>バアイ</t>
    </rPh>
    <rPh sb="74" eb="75">
      <t>エン</t>
    </rPh>
    <rPh sb="75" eb="76">
      <t>ヒ</t>
    </rPh>
    <rPh sb="84" eb="86">
      <t>タンカ</t>
    </rPh>
    <rPh sb="87" eb="88">
      <t>ヒク</t>
    </rPh>
    <rPh sb="89" eb="90">
      <t>ジュン</t>
    </rPh>
    <rPh sb="96" eb="98">
      <t>タイショウ</t>
    </rPh>
    <rPh sb="102" eb="104">
      <t>ショウケイ</t>
    </rPh>
    <rPh sb="104" eb="106">
      <t>ネビキ</t>
    </rPh>
    <rPh sb="106" eb="108">
      <t>タイショウ</t>
    </rPh>
    <rPh sb="108" eb="109">
      <t>ガイ</t>
    </rPh>
    <phoneticPr fontId="1"/>
  </si>
  <si>
    <r>
      <t xml:space="preserve">例）例）単価 \39 　小計値引率 5% (さんにち割を想定)
</t>
    </r>
    <r>
      <rPr>
        <b/>
        <sz val="10"/>
        <color rgb="FFFF0000"/>
        <rFont val="Meiryo UI"/>
        <family val="3"/>
        <charset val="128"/>
      </rPr>
      <t>\1.95 ＝@\37× 5% →切下げなので、\1-</t>
    </r>
    <r>
      <rPr>
        <sz val="10"/>
        <color theme="1"/>
        <rFont val="Meiryo UI"/>
        <family val="3"/>
        <charset val="128"/>
      </rPr>
      <t xml:space="preserve">
@\38 = @39 -1
単価が低いものなので、調整対象外となり、調整無し
</t>
    </r>
    <r>
      <rPr>
        <b/>
        <u/>
        <sz val="10"/>
        <color theme="1"/>
        <rFont val="Meiryo UI"/>
        <family val="3"/>
        <charset val="128"/>
      </rPr>
      <t>結果：@\39 → \38</t>
    </r>
    <rPh sb="77" eb="78">
      <t>ヒク</t>
    </rPh>
    <phoneticPr fontId="1"/>
  </si>
  <si>
    <t>スキャンの逆順</t>
    <rPh sb="5" eb="6">
      <t>ギャク</t>
    </rPh>
    <rPh sb="6" eb="7">
      <t>ジュン</t>
    </rPh>
    <phoneticPr fontId="1"/>
  </si>
  <si>
    <t>売価</t>
    <rPh sb="0" eb="2">
      <t>バイカ</t>
    </rPh>
    <phoneticPr fontId="1"/>
  </si>
  <si>
    <t>5％値引</t>
    <rPh sb="2" eb="4">
      <t>ネビ</t>
    </rPh>
    <phoneticPr fontId="1"/>
  </si>
  <si>
    <t>小計の5%→</t>
    <rPh sb="0" eb="2">
      <t>ショウケイ</t>
    </rPh>
    <phoneticPr fontId="1"/>
  </si>
  <si>
    <t>調整</t>
    <rPh sb="0" eb="2">
      <t>チョウセイ</t>
    </rPh>
    <phoneticPr fontId="1"/>
  </si>
  <si>
    <t>最終値引額</t>
    <rPh sb="0" eb="2">
      <t>サイシュウ</t>
    </rPh>
    <rPh sb="2" eb="4">
      <t>ネビキ</t>
    </rPh>
    <rPh sb="4" eb="5">
      <t>ガク</t>
    </rPh>
    <phoneticPr fontId="1"/>
  </si>
  <si>
    <t>最終税抜</t>
    <rPh sb="0" eb="2">
      <t>サイシュウ</t>
    </rPh>
    <rPh sb="2" eb="4">
      <t>ゼイヌキ</t>
    </rPh>
    <phoneticPr fontId="1"/>
  </si>
  <si>
    <t>税込</t>
    <rPh sb="0" eb="2">
      <t>ゼイコミ</t>
    </rPh>
    <phoneticPr fontId="1"/>
  </si>
  <si>
    <t>端数付</t>
    <rPh sb="0" eb="2">
      <t>ハスウ</t>
    </rPh>
    <rPh sb="2" eb="3">
      <t>ツキ</t>
    </rPh>
    <phoneticPr fontId="1"/>
  </si>
  <si>
    <t>税込端数付</t>
    <rPh sb="0" eb="2">
      <t>ゼイコミ</t>
    </rPh>
    <rPh sb="2" eb="4">
      <t>ハスウ</t>
    </rPh>
    <rPh sb="4" eb="5">
      <t>ツキ</t>
    </rPh>
    <phoneticPr fontId="1"/>
  </si>
  <si>
    <t>野菜：8%</t>
    <rPh sb="0" eb="2">
      <t>ヤサイ</t>
    </rPh>
    <phoneticPr fontId="1"/>
  </si>
  <si>
    <t>日用品：10%</t>
    <rPh sb="0" eb="3">
      <t>ニチヨウヒン</t>
    </rPh>
    <phoneticPr fontId="1"/>
  </si>
  <si>
    <t>※Scan＆Go</t>
    <phoneticPr fontId="1"/>
  </si>
  <si>
    <t>※富士通</t>
    <rPh sb="1" eb="4">
      <t>フジツウ</t>
    </rPh>
    <phoneticPr fontId="1"/>
  </si>
  <si>
    <t>税区分
＋割引除外</t>
    <rPh sb="0" eb="3">
      <t>ゼイクブン</t>
    </rPh>
    <rPh sb="5" eb="7">
      <t>ワリビキ</t>
    </rPh>
    <rPh sb="7" eb="9">
      <t>ジョガイ</t>
    </rPh>
    <phoneticPr fontId="1"/>
  </si>
  <si>
    <r>
      <t xml:space="preserve">無効
</t>
    </r>
    <r>
      <rPr>
        <sz val="6"/>
        <rFont val="游ゴシック"/>
        <family val="3"/>
        <charset val="128"/>
        <scheme val="minor"/>
      </rPr>
      <t>※削除FG</t>
    </r>
    <rPh sb="0" eb="2">
      <t>ムコウ</t>
    </rPh>
    <rPh sb="4" eb="6">
      <t>サクジョ</t>
    </rPh>
    <phoneticPr fontId="16"/>
  </si>
  <si>
    <r>
      <rPr>
        <sz val="8"/>
        <rFont val="游ゴシック"/>
        <family val="3"/>
        <charset val="128"/>
        <scheme val="minor"/>
      </rPr>
      <t>※参考値</t>
    </r>
    <r>
      <rPr>
        <sz val="10"/>
        <rFont val="游ゴシック"/>
        <family val="3"/>
        <charset val="128"/>
        <scheme val="minor"/>
      </rPr>
      <t xml:space="preserve">
</t>
    </r>
    <r>
      <rPr>
        <sz val="6"/>
        <color rgb="FFFF0000"/>
        <rFont val="游ゴシック"/>
        <family val="3"/>
        <charset val="128"/>
        <scheme val="minor"/>
      </rPr>
      <t>修正後*値引率</t>
    </r>
    <rPh sb="1" eb="3">
      <t>サンコウ</t>
    </rPh>
    <rPh sb="3" eb="4">
      <t>チ</t>
    </rPh>
    <rPh sb="5" eb="7">
      <t>シュウセイ</t>
    </rPh>
    <rPh sb="7" eb="8">
      <t>ゴ</t>
    </rPh>
    <rPh sb="9" eb="11">
      <t>ネビキ</t>
    </rPh>
    <rPh sb="11" eb="12">
      <t>リツ</t>
    </rPh>
    <phoneticPr fontId="15"/>
  </si>
  <si>
    <t>外税8%</t>
  </si>
  <si>
    <t>外税10%</t>
  </si>
  <si>
    <t>計</t>
    <rPh sb="0" eb="1">
      <t>ケイ</t>
    </rPh>
    <phoneticPr fontId="1"/>
  </si>
  <si>
    <t>②内税対象額</t>
    <phoneticPr fontId="1"/>
  </si>
  <si>
    <t>③非課税対象額</t>
    <phoneticPr fontId="1"/>
  </si>
  <si>
    <t>小計額（値引前）A</t>
    <phoneticPr fontId="15"/>
  </si>
  <si>
    <t>①割引除外金額</t>
    <phoneticPr fontId="1"/>
  </si>
  <si>
    <t>④割引対象額　＝①＋②＋③</t>
    <phoneticPr fontId="1"/>
  </si>
  <si>
    <t>切上前→</t>
    <rPh sb="0" eb="2">
      <t>キリアゲ</t>
    </rPh>
    <rPh sb="2" eb="3">
      <t>マエ</t>
    </rPh>
    <phoneticPr fontId="1"/>
  </si>
  <si>
    <t>(1)小計値引額計算</t>
    <phoneticPr fontId="1"/>
  </si>
  <si>
    <t>⑤小計値引額 =④×割引率</t>
    <phoneticPr fontId="1"/>
  </si>
  <si>
    <t>スキャンの順</t>
    <rPh sb="5" eb="6">
      <t>ジュン</t>
    </rPh>
    <phoneticPr fontId="1"/>
  </si>
  <si>
    <t>値引金額小計</t>
    <rPh sb="0" eb="2">
      <t>ネビキ</t>
    </rPh>
    <rPh sb="2" eb="4">
      <t>キンガク</t>
    </rPh>
    <rPh sb="4" eb="6">
      <t>ショウケイ</t>
    </rPh>
    <phoneticPr fontId="1"/>
  </si>
  <si>
    <t>小計値引額は、まず明細値引後の小計額より外税売上のうち割引除外対象金額①を減算し、かつ内税売上②と非課税売上③を除いた金額を割引対象金額④として算出します。割引対象金額より5％を値引額として算出し、端数は小数点以下切り上げて小計値引額⑤とします。</t>
    <rPh sb="0" eb="2">
      <t>ショウケイ</t>
    </rPh>
    <rPh sb="2" eb="4">
      <t>ネビキ</t>
    </rPh>
    <rPh sb="4" eb="5">
      <t>ガク</t>
    </rPh>
    <rPh sb="9" eb="11">
      <t>メイサイ</t>
    </rPh>
    <rPh sb="11" eb="13">
      <t>ネビキ</t>
    </rPh>
    <rPh sb="13" eb="14">
      <t>ゴ</t>
    </rPh>
    <rPh sb="15" eb="17">
      <t>ショウケイ</t>
    </rPh>
    <rPh sb="17" eb="18">
      <t>ガク</t>
    </rPh>
    <rPh sb="20" eb="22">
      <t>ソトゼイ</t>
    </rPh>
    <rPh sb="22" eb="24">
      <t>ウリアゲ</t>
    </rPh>
    <rPh sb="27" eb="29">
      <t>ワリビキ</t>
    </rPh>
    <rPh sb="29" eb="31">
      <t>ジョガイ</t>
    </rPh>
    <rPh sb="31" eb="33">
      <t>タイショウ</t>
    </rPh>
    <rPh sb="33" eb="35">
      <t>キンガク</t>
    </rPh>
    <rPh sb="37" eb="39">
      <t>ゲンザン</t>
    </rPh>
    <rPh sb="43" eb="45">
      <t>ウチゼイ</t>
    </rPh>
    <rPh sb="45" eb="47">
      <t>ウリアゲ</t>
    </rPh>
    <rPh sb="49" eb="52">
      <t>ヒカゼイ</t>
    </rPh>
    <rPh sb="52" eb="54">
      <t>ウリアゲ</t>
    </rPh>
    <rPh sb="56" eb="57">
      <t>ノゾ</t>
    </rPh>
    <rPh sb="59" eb="61">
      <t>キンガク</t>
    </rPh>
    <phoneticPr fontId="1"/>
  </si>
  <si>
    <t>値引前ー（外税金額から値引除外金額を算出＋内税＋非課税を加算）</t>
    <rPh sb="0" eb="1">
      <t>ネビキ</t>
    </rPh>
    <rPh sb="1" eb="2">
      <t>マエ</t>
    </rPh>
    <rPh sb="4" eb="6">
      <t>ソトゼイ</t>
    </rPh>
    <rPh sb="6" eb="8">
      <t>キンガク</t>
    </rPh>
    <rPh sb="10" eb="14">
      <t>ネビキジョガイ</t>
    </rPh>
    <rPh sb="14" eb="16">
      <t>キンガク</t>
    </rPh>
    <rPh sb="17" eb="19">
      <t>サンシュツ</t>
    </rPh>
    <rPh sb="20" eb="22">
      <t>ウチゼイ</t>
    </rPh>
    <rPh sb="23" eb="26">
      <t>ヒカゼイ</t>
    </rPh>
    <rPh sb="27" eb="29">
      <t>カサン</t>
    </rPh>
    <phoneticPr fontId="1"/>
  </si>
  <si>
    <t>値引金額小計の調整①の影響のほうが大きいので、
影響度は不明</t>
    <rPh sb="11" eb="13">
      <t>エイキョウ</t>
    </rPh>
    <rPh sb="17" eb="18">
      <t>オオ</t>
    </rPh>
    <rPh sb="24" eb="27">
      <t>エイキョウド</t>
    </rPh>
    <rPh sb="28" eb="30">
      <t>フメイ</t>
    </rPh>
    <phoneticPr fontId="1"/>
  </si>
  <si>
    <r>
      <t xml:space="preserve">富士通POSの場合は、内税、非課税商品は、値引除外になる前提で組まれている。
</t>
    </r>
    <r>
      <rPr>
        <b/>
        <u/>
        <sz val="12"/>
        <color rgb="FFFF0000"/>
        <rFont val="Meiryo UI"/>
        <family val="3"/>
        <charset val="128"/>
      </rPr>
      <t>施策等で変更になった場合に、修正が必要</t>
    </r>
    <rPh sb="0" eb="3">
      <t>フジツウ</t>
    </rPh>
    <rPh sb="7" eb="9">
      <t>バアイ</t>
    </rPh>
    <rPh sb="11" eb="13">
      <t>ウチゼイ</t>
    </rPh>
    <rPh sb="14" eb="17">
      <t>ヒカゼイ</t>
    </rPh>
    <rPh sb="17" eb="19">
      <t>ショウヒン</t>
    </rPh>
    <rPh sb="21" eb="25">
      <t>ネビキジョガイ</t>
    </rPh>
    <rPh sb="28" eb="30">
      <t>ゼンテイ</t>
    </rPh>
    <rPh sb="31" eb="32">
      <t>ク</t>
    </rPh>
    <rPh sb="39" eb="41">
      <t>シサク</t>
    </rPh>
    <rPh sb="41" eb="42">
      <t>トウ</t>
    </rPh>
    <rPh sb="43" eb="45">
      <t>ヘンコウ</t>
    </rPh>
    <rPh sb="49" eb="51">
      <t>バアイ</t>
    </rPh>
    <rPh sb="53" eb="55">
      <t>シュウセイ</t>
    </rPh>
    <rPh sb="56" eb="58">
      <t>ヒツヨウ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</si>
</sst>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00;[Red]\-#,##0.000"/>
    <numFmt numFmtId="177" formatCode="#,##0.0;[Red]\-#,##0.0"/>
    <numFmt numFmtId="178" formatCode="0.000%"/>
    <numFmt numFmtId="179" formatCode="#,##0_ ;[Red]\-#,##0\ "/>
    <numFmt numFmtId="180" formatCode="#,##0.000_ ;[Red]\-#,##0.000\ "/>
    <numFmt numFmtId="181" formatCode="#,##0.000000;[Red]\-#,##0.000000"/>
    <numFmt numFmtId="182" formatCode="0.000"/>
  </numFmts>
  <fonts count="5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u/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u/>
      <sz val="10"/>
      <color rgb="FFFF0000"/>
      <name val="Meiryo UI"/>
      <family val="3"/>
      <charset val="128"/>
    </font>
    <font>
      <sz val="14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6"/>
      <name val="Meiryo UI"/>
      <family val="3"/>
      <charset val="128"/>
    </font>
    <font>
      <sz val="6"/>
      <name val="Meiryo UI"/>
      <family val="2"/>
      <charset val="128"/>
    </font>
    <font>
      <sz val="8"/>
      <name val="Meiryo UI"/>
      <family val="3"/>
      <charset val="128"/>
    </font>
    <font>
      <sz val="6"/>
      <color rgb="FFFF0000"/>
      <name val="Meiryo UI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8"/>
      <color indexed="81"/>
      <name val="Meiryo UI"/>
      <family val="3"/>
      <charset val="128"/>
    </font>
    <font>
      <b/>
      <sz val="10"/>
      <color indexed="81"/>
      <name val="MS P ゴシック"/>
      <family val="3"/>
      <charset val="128"/>
    </font>
    <font>
      <b/>
      <sz val="10"/>
      <color indexed="81"/>
      <name val="Meiryo UI"/>
      <family val="3"/>
      <charset val="128"/>
    </font>
    <font>
      <b/>
      <sz val="10"/>
      <color indexed="1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9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strike/>
      <sz val="9"/>
      <name val="Meiryo UI"/>
      <family val="3"/>
      <charset val="128"/>
    </font>
    <font>
      <b/>
      <sz val="10"/>
      <color indexed="10"/>
      <name val="MS P ゴシック"/>
      <family val="3"/>
      <charset val="128"/>
    </font>
    <font>
      <sz val="10"/>
      <color indexed="81"/>
      <name val="MS P ゴシック"/>
      <family val="3"/>
      <charset val="128"/>
    </font>
    <font>
      <b/>
      <u/>
      <sz val="12"/>
      <color rgb="FFFF000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color rgb="FFFF0000"/>
      <name val="游ゴシック"/>
      <family val="3"/>
      <charset val="128"/>
      <scheme val="minor"/>
    </font>
    <font>
      <sz val="8"/>
      <color theme="0" tint="-0.499984740745262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sz val="9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1"/>
      <color theme="0" tint="-0.499984740745262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0"/>
      <color indexed="81"/>
      <name val="游ゴシック"/>
      <family val="3"/>
      <charset val="128"/>
      <scheme val="minor"/>
    </font>
    <font>
      <strike/>
      <sz val="1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13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4" tint="-0.24994659260841701"/>
      </left>
      <right/>
      <top style="medium">
        <color indexed="64"/>
      </top>
      <bottom style="hair">
        <color theme="4" tint="-0.24994659260841701"/>
      </bottom>
      <diagonal/>
    </border>
    <border>
      <left/>
      <right/>
      <top style="medium">
        <color indexed="64"/>
      </top>
      <bottom style="hair">
        <color theme="4" tint="-0.24994659260841701"/>
      </bottom>
      <diagonal/>
    </border>
    <border>
      <left/>
      <right style="thin">
        <color theme="0" tint="-0.499984740745262"/>
      </right>
      <top style="medium">
        <color indexed="64"/>
      </top>
      <bottom style="hair">
        <color theme="4" tint="-0.24994659260841701"/>
      </bottom>
      <diagonal/>
    </border>
    <border>
      <left style="thin">
        <color theme="0" tint="-0.499984740745262"/>
      </left>
      <right/>
      <top style="medium">
        <color indexed="64"/>
      </top>
      <bottom style="hair">
        <color theme="4" tint="-0.24994659260841701"/>
      </bottom>
      <diagonal/>
    </border>
    <border>
      <left/>
      <right style="hair">
        <color theme="0" tint="-0.499984740745262"/>
      </right>
      <top style="medium">
        <color indexed="64"/>
      </top>
      <bottom style="hair">
        <color theme="4" tint="-0.24994659260841701"/>
      </bottom>
      <diagonal/>
    </border>
    <border>
      <left style="hair">
        <color theme="0" tint="-0.499984740745262"/>
      </left>
      <right/>
      <top style="medium">
        <color indexed="64"/>
      </top>
      <bottom style="hair">
        <color theme="4" tint="-0.24994659260841701"/>
      </bottom>
      <diagonal/>
    </border>
    <border>
      <left/>
      <right style="medium">
        <color theme="4" tint="-0.24994659260841701"/>
      </right>
      <top style="medium">
        <color indexed="64"/>
      </top>
      <bottom style="hair">
        <color theme="4" tint="-0.24994659260841701"/>
      </bottom>
      <diagonal/>
    </border>
    <border>
      <left style="medium">
        <color theme="4" tint="-0.24994659260841701"/>
      </left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 style="thin">
        <color theme="0" tint="-0.499984740745262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0" tint="-0.499984740745262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hair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0" tint="-0.499984740745262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hair">
        <color theme="0" tint="-0.499984740745262"/>
      </right>
      <top style="thin">
        <color theme="4" tint="-0.24994659260841701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hair">
        <color theme="0" tint="-0.499984740745262"/>
      </bottom>
      <diagonal/>
    </border>
    <border>
      <left/>
      <right/>
      <top style="thin">
        <color theme="4" tint="-0.24994659260841701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4" tint="-0.24994659260841701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4" tint="-0.24994659260841701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4" tint="-0.24994659260841701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4" tint="-0.24994659260841701"/>
      </top>
      <bottom style="hair">
        <color theme="0" tint="-0.499984740745262"/>
      </bottom>
      <diagonal/>
    </border>
    <border>
      <left/>
      <right style="medium">
        <color theme="4" tint="-0.24994659260841701"/>
      </right>
      <top style="thin">
        <color theme="4" tint="-0.24994659260841701"/>
      </top>
      <bottom style="hair">
        <color theme="0" tint="-0.499984740745262"/>
      </bottom>
      <diagonal/>
    </border>
    <border>
      <left style="medium">
        <color theme="4" tint="-0.24994659260841701"/>
      </left>
      <right/>
      <top style="hair">
        <color theme="0" tint="-0.499984740745262"/>
      </top>
      <bottom style="thin">
        <color theme="4" tint="-0.24994659260841701"/>
      </bottom>
      <diagonal/>
    </border>
    <border>
      <left/>
      <right/>
      <top style="hair">
        <color theme="0" tint="-0.499984740745262"/>
      </top>
      <bottom style="thin">
        <color theme="4" tint="-0.2499465926084170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4" tint="-0.24994659260841701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4" tint="-0.24994659260841701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4" tint="-0.2499465926084170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hair">
        <color theme="0" tint="-0.499984740745262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0" tint="-0.499984740745262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0" tint="-0.499984740745262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hair">
        <color theme="0" tint="-0.499984740745262"/>
      </right>
      <top style="thin">
        <color theme="4" tint="-0.24994659260841701"/>
      </top>
      <bottom style="medium">
        <color theme="4" tint="-0.24994659260841701"/>
      </bottom>
      <diagonal/>
    </border>
    <border>
      <left style="hair">
        <color theme="0" tint="-0.499984740745262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4" tint="-0.24994659260841701"/>
      </top>
      <bottom/>
      <diagonal/>
    </border>
    <border>
      <left/>
      <right style="medium">
        <color theme="4" tint="-0.24994659260841701"/>
      </right>
      <top style="thin">
        <color theme="4" tint="-0.24994659260841701"/>
      </top>
      <bottom/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</borders>
  <cellStyleXfs count="6">
    <xf numFmtId="0" fontId="0" fillId="0" borderId="0">
      <alignment vertical="center"/>
    </xf>
    <xf numFmtId="0" fontId="13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</cellStyleXfs>
  <cellXfs count="1235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2" borderId="25" xfId="0" applyFont="1" applyFill="1" applyBorder="1" applyAlignment="1">
      <alignment horizontal="centerContinuous" vertical="center" wrapText="1"/>
    </xf>
    <xf numFmtId="0" fontId="5" fillId="2" borderId="29" xfId="0" applyFont="1" applyFill="1" applyBorder="1" applyAlignment="1">
      <alignment horizontal="centerContinuous" vertical="center" wrapText="1"/>
    </xf>
    <xf numFmtId="0" fontId="5" fillId="2" borderId="27" xfId="0" applyFont="1" applyFill="1" applyBorder="1" applyAlignment="1">
      <alignment horizontal="centerContinuous" vertical="center" wrapText="1"/>
    </xf>
    <xf numFmtId="0" fontId="5" fillId="0" borderId="0" xfId="0" applyFont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10" fillId="0" borderId="21" xfId="0" quotePrefix="1" applyFont="1" applyBorder="1" applyAlignment="1">
      <alignment horizontal="left" vertical="top" wrapText="1"/>
    </xf>
    <xf numFmtId="0" fontId="9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4" fillId="0" borderId="0" xfId="1" applyFont="1">
      <alignment vertical="center"/>
    </xf>
    <xf numFmtId="0" fontId="14" fillId="7" borderId="36" xfId="1" applyFont="1" applyFill="1" applyBorder="1">
      <alignment vertical="center"/>
    </xf>
    <xf numFmtId="0" fontId="14" fillId="7" borderId="34" xfId="1" applyFont="1" applyFill="1" applyBorder="1">
      <alignment vertical="center"/>
    </xf>
    <xf numFmtId="0" fontId="14" fillId="7" borderId="35" xfId="1" applyFont="1" applyFill="1" applyBorder="1">
      <alignment vertical="center"/>
    </xf>
    <xf numFmtId="0" fontId="14" fillId="3" borderId="33" xfId="1" applyFont="1" applyFill="1" applyBorder="1">
      <alignment vertical="center"/>
    </xf>
    <xf numFmtId="0" fontId="14" fillId="3" borderId="34" xfId="1" applyFont="1" applyFill="1" applyBorder="1">
      <alignment vertical="center"/>
    </xf>
    <xf numFmtId="0" fontId="14" fillId="3" borderId="35" xfId="1" applyFont="1" applyFill="1" applyBorder="1">
      <alignment vertical="center"/>
    </xf>
    <xf numFmtId="0" fontId="14" fillId="3" borderId="40" xfId="1" applyFont="1" applyFill="1" applyBorder="1">
      <alignment vertical="center"/>
    </xf>
    <xf numFmtId="0" fontId="14" fillId="3" borderId="0" xfId="1" applyFont="1" applyFill="1">
      <alignment vertical="center"/>
    </xf>
    <xf numFmtId="0" fontId="14" fillId="3" borderId="41" xfId="1" applyFont="1" applyFill="1" applyBorder="1">
      <alignment vertical="center"/>
    </xf>
    <xf numFmtId="38" fontId="14" fillId="3" borderId="2" xfId="1" applyNumberFormat="1" applyFont="1" applyFill="1" applyBorder="1">
      <alignment vertical="center"/>
    </xf>
    <xf numFmtId="0" fontId="14" fillId="0" borderId="34" xfId="1" applyFont="1" applyBorder="1" applyAlignment="1">
      <alignment vertical="center" shrinkToFit="1"/>
    </xf>
    <xf numFmtId="0" fontId="14" fillId="0" borderId="35" xfId="1" applyFont="1" applyBorder="1" applyAlignment="1">
      <alignment vertical="center" shrinkToFit="1"/>
    </xf>
    <xf numFmtId="0" fontId="14" fillId="0" borderId="0" xfId="1" applyFont="1" applyAlignment="1">
      <alignment vertical="center" shrinkToFit="1"/>
    </xf>
    <xf numFmtId="0" fontId="14" fillId="0" borderId="40" xfId="1" applyFont="1" applyBorder="1">
      <alignment vertical="center"/>
    </xf>
    <xf numFmtId="0" fontId="14" fillId="0" borderId="32" xfId="1" applyFont="1" applyBorder="1" applyAlignment="1">
      <alignment vertical="center" shrinkToFit="1"/>
    </xf>
    <xf numFmtId="0" fontId="14" fillId="0" borderId="74" xfId="1" applyFont="1" applyBorder="1">
      <alignment vertical="center"/>
    </xf>
    <xf numFmtId="0" fontId="14" fillId="0" borderId="75" xfId="1" applyFont="1" applyBorder="1">
      <alignment vertical="center"/>
    </xf>
    <xf numFmtId="0" fontId="14" fillId="0" borderId="30" xfId="1" applyFont="1" applyBorder="1" applyAlignment="1">
      <alignment vertical="center" shrinkToFit="1"/>
    </xf>
    <xf numFmtId="38" fontId="14" fillId="0" borderId="0" xfId="2" applyFont="1" applyFill="1" applyBorder="1">
      <alignment vertical="center"/>
    </xf>
    <xf numFmtId="38" fontId="14" fillId="0" borderId="0" xfId="1" applyNumberFormat="1" applyFont="1" applyAlignment="1">
      <alignment vertical="center" shrinkToFit="1"/>
    </xf>
    <xf numFmtId="38" fontId="14" fillId="0" borderId="0" xfId="2" applyFont="1" applyFill="1" applyBorder="1" applyAlignment="1">
      <alignment vertical="center" shrinkToFit="1"/>
    </xf>
    <xf numFmtId="177" fontId="14" fillId="0" borderId="0" xfId="2" applyNumberFormat="1" applyFont="1" applyAlignment="1">
      <alignment vertical="center"/>
    </xf>
    <xf numFmtId="38" fontId="14" fillId="0" borderId="0" xfId="2" applyFont="1" applyAlignment="1">
      <alignment vertical="center"/>
    </xf>
    <xf numFmtId="38" fontId="19" fillId="0" borderId="0" xfId="2" applyFont="1" applyFill="1" applyBorder="1" applyAlignment="1">
      <alignment vertical="center" shrinkToFit="1"/>
    </xf>
    <xf numFmtId="38" fontId="14" fillId="0" borderId="0" xfId="1" applyNumberFormat="1" applyFont="1">
      <alignment vertical="center"/>
    </xf>
    <xf numFmtId="0" fontId="12" fillId="0" borderId="0" xfId="0" applyFont="1" applyAlignment="1">
      <alignment horizontal="left" vertical="top"/>
    </xf>
    <xf numFmtId="38" fontId="14" fillId="0" borderId="0" xfId="2" applyFont="1" applyAlignment="1">
      <alignment vertical="center" shrinkToFit="1"/>
    </xf>
    <xf numFmtId="38" fontId="14" fillId="0" borderId="0" xfId="2" applyFont="1" applyBorder="1" applyAlignment="1">
      <alignment vertical="center" shrinkToFit="1"/>
    </xf>
    <xf numFmtId="0" fontId="14" fillId="4" borderId="0" xfId="1" applyFont="1" applyFill="1">
      <alignment vertical="center"/>
    </xf>
    <xf numFmtId="0" fontId="14" fillId="3" borderId="31" xfId="1" applyFont="1" applyFill="1" applyBorder="1">
      <alignment vertical="center"/>
    </xf>
    <xf numFmtId="0" fontId="14" fillId="5" borderId="34" xfId="1" applyFont="1" applyFill="1" applyBorder="1">
      <alignment vertical="center"/>
    </xf>
    <xf numFmtId="0" fontId="14" fillId="4" borderId="30" xfId="1" applyFont="1" applyFill="1" applyBorder="1">
      <alignment vertical="center"/>
    </xf>
    <xf numFmtId="0" fontId="14" fillId="4" borderId="31" xfId="1" applyFont="1" applyFill="1" applyBorder="1">
      <alignment vertical="center"/>
    </xf>
    <xf numFmtId="0" fontId="14" fillId="4" borderId="32" xfId="1" applyFont="1" applyFill="1" applyBorder="1">
      <alignment vertical="center"/>
    </xf>
    <xf numFmtId="0" fontId="14" fillId="15" borderId="33" xfId="1" applyFont="1" applyFill="1" applyBorder="1">
      <alignment vertical="center"/>
    </xf>
    <xf numFmtId="0" fontId="14" fillId="15" borderId="34" xfId="1" applyFont="1" applyFill="1" applyBorder="1">
      <alignment vertical="center"/>
    </xf>
    <xf numFmtId="0" fontId="14" fillId="8" borderId="33" xfId="1" applyFont="1" applyFill="1" applyBorder="1">
      <alignment vertical="center"/>
    </xf>
    <xf numFmtId="0" fontId="14" fillId="8" borderId="34" xfId="1" applyFont="1" applyFill="1" applyBorder="1">
      <alignment vertical="center"/>
    </xf>
    <xf numFmtId="0" fontId="14" fillId="8" borderId="35" xfId="1" applyFont="1" applyFill="1" applyBorder="1">
      <alignment vertical="center"/>
    </xf>
    <xf numFmtId="0" fontId="14" fillId="3" borderId="5" xfId="1" applyFont="1" applyFill="1" applyBorder="1">
      <alignment vertical="center"/>
    </xf>
    <xf numFmtId="0" fontId="14" fillId="0" borderId="5" xfId="1" applyFont="1" applyBorder="1">
      <alignment vertical="center"/>
    </xf>
    <xf numFmtId="0" fontId="28" fillId="0" borderId="5" xfId="1" applyFont="1" applyBorder="1">
      <alignment vertical="center"/>
    </xf>
    <xf numFmtId="0" fontId="14" fillId="0" borderId="44" xfId="1" applyFont="1" applyBorder="1">
      <alignment vertical="center"/>
    </xf>
    <xf numFmtId="38" fontId="14" fillId="3" borderId="30" xfId="2" applyFont="1" applyFill="1" applyBorder="1">
      <alignment vertical="center"/>
    </xf>
    <xf numFmtId="38" fontId="14" fillId="3" borderId="31" xfId="2" applyFont="1" applyFill="1" applyBorder="1">
      <alignment vertical="center"/>
    </xf>
    <xf numFmtId="38" fontId="14" fillId="3" borderId="30" xfId="2" applyFont="1" applyFill="1" applyBorder="1" applyAlignment="1">
      <alignment horizontal="center" vertical="center"/>
    </xf>
    <xf numFmtId="38" fontId="14" fillId="0" borderId="41" xfId="2" applyFont="1" applyFill="1" applyBorder="1" applyAlignment="1">
      <alignment vertical="center" shrinkToFit="1"/>
    </xf>
    <xf numFmtId="38" fontId="14" fillId="0" borderId="40" xfId="2" applyFont="1" applyFill="1" applyBorder="1" applyAlignment="1">
      <alignment vertical="center" shrinkToFit="1"/>
    </xf>
    <xf numFmtId="0" fontId="14" fillId="0" borderId="34" xfId="1" applyFont="1" applyBorder="1">
      <alignment vertical="center"/>
    </xf>
    <xf numFmtId="38" fontId="14" fillId="0" borderId="34" xfId="2" applyFont="1" applyFill="1" applyBorder="1" applyAlignment="1">
      <alignment vertical="center" shrinkToFit="1"/>
    </xf>
    <xf numFmtId="179" fontId="14" fillId="0" borderId="0" xfId="1" applyNumberFormat="1" applyFont="1">
      <alignment vertical="center"/>
    </xf>
    <xf numFmtId="179" fontId="14" fillId="0" borderId="34" xfId="2" applyNumberFormat="1" applyFont="1" applyBorder="1" applyAlignment="1">
      <alignment vertical="center" shrinkToFit="1"/>
    </xf>
    <xf numFmtId="179" fontId="14" fillId="0" borderId="0" xfId="2" applyNumberFormat="1" applyFont="1" applyBorder="1" applyAlignment="1">
      <alignment vertical="center" shrinkToFit="1"/>
    </xf>
    <xf numFmtId="38" fontId="28" fillId="0" borderId="0" xfId="2" applyFont="1" applyFill="1" applyBorder="1" applyAlignment="1">
      <alignment vertical="center" shrinkToFit="1"/>
    </xf>
    <xf numFmtId="178" fontId="14" fillId="0" borderId="0" xfId="3" applyNumberFormat="1" applyFont="1" applyFill="1" applyBorder="1" applyAlignment="1">
      <alignment vertical="center" shrinkToFit="1"/>
    </xf>
    <xf numFmtId="181" fontId="14" fillId="0" borderId="0" xfId="2" applyNumberFormat="1" applyFont="1" applyAlignment="1">
      <alignment vertical="center" shrinkToFit="1"/>
    </xf>
    <xf numFmtId="38" fontId="14" fillId="0" borderId="0" xfId="2" applyFont="1" applyFill="1" applyAlignment="1">
      <alignment vertical="center" shrinkToFit="1"/>
    </xf>
    <xf numFmtId="38" fontId="14" fillId="0" borderId="0" xfId="2" applyFont="1" applyFill="1" applyAlignment="1">
      <alignment vertical="center"/>
    </xf>
    <xf numFmtId="38" fontId="14" fillId="0" borderId="0" xfId="2" applyFont="1" applyFill="1" applyBorder="1" applyAlignment="1">
      <alignment vertical="center"/>
    </xf>
    <xf numFmtId="182" fontId="2" fillId="0" borderId="0" xfId="0" applyNumberFormat="1" applyFont="1" applyAlignment="1">
      <alignment vertical="center" wrapText="1"/>
    </xf>
    <xf numFmtId="0" fontId="2" fillId="0" borderId="0" xfId="0" applyFont="1">
      <alignment vertical="center"/>
    </xf>
    <xf numFmtId="38" fontId="2" fillId="0" borderId="0" xfId="4" applyFont="1">
      <alignment vertical="center"/>
    </xf>
    <xf numFmtId="176" fontId="2" fillId="0" borderId="0" xfId="4" applyNumberFormat="1" applyFont="1">
      <alignment vertical="center"/>
    </xf>
    <xf numFmtId="38" fontId="33" fillId="11" borderId="0" xfId="4" applyFont="1" applyFill="1">
      <alignment vertical="center"/>
    </xf>
    <xf numFmtId="9" fontId="2" fillId="0" borderId="0" xfId="5" applyFont="1">
      <alignment vertical="center"/>
    </xf>
    <xf numFmtId="176" fontId="2" fillId="0" borderId="0" xfId="4" quotePrefix="1" applyNumberFormat="1" applyFont="1">
      <alignment vertical="center"/>
    </xf>
    <xf numFmtId="0" fontId="34" fillId="0" borderId="0" xfId="1" applyFont="1" applyAlignment="1">
      <alignment vertical="center" shrinkToFit="1"/>
    </xf>
    <xf numFmtId="0" fontId="35" fillId="0" borderId="0" xfId="1" applyFont="1">
      <alignment vertical="center"/>
    </xf>
    <xf numFmtId="0" fontId="34" fillId="0" borderId="0" xfId="1" applyFont="1">
      <alignment vertical="center"/>
    </xf>
    <xf numFmtId="0" fontId="34" fillId="4" borderId="0" xfId="1" applyFont="1" applyFill="1">
      <alignment vertical="center"/>
    </xf>
    <xf numFmtId="0" fontId="36" fillId="3" borderId="33" xfId="1" applyFont="1" applyFill="1" applyBorder="1">
      <alignment vertical="center"/>
    </xf>
    <xf numFmtId="0" fontId="36" fillId="3" borderId="34" xfId="1" applyFont="1" applyFill="1" applyBorder="1">
      <alignment vertical="center"/>
    </xf>
    <xf numFmtId="0" fontId="36" fillId="3" borderId="31" xfId="1" applyFont="1" applyFill="1" applyBorder="1">
      <alignment vertical="center"/>
    </xf>
    <xf numFmtId="0" fontId="36" fillId="3" borderId="35" xfId="1" applyFont="1" applyFill="1" applyBorder="1">
      <alignment vertical="center"/>
    </xf>
    <xf numFmtId="0" fontId="36" fillId="5" borderId="34" xfId="1" applyFont="1" applyFill="1" applyBorder="1">
      <alignment vertical="center"/>
    </xf>
    <xf numFmtId="0" fontId="36" fillId="4" borderId="30" xfId="1" applyFont="1" applyFill="1" applyBorder="1">
      <alignment vertical="center"/>
    </xf>
    <xf numFmtId="0" fontId="36" fillId="4" borderId="31" xfId="1" applyFont="1" applyFill="1" applyBorder="1">
      <alignment vertical="center"/>
    </xf>
    <xf numFmtId="0" fontId="36" fillId="4" borderId="32" xfId="1" applyFont="1" applyFill="1" applyBorder="1">
      <alignment vertical="center"/>
    </xf>
    <xf numFmtId="0" fontId="36" fillId="6" borderId="34" xfId="1" applyFont="1" applyFill="1" applyBorder="1">
      <alignment vertical="center"/>
    </xf>
    <xf numFmtId="0" fontId="35" fillId="7" borderId="36" xfId="1" applyFont="1" applyFill="1" applyBorder="1">
      <alignment vertical="center"/>
    </xf>
    <xf numFmtId="0" fontId="35" fillId="7" borderId="34" xfId="1" applyFont="1" applyFill="1" applyBorder="1">
      <alignment vertical="center"/>
    </xf>
    <xf numFmtId="0" fontId="35" fillId="7" borderId="35" xfId="1" applyFont="1" applyFill="1" applyBorder="1">
      <alignment vertical="center"/>
    </xf>
    <xf numFmtId="0" fontId="36" fillId="8" borderId="33" xfId="1" applyFont="1" applyFill="1" applyBorder="1">
      <alignment vertical="center"/>
    </xf>
    <xf numFmtId="0" fontId="36" fillId="8" borderId="34" xfId="1" applyFont="1" applyFill="1" applyBorder="1">
      <alignment vertical="center"/>
    </xf>
    <xf numFmtId="0" fontId="36" fillId="8" borderId="35" xfId="1" applyFont="1" applyFill="1" applyBorder="1">
      <alignment vertical="center"/>
    </xf>
    <xf numFmtId="0" fontId="35" fillId="3" borderId="33" xfId="1" applyFont="1" applyFill="1" applyBorder="1">
      <alignment vertical="center"/>
    </xf>
    <xf numFmtId="0" fontId="35" fillId="3" borderId="34" xfId="1" applyFont="1" applyFill="1" applyBorder="1">
      <alignment vertical="center"/>
    </xf>
    <xf numFmtId="0" fontId="35" fillId="3" borderId="35" xfId="1" applyFont="1" applyFill="1" applyBorder="1">
      <alignment vertical="center"/>
    </xf>
    <xf numFmtId="0" fontId="35" fillId="3" borderId="40" xfId="1" applyFont="1" applyFill="1" applyBorder="1">
      <alignment vertical="center"/>
    </xf>
    <xf numFmtId="0" fontId="35" fillId="3" borderId="0" xfId="1" applyFont="1" applyFill="1">
      <alignment vertical="center"/>
    </xf>
    <xf numFmtId="0" fontId="35" fillId="3" borderId="41" xfId="1" applyFont="1" applyFill="1" applyBorder="1">
      <alignment vertical="center"/>
    </xf>
    <xf numFmtId="38" fontId="35" fillId="3" borderId="2" xfId="1" applyNumberFormat="1" applyFont="1" applyFill="1" applyBorder="1">
      <alignment vertical="center"/>
    </xf>
    <xf numFmtId="0" fontId="34" fillId="3" borderId="5" xfId="1" applyFont="1" applyFill="1" applyBorder="1">
      <alignment vertical="center"/>
    </xf>
    <xf numFmtId="0" fontId="35" fillId="0" borderId="34" xfId="1" applyFont="1" applyBorder="1" applyAlignment="1">
      <alignment vertical="center" shrinkToFit="1"/>
    </xf>
    <xf numFmtId="0" fontId="35" fillId="0" borderId="35" xfId="1" applyFont="1" applyBorder="1" applyAlignment="1">
      <alignment vertical="center" shrinkToFit="1"/>
    </xf>
    <xf numFmtId="0" fontId="35" fillId="0" borderId="0" xfId="1" applyFont="1" applyAlignment="1">
      <alignment vertical="center" shrinkToFit="1"/>
    </xf>
    <xf numFmtId="0" fontId="35" fillId="0" borderId="40" xfId="1" applyFont="1" applyBorder="1">
      <alignment vertical="center"/>
    </xf>
    <xf numFmtId="0" fontId="35" fillId="0" borderId="32" xfId="1" applyFont="1" applyBorder="1" applyAlignment="1">
      <alignment vertical="center" shrinkToFit="1"/>
    </xf>
    <xf numFmtId="0" fontId="34" fillId="0" borderId="40" xfId="1" applyFont="1" applyBorder="1">
      <alignment vertical="center"/>
    </xf>
    <xf numFmtId="0" fontId="35" fillId="0" borderId="74" xfId="1" applyFont="1" applyBorder="1">
      <alignment vertical="center"/>
    </xf>
    <xf numFmtId="0" fontId="35" fillId="0" borderId="75" xfId="1" applyFont="1" applyBorder="1">
      <alignment vertical="center"/>
    </xf>
    <xf numFmtId="0" fontId="35" fillId="0" borderId="30" xfId="1" applyFont="1" applyBorder="1" applyAlignment="1">
      <alignment vertical="center" shrinkToFit="1"/>
    </xf>
    <xf numFmtId="38" fontId="35" fillId="0" borderId="0" xfId="2" applyFont="1" applyFill="1" applyBorder="1">
      <alignment vertical="center"/>
    </xf>
    <xf numFmtId="38" fontId="35" fillId="0" borderId="0" xfId="1" applyNumberFormat="1" applyFont="1" applyAlignment="1">
      <alignment vertical="center" shrinkToFit="1"/>
    </xf>
    <xf numFmtId="0" fontId="34" fillId="0" borderId="5" xfId="1" applyFont="1" applyBorder="1">
      <alignment vertical="center"/>
    </xf>
    <xf numFmtId="38" fontId="35" fillId="0" borderId="0" xfId="2" applyFont="1" applyFill="1" applyBorder="1" applyAlignment="1">
      <alignment vertical="center" shrinkToFit="1"/>
    </xf>
    <xf numFmtId="177" fontId="35" fillId="0" borderId="0" xfId="2" applyNumberFormat="1" applyFont="1" applyAlignment="1">
      <alignment vertical="center"/>
    </xf>
    <xf numFmtId="38" fontId="34" fillId="0" borderId="0" xfId="1" applyNumberFormat="1" applyFont="1">
      <alignment vertical="center"/>
    </xf>
    <xf numFmtId="38" fontId="35" fillId="0" borderId="0" xfId="2" applyFont="1" applyAlignment="1">
      <alignment vertical="center"/>
    </xf>
    <xf numFmtId="177" fontId="35" fillId="0" borderId="0" xfId="2" applyNumberFormat="1" applyFont="1">
      <alignment vertical="center"/>
    </xf>
    <xf numFmtId="0" fontId="48" fillId="0" borderId="5" xfId="1" applyFont="1" applyBorder="1">
      <alignment vertical="center"/>
    </xf>
    <xf numFmtId="0" fontId="34" fillId="0" borderId="44" xfId="1" applyFont="1" applyBorder="1">
      <alignment vertical="center"/>
    </xf>
    <xf numFmtId="38" fontId="41" fillId="3" borderId="30" xfId="2" applyFont="1" applyFill="1" applyBorder="1">
      <alignment vertical="center"/>
    </xf>
    <xf numFmtId="0" fontId="34" fillId="3" borderId="31" xfId="1" applyFont="1" applyFill="1" applyBorder="1">
      <alignment vertical="center"/>
    </xf>
    <xf numFmtId="38" fontId="41" fillId="3" borderId="31" xfId="2" applyFont="1" applyFill="1" applyBorder="1">
      <alignment vertical="center"/>
    </xf>
    <xf numFmtId="38" fontId="41" fillId="3" borderId="30" xfId="2" applyFont="1" applyFill="1" applyBorder="1" applyAlignment="1">
      <alignment horizontal="center" vertical="center"/>
    </xf>
    <xf numFmtId="38" fontId="43" fillId="0" borderId="0" xfId="2" applyFont="1" applyFill="1" applyBorder="1" applyAlignment="1">
      <alignment vertical="center" shrinkToFit="1"/>
    </xf>
    <xf numFmtId="38" fontId="41" fillId="0" borderId="0" xfId="2" applyFont="1" applyFill="1" applyBorder="1" applyAlignment="1">
      <alignment vertical="center" shrinkToFit="1"/>
    </xf>
    <xf numFmtId="38" fontId="41" fillId="0" borderId="41" xfId="2" applyFont="1" applyFill="1" applyBorder="1" applyAlignment="1">
      <alignment vertical="center" shrinkToFit="1"/>
    </xf>
    <xf numFmtId="38" fontId="41" fillId="0" borderId="40" xfId="2" applyFont="1" applyFill="1" applyBorder="1" applyAlignment="1">
      <alignment vertical="center" shrinkToFit="1"/>
    </xf>
    <xf numFmtId="38" fontId="41" fillId="0" borderId="0" xfId="2" applyFont="1" applyBorder="1" applyAlignment="1">
      <alignment vertical="center" shrinkToFit="1"/>
    </xf>
    <xf numFmtId="38" fontId="41" fillId="0" borderId="0" xfId="2" applyFont="1" applyAlignment="1">
      <alignment vertical="center"/>
    </xf>
    <xf numFmtId="38" fontId="41" fillId="0" borderId="0" xfId="2" applyFont="1" applyAlignment="1">
      <alignment vertical="center" shrinkToFit="1"/>
    </xf>
    <xf numFmtId="38" fontId="41" fillId="0" borderId="0" xfId="2" applyFont="1" applyBorder="1" applyAlignment="1">
      <alignment vertical="center"/>
    </xf>
    <xf numFmtId="178" fontId="41" fillId="0" borderId="0" xfId="3" applyNumberFormat="1" applyFont="1" applyAlignment="1">
      <alignment vertical="center" shrinkToFit="1"/>
    </xf>
    <xf numFmtId="38" fontId="35" fillId="0" borderId="0" xfId="2" applyFont="1" applyBorder="1" applyAlignment="1">
      <alignment vertical="center"/>
    </xf>
    <xf numFmtId="38" fontId="41" fillId="3" borderId="33" xfId="2" applyFont="1" applyFill="1" applyBorder="1" applyAlignment="1">
      <alignment vertical="center"/>
    </xf>
    <xf numFmtId="38" fontId="41" fillId="3" borderId="34" xfId="2" applyFont="1" applyFill="1" applyBorder="1" applyAlignment="1">
      <alignment vertical="center"/>
    </xf>
    <xf numFmtId="0" fontId="34" fillId="3" borderId="37" xfId="1" applyFont="1" applyFill="1" applyBorder="1">
      <alignment vertical="center"/>
    </xf>
    <xf numFmtId="0" fontId="34" fillId="3" borderId="40" xfId="1" applyFont="1" applyFill="1" applyBorder="1">
      <alignment vertical="center"/>
    </xf>
    <xf numFmtId="0" fontId="34" fillId="3" borderId="0" xfId="1" applyFont="1" applyFill="1">
      <alignment vertical="center"/>
    </xf>
    <xf numFmtId="0" fontId="34" fillId="3" borderId="42" xfId="1" applyFont="1" applyFill="1" applyBorder="1">
      <alignment vertical="center"/>
    </xf>
    <xf numFmtId="0" fontId="34" fillId="3" borderId="52" xfId="1" applyFont="1" applyFill="1" applyBorder="1">
      <alignment vertical="center"/>
    </xf>
    <xf numFmtId="0" fontId="34" fillId="3" borderId="59" xfId="1" applyFont="1" applyFill="1" applyBorder="1">
      <alignment vertical="center"/>
    </xf>
    <xf numFmtId="0" fontId="34" fillId="3" borderId="50" xfId="1" applyFont="1" applyFill="1" applyBorder="1">
      <alignment vertical="center"/>
    </xf>
    <xf numFmtId="0" fontId="34" fillId="3" borderId="33" xfId="1" applyFont="1" applyFill="1" applyBorder="1">
      <alignment vertical="center"/>
    </xf>
    <xf numFmtId="0" fontId="34" fillId="3" borderId="34" xfId="1" applyFont="1" applyFill="1" applyBorder="1">
      <alignment vertical="center"/>
    </xf>
    <xf numFmtId="0" fontId="34" fillId="3" borderId="30" xfId="1" applyFont="1" applyFill="1" applyBorder="1">
      <alignment vertical="center"/>
    </xf>
    <xf numFmtId="38" fontId="41" fillId="3" borderId="30" xfId="2" applyFont="1" applyFill="1" applyBorder="1" applyAlignment="1">
      <alignment vertical="center"/>
    </xf>
    <xf numFmtId="38" fontId="34" fillId="0" borderId="0" xfId="4" applyFont="1" applyAlignment="1">
      <alignment vertical="center" shrinkToFit="1"/>
    </xf>
    <xf numFmtId="38" fontId="35" fillId="0" borderId="0" xfId="2" applyFont="1" applyBorder="1" applyAlignment="1">
      <alignment vertical="center" shrinkToFit="1"/>
    </xf>
    <xf numFmtId="38" fontId="35" fillId="0" borderId="0" xfId="1" applyNumberFormat="1" applyFont="1">
      <alignment vertical="center"/>
    </xf>
    <xf numFmtId="0" fontId="35" fillId="0" borderId="0" xfId="1" applyFont="1" applyAlignment="1">
      <alignment horizontal="left" vertical="center"/>
    </xf>
    <xf numFmtId="38" fontId="41" fillId="0" borderId="0" xfId="2" applyFont="1" applyFill="1" applyBorder="1" applyAlignment="1">
      <alignment vertical="center"/>
    </xf>
    <xf numFmtId="0" fontId="35" fillId="3" borderId="36" xfId="1" applyFont="1" applyFill="1" applyBorder="1">
      <alignment vertical="center"/>
    </xf>
    <xf numFmtId="0" fontId="35" fillId="3" borderId="21" xfId="1" applyFont="1" applyFill="1" applyBorder="1">
      <alignment vertical="center"/>
    </xf>
    <xf numFmtId="0" fontId="35" fillId="3" borderId="39" xfId="1" applyFont="1" applyFill="1" applyBorder="1">
      <alignment vertical="center"/>
    </xf>
    <xf numFmtId="0" fontId="10" fillId="6" borderId="21" xfId="0" quotePrefix="1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10" fillId="3" borderId="20" xfId="0" applyFont="1" applyFill="1" applyBorder="1" applyAlignment="1">
      <alignment horizontal="left" vertical="top" wrapText="1"/>
    </xf>
    <xf numFmtId="0" fontId="5" fillId="3" borderId="19" xfId="0" applyFont="1" applyFill="1" applyBorder="1" applyAlignment="1">
      <alignment horizontal="left" vertical="top" wrapText="1"/>
    </xf>
    <xf numFmtId="0" fontId="10" fillId="6" borderId="4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5" fillId="3" borderId="22" xfId="0" applyFont="1" applyFill="1" applyBorder="1" applyAlignment="1">
      <alignment horizontal="left" vertical="top" wrapText="1"/>
    </xf>
    <xf numFmtId="0" fontId="5" fillId="3" borderId="23" xfId="0" applyFont="1" applyFill="1" applyBorder="1" applyAlignment="1">
      <alignment horizontal="left" vertical="top" wrapText="1"/>
    </xf>
    <xf numFmtId="0" fontId="5" fillId="3" borderId="24" xfId="0" applyFont="1" applyFill="1" applyBorder="1" applyAlignment="1">
      <alignment horizontal="left" vertical="top" wrapText="1"/>
    </xf>
    <xf numFmtId="0" fontId="2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top" wrapText="1"/>
    </xf>
    <xf numFmtId="0" fontId="10" fillId="0" borderId="28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34" fillId="3" borderId="3" xfId="1" applyFont="1" applyFill="1" applyBorder="1">
      <alignment vertical="center"/>
    </xf>
    <xf numFmtId="0" fontId="34" fillId="3" borderId="39" xfId="1" applyFont="1" applyFill="1" applyBorder="1">
      <alignment vertical="center"/>
    </xf>
    <xf numFmtId="0" fontId="34" fillId="3" borderId="48" xfId="1" applyFont="1" applyFill="1" applyBorder="1">
      <alignment vertical="center"/>
    </xf>
    <xf numFmtId="0" fontId="34" fillId="3" borderId="45" xfId="1" applyFont="1" applyFill="1" applyBorder="1">
      <alignment vertical="center"/>
    </xf>
    <xf numFmtId="0" fontId="34" fillId="3" borderId="31" xfId="1" applyFont="1" applyFill="1" applyBorder="1">
      <alignment vertical="center"/>
    </xf>
    <xf numFmtId="38" fontId="34" fillId="3" borderId="93" xfId="4" applyFont="1" applyFill="1" applyBorder="1">
      <alignment vertical="center"/>
    </xf>
    <xf numFmtId="38" fontId="34" fillId="3" borderId="32" xfId="4" applyFont="1" applyFill="1" applyBorder="1">
      <alignment vertical="center"/>
    </xf>
    <xf numFmtId="38" fontId="41" fillId="0" borderId="38" xfId="4" applyFont="1" applyBorder="1" applyAlignment="1">
      <alignment vertical="center" shrinkToFit="1"/>
    </xf>
    <xf numFmtId="38" fontId="41" fillId="0" borderId="35" xfId="4" applyFont="1" applyBorder="1" applyAlignment="1">
      <alignment vertical="center" shrinkToFit="1"/>
    </xf>
    <xf numFmtId="176" fontId="35" fillId="0" borderId="39" xfId="4" applyNumberFormat="1" applyFont="1" applyBorder="1" applyAlignment="1">
      <alignment vertical="center" shrinkToFit="1"/>
    </xf>
    <xf numFmtId="176" fontId="35" fillId="0" borderId="56" xfId="4" applyNumberFormat="1" applyFont="1" applyBorder="1" applyAlignment="1">
      <alignment vertical="center" shrinkToFit="1"/>
    </xf>
    <xf numFmtId="179" fontId="14" fillId="10" borderId="61" xfId="2" applyNumberFormat="1" applyFont="1" applyFill="1" applyBorder="1" applyAlignment="1">
      <alignment horizontal="center" vertical="center"/>
    </xf>
    <xf numFmtId="179" fontId="14" fillId="10" borderId="67" xfId="2" applyNumberFormat="1" applyFont="1" applyFill="1" applyBorder="1" applyAlignment="1">
      <alignment horizontal="center" vertical="center"/>
    </xf>
    <xf numFmtId="179" fontId="14" fillId="10" borderId="62" xfId="2" applyNumberFormat="1" applyFont="1" applyFill="1" applyBorder="1" applyAlignment="1">
      <alignment horizontal="center" vertical="center"/>
    </xf>
    <xf numFmtId="38" fontId="41" fillId="3" borderId="61" xfId="2" applyFont="1" applyFill="1" applyBorder="1" applyAlignment="1">
      <alignment horizontal="center" vertical="center" shrinkToFit="1"/>
    </xf>
    <xf numFmtId="38" fontId="41" fillId="3" borderId="62" xfId="2" applyFont="1" applyFill="1" applyBorder="1" applyAlignment="1">
      <alignment horizontal="center" vertical="center" shrinkToFit="1"/>
    </xf>
    <xf numFmtId="38" fontId="51" fillId="10" borderId="61" xfId="2" applyFont="1" applyFill="1" applyBorder="1" applyAlignment="1">
      <alignment horizontal="center" vertical="center" shrinkToFit="1"/>
    </xf>
    <xf numFmtId="38" fontId="51" fillId="10" borderId="62" xfId="2" applyFont="1" applyFill="1" applyBorder="1" applyAlignment="1">
      <alignment horizontal="center" vertical="center" shrinkToFit="1"/>
    </xf>
    <xf numFmtId="38" fontId="41" fillId="3" borderId="69" xfId="2" applyFont="1" applyFill="1" applyBorder="1" applyAlignment="1">
      <alignment horizontal="center" vertical="center" shrinkToFit="1"/>
    </xf>
    <xf numFmtId="38" fontId="41" fillId="3" borderId="71" xfId="2" applyFont="1" applyFill="1" applyBorder="1" applyAlignment="1">
      <alignment horizontal="center" vertical="center" shrinkToFit="1"/>
    </xf>
    <xf numFmtId="38" fontId="41" fillId="3" borderId="30" xfId="2" applyFont="1" applyFill="1" applyBorder="1" applyAlignment="1">
      <alignment horizontal="center" vertical="center"/>
    </xf>
    <xf numFmtId="38" fontId="41" fillId="3" borderId="32" xfId="2" applyFont="1" applyFill="1" applyBorder="1" applyAlignment="1">
      <alignment horizontal="center" vertical="center"/>
    </xf>
    <xf numFmtId="38" fontId="41" fillId="3" borderId="93" xfId="4" applyFont="1" applyFill="1" applyBorder="1" applyAlignment="1">
      <alignment vertical="center" shrinkToFit="1"/>
    </xf>
    <xf numFmtId="38" fontId="41" fillId="3" borderId="32" xfId="4" applyFont="1" applyFill="1" applyBorder="1" applyAlignment="1">
      <alignment vertical="center" shrinkToFit="1"/>
    </xf>
    <xf numFmtId="38" fontId="34" fillId="3" borderId="70" xfId="4" applyFont="1" applyFill="1" applyBorder="1">
      <alignment vertical="center"/>
    </xf>
    <xf numFmtId="38" fontId="34" fillId="3" borderId="71" xfId="4" applyFont="1" applyFill="1" applyBorder="1">
      <alignment vertical="center"/>
    </xf>
    <xf numFmtId="38" fontId="34" fillId="3" borderId="39" xfId="4" applyFont="1" applyFill="1" applyBorder="1">
      <alignment vertical="center"/>
    </xf>
    <xf numFmtId="38" fontId="34" fillId="3" borderId="56" xfId="4" applyFont="1" applyFill="1" applyBorder="1">
      <alignment vertical="center"/>
    </xf>
    <xf numFmtId="38" fontId="41" fillId="3" borderId="55" xfId="2" applyFont="1" applyFill="1" applyBorder="1" applyAlignment="1">
      <alignment horizontal="center" vertical="center" shrinkToFit="1"/>
    </xf>
    <xf numFmtId="38" fontId="41" fillId="3" borderId="56" xfId="2" applyFont="1" applyFill="1" applyBorder="1" applyAlignment="1">
      <alignment horizontal="center" vertical="center" shrinkToFit="1"/>
    </xf>
    <xf numFmtId="38" fontId="41" fillId="0" borderId="49" xfId="4" applyFont="1" applyBorder="1" applyAlignment="1">
      <alignment vertical="center" shrinkToFit="1"/>
    </xf>
    <xf numFmtId="38" fontId="41" fillId="0" borderId="53" xfId="4" applyFont="1" applyBorder="1" applyAlignment="1">
      <alignment vertical="center" shrinkToFit="1"/>
    </xf>
    <xf numFmtId="38" fontId="41" fillId="14" borderId="31" xfId="2" applyFont="1" applyFill="1" applyBorder="1" applyAlignment="1">
      <alignment horizontal="center" vertical="center" shrinkToFit="1"/>
    </xf>
    <xf numFmtId="9" fontId="41" fillId="14" borderId="31" xfId="3" applyFont="1" applyFill="1" applyBorder="1" applyAlignment="1">
      <alignment horizontal="center" vertical="center" shrinkToFit="1"/>
    </xf>
    <xf numFmtId="9" fontId="41" fillId="14" borderId="32" xfId="3" applyFont="1" applyFill="1" applyBorder="1" applyAlignment="1">
      <alignment horizontal="center" vertical="center" shrinkToFit="1"/>
    </xf>
    <xf numFmtId="38" fontId="41" fillId="3" borderId="14" xfId="2" applyFont="1" applyFill="1" applyBorder="1" applyAlignment="1">
      <alignment horizontal="center" vertical="center" shrinkToFit="1"/>
    </xf>
    <xf numFmtId="38" fontId="41" fillId="3" borderId="12" xfId="2" applyFont="1" applyFill="1" applyBorder="1" applyAlignment="1">
      <alignment horizontal="center" vertical="center" shrinkToFit="1"/>
    </xf>
    <xf numFmtId="38" fontId="41" fillId="3" borderId="13" xfId="2" applyFont="1" applyFill="1" applyBorder="1" applyAlignment="1">
      <alignment horizontal="center" vertical="center" shrinkToFit="1"/>
    </xf>
    <xf numFmtId="38" fontId="41" fillId="3" borderId="93" xfId="2" applyFont="1" applyFill="1" applyBorder="1" applyAlignment="1">
      <alignment horizontal="center" vertical="center" shrinkToFit="1"/>
    </xf>
    <xf numFmtId="38" fontId="41" fillId="3" borderId="31" xfId="2" applyFont="1" applyFill="1" applyBorder="1" applyAlignment="1">
      <alignment horizontal="center" vertical="center" shrinkToFit="1"/>
    </xf>
    <xf numFmtId="38" fontId="41" fillId="3" borderId="32" xfId="2" applyFont="1" applyFill="1" applyBorder="1" applyAlignment="1">
      <alignment horizontal="center" vertical="center" shrinkToFit="1"/>
    </xf>
    <xf numFmtId="38" fontId="42" fillId="3" borderId="30" xfId="2" applyFont="1" applyFill="1" applyBorder="1" applyAlignment="1">
      <alignment horizontal="center" vertical="center"/>
    </xf>
    <xf numFmtId="38" fontId="42" fillId="3" borderId="32" xfId="2" applyFont="1" applyFill="1" applyBorder="1" applyAlignment="1">
      <alignment horizontal="center" vertical="center"/>
    </xf>
    <xf numFmtId="38" fontId="41" fillId="14" borderId="93" xfId="2" applyFont="1" applyFill="1" applyBorder="1" applyAlignment="1">
      <alignment horizontal="right" vertical="center" shrinkToFit="1"/>
    </xf>
    <xf numFmtId="38" fontId="41" fillId="14" borderId="14" xfId="2" applyFont="1" applyFill="1" applyBorder="1" applyAlignment="1">
      <alignment horizontal="right" vertical="center" shrinkToFit="1"/>
    </xf>
    <xf numFmtId="38" fontId="41" fillId="14" borderId="30" xfId="2" applyFont="1" applyFill="1" applyBorder="1" applyAlignment="1">
      <alignment horizontal="right" vertical="center" shrinkToFit="1"/>
    </xf>
    <xf numFmtId="38" fontId="41" fillId="14" borderId="32" xfId="2" applyFont="1" applyFill="1" applyBorder="1" applyAlignment="1">
      <alignment horizontal="right" vertical="center" shrinkToFit="1"/>
    </xf>
    <xf numFmtId="38" fontId="43" fillId="11" borderId="14" xfId="2" applyFont="1" applyFill="1" applyBorder="1" applyAlignment="1">
      <alignment vertical="center" shrinkToFit="1"/>
    </xf>
    <xf numFmtId="38" fontId="43" fillId="11" borderId="13" xfId="2" applyFont="1" applyFill="1" applyBorder="1" applyAlignment="1">
      <alignment vertical="center" shrinkToFit="1"/>
    </xf>
    <xf numFmtId="38" fontId="41" fillId="14" borderId="12" xfId="2" applyFont="1" applyFill="1" applyBorder="1" applyAlignment="1">
      <alignment horizontal="center" vertical="center" shrinkToFit="1"/>
    </xf>
    <xf numFmtId="38" fontId="41" fillId="14" borderId="13" xfId="2" applyFont="1" applyFill="1" applyBorder="1" applyAlignment="1">
      <alignment horizontal="center" vertical="center" shrinkToFit="1"/>
    </xf>
    <xf numFmtId="38" fontId="41" fillId="3" borderId="1" xfId="2" applyFont="1" applyFill="1" applyBorder="1" applyAlignment="1">
      <alignment horizontal="center" vertical="center"/>
    </xf>
    <xf numFmtId="0" fontId="34" fillId="3" borderId="125" xfId="1" applyFont="1" applyFill="1" applyBorder="1">
      <alignment vertical="center"/>
    </xf>
    <xf numFmtId="0" fontId="34" fillId="3" borderId="126" xfId="1" applyFont="1" applyFill="1" applyBorder="1">
      <alignment vertical="center"/>
    </xf>
    <xf numFmtId="176" fontId="41" fillId="3" borderId="30" xfId="2" applyNumberFormat="1" applyFont="1" applyFill="1" applyBorder="1" applyAlignment="1">
      <alignment horizontal="center" vertical="center" shrinkToFit="1"/>
    </xf>
    <xf numFmtId="176" fontId="41" fillId="3" borderId="32" xfId="2" applyNumberFormat="1" applyFont="1" applyFill="1" applyBorder="1" applyAlignment="1">
      <alignment horizontal="center" vertical="center" shrinkToFit="1"/>
    </xf>
    <xf numFmtId="38" fontId="41" fillId="14" borderId="31" xfId="2" applyFont="1" applyFill="1" applyBorder="1" applyAlignment="1">
      <alignment vertical="center" shrinkToFit="1"/>
    </xf>
    <xf numFmtId="38" fontId="41" fillId="14" borderId="14" xfId="2" applyFont="1" applyFill="1" applyBorder="1" applyAlignment="1">
      <alignment vertical="center" shrinkToFit="1"/>
    </xf>
    <xf numFmtId="38" fontId="41" fillId="14" borderId="93" xfId="2" applyFont="1" applyFill="1" applyBorder="1" applyAlignment="1">
      <alignment vertical="center" shrinkToFit="1"/>
    </xf>
    <xf numFmtId="38" fontId="41" fillId="3" borderId="93" xfId="2" applyFont="1" applyFill="1" applyBorder="1" applyAlignment="1">
      <alignment horizontal="center" vertical="center"/>
    </xf>
    <xf numFmtId="49" fontId="34" fillId="3" borderId="124" xfId="1" applyNumberFormat="1" applyFont="1" applyFill="1" applyBorder="1" applyAlignment="1">
      <alignment vertical="center" shrinkToFit="1"/>
    </xf>
    <xf numFmtId="38" fontId="41" fillId="3" borderId="68" xfId="2" applyFont="1" applyFill="1" applyBorder="1" applyAlignment="1">
      <alignment vertical="center"/>
    </xf>
    <xf numFmtId="38" fontId="41" fillId="3" borderId="54" xfId="2" applyFont="1" applyFill="1" applyBorder="1" applyAlignment="1">
      <alignment vertical="center"/>
    </xf>
    <xf numFmtId="38" fontId="41" fillId="3" borderId="45" xfId="2" applyFont="1" applyFill="1" applyBorder="1" applyAlignment="1">
      <alignment vertical="center" shrinkToFit="1"/>
    </xf>
    <xf numFmtId="38" fontId="41" fillId="3" borderId="54" xfId="2" applyFont="1" applyFill="1" applyBorder="1" applyAlignment="1">
      <alignment vertical="center" shrinkToFit="1"/>
    </xf>
    <xf numFmtId="38" fontId="41" fillId="3" borderId="45" xfId="2" applyFont="1" applyFill="1" applyBorder="1" applyAlignment="1">
      <alignment vertical="center"/>
    </xf>
    <xf numFmtId="38" fontId="41" fillId="3" borderId="47" xfId="2" applyFont="1" applyFill="1" applyBorder="1" applyAlignment="1">
      <alignment vertical="center"/>
    </xf>
    <xf numFmtId="38" fontId="41" fillId="9" borderId="69" xfId="2" applyFont="1" applyFill="1" applyBorder="1" applyAlignment="1">
      <alignment vertical="center" shrinkToFit="1"/>
    </xf>
    <xf numFmtId="38" fontId="41" fillId="9" borderId="71" xfId="2" applyFont="1" applyFill="1" applyBorder="1" applyAlignment="1">
      <alignment vertical="center" shrinkToFit="1"/>
    </xf>
    <xf numFmtId="38" fontId="41" fillId="3" borderId="46" xfId="2" applyFont="1" applyFill="1" applyBorder="1" applyAlignment="1">
      <alignment vertical="center"/>
    </xf>
    <xf numFmtId="38" fontId="41" fillId="3" borderId="124" xfId="2" applyFont="1" applyFill="1" applyBorder="1" applyAlignment="1">
      <alignment horizontal="center" vertical="center"/>
    </xf>
    <xf numFmtId="38" fontId="41" fillId="10" borderId="61" xfId="2" applyFont="1" applyFill="1" applyBorder="1" applyAlignment="1">
      <alignment horizontal="right" vertical="center" shrinkToFit="1"/>
    </xf>
    <xf numFmtId="38" fontId="41" fillId="10" borderId="62" xfId="2" applyFont="1" applyFill="1" applyBorder="1" applyAlignment="1">
      <alignment horizontal="right" vertical="center" shrinkToFit="1"/>
    </xf>
    <xf numFmtId="38" fontId="41" fillId="3" borderId="16" xfId="2" applyFont="1" applyFill="1" applyBorder="1" applyAlignment="1">
      <alignment horizontal="right" vertical="center" shrinkToFit="1"/>
    </xf>
    <xf numFmtId="38" fontId="41" fillId="3" borderId="6" xfId="2" applyFont="1" applyFill="1" applyBorder="1" applyAlignment="1">
      <alignment horizontal="right" vertical="center" shrinkToFit="1"/>
    </xf>
    <xf numFmtId="38" fontId="41" fillId="0" borderId="34" xfId="2" applyFont="1" applyFill="1" applyBorder="1" applyAlignment="1">
      <alignment vertical="center" shrinkToFit="1"/>
    </xf>
    <xf numFmtId="38" fontId="41" fillId="14" borderId="30" xfId="2" applyFont="1" applyFill="1" applyBorder="1" applyAlignment="1">
      <alignment horizontal="center" vertical="center" shrinkToFit="1"/>
    </xf>
    <xf numFmtId="38" fontId="41" fillId="3" borderId="66" xfId="2" applyFont="1" applyFill="1" applyBorder="1" applyAlignment="1">
      <alignment vertical="center"/>
    </xf>
    <xf numFmtId="38" fontId="41" fillId="3" borderId="62" xfId="2" applyFont="1" applyFill="1" applyBorder="1" applyAlignment="1">
      <alignment vertical="center"/>
    </xf>
    <xf numFmtId="38" fontId="41" fillId="9" borderId="61" xfId="2" applyFont="1" applyFill="1" applyBorder="1" applyAlignment="1">
      <alignment vertical="center" shrinkToFit="1"/>
    </xf>
    <xf numFmtId="38" fontId="41" fillId="9" borderId="62" xfId="2" applyFont="1" applyFill="1" applyBorder="1" applyAlignment="1">
      <alignment vertical="center" shrinkToFit="1"/>
    </xf>
    <xf numFmtId="38" fontId="41" fillId="3" borderId="61" xfId="2" applyFont="1" applyFill="1" applyBorder="1" applyAlignment="1">
      <alignment vertical="center"/>
    </xf>
    <xf numFmtId="38" fontId="41" fillId="3" borderId="67" xfId="2" applyFont="1" applyFill="1" applyBorder="1" applyAlignment="1">
      <alignment vertical="center"/>
    </xf>
    <xf numFmtId="38" fontId="41" fillId="3" borderId="18" xfId="2" applyFont="1" applyFill="1" applyBorder="1" applyAlignment="1">
      <alignment horizontal="center" vertical="center"/>
    </xf>
    <xf numFmtId="38" fontId="41" fillId="3" borderId="18" xfId="2" applyFont="1" applyFill="1" applyBorder="1" applyAlignment="1">
      <alignment vertical="center"/>
    </xf>
    <xf numFmtId="176" fontId="41" fillId="3" borderId="61" xfId="2" applyNumberFormat="1" applyFont="1" applyFill="1" applyBorder="1" applyAlignment="1">
      <alignment vertical="center" shrinkToFit="1"/>
    </xf>
    <xf numFmtId="176" fontId="41" fillId="3" borderId="62" xfId="2" applyNumberFormat="1" applyFont="1" applyFill="1" applyBorder="1" applyAlignment="1">
      <alignment vertical="center" shrinkToFit="1"/>
    </xf>
    <xf numFmtId="38" fontId="41" fillId="3" borderId="48" xfId="2" applyFont="1" applyFill="1" applyBorder="1" applyAlignment="1">
      <alignment vertical="center" shrinkToFit="1"/>
    </xf>
    <xf numFmtId="38" fontId="41" fillId="3" borderId="51" xfId="2" applyFont="1" applyFill="1" applyBorder="1" applyAlignment="1">
      <alignment vertical="center" shrinkToFit="1"/>
    </xf>
    <xf numFmtId="9" fontId="41" fillId="3" borderId="68" xfId="3" applyFont="1" applyFill="1" applyBorder="1" applyAlignment="1">
      <alignment vertical="center" shrinkToFit="1"/>
    </xf>
    <xf numFmtId="9" fontId="41" fillId="3" borderId="47" xfId="3" applyFont="1" applyFill="1" applyBorder="1" applyAlignment="1">
      <alignment vertical="center" shrinkToFit="1"/>
    </xf>
    <xf numFmtId="38" fontId="34" fillId="3" borderId="48" xfId="1" applyNumberFormat="1" applyFont="1" applyFill="1" applyBorder="1" applyAlignment="1">
      <alignment vertical="center" shrinkToFit="1"/>
    </xf>
    <xf numFmtId="38" fontId="34" fillId="3" borderId="51" xfId="1" applyNumberFormat="1" applyFont="1" applyFill="1" applyBorder="1" applyAlignment="1">
      <alignment vertical="center" shrinkToFit="1"/>
    </xf>
    <xf numFmtId="0" fontId="34" fillId="3" borderId="18" xfId="1" applyFont="1" applyFill="1" applyBorder="1">
      <alignment vertical="center"/>
    </xf>
    <xf numFmtId="0" fontId="34" fillId="3" borderId="31" xfId="1" applyFont="1" applyFill="1" applyBorder="1" applyAlignment="1">
      <alignment horizontal="center" vertical="center"/>
    </xf>
    <xf numFmtId="0" fontId="34" fillId="3" borderId="32" xfId="1" applyFont="1" applyFill="1" applyBorder="1" applyAlignment="1">
      <alignment horizontal="center" vertical="center"/>
    </xf>
    <xf numFmtId="38" fontId="41" fillId="3" borderId="11" xfId="2" applyFont="1" applyFill="1" applyBorder="1" applyAlignment="1">
      <alignment vertical="center" shrinkToFit="1"/>
    </xf>
    <xf numFmtId="38" fontId="41" fillId="3" borderId="12" xfId="2" applyFont="1" applyFill="1" applyBorder="1" applyAlignment="1">
      <alignment vertical="center" shrinkToFit="1"/>
    </xf>
    <xf numFmtId="38" fontId="41" fillId="3" borderId="93" xfId="2" applyFont="1" applyFill="1" applyBorder="1" applyAlignment="1">
      <alignment vertical="center" shrinkToFit="1"/>
    </xf>
    <xf numFmtId="38" fontId="41" fillId="3" borderId="14" xfId="2" applyFont="1" applyFill="1" applyBorder="1" applyAlignment="1">
      <alignment vertical="center" shrinkToFit="1"/>
    </xf>
    <xf numFmtId="38" fontId="41" fillId="3" borderId="13" xfId="2" applyFont="1" applyFill="1" applyBorder="1" applyAlignment="1">
      <alignment vertical="center" shrinkToFit="1"/>
    </xf>
    <xf numFmtId="38" fontId="41" fillId="9" borderId="30" xfId="2" applyFont="1" applyFill="1" applyBorder="1" applyAlignment="1">
      <alignment vertical="center" shrinkToFit="1"/>
    </xf>
    <xf numFmtId="38" fontId="41" fillId="9" borderId="32" xfId="2" applyFont="1" applyFill="1" applyBorder="1" applyAlignment="1">
      <alignment vertical="center" shrinkToFit="1"/>
    </xf>
    <xf numFmtId="38" fontId="41" fillId="3" borderId="31" xfId="2" applyFont="1" applyFill="1" applyBorder="1" applyAlignment="1">
      <alignment horizontal="center" vertical="center"/>
    </xf>
    <xf numFmtId="38" fontId="41" fillId="10" borderId="45" xfId="2" applyFont="1" applyFill="1" applyBorder="1" applyAlignment="1">
      <alignment horizontal="right" vertical="center" shrinkToFit="1"/>
    </xf>
    <xf numFmtId="38" fontId="41" fillId="10" borderId="54" xfId="2" applyFont="1" applyFill="1" applyBorder="1" applyAlignment="1">
      <alignment horizontal="right" vertical="center" shrinkToFit="1"/>
    </xf>
    <xf numFmtId="38" fontId="41" fillId="10" borderId="68" xfId="2" applyFont="1" applyFill="1" applyBorder="1" applyAlignment="1">
      <alignment horizontal="right" vertical="center" shrinkToFit="1"/>
    </xf>
    <xf numFmtId="38" fontId="41" fillId="10" borderId="47" xfId="2" applyFont="1" applyFill="1" applyBorder="1" applyAlignment="1">
      <alignment horizontal="right" vertical="center" shrinkToFit="1"/>
    </xf>
    <xf numFmtId="38" fontId="41" fillId="10" borderId="69" xfId="2" applyFont="1" applyFill="1" applyBorder="1" applyAlignment="1">
      <alignment horizontal="right" vertical="center" shrinkToFit="1"/>
    </xf>
    <xf numFmtId="38" fontId="41" fillId="10" borderId="71" xfId="2" applyFont="1" applyFill="1" applyBorder="1" applyAlignment="1">
      <alignment horizontal="right" vertical="center" shrinkToFit="1"/>
    </xf>
    <xf numFmtId="38" fontId="41" fillId="3" borderId="54" xfId="2" applyFont="1" applyFill="1" applyBorder="1" applyAlignment="1">
      <alignment horizontal="right" vertical="center" shrinkToFit="1"/>
    </xf>
    <xf numFmtId="38" fontId="41" fillId="3" borderId="48" xfId="2" applyFont="1" applyFill="1" applyBorder="1" applyAlignment="1">
      <alignment horizontal="right" vertical="center" shrinkToFit="1"/>
    </xf>
    <xf numFmtId="38" fontId="41" fillId="0" borderId="48" xfId="2" applyFont="1" applyBorder="1" applyAlignment="1">
      <alignment vertical="center" shrinkToFit="1"/>
    </xf>
    <xf numFmtId="38" fontId="41" fillId="0" borderId="51" xfId="2" applyFont="1" applyBorder="1" applyAlignment="1">
      <alignment vertical="center" shrinkToFit="1"/>
    </xf>
    <xf numFmtId="38" fontId="41" fillId="3" borderId="44" xfId="2" applyFont="1" applyFill="1" applyBorder="1" applyAlignment="1">
      <alignment vertical="center" shrinkToFit="1"/>
    </xf>
    <xf numFmtId="38" fontId="41" fillId="3" borderId="124" xfId="2" applyFont="1" applyFill="1" applyBorder="1" applyAlignment="1">
      <alignment vertical="center"/>
    </xf>
    <xf numFmtId="176" fontId="41" fillId="3" borderId="68" xfId="2" applyNumberFormat="1" applyFont="1" applyFill="1" applyBorder="1" applyAlignment="1">
      <alignment vertical="center" shrinkToFit="1"/>
    </xf>
    <xf numFmtId="176" fontId="41" fillId="3" borderId="47" xfId="2" applyNumberFormat="1" applyFont="1" applyFill="1" applyBorder="1" applyAlignment="1">
      <alignment vertical="center" shrinkToFit="1"/>
    </xf>
    <xf numFmtId="176" fontId="41" fillId="10" borderId="46" xfId="2" applyNumberFormat="1" applyFont="1" applyFill="1" applyBorder="1" applyAlignment="1">
      <alignment horizontal="right" vertical="center" shrinkToFit="1"/>
    </xf>
    <xf numFmtId="176" fontId="41" fillId="10" borderId="54" xfId="2" applyNumberFormat="1" applyFont="1" applyFill="1" applyBorder="1" applyAlignment="1">
      <alignment horizontal="right" vertical="center" shrinkToFit="1"/>
    </xf>
    <xf numFmtId="38" fontId="41" fillId="0" borderId="45" xfId="2" applyFont="1" applyBorder="1" applyAlignment="1">
      <alignment vertical="center"/>
    </xf>
    <xf numFmtId="38" fontId="41" fillId="0" borderId="47" xfId="2" applyFont="1" applyBorder="1" applyAlignment="1">
      <alignment vertical="center"/>
    </xf>
    <xf numFmtId="38" fontId="42" fillId="3" borderId="68" xfId="2" applyFont="1" applyFill="1" applyBorder="1" applyAlignment="1">
      <alignment horizontal="right" vertical="center" shrinkToFit="1"/>
    </xf>
    <xf numFmtId="38" fontId="42" fillId="3" borderId="47" xfId="2" applyFont="1" applyFill="1" applyBorder="1" applyAlignment="1">
      <alignment horizontal="right" vertical="center" shrinkToFit="1"/>
    </xf>
    <xf numFmtId="0" fontId="34" fillId="3" borderId="124" xfId="1" applyFont="1" applyFill="1" applyBorder="1">
      <alignment vertical="center"/>
    </xf>
    <xf numFmtId="49" fontId="34" fillId="3" borderId="18" xfId="1" applyNumberFormat="1" applyFont="1" applyFill="1" applyBorder="1" applyAlignment="1">
      <alignment vertical="center" shrinkToFit="1"/>
    </xf>
    <xf numFmtId="38" fontId="41" fillId="3" borderId="16" xfId="2" applyFont="1" applyFill="1" applyBorder="1" applyAlignment="1">
      <alignment vertical="center"/>
    </xf>
    <xf numFmtId="38" fontId="41" fillId="3" borderId="66" xfId="2" applyFont="1" applyFill="1" applyBorder="1" applyAlignment="1">
      <alignment vertical="center" shrinkToFit="1"/>
    </xf>
    <xf numFmtId="38" fontId="41" fillId="3" borderId="16" xfId="2" applyFont="1" applyFill="1" applyBorder="1" applyAlignment="1">
      <alignment vertical="center" shrinkToFit="1"/>
    </xf>
    <xf numFmtId="38" fontId="41" fillId="0" borderId="66" xfId="2" applyFont="1" applyBorder="1" applyAlignment="1">
      <alignment vertical="center"/>
    </xf>
    <xf numFmtId="38" fontId="41" fillId="0" borderId="62" xfId="2" applyFont="1" applyBorder="1" applyAlignment="1">
      <alignment vertical="center"/>
    </xf>
    <xf numFmtId="38" fontId="42" fillId="3" borderId="61" xfId="2" applyFont="1" applyFill="1" applyBorder="1" applyAlignment="1">
      <alignment horizontal="right" vertical="center" shrinkToFit="1"/>
    </xf>
    <xf numFmtId="38" fontId="42" fillId="3" borderId="62" xfId="2" applyFont="1" applyFill="1" applyBorder="1" applyAlignment="1">
      <alignment horizontal="right" vertical="center" shrinkToFit="1"/>
    </xf>
    <xf numFmtId="38" fontId="41" fillId="10" borderId="66" xfId="2" applyFont="1" applyFill="1" applyBorder="1" applyAlignment="1">
      <alignment horizontal="right" vertical="center" shrinkToFit="1"/>
    </xf>
    <xf numFmtId="38" fontId="41" fillId="10" borderId="16" xfId="2" applyFont="1" applyFill="1" applyBorder="1" applyAlignment="1">
      <alignment horizontal="right" vertical="center" shrinkToFit="1"/>
    </xf>
    <xf numFmtId="176" fontId="41" fillId="10" borderId="67" xfId="2" applyNumberFormat="1" applyFont="1" applyFill="1" applyBorder="1" applyAlignment="1">
      <alignment horizontal="right" vertical="center" shrinkToFit="1"/>
    </xf>
    <xf numFmtId="176" fontId="41" fillId="10" borderId="16" xfId="2" applyNumberFormat="1" applyFont="1" applyFill="1" applyBorder="1" applyAlignment="1">
      <alignment horizontal="right" vertical="center" shrinkToFit="1"/>
    </xf>
    <xf numFmtId="38" fontId="34" fillId="3" borderId="6" xfId="1" applyNumberFormat="1" applyFont="1" applyFill="1" applyBorder="1" applyAlignment="1">
      <alignment vertical="center" shrinkToFit="1"/>
    </xf>
    <xf numFmtId="38" fontId="34" fillId="3" borderId="7" xfId="1" applyNumberFormat="1" applyFont="1" applyFill="1" applyBorder="1" applyAlignment="1">
      <alignment vertical="center" shrinkToFit="1"/>
    </xf>
    <xf numFmtId="38" fontId="41" fillId="3" borderId="6" xfId="2" applyFont="1" applyFill="1" applyBorder="1" applyAlignment="1">
      <alignment vertical="center" shrinkToFit="1"/>
    </xf>
    <xf numFmtId="38" fontId="41" fillId="3" borderId="7" xfId="2" applyFont="1" applyFill="1" applyBorder="1" applyAlignment="1">
      <alignment vertical="center" shrinkToFit="1"/>
    </xf>
    <xf numFmtId="9" fontId="41" fillId="3" borderId="61" xfId="3" applyFont="1" applyFill="1" applyBorder="1" applyAlignment="1">
      <alignment vertical="center" shrinkToFit="1"/>
    </xf>
    <xf numFmtId="9" fontId="41" fillId="3" borderId="62" xfId="3" applyFont="1" applyFill="1" applyBorder="1" applyAlignment="1">
      <alignment vertical="center" shrinkToFit="1"/>
    </xf>
    <xf numFmtId="38" fontId="41" fillId="0" borderId="6" xfId="2" applyFont="1" applyBorder="1" applyAlignment="1">
      <alignment vertical="center" shrinkToFit="1"/>
    </xf>
    <xf numFmtId="38" fontId="41" fillId="0" borderId="7" xfId="2" applyFont="1" applyBorder="1" applyAlignment="1">
      <alignment vertical="center" shrinkToFit="1"/>
    </xf>
    <xf numFmtId="9" fontId="41" fillId="0" borderId="61" xfId="3" applyFont="1" applyBorder="1" applyAlignment="1">
      <alignment vertical="center" shrinkToFit="1"/>
    </xf>
    <xf numFmtId="9" fontId="41" fillId="0" borderId="62" xfId="3" applyFont="1" applyBorder="1" applyAlignment="1">
      <alignment vertical="center" shrinkToFit="1"/>
    </xf>
    <xf numFmtId="38" fontId="41" fillId="3" borderId="5" xfId="2" applyFont="1" applyFill="1" applyBorder="1" applyAlignment="1">
      <alignment vertical="center" shrinkToFit="1"/>
    </xf>
    <xf numFmtId="38" fontId="41" fillId="0" borderId="5" xfId="2" applyFont="1" applyBorder="1" applyAlignment="1">
      <alignment vertical="center" shrinkToFit="1"/>
    </xf>
    <xf numFmtId="38" fontId="41" fillId="10" borderId="6" xfId="2" applyFont="1" applyFill="1" applyBorder="1" applyAlignment="1">
      <alignment horizontal="right" vertical="center" shrinkToFit="1"/>
    </xf>
    <xf numFmtId="38" fontId="41" fillId="10" borderId="6" xfId="2" applyFont="1" applyFill="1" applyBorder="1" applyAlignment="1">
      <alignment vertical="center" shrinkToFit="1"/>
    </xf>
    <xf numFmtId="38" fontId="41" fillId="10" borderId="7" xfId="2" applyFont="1" applyFill="1" applyBorder="1" applyAlignment="1">
      <alignment vertical="center" shrinkToFit="1"/>
    </xf>
    <xf numFmtId="38" fontId="41" fillId="10" borderId="5" xfId="2" applyFont="1" applyFill="1" applyBorder="1" applyAlignment="1">
      <alignment vertical="center" shrinkToFit="1"/>
    </xf>
    <xf numFmtId="9" fontId="41" fillId="10" borderId="61" xfId="3" applyFont="1" applyFill="1" applyBorder="1" applyAlignment="1">
      <alignment vertical="center" shrinkToFit="1"/>
    </xf>
    <xf numFmtId="9" fontId="41" fillId="10" borderId="62" xfId="3" applyFont="1" applyFill="1" applyBorder="1" applyAlignment="1">
      <alignment vertical="center" shrinkToFit="1"/>
    </xf>
    <xf numFmtId="38" fontId="41" fillId="10" borderId="66" xfId="2" applyFont="1" applyFill="1" applyBorder="1" applyAlignment="1">
      <alignment vertical="center"/>
    </xf>
    <xf numFmtId="38" fontId="41" fillId="10" borderId="62" xfId="2" applyFont="1" applyFill="1" applyBorder="1" applyAlignment="1">
      <alignment vertical="center"/>
    </xf>
    <xf numFmtId="38" fontId="42" fillId="10" borderId="61" xfId="2" applyFont="1" applyFill="1" applyBorder="1" applyAlignment="1">
      <alignment horizontal="right" vertical="center" shrinkToFit="1"/>
    </xf>
    <xf numFmtId="38" fontId="42" fillId="10" borderId="62" xfId="2" applyFont="1" applyFill="1" applyBorder="1" applyAlignment="1">
      <alignment horizontal="right" vertical="center" shrinkToFit="1"/>
    </xf>
    <xf numFmtId="38" fontId="51" fillId="10" borderId="61" xfId="2" applyFont="1" applyFill="1" applyBorder="1" applyAlignment="1">
      <alignment vertical="center"/>
    </xf>
    <xf numFmtId="38" fontId="51" fillId="10" borderId="67" xfId="2" applyFont="1" applyFill="1" applyBorder="1" applyAlignment="1">
      <alignment vertical="center"/>
    </xf>
    <xf numFmtId="38" fontId="51" fillId="10" borderId="18" xfId="2" applyFont="1" applyFill="1" applyBorder="1" applyAlignment="1">
      <alignment horizontal="center" vertical="center"/>
    </xf>
    <xf numFmtId="38" fontId="51" fillId="10" borderId="18" xfId="2" applyFont="1" applyFill="1" applyBorder="1" applyAlignment="1">
      <alignment vertical="center"/>
    </xf>
    <xf numFmtId="176" fontId="41" fillId="10" borderId="61" xfId="2" applyNumberFormat="1" applyFont="1" applyFill="1" applyBorder="1" applyAlignment="1">
      <alignment vertical="center" shrinkToFit="1"/>
    </xf>
    <xf numFmtId="176" fontId="41" fillId="10" borderId="62" xfId="2" applyNumberFormat="1" applyFont="1" applyFill="1" applyBorder="1" applyAlignment="1">
      <alignment vertical="center" shrinkToFit="1"/>
    </xf>
    <xf numFmtId="0" fontId="50" fillId="10" borderId="18" xfId="1" applyFont="1" applyFill="1" applyBorder="1">
      <alignment vertical="center"/>
    </xf>
    <xf numFmtId="49" fontId="50" fillId="10" borderId="18" xfId="1" applyNumberFormat="1" applyFont="1" applyFill="1" applyBorder="1" applyAlignment="1">
      <alignment vertical="center" shrinkToFit="1"/>
    </xf>
    <xf numFmtId="38" fontId="41" fillId="6" borderId="5" xfId="2" applyFont="1" applyFill="1" applyBorder="1" applyAlignment="1">
      <alignment vertical="center" shrinkToFit="1"/>
    </xf>
    <xf numFmtId="38" fontId="41" fillId="6" borderId="6" xfId="2" applyFont="1" applyFill="1" applyBorder="1" applyAlignment="1">
      <alignment vertical="center" shrinkToFit="1"/>
    </xf>
    <xf numFmtId="38" fontId="41" fillId="6" borderId="7" xfId="2" applyFont="1" applyFill="1" applyBorder="1" applyAlignment="1">
      <alignment vertical="center" shrinkToFit="1"/>
    </xf>
    <xf numFmtId="9" fontId="41" fillId="6" borderId="61" xfId="3" applyFont="1" applyFill="1" applyBorder="1" applyAlignment="1">
      <alignment vertical="center" shrinkToFit="1"/>
    </xf>
    <xf numFmtId="9" fontId="41" fillId="6" borderId="62" xfId="3" applyFont="1" applyFill="1" applyBorder="1" applyAlignment="1">
      <alignment vertical="center" shrinkToFit="1"/>
    </xf>
    <xf numFmtId="38" fontId="41" fillId="2" borderId="6" xfId="2" applyFont="1" applyFill="1" applyBorder="1" applyAlignment="1">
      <alignment vertical="center" shrinkToFit="1"/>
    </xf>
    <xf numFmtId="38" fontId="41" fillId="2" borderId="7" xfId="2" applyFont="1" applyFill="1" applyBorder="1" applyAlignment="1">
      <alignment vertical="center" shrinkToFit="1"/>
    </xf>
    <xf numFmtId="9" fontId="41" fillId="2" borderId="61" xfId="3" applyFont="1" applyFill="1" applyBorder="1" applyAlignment="1">
      <alignment vertical="center" shrinkToFit="1"/>
    </xf>
    <xf numFmtId="9" fontId="41" fillId="2" borderId="62" xfId="3" applyFont="1" applyFill="1" applyBorder="1" applyAlignment="1">
      <alignment vertical="center" shrinkToFit="1"/>
    </xf>
    <xf numFmtId="38" fontId="41" fillId="2" borderId="66" xfId="2" applyFont="1" applyFill="1" applyBorder="1" applyAlignment="1">
      <alignment vertical="center"/>
    </xf>
    <xf numFmtId="38" fontId="41" fillId="2" borderId="62" xfId="2" applyFont="1" applyFill="1" applyBorder="1" applyAlignment="1">
      <alignment vertical="center"/>
    </xf>
    <xf numFmtId="38" fontId="42" fillId="2" borderId="61" xfId="2" applyFont="1" applyFill="1" applyBorder="1" applyAlignment="1">
      <alignment horizontal="right" vertical="center" shrinkToFit="1"/>
    </xf>
    <xf numFmtId="38" fontId="42" fillId="2" borderId="62" xfId="2" applyFont="1" applyFill="1" applyBorder="1" applyAlignment="1">
      <alignment horizontal="right" vertical="center" shrinkToFit="1"/>
    </xf>
    <xf numFmtId="38" fontId="41" fillId="2" borderId="16" xfId="2" applyFont="1" applyFill="1" applyBorder="1" applyAlignment="1">
      <alignment horizontal="right" vertical="center" shrinkToFit="1"/>
    </xf>
    <xf numFmtId="38" fontId="41" fillId="2" borderId="6" xfId="2" applyFont="1" applyFill="1" applyBorder="1" applyAlignment="1">
      <alignment horizontal="right" vertical="center" shrinkToFit="1"/>
    </xf>
    <xf numFmtId="38" fontId="41" fillId="2" borderId="61" xfId="2" applyFont="1" applyFill="1" applyBorder="1" applyAlignment="1">
      <alignment vertical="center"/>
    </xf>
    <xf numFmtId="38" fontId="41" fillId="2" borderId="67" xfId="2" applyFont="1" applyFill="1" applyBorder="1" applyAlignment="1">
      <alignment vertical="center"/>
    </xf>
    <xf numFmtId="38" fontId="41" fillId="2" borderId="18" xfId="2" applyFont="1" applyFill="1" applyBorder="1" applyAlignment="1">
      <alignment horizontal="center" vertical="center"/>
    </xf>
    <xf numFmtId="38" fontId="41" fillId="2" borderId="18" xfId="2" applyFont="1" applyFill="1" applyBorder="1" applyAlignment="1">
      <alignment vertical="center"/>
    </xf>
    <xf numFmtId="176" fontId="41" fillId="2" borderId="61" xfId="2" applyNumberFormat="1" applyFont="1" applyFill="1" applyBorder="1" applyAlignment="1">
      <alignment vertical="center" shrinkToFit="1"/>
    </xf>
    <xf numFmtId="176" fontId="41" fillId="2" borderId="62" xfId="2" applyNumberFormat="1" applyFont="1" applyFill="1" applyBorder="1" applyAlignment="1">
      <alignment vertical="center" shrinkToFit="1"/>
    </xf>
    <xf numFmtId="0" fontId="34" fillId="2" borderId="18" xfId="1" applyFont="1" applyFill="1" applyBorder="1">
      <alignment vertical="center"/>
    </xf>
    <xf numFmtId="49" fontId="34" fillId="2" borderId="18" xfId="1" applyNumberFormat="1" applyFont="1" applyFill="1" applyBorder="1" applyAlignment="1">
      <alignment vertical="center" shrinkToFit="1"/>
    </xf>
    <xf numFmtId="38" fontId="41" fillId="2" borderId="16" xfId="2" applyFont="1" applyFill="1" applyBorder="1" applyAlignment="1">
      <alignment vertical="center"/>
    </xf>
    <xf numFmtId="38" fontId="41" fillId="2" borderId="66" xfId="2" applyFont="1" applyFill="1" applyBorder="1" applyAlignment="1">
      <alignment vertical="center" shrinkToFit="1"/>
    </xf>
    <xf numFmtId="38" fontId="41" fillId="2" borderId="16" xfId="2" applyFont="1" applyFill="1" applyBorder="1" applyAlignment="1">
      <alignment vertical="center" shrinkToFit="1"/>
    </xf>
    <xf numFmtId="38" fontId="41" fillId="2" borderId="5" xfId="2" applyFont="1" applyFill="1" applyBorder="1" applyAlignment="1">
      <alignment vertical="center" shrinkToFit="1"/>
    </xf>
    <xf numFmtId="38" fontId="41" fillId="2" borderId="61" xfId="2" applyFont="1" applyFill="1" applyBorder="1" applyAlignment="1">
      <alignment horizontal="center" vertical="center" shrinkToFit="1"/>
    </xf>
    <xf numFmtId="38" fontId="41" fillId="2" borderId="62" xfId="2" applyFont="1" applyFill="1" applyBorder="1" applyAlignment="1">
      <alignment horizontal="center" vertical="center" shrinkToFit="1"/>
    </xf>
    <xf numFmtId="176" fontId="41" fillId="13" borderId="61" xfId="2" applyNumberFormat="1" applyFont="1" applyFill="1" applyBorder="1" applyAlignment="1">
      <alignment vertical="center" shrinkToFit="1"/>
    </xf>
    <xf numFmtId="176" fontId="41" fillId="13" borderId="62" xfId="2" applyNumberFormat="1" applyFont="1" applyFill="1" applyBorder="1" applyAlignment="1">
      <alignment vertical="center" shrinkToFit="1"/>
    </xf>
    <xf numFmtId="49" fontId="34" fillId="2" borderId="18" xfId="1" applyNumberFormat="1" applyFont="1" applyFill="1" applyBorder="1">
      <alignment vertical="center"/>
    </xf>
    <xf numFmtId="49" fontId="34" fillId="3" borderId="18" xfId="1" applyNumberFormat="1" applyFont="1" applyFill="1" applyBorder="1">
      <alignment vertical="center"/>
    </xf>
    <xf numFmtId="38" fontId="41" fillId="3" borderId="5" xfId="2" applyFont="1" applyFill="1" applyBorder="1" applyAlignment="1">
      <alignment vertical="center"/>
    </xf>
    <xf numFmtId="38" fontId="41" fillId="3" borderId="6" xfId="2" applyFont="1" applyFill="1" applyBorder="1" applyAlignment="1">
      <alignment vertical="center"/>
    </xf>
    <xf numFmtId="38" fontId="41" fillId="3" borderId="7" xfId="2" applyFont="1" applyFill="1" applyBorder="1" applyAlignment="1">
      <alignment vertical="center"/>
    </xf>
    <xf numFmtId="38" fontId="41" fillId="2" borderId="5" xfId="2" applyFont="1" applyFill="1" applyBorder="1" applyAlignment="1">
      <alignment vertical="center"/>
    </xf>
    <xf numFmtId="38" fontId="41" fillId="2" borderId="6" xfId="2" applyFont="1" applyFill="1" applyBorder="1" applyAlignment="1">
      <alignment vertical="center"/>
    </xf>
    <xf numFmtId="38" fontId="41" fillId="2" borderId="7" xfId="2" applyFont="1" applyFill="1" applyBorder="1" applyAlignment="1">
      <alignment vertical="center"/>
    </xf>
    <xf numFmtId="49" fontId="50" fillId="10" borderId="18" xfId="1" applyNumberFormat="1" applyFont="1" applyFill="1" applyBorder="1">
      <alignment vertical="center"/>
    </xf>
    <xf numFmtId="38" fontId="41" fillId="0" borderId="5" xfId="2" applyFont="1" applyFill="1" applyBorder="1" applyAlignment="1">
      <alignment vertical="center" shrinkToFit="1"/>
    </xf>
    <xf numFmtId="38" fontId="41" fillId="0" borderId="6" xfId="2" applyFont="1" applyFill="1" applyBorder="1" applyAlignment="1">
      <alignment vertical="center" shrinkToFit="1"/>
    </xf>
    <xf numFmtId="38" fontId="41" fillId="0" borderId="7" xfId="2" applyFont="1" applyFill="1" applyBorder="1" applyAlignment="1">
      <alignment vertical="center" shrinkToFit="1"/>
    </xf>
    <xf numFmtId="9" fontId="41" fillId="0" borderId="61" xfId="3" applyFont="1" applyFill="1" applyBorder="1" applyAlignment="1">
      <alignment vertical="center" shrinkToFit="1"/>
    </xf>
    <xf numFmtId="9" fontId="41" fillId="0" borderId="62" xfId="3" applyFont="1" applyFill="1" applyBorder="1" applyAlignment="1">
      <alignment vertical="center" shrinkToFit="1"/>
    </xf>
    <xf numFmtId="38" fontId="47" fillId="6" borderId="61" xfId="2" applyFont="1" applyFill="1" applyBorder="1" applyAlignment="1">
      <alignment horizontal="right" vertical="center" shrinkToFit="1"/>
    </xf>
    <xf numFmtId="38" fontId="47" fillId="6" borderId="62" xfId="2" applyFont="1" applyFill="1" applyBorder="1" applyAlignment="1">
      <alignment horizontal="right" vertical="center" shrinkToFit="1"/>
    </xf>
    <xf numFmtId="38" fontId="46" fillId="6" borderId="61" xfId="2" applyFont="1" applyFill="1" applyBorder="1" applyAlignment="1">
      <alignment horizontal="right" vertical="center" shrinkToFit="1"/>
    </xf>
    <xf numFmtId="38" fontId="46" fillId="6" borderId="62" xfId="2" applyFont="1" applyFill="1" applyBorder="1" applyAlignment="1">
      <alignment horizontal="right" vertical="center" shrinkToFit="1"/>
    </xf>
    <xf numFmtId="38" fontId="34" fillId="0" borderId="0" xfId="1" applyNumberFormat="1" applyFont="1">
      <alignment vertical="center"/>
    </xf>
    <xf numFmtId="0" fontId="34" fillId="0" borderId="0" xfId="1" applyFont="1">
      <alignment vertical="center"/>
    </xf>
    <xf numFmtId="38" fontId="35" fillId="0" borderId="122" xfId="2" applyFont="1" applyBorder="1" applyAlignment="1">
      <alignment vertical="center" shrinkToFit="1"/>
    </xf>
    <xf numFmtId="38" fontId="35" fillId="0" borderId="123" xfId="2" applyFont="1" applyBorder="1" applyAlignment="1">
      <alignment vertical="center" shrinkToFit="1"/>
    </xf>
    <xf numFmtId="38" fontId="35" fillId="0" borderId="30" xfId="1" applyNumberFormat="1" applyFont="1" applyBorder="1" applyAlignment="1">
      <alignment vertical="center" shrinkToFit="1"/>
    </xf>
    <xf numFmtId="0" fontId="35" fillId="0" borderId="32" xfId="1" applyFont="1" applyBorder="1" applyAlignment="1">
      <alignment vertical="center" shrinkToFit="1"/>
    </xf>
    <xf numFmtId="0" fontId="35" fillId="0" borderId="0" xfId="1" applyFont="1">
      <alignment vertical="center"/>
    </xf>
    <xf numFmtId="38" fontId="41" fillId="0" borderId="61" xfId="2" applyFont="1" applyFill="1" applyBorder="1" applyAlignment="1">
      <alignment vertical="center" shrinkToFit="1"/>
    </xf>
    <xf numFmtId="38" fontId="41" fillId="0" borderId="62" xfId="2" applyFont="1" applyFill="1" applyBorder="1" applyAlignment="1">
      <alignment vertical="center" shrinkToFit="1"/>
    </xf>
    <xf numFmtId="38" fontId="35" fillId="3" borderId="115" xfId="2" applyFont="1" applyFill="1" applyBorder="1" applyAlignment="1">
      <alignment vertical="center" shrinkToFit="1"/>
    </xf>
    <xf numFmtId="38" fontId="35" fillId="3" borderId="116" xfId="2" applyFont="1" applyFill="1" applyBorder="1" applyAlignment="1">
      <alignment vertical="center" shrinkToFit="1"/>
    </xf>
    <xf numFmtId="38" fontId="35" fillId="3" borderId="117" xfId="2" applyFont="1" applyFill="1" applyBorder="1" applyAlignment="1">
      <alignment vertical="center" shrinkToFit="1"/>
    </xf>
    <xf numFmtId="38" fontId="35" fillId="3" borderId="118" xfId="2" applyFont="1" applyFill="1" applyBorder="1" applyAlignment="1">
      <alignment vertical="center" shrinkToFit="1"/>
    </xf>
    <xf numFmtId="38" fontId="35" fillId="3" borderId="119" xfId="2" applyFont="1" applyFill="1" applyBorder="1" applyAlignment="1">
      <alignment vertical="center" shrinkToFit="1"/>
    </xf>
    <xf numFmtId="0" fontId="34" fillId="0" borderId="66" xfId="1" applyFont="1" applyBorder="1">
      <alignment vertical="center"/>
    </xf>
    <xf numFmtId="0" fontId="34" fillId="0" borderId="62" xfId="1" applyFont="1" applyBorder="1">
      <alignment vertical="center"/>
    </xf>
    <xf numFmtId="38" fontId="42" fillId="0" borderId="61" xfId="2" applyFont="1" applyFill="1" applyBorder="1" applyAlignment="1">
      <alignment horizontal="right" vertical="center" shrinkToFit="1"/>
    </xf>
    <xf numFmtId="38" fontId="42" fillId="0" borderId="62" xfId="2" applyFont="1" applyFill="1" applyBorder="1" applyAlignment="1">
      <alignment horizontal="right" vertical="center" shrinkToFit="1"/>
    </xf>
    <xf numFmtId="38" fontId="41" fillId="0" borderId="16" xfId="2" applyFont="1" applyFill="1" applyBorder="1" applyAlignment="1">
      <alignment horizontal="right" vertical="center" shrinkToFit="1"/>
    </xf>
    <xf numFmtId="38" fontId="41" fillId="0" borderId="6" xfId="2" applyFont="1" applyFill="1" applyBorder="1" applyAlignment="1">
      <alignment horizontal="right" vertical="center" shrinkToFit="1"/>
    </xf>
    <xf numFmtId="38" fontId="41" fillId="10" borderId="67" xfId="2" applyFont="1" applyFill="1" applyBorder="1" applyAlignment="1">
      <alignment horizontal="right" vertical="center" shrinkToFit="1"/>
    </xf>
    <xf numFmtId="38" fontId="35" fillId="3" borderId="99" xfId="2" applyFont="1" applyFill="1" applyBorder="1" applyAlignment="1">
      <alignment vertical="center" shrinkToFit="1"/>
    </xf>
    <xf numFmtId="38" fontId="35" fillId="3" borderId="98" xfId="2" applyFont="1" applyFill="1" applyBorder="1" applyAlignment="1">
      <alignment vertical="center" shrinkToFit="1"/>
    </xf>
    <xf numFmtId="38" fontId="35" fillId="3" borderId="100" xfId="2" applyFont="1" applyFill="1" applyBorder="1" applyAlignment="1">
      <alignment vertical="center" shrinkToFit="1"/>
    </xf>
    <xf numFmtId="38" fontId="35" fillId="3" borderId="94" xfId="2" applyFont="1" applyFill="1" applyBorder="1" applyAlignment="1">
      <alignment vertical="center" shrinkToFit="1"/>
    </xf>
    <xf numFmtId="38" fontId="35" fillId="3" borderId="95" xfId="2" applyFont="1" applyFill="1" applyBorder="1" applyAlignment="1">
      <alignment vertical="center" shrinkToFit="1"/>
    </xf>
    <xf numFmtId="38" fontId="35" fillId="3" borderId="96" xfId="2" applyFont="1" applyFill="1" applyBorder="1" applyAlignment="1">
      <alignment vertical="center" shrinkToFit="1"/>
    </xf>
    <xf numFmtId="38" fontId="35" fillId="3" borderId="97" xfId="2" applyFont="1" applyFill="1" applyBorder="1" applyAlignment="1">
      <alignment vertical="center" shrinkToFit="1"/>
    </xf>
    <xf numFmtId="38" fontId="35" fillId="3" borderId="120" xfId="2" applyFont="1" applyFill="1" applyBorder="1" applyAlignment="1">
      <alignment vertical="center" shrinkToFit="1"/>
    </xf>
    <xf numFmtId="38" fontId="35" fillId="3" borderId="121" xfId="2" applyFont="1" applyFill="1" applyBorder="1" applyAlignment="1">
      <alignment vertical="center" shrinkToFit="1"/>
    </xf>
    <xf numFmtId="38" fontId="35" fillId="3" borderId="108" xfId="2" applyFont="1" applyFill="1" applyBorder="1" applyAlignment="1">
      <alignment vertical="center" shrinkToFit="1"/>
    </xf>
    <xf numFmtId="38" fontId="35" fillId="3" borderId="109" xfId="2" applyFont="1" applyFill="1" applyBorder="1" applyAlignment="1">
      <alignment vertical="center" shrinkToFit="1"/>
    </xf>
    <xf numFmtId="38" fontId="35" fillId="3" borderId="110" xfId="2" applyFont="1" applyFill="1" applyBorder="1" applyAlignment="1">
      <alignment vertical="center" shrinkToFit="1"/>
    </xf>
    <xf numFmtId="38" fontId="35" fillId="3" borderId="111" xfId="2" applyFont="1" applyFill="1" applyBorder="1" applyAlignment="1">
      <alignment vertical="center" shrinkToFit="1"/>
    </xf>
    <xf numFmtId="38" fontId="35" fillId="3" borderId="112" xfId="2" applyFont="1" applyFill="1" applyBorder="1" applyAlignment="1">
      <alignment vertical="center" shrinkToFit="1"/>
    </xf>
    <xf numFmtId="38" fontId="35" fillId="3" borderId="106" xfId="2" applyFont="1" applyFill="1" applyBorder="1" applyAlignment="1">
      <alignment vertical="center" shrinkToFit="1"/>
    </xf>
    <xf numFmtId="38" fontId="35" fillId="3" borderId="105" xfId="2" applyFont="1" applyFill="1" applyBorder="1" applyAlignment="1">
      <alignment vertical="center" shrinkToFit="1"/>
    </xf>
    <xf numFmtId="38" fontId="35" fillId="3" borderId="107" xfId="2" applyFont="1" applyFill="1" applyBorder="1" applyAlignment="1">
      <alignment vertical="center" shrinkToFit="1"/>
    </xf>
    <xf numFmtId="0" fontId="35" fillId="3" borderId="101" xfId="1" applyFont="1" applyFill="1" applyBorder="1" applyAlignment="1">
      <alignment vertical="center" shrinkToFit="1"/>
    </xf>
    <xf numFmtId="0" fontId="35" fillId="3" borderId="102" xfId="1" applyFont="1" applyFill="1" applyBorder="1" applyAlignment="1">
      <alignment vertical="center" shrinkToFit="1"/>
    </xf>
    <xf numFmtId="0" fontId="35" fillId="3" borderId="103" xfId="1" applyFont="1" applyFill="1" applyBorder="1" applyAlignment="1">
      <alignment vertical="center" shrinkToFit="1"/>
    </xf>
    <xf numFmtId="38" fontId="35" fillId="3" borderId="104" xfId="2" applyFont="1" applyFill="1" applyBorder="1" applyAlignment="1">
      <alignment vertical="center" shrinkToFit="1"/>
    </xf>
    <xf numFmtId="38" fontId="35" fillId="3" borderId="113" xfId="2" applyFont="1" applyFill="1" applyBorder="1" applyAlignment="1">
      <alignment vertical="center" shrinkToFit="1"/>
    </xf>
    <xf numFmtId="38" fontId="35" fillId="3" borderId="114" xfId="2" applyFont="1" applyFill="1" applyBorder="1" applyAlignment="1">
      <alignment vertical="center" shrinkToFit="1"/>
    </xf>
    <xf numFmtId="38" fontId="41" fillId="0" borderId="66" xfId="2" applyFont="1" applyFill="1" applyBorder="1" applyAlignment="1">
      <alignment vertical="center"/>
    </xf>
    <xf numFmtId="38" fontId="41" fillId="0" borderId="62" xfId="2" applyFont="1" applyFill="1" applyBorder="1" applyAlignment="1">
      <alignment vertical="center"/>
    </xf>
    <xf numFmtId="38" fontId="35" fillId="3" borderId="30" xfId="1" applyNumberFormat="1" applyFont="1" applyFill="1" applyBorder="1" applyAlignment="1">
      <alignment vertical="center" shrinkToFit="1"/>
    </xf>
    <xf numFmtId="38" fontId="35" fillId="3" borderId="14" xfId="1" applyNumberFormat="1" applyFont="1" applyFill="1" applyBorder="1" applyAlignment="1">
      <alignment vertical="center" shrinkToFit="1"/>
    </xf>
    <xf numFmtId="38" fontId="35" fillId="3" borderId="93" xfId="1" applyNumberFormat="1" applyFont="1" applyFill="1" applyBorder="1" applyAlignment="1">
      <alignment vertical="center" shrinkToFit="1"/>
    </xf>
    <xf numFmtId="38" fontId="35" fillId="3" borderId="32" xfId="1" applyNumberFormat="1" applyFont="1" applyFill="1" applyBorder="1" applyAlignment="1">
      <alignment vertical="center" shrinkToFit="1"/>
    </xf>
    <xf numFmtId="38" fontId="35" fillId="3" borderId="86" xfId="2" applyFont="1" applyFill="1" applyBorder="1" applyAlignment="1">
      <alignment vertical="center" shrinkToFit="1"/>
    </xf>
    <xf numFmtId="38" fontId="35" fillId="3" borderId="87" xfId="2" applyFont="1" applyFill="1" applyBorder="1" applyAlignment="1">
      <alignment vertical="center" shrinkToFit="1"/>
    </xf>
    <xf numFmtId="38" fontId="35" fillId="3" borderId="88" xfId="2" applyFont="1" applyFill="1" applyBorder="1" applyAlignment="1">
      <alignment vertical="center" shrinkToFit="1"/>
    </xf>
    <xf numFmtId="38" fontId="35" fillId="3" borderId="89" xfId="2" applyFont="1" applyFill="1" applyBorder="1" applyAlignment="1">
      <alignment vertical="center" shrinkToFit="1"/>
    </xf>
    <xf numFmtId="38" fontId="35" fillId="3" borderId="90" xfId="2" applyFont="1" applyFill="1" applyBorder="1" applyAlignment="1">
      <alignment vertical="center" shrinkToFit="1"/>
    </xf>
    <xf numFmtId="38" fontId="35" fillId="3" borderId="91" xfId="2" applyFont="1" applyFill="1" applyBorder="1" applyAlignment="1">
      <alignment vertical="center" shrinkToFit="1"/>
    </xf>
    <xf numFmtId="38" fontId="35" fillId="3" borderId="92" xfId="2" applyFont="1" applyFill="1" applyBorder="1" applyAlignment="1">
      <alignment vertical="center" shrinkToFit="1"/>
    </xf>
    <xf numFmtId="38" fontId="35" fillId="3" borderId="70" xfId="1" applyNumberFormat="1" applyFont="1" applyFill="1" applyBorder="1" applyAlignment="1">
      <alignment vertical="center" shrinkToFit="1"/>
    </xf>
    <xf numFmtId="38" fontId="35" fillId="3" borderId="71" xfId="1" applyNumberFormat="1" applyFont="1" applyFill="1" applyBorder="1" applyAlignment="1">
      <alignment vertical="center" shrinkToFit="1"/>
    </xf>
    <xf numFmtId="38" fontId="35" fillId="3" borderId="82" xfId="2" applyFont="1" applyFill="1" applyBorder="1" applyAlignment="1">
      <alignment vertical="center" shrinkToFit="1"/>
    </xf>
    <xf numFmtId="38" fontId="35" fillId="3" borderId="83" xfId="2" applyFont="1" applyFill="1" applyBorder="1" applyAlignment="1">
      <alignment vertical="center" shrinkToFit="1"/>
    </xf>
    <xf numFmtId="38" fontId="35" fillId="3" borderId="84" xfId="2" applyFont="1" applyFill="1" applyBorder="1" applyAlignment="1">
      <alignment vertical="center" shrinkToFit="1"/>
    </xf>
    <xf numFmtId="38" fontId="35" fillId="3" borderId="85" xfId="2" applyFont="1" applyFill="1" applyBorder="1" applyAlignment="1">
      <alignment vertical="center" shrinkToFit="1"/>
    </xf>
    <xf numFmtId="9" fontId="35" fillId="3" borderId="69" xfId="1" applyNumberFormat="1" applyFont="1" applyFill="1" applyBorder="1" applyAlignment="1">
      <alignment horizontal="right" vertical="center" shrinkToFit="1"/>
    </xf>
    <xf numFmtId="9" fontId="35" fillId="3" borderId="71" xfId="1" applyNumberFormat="1" applyFont="1" applyFill="1" applyBorder="1" applyAlignment="1">
      <alignment horizontal="right" vertical="center" shrinkToFit="1"/>
    </xf>
    <xf numFmtId="38" fontId="35" fillId="3" borderId="69" xfId="1" applyNumberFormat="1" applyFont="1" applyFill="1" applyBorder="1" applyAlignment="1">
      <alignment vertical="center" shrinkToFit="1"/>
    </xf>
    <xf numFmtId="38" fontId="35" fillId="3" borderId="17" xfId="1" applyNumberFormat="1" applyFont="1" applyFill="1" applyBorder="1" applyAlignment="1">
      <alignment vertical="center" shrinkToFit="1"/>
    </xf>
    <xf numFmtId="38" fontId="35" fillId="3" borderId="79" xfId="2" applyFont="1" applyFill="1" applyBorder="1" applyAlignment="1">
      <alignment vertical="center" shrinkToFit="1"/>
    </xf>
    <xf numFmtId="38" fontId="35" fillId="3" borderId="80" xfId="2" applyFont="1" applyFill="1" applyBorder="1" applyAlignment="1">
      <alignment vertical="center" shrinkToFit="1"/>
    </xf>
    <xf numFmtId="38" fontId="35" fillId="3" borderId="81" xfId="2" applyFont="1" applyFill="1" applyBorder="1" applyAlignment="1">
      <alignment vertical="center" shrinkToFit="1"/>
    </xf>
    <xf numFmtId="38" fontId="45" fillId="12" borderId="76" xfId="2" applyFont="1" applyFill="1" applyBorder="1" applyAlignment="1">
      <alignment vertical="center" shrinkToFit="1"/>
    </xf>
    <xf numFmtId="38" fontId="45" fillId="12" borderId="77" xfId="2" applyFont="1" applyFill="1" applyBorder="1" applyAlignment="1">
      <alignment vertical="center" shrinkToFit="1"/>
    </xf>
    <xf numFmtId="38" fontId="45" fillId="12" borderId="78" xfId="2" applyFont="1" applyFill="1" applyBorder="1" applyAlignment="1">
      <alignment vertical="center" shrinkToFit="1"/>
    </xf>
    <xf numFmtId="38" fontId="44" fillId="12" borderId="40" xfId="2" applyFont="1" applyFill="1" applyBorder="1" applyAlignment="1">
      <alignment vertical="center" shrinkToFit="1"/>
    </xf>
    <xf numFmtId="38" fontId="44" fillId="12" borderId="0" xfId="2" applyFont="1" applyFill="1" applyBorder="1" applyAlignment="1">
      <alignment vertical="center" shrinkToFit="1"/>
    </xf>
    <xf numFmtId="9" fontId="35" fillId="3" borderId="55" xfId="1" applyNumberFormat="1" applyFont="1" applyFill="1" applyBorder="1" applyAlignment="1">
      <alignment horizontal="right" vertical="center" shrinkToFit="1"/>
    </xf>
    <xf numFmtId="9" fontId="35" fillId="3" borderId="56" xfId="1" applyNumberFormat="1" applyFont="1" applyFill="1" applyBorder="1" applyAlignment="1">
      <alignment horizontal="right" vertical="center" shrinkToFit="1"/>
    </xf>
    <xf numFmtId="38" fontId="35" fillId="3" borderId="55" xfId="1" applyNumberFormat="1" applyFont="1" applyFill="1" applyBorder="1" applyAlignment="1">
      <alignment vertical="center" shrinkToFit="1"/>
    </xf>
    <xf numFmtId="38" fontId="35" fillId="3" borderId="21" xfId="1" applyNumberFormat="1" applyFont="1" applyFill="1" applyBorder="1" applyAlignment="1">
      <alignment vertical="center" shrinkToFit="1"/>
    </xf>
    <xf numFmtId="38" fontId="35" fillId="3" borderId="39" xfId="1" applyNumberFormat="1" applyFont="1" applyFill="1" applyBorder="1" applyAlignment="1">
      <alignment vertical="center" shrinkToFit="1"/>
    </xf>
    <xf numFmtId="38" fontId="35" fillId="3" borderId="56" xfId="1" applyNumberFormat="1" applyFont="1" applyFill="1" applyBorder="1" applyAlignment="1">
      <alignment vertical="center" shrinkToFit="1"/>
    </xf>
    <xf numFmtId="38" fontId="35" fillId="0" borderId="72" xfId="1" applyNumberFormat="1" applyFont="1" applyBorder="1">
      <alignment vertical="center"/>
    </xf>
    <xf numFmtId="0" fontId="35" fillId="0" borderId="73" xfId="1" applyFont="1" applyBorder="1">
      <alignment vertical="center"/>
    </xf>
    <xf numFmtId="38" fontId="43" fillId="11" borderId="3" xfId="2" applyFont="1" applyFill="1" applyBorder="1" applyAlignment="1">
      <alignment vertical="center" shrinkToFit="1"/>
    </xf>
    <xf numFmtId="38" fontId="43" fillId="11" borderId="4" xfId="2" applyFont="1" applyFill="1" applyBorder="1" applyAlignment="1">
      <alignment vertical="center" shrinkToFit="1"/>
    </xf>
    <xf numFmtId="38" fontId="35" fillId="0" borderId="60" xfId="2" applyFont="1" applyFill="1" applyBorder="1" applyAlignment="1">
      <alignment vertical="center" shrinkToFit="1"/>
    </xf>
    <xf numFmtId="38" fontId="35" fillId="3" borderId="60" xfId="2" applyFont="1" applyFill="1" applyBorder="1" applyAlignment="1">
      <alignment vertical="center" shrinkToFit="1"/>
    </xf>
    <xf numFmtId="38" fontId="35" fillId="3" borderId="28" xfId="2" applyFont="1" applyFill="1" applyBorder="1" applyAlignment="1">
      <alignment vertical="center" shrinkToFit="1"/>
    </xf>
    <xf numFmtId="0" fontId="35" fillId="0" borderId="11" xfId="1" applyFont="1" applyBorder="1" applyAlignment="1">
      <alignment vertical="center" shrinkToFit="1"/>
    </xf>
    <xf numFmtId="0" fontId="35" fillId="0" borderId="12" xfId="1" applyFont="1" applyBorder="1" applyAlignment="1">
      <alignment vertical="center" shrinkToFit="1"/>
    </xf>
    <xf numFmtId="38" fontId="35" fillId="0" borderId="12" xfId="1" applyNumberFormat="1" applyFont="1" applyBorder="1" applyAlignment="1">
      <alignment vertical="center" shrinkToFit="1"/>
    </xf>
    <xf numFmtId="38" fontId="35" fillId="0" borderId="13" xfId="1" applyNumberFormat="1" applyFont="1" applyBorder="1" applyAlignment="1">
      <alignment vertical="center" shrinkToFit="1"/>
    </xf>
    <xf numFmtId="38" fontId="35" fillId="3" borderId="52" xfId="2" applyFont="1" applyFill="1" applyBorder="1" applyAlignment="1">
      <alignment vertical="center" shrinkToFit="1"/>
    </xf>
    <xf numFmtId="38" fontId="35" fillId="3" borderId="59" xfId="2" applyFont="1" applyFill="1" applyBorder="1" applyAlignment="1">
      <alignment vertical="center" shrinkToFit="1"/>
    </xf>
    <xf numFmtId="38" fontId="35" fillId="0" borderId="31" xfId="1" applyNumberFormat="1" applyFont="1" applyBorder="1" applyAlignment="1">
      <alignment vertical="center" shrinkToFit="1"/>
    </xf>
    <xf numFmtId="38" fontId="35" fillId="0" borderId="11" xfId="2" applyFont="1" applyFill="1" applyBorder="1" applyAlignment="1">
      <alignment vertical="center" shrinkToFit="1"/>
    </xf>
    <xf numFmtId="38" fontId="35" fillId="0" borderId="12" xfId="2" applyFont="1" applyFill="1" applyBorder="1" applyAlignment="1">
      <alignment vertical="center" shrinkToFit="1"/>
    </xf>
    <xf numFmtId="9" fontId="35" fillId="0" borderId="8" xfId="1" applyNumberFormat="1" applyFont="1" applyBorder="1" applyAlignment="1">
      <alignment horizontal="right" vertical="center" shrinkToFit="1"/>
    </xf>
    <xf numFmtId="9" fontId="35" fillId="0" borderId="9" xfId="1" applyNumberFormat="1" applyFont="1" applyBorder="1" applyAlignment="1">
      <alignment horizontal="right" vertical="center" shrinkToFit="1"/>
    </xf>
    <xf numFmtId="38" fontId="35" fillId="0" borderId="9" xfId="2" applyFont="1" applyFill="1" applyBorder="1" applyAlignment="1">
      <alignment vertical="center" shrinkToFit="1"/>
    </xf>
    <xf numFmtId="38" fontId="35" fillId="0" borderId="10" xfId="2" applyFont="1" applyFill="1" applyBorder="1" applyAlignment="1">
      <alignment vertical="center" shrinkToFit="1"/>
    </xf>
    <xf numFmtId="38" fontId="35" fillId="3" borderId="30" xfId="2" applyFont="1" applyFill="1" applyBorder="1" applyAlignment="1">
      <alignment vertical="center" shrinkToFit="1"/>
    </xf>
    <xf numFmtId="38" fontId="35" fillId="3" borderId="31" xfId="2" applyFont="1" applyFill="1" applyBorder="1" applyAlignment="1">
      <alignment vertical="center" shrinkToFit="1"/>
    </xf>
    <xf numFmtId="38" fontId="35" fillId="3" borderId="32" xfId="2" applyFont="1" applyFill="1" applyBorder="1" applyAlignment="1">
      <alignment vertical="center" shrinkToFit="1"/>
    </xf>
    <xf numFmtId="38" fontId="35" fillId="0" borderId="44" xfId="2" applyFont="1" applyFill="1" applyBorder="1" applyAlignment="1">
      <alignment vertical="center" shrinkToFit="1"/>
    </xf>
    <xf numFmtId="38" fontId="35" fillId="0" borderId="48" xfId="2" applyFont="1" applyFill="1" applyBorder="1" applyAlignment="1">
      <alignment vertical="center" shrinkToFit="1"/>
    </xf>
    <xf numFmtId="9" fontId="35" fillId="0" borderId="5" xfId="1" applyNumberFormat="1" applyFont="1" applyBorder="1" applyAlignment="1">
      <alignment horizontal="right" vertical="center" shrinkToFit="1"/>
    </xf>
    <xf numFmtId="9" fontId="35" fillId="0" borderId="6" xfId="1" applyNumberFormat="1" applyFont="1" applyBorder="1" applyAlignment="1">
      <alignment horizontal="right" vertical="center" shrinkToFit="1"/>
    </xf>
    <xf numFmtId="38" fontId="35" fillId="0" borderId="6" xfId="2" applyFont="1" applyFill="1" applyBorder="1" applyAlignment="1">
      <alignment vertical="center" shrinkToFit="1"/>
    </xf>
    <xf numFmtId="38" fontId="35" fillId="0" borderId="7" xfId="2" applyFont="1" applyFill="1" applyBorder="1" applyAlignment="1">
      <alignment vertical="center" shrinkToFit="1"/>
    </xf>
    <xf numFmtId="38" fontId="35" fillId="3" borderId="68" xfId="2" applyFont="1" applyFill="1" applyBorder="1" applyAlignment="1">
      <alignment vertical="center" shrinkToFit="1"/>
    </xf>
    <xf numFmtId="38" fontId="35" fillId="3" borderId="46" xfId="2" applyFont="1" applyFill="1" applyBorder="1" applyAlignment="1">
      <alignment vertical="center" shrinkToFit="1"/>
    </xf>
    <xf numFmtId="0" fontId="35" fillId="3" borderId="55" xfId="1" applyFont="1" applyFill="1" applyBorder="1" applyAlignment="1">
      <alignment vertical="center" shrinkToFit="1"/>
    </xf>
    <xf numFmtId="0" fontId="35" fillId="3" borderId="36" xfId="1" applyFont="1" applyFill="1" applyBorder="1" applyAlignment="1">
      <alignment vertical="center" shrinkToFit="1"/>
    </xf>
    <xf numFmtId="38" fontId="35" fillId="0" borderId="2" xfId="2" applyFont="1" applyFill="1" applyBorder="1" applyAlignment="1">
      <alignment vertical="center" shrinkToFit="1"/>
    </xf>
    <xf numFmtId="38" fontId="35" fillId="0" borderId="3" xfId="2" applyFont="1" applyFill="1" applyBorder="1" applyAlignment="1">
      <alignment vertical="center" shrinkToFit="1"/>
    </xf>
    <xf numFmtId="38" fontId="35" fillId="3" borderId="3" xfId="2" applyFont="1" applyFill="1" applyBorder="1" applyAlignment="1">
      <alignment vertical="center" shrinkToFit="1"/>
    </xf>
    <xf numFmtId="38" fontId="35" fillId="3" borderId="4" xfId="2" applyFont="1" applyFill="1" applyBorder="1" applyAlignment="1">
      <alignment vertical="center" shrinkToFit="1"/>
    </xf>
    <xf numFmtId="0" fontId="35" fillId="0" borderId="2" xfId="1" applyFont="1" applyBorder="1" applyAlignment="1">
      <alignment vertical="center" shrinkToFit="1"/>
    </xf>
    <xf numFmtId="0" fontId="35" fillId="0" borderId="3" xfId="1" applyFont="1" applyBorder="1" applyAlignment="1">
      <alignment vertical="center" shrinkToFit="1"/>
    </xf>
    <xf numFmtId="38" fontId="35" fillId="3" borderId="11" xfId="2" applyFont="1" applyFill="1" applyBorder="1" applyAlignment="1">
      <alignment vertical="center" shrinkToFit="1"/>
    </xf>
    <xf numFmtId="38" fontId="35" fillId="3" borderId="12" xfId="2" applyFont="1" applyFill="1" applyBorder="1" applyAlignment="1">
      <alignment vertical="center" shrinkToFit="1"/>
    </xf>
    <xf numFmtId="49" fontId="34" fillId="3" borderId="18" xfId="1" quotePrefix="1" applyNumberFormat="1" applyFont="1" applyFill="1" applyBorder="1">
      <alignment vertical="center"/>
    </xf>
    <xf numFmtId="38" fontId="35" fillId="3" borderId="11" xfId="1" applyNumberFormat="1" applyFont="1" applyFill="1" applyBorder="1" applyAlignment="1">
      <alignment vertical="center" shrinkToFit="1"/>
    </xf>
    <xf numFmtId="38" fontId="35" fillId="3" borderId="12" xfId="1" applyNumberFormat="1" applyFont="1" applyFill="1" applyBorder="1" applyAlignment="1">
      <alignment vertical="center" shrinkToFit="1"/>
    </xf>
    <xf numFmtId="38" fontId="35" fillId="3" borderId="64" xfId="2" applyFont="1" applyFill="1" applyBorder="1" applyAlignment="1">
      <alignment vertical="center" shrinkToFit="1"/>
    </xf>
    <xf numFmtId="38" fontId="35" fillId="3" borderId="65" xfId="2" applyFont="1" applyFill="1" applyBorder="1" applyAlignment="1">
      <alignment vertical="center" shrinkToFit="1"/>
    </xf>
    <xf numFmtId="38" fontId="35" fillId="3" borderId="43" xfId="2" applyFont="1" applyFill="1" applyBorder="1" applyAlignment="1">
      <alignment horizontal="center" vertical="top"/>
    </xf>
    <xf numFmtId="38" fontId="35" fillId="3" borderId="42" xfId="2" applyFont="1" applyFill="1" applyBorder="1" applyAlignment="1">
      <alignment horizontal="center" vertical="top"/>
    </xf>
    <xf numFmtId="38" fontId="35" fillId="3" borderId="0" xfId="2" applyFont="1" applyFill="1" applyAlignment="1">
      <alignment horizontal="center" vertical="top"/>
    </xf>
    <xf numFmtId="38" fontId="35" fillId="3" borderId="59" xfId="2" applyFont="1" applyFill="1" applyBorder="1" applyAlignment="1">
      <alignment horizontal="center" vertical="top"/>
    </xf>
    <xf numFmtId="38" fontId="35" fillId="3" borderId="50" xfId="2" applyFont="1" applyFill="1" applyBorder="1" applyAlignment="1">
      <alignment horizontal="center" vertical="top"/>
    </xf>
    <xf numFmtId="38" fontId="35" fillId="3" borderId="41" xfId="2" applyFont="1" applyFill="1" applyBorder="1" applyAlignment="1">
      <alignment horizontal="center" vertical="top"/>
    </xf>
    <xf numFmtId="38" fontId="35" fillId="3" borderId="49" xfId="2" applyFont="1" applyFill="1" applyBorder="1" applyAlignment="1">
      <alignment horizontal="center" vertical="top"/>
    </xf>
    <xf numFmtId="38" fontId="35" fillId="3" borderId="53" xfId="2" applyFont="1" applyFill="1" applyBorder="1" applyAlignment="1">
      <alignment horizontal="center" vertical="top"/>
    </xf>
    <xf numFmtId="38" fontId="35" fillId="3" borderId="40" xfId="2" applyFont="1" applyFill="1" applyBorder="1" applyAlignment="1">
      <alignment horizontal="center" vertical="top"/>
    </xf>
    <xf numFmtId="38" fontId="35" fillId="3" borderId="52" xfId="2" applyFont="1" applyFill="1" applyBorder="1" applyAlignment="1">
      <alignment horizontal="center" vertical="top"/>
    </xf>
    <xf numFmtId="38" fontId="34" fillId="3" borderId="3" xfId="1" applyNumberFormat="1" applyFont="1" applyFill="1" applyBorder="1" applyAlignment="1">
      <alignment vertical="center" shrinkToFit="1"/>
    </xf>
    <xf numFmtId="38" fontId="34" fillId="3" borderId="4" xfId="1" applyNumberFormat="1" applyFont="1" applyFill="1" applyBorder="1" applyAlignment="1">
      <alignment vertical="center" shrinkToFit="1"/>
    </xf>
    <xf numFmtId="9" fontId="35" fillId="3" borderId="63" xfId="1" applyNumberFormat="1" applyFont="1" applyFill="1" applyBorder="1" applyAlignment="1">
      <alignment horizontal="right" vertical="center" shrinkToFit="1"/>
    </xf>
    <xf numFmtId="9" fontId="35" fillId="3" borderId="15" xfId="1" applyNumberFormat="1" applyFont="1" applyFill="1" applyBorder="1" applyAlignment="1">
      <alignment horizontal="right" vertical="center" shrinkToFit="1"/>
    </xf>
    <xf numFmtId="38" fontId="35" fillId="0" borderId="64" xfId="2" applyFont="1" applyFill="1" applyBorder="1" applyAlignment="1">
      <alignment vertical="center" shrinkToFit="1"/>
    </xf>
    <xf numFmtId="38" fontId="35" fillId="0" borderId="15" xfId="2" applyFont="1" applyFill="1" applyBorder="1" applyAlignment="1">
      <alignment vertical="center" shrinkToFit="1"/>
    </xf>
    <xf numFmtId="9" fontId="35" fillId="3" borderId="17" xfId="1" applyNumberFormat="1" applyFont="1" applyFill="1" applyBorder="1" applyAlignment="1">
      <alignment horizontal="right" vertical="center" shrinkToFit="1"/>
    </xf>
    <xf numFmtId="38" fontId="35" fillId="0" borderId="70" xfId="2" applyFont="1" applyFill="1" applyBorder="1" applyAlignment="1">
      <alignment vertical="center" shrinkToFit="1"/>
    </xf>
    <xf numFmtId="38" fontId="35" fillId="0" borderId="17" xfId="2" applyFont="1" applyFill="1" applyBorder="1" applyAlignment="1">
      <alignment vertical="center" shrinkToFit="1"/>
    </xf>
    <xf numFmtId="38" fontId="41" fillId="3" borderId="34" xfId="2" applyFont="1" applyFill="1" applyBorder="1" applyAlignment="1">
      <alignment horizontal="center" vertical="top"/>
    </xf>
    <xf numFmtId="38" fontId="41" fillId="3" borderId="37" xfId="2" applyFont="1" applyFill="1" applyBorder="1" applyAlignment="1">
      <alignment horizontal="center" vertical="top"/>
    </xf>
    <xf numFmtId="38" fontId="41" fillId="3" borderId="0" xfId="2" applyFont="1" applyFill="1" applyBorder="1" applyAlignment="1">
      <alignment horizontal="center" vertical="top"/>
    </xf>
    <xf numFmtId="38" fontId="41" fillId="3" borderId="42" xfId="2" applyFont="1" applyFill="1" applyBorder="1" applyAlignment="1">
      <alignment horizontal="center" vertical="top"/>
    </xf>
    <xf numFmtId="38" fontId="34" fillId="3" borderId="38" xfId="1" applyNumberFormat="1" applyFont="1" applyFill="1" applyBorder="1" applyAlignment="1">
      <alignment horizontal="center" vertical="top"/>
    </xf>
    <xf numFmtId="38" fontId="34" fillId="3" borderId="34" xfId="1" applyNumberFormat="1" applyFont="1" applyFill="1" applyBorder="1" applyAlignment="1">
      <alignment horizontal="center" vertical="top"/>
    </xf>
    <xf numFmtId="38" fontId="34" fillId="3" borderId="43" xfId="1" applyNumberFormat="1" applyFont="1" applyFill="1" applyBorder="1" applyAlignment="1">
      <alignment horizontal="center" vertical="top"/>
    </xf>
    <xf numFmtId="38" fontId="34" fillId="3" borderId="0" xfId="1" applyNumberFormat="1" applyFont="1" applyFill="1" applyAlignment="1">
      <alignment horizontal="center" vertical="top"/>
    </xf>
    <xf numFmtId="38" fontId="34" fillId="3" borderId="41" xfId="1" applyNumberFormat="1" applyFont="1" applyFill="1" applyBorder="1" applyAlignment="1">
      <alignment horizontal="center" vertical="top"/>
    </xf>
    <xf numFmtId="38" fontId="35" fillId="3" borderId="55" xfId="2" applyFont="1" applyFill="1" applyBorder="1" applyAlignment="1">
      <alignment vertical="center" shrinkToFit="1"/>
    </xf>
    <xf numFmtId="38" fontId="35" fillId="3" borderId="36" xfId="2" applyFont="1" applyFill="1" applyBorder="1" applyAlignment="1">
      <alignment vertical="center" shrinkToFit="1"/>
    </xf>
    <xf numFmtId="38" fontId="35" fillId="3" borderId="48" xfId="2" applyFont="1" applyFill="1" applyBorder="1" applyAlignment="1">
      <alignment vertical="center" shrinkToFit="1"/>
    </xf>
    <xf numFmtId="38" fontId="41" fillId="10" borderId="55" xfId="2" applyFont="1" applyFill="1" applyBorder="1" applyAlignment="1">
      <alignment horizontal="right" vertical="center" shrinkToFit="1"/>
    </xf>
    <xf numFmtId="38" fontId="41" fillId="10" borderId="56" xfId="2" applyFont="1" applyFill="1" applyBorder="1" applyAlignment="1">
      <alignment horizontal="right" vertical="center" shrinkToFit="1"/>
    </xf>
    <xf numFmtId="38" fontId="41" fillId="0" borderId="21" xfId="2" applyFont="1" applyFill="1" applyBorder="1" applyAlignment="1">
      <alignment horizontal="right" vertical="center" shrinkToFit="1"/>
    </xf>
    <xf numFmtId="38" fontId="41" fillId="0" borderId="3" xfId="2" applyFont="1" applyFill="1" applyBorder="1" applyAlignment="1">
      <alignment horizontal="right" vertical="center" shrinkToFit="1"/>
    </xf>
    <xf numFmtId="38" fontId="41" fillId="0" borderId="3" xfId="2" applyFont="1" applyFill="1" applyBorder="1" applyAlignment="1">
      <alignment vertical="center" shrinkToFit="1"/>
    </xf>
    <xf numFmtId="38" fontId="41" fillId="0" borderId="4" xfId="2" applyFont="1" applyFill="1" applyBorder="1" applyAlignment="1">
      <alignment vertical="center" shrinkToFit="1"/>
    </xf>
    <xf numFmtId="38" fontId="41" fillId="10" borderId="36" xfId="2" applyFont="1" applyFill="1" applyBorder="1" applyAlignment="1">
      <alignment horizontal="right" vertical="center" shrinkToFit="1"/>
    </xf>
    <xf numFmtId="38" fontId="41" fillId="10" borderId="21" xfId="2" applyFont="1" applyFill="1" applyBorder="1" applyAlignment="1">
      <alignment horizontal="right" vertical="center" shrinkToFit="1"/>
    </xf>
    <xf numFmtId="38" fontId="41" fillId="10" borderId="39" xfId="2" applyFont="1" applyFill="1" applyBorder="1" applyAlignment="1">
      <alignment horizontal="right" vertical="center" shrinkToFit="1"/>
    </xf>
    <xf numFmtId="38" fontId="41" fillId="0" borderId="39" xfId="2" applyFont="1" applyFill="1" applyBorder="1" applyAlignment="1">
      <alignment vertical="center"/>
    </xf>
    <xf numFmtId="38" fontId="41" fillId="0" borderId="56" xfId="2" applyFont="1" applyFill="1" applyBorder="1" applyAlignment="1">
      <alignment vertical="center"/>
    </xf>
    <xf numFmtId="38" fontId="42" fillId="0" borderId="55" xfId="2" applyFont="1" applyFill="1" applyBorder="1" applyAlignment="1">
      <alignment horizontal="right" vertical="center" shrinkToFit="1"/>
    </xf>
    <xf numFmtId="38" fontId="42" fillId="0" borderId="56" xfId="2" applyFont="1" applyFill="1" applyBorder="1" applyAlignment="1">
      <alignment horizontal="right" vertical="center" shrinkToFit="1"/>
    </xf>
    <xf numFmtId="38" fontId="41" fillId="9" borderId="55" xfId="2" applyFont="1" applyFill="1" applyBorder="1" applyAlignment="1">
      <alignment vertical="center"/>
    </xf>
    <xf numFmtId="38" fontId="41" fillId="9" borderId="56" xfId="2" applyFont="1" applyFill="1" applyBorder="1" applyAlignment="1">
      <alignment vertical="center"/>
    </xf>
    <xf numFmtId="38" fontId="41" fillId="3" borderId="55" xfId="2" applyFont="1" applyFill="1" applyBorder="1" applyAlignment="1">
      <alignment vertical="center"/>
    </xf>
    <xf numFmtId="38" fontId="41" fillId="3" borderId="36" xfId="2" applyFont="1" applyFill="1" applyBorder="1" applyAlignment="1">
      <alignment vertical="center"/>
    </xf>
    <xf numFmtId="38" fontId="41" fillId="3" borderId="20" xfId="2" applyFont="1" applyFill="1" applyBorder="1" applyAlignment="1">
      <alignment horizontal="center" vertical="center"/>
    </xf>
    <xf numFmtId="38" fontId="41" fillId="3" borderId="20" xfId="2" applyFont="1" applyFill="1" applyBorder="1" applyAlignment="1">
      <alignment vertical="center"/>
    </xf>
    <xf numFmtId="9" fontId="41" fillId="3" borderId="3" xfId="3" applyFont="1" applyFill="1" applyBorder="1" applyAlignment="1">
      <alignment horizontal="center" vertical="top"/>
    </xf>
    <xf numFmtId="9" fontId="41" fillId="3" borderId="39" xfId="3" applyFont="1" applyFill="1" applyBorder="1" applyAlignment="1">
      <alignment horizontal="center" vertical="top"/>
    </xf>
    <xf numFmtId="9" fontId="41" fillId="3" borderId="6" xfId="3" applyFont="1" applyFill="1" applyBorder="1" applyAlignment="1">
      <alignment horizontal="center" vertical="top"/>
    </xf>
    <xf numFmtId="9" fontId="41" fillId="3" borderId="66" xfId="3" applyFont="1" applyFill="1" applyBorder="1" applyAlignment="1">
      <alignment horizontal="center" vertical="top"/>
    </xf>
    <xf numFmtId="9" fontId="41" fillId="3" borderId="48" xfId="3" applyFont="1" applyFill="1" applyBorder="1" applyAlignment="1">
      <alignment horizontal="center" vertical="top"/>
    </xf>
    <xf numFmtId="9" fontId="41" fillId="3" borderId="45" xfId="3" applyFont="1" applyFill="1" applyBorder="1" applyAlignment="1">
      <alignment horizontal="center" vertical="top"/>
    </xf>
    <xf numFmtId="176" fontId="41" fillId="3" borderId="55" xfId="2" applyNumberFormat="1" applyFont="1" applyFill="1" applyBorder="1" applyAlignment="1">
      <alignment vertical="center" shrinkToFit="1"/>
    </xf>
    <xf numFmtId="176" fontId="41" fillId="3" borderId="56" xfId="2" applyNumberFormat="1" applyFont="1" applyFill="1" applyBorder="1" applyAlignment="1">
      <alignment vertical="center" shrinkToFit="1"/>
    </xf>
    <xf numFmtId="0" fontId="34" fillId="3" borderId="20" xfId="1" applyFont="1" applyFill="1" applyBorder="1">
      <alignment vertical="center"/>
    </xf>
    <xf numFmtId="0" fontId="34" fillId="3" borderId="20" xfId="1" quotePrefix="1" applyFont="1" applyFill="1" applyBorder="1">
      <alignment vertical="center"/>
    </xf>
    <xf numFmtId="38" fontId="41" fillId="3" borderId="2" xfId="2" applyFont="1" applyFill="1" applyBorder="1" applyAlignment="1">
      <alignment vertical="center"/>
    </xf>
    <xf numFmtId="38" fontId="41" fillId="3" borderId="3" xfId="2" applyFont="1" applyFill="1" applyBorder="1" applyAlignment="1">
      <alignment vertical="center"/>
    </xf>
    <xf numFmtId="38" fontId="41" fillId="3" borderId="39" xfId="2" applyFont="1" applyFill="1" applyBorder="1" applyAlignment="1">
      <alignment vertical="center" shrinkToFit="1"/>
    </xf>
    <xf numFmtId="38" fontId="41" fillId="3" borderId="21" xfId="2" applyFont="1" applyFill="1" applyBorder="1" applyAlignment="1">
      <alignment vertical="center" shrinkToFit="1"/>
    </xf>
    <xf numFmtId="38" fontId="41" fillId="3" borderId="4" xfId="2" applyFont="1" applyFill="1" applyBorder="1" applyAlignment="1">
      <alignment vertical="center"/>
    </xf>
    <xf numFmtId="0" fontId="36" fillId="8" borderId="33" xfId="1" applyFont="1" applyFill="1" applyBorder="1" applyAlignment="1">
      <alignment horizontal="center" vertical="center"/>
    </xf>
    <xf numFmtId="0" fontId="36" fillId="8" borderId="37" xfId="1" applyFont="1" applyFill="1" applyBorder="1" applyAlignment="1">
      <alignment horizontal="center" vertical="center"/>
    </xf>
    <xf numFmtId="0" fontId="36" fillId="8" borderId="52" xfId="1" applyFont="1" applyFill="1" applyBorder="1" applyAlignment="1">
      <alignment horizontal="center" vertical="center"/>
    </xf>
    <xf numFmtId="0" fontId="36" fillId="8" borderId="50" xfId="1" applyFont="1" applyFill="1" applyBorder="1" applyAlignment="1">
      <alignment horizontal="center" vertical="center"/>
    </xf>
    <xf numFmtId="0" fontId="36" fillId="8" borderId="38" xfId="1" applyFont="1" applyFill="1" applyBorder="1" applyAlignment="1">
      <alignment horizontal="center" vertical="center"/>
    </xf>
    <xf numFmtId="0" fontId="36" fillId="8" borderId="49" xfId="1" applyFont="1" applyFill="1" applyBorder="1" applyAlignment="1">
      <alignment horizontal="center" vertical="center"/>
    </xf>
    <xf numFmtId="0" fontId="36" fillId="8" borderId="35" xfId="1" applyFont="1" applyFill="1" applyBorder="1" applyAlignment="1">
      <alignment horizontal="center" vertical="center"/>
    </xf>
    <xf numFmtId="0" fontId="36" fillId="8" borderId="53" xfId="1" applyFont="1" applyFill="1" applyBorder="1" applyAlignment="1">
      <alignment horizontal="center" vertical="center"/>
    </xf>
    <xf numFmtId="0" fontId="36" fillId="8" borderId="25" xfId="1" applyFont="1" applyFill="1" applyBorder="1" applyAlignment="1">
      <alignment horizontal="center" vertical="center"/>
    </xf>
    <xf numFmtId="0" fontId="36" fillId="8" borderId="29" xfId="1" applyFont="1" applyFill="1" applyBorder="1" applyAlignment="1">
      <alignment horizontal="center" vertical="center"/>
    </xf>
    <xf numFmtId="0" fontId="36" fillId="8" borderId="26" xfId="1" applyFont="1" applyFill="1" applyBorder="1" applyAlignment="1">
      <alignment horizontal="center" vertical="center"/>
    </xf>
    <xf numFmtId="0" fontId="36" fillId="8" borderId="60" xfId="1" applyFont="1" applyFill="1" applyBorder="1" applyAlignment="1">
      <alignment horizontal="center" vertical="center"/>
    </xf>
    <xf numFmtId="0" fontId="36" fillId="8" borderId="27" xfId="1" applyFont="1" applyFill="1" applyBorder="1" applyAlignment="1">
      <alignment horizontal="center" vertical="center"/>
    </xf>
    <xf numFmtId="0" fontId="36" fillId="8" borderId="28" xfId="1" applyFont="1" applyFill="1" applyBorder="1" applyAlignment="1">
      <alignment horizontal="center" vertical="center"/>
    </xf>
    <xf numFmtId="0" fontId="36" fillId="3" borderId="23" xfId="1" applyFont="1" applyFill="1" applyBorder="1">
      <alignment vertical="center"/>
    </xf>
    <xf numFmtId="38" fontId="41" fillId="0" borderId="34" xfId="2" applyFont="1" applyBorder="1" applyAlignment="1">
      <alignment vertical="center" shrinkToFit="1"/>
    </xf>
    <xf numFmtId="0" fontId="36" fillId="10" borderId="30" xfId="1" applyFont="1" applyFill="1" applyBorder="1" applyAlignment="1">
      <alignment horizontal="center" vertical="center"/>
    </xf>
    <xf numFmtId="0" fontId="36" fillId="10" borderId="32" xfId="1" applyFont="1" applyFill="1" applyBorder="1" applyAlignment="1">
      <alignment horizontal="center" vertical="center"/>
    </xf>
    <xf numFmtId="0" fontId="36" fillId="6" borderId="2" xfId="1" applyFont="1" applyFill="1" applyBorder="1" applyAlignment="1">
      <alignment vertical="center" wrapText="1" shrinkToFit="1"/>
    </xf>
    <xf numFmtId="0" fontId="36" fillId="6" borderId="3" xfId="1" applyFont="1" applyFill="1" applyBorder="1" applyAlignment="1">
      <alignment vertical="center" wrapText="1" shrinkToFit="1"/>
    </xf>
    <xf numFmtId="0" fontId="35" fillId="7" borderId="40" xfId="1" applyFont="1" applyFill="1" applyBorder="1" applyAlignment="1">
      <alignment horizontal="center" vertical="center"/>
    </xf>
    <xf numFmtId="0" fontId="35" fillId="7" borderId="0" xfId="1" applyFont="1" applyFill="1" applyAlignment="1">
      <alignment horizontal="center" vertical="center"/>
    </xf>
    <xf numFmtId="0" fontId="35" fillId="7" borderId="41" xfId="1" applyFont="1" applyFill="1" applyBorder="1" applyAlignment="1">
      <alignment horizontal="center" vertical="center"/>
    </xf>
    <xf numFmtId="0" fontId="35" fillId="7" borderId="52" xfId="1" applyFont="1" applyFill="1" applyBorder="1" applyAlignment="1">
      <alignment horizontal="center" vertical="center"/>
    </xf>
    <xf numFmtId="0" fontId="35" fillId="7" borderId="59" xfId="1" applyFont="1" applyFill="1" applyBorder="1" applyAlignment="1">
      <alignment horizontal="center" vertical="center"/>
    </xf>
    <xf numFmtId="0" fontId="35" fillId="7" borderId="53" xfId="1" applyFont="1" applyFill="1" applyBorder="1" applyAlignment="1">
      <alignment horizontal="center" vertical="center"/>
    </xf>
    <xf numFmtId="0" fontId="35" fillId="7" borderId="25" xfId="1" applyFont="1" applyFill="1" applyBorder="1" applyAlignment="1">
      <alignment horizontal="center" vertical="center" shrinkToFit="1"/>
    </xf>
    <xf numFmtId="0" fontId="35" fillId="7" borderId="29" xfId="1" applyFont="1" applyFill="1" applyBorder="1" applyAlignment="1">
      <alignment horizontal="center" vertical="center" shrinkToFit="1"/>
    </xf>
    <xf numFmtId="0" fontId="35" fillId="7" borderId="26" xfId="1" applyFont="1" applyFill="1" applyBorder="1" applyAlignment="1">
      <alignment horizontal="center" vertical="center" shrinkToFit="1"/>
    </xf>
    <xf numFmtId="0" fontId="35" fillId="7" borderId="60" xfId="1" applyFont="1" applyFill="1" applyBorder="1" applyAlignment="1">
      <alignment horizontal="center" vertical="center" shrinkToFit="1"/>
    </xf>
    <xf numFmtId="0" fontId="35" fillId="7" borderId="27" xfId="1" applyFont="1" applyFill="1" applyBorder="1" applyAlignment="1">
      <alignment horizontal="center" vertical="center" shrinkToFit="1"/>
    </xf>
    <xf numFmtId="0" fontId="35" fillId="7" borderId="28" xfId="1" applyFont="1" applyFill="1" applyBorder="1" applyAlignment="1">
      <alignment horizontal="center" vertical="center" shrinkToFit="1"/>
    </xf>
    <xf numFmtId="0" fontId="36" fillId="8" borderId="44" xfId="1" applyFont="1" applyFill="1" applyBorder="1" applyAlignment="1">
      <alignment vertical="center" wrapText="1"/>
    </xf>
    <xf numFmtId="0" fontId="36" fillId="8" borderId="26" xfId="1" applyFont="1" applyFill="1" applyBorder="1" applyAlignment="1">
      <alignment vertical="center" wrapText="1"/>
    </xf>
    <xf numFmtId="0" fontId="36" fillId="8" borderId="45" xfId="1" applyFont="1" applyFill="1" applyBorder="1">
      <alignment vertical="center"/>
    </xf>
    <xf numFmtId="0" fontId="36" fillId="8" borderId="46" xfId="1" applyFont="1" applyFill="1" applyBorder="1">
      <alignment vertical="center"/>
    </xf>
    <xf numFmtId="0" fontId="36" fillId="8" borderId="47" xfId="1" applyFont="1" applyFill="1" applyBorder="1">
      <alignment vertical="center"/>
    </xf>
    <xf numFmtId="0" fontId="36" fillId="8" borderId="49" xfId="1" applyFont="1" applyFill="1" applyBorder="1">
      <alignment vertical="center"/>
    </xf>
    <xf numFmtId="0" fontId="36" fillId="8" borderId="59" xfId="1" applyFont="1" applyFill="1" applyBorder="1">
      <alignment vertical="center"/>
    </xf>
    <xf numFmtId="0" fontId="36" fillId="8" borderId="53" xfId="1" applyFont="1" applyFill="1" applyBorder="1">
      <alignment vertical="center"/>
    </xf>
    <xf numFmtId="0" fontId="36" fillId="4" borderId="2" xfId="1" applyFont="1" applyFill="1" applyBorder="1" applyAlignment="1">
      <alignment horizontal="center" vertical="center" wrapText="1" shrinkToFit="1"/>
    </xf>
    <xf numFmtId="0" fontId="36" fillId="4" borderId="4" xfId="1" applyFont="1" applyFill="1" applyBorder="1" applyAlignment="1">
      <alignment horizontal="center" vertical="center" wrapText="1" shrinkToFit="1"/>
    </xf>
    <xf numFmtId="0" fontId="36" fillId="4" borderId="44" xfId="1" applyFont="1" applyFill="1" applyBorder="1" applyAlignment="1">
      <alignment horizontal="center" vertical="center" wrapText="1" shrinkToFit="1"/>
    </xf>
    <xf numFmtId="0" fontId="36" fillId="4" borderId="51" xfId="1" applyFont="1" applyFill="1" applyBorder="1" applyAlignment="1">
      <alignment horizontal="center" vertical="center" wrapText="1" shrinkToFit="1"/>
    </xf>
    <xf numFmtId="0" fontId="36" fillId="4" borderId="21" xfId="1" applyFont="1" applyFill="1" applyBorder="1" applyAlignment="1">
      <alignment horizontal="center" vertical="center" wrapText="1" shrinkToFit="1"/>
    </xf>
    <xf numFmtId="0" fontId="36" fillId="4" borderId="3" xfId="1" applyFont="1" applyFill="1" applyBorder="1" applyAlignment="1">
      <alignment horizontal="center" vertical="center" wrapText="1" shrinkToFit="1"/>
    </xf>
    <xf numFmtId="0" fontId="36" fillId="4" borderId="54" xfId="1" applyFont="1" applyFill="1" applyBorder="1" applyAlignment="1">
      <alignment horizontal="center" vertical="center" wrapText="1" shrinkToFit="1"/>
    </xf>
    <xf numFmtId="0" fontId="36" fillId="4" borderId="48" xfId="1" applyFont="1" applyFill="1" applyBorder="1" applyAlignment="1">
      <alignment horizontal="center" vertical="center" wrapText="1" shrinkToFit="1"/>
    </xf>
    <xf numFmtId="0" fontId="36" fillId="6" borderId="33" xfId="1" applyFont="1" applyFill="1" applyBorder="1" applyAlignment="1">
      <alignment vertical="center" wrapText="1" shrinkToFit="1"/>
    </xf>
    <xf numFmtId="0" fontId="36" fillId="6" borderId="34" xfId="1" applyFont="1" applyFill="1" applyBorder="1" applyAlignment="1">
      <alignment vertical="center" wrapText="1" shrinkToFit="1"/>
    </xf>
    <xf numFmtId="0" fontId="36" fillId="6" borderId="35" xfId="1" applyFont="1" applyFill="1" applyBorder="1" applyAlignment="1">
      <alignment vertical="center" wrapText="1" shrinkToFit="1"/>
    </xf>
    <xf numFmtId="0" fontId="36" fillId="6" borderId="37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/>
    </xf>
    <xf numFmtId="0" fontId="36" fillId="6" borderId="42" xfId="1" applyFont="1" applyFill="1" applyBorder="1" applyAlignment="1">
      <alignment horizontal="center" vertical="center"/>
    </xf>
    <xf numFmtId="0" fontId="36" fillId="6" borderId="57" xfId="1" applyFont="1" applyFill="1" applyBorder="1" applyAlignment="1">
      <alignment horizontal="center" vertical="center"/>
    </xf>
    <xf numFmtId="0" fontId="36" fillId="6" borderId="29" xfId="1" applyFont="1" applyFill="1" applyBorder="1" applyAlignment="1">
      <alignment horizontal="center" vertical="center" wrapText="1" shrinkToFit="1"/>
    </xf>
    <xf numFmtId="0" fontId="36" fillId="6" borderId="27" xfId="1" applyFont="1" applyFill="1" applyBorder="1" applyAlignment="1">
      <alignment horizontal="center" vertical="center" wrapText="1" shrinkToFit="1"/>
    </xf>
    <xf numFmtId="0" fontId="36" fillId="6" borderId="57" xfId="1" applyFont="1" applyFill="1" applyBorder="1" applyAlignment="1">
      <alignment horizontal="center" vertical="center" wrapText="1" shrinkToFit="1"/>
    </xf>
    <xf numFmtId="0" fontId="36" fillId="6" borderId="58" xfId="1" applyFont="1" applyFill="1" applyBorder="1" applyAlignment="1">
      <alignment horizontal="center" vertical="center" wrapText="1" shrinkToFit="1"/>
    </xf>
    <xf numFmtId="0" fontId="36" fillId="6" borderId="4" xfId="1" applyFont="1" applyFill="1" applyBorder="1" applyAlignment="1">
      <alignment vertical="center" wrapText="1" shrinkToFit="1"/>
    </xf>
    <xf numFmtId="0" fontId="36" fillId="6" borderId="55" xfId="1" applyFont="1" applyFill="1" applyBorder="1" applyAlignment="1">
      <alignment vertical="center" wrapText="1" shrinkToFit="1"/>
    </xf>
    <xf numFmtId="0" fontId="36" fillId="6" borderId="56" xfId="1" applyFont="1" applyFill="1" applyBorder="1" applyAlignment="1">
      <alignment vertical="center" wrapText="1" shrinkToFit="1"/>
    </xf>
    <xf numFmtId="0" fontId="34" fillId="5" borderId="33" xfId="1" applyFont="1" applyFill="1" applyBorder="1" applyAlignment="1">
      <alignment horizontal="center" vertical="center"/>
    </xf>
    <xf numFmtId="0" fontId="34" fillId="5" borderId="34" xfId="1" applyFont="1" applyFill="1" applyBorder="1" applyAlignment="1">
      <alignment horizontal="center" vertical="center"/>
    </xf>
    <xf numFmtId="0" fontId="34" fillId="5" borderId="40" xfId="1" applyFont="1" applyFill="1" applyBorder="1" applyAlignment="1">
      <alignment horizontal="center" vertical="center"/>
    </xf>
    <xf numFmtId="0" fontId="34" fillId="5" borderId="0" xfId="1" applyFont="1" applyFill="1" applyAlignment="1">
      <alignment horizontal="center" vertical="center"/>
    </xf>
    <xf numFmtId="0" fontId="34" fillId="5" borderId="22" xfId="1" applyFont="1" applyFill="1" applyBorder="1" applyAlignment="1">
      <alignment horizontal="center" vertical="center" wrapText="1"/>
    </xf>
    <xf numFmtId="0" fontId="34" fillId="5" borderId="23" xfId="1" applyFont="1" applyFill="1" applyBorder="1" applyAlignment="1">
      <alignment horizontal="center" vertical="center" wrapText="1"/>
    </xf>
    <xf numFmtId="0" fontId="36" fillId="5" borderId="22" xfId="1" applyFont="1" applyFill="1" applyBorder="1" applyAlignment="1">
      <alignment horizontal="center" vertical="center" wrapText="1"/>
    </xf>
    <xf numFmtId="0" fontId="36" fillId="5" borderId="23" xfId="1" applyFont="1" applyFill="1" applyBorder="1" applyAlignment="1">
      <alignment horizontal="center" vertical="center" wrapText="1"/>
    </xf>
    <xf numFmtId="0" fontId="36" fillId="4" borderId="3" xfId="1" applyFont="1" applyFill="1" applyBorder="1" applyAlignment="1">
      <alignment horizontal="center" vertical="center" wrapText="1"/>
    </xf>
    <xf numFmtId="0" fontId="36" fillId="4" borderId="39" xfId="1" applyFont="1" applyFill="1" applyBorder="1" applyAlignment="1">
      <alignment horizontal="center" vertical="center"/>
    </xf>
    <xf numFmtId="0" fontId="36" fillId="4" borderId="48" xfId="1" applyFont="1" applyFill="1" applyBorder="1" applyAlignment="1">
      <alignment horizontal="center" vertical="center"/>
    </xf>
    <xf numFmtId="0" fontId="36" fillId="4" borderId="45" xfId="1" applyFont="1" applyFill="1" applyBorder="1" applyAlignment="1">
      <alignment horizontal="center" vertical="center"/>
    </xf>
    <xf numFmtId="0" fontId="36" fillId="4" borderId="33" xfId="1" applyFont="1" applyFill="1" applyBorder="1" applyAlignment="1">
      <alignment horizontal="center" vertical="center" wrapText="1" shrinkToFit="1"/>
    </xf>
    <xf numFmtId="0" fontId="36" fillId="4" borderId="35" xfId="1" applyFont="1" applyFill="1" applyBorder="1" applyAlignment="1">
      <alignment horizontal="center" vertical="center" shrinkToFit="1"/>
    </xf>
    <xf numFmtId="0" fontId="36" fillId="4" borderId="52" xfId="1" applyFont="1" applyFill="1" applyBorder="1" applyAlignment="1">
      <alignment horizontal="center" vertical="center" shrinkToFit="1"/>
    </xf>
    <xf numFmtId="0" fontId="36" fillId="4" borderId="53" xfId="1" applyFont="1" applyFill="1" applyBorder="1" applyAlignment="1">
      <alignment horizontal="center" vertical="center" shrinkToFit="1"/>
    </xf>
    <xf numFmtId="0" fontId="37" fillId="10" borderId="21" xfId="1" applyFont="1" applyFill="1" applyBorder="1" applyAlignment="1">
      <alignment horizontal="center" vertical="center" wrapText="1" shrinkToFit="1"/>
    </xf>
    <xf numFmtId="0" fontId="37" fillId="10" borderId="3" xfId="1" applyFont="1" applyFill="1" applyBorder="1" applyAlignment="1">
      <alignment horizontal="center" vertical="center" shrinkToFit="1"/>
    </xf>
    <xf numFmtId="0" fontId="37" fillId="10" borderId="54" xfId="1" applyFont="1" applyFill="1" applyBorder="1" applyAlignment="1">
      <alignment horizontal="center" vertical="center" shrinkToFit="1"/>
    </xf>
    <xf numFmtId="0" fontId="37" fillId="10" borderId="48" xfId="1" applyFont="1" applyFill="1" applyBorder="1" applyAlignment="1">
      <alignment horizontal="center" vertical="center" shrinkToFit="1"/>
    </xf>
    <xf numFmtId="0" fontId="36" fillId="3" borderId="22" xfId="1" applyFont="1" applyFill="1" applyBorder="1">
      <alignment vertical="center"/>
    </xf>
    <xf numFmtId="0" fontId="34" fillId="5" borderId="2" xfId="1" applyFont="1" applyFill="1" applyBorder="1" applyAlignment="1">
      <alignment horizontal="center" vertical="center" wrapText="1"/>
    </xf>
    <xf numFmtId="0" fontId="34" fillId="5" borderId="3" xfId="1" applyFont="1" applyFill="1" applyBorder="1" applyAlignment="1">
      <alignment horizontal="center" vertical="center"/>
    </xf>
    <xf numFmtId="0" fontId="34" fillId="5" borderId="44" xfId="1" applyFont="1" applyFill="1" applyBorder="1" applyAlignment="1">
      <alignment horizontal="center" vertical="center"/>
    </xf>
    <xf numFmtId="0" fontId="34" fillId="5" borderId="48" xfId="1" applyFont="1" applyFill="1" applyBorder="1" applyAlignment="1">
      <alignment horizontal="center" vertical="center"/>
    </xf>
    <xf numFmtId="0" fontId="34" fillId="5" borderId="38" xfId="1" applyFont="1" applyFill="1" applyBorder="1" applyAlignment="1">
      <alignment horizontal="center" vertical="center"/>
    </xf>
    <xf numFmtId="0" fontId="34" fillId="5" borderId="37" xfId="1" applyFont="1" applyFill="1" applyBorder="1" applyAlignment="1">
      <alignment horizontal="center" vertical="center"/>
    </xf>
    <xf numFmtId="0" fontId="34" fillId="5" borderId="49" xfId="1" applyFont="1" applyFill="1" applyBorder="1" applyAlignment="1">
      <alignment horizontal="center" vertical="center"/>
    </xf>
    <xf numFmtId="0" fontId="34" fillId="5" borderId="50" xfId="1" applyFont="1" applyFill="1" applyBorder="1" applyAlignment="1">
      <alignment horizontal="center" vertical="center"/>
    </xf>
    <xf numFmtId="0" fontId="34" fillId="5" borderId="4" xfId="1" applyFont="1" applyFill="1" applyBorder="1" applyAlignment="1">
      <alignment horizontal="center" vertical="center"/>
    </xf>
    <xf numFmtId="0" fontId="34" fillId="5" borderId="51" xfId="1" applyFont="1" applyFill="1" applyBorder="1" applyAlignment="1">
      <alignment horizontal="center" vertical="center"/>
    </xf>
    <xf numFmtId="0" fontId="34" fillId="9" borderId="33" xfId="1" applyFont="1" applyFill="1" applyBorder="1" applyAlignment="1">
      <alignment horizontal="center" vertical="center"/>
    </xf>
    <xf numFmtId="0" fontId="34" fillId="9" borderId="35" xfId="1" applyFont="1" applyFill="1" applyBorder="1" applyAlignment="1">
      <alignment horizontal="center" vertical="center"/>
    </xf>
    <xf numFmtId="0" fontId="34" fillId="9" borderId="52" xfId="1" applyFont="1" applyFill="1" applyBorder="1" applyAlignment="1">
      <alignment horizontal="center" vertical="center"/>
    </xf>
    <xf numFmtId="0" fontId="34" fillId="9" borderId="53" xfId="1" applyFont="1" applyFill="1" applyBorder="1" applyAlignment="1">
      <alignment horizontal="center" vertical="center"/>
    </xf>
    <xf numFmtId="0" fontId="36" fillId="6" borderId="34" xfId="1" applyFont="1" applyFill="1" applyBorder="1" applyAlignment="1">
      <alignment horizontal="center" vertical="center" wrapText="1"/>
    </xf>
    <xf numFmtId="0" fontId="36" fillId="6" borderId="35" xfId="1" applyFont="1" applyFill="1" applyBorder="1" applyAlignment="1">
      <alignment horizontal="center" vertical="center" wrapText="1"/>
    </xf>
    <xf numFmtId="0" fontId="36" fillId="2" borderId="33" xfId="1" applyFont="1" applyFill="1" applyBorder="1" applyAlignment="1">
      <alignment horizontal="center" vertical="center" wrapText="1" shrinkToFit="1"/>
    </xf>
    <xf numFmtId="0" fontId="36" fillId="2" borderId="37" xfId="1" applyFont="1" applyFill="1" applyBorder="1" applyAlignment="1">
      <alignment horizontal="center" vertical="center" wrapText="1" shrinkToFit="1"/>
    </xf>
    <xf numFmtId="0" fontId="36" fillId="2" borderId="40" xfId="1" applyFont="1" applyFill="1" applyBorder="1" applyAlignment="1">
      <alignment horizontal="center" vertical="center" wrapText="1" shrinkToFit="1"/>
    </xf>
    <xf numFmtId="0" fontId="36" fillId="2" borderId="42" xfId="1" applyFont="1" applyFill="1" applyBorder="1" applyAlignment="1">
      <alignment horizontal="center" vertical="center" wrapText="1" shrinkToFit="1"/>
    </xf>
    <xf numFmtId="0" fontId="36" fillId="2" borderId="52" xfId="1" applyFont="1" applyFill="1" applyBorder="1" applyAlignment="1">
      <alignment horizontal="center" vertical="center" wrapText="1" shrinkToFit="1"/>
    </xf>
    <xf numFmtId="0" fontId="36" fillId="2" borderId="50" xfId="1" applyFont="1" applyFill="1" applyBorder="1" applyAlignment="1">
      <alignment horizontal="center" vertical="center" wrapText="1" shrinkToFit="1"/>
    </xf>
    <xf numFmtId="0" fontId="36" fillId="2" borderId="38" xfId="1" applyFont="1" applyFill="1" applyBorder="1" applyAlignment="1">
      <alignment horizontal="center" vertical="center" wrapText="1" shrinkToFit="1"/>
    </xf>
    <xf numFmtId="0" fontId="36" fillId="2" borderId="35" xfId="1" applyFont="1" applyFill="1" applyBorder="1" applyAlignment="1">
      <alignment horizontal="center" vertical="center" wrapText="1" shrinkToFit="1"/>
    </xf>
    <xf numFmtId="0" fontId="36" fillId="2" borderId="43" xfId="1" applyFont="1" applyFill="1" applyBorder="1" applyAlignment="1">
      <alignment horizontal="center" vertical="center" wrapText="1" shrinkToFit="1"/>
    </xf>
    <xf numFmtId="0" fontId="36" fillId="2" borderId="41" xfId="1" applyFont="1" applyFill="1" applyBorder="1" applyAlignment="1">
      <alignment horizontal="center" vertical="center" wrapText="1" shrinkToFit="1"/>
    </xf>
    <xf numFmtId="0" fontId="36" fillId="2" borderId="49" xfId="1" applyFont="1" applyFill="1" applyBorder="1" applyAlignment="1">
      <alignment horizontal="center" vertical="center" wrapText="1" shrinkToFit="1"/>
    </xf>
    <xf numFmtId="0" fontId="36" fillId="2" borderId="53" xfId="1" applyFont="1" applyFill="1" applyBorder="1" applyAlignment="1">
      <alignment horizontal="center" vertical="center" wrapText="1" shrinkToFit="1"/>
    </xf>
    <xf numFmtId="0" fontId="36" fillId="2" borderId="33" xfId="1" applyFont="1" applyFill="1" applyBorder="1" applyAlignment="1">
      <alignment horizontal="center" vertical="center" wrapText="1"/>
    </xf>
    <xf numFmtId="0" fontId="36" fillId="2" borderId="35" xfId="1" applyFont="1" applyFill="1" applyBorder="1" applyAlignment="1">
      <alignment horizontal="center" vertical="center" wrapText="1"/>
    </xf>
    <xf numFmtId="0" fontId="36" fillId="2" borderId="40" xfId="1" applyFont="1" applyFill="1" applyBorder="1" applyAlignment="1">
      <alignment horizontal="center" vertical="center" wrapText="1"/>
    </xf>
    <xf numFmtId="0" fontId="36" fillId="2" borderId="41" xfId="1" applyFont="1" applyFill="1" applyBorder="1" applyAlignment="1">
      <alignment horizontal="center" vertical="center" wrapText="1"/>
    </xf>
    <xf numFmtId="0" fontId="36" fillId="2" borderId="52" xfId="1" applyFont="1" applyFill="1" applyBorder="1" applyAlignment="1">
      <alignment horizontal="center" vertical="center" wrapText="1"/>
    </xf>
    <xf numFmtId="0" fontId="36" fillId="2" borderId="53" xfId="1" applyFont="1" applyFill="1" applyBorder="1" applyAlignment="1">
      <alignment horizontal="center" vertical="center" wrapText="1"/>
    </xf>
    <xf numFmtId="0" fontId="36" fillId="8" borderId="33" xfId="1" applyFont="1" applyFill="1" applyBorder="1">
      <alignment vertical="center"/>
    </xf>
    <xf numFmtId="0" fontId="36" fillId="8" borderId="34" xfId="1" applyFont="1" applyFill="1" applyBorder="1">
      <alignment vertical="center"/>
    </xf>
    <xf numFmtId="0" fontId="36" fillId="8" borderId="35" xfId="1" applyFont="1" applyFill="1" applyBorder="1">
      <alignment vertical="center"/>
    </xf>
    <xf numFmtId="0" fontId="37" fillId="10" borderId="3" xfId="1" applyFont="1" applyFill="1" applyBorder="1" applyAlignment="1">
      <alignment horizontal="center" vertical="center" wrapText="1" shrinkToFit="1"/>
    </xf>
    <xf numFmtId="0" fontId="36" fillId="4" borderId="38" xfId="1" applyFont="1" applyFill="1" applyBorder="1" applyAlignment="1">
      <alignment horizontal="center" vertical="center" wrapText="1"/>
    </xf>
    <xf numFmtId="0" fontId="36" fillId="4" borderId="37" xfId="1" applyFont="1" applyFill="1" applyBorder="1" applyAlignment="1">
      <alignment horizontal="center" vertical="center" wrapText="1"/>
    </xf>
    <xf numFmtId="0" fontId="36" fillId="4" borderId="49" xfId="1" applyFont="1" applyFill="1" applyBorder="1" applyAlignment="1">
      <alignment horizontal="center" vertical="center" wrapText="1"/>
    </xf>
    <xf numFmtId="0" fontId="36" fillId="4" borderId="50" xfId="1" applyFont="1" applyFill="1" applyBorder="1" applyAlignment="1">
      <alignment horizontal="center" vertical="center" wrapText="1"/>
    </xf>
    <xf numFmtId="0" fontId="40" fillId="4" borderId="2" xfId="1" applyFont="1" applyFill="1" applyBorder="1" applyAlignment="1">
      <alignment horizontal="center" vertical="center" wrapText="1" shrinkToFit="1"/>
    </xf>
    <xf numFmtId="0" fontId="40" fillId="4" borderId="4" xfId="1" applyFont="1" applyFill="1" applyBorder="1" applyAlignment="1">
      <alignment horizontal="center" vertical="center" wrapText="1" shrinkToFit="1"/>
    </xf>
    <xf numFmtId="0" fontId="40" fillId="4" borderId="44" xfId="1" applyFont="1" applyFill="1" applyBorder="1" applyAlignment="1">
      <alignment horizontal="center" vertical="center" wrapText="1" shrinkToFit="1"/>
    </xf>
    <xf numFmtId="0" fontId="40" fillId="4" borderId="51" xfId="1" applyFont="1" applyFill="1" applyBorder="1" applyAlignment="1">
      <alignment horizontal="center" vertical="center" wrapText="1" shrinkToFit="1"/>
    </xf>
    <xf numFmtId="0" fontId="36" fillId="10" borderId="30" xfId="1" applyFont="1" applyFill="1" applyBorder="1" applyAlignment="1">
      <alignment horizontal="center" vertical="center" shrinkToFit="1"/>
    </xf>
    <xf numFmtId="0" fontId="36" fillId="10" borderId="31" xfId="1" applyFont="1" applyFill="1" applyBorder="1" applyAlignment="1">
      <alignment horizontal="center" vertical="center" shrinkToFit="1"/>
    </xf>
    <xf numFmtId="0" fontId="36" fillId="10" borderId="32" xfId="1" applyFont="1" applyFill="1" applyBorder="1" applyAlignment="1">
      <alignment horizontal="center" vertical="center" shrinkToFit="1"/>
    </xf>
    <xf numFmtId="0" fontId="37" fillId="5" borderId="33" xfId="1" applyFont="1" applyFill="1" applyBorder="1" applyAlignment="1">
      <alignment horizontal="center" vertical="center" wrapText="1" shrinkToFit="1"/>
    </xf>
    <xf numFmtId="0" fontId="37" fillId="5" borderId="35" xfId="1" applyFont="1" applyFill="1" applyBorder="1" applyAlignment="1">
      <alignment horizontal="center" vertical="center" shrinkToFit="1"/>
    </xf>
    <xf numFmtId="0" fontId="37" fillId="5" borderId="52" xfId="1" applyFont="1" applyFill="1" applyBorder="1" applyAlignment="1">
      <alignment horizontal="center" vertical="center" shrinkToFit="1"/>
    </xf>
    <xf numFmtId="0" fontId="37" fillId="5" borderId="53" xfId="1" applyFont="1" applyFill="1" applyBorder="1" applyAlignment="1">
      <alignment horizontal="center" vertical="center" shrinkToFit="1"/>
    </xf>
    <xf numFmtId="179" fontId="14" fillId="3" borderId="14" xfId="2" applyNumberFormat="1" applyFont="1" applyFill="1" applyBorder="1" applyAlignment="1">
      <alignment horizontal="center" vertical="center" shrinkToFit="1"/>
    </xf>
    <xf numFmtId="179" fontId="14" fillId="3" borderId="12" xfId="2" applyNumberFormat="1" applyFont="1" applyFill="1" applyBorder="1" applyAlignment="1">
      <alignment horizontal="center" vertical="center" shrinkToFit="1"/>
    </xf>
    <xf numFmtId="179" fontId="14" fillId="3" borderId="13" xfId="2" applyNumberFormat="1" applyFont="1" applyFill="1" applyBorder="1" applyAlignment="1">
      <alignment horizontal="center" vertical="center" shrinkToFit="1"/>
    </xf>
    <xf numFmtId="179" fontId="14" fillId="0" borderId="34" xfId="2" applyNumberFormat="1" applyFont="1" applyBorder="1" applyAlignment="1">
      <alignment horizontal="right" vertical="center" shrinkToFit="1"/>
    </xf>
    <xf numFmtId="179" fontId="14" fillId="0" borderId="35" xfId="2" applyNumberFormat="1" applyFont="1" applyBorder="1" applyAlignment="1">
      <alignment horizontal="right" vertical="center" shrinkToFit="1"/>
    </xf>
    <xf numFmtId="179" fontId="14" fillId="14" borderId="30" xfId="2" applyNumberFormat="1" applyFont="1" applyFill="1" applyBorder="1" applyAlignment="1">
      <alignment vertical="center" shrinkToFit="1"/>
    </xf>
    <xf numFmtId="179" fontId="14" fillId="14" borderId="32" xfId="2" applyNumberFormat="1" applyFont="1" applyFill="1" applyBorder="1" applyAlignment="1">
      <alignment vertical="center" shrinkToFit="1"/>
    </xf>
    <xf numFmtId="179" fontId="14" fillId="14" borderId="14" xfId="2" applyNumberFormat="1" applyFont="1" applyFill="1" applyBorder="1" applyAlignment="1">
      <alignment vertical="center" shrinkToFit="1"/>
    </xf>
    <xf numFmtId="179" fontId="14" fillId="14" borderId="93" xfId="2" applyNumberFormat="1" applyFont="1" applyFill="1" applyBorder="1" applyAlignment="1">
      <alignment vertical="center" shrinkToFit="1"/>
    </xf>
    <xf numFmtId="179" fontId="14" fillId="14" borderId="12" xfId="2" applyNumberFormat="1" applyFont="1" applyFill="1" applyBorder="1" applyAlignment="1">
      <alignment horizontal="center" vertical="center" shrinkToFit="1"/>
    </xf>
    <xf numFmtId="179" fontId="14" fillId="14" borderId="13" xfId="2" applyNumberFormat="1" applyFont="1" applyFill="1" applyBorder="1" applyAlignment="1">
      <alignment horizontal="center" vertical="center" shrinkToFit="1"/>
    </xf>
    <xf numFmtId="38" fontId="14" fillId="3" borderId="93" xfId="2" applyFont="1" applyFill="1" applyBorder="1" applyAlignment="1">
      <alignment horizontal="center" vertical="center" shrinkToFit="1"/>
    </xf>
    <xf numFmtId="38" fontId="14" fillId="3" borderId="31" xfId="2" applyFont="1" applyFill="1" applyBorder="1" applyAlignment="1">
      <alignment horizontal="center" vertical="center" shrinkToFit="1"/>
    </xf>
    <xf numFmtId="38" fontId="14" fillId="3" borderId="32" xfId="2" applyFont="1" applyFill="1" applyBorder="1" applyAlignment="1">
      <alignment horizontal="center" vertical="center" shrinkToFit="1"/>
    </xf>
    <xf numFmtId="179" fontId="14" fillId="14" borderId="30" xfId="2" applyNumberFormat="1" applyFont="1" applyFill="1" applyBorder="1" applyAlignment="1">
      <alignment horizontal="right" vertical="center" shrinkToFit="1"/>
    </xf>
    <xf numFmtId="179" fontId="14" fillId="14" borderId="32" xfId="2" applyNumberFormat="1" applyFont="1" applyFill="1" applyBorder="1" applyAlignment="1">
      <alignment horizontal="right" vertical="center" shrinkToFit="1"/>
    </xf>
    <xf numFmtId="179" fontId="14" fillId="14" borderId="13" xfId="2" applyNumberFormat="1" applyFont="1" applyFill="1" applyBorder="1" applyAlignment="1">
      <alignment vertical="center" shrinkToFit="1"/>
    </xf>
    <xf numFmtId="180" fontId="14" fillId="3" borderId="31" xfId="2" applyNumberFormat="1" applyFont="1" applyFill="1" applyBorder="1" applyAlignment="1">
      <alignment horizontal="center" vertical="center" shrinkToFit="1"/>
    </xf>
    <xf numFmtId="180" fontId="14" fillId="3" borderId="32" xfId="2" applyNumberFormat="1" applyFont="1" applyFill="1" applyBorder="1" applyAlignment="1">
      <alignment horizontal="center" vertical="center" shrinkToFit="1"/>
    </xf>
    <xf numFmtId="179" fontId="14" fillId="3" borderId="93" xfId="2" applyNumberFormat="1" applyFont="1" applyFill="1" applyBorder="1" applyAlignment="1">
      <alignment horizontal="center" vertical="center"/>
    </xf>
    <xf numFmtId="179" fontId="14" fillId="3" borderId="32" xfId="2" applyNumberFormat="1" applyFont="1" applyFill="1" applyBorder="1" applyAlignment="1">
      <alignment horizontal="center" vertical="center"/>
    </xf>
    <xf numFmtId="179" fontId="14" fillId="3" borderId="30" xfId="2" applyNumberFormat="1" applyFont="1" applyFill="1" applyBorder="1" applyAlignment="1">
      <alignment horizontal="center" vertical="center"/>
    </xf>
    <xf numFmtId="179" fontId="14" fillId="14" borderId="14" xfId="2" applyNumberFormat="1" applyFont="1" applyFill="1" applyBorder="1" applyAlignment="1">
      <alignment horizontal="right" vertical="center" shrinkToFit="1"/>
    </xf>
    <xf numFmtId="179" fontId="14" fillId="14" borderId="93" xfId="2" applyNumberFormat="1" applyFont="1" applyFill="1" applyBorder="1" applyAlignment="1">
      <alignment horizontal="right" vertical="center" shrinkToFit="1"/>
    </xf>
    <xf numFmtId="38" fontId="14" fillId="3" borderId="48" xfId="1" applyNumberFormat="1" applyFont="1" applyFill="1" applyBorder="1" applyAlignment="1">
      <alignment vertical="center" shrinkToFit="1"/>
    </xf>
    <xf numFmtId="38" fontId="14" fillId="3" borderId="51" xfId="1" applyNumberFormat="1" applyFont="1" applyFill="1" applyBorder="1" applyAlignment="1">
      <alignment vertical="center" shrinkToFit="1"/>
    </xf>
    <xf numFmtId="0" fontId="14" fillId="3" borderId="31" xfId="1" applyFont="1" applyFill="1" applyBorder="1" applyAlignment="1">
      <alignment horizontal="center" vertical="center"/>
    </xf>
    <xf numFmtId="0" fontId="14" fillId="3" borderId="32" xfId="1" applyFont="1" applyFill="1" applyBorder="1" applyAlignment="1">
      <alignment horizontal="center" vertical="center"/>
    </xf>
    <xf numFmtId="179" fontId="14" fillId="3" borderId="11" xfId="2" applyNumberFormat="1" applyFont="1" applyFill="1" applyBorder="1" applyAlignment="1">
      <alignment vertical="center" shrinkToFit="1"/>
    </xf>
    <xf numFmtId="179" fontId="14" fillId="3" borderId="12" xfId="2" applyNumberFormat="1" applyFont="1" applyFill="1" applyBorder="1" applyAlignment="1">
      <alignment vertical="center" shrinkToFit="1"/>
    </xf>
    <xf numFmtId="179" fontId="14" fillId="3" borderId="93" xfId="2" applyNumberFormat="1" applyFont="1" applyFill="1" applyBorder="1" applyAlignment="1">
      <alignment vertical="center" shrinkToFit="1"/>
    </xf>
    <xf numFmtId="179" fontId="14" fillId="3" borderId="14" xfId="2" applyNumberFormat="1" applyFont="1" applyFill="1" applyBorder="1" applyAlignment="1">
      <alignment vertical="center" shrinkToFit="1"/>
    </xf>
    <xf numFmtId="179" fontId="14" fillId="3" borderId="13" xfId="2" applyNumberFormat="1" applyFont="1" applyFill="1" applyBorder="1" applyAlignment="1">
      <alignment vertical="center" shrinkToFit="1"/>
    </xf>
    <xf numFmtId="179" fontId="14" fillId="9" borderId="30" xfId="2" applyNumberFormat="1" applyFont="1" applyFill="1" applyBorder="1" applyAlignment="1">
      <alignment vertical="center" shrinkToFit="1"/>
    </xf>
    <xf numFmtId="179" fontId="14" fillId="9" borderId="32" xfId="2" applyNumberFormat="1" applyFont="1" applyFill="1" applyBorder="1" applyAlignment="1">
      <alignment vertical="center" shrinkToFit="1"/>
    </xf>
    <xf numFmtId="38" fontId="14" fillId="3" borderId="30" xfId="2" applyFont="1" applyFill="1" applyBorder="1" applyAlignment="1">
      <alignment horizontal="center" vertical="center"/>
    </xf>
    <xf numFmtId="38" fontId="14" fillId="3" borderId="31" xfId="2" applyFont="1" applyFill="1" applyBorder="1" applyAlignment="1">
      <alignment horizontal="center" vertical="center"/>
    </xf>
    <xf numFmtId="38" fontId="14" fillId="3" borderId="1" xfId="2" applyFont="1" applyFill="1" applyBorder="1" applyAlignment="1">
      <alignment horizontal="center" vertical="center"/>
    </xf>
    <xf numFmtId="0" fontId="14" fillId="3" borderId="30" xfId="1" applyFont="1" applyFill="1" applyBorder="1">
      <alignment vertical="center"/>
    </xf>
    <xf numFmtId="0" fontId="14" fillId="3" borderId="32" xfId="1" applyFont="1" applyFill="1" applyBorder="1">
      <alignment vertical="center"/>
    </xf>
    <xf numFmtId="179" fontId="14" fillId="3" borderId="70" xfId="2" applyNumberFormat="1" applyFont="1" applyFill="1" applyBorder="1" applyAlignment="1">
      <alignment horizontal="right" vertical="center" shrinkToFit="1"/>
    </xf>
    <xf numFmtId="179" fontId="14" fillId="3" borderId="17" xfId="2" applyNumberFormat="1" applyFont="1" applyFill="1" applyBorder="1" applyAlignment="1">
      <alignment horizontal="right" vertical="center" shrinkToFit="1"/>
    </xf>
    <xf numFmtId="179" fontId="14" fillId="0" borderId="48" xfId="2" applyNumberFormat="1" applyFont="1" applyBorder="1" applyAlignment="1">
      <alignment vertical="center" shrinkToFit="1"/>
    </xf>
    <xf numFmtId="179" fontId="14" fillId="0" borderId="51" xfId="2" applyNumberFormat="1" applyFont="1" applyBorder="1" applyAlignment="1">
      <alignment vertical="center" shrinkToFit="1"/>
    </xf>
    <xf numFmtId="179" fontId="14" fillId="10" borderId="68" xfId="2" applyNumberFormat="1" applyFont="1" applyFill="1" applyBorder="1" applyAlignment="1">
      <alignment horizontal="right" vertical="center" shrinkToFit="1"/>
    </xf>
    <xf numFmtId="179" fontId="14" fillId="10" borderId="47" xfId="2" applyNumberFormat="1" applyFont="1" applyFill="1" applyBorder="1" applyAlignment="1">
      <alignment horizontal="right" vertical="center" shrinkToFit="1"/>
    </xf>
    <xf numFmtId="179" fontId="14" fillId="3" borderId="68" xfId="2" applyNumberFormat="1" applyFont="1" applyFill="1" applyBorder="1" applyAlignment="1">
      <alignment horizontal="right" vertical="center" shrinkToFit="1"/>
    </xf>
    <xf numFmtId="179" fontId="14" fillId="3" borderId="47" xfId="2" applyNumberFormat="1" applyFont="1" applyFill="1" applyBorder="1" applyAlignment="1">
      <alignment horizontal="right" vertical="center" shrinkToFit="1"/>
    </xf>
    <xf numFmtId="179" fontId="14" fillId="3" borderId="54" xfId="2" applyNumberFormat="1" applyFont="1" applyFill="1" applyBorder="1" applyAlignment="1">
      <alignment horizontal="right" vertical="center" shrinkToFit="1"/>
    </xf>
    <xf numFmtId="179" fontId="14" fillId="3" borderId="48" xfId="2" applyNumberFormat="1" applyFont="1" applyFill="1" applyBorder="1" applyAlignment="1">
      <alignment horizontal="right" vertical="center" shrinkToFit="1"/>
    </xf>
    <xf numFmtId="38" fontId="14" fillId="3" borderId="124" xfId="2" applyFont="1" applyFill="1" applyBorder="1" applyAlignment="1">
      <alignment vertical="center"/>
    </xf>
    <xf numFmtId="180" fontId="14" fillId="3" borderId="68" xfId="2" applyNumberFormat="1" applyFont="1" applyFill="1" applyBorder="1" applyAlignment="1">
      <alignment vertical="center" shrinkToFit="1"/>
    </xf>
    <xf numFmtId="180" fontId="14" fillId="3" borderId="47" xfId="2" applyNumberFormat="1" applyFont="1" applyFill="1" applyBorder="1" applyAlignment="1">
      <alignment vertical="center" shrinkToFit="1"/>
    </xf>
    <xf numFmtId="179" fontId="14" fillId="0" borderId="45" xfId="2" applyNumberFormat="1" applyFont="1" applyBorder="1" applyAlignment="1">
      <alignment vertical="center"/>
    </xf>
    <xf numFmtId="179" fontId="14" fillId="0" borderId="47" xfId="2" applyNumberFormat="1" applyFont="1" applyBorder="1" applyAlignment="1">
      <alignment vertical="center"/>
    </xf>
    <xf numFmtId="179" fontId="14" fillId="10" borderId="45" xfId="2" applyNumberFormat="1" applyFont="1" applyFill="1" applyBorder="1" applyAlignment="1">
      <alignment horizontal="right" vertical="center" shrinkToFit="1"/>
    </xf>
    <xf numFmtId="179" fontId="14" fillId="10" borderId="54" xfId="2" applyNumberFormat="1" applyFont="1" applyFill="1" applyBorder="1" applyAlignment="1">
      <alignment horizontal="right" vertical="center" shrinkToFit="1"/>
    </xf>
    <xf numFmtId="38" fontId="14" fillId="3" borderId="6" xfId="1" applyNumberFormat="1" applyFont="1" applyFill="1" applyBorder="1" applyAlignment="1">
      <alignment vertical="center" shrinkToFit="1"/>
    </xf>
    <xf numFmtId="38" fontId="14" fillId="3" borderId="7" xfId="1" applyNumberFormat="1" applyFont="1" applyFill="1" applyBorder="1" applyAlignment="1">
      <alignment vertical="center" shrinkToFit="1"/>
    </xf>
    <xf numFmtId="0" fontId="14" fillId="3" borderId="124" xfId="1" applyFont="1" applyFill="1" applyBorder="1">
      <alignment vertical="center"/>
    </xf>
    <xf numFmtId="49" fontId="14" fillId="3" borderId="124" xfId="1" applyNumberFormat="1" applyFont="1" applyFill="1" applyBorder="1" applyAlignment="1">
      <alignment vertical="center" shrinkToFit="1"/>
    </xf>
    <xf numFmtId="179" fontId="14" fillId="3" borderId="68" xfId="2" applyNumberFormat="1" applyFont="1" applyFill="1" applyBorder="1" applyAlignment="1">
      <alignment vertical="center"/>
    </xf>
    <xf numFmtId="179" fontId="14" fillId="3" borderId="54" xfId="2" applyNumberFormat="1" applyFont="1" applyFill="1" applyBorder="1" applyAlignment="1">
      <alignment vertical="center"/>
    </xf>
    <xf numFmtId="179" fontId="14" fillId="3" borderId="45" xfId="2" applyNumberFormat="1" applyFont="1" applyFill="1" applyBorder="1" applyAlignment="1">
      <alignment vertical="center" shrinkToFit="1"/>
    </xf>
    <xf numFmtId="179" fontId="14" fillId="3" borderId="54" xfId="2" applyNumberFormat="1" applyFont="1" applyFill="1" applyBorder="1" applyAlignment="1">
      <alignment vertical="center" shrinkToFit="1"/>
    </xf>
    <xf numFmtId="179" fontId="14" fillId="3" borderId="45" xfId="2" applyNumberFormat="1" applyFont="1" applyFill="1" applyBorder="1" applyAlignment="1">
      <alignment vertical="center"/>
    </xf>
    <xf numFmtId="179" fontId="14" fillId="3" borderId="47" xfId="2" applyNumberFormat="1" applyFont="1" applyFill="1" applyBorder="1" applyAlignment="1">
      <alignment vertical="center"/>
    </xf>
    <xf numFmtId="179" fontId="14" fillId="9" borderId="69" xfId="2" applyNumberFormat="1" applyFont="1" applyFill="1" applyBorder="1" applyAlignment="1">
      <alignment vertical="center" shrinkToFit="1"/>
    </xf>
    <xf numFmtId="179" fontId="14" fillId="9" borderId="71" xfId="2" applyNumberFormat="1" applyFont="1" applyFill="1" applyBorder="1" applyAlignment="1">
      <alignment vertical="center" shrinkToFit="1"/>
    </xf>
    <xf numFmtId="38" fontId="14" fillId="3" borderId="68" xfId="2" applyFont="1" applyFill="1" applyBorder="1" applyAlignment="1">
      <alignment vertical="center"/>
    </xf>
    <xf numFmtId="38" fontId="14" fillId="3" borderId="46" xfId="2" applyFont="1" applyFill="1" applyBorder="1" applyAlignment="1">
      <alignment vertical="center"/>
    </xf>
    <xf numFmtId="38" fontId="14" fillId="3" borderId="124" xfId="2" applyFont="1" applyFill="1" applyBorder="1" applyAlignment="1">
      <alignment horizontal="center" vertical="center"/>
    </xf>
    <xf numFmtId="179" fontId="14" fillId="3" borderId="66" xfId="2" applyNumberFormat="1" applyFont="1" applyFill="1" applyBorder="1" applyAlignment="1">
      <alignment horizontal="right" vertical="center" shrinkToFit="1"/>
    </xf>
    <xf numFmtId="179" fontId="14" fillId="3" borderId="16" xfId="2" applyNumberFormat="1" applyFont="1" applyFill="1" applyBorder="1" applyAlignment="1">
      <alignment horizontal="right" vertical="center" shrinkToFit="1"/>
    </xf>
    <xf numFmtId="179" fontId="14" fillId="3" borderId="6" xfId="2" applyNumberFormat="1" applyFont="1" applyFill="1" applyBorder="1" applyAlignment="1">
      <alignment vertical="center" shrinkToFit="1"/>
    </xf>
    <xf numFmtId="179" fontId="14" fillId="3" borderId="7" xfId="2" applyNumberFormat="1" applyFont="1" applyFill="1" applyBorder="1" applyAlignment="1">
      <alignment vertical="center" shrinkToFit="1"/>
    </xf>
    <xf numFmtId="179" fontId="14" fillId="10" borderId="61" xfId="2" applyNumberFormat="1" applyFont="1" applyFill="1" applyBorder="1" applyAlignment="1">
      <alignment horizontal="right" vertical="center" shrinkToFit="1"/>
    </xf>
    <xf numFmtId="179" fontId="14" fillId="10" borderId="62" xfId="2" applyNumberFormat="1" applyFont="1" applyFill="1" applyBorder="1" applyAlignment="1">
      <alignment horizontal="right" vertical="center" shrinkToFit="1"/>
    </xf>
    <xf numFmtId="179" fontId="14" fillId="3" borderId="61" xfId="2" applyNumberFormat="1" applyFont="1" applyFill="1" applyBorder="1" applyAlignment="1">
      <alignment horizontal="right" vertical="center" shrinkToFit="1"/>
    </xf>
    <xf numFmtId="179" fontId="14" fillId="3" borderId="62" xfId="2" applyNumberFormat="1" applyFont="1" applyFill="1" applyBorder="1" applyAlignment="1">
      <alignment horizontal="right" vertical="center" shrinkToFit="1"/>
    </xf>
    <xf numFmtId="179" fontId="14" fillId="3" borderId="6" xfId="2" applyNumberFormat="1" applyFont="1" applyFill="1" applyBorder="1" applyAlignment="1">
      <alignment horizontal="right" vertical="center" shrinkToFit="1"/>
    </xf>
    <xf numFmtId="38" fontId="14" fillId="3" borderId="18" xfId="2" applyFont="1" applyFill="1" applyBorder="1" applyAlignment="1">
      <alignment vertical="center"/>
    </xf>
    <xf numFmtId="180" fontId="14" fillId="3" borderId="61" xfId="2" applyNumberFormat="1" applyFont="1" applyFill="1" applyBorder="1" applyAlignment="1">
      <alignment vertical="center" shrinkToFit="1"/>
    </xf>
    <xf numFmtId="180" fontId="14" fillId="3" borderId="62" xfId="2" applyNumberFormat="1" applyFont="1" applyFill="1" applyBorder="1" applyAlignment="1">
      <alignment vertical="center" shrinkToFit="1"/>
    </xf>
    <xf numFmtId="179" fontId="14" fillId="0" borderId="66" xfId="2" applyNumberFormat="1" applyFont="1" applyBorder="1" applyAlignment="1">
      <alignment vertical="center"/>
    </xf>
    <xf numFmtId="179" fontId="14" fillId="0" borderId="62" xfId="2" applyNumberFormat="1" applyFont="1" applyBorder="1" applyAlignment="1">
      <alignment vertical="center"/>
    </xf>
    <xf numFmtId="179" fontId="14" fillId="10" borderId="66" xfId="2" applyNumberFormat="1" applyFont="1" applyFill="1" applyBorder="1" applyAlignment="1">
      <alignment horizontal="right" vertical="center" shrinkToFit="1"/>
    </xf>
    <xf numFmtId="179" fontId="14" fillId="10" borderId="16" xfId="2" applyNumberFormat="1" applyFont="1" applyFill="1" applyBorder="1" applyAlignment="1">
      <alignment horizontal="right" vertical="center" shrinkToFit="1"/>
    </xf>
    <xf numFmtId="0" fontId="14" fillId="3" borderId="18" xfId="1" applyFont="1" applyFill="1" applyBorder="1">
      <alignment vertical="center"/>
    </xf>
    <xf numFmtId="49" fontId="14" fillId="3" borderId="18" xfId="1" applyNumberFormat="1" applyFont="1" applyFill="1" applyBorder="1" applyAlignment="1">
      <alignment vertical="center" shrinkToFit="1"/>
    </xf>
    <xf numFmtId="179" fontId="14" fillId="3" borderId="61" xfId="2" applyNumberFormat="1" applyFont="1" applyFill="1" applyBorder="1" applyAlignment="1">
      <alignment vertical="center"/>
    </xf>
    <xf numFmtId="179" fontId="14" fillId="3" borderId="16" xfId="2" applyNumberFormat="1" applyFont="1" applyFill="1" applyBorder="1" applyAlignment="1">
      <alignment vertical="center"/>
    </xf>
    <xf numFmtId="179" fontId="14" fillId="3" borderId="66" xfId="2" applyNumberFormat="1" applyFont="1" applyFill="1" applyBorder="1" applyAlignment="1">
      <alignment vertical="center" shrinkToFit="1"/>
    </xf>
    <xf numFmtId="179" fontId="14" fillId="3" borderId="16" xfId="2" applyNumberFormat="1" applyFont="1" applyFill="1" applyBorder="1" applyAlignment="1">
      <alignment vertical="center" shrinkToFit="1"/>
    </xf>
    <xf numFmtId="179" fontId="14" fillId="3" borderId="66" xfId="2" applyNumberFormat="1" applyFont="1" applyFill="1" applyBorder="1" applyAlignment="1">
      <alignment vertical="center"/>
    </xf>
    <xf numFmtId="179" fontId="14" fillId="3" borderId="62" xfId="2" applyNumberFormat="1" applyFont="1" applyFill="1" applyBorder="1" applyAlignment="1">
      <alignment vertical="center"/>
    </xf>
    <xf numFmtId="179" fontId="14" fillId="9" borderId="61" xfId="2" applyNumberFormat="1" applyFont="1" applyFill="1" applyBorder="1" applyAlignment="1">
      <alignment vertical="center" shrinkToFit="1"/>
    </xf>
    <xf numFmtId="179" fontId="14" fillId="9" borderId="62" xfId="2" applyNumberFormat="1" applyFont="1" applyFill="1" applyBorder="1" applyAlignment="1">
      <alignment vertical="center" shrinkToFit="1"/>
    </xf>
    <xf numFmtId="38" fontId="14" fillId="3" borderId="61" xfId="2" applyFont="1" applyFill="1" applyBorder="1" applyAlignment="1">
      <alignment vertical="center"/>
    </xf>
    <xf numFmtId="38" fontId="14" fillId="3" borderId="67" xfId="2" applyFont="1" applyFill="1" applyBorder="1" applyAlignment="1">
      <alignment vertical="center"/>
    </xf>
    <xf numFmtId="38" fontId="14" fillId="3" borderId="18" xfId="2" applyFont="1" applyFill="1" applyBorder="1" applyAlignment="1">
      <alignment horizontal="center" vertical="center"/>
    </xf>
    <xf numFmtId="179" fontId="14" fillId="0" borderId="6" xfId="2" applyNumberFormat="1" applyFont="1" applyBorder="1" applyAlignment="1">
      <alignment vertical="center" shrinkToFit="1"/>
    </xf>
    <xf numFmtId="179" fontId="14" fillId="0" borderId="7" xfId="2" applyNumberFormat="1" applyFont="1" applyBorder="1" applyAlignment="1">
      <alignment vertical="center" shrinkToFit="1"/>
    </xf>
    <xf numFmtId="179" fontId="14" fillId="10" borderId="6" xfId="2" applyNumberFormat="1" applyFont="1" applyFill="1" applyBorder="1" applyAlignment="1">
      <alignment vertical="center" shrinkToFit="1"/>
    </xf>
    <xf numFmtId="179" fontId="14" fillId="10" borderId="7" xfId="2" applyNumberFormat="1" applyFont="1" applyFill="1" applyBorder="1" applyAlignment="1">
      <alignment vertical="center" shrinkToFit="1"/>
    </xf>
    <xf numFmtId="179" fontId="14" fillId="10" borderId="6" xfId="2" applyNumberFormat="1" applyFont="1" applyFill="1" applyBorder="1" applyAlignment="1">
      <alignment horizontal="right" vertical="center" shrinkToFit="1"/>
    </xf>
    <xf numFmtId="38" fontId="14" fillId="10" borderId="18" xfId="2" applyFont="1" applyFill="1" applyBorder="1" applyAlignment="1">
      <alignment vertical="center"/>
    </xf>
    <xf numFmtId="180" fontId="14" fillId="10" borderId="61" xfId="2" applyNumberFormat="1" applyFont="1" applyFill="1" applyBorder="1" applyAlignment="1">
      <alignment vertical="center" shrinkToFit="1"/>
    </xf>
    <xf numFmtId="180" fontId="14" fillId="10" borderId="62" xfId="2" applyNumberFormat="1" applyFont="1" applyFill="1" applyBorder="1" applyAlignment="1">
      <alignment vertical="center" shrinkToFit="1"/>
    </xf>
    <xf numFmtId="179" fontId="14" fillId="10" borderId="66" xfId="2" applyNumberFormat="1" applyFont="1" applyFill="1" applyBorder="1" applyAlignment="1">
      <alignment vertical="center"/>
    </xf>
    <xf numFmtId="179" fontId="14" fillId="10" borderId="62" xfId="2" applyNumberFormat="1" applyFont="1" applyFill="1" applyBorder="1" applyAlignment="1">
      <alignment vertical="center"/>
    </xf>
    <xf numFmtId="0" fontId="29" fillId="10" borderId="18" xfId="1" applyFont="1" applyFill="1" applyBorder="1">
      <alignment vertical="center"/>
    </xf>
    <xf numFmtId="49" fontId="29" fillId="10" borderId="18" xfId="1" applyNumberFormat="1" applyFont="1" applyFill="1" applyBorder="1" applyAlignment="1">
      <alignment vertical="center" shrinkToFit="1"/>
    </xf>
    <xf numFmtId="38" fontId="29" fillId="10" borderId="61" xfId="2" applyFont="1" applyFill="1" applyBorder="1" applyAlignment="1">
      <alignment vertical="center"/>
    </xf>
    <xf numFmtId="38" fontId="29" fillId="10" borderId="67" xfId="2" applyFont="1" applyFill="1" applyBorder="1" applyAlignment="1">
      <alignment vertical="center"/>
    </xf>
    <xf numFmtId="38" fontId="29" fillId="10" borderId="18" xfId="2" applyFont="1" applyFill="1" applyBorder="1" applyAlignment="1">
      <alignment horizontal="center" vertical="center"/>
    </xf>
    <xf numFmtId="179" fontId="14" fillId="2" borderId="66" xfId="2" applyNumberFormat="1" applyFont="1" applyFill="1" applyBorder="1" applyAlignment="1">
      <alignment horizontal="right" vertical="center" shrinkToFit="1"/>
    </xf>
    <xf numFmtId="179" fontId="14" fillId="2" borderId="16" xfId="2" applyNumberFormat="1" applyFont="1" applyFill="1" applyBorder="1" applyAlignment="1">
      <alignment horizontal="right" vertical="center" shrinkToFit="1"/>
    </xf>
    <xf numFmtId="179" fontId="14" fillId="2" borderId="6" xfId="2" applyNumberFormat="1" applyFont="1" applyFill="1" applyBorder="1" applyAlignment="1">
      <alignment vertical="center" shrinkToFit="1"/>
    </xf>
    <xf numFmtId="179" fontId="14" fillId="2" borderId="7" xfId="2" applyNumberFormat="1" applyFont="1" applyFill="1" applyBorder="1" applyAlignment="1">
      <alignment vertical="center" shrinkToFit="1"/>
    </xf>
    <xf numFmtId="179" fontId="14" fillId="2" borderId="61" xfId="2" applyNumberFormat="1" applyFont="1" applyFill="1" applyBorder="1" applyAlignment="1">
      <alignment horizontal="right" vertical="center" shrinkToFit="1"/>
    </xf>
    <xf numFmtId="179" fontId="14" fillId="2" borderId="62" xfId="2" applyNumberFormat="1" applyFont="1" applyFill="1" applyBorder="1" applyAlignment="1">
      <alignment horizontal="right" vertical="center" shrinkToFit="1"/>
    </xf>
    <xf numFmtId="179" fontId="14" fillId="2" borderId="6" xfId="2" applyNumberFormat="1" applyFont="1" applyFill="1" applyBorder="1" applyAlignment="1">
      <alignment horizontal="right" vertical="center" shrinkToFit="1"/>
    </xf>
    <xf numFmtId="38" fontId="14" fillId="2" borderId="61" xfId="2" applyFont="1" applyFill="1" applyBorder="1" applyAlignment="1">
      <alignment vertical="center"/>
    </xf>
    <xf numFmtId="38" fontId="14" fillId="2" borderId="67" xfId="2" applyFont="1" applyFill="1" applyBorder="1" applyAlignment="1">
      <alignment vertical="center"/>
    </xf>
    <xf numFmtId="38" fontId="14" fillId="2" borderId="18" xfId="2" applyFont="1" applyFill="1" applyBorder="1" applyAlignment="1">
      <alignment horizontal="center" vertical="center"/>
    </xf>
    <xf numFmtId="38" fontId="14" fillId="2" borderId="18" xfId="2" applyFont="1" applyFill="1" applyBorder="1" applyAlignment="1">
      <alignment vertical="center"/>
    </xf>
    <xf numFmtId="180" fontId="14" fillId="2" borderId="61" xfId="2" applyNumberFormat="1" applyFont="1" applyFill="1" applyBorder="1" applyAlignment="1">
      <alignment vertical="center" shrinkToFit="1"/>
    </xf>
    <xf numFmtId="180" fontId="14" fillId="2" borderId="62" xfId="2" applyNumberFormat="1" applyFont="1" applyFill="1" applyBorder="1" applyAlignment="1">
      <alignment vertical="center" shrinkToFit="1"/>
    </xf>
    <xf numFmtId="179" fontId="14" fillId="2" borderId="66" xfId="2" applyNumberFormat="1" applyFont="1" applyFill="1" applyBorder="1" applyAlignment="1">
      <alignment vertical="center"/>
    </xf>
    <xf numFmtId="179" fontId="14" fillId="2" borderId="62" xfId="2" applyNumberFormat="1" applyFont="1" applyFill="1" applyBorder="1" applyAlignment="1">
      <alignment vertical="center"/>
    </xf>
    <xf numFmtId="0" fontId="14" fillId="2" borderId="18" xfId="1" applyFont="1" applyFill="1" applyBorder="1">
      <alignment vertical="center"/>
    </xf>
    <xf numFmtId="49" fontId="14" fillId="2" borderId="18" xfId="1" applyNumberFormat="1" applyFont="1" applyFill="1" applyBorder="1" applyAlignment="1">
      <alignment vertical="center" shrinkToFit="1"/>
    </xf>
    <xf numFmtId="179" fontId="14" fillId="2" borderId="61" xfId="2" applyNumberFormat="1" applyFont="1" applyFill="1" applyBorder="1" applyAlignment="1">
      <alignment vertical="center"/>
    </xf>
    <xf numFmtId="179" fontId="14" fillId="2" borderId="16" xfId="2" applyNumberFormat="1" applyFont="1" applyFill="1" applyBorder="1" applyAlignment="1">
      <alignment vertical="center"/>
    </xf>
    <xf numFmtId="179" fontId="14" fillId="2" borderId="66" xfId="2" applyNumberFormat="1" applyFont="1" applyFill="1" applyBorder="1" applyAlignment="1">
      <alignment vertical="center" shrinkToFit="1"/>
    </xf>
    <xf numFmtId="179" fontId="14" fillId="2" borderId="16" xfId="2" applyNumberFormat="1" applyFont="1" applyFill="1" applyBorder="1" applyAlignment="1">
      <alignment vertical="center" shrinkToFit="1"/>
    </xf>
    <xf numFmtId="49" fontId="14" fillId="2" borderId="18" xfId="1" applyNumberFormat="1" applyFont="1" applyFill="1" applyBorder="1">
      <alignment vertical="center"/>
    </xf>
    <xf numFmtId="179" fontId="14" fillId="0" borderId="61" xfId="2" applyNumberFormat="1" applyFont="1" applyFill="1" applyBorder="1" applyAlignment="1">
      <alignment horizontal="right" vertical="center" shrinkToFit="1"/>
    </xf>
    <xf numFmtId="179" fontId="14" fillId="0" borderId="62" xfId="2" applyNumberFormat="1" applyFont="1" applyFill="1" applyBorder="1" applyAlignment="1">
      <alignment horizontal="right" vertical="center" shrinkToFit="1"/>
    </xf>
    <xf numFmtId="49" fontId="14" fillId="3" borderId="18" xfId="1" applyNumberFormat="1" applyFont="1" applyFill="1" applyBorder="1">
      <alignment vertical="center"/>
    </xf>
    <xf numFmtId="179" fontId="14" fillId="3" borderId="61" xfId="2" applyNumberFormat="1" applyFont="1" applyFill="1" applyBorder="1" applyAlignment="1">
      <alignment vertical="center" shrinkToFit="1"/>
    </xf>
    <xf numFmtId="179" fontId="14" fillId="3" borderId="62" xfId="2" applyNumberFormat="1" applyFont="1" applyFill="1" applyBorder="1" applyAlignment="1">
      <alignment vertical="center" shrinkToFit="1"/>
    </xf>
    <xf numFmtId="179" fontId="14" fillId="3" borderId="5" xfId="2" applyNumberFormat="1" applyFont="1" applyFill="1" applyBorder="1" applyAlignment="1">
      <alignment vertical="center"/>
    </xf>
    <xf numFmtId="179" fontId="14" fillId="3" borderId="6" xfId="2" applyNumberFormat="1" applyFont="1" applyFill="1" applyBorder="1" applyAlignment="1">
      <alignment vertical="center"/>
    </xf>
    <xf numFmtId="179" fontId="14" fillId="3" borderId="7" xfId="2" applyNumberFormat="1" applyFont="1" applyFill="1" applyBorder="1" applyAlignment="1">
      <alignment vertical="center"/>
    </xf>
    <xf numFmtId="179" fontId="14" fillId="2" borderId="5" xfId="2" applyNumberFormat="1" applyFont="1" applyFill="1" applyBorder="1" applyAlignment="1">
      <alignment vertical="center"/>
    </xf>
    <xf numFmtId="179" fontId="14" fillId="2" borderId="6" xfId="2" applyNumberFormat="1" applyFont="1" applyFill="1" applyBorder="1" applyAlignment="1">
      <alignment vertical="center"/>
    </xf>
    <xf numFmtId="179" fontId="14" fillId="2" borderId="7" xfId="2" applyNumberFormat="1" applyFont="1" applyFill="1" applyBorder="1" applyAlignment="1">
      <alignment vertical="center"/>
    </xf>
    <xf numFmtId="0" fontId="14" fillId="2" borderId="61" xfId="1" applyFont="1" applyFill="1" applyBorder="1">
      <alignment vertical="center"/>
    </xf>
    <xf numFmtId="0" fontId="14" fillId="2" borderId="67" xfId="1" applyFont="1" applyFill="1" applyBorder="1">
      <alignment vertical="center"/>
    </xf>
    <xf numFmtId="0" fontId="14" fillId="2" borderId="62" xfId="1" applyFont="1" applyFill="1" applyBorder="1">
      <alignment vertical="center"/>
    </xf>
    <xf numFmtId="49" fontId="29" fillId="10" borderId="18" xfId="1" applyNumberFormat="1" applyFont="1" applyFill="1" applyBorder="1">
      <alignment vertical="center"/>
    </xf>
    <xf numFmtId="179" fontId="27" fillId="10" borderId="61" xfId="2" applyNumberFormat="1" applyFont="1" applyFill="1" applyBorder="1" applyAlignment="1">
      <alignment horizontal="right" vertical="center" shrinkToFit="1"/>
    </xf>
    <xf numFmtId="179" fontId="27" fillId="10" borderId="62" xfId="2" applyNumberFormat="1" applyFont="1" applyFill="1" applyBorder="1" applyAlignment="1">
      <alignment horizontal="right" vertical="center" shrinkToFit="1"/>
    </xf>
    <xf numFmtId="179" fontId="28" fillId="3" borderId="61" xfId="2" applyNumberFormat="1" applyFont="1" applyFill="1" applyBorder="1" applyAlignment="1">
      <alignment horizontal="right" vertical="center" shrinkToFit="1"/>
    </xf>
    <xf numFmtId="179" fontId="28" fillId="3" borderId="62" xfId="2" applyNumberFormat="1" applyFont="1" applyFill="1" applyBorder="1" applyAlignment="1">
      <alignment horizontal="right" vertical="center" shrinkToFit="1"/>
    </xf>
    <xf numFmtId="0" fontId="14" fillId="0" borderId="30" xfId="1" applyFont="1" applyBorder="1">
      <alignment vertical="center"/>
    </xf>
    <xf numFmtId="0" fontId="14" fillId="0" borderId="32" xfId="1" applyFont="1" applyBorder="1">
      <alignment vertical="center"/>
    </xf>
    <xf numFmtId="0" fontId="14" fillId="6" borderId="30" xfId="1" applyFont="1" applyFill="1" applyBorder="1" applyAlignment="1">
      <alignment vertical="center" shrinkToFit="1"/>
    </xf>
    <xf numFmtId="0" fontId="14" fillId="6" borderId="31" xfId="1" applyFont="1" applyFill="1" applyBorder="1" applyAlignment="1">
      <alignment vertical="center" shrinkToFit="1"/>
    </xf>
    <xf numFmtId="0" fontId="14" fillId="6" borderId="32" xfId="1" applyFont="1" applyFill="1" applyBorder="1" applyAlignment="1">
      <alignment vertical="center" shrinkToFit="1"/>
    </xf>
    <xf numFmtId="38" fontId="14" fillId="0" borderId="30" xfId="2" applyFont="1" applyFill="1" applyBorder="1" applyAlignment="1">
      <alignment vertical="center" shrinkToFit="1"/>
    </xf>
    <xf numFmtId="38" fontId="14" fillId="0" borderId="32" xfId="2" applyFont="1" applyFill="1" applyBorder="1" applyAlignment="1">
      <alignment vertical="center" shrinkToFit="1"/>
    </xf>
    <xf numFmtId="0" fontId="14" fillId="13" borderId="30" xfId="1" applyFont="1" applyFill="1" applyBorder="1" applyAlignment="1">
      <alignment vertical="center" shrinkToFit="1"/>
    </xf>
    <xf numFmtId="0" fontId="14" fillId="13" borderId="31" xfId="1" applyFont="1" applyFill="1" applyBorder="1" applyAlignment="1">
      <alignment vertical="center" shrinkToFit="1"/>
    </xf>
    <xf numFmtId="0" fontId="14" fillId="13" borderId="32" xfId="1" applyFont="1" applyFill="1" applyBorder="1" applyAlignment="1">
      <alignment vertical="center" shrinkToFit="1"/>
    </xf>
    <xf numFmtId="38" fontId="14" fillId="0" borderId="30" xfId="2" applyFont="1" applyBorder="1" applyAlignment="1">
      <alignment vertical="center" shrinkToFit="1"/>
    </xf>
    <xf numFmtId="38" fontId="14" fillId="0" borderId="32" xfId="2" applyFont="1" applyBorder="1" applyAlignment="1">
      <alignment vertical="center" shrinkToFit="1"/>
    </xf>
    <xf numFmtId="0" fontId="14" fillId="0" borderId="30" xfId="1" applyFont="1" applyBorder="1" applyAlignment="1">
      <alignment vertical="center" shrinkToFit="1"/>
    </xf>
    <xf numFmtId="0" fontId="14" fillId="0" borderId="31" xfId="1" applyFont="1" applyBorder="1" applyAlignment="1">
      <alignment vertical="center" shrinkToFit="1"/>
    </xf>
    <xf numFmtId="179" fontId="14" fillId="3" borderId="67" xfId="2" applyNumberFormat="1" applyFont="1" applyFill="1" applyBorder="1" applyAlignment="1">
      <alignment horizontal="right" vertical="center" shrinkToFit="1"/>
    </xf>
    <xf numFmtId="38" fontId="14" fillId="0" borderId="122" xfId="2" applyFont="1" applyBorder="1" applyAlignment="1">
      <alignment vertical="center" shrinkToFit="1"/>
    </xf>
    <xf numFmtId="38" fontId="14" fillId="0" borderId="130" xfId="2" applyFont="1" applyBorder="1" applyAlignment="1">
      <alignment vertical="center" shrinkToFit="1"/>
    </xf>
    <xf numFmtId="38" fontId="14" fillId="0" borderId="76" xfId="1" applyNumberFormat="1" applyFont="1" applyBorder="1" applyAlignment="1">
      <alignment vertical="center" shrinkToFit="1"/>
    </xf>
    <xf numFmtId="0" fontId="14" fillId="0" borderId="78" xfId="1" applyFont="1" applyBorder="1" applyAlignment="1">
      <alignment vertical="center" shrinkToFit="1"/>
    </xf>
    <xf numFmtId="38" fontId="14" fillId="0" borderId="0" xfId="1" applyNumberFormat="1" applyFont="1">
      <alignment vertical="center"/>
    </xf>
    <xf numFmtId="0" fontId="14" fillId="0" borderId="0" xfId="1" applyFont="1">
      <alignment vertical="center"/>
    </xf>
    <xf numFmtId="38" fontId="14" fillId="3" borderId="120" xfId="2" applyFont="1" applyFill="1" applyBorder="1" applyAlignment="1">
      <alignment horizontal="center" vertical="center" shrinkToFit="1"/>
    </xf>
    <xf numFmtId="38" fontId="14" fillId="3" borderId="119" xfId="2" applyFont="1" applyFill="1" applyBorder="1" applyAlignment="1">
      <alignment horizontal="center" vertical="center" shrinkToFit="1"/>
    </xf>
    <xf numFmtId="38" fontId="14" fillId="3" borderId="128" xfId="2" applyFont="1" applyFill="1" applyBorder="1" applyAlignment="1">
      <alignment horizontal="center" vertical="center" shrinkToFit="1"/>
    </xf>
    <xf numFmtId="38" fontId="14" fillId="3" borderId="129" xfId="2" applyFont="1" applyFill="1" applyBorder="1" applyAlignment="1">
      <alignment horizontal="center" vertical="center" shrinkToFit="1"/>
    </xf>
    <xf numFmtId="38" fontId="14" fillId="3" borderId="115" xfId="2" applyFont="1" applyFill="1" applyBorder="1" applyAlignment="1">
      <alignment vertical="center" shrinkToFit="1"/>
    </xf>
    <xf numFmtId="38" fontId="14" fillId="3" borderId="116" xfId="2" applyFont="1" applyFill="1" applyBorder="1" applyAlignment="1">
      <alignment vertical="center" shrinkToFit="1"/>
    </xf>
    <xf numFmtId="38" fontId="14" fillId="3" borderId="117" xfId="2" applyFont="1" applyFill="1" applyBorder="1" applyAlignment="1">
      <alignment vertical="center" shrinkToFit="1"/>
    </xf>
    <xf numFmtId="38" fontId="14" fillId="3" borderId="118" xfId="2" applyFont="1" applyFill="1" applyBorder="1" applyAlignment="1">
      <alignment vertical="center" shrinkToFit="1"/>
    </xf>
    <xf numFmtId="38" fontId="14" fillId="3" borderId="119" xfId="2" applyFont="1" applyFill="1" applyBorder="1" applyAlignment="1">
      <alignment vertical="center" shrinkToFit="1"/>
    </xf>
    <xf numFmtId="179" fontId="14" fillId="3" borderId="66" xfId="1" applyNumberFormat="1" applyFont="1" applyFill="1" applyBorder="1">
      <alignment vertical="center"/>
    </xf>
    <xf numFmtId="179" fontId="14" fillId="3" borderId="62" xfId="1" applyNumberFormat="1" applyFont="1" applyFill="1" applyBorder="1">
      <alignment vertical="center"/>
    </xf>
    <xf numFmtId="38" fontId="14" fillId="3" borderId="94" xfId="2" applyFont="1" applyFill="1" applyBorder="1" applyAlignment="1">
      <alignment vertical="center" shrinkToFit="1"/>
    </xf>
    <xf numFmtId="38" fontId="14" fillId="3" borderId="95" xfId="2" applyFont="1" applyFill="1" applyBorder="1" applyAlignment="1">
      <alignment vertical="center" shrinkToFit="1"/>
    </xf>
    <xf numFmtId="38" fontId="14" fillId="3" borderId="96" xfId="2" applyFont="1" applyFill="1" applyBorder="1" applyAlignment="1">
      <alignment vertical="center" shrinkToFit="1"/>
    </xf>
    <xf numFmtId="38" fontId="14" fillId="3" borderId="97" xfId="2" applyFont="1" applyFill="1" applyBorder="1" applyAlignment="1">
      <alignment horizontal="center" vertical="center" shrinkToFit="1"/>
    </xf>
    <xf numFmtId="38" fontId="14" fillId="3" borderId="98" xfId="2" applyFont="1" applyFill="1" applyBorder="1" applyAlignment="1">
      <alignment horizontal="center" vertical="center" shrinkToFit="1"/>
    </xf>
    <xf numFmtId="38" fontId="14" fillId="3" borderId="99" xfId="2" applyFont="1" applyFill="1" applyBorder="1" applyAlignment="1">
      <alignment horizontal="center" vertical="center" shrinkToFit="1"/>
    </xf>
    <xf numFmtId="38" fontId="14" fillId="3" borderId="99" xfId="2" applyFont="1" applyFill="1" applyBorder="1" applyAlignment="1">
      <alignment vertical="center" shrinkToFit="1"/>
    </xf>
    <xf numFmtId="38" fontId="14" fillId="3" borderId="100" xfId="2" applyFont="1" applyFill="1" applyBorder="1" applyAlignment="1">
      <alignment vertical="center" shrinkToFit="1"/>
    </xf>
    <xf numFmtId="38" fontId="14" fillId="3" borderId="113" xfId="2" applyFont="1" applyFill="1" applyBorder="1" applyAlignment="1">
      <alignment vertical="center" shrinkToFit="1"/>
    </xf>
    <xf numFmtId="38" fontId="14" fillId="3" borderId="112" xfId="2" applyFont="1" applyFill="1" applyBorder="1" applyAlignment="1">
      <alignment vertical="center" shrinkToFit="1"/>
    </xf>
    <xf numFmtId="38" fontId="14" fillId="3" borderId="114" xfId="2" applyFont="1" applyFill="1" applyBorder="1" applyAlignment="1">
      <alignment vertical="center" shrinkToFit="1"/>
    </xf>
    <xf numFmtId="38" fontId="14" fillId="3" borderId="108" xfId="2" applyFont="1" applyFill="1" applyBorder="1" applyAlignment="1">
      <alignment vertical="center" shrinkToFit="1"/>
    </xf>
    <xf numFmtId="38" fontId="14" fillId="3" borderId="109" xfId="2" applyFont="1" applyFill="1" applyBorder="1" applyAlignment="1">
      <alignment vertical="center" shrinkToFit="1"/>
    </xf>
    <xf numFmtId="38" fontId="14" fillId="3" borderId="110" xfId="2" applyFont="1" applyFill="1" applyBorder="1" applyAlignment="1">
      <alignment vertical="center" shrinkToFit="1"/>
    </xf>
    <xf numFmtId="38" fontId="14" fillId="3" borderId="111" xfId="2" applyFont="1" applyFill="1" applyBorder="1" applyAlignment="1">
      <alignment horizontal="center" vertical="center" shrinkToFit="1"/>
    </xf>
    <xf numFmtId="38" fontId="14" fillId="3" borderId="112" xfId="2" applyFont="1" applyFill="1" applyBorder="1" applyAlignment="1">
      <alignment horizontal="center" vertical="center" shrinkToFit="1"/>
    </xf>
    <xf numFmtId="0" fontId="14" fillId="3" borderId="101" xfId="1" applyFont="1" applyFill="1" applyBorder="1" applyAlignment="1">
      <alignment vertical="center" shrinkToFit="1"/>
    </xf>
    <xf numFmtId="0" fontId="14" fillId="3" borderId="102" xfId="1" applyFont="1" applyFill="1" applyBorder="1" applyAlignment="1">
      <alignment vertical="center" shrinkToFit="1"/>
    </xf>
    <xf numFmtId="0" fontId="14" fillId="3" borderId="103" xfId="1" applyFont="1" applyFill="1" applyBorder="1" applyAlignment="1">
      <alignment vertical="center" shrinkToFit="1"/>
    </xf>
    <xf numFmtId="38" fontId="14" fillId="3" borderId="104" xfId="2" applyFont="1" applyFill="1" applyBorder="1" applyAlignment="1">
      <alignment horizontal="center" vertical="center" shrinkToFit="1"/>
    </xf>
    <xf numFmtId="38" fontId="14" fillId="3" borderId="105" xfId="2" applyFont="1" applyFill="1" applyBorder="1" applyAlignment="1">
      <alignment horizontal="center" vertical="center" shrinkToFit="1"/>
    </xf>
    <xf numFmtId="38" fontId="14" fillId="3" borderId="106" xfId="2" applyFont="1" applyFill="1" applyBorder="1" applyAlignment="1">
      <alignment vertical="center" shrinkToFit="1"/>
    </xf>
    <xf numFmtId="38" fontId="14" fillId="3" borderId="105" xfId="2" applyFont="1" applyFill="1" applyBorder="1" applyAlignment="1">
      <alignment vertical="center" shrinkToFit="1"/>
    </xf>
    <xf numFmtId="38" fontId="14" fillId="3" borderId="107" xfId="2" applyFont="1" applyFill="1" applyBorder="1" applyAlignment="1">
      <alignment vertical="center" shrinkToFit="1"/>
    </xf>
    <xf numFmtId="38" fontId="14" fillId="3" borderId="91" xfId="2" applyFont="1" applyFill="1" applyBorder="1" applyAlignment="1">
      <alignment horizontal="center" vertical="center" shrinkToFit="1"/>
    </xf>
    <xf numFmtId="38" fontId="14" fillId="3" borderId="90" xfId="2" applyFont="1" applyFill="1" applyBorder="1" applyAlignment="1">
      <alignment horizontal="center" vertical="center" shrinkToFit="1"/>
    </xf>
    <xf numFmtId="38" fontId="14" fillId="3" borderId="91" xfId="2" applyFont="1" applyFill="1" applyBorder="1" applyAlignment="1">
      <alignment vertical="center" shrinkToFit="1"/>
    </xf>
    <xf numFmtId="38" fontId="14" fillId="3" borderId="92" xfId="2" applyFont="1" applyFill="1" applyBorder="1" applyAlignment="1">
      <alignment vertical="center" shrinkToFit="1"/>
    </xf>
    <xf numFmtId="38" fontId="14" fillId="3" borderId="30" xfId="1" applyNumberFormat="1" applyFont="1" applyFill="1" applyBorder="1" applyAlignment="1">
      <alignment vertical="center" shrinkToFit="1"/>
    </xf>
    <xf numFmtId="38" fontId="14" fillId="3" borderId="14" xfId="1" applyNumberFormat="1" applyFont="1" applyFill="1" applyBorder="1" applyAlignment="1">
      <alignment vertical="center" shrinkToFit="1"/>
    </xf>
    <xf numFmtId="38" fontId="14" fillId="3" borderId="93" xfId="1" applyNumberFormat="1" applyFont="1" applyFill="1" applyBorder="1" applyAlignment="1">
      <alignment vertical="center" shrinkToFit="1"/>
    </xf>
    <xf numFmtId="38" fontId="14" fillId="3" borderId="32" xfId="1" applyNumberFormat="1" applyFont="1" applyFill="1" applyBorder="1" applyAlignment="1">
      <alignment vertical="center" shrinkToFit="1"/>
    </xf>
    <xf numFmtId="38" fontId="14" fillId="3" borderId="86" xfId="2" applyFont="1" applyFill="1" applyBorder="1" applyAlignment="1">
      <alignment vertical="center" shrinkToFit="1"/>
    </xf>
    <xf numFmtId="38" fontId="14" fillId="3" borderId="87" xfId="2" applyFont="1" applyFill="1" applyBorder="1" applyAlignment="1">
      <alignment vertical="center" shrinkToFit="1"/>
    </xf>
    <xf numFmtId="38" fontId="14" fillId="3" borderId="88" xfId="2" applyFont="1" applyFill="1" applyBorder="1" applyAlignment="1">
      <alignment vertical="center" shrinkToFit="1"/>
    </xf>
    <xf numFmtId="38" fontId="14" fillId="3" borderId="89" xfId="2" applyFont="1" applyFill="1" applyBorder="1" applyAlignment="1">
      <alignment vertical="center" shrinkToFit="1"/>
    </xf>
    <xf numFmtId="38" fontId="14" fillId="3" borderId="90" xfId="2" applyFont="1" applyFill="1" applyBorder="1" applyAlignment="1">
      <alignment vertical="center" shrinkToFit="1"/>
    </xf>
    <xf numFmtId="38" fontId="14" fillId="3" borderId="84" xfId="2" applyFont="1" applyFill="1" applyBorder="1" applyAlignment="1">
      <alignment vertical="center" shrinkToFit="1"/>
    </xf>
    <xf numFmtId="38" fontId="14" fillId="3" borderId="85" xfId="2" applyFont="1" applyFill="1" applyBorder="1" applyAlignment="1">
      <alignment vertical="center" shrinkToFit="1"/>
    </xf>
    <xf numFmtId="9" fontId="14" fillId="3" borderId="69" xfId="1" applyNumberFormat="1" applyFont="1" applyFill="1" applyBorder="1" applyAlignment="1">
      <alignment horizontal="right" vertical="center" shrinkToFit="1"/>
    </xf>
    <xf numFmtId="9" fontId="14" fillId="3" borderId="71" xfId="1" applyNumberFormat="1" applyFont="1" applyFill="1" applyBorder="1" applyAlignment="1">
      <alignment horizontal="right" vertical="center" shrinkToFit="1"/>
    </xf>
    <xf numFmtId="38" fontId="14" fillId="3" borderId="69" xfId="1" applyNumberFormat="1" applyFont="1" applyFill="1" applyBorder="1" applyAlignment="1">
      <alignment vertical="center" shrinkToFit="1"/>
    </xf>
    <xf numFmtId="38" fontId="14" fillId="3" borderId="17" xfId="1" applyNumberFormat="1" applyFont="1" applyFill="1" applyBorder="1" applyAlignment="1">
      <alignment vertical="center" shrinkToFit="1"/>
    </xf>
    <xf numFmtId="38" fontId="14" fillId="3" borderId="70" xfId="1" applyNumberFormat="1" applyFont="1" applyFill="1" applyBorder="1" applyAlignment="1">
      <alignment vertical="center" shrinkToFit="1"/>
    </xf>
    <xf numFmtId="38" fontId="14" fillId="3" borderId="71" xfId="1" applyNumberFormat="1" applyFont="1" applyFill="1" applyBorder="1" applyAlignment="1">
      <alignment vertical="center" shrinkToFit="1"/>
    </xf>
    <xf numFmtId="38" fontId="14" fillId="3" borderId="79" xfId="2" applyFont="1" applyFill="1" applyBorder="1" applyAlignment="1">
      <alignment vertical="center" shrinkToFit="1"/>
    </xf>
    <xf numFmtId="38" fontId="14" fillId="3" borderId="80" xfId="2" applyFont="1" applyFill="1" applyBorder="1" applyAlignment="1">
      <alignment vertical="center" shrinkToFit="1"/>
    </xf>
    <xf numFmtId="38" fontId="14" fillId="3" borderId="81" xfId="2" applyFont="1" applyFill="1" applyBorder="1" applyAlignment="1">
      <alignment vertical="center" shrinkToFit="1"/>
    </xf>
    <xf numFmtId="38" fontId="14" fillId="3" borderId="82" xfId="2" applyFont="1" applyFill="1" applyBorder="1" applyAlignment="1">
      <alignment vertical="center" shrinkToFit="1"/>
    </xf>
    <xf numFmtId="38" fontId="14" fillId="3" borderId="83" xfId="2" applyFont="1" applyFill="1" applyBorder="1" applyAlignment="1">
      <alignment vertical="center" shrinkToFit="1"/>
    </xf>
    <xf numFmtId="38" fontId="14" fillId="3" borderId="84" xfId="2" applyFont="1" applyFill="1" applyBorder="1" applyAlignment="1">
      <alignment horizontal="center" vertical="center" shrinkToFit="1"/>
    </xf>
    <xf numFmtId="38" fontId="14" fillId="3" borderId="83" xfId="2" applyFont="1" applyFill="1" applyBorder="1" applyAlignment="1">
      <alignment horizontal="center" vertical="center" shrinkToFit="1"/>
    </xf>
    <xf numFmtId="9" fontId="14" fillId="3" borderId="55" xfId="1" applyNumberFormat="1" applyFont="1" applyFill="1" applyBorder="1" applyAlignment="1">
      <alignment horizontal="right" vertical="center" shrinkToFit="1"/>
    </xf>
    <xf numFmtId="9" fontId="14" fillId="3" borderId="56" xfId="1" applyNumberFormat="1" applyFont="1" applyFill="1" applyBorder="1" applyAlignment="1">
      <alignment horizontal="right" vertical="center" shrinkToFit="1"/>
    </xf>
    <xf numFmtId="38" fontId="14" fillId="3" borderId="55" xfId="1" applyNumberFormat="1" applyFont="1" applyFill="1" applyBorder="1" applyAlignment="1">
      <alignment vertical="center" shrinkToFit="1"/>
    </xf>
    <xf numFmtId="38" fontId="14" fillId="3" borderId="21" xfId="1" applyNumberFormat="1" applyFont="1" applyFill="1" applyBorder="1" applyAlignment="1">
      <alignment vertical="center" shrinkToFit="1"/>
    </xf>
    <xf numFmtId="38" fontId="14" fillId="3" borderId="39" xfId="1" applyNumberFormat="1" applyFont="1" applyFill="1" applyBorder="1" applyAlignment="1">
      <alignment vertical="center" shrinkToFit="1"/>
    </xf>
    <xf numFmtId="38" fontId="14" fillId="3" borderId="56" xfId="1" applyNumberFormat="1" applyFont="1" applyFill="1" applyBorder="1" applyAlignment="1">
      <alignment vertical="center" shrinkToFit="1"/>
    </xf>
    <xf numFmtId="38" fontId="20" fillId="12" borderId="76" xfId="2" applyFont="1" applyFill="1" applyBorder="1" applyAlignment="1">
      <alignment vertical="center" shrinkToFit="1"/>
    </xf>
    <xf numFmtId="38" fontId="20" fillId="12" borderId="77" xfId="2" applyFont="1" applyFill="1" applyBorder="1" applyAlignment="1">
      <alignment vertical="center" shrinkToFit="1"/>
    </xf>
    <xf numFmtId="38" fontId="20" fillId="12" borderId="78" xfId="2" applyFont="1" applyFill="1" applyBorder="1" applyAlignment="1">
      <alignment vertical="center" shrinkToFit="1"/>
    </xf>
    <xf numFmtId="38" fontId="20" fillId="12" borderId="40" xfId="2" applyFont="1" applyFill="1" applyBorder="1" applyAlignment="1">
      <alignment vertical="center" shrinkToFit="1"/>
    </xf>
    <xf numFmtId="38" fontId="20" fillId="12" borderId="0" xfId="2" applyFont="1" applyFill="1" applyBorder="1" applyAlignment="1">
      <alignment vertical="center" shrinkToFit="1"/>
    </xf>
    <xf numFmtId="38" fontId="14" fillId="0" borderId="72" xfId="1" applyNumberFormat="1" applyFont="1" applyBorder="1">
      <alignment vertical="center"/>
    </xf>
    <xf numFmtId="0" fontId="14" fillId="0" borderId="73" xfId="1" applyFont="1" applyBorder="1">
      <alignment vertical="center"/>
    </xf>
    <xf numFmtId="38" fontId="19" fillId="11" borderId="31" xfId="1" applyNumberFormat="1" applyFont="1" applyFill="1" applyBorder="1" applyAlignment="1">
      <alignment vertical="center" shrinkToFit="1"/>
    </xf>
    <xf numFmtId="0" fontId="19" fillId="11" borderId="32" xfId="1" applyFont="1" applyFill="1" applyBorder="1" applyAlignment="1">
      <alignment vertical="center" shrinkToFit="1"/>
    </xf>
    <xf numFmtId="38" fontId="19" fillId="11" borderId="30" xfId="1" applyNumberFormat="1" applyFont="1" applyFill="1" applyBorder="1" applyAlignment="1">
      <alignment vertical="center" shrinkToFit="1"/>
    </xf>
    <xf numFmtId="38" fontId="14" fillId="0" borderId="12" xfId="1" applyNumberFormat="1" applyFont="1" applyBorder="1" applyAlignment="1">
      <alignment vertical="center" shrinkToFit="1"/>
    </xf>
    <xf numFmtId="38" fontId="14" fillId="0" borderId="13" xfId="1" applyNumberFormat="1" applyFont="1" applyBorder="1" applyAlignment="1">
      <alignment vertical="center" shrinkToFit="1"/>
    </xf>
    <xf numFmtId="38" fontId="14" fillId="3" borderId="52" xfId="2" applyFont="1" applyFill="1" applyBorder="1" applyAlignment="1">
      <alignment vertical="center" shrinkToFit="1"/>
    </xf>
    <xf numFmtId="38" fontId="14" fillId="3" borderId="59" xfId="2" applyFont="1" applyFill="1" applyBorder="1" applyAlignment="1">
      <alignment vertical="center" shrinkToFit="1"/>
    </xf>
    <xf numFmtId="38" fontId="19" fillId="11" borderId="3" xfId="2" applyFont="1" applyFill="1" applyBorder="1" applyAlignment="1">
      <alignment vertical="center" shrinkToFit="1"/>
    </xf>
    <xf numFmtId="38" fontId="19" fillId="11" borderId="4" xfId="2" applyFont="1" applyFill="1" applyBorder="1" applyAlignment="1">
      <alignment vertical="center" shrinkToFit="1"/>
    </xf>
    <xf numFmtId="38" fontId="14" fillId="0" borderId="60" xfId="2" applyFont="1" applyFill="1" applyBorder="1" applyAlignment="1">
      <alignment vertical="center" shrinkToFit="1"/>
    </xf>
    <xf numFmtId="38" fontId="14" fillId="3" borderId="60" xfId="2" applyFont="1" applyFill="1" applyBorder="1" applyAlignment="1">
      <alignment vertical="center" shrinkToFit="1"/>
    </xf>
    <xf numFmtId="38" fontId="14" fillId="3" borderId="28" xfId="2" applyFont="1" applyFill="1" applyBorder="1" applyAlignment="1">
      <alignment vertical="center" shrinkToFit="1"/>
    </xf>
    <xf numFmtId="0" fontId="14" fillId="3" borderId="30" xfId="1" applyFont="1" applyFill="1" applyBorder="1" applyAlignment="1">
      <alignment horizontal="center" vertical="center" shrinkToFit="1"/>
    </xf>
    <xf numFmtId="0" fontId="14" fillId="3" borderId="31" xfId="1" applyFont="1" applyFill="1" applyBorder="1" applyAlignment="1">
      <alignment horizontal="center" vertical="center" shrinkToFit="1"/>
    </xf>
    <xf numFmtId="0" fontId="14" fillId="3" borderId="14" xfId="1" applyFont="1" applyFill="1" applyBorder="1" applyAlignment="1">
      <alignment horizontal="center" vertical="center" shrinkToFit="1"/>
    </xf>
    <xf numFmtId="38" fontId="14" fillId="0" borderId="9" xfId="2" applyFont="1" applyFill="1" applyBorder="1" applyAlignment="1">
      <alignment vertical="center" shrinkToFit="1"/>
    </xf>
    <xf numFmtId="38" fontId="14" fillId="0" borderId="10" xfId="2" applyFont="1" applyFill="1" applyBorder="1" applyAlignment="1">
      <alignment vertical="center" shrinkToFit="1"/>
    </xf>
    <xf numFmtId="38" fontId="14" fillId="3" borderId="30" xfId="2" applyFont="1" applyFill="1" applyBorder="1" applyAlignment="1">
      <alignment vertical="center" shrinkToFit="1"/>
    </xf>
    <xf numFmtId="38" fontId="14" fillId="3" borderId="31" xfId="2" applyFont="1" applyFill="1" applyBorder="1" applyAlignment="1">
      <alignment vertical="center" shrinkToFit="1"/>
    </xf>
    <xf numFmtId="38" fontId="14" fillId="3" borderId="32" xfId="2" applyFont="1" applyFill="1" applyBorder="1" applyAlignment="1">
      <alignment vertical="center" shrinkToFit="1"/>
    </xf>
    <xf numFmtId="38" fontId="14" fillId="0" borderId="11" xfId="2" applyFont="1" applyFill="1" applyBorder="1" applyAlignment="1">
      <alignment vertical="center" shrinkToFit="1"/>
    </xf>
    <xf numFmtId="38" fontId="14" fillId="0" borderId="12" xfId="2" applyFont="1" applyFill="1" applyBorder="1" applyAlignment="1">
      <alignment vertical="center" shrinkToFit="1"/>
    </xf>
    <xf numFmtId="9" fontId="14" fillId="3" borderId="69" xfId="1" applyNumberFormat="1" applyFont="1" applyFill="1" applyBorder="1" applyAlignment="1">
      <alignment horizontal="center" vertical="center" shrinkToFit="1"/>
    </xf>
    <xf numFmtId="9" fontId="14" fillId="3" borderId="127" xfId="1" applyNumberFormat="1" applyFont="1" applyFill="1" applyBorder="1" applyAlignment="1">
      <alignment horizontal="center" vertical="center" shrinkToFit="1"/>
    </xf>
    <xf numFmtId="9" fontId="14" fillId="3" borderId="17" xfId="1" applyNumberFormat="1" applyFont="1" applyFill="1" applyBorder="1" applyAlignment="1">
      <alignment horizontal="center" vertical="center" shrinkToFit="1"/>
    </xf>
    <xf numFmtId="38" fontId="14" fillId="0" borderId="3" xfId="2" applyFont="1" applyFill="1" applyBorder="1" applyAlignment="1">
      <alignment vertical="center" shrinkToFit="1"/>
    </xf>
    <xf numFmtId="38" fontId="14" fillId="0" borderId="4" xfId="2" applyFont="1" applyFill="1" applyBorder="1" applyAlignment="1">
      <alignment vertical="center" shrinkToFit="1"/>
    </xf>
    <xf numFmtId="38" fontId="14" fillId="3" borderId="68" xfId="2" applyFont="1" applyFill="1" applyBorder="1" applyAlignment="1">
      <alignment vertical="center" shrinkToFit="1"/>
    </xf>
    <xf numFmtId="38" fontId="14" fillId="3" borderId="46" xfId="2" applyFont="1" applyFill="1" applyBorder="1" applyAlignment="1">
      <alignment vertical="center" shrinkToFit="1"/>
    </xf>
    <xf numFmtId="38" fontId="14" fillId="0" borderId="44" xfId="2" applyFont="1" applyFill="1" applyBorder="1" applyAlignment="1">
      <alignment vertical="center" shrinkToFit="1"/>
    </xf>
    <xf numFmtId="38" fontId="14" fillId="0" borderId="48" xfId="2" applyFont="1" applyFill="1" applyBorder="1" applyAlignment="1">
      <alignment vertical="center" shrinkToFit="1"/>
    </xf>
    <xf numFmtId="9" fontId="14" fillId="3" borderId="55" xfId="1" applyNumberFormat="1" applyFont="1" applyFill="1" applyBorder="1" applyAlignment="1">
      <alignment horizontal="center" vertical="center" shrinkToFit="1"/>
    </xf>
    <xf numFmtId="9" fontId="14" fillId="3" borderId="36" xfId="1" applyNumberFormat="1" applyFont="1" applyFill="1" applyBorder="1" applyAlignment="1">
      <alignment horizontal="center" vertical="center" shrinkToFit="1"/>
    </xf>
    <xf numFmtId="9" fontId="14" fillId="3" borderId="21" xfId="1" applyNumberFormat="1" applyFont="1" applyFill="1" applyBorder="1" applyAlignment="1">
      <alignment horizontal="center" vertical="center" shrinkToFit="1"/>
    </xf>
    <xf numFmtId="38" fontId="19" fillId="11" borderId="12" xfId="2" applyFont="1" applyFill="1" applyBorder="1" applyAlignment="1">
      <alignment vertical="center" shrinkToFit="1"/>
    </xf>
    <xf numFmtId="38" fontId="19" fillId="11" borderId="13" xfId="2" applyFont="1" applyFill="1" applyBorder="1" applyAlignment="1">
      <alignment vertical="center" shrinkToFit="1"/>
    </xf>
    <xf numFmtId="0" fontId="14" fillId="3" borderId="55" xfId="1" applyFont="1" applyFill="1" applyBorder="1" applyAlignment="1">
      <alignment vertical="center" shrinkToFit="1"/>
    </xf>
    <xf numFmtId="0" fontId="14" fillId="3" borderId="36" xfId="1" applyFont="1" applyFill="1" applyBorder="1" applyAlignment="1">
      <alignment vertical="center" shrinkToFit="1"/>
    </xf>
    <xf numFmtId="38" fontId="14" fillId="0" borderId="2" xfId="2" applyFont="1" applyFill="1" applyBorder="1" applyAlignment="1">
      <alignment vertical="center" shrinkToFit="1"/>
    </xf>
    <xf numFmtId="38" fontId="14" fillId="3" borderId="3" xfId="2" applyFont="1" applyFill="1" applyBorder="1" applyAlignment="1">
      <alignment vertical="center" shrinkToFit="1"/>
    </xf>
    <xf numFmtId="38" fontId="14" fillId="3" borderId="4" xfId="2" applyFont="1" applyFill="1" applyBorder="1" applyAlignment="1">
      <alignment vertical="center" shrinkToFit="1"/>
    </xf>
    <xf numFmtId="38" fontId="14" fillId="3" borderId="25" xfId="1" applyNumberFormat="1" applyFont="1" applyFill="1" applyBorder="1" applyAlignment="1">
      <alignment vertical="center" shrinkToFit="1"/>
    </xf>
    <xf numFmtId="38" fontId="14" fillId="3" borderId="29" xfId="1" applyNumberFormat="1" applyFont="1" applyFill="1" applyBorder="1" applyAlignment="1">
      <alignment vertical="center" shrinkToFit="1"/>
    </xf>
    <xf numFmtId="38" fontId="19" fillId="11" borderId="29" xfId="2" applyFont="1" applyFill="1" applyBorder="1" applyAlignment="1">
      <alignment vertical="center" shrinkToFit="1"/>
    </xf>
    <xf numFmtId="38" fontId="19" fillId="11" borderId="27" xfId="2" applyFont="1" applyFill="1" applyBorder="1" applyAlignment="1">
      <alignment vertical="center" shrinkToFit="1"/>
    </xf>
    <xf numFmtId="38" fontId="14" fillId="3" borderId="11" xfId="2" applyFont="1" applyFill="1" applyBorder="1" applyAlignment="1">
      <alignment vertical="center" shrinkToFit="1"/>
    </xf>
    <xf numFmtId="38" fontId="14" fillId="3" borderId="12" xfId="2" applyFont="1" applyFill="1" applyBorder="1" applyAlignment="1">
      <alignment vertical="center" shrinkToFit="1"/>
    </xf>
    <xf numFmtId="38" fontId="14" fillId="0" borderId="70" xfId="2" applyFont="1" applyFill="1" applyBorder="1" applyAlignment="1">
      <alignment vertical="center" shrinkToFit="1"/>
    </xf>
    <xf numFmtId="38" fontId="14" fillId="0" borderId="17" xfId="2" applyFont="1" applyFill="1" applyBorder="1" applyAlignment="1">
      <alignment vertical="center" shrinkToFit="1"/>
    </xf>
    <xf numFmtId="49" fontId="14" fillId="3" borderId="18" xfId="1" quotePrefix="1" applyNumberFormat="1" applyFont="1" applyFill="1" applyBorder="1">
      <alignment vertical="center"/>
    </xf>
    <xf numFmtId="38" fontId="14" fillId="0" borderId="64" xfId="2" applyFont="1" applyFill="1" applyBorder="1" applyAlignment="1">
      <alignment vertical="center" shrinkToFit="1"/>
    </xf>
    <xf numFmtId="38" fontId="14" fillId="0" borderId="15" xfId="2" applyFont="1" applyFill="1" applyBorder="1" applyAlignment="1">
      <alignment vertical="center" shrinkToFit="1"/>
    </xf>
    <xf numFmtId="38" fontId="14" fillId="3" borderId="64" xfId="2" applyFont="1" applyFill="1" applyBorder="1" applyAlignment="1">
      <alignment vertical="center" shrinkToFit="1"/>
    </xf>
    <xf numFmtId="38" fontId="14" fillId="3" borderId="65" xfId="2" applyFont="1" applyFill="1" applyBorder="1" applyAlignment="1">
      <alignment vertical="center" shrinkToFit="1"/>
    </xf>
    <xf numFmtId="38" fontId="14" fillId="3" borderId="43" xfId="2" applyFont="1" applyFill="1" applyBorder="1" applyAlignment="1">
      <alignment horizontal="center" vertical="top"/>
    </xf>
    <xf numFmtId="38" fontId="14" fillId="3" borderId="42" xfId="2" applyFont="1" applyFill="1" applyBorder="1" applyAlignment="1">
      <alignment horizontal="center" vertical="top"/>
    </xf>
    <xf numFmtId="38" fontId="14" fillId="3" borderId="0" xfId="2" applyFont="1" applyFill="1" applyAlignment="1">
      <alignment horizontal="center" vertical="top"/>
    </xf>
    <xf numFmtId="38" fontId="14" fillId="3" borderId="59" xfId="2" applyFont="1" applyFill="1" applyBorder="1" applyAlignment="1">
      <alignment horizontal="center" vertical="top"/>
    </xf>
    <xf numFmtId="38" fontId="14" fillId="3" borderId="50" xfId="2" applyFont="1" applyFill="1" applyBorder="1" applyAlignment="1">
      <alignment horizontal="center" vertical="top"/>
    </xf>
    <xf numFmtId="38" fontId="14" fillId="3" borderId="41" xfId="2" applyFont="1" applyFill="1" applyBorder="1" applyAlignment="1">
      <alignment horizontal="center" vertical="top"/>
    </xf>
    <xf numFmtId="38" fontId="14" fillId="3" borderId="49" xfId="2" applyFont="1" applyFill="1" applyBorder="1" applyAlignment="1">
      <alignment horizontal="center" vertical="top"/>
    </xf>
    <xf numFmtId="38" fontId="14" fillId="3" borderId="53" xfId="2" applyFont="1" applyFill="1" applyBorder="1" applyAlignment="1">
      <alignment horizontal="center" vertical="top"/>
    </xf>
    <xf numFmtId="38" fontId="14" fillId="3" borderId="40" xfId="2" applyFont="1" applyFill="1" applyBorder="1" applyAlignment="1">
      <alignment horizontal="center" vertical="top"/>
    </xf>
    <xf numFmtId="38" fontId="14" fillId="3" borderId="52" xfId="2" applyFont="1" applyFill="1" applyBorder="1" applyAlignment="1">
      <alignment horizontal="center" vertical="top"/>
    </xf>
    <xf numFmtId="9" fontId="14" fillId="3" borderId="63" xfId="1" applyNumberFormat="1" applyFont="1" applyFill="1" applyBorder="1" applyAlignment="1">
      <alignment horizontal="right" vertical="center" shrinkToFit="1"/>
    </xf>
    <xf numFmtId="9" fontId="14" fillId="3" borderId="15" xfId="1" applyNumberFormat="1" applyFont="1" applyFill="1" applyBorder="1" applyAlignment="1">
      <alignment horizontal="right" vertical="center" shrinkToFit="1"/>
    </xf>
    <xf numFmtId="38" fontId="14" fillId="3" borderId="48" xfId="2" applyFont="1" applyFill="1" applyBorder="1" applyAlignment="1">
      <alignment vertical="center" shrinkToFit="1"/>
    </xf>
    <xf numFmtId="9" fontId="14" fillId="3" borderId="17" xfId="1" applyNumberFormat="1" applyFont="1" applyFill="1" applyBorder="1" applyAlignment="1">
      <alignment horizontal="right" vertical="center" shrinkToFit="1"/>
    </xf>
    <xf numFmtId="179" fontId="14" fillId="3" borderId="3" xfId="2" applyNumberFormat="1" applyFont="1" applyFill="1" applyBorder="1" applyAlignment="1">
      <alignment vertical="center" shrinkToFit="1"/>
    </xf>
    <xf numFmtId="179" fontId="14" fillId="3" borderId="4" xfId="2" applyNumberFormat="1" applyFont="1" applyFill="1" applyBorder="1" applyAlignment="1">
      <alignment vertical="center" shrinkToFit="1"/>
    </xf>
    <xf numFmtId="38" fontId="14" fillId="3" borderId="3" xfId="1" applyNumberFormat="1" applyFont="1" applyFill="1" applyBorder="1" applyAlignment="1">
      <alignment vertical="center" shrinkToFit="1"/>
    </xf>
    <xf numFmtId="38" fontId="14" fillId="3" borderId="4" xfId="1" applyNumberFormat="1" applyFont="1" applyFill="1" applyBorder="1" applyAlignment="1">
      <alignment vertical="center" shrinkToFit="1"/>
    </xf>
    <xf numFmtId="179" fontId="14" fillId="3" borderId="34" xfId="2" applyNumberFormat="1" applyFont="1" applyFill="1" applyBorder="1" applyAlignment="1">
      <alignment horizontal="center" vertical="top"/>
    </xf>
    <xf numFmtId="179" fontId="14" fillId="3" borderId="37" xfId="2" applyNumberFormat="1" applyFont="1" applyFill="1" applyBorder="1" applyAlignment="1">
      <alignment horizontal="center" vertical="top"/>
    </xf>
    <xf numFmtId="179" fontId="14" fillId="3" borderId="0" xfId="2" applyNumberFormat="1" applyFont="1" applyFill="1" applyBorder="1" applyAlignment="1">
      <alignment horizontal="center" vertical="top"/>
    </xf>
    <xf numFmtId="179" fontId="14" fillId="3" borderId="42" xfId="2" applyNumberFormat="1" applyFont="1" applyFill="1" applyBorder="1" applyAlignment="1">
      <alignment horizontal="center" vertical="top"/>
    </xf>
    <xf numFmtId="179" fontId="14" fillId="3" borderId="38" xfId="1" applyNumberFormat="1" applyFont="1" applyFill="1" applyBorder="1" applyAlignment="1">
      <alignment horizontal="center" vertical="top"/>
    </xf>
    <xf numFmtId="179" fontId="14" fillId="3" borderId="34" xfId="1" applyNumberFormat="1" applyFont="1" applyFill="1" applyBorder="1" applyAlignment="1">
      <alignment horizontal="center" vertical="top"/>
    </xf>
    <xf numFmtId="179" fontId="14" fillId="3" borderId="43" xfId="1" applyNumberFormat="1" applyFont="1" applyFill="1" applyBorder="1" applyAlignment="1">
      <alignment horizontal="center" vertical="top"/>
    </xf>
    <xf numFmtId="179" fontId="14" fillId="3" borderId="0" xfId="1" applyNumberFormat="1" applyFont="1" applyFill="1" applyAlignment="1">
      <alignment horizontal="center" vertical="top"/>
    </xf>
    <xf numFmtId="179" fontId="14" fillId="3" borderId="41" xfId="1" applyNumberFormat="1" applyFont="1" applyFill="1" applyBorder="1" applyAlignment="1">
      <alignment horizontal="center" vertical="top"/>
    </xf>
    <xf numFmtId="38" fontId="14" fillId="3" borderId="55" xfId="2" applyFont="1" applyFill="1" applyBorder="1" applyAlignment="1">
      <alignment vertical="center" shrinkToFit="1"/>
    </xf>
    <xf numFmtId="38" fontId="14" fillId="3" borderId="36" xfId="2" applyFont="1" applyFill="1" applyBorder="1" applyAlignment="1">
      <alignment vertical="center" shrinkToFit="1"/>
    </xf>
    <xf numFmtId="179" fontId="14" fillId="3" borderId="39" xfId="2" applyNumberFormat="1" applyFont="1" applyFill="1" applyBorder="1" applyAlignment="1">
      <alignment horizontal="right" vertical="center" shrinkToFit="1"/>
    </xf>
    <xf numFmtId="179" fontId="14" fillId="3" borderId="21" xfId="2" applyNumberFormat="1" applyFont="1" applyFill="1" applyBorder="1" applyAlignment="1">
      <alignment horizontal="right" vertical="center" shrinkToFit="1"/>
    </xf>
    <xf numFmtId="179" fontId="14" fillId="10" borderId="39" xfId="2" applyNumberFormat="1" applyFont="1" applyFill="1" applyBorder="1" applyAlignment="1">
      <alignment horizontal="right" vertical="center" shrinkToFit="1"/>
    </xf>
    <xf numFmtId="179" fontId="14" fillId="10" borderId="21" xfId="2" applyNumberFormat="1" applyFont="1" applyFill="1" applyBorder="1" applyAlignment="1">
      <alignment horizontal="right" vertical="center" shrinkToFit="1"/>
    </xf>
    <xf numFmtId="179" fontId="14" fillId="10" borderId="55" xfId="2" applyNumberFormat="1" applyFont="1" applyFill="1" applyBorder="1" applyAlignment="1">
      <alignment horizontal="right" vertical="center" shrinkToFit="1"/>
    </xf>
    <xf numFmtId="179" fontId="14" fillId="10" borderId="56" xfId="2" applyNumberFormat="1" applyFont="1" applyFill="1" applyBorder="1" applyAlignment="1">
      <alignment horizontal="right" vertical="center" shrinkToFit="1"/>
    </xf>
    <xf numFmtId="179" fontId="14" fillId="3" borderId="55" xfId="2" applyNumberFormat="1" applyFont="1" applyFill="1" applyBorder="1" applyAlignment="1">
      <alignment horizontal="right" vertical="center" shrinkToFit="1"/>
    </xf>
    <xf numFmtId="179" fontId="14" fillId="3" borderId="56" xfId="2" applyNumberFormat="1" applyFont="1" applyFill="1" applyBorder="1" applyAlignment="1">
      <alignment horizontal="right" vertical="center" shrinkToFit="1"/>
    </xf>
    <xf numFmtId="179" fontId="14" fillId="3" borderId="3" xfId="2" applyNumberFormat="1" applyFont="1" applyFill="1" applyBorder="1" applyAlignment="1">
      <alignment horizontal="right" vertical="center" shrinkToFit="1"/>
    </xf>
    <xf numFmtId="38" fontId="14" fillId="3" borderId="20" xfId="2" applyFont="1" applyFill="1" applyBorder="1" applyAlignment="1">
      <alignment vertical="center"/>
    </xf>
    <xf numFmtId="9" fontId="14" fillId="3" borderId="3" xfId="3" applyFont="1" applyFill="1" applyBorder="1" applyAlignment="1">
      <alignment horizontal="center" vertical="top"/>
    </xf>
    <xf numFmtId="9" fontId="14" fillId="3" borderId="39" xfId="3" applyFont="1" applyFill="1" applyBorder="1" applyAlignment="1">
      <alignment horizontal="center" vertical="top"/>
    </xf>
    <xf numFmtId="9" fontId="14" fillId="3" borderId="6" xfId="3" applyFont="1" applyFill="1" applyBorder="1" applyAlignment="1">
      <alignment horizontal="center" vertical="top"/>
    </xf>
    <xf numFmtId="9" fontId="14" fillId="3" borderId="66" xfId="3" applyFont="1" applyFill="1" applyBorder="1" applyAlignment="1">
      <alignment horizontal="center" vertical="top"/>
    </xf>
    <xf numFmtId="9" fontId="14" fillId="3" borderId="48" xfId="3" applyFont="1" applyFill="1" applyBorder="1" applyAlignment="1">
      <alignment horizontal="center" vertical="top"/>
    </xf>
    <xf numFmtId="9" fontId="14" fillId="3" borderId="45" xfId="3" applyFont="1" applyFill="1" applyBorder="1" applyAlignment="1">
      <alignment horizontal="center" vertical="top"/>
    </xf>
    <xf numFmtId="180" fontId="14" fillId="3" borderId="55" xfId="2" applyNumberFormat="1" applyFont="1" applyFill="1" applyBorder="1" applyAlignment="1">
      <alignment vertical="center" shrinkToFit="1"/>
    </xf>
    <xf numFmtId="180" fontId="14" fillId="3" borderId="56" xfId="2" applyNumberFormat="1" applyFont="1" applyFill="1" applyBorder="1" applyAlignment="1">
      <alignment vertical="center" shrinkToFit="1"/>
    </xf>
    <xf numFmtId="179" fontId="14" fillId="3" borderId="39" xfId="2" applyNumberFormat="1" applyFont="1" applyFill="1" applyBorder="1" applyAlignment="1">
      <alignment vertical="center"/>
    </xf>
    <xf numFmtId="179" fontId="14" fillId="3" borderId="56" xfId="2" applyNumberFormat="1" applyFont="1" applyFill="1" applyBorder="1" applyAlignment="1">
      <alignment vertical="center"/>
    </xf>
    <xf numFmtId="0" fontId="14" fillId="3" borderId="20" xfId="1" applyFont="1" applyFill="1" applyBorder="1">
      <alignment vertical="center"/>
    </xf>
    <xf numFmtId="0" fontId="14" fillId="3" borderId="20" xfId="1" quotePrefix="1" applyFont="1" applyFill="1" applyBorder="1">
      <alignment vertical="center"/>
    </xf>
    <xf numFmtId="179" fontId="14" fillId="3" borderId="2" xfId="2" applyNumberFormat="1" applyFont="1" applyFill="1" applyBorder="1" applyAlignment="1">
      <alignment vertical="center"/>
    </xf>
    <xf numFmtId="179" fontId="14" fillId="3" borderId="3" xfId="2" applyNumberFormat="1" applyFont="1" applyFill="1" applyBorder="1" applyAlignment="1">
      <alignment vertical="center"/>
    </xf>
    <xf numFmtId="179" fontId="14" fillId="3" borderId="39" xfId="2" applyNumberFormat="1" applyFont="1" applyFill="1" applyBorder="1" applyAlignment="1">
      <alignment vertical="center" shrinkToFit="1"/>
    </xf>
    <xf numFmtId="179" fontId="14" fillId="3" borderId="21" xfId="2" applyNumberFormat="1" applyFont="1" applyFill="1" applyBorder="1" applyAlignment="1">
      <alignment vertical="center" shrinkToFit="1"/>
    </xf>
    <xf numFmtId="179" fontId="14" fillId="3" borderId="4" xfId="2" applyNumberFormat="1" applyFont="1" applyFill="1" applyBorder="1" applyAlignment="1">
      <alignment vertical="center"/>
    </xf>
    <xf numFmtId="179" fontId="14" fillId="9" borderId="55" xfId="2" applyNumberFormat="1" applyFont="1" applyFill="1" applyBorder="1" applyAlignment="1">
      <alignment vertical="center"/>
    </xf>
    <xf numFmtId="179" fontId="14" fillId="9" borderId="56" xfId="2" applyNumberFormat="1" applyFont="1" applyFill="1" applyBorder="1" applyAlignment="1">
      <alignment vertical="center"/>
    </xf>
    <xf numFmtId="38" fontId="14" fillId="3" borderId="55" xfId="2" applyFont="1" applyFill="1" applyBorder="1" applyAlignment="1">
      <alignment vertical="center"/>
    </xf>
    <xf numFmtId="38" fontId="14" fillId="3" borderId="36" xfId="2" applyFont="1" applyFill="1" applyBorder="1" applyAlignment="1">
      <alignment vertical="center"/>
    </xf>
    <xf numFmtId="38" fontId="14" fillId="3" borderId="20" xfId="2" applyFont="1" applyFill="1" applyBorder="1" applyAlignment="1">
      <alignment horizontal="center" vertical="center"/>
    </xf>
    <xf numFmtId="0" fontId="14" fillId="8" borderId="25" xfId="1" applyFont="1" applyFill="1" applyBorder="1" applyAlignment="1">
      <alignment horizontal="center" vertical="center"/>
    </xf>
    <xf numFmtId="0" fontId="14" fillId="8" borderId="29" xfId="1" applyFont="1" applyFill="1" applyBorder="1" applyAlignment="1">
      <alignment horizontal="center" vertical="center"/>
    </xf>
    <xf numFmtId="0" fontId="14" fillId="8" borderId="26" xfId="1" applyFont="1" applyFill="1" applyBorder="1" applyAlignment="1">
      <alignment horizontal="center" vertical="center"/>
    </xf>
    <xf numFmtId="0" fontId="14" fillId="8" borderId="60" xfId="1" applyFont="1" applyFill="1" applyBorder="1" applyAlignment="1">
      <alignment horizontal="center" vertical="center"/>
    </xf>
    <xf numFmtId="0" fontId="14" fillId="8" borderId="27" xfId="1" applyFont="1" applyFill="1" applyBorder="1" applyAlignment="1">
      <alignment horizontal="center" vertical="center"/>
    </xf>
    <xf numFmtId="0" fontId="14" fillId="8" borderId="28" xfId="1" applyFont="1" applyFill="1" applyBorder="1" applyAlignment="1">
      <alignment horizontal="center" vertical="center"/>
    </xf>
    <xf numFmtId="0" fontId="14" fillId="3" borderId="23" xfId="1" applyFont="1" applyFill="1" applyBorder="1">
      <alignment vertical="center"/>
    </xf>
    <xf numFmtId="38" fontId="14" fillId="10" borderId="11" xfId="2" applyFont="1" applyFill="1" applyBorder="1" applyAlignment="1">
      <alignment vertical="center" shrinkToFit="1"/>
    </xf>
    <xf numFmtId="38" fontId="14" fillId="10" borderId="12" xfId="2" applyFont="1" applyFill="1" applyBorder="1" applyAlignment="1">
      <alignment vertical="center" shrinkToFit="1"/>
    </xf>
    <xf numFmtId="38" fontId="14" fillId="10" borderId="13" xfId="2" applyFont="1" applyFill="1" applyBorder="1" applyAlignment="1">
      <alignment vertical="center" shrinkToFit="1"/>
    </xf>
    <xf numFmtId="0" fontId="14" fillId="10" borderId="30" xfId="1" applyFont="1" applyFill="1" applyBorder="1" applyAlignment="1">
      <alignment horizontal="center" vertical="center"/>
    </xf>
    <xf numFmtId="0" fontId="14" fillId="10" borderId="32" xfId="1" applyFont="1" applyFill="1" applyBorder="1" applyAlignment="1">
      <alignment horizontal="center" vertical="center"/>
    </xf>
    <xf numFmtId="0" fontId="14" fillId="4" borderId="70" xfId="1" applyFont="1" applyFill="1" applyBorder="1" applyAlignment="1">
      <alignment vertical="center" shrinkToFit="1"/>
    </xf>
    <xf numFmtId="0" fontId="14" fillId="4" borderId="17" xfId="1" applyFont="1" applyFill="1" applyBorder="1" applyAlignment="1">
      <alignment vertical="center" shrinkToFit="1"/>
    </xf>
    <xf numFmtId="0" fontId="14" fillId="7" borderId="25" xfId="1" applyFont="1" applyFill="1" applyBorder="1" applyAlignment="1">
      <alignment horizontal="center" vertical="center" shrinkToFit="1"/>
    </xf>
    <xf numFmtId="0" fontId="14" fillId="7" borderId="29" xfId="1" applyFont="1" applyFill="1" applyBorder="1" applyAlignment="1">
      <alignment horizontal="center" vertical="center" shrinkToFit="1"/>
    </xf>
    <xf numFmtId="0" fontId="14" fillId="7" borderId="26" xfId="1" applyFont="1" applyFill="1" applyBorder="1" applyAlignment="1">
      <alignment horizontal="center" vertical="center" shrinkToFit="1"/>
    </xf>
    <xf numFmtId="0" fontId="14" fillId="7" borderId="60" xfId="1" applyFont="1" applyFill="1" applyBorder="1" applyAlignment="1">
      <alignment horizontal="center" vertical="center" shrinkToFit="1"/>
    </xf>
    <xf numFmtId="0" fontId="14" fillId="7" borderId="27" xfId="1" applyFont="1" applyFill="1" applyBorder="1" applyAlignment="1">
      <alignment horizontal="center" vertical="center" shrinkToFit="1"/>
    </xf>
    <xf numFmtId="0" fontId="14" fillId="7" borderId="28" xfId="1" applyFont="1" applyFill="1" applyBorder="1" applyAlignment="1">
      <alignment horizontal="center" vertical="center" shrinkToFit="1"/>
    </xf>
    <xf numFmtId="0" fontId="14" fillId="8" borderId="33" xfId="1" applyFont="1" applyFill="1" applyBorder="1" applyAlignment="1">
      <alignment horizontal="center" vertical="center"/>
    </xf>
    <xf numFmtId="0" fontId="14" fillId="8" borderId="37" xfId="1" applyFont="1" applyFill="1" applyBorder="1" applyAlignment="1">
      <alignment horizontal="center" vertical="center"/>
    </xf>
    <xf numFmtId="0" fontId="14" fillId="8" borderId="52" xfId="1" applyFont="1" applyFill="1" applyBorder="1" applyAlignment="1">
      <alignment horizontal="center" vertical="center"/>
    </xf>
    <xf numFmtId="0" fontId="14" fillId="8" borderId="50" xfId="1" applyFont="1" applyFill="1" applyBorder="1" applyAlignment="1">
      <alignment horizontal="center" vertical="center"/>
    </xf>
    <xf numFmtId="0" fontId="14" fillId="8" borderId="38" xfId="1" applyFont="1" applyFill="1" applyBorder="1" applyAlignment="1">
      <alignment horizontal="center" vertical="center"/>
    </xf>
    <xf numFmtId="0" fontId="14" fillId="8" borderId="49" xfId="1" applyFont="1" applyFill="1" applyBorder="1" applyAlignment="1">
      <alignment horizontal="center" vertical="center"/>
    </xf>
    <xf numFmtId="0" fontId="14" fillId="8" borderId="35" xfId="1" applyFont="1" applyFill="1" applyBorder="1" applyAlignment="1">
      <alignment horizontal="center" vertical="center"/>
    </xf>
    <xf numFmtId="0" fontId="14" fillId="8" borderId="53" xfId="1" applyFont="1" applyFill="1" applyBorder="1" applyAlignment="1">
      <alignment horizontal="center" vertical="center"/>
    </xf>
    <xf numFmtId="0" fontId="14" fillId="4" borderId="3" xfId="1" applyFont="1" applyFill="1" applyBorder="1" applyAlignment="1">
      <alignment horizontal="center" vertical="center" wrapText="1" shrinkToFit="1"/>
    </xf>
    <xf numFmtId="0" fontId="14" fillId="4" borderId="4" xfId="1" applyFont="1" applyFill="1" applyBorder="1" applyAlignment="1">
      <alignment horizontal="center" vertical="center" wrapText="1" shrinkToFit="1"/>
    </xf>
    <xf numFmtId="0" fontId="14" fillId="4" borderId="48" xfId="1" applyFont="1" applyFill="1" applyBorder="1" applyAlignment="1">
      <alignment horizontal="center" vertical="center" wrapText="1" shrinkToFit="1"/>
    </xf>
    <xf numFmtId="0" fontId="14" fillId="4" borderId="51" xfId="1" applyFont="1" applyFill="1" applyBorder="1" applyAlignment="1">
      <alignment horizontal="center" vertical="center" wrapText="1" shrinkToFit="1"/>
    </xf>
    <xf numFmtId="0" fontId="14" fillId="15" borderId="25" xfId="1" applyFont="1" applyFill="1" applyBorder="1" applyAlignment="1">
      <alignment vertical="center" wrapText="1"/>
    </xf>
    <xf numFmtId="0" fontId="14" fillId="15" borderId="26" xfId="1" applyFont="1" applyFill="1" applyBorder="1" applyAlignment="1">
      <alignment vertical="center" wrapText="1"/>
    </xf>
    <xf numFmtId="0" fontId="14" fillId="15" borderId="38" xfId="1" applyFont="1" applyFill="1" applyBorder="1">
      <alignment vertical="center"/>
    </xf>
    <xf numFmtId="0" fontId="14" fillId="15" borderId="34" xfId="1" applyFont="1" applyFill="1" applyBorder="1">
      <alignment vertical="center"/>
    </xf>
    <xf numFmtId="0" fontId="14" fillId="15" borderId="35" xfId="1" applyFont="1" applyFill="1" applyBorder="1">
      <alignment vertical="center"/>
    </xf>
    <xf numFmtId="0" fontId="14" fillId="15" borderId="49" xfId="1" applyFont="1" applyFill="1" applyBorder="1">
      <alignment vertical="center"/>
    </xf>
    <xf numFmtId="0" fontId="14" fillId="15" borderId="59" xfId="1" applyFont="1" applyFill="1" applyBorder="1">
      <alignment vertical="center"/>
    </xf>
    <xf numFmtId="0" fontId="14" fillId="15" borderId="53" xfId="1" applyFont="1" applyFill="1" applyBorder="1">
      <alignment vertical="center"/>
    </xf>
    <xf numFmtId="0" fontId="14" fillId="15" borderId="37" xfId="1" applyFont="1" applyFill="1" applyBorder="1" applyAlignment="1">
      <alignment horizontal="center" vertical="center"/>
    </xf>
    <xf numFmtId="0" fontId="14" fillId="15" borderId="29" xfId="1" applyFont="1" applyFill="1" applyBorder="1" applyAlignment="1">
      <alignment horizontal="center" vertical="center"/>
    </xf>
    <xf numFmtId="0" fontId="14" fillId="15" borderId="42" xfId="1" applyFont="1" applyFill="1" applyBorder="1" applyAlignment="1">
      <alignment horizontal="center" vertical="center"/>
    </xf>
    <xf numFmtId="0" fontId="14" fillId="15" borderId="57" xfId="1" applyFont="1" applyFill="1" applyBorder="1" applyAlignment="1">
      <alignment horizontal="center" vertical="center"/>
    </xf>
    <xf numFmtId="0" fontId="14" fillId="15" borderId="29" xfId="1" applyFont="1" applyFill="1" applyBorder="1" applyAlignment="1">
      <alignment horizontal="center" vertical="center" wrapText="1" shrinkToFit="1"/>
    </xf>
    <xf numFmtId="0" fontId="14" fillId="15" borderId="27" xfId="1" applyFont="1" applyFill="1" applyBorder="1" applyAlignment="1">
      <alignment horizontal="center" vertical="center" wrapText="1" shrinkToFit="1"/>
    </xf>
    <xf numFmtId="0" fontId="14" fillId="15" borderId="57" xfId="1" applyFont="1" applyFill="1" applyBorder="1" applyAlignment="1">
      <alignment horizontal="center" vertical="center" wrapText="1" shrinkToFit="1"/>
    </xf>
    <xf numFmtId="0" fontId="14" fillId="15" borderId="58" xfId="1" applyFont="1" applyFill="1" applyBorder="1" applyAlignment="1">
      <alignment horizontal="center" vertical="center" wrapText="1" shrinkToFit="1"/>
    </xf>
    <xf numFmtId="0" fontId="14" fillId="7" borderId="40" xfId="1" applyFont="1" applyFill="1" applyBorder="1" applyAlignment="1">
      <alignment horizontal="center" vertical="center"/>
    </xf>
    <xf numFmtId="0" fontId="14" fillId="7" borderId="0" xfId="1" applyFont="1" applyFill="1" applyAlignment="1">
      <alignment horizontal="center" vertical="center"/>
    </xf>
    <xf numFmtId="0" fontId="14" fillId="7" borderId="41" xfId="1" applyFont="1" applyFill="1" applyBorder="1" applyAlignment="1">
      <alignment horizontal="center" vertical="center"/>
    </xf>
    <xf numFmtId="0" fontId="14" fillId="7" borderId="52" xfId="1" applyFont="1" applyFill="1" applyBorder="1" applyAlignment="1">
      <alignment horizontal="center" vertical="center"/>
    </xf>
    <xf numFmtId="0" fontId="14" fillId="7" borderId="59" xfId="1" applyFont="1" applyFill="1" applyBorder="1" applyAlignment="1">
      <alignment horizontal="center" vertical="center"/>
    </xf>
    <xf numFmtId="0" fontId="14" fillId="7" borderId="53" xfId="1" applyFont="1" applyFill="1" applyBorder="1" applyAlignment="1">
      <alignment horizontal="center" vertical="center"/>
    </xf>
    <xf numFmtId="0" fontId="14" fillId="2" borderId="33" xfId="1" applyFont="1" applyFill="1" applyBorder="1" applyAlignment="1">
      <alignment horizontal="center" vertical="center" wrapText="1" shrinkToFit="1"/>
    </xf>
    <xf numFmtId="0" fontId="14" fillId="2" borderId="37" xfId="1" applyFont="1" applyFill="1" applyBorder="1" applyAlignment="1">
      <alignment horizontal="center" vertical="center" wrapText="1" shrinkToFit="1"/>
    </xf>
    <xf numFmtId="0" fontId="14" fillId="2" borderId="40" xfId="1" applyFont="1" applyFill="1" applyBorder="1" applyAlignment="1">
      <alignment horizontal="center" vertical="center" wrapText="1" shrinkToFit="1"/>
    </xf>
    <xf numFmtId="0" fontId="14" fillId="2" borderId="42" xfId="1" applyFont="1" applyFill="1" applyBorder="1" applyAlignment="1">
      <alignment horizontal="center" vertical="center" wrapText="1" shrinkToFit="1"/>
    </xf>
    <xf numFmtId="0" fontId="14" fillId="2" borderId="52" xfId="1" applyFont="1" applyFill="1" applyBorder="1" applyAlignment="1">
      <alignment horizontal="center" vertical="center" wrapText="1" shrinkToFit="1"/>
    </xf>
    <xf numFmtId="0" fontId="14" fillId="2" borderId="50" xfId="1" applyFont="1" applyFill="1" applyBorder="1" applyAlignment="1">
      <alignment horizontal="center" vertical="center" wrapText="1" shrinkToFit="1"/>
    </xf>
    <xf numFmtId="0" fontId="14" fillId="2" borderId="38" xfId="1" applyFont="1" applyFill="1" applyBorder="1" applyAlignment="1">
      <alignment horizontal="center" vertical="center" wrapText="1" shrinkToFit="1"/>
    </xf>
    <xf numFmtId="0" fontId="14" fillId="2" borderId="35" xfId="1" applyFont="1" applyFill="1" applyBorder="1" applyAlignment="1">
      <alignment horizontal="center" vertical="center" wrapText="1" shrinkToFit="1"/>
    </xf>
    <xf numFmtId="0" fontId="14" fillId="2" borderId="43" xfId="1" applyFont="1" applyFill="1" applyBorder="1" applyAlignment="1">
      <alignment horizontal="center" vertical="center" wrapText="1" shrinkToFit="1"/>
    </xf>
    <xf numFmtId="0" fontId="14" fillId="2" borderId="41" xfId="1" applyFont="1" applyFill="1" applyBorder="1" applyAlignment="1">
      <alignment horizontal="center" vertical="center" wrapText="1" shrinkToFit="1"/>
    </xf>
    <xf numFmtId="0" fontId="14" fillId="2" borderId="49" xfId="1" applyFont="1" applyFill="1" applyBorder="1" applyAlignment="1">
      <alignment horizontal="center" vertical="center" wrapText="1" shrinkToFit="1"/>
    </xf>
    <xf numFmtId="0" fontId="14" fillId="2" borderId="53" xfId="1" applyFont="1" applyFill="1" applyBorder="1" applyAlignment="1">
      <alignment horizontal="center" vertical="center" wrapText="1" shrinkToFit="1"/>
    </xf>
    <xf numFmtId="0" fontId="14" fillId="2" borderId="33" xfId="1" applyFont="1" applyFill="1" applyBorder="1" applyAlignment="1">
      <alignment horizontal="center" vertical="center" wrapText="1"/>
    </xf>
    <xf numFmtId="0" fontId="14" fillId="2" borderId="35" xfId="1" applyFont="1" applyFill="1" applyBorder="1" applyAlignment="1">
      <alignment horizontal="center" vertical="center" wrapText="1"/>
    </xf>
    <xf numFmtId="0" fontId="14" fillId="2" borderId="40" xfId="1" applyFont="1" applyFill="1" applyBorder="1" applyAlignment="1">
      <alignment horizontal="center" vertical="center" wrapText="1"/>
    </xf>
    <xf numFmtId="0" fontId="14" fillId="2" borderId="41" xfId="1" applyFont="1" applyFill="1" applyBorder="1" applyAlignment="1">
      <alignment horizontal="center" vertical="center" wrapText="1"/>
    </xf>
    <xf numFmtId="0" fontId="14" fillId="2" borderId="52" xfId="1" applyFont="1" applyFill="1" applyBorder="1" applyAlignment="1">
      <alignment horizontal="center" vertical="center" wrapText="1"/>
    </xf>
    <xf numFmtId="0" fontId="14" fillId="2" borderId="53" xfId="1" applyFont="1" applyFill="1" applyBorder="1" applyAlignment="1">
      <alignment horizontal="center" vertical="center" wrapText="1"/>
    </xf>
    <xf numFmtId="0" fontId="14" fillId="8" borderId="33" xfId="1" applyFont="1" applyFill="1" applyBorder="1">
      <alignment vertical="center"/>
    </xf>
    <xf numFmtId="0" fontId="14" fillId="8" borderId="34" xfId="1" applyFont="1" applyFill="1" applyBorder="1">
      <alignment vertical="center"/>
    </xf>
    <xf numFmtId="0" fontId="14" fillId="8" borderId="35" xfId="1" applyFont="1" applyFill="1" applyBorder="1">
      <alignment vertical="center"/>
    </xf>
    <xf numFmtId="0" fontId="14" fillId="3" borderId="22" xfId="1" applyFont="1" applyFill="1" applyBorder="1">
      <alignment vertical="center"/>
    </xf>
    <xf numFmtId="0" fontId="14" fillId="5" borderId="2" xfId="1" applyFont="1" applyFill="1" applyBorder="1" applyAlignment="1">
      <alignment horizontal="center" vertical="center" wrapText="1"/>
    </xf>
    <xf numFmtId="0" fontId="14" fillId="5" borderId="3" xfId="1" applyFont="1" applyFill="1" applyBorder="1" applyAlignment="1">
      <alignment horizontal="center" vertical="center"/>
    </xf>
    <xf numFmtId="0" fontId="14" fillId="5" borderId="44" xfId="1" applyFont="1" applyFill="1" applyBorder="1" applyAlignment="1">
      <alignment horizontal="center" vertical="center"/>
    </xf>
    <xf numFmtId="0" fontId="14" fillId="5" borderId="48" xfId="1" applyFont="1" applyFill="1" applyBorder="1" applyAlignment="1">
      <alignment horizontal="center" vertical="center"/>
    </xf>
    <xf numFmtId="0" fontId="14" fillId="5" borderId="38" xfId="1" applyFont="1" applyFill="1" applyBorder="1" applyAlignment="1">
      <alignment horizontal="center" vertical="center"/>
    </xf>
    <xf numFmtId="0" fontId="14" fillId="5" borderId="37" xfId="1" applyFont="1" applyFill="1" applyBorder="1" applyAlignment="1">
      <alignment horizontal="center" vertical="center"/>
    </xf>
    <xf numFmtId="0" fontId="14" fillId="5" borderId="49" xfId="1" applyFont="1" applyFill="1" applyBorder="1" applyAlignment="1">
      <alignment horizontal="center" vertical="center"/>
    </xf>
    <xf numFmtId="0" fontId="14" fillId="5" borderId="50" xfId="1" applyFont="1" applyFill="1" applyBorder="1" applyAlignment="1">
      <alignment horizontal="center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51" xfId="1" applyFont="1" applyFill="1" applyBorder="1" applyAlignment="1">
      <alignment horizontal="center" vertical="center"/>
    </xf>
    <xf numFmtId="0" fontId="17" fillId="4" borderId="38" xfId="1" applyFont="1" applyFill="1" applyBorder="1" applyAlignment="1">
      <alignment horizontal="center" vertical="center" wrapText="1"/>
    </xf>
    <xf numFmtId="0" fontId="17" fillId="4" borderId="37" xfId="1" applyFont="1" applyFill="1" applyBorder="1" applyAlignment="1">
      <alignment horizontal="center" vertical="center" wrapText="1"/>
    </xf>
    <xf numFmtId="0" fontId="17" fillId="4" borderId="49" xfId="1" applyFont="1" applyFill="1" applyBorder="1" applyAlignment="1">
      <alignment horizontal="center" vertical="center" wrapText="1"/>
    </xf>
    <xf numFmtId="0" fontId="17" fillId="4" borderId="50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 shrinkToFit="1"/>
    </xf>
    <xf numFmtId="0" fontId="14" fillId="4" borderId="44" xfId="1" applyFont="1" applyFill="1" applyBorder="1" applyAlignment="1">
      <alignment horizontal="center" vertical="center" wrapText="1" shrinkToFit="1"/>
    </xf>
    <xf numFmtId="0" fontId="14" fillId="10" borderId="30" xfId="1" applyFont="1" applyFill="1" applyBorder="1" applyAlignment="1">
      <alignment horizontal="center" vertical="center" shrinkToFit="1"/>
    </xf>
    <xf numFmtId="0" fontId="14" fillId="10" borderId="31" xfId="1" applyFont="1" applyFill="1" applyBorder="1" applyAlignment="1">
      <alignment horizontal="center" vertical="center" shrinkToFit="1"/>
    </xf>
    <xf numFmtId="0" fontId="14" fillId="10" borderId="32" xfId="1" applyFont="1" applyFill="1" applyBorder="1" applyAlignment="1">
      <alignment horizontal="center" vertical="center" shrinkToFit="1"/>
    </xf>
    <xf numFmtId="0" fontId="14" fillId="4" borderId="21" xfId="1" applyFont="1" applyFill="1" applyBorder="1" applyAlignment="1">
      <alignment horizontal="center" vertical="center" wrapText="1" shrinkToFit="1"/>
    </xf>
    <xf numFmtId="0" fontId="14" fillId="4" borderId="54" xfId="1" applyFont="1" applyFill="1" applyBorder="1" applyAlignment="1">
      <alignment horizontal="center" vertical="center" wrapText="1" shrinkToFit="1"/>
    </xf>
    <xf numFmtId="0" fontId="14" fillId="4" borderId="39" xfId="1" applyFont="1" applyFill="1" applyBorder="1" applyAlignment="1">
      <alignment vertical="center" wrapText="1" shrinkToFit="1"/>
    </xf>
    <xf numFmtId="0" fontId="14" fillId="4" borderId="36" xfId="1" applyFont="1" applyFill="1" applyBorder="1" applyAlignment="1">
      <alignment vertical="center" wrapText="1" shrinkToFit="1"/>
    </xf>
    <xf numFmtId="0" fontId="14" fillId="4" borderId="21" xfId="1" applyFont="1" applyFill="1" applyBorder="1" applyAlignment="1">
      <alignment vertical="center" wrapText="1" shrinkToFit="1"/>
    </xf>
    <xf numFmtId="0" fontId="14" fillId="9" borderId="33" xfId="1" applyFont="1" applyFill="1" applyBorder="1" applyAlignment="1">
      <alignment horizontal="center" vertical="center"/>
    </xf>
    <xf numFmtId="0" fontId="14" fillId="9" borderId="35" xfId="1" applyFont="1" applyFill="1" applyBorder="1" applyAlignment="1">
      <alignment horizontal="center" vertical="center"/>
    </xf>
    <xf numFmtId="0" fontId="14" fillId="9" borderId="52" xfId="1" applyFont="1" applyFill="1" applyBorder="1" applyAlignment="1">
      <alignment horizontal="center" vertical="center"/>
    </xf>
    <xf numFmtId="0" fontId="14" fillId="9" borderId="53" xfId="1" applyFont="1" applyFill="1" applyBorder="1" applyAlignment="1">
      <alignment horizontal="center" vertical="center"/>
    </xf>
    <xf numFmtId="0" fontId="14" fillId="5" borderId="33" xfId="1" applyFont="1" applyFill="1" applyBorder="1" applyAlignment="1">
      <alignment horizontal="center" vertical="center"/>
    </xf>
    <xf numFmtId="0" fontId="14" fillId="5" borderId="34" xfId="1" applyFont="1" applyFill="1" applyBorder="1" applyAlignment="1">
      <alignment horizontal="center" vertical="center"/>
    </xf>
    <xf numFmtId="0" fontId="14" fillId="5" borderId="40" xfId="1" applyFont="1" applyFill="1" applyBorder="1" applyAlignment="1">
      <alignment horizontal="center" vertical="center"/>
    </xf>
    <xf numFmtId="0" fontId="14" fillId="5" borderId="0" xfId="1" applyFont="1" applyFill="1" applyAlignment="1">
      <alignment horizontal="center" vertical="center"/>
    </xf>
    <xf numFmtId="0" fontId="14" fillId="5" borderId="22" xfId="1" applyFont="1" applyFill="1" applyBorder="1" applyAlignment="1">
      <alignment horizontal="center" vertical="center" wrapText="1"/>
    </xf>
    <xf numFmtId="0" fontId="14" fillId="5" borderId="23" xfId="1" applyFont="1" applyFill="1" applyBorder="1" applyAlignment="1">
      <alignment horizontal="center" vertical="center" wrapText="1"/>
    </xf>
    <xf numFmtId="0" fontId="15" fillId="5" borderId="22" xfId="1" applyFont="1" applyFill="1" applyBorder="1" applyAlignment="1">
      <alignment horizontal="center" vertical="center" wrapText="1"/>
    </xf>
    <xf numFmtId="0" fontId="15" fillId="5" borderId="23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39" xfId="1" applyFont="1" applyFill="1" applyBorder="1" applyAlignment="1">
      <alignment horizontal="center" vertical="center"/>
    </xf>
    <xf numFmtId="0" fontId="14" fillId="4" borderId="48" xfId="1" applyFont="1" applyFill="1" applyBorder="1" applyAlignment="1">
      <alignment horizontal="center" vertical="center"/>
    </xf>
    <xf numFmtId="0" fontId="14" fillId="4" borderId="45" xfId="1" applyFont="1" applyFill="1" applyBorder="1" applyAlignment="1">
      <alignment horizontal="center" vertical="center"/>
    </xf>
    <xf numFmtId="0" fontId="15" fillId="4" borderId="33" xfId="1" applyFont="1" applyFill="1" applyBorder="1" applyAlignment="1">
      <alignment horizontal="center" vertical="center" wrapText="1" shrinkToFit="1"/>
    </xf>
    <xf numFmtId="0" fontId="15" fillId="4" borderId="35" xfId="1" applyFont="1" applyFill="1" applyBorder="1" applyAlignment="1">
      <alignment horizontal="center" vertical="center" shrinkToFit="1"/>
    </xf>
    <xf numFmtId="0" fontId="15" fillId="4" borderId="52" xfId="1" applyFont="1" applyFill="1" applyBorder="1" applyAlignment="1">
      <alignment horizontal="center" vertical="center" shrinkToFit="1"/>
    </xf>
    <xf numFmtId="0" fontId="15" fillId="4" borderId="53" xfId="1" applyFont="1" applyFill="1" applyBorder="1" applyAlignment="1">
      <alignment horizontal="center" vertical="center" shrinkToFit="1"/>
    </xf>
    <xf numFmtId="0" fontId="14" fillId="15" borderId="34" xfId="1" applyFont="1" applyFill="1" applyBorder="1" applyAlignment="1">
      <alignment horizontal="center" vertical="center" wrapText="1"/>
    </xf>
    <xf numFmtId="0" fontId="14" fillId="15" borderId="35" xfId="1" applyFont="1" applyFill="1" applyBorder="1" applyAlignment="1">
      <alignment horizontal="center" vertical="center" wrapText="1"/>
    </xf>
  </cellXfs>
  <cellStyles count="6">
    <cellStyle name="パーセント" xfId="5" builtinId="5"/>
    <cellStyle name="パーセント 2" xfId="3" xr:uid="{7148B4CC-2094-4BBE-BD08-406C80427CC9}"/>
    <cellStyle name="桁区切り" xfId="4" builtinId="6"/>
    <cellStyle name="桁区切り 2" xfId="2" xr:uid="{15359439-4A7F-4316-B932-1DE380353F6B}"/>
    <cellStyle name="標準" xfId="0" builtinId="0"/>
    <cellStyle name="標準 2" xfId="1" xr:uid="{2480A5B3-1744-4302-8C05-BB8671B0270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28575</xdr:colOff>
      <xdr:row>71</xdr:row>
      <xdr:rowOff>161925</xdr:rowOff>
    </xdr:from>
    <xdr:to>
      <xdr:col>115</xdr:col>
      <xdr:colOff>28575</xdr:colOff>
      <xdr:row>78</xdr:row>
      <xdr:rowOff>141498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43EB92-C386-4E28-A27B-FC4069A4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17325" y="13687425"/>
          <a:ext cx="3095625" cy="1313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4972-0F13-499E-A7A7-B5BAF7AE8E02}">
  <sheetPr>
    <pageSetUpPr fitToPage="1"/>
  </sheetPr>
  <dimension ref="B2:K19"/>
  <sheetViews>
    <sheetView zoomScale="80" zoomScaleNormal="80" workbookViewId="0">
      <selection activeCell="G7" sqref="G7"/>
    </sheetView>
  </sheetViews>
  <sheetFormatPr defaultRowHeight="14.25"/>
  <cols>
    <col min="1" max="1" width="9" style="1"/>
    <col min="2" max="2" width="21.375" style="2" bestFit="1" customWidth="1"/>
    <col min="3" max="5" width="60.625" style="2" customWidth="1"/>
    <col min="6" max="16384" width="9" style="1"/>
  </cols>
  <sheetData>
    <row r="2" spans="2:11" ht="21">
      <c r="B2" s="59" t="s">
        <v>0</v>
      </c>
      <c r="C2" s="26"/>
      <c r="D2" s="26"/>
      <c r="E2" s="26"/>
    </row>
    <row r="3" spans="2:11" s="8" customFormat="1" ht="39">
      <c r="B3" s="14" t="s">
        <v>1</v>
      </c>
      <c r="C3" s="11" t="s">
        <v>2</v>
      </c>
      <c r="D3" s="9" t="s">
        <v>3</v>
      </c>
      <c r="E3" s="10" t="s">
        <v>4</v>
      </c>
    </row>
    <row r="4" spans="2:11" ht="33">
      <c r="B4" s="183" t="s">
        <v>1421</v>
      </c>
      <c r="C4" s="181" t="s">
        <v>1423</v>
      </c>
      <c r="D4" s="15" t="s">
        <v>7</v>
      </c>
      <c r="E4" s="185" t="s">
        <v>1425</v>
      </c>
    </row>
    <row r="5" spans="2:11" ht="57">
      <c r="B5" s="184"/>
      <c r="C5" s="182" t="s">
        <v>1422</v>
      </c>
      <c r="D5" s="6" t="s">
        <v>1383</v>
      </c>
      <c r="E5" s="186"/>
    </row>
    <row r="6" spans="2:11" ht="16.5">
      <c r="B6" s="183" t="s">
        <v>5</v>
      </c>
      <c r="C6" s="28" t="s">
        <v>6</v>
      </c>
      <c r="D6" s="15" t="s">
        <v>7</v>
      </c>
      <c r="E6" s="187" t="s">
        <v>8</v>
      </c>
    </row>
    <row r="7" spans="2:11" ht="85.5">
      <c r="B7" s="184"/>
      <c r="C7" s="13" t="s">
        <v>1384</v>
      </c>
      <c r="D7" s="6" t="s">
        <v>1383</v>
      </c>
      <c r="E7" s="188"/>
    </row>
    <row r="8" spans="2:11" ht="87.75">
      <c r="B8" s="189" t="s">
        <v>1385</v>
      </c>
      <c r="C8" s="17" t="s">
        <v>1386</v>
      </c>
      <c r="D8" s="3" t="s">
        <v>1387</v>
      </c>
      <c r="E8" s="16" t="s">
        <v>9</v>
      </c>
    </row>
    <row r="9" spans="2:11" ht="85.5">
      <c r="B9" s="190"/>
      <c r="C9" s="12" t="s">
        <v>1388</v>
      </c>
      <c r="D9" s="4" t="s">
        <v>1389</v>
      </c>
      <c r="E9" s="5" t="s">
        <v>10</v>
      </c>
      <c r="K9" s="93"/>
    </row>
    <row r="10" spans="2:11" ht="85.5">
      <c r="B10" s="191"/>
      <c r="C10" s="13" t="s">
        <v>1390</v>
      </c>
      <c r="D10" s="6" t="s">
        <v>1391</v>
      </c>
      <c r="E10" s="7" t="s">
        <v>11</v>
      </c>
    </row>
    <row r="11" spans="2:11" ht="33">
      <c r="B11" s="189" t="s">
        <v>12</v>
      </c>
      <c r="C11" s="17" t="s">
        <v>13</v>
      </c>
      <c r="D11" s="27" t="s">
        <v>14</v>
      </c>
      <c r="E11" s="194" t="s">
        <v>15</v>
      </c>
    </row>
    <row r="12" spans="2:11" ht="85.5">
      <c r="B12" s="191"/>
      <c r="C12" s="13" t="s">
        <v>16</v>
      </c>
      <c r="D12" s="6" t="s">
        <v>17</v>
      </c>
      <c r="E12" s="195"/>
    </row>
    <row r="13" spans="2:11" ht="16.5" customHeight="1">
      <c r="B13" s="189" t="s">
        <v>18</v>
      </c>
      <c r="C13" s="192" t="s">
        <v>1420</v>
      </c>
      <c r="D13" s="198" t="s">
        <v>1392</v>
      </c>
      <c r="E13" s="196" t="s">
        <v>1424</v>
      </c>
    </row>
    <row r="14" spans="2:11" ht="78.75" customHeight="1">
      <c r="B14" s="191"/>
      <c r="C14" s="193"/>
      <c r="D14" s="199"/>
      <c r="E14" s="197"/>
    </row>
    <row r="15" spans="2:11" s="18" customFormat="1">
      <c r="B15" s="19"/>
      <c r="C15" s="19"/>
      <c r="D15" s="19"/>
      <c r="E15" s="19"/>
    </row>
    <row r="16" spans="2:11" ht="66">
      <c r="B16" s="23" t="s">
        <v>19</v>
      </c>
      <c r="C16" s="24"/>
      <c r="D16" s="24"/>
      <c r="E16" s="25"/>
    </row>
    <row r="17" spans="2:5" ht="71.25">
      <c r="B17" s="29" t="s">
        <v>20</v>
      </c>
      <c r="C17" s="21" t="s">
        <v>21</v>
      </c>
      <c r="D17" s="21" t="s">
        <v>22</v>
      </c>
      <c r="E17" s="22" t="s">
        <v>23</v>
      </c>
    </row>
    <row r="19" spans="2:5" s="20" customFormat="1" ht="40.5" customHeight="1">
      <c r="B19" s="30" t="s">
        <v>24</v>
      </c>
      <c r="C19" s="31" t="s">
        <v>25</v>
      </c>
      <c r="D19" s="32" t="s">
        <v>26</v>
      </c>
      <c r="E19" s="30" t="s">
        <v>27</v>
      </c>
    </row>
  </sheetData>
  <mergeCells count="11">
    <mergeCell ref="B11:B12"/>
    <mergeCell ref="B13:B14"/>
    <mergeCell ref="C13:C14"/>
    <mergeCell ref="E11:E12"/>
    <mergeCell ref="E13:E14"/>
    <mergeCell ref="D13:D14"/>
    <mergeCell ref="B4:B5"/>
    <mergeCell ref="E4:E5"/>
    <mergeCell ref="E6:E7"/>
    <mergeCell ref="B6:B7"/>
    <mergeCell ref="B8:B10"/>
  </mergeCells>
  <phoneticPr fontId="1"/>
  <pageMargins left="0.25" right="0.25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4168-3295-409A-8804-4FC1CFB51531}">
  <sheetPr>
    <pageSetUpPr fitToPage="1"/>
  </sheetPr>
  <dimension ref="A1:CY2976"/>
  <sheetViews>
    <sheetView zoomScaleNormal="100" workbookViewId="0">
      <pane ySplit="9" topLeftCell="A128" activePane="bottomLeft" state="frozen"/>
      <selection activeCell="BS10" sqref="BS10:BT10"/>
      <selection pane="bottomLeft" activeCell="U138" sqref="U138:V138"/>
    </sheetView>
  </sheetViews>
  <sheetFormatPr defaultColWidth="3.125" defaultRowHeight="15" customHeight="1"/>
  <cols>
    <col min="1" max="1" width="3.125" style="100" customWidth="1"/>
    <col min="2" max="11" width="3.125" style="102"/>
    <col min="12" max="12" width="3.125" style="102" customWidth="1"/>
    <col min="13" max="20" width="3.125" style="102"/>
    <col min="21" max="21" width="3.125" style="102" customWidth="1"/>
    <col min="22" max="25" width="3.125" style="102"/>
    <col min="26" max="26" width="3.125" style="102" customWidth="1"/>
    <col min="27" max="27" width="3.125" style="102"/>
    <col min="28" max="31" width="3.125" style="102" customWidth="1"/>
    <col min="32" max="35" width="3.125" style="102"/>
    <col min="36" max="37" width="3.125" style="102" customWidth="1"/>
    <col min="38" max="54" width="3.125" style="102"/>
    <col min="55" max="61" width="3.125" style="102" customWidth="1"/>
    <col min="62" max="62" width="3.125" style="102"/>
    <col min="63" max="63" width="3.125" style="102" customWidth="1"/>
    <col min="64" max="65" width="3.125" style="102"/>
    <col min="66" max="67" width="3.125" style="101" customWidth="1"/>
    <col min="68" max="70" width="3.125" style="101"/>
    <col min="71" max="71" width="3.125" style="101" customWidth="1"/>
    <col min="72" max="74" width="3.125" style="101"/>
    <col min="75" max="75" width="3.125" style="102" customWidth="1"/>
    <col min="76" max="77" width="3.125" style="102"/>
    <col min="78" max="78" width="3.125" style="102" customWidth="1"/>
    <col min="79" max="79" width="3.125" style="102"/>
    <col min="80" max="80" width="3.125" style="102" customWidth="1"/>
    <col min="81" max="85" width="3.125" style="102"/>
    <col min="86" max="86" width="3.125" style="102" customWidth="1"/>
    <col min="87" max="94" width="3.125" style="102"/>
    <col min="95" max="95" width="3.125" style="102" customWidth="1"/>
    <col min="96" max="96" width="3.125" style="103"/>
    <col min="97" max="100" width="3.125" style="102"/>
    <col min="101" max="101" width="3.125" style="103"/>
    <col min="102" max="102" width="3.125" style="102"/>
    <col min="103" max="103" width="3.125" style="103"/>
    <col min="104" max="16384" width="3.125" style="102"/>
  </cols>
  <sheetData>
    <row r="1" spans="1:102" ht="15" customHeight="1">
      <c r="B1" s="101" t="s">
        <v>28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422"/>
      <c r="AO1" s="422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R1" s="103" t="s">
        <v>29</v>
      </c>
      <c r="CX1" s="102" t="s">
        <v>30</v>
      </c>
    </row>
    <row r="2" spans="1:102" ht="15" customHeight="1"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</row>
    <row r="3" spans="1:102" ht="15" customHeight="1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</row>
    <row r="4" spans="1:102" ht="15" customHeight="1"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</row>
    <row r="5" spans="1:102" ht="15" customHeight="1"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</row>
    <row r="6" spans="1:102" ht="15" customHeight="1"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</row>
    <row r="7" spans="1:102" ht="15" customHeight="1">
      <c r="B7" s="104" t="s">
        <v>31</v>
      </c>
      <c r="C7" s="105"/>
      <c r="D7" s="105"/>
      <c r="E7" s="106"/>
      <c r="F7" s="106"/>
      <c r="G7" s="105"/>
      <c r="H7" s="105"/>
      <c r="I7" s="105"/>
      <c r="J7" s="105"/>
      <c r="K7" s="105"/>
      <c r="L7" s="105"/>
      <c r="M7" s="105"/>
      <c r="N7" s="105"/>
      <c r="O7" s="105"/>
      <c r="P7" s="107"/>
      <c r="Q7" s="108" t="s">
        <v>32</v>
      </c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9" t="s">
        <v>33</v>
      </c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1"/>
      <c r="BD7" s="112"/>
      <c r="BE7" s="112"/>
      <c r="BF7" s="112"/>
      <c r="BG7" s="112"/>
      <c r="BH7" s="112"/>
      <c r="BI7" s="112"/>
      <c r="BJ7" s="705" t="s">
        <v>34</v>
      </c>
      <c r="BK7" s="705"/>
      <c r="BL7" s="705"/>
      <c r="BM7" s="706"/>
      <c r="BN7" s="113" t="s">
        <v>35</v>
      </c>
      <c r="BO7" s="114"/>
      <c r="BP7" s="114"/>
      <c r="BQ7" s="114"/>
      <c r="BR7" s="114"/>
      <c r="BS7" s="114"/>
      <c r="BT7" s="114"/>
      <c r="BU7" s="114"/>
      <c r="BV7" s="115"/>
      <c r="BW7" s="707" t="s">
        <v>36</v>
      </c>
      <c r="BX7" s="708"/>
      <c r="BY7" s="713" t="s">
        <v>37</v>
      </c>
      <c r="BZ7" s="714"/>
      <c r="CA7" s="719" t="s">
        <v>38</v>
      </c>
      <c r="CB7" s="720"/>
      <c r="CC7" s="116" t="s">
        <v>39</v>
      </c>
      <c r="CD7" s="117"/>
      <c r="CE7" s="117"/>
      <c r="CF7" s="117"/>
      <c r="CG7" s="116" t="s">
        <v>40</v>
      </c>
      <c r="CH7" s="117"/>
      <c r="CI7" s="117"/>
      <c r="CJ7" s="117"/>
      <c r="CK7" s="117"/>
      <c r="CL7" s="118"/>
      <c r="CM7" s="725" t="s">
        <v>41</v>
      </c>
      <c r="CN7" s="726"/>
      <c r="CO7" s="726"/>
      <c r="CP7" s="727"/>
      <c r="CR7" s="103" t="s">
        <v>42</v>
      </c>
      <c r="CW7" s="103" t="s">
        <v>43</v>
      </c>
      <c r="CX7" s="102" t="s">
        <v>30</v>
      </c>
    </row>
    <row r="8" spans="1:102" ht="15" customHeight="1">
      <c r="B8" s="119" t="s">
        <v>44</v>
      </c>
      <c r="C8" s="120"/>
      <c r="D8" s="120"/>
      <c r="E8" s="121"/>
      <c r="F8" s="690" t="s">
        <v>45</v>
      </c>
      <c r="G8" s="690"/>
      <c r="H8" s="690"/>
      <c r="I8" s="690"/>
      <c r="J8" s="690"/>
      <c r="K8" s="690"/>
      <c r="L8" s="690" t="s">
        <v>46</v>
      </c>
      <c r="M8" s="690"/>
      <c r="N8" s="690"/>
      <c r="O8" s="690"/>
      <c r="P8" s="690"/>
      <c r="Q8" s="691" t="s">
        <v>47</v>
      </c>
      <c r="R8" s="692"/>
      <c r="S8" s="695" t="s">
        <v>48</v>
      </c>
      <c r="T8" s="696"/>
      <c r="U8" s="692" t="s">
        <v>49</v>
      </c>
      <c r="V8" s="699"/>
      <c r="W8" s="701" t="s">
        <v>50</v>
      </c>
      <c r="X8" s="702"/>
      <c r="Y8" s="670" t="s">
        <v>51</v>
      </c>
      <c r="Z8" s="671"/>
      <c r="AA8" s="671"/>
      <c r="AB8" s="674" t="s">
        <v>52</v>
      </c>
      <c r="AC8" s="674"/>
      <c r="AD8" s="740" t="s">
        <v>1406</v>
      </c>
      <c r="AE8" s="741"/>
      <c r="AF8" s="676" t="s">
        <v>1407</v>
      </c>
      <c r="AG8" s="676"/>
      <c r="AH8" s="678" t="s">
        <v>53</v>
      </c>
      <c r="AI8" s="679"/>
      <c r="AJ8" s="682" t="s">
        <v>1408</v>
      </c>
      <c r="AK8" s="683"/>
      <c r="AL8" s="686" t="s">
        <v>54</v>
      </c>
      <c r="AM8" s="687"/>
      <c r="AN8" s="728" t="s">
        <v>55</v>
      </c>
      <c r="AO8" s="687"/>
      <c r="AP8" s="729" t="s">
        <v>56</v>
      </c>
      <c r="AQ8" s="730"/>
      <c r="AR8" s="733" t="s">
        <v>57</v>
      </c>
      <c r="AS8" s="734"/>
      <c r="AT8" s="737" t="s">
        <v>58</v>
      </c>
      <c r="AU8" s="738"/>
      <c r="AV8" s="738"/>
      <c r="AW8" s="739"/>
      <c r="AX8" s="648" t="s">
        <v>59</v>
      </c>
      <c r="AY8" s="649"/>
      <c r="AZ8" s="652" t="s">
        <v>60</v>
      </c>
      <c r="BA8" s="653"/>
      <c r="BB8" s="653" t="s">
        <v>61</v>
      </c>
      <c r="BC8" s="649"/>
      <c r="BD8" s="656" t="s">
        <v>62</v>
      </c>
      <c r="BE8" s="657"/>
      <c r="BF8" s="657"/>
      <c r="BG8" s="657"/>
      <c r="BH8" s="657"/>
      <c r="BI8" s="658"/>
      <c r="BJ8" s="659" t="s">
        <v>63</v>
      </c>
      <c r="BK8" s="660"/>
      <c r="BL8" s="663" t="s">
        <v>64</v>
      </c>
      <c r="BM8" s="664"/>
      <c r="BN8" s="628" t="s">
        <v>65</v>
      </c>
      <c r="BO8" s="629"/>
      <c r="BP8" s="630"/>
      <c r="BQ8" s="634" t="s">
        <v>66</v>
      </c>
      <c r="BR8" s="635"/>
      <c r="BS8" s="635" t="s">
        <v>67</v>
      </c>
      <c r="BT8" s="635"/>
      <c r="BU8" s="635" t="s">
        <v>68</v>
      </c>
      <c r="BV8" s="638"/>
      <c r="BW8" s="709"/>
      <c r="BX8" s="710"/>
      <c r="BY8" s="715"/>
      <c r="BZ8" s="716"/>
      <c r="CA8" s="721"/>
      <c r="CB8" s="722"/>
      <c r="CC8" s="640" t="s">
        <v>69</v>
      </c>
      <c r="CD8" s="642" t="s">
        <v>70</v>
      </c>
      <c r="CE8" s="643"/>
      <c r="CF8" s="644"/>
      <c r="CG8" s="608" t="s">
        <v>65</v>
      </c>
      <c r="CH8" s="609"/>
      <c r="CI8" s="612" t="s">
        <v>71</v>
      </c>
      <c r="CJ8" s="609"/>
      <c r="CK8" s="612" t="s">
        <v>72</v>
      </c>
      <c r="CL8" s="614"/>
      <c r="CM8" s="616" t="s">
        <v>73</v>
      </c>
      <c r="CN8" s="617"/>
      <c r="CO8" s="617" t="s">
        <v>68</v>
      </c>
      <c r="CP8" s="620"/>
      <c r="CR8" s="103" t="s">
        <v>74</v>
      </c>
      <c r="CX8" s="102" t="s">
        <v>30</v>
      </c>
    </row>
    <row r="9" spans="1:102" ht="15" customHeight="1">
      <c r="B9" s="122"/>
      <c r="C9" s="123"/>
      <c r="D9" s="123"/>
      <c r="E9" s="124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93"/>
      <c r="R9" s="694"/>
      <c r="S9" s="697"/>
      <c r="T9" s="698"/>
      <c r="U9" s="694"/>
      <c r="V9" s="700"/>
      <c r="W9" s="703"/>
      <c r="X9" s="704"/>
      <c r="Y9" s="672"/>
      <c r="Z9" s="673"/>
      <c r="AA9" s="673"/>
      <c r="AB9" s="675"/>
      <c r="AC9" s="675"/>
      <c r="AD9" s="742"/>
      <c r="AE9" s="743"/>
      <c r="AF9" s="677"/>
      <c r="AG9" s="677"/>
      <c r="AH9" s="680"/>
      <c r="AI9" s="681"/>
      <c r="AJ9" s="684"/>
      <c r="AK9" s="685"/>
      <c r="AL9" s="688"/>
      <c r="AM9" s="689"/>
      <c r="AN9" s="689"/>
      <c r="AO9" s="689"/>
      <c r="AP9" s="731"/>
      <c r="AQ9" s="732"/>
      <c r="AR9" s="735"/>
      <c r="AS9" s="736"/>
      <c r="AT9" s="623">
        <v>75</v>
      </c>
      <c r="AU9" s="623"/>
      <c r="AV9" s="624" t="s">
        <v>75</v>
      </c>
      <c r="AW9" s="625"/>
      <c r="AX9" s="650"/>
      <c r="AY9" s="651"/>
      <c r="AZ9" s="654"/>
      <c r="BA9" s="655"/>
      <c r="BB9" s="655"/>
      <c r="BC9" s="651"/>
      <c r="BD9" s="626" t="s">
        <v>76</v>
      </c>
      <c r="BE9" s="627"/>
      <c r="BF9" s="627" t="s">
        <v>77</v>
      </c>
      <c r="BG9" s="667"/>
      <c r="BH9" s="668" t="s">
        <v>50</v>
      </c>
      <c r="BI9" s="669"/>
      <c r="BJ9" s="661"/>
      <c r="BK9" s="662"/>
      <c r="BL9" s="665"/>
      <c r="BM9" s="666"/>
      <c r="BN9" s="631"/>
      <c r="BO9" s="632"/>
      <c r="BP9" s="633"/>
      <c r="BQ9" s="636"/>
      <c r="BR9" s="637"/>
      <c r="BS9" s="637"/>
      <c r="BT9" s="637"/>
      <c r="BU9" s="637"/>
      <c r="BV9" s="639"/>
      <c r="BW9" s="711"/>
      <c r="BX9" s="712"/>
      <c r="BY9" s="717"/>
      <c r="BZ9" s="718"/>
      <c r="CA9" s="723"/>
      <c r="CB9" s="724"/>
      <c r="CC9" s="641"/>
      <c r="CD9" s="645"/>
      <c r="CE9" s="646"/>
      <c r="CF9" s="647"/>
      <c r="CG9" s="610"/>
      <c r="CH9" s="611"/>
      <c r="CI9" s="613"/>
      <c r="CJ9" s="611"/>
      <c r="CK9" s="613"/>
      <c r="CL9" s="615"/>
      <c r="CM9" s="618"/>
      <c r="CN9" s="619"/>
      <c r="CO9" s="619"/>
      <c r="CP9" s="621"/>
      <c r="CR9" s="103" t="s">
        <v>78</v>
      </c>
      <c r="CX9" s="102" t="s">
        <v>30</v>
      </c>
    </row>
    <row r="10" spans="1:102" ht="15" customHeight="1">
      <c r="A10" s="100">
        <v>120</v>
      </c>
      <c r="B10" s="601"/>
      <c r="C10" s="601"/>
      <c r="D10" s="601"/>
      <c r="E10" s="601"/>
      <c r="F10" s="601"/>
      <c r="G10" s="601"/>
      <c r="H10" s="601"/>
      <c r="I10" s="601"/>
      <c r="J10" s="601"/>
      <c r="K10" s="601"/>
      <c r="L10" s="602"/>
      <c r="M10" s="602"/>
      <c r="N10" s="602"/>
      <c r="O10" s="602"/>
      <c r="P10" s="602"/>
      <c r="Q10" s="603"/>
      <c r="R10" s="604"/>
      <c r="S10" s="605"/>
      <c r="T10" s="606"/>
      <c r="U10" s="604"/>
      <c r="V10" s="607"/>
      <c r="W10" s="587">
        <f ca="1">INT(SUMIF($Y$10:$AA10,"外税8%",$U$10:$V10)*1.08)+INT(SUMIF($Y$10:$AA10,"外税10%",$U$10:$V10)*1.1)+SUMIF($Y$10:$AA10,"内税10%",$U$10:$V10)+SUMIF($Y$10:$AA10,"非課税",$U$10:$V10)</f>
        <v>0</v>
      </c>
      <c r="X10" s="588"/>
      <c r="Y10" s="589"/>
      <c r="Z10" s="590"/>
      <c r="AA10" s="590"/>
      <c r="AB10" s="591"/>
      <c r="AC10" s="591"/>
      <c r="AD10" s="228" t="str">
        <f>Y10&amp;"+"&amp;AB10</f>
        <v>+</v>
      </c>
      <c r="AE10" s="229"/>
      <c r="AF10" s="592"/>
      <c r="AG10" s="592"/>
      <c r="AH10" s="593">
        <v>-0.05</v>
      </c>
      <c r="AI10" s="594"/>
      <c r="AJ10" s="599"/>
      <c r="AK10" s="600"/>
      <c r="AL10" s="580" t="str">
        <f t="shared" ref="AL10:AL26" si="0">IF(S10="","",IF(AG10="",ROUNDDOWN(S10*$AH$10-1,0),0))</f>
        <v/>
      </c>
      <c r="AM10" s="581"/>
      <c r="AN10" s="582" t="str">
        <f>IF(U10="","",IF(#REF!="",ROUNDDOWN(U10*$AH$10-1,0),0))</f>
        <v/>
      </c>
      <c r="AO10" s="581"/>
      <c r="AP10" s="583"/>
      <c r="AQ10" s="584"/>
      <c r="AR10" s="585" t="str">
        <f t="shared" ref="AR10:AR26" si="1">IF(AP10="","",RANK(AP10,$AN$10:$AO$129,1))</f>
        <v/>
      </c>
      <c r="AS10" s="586"/>
      <c r="AT10" s="582">
        <f t="shared" ref="AT10:AT73" si="2">IF($AR10&lt;AT$9,$AN10,0)</f>
        <v>0</v>
      </c>
      <c r="AU10" s="581"/>
      <c r="AV10" s="574"/>
      <c r="AW10" s="575"/>
      <c r="AX10" s="574">
        <f>SUM(AT10:AW10)</f>
        <v>0</v>
      </c>
      <c r="AY10" s="575"/>
      <c r="AZ10" s="576" t="str">
        <f>IF(U10="","",U10+#REF!+AV10)</f>
        <v/>
      </c>
      <c r="BA10" s="577"/>
      <c r="BB10" s="578" t="str">
        <f t="shared" ref="BB10:BB73" si="3">IF(AZ10="","",INT(IF(Y10="外税8%",1.08,IF(Y10="外税10%",1.1,1))*AZ10))</f>
        <v/>
      </c>
      <c r="BC10" s="579"/>
      <c r="BD10" s="407"/>
      <c r="BE10" s="408"/>
      <c r="BF10" s="408"/>
      <c r="BG10" s="409"/>
      <c r="BH10" s="423"/>
      <c r="BI10" s="424"/>
      <c r="BJ10" s="562">
        <v>200</v>
      </c>
      <c r="BK10" s="563"/>
      <c r="BL10" s="566">
        <v>0</v>
      </c>
      <c r="BM10" s="567"/>
      <c r="BN10" s="571" t="s">
        <v>79</v>
      </c>
      <c r="BO10" s="572"/>
      <c r="BP10" s="572"/>
      <c r="BQ10" s="499">
        <f ca="1">SUMIF(Y10:AA129,BN10,AZ10:BA129)</f>
        <v>30933</v>
      </c>
      <c r="BR10" s="500"/>
      <c r="BS10" s="532">
        <f ca="1">INT(BQ10*1.08)</f>
        <v>33407</v>
      </c>
      <c r="BT10" s="532"/>
      <c r="BU10" s="499">
        <f ca="1">BS10-BQ10</f>
        <v>2474</v>
      </c>
      <c r="BV10" s="500"/>
      <c r="BW10" s="543">
        <v>-4999</v>
      </c>
      <c r="BX10" s="544"/>
      <c r="BY10" s="543">
        <v>-245</v>
      </c>
      <c r="BZ10" s="548"/>
      <c r="CA10" s="551">
        <f ca="1">BS17+BW10+BY10</f>
        <v>45901</v>
      </c>
      <c r="CB10" s="545"/>
      <c r="CC10" s="125" t="s">
        <v>80</v>
      </c>
      <c r="CD10" s="553" t="str">
        <f t="shared" ref="CD10:CD73" si="4">CC10&amp;Y10</f>
        <v/>
      </c>
      <c r="CE10" s="553"/>
      <c r="CF10" s="554"/>
      <c r="CG10" s="555">
        <v>0.08</v>
      </c>
      <c r="CH10" s="556"/>
      <c r="CI10" s="557">
        <f ca="1">INT((SUMIF(CD10:CF129,"外税8%",AZ10:BA129)*1.08)+SUMIF(CD10:CF129,"内税8%",AZ10:BA129))</f>
        <v>33407</v>
      </c>
      <c r="CJ10" s="558"/>
      <c r="CK10" s="541">
        <f ca="1">ROUNDUP(0-(BW10+BY10)*CI10/(CI10+CI11),0)</f>
        <v>3850</v>
      </c>
      <c r="CL10" s="542"/>
      <c r="CM10" s="499">
        <f ca="1">BS10+BS13-CK10</f>
        <v>29557</v>
      </c>
      <c r="CN10" s="500"/>
      <c r="CO10" s="499">
        <f ca="1">INT(CM10* (0.08/1.08))</f>
        <v>2189</v>
      </c>
      <c r="CP10" s="500"/>
      <c r="CR10" s="103" t="s">
        <v>81</v>
      </c>
      <c r="CX10" s="102" t="s">
        <v>30</v>
      </c>
    </row>
    <row r="11" spans="1:102" ht="15" customHeight="1">
      <c r="A11" s="100">
        <f t="shared" ref="A11:A74" si="5">A10-1</f>
        <v>119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538"/>
      <c r="M11" s="538"/>
      <c r="N11" s="538"/>
      <c r="O11" s="538"/>
      <c r="P11" s="538"/>
      <c r="Q11" s="400"/>
      <c r="R11" s="401"/>
      <c r="S11" s="327"/>
      <c r="T11" s="328"/>
      <c r="U11" s="401"/>
      <c r="V11" s="402"/>
      <c r="W11" s="279">
        <f ca="1">INT(SUMIF($Y$10:$AA11,"外税8%",$U$10:$V11)*1.08)+INT(SUMIF($Y$10:$AA11,"外税10%",$U$10:$V11)*1.1)+SUMIF($Y$10:$AA11,"内税10%",$U$10:$V11)+SUMIF($Y$10:$AA11,"非課税",$U$10:$V11)</f>
        <v>0</v>
      </c>
      <c r="X11" s="280"/>
      <c r="Y11" s="281"/>
      <c r="Z11" s="282"/>
      <c r="AA11" s="282"/>
      <c r="AB11" s="283"/>
      <c r="AC11" s="283"/>
      <c r="AD11" s="214" t="str">
        <f t="shared" ref="AD11:AD74" si="6">Y11&amp;"+"&amp;AB11</f>
        <v>+</v>
      </c>
      <c r="AE11" s="215"/>
      <c r="AF11" s="284"/>
      <c r="AG11" s="284"/>
      <c r="AH11" s="595"/>
      <c r="AI11" s="596"/>
      <c r="AJ11" s="285"/>
      <c r="AK11" s="286"/>
      <c r="AL11" s="436" t="str">
        <f t="shared" si="0"/>
        <v/>
      </c>
      <c r="AM11" s="334"/>
      <c r="AN11" s="333" t="str">
        <f>IF(U11="","",IF(#REF!="",ROUNDDOWN(U11*$AH$10-1,0),0))</f>
        <v/>
      </c>
      <c r="AO11" s="334"/>
      <c r="AP11" s="460"/>
      <c r="AQ11" s="461"/>
      <c r="AR11" s="432" t="str">
        <f t="shared" si="1"/>
        <v/>
      </c>
      <c r="AS11" s="433"/>
      <c r="AT11" s="333">
        <f t="shared" si="2"/>
        <v>0</v>
      </c>
      <c r="AU11" s="334"/>
      <c r="AV11" s="271"/>
      <c r="AW11" s="272"/>
      <c r="AX11" s="271">
        <f t="shared" ref="AX11:AX74" si="7">SUM(AT11:AW11)</f>
        <v>0</v>
      </c>
      <c r="AY11" s="272"/>
      <c r="AZ11" s="434" t="str">
        <f>IF(U11="","",U11+#REF!+AV11)</f>
        <v/>
      </c>
      <c r="BA11" s="435"/>
      <c r="BB11" s="408" t="str">
        <f t="shared" si="3"/>
        <v/>
      </c>
      <c r="BC11" s="409"/>
      <c r="BD11" s="407"/>
      <c r="BE11" s="408"/>
      <c r="BF11" s="408"/>
      <c r="BG11" s="409"/>
      <c r="BH11" s="423"/>
      <c r="BI11" s="424"/>
      <c r="BJ11" s="564"/>
      <c r="BK11" s="565"/>
      <c r="BL11" s="568"/>
      <c r="BM11" s="569"/>
      <c r="BN11" s="526" t="s">
        <v>82</v>
      </c>
      <c r="BO11" s="527"/>
      <c r="BP11" s="527"/>
      <c r="BQ11" s="499">
        <f ca="1">SUMIF(Y10:AA129,BN11,AZ10:BA129)</f>
        <v>11000</v>
      </c>
      <c r="BR11" s="500"/>
      <c r="BS11" s="573">
        <f ca="1">INT(BQ11*1.1)</f>
        <v>12100</v>
      </c>
      <c r="BT11" s="573"/>
      <c r="BU11" s="499">
        <f ca="1">BS11-BQ11</f>
        <v>1100</v>
      </c>
      <c r="BV11" s="500"/>
      <c r="BW11" s="543"/>
      <c r="BX11" s="544"/>
      <c r="BY11" s="543"/>
      <c r="BZ11" s="548"/>
      <c r="CA11" s="551"/>
      <c r="CB11" s="545"/>
      <c r="CC11" s="126" t="s">
        <v>80</v>
      </c>
      <c r="CD11" s="337" t="str">
        <f t="shared" si="4"/>
        <v/>
      </c>
      <c r="CE11" s="337"/>
      <c r="CF11" s="338"/>
      <c r="CG11" s="479">
        <v>0.1</v>
      </c>
      <c r="CH11" s="559"/>
      <c r="CI11" s="560">
        <f ca="1">INT(SUMIF(CD10:CF129,"外税10%",AZ10:BA129)*1.1)+SUMIF(CD10:CF129,"内税10%",AZ10:BA129)*1.1</f>
        <v>12100</v>
      </c>
      <c r="CJ11" s="561"/>
      <c r="CK11" s="473">
        <f ca="1">0-(BW10+BY10)-CK10</f>
        <v>1394</v>
      </c>
      <c r="CL11" s="474"/>
      <c r="CM11" s="499">
        <f ca="1">BS11+BS14-CK11</f>
        <v>13284</v>
      </c>
      <c r="CN11" s="500"/>
      <c r="CO11" s="499">
        <f ca="1">INT(CM11* (0.1/1.1))</f>
        <v>1207</v>
      </c>
      <c r="CP11" s="500"/>
      <c r="CR11" s="103" t="s">
        <v>83</v>
      </c>
      <c r="CX11" s="102" t="s">
        <v>30</v>
      </c>
    </row>
    <row r="12" spans="1:102" ht="15" customHeight="1">
      <c r="A12" s="100">
        <f t="shared" si="5"/>
        <v>118</v>
      </c>
      <c r="B12" s="293"/>
      <c r="C12" s="293"/>
      <c r="D12" s="293"/>
      <c r="E12" s="293"/>
      <c r="F12" s="293"/>
      <c r="G12" s="293"/>
      <c r="H12" s="293"/>
      <c r="I12" s="293"/>
      <c r="J12" s="293"/>
      <c r="K12" s="293"/>
      <c r="L12" s="538"/>
      <c r="M12" s="538"/>
      <c r="N12" s="538"/>
      <c r="O12" s="538"/>
      <c r="P12" s="538"/>
      <c r="Q12" s="400"/>
      <c r="R12" s="401"/>
      <c r="S12" s="327"/>
      <c r="T12" s="328"/>
      <c r="U12" s="401"/>
      <c r="V12" s="402"/>
      <c r="W12" s="279">
        <f ca="1">INT(SUMIF($Y$10:$AA12,"外税8%",$U$10:$V12)*1.08)+INT(SUMIF($Y$10:$AA12,"外税10%",$U$10:$V12)*1.1)+SUMIF($Y$10:$AA12,"内税10%",$U$10:$V12)+SUMIF($Y$10:$AA12,"非課税",$U$10:$V12)</f>
        <v>0</v>
      </c>
      <c r="X12" s="280"/>
      <c r="Y12" s="281"/>
      <c r="Z12" s="282"/>
      <c r="AA12" s="282"/>
      <c r="AB12" s="283"/>
      <c r="AC12" s="283"/>
      <c r="AD12" s="214" t="str">
        <f t="shared" si="6"/>
        <v>+</v>
      </c>
      <c r="AE12" s="215"/>
      <c r="AF12" s="284"/>
      <c r="AG12" s="284"/>
      <c r="AH12" s="595"/>
      <c r="AI12" s="596"/>
      <c r="AJ12" s="285"/>
      <c r="AK12" s="286"/>
      <c r="AL12" s="436" t="str">
        <f t="shared" si="0"/>
        <v/>
      </c>
      <c r="AM12" s="334"/>
      <c r="AN12" s="333" t="str">
        <f>IF(U12="","",IF(#REF!="",ROUNDDOWN(U12*$AH$10-1,0),0))</f>
        <v/>
      </c>
      <c r="AO12" s="334"/>
      <c r="AP12" s="460"/>
      <c r="AQ12" s="461"/>
      <c r="AR12" s="432" t="str">
        <f t="shared" si="1"/>
        <v/>
      </c>
      <c r="AS12" s="433"/>
      <c r="AT12" s="333">
        <f t="shared" si="2"/>
        <v>0</v>
      </c>
      <c r="AU12" s="334"/>
      <c r="AV12" s="271"/>
      <c r="AW12" s="272"/>
      <c r="AX12" s="271">
        <f t="shared" si="7"/>
        <v>0</v>
      </c>
      <c r="AY12" s="272"/>
      <c r="AZ12" s="434" t="str">
        <f>IF(U12="","",U12+#REF!+AV12)</f>
        <v/>
      </c>
      <c r="BA12" s="435"/>
      <c r="BB12" s="408" t="str">
        <f t="shared" si="3"/>
        <v/>
      </c>
      <c r="BC12" s="409"/>
      <c r="BD12" s="407"/>
      <c r="BE12" s="408"/>
      <c r="BF12" s="408"/>
      <c r="BG12" s="409"/>
      <c r="BH12" s="423"/>
      <c r="BI12" s="424"/>
      <c r="BJ12" s="564"/>
      <c r="BK12" s="565"/>
      <c r="BL12" s="568"/>
      <c r="BM12" s="569"/>
      <c r="BN12" s="517" t="s">
        <v>84</v>
      </c>
      <c r="BO12" s="518"/>
      <c r="BP12" s="519"/>
      <c r="BQ12" s="536">
        <f ca="1">SUM(BQ10:BR11)</f>
        <v>41933</v>
      </c>
      <c r="BR12" s="537"/>
      <c r="BS12" s="537">
        <f ca="1">SUM(BS10:BT11)</f>
        <v>45507</v>
      </c>
      <c r="BT12" s="537"/>
      <c r="BU12" s="499">
        <f ca="1">SUM(BU10:BV11)</f>
        <v>3574</v>
      </c>
      <c r="BV12" s="500"/>
      <c r="BW12" s="543"/>
      <c r="BX12" s="544"/>
      <c r="BY12" s="543"/>
      <c r="BZ12" s="548"/>
      <c r="CA12" s="551"/>
      <c r="CB12" s="545"/>
      <c r="CC12" s="126" t="s">
        <v>80</v>
      </c>
      <c r="CD12" s="337" t="str">
        <f t="shared" si="4"/>
        <v/>
      </c>
      <c r="CE12" s="337"/>
      <c r="CF12" s="338"/>
      <c r="CK12" s="127"/>
      <c r="CL12" s="128"/>
      <c r="CM12" s="539" t="s">
        <v>85</v>
      </c>
      <c r="CN12" s="540"/>
      <c r="CO12" s="499">
        <f ca="1">SUM(CO10:CO11)</f>
        <v>3396</v>
      </c>
      <c r="CP12" s="500"/>
      <c r="CR12" s="103" t="s">
        <v>86</v>
      </c>
      <c r="CX12" s="102" t="s">
        <v>30</v>
      </c>
    </row>
    <row r="13" spans="1:102" ht="15" customHeight="1">
      <c r="A13" s="100">
        <f t="shared" si="5"/>
        <v>117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399"/>
      <c r="M13" s="399"/>
      <c r="N13" s="399"/>
      <c r="O13" s="399"/>
      <c r="P13" s="399"/>
      <c r="Q13" s="400"/>
      <c r="R13" s="401"/>
      <c r="S13" s="327"/>
      <c r="T13" s="328"/>
      <c r="U13" s="401"/>
      <c r="V13" s="402"/>
      <c r="W13" s="279">
        <f ca="1">INT(SUMIF($Y$10:$AA13,"外税8%",$U$10:$V13)*1.08)+INT(SUMIF($Y$10:$AA13,"外税10%",$U$10:$V13)*1.1)+SUMIF($Y$10:$AA13,"内税10%",$U$10:$V13)+SUMIF($Y$10:$AA13,"非課税",$U$10:$V13)</f>
        <v>0</v>
      </c>
      <c r="X13" s="280"/>
      <c r="Y13" s="281"/>
      <c r="Z13" s="282"/>
      <c r="AA13" s="282"/>
      <c r="AB13" s="283"/>
      <c r="AC13" s="283"/>
      <c r="AD13" s="214" t="str">
        <f t="shared" si="6"/>
        <v>+</v>
      </c>
      <c r="AE13" s="215"/>
      <c r="AF13" s="284"/>
      <c r="AG13" s="284"/>
      <c r="AH13" s="595"/>
      <c r="AI13" s="596"/>
      <c r="AJ13" s="285"/>
      <c r="AK13" s="286"/>
      <c r="AL13" s="436" t="str">
        <f t="shared" si="0"/>
        <v/>
      </c>
      <c r="AM13" s="334"/>
      <c r="AN13" s="333" t="str">
        <f>IF(U13="","",IF(#REF!="",ROUNDDOWN(U13*$AH$10-1,0),0))</f>
        <v/>
      </c>
      <c r="AO13" s="334"/>
      <c r="AP13" s="460"/>
      <c r="AQ13" s="461"/>
      <c r="AR13" s="432" t="str">
        <f t="shared" si="1"/>
        <v/>
      </c>
      <c r="AS13" s="433"/>
      <c r="AT13" s="333">
        <f t="shared" si="2"/>
        <v>0</v>
      </c>
      <c r="AU13" s="334"/>
      <c r="AV13" s="271"/>
      <c r="AW13" s="272"/>
      <c r="AX13" s="271">
        <f t="shared" si="7"/>
        <v>0</v>
      </c>
      <c r="AY13" s="272"/>
      <c r="AZ13" s="434" t="str">
        <f>IF(U13="","",U13+#REF!+AV13)</f>
        <v/>
      </c>
      <c r="BA13" s="435"/>
      <c r="BB13" s="408" t="str">
        <f t="shared" si="3"/>
        <v/>
      </c>
      <c r="BC13" s="409"/>
      <c r="BD13" s="407"/>
      <c r="BE13" s="408"/>
      <c r="BF13" s="408"/>
      <c r="BG13" s="409"/>
      <c r="BH13" s="423"/>
      <c r="BI13" s="424"/>
      <c r="BJ13" s="564"/>
      <c r="BK13" s="565"/>
      <c r="BL13" s="568"/>
      <c r="BM13" s="569"/>
      <c r="BN13" s="528" t="s">
        <v>87</v>
      </c>
      <c r="BO13" s="529"/>
      <c r="BP13" s="529"/>
      <c r="BQ13" s="530">
        <f ca="1">INT(SUMIF(Y10:AA129,BN13,AZ10:BA129)/1.08)</f>
        <v>0</v>
      </c>
      <c r="BR13" s="531"/>
      <c r="BS13" s="532">
        <f ca="1">SUMIF(Y10:AA129,BN13,U10:V129)</f>
        <v>0</v>
      </c>
      <c r="BT13" s="532"/>
      <c r="BU13" s="532">
        <f t="shared" ref="BU13" ca="1" si="8">BS13-BQ13</f>
        <v>0</v>
      </c>
      <c r="BV13" s="533"/>
      <c r="BW13" s="543"/>
      <c r="BX13" s="544"/>
      <c r="BY13" s="543"/>
      <c r="BZ13" s="548"/>
      <c r="CA13" s="551"/>
      <c r="CB13" s="545"/>
      <c r="CC13" s="126" t="s">
        <v>80</v>
      </c>
      <c r="CD13" s="337" t="str">
        <f t="shared" si="4"/>
        <v/>
      </c>
      <c r="CE13" s="337"/>
      <c r="CF13" s="338"/>
      <c r="CG13" s="534" t="s">
        <v>88</v>
      </c>
      <c r="CH13" s="535"/>
      <c r="CI13" s="499">
        <f ca="1">INT(SUMIF(CD10:CF129,"※非課税",BB10:BC129))</f>
        <v>3060</v>
      </c>
      <c r="CJ13" s="500"/>
      <c r="CK13" s="129"/>
      <c r="CL13" s="129"/>
      <c r="CR13" s="103" t="s">
        <v>89</v>
      </c>
      <c r="CX13" s="102" t="s">
        <v>30</v>
      </c>
    </row>
    <row r="14" spans="1:102" ht="15" customHeight="1">
      <c r="A14" s="100">
        <f t="shared" si="5"/>
        <v>116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399"/>
      <c r="M14" s="399"/>
      <c r="N14" s="399"/>
      <c r="O14" s="399"/>
      <c r="P14" s="399"/>
      <c r="Q14" s="400"/>
      <c r="R14" s="401"/>
      <c r="S14" s="327"/>
      <c r="T14" s="328"/>
      <c r="U14" s="401"/>
      <c r="V14" s="402"/>
      <c r="W14" s="279">
        <f ca="1">INT(SUMIF($Y$10:$AA14,"外税8%",$U$10:$V14)*1.08)+INT(SUMIF($Y$10:$AA14,"外税10%",$U$10:$V14)*1.1)+SUMIF($Y$10:$AA14,"内税10%",$U$10:$V14)+SUMIF($Y$10:$AA14,"非課税",$U$10:$V14)</f>
        <v>0</v>
      </c>
      <c r="X14" s="280"/>
      <c r="Y14" s="281"/>
      <c r="Z14" s="282"/>
      <c r="AA14" s="282"/>
      <c r="AB14" s="283"/>
      <c r="AC14" s="283"/>
      <c r="AD14" s="214" t="str">
        <f t="shared" si="6"/>
        <v>+</v>
      </c>
      <c r="AE14" s="215"/>
      <c r="AF14" s="284"/>
      <c r="AG14" s="284"/>
      <c r="AH14" s="595"/>
      <c r="AI14" s="596"/>
      <c r="AJ14" s="285"/>
      <c r="AK14" s="286"/>
      <c r="AL14" s="436" t="str">
        <f t="shared" si="0"/>
        <v/>
      </c>
      <c r="AM14" s="334"/>
      <c r="AN14" s="333" t="str">
        <f>IF(U14="","",IF(#REF!="",ROUNDDOWN(U14*$AH$10-1,0),0))</f>
        <v/>
      </c>
      <c r="AO14" s="334"/>
      <c r="AP14" s="460"/>
      <c r="AQ14" s="461"/>
      <c r="AR14" s="432" t="str">
        <f t="shared" si="1"/>
        <v/>
      </c>
      <c r="AS14" s="433"/>
      <c r="AT14" s="333">
        <f t="shared" si="2"/>
        <v>0</v>
      </c>
      <c r="AU14" s="334"/>
      <c r="AV14" s="271"/>
      <c r="AW14" s="272"/>
      <c r="AX14" s="271">
        <f t="shared" si="7"/>
        <v>0</v>
      </c>
      <c r="AY14" s="272"/>
      <c r="AZ14" s="434" t="str">
        <f>IF(U14="","",U14+#REF!+AV14)</f>
        <v/>
      </c>
      <c r="BA14" s="435"/>
      <c r="BB14" s="408" t="str">
        <f t="shared" si="3"/>
        <v/>
      </c>
      <c r="BC14" s="409"/>
      <c r="BD14" s="407"/>
      <c r="BE14" s="408"/>
      <c r="BF14" s="408"/>
      <c r="BG14" s="409"/>
      <c r="BH14" s="423"/>
      <c r="BI14" s="424"/>
      <c r="BJ14" s="564"/>
      <c r="BK14" s="565"/>
      <c r="BL14" s="568"/>
      <c r="BM14" s="569"/>
      <c r="BN14" s="526" t="s">
        <v>90</v>
      </c>
      <c r="BO14" s="527"/>
      <c r="BP14" s="527"/>
      <c r="BQ14" s="520">
        <f ca="1">ROUNDUP(SUMIF(Y10:AA129,BN14,AZ10:BA129)/1.1,0)</f>
        <v>2344</v>
      </c>
      <c r="BR14" s="521"/>
      <c r="BS14" s="499">
        <f ca="1">INT(SUMIF(Y10:AA129,BN14,AZ10:BA129))</f>
        <v>2578</v>
      </c>
      <c r="BT14" s="500"/>
      <c r="BU14" s="499">
        <f ca="1">BS14-BQ14</f>
        <v>234</v>
      </c>
      <c r="BV14" s="500"/>
      <c r="BW14" s="543"/>
      <c r="BX14" s="544"/>
      <c r="BY14" s="543"/>
      <c r="BZ14" s="548"/>
      <c r="CA14" s="551"/>
      <c r="CB14" s="545"/>
      <c r="CC14" s="126" t="s">
        <v>80</v>
      </c>
      <c r="CD14" s="337" t="str">
        <f t="shared" si="4"/>
        <v/>
      </c>
      <c r="CE14" s="337"/>
      <c r="CF14" s="338"/>
      <c r="CG14" s="522" t="s">
        <v>91</v>
      </c>
      <c r="CH14" s="523"/>
      <c r="CI14" s="524">
        <f ca="1">INT((SUMIF(CD10:CF129,"※外税8%",BB10:BC129))+SUMIF(CD10:CF129,"※内税8%",BB10:BC129))</f>
        <v>0</v>
      </c>
      <c r="CJ14" s="525"/>
      <c r="CR14" s="103" t="s">
        <v>92</v>
      </c>
      <c r="CX14" s="102" t="s">
        <v>30</v>
      </c>
    </row>
    <row r="15" spans="1:102" ht="15" customHeight="1">
      <c r="A15" s="100">
        <f t="shared" si="5"/>
        <v>115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399"/>
      <c r="M15" s="399"/>
      <c r="N15" s="399"/>
      <c r="O15" s="399"/>
      <c r="P15" s="399"/>
      <c r="Q15" s="400"/>
      <c r="R15" s="401"/>
      <c r="S15" s="327"/>
      <c r="T15" s="328"/>
      <c r="U15" s="401"/>
      <c r="V15" s="402"/>
      <c r="W15" s="279">
        <f ca="1">INT(SUMIF($Y$10:$AA15,"外税8%",$U$10:$V15)*1.08)+INT(SUMIF($Y$10:$AA15,"外税10%",$U$10:$V15)*1.1)+SUMIF($Y$10:$AA15,"内税10%",$U$10:$V15)+SUMIF($Y$10:$AA15,"非課税",$U$10:$V15)</f>
        <v>0</v>
      </c>
      <c r="X15" s="280"/>
      <c r="Y15" s="281"/>
      <c r="Z15" s="282"/>
      <c r="AA15" s="282"/>
      <c r="AB15" s="283"/>
      <c r="AC15" s="283"/>
      <c r="AD15" s="214" t="str">
        <f t="shared" si="6"/>
        <v>+</v>
      </c>
      <c r="AE15" s="215"/>
      <c r="AF15" s="284"/>
      <c r="AG15" s="284"/>
      <c r="AH15" s="595"/>
      <c r="AI15" s="596"/>
      <c r="AJ15" s="285"/>
      <c r="AK15" s="286"/>
      <c r="AL15" s="436" t="str">
        <f t="shared" si="0"/>
        <v/>
      </c>
      <c r="AM15" s="334"/>
      <c r="AN15" s="333" t="str">
        <f>IF(U15="","",IF(#REF!="",ROUNDDOWN(U15*$AH$10-1,0),0))</f>
        <v/>
      </c>
      <c r="AO15" s="334"/>
      <c r="AP15" s="460"/>
      <c r="AQ15" s="461"/>
      <c r="AR15" s="432" t="str">
        <f t="shared" si="1"/>
        <v/>
      </c>
      <c r="AS15" s="433"/>
      <c r="AT15" s="333">
        <f t="shared" si="2"/>
        <v>0</v>
      </c>
      <c r="AU15" s="334"/>
      <c r="AV15" s="271"/>
      <c r="AW15" s="272"/>
      <c r="AX15" s="271">
        <f t="shared" si="7"/>
        <v>0</v>
      </c>
      <c r="AY15" s="272"/>
      <c r="AZ15" s="434" t="str">
        <f>IF(U15="","",U15+#REF!+AV15)</f>
        <v/>
      </c>
      <c r="BA15" s="435"/>
      <c r="BB15" s="408" t="str">
        <f t="shared" si="3"/>
        <v/>
      </c>
      <c r="BC15" s="409"/>
      <c r="BD15" s="407"/>
      <c r="BE15" s="408"/>
      <c r="BF15" s="408"/>
      <c r="BG15" s="409"/>
      <c r="BH15" s="423"/>
      <c r="BI15" s="424"/>
      <c r="BJ15" s="564"/>
      <c r="BK15" s="565"/>
      <c r="BL15" s="568"/>
      <c r="BM15" s="569"/>
      <c r="BN15" s="517" t="s">
        <v>93</v>
      </c>
      <c r="BO15" s="518"/>
      <c r="BP15" s="519"/>
      <c r="BQ15" s="511">
        <f ca="1">SUM(BQ13:BR14)</f>
        <v>2344</v>
      </c>
      <c r="BR15" s="512"/>
      <c r="BS15" s="512">
        <f ca="1">SUM(BS13:BT14)</f>
        <v>2578</v>
      </c>
      <c r="BT15" s="512"/>
      <c r="BU15" s="499">
        <f ca="1">SUM(BU13:BV14)</f>
        <v>234</v>
      </c>
      <c r="BV15" s="500"/>
      <c r="BW15" s="543"/>
      <c r="BX15" s="544"/>
      <c r="BY15" s="543"/>
      <c r="BZ15" s="548"/>
      <c r="CA15" s="551"/>
      <c r="CB15" s="545"/>
      <c r="CC15" s="126" t="s">
        <v>80</v>
      </c>
      <c r="CD15" s="337" t="str">
        <f t="shared" si="4"/>
        <v/>
      </c>
      <c r="CE15" s="337"/>
      <c r="CF15" s="338"/>
      <c r="CG15" s="513" t="s">
        <v>94</v>
      </c>
      <c r="CH15" s="514"/>
      <c r="CI15" s="515">
        <f ca="1">INT(SUMIF(CD10:CF129,"※外税10%",BB10:BC129))+SUMIF(CD10:CF129,"※内税10%",BB10:BC129)</f>
        <v>2578</v>
      </c>
      <c r="CJ15" s="516"/>
      <c r="CR15" s="103" t="s">
        <v>95</v>
      </c>
      <c r="CX15" s="102" t="s">
        <v>30</v>
      </c>
    </row>
    <row r="16" spans="1:102" ht="15" customHeight="1">
      <c r="A16" s="100">
        <f t="shared" si="5"/>
        <v>114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399"/>
      <c r="M16" s="399"/>
      <c r="N16" s="399"/>
      <c r="O16" s="399"/>
      <c r="P16" s="399"/>
      <c r="Q16" s="400"/>
      <c r="R16" s="401"/>
      <c r="S16" s="327"/>
      <c r="T16" s="328"/>
      <c r="U16" s="401"/>
      <c r="V16" s="402"/>
      <c r="W16" s="279">
        <f ca="1">INT(SUMIF($Y$10:$AA16,"外税8%",$U$10:$V16)*1.08)+INT(SUMIF($Y$10:$AA16,"外税10%",$U$10:$V16)*1.1)+SUMIF($Y$10:$AA16,"内税10%",$U$10:$V16)+SUMIF($Y$10:$AA16,"非課税",$U$10:$V16)</f>
        <v>0</v>
      </c>
      <c r="X16" s="280"/>
      <c r="Y16" s="281"/>
      <c r="Z16" s="282"/>
      <c r="AA16" s="282"/>
      <c r="AB16" s="283"/>
      <c r="AC16" s="283"/>
      <c r="AD16" s="214" t="str">
        <f t="shared" si="6"/>
        <v>+</v>
      </c>
      <c r="AE16" s="215"/>
      <c r="AF16" s="284"/>
      <c r="AG16" s="284"/>
      <c r="AH16" s="595"/>
      <c r="AI16" s="596"/>
      <c r="AJ16" s="285"/>
      <c r="AK16" s="286"/>
      <c r="AL16" s="436" t="str">
        <f t="shared" si="0"/>
        <v/>
      </c>
      <c r="AM16" s="334"/>
      <c r="AN16" s="333" t="str">
        <f>IF(U16="","",IF(#REF!="",ROUNDDOWN(U16*$AH$10-1,0),0))</f>
        <v/>
      </c>
      <c r="AO16" s="334"/>
      <c r="AP16" s="460"/>
      <c r="AQ16" s="461"/>
      <c r="AR16" s="432" t="str">
        <f t="shared" si="1"/>
        <v/>
      </c>
      <c r="AS16" s="433"/>
      <c r="AT16" s="333">
        <f t="shared" si="2"/>
        <v>0</v>
      </c>
      <c r="AU16" s="334"/>
      <c r="AV16" s="271"/>
      <c r="AW16" s="272"/>
      <c r="AX16" s="271">
        <f t="shared" si="7"/>
        <v>0</v>
      </c>
      <c r="AY16" s="272"/>
      <c r="AZ16" s="434" t="str">
        <f>IF(U16="","",U16+#REF!+AV16)</f>
        <v/>
      </c>
      <c r="BA16" s="435"/>
      <c r="BB16" s="408" t="str">
        <f t="shared" si="3"/>
        <v/>
      </c>
      <c r="BC16" s="409"/>
      <c r="BD16" s="407"/>
      <c r="BE16" s="408"/>
      <c r="BF16" s="408"/>
      <c r="BG16" s="409"/>
      <c r="BH16" s="423"/>
      <c r="BI16" s="424"/>
      <c r="BJ16" s="564"/>
      <c r="BK16" s="565"/>
      <c r="BL16" s="568"/>
      <c r="BM16" s="569"/>
      <c r="BN16" s="508" t="s">
        <v>96</v>
      </c>
      <c r="BO16" s="509"/>
      <c r="BP16" s="509"/>
      <c r="BQ16" s="499">
        <f ca="1">SUMIF(Y10:AA129,BN16,U10:V129)</f>
        <v>3060</v>
      </c>
      <c r="BR16" s="500"/>
      <c r="BS16" s="501">
        <f ca="1">SUMIF(Y10:AA129,BN16,U10:V129)</f>
        <v>3060</v>
      </c>
      <c r="BT16" s="501"/>
      <c r="BU16" s="502">
        <f ca="1">BS16-BQ16</f>
        <v>0</v>
      </c>
      <c r="BV16" s="503"/>
      <c r="BW16" s="543"/>
      <c r="BX16" s="544"/>
      <c r="BY16" s="543"/>
      <c r="BZ16" s="548"/>
      <c r="CA16" s="551"/>
      <c r="CB16" s="545"/>
      <c r="CC16" s="126" t="s">
        <v>80</v>
      </c>
      <c r="CD16" s="337" t="str">
        <f t="shared" si="4"/>
        <v/>
      </c>
      <c r="CE16" s="337"/>
      <c r="CF16" s="338"/>
      <c r="CG16" s="504" t="s">
        <v>97</v>
      </c>
      <c r="CH16" s="505"/>
      <c r="CI16" s="506">
        <f ca="1">CI10+CI11+SUM(CI13:CJ15)</f>
        <v>51145</v>
      </c>
      <c r="CJ16" s="507"/>
      <c r="CR16" s="103" t="s">
        <v>98</v>
      </c>
      <c r="CX16" s="102" t="s">
        <v>30</v>
      </c>
    </row>
    <row r="17" spans="1:103" ht="15" customHeight="1">
      <c r="A17" s="100">
        <f t="shared" si="5"/>
        <v>113</v>
      </c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399"/>
      <c r="M17" s="399"/>
      <c r="N17" s="399"/>
      <c r="O17" s="399"/>
      <c r="P17" s="399"/>
      <c r="Q17" s="400"/>
      <c r="R17" s="401"/>
      <c r="S17" s="327"/>
      <c r="T17" s="328"/>
      <c r="U17" s="401"/>
      <c r="V17" s="402"/>
      <c r="W17" s="279">
        <f ca="1">INT(SUMIF($Y$10:$AA17,"外税8%",$U$10:$V17)*1.08)+INT(SUMIF($Y$10:$AA17,"外税10%",$U$10:$V17)*1.1)+SUMIF($Y$10:$AA17,"内税10%",$U$10:$V17)+SUMIF($Y$10:$AA17,"非課税",$U$10:$V17)</f>
        <v>0</v>
      </c>
      <c r="X17" s="280"/>
      <c r="Y17" s="281"/>
      <c r="Z17" s="282"/>
      <c r="AA17" s="282"/>
      <c r="AB17" s="283"/>
      <c r="AC17" s="283"/>
      <c r="AD17" s="214" t="str">
        <f t="shared" si="6"/>
        <v>+</v>
      </c>
      <c r="AE17" s="215"/>
      <c r="AF17" s="284"/>
      <c r="AG17" s="284"/>
      <c r="AH17" s="595"/>
      <c r="AI17" s="596"/>
      <c r="AJ17" s="285"/>
      <c r="AK17" s="286"/>
      <c r="AL17" s="436" t="str">
        <f t="shared" si="0"/>
        <v/>
      </c>
      <c r="AM17" s="334"/>
      <c r="AN17" s="333" t="str">
        <f>IF(U17="","",IF(#REF!="",ROUNDDOWN(U17*$AH$10-1,0),0))</f>
        <v/>
      </c>
      <c r="AO17" s="334"/>
      <c r="AP17" s="460"/>
      <c r="AQ17" s="461"/>
      <c r="AR17" s="432" t="str">
        <f t="shared" si="1"/>
        <v/>
      </c>
      <c r="AS17" s="433"/>
      <c r="AT17" s="333">
        <f t="shared" si="2"/>
        <v>0</v>
      </c>
      <c r="AU17" s="334"/>
      <c r="AV17" s="271"/>
      <c r="AW17" s="272"/>
      <c r="AX17" s="271">
        <f t="shared" si="7"/>
        <v>0</v>
      </c>
      <c r="AY17" s="272"/>
      <c r="AZ17" s="434" t="str">
        <f>IF(U17="","",U17+#REF!+AV17)</f>
        <v/>
      </c>
      <c r="BA17" s="435"/>
      <c r="BB17" s="408" t="str">
        <f t="shared" si="3"/>
        <v/>
      </c>
      <c r="BC17" s="409"/>
      <c r="BD17" s="407"/>
      <c r="BE17" s="408"/>
      <c r="BF17" s="408"/>
      <c r="BG17" s="409"/>
      <c r="BH17" s="423"/>
      <c r="BI17" s="424"/>
      <c r="BJ17" s="564"/>
      <c r="BK17" s="565"/>
      <c r="BL17" s="568"/>
      <c r="BM17" s="569"/>
      <c r="BN17" s="130"/>
      <c r="BQ17" s="497">
        <f ca="1">BQ12+BQ15+BQ16</f>
        <v>47337</v>
      </c>
      <c r="BR17" s="498"/>
      <c r="BS17" s="510">
        <f ca="1">BS12+BS15+BS16</f>
        <v>51145</v>
      </c>
      <c r="BT17" s="421"/>
      <c r="BU17" s="420">
        <f ca="1">BU12+BU15+BU16</f>
        <v>3808</v>
      </c>
      <c r="BV17" s="421"/>
      <c r="BW17" s="545"/>
      <c r="BX17" s="544"/>
      <c r="BY17" s="543"/>
      <c r="BZ17" s="548"/>
      <c r="CA17" s="551"/>
      <c r="CB17" s="545"/>
      <c r="CC17" s="126" t="s">
        <v>80</v>
      </c>
      <c r="CD17" s="337" t="str">
        <f t="shared" si="4"/>
        <v/>
      </c>
      <c r="CE17" s="337"/>
      <c r="CF17" s="338"/>
      <c r="CG17" s="132"/>
      <c r="CR17" s="103" t="s">
        <v>99</v>
      </c>
      <c r="CX17" s="102" t="s">
        <v>30</v>
      </c>
    </row>
    <row r="18" spans="1:103" ht="15" customHeight="1" thickBot="1">
      <c r="A18" s="100">
        <f t="shared" si="5"/>
        <v>112</v>
      </c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399"/>
      <c r="M18" s="399"/>
      <c r="N18" s="399"/>
      <c r="O18" s="399"/>
      <c r="P18" s="399"/>
      <c r="Q18" s="400"/>
      <c r="R18" s="401"/>
      <c r="S18" s="327"/>
      <c r="T18" s="328"/>
      <c r="U18" s="401"/>
      <c r="V18" s="402"/>
      <c r="W18" s="279">
        <f ca="1">INT(SUMIF($Y$10:$AA18,"外税8%",$U$10:$V18)*1.08)+INT(SUMIF($Y$10:$AA18,"外税10%",$U$10:$V18)*1.1)+SUMIF($Y$10:$AA18,"内税10%",$U$10:$V18)+SUMIF($Y$10:$AA18,"非課税",$U$10:$V18)</f>
        <v>0</v>
      </c>
      <c r="X18" s="280"/>
      <c r="Y18" s="281"/>
      <c r="Z18" s="282"/>
      <c r="AA18" s="282"/>
      <c r="AB18" s="283"/>
      <c r="AC18" s="283"/>
      <c r="AD18" s="214" t="str">
        <f t="shared" si="6"/>
        <v>+</v>
      </c>
      <c r="AE18" s="215"/>
      <c r="AF18" s="284"/>
      <c r="AG18" s="284"/>
      <c r="AH18" s="595"/>
      <c r="AI18" s="596"/>
      <c r="AJ18" s="285"/>
      <c r="AK18" s="286"/>
      <c r="AL18" s="436" t="str">
        <f t="shared" si="0"/>
        <v/>
      </c>
      <c r="AM18" s="334"/>
      <c r="AN18" s="333" t="str">
        <f>IF(U18="","",IF(#REF!="",ROUNDDOWN(U18*$AH$10-1,0),0))</f>
        <v/>
      </c>
      <c r="AO18" s="334"/>
      <c r="AP18" s="460"/>
      <c r="AQ18" s="461"/>
      <c r="AR18" s="432" t="str">
        <f t="shared" si="1"/>
        <v/>
      </c>
      <c r="AS18" s="433"/>
      <c r="AT18" s="333">
        <f t="shared" si="2"/>
        <v>0</v>
      </c>
      <c r="AU18" s="334"/>
      <c r="AV18" s="271"/>
      <c r="AW18" s="272"/>
      <c r="AX18" s="271">
        <f t="shared" si="7"/>
        <v>0</v>
      </c>
      <c r="AY18" s="272"/>
      <c r="AZ18" s="434" t="str">
        <f>IF(U18="","",U18+#REF!+AV18)</f>
        <v/>
      </c>
      <c r="BA18" s="435"/>
      <c r="BB18" s="408" t="str">
        <f t="shared" si="3"/>
        <v/>
      </c>
      <c r="BC18" s="409"/>
      <c r="BD18" s="407"/>
      <c r="BE18" s="408"/>
      <c r="BF18" s="408"/>
      <c r="BG18" s="409"/>
      <c r="BH18" s="423"/>
      <c r="BI18" s="424"/>
      <c r="BJ18" s="564"/>
      <c r="BK18" s="565"/>
      <c r="BL18" s="568"/>
      <c r="BM18" s="569"/>
      <c r="BN18" s="133"/>
      <c r="BO18" s="134"/>
      <c r="BP18" s="134"/>
      <c r="BW18" s="545"/>
      <c r="BX18" s="544"/>
      <c r="BY18" s="543"/>
      <c r="BZ18" s="548"/>
      <c r="CA18" s="551"/>
      <c r="CB18" s="545"/>
      <c r="CC18" s="126" t="s">
        <v>80</v>
      </c>
      <c r="CD18" s="337" t="str">
        <f t="shared" si="4"/>
        <v/>
      </c>
      <c r="CE18" s="337"/>
      <c r="CF18" s="338"/>
      <c r="CG18" s="132"/>
      <c r="CK18" s="489" t="s">
        <v>100</v>
      </c>
      <c r="CL18" s="490"/>
      <c r="CM18" s="490"/>
      <c r="CN18" s="490"/>
      <c r="CO18" s="490"/>
      <c r="CP18" s="490"/>
      <c r="CR18" s="103" t="s">
        <v>101</v>
      </c>
      <c r="CX18" s="102" t="s">
        <v>30</v>
      </c>
    </row>
    <row r="19" spans="1:103" ht="15" customHeight="1" thickBot="1">
      <c r="A19" s="100">
        <f t="shared" si="5"/>
        <v>111</v>
      </c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399"/>
      <c r="M19" s="399"/>
      <c r="N19" s="399"/>
      <c r="O19" s="399"/>
      <c r="P19" s="399"/>
      <c r="Q19" s="400"/>
      <c r="R19" s="401"/>
      <c r="S19" s="327"/>
      <c r="T19" s="328"/>
      <c r="U19" s="401"/>
      <c r="V19" s="402"/>
      <c r="W19" s="279">
        <f ca="1">INT(SUMIF($Y$10:$AA19,"外税8%",$U$10:$V19)*1.08)+INT(SUMIF($Y$10:$AA19,"外税10%",$U$10:$V19)*1.1)+SUMIF($Y$10:$AA19,"内税10%",$U$10:$V19)+SUMIF($Y$10:$AA19,"非課税",$U$10:$V19)</f>
        <v>0</v>
      </c>
      <c r="X19" s="280"/>
      <c r="Y19" s="281"/>
      <c r="Z19" s="282"/>
      <c r="AA19" s="282"/>
      <c r="AB19" s="283"/>
      <c r="AC19" s="283"/>
      <c r="AD19" s="214" t="str">
        <f t="shared" si="6"/>
        <v>+</v>
      </c>
      <c r="AE19" s="215"/>
      <c r="AF19" s="284"/>
      <c r="AG19" s="284"/>
      <c r="AH19" s="595"/>
      <c r="AI19" s="596"/>
      <c r="AJ19" s="285"/>
      <c r="AK19" s="286"/>
      <c r="AL19" s="436" t="str">
        <f t="shared" si="0"/>
        <v/>
      </c>
      <c r="AM19" s="334"/>
      <c r="AN19" s="333" t="str">
        <f>IF(U19="","",IF(#REF!="",ROUNDDOWN(U19*$AH$10-1,0),0))</f>
        <v/>
      </c>
      <c r="AO19" s="334"/>
      <c r="AP19" s="460"/>
      <c r="AQ19" s="461"/>
      <c r="AR19" s="432" t="str">
        <f t="shared" si="1"/>
        <v/>
      </c>
      <c r="AS19" s="433"/>
      <c r="AT19" s="333">
        <f t="shared" si="2"/>
        <v>0</v>
      </c>
      <c r="AU19" s="334"/>
      <c r="AV19" s="271"/>
      <c r="AW19" s="272"/>
      <c r="AX19" s="271">
        <f t="shared" si="7"/>
        <v>0</v>
      </c>
      <c r="AY19" s="272"/>
      <c r="AZ19" s="434" t="str">
        <f>IF(U19="","",U19+#REF!+AV19)</f>
        <v/>
      </c>
      <c r="BA19" s="435"/>
      <c r="BB19" s="408" t="str">
        <f t="shared" si="3"/>
        <v/>
      </c>
      <c r="BC19" s="409"/>
      <c r="BD19" s="407"/>
      <c r="BE19" s="408"/>
      <c r="BF19" s="408"/>
      <c r="BG19" s="409"/>
      <c r="BH19" s="423"/>
      <c r="BI19" s="424"/>
      <c r="BJ19" s="564"/>
      <c r="BK19" s="565"/>
      <c r="BL19" s="568"/>
      <c r="BM19" s="569"/>
      <c r="BN19" s="486" t="s">
        <v>100</v>
      </c>
      <c r="BO19" s="487"/>
      <c r="BP19" s="487"/>
      <c r="BQ19" s="487"/>
      <c r="BR19" s="487"/>
      <c r="BS19" s="487"/>
      <c r="BT19" s="487"/>
      <c r="BU19" s="487"/>
      <c r="BV19" s="488"/>
      <c r="BW19" s="545"/>
      <c r="BX19" s="544"/>
      <c r="BY19" s="543"/>
      <c r="BZ19" s="548"/>
      <c r="CA19" s="551"/>
      <c r="CB19" s="545"/>
      <c r="CC19" s="126" t="s">
        <v>80</v>
      </c>
      <c r="CD19" s="337" t="str">
        <f t="shared" si="4"/>
        <v/>
      </c>
      <c r="CE19" s="337"/>
      <c r="CF19" s="338"/>
      <c r="CG19" s="132"/>
      <c r="CK19" s="491">
        <v>0.08</v>
      </c>
      <c r="CL19" s="492"/>
      <c r="CM19" s="493">
        <v>29557</v>
      </c>
      <c r="CN19" s="494"/>
      <c r="CO19" s="495">
        <f>INT(CM19* (0.08/1.08))</f>
        <v>2189</v>
      </c>
      <c r="CP19" s="496"/>
      <c r="CR19" s="103" t="s">
        <v>102</v>
      </c>
      <c r="CX19" s="102" t="s">
        <v>30</v>
      </c>
    </row>
    <row r="20" spans="1:103" ht="15" customHeight="1">
      <c r="A20" s="100">
        <f t="shared" si="5"/>
        <v>110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399"/>
      <c r="M20" s="399"/>
      <c r="N20" s="399"/>
      <c r="O20" s="399"/>
      <c r="P20" s="399"/>
      <c r="Q20" s="400"/>
      <c r="R20" s="401"/>
      <c r="S20" s="327"/>
      <c r="T20" s="328"/>
      <c r="U20" s="401"/>
      <c r="V20" s="402"/>
      <c r="W20" s="279">
        <f ca="1">INT(SUMIF($Y$10:$AA20,"外税8%",$U$10:$V20)*1.08)+INT(SUMIF($Y$10:$AA20,"外税10%",$U$10:$V20)*1.1)+SUMIF($Y$10:$AA20,"内税10%",$U$10:$V20)+SUMIF($Y$10:$AA20,"非課税",$U$10:$V20)</f>
        <v>0</v>
      </c>
      <c r="X20" s="280"/>
      <c r="Y20" s="281"/>
      <c r="Z20" s="282"/>
      <c r="AA20" s="282"/>
      <c r="AB20" s="283"/>
      <c r="AC20" s="283"/>
      <c r="AD20" s="214" t="str">
        <f t="shared" si="6"/>
        <v>+</v>
      </c>
      <c r="AE20" s="215"/>
      <c r="AF20" s="284"/>
      <c r="AG20" s="284"/>
      <c r="AH20" s="595"/>
      <c r="AI20" s="596"/>
      <c r="AJ20" s="285"/>
      <c r="AK20" s="286"/>
      <c r="AL20" s="436" t="str">
        <f t="shared" si="0"/>
        <v/>
      </c>
      <c r="AM20" s="334"/>
      <c r="AN20" s="333" t="str">
        <f>IF(U20="","",IF(#REF!="",ROUNDDOWN(U20*$AH$10-1,0),0))</f>
        <v/>
      </c>
      <c r="AO20" s="334"/>
      <c r="AP20" s="460"/>
      <c r="AQ20" s="461"/>
      <c r="AR20" s="432" t="str">
        <f t="shared" si="1"/>
        <v/>
      </c>
      <c r="AS20" s="433"/>
      <c r="AT20" s="333">
        <f t="shared" si="2"/>
        <v>0</v>
      </c>
      <c r="AU20" s="334"/>
      <c r="AV20" s="271"/>
      <c r="AW20" s="272"/>
      <c r="AX20" s="271">
        <f t="shared" si="7"/>
        <v>0</v>
      </c>
      <c r="AY20" s="272"/>
      <c r="AZ20" s="434" t="str">
        <f>IF(U20="","",U20+#REF!+AV20)</f>
        <v/>
      </c>
      <c r="BA20" s="435"/>
      <c r="BB20" s="408" t="str">
        <f t="shared" si="3"/>
        <v/>
      </c>
      <c r="BC20" s="409"/>
      <c r="BD20" s="407"/>
      <c r="BE20" s="408"/>
      <c r="BF20" s="408"/>
      <c r="BG20" s="409"/>
      <c r="BH20" s="423"/>
      <c r="BI20" s="424"/>
      <c r="BJ20" s="564"/>
      <c r="BK20" s="565"/>
      <c r="BL20" s="568"/>
      <c r="BM20" s="569"/>
      <c r="BN20" s="483" t="s">
        <v>79</v>
      </c>
      <c r="BO20" s="484"/>
      <c r="BP20" s="485"/>
      <c r="BQ20" s="475">
        <v>30933</v>
      </c>
      <c r="BR20" s="476"/>
      <c r="BS20" s="477">
        <f>BQ20+BU20</f>
        <v>33407</v>
      </c>
      <c r="BT20" s="476"/>
      <c r="BU20" s="477">
        <v>2474</v>
      </c>
      <c r="BV20" s="478"/>
      <c r="BW20" s="545"/>
      <c r="BX20" s="544"/>
      <c r="BY20" s="543"/>
      <c r="BZ20" s="548"/>
      <c r="CA20" s="551"/>
      <c r="CB20" s="545"/>
      <c r="CC20" s="126" t="s">
        <v>80</v>
      </c>
      <c r="CD20" s="337" t="str">
        <f t="shared" si="4"/>
        <v/>
      </c>
      <c r="CE20" s="337"/>
      <c r="CF20" s="338"/>
      <c r="CG20" s="132"/>
      <c r="CK20" s="479">
        <v>0.1</v>
      </c>
      <c r="CL20" s="480"/>
      <c r="CM20" s="481">
        <v>13284</v>
      </c>
      <c r="CN20" s="482"/>
      <c r="CO20" s="473">
        <f>INT(CM20* (0.1/1.1))</f>
        <v>1207</v>
      </c>
      <c r="CP20" s="474"/>
      <c r="CR20" s="103" t="s">
        <v>103</v>
      </c>
      <c r="CX20" s="102" t="s">
        <v>30</v>
      </c>
    </row>
    <row r="21" spans="1:103" ht="15" customHeight="1">
      <c r="A21" s="100">
        <f t="shared" si="5"/>
        <v>109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399"/>
      <c r="M21" s="399"/>
      <c r="N21" s="399"/>
      <c r="O21" s="399"/>
      <c r="P21" s="399"/>
      <c r="Q21" s="400"/>
      <c r="R21" s="401"/>
      <c r="S21" s="327"/>
      <c r="T21" s="328"/>
      <c r="U21" s="401"/>
      <c r="V21" s="402"/>
      <c r="W21" s="279">
        <f ca="1">INT(SUMIF($Y$10:$AA21,"外税8%",$U$10:$V21)*1.08)+INT(SUMIF($Y$10:$AA21,"外税10%",$U$10:$V21)*1.1)+SUMIF($Y$10:$AA21,"内税10%",$U$10:$V21)+SUMIF($Y$10:$AA21,"非課税",$U$10:$V21)</f>
        <v>0</v>
      </c>
      <c r="X21" s="280"/>
      <c r="Y21" s="281"/>
      <c r="Z21" s="282"/>
      <c r="AA21" s="282"/>
      <c r="AB21" s="283"/>
      <c r="AC21" s="283"/>
      <c r="AD21" s="214" t="str">
        <f t="shared" si="6"/>
        <v>+</v>
      </c>
      <c r="AE21" s="215"/>
      <c r="AF21" s="284"/>
      <c r="AG21" s="284"/>
      <c r="AH21" s="595"/>
      <c r="AI21" s="596"/>
      <c r="AJ21" s="285"/>
      <c r="AK21" s="286"/>
      <c r="AL21" s="436" t="str">
        <f t="shared" si="0"/>
        <v/>
      </c>
      <c r="AM21" s="334"/>
      <c r="AN21" s="333" t="str">
        <f>IF(U21="","",IF(#REF!="",ROUNDDOWN(U21*$AH$10-1,0),0))</f>
        <v/>
      </c>
      <c r="AO21" s="334"/>
      <c r="AP21" s="460"/>
      <c r="AQ21" s="461"/>
      <c r="AR21" s="432" t="str">
        <f t="shared" si="1"/>
        <v/>
      </c>
      <c r="AS21" s="433"/>
      <c r="AT21" s="333">
        <f t="shared" si="2"/>
        <v>0</v>
      </c>
      <c r="AU21" s="334"/>
      <c r="AV21" s="271"/>
      <c r="AW21" s="272"/>
      <c r="AX21" s="271">
        <f t="shared" si="7"/>
        <v>0</v>
      </c>
      <c r="AY21" s="272"/>
      <c r="AZ21" s="434" t="str">
        <f>IF(U21="","",U21+#REF!+AV21)</f>
        <v/>
      </c>
      <c r="BA21" s="435"/>
      <c r="BB21" s="408" t="str">
        <f t="shared" si="3"/>
        <v/>
      </c>
      <c r="BC21" s="409"/>
      <c r="BD21" s="407"/>
      <c r="BE21" s="408"/>
      <c r="BF21" s="408"/>
      <c r="BG21" s="409"/>
      <c r="BH21" s="423"/>
      <c r="BI21" s="424"/>
      <c r="BJ21" s="564"/>
      <c r="BK21" s="565"/>
      <c r="BL21" s="568"/>
      <c r="BM21" s="569"/>
      <c r="BN21" s="466" t="s">
        <v>82</v>
      </c>
      <c r="BO21" s="467"/>
      <c r="BP21" s="468"/>
      <c r="BQ21" s="469">
        <v>11000</v>
      </c>
      <c r="BR21" s="470"/>
      <c r="BS21" s="471">
        <f>BQ21+BU21</f>
        <v>12100</v>
      </c>
      <c r="BT21" s="470"/>
      <c r="BU21" s="471">
        <v>1100</v>
      </c>
      <c r="BV21" s="472"/>
      <c r="BW21" s="545"/>
      <c r="BX21" s="544"/>
      <c r="BY21" s="543"/>
      <c r="BZ21" s="548"/>
      <c r="CA21" s="551"/>
      <c r="CB21" s="545"/>
      <c r="CC21" s="126" t="s">
        <v>80</v>
      </c>
      <c r="CD21" s="337" t="str">
        <f t="shared" si="4"/>
        <v/>
      </c>
      <c r="CE21" s="337"/>
      <c r="CF21" s="338"/>
      <c r="CG21" s="132"/>
      <c r="CK21" s="135"/>
      <c r="CL21" s="131"/>
      <c r="CM21" s="462" t="s">
        <v>85</v>
      </c>
      <c r="CN21" s="463"/>
      <c r="CO21" s="464">
        <f>SUM(CO19:CO20)</f>
        <v>3396</v>
      </c>
      <c r="CP21" s="465"/>
      <c r="CR21" s="103" t="s">
        <v>104</v>
      </c>
      <c r="CX21" s="102" t="s">
        <v>30</v>
      </c>
    </row>
    <row r="22" spans="1:103" ht="15" customHeight="1">
      <c r="A22" s="100">
        <f t="shared" si="5"/>
        <v>108</v>
      </c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399"/>
      <c r="M22" s="399"/>
      <c r="N22" s="399"/>
      <c r="O22" s="399"/>
      <c r="P22" s="399"/>
      <c r="Q22" s="400"/>
      <c r="R22" s="401"/>
      <c r="S22" s="327"/>
      <c r="T22" s="328"/>
      <c r="U22" s="401"/>
      <c r="V22" s="402"/>
      <c r="W22" s="279">
        <f ca="1">INT(SUMIF($Y$10:$AA22,"外税8%",$U$10:$V22)*1.08)+INT(SUMIF($Y$10:$AA22,"外税10%",$U$10:$V22)*1.1)+SUMIF($Y$10:$AA22,"内税10%",$U$10:$V22)+SUMIF($Y$10:$AA22,"非課税",$U$10:$V22)</f>
        <v>0</v>
      </c>
      <c r="X22" s="280"/>
      <c r="Y22" s="281"/>
      <c r="Z22" s="282"/>
      <c r="AA22" s="282"/>
      <c r="AB22" s="283"/>
      <c r="AC22" s="283"/>
      <c r="AD22" s="214" t="str">
        <f t="shared" si="6"/>
        <v>+</v>
      </c>
      <c r="AE22" s="215"/>
      <c r="AF22" s="284"/>
      <c r="AG22" s="284"/>
      <c r="AH22" s="595"/>
      <c r="AI22" s="596"/>
      <c r="AJ22" s="285"/>
      <c r="AK22" s="286"/>
      <c r="AL22" s="436" t="str">
        <f t="shared" si="0"/>
        <v/>
      </c>
      <c r="AM22" s="334"/>
      <c r="AN22" s="333" t="str">
        <f>IF(U22="","",IF(#REF!="",ROUNDDOWN(U22*$AH$10-1,0),0))</f>
        <v/>
      </c>
      <c r="AO22" s="334"/>
      <c r="AP22" s="460"/>
      <c r="AQ22" s="461"/>
      <c r="AR22" s="432" t="str">
        <f t="shared" si="1"/>
        <v/>
      </c>
      <c r="AS22" s="433"/>
      <c r="AT22" s="333">
        <f t="shared" si="2"/>
        <v>0</v>
      </c>
      <c r="AU22" s="334"/>
      <c r="AV22" s="271"/>
      <c r="AW22" s="272"/>
      <c r="AX22" s="271">
        <f t="shared" si="7"/>
        <v>0</v>
      </c>
      <c r="AY22" s="272"/>
      <c r="AZ22" s="434" t="str">
        <f>IF(U22="","",U22+#REF!+AV22)</f>
        <v/>
      </c>
      <c r="BA22" s="435"/>
      <c r="BB22" s="408" t="str">
        <f t="shared" si="3"/>
        <v/>
      </c>
      <c r="BC22" s="409"/>
      <c r="BD22" s="407"/>
      <c r="BE22" s="408"/>
      <c r="BF22" s="408"/>
      <c r="BG22" s="409"/>
      <c r="BH22" s="423"/>
      <c r="BI22" s="424"/>
      <c r="BJ22" s="564"/>
      <c r="BK22" s="565"/>
      <c r="BL22" s="568"/>
      <c r="BM22" s="569"/>
      <c r="BN22" s="440" t="s">
        <v>84</v>
      </c>
      <c r="BO22" s="441"/>
      <c r="BP22" s="442"/>
      <c r="BQ22" s="443">
        <f>SUM(BQ20:BR21)</f>
        <v>41933</v>
      </c>
      <c r="BR22" s="438"/>
      <c r="BS22" s="437">
        <f>SUM(BS20:BT21)</f>
        <v>45507</v>
      </c>
      <c r="BT22" s="438"/>
      <c r="BU22" s="437">
        <f>SUM(BU20:BV21)</f>
        <v>3574</v>
      </c>
      <c r="BV22" s="439"/>
      <c r="BW22" s="546"/>
      <c r="BX22" s="547"/>
      <c r="BY22" s="549"/>
      <c r="BZ22" s="550"/>
      <c r="CA22" s="552"/>
      <c r="CB22" s="546"/>
      <c r="CC22" s="126" t="s">
        <v>80</v>
      </c>
      <c r="CD22" s="337" t="str">
        <f t="shared" si="4"/>
        <v/>
      </c>
      <c r="CE22" s="337"/>
      <c r="CF22" s="338"/>
      <c r="CG22" s="132"/>
      <c r="CK22" s="136"/>
      <c r="CL22" s="136"/>
      <c r="CM22" s="137"/>
      <c r="CN22" s="137"/>
      <c r="CO22" s="137"/>
      <c r="CP22" s="137"/>
      <c r="CR22" s="103" t="s">
        <v>105</v>
      </c>
      <c r="CX22" s="102" t="s">
        <v>30</v>
      </c>
    </row>
    <row r="23" spans="1:103" ht="15" customHeight="1">
      <c r="A23" s="100">
        <f t="shared" si="5"/>
        <v>107</v>
      </c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399"/>
      <c r="M23" s="399"/>
      <c r="N23" s="399"/>
      <c r="O23" s="399"/>
      <c r="P23" s="399"/>
      <c r="Q23" s="400"/>
      <c r="R23" s="401"/>
      <c r="S23" s="327"/>
      <c r="T23" s="328"/>
      <c r="U23" s="401"/>
      <c r="V23" s="402"/>
      <c r="W23" s="279">
        <f ca="1">INT(SUMIF($Y$10:$AA23,"外税8%",$U$10:$V23)*1.08)+INT(SUMIF($Y$10:$AA23,"外税10%",$U$10:$V23)*1.1)+SUMIF($Y$10:$AA23,"内税10%",$U$10:$V23)+SUMIF($Y$10:$AA23,"非課税",$U$10:$V23)</f>
        <v>0</v>
      </c>
      <c r="X23" s="280"/>
      <c r="Y23" s="281"/>
      <c r="Z23" s="282"/>
      <c r="AA23" s="282"/>
      <c r="AB23" s="283"/>
      <c r="AC23" s="283"/>
      <c r="AD23" s="214" t="str">
        <f t="shared" si="6"/>
        <v>+</v>
      </c>
      <c r="AE23" s="215"/>
      <c r="AF23" s="284"/>
      <c r="AG23" s="284"/>
      <c r="AH23" s="595"/>
      <c r="AI23" s="596"/>
      <c r="AJ23" s="285"/>
      <c r="AK23" s="286"/>
      <c r="AL23" s="436" t="str">
        <f t="shared" si="0"/>
        <v/>
      </c>
      <c r="AM23" s="334"/>
      <c r="AN23" s="333" t="str">
        <f>IF(U23="","",IF(#REF!="",ROUNDDOWN(U23*$AH$10-1,0),0))</f>
        <v/>
      </c>
      <c r="AO23" s="334"/>
      <c r="AP23" s="430"/>
      <c r="AQ23" s="431"/>
      <c r="AR23" s="432" t="str">
        <f t="shared" si="1"/>
        <v/>
      </c>
      <c r="AS23" s="433"/>
      <c r="AT23" s="333">
        <f t="shared" si="2"/>
        <v>0</v>
      </c>
      <c r="AU23" s="334"/>
      <c r="AV23" s="271"/>
      <c r="AW23" s="272"/>
      <c r="AX23" s="271">
        <f t="shared" si="7"/>
        <v>0</v>
      </c>
      <c r="AY23" s="272"/>
      <c r="AZ23" s="434" t="str">
        <f>IF(U23="","",U23+#REF!+AV23)</f>
        <v/>
      </c>
      <c r="BA23" s="435"/>
      <c r="BB23" s="408" t="str">
        <f t="shared" si="3"/>
        <v/>
      </c>
      <c r="BC23" s="409"/>
      <c r="BD23" s="407"/>
      <c r="BE23" s="408"/>
      <c r="BF23" s="408"/>
      <c r="BG23" s="409"/>
      <c r="BH23" s="423"/>
      <c r="BI23" s="424"/>
      <c r="BJ23" s="564"/>
      <c r="BK23" s="565"/>
      <c r="BL23" s="568"/>
      <c r="BM23" s="569"/>
      <c r="BN23" s="454" t="s">
        <v>87</v>
      </c>
      <c r="BO23" s="455"/>
      <c r="BP23" s="456"/>
      <c r="BQ23" s="457"/>
      <c r="BR23" s="452"/>
      <c r="BS23" s="451"/>
      <c r="BT23" s="452"/>
      <c r="BU23" s="451">
        <f t="shared" ref="BU23" si="9">BS23-BQ23</f>
        <v>0</v>
      </c>
      <c r="BV23" s="453"/>
      <c r="CC23" s="138" t="s">
        <v>80</v>
      </c>
      <c r="CD23" s="337" t="str">
        <f t="shared" si="4"/>
        <v/>
      </c>
      <c r="CE23" s="337"/>
      <c r="CF23" s="338"/>
      <c r="CG23" s="132"/>
      <c r="CK23" s="136"/>
      <c r="CL23" s="136"/>
      <c r="CM23" s="137"/>
      <c r="CN23" s="137"/>
      <c r="CO23" s="137"/>
      <c r="CP23" s="137"/>
      <c r="CR23" s="103" t="s">
        <v>106</v>
      </c>
      <c r="CX23" s="102" t="s">
        <v>30</v>
      </c>
    </row>
    <row r="24" spans="1:103" ht="15" customHeight="1">
      <c r="A24" s="100">
        <f t="shared" si="5"/>
        <v>106</v>
      </c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399"/>
      <c r="M24" s="399"/>
      <c r="N24" s="399"/>
      <c r="O24" s="399"/>
      <c r="P24" s="399"/>
      <c r="Q24" s="400"/>
      <c r="R24" s="401"/>
      <c r="S24" s="327"/>
      <c r="T24" s="328"/>
      <c r="U24" s="401"/>
      <c r="V24" s="402"/>
      <c r="W24" s="279">
        <f ca="1">INT(SUMIF($Y$10:$AA24,"外税8%",$U$10:$V24)*1.08)+INT(SUMIF($Y$10:$AA24,"外税10%",$U$10:$V24)*1.1)+SUMIF($Y$10:$AA24,"内税10%",$U$10:$V24)+SUMIF($Y$10:$AA24,"非課税",$U$10:$V24)</f>
        <v>0</v>
      </c>
      <c r="X24" s="280"/>
      <c r="Y24" s="281"/>
      <c r="Z24" s="282"/>
      <c r="AA24" s="282"/>
      <c r="AB24" s="283"/>
      <c r="AC24" s="283"/>
      <c r="AD24" s="214" t="str">
        <f t="shared" si="6"/>
        <v>+</v>
      </c>
      <c r="AE24" s="215"/>
      <c r="AF24" s="284"/>
      <c r="AG24" s="284"/>
      <c r="AH24" s="595"/>
      <c r="AI24" s="596"/>
      <c r="AJ24" s="285"/>
      <c r="AK24" s="286"/>
      <c r="AL24" s="436" t="str">
        <f t="shared" si="0"/>
        <v/>
      </c>
      <c r="AM24" s="334"/>
      <c r="AN24" s="333" t="str">
        <f>IF(U24="","",IF(#REF!="",ROUNDDOWN(U24*$AH$10-1,0),0))</f>
        <v/>
      </c>
      <c r="AO24" s="334"/>
      <c r="AP24" s="430"/>
      <c r="AQ24" s="431"/>
      <c r="AR24" s="432" t="str">
        <f t="shared" si="1"/>
        <v/>
      </c>
      <c r="AS24" s="433"/>
      <c r="AT24" s="333">
        <f t="shared" si="2"/>
        <v>0</v>
      </c>
      <c r="AU24" s="334"/>
      <c r="AV24" s="271"/>
      <c r="AW24" s="272"/>
      <c r="AX24" s="271">
        <f t="shared" si="7"/>
        <v>0</v>
      </c>
      <c r="AY24" s="272"/>
      <c r="AZ24" s="434" t="str">
        <f>IF(U24="","",U24+#REF!+AV24)</f>
        <v/>
      </c>
      <c r="BA24" s="435"/>
      <c r="BB24" s="408" t="str">
        <f t="shared" si="3"/>
        <v/>
      </c>
      <c r="BC24" s="409"/>
      <c r="BD24" s="407"/>
      <c r="BE24" s="408"/>
      <c r="BF24" s="408"/>
      <c r="BG24" s="409"/>
      <c r="BH24" s="423"/>
      <c r="BI24" s="424"/>
      <c r="BJ24" s="564"/>
      <c r="BK24" s="565"/>
      <c r="BL24" s="568"/>
      <c r="BM24" s="569"/>
      <c r="BN24" s="446" t="s">
        <v>90</v>
      </c>
      <c r="BO24" s="447"/>
      <c r="BP24" s="448"/>
      <c r="BQ24" s="449">
        <f>BS24-BU24</f>
        <v>2344</v>
      </c>
      <c r="BR24" s="450"/>
      <c r="BS24" s="458">
        <v>2578</v>
      </c>
      <c r="BT24" s="450"/>
      <c r="BU24" s="458">
        <v>234</v>
      </c>
      <c r="BV24" s="459"/>
      <c r="CC24" s="138" t="s">
        <v>80</v>
      </c>
      <c r="CD24" s="337" t="str">
        <f t="shared" si="4"/>
        <v/>
      </c>
      <c r="CE24" s="337"/>
      <c r="CF24" s="338"/>
      <c r="CG24" s="130"/>
      <c r="CH24" s="101"/>
      <c r="CI24" s="139"/>
      <c r="CJ24" s="139"/>
      <c r="CK24" s="101"/>
      <c r="CL24" s="101"/>
      <c r="CM24" s="137"/>
      <c r="CN24" s="137"/>
      <c r="CO24" s="137"/>
      <c r="CP24" s="137"/>
      <c r="CR24" s="103" t="s">
        <v>107</v>
      </c>
      <c r="CX24" s="102" t="s">
        <v>30</v>
      </c>
    </row>
    <row r="25" spans="1:103" ht="15" customHeight="1">
      <c r="A25" s="100">
        <f t="shared" si="5"/>
        <v>105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399"/>
      <c r="M25" s="399"/>
      <c r="N25" s="399"/>
      <c r="O25" s="399"/>
      <c r="P25" s="399"/>
      <c r="Q25" s="400"/>
      <c r="R25" s="401"/>
      <c r="S25" s="327"/>
      <c r="T25" s="328"/>
      <c r="U25" s="401"/>
      <c r="V25" s="402"/>
      <c r="W25" s="279">
        <f ca="1">INT(SUMIF($Y$10:$AA25,"外税8%",$U$10:$V25)*1.08)+INT(SUMIF($Y$10:$AA25,"外税10%",$U$10:$V25)*1.1)+SUMIF($Y$10:$AA25,"内税10%",$U$10:$V25)+SUMIF($Y$10:$AA25,"非課税",$U$10:$V25)</f>
        <v>0</v>
      </c>
      <c r="X25" s="280"/>
      <c r="Y25" s="281"/>
      <c r="Z25" s="282"/>
      <c r="AA25" s="282"/>
      <c r="AB25" s="283"/>
      <c r="AC25" s="283"/>
      <c r="AD25" s="214" t="str">
        <f t="shared" si="6"/>
        <v>+</v>
      </c>
      <c r="AE25" s="215"/>
      <c r="AF25" s="284"/>
      <c r="AG25" s="284"/>
      <c r="AH25" s="595"/>
      <c r="AI25" s="596"/>
      <c r="AJ25" s="285"/>
      <c r="AK25" s="286"/>
      <c r="AL25" s="436" t="str">
        <f t="shared" si="0"/>
        <v/>
      </c>
      <c r="AM25" s="334"/>
      <c r="AN25" s="333" t="str">
        <f>IF(U25="","",IF(#REF!="",ROUNDDOWN(U25*$AH$10-1,0),0))</f>
        <v/>
      </c>
      <c r="AO25" s="334"/>
      <c r="AP25" s="430"/>
      <c r="AQ25" s="431"/>
      <c r="AR25" s="432" t="str">
        <f t="shared" si="1"/>
        <v/>
      </c>
      <c r="AS25" s="433"/>
      <c r="AT25" s="333">
        <f t="shared" si="2"/>
        <v>0</v>
      </c>
      <c r="AU25" s="334"/>
      <c r="AV25" s="271"/>
      <c r="AW25" s="272"/>
      <c r="AX25" s="271">
        <f t="shared" si="7"/>
        <v>0</v>
      </c>
      <c r="AY25" s="272"/>
      <c r="AZ25" s="434" t="str">
        <f>IF(U25="","",U25+#REF!+AV25)</f>
        <v/>
      </c>
      <c r="BA25" s="435"/>
      <c r="BB25" s="408" t="str">
        <f t="shared" si="3"/>
        <v/>
      </c>
      <c r="BC25" s="409"/>
      <c r="BD25" s="407"/>
      <c r="BE25" s="408"/>
      <c r="BF25" s="408"/>
      <c r="BG25" s="409"/>
      <c r="BH25" s="423"/>
      <c r="BI25" s="424"/>
      <c r="BJ25" s="564"/>
      <c r="BK25" s="565"/>
      <c r="BL25" s="568"/>
      <c r="BM25" s="570"/>
      <c r="BN25" s="440" t="s">
        <v>93</v>
      </c>
      <c r="BO25" s="441"/>
      <c r="BP25" s="442"/>
      <c r="BQ25" s="443">
        <f>SUM(BQ23:BR24)</f>
        <v>2344</v>
      </c>
      <c r="BR25" s="438"/>
      <c r="BS25" s="437">
        <f>SUM(BS23:BT24)</f>
        <v>2578</v>
      </c>
      <c r="BT25" s="438"/>
      <c r="BU25" s="437">
        <f>SUM(BU23:BV24)</f>
        <v>234</v>
      </c>
      <c r="BV25" s="439"/>
      <c r="CC25" s="138" t="s">
        <v>80</v>
      </c>
      <c r="CD25" s="337" t="str">
        <f t="shared" si="4"/>
        <v/>
      </c>
      <c r="CE25" s="337"/>
      <c r="CF25" s="338"/>
      <c r="CR25" s="103" t="s">
        <v>108</v>
      </c>
      <c r="CX25" s="102" t="s">
        <v>30</v>
      </c>
    </row>
    <row r="26" spans="1:103" ht="15" customHeight="1" thickBot="1">
      <c r="A26" s="100">
        <f t="shared" si="5"/>
        <v>104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399"/>
      <c r="M26" s="399"/>
      <c r="N26" s="399"/>
      <c r="O26" s="399"/>
      <c r="P26" s="399"/>
      <c r="Q26" s="400"/>
      <c r="R26" s="401"/>
      <c r="S26" s="327"/>
      <c r="T26" s="328"/>
      <c r="U26" s="401"/>
      <c r="V26" s="402"/>
      <c r="W26" s="279">
        <f ca="1">INT(SUMIF($Y$10:$AA26,"外税8%",$U$10:$V26)*1.08)+INT(SUMIF($Y$10:$AA26,"外税10%",$U$10:$V26)*1.1)+SUMIF($Y$10:$AA26,"内税10%",$U$10:$V26)+SUMIF($Y$10:$AA26,"非課税",$U$10:$V26)</f>
        <v>0</v>
      </c>
      <c r="X26" s="280"/>
      <c r="Y26" s="281"/>
      <c r="Z26" s="282"/>
      <c r="AA26" s="282"/>
      <c r="AB26" s="283"/>
      <c r="AC26" s="283"/>
      <c r="AD26" s="214" t="str">
        <f t="shared" si="6"/>
        <v>+</v>
      </c>
      <c r="AE26" s="215"/>
      <c r="AF26" s="284"/>
      <c r="AG26" s="284"/>
      <c r="AH26" s="595"/>
      <c r="AI26" s="596"/>
      <c r="AJ26" s="285"/>
      <c r="AK26" s="286"/>
      <c r="AL26" s="436" t="str">
        <f t="shared" si="0"/>
        <v/>
      </c>
      <c r="AM26" s="334"/>
      <c r="AN26" s="333" t="str">
        <f>IF(U26="","",IF(#REF!="",ROUNDDOWN(U26*$AH$10-1,0),0))</f>
        <v/>
      </c>
      <c r="AO26" s="334"/>
      <c r="AP26" s="430"/>
      <c r="AQ26" s="431"/>
      <c r="AR26" s="432" t="str">
        <f t="shared" si="1"/>
        <v/>
      </c>
      <c r="AS26" s="433"/>
      <c r="AT26" s="333">
        <f t="shared" si="2"/>
        <v>0</v>
      </c>
      <c r="AU26" s="334"/>
      <c r="AV26" s="271"/>
      <c r="AW26" s="272"/>
      <c r="AX26" s="271">
        <f t="shared" si="7"/>
        <v>0</v>
      </c>
      <c r="AY26" s="272"/>
      <c r="AZ26" s="434" t="str">
        <f>IF(U26="","",U26+#REF!+AV26)</f>
        <v/>
      </c>
      <c r="BA26" s="435"/>
      <c r="BB26" s="408" t="str">
        <f t="shared" si="3"/>
        <v/>
      </c>
      <c r="BC26" s="409"/>
      <c r="BD26" s="407"/>
      <c r="BE26" s="408"/>
      <c r="BF26" s="408"/>
      <c r="BG26" s="409"/>
      <c r="BH26" s="423"/>
      <c r="BI26" s="424"/>
      <c r="BJ26" s="564"/>
      <c r="BK26" s="565"/>
      <c r="BL26" s="568"/>
      <c r="BM26" s="570"/>
      <c r="BN26" s="425" t="s">
        <v>96</v>
      </c>
      <c r="BO26" s="426"/>
      <c r="BP26" s="427"/>
      <c r="BQ26" s="428">
        <v>3060</v>
      </c>
      <c r="BR26" s="429"/>
      <c r="BS26" s="444">
        <v>3060</v>
      </c>
      <c r="BT26" s="429"/>
      <c r="BU26" s="444">
        <f>BS26-BQ26</f>
        <v>0</v>
      </c>
      <c r="BV26" s="445"/>
      <c r="CC26" s="138" t="s">
        <v>80</v>
      </c>
      <c r="CD26" s="337" t="str">
        <f t="shared" si="4"/>
        <v/>
      </c>
      <c r="CE26" s="337"/>
      <c r="CF26" s="338"/>
      <c r="CR26" s="103" t="s">
        <v>109</v>
      </c>
      <c r="CX26" s="102" t="s">
        <v>30</v>
      </c>
    </row>
    <row r="27" spans="1:103" ht="15" customHeight="1" thickBot="1">
      <c r="A27" s="100">
        <f t="shared" si="5"/>
        <v>103</v>
      </c>
      <c r="B27" s="293" t="s">
        <v>110</v>
      </c>
      <c r="C27" s="293"/>
      <c r="D27" s="293"/>
      <c r="E27" s="293"/>
      <c r="F27" s="293" t="str" cm="1">
        <f t="array" ref="F27">TRIM(SUBSTITUTE(SUBSTITUTE(INDEX(CR:CR,MATCH("      item_no: "&amp;A27&amp;",",CR:CR,0)+9,1),"item_name: ",""),",",""))</f>
        <v>天乃屋　歌舞伎揚</v>
      </c>
      <c r="G27" s="293"/>
      <c r="H27" s="293"/>
      <c r="I27" s="293"/>
      <c r="J27" s="293"/>
      <c r="K27" s="293"/>
      <c r="L27" s="399" t="str" cm="1">
        <f t="array" ref="L27">TRIM(SUBSTITUTE(SUBSTITUTE(INDEX(CR:CR,MATCH("      item_no: "&amp;A27&amp;",",CR:CR,0)+3,1),"item_scan_code: ",""),",",""))</f>
        <v>4901035115133</v>
      </c>
      <c r="M27" s="399"/>
      <c r="N27" s="399"/>
      <c r="O27" s="399"/>
      <c r="P27" s="399"/>
      <c r="Q27" s="400" cm="1">
        <f t="array" ref="Q27">IF(AF27="true","",TRIM(SUBSTITUTE(SUBSTITUTE(INDEX(CR:CR,MATCH("      item_no: "&amp;A27&amp;",",CR:CR,0)+13,1),"item_price_fmt: ￥",""),",",""))+0)</f>
        <v>229</v>
      </c>
      <c r="R27" s="401"/>
      <c r="S27" s="327">
        <f t="shared" ref="S27:S90" si="10">IF(Q27="","",U27-Q27)</f>
        <v>-186</v>
      </c>
      <c r="T27" s="328"/>
      <c r="U27" s="401" cm="1">
        <f t="array" ref="U27">IF(AF27="true","",TRIM(SUBSTITUTE(SUBSTITUTE(INDEX(CR:CR,MATCH("      item_no: "&amp;A27&amp;",",CR:CR,0)+14,1),"item_price_discount_fmt: ￥",""),",",""))+0)</f>
        <v>43</v>
      </c>
      <c r="V27" s="402"/>
      <c r="W27" s="279">
        <f ca="1">INT(SUMIF($Y$10:$AA27,"外税8%",$U$10:$V27)*1.08)+INT(SUMIF($Y$10:$AA27,"外税10%",$U$10:$V27)*1.1)+SUMIF($Y$10:$AA27,"内税10%",$U$10:$V27)+SUMIF($Y$10:$AA27,"非課税",$U$10:$V27)</f>
        <v>46</v>
      </c>
      <c r="X27" s="280"/>
      <c r="Y27" s="281" t="str" cm="1">
        <f t="array" ref="Y27">TRIM(SUBSTITUTE(SUBSTITUTE(INDEX(CR:CR,MATCH("      item_no: "&amp;A27&amp;",",CR:CR,0)+15,1),"item_tax_fmt: ",""),",",""))</f>
        <v>外税8%</v>
      </c>
      <c r="Z27" s="282"/>
      <c r="AA27" s="282"/>
      <c r="AB27" s="283" t="str" cm="1">
        <f t="array" ref="AB27">TRIM(SUBSTITUTE(SUBSTITUTE(INDEX(CR:CR,MATCH("      item_no: "&amp;A27&amp;",",CR:CR,0)+18,1),"discount_prohibition:",""),",",""))</f>
        <v>0</v>
      </c>
      <c r="AC27" s="283"/>
      <c r="AD27" s="214" t="str">
        <f t="shared" si="6"/>
        <v>外税8%+0</v>
      </c>
      <c r="AE27" s="215"/>
      <c r="AF27" s="284" t="str" cm="1">
        <f t="array" ref="AF27">TRIM(SUBSTITUTE(SUBSTITUTE(INDEX(CR:CR,MATCH("      item_no: "&amp;A27&amp;",",CR:CR,0)+1,1),"item_cancel_line: ",""),",",""))</f>
        <v>false</v>
      </c>
      <c r="AG27" s="284"/>
      <c r="AH27" s="595"/>
      <c r="AI27" s="596"/>
      <c r="AJ27" s="285">
        <f t="shared" ref="AJ27:AJ90" si="11">IF(U27="","",IF(AB27="1",0,U27*$AH$10))</f>
        <v>-2.15</v>
      </c>
      <c r="AK27" s="286"/>
      <c r="AL27" s="335">
        <f t="shared" ref="AL27:AL58" ca="1" si="12">IF(S27="","",IF(AB27="0",U27*$U$143/$U$141,0))</f>
        <v>-2.1510088108023564</v>
      </c>
      <c r="AM27" s="336"/>
      <c r="AN27" s="333">
        <f t="shared" ref="AN27:AN90" ca="1" si="13">IF(U27="","",ROUNDUP(AL27,0))</f>
        <v>-3</v>
      </c>
      <c r="AO27" s="334"/>
      <c r="AP27" s="329">
        <f t="shared" ref="AP27:AP90" si="14">IF(U27="","",IF(AB27="1",0,U27))</f>
        <v>43</v>
      </c>
      <c r="AQ27" s="330"/>
      <c r="AR27" s="331">
        <f t="shared" ref="AR27:AR90" si="15">IF(AP27="","",RANK(AP27,$AP$10:$AQ$129,0))</f>
        <v>78</v>
      </c>
      <c r="AS27" s="332"/>
      <c r="AT27" s="333">
        <f t="shared" si="2"/>
        <v>0</v>
      </c>
      <c r="AU27" s="334"/>
      <c r="AV27" s="271"/>
      <c r="AW27" s="272"/>
      <c r="AX27" s="271">
        <f t="shared" si="7"/>
        <v>0</v>
      </c>
      <c r="AY27" s="272"/>
      <c r="AZ27" s="273">
        <f t="shared" ref="AZ27:AZ41" si="16">IF(U27="","",U27+AX27)</f>
        <v>43</v>
      </c>
      <c r="BA27" s="274"/>
      <c r="BB27" s="339">
        <f t="shared" si="3"/>
        <v>46</v>
      </c>
      <c r="BC27" s="340"/>
      <c r="BD27" s="367">
        <f t="shared" ref="BD27:BD90" si="17">IF(AF27="true","",MID(CY27,SEARCH("&lt;KAIKIN_VL&gt;",CY27)+11,SEARCH("&lt;/KAIKIN_VL&gt;",CY27)-SEARCH("&lt;KAIKIN_VL&gt;",CY27)-11)+0)</f>
        <v>43</v>
      </c>
      <c r="BE27" s="368"/>
      <c r="BF27" s="368">
        <f t="shared" ref="BF27:BF72" si="18">BD27-U27</f>
        <v>0</v>
      </c>
      <c r="BG27" s="369"/>
      <c r="BH27" s="370" t="str">
        <f>IF(AZ27=BD27,"",1)</f>
        <v/>
      </c>
      <c r="BI27" s="371"/>
      <c r="BJ27" s="564"/>
      <c r="BK27" s="565"/>
      <c r="BL27" s="568"/>
      <c r="BM27" s="570"/>
      <c r="BR27" s="140"/>
      <c r="BS27" s="418">
        <f>BS22+BS25+BS26</f>
        <v>51145</v>
      </c>
      <c r="BT27" s="419"/>
      <c r="BU27" s="420">
        <f>BU22+BU25+BU26</f>
        <v>3808</v>
      </c>
      <c r="BV27" s="421"/>
      <c r="CC27" s="138" t="s">
        <v>80</v>
      </c>
      <c r="CD27" s="337" t="str">
        <f t="shared" si="4"/>
        <v>外税8%</v>
      </c>
      <c r="CE27" s="337"/>
      <c r="CF27" s="338"/>
      <c r="CM27" s="416"/>
      <c r="CN27" s="417"/>
      <c r="CO27" s="417"/>
      <c r="CR27" s="103" t="s">
        <v>111</v>
      </c>
      <c r="CW27" s="103" t="s">
        <v>112</v>
      </c>
      <c r="CX27" s="102" t="s">
        <v>30</v>
      </c>
      <c r="CY27" s="103" t="s">
        <v>113</v>
      </c>
    </row>
    <row r="28" spans="1:103" ht="15" customHeight="1">
      <c r="A28" s="100">
        <f t="shared" si="5"/>
        <v>102</v>
      </c>
      <c r="B28" s="293" t="s">
        <v>114</v>
      </c>
      <c r="C28" s="293"/>
      <c r="D28" s="293"/>
      <c r="E28" s="293"/>
      <c r="F28" s="293" t="str" cm="1">
        <f t="array" ref="F28">TRIM(SUBSTITUTE(SUBSTITUTE(INDEX(CR:CR,MATCH("      item_no: "&amp;A28&amp;",",CR:CR,0)+9,1),"item_name: ",""),",",""))</f>
        <v>カルビー　２０２４プロ野球チップス</v>
      </c>
      <c r="G28" s="293"/>
      <c r="H28" s="293"/>
      <c r="I28" s="293"/>
      <c r="J28" s="293"/>
      <c r="K28" s="293"/>
      <c r="L28" s="399" t="str" cm="1">
        <f t="array" ref="L28">TRIM(SUBSTITUTE(SUBSTITUTE(INDEX(CR:CR,MATCH("      item_no: "&amp;A28&amp;",",CR:CR,0)+3,1),"item_scan_code: ",""),",",""))</f>
        <v>4901330903084</v>
      </c>
      <c r="M28" s="399"/>
      <c r="N28" s="399"/>
      <c r="O28" s="399"/>
      <c r="P28" s="399"/>
      <c r="Q28" s="400" cm="1">
        <f t="array" ref="Q28">IF(AF28="true","",TRIM(SUBSTITUTE(SUBSTITUTE(INDEX(CR:CR,MATCH("      item_no: "&amp;A28&amp;",",CR:CR,0)+13,1),"item_price_fmt: ￥",""),",",""))+0)</f>
        <v>109</v>
      </c>
      <c r="R28" s="401"/>
      <c r="S28" s="327">
        <f t="shared" si="10"/>
        <v>0</v>
      </c>
      <c r="T28" s="328"/>
      <c r="U28" s="401" cm="1">
        <f t="array" ref="U28">IF(AF28="true","",TRIM(SUBSTITUTE(SUBSTITUTE(INDEX(CR:CR,MATCH("      item_no: "&amp;A28&amp;",",CR:CR,0)+14,1),"item_price_discount_fmt: ￥",""),",",""))+0)</f>
        <v>109</v>
      </c>
      <c r="V28" s="402"/>
      <c r="W28" s="279">
        <f ca="1">INT(SUMIF($Y$10:$AA28,"外税8%",$U$10:$V28)*1.08)+INT(SUMIF($Y$10:$AA28,"外税10%",$U$10:$V28)*1.1)+SUMIF($Y$10:$AA28,"内税10%",$U$10:$V28)+SUMIF($Y$10:$AA28,"非課税",$U$10:$V28)</f>
        <v>165</v>
      </c>
      <c r="X28" s="280"/>
      <c r="Y28" s="281" t="str" cm="1">
        <f t="array" ref="Y28">TRIM(SUBSTITUTE(SUBSTITUTE(INDEX(CR:CR,MATCH("      item_no: "&amp;A28&amp;",",CR:CR,0)+15,1),"item_tax_fmt: ",""),",",""))</f>
        <v>外税10%</v>
      </c>
      <c r="Z28" s="282"/>
      <c r="AA28" s="282"/>
      <c r="AB28" s="283" t="str" cm="1">
        <f t="array" ref="AB28">TRIM(SUBSTITUTE(SUBSTITUTE(INDEX(CR:CR,MATCH("      item_no: "&amp;A28&amp;",",CR:CR,0)+18,1),"discount_prohibition:",""),",",""))</f>
        <v>0</v>
      </c>
      <c r="AC28" s="283"/>
      <c r="AD28" s="214" t="str">
        <f t="shared" si="6"/>
        <v>外税10%+0</v>
      </c>
      <c r="AE28" s="215"/>
      <c r="AF28" s="284" t="str" cm="1">
        <f t="array" ref="AF28">TRIM(SUBSTITUTE(SUBSTITUTE(INDEX(CR:CR,MATCH("      item_no: "&amp;A28&amp;",",CR:CR,0)+1,1),"item_cancel_line: ",""),",",""))</f>
        <v>false</v>
      </c>
      <c r="AG28" s="284"/>
      <c r="AH28" s="595"/>
      <c r="AI28" s="596"/>
      <c r="AJ28" s="285">
        <f t="shared" si="11"/>
        <v>-5.45</v>
      </c>
      <c r="AK28" s="286"/>
      <c r="AL28" s="335">
        <f t="shared" ca="1" si="12"/>
        <v>-5.4525572180803916</v>
      </c>
      <c r="AM28" s="336"/>
      <c r="AN28" s="333">
        <f t="shared" ca="1" si="13"/>
        <v>-6</v>
      </c>
      <c r="AO28" s="334"/>
      <c r="AP28" s="329">
        <f t="shared" si="14"/>
        <v>109</v>
      </c>
      <c r="AQ28" s="330"/>
      <c r="AR28" s="331">
        <f t="shared" si="15"/>
        <v>74</v>
      </c>
      <c r="AS28" s="332"/>
      <c r="AT28" s="333">
        <f t="shared" ca="1" si="2"/>
        <v>-6</v>
      </c>
      <c r="AU28" s="334"/>
      <c r="AV28" s="271"/>
      <c r="AW28" s="272"/>
      <c r="AX28" s="271">
        <f t="shared" ca="1" si="7"/>
        <v>-6</v>
      </c>
      <c r="AY28" s="272"/>
      <c r="AZ28" s="273">
        <f t="shared" ca="1" si="16"/>
        <v>103</v>
      </c>
      <c r="BA28" s="274"/>
      <c r="BB28" s="339">
        <f t="shared" ca="1" si="3"/>
        <v>113</v>
      </c>
      <c r="BC28" s="340"/>
      <c r="BD28" s="347">
        <f t="shared" si="17"/>
        <v>103</v>
      </c>
      <c r="BE28" s="339"/>
      <c r="BF28" s="339">
        <f t="shared" si="18"/>
        <v>-6</v>
      </c>
      <c r="BG28" s="340"/>
      <c r="BH28" s="341" t="str">
        <f t="shared" ref="BH28:BH91" ca="1" si="19">IF(AZ28=BD28,"",1)</f>
        <v/>
      </c>
      <c r="BI28" s="342"/>
      <c r="BJ28" s="564"/>
      <c r="BK28" s="565"/>
      <c r="BL28" s="568"/>
      <c r="BM28" s="570"/>
      <c r="BO28" s="422"/>
      <c r="BP28" s="422"/>
      <c r="BQ28" s="422"/>
      <c r="BR28" s="140"/>
      <c r="BS28" s="140"/>
      <c r="BT28" s="140"/>
      <c r="BU28" s="140"/>
      <c r="BV28" s="140"/>
      <c r="CC28" s="138" t="s">
        <v>80</v>
      </c>
      <c r="CD28" s="337" t="str">
        <f t="shared" si="4"/>
        <v>外税10%</v>
      </c>
      <c r="CE28" s="337"/>
      <c r="CF28" s="338"/>
      <c r="CR28" s="103" t="s">
        <v>115</v>
      </c>
      <c r="CW28" s="103" t="s">
        <v>116</v>
      </c>
      <c r="CX28" s="102" t="s">
        <v>30</v>
      </c>
      <c r="CY28" s="103" t="s">
        <v>117</v>
      </c>
    </row>
    <row r="29" spans="1:103" ht="15" customHeight="1">
      <c r="A29" s="100">
        <f t="shared" si="5"/>
        <v>101</v>
      </c>
      <c r="B29" s="293" t="s">
        <v>118</v>
      </c>
      <c r="C29" s="293"/>
      <c r="D29" s="293"/>
      <c r="E29" s="293"/>
      <c r="F29" s="293" t="str" cm="1">
        <f t="array" ref="F29">TRIM(SUBSTITUTE(SUBSTITUTE(INDEX(CR:CR,MATCH("      item_no: "&amp;A29&amp;",",CR:CR,0)+9,1),"item_name: ",""),",",""))</f>
        <v>サトウ　切り餅つきたてシングルパック</v>
      </c>
      <c r="G29" s="293"/>
      <c r="H29" s="293"/>
      <c r="I29" s="293"/>
      <c r="J29" s="293"/>
      <c r="K29" s="293"/>
      <c r="L29" s="399" t="str" cm="1">
        <f t="array" ref="L29">TRIM(SUBSTITUTE(SUBSTITUTE(INDEX(CR:CR,MATCH("      item_no: "&amp;A29&amp;",",CR:CR,0)+3,1),"item_scan_code: ",""),",",""))</f>
        <v>4973360286819</v>
      </c>
      <c r="M29" s="399"/>
      <c r="N29" s="399"/>
      <c r="O29" s="399"/>
      <c r="P29" s="399"/>
      <c r="Q29" s="400" cm="1">
        <f t="array" ref="Q29">IF(AF29="true","",TRIM(SUBSTITUTE(SUBSTITUTE(INDEX(CR:CR,MATCH("      item_no: "&amp;A29&amp;",",CR:CR,0)+13,1),"item_price_fmt: ￥",""),",",""))+0)</f>
        <v>779</v>
      </c>
      <c r="R29" s="401"/>
      <c r="S29" s="327">
        <f t="shared" si="10"/>
        <v>-636</v>
      </c>
      <c r="T29" s="328"/>
      <c r="U29" s="401" cm="1">
        <f t="array" ref="U29">IF(AF29="true","",TRIM(SUBSTITUTE(SUBSTITUTE(INDEX(CR:CR,MATCH("      item_no: "&amp;A29&amp;",",CR:CR,0)+14,1),"item_price_discount_fmt: ￥",""),",",""))+0)</f>
        <v>143</v>
      </c>
      <c r="V29" s="402"/>
      <c r="W29" s="279">
        <f ca="1">INT(SUMIF($Y$10:$AA29,"外税8%",$U$10:$V29)*1.08)+INT(SUMIF($Y$10:$AA29,"外税10%",$U$10:$V29)*1.1)+SUMIF($Y$10:$AA29,"内税10%",$U$10:$V29)+SUMIF($Y$10:$AA29,"非課税",$U$10:$V29)</f>
        <v>319</v>
      </c>
      <c r="X29" s="280"/>
      <c r="Y29" s="281" t="str" cm="1">
        <f t="array" ref="Y29">TRIM(SUBSTITUTE(SUBSTITUTE(INDEX(CR:CR,MATCH("      item_no: "&amp;A29&amp;",",CR:CR,0)+15,1),"item_tax_fmt: ",""),",",""))</f>
        <v>外税8%</v>
      </c>
      <c r="Z29" s="282"/>
      <c r="AA29" s="282"/>
      <c r="AB29" s="283" t="str" cm="1">
        <f t="array" ref="AB29">TRIM(SUBSTITUTE(SUBSTITUTE(INDEX(CR:CR,MATCH("      item_no: "&amp;A29&amp;",",CR:CR,0)+18,1),"discount_prohibition:",""),",",""))</f>
        <v>0</v>
      </c>
      <c r="AC29" s="283"/>
      <c r="AD29" s="214" t="str">
        <f t="shared" si="6"/>
        <v>外税8%+0</v>
      </c>
      <c r="AE29" s="215"/>
      <c r="AF29" s="284" t="str" cm="1">
        <f t="array" ref="AF29">TRIM(SUBSTITUTE(SUBSTITUTE(INDEX(CR:CR,MATCH("      item_no: "&amp;A29&amp;",",CR:CR,0)+1,1),"item_cancel_line: ",""),",",""))</f>
        <v>false</v>
      </c>
      <c r="AG29" s="284"/>
      <c r="AH29" s="595"/>
      <c r="AI29" s="596"/>
      <c r="AJ29" s="285">
        <f t="shared" si="11"/>
        <v>-7.15</v>
      </c>
      <c r="AK29" s="286"/>
      <c r="AL29" s="335">
        <f t="shared" ca="1" si="12"/>
        <v>-7.1533548824357434</v>
      </c>
      <c r="AM29" s="336"/>
      <c r="AN29" s="333">
        <f t="shared" ca="1" si="13"/>
        <v>-8</v>
      </c>
      <c r="AO29" s="334"/>
      <c r="AP29" s="329">
        <f t="shared" si="14"/>
        <v>143</v>
      </c>
      <c r="AQ29" s="330"/>
      <c r="AR29" s="331">
        <f t="shared" si="15"/>
        <v>71</v>
      </c>
      <c r="AS29" s="332"/>
      <c r="AT29" s="333">
        <f t="shared" ca="1" si="2"/>
        <v>-8</v>
      </c>
      <c r="AU29" s="334"/>
      <c r="AV29" s="271"/>
      <c r="AW29" s="272"/>
      <c r="AX29" s="271">
        <f t="shared" ca="1" si="7"/>
        <v>-8</v>
      </c>
      <c r="AY29" s="272"/>
      <c r="AZ29" s="273">
        <f t="shared" ca="1" si="16"/>
        <v>135</v>
      </c>
      <c r="BA29" s="274"/>
      <c r="BB29" s="339">
        <f t="shared" ca="1" si="3"/>
        <v>145</v>
      </c>
      <c r="BC29" s="340"/>
      <c r="BD29" s="347">
        <f t="shared" si="17"/>
        <v>135</v>
      </c>
      <c r="BE29" s="339"/>
      <c r="BF29" s="339">
        <f t="shared" si="18"/>
        <v>-8</v>
      </c>
      <c r="BG29" s="340"/>
      <c r="BH29" s="341" t="str">
        <f t="shared" ca="1" si="19"/>
        <v/>
      </c>
      <c r="BI29" s="342"/>
      <c r="BJ29" s="564"/>
      <c r="BK29" s="565"/>
      <c r="BL29" s="568"/>
      <c r="BM29" s="570"/>
      <c r="BQ29" s="140"/>
      <c r="BR29" s="140"/>
      <c r="BS29" s="142"/>
      <c r="BT29" s="140"/>
      <c r="BU29" s="140"/>
      <c r="BV29" s="140"/>
      <c r="CC29" s="138" t="s">
        <v>80</v>
      </c>
      <c r="CD29" s="337" t="str">
        <f t="shared" si="4"/>
        <v>外税8%</v>
      </c>
      <c r="CE29" s="337"/>
      <c r="CF29" s="338"/>
      <c r="CR29" s="103" t="s">
        <v>119</v>
      </c>
      <c r="CW29" s="103" t="s">
        <v>120</v>
      </c>
      <c r="CX29" s="102" t="s">
        <v>30</v>
      </c>
      <c r="CY29" s="103" t="s">
        <v>121</v>
      </c>
    </row>
    <row r="30" spans="1:103" ht="15" customHeight="1">
      <c r="A30" s="100">
        <f t="shared" si="5"/>
        <v>100</v>
      </c>
      <c r="B30" s="293" t="s">
        <v>122</v>
      </c>
      <c r="C30" s="293"/>
      <c r="D30" s="293"/>
      <c r="E30" s="293"/>
      <c r="F30" s="293" t="str" cm="1">
        <f t="array" ref="F30">TRIM(SUBSTITUTE(SUBSTITUTE(INDEX(CR:CR,MATCH("      item_no: "&amp;A30&amp;",",CR:CR,0)+9,1),"item_name: ",""),",",""))</f>
        <v>キー　コーヒーフィルター無漂白　１００Ｐ</v>
      </c>
      <c r="G30" s="293"/>
      <c r="H30" s="293"/>
      <c r="I30" s="293"/>
      <c r="J30" s="293"/>
      <c r="K30" s="293"/>
      <c r="L30" s="399" t="str" cm="1">
        <f t="array" ref="L30">TRIM(SUBSTITUTE(SUBSTITUTE(INDEX(CR:CR,MATCH("      item_no: "&amp;A30&amp;",",CR:CR,0)+3,1),"item_scan_code: ",""),",",""))</f>
        <v>4901372279703</v>
      </c>
      <c r="M30" s="399"/>
      <c r="N30" s="399"/>
      <c r="O30" s="399"/>
      <c r="P30" s="399"/>
      <c r="Q30" s="400" cm="1">
        <f t="array" ref="Q30">IF(AF30="true","",TRIM(SUBSTITUTE(SUBSTITUTE(INDEX(CR:CR,MATCH("      item_no: "&amp;A30&amp;",",CR:CR,0)+13,1),"item_price_fmt: ￥",""),",",""))+0)</f>
        <v>199</v>
      </c>
      <c r="R30" s="401"/>
      <c r="S30" s="327">
        <f t="shared" si="10"/>
        <v>0</v>
      </c>
      <c r="T30" s="328"/>
      <c r="U30" s="401" cm="1">
        <f t="array" ref="U30">IF(AF30="true","",TRIM(SUBSTITUTE(SUBSTITUTE(INDEX(CR:CR,MATCH("      item_no: "&amp;A30&amp;",",CR:CR,0)+14,1),"item_price_discount_fmt: ￥",""),",",""))+0)</f>
        <v>199</v>
      </c>
      <c r="V30" s="402"/>
      <c r="W30" s="279">
        <f ca="1">INT(SUMIF($Y$10:$AA30,"外税8%",$U$10:$V30)*1.08)+INT(SUMIF($Y$10:$AA30,"外税10%",$U$10:$V30)*1.1)+SUMIF($Y$10:$AA30,"内税10%",$U$10:$V30)+SUMIF($Y$10:$AA30,"非課税",$U$10:$V30)</f>
        <v>538</v>
      </c>
      <c r="X30" s="280"/>
      <c r="Y30" s="281" t="str" cm="1">
        <f t="array" ref="Y30">TRIM(SUBSTITUTE(SUBSTITUTE(INDEX(CR:CR,MATCH("      item_no: "&amp;A30&amp;",",CR:CR,0)+15,1),"item_tax_fmt: ",""),",",""))</f>
        <v>外税10%</v>
      </c>
      <c r="Z30" s="282"/>
      <c r="AA30" s="282"/>
      <c r="AB30" s="283" t="str" cm="1">
        <f t="array" ref="AB30">TRIM(SUBSTITUTE(SUBSTITUTE(INDEX(CR:CR,MATCH("      item_no: "&amp;A30&amp;",",CR:CR,0)+18,1),"discount_prohibition:",""),",",""))</f>
        <v>0</v>
      </c>
      <c r="AC30" s="283"/>
      <c r="AD30" s="214" t="str">
        <f t="shared" si="6"/>
        <v>外税10%+0</v>
      </c>
      <c r="AE30" s="215"/>
      <c r="AF30" s="284" t="str" cm="1">
        <f t="array" ref="AF30">TRIM(SUBSTITUTE(SUBSTITUTE(INDEX(CR:CR,MATCH("      item_no: "&amp;A30&amp;",",CR:CR,0)+1,1),"item_cancel_line: ",""),",",""))</f>
        <v>false</v>
      </c>
      <c r="AG30" s="284"/>
      <c r="AH30" s="595"/>
      <c r="AI30" s="596"/>
      <c r="AJ30" s="285">
        <f t="shared" si="11"/>
        <v>-9.9500000000000011</v>
      </c>
      <c r="AK30" s="286"/>
      <c r="AL30" s="335">
        <f t="shared" ca="1" si="12"/>
        <v>-9.9546686825504409</v>
      </c>
      <c r="AM30" s="336"/>
      <c r="AN30" s="333">
        <f t="shared" ca="1" si="13"/>
        <v>-10</v>
      </c>
      <c r="AO30" s="334"/>
      <c r="AP30" s="329">
        <f t="shared" si="14"/>
        <v>199</v>
      </c>
      <c r="AQ30" s="330"/>
      <c r="AR30" s="331">
        <f t="shared" si="15"/>
        <v>58</v>
      </c>
      <c r="AS30" s="332"/>
      <c r="AT30" s="333">
        <f t="shared" ca="1" si="2"/>
        <v>-10</v>
      </c>
      <c r="AU30" s="334"/>
      <c r="AV30" s="271"/>
      <c r="AW30" s="272"/>
      <c r="AX30" s="271">
        <f t="shared" ca="1" si="7"/>
        <v>-10</v>
      </c>
      <c r="AY30" s="272"/>
      <c r="AZ30" s="273">
        <f t="shared" ca="1" si="16"/>
        <v>189</v>
      </c>
      <c r="BA30" s="274"/>
      <c r="BB30" s="339">
        <f t="shared" ca="1" si="3"/>
        <v>207</v>
      </c>
      <c r="BC30" s="340"/>
      <c r="BD30" s="347">
        <f t="shared" si="17"/>
        <v>189</v>
      </c>
      <c r="BE30" s="339"/>
      <c r="BF30" s="339">
        <f t="shared" si="18"/>
        <v>-10</v>
      </c>
      <c r="BG30" s="340"/>
      <c r="BH30" s="341" t="str">
        <f t="shared" ca="1" si="19"/>
        <v/>
      </c>
      <c r="BI30" s="342"/>
      <c r="BJ30" s="564"/>
      <c r="BK30" s="565"/>
      <c r="BL30" s="568"/>
      <c r="BM30" s="570"/>
      <c r="BQ30" s="140"/>
      <c r="BR30" s="140"/>
      <c r="BS30" s="140"/>
      <c r="BT30" s="140"/>
      <c r="BU30" s="140"/>
      <c r="BV30" s="140"/>
      <c r="CC30" s="138" t="s">
        <v>80</v>
      </c>
      <c r="CD30" s="337" t="str">
        <f t="shared" si="4"/>
        <v>外税10%</v>
      </c>
      <c r="CE30" s="337"/>
      <c r="CF30" s="338"/>
      <c r="CR30" s="103" t="s">
        <v>123</v>
      </c>
      <c r="CW30" s="103" t="s">
        <v>124</v>
      </c>
      <c r="CX30" s="102" t="s">
        <v>30</v>
      </c>
      <c r="CY30" s="103" t="s">
        <v>125</v>
      </c>
    </row>
    <row r="31" spans="1:103" ht="15" customHeight="1">
      <c r="A31" s="100">
        <f t="shared" si="5"/>
        <v>99</v>
      </c>
      <c r="B31" s="293" t="s">
        <v>126</v>
      </c>
      <c r="C31" s="293"/>
      <c r="D31" s="293"/>
      <c r="E31" s="293"/>
      <c r="F31" s="293" t="str" cm="1">
        <f t="array" ref="F31">TRIM(SUBSTITUTE(SUBSTITUTE(INDEX(CR:CR,MATCH("      item_no: "&amp;A31&amp;",",CR:CR,0)+9,1),"item_name: ",""),",",""))</f>
        <v>サッポロ一番　塩ラーメン　５食入</v>
      </c>
      <c r="G31" s="293"/>
      <c r="H31" s="293"/>
      <c r="I31" s="293"/>
      <c r="J31" s="293"/>
      <c r="K31" s="293"/>
      <c r="L31" s="399" t="str" cm="1">
        <f t="array" ref="L31">TRIM(SUBSTITUTE(SUBSTITUTE(INDEX(CR:CR,MATCH("      item_no: "&amp;A31&amp;",",CR:CR,0)+3,1),"item_scan_code: ",""),",",""))</f>
        <v>4901734000280</v>
      </c>
      <c r="M31" s="399"/>
      <c r="N31" s="399"/>
      <c r="O31" s="399"/>
      <c r="P31" s="399"/>
      <c r="Q31" s="400" cm="1">
        <f t="array" ref="Q31">IF(AF31="true","",TRIM(SUBSTITUTE(SUBSTITUTE(INDEX(CR:CR,MATCH("      item_no: "&amp;A31&amp;",",CR:CR,0)+13,1),"item_price_fmt: ￥",""),",",""))+0)</f>
        <v>499</v>
      </c>
      <c r="R31" s="401"/>
      <c r="S31" s="327">
        <f t="shared" si="10"/>
        <v>0</v>
      </c>
      <c r="T31" s="328"/>
      <c r="U31" s="401" cm="1">
        <f t="array" ref="U31">IF(AF31="true","",TRIM(SUBSTITUTE(SUBSTITUTE(INDEX(CR:CR,MATCH("      item_no: "&amp;A31&amp;",",CR:CR,0)+14,1),"item_price_discount_fmt: ￥",""),",",""))+0)</f>
        <v>499</v>
      </c>
      <c r="V31" s="402"/>
      <c r="W31" s="279">
        <f ca="1">INT(SUMIF($Y$10:$AA31,"外税8%",$U$10:$V31)*1.08)+INT(SUMIF($Y$10:$AA31,"外税10%",$U$10:$V31)*1.1)+SUMIF($Y$10:$AA31,"内税10%",$U$10:$V31)+SUMIF($Y$10:$AA31,"非課税",$U$10:$V31)</f>
        <v>1077</v>
      </c>
      <c r="X31" s="280"/>
      <c r="Y31" s="281" t="str" cm="1">
        <f t="array" ref="Y31">TRIM(SUBSTITUTE(SUBSTITUTE(INDEX(CR:CR,MATCH("      item_no: "&amp;A31&amp;",",CR:CR,0)+15,1),"item_tax_fmt: ",""),",",""))</f>
        <v>外税8%</v>
      </c>
      <c r="Z31" s="282"/>
      <c r="AA31" s="282"/>
      <c r="AB31" s="283" t="str" cm="1">
        <f t="array" ref="AB31">TRIM(SUBSTITUTE(SUBSTITUTE(INDEX(CR:CR,MATCH("      item_no: "&amp;A31&amp;",",CR:CR,0)+18,1),"discount_prohibition:",""),",",""))</f>
        <v>0</v>
      </c>
      <c r="AC31" s="283"/>
      <c r="AD31" s="214" t="str">
        <f t="shared" si="6"/>
        <v>外税8%+0</v>
      </c>
      <c r="AE31" s="215"/>
      <c r="AF31" s="284" t="str" cm="1">
        <f t="array" ref="AF31">TRIM(SUBSTITUTE(SUBSTITUTE(INDEX(CR:CR,MATCH("      item_no: "&amp;A31&amp;",",CR:CR,0)+1,1),"item_cancel_line: ",""),",",""))</f>
        <v>false</v>
      </c>
      <c r="AG31" s="284"/>
      <c r="AH31" s="595"/>
      <c r="AI31" s="596"/>
      <c r="AJ31" s="285">
        <f t="shared" si="11"/>
        <v>-24.950000000000003</v>
      </c>
      <c r="AK31" s="286"/>
      <c r="AL31" s="335">
        <f t="shared" ca="1" si="12"/>
        <v>-24.9617068974506</v>
      </c>
      <c r="AM31" s="336"/>
      <c r="AN31" s="333">
        <f t="shared" ca="1" si="13"/>
        <v>-25</v>
      </c>
      <c r="AO31" s="334"/>
      <c r="AP31" s="329">
        <f t="shared" si="14"/>
        <v>499</v>
      </c>
      <c r="AQ31" s="330"/>
      <c r="AR31" s="331">
        <f t="shared" si="15"/>
        <v>12</v>
      </c>
      <c r="AS31" s="332"/>
      <c r="AT31" s="333">
        <f t="shared" ca="1" si="2"/>
        <v>-25</v>
      </c>
      <c r="AU31" s="334"/>
      <c r="AV31" s="271"/>
      <c r="AW31" s="272"/>
      <c r="AX31" s="271">
        <f t="shared" ca="1" si="7"/>
        <v>-25</v>
      </c>
      <c r="AY31" s="272"/>
      <c r="AZ31" s="273">
        <f t="shared" ca="1" si="16"/>
        <v>474</v>
      </c>
      <c r="BA31" s="274"/>
      <c r="BB31" s="339">
        <f t="shared" ca="1" si="3"/>
        <v>511</v>
      </c>
      <c r="BC31" s="340"/>
      <c r="BD31" s="347">
        <f t="shared" si="17"/>
        <v>474</v>
      </c>
      <c r="BE31" s="339"/>
      <c r="BF31" s="339">
        <f t="shared" si="18"/>
        <v>-25</v>
      </c>
      <c r="BG31" s="340"/>
      <c r="BH31" s="341" t="str">
        <f t="shared" ca="1" si="19"/>
        <v/>
      </c>
      <c r="BI31" s="342"/>
      <c r="BJ31" s="564"/>
      <c r="BK31" s="565"/>
      <c r="BL31" s="568"/>
      <c r="BM31" s="570"/>
      <c r="BQ31" s="140"/>
      <c r="BR31" s="140"/>
      <c r="BS31" s="140"/>
      <c r="BT31" s="140"/>
      <c r="BU31" s="140"/>
      <c r="BV31" s="140"/>
      <c r="CC31" s="138" t="s">
        <v>80</v>
      </c>
      <c r="CD31" s="337" t="str">
        <f t="shared" si="4"/>
        <v>外税8%</v>
      </c>
      <c r="CE31" s="337"/>
      <c r="CF31" s="338"/>
      <c r="CR31" s="103" t="s">
        <v>127</v>
      </c>
      <c r="CW31" s="103" t="s">
        <v>128</v>
      </c>
      <c r="CX31" s="102" t="s">
        <v>30</v>
      </c>
      <c r="CY31" s="103" t="s">
        <v>129</v>
      </c>
    </row>
    <row r="32" spans="1:103" ht="15" customHeight="1">
      <c r="A32" s="100">
        <f t="shared" si="5"/>
        <v>98</v>
      </c>
      <c r="B32" s="293" t="s">
        <v>130</v>
      </c>
      <c r="C32" s="293"/>
      <c r="D32" s="293"/>
      <c r="E32" s="293"/>
      <c r="F32" s="293" t="str" cm="1">
        <f t="array" ref="F32">TRIM(SUBSTITUTE(SUBSTITUTE(INDEX(CR:CR,MATCH("      item_no: "&amp;A32&amp;",",CR:CR,0)+9,1),"item_name: ",""),",",""))</f>
        <v>食卓応援　秋田あきたこまち　５ｋｇ</v>
      </c>
      <c r="G32" s="293"/>
      <c r="H32" s="293"/>
      <c r="I32" s="293"/>
      <c r="J32" s="293"/>
      <c r="K32" s="293"/>
      <c r="L32" s="399" t="str" cm="1">
        <f t="array" ref="L32">TRIM(SUBSTITUTE(SUBSTITUTE(INDEX(CR:CR,MATCH("      item_no: "&amp;A32&amp;",",CR:CR,0)+3,1),"item_scan_code: ",""),",",""))</f>
        <v>4931849100452</v>
      </c>
      <c r="M32" s="399"/>
      <c r="N32" s="399"/>
      <c r="O32" s="399"/>
      <c r="P32" s="399"/>
      <c r="Q32" s="400" cm="1">
        <f t="array" ref="Q32">IF(AF32="true","",TRIM(SUBSTITUTE(SUBSTITUTE(INDEX(CR:CR,MATCH("      item_no: "&amp;A32&amp;",",CR:CR,0)+13,1),"item_price_fmt: ￥",""),",",""))+0)</f>
        <v>3790</v>
      </c>
      <c r="R32" s="401"/>
      <c r="S32" s="327">
        <f t="shared" si="10"/>
        <v>0</v>
      </c>
      <c r="T32" s="328"/>
      <c r="U32" s="401" cm="1">
        <f t="array" ref="U32">IF(AF32="true","",TRIM(SUBSTITUTE(SUBSTITUTE(INDEX(CR:CR,MATCH("      item_no: "&amp;A32&amp;",",CR:CR,0)+14,1),"item_price_discount_fmt: ￥",""),",",""))+0)</f>
        <v>3790</v>
      </c>
      <c r="V32" s="402"/>
      <c r="W32" s="279">
        <f ca="1">INT(SUMIF($Y$10:$AA32,"外税8%",$U$10:$V32)*1.08)+INT(SUMIF($Y$10:$AA32,"外税10%",$U$10:$V32)*1.1)+SUMIF($Y$10:$AA32,"内税10%",$U$10:$V32)+SUMIF($Y$10:$AA32,"非課税",$U$10:$V32)</f>
        <v>5171</v>
      </c>
      <c r="X32" s="280"/>
      <c r="Y32" s="281" t="str" cm="1">
        <f t="array" ref="Y32">TRIM(SUBSTITUTE(SUBSTITUTE(INDEX(CR:CR,MATCH("      item_no: "&amp;A32&amp;",",CR:CR,0)+15,1),"item_tax_fmt: ",""),",",""))</f>
        <v>外税8%</v>
      </c>
      <c r="Z32" s="282"/>
      <c r="AA32" s="282"/>
      <c r="AB32" s="283" t="str" cm="1">
        <f t="array" ref="AB32">TRIM(SUBSTITUTE(SUBSTITUTE(INDEX(CR:CR,MATCH("      item_no: "&amp;A32&amp;",",CR:CR,0)+18,1),"discount_prohibition:",""),",",""))</f>
        <v>0</v>
      </c>
      <c r="AC32" s="283"/>
      <c r="AD32" s="214" t="str">
        <f t="shared" si="6"/>
        <v>外税8%+0</v>
      </c>
      <c r="AE32" s="215"/>
      <c r="AF32" s="284" t="str" cm="1">
        <f t="array" ref="AF32">TRIM(SUBSTITUTE(SUBSTITUTE(INDEX(CR:CR,MATCH("      item_no: "&amp;A32&amp;",",CR:CR,0)+1,1),"item_cancel_line: ",""),",",""))</f>
        <v>false</v>
      </c>
      <c r="AG32" s="284"/>
      <c r="AH32" s="595"/>
      <c r="AI32" s="596"/>
      <c r="AJ32" s="285">
        <f t="shared" si="11"/>
        <v>-189.5</v>
      </c>
      <c r="AK32" s="286"/>
      <c r="AL32" s="335">
        <f t="shared" ca="1" si="12"/>
        <v>-189.58891611490537</v>
      </c>
      <c r="AM32" s="336"/>
      <c r="AN32" s="333">
        <f t="shared" ca="1" si="13"/>
        <v>-190</v>
      </c>
      <c r="AO32" s="334"/>
      <c r="AP32" s="329">
        <f t="shared" si="14"/>
        <v>3790</v>
      </c>
      <c r="AQ32" s="330"/>
      <c r="AR32" s="331">
        <f t="shared" si="15"/>
        <v>1</v>
      </c>
      <c r="AS32" s="332"/>
      <c r="AT32" s="333">
        <f t="shared" ca="1" si="2"/>
        <v>-190</v>
      </c>
      <c r="AU32" s="334"/>
      <c r="AV32" s="271"/>
      <c r="AW32" s="272"/>
      <c r="AX32" s="271">
        <f t="shared" ca="1" si="7"/>
        <v>-190</v>
      </c>
      <c r="AY32" s="272"/>
      <c r="AZ32" s="273">
        <f t="shared" ca="1" si="16"/>
        <v>3600</v>
      </c>
      <c r="BA32" s="274"/>
      <c r="BB32" s="339">
        <f t="shared" ca="1" si="3"/>
        <v>3888</v>
      </c>
      <c r="BC32" s="340"/>
      <c r="BD32" s="347">
        <f t="shared" si="17"/>
        <v>3600</v>
      </c>
      <c r="BE32" s="339"/>
      <c r="BF32" s="339">
        <f t="shared" si="18"/>
        <v>-190</v>
      </c>
      <c r="BG32" s="340"/>
      <c r="BH32" s="341" t="str">
        <f t="shared" ca="1" si="19"/>
        <v/>
      </c>
      <c r="BI32" s="342"/>
      <c r="BJ32" s="564"/>
      <c r="BK32" s="565"/>
      <c r="BL32" s="568"/>
      <c r="BM32" s="570"/>
      <c r="BQ32" s="140"/>
      <c r="BR32" s="140"/>
      <c r="BS32" s="140"/>
      <c r="BT32" s="140"/>
      <c r="BU32" s="140"/>
      <c r="BV32" s="140"/>
      <c r="CC32" s="138" t="s">
        <v>80</v>
      </c>
      <c r="CD32" s="337" t="str">
        <f t="shared" si="4"/>
        <v>外税8%</v>
      </c>
      <c r="CE32" s="337"/>
      <c r="CF32" s="338"/>
      <c r="CR32" s="103" t="s">
        <v>131</v>
      </c>
      <c r="CW32" s="103" t="s">
        <v>132</v>
      </c>
      <c r="CX32" s="102" t="s">
        <v>30</v>
      </c>
      <c r="CY32" s="103" t="s">
        <v>133</v>
      </c>
    </row>
    <row r="33" spans="1:103" ht="15" customHeight="1">
      <c r="A33" s="100">
        <f t="shared" si="5"/>
        <v>97</v>
      </c>
      <c r="B33" s="293" t="s">
        <v>134</v>
      </c>
      <c r="C33" s="293"/>
      <c r="D33" s="293"/>
      <c r="E33" s="293"/>
      <c r="F33" s="293" t="str" cm="1">
        <f t="array" ref="F33">TRIM(SUBSTITUTE(SUBSTITUTE(INDEX(CR:CR,MATCH("      item_no: "&amp;A33&amp;",",CR:CR,0)+9,1),"item_name: ",""),",",""))</f>
        <v>花王　ビオレ冷タオル　無香性</v>
      </c>
      <c r="G33" s="293"/>
      <c r="H33" s="293"/>
      <c r="I33" s="293"/>
      <c r="J33" s="293"/>
      <c r="K33" s="293"/>
      <c r="L33" s="399" t="str" cm="1">
        <f t="array" ref="L33">TRIM(SUBSTITUTE(SUBSTITUTE(INDEX(CR:CR,MATCH("      item_no: "&amp;A33&amp;",",CR:CR,0)+3,1),"item_scan_code: ",""),",",""))</f>
        <v>4901301379894</v>
      </c>
      <c r="M33" s="399"/>
      <c r="N33" s="399"/>
      <c r="O33" s="399"/>
      <c r="P33" s="399"/>
      <c r="Q33" s="400" cm="1">
        <f t="array" ref="Q33">IF(AF33="true","",TRIM(SUBSTITUTE(SUBSTITUTE(INDEX(CR:CR,MATCH("      item_no: "&amp;A33&amp;",",CR:CR,0)+13,1),"item_price_fmt: ￥",""),",",""))+0)</f>
        <v>499</v>
      </c>
      <c r="R33" s="401"/>
      <c r="S33" s="327">
        <f t="shared" si="10"/>
        <v>-407</v>
      </c>
      <c r="T33" s="328"/>
      <c r="U33" s="401" cm="1">
        <f t="array" ref="U33">IF(AF33="true","",TRIM(SUBSTITUTE(SUBSTITUTE(INDEX(CR:CR,MATCH("      item_no: "&amp;A33&amp;",",CR:CR,0)+14,1),"item_price_discount_fmt: ￥",""),",",""))+0)</f>
        <v>92</v>
      </c>
      <c r="V33" s="402"/>
      <c r="W33" s="279">
        <f ca="1">INT(SUMIF($Y$10:$AA33,"外税8%",$U$10:$V33)*1.08)+INT(SUMIF($Y$10:$AA33,"外税10%",$U$10:$V33)*1.1)+SUMIF($Y$10:$AA33,"内税10%",$U$10:$V33)+SUMIF($Y$10:$AA33,"非課税",$U$10:$V33)</f>
        <v>5273</v>
      </c>
      <c r="X33" s="280"/>
      <c r="Y33" s="281" t="str" cm="1">
        <f t="array" ref="Y33">TRIM(SUBSTITUTE(SUBSTITUTE(INDEX(CR:CR,MATCH("      item_no: "&amp;A33&amp;",",CR:CR,0)+15,1),"item_tax_fmt: ",""),",",""))</f>
        <v>外税10%</v>
      </c>
      <c r="Z33" s="282"/>
      <c r="AA33" s="282"/>
      <c r="AB33" s="283" t="str" cm="1">
        <f t="array" ref="AB33">TRIM(SUBSTITUTE(SUBSTITUTE(INDEX(CR:CR,MATCH("      item_no: "&amp;A33&amp;",",CR:CR,0)+18,1),"discount_prohibition:",""),",",""))</f>
        <v>0</v>
      </c>
      <c r="AC33" s="283"/>
      <c r="AD33" s="214" t="str">
        <f t="shared" si="6"/>
        <v>外税10%+0</v>
      </c>
      <c r="AE33" s="215"/>
      <c r="AF33" s="284" t="str" cm="1">
        <f t="array" ref="AF33">TRIM(SUBSTITUTE(SUBSTITUTE(INDEX(CR:CR,MATCH("      item_no: "&amp;A33&amp;",",CR:CR,0)+1,1),"item_cancel_line: ",""),",",""))</f>
        <v>false</v>
      </c>
      <c r="AG33" s="284"/>
      <c r="AH33" s="595"/>
      <c r="AI33" s="596"/>
      <c r="AJ33" s="285">
        <f t="shared" si="11"/>
        <v>-4.6000000000000005</v>
      </c>
      <c r="AK33" s="286"/>
      <c r="AL33" s="335">
        <f t="shared" ca="1" si="12"/>
        <v>-4.6021583859027162</v>
      </c>
      <c r="AM33" s="336"/>
      <c r="AN33" s="333">
        <f t="shared" ca="1" si="13"/>
        <v>-5</v>
      </c>
      <c r="AO33" s="334"/>
      <c r="AP33" s="329">
        <f t="shared" si="14"/>
        <v>92</v>
      </c>
      <c r="AQ33" s="330"/>
      <c r="AR33" s="331">
        <f t="shared" si="15"/>
        <v>77</v>
      </c>
      <c r="AS33" s="332"/>
      <c r="AT33" s="333">
        <f t="shared" si="2"/>
        <v>0</v>
      </c>
      <c r="AU33" s="334"/>
      <c r="AV33" s="271"/>
      <c r="AW33" s="272"/>
      <c r="AX33" s="271">
        <f t="shared" si="7"/>
        <v>0</v>
      </c>
      <c r="AY33" s="272"/>
      <c r="AZ33" s="273">
        <f t="shared" si="16"/>
        <v>92</v>
      </c>
      <c r="BA33" s="274"/>
      <c r="BB33" s="339">
        <f t="shared" si="3"/>
        <v>101</v>
      </c>
      <c r="BC33" s="340"/>
      <c r="BD33" s="367">
        <f t="shared" si="17"/>
        <v>92</v>
      </c>
      <c r="BE33" s="368"/>
      <c r="BF33" s="368">
        <f t="shared" si="18"/>
        <v>0</v>
      </c>
      <c r="BG33" s="369"/>
      <c r="BH33" s="370" t="str">
        <f t="shared" si="19"/>
        <v/>
      </c>
      <c r="BI33" s="371"/>
      <c r="BJ33" s="564"/>
      <c r="BK33" s="565"/>
      <c r="BL33" s="568"/>
      <c r="BM33" s="570"/>
      <c r="BQ33" s="143"/>
      <c r="BR33" s="143"/>
      <c r="BS33" s="143"/>
      <c r="CC33" s="138" t="s">
        <v>80</v>
      </c>
      <c r="CD33" s="337" t="str">
        <f t="shared" si="4"/>
        <v>外税10%</v>
      </c>
      <c r="CE33" s="337"/>
      <c r="CF33" s="338"/>
      <c r="CR33" s="103" t="s">
        <v>135</v>
      </c>
      <c r="CW33" s="103" t="s">
        <v>136</v>
      </c>
      <c r="CX33" s="102" t="s">
        <v>30</v>
      </c>
      <c r="CY33" s="103" t="s">
        <v>137</v>
      </c>
    </row>
    <row r="34" spans="1:103" ht="15" customHeight="1">
      <c r="A34" s="100">
        <f t="shared" si="5"/>
        <v>96</v>
      </c>
      <c r="B34" s="293" t="s">
        <v>138</v>
      </c>
      <c r="C34" s="293"/>
      <c r="D34" s="293"/>
      <c r="E34" s="293"/>
      <c r="F34" s="293" t="str" cm="1">
        <f t="array" ref="F34">TRIM(SUBSTITUTE(SUBSTITUTE(INDEX(CR:CR,MATCH("      item_no: "&amp;A34&amp;",",CR:CR,0)+9,1),"item_name: ",""),",",""))</f>
        <v>Ｐ．パックゴハン９０Ｇ６個</v>
      </c>
      <c r="G34" s="293"/>
      <c r="H34" s="293"/>
      <c r="I34" s="293"/>
      <c r="J34" s="293"/>
      <c r="K34" s="293"/>
      <c r="L34" s="399" t="str" cm="1">
        <f t="array" ref="L34">TRIM(SUBSTITUTE(SUBSTITUTE(INDEX(CR:CR,MATCH("      item_no: "&amp;A34&amp;",",CR:CR,0)+3,1),"item_scan_code: ",""),",",""))</f>
        <v>4902508139434</v>
      </c>
      <c r="M34" s="399"/>
      <c r="N34" s="399"/>
      <c r="O34" s="399"/>
      <c r="P34" s="399"/>
      <c r="Q34" s="400" cm="1">
        <f t="array" ref="Q34">IF(AF34="true","",TRIM(SUBSTITUTE(SUBSTITUTE(INDEX(CR:CR,MATCH("      item_no: "&amp;A34&amp;",",CR:CR,0)+13,1),"item_price_fmt: ￥",""),",",""))+0)</f>
        <v>799</v>
      </c>
      <c r="R34" s="401"/>
      <c r="S34" s="327">
        <f t="shared" si="10"/>
        <v>0</v>
      </c>
      <c r="T34" s="328"/>
      <c r="U34" s="401" cm="1">
        <f t="array" ref="U34">IF(AF34="true","",TRIM(SUBSTITUTE(SUBSTITUTE(INDEX(CR:CR,MATCH("      item_no: "&amp;A34&amp;",",CR:CR,0)+14,1),"item_price_discount_fmt: ￥",""),",",""))+0)</f>
        <v>799</v>
      </c>
      <c r="V34" s="402"/>
      <c r="W34" s="279">
        <f ca="1">INT(SUMIF($Y$10:$AA34,"外税8%",$U$10:$V34)*1.08)+INT(SUMIF($Y$10:$AA34,"外税10%",$U$10:$V34)*1.1)+SUMIF($Y$10:$AA34,"内税10%",$U$10:$V34)+SUMIF($Y$10:$AA34,"非課税",$U$10:$V34)</f>
        <v>6135</v>
      </c>
      <c r="X34" s="280"/>
      <c r="Y34" s="281" t="str" cm="1">
        <f t="array" ref="Y34">TRIM(SUBSTITUTE(SUBSTITUTE(INDEX(CR:CR,MATCH("      item_no: "&amp;A34&amp;",",CR:CR,0)+15,1),"item_tax_fmt: ",""),",",""))</f>
        <v>外税8%</v>
      </c>
      <c r="Z34" s="282"/>
      <c r="AA34" s="282"/>
      <c r="AB34" s="283" t="str" cm="1">
        <f t="array" ref="AB34">TRIM(SUBSTITUTE(SUBSTITUTE(INDEX(CR:CR,MATCH("      item_no: "&amp;A34&amp;",",CR:CR,0)+18,1),"discount_prohibition:",""),",",""))</f>
        <v>0</v>
      </c>
      <c r="AC34" s="283"/>
      <c r="AD34" s="214" t="str">
        <f t="shared" si="6"/>
        <v>外税8%+0</v>
      </c>
      <c r="AE34" s="215"/>
      <c r="AF34" s="284" t="str" cm="1">
        <f t="array" ref="AF34">TRIM(SUBSTITUTE(SUBSTITUTE(INDEX(CR:CR,MATCH("      item_no: "&amp;A34&amp;",",CR:CR,0)+1,1),"item_cancel_line: ",""),",",""))</f>
        <v>false</v>
      </c>
      <c r="AG34" s="284"/>
      <c r="AH34" s="595"/>
      <c r="AI34" s="596"/>
      <c r="AJ34" s="285">
        <f t="shared" si="11"/>
        <v>-39.950000000000003</v>
      </c>
      <c r="AK34" s="286"/>
      <c r="AL34" s="335">
        <f t="shared" ca="1" si="12"/>
        <v>-39.968745112350767</v>
      </c>
      <c r="AM34" s="336"/>
      <c r="AN34" s="333">
        <f t="shared" ca="1" si="13"/>
        <v>-40</v>
      </c>
      <c r="AO34" s="334"/>
      <c r="AP34" s="329">
        <f t="shared" si="14"/>
        <v>799</v>
      </c>
      <c r="AQ34" s="330"/>
      <c r="AR34" s="331">
        <f t="shared" si="15"/>
        <v>8</v>
      </c>
      <c r="AS34" s="332"/>
      <c r="AT34" s="333">
        <f t="shared" ca="1" si="2"/>
        <v>-40</v>
      </c>
      <c r="AU34" s="334"/>
      <c r="AV34" s="271"/>
      <c r="AW34" s="272"/>
      <c r="AX34" s="271">
        <f t="shared" ca="1" si="7"/>
        <v>-40</v>
      </c>
      <c r="AY34" s="272"/>
      <c r="AZ34" s="273">
        <f t="shared" ca="1" si="16"/>
        <v>759</v>
      </c>
      <c r="BA34" s="274"/>
      <c r="BB34" s="339">
        <f t="shared" ca="1" si="3"/>
        <v>819</v>
      </c>
      <c r="BC34" s="340"/>
      <c r="BD34" s="347">
        <f t="shared" si="17"/>
        <v>759</v>
      </c>
      <c r="BE34" s="339"/>
      <c r="BF34" s="339">
        <f t="shared" si="18"/>
        <v>-40</v>
      </c>
      <c r="BG34" s="340"/>
      <c r="BH34" s="341" t="str">
        <f t="shared" ca="1" si="19"/>
        <v/>
      </c>
      <c r="BI34" s="342"/>
      <c r="BJ34" s="564"/>
      <c r="BK34" s="565"/>
      <c r="BL34" s="568"/>
      <c r="BM34" s="570"/>
      <c r="BQ34" s="143"/>
      <c r="BR34" s="143"/>
      <c r="BS34" s="143"/>
      <c r="CC34" s="138" t="s">
        <v>80</v>
      </c>
      <c r="CD34" s="337" t="str">
        <f t="shared" si="4"/>
        <v>外税8%</v>
      </c>
      <c r="CE34" s="337"/>
      <c r="CF34" s="338"/>
      <c r="CR34" s="103" t="s">
        <v>139</v>
      </c>
      <c r="CW34" s="103" t="s">
        <v>140</v>
      </c>
      <c r="CX34" s="102" t="s">
        <v>30</v>
      </c>
      <c r="CY34" s="103" t="s">
        <v>141</v>
      </c>
    </row>
    <row r="35" spans="1:103" ht="15" customHeight="1">
      <c r="A35" s="100">
        <f t="shared" si="5"/>
        <v>95</v>
      </c>
      <c r="B35" s="293" t="s">
        <v>142</v>
      </c>
      <c r="C35" s="293"/>
      <c r="D35" s="293"/>
      <c r="E35" s="293"/>
      <c r="F35" s="293" t="str" cm="1">
        <f t="array" ref="F35">TRIM(SUBSTITUTE(SUBSTITUTE(INDEX(CR:CR,MATCH("      item_no: "&amp;A35&amp;",",CR:CR,0)+9,1),"item_name: ",""),",",""))</f>
        <v>岩崎　シームレスピッチャー２．１Ｌ</v>
      </c>
      <c r="G35" s="293"/>
      <c r="H35" s="293"/>
      <c r="I35" s="293"/>
      <c r="J35" s="293"/>
      <c r="K35" s="293"/>
      <c r="L35" s="399" t="str" cm="1">
        <f t="array" ref="L35">TRIM(SUBSTITUTE(SUBSTITUTE(INDEX(CR:CR,MATCH("      item_no: "&amp;A35&amp;",",CR:CR,0)+3,1),"item_scan_code: ",""),",",""))</f>
        <v>4901126128684</v>
      </c>
      <c r="M35" s="399"/>
      <c r="N35" s="399"/>
      <c r="O35" s="399"/>
      <c r="P35" s="399"/>
      <c r="Q35" s="400" cm="1">
        <f t="array" ref="Q35">IF(AF35="true","",TRIM(SUBSTITUTE(SUBSTITUTE(INDEX(CR:CR,MATCH("      item_no: "&amp;A35&amp;",",CR:CR,0)+13,1),"item_price_fmt: ￥",""),",",""))+0)</f>
        <v>999</v>
      </c>
      <c r="R35" s="401"/>
      <c r="S35" s="327">
        <f t="shared" si="10"/>
        <v>0</v>
      </c>
      <c r="T35" s="328"/>
      <c r="U35" s="401" cm="1">
        <f t="array" ref="U35">IF(AF35="true","",TRIM(SUBSTITUTE(SUBSTITUTE(INDEX(CR:CR,MATCH("      item_no: "&amp;A35&amp;",",CR:CR,0)+14,1),"item_price_discount_fmt: ￥",""),",",""))+0)</f>
        <v>999</v>
      </c>
      <c r="V35" s="402"/>
      <c r="W35" s="279">
        <f ca="1">INT(SUMIF($Y$10:$AA35,"外税8%",$U$10:$V35)*1.08)+INT(SUMIF($Y$10:$AA35,"外税10%",$U$10:$V35)*1.1)+SUMIF($Y$10:$AA35,"内税10%",$U$10:$V35)+SUMIF($Y$10:$AA35,"非課税",$U$10:$V35)</f>
        <v>7233</v>
      </c>
      <c r="X35" s="280"/>
      <c r="Y35" s="281" t="str" cm="1">
        <f t="array" ref="Y35">TRIM(SUBSTITUTE(SUBSTITUTE(INDEX(CR:CR,MATCH("      item_no: "&amp;A35&amp;",",CR:CR,0)+15,1),"item_tax_fmt: ",""),",",""))</f>
        <v>外税10%</v>
      </c>
      <c r="Z35" s="282"/>
      <c r="AA35" s="282"/>
      <c r="AB35" s="283" t="str" cm="1">
        <f t="array" ref="AB35">TRIM(SUBSTITUTE(SUBSTITUTE(INDEX(CR:CR,MATCH("      item_no: "&amp;A35&amp;",",CR:CR,0)+18,1),"discount_prohibition:",""),",",""))</f>
        <v>0</v>
      </c>
      <c r="AC35" s="283"/>
      <c r="AD35" s="214" t="str">
        <f t="shared" si="6"/>
        <v>外税10%+0</v>
      </c>
      <c r="AE35" s="215"/>
      <c r="AF35" s="284" t="str" cm="1">
        <f t="array" ref="AF35">TRIM(SUBSTITUTE(SUBSTITUTE(INDEX(CR:CR,MATCH("      item_no: "&amp;A35&amp;",",CR:CR,0)+1,1),"item_cancel_line: ",""),",",""))</f>
        <v>false</v>
      </c>
      <c r="AG35" s="284"/>
      <c r="AH35" s="595"/>
      <c r="AI35" s="596"/>
      <c r="AJ35" s="285">
        <f t="shared" si="11"/>
        <v>-49.95</v>
      </c>
      <c r="AK35" s="286"/>
      <c r="AL35" s="335">
        <f t="shared" ca="1" si="12"/>
        <v>-49.97343725561754</v>
      </c>
      <c r="AM35" s="336"/>
      <c r="AN35" s="333">
        <f t="shared" ca="1" si="13"/>
        <v>-50</v>
      </c>
      <c r="AO35" s="334"/>
      <c r="AP35" s="329">
        <f t="shared" si="14"/>
        <v>999</v>
      </c>
      <c r="AQ35" s="330"/>
      <c r="AR35" s="331">
        <f t="shared" si="15"/>
        <v>7</v>
      </c>
      <c r="AS35" s="332"/>
      <c r="AT35" s="333">
        <f t="shared" ca="1" si="2"/>
        <v>-50</v>
      </c>
      <c r="AU35" s="334"/>
      <c r="AV35" s="271"/>
      <c r="AW35" s="272"/>
      <c r="AX35" s="271">
        <f t="shared" ca="1" si="7"/>
        <v>-50</v>
      </c>
      <c r="AY35" s="272"/>
      <c r="AZ35" s="273">
        <f t="shared" ca="1" si="16"/>
        <v>949</v>
      </c>
      <c r="BA35" s="274"/>
      <c r="BB35" s="339">
        <f t="shared" ca="1" si="3"/>
        <v>1043</v>
      </c>
      <c r="BC35" s="340"/>
      <c r="BD35" s="347">
        <f t="shared" si="17"/>
        <v>949</v>
      </c>
      <c r="BE35" s="339"/>
      <c r="BF35" s="339">
        <f t="shared" si="18"/>
        <v>-50</v>
      </c>
      <c r="BG35" s="340"/>
      <c r="BH35" s="341" t="str">
        <f t="shared" ca="1" si="19"/>
        <v/>
      </c>
      <c r="BI35" s="342"/>
      <c r="BJ35" s="564"/>
      <c r="BK35" s="565"/>
      <c r="BL35" s="568"/>
      <c r="BM35" s="570"/>
      <c r="CC35" s="138" t="s">
        <v>80</v>
      </c>
      <c r="CD35" s="337" t="str">
        <f t="shared" si="4"/>
        <v>外税10%</v>
      </c>
      <c r="CE35" s="337"/>
      <c r="CF35" s="338"/>
      <c r="CR35" s="103" t="s">
        <v>143</v>
      </c>
      <c r="CW35" s="103" t="s">
        <v>144</v>
      </c>
      <c r="CX35" s="102" t="s">
        <v>30</v>
      </c>
      <c r="CY35" s="103" t="s">
        <v>145</v>
      </c>
    </row>
    <row r="36" spans="1:103" ht="15" customHeight="1">
      <c r="A36" s="100">
        <f t="shared" si="5"/>
        <v>94</v>
      </c>
      <c r="B36" s="293" t="s">
        <v>146</v>
      </c>
      <c r="C36" s="293"/>
      <c r="D36" s="293"/>
      <c r="E36" s="293"/>
      <c r="F36" s="293" t="str" cm="1">
        <f t="array" ref="F36">TRIM(SUBSTITUTE(SUBSTITUTE(INDEX(CR:CR,MATCH("      item_no: "&amp;A36&amp;",",CR:CR,0)+9,1),"item_name: ",""),",",""))</f>
        <v>桑ジャンプビニール傘６５ＣＭ</v>
      </c>
      <c r="G36" s="293"/>
      <c r="H36" s="293"/>
      <c r="I36" s="293"/>
      <c r="J36" s="293"/>
      <c r="K36" s="293"/>
      <c r="L36" s="399" t="str" cm="1">
        <f t="array" ref="L36">TRIM(SUBSTITUTE(SUBSTITUTE(INDEX(CR:CR,MATCH("      item_no: "&amp;A36&amp;",",CR:CR,0)+3,1),"item_scan_code: ",""),",",""))</f>
        <v>4571315752206</v>
      </c>
      <c r="M36" s="399"/>
      <c r="N36" s="399"/>
      <c r="O36" s="399"/>
      <c r="P36" s="399"/>
      <c r="Q36" s="400" cm="1">
        <f t="array" ref="Q36">IF(AF36="true","",TRIM(SUBSTITUTE(SUBSTITUTE(INDEX(CR:CR,MATCH("      item_no: "&amp;A36&amp;",",CR:CR,0)+13,1),"item_price_fmt: ￥",""),",",""))+0)</f>
        <v>480</v>
      </c>
      <c r="R36" s="401"/>
      <c r="S36" s="327">
        <f t="shared" si="10"/>
        <v>0</v>
      </c>
      <c r="T36" s="328"/>
      <c r="U36" s="401" cm="1">
        <f t="array" ref="U36">IF(AF36="true","",TRIM(SUBSTITUTE(SUBSTITUTE(INDEX(CR:CR,MATCH("      item_no: "&amp;A36&amp;",",CR:CR,0)+14,1),"item_price_discount_fmt: ￥",""),",",""))+0)</f>
        <v>480</v>
      </c>
      <c r="V36" s="402"/>
      <c r="W36" s="279">
        <f ca="1">INT(SUMIF($Y$10:$AA36,"外税8%",$U$10:$V36)*1.08)+INT(SUMIF($Y$10:$AA36,"外税10%",$U$10:$V36)*1.1)+SUMIF($Y$10:$AA36,"内税10%",$U$10:$V36)+SUMIF($Y$10:$AA36,"非課税",$U$10:$V36)</f>
        <v>7761</v>
      </c>
      <c r="X36" s="280"/>
      <c r="Y36" s="281" t="str" cm="1">
        <f t="array" ref="Y36">TRIM(SUBSTITUTE(SUBSTITUTE(INDEX(CR:CR,MATCH("      item_no: "&amp;A36&amp;",",CR:CR,0)+15,1),"item_tax_fmt: ",""),",",""))</f>
        <v>外税10%</v>
      </c>
      <c r="Z36" s="282"/>
      <c r="AA36" s="282"/>
      <c r="AB36" s="283" t="str" cm="1">
        <f t="array" ref="AB36">TRIM(SUBSTITUTE(SUBSTITUTE(INDEX(CR:CR,MATCH("      item_no: "&amp;A36&amp;",",CR:CR,0)+18,1),"discount_prohibition:",""),",",""))</f>
        <v>0</v>
      </c>
      <c r="AC36" s="283"/>
      <c r="AD36" s="214" t="str">
        <f t="shared" si="6"/>
        <v>外税10%+0</v>
      </c>
      <c r="AE36" s="215"/>
      <c r="AF36" s="284" t="str" cm="1">
        <f t="array" ref="AF36">TRIM(SUBSTITUTE(SUBSTITUTE(INDEX(CR:CR,MATCH("      item_no: "&amp;A36&amp;",",CR:CR,0)+1,1),"item_cancel_line: ",""),",",""))</f>
        <v>false</v>
      </c>
      <c r="AG36" s="284"/>
      <c r="AH36" s="595"/>
      <c r="AI36" s="596"/>
      <c r="AJ36" s="396">
        <f t="shared" si="11"/>
        <v>-24</v>
      </c>
      <c r="AK36" s="397"/>
      <c r="AL36" s="335">
        <f t="shared" ca="1" si="12"/>
        <v>-24.011261143840258</v>
      </c>
      <c r="AM36" s="336"/>
      <c r="AN36" s="333">
        <f t="shared" ca="1" si="13"/>
        <v>-25</v>
      </c>
      <c r="AO36" s="334"/>
      <c r="AP36" s="329">
        <f t="shared" si="14"/>
        <v>480</v>
      </c>
      <c r="AQ36" s="330"/>
      <c r="AR36" s="331">
        <f t="shared" si="15"/>
        <v>34</v>
      </c>
      <c r="AS36" s="332"/>
      <c r="AT36" s="333">
        <f t="shared" ca="1" si="2"/>
        <v>-25</v>
      </c>
      <c r="AU36" s="334"/>
      <c r="AV36" s="271"/>
      <c r="AW36" s="272"/>
      <c r="AX36" s="271">
        <f t="shared" ca="1" si="7"/>
        <v>-25</v>
      </c>
      <c r="AY36" s="272"/>
      <c r="AZ36" s="273">
        <f t="shared" ca="1" si="16"/>
        <v>455</v>
      </c>
      <c r="BA36" s="274"/>
      <c r="BB36" s="339">
        <f t="shared" ca="1" si="3"/>
        <v>500</v>
      </c>
      <c r="BC36" s="340"/>
      <c r="BD36" s="347">
        <f t="shared" si="17"/>
        <v>455</v>
      </c>
      <c r="BE36" s="339"/>
      <c r="BF36" s="339">
        <f t="shared" si="18"/>
        <v>-25</v>
      </c>
      <c r="BG36" s="340"/>
      <c r="BH36" s="341" t="str">
        <f t="shared" ca="1" si="19"/>
        <v/>
      </c>
      <c r="BI36" s="342"/>
      <c r="BJ36" s="564"/>
      <c r="BK36" s="565"/>
      <c r="BL36" s="568"/>
      <c r="BM36" s="570"/>
      <c r="CC36" s="138" t="s">
        <v>80</v>
      </c>
      <c r="CD36" s="337" t="str">
        <f t="shared" si="4"/>
        <v>外税10%</v>
      </c>
      <c r="CE36" s="337"/>
      <c r="CF36" s="338"/>
      <c r="CR36" s="103" t="s">
        <v>147</v>
      </c>
      <c r="CW36" s="103" t="s">
        <v>148</v>
      </c>
      <c r="CX36" s="102" t="s">
        <v>30</v>
      </c>
      <c r="CY36" s="103" t="s">
        <v>149</v>
      </c>
    </row>
    <row r="37" spans="1:103" ht="15" customHeight="1">
      <c r="A37" s="100">
        <f t="shared" si="5"/>
        <v>93</v>
      </c>
      <c r="B37" s="293" t="s">
        <v>150</v>
      </c>
      <c r="C37" s="293"/>
      <c r="D37" s="293"/>
      <c r="E37" s="293"/>
      <c r="F37" s="293" t="str" cm="1">
        <f t="array" ref="F37">TRIM(SUBSTITUTE(SUBSTITUTE(INDEX(CR:CR,MATCH("      item_no: "&amp;A37&amp;",",CR:CR,0)+9,1),"item_name: ",""),",",""))</f>
        <v>おかめ豆腐　絹美人　３Ｐ</v>
      </c>
      <c r="G37" s="293"/>
      <c r="H37" s="293"/>
      <c r="I37" s="293"/>
      <c r="J37" s="293"/>
      <c r="K37" s="293"/>
      <c r="L37" s="399" t="str" cm="1">
        <f t="array" ref="L37">TRIM(SUBSTITUTE(SUBSTITUTE(INDEX(CR:CR,MATCH("      item_no: "&amp;A37&amp;",",CR:CR,0)+3,1),"item_scan_code: ",""),",",""))</f>
        <v>4901160110188</v>
      </c>
      <c r="M37" s="399"/>
      <c r="N37" s="399"/>
      <c r="O37" s="399"/>
      <c r="P37" s="399"/>
      <c r="Q37" s="400" cm="1">
        <f t="array" ref="Q37">IF(AF37="true","",TRIM(SUBSTITUTE(SUBSTITUTE(INDEX(CR:CR,MATCH("      item_no: "&amp;A37&amp;",",CR:CR,0)+13,1),"item_price_fmt: ￥",""),",",""))+0)</f>
        <v>159</v>
      </c>
      <c r="R37" s="401"/>
      <c r="S37" s="327">
        <f t="shared" si="10"/>
        <v>-48</v>
      </c>
      <c r="T37" s="328"/>
      <c r="U37" s="401" cm="1">
        <f t="array" ref="U37">IF(AF37="true","",TRIM(SUBSTITUTE(SUBSTITUTE(INDEX(CR:CR,MATCH("      item_no: "&amp;A37&amp;",",CR:CR,0)+14,1),"item_price_discount_fmt: ￥",""),",",""))+0)</f>
        <v>111</v>
      </c>
      <c r="V37" s="402"/>
      <c r="W37" s="279">
        <f ca="1">INT(SUMIF($Y$10:$AA37,"外税8%",$U$10:$V37)*1.08)+INT(SUMIF($Y$10:$AA37,"外税10%",$U$10:$V37)*1.1)+SUMIF($Y$10:$AA37,"内税10%",$U$10:$V37)+SUMIF($Y$10:$AA37,"非課税",$U$10:$V37)</f>
        <v>7881</v>
      </c>
      <c r="X37" s="280"/>
      <c r="Y37" s="281" t="str" cm="1">
        <f t="array" ref="Y37">TRIM(SUBSTITUTE(SUBSTITUTE(INDEX(CR:CR,MATCH("      item_no: "&amp;A37&amp;",",CR:CR,0)+15,1),"item_tax_fmt: ",""),",",""))</f>
        <v>外税8%</v>
      </c>
      <c r="Z37" s="282"/>
      <c r="AA37" s="282"/>
      <c r="AB37" s="283" t="str" cm="1">
        <f t="array" ref="AB37">TRIM(SUBSTITUTE(SUBSTITUTE(INDEX(CR:CR,MATCH("      item_no: "&amp;A37&amp;",",CR:CR,0)+18,1),"discount_prohibition:",""),",",""))</f>
        <v>0</v>
      </c>
      <c r="AC37" s="283"/>
      <c r="AD37" s="214" t="str">
        <f t="shared" si="6"/>
        <v>外税8%+0</v>
      </c>
      <c r="AE37" s="215"/>
      <c r="AF37" s="284" t="str" cm="1">
        <f t="array" ref="AF37">TRIM(SUBSTITUTE(SUBSTITUTE(INDEX(CR:CR,MATCH("      item_no: "&amp;A37&amp;",",CR:CR,0)+1,1),"item_cancel_line: ",""),",",""))</f>
        <v>false</v>
      </c>
      <c r="AG37" s="284"/>
      <c r="AH37" s="595"/>
      <c r="AI37" s="596"/>
      <c r="AJ37" s="285">
        <f t="shared" si="11"/>
        <v>-5.5500000000000007</v>
      </c>
      <c r="AK37" s="286"/>
      <c r="AL37" s="335">
        <f t="shared" ca="1" si="12"/>
        <v>-5.5526041395130594</v>
      </c>
      <c r="AM37" s="336"/>
      <c r="AN37" s="333">
        <f t="shared" ca="1" si="13"/>
        <v>-6</v>
      </c>
      <c r="AO37" s="334"/>
      <c r="AP37" s="329">
        <f t="shared" si="14"/>
        <v>111</v>
      </c>
      <c r="AQ37" s="330"/>
      <c r="AR37" s="331">
        <f t="shared" si="15"/>
        <v>73</v>
      </c>
      <c r="AS37" s="332"/>
      <c r="AT37" s="333">
        <f t="shared" ca="1" si="2"/>
        <v>-6</v>
      </c>
      <c r="AU37" s="334"/>
      <c r="AV37" s="271"/>
      <c r="AW37" s="272"/>
      <c r="AX37" s="271">
        <f t="shared" ca="1" si="7"/>
        <v>-6</v>
      </c>
      <c r="AY37" s="272"/>
      <c r="AZ37" s="273">
        <f t="shared" ca="1" si="16"/>
        <v>105</v>
      </c>
      <c r="BA37" s="274"/>
      <c r="BB37" s="339">
        <f t="shared" ca="1" si="3"/>
        <v>113</v>
      </c>
      <c r="BC37" s="340"/>
      <c r="BD37" s="347">
        <f t="shared" si="17"/>
        <v>105</v>
      </c>
      <c r="BE37" s="339"/>
      <c r="BF37" s="339">
        <f t="shared" si="18"/>
        <v>-6</v>
      </c>
      <c r="BG37" s="340"/>
      <c r="BH37" s="341" t="str">
        <f t="shared" ca="1" si="19"/>
        <v/>
      </c>
      <c r="BI37" s="342"/>
      <c r="BJ37" s="564"/>
      <c r="BK37" s="565"/>
      <c r="BL37" s="568"/>
      <c r="BM37" s="570"/>
      <c r="CC37" s="138" t="s">
        <v>80</v>
      </c>
      <c r="CD37" s="337" t="str">
        <f t="shared" si="4"/>
        <v>外税8%</v>
      </c>
      <c r="CE37" s="337"/>
      <c r="CF37" s="338"/>
      <c r="CR37" s="103" t="s">
        <v>151</v>
      </c>
      <c r="CW37" s="103" t="s">
        <v>152</v>
      </c>
      <c r="CX37" s="102" t="s">
        <v>30</v>
      </c>
      <c r="CY37" s="103" t="s">
        <v>153</v>
      </c>
    </row>
    <row r="38" spans="1:103" ht="15" customHeight="1">
      <c r="A38" s="100">
        <f t="shared" si="5"/>
        <v>92</v>
      </c>
      <c r="B38" s="293" t="s">
        <v>154</v>
      </c>
      <c r="C38" s="293"/>
      <c r="D38" s="293"/>
      <c r="E38" s="293"/>
      <c r="F38" s="293" t="str" cm="1">
        <f t="array" ref="F38">TRIM(SUBSTITUTE(SUBSTITUTE(INDEX(CR:CR,MATCH("      item_no: "&amp;A38&amp;",",CR:CR,0)+9,1),"item_name: ",""),",",""))</f>
        <v>ヤマザキ　ロイヤルブレッド　６枚入</v>
      </c>
      <c r="G38" s="293"/>
      <c r="H38" s="293"/>
      <c r="I38" s="293"/>
      <c r="J38" s="293"/>
      <c r="K38" s="293"/>
      <c r="L38" s="399" t="str" cm="1">
        <f t="array" ref="L38">TRIM(SUBSTITUTE(SUBSTITUTE(INDEX(CR:CR,MATCH("      item_no: "&amp;A38&amp;",",CR:CR,0)+3,1),"item_scan_code: ",""),",",""))</f>
        <v>4903110002222</v>
      </c>
      <c r="M38" s="399"/>
      <c r="N38" s="399"/>
      <c r="O38" s="399"/>
      <c r="P38" s="399"/>
      <c r="Q38" s="400" cm="1">
        <f t="array" ref="Q38">IF(AF38="true","",TRIM(SUBSTITUTE(SUBSTITUTE(INDEX(CR:CR,MATCH("      item_no: "&amp;A38&amp;",",CR:CR,0)+13,1),"item_price_fmt: ￥",""),",",""))+0)</f>
        <v>199</v>
      </c>
      <c r="R38" s="401"/>
      <c r="S38" s="327">
        <f t="shared" si="10"/>
        <v>0</v>
      </c>
      <c r="T38" s="328"/>
      <c r="U38" s="401" cm="1">
        <f t="array" ref="U38">IF(AF38="true","",TRIM(SUBSTITUTE(SUBSTITUTE(INDEX(CR:CR,MATCH("      item_no: "&amp;A38&amp;",",CR:CR,0)+14,1),"item_price_discount_fmt: ￥",""),",",""))+0)</f>
        <v>199</v>
      </c>
      <c r="V38" s="402"/>
      <c r="W38" s="279">
        <f ca="1">INT(SUMIF($Y$10:$AA38,"外税8%",$U$10:$V38)*1.08)+INT(SUMIF($Y$10:$AA38,"外税10%",$U$10:$V38)*1.1)+SUMIF($Y$10:$AA38,"内税10%",$U$10:$V38)+SUMIF($Y$10:$AA38,"非課税",$U$10:$V38)</f>
        <v>8096</v>
      </c>
      <c r="X38" s="280"/>
      <c r="Y38" s="281" t="str" cm="1">
        <f t="array" ref="Y38">TRIM(SUBSTITUTE(SUBSTITUTE(INDEX(CR:CR,MATCH("      item_no: "&amp;A38&amp;",",CR:CR,0)+15,1),"item_tax_fmt: ",""),",",""))</f>
        <v>外税8%</v>
      </c>
      <c r="Z38" s="282"/>
      <c r="AA38" s="282"/>
      <c r="AB38" s="283" t="str" cm="1">
        <f t="array" ref="AB38">TRIM(SUBSTITUTE(SUBSTITUTE(INDEX(CR:CR,MATCH("      item_no: "&amp;A38&amp;",",CR:CR,0)+18,1),"discount_prohibition:",""),",",""))</f>
        <v>0</v>
      </c>
      <c r="AC38" s="283"/>
      <c r="AD38" s="214" t="str">
        <f t="shared" si="6"/>
        <v>外税8%+0</v>
      </c>
      <c r="AE38" s="215"/>
      <c r="AF38" s="284" t="str" cm="1">
        <f t="array" ref="AF38">TRIM(SUBSTITUTE(SUBSTITUTE(INDEX(CR:CR,MATCH("      item_no: "&amp;A38&amp;",",CR:CR,0)+1,1),"item_cancel_line: ",""),",",""))</f>
        <v>false</v>
      </c>
      <c r="AG38" s="284"/>
      <c r="AH38" s="595"/>
      <c r="AI38" s="596"/>
      <c r="AJ38" s="285">
        <f t="shared" si="11"/>
        <v>-9.9500000000000011</v>
      </c>
      <c r="AK38" s="286"/>
      <c r="AL38" s="335">
        <f t="shared" ca="1" si="12"/>
        <v>-9.9546686825504409</v>
      </c>
      <c r="AM38" s="336"/>
      <c r="AN38" s="333">
        <f t="shared" ca="1" si="13"/>
        <v>-10</v>
      </c>
      <c r="AO38" s="334"/>
      <c r="AP38" s="329">
        <f t="shared" si="14"/>
        <v>199</v>
      </c>
      <c r="AQ38" s="330"/>
      <c r="AR38" s="331">
        <f t="shared" si="15"/>
        <v>58</v>
      </c>
      <c r="AS38" s="332"/>
      <c r="AT38" s="333">
        <f t="shared" ca="1" si="2"/>
        <v>-10</v>
      </c>
      <c r="AU38" s="334"/>
      <c r="AV38" s="271"/>
      <c r="AW38" s="272"/>
      <c r="AX38" s="271">
        <f t="shared" ca="1" si="7"/>
        <v>-10</v>
      </c>
      <c r="AY38" s="272"/>
      <c r="AZ38" s="273">
        <f t="shared" ca="1" si="16"/>
        <v>189</v>
      </c>
      <c r="BA38" s="274"/>
      <c r="BB38" s="339">
        <f t="shared" ca="1" si="3"/>
        <v>204</v>
      </c>
      <c r="BC38" s="340"/>
      <c r="BD38" s="347">
        <f t="shared" si="17"/>
        <v>189</v>
      </c>
      <c r="BE38" s="339"/>
      <c r="BF38" s="339">
        <f t="shared" si="18"/>
        <v>-10</v>
      </c>
      <c r="BG38" s="340"/>
      <c r="BH38" s="341" t="str">
        <f t="shared" ca="1" si="19"/>
        <v/>
      </c>
      <c r="BI38" s="342"/>
      <c r="BJ38" s="564"/>
      <c r="BK38" s="565"/>
      <c r="BL38" s="568"/>
      <c r="BM38" s="570"/>
      <c r="CC38" s="138" t="s">
        <v>80</v>
      </c>
      <c r="CD38" s="337" t="str">
        <f t="shared" si="4"/>
        <v>外税8%</v>
      </c>
      <c r="CE38" s="337"/>
      <c r="CF38" s="338"/>
      <c r="CR38" s="103" t="s">
        <v>155</v>
      </c>
      <c r="CW38" s="103" t="s">
        <v>156</v>
      </c>
      <c r="CX38" s="102" t="s">
        <v>30</v>
      </c>
      <c r="CY38" s="103" t="s">
        <v>157</v>
      </c>
    </row>
    <row r="39" spans="1:103" ht="15" customHeight="1">
      <c r="A39" s="100">
        <f t="shared" si="5"/>
        <v>91</v>
      </c>
      <c r="B39" s="293" t="s">
        <v>158</v>
      </c>
      <c r="C39" s="293"/>
      <c r="D39" s="293"/>
      <c r="E39" s="293"/>
      <c r="F39" s="293" t="str" cm="1">
        <f t="array" ref="F39">TRIM(SUBSTITUTE(SUBSTITUTE(INDEX(CR:CR,MATCH("      item_no: "&amp;A39&amp;",",CR:CR,0)+9,1),"item_name: ",""),",",""))</f>
        <v>雪メグミルク　酪農牛乳１Ｌ</v>
      </c>
      <c r="G39" s="293"/>
      <c r="H39" s="293"/>
      <c r="I39" s="293"/>
      <c r="J39" s="293"/>
      <c r="K39" s="293"/>
      <c r="L39" s="399" t="str" cm="1">
        <f t="array" ref="L39">TRIM(SUBSTITUTE(SUBSTITUTE(INDEX(CR:CR,MATCH("      item_no: "&amp;A39&amp;",",CR:CR,0)+3,1),"item_scan_code: ",""),",",""))</f>
        <v>4908011510906</v>
      </c>
      <c r="M39" s="399"/>
      <c r="N39" s="399"/>
      <c r="O39" s="399"/>
      <c r="P39" s="399"/>
      <c r="Q39" s="400" cm="1">
        <f t="array" ref="Q39">IF(AF39="true","",TRIM(SUBSTITUTE(SUBSTITUTE(INDEX(CR:CR,MATCH("      item_no: "&amp;A39&amp;",",CR:CR,0)+13,1),"item_price_fmt: ￥",""),",",""))+0)</f>
        <v>150</v>
      </c>
      <c r="R39" s="401"/>
      <c r="S39" s="327">
        <f t="shared" si="10"/>
        <v>0</v>
      </c>
      <c r="T39" s="328"/>
      <c r="U39" s="401" cm="1">
        <f t="array" ref="U39">IF(AF39="true","",TRIM(SUBSTITUTE(SUBSTITUTE(INDEX(CR:CR,MATCH("      item_no: "&amp;A39&amp;",",CR:CR,0)+14,1),"item_price_discount_fmt: ￥",""),",",""))+0)</f>
        <v>150</v>
      </c>
      <c r="V39" s="402"/>
      <c r="W39" s="279">
        <f ca="1">INT(SUMIF($Y$10:$AA39,"外税8%",$U$10:$V39)*1.08)+INT(SUMIF($Y$10:$AA39,"外税10%",$U$10:$V39)*1.1)+SUMIF($Y$10:$AA39,"内税10%",$U$10:$V39)+SUMIF($Y$10:$AA39,"非課税",$U$10:$V39)</f>
        <v>8258</v>
      </c>
      <c r="X39" s="280"/>
      <c r="Y39" s="281" t="str" cm="1">
        <f t="array" ref="Y39">TRIM(SUBSTITUTE(SUBSTITUTE(INDEX(CR:CR,MATCH("      item_no: "&amp;A39&amp;",",CR:CR,0)+15,1),"item_tax_fmt: ",""),",",""))</f>
        <v>外税8%</v>
      </c>
      <c r="Z39" s="282"/>
      <c r="AA39" s="282"/>
      <c r="AB39" s="283" t="str" cm="1">
        <f t="array" ref="AB39">TRIM(SUBSTITUTE(SUBSTITUTE(INDEX(CR:CR,MATCH("      item_no: "&amp;A39&amp;",",CR:CR,0)+18,1),"discount_prohibition:",""),",",""))</f>
        <v>0</v>
      </c>
      <c r="AC39" s="283"/>
      <c r="AD39" s="214" t="str">
        <f t="shared" si="6"/>
        <v>外税8%+0</v>
      </c>
      <c r="AE39" s="215"/>
      <c r="AF39" s="284" t="str" cm="1">
        <f t="array" ref="AF39">TRIM(SUBSTITUTE(SUBSTITUTE(INDEX(CR:CR,MATCH("      item_no: "&amp;A39&amp;",",CR:CR,0)+1,1),"item_cancel_line: ",""),",",""))</f>
        <v>false</v>
      </c>
      <c r="AG39" s="284"/>
      <c r="AH39" s="595"/>
      <c r="AI39" s="596"/>
      <c r="AJ39" s="285">
        <f t="shared" si="11"/>
        <v>-7.5</v>
      </c>
      <c r="AK39" s="286"/>
      <c r="AL39" s="335">
        <f t="shared" ca="1" si="12"/>
        <v>-7.5035191074500807</v>
      </c>
      <c r="AM39" s="336"/>
      <c r="AN39" s="333">
        <f t="shared" ca="1" si="13"/>
        <v>-8</v>
      </c>
      <c r="AO39" s="334"/>
      <c r="AP39" s="329">
        <f t="shared" si="14"/>
        <v>150</v>
      </c>
      <c r="AQ39" s="330"/>
      <c r="AR39" s="331">
        <f t="shared" si="15"/>
        <v>69</v>
      </c>
      <c r="AS39" s="332"/>
      <c r="AT39" s="333">
        <f t="shared" ca="1" si="2"/>
        <v>-8</v>
      </c>
      <c r="AU39" s="334"/>
      <c r="AV39" s="271"/>
      <c r="AW39" s="272"/>
      <c r="AX39" s="271">
        <f t="shared" ca="1" si="7"/>
        <v>-8</v>
      </c>
      <c r="AY39" s="272"/>
      <c r="AZ39" s="273">
        <f t="shared" ca="1" si="16"/>
        <v>142</v>
      </c>
      <c r="BA39" s="274"/>
      <c r="BB39" s="339">
        <f t="shared" ca="1" si="3"/>
        <v>153</v>
      </c>
      <c r="BC39" s="340"/>
      <c r="BD39" s="347">
        <f t="shared" si="17"/>
        <v>142</v>
      </c>
      <c r="BE39" s="339"/>
      <c r="BF39" s="339">
        <f t="shared" si="18"/>
        <v>-8</v>
      </c>
      <c r="BG39" s="340"/>
      <c r="BH39" s="341" t="str">
        <f t="shared" ca="1" si="19"/>
        <v/>
      </c>
      <c r="BI39" s="342"/>
      <c r="BJ39" s="564"/>
      <c r="BK39" s="565"/>
      <c r="BL39" s="568"/>
      <c r="BM39" s="570"/>
      <c r="CC39" s="138" t="s">
        <v>80</v>
      </c>
      <c r="CD39" s="337" t="str">
        <f t="shared" si="4"/>
        <v>外税8%</v>
      </c>
      <c r="CE39" s="337"/>
      <c r="CF39" s="338"/>
      <c r="CR39" s="103" t="s">
        <v>159</v>
      </c>
      <c r="CW39" s="103" t="s">
        <v>160</v>
      </c>
      <c r="CX39" s="102" t="s">
        <v>30</v>
      </c>
      <c r="CY39" s="103" t="s">
        <v>161</v>
      </c>
    </row>
    <row r="40" spans="1:103" ht="15" customHeight="1">
      <c r="A40" s="100">
        <f t="shared" si="5"/>
        <v>90</v>
      </c>
      <c r="B40" s="293" t="s">
        <v>162</v>
      </c>
      <c r="C40" s="293"/>
      <c r="D40" s="293"/>
      <c r="E40" s="293"/>
      <c r="F40" s="293" t="str" cm="1">
        <f t="array" ref="F40">TRIM(SUBSTITUTE(SUBSTITUTE(INDEX(CR:CR,MATCH("      item_no: "&amp;A40&amp;",",CR:CR,0)+9,1),"item_name: ",""),",",""))</f>
        <v>きゅうり（袋）</v>
      </c>
      <c r="G40" s="293"/>
      <c r="H40" s="293"/>
      <c r="I40" s="293"/>
      <c r="J40" s="293"/>
      <c r="K40" s="293"/>
      <c r="L40" s="399" t="str" cm="1">
        <f t="array" ref="L40">TRIM(SUBSTITUTE(SUBSTITUTE(INDEX(CR:CR,MATCH("      item_no: "&amp;A40&amp;",",CR:CR,0)+3,1),"item_scan_code: ",""),",",""))</f>
        <v>4515848152034</v>
      </c>
      <c r="M40" s="399"/>
      <c r="N40" s="399"/>
      <c r="O40" s="399"/>
      <c r="P40" s="399"/>
      <c r="Q40" s="400" cm="1">
        <f t="array" ref="Q40">IF(AF40="true","",TRIM(SUBSTITUTE(SUBSTITUTE(INDEX(CR:CR,MATCH("      item_no: "&amp;A40&amp;",",CR:CR,0)+13,1),"item_price_fmt: ￥",""),",",""))+0)</f>
        <v>198</v>
      </c>
      <c r="R40" s="401"/>
      <c r="S40" s="327">
        <f t="shared" si="10"/>
        <v>0</v>
      </c>
      <c r="T40" s="328"/>
      <c r="U40" s="401" cm="1">
        <f t="array" ref="U40">IF(AF40="true","",TRIM(SUBSTITUTE(SUBSTITUTE(INDEX(CR:CR,MATCH("      item_no: "&amp;A40&amp;",",CR:CR,0)+14,1),"item_price_discount_fmt: ￥",""),",",""))+0)</f>
        <v>198</v>
      </c>
      <c r="V40" s="402"/>
      <c r="W40" s="279">
        <f ca="1">INT(SUMIF($Y$10:$AA40,"外税8%",$U$10:$V40)*1.08)+INT(SUMIF($Y$10:$AA40,"外税10%",$U$10:$V40)*1.1)+SUMIF($Y$10:$AA40,"内税10%",$U$10:$V40)+SUMIF($Y$10:$AA40,"非課税",$U$10:$V40)</f>
        <v>8472</v>
      </c>
      <c r="X40" s="280"/>
      <c r="Y40" s="281" t="str" cm="1">
        <f t="array" ref="Y40">TRIM(SUBSTITUTE(SUBSTITUTE(INDEX(CR:CR,MATCH("      item_no: "&amp;A40&amp;",",CR:CR,0)+15,1),"item_tax_fmt: ",""),",",""))</f>
        <v>外税8%</v>
      </c>
      <c r="Z40" s="282"/>
      <c r="AA40" s="282"/>
      <c r="AB40" s="283" t="str" cm="1">
        <f t="array" ref="AB40">TRIM(SUBSTITUTE(SUBSTITUTE(INDEX(CR:CR,MATCH("      item_no: "&amp;A40&amp;",",CR:CR,0)+18,1),"discount_prohibition:",""),",",""))</f>
        <v>0</v>
      </c>
      <c r="AC40" s="283"/>
      <c r="AD40" s="214" t="str">
        <f t="shared" si="6"/>
        <v>外税8%+0</v>
      </c>
      <c r="AE40" s="215"/>
      <c r="AF40" s="284" t="str" cm="1">
        <f t="array" ref="AF40">TRIM(SUBSTITUTE(SUBSTITUTE(INDEX(CR:CR,MATCH("      item_no: "&amp;A40&amp;",",CR:CR,0)+1,1),"item_cancel_line: ",""),",",""))</f>
        <v>false</v>
      </c>
      <c r="AG40" s="284"/>
      <c r="AH40" s="595"/>
      <c r="AI40" s="596"/>
      <c r="AJ40" s="285">
        <f t="shared" si="11"/>
        <v>-9.9</v>
      </c>
      <c r="AK40" s="286"/>
      <c r="AL40" s="335">
        <f t="shared" ca="1" si="12"/>
        <v>-9.904645221834107</v>
      </c>
      <c r="AM40" s="336"/>
      <c r="AN40" s="333">
        <f t="shared" ca="1" si="13"/>
        <v>-10</v>
      </c>
      <c r="AO40" s="334"/>
      <c r="AP40" s="329">
        <f t="shared" si="14"/>
        <v>198</v>
      </c>
      <c r="AQ40" s="330"/>
      <c r="AR40" s="331">
        <f t="shared" si="15"/>
        <v>61</v>
      </c>
      <c r="AS40" s="332"/>
      <c r="AT40" s="333">
        <f t="shared" ca="1" si="2"/>
        <v>-10</v>
      </c>
      <c r="AU40" s="334"/>
      <c r="AV40" s="271"/>
      <c r="AW40" s="272"/>
      <c r="AX40" s="271">
        <f t="shared" ca="1" si="7"/>
        <v>-10</v>
      </c>
      <c r="AY40" s="272"/>
      <c r="AZ40" s="273">
        <f t="shared" ca="1" si="16"/>
        <v>188</v>
      </c>
      <c r="BA40" s="274"/>
      <c r="BB40" s="339">
        <f t="shared" ca="1" si="3"/>
        <v>203</v>
      </c>
      <c r="BC40" s="340"/>
      <c r="BD40" s="347">
        <f t="shared" si="17"/>
        <v>188</v>
      </c>
      <c r="BE40" s="339"/>
      <c r="BF40" s="339">
        <f t="shared" si="18"/>
        <v>-10</v>
      </c>
      <c r="BG40" s="340"/>
      <c r="BH40" s="341" t="str">
        <f t="shared" ca="1" si="19"/>
        <v/>
      </c>
      <c r="BI40" s="342"/>
      <c r="BJ40" s="564"/>
      <c r="BK40" s="565"/>
      <c r="BL40" s="568"/>
      <c r="BM40" s="570"/>
      <c r="CC40" s="138" t="s">
        <v>80</v>
      </c>
      <c r="CD40" s="337" t="str">
        <f t="shared" si="4"/>
        <v>外税8%</v>
      </c>
      <c r="CE40" s="337"/>
      <c r="CF40" s="338"/>
      <c r="CR40" s="103" t="s">
        <v>163</v>
      </c>
      <c r="CW40" s="103" t="s">
        <v>164</v>
      </c>
      <c r="CX40" s="102" t="s">
        <v>30</v>
      </c>
      <c r="CY40" s="103" t="s">
        <v>165</v>
      </c>
    </row>
    <row r="41" spans="1:103" ht="15" customHeight="1">
      <c r="A41" s="100">
        <f t="shared" si="5"/>
        <v>89</v>
      </c>
      <c r="B41" s="293" t="s">
        <v>162</v>
      </c>
      <c r="C41" s="293"/>
      <c r="D41" s="293"/>
      <c r="E41" s="293"/>
      <c r="F41" s="293" t="str" cm="1">
        <f t="array" ref="F41">TRIM(SUBSTITUTE(SUBSTITUTE(INDEX(CR:CR,MATCH("      item_no: "&amp;A41&amp;",",CR:CR,0)+9,1),"item_name: ",""),",",""))</f>
        <v>たまねぎ　バラ　２７４</v>
      </c>
      <c r="G41" s="293"/>
      <c r="H41" s="293"/>
      <c r="I41" s="293"/>
      <c r="J41" s="293"/>
      <c r="K41" s="293"/>
      <c r="L41" s="399" t="str" cm="1">
        <f t="array" ref="L41">TRIM(SUBSTITUTE(SUBSTITUTE(INDEX(CR:CR,MATCH("      item_no: "&amp;A41&amp;",",CR:CR,0)+3,1),"item_scan_code: ",""),",",""))</f>
        <v>06161927</v>
      </c>
      <c r="M41" s="399"/>
      <c r="N41" s="399"/>
      <c r="O41" s="399"/>
      <c r="P41" s="399"/>
      <c r="Q41" s="400" cm="1">
        <f t="array" ref="Q41">IF(AF41="true","",TRIM(SUBSTITUTE(SUBSTITUTE(INDEX(CR:CR,MATCH("      item_no: "&amp;A41&amp;",",CR:CR,0)+13,1),"item_price_fmt: ￥",""),",",""))+0)</f>
        <v>39</v>
      </c>
      <c r="R41" s="401"/>
      <c r="S41" s="327">
        <f t="shared" si="10"/>
        <v>0</v>
      </c>
      <c r="T41" s="328"/>
      <c r="U41" s="401" cm="1">
        <f t="array" ref="U41">IF(AF41="true","",TRIM(SUBSTITUTE(SUBSTITUTE(INDEX(CR:CR,MATCH("      item_no: "&amp;A41&amp;",",CR:CR,0)+14,1),"item_price_discount_fmt: ￥",""),",",""))+0)</f>
        <v>39</v>
      </c>
      <c r="V41" s="402"/>
      <c r="W41" s="279">
        <f ca="1">INT(SUMIF($Y$10:$AA41,"外税8%",$U$10:$V41)*1.08)+INT(SUMIF($Y$10:$AA41,"外税10%",$U$10:$V41)*1.1)+SUMIF($Y$10:$AA41,"内税10%",$U$10:$V41)+SUMIF($Y$10:$AA41,"非課税",$U$10:$V41)</f>
        <v>8514</v>
      </c>
      <c r="X41" s="280"/>
      <c r="Y41" s="281" t="str" cm="1">
        <f t="array" ref="Y41">TRIM(SUBSTITUTE(SUBSTITUTE(INDEX(CR:CR,MATCH("      item_no: "&amp;A41&amp;",",CR:CR,0)+15,1),"item_tax_fmt: ",""),",",""))</f>
        <v>外税8%</v>
      </c>
      <c r="Z41" s="282"/>
      <c r="AA41" s="282"/>
      <c r="AB41" s="283" t="str" cm="1">
        <f t="array" ref="AB41">TRIM(SUBSTITUTE(SUBSTITUTE(INDEX(CR:CR,MATCH("      item_no: "&amp;A41&amp;",",CR:CR,0)+18,1),"discount_prohibition:",""),",",""))</f>
        <v>0</v>
      </c>
      <c r="AC41" s="283"/>
      <c r="AD41" s="214" t="str">
        <f t="shared" si="6"/>
        <v>外税8%+0</v>
      </c>
      <c r="AE41" s="215"/>
      <c r="AF41" s="284" t="str" cm="1">
        <f t="array" ref="AF41">TRIM(SUBSTITUTE(SUBSTITUTE(INDEX(CR:CR,MATCH("      item_no: "&amp;A41&amp;",",CR:CR,0)+1,1),"item_cancel_line: ",""),",",""))</f>
        <v>false</v>
      </c>
      <c r="AG41" s="284"/>
      <c r="AH41" s="595"/>
      <c r="AI41" s="596"/>
      <c r="AJ41" s="285">
        <f t="shared" si="11"/>
        <v>-1.9500000000000002</v>
      </c>
      <c r="AK41" s="286"/>
      <c r="AL41" s="335">
        <f t="shared" ca="1" si="12"/>
        <v>-1.950914967937021</v>
      </c>
      <c r="AM41" s="336"/>
      <c r="AN41" s="333">
        <f t="shared" ca="1" si="13"/>
        <v>-2</v>
      </c>
      <c r="AO41" s="334"/>
      <c r="AP41" s="329">
        <f t="shared" si="14"/>
        <v>39</v>
      </c>
      <c r="AQ41" s="330"/>
      <c r="AR41" s="331">
        <f t="shared" si="15"/>
        <v>79</v>
      </c>
      <c r="AS41" s="332"/>
      <c r="AT41" s="333">
        <f t="shared" si="2"/>
        <v>0</v>
      </c>
      <c r="AU41" s="334"/>
      <c r="AV41" s="271"/>
      <c r="AW41" s="272"/>
      <c r="AX41" s="271">
        <f t="shared" si="7"/>
        <v>0</v>
      </c>
      <c r="AY41" s="272"/>
      <c r="AZ41" s="273">
        <f t="shared" si="16"/>
        <v>39</v>
      </c>
      <c r="BA41" s="274"/>
      <c r="BB41" s="339">
        <f t="shared" si="3"/>
        <v>42</v>
      </c>
      <c r="BC41" s="340"/>
      <c r="BD41" s="367">
        <f t="shared" si="17"/>
        <v>39</v>
      </c>
      <c r="BE41" s="368"/>
      <c r="BF41" s="368">
        <f t="shared" si="18"/>
        <v>0</v>
      </c>
      <c r="BG41" s="369"/>
      <c r="BH41" s="370" t="str">
        <f t="shared" si="19"/>
        <v/>
      </c>
      <c r="BI41" s="371"/>
      <c r="BJ41" s="564"/>
      <c r="BK41" s="565"/>
      <c r="BL41" s="568"/>
      <c r="BM41" s="570"/>
      <c r="CC41" s="138" t="s">
        <v>80</v>
      </c>
      <c r="CD41" s="337" t="str">
        <f t="shared" si="4"/>
        <v>外税8%</v>
      </c>
      <c r="CE41" s="337"/>
      <c r="CF41" s="338"/>
      <c r="CR41" s="103" t="s">
        <v>135</v>
      </c>
      <c r="CW41" s="103" t="s">
        <v>166</v>
      </c>
      <c r="CX41" s="102" t="s">
        <v>30</v>
      </c>
      <c r="CY41" s="103" t="s">
        <v>167</v>
      </c>
    </row>
    <row r="42" spans="1:103" ht="15" customHeight="1">
      <c r="A42" s="100">
        <f t="shared" si="5"/>
        <v>88</v>
      </c>
      <c r="B42" s="293" t="s">
        <v>162</v>
      </c>
      <c r="C42" s="293"/>
      <c r="D42" s="293"/>
      <c r="E42" s="293"/>
      <c r="F42" s="293" t="str" cm="1">
        <f t="array" ref="F42">TRIM(SUBSTITUTE(SUBSTITUTE(INDEX(CR:CR,MATCH("      item_no: "&amp;A42&amp;",",CR:CR,0)+9,1),"item_name: ",""),",",""))</f>
        <v>国産南瓜ユニツト</v>
      </c>
      <c r="G42" s="293"/>
      <c r="H42" s="293"/>
      <c r="I42" s="293"/>
      <c r="J42" s="293"/>
      <c r="K42" s="293"/>
      <c r="L42" s="399" t="str" cm="1">
        <f t="array" ref="L42">TRIM(SUBSTITUTE(SUBSTITUTE(INDEX(CR:CR,MATCH("      item_no: "&amp;A42&amp;",",CR:CR,0)+3,1),"item_scan_code: ",""),",",""))</f>
        <v>224307701006</v>
      </c>
      <c r="M42" s="399"/>
      <c r="N42" s="399"/>
      <c r="O42" s="399"/>
      <c r="P42" s="399"/>
      <c r="Q42" s="400" cm="1">
        <f t="array" ref="Q42">IF(AF42="true","",TRIM(SUBSTITUTE(SUBSTITUTE(INDEX(CR:CR,MATCH("      item_no: "&amp;A42&amp;",",CR:CR,0)+13,1),"item_price_fmt: ￥",""),",",""))+0)</f>
        <v>100</v>
      </c>
      <c r="R42" s="401"/>
      <c r="S42" s="327">
        <f t="shared" si="10"/>
        <v>0</v>
      </c>
      <c r="T42" s="328"/>
      <c r="U42" s="401" cm="1">
        <f t="array" ref="U42">IF(AF42="true","",TRIM(SUBSTITUTE(SUBSTITUTE(INDEX(CR:CR,MATCH("      item_no: "&amp;A42&amp;",",CR:CR,0)+14,1),"item_price_discount_fmt: ￥",""),",",""))+0)</f>
        <v>100</v>
      </c>
      <c r="V42" s="402"/>
      <c r="W42" s="279">
        <f ca="1">INT(SUMIF($Y$10:$AA42,"外税8%",$U$10:$V42)*1.08)+INT(SUMIF($Y$10:$AA42,"外税10%",$U$10:$V42)*1.1)+SUMIF($Y$10:$AA42,"内税10%",$U$10:$V42)+SUMIF($Y$10:$AA42,"非課税",$U$10:$V42)</f>
        <v>8622</v>
      </c>
      <c r="X42" s="280"/>
      <c r="Y42" s="281" t="str" cm="1">
        <f t="array" ref="Y42">TRIM(SUBSTITUTE(SUBSTITUTE(INDEX(CR:CR,MATCH("      item_no: "&amp;A42&amp;",",CR:CR,0)+15,1),"item_tax_fmt: ",""),",",""))</f>
        <v>外税8%</v>
      </c>
      <c r="Z42" s="282"/>
      <c r="AA42" s="282"/>
      <c r="AB42" s="283" t="str" cm="1">
        <f t="array" ref="AB42">TRIM(SUBSTITUTE(SUBSTITUTE(INDEX(CR:CR,MATCH("      item_no: "&amp;A42&amp;",",CR:CR,0)+18,1),"discount_prohibition:",""),",",""))</f>
        <v>0</v>
      </c>
      <c r="AC42" s="283"/>
      <c r="AD42" s="214" t="str">
        <f t="shared" si="6"/>
        <v>外税8%+0</v>
      </c>
      <c r="AE42" s="215"/>
      <c r="AF42" s="284" t="str" cm="1">
        <f t="array" ref="AF42">TRIM(SUBSTITUTE(SUBSTITUTE(INDEX(CR:CR,MATCH("      item_no: "&amp;A42&amp;",",CR:CR,0)+1,1),"item_cancel_line: ",""),",",""))</f>
        <v>false</v>
      </c>
      <c r="AG42" s="284"/>
      <c r="AH42" s="595"/>
      <c r="AI42" s="596"/>
      <c r="AJ42" s="396">
        <f t="shared" si="11"/>
        <v>-5</v>
      </c>
      <c r="AK42" s="397"/>
      <c r="AL42" s="335">
        <f t="shared" ca="1" si="12"/>
        <v>-5.0023460716333874</v>
      </c>
      <c r="AM42" s="336"/>
      <c r="AN42" s="333">
        <f t="shared" ca="1" si="13"/>
        <v>-6</v>
      </c>
      <c r="AO42" s="334"/>
      <c r="AP42" s="329">
        <f t="shared" si="14"/>
        <v>100</v>
      </c>
      <c r="AQ42" s="330"/>
      <c r="AR42" s="414">
        <f t="shared" si="15"/>
        <v>75</v>
      </c>
      <c r="AS42" s="415"/>
      <c r="AT42" s="333">
        <f t="shared" si="2"/>
        <v>0</v>
      </c>
      <c r="AU42" s="334"/>
      <c r="AV42" s="412">
        <v>-3</v>
      </c>
      <c r="AW42" s="413"/>
      <c r="AX42" s="412">
        <f t="shared" si="7"/>
        <v>-3</v>
      </c>
      <c r="AY42" s="413"/>
      <c r="AZ42" s="273">
        <f>IF(U42="","",U42+AX42)</f>
        <v>97</v>
      </c>
      <c r="BA42" s="274"/>
      <c r="BB42" s="339">
        <f t="shared" si="3"/>
        <v>104</v>
      </c>
      <c r="BC42" s="340"/>
      <c r="BD42" s="367">
        <f t="shared" si="17"/>
        <v>97</v>
      </c>
      <c r="BE42" s="368"/>
      <c r="BF42" s="368">
        <f t="shared" si="18"/>
        <v>-3</v>
      </c>
      <c r="BG42" s="369"/>
      <c r="BH42" s="370" t="str">
        <f t="shared" si="19"/>
        <v/>
      </c>
      <c r="BI42" s="371"/>
      <c r="BJ42" s="564"/>
      <c r="BK42" s="565"/>
      <c r="BL42" s="568"/>
      <c r="BM42" s="570"/>
      <c r="CC42" s="138" t="s">
        <v>80</v>
      </c>
      <c r="CD42" s="337" t="str">
        <f t="shared" si="4"/>
        <v>外税8%</v>
      </c>
      <c r="CE42" s="337"/>
      <c r="CF42" s="338"/>
      <c r="CR42" s="103" t="s">
        <v>168</v>
      </c>
      <c r="CW42" s="103" t="s">
        <v>169</v>
      </c>
      <c r="CX42" s="102" t="s">
        <v>30</v>
      </c>
      <c r="CY42" s="103" t="s">
        <v>170</v>
      </c>
    </row>
    <row r="43" spans="1:103" ht="15" customHeight="1">
      <c r="A43" s="100">
        <f t="shared" si="5"/>
        <v>87</v>
      </c>
      <c r="B43" s="293" t="s">
        <v>171</v>
      </c>
      <c r="C43" s="293"/>
      <c r="D43" s="293"/>
      <c r="E43" s="293"/>
      <c r="F43" s="293" t="str" cm="1">
        <f t="array" ref="F43">TRIM(SUBSTITUTE(SUBSTITUTE(INDEX(CR:CR,MATCH("      item_no: "&amp;A43&amp;",",CR:CR,0)+9,1),"item_name: ",""),",",""))</f>
        <v>エナジーナバナナ１便</v>
      </c>
      <c r="G43" s="293"/>
      <c r="H43" s="293"/>
      <c r="I43" s="293"/>
      <c r="J43" s="293"/>
      <c r="K43" s="293"/>
      <c r="L43" s="399" t="str" cm="1">
        <f t="array" ref="L43">TRIM(SUBSTITUTE(SUBSTITUTE(INDEX(CR:CR,MATCH("      item_no: "&amp;A43&amp;",",CR:CR,0)+3,1),"item_scan_code: ",""),",",""))</f>
        <v>4975612534068</v>
      </c>
      <c r="M43" s="399"/>
      <c r="N43" s="399"/>
      <c r="O43" s="399"/>
      <c r="P43" s="399"/>
      <c r="Q43" s="400" cm="1">
        <f t="array" ref="Q43">IF(AF43="true","",TRIM(SUBSTITUTE(SUBSTITUTE(INDEX(CR:CR,MATCH("      item_no: "&amp;A43&amp;",",CR:CR,0)+13,1),"item_price_fmt: ￥",""),",",""))+0)</f>
        <v>198</v>
      </c>
      <c r="R43" s="401"/>
      <c r="S43" s="327">
        <f t="shared" si="10"/>
        <v>0</v>
      </c>
      <c r="T43" s="328"/>
      <c r="U43" s="401" cm="1">
        <f t="array" ref="U43">IF(AF43="true","",TRIM(SUBSTITUTE(SUBSTITUTE(INDEX(CR:CR,MATCH("      item_no: "&amp;A43&amp;",",CR:CR,0)+14,1),"item_price_discount_fmt: ￥",""),",",""))+0)</f>
        <v>198</v>
      </c>
      <c r="V43" s="402"/>
      <c r="W43" s="279">
        <f ca="1">INT(SUMIF($Y$10:$AA43,"外税8%",$U$10:$V43)*1.08)+INT(SUMIF($Y$10:$AA43,"外税10%",$U$10:$V43)*1.1)+SUMIF($Y$10:$AA43,"内税10%",$U$10:$V43)+SUMIF($Y$10:$AA43,"非課税",$U$10:$V43)</f>
        <v>8836</v>
      </c>
      <c r="X43" s="280"/>
      <c r="Y43" s="281" t="str" cm="1">
        <f t="array" ref="Y43">TRIM(SUBSTITUTE(SUBSTITUTE(INDEX(CR:CR,MATCH("      item_no: "&amp;A43&amp;",",CR:CR,0)+15,1),"item_tax_fmt: ",""),",",""))</f>
        <v>外税8%</v>
      </c>
      <c r="Z43" s="282"/>
      <c r="AA43" s="282"/>
      <c r="AB43" s="283" t="str" cm="1">
        <f t="array" ref="AB43">TRIM(SUBSTITUTE(SUBSTITUTE(INDEX(CR:CR,MATCH("      item_no: "&amp;A43&amp;",",CR:CR,0)+18,1),"discount_prohibition:",""),",",""))</f>
        <v>0</v>
      </c>
      <c r="AC43" s="283"/>
      <c r="AD43" s="214" t="str">
        <f t="shared" si="6"/>
        <v>外税8%+0</v>
      </c>
      <c r="AE43" s="215"/>
      <c r="AF43" s="284" t="str" cm="1">
        <f t="array" ref="AF43">TRIM(SUBSTITUTE(SUBSTITUTE(INDEX(CR:CR,MATCH("      item_no: "&amp;A43&amp;",",CR:CR,0)+1,1),"item_cancel_line: ",""),",",""))</f>
        <v>false</v>
      </c>
      <c r="AG43" s="284"/>
      <c r="AH43" s="595"/>
      <c r="AI43" s="596"/>
      <c r="AJ43" s="285">
        <f t="shared" si="11"/>
        <v>-9.9</v>
      </c>
      <c r="AK43" s="286"/>
      <c r="AL43" s="335">
        <f t="shared" ca="1" si="12"/>
        <v>-9.904645221834107</v>
      </c>
      <c r="AM43" s="336"/>
      <c r="AN43" s="333">
        <f t="shared" ca="1" si="13"/>
        <v>-10</v>
      </c>
      <c r="AO43" s="334"/>
      <c r="AP43" s="329">
        <f t="shared" si="14"/>
        <v>198</v>
      </c>
      <c r="AQ43" s="330"/>
      <c r="AR43" s="331">
        <f t="shared" si="15"/>
        <v>61</v>
      </c>
      <c r="AS43" s="332"/>
      <c r="AT43" s="333">
        <f t="shared" ca="1" si="2"/>
        <v>-10</v>
      </c>
      <c r="AU43" s="334"/>
      <c r="AV43" s="271"/>
      <c r="AW43" s="272"/>
      <c r="AX43" s="271">
        <f t="shared" ca="1" si="7"/>
        <v>-10</v>
      </c>
      <c r="AY43" s="272"/>
      <c r="AZ43" s="273">
        <f t="shared" ref="AZ43:AZ106" ca="1" si="20">IF(U43="","",U43+AX43)</f>
        <v>188</v>
      </c>
      <c r="BA43" s="274"/>
      <c r="BB43" s="339">
        <f t="shared" ca="1" si="3"/>
        <v>203</v>
      </c>
      <c r="BC43" s="340"/>
      <c r="BD43" s="347">
        <f t="shared" si="17"/>
        <v>188</v>
      </c>
      <c r="BE43" s="339"/>
      <c r="BF43" s="339">
        <f t="shared" si="18"/>
        <v>-10</v>
      </c>
      <c r="BG43" s="340"/>
      <c r="BH43" s="341" t="str">
        <f t="shared" ca="1" si="19"/>
        <v/>
      </c>
      <c r="BI43" s="342"/>
      <c r="BJ43" s="564"/>
      <c r="BK43" s="565"/>
      <c r="BL43" s="568"/>
      <c r="BM43" s="570"/>
      <c r="CC43" s="138" t="s">
        <v>80</v>
      </c>
      <c r="CD43" s="337" t="str">
        <f t="shared" si="4"/>
        <v>外税8%</v>
      </c>
      <c r="CE43" s="337"/>
      <c r="CF43" s="338"/>
      <c r="CR43" s="103" t="s">
        <v>172</v>
      </c>
      <c r="CW43" s="103" t="s">
        <v>173</v>
      </c>
      <c r="CX43" s="102" t="s">
        <v>30</v>
      </c>
      <c r="CY43" s="103" t="s">
        <v>174</v>
      </c>
    </row>
    <row r="44" spans="1:103" ht="15" customHeight="1">
      <c r="A44" s="100">
        <f t="shared" si="5"/>
        <v>86</v>
      </c>
      <c r="B44" s="293" t="s">
        <v>171</v>
      </c>
      <c r="C44" s="293"/>
      <c r="D44" s="293"/>
      <c r="E44" s="293"/>
      <c r="F44" s="293" t="str" cm="1">
        <f t="array" ref="F44">TRIM(SUBSTITUTE(SUBSTITUTE(INDEX(CR:CR,MATCH("      item_no: "&amp;A44&amp;",",CR:CR,0)+9,1),"item_name: ",""),",",""))</f>
        <v>幸水梨（インストア）</v>
      </c>
      <c r="G44" s="293"/>
      <c r="H44" s="293"/>
      <c r="I44" s="293"/>
      <c r="J44" s="293"/>
      <c r="K44" s="293"/>
      <c r="L44" s="399" t="str" cm="1">
        <f t="array" ref="L44">TRIM(SUBSTITUTE(SUBSTITUTE(INDEX(CR:CR,MATCH("      item_no: "&amp;A44&amp;",",CR:CR,0)+3,1),"item_scan_code: ",""),",",""))</f>
        <v>04570561</v>
      </c>
      <c r="M44" s="399"/>
      <c r="N44" s="399"/>
      <c r="O44" s="399"/>
      <c r="P44" s="399"/>
      <c r="Q44" s="400" cm="1">
        <f t="array" ref="Q44">IF(AF44="true","",TRIM(SUBSTITUTE(SUBSTITUTE(INDEX(CR:CR,MATCH("      item_no: "&amp;A44&amp;",",CR:CR,0)+13,1),"item_price_fmt: ￥",""),",",""))+0)</f>
        <v>599</v>
      </c>
      <c r="R44" s="401"/>
      <c r="S44" s="327">
        <f t="shared" si="10"/>
        <v>0</v>
      </c>
      <c r="T44" s="328"/>
      <c r="U44" s="401" cm="1">
        <f t="array" ref="U44">IF(AF44="true","",TRIM(SUBSTITUTE(SUBSTITUTE(INDEX(CR:CR,MATCH("      item_no: "&amp;A44&amp;",",CR:CR,0)+14,1),"item_price_discount_fmt: ￥",""),",",""))+0)</f>
        <v>599</v>
      </c>
      <c r="V44" s="402"/>
      <c r="W44" s="279">
        <f ca="1">INT(SUMIF($Y$10:$AA44,"外税8%",$U$10:$V44)*1.08)+INT(SUMIF($Y$10:$AA44,"外税10%",$U$10:$V44)*1.1)+SUMIF($Y$10:$AA44,"内税10%",$U$10:$V44)+SUMIF($Y$10:$AA44,"非課税",$U$10:$V44)</f>
        <v>9483</v>
      </c>
      <c r="X44" s="280"/>
      <c r="Y44" s="281" t="str" cm="1">
        <f t="array" ref="Y44">TRIM(SUBSTITUTE(SUBSTITUTE(INDEX(CR:CR,MATCH("      item_no: "&amp;A44&amp;",",CR:CR,0)+15,1),"item_tax_fmt: ",""),",",""))</f>
        <v>外税8%</v>
      </c>
      <c r="Z44" s="282"/>
      <c r="AA44" s="282"/>
      <c r="AB44" s="283" t="str" cm="1">
        <f t="array" ref="AB44">TRIM(SUBSTITUTE(SUBSTITUTE(INDEX(CR:CR,MATCH("      item_no: "&amp;A44&amp;",",CR:CR,0)+18,1),"discount_prohibition:",""),",",""))</f>
        <v>0</v>
      </c>
      <c r="AC44" s="283"/>
      <c r="AD44" s="214" t="str">
        <f t="shared" si="6"/>
        <v>外税8%+0</v>
      </c>
      <c r="AE44" s="215"/>
      <c r="AF44" s="284" t="str" cm="1">
        <f t="array" ref="AF44">TRIM(SUBSTITUTE(SUBSTITUTE(INDEX(CR:CR,MATCH("      item_no: "&amp;A44&amp;",",CR:CR,0)+1,1),"item_cancel_line: ",""),",",""))</f>
        <v>false</v>
      </c>
      <c r="AG44" s="284"/>
      <c r="AH44" s="595"/>
      <c r="AI44" s="596"/>
      <c r="AJ44" s="285">
        <f t="shared" si="11"/>
        <v>-29.950000000000003</v>
      </c>
      <c r="AK44" s="286"/>
      <c r="AL44" s="335">
        <f t="shared" ca="1" si="12"/>
        <v>-29.964052969083991</v>
      </c>
      <c r="AM44" s="336"/>
      <c r="AN44" s="333">
        <f t="shared" ca="1" si="13"/>
        <v>-30</v>
      </c>
      <c r="AO44" s="334"/>
      <c r="AP44" s="329">
        <f t="shared" si="14"/>
        <v>599</v>
      </c>
      <c r="AQ44" s="330"/>
      <c r="AR44" s="331">
        <f t="shared" si="15"/>
        <v>10</v>
      </c>
      <c r="AS44" s="332"/>
      <c r="AT44" s="333">
        <f t="shared" ca="1" si="2"/>
        <v>-30</v>
      </c>
      <c r="AU44" s="334"/>
      <c r="AV44" s="271"/>
      <c r="AW44" s="272"/>
      <c r="AX44" s="271">
        <f t="shared" ca="1" si="7"/>
        <v>-30</v>
      </c>
      <c r="AY44" s="272"/>
      <c r="AZ44" s="273">
        <f t="shared" ca="1" si="20"/>
        <v>569</v>
      </c>
      <c r="BA44" s="274"/>
      <c r="BB44" s="339">
        <f t="shared" ca="1" si="3"/>
        <v>614</v>
      </c>
      <c r="BC44" s="340"/>
      <c r="BD44" s="347">
        <f t="shared" si="17"/>
        <v>569</v>
      </c>
      <c r="BE44" s="339"/>
      <c r="BF44" s="339">
        <f t="shared" si="18"/>
        <v>-30</v>
      </c>
      <c r="BG44" s="340"/>
      <c r="BH44" s="341" t="str">
        <f t="shared" ca="1" si="19"/>
        <v/>
      </c>
      <c r="BI44" s="342"/>
      <c r="BJ44" s="564"/>
      <c r="BK44" s="565"/>
      <c r="BL44" s="568"/>
      <c r="BM44" s="570"/>
      <c r="CC44" s="138" t="s">
        <v>80</v>
      </c>
      <c r="CD44" s="337" t="str">
        <f t="shared" si="4"/>
        <v>外税8%</v>
      </c>
      <c r="CE44" s="337"/>
      <c r="CF44" s="338"/>
      <c r="CR44" s="103" t="s">
        <v>175</v>
      </c>
      <c r="CW44" s="103" t="s">
        <v>176</v>
      </c>
      <c r="CX44" s="102" t="s">
        <v>30</v>
      </c>
      <c r="CY44" s="103" t="s">
        <v>177</v>
      </c>
    </row>
    <row r="45" spans="1:103" ht="15" customHeight="1">
      <c r="A45" s="100">
        <f t="shared" si="5"/>
        <v>85</v>
      </c>
      <c r="B45" s="293" t="s">
        <v>171</v>
      </c>
      <c r="C45" s="293"/>
      <c r="D45" s="293"/>
      <c r="E45" s="293"/>
      <c r="F45" s="293" t="str" cm="1">
        <f t="array" ref="F45">TRIM(SUBSTITUTE(SUBSTITUTE(INDEX(CR:CR,MATCH("      item_no: "&amp;A45&amp;",",CR:CR,0)+9,1),"item_name: ",""),",",""))</f>
        <v>シャインマスカット</v>
      </c>
      <c r="G45" s="293"/>
      <c r="H45" s="293"/>
      <c r="I45" s="293"/>
      <c r="J45" s="293"/>
      <c r="K45" s="293"/>
      <c r="L45" s="399" t="str" cm="1">
        <f t="array" ref="L45">TRIM(SUBSTITUTE(SUBSTITUTE(INDEX(CR:CR,MATCH("      item_no: "&amp;A45&amp;",",CR:CR,0)+3,1),"item_scan_code: ",""),",",""))</f>
        <v>285005001003</v>
      </c>
      <c r="M45" s="399"/>
      <c r="N45" s="399"/>
      <c r="O45" s="399"/>
      <c r="P45" s="399"/>
      <c r="Q45" s="400" cm="1">
        <f t="array" ref="Q45">IF(AF45="true","",TRIM(SUBSTITUTE(SUBSTITUTE(INDEX(CR:CR,MATCH("      item_no: "&amp;A45&amp;",",CR:CR,0)+13,1),"item_price_fmt: ￥",""),",",""))+0)</f>
        <v>100</v>
      </c>
      <c r="R45" s="401"/>
      <c r="S45" s="327">
        <f t="shared" si="10"/>
        <v>0</v>
      </c>
      <c r="T45" s="328"/>
      <c r="U45" s="401" cm="1">
        <f t="array" ref="U45">IF(AF45="true","",TRIM(SUBSTITUTE(SUBSTITUTE(INDEX(CR:CR,MATCH("      item_no: "&amp;A45&amp;",",CR:CR,0)+14,1),"item_price_discount_fmt: ￥",""),",",""))+0)</f>
        <v>100</v>
      </c>
      <c r="V45" s="402"/>
      <c r="W45" s="279">
        <f ca="1">INT(SUMIF($Y$10:$AA45,"外税8%",$U$10:$V45)*1.08)+INT(SUMIF($Y$10:$AA45,"外税10%",$U$10:$V45)*1.1)+SUMIF($Y$10:$AA45,"内税10%",$U$10:$V45)+SUMIF($Y$10:$AA45,"非課税",$U$10:$V45)</f>
        <v>9591</v>
      </c>
      <c r="X45" s="280"/>
      <c r="Y45" s="281" t="str" cm="1">
        <f t="array" ref="Y45">TRIM(SUBSTITUTE(SUBSTITUTE(INDEX(CR:CR,MATCH("      item_no: "&amp;A45&amp;",",CR:CR,0)+15,1),"item_tax_fmt: ",""),",",""))</f>
        <v>外税8%</v>
      </c>
      <c r="Z45" s="282"/>
      <c r="AA45" s="282"/>
      <c r="AB45" s="283" t="str" cm="1">
        <f t="array" ref="AB45">TRIM(SUBSTITUTE(SUBSTITUTE(INDEX(CR:CR,MATCH("      item_no: "&amp;A45&amp;",",CR:CR,0)+18,1),"discount_prohibition:",""),",",""))</f>
        <v>0</v>
      </c>
      <c r="AC45" s="283"/>
      <c r="AD45" s="214" t="str">
        <f t="shared" si="6"/>
        <v>外税8%+0</v>
      </c>
      <c r="AE45" s="215"/>
      <c r="AF45" s="284" t="str" cm="1">
        <f t="array" ref="AF45">TRIM(SUBSTITUTE(SUBSTITUTE(INDEX(CR:CR,MATCH("      item_no: "&amp;A45&amp;",",CR:CR,0)+1,1),"item_cancel_line: ",""),",",""))</f>
        <v>false</v>
      </c>
      <c r="AG45" s="284"/>
      <c r="AH45" s="595"/>
      <c r="AI45" s="596"/>
      <c r="AJ45" s="396">
        <f t="shared" si="11"/>
        <v>-5</v>
      </c>
      <c r="AK45" s="397"/>
      <c r="AL45" s="335">
        <f t="shared" ca="1" si="12"/>
        <v>-5.0023460716333874</v>
      </c>
      <c r="AM45" s="336"/>
      <c r="AN45" s="333">
        <f t="shared" ca="1" si="13"/>
        <v>-6</v>
      </c>
      <c r="AO45" s="334"/>
      <c r="AP45" s="329">
        <f t="shared" si="14"/>
        <v>100</v>
      </c>
      <c r="AQ45" s="330"/>
      <c r="AR45" s="414">
        <f t="shared" si="15"/>
        <v>75</v>
      </c>
      <c r="AS45" s="415"/>
      <c r="AT45" s="333">
        <f t="shared" si="2"/>
        <v>0</v>
      </c>
      <c r="AU45" s="334"/>
      <c r="AV45" s="412"/>
      <c r="AW45" s="413"/>
      <c r="AX45" s="412">
        <f t="shared" si="7"/>
        <v>0</v>
      </c>
      <c r="AY45" s="413"/>
      <c r="AZ45" s="273">
        <f t="shared" si="20"/>
        <v>100</v>
      </c>
      <c r="BA45" s="274"/>
      <c r="BB45" s="339">
        <f t="shared" si="3"/>
        <v>108</v>
      </c>
      <c r="BC45" s="340"/>
      <c r="BD45" s="367">
        <f t="shared" si="17"/>
        <v>100</v>
      </c>
      <c r="BE45" s="368"/>
      <c r="BF45" s="368">
        <f t="shared" si="18"/>
        <v>0</v>
      </c>
      <c r="BG45" s="369"/>
      <c r="BH45" s="370" t="str">
        <f t="shared" si="19"/>
        <v/>
      </c>
      <c r="BI45" s="371"/>
      <c r="BJ45" s="564"/>
      <c r="BK45" s="565"/>
      <c r="BL45" s="568"/>
      <c r="BM45" s="570"/>
      <c r="CC45" s="138" t="s">
        <v>80</v>
      </c>
      <c r="CD45" s="337" t="str">
        <f t="shared" si="4"/>
        <v>外税8%</v>
      </c>
      <c r="CE45" s="337"/>
      <c r="CF45" s="338"/>
      <c r="CR45" s="103" t="s">
        <v>178</v>
      </c>
      <c r="CW45" s="103" t="s">
        <v>179</v>
      </c>
      <c r="CX45" s="102" t="s">
        <v>30</v>
      </c>
      <c r="CY45" s="103" t="s">
        <v>180</v>
      </c>
    </row>
    <row r="46" spans="1:103" ht="15" customHeight="1">
      <c r="A46" s="100">
        <f t="shared" si="5"/>
        <v>84</v>
      </c>
      <c r="B46" s="293" t="s">
        <v>181</v>
      </c>
      <c r="C46" s="293"/>
      <c r="D46" s="293"/>
      <c r="E46" s="293"/>
      <c r="F46" s="293" t="str" cm="1">
        <f t="array" ref="F46">TRIM(SUBSTITUTE(SUBSTITUTE(INDEX(CR:CR,MATCH("      item_no: "&amp;A46&amp;",",CR:CR,0)+9,1),"item_name: ",""),",",""))</f>
        <v>ＰＫ鹿児島県産山田のうなぎ長焼　１尾</v>
      </c>
      <c r="G46" s="293"/>
      <c r="H46" s="293"/>
      <c r="I46" s="293"/>
      <c r="J46" s="293"/>
      <c r="K46" s="293"/>
      <c r="L46" s="399" t="str" cm="1">
        <f t="array" ref="L46">TRIM(SUBSTITUTE(SUBSTITUTE(INDEX(CR:CR,MATCH("      item_no: "&amp;A46&amp;",",CR:CR,0)+3,1),"item_scan_code: ",""),",",""))</f>
        <v>4963646020169</v>
      </c>
      <c r="M46" s="399"/>
      <c r="N46" s="399"/>
      <c r="O46" s="399"/>
      <c r="P46" s="399"/>
      <c r="Q46" s="400" cm="1">
        <f t="array" ref="Q46">IF(AF46="true","",TRIM(SUBSTITUTE(SUBSTITUTE(INDEX(CR:CR,MATCH("      item_no: "&amp;A46&amp;",",CR:CR,0)+13,1),"item_price_fmt: ￥",""),",",""))+0)</f>
        <v>2390</v>
      </c>
      <c r="R46" s="401"/>
      <c r="S46" s="327">
        <f t="shared" si="10"/>
        <v>0</v>
      </c>
      <c r="T46" s="328"/>
      <c r="U46" s="401" cm="1">
        <f t="array" ref="U46">IF(AF46="true","",TRIM(SUBSTITUTE(SUBSTITUTE(INDEX(CR:CR,MATCH("      item_no: "&amp;A46&amp;",",CR:CR,0)+14,1),"item_price_discount_fmt: ￥",""),",",""))+0)</f>
        <v>2390</v>
      </c>
      <c r="V46" s="402"/>
      <c r="W46" s="279">
        <f ca="1">INT(SUMIF($Y$10:$AA46,"外税8%",$U$10:$V46)*1.08)+INT(SUMIF($Y$10:$AA46,"外税10%",$U$10:$V46)*1.1)+SUMIF($Y$10:$AA46,"内税10%",$U$10:$V46)+SUMIF($Y$10:$AA46,"非課税",$U$10:$V46)</f>
        <v>12172</v>
      </c>
      <c r="X46" s="280"/>
      <c r="Y46" s="281" t="str" cm="1">
        <f t="array" ref="Y46">TRIM(SUBSTITUTE(SUBSTITUTE(INDEX(CR:CR,MATCH("      item_no: "&amp;A46&amp;",",CR:CR,0)+15,1),"item_tax_fmt: ",""),",",""))</f>
        <v>外税8%</v>
      </c>
      <c r="Z46" s="282"/>
      <c r="AA46" s="282"/>
      <c r="AB46" s="283" t="str" cm="1">
        <f t="array" ref="AB46">TRIM(SUBSTITUTE(SUBSTITUTE(INDEX(CR:CR,MATCH("      item_no: "&amp;A46&amp;",",CR:CR,0)+18,1),"discount_prohibition:",""),",",""))</f>
        <v>0</v>
      </c>
      <c r="AC46" s="283"/>
      <c r="AD46" s="214" t="str">
        <f t="shared" si="6"/>
        <v>外税8%+0</v>
      </c>
      <c r="AE46" s="215"/>
      <c r="AF46" s="284" t="str" cm="1">
        <f t="array" ref="AF46">TRIM(SUBSTITUTE(SUBSTITUTE(INDEX(CR:CR,MATCH("      item_no: "&amp;A46&amp;",",CR:CR,0)+1,1),"item_cancel_line: ",""),",",""))</f>
        <v>false</v>
      </c>
      <c r="AG46" s="284"/>
      <c r="AH46" s="595"/>
      <c r="AI46" s="596"/>
      <c r="AJ46" s="285">
        <f t="shared" si="11"/>
        <v>-119.5</v>
      </c>
      <c r="AK46" s="286"/>
      <c r="AL46" s="335">
        <f t="shared" ca="1" si="12"/>
        <v>-119.55607111203796</v>
      </c>
      <c r="AM46" s="336"/>
      <c r="AN46" s="333">
        <f t="shared" ca="1" si="13"/>
        <v>-120</v>
      </c>
      <c r="AO46" s="334"/>
      <c r="AP46" s="329">
        <f t="shared" si="14"/>
        <v>2390</v>
      </c>
      <c r="AQ46" s="330"/>
      <c r="AR46" s="331">
        <f t="shared" si="15"/>
        <v>2</v>
      </c>
      <c r="AS46" s="332"/>
      <c r="AT46" s="333">
        <f t="shared" ca="1" si="2"/>
        <v>-120</v>
      </c>
      <c r="AU46" s="334"/>
      <c r="AV46" s="271"/>
      <c r="AW46" s="272"/>
      <c r="AX46" s="271">
        <f t="shared" ca="1" si="7"/>
        <v>-120</v>
      </c>
      <c r="AY46" s="272"/>
      <c r="AZ46" s="273">
        <f t="shared" ca="1" si="20"/>
        <v>2270</v>
      </c>
      <c r="BA46" s="274"/>
      <c r="BB46" s="339">
        <f t="shared" ca="1" si="3"/>
        <v>2451</v>
      </c>
      <c r="BC46" s="340"/>
      <c r="BD46" s="347">
        <f t="shared" si="17"/>
        <v>2270</v>
      </c>
      <c r="BE46" s="339"/>
      <c r="BF46" s="339">
        <f t="shared" si="18"/>
        <v>-120</v>
      </c>
      <c r="BG46" s="340"/>
      <c r="BH46" s="341" t="str">
        <f t="shared" ca="1" si="19"/>
        <v/>
      </c>
      <c r="BI46" s="342"/>
      <c r="BJ46" s="564"/>
      <c r="BK46" s="565"/>
      <c r="BL46" s="568"/>
      <c r="BM46" s="570"/>
      <c r="CC46" s="138" t="s">
        <v>80</v>
      </c>
      <c r="CD46" s="337" t="str">
        <f t="shared" si="4"/>
        <v>外税8%</v>
      </c>
      <c r="CE46" s="337"/>
      <c r="CF46" s="338"/>
      <c r="CR46" s="103" t="s">
        <v>182</v>
      </c>
      <c r="CW46" s="103" t="s">
        <v>183</v>
      </c>
      <c r="CX46" s="102" t="s">
        <v>30</v>
      </c>
      <c r="CY46" s="103" t="s">
        <v>184</v>
      </c>
    </row>
    <row r="47" spans="1:103" ht="15" customHeight="1">
      <c r="A47" s="100">
        <f t="shared" si="5"/>
        <v>83</v>
      </c>
      <c r="B47" s="293" t="s">
        <v>181</v>
      </c>
      <c r="C47" s="293"/>
      <c r="D47" s="293"/>
      <c r="E47" s="293"/>
      <c r="F47" s="293" t="str" cm="1">
        <f t="array" ref="F47">TRIM(SUBSTITUTE(SUBSTITUTE(INDEX(CR:CR,MATCH("      item_no: "&amp;A47&amp;",",CR:CR,0)+9,1),"item_name: ",""),",",""))</f>
        <v>まぐろたっぷり盛合わせ品番３１１８</v>
      </c>
      <c r="G47" s="293"/>
      <c r="H47" s="293"/>
      <c r="I47" s="293"/>
      <c r="J47" s="293"/>
      <c r="K47" s="293"/>
      <c r="L47" s="399" t="str" cm="1">
        <f t="array" ref="L47">TRIM(SUBSTITUTE(SUBSTITUTE(INDEX(CR:CR,MATCH("      item_no: "&amp;A47&amp;",",CR:CR,0)+3,1),"item_scan_code: ",""),",",""))</f>
        <v>281021705802</v>
      </c>
      <c r="M47" s="399"/>
      <c r="N47" s="399"/>
      <c r="O47" s="399"/>
      <c r="P47" s="399"/>
      <c r="Q47" s="400" cm="1">
        <f t="array" ref="Q47">IF(AF47="true","",TRIM(SUBSTITUTE(SUBSTITUTE(INDEX(CR:CR,MATCH("      item_no: "&amp;A47&amp;",",CR:CR,0)+13,1),"item_price_fmt: ￥",""),",",""))+0)</f>
        <v>580</v>
      </c>
      <c r="R47" s="401"/>
      <c r="S47" s="327">
        <f t="shared" si="10"/>
        <v>-290</v>
      </c>
      <c r="T47" s="328"/>
      <c r="U47" s="401" cm="1">
        <f t="array" ref="U47">IF(AF47="true","",TRIM(SUBSTITUTE(SUBSTITUTE(INDEX(CR:CR,MATCH("      item_no: "&amp;A47&amp;",",CR:CR,0)+14,1),"item_price_discount_fmt: ￥",""),",",""))+0)</f>
        <v>290</v>
      </c>
      <c r="V47" s="402"/>
      <c r="W47" s="279">
        <f ca="1">INT(SUMIF($Y$10:$AA47,"外税8%",$U$10:$V47)*1.08)+INT(SUMIF($Y$10:$AA47,"外税10%",$U$10:$V47)*1.1)+SUMIF($Y$10:$AA47,"内税10%",$U$10:$V47)+SUMIF($Y$10:$AA47,"非課税",$U$10:$V47)</f>
        <v>12485</v>
      </c>
      <c r="X47" s="280"/>
      <c r="Y47" s="281" t="str" cm="1">
        <f t="array" ref="Y47">TRIM(SUBSTITUTE(SUBSTITUTE(INDEX(CR:CR,MATCH("      item_no: "&amp;A47&amp;",",CR:CR,0)+15,1),"item_tax_fmt: ",""),",",""))</f>
        <v>外税8%</v>
      </c>
      <c r="Z47" s="282"/>
      <c r="AA47" s="282"/>
      <c r="AB47" s="283" t="str" cm="1">
        <f t="array" ref="AB47">TRIM(SUBSTITUTE(SUBSTITUTE(INDEX(CR:CR,MATCH("      item_no: "&amp;A47&amp;",",CR:CR,0)+18,1),"discount_prohibition:",""),",",""))</f>
        <v>0</v>
      </c>
      <c r="AC47" s="283"/>
      <c r="AD47" s="214" t="str">
        <f t="shared" si="6"/>
        <v>外税8%+0</v>
      </c>
      <c r="AE47" s="215"/>
      <c r="AF47" s="284" t="str" cm="1">
        <f t="array" ref="AF47">TRIM(SUBSTITUTE(SUBSTITUTE(INDEX(CR:CR,MATCH("      item_no: "&amp;A47&amp;",",CR:CR,0)+1,1),"item_cancel_line: ",""),",",""))</f>
        <v>false</v>
      </c>
      <c r="AG47" s="284"/>
      <c r="AH47" s="595"/>
      <c r="AI47" s="596"/>
      <c r="AJ47" s="285">
        <f t="shared" si="11"/>
        <v>-14.5</v>
      </c>
      <c r="AK47" s="286"/>
      <c r="AL47" s="335">
        <f t="shared" ca="1" si="12"/>
        <v>-14.506803607736822</v>
      </c>
      <c r="AM47" s="336"/>
      <c r="AN47" s="333">
        <f t="shared" ca="1" si="13"/>
        <v>-15</v>
      </c>
      <c r="AO47" s="334"/>
      <c r="AP47" s="329">
        <f t="shared" si="14"/>
        <v>290</v>
      </c>
      <c r="AQ47" s="330"/>
      <c r="AR47" s="331">
        <f t="shared" si="15"/>
        <v>50</v>
      </c>
      <c r="AS47" s="332"/>
      <c r="AT47" s="333">
        <f t="shared" ca="1" si="2"/>
        <v>-15</v>
      </c>
      <c r="AU47" s="334"/>
      <c r="AV47" s="271"/>
      <c r="AW47" s="272"/>
      <c r="AX47" s="271">
        <f t="shared" ca="1" si="7"/>
        <v>-15</v>
      </c>
      <c r="AY47" s="272"/>
      <c r="AZ47" s="273">
        <f t="shared" ca="1" si="20"/>
        <v>275</v>
      </c>
      <c r="BA47" s="274"/>
      <c r="BB47" s="339">
        <f t="shared" ca="1" si="3"/>
        <v>297</v>
      </c>
      <c r="BC47" s="340"/>
      <c r="BD47" s="347">
        <f t="shared" si="17"/>
        <v>275</v>
      </c>
      <c r="BE47" s="339"/>
      <c r="BF47" s="339">
        <f t="shared" si="18"/>
        <v>-15</v>
      </c>
      <c r="BG47" s="340"/>
      <c r="BH47" s="341" t="str">
        <f t="shared" ca="1" si="19"/>
        <v/>
      </c>
      <c r="BI47" s="342"/>
      <c r="BJ47" s="564"/>
      <c r="BK47" s="565"/>
      <c r="BL47" s="568"/>
      <c r="BM47" s="570"/>
      <c r="CC47" s="138" t="s">
        <v>80</v>
      </c>
      <c r="CD47" s="337" t="str">
        <f t="shared" si="4"/>
        <v>外税8%</v>
      </c>
      <c r="CE47" s="337"/>
      <c r="CF47" s="338"/>
      <c r="CR47" s="103" t="s">
        <v>185</v>
      </c>
      <c r="CW47" s="103" t="s">
        <v>186</v>
      </c>
      <c r="CX47" s="102" t="s">
        <v>30</v>
      </c>
      <c r="CY47" s="103" t="s">
        <v>187</v>
      </c>
    </row>
    <row r="48" spans="1:103" ht="15" customHeight="1">
      <c r="A48" s="100">
        <f t="shared" si="5"/>
        <v>82</v>
      </c>
      <c r="B48" s="293" t="s">
        <v>188</v>
      </c>
      <c r="C48" s="293"/>
      <c r="D48" s="293"/>
      <c r="E48" s="293"/>
      <c r="F48" s="293" t="str" cm="1">
        <f t="array" ref="F48">TRIM(SUBSTITUTE(SUBSTITUTE(INDEX(CR:CR,MATCH("      item_no: "&amp;A48&amp;",",CR:CR,0)+9,1),"item_name: ",""),",",""))</f>
        <v>ＣＳ食セレ　焼鮭ほぐし１００ｇ　２４入</v>
      </c>
      <c r="G48" s="293"/>
      <c r="H48" s="293"/>
      <c r="I48" s="293"/>
      <c r="J48" s="293"/>
      <c r="K48" s="293"/>
      <c r="L48" s="399" t="str" cm="1">
        <f t="array" ref="L48">TRIM(SUBSTITUTE(SUBSTITUTE(INDEX(CR:CR,MATCH("      item_no: "&amp;A48&amp;",",CR:CR,0)+3,1),"item_scan_code: ",""),",",""))</f>
        <v>4902150131718</v>
      </c>
      <c r="M48" s="399"/>
      <c r="N48" s="399"/>
      <c r="O48" s="399"/>
      <c r="P48" s="399"/>
      <c r="Q48" s="400" cm="1">
        <f t="array" ref="Q48">IF(AF48="true","",TRIM(SUBSTITUTE(SUBSTITUTE(INDEX(CR:CR,MATCH("      item_no: "&amp;A48&amp;",",CR:CR,0)+13,1),"item_price_fmt: ￥",""),",",""))+0)</f>
        <v>200</v>
      </c>
      <c r="R48" s="401"/>
      <c r="S48" s="327">
        <f t="shared" si="10"/>
        <v>0</v>
      </c>
      <c r="T48" s="328"/>
      <c r="U48" s="401" cm="1">
        <f t="array" ref="U48">IF(AF48="true","",TRIM(SUBSTITUTE(SUBSTITUTE(INDEX(CR:CR,MATCH("      item_no: "&amp;A48&amp;",",CR:CR,0)+14,1),"item_price_discount_fmt: ￥",""),",",""))+0)</f>
        <v>200</v>
      </c>
      <c r="V48" s="402"/>
      <c r="W48" s="279">
        <f ca="1">INT(SUMIF($Y$10:$AA48,"外税8%",$U$10:$V48)*1.08)+INT(SUMIF($Y$10:$AA48,"外税10%",$U$10:$V48)*1.1)+SUMIF($Y$10:$AA48,"内税10%",$U$10:$V48)+SUMIF($Y$10:$AA48,"非課税",$U$10:$V48)</f>
        <v>12701</v>
      </c>
      <c r="X48" s="280"/>
      <c r="Y48" s="281" t="str" cm="1">
        <f t="array" ref="Y48">TRIM(SUBSTITUTE(SUBSTITUTE(INDEX(CR:CR,MATCH("      item_no: "&amp;A48&amp;",",CR:CR,0)+15,1),"item_tax_fmt: ",""),",",""))</f>
        <v>外税8%</v>
      </c>
      <c r="Z48" s="282"/>
      <c r="AA48" s="282"/>
      <c r="AB48" s="283" t="str" cm="1">
        <f t="array" ref="AB48">TRIM(SUBSTITUTE(SUBSTITUTE(INDEX(CR:CR,MATCH("      item_no: "&amp;A48&amp;",",CR:CR,0)+18,1),"discount_prohibition:",""),",",""))</f>
        <v>0</v>
      </c>
      <c r="AC48" s="283"/>
      <c r="AD48" s="214" t="str">
        <f t="shared" si="6"/>
        <v>外税8%+0</v>
      </c>
      <c r="AE48" s="215"/>
      <c r="AF48" s="284" t="str" cm="1">
        <f t="array" ref="AF48">TRIM(SUBSTITUTE(SUBSTITUTE(INDEX(CR:CR,MATCH("      item_no: "&amp;A48&amp;",",CR:CR,0)+1,1),"item_cancel_line: ",""),",",""))</f>
        <v>false</v>
      </c>
      <c r="AG48" s="284"/>
      <c r="AH48" s="595"/>
      <c r="AI48" s="596"/>
      <c r="AJ48" s="396">
        <f t="shared" si="11"/>
        <v>-10</v>
      </c>
      <c r="AK48" s="397"/>
      <c r="AL48" s="335">
        <f t="shared" ca="1" si="12"/>
        <v>-10.004692143266775</v>
      </c>
      <c r="AM48" s="336"/>
      <c r="AN48" s="333">
        <f t="shared" ca="1" si="13"/>
        <v>-11</v>
      </c>
      <c r="AO48" s="334"/>
      <c r="AP48" s="329">
        <f t="shared" si="14"/>
        <v>200</v>
      </c>
      <c r="AQ48" s="330"/>
      <c r="AR48" s="331">
        <f t="shared" si="15"/>
        <v>57</v>
      </c>
      <c r="AS48" s="332"/>
      <c r="AT48" s="333">
        <f t="shared" ca="1" si="2"/>
        <v>-11</v>
      </c>
      <c r="AU48" s="334"/>
      <c r="AV48" s="271"/>
      <c r="AW48" s="272"/>
      <c r="AX48" s="271">
        <f t="shared" ca="1" si="7"/>
        <v>-11</v>
      </c>
      <c r="AY48" s="272"/>
      <c r="AZ48" s="273">
        <f t="shared" ca="1" si="20"/>
        <v>189</v>
      </c>
      <c r="BA48" s="274"/>
      <c r="BB48" s="339">
        <f t="shared" ca="1" si="3"/>
        <v>204</v>
      </c>
      <c r="BC48" s="340"/>
      <c r="BD48" s="407">
        <f t="shared" si="17"/>
        <v>189</v>
      </c>
      <c r="BE48" s="408"/>
      <c r="BF48" s="408">
        <f t="shared" si="18"/>
        <v>-11</v>
      </c>
      <c r="BG48" s="409"/>
      <c r="BH48" s="410" t="str">
        <f t="shared" ca="1" si="19"/>
        <v/>
      </c>
      <c r="BI48" s="411"/>
      <c r="BJ48" s="564"/>
      <c r="BK48" s="565"/>
      <c r="BL48" s="568"/>
      <c r="BM48" s="570"/>
      <c r="CC48" s="138" t="s">
        <v>80</v>
      </c>
      <c r="CD48" s="337" t="str">
        <f t="shared" si="4"/>
        <v>外税8%</v>
      </c>
      <c r="CE48" s="337"/>
      <c r="CF48" s="338"/>
      <c r="CR48" s="103" t="s">
        <v>163</v>
      </c>
      <c r="CW48" s="103" t="s">
        <v>189</v>
      </c>
      <c r="CX48" s="102" t="s">
        <v>30</v>
      </c>
      <c r="CY48" s="103" t="s">
        <v>190</v>
      </c>
    </row>
    <row r="49" spans="1:103" ht="15" customHeight="1">
      <c r="A49" s="100">
        <f t="shared" si="5"/>
        <v>81</v>
      </c>
      <c r="B49" s="293" t="s">
        <v>188</v>
      </c>
      <c r="C49" s="293"/>
      <c r="D49" s="293"/>
      <c r="E49" s="293"/>
      <c r="F49" s="293" t="str" cm="1">
        <f t="array" ref="F49">TRIM(SUBSTITUTE(SUBSTITUTE(INDEX(CR:CR,MATCH("      item_no: "&amp;A49&amp;",",CR:CR,0)+9,1),"item_name: ",""),",",""))</f>
        <v>ＣＰ食セレ真あじ開き天日塩干２枚入</v>
      </c>
      <c r="G49" s="293"/>
      <c r="H49" s="293"/>
      <c r="I49" s="293"/>
      <c r="J49" s="293"/>
      <c r="K49" s="293"/>
      <c r="L49" s="399" t="str" cm="1">
        <f t="array" ref="L49">TRIM(SUBSTITUTE(SUBSTITUTE(INDEX(CR:CR,MATCH("      item_no: "&amp;A49&amp;",",CR:CR,0)+3,1),"item_scan_code: ",""),",",""))</f>
        <v>292187403297</v>
      </c>
      <c r="M49" s="399"/>
      <c r="N49" s="399"/>
      <c r="O49" s="399"/>
      <c r="P49" s="399"/>
      <c r="Q49" s="400" cm="1">
        <f t="array" ref="Q49">IF(AF49="true","",TRIM(SUBSTITUTE(SUBSTITUTE(INDEX(CR:CR,MATCH("      item_no: "&amp;A49&amp;",",CR:CR,0)+13,1),"item_price_fmt: ￥",""),",",""))+0)</f>
        <v>329</v>
      </c>
      <c r="R49" s="401"/>
      <c r="S49" s="327">
        <f t="shared" si="10"/>
        <v>0</v>
      </c>
      <c r="T49" s="328"/>
      <c r="U49" s="401" cm="1">
        <f t="array" ref="U49">IF(AF49="true","",TRIM(SUBSTITUTE(SUBSTITUTE(INDEX(CR:CR,MATCH("      item_no: "&amp;A49&amp;",",CR:CR,0)+14,1),"item_price_discount_fmt: ￥",""),",",""))+0)</f>
        <v>329</v>
      </c>
      <c r="V49" s="402"/>
      <c r="W49" s="279">
        <f ca="1">INT(SUMIF($Y$10:$AA49,"外税8%",$U$10:$V49)*1.08)+INT(SUMIF($Y$10:$AA49,"外税10%",$U$10:$V49)*1.1)+SUMIF($Y$10:$AA49,"内税10%",$U$10:$V49)+SUMIF($Y$10:$AA49,"非課税",$U$10:$V49)</f>
        <v>13057</v>
      </c>
      <c r="X49" s="280"/>
      <c r="Y49" s="281" t="str" cm="1">
        <f t="array" ref="Y49">TRIM(SUBSTITUTE(SUBSTITUTE(INDEX(CR:CR,MATCH("      item_no: "&amp;A49&amp;",",CR:CR,0)+15,1),"item_tax_fmt: ",""),",",""))</f>
        <v>外税8%</v>
      </c>
      <c r="Z49" s="282"/>
      <c r="AA49" s="282"/>
      <c r="AB49" s="283" t="str" cm="1">
        <f t="array" ref="AB49">TRIM(SUBSTITUTE(SUBSTITUTE(INDEX(CR:CR,MATCH("      item_no: "&amp;A49&amp;",",CR:CR,0)+18,1),"discount_prohibition:",""),",",""))</f>
        <v>0</v>
      </c>
      <c r="AC49" s="283"/>
      <c r="AD49" s="214" t="str">
        <f t="shared" si="6"/>
        <v>外税8%+0</v>
      </c>
      <c r="AE49" s="215"/>
      <c r="AF49" s="284" t="str" cm="1">
        <f t="array" ref="AF49">TRIM(SUBSTITUTE(SUBSTITUTE(INDEX(CR:CR,MATCH("      item_no: "&amp;A49&amp;",",CR:CR,0)+1,1),"item_cancel_line: ",""),",",""))</f>
        <v>false</v>
      </c>
      <c r="AG49" s="284"/>
      <c r="AH49" s="595"/>
      <c r="AI49" s="596"/>
      <c r="AJ49" s="285">
        <f t="shared" si="11"/>
        <v>-16.45</v>
      </c>
      <c r="AK49" s="286"/>
      <c r="AL49" s="335">
        <f t="shared" ca="1" si="12"/>
        <v>-16.457718575673844</v>
      </c>
      <c r="AM49" s="336"/>
      <c r="AN49" s="333">
        <f t="shared" ca="1" si="13"/>
        <v>-17</v>
      </c>
      <c r="AO49" s="334"/>
      <c r="AP49" s="329">
        <f t="shared" si="14"/>
        <v>329</v>
      </c>
      <c r="AQ49" s="330"/>
      <c r="AR49" s="331">
        <f t="shared" si="15"/>
        <v>47</v>
      </c>
      <c r="AS49" s="332"/>
      <c r="AT49" s="333">
        <f t="shared" ca="1" si="2"/>
        <v>-17</v>
      </c>
      <c r="AU49" s="334"/>
      <c r="AV49" s="271"/>
      <c r="AW49" s="272"/>
      <c r="AX49" s="271">
        <f t="shared" ca="1" si="7"/>
        <v>-17</v>
      </c>
      <c r="AY49" s="272"/>
      <c r="AZ49" s="273">
        <f t="shared" ca="1" si="20"/>
        <v>312</v>
      </c>
      <c r="BA49" s="274"/>
      <c r="BB49" s="339">
        <f t="shared" ca="1" si="3"/>
        <v>336</v>
      </c>
      <c r="BC49" s="340"/>
      <c r="BD49" s="347">
        <f t="shared" si="17"/>
        <v>312</v>
      </c>
      <c r="BE49" s="339"/>
      <c r="BF49" s="339">
        <f t="shared" si="18"/>
        <v>-17</v>
      </c>
      <c r="BG49" s="340"/>
      <c r="BH49" s="341" t="str">
        <f t="shared" ca="1" si="19"/>
        <v/>
      </c>
      <c r="BI49" s="342"/>
      <c r="BJ49" s="564"/>
      <c r="BK49" s="565"/>
      <c r="BL49" s="568"/>
      <c r="BM49" s="570"/>
      <c r="CC49" s="138" t="s">
        <v>80</v>
      </c>
      <c r="CD49" s="337" t="str">
        <f t="shared" si="4"/>
        <v>外税8%</v>
      </c>
      <c r="CE49" s="337"/>
      <c r="CF49" s="338"/>
      <c r="CR49" s="103" t="s">
        <v>135</v>
      </c>
      <c r="CW49" s="103" t="s">
        <v>191</v>
      </c>
      <c r="CX49" s="102" t="s">
        <v>30</v>
      </c>
      <c r="CY49" s="103" t="s">
        <v>192</v>
      </c>
    </row>
    <row r="50" spans="1:103" ht="15" customHeight="1">
      <c r="A50" s="100">
        <f t="shared" si="5"/>
        <v>80</v>
      </c>
      <c r="B50" s="293" t="s">
        <v>193</v>
      </c>
      <c r="C50" s="293"/>
      <c r="D50" s="293"/>
      <c r="E50" s="293"/>
      <c r="F50" s="293" t="str" cm="1">
        <f t="array" ref="F50">TRIM(SUBSTITUTE(SUBSTITUTE(INDEX(CR:CR,MATCH("      item_no: "&amp;A50&amp;",",CR:CR,0)+9,1),"item_name: ",""),",",""))</f>
        <v>日本ハム　シャウエッセン　２個束</v>
      </c>
      <c r="G50" s="293"/>
      <c r="H50" s="293"/>
      <c r="I50" s="293"/>
      <c r="J50" s="293"/>
      <c r="K50" s="293"/>
      <c r="L50" s="399" t="str" cm="1">
        <f t="array" ref="L50">TRIM(SUBSTITUTE(SUBSTITUTE(INDEX(CR:CR,MATCH("      item_no: "&amp;A50&amp;",",CR:CR,0)+3,1),"item_scan_code: ",""),",",""))</f>
        <v>4902115379551</v>
      </c>
      <c r="M50" s="399"/>
      <c r="N50" s="399"/>
      <c r="O50" s="399"/>
      <c r="P50" s="399"/>
      <c r="Q50" s="400" cm="1">
        <f t="array" ref="Q50">IF(AF50="true","",TRIM(SUBSTITUTE(SUBSTITUTE(INDEX(CR:CR,MATCH("      item_no: "&amp;A50&amp;",",CR:CR,0)+13,1),"item_price_fmt: ￥",""),",",""))+0)</f>
        <v>399</v>
      </c>
      <c r="R50" s="401"/>
      <c r="S50" s="327">
        <f t="shared" si="10"/>
        <v>0</v>
      </c>
      <c r="T50" s="328"/>
      <c r="U50" s="401" cm="1">
        <f t="array" ref="U50">IF(AF50="true","",TRIM(SUBSTITUTE(SUBSTITUTE(INDEX(CR:CR,MATCH("      item_no: "&amp;A50&amp;",",CR:CR,0)+14,1),"item_price_discount_fmt: ￥",""),",",""))+0)</f>
        <v>399</v>
      </c>
      <c r="V50" s="402"/>
      <c r="W50" s="279">
        <f ca="1">INT(SUMIF($Y$10:$AA50,"外税8%",$U$10:$V50)*1.08)+INT(SUMIF($Y$10:$AA50,"外税10%",$U$10:$V50)*1.1)+SUMIF($Y$10:$AA50,"内税10%",$U$10:$V50)+SUMIF($Y$10:$AA50,"非課税",$U$10:$V50)</f>
        <v>13488</v>
      </c>
      <c r="X50" s="280"/>
      <c r="Y50" s="281" t="str" cm="1">
        <f t="array" ref="Y50">TRIM(SUBSTITUTE(SUBSTITUTE(INDEX(CR:CR,MATCH("      item_no: "&amp;A50&amp;",",CR:CR,0)+15,1),"item_tax_fmt: ",""),",",""))</f>
        <v>外税8%</v>
      </c>
      <c r="Z50" s="282"/>
      <c r="AA50" s="282"/>
      <c r="AB50" s="283" t="str" cm="1">
        <f t="array" ref="AB50">TRIM(SUBSTITUTE(SUBSTITUTE(INDEX(CR:CR,MATCH("      item_no: "&amp;A50&amp;",",CR:CR,0)+18,1),"discount_prohibition:",""),",",""))</f>
        <v>0</v>
      </c>
      <c r="AC50" s="283"/>
      <c r="AD50" s="214" t="str">
        <f t="shared" si="6"/>
        <v>外税8%+0</v>
      </c>
      <c r="AE50" s="215"/>
      <c r="AF50" s="284" t="str" cm="1">
        <f t="array" ref="AF50">TRIM(SUBSTITUTE(SUBSTITUTE(INDEX(CR:CR,MATCH("      item_no: "&amp;A50&amp;",",CR:CR,0)+1,1),"item_cancel_line: ",""),",",""))</f>
        <v>false</v>
      </c>
      <c r="AG50" s="284"/>
      <c r="AH50" s="595"/>
      <c r="AI50" s="596"/>
      <c r="AJ50" s="285">
        <f t="shared" si="11"/>
        <v>-19.950000000000003</v>
      </c>
      <c r="AK50" s="286"/>
      <c r="AL50" s="335">
        <f t="shared" ca="1" si="12"/>
        <v>-19.959360825817214</v>
      </c>
      <c r="AM50" s="336"/>
      <c r="AN50" s="333">
        <f t="shared" ca="1" si="13"/>
        <v>-20</v>
      </c>
      <c r="AO50" s="334"/>
      <c r="AP50" s="329">
        <f t="shared" si="14"/>
        <v>399</v>
      </c>
      <c r="AQ50" s="330"/>
      <c r="AR50" s="331">
        <f t="shared" si="15"/>
        <v>36</v>
      </c>
      <c r="AS50" s="332"/>
      <c r="AT50" s="333">
        <f t="shared" ca="1" si="2"/>
        <v>-20</v>
      </c>
      <c r="AU50" s="334"/>
      <c r="AV50" s="271"/>
      <c r="AW50" s="272"/>
      <c r="AX50" s="271">
        <f t="shared" ca="1" si="7"/>
        <v>-20</v>
      </c>
      <c r="AY50" s="272"/>
      <c r="AZ50" s="273">
        <f t="shared" ca="1" si="20"/>
        <v>379</v>
      </c>
      <c r="BA50" s="274"/>
      <c r="BB50" s="339">
        <f t="shared" ca="1" si="3"/>
        <v>409</v>
      </c>
      <c r="BC50" s="340"/>
      <c r="BD50" s="347">
        <f t="shared" si="17"/>
        <v>379</v>
      </c>
      <c r="BE50" s="339"/>
      <c r="BF50" s="339">
        <f t="shared" si="18"/>
        <v>-20</v>
      </c>
      <c r="BG50" s="340"/>
      <c r="BH50" s="341" t="str">
        <f t="shared" ca="1" si="19"/>
        <v/>
      </c>
      <c r="BI50" s="342"/>
      <c r="BJ50" s="564"/>
      <c r="BK50" s="565"/>
      <c r="BL50" s="568"/>
      <c r="BM50" s="570"/>
      <c r="CC50" s="138" t="s">
        <v>80</v>
      </c>
      <c r="CD50" s="337" t="str">
        <f t="shared" si="4"/>
        <v>外税8%</v>
      </c>
      <c r="CE50" s="337"/>
      <c r="CF50" s="338"/>
      <c r="CR50" s="103" t="s">
        <v>194</v>
      </c>
      <c r="CW50" s="103" t="s">
        <v>195</v>
      </c>
      <c r="CX50" s="102" t="s">
        <v>30</v>
      </c>
      <c r="CY50" s="103" t="s">
        <v>196</v>
      </c>
    </row>
    <row r="51" spans="1:103" ht="15" customHeight="1">
      <c r="A51" s="100">
        <f t="shared" si="5"/>
        <v>79</v>
      </c>
      <c r="B51" s="293" t="s">
        <v>193</v>
      </c>
      <c r="C51" s="293"/>
      <c r="D51" s="293"/>
      <c r="E51" s="293"/>
      <c r="F51" s="293" t="str" cm="1">
        <f t="array" ref="F51">TRIM(SUBSTITUTE(SUBSTITUTE(INDEX(CR:CR,MATCH("      item_no: "&amp;A51&amp;",",CR:CR,0)+9,1),"item_name: ",""),",",""))</f>
        <v>国産若鶏（もも）　２枚</v>
      </c>
      <c r="G51" s="293"/>
      <c r="H51" s="293"/>
      <c r="I51" s="293"/>
      <c r="J51" s="293"/>
      <c r="K51" s="293"/>
      <c r="L51" s="399" t="str" cm="1">
        <f t="array" ref="L51">TRIM(SUBSTITUTE(SUBSTITUTE(INDEX(CR:CR,MATCH("      item_no: "&amp;A51&amp;",",CR:CR,0)+3,1),"item_scan_code: ",""),",",""))</f>
        <v>211281405808</v>
      </c>
      <c r="M51" s="399"/>
      <c r="N51" s="399"/>
      <c r="O51" s="399"/>
      <c r="P51" s="399"/>
      <c r="Q51" s="400" cm="1">
        <f t="array" ref="Q51">IF(AF51="true","",TRIM(SUBSTITUTE(SUBSTITUTE(INDEX(CR:CR,MATCH("      item_no: "&amp;A51&amp;",",CR:CR,0)+13,1),"item_price_fmt: ￥",""),",",""))+0)</f>
        <v>290</v>
      </c>
      <c r="R51" s="401"/>
      <c r="S51" s="327">
        <f t="shared" si="10"/>
        <v>0</v>
      </c>
      <c r="T51" s="328"/>
      <c r="U51" s="401" cm="1">
        <f t="array" ref="U51">IF(AF51="true","",TRIM(SUBSTITUTE(SUBSTITUTE(INDEX(CR:CR,MATCH("      item_no: "&amp;A51&amp;",",CR:CR,0)+14,1),"item_price_discount_fmt: ￥",""),",",""))+0)</f>
        <v>290</v>
      </c>
      <c r="V51" s="402"/>
      <c r="W51" s="279">
        <f ca="1">INT(SUMIF($Y$10:$AA51,"外税8%",$U$10:$V51)*1.08)+INT(SUMIF($Y$10:$AA51,"外税10%",$U$10:$V51)*1.1)+SUMIF($Y$10:$AA51,"内税10%",$U$10:$V51)+SUMIF($Y$10:$AA51,"非課税",$U$10:$V51)</f>
        <v>13801</v>
      </c>
      <c r="X51" s="280"/>
      <c r="Y51" s="281" t="str" cm="1">
        <f t="array" ref="Y51">TRIM(SUBSTITUTE(SUBSTITUTE(INDEX(CR:CR,MATCH("      item_no: "&amp;A51&amp;",",CR:CR,0)+15,1),"item_tax_fmt: ",""),",",""))</f>
        <v>外税8%</v>
      </c>
      <c r="Z51" s="282"/>
      <c r="AA51" s="282"/>
      <c r="AB51" s="283" t="str" cm="1">
        <f t="array" ref="AB51">TRIM(SUBSTITUTE(SUBSTITUTE(INDEX(CR:CR,MATCH("      item_no: "&amp;A51&amp;",",CR:CR,0)+18,1),"discount_prohibition:",""),",",""))</f>
        <v>0</v>
      </c>
      <c r="AC51" s="283"/>
      <c r="AD51" s="214" t="str">
        <f t="shared" si="6"/>
        <v>外税8%+0</v>
      </c>
      <c r="AE51" s="215"/>
      <c r="AF51" s="284" t="str" cm="1">
        <f t="array" ref="AF51">TRIM(SUBSTITUTE(SUBSTITUTE(INDEX(CR:CR,MATCH("      item_no: "&amp;A51&amp;",",CR:CR,0)+1,1),"item_cancel_line: ",""),",",""))</f>
        <v>false</v>
      </c>
      <c r="AG51" s="284"/>
      <c r="AH51" s="595"/>
      <c r="AI51" s="596"/>
      <c r="AJ51" s="285">
        <f t="shared" si="11"/>
        <v>-14.5</v>
      </c>
      <c r="AK51" s="286"/>
      <c r="AL51" s="335">
        <f t="shared" ca="1" si="12"/>
        <v>-14.506803607736822</v>
      </c>
      <c r="AM51" s="336"/>
      <c r="AN51" s="333">
        <f t="shared" ca="1" si="13"/>
        <v>-15</v>
      </c>
      <c r="AO51" s="334"/>
      <c r="AP51" s="329">
        <f t="shared" si="14"/>
        <v>290</v>
      </c>
      <c r="AQ51" s="330"/>
      <c r="AR51" s="331">
        <f t="shared" si="15"/>
        <v>50</v>
      </c>
      <c r="AS51" s="332"/>
      <c r="AT51" s="333">
        <f t="shared" ca="1" si="2"/>
        <v>-15</v>
      </c>
      <c r="AU51" s="334"/>
      <c r="AV51" s="271"/>
      <c r="AW51" s="272"/>
      <c r="AX51" s="271">
        <f t="shared" ca="1" si="7"/>
        <v>-15</v>
      </c>
      <c r="AY51" s="272"/>
      <c r="AZ51" s="273">
        <f t="shared" ca="1" si="20"/>
        <v>275</v>
      </c>
      <c r="BA51" s="274"/>
      <c r="BB51" s="339">
        <f t="shared" ca="1" si="3"/>
        <v>297</v>
      </c>
      <c r="BC51" s="340"/>
      <c r="BD51" s="347">
        <f t="shared" si="17"/>
        <v>275</v>
      </c>
      <c r="BE51" s="339"/>
      <c r="BF51" s="339">
        <f t="shared" si="18"/>
        <v>-15</v>
      </c>
      <c r="BG51" s="340"/>
      <c r="BH51" s="341" t="str">
        <f t="shared" ca="1" si="19"/>
        <v/>
      </c>
      <c r="BI51" s="342"/>
      <c r="BJ51" s="564"/>
      <c r="BK51" s="565"/>
      <c r="BL51" s="568"/>
      <c r="BM51" s="570"/>
      <c r="CC51" s="138" t="s">
        <v>80</v>
      </c>
      <c r="CD51" s="337" t="str">
        <f t="shared" si="4"/>
        <v>外税8%</v>
      </c>
      <c r="CE51" s="337"/>
      <c r="CF51" s="338"/>
      <c r="CR51" s="103" t="s">
        <v>197</v>
      </c>
      <c r="CW51" s="103" t="s">
        <v>198</v>
      </c>
      <c r="CX51" s="102" t="s">
        <v>30</v>
      </c>
      <c r="CY51" s="103" t="s">
        <v>199</v>
      </c>
    </row>
    <row r="52" spans="1:103" ht="15" customHeight="1">
      <c r="A52" s="100">
        <f t="shared" si="5"/>
        <v>78</v>
      </c>
      <c r="B52" s="293" t="s">
        <v>200</v>
      </c>
      <c r="C52" s="293"/>
      <c r="D52" s="293"/>
      <c r="E52" s="293"/>
      <c r="F52" s="293" t="str" cm="1">
        <f t="array" ref="F52">TRIM(SUBSTITUTE(SUBSTITUTE(INDEX(CR:CR,MATCH("      item_no: "&amp;A52&amp;",",CR:CR,0)+9,1),"item_name: ",""),",",""))</f>
        <v>こだわりポテトサラダ（中）</v>
      </c>
      <c r="G52" s="293"/>
      <c r="H52" s="293"/>
      <c r="I52" s="293"/>
      <c r="J52" s="293"/>
      <c r="K52" s="293"/>
      <c r="L52" s="399" t="str" cm="1">
        <f t="array" ref="L52">TRIM(SUBSTITUTE(SUBSTITUTE(INDEX(CR:CR,MATCH("      item_no: "&amp;A52&amp;",",CR:CR,0)+3,1),"item_scan_code: ",""),",",""))</f>
        <v>4517888134469</v>
      </c>
      <c r="M52" s="399"/>
      <c r="N52" s="399"/>
      <c r="O52" s="399"/>
      <c r="P52" s="399"/>
      <c r="Q52" s="281" cm="1">
        <f t="array" ref="Q52">IF(AF52="true","",TRIM(SUBSTITUTE(SUBSTITUTE(INDEX(CR:CR,MATCH("      item_no: "&amp;A52&amp;",",CR:CR,0)+13,1),"item_price_fmt: ￥",""),",",""))+0)</f>
        <v>149</v>
      </c>
      <c r="R52" s="326"/>
      <c r="S52" s="327">
        <f t="shared" si="10"/>
        <v>0</v>
      </c>
      <c r="T52" s="328"/>
      <c r="U52" s="277" cm="1">
        <f t="array" ref="U52">IF(AF52="true","",TRIM(SUBSTITUTE(SUBSTITUTE(INDEX(CR:CR,MATCH("      item_no: "&amp;A52&amp;",",CR:CR,0)+14,1),"item_price_discount_fmt: ￥",""),",",""))+0)</f>
        <v>149</v>
      </c>
      <c r="V52" s="278"/>
      <c r="W52" s="279">
        <f ca="1">INT(SUMIF($Y$10:$AA52,"外税8%",$U$10:$V52)*1.08)+INT(SUMIF($Y$10:$AA52,"外税10%",$U$10:$V52)*1.1)+SUMIF($Y$10:$AA52,"内税10%",$U$10:$V52)+SUMIF($Y$10:$AA52,"非課税",$U$10:$V52)</f>
        <v>13962</v>
      </c>
      <c r="X52" s="280"/>
      <c r="Y52" s="281" t="str" cm="1">
        <f t="array" ref="Y52">TRIM(SUBSTITUTE(SUBSTITUTE(INDEX(CR:CR,MATCH("      item_no: "&amp;A52&amp;",",CR:CR,0)+15,1),"item_tax_fmt: ",""),",",""))</f>
        <v>外税8%</v>
      </c>
      <c r="Z52" s="282"/>
      <c r="AA52" s="282"/>
      <c r="AB52" s="283" t="str" cm="1">
        <f t="array" ref="AB52">TRIM(SUBSTITUTE(SUBSTITUTE(INDEX(CR:CR,MATCH("      item_no: "&amp;A52&amp;",",CR:CR,0)+18,1),"discount_prohibition:",""),",",""))</f>
        <v>0</v>
      </c>
      <c r="AC52" s="283"/>
      <c r="AD52" s="214" t="str">
        <f t="shared" si="6"/>
        <v>外税8%+0</v>
      </c>
      <c r="AE52" s="215"/>
      <c r="AF52" s="284" t="str" cm="1">
        <f t="array" ref="AF52">TRIM(SUBSTITUTE(SUBSTITUTE(INDEX(CR:CR,MATCH("      item_no: "&amp;A52&amp;",",CR:CR,0)+1,1),"item_cancel_line: ",""),",",""))</f>
        <v>false</v>
      </c>
      <c r="AG52" s="284"/>
      <c r="AH52" s="595"/>
      <c r="AI52" s="596"/>
      <c r="AJ52" s="285">
        <f t="shared" si="11"/>
        <v>-7.45</v>
      </c>
      <c r="AK52" s="286"/>
      <c r="AL52" s="335">
        <f t="shared" ca="1" si="12"/>
        <v>-7.4534956467337468</v>
      </c>
      <c r="AM52" s="336"/>
      <c r="AN52" s="333">
        <f t="shared" ca="1" si="13"/>
        <v>-8</v>
      </c>
      <c r="AO52" s="334"/>
      <c r="AP52" s="329">
        <f t="shared" si="14"/>
        <v>149</v>
      </c>
      <c r="AQ52" s="330"/>
      <c r="AR52" s="331">
        <f t="shared" si="15"/>
        <v>70</v>
      </c>
      <c r="AS52" s="332"/>
      <c r="AT52" s="333">
        <f t="shared" ca="1" si="2"/>
        <v>-8</v>
      </c>
      <c r="AU52" s="334"/>
      <c r="AV52" s="271"/>
      <c r="AW52" s="272"/>
      <c r="AX52" s="271">
        <f t="shared" ca="1" si="7"/>
        <v>-8</v>
      </c>
      <c r="AY52" s="272"/>
      <c r="AZ52" s="273">
        <f t="shared" ca="1" si="20"/>
        <v>141</v>
      </c>
      <c r="BA52" s="274"/>
      <c r="BB52" s="339">
        <f t="shared" ca="1" si="3"/>
        <v>152</v>
      </c>
      <c r="BC52" s="340"/>
      <c r="BD52" s="347">
        <f t="shared" si="17"/>
        <v>141</v>
      </c>
      <c r="BE52" s="339"/>
      <c r="BF52" s="339">
        <f t="shared" si="18"/>
        <v>-8</v>
      </c>
      <c r="BG52" s="340"/>
      <c r="BH52" s="341" t="str">
        <f t="shared" ca="1" si="19"/>
        <v/>
      </c>
      <c r="BI52" s="342"/>
      <c r="BJ52" s="564"/>
      <c r="BK52" s="565"/>
      <c r="BL52" s="568"/>
      <c r="BM52" s="570"/>
      <c r="CC52" s="138" t="s">
        <v>80</v>
      </c>
      <c r="CD52" s="337" t="str">
        <f t="shared" si="4"/>
        <v>外税8%</v>
      </c>
      <c r="CE52" s="337"/>
      <c r="CF52" s="338"/>
      <c r="CR52" s="103" t="s">
        <v>201</v>
      </c>
      <c r="CW52" s="103" t="s">
        <v>202</v>
      </c>
      <c r="CX52" s="102" t="s">
        <v>30</v>
      </c>
      <c r="CY52" s="103" t="s">
        <v>203</v>
      </c>
    </row>
    <row r="53" spans="1:103" ht="15" customHeight="1">
      <c r="A53" s="100">
        <f t="shared" si="5"/>
        <v>77</v>
      </c>
      <c r="B53" s="293" t="s">
        <v>200</v>
      </c>
      <c r="C53" s="293"/>
      <c r="D53" s="293"/>
      <c r="E53" s="293"/>
      <c r="F53" s="293" t="str" cm="1">
        <f t="array" ref="F53">TRIM(SUBSTITUTE(SUBSTITUTE(INDEX(CR:CR,MATCH("      item_no: "&amp;A53&amp;",",CR:CR,0)+9,1),"item_name: ",""),",",""))</f>
        <v>熟成三元豚の柔らかロースとんかつ１枚</v>
      </c>
      <c r="G53" s="293"/>
      <c r="H53" s="293"/>
      <c r="I53" s="293"/>
      <c r="J53" s="293"/>
      <c r="K53" s="293"/>
      <c r="L53" s="399" t="str" cm="1">
        <f t="array" ref="L53">TRIM(SUBSTITUTE(SUBSTITUTE(INDEX(CR:CR,MATCH("      item_no: "&amp;A53&amp;",",CR:CR,0)+3,1),"item_scan_code: ",""),",",""))</f>
        <v>248954603995</v>
      </c>
      <c r="M53" s="399"/>
      <c r="N53" s="399"/>
      <c r="O53" s="399"/>
      <c r="P53" s="399"/>
      <c r="Q53" s="281" cm="1">
        <f t="array" ref="Q53">IF(AF53="true","",TRIM(SUBSTITUTE(SUBSTITUTE(INDEX(CR:CR,MATCH("      item_no: "&amp;A53&amp;",",CR:CR,0)+13,1),"item_price_fmt: ￥",""),",",""))+0)</f>
        <v>349</v>
      </c>
      <c r="R53" s="326"/>
      <c r="S53" s="327">
        <f t="shared" si="10"/>
        <v>0</v>
      </c>
      <c r="T53" s="328"/>
      <c r="U53" s="277" cm="1">
        <f t="array" ref="U53">IF(AF53="true","",TRIM(SUBSTITUTE(SUBSTITUTE(INDEX(CR:CR,MATCH("      item_no: "&amp;A53&amp;",",CR:CR,0)+14,1),"item_price_discount_fmt: ￥",""),",",""))+0)</f>
        <v>349</v>
      </c>
      <c r="V53" s="278"/>
      <c r="W53" s="279">
        <f ca="1">INT(SUMIF($Y$10:$AA53,"外税8%",$U$10:$V53)*1.08)+INT(SUMIF($Y$10:$AA53,"外税10%",$U$10:$V53)*1.1)+SUMIF($Y$10:$AA53,"内税10%",$U$10:$V53)+SUMIF($Y$10:$AA53,"非課税",$U$10:$V53)</f>
        <v>14339</v>
      </c>
      <c r="X53" s="280"/>
      <c r="Y53" s="281" t="str" cm="1">
        <f t="array" ref="Y53">TRIM(SUBSTITUTE(SUBSTITUTE(INDEX(CR:CR,MATCH("      item_no: "&amp;A53&amp;",",CR:CR,0)+15,1),"item_tax_fmt: ",""),",",""))</f>
        <v>外税8%</v>
      </c>
      <c r="Z53" s="282"/>
      <c r="AA53" s="282"/>
      <c r="AB53" s="283" t="str" cm="1">
        <f t="array" ref="AB53">TRIM(SUBSTITUTE(SUBSTITUTE(INDEX(CR:CR,MATCH("      item_no: "&amp;A53&amp;",",CR:CR,0)+18,1),"discount_prohibition:",""),",",""))</f>
        <v>0</v>
      </c>
      <c r="AC53" s="283"/>
      <c r="AD53" s="214" t="str">
        <f t="shared" si="6"/>
        <v>外税8%+0</v>
      </c>
      <c r="AE53" s="215"/>
      <c r="AF53" s="284" t="str" cm="1">
        <f t="array" ref="AF53">TRIM(SUBSTITUTE(SUBSTITUTE(INDEX(CR:CR,MATCH("      item_no: "&amp;A53&amp;",",CR:CR,0)+1,1),"item_cancel_line: ",""),",",""))</f>
        <v>false</v>
      </c>
      <c r="AG53" s="284"/>
      <c r="AH53" s="595"/>
      <c r="AI53" s="596"/>
      <c r="AJ53" s="285">
        <f t="shared" si="11"/>
        <v>-17.45</v>
      </c>
      <c r="AK53" s="286"/>
      <c r="AL53" s="335">
        <f t="shared" ca="1" si="12"/>
        <v>-17.458187790000522</v>
      </c>
      <c r="AM53" s="336"/>
      <c r="AN53" s="333">
        <f t="shared" ca="1" si="13"/>
        <v>-18</v>
      </c>
      <c r="AO53" s="334"/>
      <c r="AP53" s="329">
        <f t="shared" si="14"/>
        <v>349</v>
      </c>
      <c r="AQ53" s="330"/>
      <c r="AR53" s="331">
        <f t="shared" si="15"/>
        <v>43</v>
      </c>
      <c r="AS53" s="332"/>
      <c r="AT53" s="333">
        <f t="shared" ca="1" si="2"/>
        <v>-18</v>
      </c>
      <c r="AU53" s="334"/>
      <c r="AV53" s="271"/>
      <c r="AW53" s="272"/>
      <c r="AX53" s="271">
        <f t="shared" ca="1" si="7"/>
        <v>-18</v>
      </c>
      <c r="AY53" s="272"/>
      <c r="AZ53" s="273">
        <f t="shared" ca="1" si="20"/>
        <v>331</v>
      </c>
      <c r="BA53" s="274"/>
      <c r="BB53" s="339">
        <f t="shared" ca="1" si="3"/>
        <v>357</v>
      </c>
      <c r="BC53" s="340"/>
      <c r="BD53" s="347">
        <f t="shared" si="17"/>
        <v>331</v>
      </c>
      <c r="BE53" s="339"/>
      <c r="BF53" s="339">
        <f t="shared" si="18"/>
        <v>-18</v>
      </c>
      <c r="BG53" s="340"/>
      <c r="BH53" s="341" t="str">
        <f t="shared" ca="1" si="19"/>
        <v/>
      </c>
      <c r="BI53" s="342"/>
      <c r="BJ53" s="564"/>
      <c r="BK53" s="565"/>
      <c r="BL53" s="568"/>
      <c r="BM53" s="570"/>
      <c r="CC53" s="138" t="s">
        <v>80</v>
      </c>
      <c r="CD53" s="337" t="str">
        <f t="shared" si="4"/>
        <v>外税8%</v>
      </c>
      <c r="CE53" s="337"/>
      <c r="CF53" s="338"/>
      <c r="CR53" s="103" t="s">
        <v>204</v>
      </c>
      <c r="CW53" s="103" t="s">
        <v>205</v>
      </c>
      <c r="CX53" s="102" t="s">
        <v>30</v>
      </c>
      <c r="CY53" s="103" t="s">
        <v>206</v>
      </c>
    </row>
    <row r="54" spans="1:103" ht="15" customHeight="1">
      <c r="A54" s="100">
        <f t="shared" si="5"/>
        <v>76</v>
      </c>
      <c r="B54" s="293" t="s">
        <v>207</v>
      </c>
      <c r="C54" s="293"/>
      <c r="D54" s="293"/>
      <c r="E54" s="293"/>
      <c r="F54" s="293" t="str" cm="1">
        <f t="array" ref="F54">TRIM(SUBSTITUTE(SUBSTITUTE(INDEX(CR:CR,MATCH("      item_no: "&amp;A54&amp;",",CR:CR,0)+9,1),"item_name: ",""),",",""))</f>
        <v>押し寿司バッテラ６カン（アウト）</v>
      </c>
      <c r="G54" s="293"/>
      <c r="H54" s="293"/>
      <c r="I54" s="293"/>
      <c r="J54" s="293"/>
      <c r="K54" s="293"/>
      <c r="L54" s="399" t="str" cm="1">
        <f t="array" ref="L54">TRIM(SUBSTITUTE(SUBSTITUTE(INDEX(CR:CR,MATCH("      item_no: "&amp;A54&amp;",",CR:CR,0)+3,1),"item_scan_code: ",""),",",""))</f>
        <v>4945224356181</v>
      </c>
      <c r="M54" s="399"/>
      <c r="N54" s="399"/>
      <c r="O54" s="399"/>
      <c r="P54" s="399"/>
      <c r="Q54" s="281" cm="1">
        <f t="array" ref="Q54">IF(AF54="true","",TRIM(SUBSTITUTE(SUBSTITUTE(INDEX(CR:CR,MATCH("      item_no: "&amp;A54&amp;",",CR:CR,0)+13,1),"item_price_fmt: ￥",""),",",""))+0)</f>
        <v>399</v>
      </c>
      <c r="R54" s="326"/>
      <c r="S54" s="327">
        <f t="shared" si="10"/>
        <v>0</v>
      </c>
      <c r="T54" s="328"/>
      <c r="U54" s="277" cm="1">
        <f t="array" ref="U54">IF(AF54="true","",TRIM(SUBSTITUTE(SUBSTITUTE(INDEX(CR:CR,MATCH("      item_no: "&amp;A54&amp;",",CR:CR,0)+14,1),"item_price_discount_fmt: ￥",""),",",""))+0)</f>
        <v>399</v>
      </c>
      <c r="V54" s="278"/>
      <c r="W54" s="279">
        <f ca="1">INT(SUMIF($Y$10:$AA54,"外税8%",$U$10:$V54)*1.08)+INT(SUMIF($Y$10:$AA54,"外税10%",$U$10:$V54)*1.1)+SUMIF($Y$10:$AA54,"内税10%",$U$10:$V54)+SUMIF($Y$10:$AA54,"非課税",$U$10:$V54)</f>
        <v>14770</v>
      </c>
      <c r="X54" s="280"/>
      <c r="Y54" s="281" t="str" cm="1">
        <f t="array" ref="Y54">TRIM(SUBSTITUTE(SUBSTITUTE(INDEX(CR:CR,MATCH("      item_no: "&amp;A54&amp;",",CR:CR,0)+15,1),"item_tax_fmt: ",""),",",""))</f>
        <v>外税8%</v>
      </c>
      <c r="Z54" s="282"/>
      <c r="AA54" s="282"/>
      <c r="AB54" s="283" t="str" cm="1">
        <f t="array" ref="AB54">TRIM(SUBSTITUTE(SUBSTITUTE(INDEX(CR:CR,MATCH("      item_no: "&amp;A54&amp;",",CR:CR,0)+18,1),"discount_prohibition:",""),",",""))</f>
        <v>0</v>
      </c>
      <c r="AC54" s="283"/>
      <c r="AD54" s="214" t="str">
        <f t="shared" si="6"/>
        <v>外税8%+0</v>
      </c>
      <c r="AE54" s="215"/>
      <c r="AF54" s="284" t="str" cm="1">
        <f t="array" ref="AF54">TRIM(SUBSTITUTE(SUBSTITUTE(INDEX(CR:CR,MATCH("      item_no: "&amp;A54&amp;",",CR:CR,0)+1,1),"item_cancel_line: ",""),",",""))</f>
        <v>false</v>
      </c>
      <c r="AG54" s="284"/>
      <c r="AH54" s="595"/>
      <c r="AI54" s="596"/>
      <c r="AJ54" s="285">
        <f t="shared" si="11"/>
        <v>-19.950000000000003</v>
      </c>
      <c r="AK54" s="286"/>
      <c r="AL54" s="335">
        <f t="shared" ca="1" si="12"/>
        <v>-19.959360825817214</v>
      </c>
      <c r="AM54" s="336"/>
      <c r="AN54" s="333">
        <f t="shared" ca="1" si="13"/>
        <v>-20</v>
      </c>
      <c r="AO54" s="334"/>
      <c r="AP54" s="329">
        <f t="shared" si="14"/>
        <v>399</v>
      </c>
      <c r="AQ54" s="330"/>
      <c r="AR54" s="331">
        <f t="shared" si="15"/>
        <v>36</v>
      </c>
      <c r="AS54" s="332"/>
      <c r="AT54" s="333">
        <f t="shared" ca="1" si="2"/>
        <v>-20</v>
      </c>
      <c r="AU54" s="334"/>
      <c r="AV54" s="271"/>
      <c r="AW54" s="272"/>
      <c r="AX54" s="271">
        <f t="shared" ca="1" si="7"/>
        <v>-20</v>
      </c>
      <c r="AY54" s="272"/>
      <c r="AZ54" s="273">
        <f t="shared" ca="1" si="20"/>
        <v>379</v>
      </c>
      <c r="BA54" s="274"/>
      <c r="BB54" s="339">
        <f t="shared" ca="1" si="3"/>
        <v>409</v>
      </c>
      <c r="BC54" s="340"/>
      <c r="BD54" s="347">
        <f t="shared" si="17"/>
        <v>379</v>
      </c>
      <c r="BE54" s="339"/>
      <c r="BF54" s="339">
        <f t="shared" si="18"/>
        <v>-20</v>
      </c>
      <c r="BG54" s="340"/>
      <c r="BH54" s="341" t="str">
        <f t="shared" ca="1" si="19"/>
        <v/>
      </c>
      <c r="BI54" s="342"/>
      <c r="BJ54" s="564"/>
      <c r="BK54" s="565"/>
      <c r="BL54" s="568"/>
      <c r="BM54" s="570"/>
      <c r="CC54" s="138" t="s">
        <v>80</v>
      </c>
      <c r="CD54" s="337" t="str">
        <f t="shared" si="4"/>
        <v>外税8%</v>
      </c>
      <c r="CE54" s="337"/>
      <c r="CF54" s="338"/>
      <c r="CR54" s="103" t="s">
        <v>208</v>
      </c>
      <c r="CW54" s="103" t="s">
        <v>209</v>
      </c>
      <c r="CX54" s="102" t="s">
        <v>30</v>
      </c>
      <c r="CY54" s="103" t="s">
        <v>210</v>
      </c>
    </row>
    <row r="55" spans="1:103" ht="15" customHeight="1">
      <c r="A55" s="100">
        <f t="shared" si="5"/>
        <v>75</v>
      </c>
      <c r="B55" s="293" t="s">
        <v>207</v>
      </c>
      <c r="C55" s="293"/>
      <c r="D55" s="293"/>
      <c r="E55" s="293"/>
      <c r="F55" s="293" t="str" cm="1">
        <f t="array" ref="F55">TRIM(SUBSTITUTE(SUBSTITUTE(INDEX(CR:CR,MATCH("      item_no: "&amp;A55&amp;",",CR:CR,0)+9,1),"item_name: ",""),",",""))</f>
        <v>にぎり寿司　かおり</v>
      </c>
      <c r="G55" s="293"/>
      <c r="H55" s="293"/>
      <c r="I55" s="293"/>
      <c r="J55" s="293"/>
      <c r="K55" s="293"/>
      <c r="L55" s="399" t="str" cm="1">
        <f t="array" ref="L55">TRIM(SUBSTITUTE(SUBSTITUTE(INDEX(CR:CR,MATCH("      item_no: "&amp;A55&amp;",",CR:CR,0)+3,1),"item_scan_code: ",""),",",""))</f>
        <v>224847807992</v>
      </c>
      <c r="M55" s="399"/>
      <c r="N55" s="399"/>
      <c r="O55" s="399"/>
      <c r="P55" s="399"/>
      <c r="Q55" s="400" cm="1">
        <f t="array" ref="Q55">IF(AF55="true","",TRIM(SUBSTITUTE(SUBSTITUTE(INDEX(CR:CR,MATCH("      item_no: "&amp;A55&amp;",",CR:CR,0)+13,1),"item_price_fmt: ￥",""),",",""))+0)</f>
        <v>799</v>
      </c>
      <c r="R55" s="401"/>
      <c r="S55" s="327">
        <f t="shared" si="10"/>
        <v>0</v>
      </c>
      <c r="T55" s="328"/>
      <c r="U55" s="401" cm="1">
        <f t="array" ref="U55">IF(AF55="true","",TRIM(SUBSTITUTE(SUBSTITUTE(INDEX(CR:CR,MATCH("      item_no: "&amp;A55&amp;",",CR:CR,0)+14,1),"item_price_discount_fmt: ￥",""),",",""))+0)</f>
        <v>799</v>
      </c>
      <c r="V55" s="402"/>
      <c r="W55" s="279">
        <f ca="1">INT(SUMIF($Y$10:$AA55,"外税8%",$U$10:$V55)*1.08)+INT(SUMIF($Y$10:$AA55,"外税10%",$U$10:$V55)*1.1)+SUMIF($Y$10:$AA55,"内税10%",$U$10:$V55)+SUMIF($Y$10:$AA55,"非課税",$U$10:$V55)</f>
        <v>15632</v>
      </c>
      <c r="X55" s="280"/>
      <c r="Y55" s="281" t="str" cm="1">
        <f t="array" ref="Y55">TRIM(SUBSTITUTE(SUBSTITUTE(INDEX(CR:CR,MATCH("      item_no: "&amp;A55&amp;",",CR:CR,0)+15,1),"item_tax_fmt: ",""),",",""))</f>
        <v>外税8%</v>
      </c>
      <c r="Z55" s="282"/>
      <c r="AA55" s="282"/>
      <c r="AB55" s="283" t="str" cm="1">
        <f t="array" ref="AB55">TRIM(SUBSTITUTE(SUBSTITUTE(INDEX(CR:CR,MATCH("      item_no: "&amp;A55&amp;",",CR:CR,0)+18,1),"discount_prohibition:",""),",",""))</f>
        <v>0</v>
      </c>
      <c r="AC55" s="283"/>
      <c r="AD55" s="214" t="str">
        <f t="shared" si="6"/>
        <v>外税8%+0</v>
      </c>
      <c r="AE55" s="215"/>
      <c r="AF55" s="284" t="str" cm="1">
        <f t="array" ref="AF55">TRIM(SUBSTITUTE(SUBSTITUTE(INDEX(CR:CR,MATCH("      item_no: "&amp;A55&amp;",",CR:CR,0)+1,1),"item_cancel_line: ",""),",",""))</f>
        <v>false</v>
      </c>
      <c r="AG55" s="284"/>
      <c r="AH55" s="595"/>
      <c r="AI55" s="596"/>
      <c r="AJ55" s="285">
        <f t="shared" si="11"/>
        <v>-39.950000000000003</v>
      </c>
      <c r="AK55" s="286"/>
      <c r="AL55" s="335">
        <f t="shared" ca="1" si="12"/>
        <v>-39.968745112350767</v>
      </c>
      <c r="AM55" s="336"/>
      <c r="AN55" s="333">
        <f t="shared" ca="1" si="13"/>
        <v>-40</v>
      </c>
      <c r="AO55" s="334"/>
      <c r="AP55" s="329">
        <f t="shared" si="14"/>
        <v>799</v>
      </c>
      <c r="AQ55" s="330"/>
      <c r="AR55" s="331">
        <f t="shared" si="15"/>
        <v>8</v>
      </c>
      <c r="AS55" s="332"/>
      <c r="AT55" s="333">
        <f t="shared" ca="1" si="2"/>
        <v>-40</v>
      </c>
      <c r="AU55" s="334"/>
      <c r="AV55" s="271"/>
      <c r="AW55" s="272"/>
      <c r="AX55" s="271">
        <f t="shared" ca="1" si="7"/>
        <v>-40</v>
      </c>
      <c r="AY55" s="272"/>
      <c r="AZ55" s="273">
        <f t="shared" ca="1" si="20"/>
        <v>759</v>
      </c>
      <c r="BA55" s="274"/>
      <c r="BB55" s="339">
        <f t="shared" ca="1" si="3"/>
        <v>819</v>
      </c>
      <c r="BC55" s="340"/>
      <c r="BD55" s="347">
        <f t="shared" si="17"/>
        <v>759</v>
      </c>
      <c r="BE55" s="339"/>
      <c r="BF55" s="339">
        <f t="shared" si="18"/>
        <v>-40</v>
      </c>
      <c r="BG55" s="340"/>
      <c r="BH55" s="341" t="str">
        <f t="shared" ca="1" si="19"/>
        <v/>
      </c>
      <c r="BI55" s="342"/>
      <c r="BJ55" s="564"/>
      <c r="BK55" s="565"/>
      <c r="BL55" s="568"/>
      <c r="BM55" s="570"/>
      <c r="CC55" s="138" t="s">
        <v>80</v>
      </c>
      <c r="CD55" s="337" t="str">
        <f t="shared" si="4"/>
        <v>外税8%</v>
      </c>
      <c r="CE55" s="337"/>
      <c r="CF55" s="338"/>
      <c r="CR55" s="103" t="s">
        <v>211</v>
      </c>
      <c r="CW55" s="103" t="s">
        <v>212</v>
      </c>
      <c r="CX55" s="102" t="s">
        <v>30</v>
      </c>
      <c r="CY55" s="103" t="s">
        <v>213</v>
      </c>
    </row>
    <row r="56" spans="1:103" ht="15" customHeight="1">
      <c r="A56" s="100">
        <f t="shared" si="5"/>
        <v>74</v>
      </c>
      <c r="B56" s="293" t="s">
        <v>214</v>
      </c>
      <c r="C56" s="293"/>
      <c r="D56" s="293"/>
      <c r="E56" s="293"/>
      <c r="F56" s="293" t="str" cm="1">
        <f t="array" ref="F56">TRIM(SUBSTITUTE(SUBSTITUTE(INDEX(CR:CR,MATCH("      item_no: "&amp;A56&amp;",",CR:CR,0)+9,1),"item_name: ",""),",",""))</f>
        <v>ミニパン詰め合わせ６コ入</v>
      </c>
      <c r="G56" s="293"/>
      <c r="H56" s="293"/>
      <c r="I56" s="293"/>
      <c r="J56" s="293"/>
      <c r="K56" s="293"/>
      <c r="L56" s="399" t="str" cm="1">
        <f t="array" ref="L56">TRIM(SUBSTITUTE(SUBSTITUTE(INDEX(CR:CR,MATCH("      item_no: "&amp;A56&amp;",",CR:CR,0)+3,1),"item_scan_code: ",""),",",""))</f>
        <v>04971573</v>
      </c>
      <c r="M56" s="399"/>
      <c r="N56" s="399"/>
      <c r="O56" s="399"/>
      <c r="P56" s="399"/>
      <c r="Q56" s="400" cm="1">
        <f t="array" ref="Q56">IF(AF56="true","",TRIM(SUBSTITUTE(SUBSTITUTE(INDEX(CR:CR,MATCH("      item_no: "&amp;A56&amp;",",CR:CR,0)+13,1),"item_price_fmt: ￥",""),",",""))+0)</f>
        <v>249</v>
      </c>
      <c r="R56" s="401"/>
      <c r="S56" s="327">
        <f t="shared" si="10"/>
        <v>0</v>
      </c>
      <c r="T56" s="328"/>
      <c r="U56" s="401" cm="1">
        <f t="array" ref="U56">IF(AF56="true","",TRIM(SUBSTITUTE(SUBSTITUTE(INDEX(CR:CR,MATCH("      item_no: "&amp;A56&amp;",",CR:CR,0)+14,1),"item_price_discount_fmt: ￥",""),",",""))+0)</f>
        <v>249</v>
      </c>
      <c r="V56" s="402"/>
      <c r="W56" s="279">
        <f ca="1">INT(SUMIF($Y$10:$AA56,"外税8%",$U$10:$V56)*1.08)+INT(SUMIF($Y$10:$AA56,"外税10%",$U$10:$V56)*1.1)+SUMIF($Y$10:$AA56,"内税10%",$U$10:$V56)+SUMIF($Y$10:$AA56,"非課税",$U$10:$V56)</f>
        <v>15901</v>
      </c>
      <c r="X56" s="280"/>
      <c r="Y56" s="281" t="str" cm="1">
        <f t="array" ref="Y56">TRIM(SUBSTITUTE(SUBSTITUTE(INDEX(CR:CR,MATCH("      item_no: "&amp;A56&amp;",",CR:CR,0)+15,1),"item_tax_fmt: ",""),",",""))</f>
        <v>外税8%</v>
      </c>
      <c r="Z56" s="282"/>
      <c r="AA56" s="282"/>
      <c r="AB56" s="283" t="str" cm="1">
        <f t="array" ref="AB56">TRIM(SUBSTITUTE(SUBSTITUTE(INDEX(CR:CR,MATCH("      item_no: "&amp;A56&amp;",",CR:CR,0)+18,1),"discount_prohibition:",""),",",""))</f>
        <v>0</v>
      </c>
      <c r="AC56" s="283"/>
      <c r="AD56" s="214" t="str">
        <f t="shared" si="6"/>
        <v>外税8%+0</v>
      </c>
      <c r="AE56" s="215"/>
      <c r="AF56" s="284" t="str" cm="1">
        <f t="array" ref="AF56">TRIM(SUBSTITUTE(SUBSTITUTE(INDEX(CR:CR,MATCH("      item_no: "&amp;A56&amp;",",CR:CR,0)+1,1),"item_cancel_line: ",""),",",""))</f>
        <v>false</v>
      </c>
      <c r="AG56" s="284"/>
      <c r="AH56" s="595"/>
      <c r="AI56" s="596"/>
      <c r="AJ56" s="285">
        <f t="shared" si="11"/>
        <v>-12.450000000000001</v>
      </c>
      <c r="AK56" s="286"/>
      <c r="AL56" s="335">
        <f t="shared" ca="1" si="12"/>
        <v>-12.455841718367134</v>
      </c>
      <c r="AM56" s="336"/>
      <c r="AN56" s="333">
        <f t="shared" ca="1" si="13"/>
        <v>-13</v>
      </c>
      <c r="AO56" s="334"/>
      <c r="AP56" s="329">
        <f t="shared" si="14"/>
        <v>249</v>
      </c>
      <c r="AQ56" s="330"/>
      <c r="AR56" s="331">
        <f t="shared" si="15"/>
        <v>53</v>
      </c>
      <c r="AS56" s="332"/>
      <c r="AT56" s="333">
        <f t="shared" ca="1" si="2"/>
        <v>-13</v>
      </c>
      <c r="AU56" s="334"/>
      <c r="AV56" s="271"/>
      <c r="AW56" s="272"/>
      <c r="AX56" s="271">
        <f t="shared" ca="1" si="7"/>
        <v>-13</v>
      </c>
      <c r="AY56" s="272"/>
      <c r="AZ56" s="273">
        <f t="shared" ca="1" si="20"/>
        <v>236</v>
      </c>
      <c r="BA56" s="274"/>
      <c r="BB56" s="339">
        <f t="shared" ca="1" si="3"/>
        <v>254</v>
      </c>
      <c r="BC56" s="340"/>
      <c r="BD56" s="347">
        <f t="shared" si="17"/>
        <v>236</v>
      </c>
      <c r="BE56" s="339"/>
      <c r="BF56" s="339">
        <f t="shared" si="18"/>
        <v>-13</v>
      </c>
      <c r="BG56" s="340"/>
      <c r="BH56" s="341" t="str">
        <f t="shared" ca="1" si="19"/>
        <v/>
      </c>
      <c r="BI56" s="342"/>
      <c r="BJ56" s="564"/>
      <c r="BK56" s="565"/>
      <c r="BL56" s="568"/>
      <c r="BM56" s="570"/>
      <c r="CC56" s="138" t="s">
        <v>80</v>
      </c>
      <c r="CD56" s="337" t="str">
        <f t="shared" si="4"/>
        <v>外税8%</v>
      </c>
      <c r="CE56" s="337"/>
      <c r="CF56" s="338"/>
      <c r="CR56" s="103" t="s">
        <v>163</v>
      </c>
      <c r="CW56" s="103" t="s">
        <v>215</v>
      </c>
      <c r="CX56" s="102" t="s">
        <v>30</v>
      </c>
      <c r="CY56" s="103" t="s">
        <v>216</v>
      </c>
    </row>
    <row r="57" spans="1:103" ht="15" customHeight="1">
      <c r="A57" s="100">
        <f t="shared" si="5"/>
        <v>73</v>
      </c>
      <c r="B57" s="293" t="s">
        <v>122</v>
      </c>
      <c r="C57" s="293"/>
      <c r="D57" s="293"/>
      <c r="E57" s="293"/>
      <c r="F57" s="293" t="str" cm="1">
        <f t="array" ref="F57">TRIM(SUBSTITUTE(SUBSTITUTE(INDEX(CR:CR,MATCH("      item_no: "&amp;A57&amp;",",CR:CR,0)+9,1),"item_name: ",""),",",""))</f>
        <v>ＩＧマンジョウ　濃厚熟成本みりん　１Ｌ</v>
      </c>
      <c r="G57" s="293"/>
      <c r="H57" s="293"/>
      <c r="I57" s="293"/>
      <c r="J57" s="293"/>
      <c r="K57" s="293"/>
      <c r="L57" s="399" t="str" cm="1">
        <f t="array" ref="L57">TRIM(SUBSTITUTE(SUBSTITUTE(INDEX(CR:CR,MATCH("      item_no: "&amp;A57&amp;",",CR:CR,0)+3,1),"item_scan_code: ",""),",",""))</f>
        <v>4901515001536</v>
      </c>
      <c r="M57" s="399"/>
      <c r="N57" s="399"/>
      <c r="O57" s="399"/>
      <c r="P57" s="399"/>
      <c r="Q57" s="400" cm="1">
        <f t="array" ref="Q57">IF(AF57="true","",TRIM(SUBSTITUTE(SUBSTITUTE(INDEX(CR:CR,MATCH("      item_no: "&amp;A57&amp;",",CR:CR,0)+13,1),"item_price_fmt: ￥",""),",",""))+0)</f>
        <v>329</v>
      </c>
      <c r="R57" s="401"/>
      <c r="S57" s="327">
        <f t="shared" si="10"/>
        <v>0</v>
      </c>
      <c r="T57" s="328"/>
      <c r="U57" s="401" cm="1">
        <f t="array" ref="U57">IF(AF57="true","",TRIM(SUBSTITUTE(SUBSTITUTE(INDEX(CR:CR,MATCH("      item_no: "&amp;A57&amp;",",CR:CR,0)+14,1),"item_price_discount_fmt: ￥",""),",",""))+0)</f>
        <v>329</v>
      </c>
      <c r="V57" s="402"/>
      <c r="W57" s="279">
        <f ca="1">INT(SUMIF($Y$10:$AA57,"外税8%",$U$10:$V57)*1.08)+INT(SUMIF($Y$10:$AA57,"外税10%",$U$10:$V57)*1.1)+SUMIF($Y$10:$AA57,"内税10%",$U$10:$V57)+SUMIF($Y$10:$AA57,"非課税",$U$10:$V57)</f>
        <v>16263</v>
      </c>
      <c r="X57" s="280"/>
      <c r="Y57" s="281" t="str" cm="1">
        <f t="array" ref="Y57">TRIM(SUBSTITUTE(SUBSTITUTE(INDEX(CR:CR,MATCH("      item_no: "&amp;A57&amp;",",CR:CR,0)+15,1),"item_tax_fmt: ",""),",",""))</f>
        <v>外税10%</v>
      </c>
      <c r="Z57" s="282"/>
      <c r="AA57" s="282"/>
      <c r="AB57" s="283" t="str" cm="1">
        <f t="array" ref="AB57">TRIM(SUBSTITUTE(SUBSTITUTE(INDEX(CR:CR,MATCH("      item_no: "&amp;A57&amp;",",CR:CR,0)+18,1),"discount_prohibition:",""),",",""))</f>
        <v>0</v>
      </c>
      <c r="AC57" s="283"/>
      <c r="AD57" s="214" t="str">
        <f t="shared" si="6"/>
        <v>外税10%+0</v>
      </c>
      <c r="AE57" s="215"/>
      <c r="AF57" s="284" t="str" cm="1">
        <f t="array" ref="AF57">TRIM(SUBSTITUTE(SUBSTITUTE(INDEX(CR:CR,MATCH("      item_no: "&amp;A57&amp;",",CR:CR,0)+1,1),"item_cancel_line: ",""),",",""))</f>
        <v>false</v>
      </c>
      <c r="AG57" s="284"/>
      <c r="AH57" s="595"/>
      <c r="AI57" s="596"/>
      <c r="AJ57" s="285">
        <f t="shared" si="11"/>
        <v>-16.45</v>
      </c>
      <c r="AK57" s="286"/>
      <c r="AL57" s="335">
        <f t="shared" ca="1" si="12"/>
        <v>-16.457718575673844</v>
      </c>
      <c r="AM57" s="336"/>
      <c r="AN57" s="333">
        <f t="shared" ca="1" si="13"/>
        <v>-17</v>
      </c>
      <c r="AO57" s="334"/>
      <c r="AP57" s="329">
        <f t="shared" si="14"/>
        <v>329</v>
      </c>
      <c r="AQ57" s="330"/>
      <c r="AR57" s="331">
        <f t="shared" si="15"/>
        <v>47</v>
      </c>
      <c r="AS57" s="332"/>
      <c r="AT57" s="333">
        <f t="shared" ca="1" si="2"/>
        <v>-17</v>
      </c>
      <c r="AU57" s="334"/>
      <c r="AV57" s="271"/>
      <c r="AW57" s="272"/>
      <c r="AX57" s="271">
        <f t="shared" ca="1" si="7"/>
        <v>-17</v>
      </c>
      <c r="AY57" s="272"/>
      <c r="AZ57" s="273">
        <f t="shared" ca="1" si="20"/>
        <v>312</v>
      </c>
      <c r="BA57" s="274"/>
      <c r="BB57" s="339">
        <f t="shared" ca="1" si="3"/>
        <v>343</v>
      </c>
      <c r="BC57" s="340"/>
      <c r="BD57" s="347">
        <f t="shared" si="17"/>
        <v>312</v>
      </c>
      <c r="BE57" s="339"/>
      <c r="BF57" s="339">
        <f t="shared" si="18"/>
        <v>-17</v>
      </c>
      <c r="BG57" s="340"/>
      <c r="BH57" s="341" t="str">
        <f t="shared" ca="1" si="19"/>
        <v/>
      </c>
      <c r="BI57" s="342"/>
      <c r="BJ57" s="564"/>
      <c r="BK57" s="565"/>
      <c r="BL57" s="568"/>
      <c r="BM57" s="570"/>
      <c r="CC57" s="138" t="s">
        <v>80</v>
      </c>
      <c r="CD57" s="337" t="str">
        <f t="shared" si="4"/>
        <v>外税10%</v>
      </c>
      <c r="CE57" s="337"/>
      <c r="CF57" s="338"/>
      <c r="CR57" s="103" t="s">
        <v>135</v>
      </c>
      <c r="CW57" s="103" t="s">
        <v>217</v>
      </c>
      <c r="CX57" s="102" t="s">
        <v>30</v>
      </c>
      <c r="CY57" s="103" t="s">
        <v>218</v>
      </c>
    </row>
    <row r="58" spans="1:103" ht="15" customHeight="1">
      <c r="A58" s="100">
        <f t="shared" si="5"/>
        <v>72</v>
      </c>
      <c r="B58" s="388" t="s">
        <v>219</v>
      </c>
      <c r="C58" s="388"/>
      <c r="D58" s="388"/>
      <c r="E58" s="388"/>
      <c r="F58" s="388" t="str" cm="1">
        <f t="array" ref="F58">TRIM(SUBSTITUTE(SUBSTITUTE(INDEX(CR:CR,MATCH("      item_no: "&amp;A58&amp;",",CR:CR,0)+9,1),"item_name: ",""),",",""))</f>
        <v>アサヒ　スーパードライ　３５０ｍｌ×６</v>
      </c>
      <c r="G58" s="388"/>
      <c r="H58" s="388"/>
      <c r="I58" s="388"/>
      <c r="J58" s="388"/>
      <c r="K58" s="388"/>
      <c r="L58" s="398" t="str" cm="1">
        <f t="array" ref="L58">TRIM(SUBSTITUTE(SUBSTITUTE(INDEX(CR:CR,MATCH("      item_no: "&amp;A58&amp;",",CR:CR,0)+3,1),"item_scan_code: ",""),",",""))</f>
        <v>4901004006721</v>
      </c>
      <c r="M58" s="398"/>
      <c r="N58" s="398"/>
      <c r="O58" s="398"/>
      <c r="P58" s="398"/>
      <c r="Q58" s="403" cm="1">
        <f t="array" ref="Q58">IF(AF58="true","",TRIM(SUBSTITUTE(SUBSTITUTE(INDEX(CR:CR,MATCH("      item_no: "&amp;A58&amp;",",CR:CR,0)+13,1),"item_price_fmt: ￥",""),",",""))+0)</f>
        <v>1055</v>
      </c>
      <c r="R58" s="404"/>
      <c r="S58" s="391">
        <f t="shared" si="10"/>
        <v>0</v>
      </c>
      <c r="T58" s="392"/>
      <c r="U58" s="404" cm="1">
        <f t="array" ref="U58">IF(AF58="true","",TRIM(SUBSTITUTE(SUBSTITUTE(INDEX(CR:CR,MATCH("      item_no: "&amp;A58&amp;",",CR:CR,0)+14,1),"item_price_discount_fmt: ￥",""),",",""))+0)</f>
        <v>1055</v>
      </c>
      <c r="V58" s="405"/>
      <c r="W58" s="279">
        <f ca="1">INT(SUMIF($Y$10:$AA58,"外税8%",$U$10:$V58)*1.08)+INT(SUMIF($Y$10:$AA58,"外税10%",$U$10:$V58)*1.1)+SUMIF($Y$10:$AA58,"内税10%",$U$10:$V58)+SUMIF($Y$10:$AA58,"非課税",$U$10:$V58)</f>
        <v>17424</v>
      </c>
      <c r="X58" s="280"/>
      <c r="Y58" s="382" t="str" cm="1">
        <f t="array" ref="Y58">TRIM(SUBSTITUTE(SUBSTITUTE(INDEX(CR:CR,MATCH("      item_no: "&amp;A58&amp;",",CR:CR,0)+15,1),"item_tax_fmt: ",""),",",""))</f>
        <v>外税10%</v>
      </c>
      <c r="Z58" s="383"/>
      <c r="AA58" s="383"/>
      <c r="AB58" s="384" t="str" cm="1">
        <f t="array" ref="AB58">TRIM(SUBSTITUTE(SUBSTITUTE(INDEX(CR:CR,MATCH("      item_no: "&amp;A58&amp;",",CR:CR,0)+18,1),"discount_prohibition:",""),",",""))</f>
        <v>1</v>
      </c>
      <c r="AC58" s="384"/>
      <c r="AD58" s="394" t="str">
        <f t="shared" si="6"/>
        <v>外税10%+1</v>
      </c>
      <c r="AE58" s="395"/>
      <c r="AF58" s="385" t="str" cm="1">
        <f t="array" ref="AF58">TRIM(SUBSTITUTE(SUBSTITUTE(INDEX(CR:CR,MATCH("      item_no: "&amp;A58&amp;",",CR:CR,0)+1,1),"item_cancel_line: ",""),",",""))</f>
        <v>false</v>
      </c>
      <c r="AG58" s="385"/>
      <c r="AH58" s="595"/>
      <c r="AI58" s="596"/>
      <c r="AJ58" s="386">
        <f t="shared" si="11"/>
        <v>0</v>
      </c>
      <c r="AK58" s="387"/>
      <c r="AL58" s="335">
        <f t="shared" si="12"/>
        <v>0</v>
      </c>
      <c r="AM58" s="336"/>
      <c r="AN58" s="333">
        <f t="shared" si="13"/>
        <v>0</v>
      </c>
      <c r="AO58" s="334"/>
      <c r="AP58" s="376">
        <f t="shared" si="14"/>
        <v>0</v>
      </c>
      <c r="AQ58" s="377"/>
      <c r="AR58" s="378">
        <f t="shared" si="15"/>
        <v>84</v>
      </c>
      <c r="AS58" s="379"/>
      <c r="AT58" s="333">
        <f t="shared" si="2"/>
        <v>0</v>
      </c>
      <c r="AU58" s="334"/>
      <c r="AV58" s="271"/>
      <c r="AW58" s="272"/>
      <c r="AX58" s="271">
        <f t="shared" si="7"/>
        <v>0</v>
      </c>
      <c r="AY58" s="272"/>
      <c r="AZ58" s="380">
        <f t="shared" si="20"/>
        <v>1055</v>
      </c>
      <c r="BA58" s="381"/>
      <c r="BB58" s="372">
        <f t="shared" si="3"/>
        <v>1160</v>
      </c>
      <c r="BC58" s="373"/>
      <c r="BD58" s="393">
        <f t="shared" si="17"/>
        <v>1055</v>
      </c>
      <c r="BE58" s="372"/>
      <c r="BF58" s="372">
        <f t="shared" si="18"/>
        <v>0</v>
      </c>
      <c r="BG58" s="373"/>
      <c r="BH58" s="374" t="str">
        <f t="shared" si="19"/>
        <v/>
      </c>
      <c r="BI58" s="375"/>
      <c r="BJ58" s="564"/>
      <c r="BK58" s="565"/>
      <c r="BL58" s="568"/>
      <c r="BM58" s="570"/>
      <c r="CC58" s="138" t="s">
        <v>80</v>
      </c>
      <c r="CD58" s="337" t="str">
        <f t="shared" si="4"/>
        <v>外税10%</v>
      </c>
      <c r="CE58" s="337"/>
      <c r="CF58" s="338"/>
      <c r="CR58" s="103" t="s">
        <v>220</v>
      </c>
      <c r="CW58" s="103" t="s">
        <v>221</v>
      </c>
      <c r="CX58" s="102" t="s">
        <v>30</v>
      </c>
      <c r="CY58" s="103" t="s">
        <v>222</v>
      </c>
    </row>
    <row r="59" spans="1:103" ht="15" customHeight="1">
      <c r="A59" s="100">
        <f t="shared" si="5"/>
        <v>71</v>
      </c>
      <c r="B59" s="293" t="s">
        <v>223</v>
      </c>
      <c r="C59" s="293"/>
      <c r="D59" s="293"/>
      <c r="E59" s="293"/>
      <c r="F59" s="293" t="str" cm="1">
        <f t="array" ref="F59">TRIM(SUBSTITUTE(SUBSTITUTE(INDEX(CR:CR,MATCH("      item_no: "&amp;A59&amp;",",CR:CR,0)+9,1),"item_name: ",""),",",""))</f>
        <v>アサヒ　ドライゼロ　３５０ｍｌ×６</v>
      </c>
      <c r="G59" s="293"/>
      <c r="H59" s="293"/>
      <c r="I59" s="293"/>
      <c r="J59" s="293"/>
      <c r="K59" s="293"/>
      <c r="L59" s="399" t="str" cm="1">
        <f t="array" ref="L59">TRIM(SUBSTITUTE(SUBSTITUTE(INDEX(CR:CR,MATCH("      item_no: "&amp;A59&amp;",",CR:CR,0)+3,1),"item_scan_code: ",""),",",""))</f>
        <v>4904230030010</v>
      </c>
      <c r="M59" s="399"/>
      <c r="N59" s="399"/>
      <c r="O59" s="399"/>
      <c r="P59" s="399"/>
      <c r="Q59" s="400" cm="1">
        <f t="array" ref="Q59">IF(AF59="true","",TRIM(SUBSTITUTE(SUBSTITUTE(INDEX(CR:CR,MATCH("      item_no: "&amp;A59&amp;",",CR:CR,0)+13,1),"item_price_fmt: ￥",""),",",""))+0)</f>
        <v>599</v>
      </c>
      <c r="R59" s="401"/>
      <c r="S59" s="327">
        <f t="shared" si="10"/>
        <v>0</v>
      </c>
      <c r="T59" s="328"/>
      <c r="U59" s="401" cm="1">
        <f t="array" ref="U59">IF(AF59="true","",TRIM(SUBSTITUTE(SUBSTITUTE(INDEX(CR:CR,MATCH("      item_no: "&amp;A59&amp;",",CR:CR,0)+14,1),"item_price_discount_fmt: ￥",""),",",""))+0)</f>
        <v>599</v>
      </c>
      <c r="V59" s="402"/>
      <c r="W59" s="279">
        <f ca="1">INT(SUMIF($Y$10:$AA59,"外税8%",$U$10:$V59)*1.08)+INT(SUMIF($Y$10:$AA59,"外税10%",$U$10:$V59)*1.1)+SUMIF($Y$10:$AA59,"内税10%",$U$10:$V59)+SUMIF($Y$10:$AA59,"非課税",$U$10:$V59)</f>
        <v>18071</v>
      </c>
      <c r="X59" s="280"/>
      <c r="Y59" s="281" t="str" cm="1">
        <f t="array" ref="Y59">TRIM(SUBSTITUTE(SUBSTITUTE(INDEX(CR:CR,MATCH("      item_no: "&amp;A59&amp;",",CR:CR,0)+15,1),"item_tax_fmt: ",""),",",""))</f>
        <v>外税8%</v>
      </c>
      <c r="Z59" s="282"/>
      <c r="AA59" s="282"/>
      <c r="AB59" s="283" t="str" cm="1">
        <f t="array" ref="AB59">TRIM(SUBSTITUTE(SUBSTITUTE(INDEX(CR:CR,MATCH("      item_no: "&amp;A59&amp;",",CR:CR,0)+18,1),"discount_prohibition:",""),",",""))</f>
        <v>0</v>
      </c>
      <c r="AC59" s="283"/>
      <c r="AD59" s="214" t="str">
        <f t="shared" si="6"/>
        <v>外税8%+0</v>
      </c>
      <c r="AE59" s="215"/>
      <c r="AF59" s="284" t="str" cm="1">
        <f t="array" ref="AF59">TRIM(SUBSTITUTE(SUBSTITUTE(INDEX(CR:CR,MATCH("      item_no: "&amp;A59&amp;",",CR:CR,0)+1,1),"item_cancel_line: ",""),",",""))</f>
        <v>false</v>
      </c>
      <c r="AG59" s="284"/>
      <c r="AH59" s="595"/>
      <c r="AI59" s="596"/>
      <c r="AJ59" s="285">
        <f t="shared" si="11"/>
        <v>-29.950000000000003</v>
      </c>
      <c r="AK59" s="286"/>
      <c r="AL59" s="335">
        <f t="shared" ref="AL59:AL90" ca="1" si="21">IF(S59="","",IF(AB59="0",U59*$U$143/$U$141,0))</f>
        <v>-29.964052969083991</v>
      </c>
      <c r="AM59" s="336"/>
      <c r="AN59" s="333">
        <f t="shared" ca="1" si="13"/>
        <v>-30</v>
      </c>
      <c r="AO59" s="334"/>
      <c r="AP59" s="329">
        <f t="shared" si="14"/>
        <v>599</v>
      </c>
      <c r="AQ59" s="330"/>
      <c r="AR59" s="331">
        <f t="shared" si="15"/>
        <v>10</v>
      </c>
      <c r="AS59" s="332"/>
      <c r="AT59" s="333">
        <f t="shared" ca="1" si="2"/>
        <v>-30</v>
      </c>
      <c r="AU59" s="334"/>
      <c r="AV59" s="271"/>
      <c r="AW59" s="272"/>
      <c r="AX59" s="271">
        <f t="shared" ca="1" si="7"/>
        <v>-30</v>
      </c>
      <c r="AY59" s="272"/>
      <c r="AZ59" s="273">
        <f t="shared" ca="1" si="20"/>
        <v>569</v>
      </c>
      <c r="BA59" s="274"/>
      <c r="BB59" s="339">
        <f t="shared" ca="1" si="3"/>
        <v>614</v>
      </c>
      <c r="BC59" s="340"/>
      <c r="BD59" s="347">
        <f t="shared" si="17"/>
        <v>569</v>
      </c>
      <c r="BE59" s="339"/>
      <c r="BF59" s="339">
        <f t="shared" si="18"/>
        <v>-30</v>
      </c>
      <c r="BG59" s="340"/>
      <c r="BH59" s="341" t="str">
        <f t="shared" ca="1" si="19"/>
        <v/>
      </c>
      <c r="BI59" s="342"/>
      <c r="BJ59" s="564"/>
      <c r="BK59" s="565"/>
      <c r="BL59" s="568"/>
      <c r="BM59" s="570"/>
      <c r="CC59" s="138" t="s">
        <v>80</v>
      </c>
      <c r="CD59" s="337" t="str">
        <f t="shared" si="4"/>
        <v>外税8%</v>
      </c>
      <c r="CE59" s="337"/>
      <c r="CF59" s="338"/>
      <c r="CR59" s="103" t="s">
        <v>197</v>
      </c>
      <c r="CW59" s="103" t="s">
        <v>224</v>
      </c>
      <c r="CX59" s="102" t="s">
        <v>30</v>
      </c>
      <c r="CY59" s="103" t="s">
        <v>225</v>
      </c>
    </row>
    <row r="60" spans="1:103" ht="15" customHeight="1">
      <c r="A60" s="100">
        <f t="shared" si="5"/>
        <v>70</v>
      </c>
      <c r="B60" s="388" t="s">
        <v>226</v>
      </c>
      <c r="C60" s="388"/>
      <c r="D60" s="388"/>
      <c r="E60" s="388"/>
      <c r="F60" s="388" t="str" cm="1">
        <f t="array" ref="F60">TRIM(SUBSTITUTE(SUBSTITUTE(INDEX(CR:CR,MATCH("      item_no: "&amp;A60&amp;",",CR:CR,0)+9,1),"item_name: ",""),",",""))</f>
        <v>セブンスター　１個</v>
      </c>
      <c r="G60" s="388"/>
      <c r="H60" s="388"/>
      <c r="I60" s="388"/>
      <c r="J60" s="388"/>
      <c r="K60" s="388"/>
      <c r="L60" s="398" t="str" cm="1">
        <f t="array" ref="L60">TRIM(SUBSTITUTE(SUBSTITUTE(INDEX(CR:CR,MATCH("      item_no: "&amp;A60&amp;",",CR:CR,0)+3,1),"item_scan_code: ",""),",",""))</f>
        <v>49400397</v>
      </c>
      <c r="M60" s="398"/>
      <c r="N60" s="398"/>
      <c r="O60" s="398"/>
      <c r="P60" s="398"/>
      <c r="Q60" s="403" cm="1">
        <f t="array" ref="Q60">IF(AF60="true","",TRIM(SUBSTITUTE(SUBSTITUTE(INDEX(CR:CR,MATCH("      item_no: "&amp;A60&amp;",",CR:CR,0)+13,1),"item_price_fmt: ￥",""),",",""))+0)</f>
        <v>600</v>
      </c>
      <c r="R60" s="404"/>
      <c r="S60" s="391">
        <f t="shared" si="10"/>
        <v>0</v>
      </c>
      <c r="T60" s="392"/>
      <c r="U60" s="404" cm="1">
        <f t="array" ref="U60">IF(AF60="true","",TRIM(SUBSTITUTE(SUBSTITUTE(INDEX(CR:CR,MATCH("      item_no: "&amp;A60&amp;",",CR:CR,0)+14,1),"item_price_discount_fmt: ￥",""),",",""))+0)</f>
        <v>600</v>
      </c>
      <c r="V60" s="405"/>
      <c r="W60" s="279">
        <f ca="1">INT(SUMIF($Y$10:$AA60,"外税8%",$U$10:$V60)*1.08)+INT(SUMIF($Y$10:$AA60,"外税10%",$U$10:$V60)*1.1)+SUMIF($Y$10:$AA60,"内税10%",$U$10:$V60)+SUMIF($Y$10:$AA60,"非課税",$U$10:$V60)</f>
        <v>18671</v>
      </c>
      <c r="X60" s="280"/>
      <c r="Y60" s="382" t="str" cm="1">
        <f t="array" ref="Y60">TRIM(SUBSTITUTE(SUBSTITUTE(INDEX(CR:CR,MATCH("      item_no: "&amp;A60&amp;",",CR:CR,0)+15,1),"item_tax_fmt: ",""),",",""))</f>
        <v>内税10%</v>
      </c>
      <c r="Z60" s="383"/>
      <c r="AA60" s="383"/>
      <c r="AB60" s="384" t="str" cm="1">
        <f t="array" ref="AB60">TRIM(SUBSTITUTE(SUBSTITUTE(INDEX(CR:CR,MATCH("      item_no: "&amp;A60&amp;",",CR:CR,0)+18,1),"discount_prohibition:",""),",",""))</f>
        <v>1</v>
      </c>
      <c r="AC60" s="384"/>
      <c r="AD60" s="394" t="str">
        <f t="shared" si="6"/>
        <v>内税10%+1</v>
      </c>
      <c r="AE60" s="395"/>
      <c r="AF60" s="385" t="str" cm="1">
        <f t="array" ref="AF60">TRIM(SUBSTITUTE(SUBSTITUTE(INDEX(CR:CR,MATCH("      item_no: "&amp;A60&amp;",",CR:CR,0)+1,1),"item_cancel_line: ",""),",",""))</f>
        <v>false</v>
      </c>
      <c r="AG60" s="385"/>
      <c r="AH60" s="595"/>
      <c r="AI60" s="596"/>
      <c r="AJ60" s="386">
        <f t="shared" si="11"/>
        <v>0</v>
      </c>
      <c r="AK60" s="387"/>
      <c r="AL60" s="335">
        <f t="shared" si="21"/>
        <v>0</v>
      </c>
      <c r="AM60" s="336"/>
      <c r="AN60" s="333">
        <f t="shared" si="13"/>
        <v>0</v>
      </c>
      <c r="AO60" s="334"/>
      <c r="AP60" s="376">
        <f t="shared" si="14"/>
        <v>0</v>
      </c>
      <c r="AQ60" s="377"/>
      <c r="AR60" s="378">
        <f t="shared" si="15"/>
        <v>84</v>
      </c>
      <c r="AS60" s="379"/>
      <c r="AT60" s="333">
        <f t="shared" si="2"/>
        <v>0</v>
      </c>
      <c r="AU60" s="334"/>
      <c r="AV60" s="271"/>
      <c r="AW60" s="272"/>
      <c r="AX60" s="271">
        <f t="shared" si="7"/>
        <v>0</v>
      </c>
      <c r="AY60" s="272"/>
      <c r="AZ60" s="380">
        <f t="shared" si="20"/>
        <v>600</v>
      </c>
      <c r="BA60" s="381"/>
      <c r="BB60" s="372">
        <f t="shared" si="3"/>
        <v>600</v>
      </c>
      <c r="BC60" s="373"/>
      <c r="BD60" s="393">
        <f t="shared" si="17"/>
        <v>600</v>
      </c>
      <c r="BE60" s="372"/>
      <c r="BF60" s="372">
        <f t="shared" si="18"/>
        <v>0</v>
      </c>
      <c r="BG60" s="373"/>
      <c r="BH60" s="374" t="str">
        <f t="shared" si="19"/>
        <v/>
      </c>
      <c r="BI60" s="375"/>
      <c r="BJ60" s="564"/>
      <c r="BK60" s="565"/>
      <c r="BL60" s="568"/>
      <c r="BM60" s="570"/>
      <c r="CC60" s="138" t="s">
        <v>227</v>
      </c>
      <c r="CD60" s="337" t="str">
        <f t="shared" si="4"/>
        <v>※内税10%</v>
      </c>
      <c r="CE60" s="337"/>
      <c r="CF60" s="338"/>
      <c r="CR60" s="103" t="s">
        <v>201</v>
      </c>
      <c r="CW60" s="103" t="s">
        <v>228</v>
      </c>
      <c r="CX60" s="102" t="s">
        <v>30</v>
      </c>
      <c r="CY60" s="103" t="s">
        <v>229</v>
      </c>
    </row>
    <row r="61" spans="1:103" ht="15" customHeight="1">
      <c r="A61" s="100">
        <f t="shared" si="5"/>
        <v>69</v>
      </c>
      <c r="B61" s="388" t="s">
        <v>226</v>
      </c>
      <c r="C61" s="388"/>
      <c r="D61" s="388"/>
      <c r="E61" s="388"/>
      <c r="F61" s="388" t="str" cm="1">
        <f t="array" ref="F61">TRIM(SUBSTITUTE(SUBSTITUTE(INDEX(CR:CR,MATCH("      item_no: "&amp;A61&amp;",",CR:CR,0)+9,1),"item_name: ",""),",",""))</f>
        <v>テリア　メンソール　１個</v>
      </c>
      <c r="G61" s="388"/>
      <c r="H61" s="388"/>
      <c r="I61" s="388"/>
      <c r="J61" s="388"/>
      <c r="K61" s="388"/>
      <c r="L61" s="398" t="str" cm="1">
        <f t="array" ref="L61">TRIM(SUBSTITUTE(SUBSTITUTE(INDEX(CR:CR,MATCH("      item_no: "&amp;A61&amp;",",CR:CR,0)+3,1),"item_scan_code: ",""),",",""))</f>
        <v>7622100832898</v>
      </c>
      <c r="M61" s="398"/>
      <c r="N61" s="398"/>
      <c r="O61" s="398"/>
      <c r="P61" s="398"/>
      <c r="Q61" s="403" cm="1">
        <f t="array" ref="Q61">IF(AF61="true","",TRIM(SUBSTITUTE(SUBSTITUTE(INDEX(CR:CR,MATCH("      item_no: "&amp;A61&amp;",",CR:CR,0)+13,1),"item_price_fmt: ￥",""),",",""))+0)</f>
        <v>580</v>
      </c>
      <c r="R61" s="404"/>
      <c r="S61" s="391">
        <f t="shared" si="10"/>
        <v>0</v>
      </c>
      <c r="T61" s="392"/>
      <c r="U61" s="404" cm="1">
        <f t="array" ref="U61">IF(AF61="true","",TRIM(SUBSTITUTE(SUBSTITUTE(INDEX(CR:CR,MATCH("      item_no: "&amp;A61&amp;",",CR:CR,0)+14,1),"item_price_discount_fmt: ￥",""),",",""))+0)</f>
        <v>580</v>
      </c>
      <c r="V61" s="405"/>
      <c r="W61" s="279">
        <f ca="1">INT(SUMIF($Y$10:$AA61,"外税8%",$U$10:$V61)*1.08)+INT(SUMIF($Y$10:$AA61,"外税10%",$U$10:$V61)*1.1)+SUMIF($Y$10:$AA61,"内税10%",$U$10:$V61)+SUMIF($Y$10:$AA61,"非課税",$U$10:$V61)</f>
        <v>19251</v>
      </c>
      <c r="X61" s="280"/>
      <c r="Y61" s="382" t="str" cm="1">
        <f t="array" ref="Y61">TRIM(SUBSTITUTE(SUBSTITUTE(INDEX(CR:CR,MATCH("      item_no: "&amp;A61&amp;",",CR:CR,0)+15,1),"item_tax_fmt: ",""),",",""))</f>
        <v>内税10%</v>
      </c>
      <c r="Z61" s="383"/>
      <c r="AA61" s="383"/>
      <c r="AB61" s="384" t="str" cm="1">
        <f t="array" ref="AB61">TRIM(SUBSTITUTE(SUBSTITUTE(INDEX(CR:CR,MATCH("      item_no: "&amp;A61&amp;",",CR:CR,0)+18,1),"discount_prohibition:",""),",",""))</f>
        <v>1</v>
      </c>
      <c r="AC61" s="384"/>
      <c r="AD61" s="394" t="str">
        <f t="shared" si="6"/>
        <v>内税10%+1</v>
      </c>
      <c r="AE61" s="395"/>
      <c r="AF61" s="385" t="str" cm="1">
        <f t="array" ref="AF61">TRIM(SUBSTITUTE(SUBSTITUTE(INDEX(CR:CR,MATCH("      item_no: "&amp;A61&amp;",",CR:CR,0)+1,1),"item_cancel_line: ",""),",",""))</f>
        <v>false</v>
      </c>
      <c r="AG61" s="385"/>
      <c r="AH61" s="595"/>
      <c r="AI61" s="596"/>
      <c r="AJ61" s="386">
        <f t="shared" si="11"/>
        <v>0</v>
      </c>
      <c r="AK61" s="387"/>
      <c r="AL61" s="335">
        <f t="shared" si="21"/>
        <v>0</v>
      </c>
      <c r="AM61" s="336"/>
      <c r="AN61" s="333">
        <f t="shared" si="13"/>
        <v>0</v>
      </c>
      <c r="AO61" s="334"/>
      <c r="AP61" s="376">
        <f t="shared" si="14"/>
        <v>0</v>
      </c>
      <c r="AQ61" s="377"/>
      <c r="AR61" s="378">
        <f t="shared" si="15"/>
        <v>84</v>
      </c>
      <c r="AS61" s="379"/>
      <c r="AT61" s="333">
        <f t="shared" si="2"/>
        <v>0</v>
      </c>
      <c r="AU61" s="334"/>
      <c r="AV61" s="271"/>
      <c r="AW61" s="272"/>
      <c r="AX61" s="271">
        <f t="shared" si="7"/>
        <v>0</v>
      </c>
      <c r="AY61" s="272"/>
      <c r="AZ61" s="380">
        <f t="shared" si="20"/>
        <v>580</v>
      </c>
      <c r="BA61" s="381"/>
      <c r="BB61" s="372">
        <f t="shared" si="3"/>
        <v>580</v>
      </c>
      <c r="BC61" s="373"/>
      <c r="BD61" s="393">
        <f t="shared" si="17"/>
        <v>580</v>
      </c>
      <c r="BE61" s="372"/>
      <c r="BF61" s="372">
        <f t="shared" si="18"/>
        <v>0</v>
      </c>
      <c r="BG61" s="373"/>
      <c r="BH61" s="374" t="str">
        <f t="shared" si="19"/>
        <v/>
      </c>
      <c r="BI61" s="375"/>
      <c r="BJ61" s="564"/>
      <c r="BK61" s="565"/>
      <c r="BL61" s="568"/>
      <c r="BM61" s="570"/>
      <c r="CC61" s="138" t="s">
        <v>227</v>
      </c>
      <c r="CD61" s="337" t="str">
        <f t="shared" si="4"/>
        <v>※内税10%</v>
      </c>
      <c r="CE61" s="337"/>
      <c r="CF61" s="338"/>
      <c r="CR61" s="103" t="s">
        <v>204</v>
      </c>
      <c r="CW61" s="103" t="s">
        <v>230</v>
      </c>
      <c r="CX61" s="102" t="s">
        <v>30</v>
      </c>
      <c r="CY61" s="103" t="s">
        <v>231</v>
      </c>
    </row>
    <row r="62" spans="1:103" ht="15" customHeight="1">
      <c r="A62" s="100">
        <f t="shared" si="5"/>
        <v>68</v>
      </c>
      <c r="B62" s="388" t="s">
        <v>232</v>
      </c>
      <c r="C62" s="388"/>
      <c r="D62" s="388"/>
      <c r="E62" s="388"/>
      <c r="F62" s="388" t="str" cm="1">
        <f t="array" ref="F62">TRIM(SUBSTITUTE(SUBSTITUTE(INDEX(CR:CR,MATCH("      item_no: "&amp;A62&amp;",",CR:CR,0)+9,1),"item_name: ",""),",",""))</f>
        <v>武蔵野市指定ゴミ袋　２０リットル</v>
      </c>
      <c r="G62" s="388"/>
      <c r="H62" s="388"/>
      <c r="I62" s="388"/>
      <c r="J62" s="388"/>
      <c r="K62" s="388"/>
      <c r="L62" s="398" t="str" cm="1">
        <f t="array" ref="L62">TRIM(SUBSTITUTE(SUBSTITUTE(INDEX(CR:CR,MATCH("      item_no: "&amp;A62&amp;",",CR:CR,0)+3,1),"item_scan_code: ",""),",",""))</f>
        <v>4535508000086</v>
      </c>
      <c r="M62" s="398"/>
      <c r="N62" s="398"/>
      <c r="O62" s="398"/>
      <c r="P62" s="398"/>
      <c r="Q62" s="403" cm="1">
        <f t="array" ref="Q62">IF(AF62="true","",TRIM(SUBSTITUTE(SUBSTITUTE(INDEX(CR:CR,MATCH("      item_no: "&amp;A62&amp;",",CR:CR,0)+13,1),"item_price_fmt: ￥",""),",",""))+0)</f>
        <v>400</v>
      </c>
      <c r="R62" s="404"/>
      <c r="S62" s="391">
        <f t="shared" si="10"/>
        <v>0</v>
      </c>
      <c r="T62" s="392"/>
      <c r="U62" s="404" cm="1">
        <f t="array" ref="U62">IF(AF62="true","",TRIM(SUBSTITUTE(SUBSTITUTE(INDEX(CR:CR,MATCH("      item_no: "&amp;A62&amp;",",CR:CR,0)+14,1),"item_price_discount_fmt: ￥",""),",",""))+0)</f>
        <v>400</v>
      </c>
      <c r="V62" s="405"/>
      <c r="W62" s="279">
        <f ca="1">INT(SUMIF($Y$10:$AA62,"外税8%",$U$10:$V62)*1.08)+INT(SUMIF($Y$10:$AA62,"外税10%",$U$10:$V62)*1.1)+SUMIF($Y$10:$AA62,"内税10%",$U$10:$V62)+SUMIF($Y$10:$AA62,"非課税",$U$10:$V62)</f>
        <v>19651</v>
      </c>
      <c r="X62" s="280"/>
      <c r="Y62" s="382" t="str" cm="1">
        <f t="array" ref="Y62">TRIM(SUBSTITUTE(SUBSTITUTE(INDEX(CR:CR,MATCH("      item_no: "&amp;A62&amp;",",CR:CR,0)+15,1),"item_tax_fmt: ",""),",",""))</f>
        <v>内税10%</v>
      </c>
      <c r="Z62" s="383"/>
      <c r="AA62" s="383"/>
      <c r="AB62" s="384" t="str" cm="1">
        <f t="array" ref="AB62">TRIM(SUBSTITUTE(SUBSTITUTE(INDEX(CR:CR,MATCH("      item_no: "&amp;A62&amp;",",CR:CR,0)+18,1),"discount_prohibition:",""),",",""))</f>
        <v>1</v>
      </c>
      <c r="AC62" s="384"/>
      <c r="AD62" s="394" t="str">
        <f t="shared" si="6"/>
        <v>内税10%+1</v>
      </c>
      <c r="AE62" s="395"/>
      <c r="AF62" s="385" t="str" cm="1">
        <f t="array" ref="AF62">TRIM(SUBSTITUTE(SUBSTITUTE(INDEX(CR:CR,MATCH("      item_no: "&amp;A62&amp;",",CR:CR,0)+1,1),"item_cancel_line: ",""),",",""))</f>
        <v>false</v>
      </c>
      <c r="AG62" s="385"/>
      <c r="AH62" s="595"/>
      <c r="AI62" s="596"/>
      <c r="AJ62" s="386">
        <f t="shared" si="11"/>
        <v>0</v>
      </c>
      <c r="AK62" s="387"/>
      <c r="AL62" s="335">
        <f t="shared" si="21"/>
        <v>0</v>
      </c>
      <c r="AM62" s="336"/>
      <c r="AN62" s="333">
        <f t="shared" si="13"/>
        <v>0</v>
      </c>
      <c r="AO62" s="334"/>
      <c r="AP62" s="376">
        <f t="shared" si="14"/>
        <v>0</v>
      </c>
      <c r="AQ62" s="377"/>
      <c r="AR62" s="378">
        <f t="shared" si="15"/>
        <v>84</v>
      </c>
      <c r="AS62" s="379"/>
      <c r="AT62" s="333">
        <f t="shared" si="2"/>
        <v>0</v>
      </c>
      <c r="AU62" s="334"/>
      <c r="AV62" s="271"/>
      <c r="AW62" s="272"/>
      <c r="AX62" s="271">
        <f t="shared" si="7"/>
        <v>0</v>
      </c>
      <c r="AY62" s="272"/>
      <c r="AZ62" s="380">
        <f t="shared" si="20"/>
        <v>400</v>
      </c>
      <c r="BA62" s="381"/>
      <c r="BB62" s="372">
        <f t="shared" si="3"/>
        <v>400</v>
      </c>
      <c r="BC62" s="373"/>
      <c r="BD62" s="393">
        <f t="shared" si="17"/>
        <v>400</v>
      </c>
      <c r="BE62" s="372"/>
      <c r="BF62" s="372">
        <f t="shared" si="18"/>
        <v>0</v>
      </c>
      <c r="BG62" s="373"/>
      <c r="BH62" s="374" t="str">
        <f t="shared" si="19"/>
        <v/>
      </c>
      <c r="BI62" s="375"/>
      <c r="BJ62" s="564"/>
      <c r="BK62" s="565"/>
      <c r="BL62" s="568"/>
      <c r="BM62" s="570"/>
      <c r="CC62" s="138" t="s">
        <v>227</v>
      </c>
      <c r="CD62" s="337" t="str">
        <f t="shared" si="4"/>
        <v>※内税10%</v>
      </c>
      <c r="CE62" s="337"/>
      <c r="CF62" s="338"/>
      <c r="CR62" s="103" t="s">
        <v>233</v>
      </c>
      <c r="CW62" s="103" t="s">
        <v>234</v>
      </c>
      <c r="CX62" s="102" t="s">
        <v>30</v>
      </c>
      <c r="CY62" s="103" t="s">
        <v>235</v>
      </c>
    </row>
    <row r="63" spans="1:103" ht="15" customHeight="1">
      <c r="A63" s="100">
        <f t="shared" si="5"/>
        <v>67</v>
      </c>
      <c r="B63" s="388" t="s">
        <v>236</v>
      </c>
      <c r="C63" s="388"/>
      <c r="D63" s="388"/>
      <c r="E63" s="388"/>
      <c r="F63" s="388" t="str" cm="1">
        <f t="array" ref="F63">TRIM(SUBSTITUTE(SUBSTITUTE(INDEX(CR:CR,MATCH("      item_no: "&amp;A63&amp;",",CR:CR,0)+9,1),"item_name: ",""),",",""))</f>
        <v>ハガキ　８５円</v>
      </c>
      <c r="G63" s="388"/>
      <c r="H63" s="388"/>
      <c r="I63" s="388"/>
      <c r="J63" s="388"/>
      <c r="K63" s="388"/>
      <c r="L63" s="398" t="str" cm="1">
        <f t="array" ref="L63">TRIM(SUBSTITUTE(SUBSTITUTE(INDEX(CR:CR,MATCH("      item_no: "&amp;A63&amp;",",CR:CR,0)+3,1),"item_scan_code: ",""),",",""))</f>
        <v>05341801</v>
      </c>
      <c r="M63" s="398"/>
      <c r="N63" s="398"/>
      <c r="O63" s="398"/>
      <c r="P63" s="398"/>
      <c r="Q63" s="403" cm="1">
        <f t="array" ref="Q63">IF(AF63="true","",TRIM(SUBSTITUTE(SUBSTITUTE(INDEX(CR:CR,MATCH("      item_no: "&amp;A63&amp;",",CR:CR,0)+13,1),"item_price_fmt: ￥",""),",",""))+0)</f>
        <v>85</v>
      </c>
      <c r="R63" s="404"/>
      <c r="S63" s="391">
        <f t="shared" si="10"/>
        <v>0</v>
      </c>
      <c r="T63" s="392"/>
      <c r="U63" s="404" cm="1">
        <f t="array" ref="U63">IF(AF63="true","",TRIM(SUBSTITUTE(SUBSTITUTE(INDEX(CR:CR,MATCH("      item_no: "&amp;A63&amp;",",CR:CR,0)+14,1),"item_price_discount_fmt: ￥",""),",",""))+0)</f>
        <v>85</v>
      </c>
      <c r="V63" s="405"/>
      <c r="W63" s="279">
        <f ca="1">INT(SUMIF($Y$10:$AA63,"外税8%",$U$10:$V63)*1.08)+INT(SUMIF($Y$10:$AA63,"外税10%",$U$10:$V63)*1.1)+SUMIF($Y$10:$AA63,"内税10%",$U$10:$V63)+SUMIF($Y$10:$AA63,"非課税",$U$10:$V63)</f>
        <v>19736</v>
      </c>
      <c r="X63" s="280"/>
      <c r="Y63" s="382" t="str" cm="1">
        <f t="array" ref="Y63">TRIM(SUBSTITUTE(SUBSTITUTE(INDEX(CR:CR,MATCH("      item_no: "&amp;A63&amp;",",CR:CR,0)+15,1),"item_tax_fmt: ",""),",",""))</f>
        <v>非課税</v>
      </c>
      <c r="Z63" s="383"/>
      <c r="AA63" s="383"/>
      <c r="AB63" s="384" t="str" cm="1">
        <f t="array" ref="AB63">TRIM(SUBSTITUTE(SUBSTITUTE(INDEX(CR:CR,MATCH("      item_no: "&amp;A63&amp;",",CR:CR,0)+18,1),"discount_prohibition:",""),",",""))</f>
        <v>1</v>
      </c>
      <c r="AC63" s="384"/>
      <c r="AD63" s="394" t="str">
        <f t="shared" si="6"/>
        <v>非課税+1</v>
      </c>
      <c r="AE63" s="395"/>
      <c r="AF63" s="385" t="str" cm="1">
        <f t="array" ref="AF63">TRIM(SUBSTITUTE(SUBSTITUTE(INDEX(CR:CR,MATCH("      item_no: "&amp;A63&amp;",",CR:CR,0)+1,1),"item_cancel_line: ",""),",",""))</f>
        <v>false</v>
      </c>
      <c r="AG63" s="385"/>
      <c r="AH63" s="595"/>
      <c r="AI63" s="596"/>
      <c r="AJ63" s="386">
        <f t="shared" si="11"/>
        <v>0</v>
      </c>
      <c r="AK63" s="387"/>
      <c r="AL63" s="335">
        <f t="shared" si="21"/>
        <v>0</v>
      </c>
      <c r="AM63" s="336"/>
      <c r="AN63" s="333">
        <f t="shared" si="13"/>
        <v>0</v>
      </c>
      <c r="AO63" s="334"/>
      <c r="AP63" s="376">
        <f t="shared" si="14"/>
        <v>0</v>
      </c>
      <c r="AQ63" s="377"/>
      <c r="AR63" s="378">
        <f t="shared" si="15"/>
        <v>84</v>
      </c>
      <c r="AS63" s="379"/>
      <c r="AT63" s="333">
        <f t="shared" si="2"/>
        <v>0</v>
      </c>
      <c r="AU63" s="334"/>
      <c r="AV63" s="271"/>
      <c r="AW63" s="272"/>
      <c r="AX63" s="271">
        <f t="shared" si="7"/>
        <v>0</v>
      </c>
      <c r="AY63" s="272"/>
      <c r="AZ63" s="380">
        <f t="shared" si="20"/>
        <v>85</v>
      </c>
      <c r="BA63" s="381"/>
      <c r="BB63" s="372">
        <f t="shared" si="3"/>
        <v>85</v>
      </c>
      <c r="BC63" s="373"/>
      <c r="BD63" s="393">
        <f t="shared" si="17"/>
        <v>85</v>
      </c>
      <c r="BE63" s="372"/>
      <c r="BF63" s="372">
        <f t="shared" si="18"/>
        <v>0</v>
      </c>
      <c r="BG63" s="373"/>
      <c r="BH63" s="374" t="str">
        <f t="shared" si="19"/>
        <v/>
      </c>
      <c r="BI63" s="375"/>
      <c r="BJ63" s="564"/>
      <c r="BK63" s="565"/>
      <c r="BL63" s="568"/>
      <c r="BM63" s="570"/>
      <c r="CC63" s="138" t="s">
        <v>227</v>
      </c>
      <c r="CD63" s="337" t="str">
        <f t="shared" si="4"/>
        <v>※非課税</v>
      </c>
      <c r="CE63" s="337"/>
      <c r="CF63" s="338"/>
      <c r="CR63" s="103" t="s">
        <v>237</v>
      </c>
      <c r="CW63" s="103" t="s">
        <v>238</v>
      </c>
      <c r="CX63" s="102" t="s">
        <v>30</v>
      </c>
      <c r="CY63" s="103" t="s">
        <v>239</v>
      </c>
    </row>
    <row r="64" spans="1:103" ht="15" customHeight="1">
      <c r="A64" s="100">
        <f t="shared" si="5"/>
        <v>66</v>
      </c>
      <c r="B64" s="388" t="s">
        <v>240</v>
      </c>
      <c r="C64" s="388"/>
      <c r="D64" s="388"/>
      <c r="E64" s="388"/>
      <c r="F64" s="388" t="str" cm="1">
        <f t="array" ref="F64">TRIM(SUBSTITUTE(SUBSTITUTE(INDEX(CR:CR,MATCH("      item_no: "&amp;A64&amp;",",CR:CR,0)+9,1),"item_name: ",""),",",""))</f>
        <v>いなげや商品券　１０００円</v>
      </c>
      <c r="G64" s="388"/>
      <c r="H64" s="388"/>
      <c r="I64" s="388"/>
      <c r="J64" s="388"/>
      <c r="K64" s="388"/>
      <c r="L64" s="398" t="str" cm="1">
        <f t="array" ref="L64">TRIM(SUBSTITUTE(SUBSTITUTE(INDEX(CR:CR,MATCH("      item_no: "&amp;A64&amp;",",CR:CR,0)+3,1),"item_scan_code: ",""),",",""))</f>
        <v>03801000</v>
      </c>
      <c r="M64" s="398"/>
      <c r="N64" s="398"/>
      <c r="O64" s="398"/>
      <c r="P64" s="398"/>
      <c r="Q64" s="403" cm="1">
        <f t="array" ref="Q64">IF(AF64="true","",TRIM(SUBSTITUTE(SUBSTITUTE(INDEX(CR:CR,MATCH("      item_no: "&amp;A64&amp;",",CR:CR,0)+13,1),"item_price_fmt: ￥",""),",",""))+0)</f>
        <v>1000</v>
      </c>
      <c r="R64" s="404"/>
      <c r="S64" s="391">
        <f t="shared" si="10"/>
        <v>0</v>
      </c>
      <c r="T64" s="392"/>
      <c r="U64" s="404" cm="1">
        <f t="array" ref="U64">IF(AF64="true","",TRIM(SUBSTITUTE(SUBSTITUTE(INDEX(CR:CR,MATCH("      item_no: "&amp;A64&amp;",",CR:CR,0)+14,1),"item_price_discount_fmt: ￥",""),",",""))+0)</f>
        <v>1000</v>
      </c>
      <c r="V64" s="405"/>
      <c r="W64" s="279">
        <f ca="1">INT(SUMIF($Y$10:$AA64,"外税8%",$U$10:$V64)*1.08)+INT(SUMIF($Y$10:$AA64,"外税10%",$U$10:$V64)*1.1)+SUMIF($Y$10:$AA64,"内税10%",$U$10:$V64)+SUMIF($Y$10:$AA64,"非課税",$U$10:$V64)</f>
        <v>20736</v>
      </c>
      <c r="X64" s="280"/>
      <c r="Y64" s="382" t="str" cm="1">
        <f t="array" ref="Y64">TRIM(SUBSTITUTE(SUBSTITUTE(INDEX(CR:CR,MATCH("      item_no: "&amp;A64&amp;",",CR:CR,0)+15,1),"item_tax_fmt: ",""),",",""))</f>
        <v>非課税</v>
      </c>
      <c r="Z64" s="383"/>
      <c r="AA64" s="383"/>
      <c r="AB64" s="384" t="str" cm="1">
        <f t="array" ref="AB64">TRIM(SUBSTITUTE(SUBSTITUTE(INDEX(CR:CR,MATCH("      item_no: "&amp;A64&amp;",",CR:CR,0)+18,1),"discount_prohibition:",""),",",""))</f>
        <v>1</v>
      </c>
      <c r="AC64" s="384"/>
      <c r="AD64" s="394" t="str">
        <f t="shared" si="6"/>
        <v>非課税+1</v>
      </c>
      <c r="AE64" s="395"/>
      <c r="AF64" s="385" t="str" cm="1">
        <f t="array" ref="AF64">TRIM(SUBSTITUTE(SUBSTITUTE(INDEX(CR:CR,MATCH("      item_no: "&amp;A64&amp;",",CR:CR,0)+1,1),"item_cancel_line: ",""),",",""))</f>
        <v>false</v>
      </c>
      <c r="AG64" s="385"/>
      <c r="AH64" s="595"/>
      <c r="AI64" s="596"/>
      <c r="AJ64" s="386">
        <f t="shared" si="11"/>
        <v>0</v>
      </c>
      <c r="AK64" s="387"/>
      <c r="AL64" s="335">
        <f t="shared" si="21"/>
        <v>0</v>
      </c>
      <c r="AM64" s="336"/>
      <c r="AN64" s="333">
        <f t="shared" si="13"/>
        <v>0</v>
      </c>
      <c r="AO64" s="334"/>
      <c r="AP64" s="376">
        <f t="shared" si="14"/>
        <v>0</v>
      </c>
      <c r="AQ64" s="377"/>
      <c r="AR64" s="378">
        <f t="shared" si="15"/>
        <v>84</v>
      </c>
      <c r="AS64" s="379"/>
      <c r="AT64" s="333">
        <f t="shared" si="2"/>
        <v>0</v>
      </c>
      <c r="AU64" s="334"/>
      <c r="AV64" s="271"/>
      <c r="AW64" s="272"/>
      <c r="AX64" s="271">
        <f t="shared" si="7"/>
        <v>0</v>
      </c>
      <c r="AY64" s="272"/>
      <c r="AZ64" s="380">
        <f t="shared" si="20"/>
        <v>1000</v>
      </c>
      <c r="BA64" s="381"/>
      <c r="BB64" s="372">
        <f t="shared" si="3"/>
        <v>1000</v>
      </c>
      <c r="BC64" s="373"/>
      <c r="BD64" s="393">
        <f t="shared" si="17"/>
        <v>1000</v>
      </c>
      <c r="BE64" s="372"/>
      <c r="BF64" s="372">
        <f t="shared" si="18"/>
        <v>0</v>
      </c>
      <c r="BG64" s="373"/>
      <c r="BH64" s="374" t="str">
        <f t="shared" si="19"/>
        <v/>
      </c>
      <c r="BI64" s="375"/>
      <c r="BJ64" s="564"/>
      <c r="BK64" s="565"/>
      <c r="BL64" s="568"/>
      <c r="BM64" s="570"/>
      <c r="CC64" s="138" t="s">
        <v>227</v>
      </c>
      <c r="CD64" s="337" t="str">
        <f t="shared" si="4"/>
        <v>※非課税</v>
      </c>
      <c r="CE64" s="337"/>
      <c r="CF64" s="338"/>
      <c r="CR64" s="103" t="s">
        <v>163</v>
      </c>
      <c r="CW64" s="103" t="s">
        <v>241</v>
      </c>
      <c r="CX64" s="102" t="s">
        <v>30</v>
      </c>
      <c r="CY64" s="103" t="s">
        <v>242</v>
      </c>
    </row>
    <row r="65" spans="1:103" ht="15" customHeight="1">
      <c r="A65" s="100">
        <f t="shared" si="5"/>
        <v>65</v>
      </c>
      <c r="B65" s="388" t="s">
        <v>236</v>
      </c>
      <c r="C65" s="388"/>
      <c r="D65" s="388"/>
      <c r="E65" s="388"/>
      <c r="F65" s="388" t="str" cm="1">
        <f t="array" ref="F65">TRIM(SUBSTITUTE(SUBSTITUTE(INDEX(CR:CR,MATCH("      item_no: "&amp;A65&amp;",",CR:CR,0)+9,1),"item_name: ",""),",",""))</f>
        <v>ビール共通ギフト券３５０×２缶券　Ｋ１１</v>
      </c>
      <c r="G65" s="388"/>
      <c r="H65" s="388"/>
      <c r="I65" s="388"/>
      <c r="J65" s="388"/>
      <c r="K65" s="388"/>
      <c r="L65" s="398" t="str" cm="1">
        <f t="array" ref="L65">TRIM(SUBSTITUTE(SUBSTITUTE(INDEX(CR:CR,MATCH("      item_no: "&amp;A65&amp;",",CR:CR,0)+3,1),"item_scan_code: ",""),",",""))</f>
        <v>4959092600109</v>
      </c>
      <c r="M65" s="398"/>
      <c r="N65" s="398"/>
      <c r="O65" s="398"/>
      <c r="P65" s="398"/>
      <c r="Q65" s="403" cm="1">
        <f t="array" ref="Q65">IF(AF65="true","",TRIM(SUBSTITUTE(SUBSTITUTE(INDEX(CR:CR,MATCH("      item_no: "&amp;A65&amp;",",CR:CR,0)+13,1),"item_price_fmt: ￥",""),",",""))+0)</f>
        <v>560</v>
      </c>
      <c r="R65" s="404"/>
      <c r="S65" s="391">
        <f t="shared" si="10"/>
        <v>0</v>
      </c>
      <c r="T65" s="392"/>
      <c r="U65" s="404" cm="1">
        <f t="array" ref="U65">IF(AF65="true","",TRIM(SUBSTITUTE(SUBSTITUTE(INDEX(CR:CR,MATCH("      item_no: "&amp;A65&amp;",",CR:CR,0)+14,1),"item_price_discount_fmt: ￥",""),",",""))+0)</f>
        <v>560</v>
      </c>
      <c r="V65" s="405"/>
      <c r="W65" s="279">
        <f ca="1">INT(SUMIF($Y$10:$AA65,"外税8%",$U$10:$V65)*1.08)+INT(SUMIF($Y$10:$AA65,"外税10%",$U$10:$V65)*1.1)+SUMIF($Y$10:$AA65,"内税10%",$U$10:$V65)+SUMIF($Y$10:$AA65,"非課税",$U$10:$V65)</f>
        <v>21296</v>
      </c>
      <c r="X65" s="280"/>
      <c r="Y65" s="382" t="str" cm="1">
        <f t="array" ref="Y65">TRIM(SUBSTITUTE(SUBSTITUTE(INDEX(CR:CR,MATCH("      item_no: "&amp;A65&amp;",",CR:CR,0)+15,1),"item_tax_fmt: ",""),",",""))</f>
        <v>非課税</v>
      </c>
      <c r="Z65" s="383"/>
      <c r="AA65" s="383"/>
      <c r="AB65" s="384" t="str" cm="1">
        <f t="array" ref="AB65">TRIM(SUBSTITUTE(SUBSTITUTE(INDEX(CR:CR,MATCH("      item_no: "&amp;A65&amp;",",CR:CR,0)+18,1),"discount_prohibition:",""),",",""))</f>
        <v>1</v>
      </c>
      <c r="AC65" s="384"/>
      <c r="AD65" s="394" t="str">
        <f t="shared" si="6"/>
        <v>非課税+1</v>
      </c>
      <c r="AE65" s="395"/>
      <c r="AF65" s="385" t="str" cm="1">
        <f t="array" ref="AF65">TRIM(SUBSTITUTE(SUBSTITUTE(INDEX(CR:CR,MATCH("      item_no: "&amp;A65&amp;",",CR:CR,0)+1,1),"item_cancel_line: ",""),",",""))</f>
        <v>false</v>
      </c>
      <c r="AG65" s="385"/>
      <c r="AH65" s="595"/>
      <c r="AI65" s="596"/>
      <c r="AJ65" s="386">
        <f t="shared" si="11"/>
        <v>0</v>
      </c>
      <c r="AK65" s="387"/>
      <c r="AL65" s="335">
        <f t="shared" si="21"/>
        <v>0</v>
      </c>
      <c r="AM65" s="336"/>
      <c r="AN65" s="333">
        <f t="shared" si="13"/>
        <v>0</v>
      </c>
      <c r="AO65" s="334"/>
      <c r="AP65" s="376">
        <f t="shared" si="14"/>
        <v>0</v>
      </c>
      <c r="AQ65" s="377"/>
      <c r="AR65" s="378">
        <f t="shared" si="15"/>
        <v>84</v>
      </c>
      <c r="AS65" s="379"/>
      <c r="AT65" s="333">
        <f t="shared" si="2"/>
        <v>0</v>
      </c>
      <c r="AU65" s="334"/>
      <c r="AV65" s="271"/>
      <c r="AW65" s="272"/>
      <c r="AX65" s="271">
        <f t="shared" si="7"/>
        <v>0</v>
      </c>
      <c r="AY65" s="272"/>
      <c r="AZ65" s="380">
        <f t="shared" si="20"/>
        <v>560</v>
      </c>
      <c r="BA65" s="381"/>
      <c r="BB65" s="372">
        <f t="shared" si="3"/>
        <v>560</v>
      </c>
      <c r="BC65" s="373"/>
      <c r="BD65" s="393">
        <f t="shared" si="17"/>
        <v>560</v>
      </c>
      <c r="BE65" s="372"/>
      <c r="BF65" s="372">
        <f t="shared" si="18"/>
        <v>0</v>
      </c>
      <c r="BG65" s="373"/>
      <c r="BH65" s="374" t="str">
        <f t="shared" si="19"/>
        <v/>
      </c>
      <c r="BI65" s="375"/>
      <c r="BJ65" s="564"/>
      <c r="BK65" s="565"/>
      <c r="BL65" s="568"/>
      <c r="BM65" s="570"/>
      <c r="CC65" s="138" t="s">
        <v>227</v>
      </c>
      <c r="CD65" s="337" t="str">
        <f t="shared" si="4"/>
        <v>※非課税</v>
      </c>
      <c r="CE65" s="337"/>
      <c r="CF65" s="338"/>
      <c r="CR65" s="103" t="s">
        <v>135</v>
      </c>
      <c r="CW65" s="103" t="s">
        <v>243</v>
      </c>
      <c r="CX65" s="102" t="s">
        <v>30</v>
      </c>
      <c r="CY65" s="103" t="s">
        <v>244</v>
      </c>
    </row>
    <row r="66" spans="1:103" ht="15" customHeight="1">
      <c r="A66" s="100">
        <f t="shared" si="5"/>
        <v>64</v>
      </c>
      <c r="B66" s="388" t="s">
        <v>236</v>
      </c>
      <c r="C66" s="388"/>
      <c r="D66" s="388"/>
      <c r="E66" s="388"/>
      <c r="F66" s="388" t="str" cm="1">
        <f t="array" ref="F66">TRIM(SUBSTITUTE(SUBSTITUTE(INDEX(CR:CR,MATCH("      item_no: "&amp;A66&amp;",",CR:CR,0)+9,1),"item_name: ",""),",",""))</f>
        <v>ビール共通ギフト券　大瓶２本券　Ａー２５</v>
      </c>
      <c r="G66" s="388"/>
      <c r="H66" s="388"/>
      <c r="I66" s="388"/>
      <c r="J66" s="388"/>
      <c r="K66" s="388"/>
      <c r="L66" s="398" t="str" cm="1">
        <f t="array" ref="L66">TRIM(SUBSTITUTE(SUBSTITUTE(INDEX(CR:CR,MATCH("      item_no: "&amp;A66&amp;",",CR:CR,0)+3,1),"item_scan_code: ",""),",",""))</f>
        <v>4959092100159</v>
      </c>
      <c r="M66" s="398"/>
      <c r="N66" s="398"/>
      <c r="O66" s="398"/>
      <c r="P66" s="398"/>
      <c r="Q66" s="403" cm="1">
        <f t="array" ref="Q66">IF(AF66="true","",TRIM(SUBSTITUTE(SUBSTITUTE(INDEX(CR:CR,MATCH("      item_no: "&amp;A66&amp;",",CR:CR,0)+13,1),"item_price_fmt: ￥",""),",",""))+0)</f>
        <v>915</v>
      </c>
      <c r="R66" s="404"/>
      <c r="S66" s="391">
        <f t="shared" si="10"/>
        <v>0</v>
      </c>
      <c r="T66" s="392"/>
      <c r="U66" s="404" cm="1">
        <f t="array" ref="U66">IF(AF66="true","",TRIM(SUBSTITUTE(SUBSTITUTE(INDEX(CR:CR,MATCH("      item_no: "&amp;A66&amp;",",CR:CR,0)+14,1),"item_price_discount_fmt: ￥",""),",",""))+0)</f>
        <v>915</v>
      </c>
      <c r="V66" s="405"/>
      <c r="W66" s="279">
        <f ca="1">INT(SUMIF($Y$10:$AA66,"外税8%",$U$10:$V66)*1.08)+INT(SUMIF($Y$10:$AA66,"外税10%",$U$10:$V66)*1.1)+SUMIF($Y$10:$AA66,"内税10%",$U$10:$V66)+SUMIF($Y$10:$AA66,"非課税",$U$10:$V66)</f>
        <v>22211</v>
      </c>
      <c r="X66" s="280"/>
      <c r="Y66" s="382" t="str" cm="1">
        <f t="array" ref="Y66">TRIM(SUBSTITUTE(SUBSTITUTE(INDEX(CR:CR,MATCH("      item_no: "&amp;A66&amp;",",CR:CR,0)+15,1),"item_tax_fmt: ",""),",",""))</f>
        <v>非課税</v>
      </c>
      <c r="Z66" s="383"/>
      <c r="AA66" s="383"/>
      <c r="AB66" s="384" t="str" cm="1">
        <f t="array" ref="AB66">TRIM(SUBSTITUTE(SUBSTITUTE(INDEX(CR:CR,MATCH("      item_no: "&amp;A66&amp;",",CR:CR,0)+18,1),"discount_prohibition:",""),",",""))</f>
        <v>1</v>
      </c>
      <c r="AC66" s="384"/>
      <c r="AD66" s="394" t="str">
        <f t="shared" si="6"/>
        <v>非課税+1</v>
      </c>
      <c r="AE66" s="395"/>
      <c r="AF66" s="385" t="str" cm="1">
        <f t="array" ref="AF66">TRIM(SUBSTITUTE(SUBSTITUTE(INDEX(CR:CR,MATCH("      item_no: "&amp;A66&amp;",",CR:CR,0)+1,1),"item_cancel_line: ",""),",",""))</f>
        <v>false</v>
      </c>
      <c r="AG66" s="385"/>
      <c r="AH66" s="595"/>
      <c r="AI66" s="596"/>
      <c r="AJ66" s="386">
        <f t="shared" si="11"/>
        <v>0</v>
      </c>
      <c r="AK66" s="387"/>
      <c r="AL66" s="335">
        <f t="shared" si="21"/>
        <v>0</v>
      </c>
      <c r="AM66" s="336"/>
      <c r="AN66" s="333">
        <f t="shared" si="13"/>
        <v>0</v>
      </c>
      <c r="AO66" s="334"/>
      <c r="AP66" s="376">
        <f t="shared" si="14"/>
        <v>0</v>
      </c>
      <c r="AQ66" s="377"/>
      <c r="AR66" s="378">
        <f t="shared" si="15"/>
        <v>84</v>
      </c>
      <c r="AS66" s="379"/>
      <c r="AT66" s="333">
        <f t="shared" si="2"/>
        <v>0</v>
      </c>
      <c r="AU66" s="334"/>
      <c r="AV66" s="271"/>
      <c r="AW66" s="272"/>
      <c r="AX66" s="271">
        <f t="shared" si="7"/>
        <v>0</v>
      </c>
      <c r="AY66" s="272"/>
      <c r="AZ66" s="380">
        <f t="shared" si="20"/>
        <v>915</v>
      </c>
      <c r="BA66" s="381"/>
      <c r="BB66" s="372">
        <f t="shared" si="3"/>
        <v>915</v>
      </c>
      <c r="BC66" s="373"/>
      <c r="BD66" s="393">
        <f t="shared" si="17"/>
        <v>915</v>
      </c>
      <c r="BE66" s="372"/>
      <c r="BF66" s="372">
        <f t="shared" si="18"/>
        <v>0</v>
      </c>
      <c r="BG66" s="373"/>
      <c r="BH66" s="374" t="str">
        <f t="shared" si="19"/>
        <v/>
      </c>
      <c r="BI66" s="375"/>
      <c r="BJ66" s="564"/>
      <c r="BK66" s="565"/>
      <c r="BL66" s="568"/>
      <c r="BM66" s="570"/>
      <c r="CC66" s="138" t="s">
        <v>227</v>
      </c>
      <c r="CD66" s="337" t="str">
        <f t="shared" si="4"/>
        <v>※非課税</v>
      </c>
      <c r="CE66" s="337"/>
      <c r="CF66" s="338"/>
      <c r="CR66" s="103" t="s">
        <v>245</v>
      </c>
      <c r="CW66" s="103" t="s">
        <v>246</v>
      </c>
      <c r="CX66" s="102" t="s">
        <v>30</v>
      </c>
      <c r="CY66" s="103" t="s">
        <v>247</v>
      </c>
    </row>
    <row r="67" spans="1:103" ht="15" customHeight="1">
      <c r="A67" s="100">
        <f t="shared" si="5"/>
        <v>63</v>
      </c>
      <c r="B67" s="388" t="s">
        <v>236</v>
      </c>
      <c r="C67" s="388"/>
      <c r="D67" s="388"/>
      <c r="E67" s="388"/>
      <c r="F67" s="388" t="str" cm="1">
        <f t="array" ref="F67">TRIM(SUBSTITUTE(SUBSTITUTE(INDEX(CR:CR,MATCH("      item_no: "&amp;A67&amp;",",CR:CR,0)+9,1),"item_name: ",""),",",""))</f>
        <v>全農連　おこめギフト券　１Ｋｇ</v>
      </c>
      <c r="G67" s="388"/>
      <c r="H67" s="388"/>
      <c r="I67" s="388"/>
      <c r="J67" s="388"/>
      <c r="K67" s="388"/>
      <c r="L67" s="398" t="str" cm="1">
        <f t="array" ref="L67">TRIM(SUBSTITUTE(SUBSTITUTE(INDEX(CR:CR,MATCH("      item_no: "&amp;A67&amp;",",CR:CR,0)+3,1),"item_scan_code: ",""),",",""))</f>
        <v>4908010721006</v>
      </c>
      <c r="M67" s="398"/>
      <c r="N67" s="398"/>
      <c r="O67" s="398"/>
      <c r="P67" s="398"/>
      <c r="Q67" s="403" cm="1">
        <f t="array" ref="Q67">IF(AF67="true","",TRIM(SUBSTITUTE(SUBSTITUTE(INDEX(CR:CR,MATCH("      item_no: "&amp;A67&amp;",",CR:CR,0)+13,1),"item_price_fmt: ￥",""),",",""))+0)</f>
        <v>500</v>
      </c>
      <c r="R67" s="404"/>
      <c r="S67" s="391">
        <f t="shared" si="10"/>
        <v>0</v>
      </c>
      <c r="T67" s="392"/>
      <c r="U67" s="404" cm="1">
        <f t="array" ref="U67">IF(AF67="true","",TRIM(SUBSTITUTE(SUBSTITUTE(INDEX(CR:CR,MATCH("      item_no: "&amp;A67&amp;",",CR:CR,0)+14,1),"item_price_discount_fmt: ￥",""),",",""))+0)</f>
        <v>500</v>
      </c>
      <c r="V67" s="405"/>
      <c r="W67" s="279">
        <f ca="1">INT(SUMIF($Y$10:$AA67,"外税8%",$U$10:$V67)*1.08)+INT(SUMIF($Y$10:$AA67,"外税10%",$U$10:$V67)*1.1)+SUMIF($Y$10:$AA67,"内税10%",$U$10:$V67)+SUMIF($Y$10:$AA67,"非課税",$U$10:$V67)</f>
        <v>22711</v>
      </c>
      <c r="X67" s="280"/>
      <c r="Y67" s="382" t="str" cm="1">
        <f t="array" ref="Y67">TRIM(SUBSTITUTE(SUBSTITUTE(INDEX(CR:CR,MATCH("      item_no: "&amp;A67&amp;",",CR:CR,0)+15,1),"item_tax_fmt: ",""),",",""))</f>
        <v>非課税</v>
      </c>
      <c r="Z67" s="383"/>
      <c r="AA67" s="383"/>
      <c r="AB67" s="384" t="str" cm="1">
        <f t="array" ref="AB67">TRIM(SUBSTITUTE(SUBSTITUTE(INDEX(CR:CR,MATCH("      item_no: "&amp;A67&amp;",",CR:CR,0)+18,1),"discount_prohibition:",""),",",""))</f>
        <v>1</v>
      </c>
      <c r="AC67" s="384"/>
      <c r="AD67" s="394" t="str">
        <f t="shared" si="6"/>
        <v>非課税+1</v>
      </c>
      <c r="AE67" s="395"/>
      <c r="AF67" s="385" t="str" cm="1">
        <f t="array" ref="AF67">TRIM(SUBSTITUTE(SUBSTITUTE(INDEX(CR:CR,MATCH("      item_no: "&amp;A67&amp;",",CR:CR,0)+1,1),"item_cancel_line: ",""),",",""))</f>
        <v>false</v>
      </c>
      <c r="AG67" s="385"/>
      <c r="AH67" s="595"/>
      <c r="AI67" s="596"/>
      <c r="AJ67" s="386">
        <f t="shared" si="11"/>
        <v>0</v>
      </c>
      <c r="AK67" s="387"/>
      <c r="AL67" s="335">
        <f t="shared" si="21"/>
        <v>0</v>
      </c>
      <c r="AM67" s="336"/>
      <c r="AN67" s="333">
        <f t="shared" si="13"/>
        <v>0</v>
      </c>
      <c r="AO67" s="334"/>
      <c r="AP67" s="376">
        <f t="shared" si="14"/>
        <v>0</v>
      </c>
      <c r="AQ67" s="377"/>
      <c r="AR67" s="378">
        <f t="shared" si="15"/>
        <v>84</v>
      </c>
      <c r="AS67" s="379"/>
      <c r="AT67" s="333">
        <f t="shared" si="2"/>
        <v>0</v>
      </c>
      <c r="AU67" s="334"/>
      <c r="AV67" s="271"/>
      <c r="AW67" s="272"/>
      <c r="AX67" s="271">
        <f t="shared" si="7"/>
        <v>0</v>
      </c>
      <c r="AY67" s="272"/>
      <c r="AZ67" s="380">
        <f t="shared" si="20"/>
        <v>500</v>
      </c>
      <c r="BA67" s="381"/>
      <c r="BB67" s="372">
        <f t="shared" si="3"/>
        <v>500</v>
      </c>
      <c r="BC67" s="373"/>
      <c r="BD67" s="393">
        <f t="shared" si="17"/>
        <v>500</v>
      </c>
      <c r="BE67" s="372"/>
      <c r="BF67" s="372">
        <f t="shared" si="18"/>
        <v>0</v>
      </c>
      <c r="BG67" s="373"/>
      <c r="BH67" s="374" t="str">
        <f t="shared" si="19"/>
        <v/>
      </c>
      <c r="BI67" s="375"/>
      <c r="BJ67" s="564"/>
      <c r="BK67" s="565"/>
      <c r="BL67" s="568"/>
      <c r="BM67" s="570"/>
      <c r="CC67" s="138" t="s">
        <v>227</v>
      </c>
      <c r="CD67" s="337" t="str">
        <f t="shared" si="4"/>
        <v>※非課税</v>
      </c>
      <c r="CE67" s="337"/>
      <c r="CF67" s="338"/>
      <c r="CR67" s="103" t="s">
        <v>248</v>
      </c>
      <c r="CW67" s="103" t="s">
        <v>249</v>
      </c>
      <c r="CX67" s="102" t="s">
        <v>30</v>
      </c>
      <c r="CY67" s="103" t="s">
        <v>250</v>
      </c>
    </row>
    <row r="68" spans="1:103" ht="15" customHeight="1">
      <c r="A68" s="100">
        <f t="shared" si="5"/>
        <v>62</v>
      </c>
      <c r="B68" s="293" t="s">
        <v>158</v>
      </c>
      <c r="C68" s="293"/>
      <c r="D68" s="293"/>
      <c r="E68" s="293"/>
      <c r="F68" s="293" t="str" cm="1">
        <f t="array" ref="F68">TRIM(SUBSTITUTE(SUBSTITUTE(INDEX(CR:CR,MATCH("      item_no: "&amp;A68&amp;",",CR:CR,0)+9,1),"item_name: ",""),",",""))</f>
        <v>富士通商　お徳用　ブロッコリー</v>
      </c>
      <c r="G68" s="293"/>
      <c r="H68" s="293"/>
      <c r="I68" s="293"/>
      <c r="J68" s="293"/>
      <c r="K68" s="293"/>
      <c r="L68" s="399" t="str" cm="1">
        <f t="array" ref="L68">TRIM(SUBSTITUTE(SUBSTITUTE(INDEX(CR:CR,MATCH("      item_no: "&amp;A68&amp;",",CR:CR,0)+3,1),"item_scan_code: ",""),",",""))</f>
        <v>4967777017173</v>
      </c>
      <c r="M68" s="399"/>
      <c r="N68" s="399"/>
      <c r="O68" s="399"/>
      <c r="P68" s="399"/>
      <c r="Q68" s="400" cm="1">
        <f t="array" ref="Q68">IF(AF68="true","",TRIM(SUBSTITUTE(SUBSTITUTE(INDEX(CR:CR,MATCH("      item_no: "&amp;A68&amp;",",CR:CR,0)+13,1),"item_price_fmt: ￥",""),",",""))+0)</f>
        <v>359</v>
      </c>
      <c r="R68" s="401"/>
      <c r="S68" s="327">
        <f t="shared" si="10"/>
        <v>0</v>
      </c>
      <c r="T68" s="328"/>
      <c r="U68" s="401" cm="1">
        <f t="array" ref="U68">IF(AF68="true","",TRIM(SUBSTITUTE(SUBSTITUTE(INDEX(CR:CR,MATCH("      item_no: "&amp;A68&amp;",",CR:CR,0)+14,1),"item_price_discount_fmt: ￥",""),",",""))+0)</f>
        <v>359</v>
      </c>
      <c r="V68" s="402"/>
      <c r="W68" s="279">
        <f ca="1">INT(SUMIF($Y$10:$AA68,"外税8%",$U$10:$V68)*1.08)+INT(SUMIF($Y$10:$AA68,"外税10%",$U$10:$V68)*1.1)+SUMIF($Y$10:$AA68,"内税10%",$U$10:$V68)+SUMIF($Y$10:$AA68,"非課税",$U$10:$V68)</f>
        <v>23099</v>
      </c>
      <c r="X68" s="280"/>
      <c r="Y68" s="281" t="str" cm="1">
        <f t="array" ref="Y68">TRIM(SUBSTITUTE(SUBSTITUTE(INDEX(CR:CR,MATCH("      item_no: "&amp;A68&amp;",",CR:CR,0)+15,1),"item_tax_fmt: ",""),",",""))</f>
        <v>外税8%</v>
      </c>
      <c r="Z68" s="282"/>
      <c r="AA68" s="282"/>
      <c r="AB68" s="283" t="str" cm="1">
        <f t="array" ref="AB68">TRIM(SUBSTITUTE(SUBSTITUTE(INDEX(CR:CR,MATCH("      item_no: "&amp;A68&amp;",",CR:CR,0)+18,1),"discount_prohibition:",""),",",""))</f>
        <v>0</v>
      </c>
      <c r="AC68" s="283"/>
      <c r="AD68" s="214" t="str">
        <f t="shared" si="6"/>
        <v>外税8%+0</v>
      </c>
      <c r="AE68" s="215"/>
      <c r="AF68" s="284" t="str" cm="1">
        <f t="array" ref="AF68">TRIM(SUBSTITUTE(SUBSTITUTE(INDEX(CR:CR,MATCH("      item_no: "&amp;A68&amp;",",CR:CR,0)+1,1),"item_cancel_line: ",""),",",""))</f>
        <v>false</v>
      </c>
      <c r="AG68" s="284"/>
      <c r="AH68" s="595"/>
      <c r="AI68" s="596"/>
      <c r="AJ68" s="285">
        <f t="shared" si="11"/>
        <v>-17.95</v>
      </c>
      <c r="AK68" s="286"/>
      <c r="AL68" s="335">
        <f t="shared" ca="1" si="21"/>
        <v>-17.958422397163861</v>
      </c>
      <c r="AM68" s="336"/>
      <c r="AN68" s="333">
        <f t="shared" ca="1" si="13"/>
        <v>-18</v>
      </c>
      <c r="AO68" s="334"/>
      <c r="AP68" s="329">
        <f t="shared" si="14"/>
        <v>359</v>
      </c>
      <c r="AQ68" s="330"/>
      <c r="AR68" s="331">
        <f t="shared" si="15"/>
        <v>41</v>
      </c>
      <c r="AS68" s="332"/>
      <c r="AT68" s="333">
        <f t="shared" ca="1" si="2"/>
        <v>-18</v>
      </c>
      <c r="AU68" s="334"/>
      <c r="AV68" s="271"/>
      <c r="AW68" s="272"/>
      <c r="AX68" s="271">
        <f t="shared" ca="1" si="7"/>
        <v>-18</v>
      </c>
      <c r="AY68" s="272"/>
      <c r="AZ68" s="273">
        <f t="shared" ca="1" si="20"/>
        <v>341</v>
      </c>
      <c r="BA68" s="274"/>
      <c r="BB68" s="339">
        <f t="shared" ca="1" si="3"/>
        <v>368</v>
      </c>
      <c r="BC68" s="340"/>
      <c r="BD68" s="347">
        <f t="shared" si="17"/>
        <v>341</v>
      </c>
      <c r="BE68" s="339"/>
      <c r="BF68" s="339">
        <f t="shared" si="18"/>
        <v>-18</v>
      </c>
      <c r="BG68" s="340"/>
      <c r="BH68" s="341" t="str">
        <f t="shared" ca="1" si="19"/>
        <v/>
      </c>
      <c r="BI68" s="342"/>
      <c r="BJ68" s="564"/>
      <c r="BK68" s="565"/>
      <c r="BL68" s="568"/>
      <c r="BM68" s="570"/>
      <c r="CC68" s="138" t="s">
        <v>80</v>
      </c>
      <c r="CD68" s="337" t="str">
        <f t="shared" si="4"/>
        <v>外税8%</v>
      </c>
      <c r="CE68" s="337"/>
      <c r="CF68" s="338"/>
      <c r="CR68" s="103" t="s">
        <v>251</v>
      </c>
      <c r="CW68" s="103" t="s">
        <v>252</v>
      </c>
      <c r="CX68" s="102" t="s">
        <v>30</v>
      </c>
      <c r="CY68" s="103" t="s">
        <v>253</v>
      </c>
    </row>
    <row r="69" spans="1:103" ht="15" customHeight="1">
      <c r="A69" s="100">
        <f t="shared" si="5"/>
        <v>61</v>
      </c>
      <c r="B69" s="293" t="s">
        <v>134</v>
      </c>
      <c r="C69" s="293"/>
      <c r="D69" s="293"/>
      <c r="E69" s="293"/>
      <c r="F69" s="293" t="str" cm="1">
        <f t="array" ref="F69">TRIM(SUBSTITUTE(SUBSTITUTE(INDEX(CR:CR,MATCH("      item_no: "&amp;A69&amp;",",CR:CR,0)+9,1),"item_name: ",""),",",""))</f>
        <v>レジ袋</v>
      </c>
      <c r="G69" s="293"/>
      <c r="H69" s="293"/>
      <c r="I69" s="293"/>
      <c r="J69" s="293"/>
      <c r="K69" s="293"/>
      <c r="L69" s="399" t="str" cm="1">
        <f t="array" ref="L69">TRIM(SUBSTITUTE(SUBSTITUTE(INDEX(CR:CR,MATCH("      item_no: "&amp;A69&amp;",",CR:CR,0)+3,1),"item_scan_code: ",""),",",""))</f>
        <v>4901683053108</v>
      </c>
      <c r="M69" s="399"/>
      <c r="N69" s="399"/>
      <c r="O69" s="399"/>
      <c r="P69" s="399"/>
      <c r="Q69" s="400" cm="1">
        <f t="array" ref="Q69">IF(AF69="true","",TRIM(SUBSTITUTE(SUBSTITUTE(INDEX(CR:CR,MATCH("      item_no: "&amp;A69&amp;",",CR:CR,0)+13,1),"item_price_fmt: ￥",""),",",""))+0)</f>
        <v>5</v>
      </c>
      <c r="R69" s="401"/>
      <c r="S69" s="327">
        <f t="shared" si="10"/>
        <v>0</v>
      </c>
      <c r="T69" s="328"/>
      <c r="U69" s="401" cm="1">
        <f t="array" ref="U69">IF(AF69="true","",TRIM(SUBSTITUTE(SUBSTITUTE(INDEX(CR:CR,MATCH("      item_no: "&amp;A69&amp;",",CR:CR,0)+14,1),"item_price_discount_fmt: ￥",""),",",""))+0)</f>
        <v>5</v>
      </c>
      <c r="V69" s="402"/>
      <c r="W69" s="279">
        <f ca="1">INT(SUMIF($Y$10:$AA69,"外税8%",$U$10:$V69)*1.08)+INT(SUMIF($Y$10:$AA69,"外税10%",$U$10:$V69)*1.1)+SUMIF($Y$10:$AA69,"内税10%",$U$10:$V69)+SUMIF($Y$10:$AA69,"非課税",$U$10:$V69)</f>
        <v>23104</v>
      </c>
      <c r="X69" s="280"/>
      <c r="Y69" s="281" t="str" cm="1">
        <f t="array" ref="Y69">TRIM(SUBSTITUTE(SUBSTITUTE(INDEX(CR:CR,MATCH("      item_no: "&amp;A69&amp;",",CR:CR,0)+15,1),"item_tax_fmt: ",""),",",""))</f>
        <v>外税10%</v>
      </c>
      <c r="Z69" s="282"/>
      <c r="AA69" s="282"/>
      <c r="AB69" s="283" t="str" cm="1">
        <f t="array" ref="AB69">TRIM(SUBSTITUTE(SUBSTITUTE(INDEX(CR:CR,MATCH("      item_no: "&amp;A69&amp;",",CR:CR,0)+18,1),"discount_prohibition:",""),",",""))</f>
        <v>0</v>
      </c>
      <c r="AC69" s="283"/>
      <c r="AD69" s="214" t="str">
        <f t="shared" si="6"/>
        <v>外税10%+0</v>
      </c>
      <c r="AE69" s="215"/>
      <c r="AF69" s="284" t="str" cm="1">
        <f t="array" ref="AF69">TRIM(SUBSTITUTE(SUBSTITUTE(INDEX(CR:CR,MATCH("      item_no: "&amp;A69&amp;",",CR:CR,0)+1,1),"item_cancel_line: ",""),",",""))</f>
        <v>false</v>
      </c>
      <c r="AG69" s="284"/>
      <c r="AH69" s="595"/>
      <c r="AI69" s="596"/>
      <c r="AJ69" s="285">
        <f t="shared" si="11"/>
        <v>-0.25</v>
      </c>
      <c r="AK69" s="286"/>
      <c r="AL69" s="335">
        <f t="shared" ca="1" si="21"/>
        <v>-0.25011730358166934</v>
      </c>
      <c r="AM69" s="336"/>
      <c r="AN69" s="333">
        <f t="shared" ca="1" si="13"/>
        <v>-1</v>
      </c>
      <c r="AO69" s="334"/>
      <c r="AP69" s="329">
        <f t="shared" si="14"/>
        <v>5</v>
      </c>
      <c r="AQ69" s="330"/>
      <c r="AR69" s="331">
        <f t="shared" si="15"/>
        <v>83</v>
      </c>
      <c r="AS69" s="332"/>
      <c r="AT69" s="333">
        <f t="shared" si="2"/>
        <v>0</v>
      </c>
      <c r="AU69" s="334"/>
      <c r="AV69" s="271"/>
      <c r="AW69" s="272"/>
      <c r="AX69" s="271">
        <f t="shared" si="7"/>
        <v>0</v>
      </c>
      <c r="AY69" s="272"/>
      <c r="AZ69" s="273">
        <f t="shared" si="20"/>
        <v>5</v>
      </c>
      <c r="BA69" s="274"/>
      <c r="BB69" s="339">
        <f t="shared" si="3"/>
        <v>5</v>
      </c>
      <c r="BC69" s="340"/>
      <c r="BD69" s="347">
        <f t="shared" si="17"/>
        <v>5</v>
      </c>
      <c r="BE69" s="339"/>
      <c r="BF69" s="339">
        <f t="shared" si="18"/>
        <v>0</v>
      </c>
      <c r="BG69" s="340"/>
      <c r="BH69" s="341" t="str">
        <f t="shared" si="19"/>
        <v/>
      </c>
      <c r="BI69" s="342"/>
      <c r="BJ69" s="564"/>
      <c r="BK69" s="565"/>
      <c r="BL69" s="568"/>
      <c r="BM69" s="570"/>
      <c r="CC69" s="138" t="s">
        <v>80</v>
      </c>
      <c r="CD69" s="337" t="str">
        <f t="shared" si="4"/>
        <v>外税10%</v>
      </c>
      <c r="CE69" s="337"/>
      <c r="CF69" s="338"/>
      <c r="CR69" s="103" t="s">
        <v>151</v>
      </c>
      <c r="CW69" s="103" t="s">
        <v>254</v>
      </c>
      <c r="CX69" s="102" t="s">
        <v>30</v>
      </c>
      <c r="CY69" s="103" t="s">
        <v>255</v>
      </c>
    </row>
    <row r="70" spans="1:103" ht="15" customHeight="1">
      <c r="A70" s="100">
        <f t="shared" si="5"/>
        <v>60</v>
      </c>
      <c r="B70" s="293" t="s">
        <v>142</v>
      </c>
      <c r="C70" s="293"/>
      <c r="D70" s="293"/>
      <c r="E70" s="293"/>
      <c r="F70" s="293" t="str" cm="1">
        <f t="array" ref="F70">TRIM(SUBSTITUTE(SUBSTITUTE(INDEX(CR:CR,MATCH("      item_no: "&amp;A70&amp;",",CR:CR,0)+9,1),"item_name: ",""),",",""))</f>
        <v>パナソニック　エボルタネオ単３　８本入</v>
      </c>
      <c r="G70" s="293"/>
      <c r="H70" s="293"/>
      <c r="I70" s="293"/>
      <c r="J70" s="293"/>
      <c r="K70" s="293"/>
      <c r="L70" s="399" t="str" cm="1">
        <f t="array" ref="L70">TRIM(SUBSTITUTE(SUBSTITUTE(INDEX(CR:CR,MATCH("      item_no: "&amp;A70&amp;",",CR:CR,0)+3,1),"item_scan_code: ",""),",",""))</f>
        <v>4549077899057</v>
      </c>
      <c r="M70" s="399"/>
      <c r="N70" s="399"/>
      <c r="O70" s="399"/>
      <c r="P70" s="399"/>
      <c r="Q70" s="400" cm="1">
        <f t="array" ref="Q70">IF(AF70="true","",TRIM(SUBSTITUTE(SUBSTITUTE(INDEX(CR:CR,MATCH("      item_no: "&amp;A70&amp;",",CR:CR,0)+13,1),"item_price_fmt: ￥",""),",",""))+0)</f>
        <v>1090</v>
      </c>
      <c r="R70" s="401"/>
      <c r="S70" s="327">
        <f t="shared" si="10"/>
        <v>0</v>
      </c>
      <c r="T70" s="328"/>
      <c r="U70" s="401" cm="1">
        <f t="array" ref="U70">IF(AF70="true","",TRIM(SUBSTITUTE(SUBSTITUTE(INDEX(CR:CR,MATCH("      item_no: "&amp;A70&amp;",",CR:CR,0)+14,1),"item_price_discount_fmt: ￥",""),",",""))+0)</f>
        <v>1090</v>
      </c>
      <c r="V70" s="402"/>
      <c r="W70" s="279">
        <f ca="1">INT(SUMIF($Y$10:$AA70,"外税8%",$U$10:$V70)*1.08)+INT(SUMIF($Y$10:$AA70,"外税10%",$U$10:$V70)*1.1)+SUMIF($Y$10:$AA70,"内税10%",$U$10:$V70)+SUMIF($Y$10:$AA70,"非課税",$U$10:$V70)</f>
        <v>24303</v>
      </c>
      <c r="X70" s="280"/>
      <c r="Y70" s="281" t="str" cm="1">
        <f t="array" ref="Y70">TRIM(SUBSTITUTE(SUBSTITUTE(INDEX(CR:CR,MATCH("      item_no: "&amp;A70&amp;",",CR:CR,0)+15,1),"item_tax_fmt: ",""),",",""))</f>
        <v>外税10%</v>
      </c>
      <c r="Z70" s="282"/>
      <c r="AA70" s="282"/>
      <c r="AB70" s="283" t="str" cm="1">
        <f t="array" ref="AB70">TRIM(SUBSTITUTE(SUBSTITUTE(INDEX(CR:CR,MATCH("      item_no: "&amp;A70&amp;",",CR:CR,0)+18,1),"discount_prohibition:",""),",",""))</f>
        <v>0</v>
      </c>
      <c r="AC70" s="283"/>
      <c r="AD70" s="214" t="str">
        <f t="shared" si="6"/>
        <v>外税10%+0</v>
      </c>
      <c r="AE70" s="215"/>
      <c r="AF70" s="284" t="str" cm="1">
        <f t="array" ref="AF70">TRIM(SUBSTITUTE(SUBSTITUTE(INDEX(CR:CR,MATCH("      item_no: "&amp;A70&amp;",",CR:CR,0)+1,1),"item_cancel_line: ",""),",",""))</f>
        <v>false</v>
      </c>
      <c r="AG70" s="284"/>
      <c r="AH70" s="595"/>
      <c r="AI70" s="596"/>
      <c r="AJ70" s="285">
        <f t="shared" si="11"/>
        <v>-54.5</v>
      </c>
      <c r="AK70" s="286"/>
      <c r="AL70" s="335">
        <f t="shared" ca="1" si="21"/>
        <v>-54.52557218080392</v>
      </c>
      <c r="AM70" s="336"/>
      <c r="AN70" s="333">
        <f t="shared" ca="1" si="13"/>
        <v>-55</v>
      </c>
      <c r="AO70" s="334"/>
      <c r="AP70" s="329">
        <f t="shared" si="14"/>
        <v>1090</v>
      </c>
      <c r="AQ70" s="330"/>
      <c r="AR70" s="331">
        <f t="shared" si="15"/>
        <v>6</v>
      </c>
      <c r="AS70" s="332"/>
      <c r="AT70" s="333">
        <f t="shared" ca="1" si="2"/>
        <v>-55</v>
      </c>
      <c r="AU70" s="334"/>
      <c r="AV70" s="271"/>
      <c r="AW70" s="272"/>
      <c r="AX70" s="271">
        <f t="shared" ca="1" si="7"/>
        <v>-55</v>
      </c>
      <c r="AY70" s="272"/>
      <c r="AZ70" s="273">
        <f t="shared" ca="1" si="20"/>
        <v>1035</v>
      </c>
      <c r="BA70" s="274"/>
      <c r="BB70" s="339">
        <f t="shared" ca="1" si="3"/>
        <v>1138</v>
      </c>
      <c r="BC70" s="340"/>
      <c r="BD70" s="347">
        <f t="shared" si="17"/>
        <v>1035</v>
      </c>
      <c r="BE70" s="339"/>
      <c r="BF70" s="339">
        <f t="shared" si="18"/>
        <v>-55</v>
      </c>
      <c r="BG70" s="340"/>
      <c r="BH70" s="341" t="str">
        <f t="shared" ca="1" si="19"/>
        <v/>
      </c>
      <c r="BI70" s="342"/>
      <c r="BJ70" s="564"/>
      <c r="BK70" s="565"/>
      <c r="BL70" s="568"/>
      <c r="BM70" s="570"/>
      <c r="CC70" s="138" t="s">
        <v>80</v>
      </c>
      <c r="CD70" s="337" t="str">
        <f t="shared" si="4"/>
        <v>外税10%</v>
      </c>
      <c r="CE70" s="337"/>
      <c r="CF70" s="338"/>
      <c r="CR70" s="103" t="s">
        <v>256</v>
      </c>
      <c r="CW70" s="103" t="s">
        <v>257</v>
      </c>
      <c r="CX70" s="102" t="s">
        <v>30</v>
      </c>
      <c r="CY70" s="103" t="s">
        <v>258</v>
      </c>
    </row>
    <row r="71" spans="1:103" ht="15" customHeight="1">
      <c r="A71" s="100">
        <f t="shared" si="5"/>
        <v>59</v>
      </c>
      <c r="B71" s="293" t="s">
        <v>150</v>
      </c>
      <c r="C71" s="293"/>
      <c r="D71" s="293"/>
      <c r="E71" s="293"/>
      <c r="F71" s="293" t="str" cm="1">
        <f t="array" ref="F71">TRIM(SUBSTITUTE(SUBSTITUTE(INDEX(CR:CR,MATCH("      item_no: "&amp;A71&amp;",",CR:CR,0)+9,1),"item_name: ",""),",",""))</f>
        <v>トノハタ　紀州産南高梅しそ漬味梅干</v>
      </c>
      <c r="G71" s="293"/>
      <c r="H71" s="293"/>
      <c r="I71" s="293"/>
      <c r="J71" s="293"/>
      <c r="K71" s="293"/>
      <c r="L71" s="399" t="str" cm="1">
        <f t="array" ref="L71">TRIM(SUBSTITUTE(SUBSTITUTE(INDEX(CR:CR,MATCH("      item_no: "&amp;A71&amp;",",CR:CR,0)+3,1),"item_scan_code: ",""),",",""))</f>
        <v>4904962014548</v>
      </c>
      <c r="M71" s="399"/>
      <c r="N71" s="399"/>
      <c r="O71" s="399"/>
      <c r="P71" s="399"/>
      <c r="Q71" s="400" cm="1">
        <f t="array" ref="Q71">IF(AF71="true","",TRIM(SUBSTITUTE(SUBSTITUTE(INDEX(CR:CR,MATCH("      item_no: "&amp;A71&amp;",",CR:CR,0)+13,1),"item_price_fmt: ￥",""),",",""))+0)</f>
        <v>599</v>
      </c>
      <c r="R71" s="401"/>
      <c r="S71" s="327">
        <f t="shared" si="10"/>
        <v>-120</v>
      </c>
      <c r="T71" s="328"/>
      <c r="U71" s="401" cm="1">
        <f t="array" ref="U71">IF(AF71="true","",TRIM(SUBSTITUTE(SUBSTITUTE(INDEX(CR:CR,MATCH("      item_no: "&amp;A71&amp;",",CR:CR,0)+14,1),"item_price_discount_fmt: ￥",""),",",""))+0)</f>
        <v>479</v>
      </c>
      <c r="V71" s="402"/>
      <c r="W71" s="279">
        <f ca="1">INT(SUMIF($Y$10:$AA71,"外税8%",$U$10:$V71)*1.08)+INT(SUMIF($Y$10:$AA71,"外税10%",$U$10:$V71)*1.1)+SUMIF($Y$10:$AA71,"内税10%",$U$10:$V71)+SUMIF($Y$10:$AA71,"非課税",$U$10:$V71)</f>
        <v>24820</v>
      </c>
      <c r="X71" s="280"/>
      <c r="Y71" s="281" t="str" cm="1">
        <f t="array" ref="Y71">TRIM(SUBSTITUTE(SUBSTITUTE(INDEX(CR:CR,MATCH("      item_no: "&amp;A71&amp;",",CR:CR,0)+15,1),"item_tax_fmt: ",""),",",""))</f>
        <v>外税8%</v>
      </c>
      <c r="Z71" s="282"/>
      <c r="AA71" s="282"/>
      <c r="AB71" s="283" t="str" cm="1">
        <f t="array" ref="AB71">TRIM(SUBSTITUTE(SUBSTITUTE(INDEX(CR:CR,MATCH("      item_no: "&amp;A71&amp;",",CR:CR,0)+18,1),"discount_prohibition:",""),",",""))</f>
        <v>0</v>
      </c>
      <c r="AC71" s="283"/>
      <c r="AD71" s="214" t="str">
        <f t="shared" si="6"/>
        <v>外税8%+0</v>
      </c>
      <c r="AE71" s="215"/>
      <c r="AF71" s="284" t="str" cm="1">
        <f t="array" ref="AF71">TRIM(SUBSTITUTE(SUBSTITUTE(INDEX(CR:CR,MATCH("      item_no: "&amp;A71&amp;",",CR:CR,0)+1,1),"item_cancel_line: ",""),",",""))</f>
        <v>false</v>
      </c>
      <c r="AG71" s="284"/>
      <c r="AH71" s="595"/>
      <c r="AI71" s="596"/>
      <c r="AJ71" s="285">
        <f t="shared" si="11"/>
        <v>-23.950000000000003</v>
      </c>
      <c r="AK71" s="286"/>
      <c r="AL71" s="335">
        <f t="shared" ca="1" si="21"/>
        <v>-23.961237683123926</v>
      </c>
      <c r="AM71" s="336"/>
      <c r="AN71" s="333">
        <f t="shared" ca="1" si="13"/>
        <v>-24</v>
      </c>
      <c r="AO71" s="334"/>
      <c r="AP71" s="329">
        <f t="shared" si="14"/>
        <v>479</v>
      </c>
      <c r="AQ71" s="330"/>
      <c r="AR71" s="331">
        <f t="shared" si="15"/>
        <v>35</v>
      </c>
      <c r="AS71" s="332"/>
      <c r="AT71" s="333">
        <f t="shared" ca="1" si="2"/>
        <v>-24</v>
      </c>
      <c r="AU71" s="334"/>
      <c r="AV71" s="271"/>
      <c r="AW71" s="272"/>
      <c r="AX71" s="271">
        <f t="shared" ca="1" si="7"/>
        <v>-24</v>
      </c>
      <c r="AY71" s="272"/>
      <c r="AZ71" s="273">
        <f t="shared" ca="1" si="20"/>
        <v>455</v>
      </c>
      <c r="BA71" s="274"/>
      <c r="BB71" s="339">
        <f t="shared" ca="1" si="3"/>
        <v>491</v>
      </c>
      <c r="BC71" s="340"/>
      <c r="BD71" s="347">
        <f t="shared" si="17"/>
        <v>455</v>
      </c>
      <c r="BE71" s="339"/>
      <c r="BF71" s="339">
        <f t="shared" si="18"/>
        <v>-24</v>
      </c>
      <c r="BG71" s="340"/>
      <c r="BH71" s="341" t="str">
        <f t="shared" ca="1" si="19"/>
        <v/>
      </c>
      <c r="BI71" s="342"/>
      <c r="BJ71" s="564"/>
      <c r="BK71" s="565"/>
      <c r="BL71" s="568"/>
      <c r="BM71" s="570"/>
      <c r="CC71" s="138" t="s">
        <v>80</v>
      </c>
      <c r="CD71" s="337" t="str">
        <f t="shared" si="4"/>
        <v>外税8%</v>
      </c>
      <c r="CE71" s="337"/>
      <c r="CF71" s="338"/>
      <c r="CR71" s="103" t="s">
        <v>259</v>
      </c>
      <c r="CW71" s="103" t="s">
        <v>260</v>
      </c>
      <c r="CX71" s="102" t="s">
        <v>30</v>
      </c>
      <c r="CY71" s="103" t="s">
        <v>261</v>
      </c>
    </row>
    <row r="72" spans="1:103" ht="15" customHeight="1">
      <c r="A72" s="100">
        <f t="shared" si="5"/>
        <v>58</v>
      </c>
      <c r="B72" s="293" t="s">
        <v>150</v>
      </c>
      <c r="C72" s="293"/>
      <c r="D72" s="293"/>
      <c r="E72" s="293"/>
      <c r="F72" s="293" t="str" cm="1">
        <f t="array" ref="F72">TRIM(SUBSTITUTE(SUBSTITUTE(INDEX(CR:CR,MATCH("      item_no: "&amp;A72&amp;",",CR:CR,0)+9,1),"item_name: ",""),",",""))</f>
        <v>ピックルス　ぬか胡瓜</v>
      </c>
      <c r="G72" s="293"/>
      <c r="H72" s="293"/>
      <c r="I72" s="293"/>
      <c r="J72" s="293"/>
      <c r="K72" s="293"/>
      <c r="L72" s="399" t="str" cm="1">
        <f t="array" ref="L72">TRIM(SUBSTITUTE(SUBSTITUTE(INDEX(CR:CR,MATCH("      item_no: "&amp;A72&amp;",",CR:CR,0)+3,1),"item_scan_code: ",""),",",""))</f>
        <v>4902016151478</v>
      </c>
      <c r="M72" s="399"/>
      <c r="N72" s="399"/>
      <c r="O72" s="399"/>
      <c r="P72" s="399"/>
      <c r="Q72" s="400" cm="1">
        <f t="array" ref="Q72">IF(AF72="true","",TRIM(SUBSTITUTE(SUBSTITUTE(INDEX(CR:CR,MATCH("      item_no: "&amp;A72&amp;",",CR:CR,0)+13,1),"item_price_fmt: ￥",""),",",""))+0)</f>
        <v>329</v>
      </c>
      <c r="R72" s="401"/>
      <c r="S72" s="327">
        <f t="shared" si="10"/>
        <v>-66</v>
      </c>
      <c r="T72" s="328"/>
      <c r="U72" s="401" cm="1">
        <f t="array" ref="U72">IF(AF72="true","",TRIM(SUBSTITUTE(SUBSTITUTE(INDEX(CR:CR,MATCH("      item_no: "&amp;A72&amp;",",CR:CR,0)+14,1),"item_price_discount_fmt: ￥",""),",",""))+0)</f>
        <v>263</v>
      </c>
      <c r="V72" s="402"/>
      <c r="W72" s="279">
        <f ca="1">INT(SUMIF($Y$10:$AA72,"外税8%",$U$10:$V72)*1.08)+INT(SUMIF($Y$10:$AA72,"外税10%",$U$10:$V72)*1.1)+SUMIF($Y$10:$AA72,"内税10%",$U$10:$V72)+SUMIF($Y$10:$AA72,"非課税",$U$10:$V72)</f>
        <v>25104</v>
      </c>
      <c r="X72" s="280"/>
      <c r="Y72" s="281" t="str" cm="1">
        <f t="array" ref="Y72">TRIM(SUBSTITUTE(SUBSTITUTE(INDEX(CR:CR,MATCH("      item_no: "&amp;A72&amp;",",CR:CR,0)+15,1),"item_tax_fmt: ",""),",",""))</f>
        <v>外税8%</v>
      </c>
      <c r="Z72" s="282"/>
      <c r="AA72" s="282"/>
      <c r="AB72" s="283" t="str" cm="1">
        <f t="array" ref="AB72">TRIM(SUBSTITUTE(SUBSTITUTE(INDEX(CR:CR,MATCH("      item_no: "&amp;A72&amp;",",CR:CR,0)+18,1),"discount_prohibition:",""),",",""))</f>
        <v>0</v>
      </c>
      <c r="AC72" s="283"/>
      <c r="AD72" s="214" t="str">
        <f t="shared" si="6"/>
        <v>外税8%+0</v>
      </c>
      <c r="AE72" s="215"/>
      <c r="AF72" s="284" t="str" cm="1">
        <f t="array" ref="AF72">TRIM(SUBSTITUTE(SUBSTITUTE(INDEX(CR:CR,MATCH("      item_no: "&amp;A72&amp;",",CR:CR,0)+1,1),"item_cancel_line: ",""),",",""))</f>
        <v>false</v>
      </c>
      <c r="AG72" s="284"/>
      <c r="AH72" s="595"/>
      <c r="AI72" s="596"/>
      <c r="AJ72" s="285">
        <f t="shared" si="11"/>
        <v>-13.15</v>
      </c>
      <c r="AK72" s="286"/>
      <c r="AL72" s="335">
        <f t="shared" ca="1" si="21"/>
        <v>-13.156170168395809</v>
      </c>
      <c r="AM72" s="336"/>
      <c r="AN72" s="333">
        <f t="shared" ca="1" si="13"/>
        <v>-14</v>
      </c>
      <c r="AO72" s="334"/>
      <c r="AP72" s="329">
        <f t="shared" si="14"/>
        <v>263</v>
      </c>
      <c r="AQ72" s="330"/>
      <c r="AR72" s="331">
        <f t="shared" si="15"/>
        <v>52</v>
      </c>
      <c r="AS72" s="332"/>
      <c r="AT72" s="333">
        <f t="shared" ca="1" si="2"/>
        <v>-14</v>
      </c>
      <c r="AU72" s="334"/>
      <c r="AV72" s="271"/>
      <c r="AW72" s="272"/>
      <c r="AX72" s="271">
        <f t="shared" ca="1" si="7"/>
        <v>-14</v>
      </c>
      <c r="AY72" s="272"/>
      <c r="AZ72" s="273">
        <f t="shared" ca="1" si="20"/>
        <v>249</v>
      </c>
      <c r="BA72" s="274"/>
      <c r="BB72" s="339">
        <f t="shared" ca="1" si="3"/>
        <v>268</v>
      </c>
      <c r="BC72" s="340"/>
      <c r="BD72" s="347">
        <f t="shared" si="17"/>
        <v>249</v>
      </c>
      <c r="BE72" s="339"/>
      <c r="BF72" s="339">
        <f t="shared" si="18"/>
        <v>-14</v>
      </c>
      <c r="BG72" s="340"/>
      <c r="BH72" s="341" t="str">
        <f t="shared" ca="1" si="19"/>
        <v/>
      </c>
      <c r="BI72" s="342"/>
      <c r="BJ72" s="564"/>
      <c r="BK72" s="565"/>
      <c r="BL72" s="568"/>
      <c r="BM72" s="570"/>
      <c r="CC72" s="138" t="s">
        <v>80</v>
      </c>
      <c r="CD72" s="337" t="str">
        <f t="shared" si="4"/>
        <v>外税8%</v>
      </c>
      <c r="CE72" s="337"/>
      <c r="CF72" s="338"/>
      <c r="CR72" s="103" t="s">
        <v>262</v>
      </c>
      <c r="CW72" s="103" t="s">
        <v>263</v>
      </c>
      <c r="CX72" s="102" t="s">
        <v>30</v>
      </c>
      <c r="CY72" s="103" t="s">
        <v>264</v>
      </c>
    </row>
    <row r="73" spans="1:103" ht="15" customHeight="1">
      <c r="A73" s="100">
        <f t="shared" si="5"/>
        <v>57</v>
      </c>
      <c r="B73" s="365" t="s">
        <v>150</v>
      </c>
      <c r="C73" s="365"/>
      <c r="D73" s="365"/>
      <c r="E73" s="365"/>
      <c r="F73" s="365" t="str" cm="1">
        <f t="array" ref="F73">TRIM(SUBSTITUTE(SUBSTITUTE(INDEX(CR:CR,MATCH("      item_no: "&amp;A73&amp;",",CR:CR,0)+9,1),"item_name: ",""),",",""))</f>
        <v>ピックルス　ぬか胡瓜</v>
      </c>
      <c r="G73" s="365"/>
      <c r="H73" s="365"/>
      <c r="I73" s="365"/>
      <c r="J73" s="365"/>
      <c r="K73" s="365"/>
      <c r="L73" s="406" t="str" cm="1">
        <f t="array" ref="L73">TRIM(SUBSTITUTE(SUBSTITUTE(INDEX(CR:CR,MATCH("      item_no: "&amp;A73&amp;",",CR:CR,0)+3,1),"item_scan_code: ",""),",",""))</f>
        <v>4902016151478</v>
      </c>
      <c r="M73" s="406"/>
      <c r="N73" s="406"/>
      <c r="O73" s="406"/>
      <c r="P73" s="406"/>
      <c r="Q73" s="211" t="s">
        <v>1381</v>
      </c>
      <c r="R73" s="212"/>
      <c r="S73" s="212"/>
      <c r="T73" s="212"/>
      <c r="U73" s="212"/>
      <c r="V73" s="213"/>
      <c r="W73" s="279">
        <f ca="1">INT(SUMIF($Y$10:$AA73,"外税8%",$U$10:$V73)*1.08)+INT(SUMIF($Y$10:$AA73,"外税10%",$U$10:$V73)*1.1)+SUMIF($Y$10:$AA73,"内税10%",$U$10:$V73)+SUMIF($Y$10:$AA73,"非課税",$U$10:$V73)</f>
        <v>25104</v>
      </c>
      <c r="X73" s="280"/>
      <c r="Y73" s="359" t="str" cm="1">
        <f t="array" ref="Y73">TRIM(SUBSTITUTE(SUBSTITUTE(INDEX(CR:CR,MATCH("      item_no: "&amp;A73&amp;",",CR:CR,0)+15,1),"item_tax_fmt: ",""),",",""))</f>
        <v>外税8%</v>
      </c>
      <c r="Z73" s="360"/>
      <c r="AA73" s="360"/>
      <c r="AB73" s="361" t="str" cm="1">
        <f t="array" ref="AB73">TRIM(SUBSTITUTE(SUBSTITUTE(INDEX(CR:CR,MATCH("      item_no: "&amp;A73&amp;",",CR:CR,0)+18,1),"discount_prohibition:",""),",",""))</f>
        <v>0</v>
      </c>
      <c r="AC73" s="361"/>
      <c r="AD73" s="216" t="str">
        <f t="shared" si="6"/>
        <v>外税8%+0</v>
      </c>
      <c r="AE73" s="217"/>
      <c r="AF73" s="362" t="str" cm="1">
        <f t="array" ref="AF73">TRIM(SUBSTITUTE(SUBSTITUTE(INDEX(CR:CR,MATCH("      item_no: "&amp;A73&amp;",",CR:CR,0)+1,1),"item_cancel_line: ",""),",",""))</f>
        <v>true</v>
      </c>
      <c r="AG73" s="362"/>
      <c r="AH73" s="595"/>
      <c r="AI73" s="596"/>
      <c r="AJ73" s="363" t="str">
        <f t="shared" si="11"/>
        <v/>
      </c>
      <c r="AK73" s="364"/>
      <c r="AL73" s="335" t="str">
        <f t="shared" si="21"/>
        <v/>
      </c>
      <c r="AM73" s="336"/>
      <c r="AN73" s="333" t="str">
        <f t="shared" si="13"/>
        <v/>
      </c>
      <c r="AO73" s="334"/>
      <c r="AP73" s="355" t="str">
        <f t="shared" si="14"/>
        <v/>
      </c>
      <c r="AQ73" s="356"/>
      <c r="AR73" s="357" t="str">
        <f t="shared" si="15"/>
        <v/>
      </c>
      <c r="AS73" s="358"/>
      <c r="AT73" s="333">
        <f t="shared" si="2"/>
        <v>0</v>
      </c>
      <c r="AU73" s="334"/>
      <c r="AV73" s="271"/>
      <c r="AW73" s="272"/>
      <c r="AX73" s="271">
        <f t="shared" si="7"/>
        <v>0</v>
      </c>
      <c r="AY73" s="272"/>
      <c r="AZ73" s="334" t="str">
        <f t="shared" si="20"/>
        <v/>
      </c>
      <c r="BA73" s="349"/>
      <c r="BB73" s="350" t="str">
        <f t="shared" si="3"/>
        <v/>
      </c>
      <c r="BC73" s="351"/>
      <c r="BD73" s="352" t="str">
        <f t="shared" si="17"/>
        <v/>
      </c>
      <c r="BE73" s="350"/>
      <c r="BF73" s="350"/>
      <c r="BG73" s="351"/>
      <c r="BH73" s="353" t="str">
        <f t="shared" si="19"/>
        <v/>
      </c>
      <c r="BI73" s="354"/>
      <c r="BJ73" s="564"/>
      <c r="BK73" s="565"/>
      <c r="BL73" s="568"/>
      <c r="BM73" s="570"/>
      <c r="CC73" s="138" t="s">
        <v>80</v>
      </c>
      <c r="CD73" s="337" t="str">
        <f t="shared" si="4"/>
        <v>外税8%</v>
      </c>
      <c r="CE73" s="337"/>
      <c r="CF73" s="338"/>
      <c r="CR73" s="103" t="s">
        <v>265</v>
      </c>
      <c r="CX73" s="102" t="s">
        <v>30</v>
      </c>
    </row>
    <row r="74" spans="1:103" ht="15" customHeight="1">
      <c r="A74" s="100">
        <f t="shared" si="5"/>
        <v>56</v>
      </c>
      <c r="B74" s="388" t="s">
        <v>266</v>
      </c>
      <c r="C74" s="388"/>
      <c r="D74" s="388"/>
      <c r="E74" s="388"/>
      <c r="F74" s="388" t="str" cm="1">
        <f t="array" ref="F74">TRIM(SUBSTITUTE(SUBSTITUTE(INDEX(CR:CR,MATCH("      item_no: "&amp;A74&amp;",",CR:CR,0)+9,1),"item_name: ",""),",",""))</f>
        <v>新共通雑誌コード</v>
      </c>
      <c r="G74" s="388"/>
      <c r="H74" s="388"/>
      <c r="I74" s="388"/>
      <c r="J74" s="388"/>
      <c r="K74" s="388"/>
      <c r="L74" s="398" t="str" cm="1">
        <f t="array" ref="L74">TRIM(SUBSTITUTE(SUBSTITUTE(INDEX(CR:CR,MATCH("      item_no: "&amp;A74&amp;",",CR:CR,0)+3,1),"item_scan_code: ",""),",",""))</f>
        <v>97842971113111922036011005</v>
      </c>
      <c r="M74" s="398"/>
      <c r="N74" s="398"/>
      <c r="O74" s="398"/>
      <c r="P74" s="398"/>
      <c r="Q74" s="403" cm="1">
        <f t="array" ref="Q74">IF(AF74="true","",TRIM(SUBSTITUTE(SUBSTITUTE(INDEX(CR:CR,MATCH("      item_no: "&amp;A74&amp;",",CR:CR,0)+13,1),"item_price_fmt: ￥",""),",",""))+0)</f>
        <v>1100</v>
      </c>
      <c r="R74" s="404"/>
      <c r="S74" s="391">
        <f t="shared" si="10"/>
        <v>0</v>
      </c>
      <c r="T74" s="392"/>
      <c r="U74" s="404" cm="1">
        <f t="array" ref="U74">IF(AF74="true","",TRIM(SUBSTITUTE(SUBSTITUTE(INDEX(CR:CR,MATCH("      item_no: "&amp;A74&amp;",",CR:CR,0)+14,1),"item_price_discount_fmt: ￥",""),",",""))+0)</f>
        <v>1100</v>
      </c>
      <c r="V74" s="405"/>
      <c r="W74" s="279">
        <f ca="1">INT(SUMIF($Y$10:$AA74,"外税8%",$U$10:$V74)*1.08)+INT(SUMIF($Y$10:$AA74,"外税10%",$U$10:$V74)*1.1)+SUMIF($Y$10:$AA74,"内税10%",$U$10:$V74)+SUMIF($Y$10:$AA74,"非課税",$U$10:$V74)</f>
        <v>26314</v>
      </c>
      <c r="X74" s="280"/>
      <c r="Y74" s="382" t="str" cm="1">
        <f t="array" ref="Y74">TRIM(SUBSTITUTE(SUBSTITUTE(INDEX(CR:CR,MATCH("      item_no: "&amp;A74&amp;",",CR:CR,0)+15,1),"item_tax_fmt: ",""),",",""))</f>
        <v>外税10%</v>
      </c>
      <c r="Z74" s="383"/>
      <c r="AA74" s="383"/>
      <c r="AB74" s="384" t="str" cm="1">
        <f t="array" ref="AB74">TRIM(SUBSTITUTE(SUBSTITUTE(INDEX(CR:CR,MATCH("      item_no: "&amp;A74&amp;",",CR:CR,0)+18,1),"discount_prohibition:",""),",",""))</f>
        <v>1</v>
      </c>
      <c r="AC74" s="384"/>
      <c r="AD74" s="394" t="str">
        <f t="shared" si="6"/>
        <v>外税10%+1</v>
      </c>
      <c r="AE74" s="395"/>
      <c r="AF74" s="385" t="str" cm="1">
        <f t="array" ref="AF74">TRIM(SUBSTITUTE(SUBSTITUTE(INDEX(CR:CR,MATCH("      item_no: "&amp;A74&amp;",",CR:CR,0)+1,1),"item_cancel_line: ",""),",",""))</f>
        <v>false</v>
      </c>
      <c r="AG74" s="385"/>
      <c r="AH74" s="595"/>
      <c r="AI74" s="596"/>
      <c r="AJ74" s="386">
        <f t="shared" si="11"/>
        <v>0</v>
      </c>
      <c r="AK74" s="387"/>
      <c r="AL74" s="335">
        <f t="shared" si="21"/>
        <v>0</v>
      </c>
      <c r="AM74" s="336"/>
      <c r="AN74" s="333">
        <f t="shared" si="13"/>
        <v>0</v>
      </c>
      <c r="AO74" s="334"/>
      <c r="AP74" s="376">
        <f t="shared" si="14"/>
        <v>0</v>
      </c>
      <c r="AQ74" s="377"/>
      <c r="AR74" s="378">
        <f t="shared" si="15"/>
        <v>84</v>
      </c>
      <c r="AS74" s="379"/>
      <c r="AT74" s="333">
        <f t="shared" ref="AT74:AT129" si="22">IF($AR74&lt;AT$9,$AN74,0)</f>
        <v>0</v>
      </c>
      <c r="AU74" s="334"/>
      <c r="AV74" s="271"/>
      <c r="AW74" s="272"/>
      <c r="AX74" s="271">
        <f t="shared" si="7"/>
        <v>0</v>
      </c>
      <c r="AY74" s="272"/>
      <c r="AZ74" s="380">
        <f t="shared" si="20"/>
        <v>1100</v>
      </c>
      <c r="BA74" s="381"/>
      <c r="BB74" s="372">
        <f t="shared" ref="BB74:BB129" si="23">IF(AZ74="","",INT(IF(Y74="外税8%",1.08,IF(Y74="外税10%",1.1,1))*AZ74))</f>
        <v>1210</v>
      </c>
      <c r="BC74" s="373"/>
      <c r="BD74" s="393">
        <f t="shared" si="17"/>
        <v>1100</v>
      </c>
      <c r="BE74" s="372"/>
      <c r="BF74" s="372">
        <f t="shared" ref="BF74:BF124" si="24">BD74-U74</f>
        <v>0</v>
      </c>
      <c r="BG74" s="373"/>
      <c r="BH74" s="374" t="str">
        <f t="shared" si="19"/>
        <v/>
      </c>
      <c r="BI74" s="375"/>
      <c r="BJ74" s="564"/>
      <c r="BK74" s="565"/>
      <c r="BL74" s="568"/>
      <c r="BM74" s="570"/>
      <c r="CC74" s="138" t="s">
        <v>80</v>
      </c>
      <c r="CD74" s="337" t="str">
        <f t="shared" ref="CD74:CD129" si="25">CC74&amp;Y74</f>
        <v>外税10%</v>
      </c>
      <c r="CE74" s="337"/>
      <c r="CF74" s="338"/>
      <c r="CR74" s="103" t="s">
        <v>109</v>
      </c>
      <c r="CW74" s="103" t="s">
        <v>267</v>
      </c>
      <c r="CX74" s="102" t="s">
        <v>30</v>
      </c>
      <c r="CY74" s="103" t="s">
        <v>268</v>
      </c>
    </row>
    <row r="75" spans="1:103" ht="15" customHeight="1">
      <c r="A75" s="100">
        <f t="shared" ref="A75:A129" si="26">A74-1</f>
        <v>55</v>
      </c>
      <c r="B75" s="388" t="s">
        <v>266</v>
      </c>
      <c r="C75" s="388"/>
      <c r="D75" s="388"/>
      <c r="E75" s="388"/>
      <c r="F75" s="388" t="str" cm="1">
        <f t="array" ref="F75">TRIM(SUBSTITUTE(SUBSTITUTE(INDEX(CR:CR,MATCH("      item_no: "&amp;A75&amp;",",CR:CR,0)+9,1),"item_name: ",""),",",""))</f>
        <v>新共通雑誌コード</v>
      </c>
      <c r="G75" s="388"/>
      <c r="H75" s="388"/>
      <c r="I75" s="388"/>
      <c r="J75" s="388"/>
      <c r="K75" s="388"/>
      <c r="L75" s="398" t="str" cm="1">
        <f t="array" ref="L75">TRIM(SUBSTITUTE(SUBSTITUTE(INDEX(CR:CR,MATCH("      item_no: "&amp;A75&amp;",",CR:CR,0)+3,1),"item_scan_code: ",""),",",""))</f>
        <v>97842971136741923055019805</v>
      </c>
      <c r="M75" s="398"/>
      <c r="N75" s="398"/>
      <c r="O75" s="398"/>
      <c r="P75" s="398"/>
      <c r="Q75" s="403" cm="1">
        <f t="array" ref="Q75">IF(AF75="true","",TRIM(SUBSTITUTE(SUBSTITUTE(INDEX(CR:CR,MATCH("      item_no: "&amp;A75&amp;",",CR:CR,0)+13,1),"item_price_fmt: ￥",""),",",""))+0)</f>
        <v>1980</v>
      </c>
      <c r="R75" s="404"/>
      <c r="S75" s="391">
        <f t="shared" si="10"/>
        <v>0</v>
      </c>
      <c r="T75" s="392"/>
      <c r="U75" s="404" cm="1">
        <f t="array" ref="U75">IF(AF75="true","",TRIM(SUBSTITUTE(SUBSTITUTE(INDEX(CR:CR,MATCH("      item_no: "&amp;A75&amp;",",CR:CR,0)+14,1),"item_price_discount_fmt: ￥",""),",",""))+0)</f>
        <v>1980</v>
      </c>
      <c r="V75" s="405"/>
      <c r="W75" s="279">
        <f ca="1">INT(SUMIF($Y$10:$AA75,"外税8%",$U$10:$V75)*1.08)+INT(SUMIF($Y$10:$AA75,"外税10%",$U$10:$V75)*1.1)+SUMIF($Y$10:$AA75,"内税10%",$U$10:$V75)+SUMIF($Y$10:$AA75,"非課税",$U$10:$V75)</f>
        <v>28492</v>
      </c>
      <c r="X75" s="280"/>
      <c r="Y75" s="382" t="str" cm="1">
        <f t="array" ref="Y75">TRIM(SUBSTITUTE(SUBSTITUTE(INDEX(CR:CR,MATCH("      item_no: "&amp;A75&amp;",",CR:CR,0)+15,1),"item_tax_fmt: ",""),",",""))</f>
        <v>外税10%</v>
      </c>
      <c r="Z75" s="383"/>
      <c r="AA75" s="383"/>
      <c r="AB75" s="384" t="str" cm="1">
        <f t="array" ref="AB75">TRIM(SUBSTITUTE(SUBSTITUTE(INDEX(CR:CR,MATCH("      item_no: "&amp;A75&amp;",",CR:CR,0)+18,1),"discount_prohibition:",""),",",""))</f>
        <v>1</v>
      </c>
      <c r="AC75" s="384"/>
      <c r="AD75" s="394" t="str">
        <f t="shared" ref="AD75:AD129" si="27">Y75&amp;"+"&amp;AB75</f>
        <v>外税10%+1</v>
      </c>
      <c r="AE75" s="395"/>
      <c r="AF75" s="385" t="str" cm="1">
        <f t="array" ref="AF75">TRIM(SUBSTITUTE(SUBSTITUTE(INDEX(CR:CR,MATCH("      item_no: "&amp;A75&amp;",",CR:CR,0)+1,1),"item_cancel_line: ",""),",",""))</f>
        <v>false</v>
      </c>
      <c r="AG75" s="385"/>
      <c r="AH75" s="595"/>
      <c r="AI75" s="596"/>
      <c r="AJ75" s="386">
        <f t="shared" si="11"/>
        <v>0</v>
      </c>
      <c r="AK75" s="387"/>
      <c r="AL75" s="335">
        <f t="shared" si="21"/>
        <v>0</v>
      </c>
      <c r="AM75" s="336"/>
      <c r="AN75" s="333">
        <f t="shared" si="13"/>
        <v>0</v>
      </c>
      <c r="AO75" s="334"/>
      <c r="AP75" s="376">
        <f t="shared" si="14"/>
        <v>0</v>
      </c>
      <c r="AQ75" s="377"/>
      <c r="AR75" s="378">
        <f t="shared" si="15"/>
        <v>84</v>
      </c>
      <c r="AS75" s="379"/>
      <c r="AT75" s="333">
        <f t="shared" si="22"/>
        <v>0</v>
      </c>
      <c r="AU75" s="334"/>
      <c r="AV75" s="271"/>
      <c r="AW75" s="272"/>
      <c r="AX75" s="271">
        <f t="shared" ref="AX75:AX129" si="28">SUM(AT75:AW75)</f>
        <v>0</v>
      </c>
      <c r="AY75" s="272"/>
      <c r="AZ75" s="380">
        <f t="shared" si="20"/>
        <v>1980</v>
      </c>
      <c r="BA75" s="381"/>
      <c r="BB75" s="372">
        <f t="shared" si="23"/>
        <v>2178</v>
      </c>
      <c r="BC75" s="373"/>
      <c r="BD75" s="393">
        <f t="shared" si="17"/>
        <v>1980</v>
      </c>
      <c r="BE75" s="372"/>
      <c r="BF75" s="372">
        <f t="shared" si="24"/>
        <v>0</v>
      </c>
      <c r="BG75" s="373"/>
      <c r="BH75" s="374" t="str">
        <f t="shared" si="19"/>
        <v/>
      </c>
      <c r="BI75" s="375"/>
      <c r="BJ75" s="564"/>
      <c r="BK75" s="565"/>
      <c r="BL75" s="568"/>
      <c r="BM75" s="570"/>
      <c r="CC75" s="138" t="s">
        <v>80</v>
      </c>
      <c r="CD75" s="337" t="str">
        <f t="shared" si="25"/>
        <v>外税10%</v>
      </c>
      <c r="CE75" s="337"/>
      <c r="CF75" s="338"/>
      <c r="CR75" s="103" t="s">
        <v>269</v>
      </c>
      <c r="CW75" s="103" t="s">
        <v>270</v>
      </c>
      <c r="CX75" s="102" t="s">
        <v>30</v>
      </c>
      <c r="CY75" s="103" t="s">
        <v>271</v>
      </c>
    </row>
    <row r="76" spans="1:103" ht="15" customHeight="1">
      <c r="A76" s="100">
        <f t="shared" si="26"/>
        <v>54</v>
      </c>
      <c r="B76" s="293" t="s">
        <v>162</v>
      </c>
      <c r="C76" s="293"/>
      <c r="D76" s="293"/>
      <c r="E76" s="293"/>
      <c r="F76" s="293" t="str" cm="1">
        <f t="array" ref="F76">TRIM(SUBSTITUTE(SUBSTITUTE(INDEX(CR:CR,MATCH("      item_no: "&amp;A76&amp;",",CR:CR,0)+9,1),"item_name: ",""),",",""))</f>
        <v>野菜</v>
      </c>
      <c r="G76" s="293"/>
      <c r="H76" s="293"/>
      <c r="I76" s="293"/>
      <c r="J76" s="293"/>
      <c r="K76" s="293"/>
      <c r="L76" s="399" t="str" cm="1">
        <f t="array" ref="L76">TRIM(SUBSTITUTE(SUBSTITUTE(INDEX(CR:CR,MATCH("      item_no: "&amp;A76&amp;",",CR:CR,0)+3,1),"item_scan_code: ",""),",",""))</f>
        <v>0200</v>
      </c>
      <c r="M76" s="399"/>
      <c r="N76" s="399"/>
      <c r="O76" s="399"/>
      <c r="P76" s="399"/>
      <c r="Q76" s="400" cm="1">
        <f t="array" ref="Q76">IF(AF76="true","",TRIM(SUBSTITUTE(SUBSTITUTE(INDEX(CR:CR,MATCH("      item_no: "&amp;A76&amp;",",CR:CR,0)+13,1),"item_price_fmt: ￥",""),",",""))+0)</f>
        <v>499</v>
      </c>
      <c r="R76" s="401"/>
      <c r="S76" s="327">
        <f t="shared" si="10"/>
        <v>0</v>
      </c>
      <c r="T76" s="328"/>
      <c r="U76" s="401" cm="1">
        <f t="array" ref="U76">IF(AF76="true","",TRIM(SUBSTITUTE(SUBSTITUTE(INDEX(CR:CR,MATCH("      item_no: "&amp;A76&amp;",",CR:CR,0)+14,1),"item_price_discount_fmt: ￥",""),",",""))+0)</f>
        <v>499</v>
      </c>
      <c r="V76" s="402"/>
      <c r="W76" s="279">
        <f ca="1">INT(SUMIF($Y$10:$AA76,"外税8%",$U$10:$V76)*1.08)+INT(SUMIF($Y$10:$AA76,"外税10%",$U$10:$V76)*1.1)+SUMIF($Y$10:$AA76,"内税10%",$U$10:$V76)+SUMIF($Y$10:$AA76,"非課税",$U$10:$V76)</f>
        <v>29031</v>
      </c>
      <c r="X76" s="280"/>
      <c r="Y76" s="281" t="str" cm="1">
        <f t="array" ref="Y76">TRIM(SUBSTITUTE(SUBSTITUTE(INDEX(CR:CR,MATCH("      item_no: "&amp;A76&amp;",",CR:CR,0)+15,1),"item_tax_fmt: ",""),",",""))</f>
        <v>外税8%</v>
      </c>
      <c r="Z76" s="282"/>
      <c r="AA76" s="282"/>
      <c r="AB76" s="283" t="str" cm="1">
        <f t="array" ref="AB76">TRIM(SUBSTITUTE(SUBSTITUTE(INDEX(CR:CR,MATCH("      item_no: "&amp;A76&amp;",",CR:CR,0)+18,1),"discount_prohibition:",""),",",""))</f>
        <v>0</v>
      </c>
      <c r="AC76" s="283"/>
      <c r="AD76" s="214" t="str">
        <f t="shared" si="27"/>
        <v>外税8%+0</v>
      </c>
      <c r="AE76" s="215"/>
      <c r="AF76" s="284" t="str" cm="1">
        <f t="array" ref="AF76">TRIM(SUBSTITUTE(SUBSTITUTE(INDEX(CR:CR,MATCH("      item_no: "&amp;A76&amp;",",CR:CR,0)+1,1),"item_cancel_line: ",""),",",""))</f>
        <v>false</v>
      </c>
      <c r="AG76" s="284"/>
      <c r="AH76" s="595"/>
      <c r="AI76" s="596"/>
      <c r="AJ76" s="285">
        <f t="shared" si="11"/>
        <v>-24.950000000000003</v>
      </c>
      <c r="AK76" s="286"/>
      <c r="AL76" s="335">
        <f t="shared" ca="1" si="21"/>
        <v>-24.9617068974506</v>
      </c>
      <c r="AM76" s="336"/>
      <c r="AN76" s="333">
        <f t="shared" ca="1" si="13"/>
        <v>-25</v>
      </c>
      <c r="AO76" s="334"/>
      <c r="AP76" s="329">
        <f t="shared" si="14"/>
        <v>499</v>
      </c>
      <c r="AQ76" s="330"/>
      <c r="AR76" s="331">
        <f t="shared" si="15"/>
        <v>12</v>
      </c>
      <c r="AS76" s="332"/>
      <c r="AT76" s="333">
        <f t="shared" ca="1" si="22"/>
        <v>-25</v>
      </c>
      <c r="AU76" s="334"/>
      <c r="AV76" s="271"/>
      <c r="AW76" s="272"/>
      <c r="AX76" s="271">
        <f t="shared" ca="1" si="28"/>
        <v>-25</v>
      </c>
      <c r="AY76" s="272"/>
      <c r="AZ76" s="273">
        <f t="shared" ca="1" si="20"/>
        <v>474</v>
      </c>
      <c r="BA76" s="274"/>
      <c r="BB76" s="343">
        <f t="shared" ca="1" si="23"/>
        <v>511</v>
      </c>
      <c r="BC76" s="344"/>
      <c r="BD76" s="348">
        <f t="shared" si="17"/>
        <v>474</v>
      </c>
      <c r="BE76" s="343"/>
      <c r="BF76" s="343">
        <f t="shared" si="24"/>
        <v>-25</v>
      </c>
      <c r="BG76" s="344"/>
      <c r="BH76" s="345" t="str">
        <f t="shared" ca="1" si="19"/>
        <v/>
      </c>
      <c r="BI76" s="346"/>
      <c r="BJ76" s="564"/>
      <c r="BK76" s="565"/>
      <c r="BL76" s="568"/>
      <c r="BM76" s="570"/>
      <c r="CC76" s="144" t="s">
        <v>80</v>
      </c>
      <c r="CD76" s="337" t="str">
        <f t="shared" si="25"/>
        <v>外税8%</v>
      </c>
      <c r="CE76" s="337"/>
      <c r="CF76" s="338"/>
      <c r="CR76" s="103" t="s">
        <v>272</v>
      </c>
      <c r="CW76" s="103" t="s">
        <v>273</v>
      </c>
      <c r="CX76" s="102" t="s">
        <v>30</v>
      </c>
      <c r="CY76" s="103" t="s">
        <v>274</v>
      </c>
    </row>
    <row r="77" spans="1:103" ht="15" customHeight="1">
      <c r="A77" s="100">
        <f t="shared" si="26"/>
        <v>53</v>
      </c>
      <c r="B77" s="293" t="s">
        <v>171</v>
      </c>
      <c r="C77" s="293"/>
      <c r="D77" s="293"/>
      <c r="E77" s="293"/>
      <c r="F77" s="293" t="str" cm="1">
        <f t="array" ref="F77">TRIM(SUBSTITUTE(SUBSTITUTE(INDEX(CR:CR,MATCH("      item_no: "&amp;A77&amp;",",CR:CR,0)+9,1),"item_name: ",""),",",""))</f>
        <v>果物</v>
      </c>
      <c r="G77" s="293"/>
      <c r="H77" s="293"/>
      <c r="I77" s="293"/>
      <c r="J77" s="293"/>
      <c r="K77" s="293"/>
      <c r="L77" s="399" t="str" cm="1">
        <f t="array" ref="L77">TRIM(SUBSTITUTE(SUBSTITUTE(INDEX(CR:CR,MATCH("      item_no: "&amp;A77&amp;",",CR:CR,0)+3,1),"item_scan_code: ",""),",",""))</f>
        <v>0900</v>
      </c>
      <c r="M77" s="399"/>
      <c r="N77" s="399"/>
      <c r="O77" s="399"/>
      <c r="P77" s="399"/>
      <c r="Q77" s="400" cm="1">
        <f t="array" ref="Q77">IF(AF77="true","",TRIM(SUBSTITUTE(SUBSTITUTE(INDEX(CR:CR,MATCH("      item_no: "&amp;A77&amp;",",CR:CR,0)+13,1),"item_price_fmt: ￥",""),",",""))+0)</f>
        <v>499</v>
      </c>
      <c r="R77" s="401"/>
      <c r="S77" s="327">
        <f t="shared" si="10"/>
        <v>0</v>
      </c>
      <c r="T77" s="328"/>
      <c r="U77" s="401" cm="1">
        <f t="array" ref="U77">IF(AF77="true","",TRIM(SUBSTITUTE(SUBSTITUTE(INDEX(CR:CR,MATCH("      item_no: "&amp;A77&amp;",",CR:CR,0)+14,1),"item_price_discount_fmt: ￥",""),",",""))+0)</f>
        <v>499</v>
      </c>
      <c r="V77" s="402"/>
      <c r="W77" s="279">
        <f ca="1">INT(SUMIF($Y$10:$AA77,"外税8%",$U$10:$V77)*1.08)+INT(SUMIF($Y$10:$AA77,"外税10%",$U$10:$V77)*1.1)+SUMIF($Y$10:$AA77,"内税10%",$U$10:$V77)+SUMIF($Y$10:$AA77,"非課税",$U$10:$V77)</f>
        <v>29570</v>
      </c>
      <c r="X77" s="280"/>
      <c r="Y77" s="281" t="str" cm="1">
        <f t="array" ref="Y77">TRIM(SUBSTITUTE(SUBSTITUTE(INDEX(CR:CR,MATCH("      item_no: "&amp;A77&amp;",",CR:CR,0)+15,1),"item_tax_fmt: ",""),",",""))</f>
        <v>外税8%</v>
      </c>
      <c r="Z77" s="282"/>
      <c r="AA77" s="282"/>
      <c r="AB77" s="283" t="str" cm="1">
        <f t="array" ref="AB77">TRIM(SUBSTITUTE(SUBSTITUTE(INDEX(CR:CR,MATCH("      item_no: "&amp;A77&amp;",",CR:CR,0)+18,1),"discount_prohibition:",""),",",""))</f>
        <v>0</v>
      </c>
      <c r="AC77" s="283"/>
      <c r="AD77" s="214" t="str">
        <f t="shared" si="27"/>
        <v>外税8%+0</v>
      </c>
      <c r="AE77" s="215"/>
      <c r="AF77" s="284" t="str" cm="1">
        <f t="array" ref="AF77">TRIM(SUBSTITUTE(SUBSTITUTE(INDEX(CR:CR,MATCH("      item_no: "&amp;A77&amp;",",CR:CR,0)+1,1),"item_cancel_line: ",""),",",""))</f>
        <v>false</v>
      </c>
      <c r="AG77" s="284"/>
      <c r="AH77" s="595"/>
      <c r="AI77" s="596"/>
      <c r="AJ77" s="285">
        <f t="shared" si="11"/>
        <v>-24.950000000000003</v>
      </c>
      <c r="AK77" s="286"/>
      <c r="AL77" s="335">
        <f t="shared" ca="1" si="21"/>
        <v>-24.9617068974506</v>
      </c>
      <c r="AM77" s="336"/>
      <c r="AN77" s="333">
        <f t="shared" ca="1" si="13"/>
        <v>-25</v>
      </c>
      <c r="AO77" s="334"/>
      <c r="AP77" s="329">
        <f t="shared" si="14"/>
        <v>499</v>
      </c>
      <c r="AQ77" s="330"/>
      <c r="AR77" s="331">
        <f t="shared" si="15"/>
        <v>12</v>
      </c>
      <c r="AS77" s="332"/>
      <c r="AT77" s="333">
        <f t="shared" ca="1" si="22"/>
        <v>-25</v>
      </c>
      <c r="AU77" s="334"/>
      <c r="AV77" s="271"/>
      <c r="AW77" s="272"/>
      <c r="AX77" s="271">
        <f t="shared" ca="1" si="28"/>
        <v>-25</v>
      </c>
      <c r="AY77" s="272"/>
      <c r="AZ77" s="273">
        <f t="shared" ca="1" si="20"/>
        <v>474</v>
      </c>
      <c r="BA77" s="274"/>
      <c r="BB77" s="343">
        <f t="shared" ca="1" si="23"/>
        <v>511</v>
      </c>
      <c r="BC77" s="344"/>
      <c r="BD77" s="348">
        <f t="shared" si="17"/>
        <v>474</v>
      </c>
      <c r="BE77" s="343"/>
      <c r="BF77" s="343">
        <f t="shared" si="24"/>
        <v>-25</v>
      </c>
      <c r="BG77" s="344"/>
      <c r="BH77" s="345" t="str">
        <f t="shared" ca="1" si="19"/>
        <v/>
      </c>
      <c r="BI77" s="346"/>
      <c r="BJ77" s="564"/>
      <c r="BK77" s="565"/>
      <c r="BL77" s="568"/>
      <c r="BM77" s="570"/>
      <c r="CC77" s="138" t="s">
        <v>80</v>
      </c>
      <c r="CD77" s="337" t="str">
        <f t="shared" si="25"/>
        <v>外税8%</v>
      </c>
      <c r="CE77" s="337"/>
      <c r="CF77" s="338"/>
      <c r="CR77" s="103" t="s">
        <v>275</v>
      </c>
      <c r="CW77" s="103" t="s">
        <v>276</v>
      </c>
      <c r="CX77" s="102" t="s">
        <v>30</v>
      </c>
      <c r="CY77" s="103" t="s">
        <v>277</v>
      </c>
    </row>
    <row r="78" spans="1:103" ht="15" customHeight="1">
      <c r="A78" s="100">
        <f t="shared" si="26"/>
        <v>52</v>
      </c>
      <c r="B78" s="293" t="s">
        <v>278</v>
      </c>
      <c r="C78" s="293"/>
      <c r="D78" s="293"/>
      <c r="E78" s="293"/>
      <c r="F78" s="293" t="str" cm="1">
        <f t="array" ref="F78">TRIM(SUBSTITUTE(SUBSTITUTE(INDEX(CR:CR,MATCH("      item_no: "&amp;A78&amp;",",CR:CR,0)+9,1),"item_name: ",""),",",""))</f>
        <v>フロ−ラル</v>
      </c>
      <c r="G78" s="293"/>
      <c r="H78" s="293"/>
      <c r="I78" s="293"/>
      <c r="J78" s="293"/>
      <c r="K78" s="293"/>
      <c r="L78" s="399" t="str" cm="1">
        <f t="array" ref="L78">TRIM(SUBSTITUTE(SUBSTITUTE(INDEX(CR:CR,MATCH("      item_no: "&amp;A78&amp;",",CR:CR,0)+3,1),"item_scan_code: ",""),",",""))</f>
        <v>1500</v>
      </c>
      <c r="M78" s="399"/>
      <c r="N78" s="399"/>
      <c r="O78" s="399"/>
      <c r="P78" s="399"/>
      <c r="Q78" s="400" cm="1">
        <f t="array" ref="Q78">IF(AF78="true","",TRIM(SUBSTITUTE(SUBSTITUTE(INDEX(CR:CR,MATCH("      item_no: "&amp;A78&amp;",",CR:CR,0)+13,1),"item_price_fmt: ￥",""),",",""))+0)</f>
        <v>499</v>
      </c>
      <c r="R78" s="401"/>
      <c r="S78" s="327">
        <f t="shared" si="10"/>
        <v>0</v>
      </c>
      <c r="T78" s="328"/>
      <c r="U78" s="401" cm="1">
        <f t="array" ref="U78">IF(AF78="true","",TRIM(SUBSTITUTE(SUBSTITUTE(INDEX(CR:CR,MATCH("      item_no: "&amp;A78&amp;",",CR:CR,0)+14,1),"item_price_discount_fmt: ￥",""),",",""))+0)</f>
        <v>499</v>
      </c>
      <c r="V78" s="402"/>
      <c r="W78" s="279">
        <f ca="1">INT(SUMIF($Y$10:$AA78,"外税8%",$U$10:$V78)*1.08)+INT(SUMIF($Y$10:$AA78,"外税10%",$U$10:$V78)*1.1)+SUMIF($Y$10:$AA78,"内税10%",$U$10:$V78)+SUMIF($Y$10:$AA78,"非課税",$U$10:$V78)</f>
        <v>30119</v>
      </c>
      <c r="X78" s="280"/>
      <c r="Y78" s="281" t="str" cm="1">
        <f t="array" ref="Y78">TRIM(SUBSTITUTE(SUBSTITUTE(INDEX(CR:CR,MATCH("      item_no: "&amp;A78&amp;",",CR:CR,0)+15,1),"item_tax_fmt: ",""),",",""))</f>
        <v>外税10%</v>
      </c>
      <c r="Z78" s="282"/>
      <c r="AA78" s="282"/>
      <c r="AB78" s="283" t="str" cm="1">
        <f t="array" ref="AB78">TRIM(SUBSTITUTE(SUBSTITUTE(INDEX(CR:CR,MATCH("      item_no: "&amp;A78&amp;",",CR:CR,0)+18,1),"discount_prohibition:",""),",",""))</f>
        <v>0</v>
      </c>
      <c r="AC78" s="283"/>
      <c r="AD78" s="214" t="str">
        <f t="shared" si="27"/>
        <v>外税10%+0</v>
      </c>
      <c r="AE78" s="215"/>
      <c r="AF78" s="284" t="str" cm="1">
        <f t="array" ref="AF78">TRIM(SUBSTITUTE(SUBSTITUTE(INDEX(CR:CR,MATCH("      item_no: "&amp;A78&amp;",",CR:CR,0)+1,1),"item_cancel_line: ",""),",",""))</f>
        <v>false</v>
      </c>
      <c r="AG78" s="284"/>
      <c r="AH78" s="595"/>
      <c r="AI78" s="596"/>
      <c r="AJ78" s="285">
        <f t="shared" si="11"/>
        <v>-24.950000000000003</v>
      </c>
      <c r="AK78" s="286"/>
      <c r="AL78" s="335">
        <f t="shared" ca="1" si="21"/>
        <v>-24.9617068974506</v>
      </c>
      <c r="AM78" s="336"/>
      <c r="AN78" s="333">
        <f t="shared" ca="1" si="13"/>
        <v>-25</v>
      </c>
      <c r="AO78" s="334"/>
      <c r="AP78" s="329">
        <f t="shared" si="14"/>
        <v>499</v>
      </c>
      <c r="AQ78" s="330"/>
      <c r="AR78" s="331">
        <f t="shared" si="15"/>
        <v>12</v>
      </c>
      <c r="AS78" s="332"/>
      <c r="AT78" s="333">
        <f t="shared" ca="1" si="22"/>
        <v>-25</v>
      </c>
      <c r="AU78" s="334"/>
      <c r="AV78" s="271"/>
      <c r="AW78" s="272"/>
      <c r="AX78" s="271">
        <f t="shared" ca="1" si="28"/>
        <v>-25</v>
      </c>
      <c r="AY78" s="272"/>
      <c r="AZ78" s="273">
        <f t="shared" ca="1" si="20"/>
        <v>474</v>
      </c>
      <c r="BA78" s="274"/>
      <c r="BB78" s="343">
        <f t="shared" ca="1" si="23"/>
        <v>521</v>
      </c>
      <c r="BC78" s="344"/>
      <c r="BD78" s="348">
        <f t="shared" si="17"/>
        <v>474</v>
      </c>
      <c r="BE78" s="343"/>
      <c r="BF78" s="343">
        <f t="shared" si="24"/>
        <v>-25</v>
      </c>
      <c r="BG78" s="344"/>
      <c r="BH78" s="345" t="str">
        <f t="shared" ca="1" si="19"/>
        <v/>
      </c>
      <c r="BI78" s="346"/>
      <c r="BJ78" s="564"/>
      <c r="BK78" s="565"/>
      <c r="BL78" s="568"/>
      <c r="BM78" s="570"/>
      <c r="CC78" s="138" t="s">
        <v>80</v>
      </c>
      <c r="CD78" s="337" t="str">
        <f t="shared" si="25"/>
        <v>外税10%</v>
      </c>
      <c r="CE78" s="337"/>
      <c r="CF78" s="338"/>
      <c r="CR78" s="103" t="s">
        <v>279</v>
      </c>
      <c r="CW78" s="103" t="s">
        <v>280</v>
      </c>
      <c r="CX78" s="102" t="s">
        <v>30</v>
      </c>
      <c r="CY78" s="103" t="s">
        <v>281</v>
      </c>
    </row>
    <row r="79" spans="1:103" ht="15" customHeight="1">
      <c r="A79" s="100">
        <f t="shared" si="26"/>
        <v>51</v>
      </c>
      <c r="B79" s="293" t="s">
        <v>181</v>
      </c>
      <c r="C79" s="293"/>
      <c r="D79" s="293"/>
      <c r="E79" s="293"/>
      <c r="F79" s="293" t="str" cm="1">
        <f t="array" ref="F79">TRIM(SUBSTITUTE(SUBSTITUTE(INDEX(CR:CR,MATCH("      item_no: "&amp;A79&amp;",",CR:CR,0)+9,1),"item_name: ",""),",",""))</f>
        <v>鮮魚</v>
      </c>
      <c r="G79" s="293"/>
      <c r="H79" s="293"/>
      <c r="I79" s="293"/>
      <c r="J79" s="293"/>
      <c r="K79" s="293"/>
      <c r="L79" s="399" t="str" cm="1">
        <f t="array" ref="L79">TRIM(SUBSTITUTE(SUBSTITUTE(INDEX(CR:CR,MATCH("      item_no: "&amp;A79&amp;",",CR:CR,0)+3,1),"item_scan_code: ",""),",",""))</f>
        <v>0400</v>
      </c>
      <c r="M79" s="399"/>
      <c r="N79" s="399"/>
      <c r="O79" s="399"/>
      <c r="P79" s="399"/>
      <c r="Q79" s="400" cm="1">
        <f t="array" ref="Q79">IF(AF79="true","",TRIM(SUBSTITUTE(SUBSTITUTE(INDEX(CR:CR,MATCH("      item_no: "&amp;A79&amp;",",CR:CR,0)+13,1),"item_price_fmt: ￥",""),",",""))+0)</f>
        <v>499</v>
      </c>
      <c r="R79" s="401"/>
      <c r="S79" s="327">
        <f t="shared" si="10"/>
        <v>0</v>
      </c>
      <c r="T79" s="328"/>
      <c r="U79" s="401" cm="1">
        <f t="array" ref="U79">IF(AF79="true","",TRIM(SUBSTITUTE(SUBSTITUTE(INDEX(CR:CR,MATCH("      item_no: "&amp;A79&amp;",",CR:CR,0)+14,1),"item_price_discount_fmt: ￥",""),",",""))+0)</f>
        <v>499</v>
      </c>
      <c r="V79" s="402"/>
      <c r="W79" s="279">
        <f ca="1">INT(SUMIF($Y$10:$AA79,"外税8%",$U$10:$V79)*1.08)+INT(SUMIF($Y$10:$AA79,"外税10%",$U$10:$V79)*1.1)+SUMIF($Y$10:$AA79,"内税10%",$U$10:$V79)+SUMIF($Y$10:$AA79,"非課税",$U$10:$V79)</f>
        <v>30658</v>
      </c>
      <c r="X79" s="280"/>
      <c r="Y79" s="281" t="str" cm="1">
        <f t="array" ref="Y79">TRIM(SUBSTITUTE(SUBSTITUTE(INDEX(CR:CR,MATCH("      item_no: "&amp;A79&amp;",",CR:CR,0)+15,1),"item_tax_fmt: ",""),",",""))</f>
        <v>外税8%</v>
      </c>
      <c r="Z79" s="282"/>
      <c r="AA79" s="282"/>
      <c r="AB79" s="283" t="str" cm="1">
        <f t="array" ref="AB79">TRIM(SUBSTITUTE(SUBSTITUTE(INDEX(CR:CR,MATCH("      item_no: "&amp;A79&amp;",",CR:CR,0)+18,1),"discount_prohibition:",""),",",""))</f>
        <v>0</v>
      </c>
      <c r="AC79" s="283"/>
      <c r="AD79" s="214" t="str">
        <f t="shared" si="27"/>
        <v>外税8%+0</v>
      </c>
      <c r="AE79" s="215"/>
      <c r="AF79" s="284" t="str" cm="1">
        <f t="array" ref="AF79">TRIM(SUBSTITUTE(SUBSTITUTE(INDEX(CR:CR,MATCH("      item_no: "&amp;A79&amp;",",CR:CR,0)+1,1),"item_cancel_line: ",""),",",""))</f>
        <v>false</v>
      </c>
      <c r="AG79" s="284"/>
      <c r="AH79" s="595"/>
      <c r="AI79" s="596"/>
      <c r="AJ79" s="285">
        <f t="shared" si="11"/>
        <v>-24.950000000000003</v>
      </c>
      <c r="AK79" s="286"/>
      <c r="AL79" s="335">
        <f t="shared" ca="1" si="21"/>
        <v>-24.9617068974506</v>
      </c>
      <c r="AM79" s="336"/>
      <c r="AN79" s="333">
        <f t="shared" ca="1" si="13"/>
        <v>-25</v>
      </c>
      <c r="AO79" s="334"/>
      <c r="AP79" s="329">
        <f t="shared" si="14"/>
        <v>499</v>
      </c>
      <c r="AQ79" s="330"/>
      <c r="AR79" s="331">
        <f t="shared" si="15"/>
        <v>12</v>
      </c>
      <c r="AS79" s="332"/>
      <c r="AT79" s="333">
        <f t="shared" ca="1" si="22"/>
        <v>-25</v>
      </c>
      <c r="AU79" s="334"/>
      <c r="AV79" s="271"/>
      <c r="AW79" s="272"/>
      <c r="AX79" s="271">
        <f t="shared" ca="1" si="28"/>
        <v>-25</v>
      </c>
      <c r="AY79" s="272"/>
      <c r="AZ79" s="273">
        <f t="shared" ca="1" si="20"/>
        <v>474</v>
      </c>
      <c r="BA79" s="274"/>
      <c r="BB79" s="343">
        <f t="shared" ca="1" si="23"/>
        <v>511</v>
      </c>
      <c r="BC79" s="344"/>
      <c r="BD79" s="348">
        <f t="shared" si="17"/>
        <v>474</v>
      </c>
      <c r="BE79" s="343"/>
      <c r="BF79" s="343">
        <f t="shared" si="24"/>
        <v>-25</v>
      </c>
      <c r="BG79" s="344"/>
      <c r="BH79" s="345" t="str">
        <f t="shared" ca="1" si="19"/>
        <v/>
      </c>
      <c r="BI79" s="346"/>
      <c r="BJ79" s="564"/>
      <c r="BK79" s="565"/>
      <c r="BL79" s="568"/>
      <c r="BM79" s="570"/>
      <c r="CC79" s="138" t="s">
        <v>80</v>
      </c>
      <c r="CD79" s="337" t="str">
        <f t="shared" si="25"/>
        <v>外税8%</v>
      </c>
      <c r="CE79" s="337"/>
      <c r="CF79" s="338"/>
      <c r="CR79" s="103" t="s">
        <v>282</v>
      </c>
      <c r="CW79" s="103" t="s">
        <v>283</v>
      </c>
      <c r="CX79" s="102" t="s">
        <v>30</v>
      </c>
      <c r="CY79" s="103" t="s">
        <v>284</v>
      </c>
    </row>
    <row r="80" spans="1:103" ht="15" customHeight="1">
      <c r="A80" s="100">
        <f t="shared" si="26"/>
        <v>50</v>
      </c>
      <c r="B80" s="293" t="s">
        <v>188</v>
      </c>
      <c r="C80" s="293"/>
      <c r="D80" s="293"/>
      <c r="E80" s="293"/>
      <c r="F80" s="293" t="str" cm="1">
        <f t="array" ref="F80">TRIM(SUBSTITUTE(SUBSTITUTE(INDEX(CR:CR,MATCH("      item_no: "&amp;A80&amp;",",CR:CR,0)+9,1),"item_name: ",""),",",""))</f>
        <v>塩干</v>
      </c>
      <c r="G80" s="293"/>
      <c r="H80" s="293"/>
      <c r="I80" s="293"/>
      <c r="J80" s="293"/>
      <c r="K80" s="293"/>
      <c r="L80" s="399" t="str" cm="1">
        <f t="array" ref="L80">TRIM(SUBSTITUTE(SUBSTITUTE(INDEX(CR:CR,MATCH("      item_no: "&amp;A80&amp;",",CR:CR,0)+3,1),"item_scan_code: ",""),",",""))</f>
        <v>0600</v>
      </c>
      <c r="M80" s="399"/>
      <c r="N80" s="399"/>
      <c r="O80" s="399"/>
      <c r="P80" s="399"/>
      <c r="Q80" s="400" cm="1">
        <f t="array" ref="Q80">IF(AF80="true","",TRIM(SUBSTITUTE(SUBSTITUTE(INDEX(CR:CR,MATCH("      item_no: "&amp;A80&amp;",",CR:CR,0)+13,1),"item_price_fmt: ￥",""),",",""))+0)</f>
        <v>499</v>
      </c>
      <c r="R80" s="401"/>
      <c r="S80" s="327">
        <f t="shared" si="10"/>
        <v>0</v>
      </c>
      <c r="T80" s="328"/>
      <c r="U80" s="401" cm="1">
        <f t="array" ref="U80">IF(AF80="true","",TRIM(SUBSTITUTE(SUBSTITUTE(INDEX(CR:CR,MATCH("      item_no: "&amp;A80&amp;",",CR:CR,0)+14,1),"item_price_discount_fmt: ￥",""),",",""))+0)</f>
        <v>499</v>
      </c>
      <c r="V80" s="402"/>
      <c r="W80" s="279">
        <f ca="1">INT(SUMIF($Y$10:$AA80,"外税8%",$U$10:$V80)*1.08)+INT(SUMIF($Y$10:$AA80,"外税10%",$U$10:$V80)*1.1)+SUMIF($Y$10:$AA80,"内税10%",$U$10:$V80)+SUMIF($Y$10:$AA80,"非課税",$U$10:$V80)</f>
        <v>31197</v>
      </c>
      <c r="X80" s="280"/>
      <c r="Y80" s="281" t="str" cm="1">
        <f t="array" ref="Y80">TRIM(SUBSTITUTE(SUBSTITUTE(INDEX(CR:CR,MATCH("      item_no: "&amp;A80&amp;",",CR:CR,0)+15,1),"item_tax_fmt: ",""),",",""))</f>
        <v>外税8%</v>
      </c>
      <c r="Z80" s="282"/>
      <c r="AA80" s="282"/>
      <c r="AB80" s="283" t="str" cm="1">
        <f t="array" ref="AB80">TRIM(SUBSTITUTE(SUBSTITUTE(INDEX(CR:CR,MATCH("      item_no: "&amp;A80&amp;",",CR:CR,0)+18,1),"discount_prohibition:",""),",",""))</f>
        <v>0</v>
      </c>
      <c r="AC80" s="283"/>
      <c r="AD80" s="214" t="str">
        <f t="shared" si="27"/>
        <v>外税8%+0</v>
      </c>
      <c r="AE80" s="215"/>
      <c r="AF80" s="284" t="str" cm="1">
        <f t="array" ref="AF80">TRIM(SUBSTITUTE(SUBSTITUTE(INDEX(CR:CR,MATCH("      item_no: "&amp;A80&amp;",",CR:CR,0)+1,1),"item_cancel_line: ",""),",",""))</f>
        <v>false</v>
      </c>
      <c r="AG80" s="284"/>
      <c r="AH80" s="595"/>
      <c r="AI80" s="596"/>
      <c r="AJ80" s="285">
        <f t="shared" si="11"/>
        <v>-24.950000000000003</v>
      </c>
      <c r="AK80" s="286"/>
      <c r="AL80" s="335">
        <f t="shared" ca="1" si="21"/>
        <v>-24.9617068974506</v>
      </c>
      <c r="AM80" s="336"/>
      <c r="AN80" s="333">
        <f t="shared" ca="1" si="13"/>
        <v>-25</v>
      </c>
      <c r="AO80" s="334"/>
      <c r="AP80" s="329">
        <f t="shared" si="14"/>
        <v>499</v>
      </c>
      <c r="AQ80" s="330"/>
      <c r="AR80" s="331">
        <f t="shared" si="15"/>
        <v>12</v>
      </c>
      <c r="AS80" s="332"/>
      <c r="AT80" s="333">
        <f t="shared" ca="1" si="22"/>
        <v>-25</v>
      </c>
      <c r="AU80" s="334"/>
      <c r="AV80" s="271"/>
      <c r="AW80" s="272"/>
      <c r="AX80" s="271">
        <f t="shared" ca="1" si="28"/>
        <v>-25</v>
      </c>
      <c r="AY80" s="272"/>
      <c r="AZ80" s="273">
        <f t="shared" ca="1" si="20"/>
        <v>474</v>
      </c>
      <c r="BA80" s="274"/>
      <c r="BB80" s="343">
        <f t="shared" ca="1" si="23"/>
        <v>511</v>
      </c>
      <c r="BC80" s="344"/>
      <c r="BD80" s="348">
        <f t="shared" si="17"/>
        <v>474</v>
      </c>
      <c r="BE80" s="343"/>
      <c r="BF80" s="343">
        <f t="shared" si="24"/>
        <v>-25</v>
      </c>
      <c r="BG80" s="344"/>
      <c r="BH80" s="345" t="str">
        <f t="shared" ca="1" si="19"/>
        <v/>
      </c>
      <c r="BI80" s="346"/>
      <c r="BJ80" s="564"/>
      <c r="BK80" s="565"/>
      <c r="BL80" s="568"/>
      <c r="BM80" s="570"/>
      <c r="CC80" s="138" t="s">
        <v>80</v>
      </c>
      <c r="CD80" s="337" t="str">
        <f t="shared" si="25"/>
        <v>外税8%</v>
      </c>
      <c r="CE80" s="337"/>
      <c r="CF80" s="338"/>
      <c r="CR80" s="103" t="s">
        <v>285</v>
      </c>
      <c r="CW80" s="103" t="s">
        <v>286</v>
      </c>
      <c r="CX80" s="102" t="s">
        <v>30</v>
      </c>
      <c r="CY80" s="103" t="s">
        <v>287</v>
      </c>
    </row>
    <row r="81" spans="1:103" ht="15" customHeight="1">
      <c r="A81" s="100">
        <f t="shared" si="26"/>
        <v>49</v>
      </c>
      <c r="B81" s="293" t="s">
        <v>193</v>
      </c>
      <c r="C81" s="293"/>
      <c r="D81" s="293"/>
      <c r="E81" s="293"/>
      <c r="F81" s="293" t="str" cm="1">
        <f t="array" ref="F81">TRIM(SUBSTITUTE(SUBSTITUTE(INDEX(CR:CR,MATCH("      item_no: "&amp;A81&amp;",",CR:CR,0)+9,1),"item_name: ",""),",",""))</f>
        <v>精肉</v>
      </c>
      <c r="G81" s="293"/>
      <c r="H81" s="293"/>
      <c r="I81" s="293"/>
      <c r="J81" s="293"/>
      <c r="K81" s="293"/>
      <c r="L81" s="399" t="str" cm="1">
        <f t="array" ref="L81">TRIM(SUBSTITUTE(SUBSTITUTE(INDEX(CR:CR,MATCH("      item_no: "&amp;A81&amp;",",CR:CR,0)+3,1),"item_scan_code: ",""),",",""))</f>
        <v>0500</v>
      </c>
      <c r="M81" s="399"/>
      <c r="N81" s="399"/>
      <c r="O81" s="399"/>
      <c r="P81" s="399"/>
      <c r="Q81" s="400" cm="1">
        <f t="array" ref="Q81">IF(AF81="true","",TRIM(SUBSTITUTE(SUBSTITUTE(INDEX(CR:CR,MATCH("      item_no: "&amp;A81&amp;",",CR:CR,0)+13,1),"item_price_fmt: ￥",""),",",""))+0)</f>
        <v>499</v>
      </c>
      <c r="R81" s="401"/>
      <c r="S81" s="327">
        <f t="shared" si="10"/>
        <v>0</v>
      </c>
      <c r="T81" s="328"/>
      <c r="U81" s="401" cm="1">
        <f t="array" ref="U81">IF(AF81="true","",TRIM(SUBSTITUTE(SUBSTITUTE(INDEX(CR:CR,MATCH("      item_no: "&amp;A81&amp;",",CR:CR,0)+14,1),"item_price_discount_fmt: ￥",""),",",""))+0)</f>
        <v>499</v>
      </c>
      <c r="V81" s="402"/>
      <c r="W81" s="279">
        <f ca="1">INT(SUMIF($Y$10:$AA81,"外税8%",$U$10:$V81)*1.08)+INT(SUMIF($Y$10:$AA81,"外税10%",$U$10:$V81)*1.1)+SUMIF($Y$10:$AA81,"内税10%",$U$10:$V81)+SUMIF($Y$10:$AA81,"非課税",$U$10:$V81)</f>
        <v>31736</v>
      </c>
      <c r="X81" s="280"/>
      <c r="Y81" s="281" t="str" cm="1">
        <f t="array" ref="Y81">TRIM(SUBSTITUTE(SUBSTITUTE(INDEX(CR:CR,MATCH("      item_no: "&amp;A81&amp;",",CR:CR,0)+15,1),"item_tax_fmt: ",""),",",""))</f>
        <v>外税8%</v>
      </c>
      <c r="Z81" s="282"/>
      <c r="AA81" s="282"/>
      <c r="AB81" s="283" t="str" cm="1">
        <f t="array" ref="AB81">TRIM(SUBSTITUTE(SUBSTITUTE(INDEX(CR:CR,MATCH("      item_no: "&amp;A81&amp;",",CR:CR,0)+18,1),"discount_prohibition:",""),",",""))</f>
        <v>0</v>
      </c>
      <c r="AC81" s="283"/>
      <c r="AD81" s="214" t="str">
        <f t="shared" si="27"/>
        <v>外税8%+0</v>
      </c>
      <c r="AE81" s="215"/>
      <c r="AF81" s="284" t="str" cm="1">
        <f t="array" ref="AF81">TRIM(SUBSTITUTE(SUBSTITUTE(INDEX(CR:CR,MATCH("      item_no: "&amp;A81&amp;",",CR:CR,0)+1,1),"item_cancel_line: ",""),",",""))</f>
        <v>false</v>
      </c>
      <c r="AG81" s="284"/>
      <c r="AH81" s="595"/>
      <c r="AI81" s="596"/>
      <c r="AJ81" s="285">
        <f t="shared" si="11"/>
        <v>-24.950000000000003</v>
      </c>
      <c r="AK81" s="286"/>
      <c r="AL81" s="335">
        <f t="shared" ca="1" si="21"/>
        <v>-24.9617068974506</v>
      </c>
      <c r="AM81" s="336"/>
      <c r="AN81" s="333">
        <f t="shared" ca="1" si="13"/>
        <v>-25</v>
      </c>
      <c r="AO81" s="334"/>
      <c r="AP81" s="329">
        <f t="shared" si="14"/>
        <v>499</v>
      </c>
      <c r="AQ81" s="330"/>
      <c r="AR81" s="331">
        <f t="shared" si="15"/>
        <v>12</v>
      </c>
      <c r="AS81" s="332"/>
      <c r="AT81" s="333">
        <f t="shared" ca="1" si="22"/>
        <v>-25</v>
      </c>
      <c r="AU81" s="334"/>
      <c r="AV81" s="271"/>
      <c r="AW81" s="272"/>
      <c r="AX81" s="271">
        <f t="shared" ca="1" si="28"/>
        <v>-25</v>
      </c>
      <c r="AY81" s="272"/>
      <c r="AZ81" s="273">
        <f t="shared" ca="1" si="20"/>
        <v>474</v>
      </c>
      <c r="BA81" s="274"/>
      <c r="BB81" s="343">
        <f t="shared" ca="1" si="23"/>
        <v>511</v>
      </c>
      <c r="BC81" s="344"/>
      <c r="BD81" s="348">
        <f t="shared" si="17"/>
        <v>474</v>
      </c>
      <c r="BE81" s="343"/>
      <c r="BF81" s="343">
        <f t="shared" si="24"/>
        <v>-25</v>
      </c>
      <c r="BG81" s="344"/>
      <c r="BH81" s="345" t="str">
        <f t="shared" ca="1" si="19"/>
        <v/>
      </c>
      <c r="BI81" s="346"/>
      <c r="BJ81" s="564"/>
      <c r="BK81" s="565"/>
      <c r="BL81" s="568"/>
      <c r="BM81" s="570"/>
      <c r="CC81" s="138" t="s">
        <v>80</v>
      </c>
      <c r="CD81" s="337" t="str">
        <f t="shared" si="25"/>
        <v>外税8%</v>
      </c>
      <c r="CE81" s="337"/>
      <c r="CF81" s="338"/>
      <c r="CR81" s="103" t="s">
        <v>288</v>
      </c>
      <c r="CW81" s="103" t="s">
        <v>289</v>
      </c>
      <c r="CX81" s="102" t="s">
        <v>30</v>
      </c>
      <c r="CY81" s="103" t="s">
        <v>290</v>
      </c>
    </row>
    <row r="82" spans="1:103" ht="15" customHeight="1">
      <c r="A82" s="100">
        <f t="shared" si="26"/>
        <v>48</v>
      </c>
      <c r="B82" s="293" t="s">
        <v>150</v>
      </c>
      <c r="C82" s="293"/>
      <c r="D82" s="293"/>
      <c r="E82" s="293"/>
      <c r="F82" s="293" t="str" cm="1">
        <f t="array" ref="F82">TRIM(SUBSTITUTE(SUBSTITUTE(INDEX(CR:CR,MATCH("      item_no: "&amp;A82&amp;",",CR:CR,0)+9,1),"item_name: ",""),",",""))</f>
        <v>テ゛イリ−</v>
      </c>
      <c r="G82" s="293"/>
      <c r="H82" s="293"/>
      <c r="I82" s="293"/>
      <c r="J82" s="293"/>
      <c r="K82" s="293"/>
      <c r="L82" s="399" t="str" cm="1">
        <f t="array" ref="L82">TRIM(SUBSTITUTE(SUBSTITUTE(INDEX(CR:CR,MATCH("      item_no: "&amp;A82&amp;",",CR:CR,0)+3,1),"item_scan_code: ",""),",",""))</f>
        <v>1000</v>
      </c>
      <c r="M82" s="399"/>
      <c r="N82" s="399"/>
      <c r="O82" s="399"/>
      <c r="P82" s="399"/>
      <c r="Q82" s="281" cm="1">
        <f t="array" ref="Q82">IF(AF82="true","",TRIM(SUBSTITUTE(SUBSTITUTE(INDEX(CR:CR,MATCH("      item_no: "&amp;A82&amp;",",CR:CR,0)+13,1),"item_price_fmt: ￥",""),",",""))+0)</f>
        <v>499</v>
      </c>
      <c r="R82" s="326"/>
      <c r="S82" s="327">
        <f t="shared" si="10"/>
        <v>0</v>
      </c>
      <c r="T82" s="328"/>
      <c r="U82" s="277" cm="1">
        <f t="array" ref="U82">IF(AF82="true","",TRIM(SUBSTITUTE(SUBSTITUTE(INDEX(CR:CR,MATCH("      item_no: "&amp;A82&amp;",",CR:CR,0)+14,1),"item_price_discount_fmt: ￥",""),",",""))+0)</f>
        <v>499</v>
      </c>
      <c r="V82" s="278"/>
      <c r="W82" s="279">
        <f ca="1">INT(SUMIF($Y$10:$AA82,"外税8%",$U$10:$V82)*1.08)+INT(SUMIF($Y$10:$AA82,"外税10%",$U$10:$V82)*1.1)+SUMIF($Y$10:$AA82,"内税10%",$U$10:$V82)+SUMIF($Y$10:$AA82,"非課税",$U$10:$V82)</f>
        <v>32275</v>
      </c>
      <c r="X82" s="280"/>
      <c r="Y82" s="281" t="str" cm="1">
        <f t="array" ref="Y82">TRIM(SUBSTITUTE(SUBSTITUTE(INDEX(CR:CR,MATCH("      item_no: "&amp;A82&amp;",",CR:CR,0)+15,1),"item_tax_fmt: ",""),",",""))</f>
        <v>外税8%</v>
      </c>
      <c r="Z82" s="282"/>
      <c r="AA82" s="282"/>
      <c r="AB82" s="283" t="str" cm="1">
        <f t="array" ref="AB82">TRIM(SUBSTITUTE(SUBSTITUTE(INDEX(CR:CR,MATCH("      item_no: "&amp;A82&amp;",",CR:CR,0)+18,1),"discount_prohibition:",""),",",""))</f>
        <v>0</v>
      </c>
      <c r="AC82" s="283"/>
      <c r="AD82" s="214" t="str">
        <f t="shared" si="27"/>
        <v>外税8%+0</v>
      </c>
      <c r="AE82" s="215"/>
      <c r="AF82" s="284" t="str" cm="1">
        <f t="array" ref="AF82">TRIM(SUBSTITUTE(SUBSTITUTE(INDEX(CR:CR,MATCH("      item_no: "&amp;A82&amp;",",CR:CR,0)+1,1),"item_cancel_line: ",""),",",""))</f>
        <v>false</v>
      </c>
      <c r="AG82" s="284"/>
      <c r="AH82" s="595"/>
      <c r="AI82" s="596"/>
      <c r="AJ82" s="285">
        <f t="shared" si="11"/>
        <v>-24.950000000000003</v>
      </c>
      <c r="AK82" s="286"/>
      <c r="AL82" s="335">
        <f t="shared" ca="1" si="21"/>
        <v>-24.9617068974506</v>
      </c>
      <c r="AM82" s="336"/>
      <c r="AN82" s="333">
        <f t="shared" ca="1" si="13"/>
        <v>-25</v>
      </c>
      <c r="AO82" s="334"/>
      <c r="AP82" s="329">
        <f t="shared" si="14"/>
        <v>499</v>
      </c>
      <c r="AQ82" s="330"/>
      <c r="AR82" s="331">
        <f t="shared" si="15"/>
        <v>12</v>
      </c>
      <c r="AS82" s="332"/>
      <c r="AT82" s="333">
        <f t="shared" ca="1" si="22"/>
        <v>-25</v>
      </c>
      <c r="AU82" s="334"/>
      <c r="AV82" s="271"/>
      <c r="AW82" s="272"/>
      <c r="AX82" s="271">
        <f t="shared" ca="1" si="28"/>
        <v>-25</v>
      </c>
      <c r="AY82" s="272"/>
      <c r="AZ82" s="273">
        <f t="shared" ca="1" si="20"/>
        <v>474</v>
      </c>
      <c r="BA82" s="274"/>
      <c r="BB82" s="343">
        <f t="shared" ca="1" si="23"/>
        <v>511</v>
      </c>
      <c r="BC82" s="344"/>
      <c r="BD82" s="348">
        <f t="shared" si="17"/>
        <v>474</v>
      </c>
      <c r="BE82" s="343"/>
      <c r="BF82" s="343">
        <f t="shared" si="24"/>
        <v>-25</v>
      </c>
      <c r="BG82" s="344"/>
      <c r="BH82" s="345" t="str">
        <f t="shared" ca="1" si="19"/>
        <v/>
      </c>
      <c r="BI82" s="346"/>
      <c r="BJ82" s="564"/>
      <c r="BK82" s="565"/>
      <c r="BL82" s="568"/>
      <c r="BM82" s="570"/>
      <c r="CC82" s="138" t="s">
        <v>80</v>
      </c>
      <c r="CD82" s="337" t="str">
        <f t="shared" si="25"/>
        <v>外税8%</v>
      </c>
      <c r="CE82" s="337"/>
      <c r="CF82" s="338"/>
      <c r="CR82" s="103" t="s">
        <v>291</v>
      </c>
      <c r="CW82" s="103" t="s">
        <v>292</v>
      </c>
      <c r="CX82" s="102" t="s">
        <v>30</v>
      </c>
      <c r="CY82" s="103" t="s">
        <v>293</v>
      </c>
    </row>
    <row r="83" spans="1:103" ht="15" customHeight="1">
      <c r="A83" s="100">
        <f t="shared" si="26"/>
        <v>47</v>
      </c>
      <c r="B83" s="293" t="s">
        <v>158</v>
      </c>
      <c r="C83" s="293"/>
      <c r="D83" s="293"/>
      <c r="E83" s="293"/>
      <c r="F83" s="293" t="str" cm="1">
        <f t="array" ref="F83">TRIM(SUBSTITUTE(SUBSTITUTE(INDEX(CR:CR,MATCH("      item_no: "&amp;A83&amp;",",CR:CR,0)+9,1),"item_name: ",""),",",""))</f>
        <v>乳製品・冷食</v>
      </c>
      <c r="G83" s="293"/>
      <c r="H83" s="293"/>
      <c r="I83" s="293"/>
      <c r="J83" s="293"/>
      <c r="K83" s="293"/>
      <c r="L83" s="399" t="str" cm="1">
        <f t="array" ref="L83">TRIM(SUBSTITUTE(SUBSTITUTE(INDEX(CR:CR,MATCH("      item_no: "&amp;A83&amp;",",CR:CR,0)+3,1),"item_scan_code: ",""),",",""))</f>
        <v>1100</v>
      </c>
      <c r="M83" s="399"/>
      <c r="N83" s="399"/>
      <c r="O83" s="399"/>
      <c r="P83" s="399"/>
      <c r="Q83" s="281" cm="1">
        <f t="array" ref="Q83">IF(AF83="true","",TRIM(SUBSTITUTE(SUBSTITUTE(INDEX(CR:CR,MATCH("      item_no: "&amp;A83&amp;",",CR:CR,0)+13,1),"item_price_fmt: ￥",""),",",""))+0)</f>
        <v>499</v>
      </c>
      <c r="R83" s="326"/>
      <c r="S83" s="327">
        <f t="shared" si="10"/>
        <v>0</v>
      </c>
      <c r="T83" s="328"/>
      <c r="U83" s="277" cm="1">
        <f t="array" ref="U83">IF(AF83="true","",TRIM(SUBSTITUTE(SUBSTITUTE(INDEX(CR:CR,MATCH("      item_no: "&amp;A83&amp;",",CR:CR,0)+14,1),"item_price_discount_fmt: ￥",""),",",""))+0)</f>
        <v>499</v>
      </c>
      <c r="V83" s="278"/>
      <c r="W83" s="279">
        <f ca="1">INT(SUMIF($Y$10:$AA83,"外税8%",$U$10:$V83)*1.08)+INT(SUMIF($Y$10:$AA83,"外税10%",$U$10:$V83)*1.1)+SUMIF($Y$10:$AA83,"内税10%",$U$10:$V83)+SUMIF($Y$10:$AA83,"非課税",$U$10:$V83)</f>
        <v>32814</v>
      </c>
      <c r="X83" s="280"/>
      <c r="Y83" s="281" t="str" cm="1">
        <f t="array" ref="Y83">TRIM(SUBSTITUTE(SUBSTITUTE(INDEX(CR:CR,MATCH("      item_no: "&amp;A83&amp;",",CR:CR,0)+15,1),"item_tax_fmt: ",""),",",""))</f>
        <v>外税8%</v>
      </c>
      <c r="Z83" s="282"/>
      <c r="AA83" s="282"/>
      <c r="AB83" s="283" t="str" cm="1">
        <f t="array" ref="AB83">TRIM(SUBSTITUTE(SUBSTITUTE(INDEX(CR:CR,MATCH("      item_no: "&amp;A83&amp;",",CR:CR,0)+18,1),"discount_prohibition:",""),",",""))</f>
        <v>0</v>
      </c>
      <c r="AC83" s="283"/>
      <c r="AD83" s="214" t="str">
        <f t="shared" si="27"/>
        <v>外税8%+0</v>
      </c>
      <c r="AE83" s="215"/>
      <c r="AF83" s="284" t="str" cm="1">
        <f t="array" ref="AF83">TRIM(SUBSTITUTE(SUBSTITUTE(INDEX(CR:CR,MATCH("      item_no: "&amp;A83&amp;",",CR:CR,0)+1,1),"item_cancel_line: ",""),",",""))</f>
        <v>false</v>
      </c>
      <c r="AG83" s="284"/>
      <c r="AH83" s="595"/>
      <c r="AI83" s="596"/>
      <c r="AJ83" s="285">
        <f t="shared" si="11"/>
        <v>-24.950000000000003</v>
      </c>
      <c r="AK83" s="286"/>
      <c r="AL83" s="335">
        <f t="shared" ca="1" si="21"/>
        <v>-24.9617068974506</v>
      </c>
      <c r="AM83" s="336"/>
      <c r="AN83" s="333">
        <f t="shared" ca="1" si="13"/>
        <v>-25</v>
      </c>
      <c r="AO83" s="334"/>
      <c r="AP83" s="329">
        <f t="shared" si="14"/>
        <v>499</v>
      </c>
      <c r="AQ83" s="330"/>
      <c r="AR83" s="331">
        <f t="shared" si="15"/>
        <v>12</v>
      </c>
      <c r="AS83" s="332"/>
      <c r="AT83" s="333">
        <f t="shared" ca="1" si="22"/>
        <v>-25</v>
      </c>
      <c r="AU83" s="334"/>
      <c r="AV83" s="271"/>
      <c r="AW83" s="272"/>
      <c r="AX83" s="271">
        <f t="shared" ca="1" si="28"/>
        <v>-25</v>
      </c>
      <c r="AY83" s="272"/>
      <c r="AZ83" s="273">
        <f t="shared" ca="1" si="20"/>
        <v>474</v>
      </c>
      <c r="BA83" s="274"/>
      <c r="BB83" s="343">
        <f t="shared" ca="1" si="23"/>
        <v>511</v>
      </c>
      <c r="BC83" s="344"/>
      <c r="BD83" s="348">
        <f t="shared" si="17"/>
        <v>474</v>
      </c>
      <c r="BE83" s="343"/>
      <c r="BF83" s="343">
        <f t="shared" si="24"/>
        <v>-25</v>
      </c>
      <c r="BG83" s="344"/>
      <c r="BH83" s="345" t="str">
        <f t="shared" ca="1" si="19"/>
        <v/>
      </c>
      <c r="BI83" s="346"/>
      <c r="BJ83" s="564"/>
      <c r="BK83" s="565"/>
      <c r="BL83" s="568"/>
      <c r="BM83" s="570"/>
      <c r="CC83" s="138" t="s">
        <v>80</v>
      </c>
      <c r="CD83" s="337" t="str">
        <f t="shared" si="25"/>
        <v>外税8%</v>
      </c>
      <c r="CE83" s="337"/>
      <c r="CF83" s="338"/>
      <c r="CR83" s="103" t="s">
        <v>294</v>
      </c>
      <c r="CW83" s="103" t="s">
        <v>295</v>
      </c>
      <c r="CX83" s="102" t="s">
        <v>30</v>
      </c>
      <c r="CY83" s="103" t="s">
        <v>296</v>
      </c>
    </row>
    <row r="84" spans="1:103" ht="15" customHeight="1">
      <c r="A84" s="100">
        <f t="shared" si="26"/>
        <v>46</v>
      </c>
      <c r="B84" s="293" t="s">
        <v>154</v>
      </c>
      <c r="C84" s="293"/>
      <c r="D84" s="293"/>
      <c r="E84" s="293"/>
      <c r="F84" s="293" t="str" cm="1">
        <f t="array" ref="F84">TRIM(SUBSTITUTE(SUBSTITUTE(INDEX(CR:CR,MATCH("      item_no: "&amp;A84&amp;",",CR:CR,0)+9,1),"item_name: ",""),",",""))</f>
        <v>ベ−カリ−</v>
      </c>
      <c r="G84" s="293"/>
      <c r="H84" s="293"/>
      <c r="I84" s="293"/>
      <c r="J84" s="293"/>
      <c r="K84" s="293"/>
      <c r="L84" s="399" t="str" cm="1">
        <f t="array" ref="L84">TRIM(SUBSTITUTE(SUBSTITUTE(INDEX(CR:CR,MATCH("      item_no: "&amp;A84&amp;",",CR:CR,0)+3,1),"item_scan_code: ",""),",",""))</f>
        <v>3400</v>
      </c>
      <c r="M84" s="399"/>
      <c r="N84" s="399"/>
      <c r="O84" s="399"/>
      <c r="P84" s="399"/>
      <c r="Q84" s="281" cm="1">
        <f t="array" ref="Q84">IF(AF84="true","",TRIM(SUBSTITUTE(SUBSTITUTE(INDEX(CR:CR,MATCH("      item_no: "&amp;A84&amp;",",CR:CR,0)+13,1),"item_price_fmt: ￥",""),",",""))+0)</f>
        <v>499</v>
      </c>
      <c r="R84" s="326"/>
      <c r="S84" s="327">
        <f t="shared" si="10"/>
        <v>0</v>
      </c>
      <c r="T84" s="328"/>
      <c r="U84" s="277" cm="1">
        <f t="array" ref="U84">IF(AF84="true","",TRIM(SUBSTITUTE(SUBSTITUTE(INDEX(CR:CR,MATCH("      item_no: "&amp;A84&amp;",",CR:CR,0)+14,1),"item_price_discount_fmt: ￥",""),",",""))+0)</f>
        <v>499</v>
      </c>
      <c r="V84" s="278"/>
      <c r="W84" s="279">
        <f ca="1">INT(SUMIF($Y$10:$AA84,"外税8%",$U$10:$V84)*1.08)+INT(SUMIF($Y$10:$AA84,"外税10%",$U$10:$V84)*1.1)+SUMIF($Y$10:$AA84,"内税10%",$U$10:$V84)+SUMIF($Y$10:$AA84,"非課税",$U$10:$V84)</f>
        <v>33353</v>
      </c>
      <c r="X84" s="280"/>
      <c r="Y84" s="281" t="str" cm="1">
        <f t="array" ref="Y84">TRIM(SUBSTITUTE(SUBSTITUTE(INDEX(CR:CR,MATCH("      item_no: "&amp;A84&amp;",",CR:CR,0)+15,1),"item_tax_fmt: ",""),",",""))</f>
        <v>外税8%</v>
      </c>
      <c r="Z84" s="282"/>
      <c r="AA84" s="282"/>
      <c r="AB84" s="283" t="str" cm="1">
        <f t="array" ref="AB84">TRIM(SUBSTITUTE(SUBSTITUTE(INDEX(CR:CR,MATCH("      item_no: "&amp;A84&amp;",",CR:CR,0)+18,1),"discount_prohibition:",""),",",""))</f>
        <v>0</v>
      </c>
      <c r="AC84" s="283"/>
      <c r="AD84" s="214" t="str">
        <f t="shared" si="27"/>
        <v>外税8%+0</v>
      </c>
      <c r="AE84" s="215"/>
      <c r="AF84" s="284" t="str" cm="1">
        <f t="array" ref="AF84">TRIM(SUBSTITUTE(SUBSTITUTE(INDEX(CR:CR,MATCH("      item_no: "&amp;A84&amp;",",CR:CR,0)+1,1),"item_cancel_line: ",""),",",""))</f>
        <v>false</v>
      </c>
      <c r="AG84" s="284"/>
      <c r="AH84" s="595"/>
      <c r="AI84" s="596"/>
      <c r="AJ84" s="285">
        <f t="shared" si="11"/>
        <v>-24.950000000000003</v>
      </c>
      <c r="AK84" s="286"/>
      <c r="AL84" s="335">
        <f t="shared" ca="1" si="21"/>
        <v>-24.9617068974506</v>
      </c>
      <c r="AM84" s="336"/>
      <c r="AN84" s="333">
        <f t="shared" ca="1" si="13"/>
        <v>-25</v>
      </c>
      <c r="AO84" s="334"/>
      <c r="AP84" s="329">
        <f t="shared" si="14"/>
        <v>499</v>
      </c>
      <c r="AQ84" s="330"/>
      <c r="AR84" s="331">
        <f t="shared" si="15"/>
        <v>12</v>
      </c>
      <c r="AS84" s="332"/>
      <c r="AT84" s="333">
        <f t="shared" ca="1" si="22"/>
        <v>-25</v>
      </c>
      <c r="AU84" s="334"/>
      <c r="AV84" s="271"/>
      <c r="AW84" s="272"/>
      <c r="AX84" s="271">
        <f t="shared" ca="1" si="28"/>
        <v>-25</v>
      </c>
      <c r="AY84" s="272"/>
      <c r="AZ84" s="273">
        <f t="shared" ca="1" si="20"/>
        <v>474</v>
      </c>
      <c r="BA84" s="274"/>
      <c r="BB84" s="343">
        <f t="shared" ca="1" si="23"/>
        <v>511</v>
      </c>
      <c r="BC84" s="344"/>
      <c r="BD84" s="348">
        <f t="shared" si="17"/>
        <v>474</v>
      </c>
      <c r="BE84" s="343"/>
      <c r="BF84" s="343">
        <f t="shared" si="24"/>
        <v>-25</v>
      </c>
      <c r="BG84" s="344"/>
      <c r="BH84" s="345" t="str">
        <f t="shared" ca="1" si="19"/>
        <v/>
      </c>
      <c r="BI84" s="346"/>
      <c r="BJ84" s="564"/>
      <c r="BK84" s="565"/>
      <c r="BL84" s="568"/>
      <c r="BM84" s="570"/>
      <c r="CC84" s="138" t="s">
        <v>80</v>
      </c>
      <c r="CD84" s="337" t="str">
        <f t="shared" si="25"/>
        <v>外税8%</v>
      </c>
      <c r="CE84" s="337"/>
      <c r="CF84" s="338"/>
      <c r="CR84" s="103" t="s">
        <v>297</v>
      </c>
      <c r="CW84" s="103" t="s">
        <v>298</v>
      </c>
      <c r="CX84" s="102" t="s">
        <v>30</v>
      </c>
      <c r="CY84" s="103" t="s">
        <v>299</v>
      </c>
    </row>
    <row r="85" spans="1:103" ht="15" customHeight="1">
      <c r="A85" s="100">
        <f t="shared" si="26"/>
        <v>45</v>
      </c>
      <c r="B85" s="293" t="s">
        <v>214</v>
      </c>
      <c r="C85" s="293"/>
      <c r="D85" s="293"/>
      <c r="E85" s="293"/>
      <c r="F85" s="293" t="str" cm="1">
        <f t="array" ref="F85">TRIM(SUBSTITUTE(SUBSTITUTE(INDEX(CR:CR,MATCH("      item_no: "&amp;A85&amp;",",CR:CR,0)+9,1),"item_name: ",""),",",""))</f>
        <v>ホ゛ンマタン</v>
      </c>
      <c r="G85" s="293"/>
      <c r="H85" s="293"/>
      <c r="I85" s="293"/>
      <c r="J85" s="293"/>
      <c r="K85" s="293"/>
      <c r="L85" s="399" t="str" cm="1">
        <f t="array" ref="L85">TRIM(SUBSTITUTE(SUBSTITUTE(INDEX(CR:CR,MATCH("      item_no: "&amp;A85&amp;",",CR:CR,0)+3,1),"item_scan_code: ",""),",",""))</f>
        <v>4300</v>
      </c>
      <c r="M85" s="399"/>
      <c r="N85" s="399"/>
      <c r="O85" s="399"/>
      <c r="P85" s="399"/>
      <c r="Q85" s="281" cm="1">
        <f t="array" ref="Q85">IF(AF85="true","",TRIM(SUBSTITUTE(SUBSTITUTE(INDEX(CR:CR,MATCH("      item_no: "&amp;A85&amp;",",CR:CR,0)+13,1),"item_price_fmt: ￥",""),",",""))+0)</f>
        <v>499</v>
      </c>
      <c r="R85" s="326"/>
      <c r="S85" s="327">
        <f t="shared" si="10"/>
        <v>0</v>
      </c>
      <c r="T85" s="328"/>
      <c r="U85" s="277" cm="1">
        <f t="array" ref="U85">IF(AF85="true","",TRIM(SUBSTITUTE(SUBSTITUTE(INDEX(CR:CR,MATCH("      item_no: "&amp;A85&amp;",",CR:CR,0)+14,1),"item_price_discount_fmt: ￥",""),",",""))+0)</f>
        <v>499</v>
      </c>
      <c r="V85" s="278"/>
      <c r="W85" s="279">
        <f ca="1">INT(SUMIF($Y$10:$AA85,"外税8%",$U$10:$V85)*1.08)+INT(SUMIF($Y$10:$AA85,"外税10%",$U$10:$V85)*1.1)+SUMIF($Y$10:$AA85,"内税10%",$U$10:$V85)+SUMIF($Y$10:$AA85,"非課税",$U$10:$V85)</f>
        <v>33892</v>
      </c>
      <c r="X85" s="280"/>
      <c r="Y85" s="281" t="str" cm="1">
        <f t="array" ref="Y85">TRIM(SUBSTITUTE(SUBSTITUTE(INDEX(CR:CR,MATCH("      item_no: "&amp;A85&amp;",",CR:CR,0)+15,1),"item_tax_fmt: ",""),",",""))</f>
        <v>外税8%</v>
      </c>
      <c r="Z85" s="282"/>
      <c r="AA85" s="282"/>
      <c r="AB85" s="283" t="str" cm="1">
        <f t="array" ref="AB85">TRIM(SUBSTITUTE(SUBSTITUTE(INDEX(CR:CR,MATCH("      item_no: "&amp;A85&amp;",",CR:CR,0)+18,1),"discount_prohibition:",""),",",""))</f>
        <v>0</v>
      </c>
      <c r="AC85" s="283"/>
      <c r="AD85" s="214" t="str">
        <f t="shared" si="27"/>
        <v>外税8%+0</v>
      </c>
      <c r="AE85" s="215"/>
      <c r="AF85" s="284" t="str" cm="1">
        <f t="array" ref="AF85">TRIM(SUBSTITUTE(SUBSTITUTE(INDEX(CR:CR,MATCH("      item_no: "&amp;A85&amp;",",CR:CR,0)+1,1),"item_cancel_line: ",""),",",""))</f>
        <v>false</v>
      </c>
      <c r="AG85" s="284"/>
      <c r="AH85" s="595"/>
      <c r="AI85" s="596"/>
      <c r="AJ85" s="285">
        <f t="shared" si="11"/>
        <v>-24.950000000000003</v>
      </c>
      <c r="AK85" s="286"/>
      <c r="AL85" s="335">
        <f t="shared" ca="1" si="21"/>
        <v>-24.9617068974506</v>
      </c>
      <c r="AM85" s="336"/>
      <c r="AN85" s="333">
        <f t="shared" ca="1" si="13"/>
        <v>-25</v>
      </c>
      <c r="AO85" s="334"/>
      <c r="AP85" s="329">
        <f t="shared" si="14"/>
        <v>499</v>
      </c>
      <c r="AQ85" s="330"/>
      <c r="AR85" s="331">
        <f t="shared" si="15"/>
        <v>12</v>
      </c>
      <c r="AS85" s="332"/>
      <c r="AT85" s="333">
        <f t="shared" ca="1" si="22"/>
        <v>-25</v>
      </c>
      <c r="AU85" s="334"/>
      <c r="AV85" s="271"/>
      <c r="AW85" s="272"/>
      <c r="AX85" s="271">
        <f t="shared" ca="1" si="28"/>
        <v>-25</v>
      </c>
      <c r="AY85" s="272"/>
      <c r="AZ85" s="273">
        <f t="shared" ca="1" si="20"/>
        <v>474</v>
      </c>
      <c r="BA85" s="274"/>
      <c r="BB85" s="343">
        <f t="shared" ca="1" si="23"/>
        <v>511</v>
      </c>
      <c r="BC85" s="344"/>
      <c r="BD85" s="348">
        <f t="shared" si="17"/>
        <v>474</v>
      </c>
      <c r="BE85" s="343"/>
      <c r="BF85" s="343">
        <f t="shared" si="24"/>
        <v>-25</v>
      </c>
      <c r="BG85" s="344"/>
      <c r="BH85" s="345" t="str">
        <f t="shared" ca="1" si="19"/>
        <v/>
      </c>
      <c r="BI85" s="346"/>
      <c r="BJ85" s="564"/>
      <c r="BK85" s="565"/>
      <c r="BL85" s="568"/>
      <c r="BM85" s="570"/>
      <c r="CC85" s="138" t="s">
        <v>80</v>
      </c>
      <c r="CD85" s="337" t="str">
        <f t="shared" si="25"/>
        <v>外税8%</v>
      </c>
      <c r="CE85" s="337"/>
      <c r="CF85" s="338"/>
      <c r="CR85" s="103" t="s">
        <v>300</v>
      </c>
      <c r="CW85" s="103" t="s">
        <v>301</v>
      </c>
      <c r="CX85" s="102" t="s">
        <v>30</v>
      </c>
      <c r="CY85" s="103" t="s">
        <v>302</v>
      </c>
    </row>
    <row r="86" spans="1:103" ht="15" customHeight="1">
      <c r="A86" s="100">
        <f t="shared" si="26"/>
        <v>44</v>
      </c>
      <c r="B86" s="293" t="s">
        <v>130</v>
      </c>
      <c r="C86" s="293"/>
      <c r="D86" s="293"/>
      <c r="E86" s="293"/>
      <c r="F86" s="293" t="str" cm="1">
        <f t="array" ref="F86">TRIM(SUBSTITUTE(SUBSTITUTE(INDEX(CR:CR,MATCH("      item_no: "&amp;A86&amp;",",CR:CR,0)+9,1),"item_name: ",""),",",""))</f>
        <v>米</v>
      </c>
      <c r="G86" s="293"/>
      <c r="H86" s="293"/>
      <c r="I86" s="293"/>
      <c r="J86" s="293"/>
      <c r="K86" s="293"/>
      <c r="L86" s="399" t="str" cm="1">
        <f t="array" ref="L86">TRIM(SUBSTITUTE(SUBSTITUTE(INDEX(CR:CR,MATCH("      item_no: "&amp;A86&amp;",",CR:CR,0)+3,1),"item_scan_code: ",""),",",""))</f>
        <v>5400</v>
      </c>
      <c r="M86" s="399"/>
      <c r="N86" s="399"/>
      <c r="O86" s="399"/>
      <c r="P86" s="399"/>
      <c r="Q86" s="281" cm="1">
        <f t="array" ref="Q86">IF(AF86="true","",TRIM(SUBSTITUTE(SUBSTITUTE(INDEX(CR:CR,MATCH("      item_no: "&amp;A86&amp;",",CR:CR,0)+13,1),"item_price_fmt: ￥",""),",",""))+0)</f>
        <v>499</v>
      </c>
      <c r="R86" s="326"/>
      <c r="S86" s="327">
        <f t="shared" si="10"/>
        <v>0</v>
      </c>
      <c r="T86" s="328"/>
      <c r="U86" s="277" cm="1">
        <f t="array" ref="U86">IF(AF86="true","",TRIM(SUBSTITUTE(SUBSTITUTE(INDEX(CR:CR,MATCH("      item_no: "&amp;A86&amp;",",CR:CR,0)+14,1),"item_price_discount_fmt: ￥",""),",",""))+0)</f>
        <v>499</v>
      </c>
      <c r="V86" s="278"/>
      <c r="W86" s="279">
        <f ca="1">INT(SUMIF($Y$10:$AA86,"外税8%",$U$10:$V86)*1.08)+INT(SUMIF($Y$10:$AA86,"外税10%",$U$10:$V86)*1.1)+SUMIF($Y$10:$AA86,"内税10%",$U$10:$V86)+SUMIF($Y$10:$AA86,"非課税",$U$10:$V86)</f>
        <v>34431</v>
      </c>
      <c r="X86" s="280"/>
      <c r="Y86" s="281" t="str" cm="1">
        <f t="array" ref="Y86">TRIM(SUBSTITUTE(SUBSTITUTE(INDEX(CR:CR,MATCH("      item_no: "&amp;A86&amp;",",CR:CR,0)+15,1),"item_tax_fmt: ",""),",",""))</f>
        <v>外税8%</v>
      </c>
      <c r="Z86" s="282"/>
      <c r="AA86" s="282"/>
      <c r="AB86" s="283" t="str" cm="1">
        <f t="array" ref="AB86">TRIM(SUBSTITUTE(SUBSTITUTE(INDEX(CR:CR,MATCH("      item_no: "&amp;A86&amp;",",CR:CR,0)+18,1),"discount_prohibition:",""),",",""))</f>
        <v>0</v>
      </c>
      <c r="AC86" s="283"/>
      <c r="AD86" s="214" t="str">
        <f t="shared" si="27"/>
        <v>外税8%+0</v>
      </c>
      <c r="AE86" s="215"/>
      <c r="AF86" s="284" t="str" cm="1">
        <f t="array" ref="AF86">TRIM(SUBSTITUTE(SUBSTITUTE(INDEX(CR:CR,MATCH("      item_no: "&amp;A86&amp;",",CR:CR,0)+1,1),"item_cancel_line: ",""),",",""))</f>
        <v>false</v>
      </c>
      <c r="AG86" s="284"/>
      <c r="AH86" s="595"/>
      <c r="AI86" s="596"/>
      <c r="AJ86" s="285">
        <f t="shared" si="11"/>
        <v>-24.950000000000003</v>
      </c>
      <c r="AK86" s="286"/>
      <c r="AL86" s="335">
        <f t="shared" ca="1" si="21"/>
        <v>-24.9617068974506</v>
      </c>
      <c r="AM86" s="336"/>
      <c r="AN86" s="333">
        <f t="shared" ca="1" si="13"/>
        <v>-25</v>
      </c>
      <c r="AO86" s="334"/>
      <c r="AP86" s="329">
        <f t="shared" si="14"/>
        <v>499</v>
      </c>
      <c r="AQ86" s="330"/>
      <c r="AR86" s="331">
        <f t="shared" si="15"/>
        <v>12</v>
      </c>
      <c r="AS86" s="332"/>
      <c r="AT86" s="333">
        <f t="shared" ca="1" si="22"/>
        <v>-25</v>
      </c>
      <c r="AU86" s="334"/>
      <c r="AV86" s="271"/>
      <c r="AW86" s="272"/>
      <c r="AX86" s="271">
        <f t="shared" ca="1" si="28"/>
        <v>-25</v>
      </c>
      <c r="AY86" s="272"/>
      <c r="AZ86" s="273">
        <f t="shared" ca="1" si="20"/>
        <v>474</v>
      </c>
      <c r="BA86" s="274"/>
      <c r="BB86" s="343">
        <f t="shared" ca="1" si="23"/>
        <v>511</v>
      </c>
      <c r="BC86" s="344"/>
      <c r="BD86" s="348">
        <f t="shared" si="17"/>
        <v>474</v>
      </c>
      <c r="BE86" s="343"/>
      <c r="BF86" s="343">
        <f t="shared" si="24"/>
        <v>-25</v>
      </c>
      <c r="BG86" s="344"/>
      <c r="BH86" s="345" t="str">
        <f t="shared" ca="1" si="19"/>
        <v/>
      </c>
      <c r="BI86" s="346"/>
      <c r="BJ86" s="564"/>
      <c r="BK86" s="565"/>
      <c r="BL86" s="568"/>
      <c r="BM86" s="570"/>
      <c r="CC86" s="138" t="s">
        <v>80</v>
      </c>
      <c r="CD86" s="337" t="str">
        <f t="shared" si="25"/>
        <v>外税8%</v>
      </c>
      <c r="CE86" s="337"/>
      <c r="CF86" s="338"/>
      <c r="CR86" s="103" t="s">
        <v>303</v>
      </c>
      <c r="CW86" s="103" t="s">
        <v>304</v>
      </c>
      <c r="CX86" s="102" t="s">
        <v>30</v>
      </c>
      <c r="CY86" s="103" t="s">
        <v>305</v>
      </c>
    </row>
    <row r="87" spans="1:103" ht="15" customHeight="1">
      <c r="A87" s="100">
        <f t="shared" si="26"/>
        <v>43</v>
      </c>
      <c r="B87" s="388" t="s">
        <v>226</v>
      </c>
      <c r="C87" s="388"/>
      <c r="D87" s="388"/>
      <c r="E87" s="388"/>
      <c r="F87" s="388" t="str" cm="1">
        <f t="array" ref="F87">TRIM(SUBSTITUTE(SUBSTITUTE(INDEX(CR:CR,MATCH("      item_no: "&amp;A87&amp;",",CR:CR,0)+9,1),"item_name: ",""),",",""))</f>
        <v>タハ゛コ</v>
      </c>
      <c r="G87" s="388"/>
      <c r="H87" s="388"/>
      <c r="I87" s="388"/>
      <c r="J87" s="388"/>
      <c r="K87" s="388"/>
      <c r="L87" s="398" t="str" cm="1">
        <f t="array" ref="L87">TRIM(SUBSTITUTE(SUBSTITUTE(INDEX(CR:CR,MATCH("      item_no: "&amp;A87&amp;",",CR:CR,0)+3,1),"item_scan_code: ",""),",",""))</f>
        <v>1400</v>
      </c>
      <c r="M87" s="398"/>
      <c r="N87" s="398"/>
      <c r="O87" s="398"/>
      <c r="P87" s="398"/>
      <c r="Q87" s="382" cm="1">
        <f t="array" ref="Q87">IF(AF87="true","",TRIM(SUBSTITUTE(SUBSTITUTE(INDEX(CR:CR,MATCH("      item_no: "&amp;A87&amp;",",CR:CR,0)+13,1),"item_price_fmt: ￥",""),",",""))+0)</f>
        <v>499</v>
      </c>
      <c r="R87" s="390"/>
      <c r="S87" s="391">
        <f t="shared" si="10"/>
        <v>0</v>
      </c>
      <c r="T87" s="392"/>
      <c r="U87" s="376" cm="1">
        <f t="array" ref="U87">IF(AF87="true","",TRIM(SUBSTITUTE(SUBSTITUTE(INDEX(CR:CR,MATCH("      item_no: "&amp;A87&amp;",",CR:CR,0)+14,1),"item_price_discount_fmt: ￥",""),",",""))+0)</f>
        <v>499</v>
      </c>
      <c r="V87" s="377"/>
      <c r="W87" s="279">
        <f ca="1">INT(SUMIF($Y$10:$AA87,"外税8%",$U$10:$V87)*1.08)+INT(SUMIF($Y$10:$AA87,"外税10%",$U$10:$V87)*1.1)+SUMIF($Y$10:$AA87,"内税10%",$U$10:$V87)+SUMIF($Y$10:$AA87,"非課税",$U$10:$V87)</f>
        <v>34930</v>
      </c>
      <c r="X87" s="280"/>
      <c r="Y87" s="382" t="str" cm="1">
        <f t="array" ref="Y87">TRIM(SUBSTITUTE(SUBSTITUTE(INDEX(CR:CR,MATCH("      item_no: "&amp;A87&amp;",",CR:CR,0)+15,1),"item_tax_fmt: ",""),",",""))</f>
        <v>内税10%</v>
      </c>
      <c r="Z87" s="383"/>
      <c r="AA87" s="383"/>
      <c r="AB87" s="384" t="str" cm="1">
        <f t="array" ref="AB87">TRIM(SUBSTITUTE(SUBSTITUTE(INDEX(CR:CR,MATCH("      item_no: "&amp;A87&amp;",",CR:CR,0)+18,1),"discount_prohibition:",""),",",""))</f>
        <v>1</v>
      </c>
      <c r="AC87" s="384"/>
      <c r="AD87" s="394" t="str">
        <f t="shared" si="27"/>
        <v>内税10%+1</v>
      </c>
      <c r="AE87" s="395"/>
      <c r="AF87" s="385" t="str" cm="1">
        <f t="array" ref="AF87">TRIM(SUBSTITUTE(SUBSTITUTE(INDEX(CR:CR,MATCH("      item_no: "&amp;A87&amp;",",CR:CR,0)+1,1),"item_cancel_line: ",""),",",""))</f>
        <v>false</v>
      </c>
      <c r="AG87" s="385"/>
      <c r="AH87" s="595"/>
      <c r="AI87" s="596"/>
      <c r="AJ87" s="386">
        <f t="shared" si="11"/>
        <v>0</v>
      </c>
      <c r="AK87" s="387"/>
      <c r="AL87" s="335">
        <f t="shared" si="21"/>
        <v>0</v>
      </c>
      <c r="AM87" s="336"/>
      <c r="AN87" s="333">
        <f t="shared" si="13"/>
        <v>0</v>
      </c>
      <c r="AO87" s="334"/>
      <c r="AP87" s="376">
        <f t="shared" si="14"/>
        <v>0</v>
      </c>
      <c r="AQ87" s="377"/>
      <c r="AR87" s="378">
        <f t="shared" si="15"/>
        <v>84</v>
      </c>
      <c r="AS87" s="379"/>
      <c r="AT87" s="333">
        <f t="shared" si="22"/>
        <v>0</v>
      </c>
      <c r="AU87" s="334"/>
      <c r="AV87" s="271"/>
      <c r="AW87" s="272"/>
      <c r="AX87" s="271">
        <f t="shared" si="28"/>
        <v>0</v>
      </c>
      <c r="AY87" s="272"/>
      <c r="AZ87" s="380">
        <f t="shared" si="20"/>
        <v>499</v>
      </c>
      <c r="BA87" s="381"/>
      <c r="BB87" s="372">
        <f t="shared" si="23"/>
        <v>499</v>
      </c>
      <c r="BC87" s="373"/>
      <c r="BD87" s="393">
        <f t="shared" si="17"/>
        <v>499</v>
      </c>
      <c r="BE87" s="372"/>
      <c r="BF87" s="372">
        <f t="shared" si="24"/>
        <v>0</v>
      </c>
      <c r="BG87" s="373"/>
      <c r="BH87" s="374" t="str">
        <f t="shared" si="19"/>
        <v/>
      </c>
      <c r="BI87" s="375"/>
      <c r="BJ87" s="564"/>
      <c r="BK87" s="565"/>
      <c r="BL87" s="568"/>
      <c r="BM87" s="570"/>
      <c r="CC87" s="138" t="s">
        <v>227</v>
      </c>
      <c r="CD87" s="337" t="str">
        <f t="shared" si="25"/>
        <v>※内税10%</v>
      </c>
      <c r="CE87" s="337"/>
      <c r="CF87" s="338"/>
      <c r="CR87" s="103" t="s">
        <v>306</v>
      </c>
      <c r="CW87" s="103" t="s">
        <v>307</v>
      </c>
      <c r="CX87" s="102" t="s">
        <v>30</v>
      </c>
      <c r="CY87" s="103" t="s">
        <v>308</v>
      </c>
    </row>
    <row r="88" spans="1:103" ht="15" customHeight="1">
      <c r="A88" s="100">
        <f t="shared" si="26"/>
        <v>42</v>
      </c>
      <c r="B88" s="293" t="s">
        <v>110</v>
      </c>
      <c r="C88" s="293"/>
      <c r="D88" s="293"/>
      <c r="E88" s="293"/>
      <c r="F88" s="293" t="str" cm="1">
        <f t="array" ref="F88">TRIM(SUBSTITUTE(SUBSTITUTE(INDEX(CR:CR,MATCH("      item_no: "&amp;A88&amp;",",CR:CR,0)+9,1),"item_name: ",""),",",""))</f>
        <v>菓子</v>
      </c>
      <c r="G88" s="293"/>
      <c r="H88" s="293"/>
      <c r="I88" s="293"/>
      <c r="J88" s="293"/>
      <c r="K88" s="293"/>
      <c r="L88" s="399" t="str" cm="1">
        <f t="array" ref="L88">TRIM(SUBSTITUTE(SUBSTITUTE(INDEX(CR:CR,MATCH("      item_no: "&amp;A88&amp;",",CR:CR,0)+3,1),"item_scan_code: ",""),",",""))</f>
        <v>0100</v>
      </c>
      <c r="M88" s="399"/>
      <c r="N88" s="399"/>
      <c r="O88" s="399"/>
      <c r="P88" s="399"/>
      <c r="Q88" s="281" cm="1">
        <f t="array" ref="Q88">IF(AF88="true","",TRIM(SUBSTITUTE(SUBSTITUTE(INDEX(CR:CR,MATCH("      item_no: "&amp;A88&amp;",",CR:CR,0)+13,1),"item_price_fmt: ￥",""),",",""))+0)</f>
        <v>499</v>
      </c>
      <c r="R88" s="326"/>
      <c r="S88" s="327">
        <f t="shared" si="10"/>
        <v>0</v>
      </c>
      <c r="T88" s="328"/>
      <c r="U88" s="277" cm="1">
        <f t="array" ref="U88">IF(AF88="true","",TRIM(SUBSTITUTE(SUBSTITUTE(INDEX(CR:CR,MATCH("      item_no: "&amp;A88&amp;",",CR:CR,0)+14,1),"item_price_discount_fmt: ￥",""),",",""))+0)</f>
        <v>499</v>
      </c>
      <c r="V88" s="278"/>
      <c r="W88" s="279">
        <f ca="1">INT(SUMIF($Y$10:$AA88,"外税8%",$U$10:$V88)*1.08)+INT(SUMIF($Y$10:$AA88,"外税10%",$U$10:$V88)*1.1)+SUMIF($Y$10:$AA88,"内税10%",$U$10:$V88)+SUMIF($Y$10:$AA88,"非課税",$U$10:$V88)</f>
        <v>35469</v>
      </c>
      <c r="X88" s="280"/>
      <c r="Y88" s="281" t="str" cm="1">
        <f t="array" ref="Y88">TRIM(SUBSTITUTE(SUBSTITUTE(INDEX(CR:CR,MATCH("      item_no: "&amp;A88&amp;",",CR:CR,0)+15,1),"item_tax_fmt: ",""),",",""))</f>
        <v>外税8%</v>
      </c>
      <c r="Z88" s="282"/>
      <c r="AA88" s="282"/>
      <c r="AB88" s="283" t="str" cm="1">
        <f t="array" ref="AB88">TRIM(SUBSTITUTE(SUBSTITUTE(INDEX(CR:CR,MATCH("      item_no: "&amp;A88&amp;",",CR:CR,0)+18,1),"discount_prohibition:",""),",",""))</f>
        <v>0</v>
      </c>
      <c r="AC88" s="283"/>
      <c r="AD88" s="214" t="str">
        <f t="shared" si="27"/>
        <v>外税8%+0</v>
      </c>
      <c r="AE88" s="215"/>
      <c r="AF88" s="284" t="str" cm="1">
        <f t="array" ref="AF88">TRIM(SUBSTITUTE(SUBSTITUTE(INDEX(CR:CR,MATCH("      item_no: "&amp;A88&amp;",",CR:CR,0)+1,1),"item_cancel_line: ",""),",",""))</f>
        <v>false</v>
      </c>
      <c r="AG88" s="284"/>
      <c r="AH88" s="595"/>
      <c r="AI88" s="596"/>
      <c r="AJ88" s="285">
        <f t="shared" si="11"/>
        <v>-24.950000000000003</v>
      </c>
      <c r="AK88" s="286"/>
      <c r="AL88" s="335">
        <f t="shared" ca="1" si="21"/>
        <v>-24.9617068974506</v>
      </c>
      <c r="AM88" s="336"/>
      <c r="AN88" s="333">
        <f t="shared" ca="1" si="13"/>
        <v>-25</v>
      </c>
      <c r="AO88" s="334"/>
      <c r="AP88" s="329">
        <f t="shared" si="14"/>
        <v>499</v>
      </c>
      <c r="AQ88" s="330"/>
      <c r="AR88" s="331">
        <f t="shared" si="15"/>
        <v>12</v>
      </c>
      <c r="AS88" s="332"/>
      <c r="AT88" s="333">
        <f t="shared" ca="1" si="22"/>
        <v>-25</v>
      </c>
      <c r="AU88" s="334"/>
      <c r="AV88" s="271"/>
      <c r="AW88" s="272"/>
      <c r="AX88" s="271">
        <f t="shared" ca="1" si="28"/>
        <v>-25</v>
      </c>
      <c r="AY88" s="272"/>
      <c r="AZ88" s="273">
        <f t="shared" ca="1" si="20"/>
        <v>474</v>
      </c>
      <c r="BA88" s="274"/>
      <c r="BB88" s="343">
        <f t="shared" ca="1" si="23"/>
        <v>511</v>
      </c>
      <c r="BC88" s="344"/>
      <c r="BD88" s="348">
        <f t="shared" si="17"/>
        <v>474</v>
      </c>
      <c r="BE88" s="343"/>
      <c r="BF88" s="343">
        <f t="shared" si="24"/>
        <v>-25</v>
      </c>
      <c r="BG88" s="344"/>
      <c r="BH88" s="345" t="str">
        <f t="shared" ca="1" si="19"/>
        <v/>
      </c>
      <c r="BI88" s="346"/>
      <c r="BJ88" s="564"/>
      <c r="BK88" s="565"/>
      <c r="BL88" s="568"/>
      <c r="BM88" s="570"/>
      <c r="CC88" s="138" t="s">
        <v>80</v>
      </c>
      <c r="CD88" s="337" t="str">
        <f t="shared" si="25"/>
        <v>外税8%</v>
      </c>
      <c r="CE88" s="337"/>
      <c r="CF88" s="338"/>
      <c r="CR88" s="103" t="s">
        <v>309</v>
      </c>
      <c r="CW88" s="103" t="s">
        <v>310</v>
      </c>
      <c r="CX88" s="102" t="s">
        <v>30</v>
      </c>
      <c r="CY88" s="103" t="s">
        <v>311</v>
      </c>
    </row>
    <row r="89" spans="1:103" ht="15" customHeight="1">
      <c r="A89" s="100">
        <f t="shared" si="26"/>
        <v>41</v>
      </c>
      <c r="B89" s="293" t="s">
        <v>118</v>
      </c>
      <c r="C89" s="293"/>
      <c r="D89" s="293"/>
      <c r="E89" s="293"/>
      <c r="F89" s="293" t="str" cm="1">
        <f t="array" ref="F89">TRIM(SUBSTITUTE(SUBSTITUTE(INDEX(CR:CR,MATCH("      item_no: "&amp;A89&amp;",",CR:CR,0)+9,1),"item_name: ",""),",",""))</f>
        <v>一般食品</v>
      </c>
      <c r="G89" s="293"/>
      <c r="H89" s="293"/>
      <c r="I89" s="293"/>
      <c r="J89" s="293"/>
      <c r="K89" s="293"/>
      <c r="L89" s="399" t="str" cm="1">
        <f t="array" ref="L89">TRIM(SUBSTITUTE(SUBSTITUTE(INDEX(CR:CR,MATCH("      item_no: "&amp;A89&amp;",",CR:CR,0)+3,1),"item_scan_code: ",""),",",""))</f>
        <v>0300</v>
      </c>
      <c r="M89" s="399"/>
      <c r="N89" s="399"/>
      <c r="O89" s="399"/>
      <c r="P89" s="399"/>
      <c r="Q89" s="281" cm="1">
        <f t="array" ref="Q89">IF(AF89="true","",TRIM(SUBSTITUTE(SUBSTITUTE(INDEX(CR:CR,MATCH("      item_no: "&amp;A89&amp;",",CR:CR,0)+13,1),"item_price_fmt: ￥",""),",",""))+0)</f>
        <v>499</v>
      </c>
      <c r="R89" s="326"/>
      <c r="S89" s="327">
        <f t="shared" si="10"/>
        <v>0</v>
      </c>
      <c r="T89" s="328"/>
      <c r="U89" s="277" cm="1">
        <f t="array" ref="U89">IF(AF89="true","",TRIM(SUBSTITUTE(SUBSTITUTE(INDEX(CR:CR,MATCH("      item_no: "&amp;A89&amp;",",CR:CR,0)+14,1),"item_price_discount_fmt: ￥",""),",",""))+0)</f>
        <v>499</v>
      </c>
      <c r="V89" s="278"/>
      <c r="W89" s="279">
        <f ca="1">INT(SUMIF($Y$10:$AA89,"外税8%",$U$10:$V89)*1.08)+INT(SUMIF($Y$10:$AA89,"外税10%",$U$10:$V89)*1.1)+SUMIF($Y$10:$AA89,"内税10%",$U$10:$V89)+SUMIF($Y$10:$AA89,"非課税",$U$10:$V89)</f>
        <v>36007</v>
      </c>
      <c r="X89" s="280"/>
      <c r="Y89" s="281" t="str" cm="1">
        <f t="array" ref="Y89">TRIM(SUBSTITUTE(SUBSTITUTE(INDEX(CR:CR,MATCH("      item_no: "&amp;A89&amp;",",CR:CR,0)+15,1),"item_tax_fmt: ",""),",",""))</f>
        <v>外税8%</v>
      </c>
      <c r="Z89" s="282"/>
      <c r="AA89" s="282"/>
      <c r="AB89" s="283" t="str" cm="1">
        <f t="array" ref="AB89">TRIM(SUBSTITUTE(SUBSTITUTE(INDEX(CR:CR,MATCH("      item_no: "&amp;A89&amp;",",CR:CR,0)+18,1),"discount_prohibition:",""),",",""))</f>
        <v>0</v>
      </c>
      <c r="AC89" s="283"/>
      <c r="AD89" s="214" t="str">
        <f t="shared" si="27"/>
        <v>外税8%+0</v>
      </c>
      <c r="AE89" s="215"/>
      <c r="AF89" s="284" t="str" cm="1">
        <f t="array" ref="AF89">TRIM(SUBSTITUTE(SUBSTITUTE(INDEX(CR:CR,MATCH("      item_no: "&amp;A89&amp;",",CR:CR,0)+1,1),"item_cancel_line: ",""),",",""))</f>
        <v>false</v>
      </c>
      <c r="AG89" s="284"/>
      <c r="AH89" s="595"/>
      <c r="AI89" s="596"/>
      <c r="AJ89" s="285">
        <f t="shared" si="11"/>
        <v>-24.950000000000003</v>
      </c>
      <c r="AK89" s="286"/>
      <c r="AL89" s="335">
        <f t="shared" ca="1" si="21"/>
        <v>-24.9617068974506</v>
      </c>
      <c r="AM89" s="336"/>
      <c r="AN89" s="333">
        <f t="shared" ca="1" si="13"/>
        <v>-25</v>
      </c>
      <c r="AO89" s="334"/>
      <c r="AP89" s="329">
        <f t="shared" si="14"/>
        <v>499</v>
      </c>
      <c r="AQ89" s="330"/>
      <c r="AR89" s="331">
        <f t="shared" si="15"/>
        <v>12</v>
      </c>
      <c r="AS89" s="332"/>
      <c r="AT89" s="333">
        <f t="shared" ca="1" si="22"/>
        <v>-25</v>
      </c>
      <c r="AU89" s="334"/>
      <c r="AV89" s="271"/>
      <c r="AW89" s="272"/>
      <c r="AX89" s="271">
        <f t="shared" ca="1" si="28"/>
        <v>-25</v>
      </c>
      <c r="AY89" s="272"/>
      <c r="AZ89" s="273">
        <f t="shared" ca="1" si="20"/>
        <v>474</v>
      </c>
      <c r="BA89" s="274"/>
      <c r="BB89" s="343">
        <f t="shared" ca="1" si="23"/>
        <v>511</v>
      </c>
      <c r="BC89" s="344"/>
      <c r="BD89" s="348">
        <f t="shared" si="17"/>
        <v>474</v>
      </c>
      <c r="BE89" s="343"/>
      <c r="BF89" s="343">
        <f t="shared" si="24"/>
        <v>-25</v>
      </c>
      <c r="BG89" s="344"/>
      <c r="BH89" s="345" t="str">
        <f t="shared" ca="1" si="19"/>
        <v/>
      </c>
      <c r="BI89" s="346"/>
      <c r="BJ89" s="564"/>
      <c r="BK89" s="565"/>
      <c r="BL89" s="568"/>
      <c r="BM89" s="570"/>
      <c r="CC89" s="138" t="s">
        <v>80</v>
      </c>
      <c r="CD89" s="337" t="str">
        <f t="shared" si="25"/>
        <v>外税8%</v>
      </c>
      <c r="CE89" s="337"/>
      <c r="CF89" s="338"/>
      <c r="CR89" s="103" t="s">
        <v>312</v>
      </c>
      <c r="CW89" s="103" t="s">
        <v>313</v>
      </c>
      <c r="CX89" s="102" t="s">
        <v>30</v>
      </c>
      <c r="CY89" s="103" t="s">
        <v>314</v>
      </c>
    </row>
    <row r="90" spans="1:103" ht="15" customHeight="1">
      <c r="A90" s="100">
        <f t="shared" si="26"/>
        <v>40</v>
      </c>
      <c r="B90" s="293" t="s">
        <v>126</v>
      </c>
      <c r="C90" s="293"/>
      <c r="D90" s="293"/>
      <c r="E90" s="293"/>
      <c r="F90" s="293" t="str" cm="1">
        <f t="array" ref="F90">TRIM(SUBSTITUTE(SUBSTITUTE(INDEX(CR:CR,MATCH("      item_no: "&amp;A90&amp;",",CR:CR,0)+9,1),"item_name: ",""),",",""))</f>
        <v>農水産乾物</v>
      </c>
      <c r="G90" s="293"/>
      <c r="H90" s="293"/>
      <c r="I90" s="293"/>
      <c r="J90" s="293"/>
      <c r="K90" s="293"/>
      <c r="L90" s="399" t="str" cm="1">
        <f t="array" ref="L90">TRIM(SUBSTITUTE(SUBSTITUTE(INDEX(CR:CR,MATCH("      item_no: "&amp;A90&amp;",",CR:CR,0)+3,1),"item_scan_code: ",""),",",""))</f>
        <v>0800</v>
      </c>
      <c r="M90" s="399"/>
      <c r="N90" s="399"/>
      <c r="O90" s="399"/>
      <c r="P90" s="399"/>
      <c r="Q90" s="281" cm="1">
        <f t="array" ref="Q90">IF(AF90="true","",TRIM(SUBSTITUTE(SUBSTITUTE(INDEX(CR:CR,MATCH("      item_no: "&amp;A90&amp;",",CR:CR,0)+13,1),"item_price_fmt: ￥",""),",",""))+0)</f>
        <v>499</v>
      </c>
      <c r="R90" s="326"/>
      <c r="S90" s="327">
        <f t="shared" si="10"/>
        <v>0</v>
      </c>
      <c r="T90" s="328"/>
      <c r="U90" s="277" cm="1">
        <f t="array" ref="U90">IF(AF90="true","",TRIM(SUBSTITUTE(SUBSTITUTE(INDEX(CR:CR,MATCH("      item_no: "&amp;A90&amp;",",CR:CR,0)+14,1),"item_price_discount_fmt: ￥",""),",",""))+0)</f>
        <v>499</v>
      </c>
      <c r="V90" s="278"/>
      <c r="W90" s="279">
        <f ca="1">INT(SUMIF($Y$10:$AA90,"外税8%",$U$10:$V90)*1.08)+INT(SUMIF($Y$10:$AA90,"外税10%",$U$10:$V90)*1.1)+SUMIF($Y$10:$AA90,"内税10%",$U$10:$V90)+SUMIF($Y$10:$AA90,"非課税",$U$10:$V90)</f>
        <v>36546</v>
      </c>
      <c r="X90" s="280"/>
      <c r="Y90" s="281" t="str" cm="1">
        <f t="array" ref="Y90">TRIM(SUBSTITUTE(SUBSTITUTE(INDEX(CR:CR,MATCH("      item_no: "&amp;A90&amp;",",CR:CR,0)+15,1),"item_tax_fmt: ",""),",",""))</f>
        <v>外税8%</v>
      </c>
      <c r="Z90" s="282"/>
      <c r="AA90" s="282"/>
      <c r="AB90" s="283" t="str" cm="1">
        <f t="array" ref="AB90">TRIM(SUBSTITUTE(SUBSTITUTE(INDEX(CR:CR,MATCH("      item_no: "&amp;A90&amp;",",CR:CR,0)+18,1),"discount_prohibition:",""),",",""))</f>
        <v>0</v>
      </c>
      <c r="AC90" s="283"/>
      <c r="AD90" s="214" t="str">
        <f t="shared" si="27"/>
        <v>外税8%+0</v>
      </c>
      <c r="AE90" s="215"/>
      <c r="AF90" s="284" t="str" cm="1">
        <f t="array" ref="AF90">TRIM(SUBSTITUTE(SUBSTITUTE(INDEX(CR:CR,MATCH("      item_no: "&amp;A90&amp;",",CR:CR,0)+1,1),"item_cancel_line: ",""),",",""))</f>
        <v>false</v>
      </c>
      <c r="AG90" s="284"/>
      <c r="AH90" s="595"/>
      <c r="AI90" s="596"/>
      <c r="AJ90" s="285">
        <f t="shared" si="11"/>
        <v>-24.950000000000003</v>
      </c>
      <c r="AK90" s="286"/>
      <c r="AL90" s="335">
        <f t="shared" ca="1" si="21"/>
        <v>-24.9617068974506</v>
      </c>
      <c r="AM90" s="336"/>
      <c r="AN90" s="333">
        <f t="shared" ca="1" si="13"/>
        <v>-25</v>
      </c>
      <c r="AO90" s="334"/>
      <c r="AP90" s="329">
        <f t="shared" si="14"/>
        <v>499</v>
      </c>
      <c r="AQ90" s="330"/>
      <c r="AR90" s="331">
        <f t="shared" si="15"/>
        <v>12</v>
      </c>
      <c r="AS90" s="332"/>
      <c r="AT90" s="333">
        <f t="shared" ca="1" si="22"/>
        <v>-25</v>
      </c>
      <c r="AU90" s="334"/>
      <c r="AV90" s="271"/>
      <c r="AW90" s="272"/>
      <c r="AX90" s="271">
        <f t="shared" ca="1" si="28"/>
        <v>-25</v>
      </c>
      <c r="AY90" s="272"/>
      <c r="AZ90" s="273">
        <f t="shared" ca="1" si="20"/>
        <v>474</v>
      </c>
      <c r="BA90" s="274"/>
      <c r="BB90" s="343">
        <f t="shared" ca="1" si="23"/>
        <v>511</v>
      </c>
      <c r="BC90" s="344"/>
      <c r="BD90" s="348">
        <f t="shared" si="17"/>
        <v>474</v>
      </c>
      <c r="BE90" s="343"/>
      <c r="BF90" s="343">
        <f t="shared" si="24"/>
        <v>-25</v>
      </c>
      <c r="BG90" s="344"/>
      <c r="BH90" s="345" t="str">
        <f t="shared" ca="1" si="19"/>
        <v/>
      </c>
      <c r="BI90" s="346"/>
      <c r="BJ90" s="564"/>
      <c r="BK90" s="565"/>
      <c r="BL90" s="568"/>
      <c r="BM90" s="570"/>
      <c r="CC90" s="138" t="s">
        <v>80</v>
      </c>
      <c r="CD90" s="337" t="str">
        <f t="shared" si="25"/>
        <v>外税8%</v>
      </c>
      <c r="CE90" s="337"/>
      <c r="CF90" s="338"/>
      <c r="CR90" s="103" t="s">
        <v>315</v>
      </c>
      <c r="CW90" s="103" t="s">
        <v>316</v>
      </c>
      <c r="CX90" s="102" t="s">
        <v>30</v>
      </c>
      <c r="CY90" s="103" t="s">
        <v>317</v>
      </c>
    </row>
    <row r="91" spans="1:103" ht="15" customHeight="1">
      <c r="A91" s="100">
        <f t="shared" si="26"/>
        <v>39</v>
      </c>
      <c r="B91" s="293" t="s">
        <v>223</v>
      </c>
      <c r="C91" s="293"/>
      <c r="D91" s="293"/>
      <c r="E91" s="293"/>
      <c r="F91" s="293" t="str" cm="1">
        <f t="array" ref="F91">TRIM(SUBSTITUTE(SUBSTITUTE(INDEX(CR:CR,MATCH("      item_no: "&amp;A91&amp;",",CR:CR,0)+9,1),"item_name: ",""),",",""))</f>
        <v>その他酒</v>
      </c>
      <c r="G91" s="293"/>
      <c r="H91" s="293"/>
      <c r="I91" s="293"/>
      <c r="J91" s="293"/>
      <c r="K91" s="293"/>
      <c r="L91" s="399" t="str" cm="1">
        <f t="array" ref="L91">TRIM(SUBSTITUTE(SUBSTITUTE(INDEX(CR:CR,MATCH("      item_no: "&amp;A91&amp;",",CR:CR,0)+3,1),"item_scan_code: ",""),",",""))</f>
        <v>4800</v>
      </c>
      <c r="M91" s="399"/>
      <c r="N91" s="399"/>
      <c r="O91" s="399"/>
      <c r="P91" s="399"/>
      <c r="Q91" s="281" cm="1">
        <f t="array" ref="Q91">IF(AF91="true","",TRIM(SUBSTITUTE(SUBSTITUTE(INDEX(CR:CR,MATCH("      item_no: "&amp;A91&amp;",",CR:CR,0)+13,1),"item_price_fmt: ￥",""),",",""))+0)</f>
        <v>499</v>
      </c>
      <c r="R91" s="326"/>
      <c r="S91" s="327">
        <f t="shared" ref="S91:S129" si="29">IF(Q91="","",U91-Q91)</f>
        <v>0</v>
      </c>
      <c r="T91" s="328"/>
      <c r="U91" s="277" cm="1">
        <f t="array" ref="U91">IF(AF91="true","",TRIM(SUBSTITUTE(SUBSTITUTE(INDEX(CR:CR,MATCH("      item_no: "&amp;A91&amp;",",CR:CR,0)+14,1),"item_price_discount_fmt: ￥",""),",",""))+0)</f>
        <v>499</v>
      </c>
      <c r="V91" s="278"/>
      <c r="W91" s="279">
        <f ca="1">INT(SUMIF($Y$10:$AA91,"外税8%",$U$10:$V91)*1.08)+INT(SUMIF($Y$10:$AA91,"外税10%",$U$10:$V91)*1.1)+SUMIF($Y$10:$AA91,"内税10%",$U$10:$V91)+SUMIF($Y$10:$AA91,"非課税",$U$10:$V91)</f>
        <v>37085</v>
      </c>
      <c r="X91" s="280"/>
      <c r="Y91" s="281" t="str" cm="1">
        <f t="array" ref="Y91">TRIM(SUBSTITUTE(SUBSTITUTE(INDEX(CR:CR,MATCH("      item_no: "&amp;A91&amp;",",CR:CR,0)+15,1),"item_tax_fmt: ",""),",",""))</f>
        <v>外税8%</v>
      </c>
      <c r="Z91" s="282"/>
      <c r="AA91" s="282"/>
      <c r="AB91" s="283" t="str" cm="1">
        <f t="array" ref="AB91">TRIM(SUBSTITUTE(SUBSTITUTE(INDEX(CR:CR,MATCH("      item_no: "&amp;A91&amp;",",CR:CR,0)+18,1),"discount_prohibition:",""),",",""))</f>
        <v>0</v>
      </c>
      <c r="AC91" s="283"/>
      <c r="AD91" s="214" t="str">
        <f t="shared" si="27"/>
        <v>外税8%+0</v>
      </c>
      <c r="AE91" s="215"/>
      <c r="AF91" s="284" t="str" cm="1">
        <f t="array" ref="AF91">TRIM(SUBSTITUTE(SUBSTITUTE(INDEX(CR:CR,MATCH("      item_no: "&amp;A91&amp;",",CR:CR,0)+1,1),"item_cancel_line: ",""),",",""))</f>
        <v>false</v>
      </c>
      <c r="AG91" s="284"/>
      <c r="AH91" s="595"/>
      <c r="AI91" s="596"/>
      <c r="AJ91" s="285">
        <f t="shared" ref="AJ91:AJ129" si="30">IF(U91="","",IF(AB91="1",0,U91*$AH$10))</f>
        <v>-24.950000000000003</v>
      </c>
      <c r="AK91" s="286"/>
      <c r="AL91" s="335">
        <f t="shared" ref="AL91:AL122" ca="1" si="31">IF(S91="","",IF(AB91="0",U91*$U$143/$U$141,0))</f>
        <v>-24.9617068974506</v>
      </c>
      <c r="AM91" s="336"/>
      <c r="AN91" s="333">
        <f t="shared" ref="AN91:AN129" ca="1" si="32">IF(U91="","",ROUNDUP(AL91,0))</f>
        <v>-25</v>
      </c>
      <c r="AO91" s="334"/>
      <c r="AP91" s="329">
        <f t="shared" ref="AP91:AP129" si="33">IF(U91="","",IF(AB91="1",0,U91))</f>
        <v>499</v>
      </c>
      <c r="AQ91" s="330"/>
      <c r="AR91" s="331">
        <f t="shared" ref="AR91:AR129" si="34">IF(AP91="","",RANK(AP91,$AP$10:$AQ$129,0))</f>
        <v>12</v>
      </c>
      <c r="AS91" s="332"/>
      <c r="AT91" s="333">
        <f t="shared" ca="1" si="22"/>
        <v>-25</v>
      </c>
      <c r="AU91" s="334"/>
      <c r="AV91" s="271"/>
      <c r="AW91" s="272"/>
      <c r="AX91" s="271">
        <f t="shared" ca="1" si="28"/>
        <v>-25</v>
      </c>
      <c r="AY91" s="272"/>
      <c r="AZ91" s="273">
        <f t="shared" ca="1" si="20"/>
        <v>474</v>
      </c>
      <c r="BA91" s="274"/>
      <c r="BB91" s="343">
        <f t="shared" ca="1" si="23"/>
        <v>511</v>
      </c>
      <c r="BC91" s="344"/>
      <c r="BD91" s="348">
        <f t="shared" ref="BD91:BD129" si="35">IF(AF91="true","",MID(CY91,SEARCH("&lt;KAIKIN_VL&gt;",CY91)+11,SEARCH("&lt;/KAIKIN_VL&gt;",CY91)-SEARCH("&lt;KAIKIN_VL&gt;",CY91)-11)+0)</f>
        <v>474</v>
      </c>
      <c r="BE91" s="343"/>
      <c r="BF91" s="343">
        <f t="shared" si="24"/>
        <v>-25</v>
      </c>
      <c r="BG91" s="344"/>
      <c r="BH91" s="345" t="str">
        <f t="shared" ca="1" si="19"/>
        <v/>
      </c>
      <c r="BI91" s="346"/>
      <c r="BJ91" s="564"/>
      <c r="BK91" s="565"/>
      <c r="BL91" s="568"/>
      <c r="BM91" s="570"/>
      <c r="CC91" s="138" t="s">
        <v>80</v>
      </c>
      <c r="CD91" s="337" t="str">
        <f t="shared" si="25"/>
        <v>外税8%</v>
      </c>
      <c r="CE91" s="337"/>
      <c r="CF91" s="338"/>
      <c r="CR91" s="103" t="s">
        <v>318</v>
      </c>
      <c r="CW91" s="103" t="s">
        <v>319</v>
      </c>
      <c r="CX91" s="102" t="s">
        <v>30</v>
      </c>
      <c r="CY91" s="103" t="s">
        <v>320</v>
      </c>
    </row>
    <row r="92" spans="1:103" ht="15" customHeight="1">
      <c r="A92" s="100">
        <f t="shared" si="26"/>
        <v>38</v>
      </c>
      <c r="B92" s="388" t="s">
        <v>219</v>
      </c>
      <c r="C92" s="388"/>
      <c r="D92" s="388"/>
      <c r="E92" s="388"/>
      <c r="F92" s="388" t="str" cm="1">
        <f t="array" ref="F92">TRIM(SUBSTITUTE(SUBSTITUTE(INDEX(CR:CR,MATCH("      item_no: "&amp;A92&amp;",",CR:CR,0)+9,1),"item_name: ",""),",",""))</f>
        <v>酒</v>
      </c>
      <c r="G92" s="388"/>
      <c r="H92" s="388"/>
      <c r="I92" s="388"/>
      <c r="J92" s="388"/>
      <c r="K92" s="388"/>
      <c r="L92" s="398" t="str" cm="1">
        <f t="array" ref="L92">TRIM(SUBSTITUTE(SUBSTITUTE(INDEX(CR:CR,MATCH("      item_no: "&amp;A92&amp;",",CR:CR,0)+3,1),"item_scan_code: ",""),",",""))</f>
        <v>4400</v>
      </c>
      <c r="M92" s="398"/>
      <c r="N92" s="398"/>
      <c r="O92" s="398"/>
      <c r="P92" s="398"/>
      <c r="Q92" s="382" cm="1">
        <f t="array" ref="Q92">IF(AF92="true","",TRIM(SUBSTITUTE(SUBSTITUTE(INDEX(CR:CR,MATCH("      item_no: "&amp;A92&amp;",",CR:CR,0)+13,1),"item_price_fmt: ￥",""),",",""))+0)</f>
        <v>499</v>
      </c>
      <c r="R92" s="390"/>
      <c r="S92" s="391">
        <f t="shared" si="29"/>
        <v>0</v>
      </c>
      <c r="T92" s="392"/>
      <c r="U92" s="376" cm="1">
        <f t="array" ref="U92">IF(AF92="true","",TRIM(SUBSTITUTE(SUBSTITUTE(INDEX(CR:CR,MATCH("      item_no: "&amp;A92&amp;",",CR:CR,0)+14,1),"item_price_discount_fmt: ￥",""),",",""))+0)</f>
        <v>499</v>
      </c>
      <c r="V92" s="377"/>
      <c r="W92" s="279">
        <f ca="1">INT(SUMIF($Y$10:$AA92,"外税8%",$U$10:$V92)*1.08)+INT(SUMIF($Y$10:$AA92,"外税10%",$U$10:$V92)*1.1)+SUMIF($Y$10:$AA92,"内税10%",$U$10:$V92)+SUMIF($Y$10:$AA92,"非課税",$U$10:$V92)</f>
        <v>37634</v>
      </c>
      <c r="X92" s="280"/>
      <c r="Y92" s="382" t="str" cm="1">
        <f t="array" ref="Y92">TRIM(SUBSTITUTE(SUBSTITUTE(INDEX(CR:CR,MATCH("      item_no: "&amp;A92&amp;",",CR:CR,0)+15,1),"item_tax_fmt: ",""),",",""))</f>
        <v>外税10%</v>
      </c>
      <c r="Z92" s="383"/>
      <c r="AA92" s="383"/>
      <c r="AB92" s="384" t="str" cm="1">
        <f t="array" ref="AB92">TRIM(SUBSTITUTE(SUBSTITUTE(INDEX(CR:CR,MATCH("      item_no: "&amp;A92&amp;",",CR:CR,0)+18,1),"discount_prohibition:",""),",",""))</f>
        <v>1</v>
      </c>
      <c r="AC92" s="384"/>
      <c r="AD92" s="394" t="str">
        <f t="shared" si="27"/>
        <v>外税10%+1</v>
      </c>
      <c r="AE92" s="395"/>
      <c r="AF92" s="385" t="str" cm="1">
        <f t="array" ref="AF92">TRIM(SUBSTITUTE(SUBSTITUTE(INDEX(CR:CR,MATCH("      item_no: "&amp;A92&amp;",",CR:CR,0)+1,1),"item_cancel_line: ",""),",",""))</f>
        <v>false</v>
      </c>
      <c r="AG92" s="385"/>
      <c r="AH92" s="595"/>
      <c r="AI92" s="596"/>
      <c r="AJ92" s="386">
        <f t="shared" si="30"/>
        <v>0</v>
      </c>
      <c r="AK92" s="387"/>
      <c r="AL92" s="335">
        <f t="shared" si="31"/>
        <v>0</v>
      </c>
      <c r="AM92" s="336"/>
      <c r="AN92" s="333">
        <f t="shared" si="32"/>
        <v>0</v>
      </c>
      <c r="AO92" s="334"/>
      <c r="AP92" s="376">
        <f t="shared" si="33"/>
        <v>0</v>
      </c>
      <c r="AQ92" s="377"/>
      <c r="AR92" s="378">
        <f t="shared" si="34"/>
        <v>84</v>
      </c>
      <c r="AS92" s="379"/>
      <c r="AT92" s="333">
        <f t="shared" si="22"/>
        <v>0</v>
      </c>
      <c r="AU92" s="334"/>
      <c r="AV92" s="271"/>
      <c r="AW92" s="272"/>
      <c r="AX92" s="271">
        <f t="shared" si="28"/>
        <v>0</v>
      </c>
      <c r="AY92" s="272"/>
      <c r="AZ92" s="380">
        <f t="shared" si="20"/>
        <v>499</v>
      </c>
      <c r="BA92" s="381"/>
      <c r="BB92" s="372">
        <f t="shared" si="23"/>
        <v>548</v>
      </c>
      <c r="BC92" s="373"/>
      <c r="BD92" s="393">
        <f t="shared" si="35"/>
        <v>499</v>
      </c>
      <c r="BE92" s="372"/>
      <c r="BF92" s="372">
        <f t="shared" si="24"/>
        <v>0</v>
      </c>
      <c r="BG92" s="373"/>
      <c r="BH92" s="374" t="str">
        <f t="shared" ref="BH92:BH130" si="36">IF(AZ92=BD92,"",1)</f>
        <v/>
      </c>
      <c r="BI92" s="375"/>
      <c r="BJ92" s="564"/>
      <c r="BK92" s="565"/>
      <c r="BL92" s="568"/>
      <c r="BM92" s="570"/>
      <c r="CC92" s="138" t="s">
        <v>80</v>
      </c>
      <c r="CD92" s="337" t="str">
        <f t="shared" si="25"/>
        <v>外税10%</v>
      </c>
      <c r="CE92" s="337"/>
      <c r="CF92" s="338"/>
      <c r="CR92" s="103" t="s">
        <v>321</v>
      </c>
      <c r="CW92" s="103" t="s">
        <v>322</v>
      </c>
      <c r="CX92" s="102" t="s">
        <v>30</v>
      </c>
      <c r="CY92" s="103" t="s">
        <v>323</v>
      </c>
    </row>
    <row r="93" spans="1:103" ht="15" customHeight="1">
      <c r="A93" s="100">
        <f t="shared" si="26"/>
        <v>37</v>
      </c>
      <c r="B93" s="293" t="s">
        <v>200</v>
      </c>
      <c r="C93" s="293"/>
      <c r="D93" s="293"/>
      <c r="E93" s="293"/>
      <c r="F93" s="293" t="str" cm="1">
        <f t="array" ref="F93">TRIM(SUBSTITUTE(SUBSTITUTE(INDEX(CR:CR,MATCH("      item_no: "&amp;A93&amp;",",CR:CR,0)+9,1),"item_name: ",""),",",""))</f>
        <v>惣菜</v>
      </c>
      <c r="G93" s="293"/>
      <c r="H93" s="293"/>
      <c r="I93" s="293"/>
      <c r="J93" s="293"/>
      <c r="K93" s="293"/>
      <c r="L93" s="399" t="str" cm="1">
        <f t="array" ref="L93">TRIM(SUBSTITUTE(SUBSTITUTE(INDEX(CR:CR,MATCH("      item_no: "&amp;A93&amp;",",CR:CR,0)+3,1),"item_scan_code: ",""),",",""))</f>
        <v>2000</v>
      </c>
      <c r="M93" s="399"/>
      <c r="N93" s="399"/>
      <c r="O93" s="399"/>
      <c r="P93" s="399"/>
      <c r="Q93" s="281" cm="1">
        <f t="array" ref="Q93">IF(AF93="true","",TRIM(SUBSTITUTE(SUBSTITUTE(INDEX(CR:CR,MATCH("      item_no: "&amp;A93&amp;",",CR:CR,0)+13,1),"item_price_fmt: ￥",""),",",""))+0)</f>
        <v>499</v>
      </c>
      <c r="R93" s="326"/>
      <c r="S93" s="327">
        <f t="shared" si="29"/>
        <v>0</v>
      </c>
      <c r="T93" s="328"/>
      <c r="U93" s="277" cm="1">
        <f t="array" ref="U93">IF(AF93="true","",TRIM(SUBSTITUTE(SUBSTITUTE(INDEX(CR:CR,MATCH("      item_no: "&amp;A93&amp;",",CR:CR,0)+14,1),"item_price_discount_fmt: ￥",""),",",""))+0)</f>
        <v>499</v>
      </c>
      <c r="V93" s="278"/>
      <c r="W93" s="279">
        <f ca="1">INT(SUMIF($Y$10:$AA93,"外税8%",$U$10:$V93)*1.08)+INT(SUMIF($Y$10:$AA93,"外税10%",$U$10:$V93)*1.1)+SUMIF($Y$10:$AA93,"内税10%",$U$10:$V93)+SUMIF($Y$10:$AA93,"非課税",$U$10:$V93)</f>
        <v>38173</v>
      </c>
      <c r="X93" s="280"/>
      <c r="Y93" s="281" t="str" cm="1">
        <f t="array" ref="Y93">TRIM(SUBSTITUTE(SUBSTITUTE(INDEX(CR:CR,MATCH("      item_no: "&amp;A93&amp;",",CR:CR,0)+15,1),"item_tax_fmt: ",""),",",""))</f>
        <v>外税8%</v>
      </c>
      <c r="Z93" s="282"/>
      <c r="AA93" s="282"/>
      <c r="AB93" s="283" t="str" cm="1">
        <f t="array" ref="AB93">TRIM(SUBSTITUTE(SUBSTITUTE(INDEX(CR:CR,MATCH("      item_no: "&amp;A93&amp;",",CR:CR,0)+18,1),"discount_prohibition:",""),",",""))</f>
        <v>0</v>
      </c>
      <c r="AC93" s="283"/>
      <c r="AD93" s="214" t="str">
        <f t="shared" si="27"/>
        <v>外税8%+0</v>
      </c>
      <c r="AE93" s="215"/>
      <c r="AF93" s="284" t="str" cm="1">
        <f t="array" ref="AF93">TRIM(SUBSTITUTE(SUBSTITUTE(INDEX(CR:CR,MATCH("      item_no: "&amp;A93&amp;",",CR:CR,0)+1,1),"item_cancel_line: ",""),",",""))</f>
        <v>false</v>
      </c>
      <c r="AG93" s="284"/>
      <c r="AH93" s="595"/>
      <c r="AI93" s="596"/>
      <c r="AJ93" s="285">
        <f t="shared" si="30"/>
        <v>-24.950000000000003</v>
      </c>
      <c r="AK93" s="286"/>
      <c r="AL93" s="335">
        <f t="shared" ca="1" si="31"/>
        <v>-24.9617068974506</v>
      </c>
      <c r="AM93" s="336"/>
      <c r="AN93" s="333">
        <f t="shared" ca="1" si="32"/>
        <v>-25</v>
      </c>
      <c r="AO93" s="334"/>
      <c r="AP93" s="329">
        <f t="shared" si="33"/>
        <v>499</v>
      </c>
      <c r="AQ93" s="330"/>
      <c r="AR93" s="331">
        <f t="shared" si="34"/>
        <v>12</v>
      </c>
      <c r="AS93" s="332"/>
      <c r="AT93" s="333">
        <f t="shared" ca="1" si="22"/>
        <v>-25</v>
      </c>
      <c r="AU93" s="334"/>
      <c r="AV93" s="271"/>
      <c r="AW93" s="272"/>
      <c r="AX93" s="271">
        <f t="shared" ca="1" si="28"/>
        <v>-25</v>
      </c>
      <c r="AY93" s="272"/>
      <c r="AZ93" s="273">
        <f t="shared" ca="1" si="20"/>
        <v>474</v>
      </c>
      <c r="BA93" s="274"/>
      <c r="BB93" s="343">
        <f t="shared" ca="1" si="23"/>
        <v>511</v>
      </c>
      <c r="BC93" s="344"/>
      <c r="BD93" s="348">
        <f t="shared" si="35"/>
        <v>474</v>
      </c>
      <c r="BE93" s="343"/>
      <c r="BF93" s="343">
        <f t="shared" si="24"/>
        <v>-25</v>
      </c>
      <c r="BG93" s="344"/>
      <c r="BH93" s="345" t="str">
        <f t="shared" ca="1" si="36"/>
        <v/>
      </c>
      <c r="BI93" s="346"/>
      <c r="BJ93" s="564"/>
      <c r="BK93" s="565"/>
      <c r="BL93" s="568"/>
      <c r="BM93" s="570"/>
      <c r="CC93" s="138" t="s">
        <v>80</v>
      </c>
      <c r="CD93" s="337" t="str">
        <f t="shared" si="25"/>
        <v>外税8%</v>
      </c>
      <c r="CE93" s="337"/>
      <c r="CF93" s="338"/>
      <c r="CR93" s="103" t="s">
        <v>324</v>
      </c>
      <c r="CW93" s="103" t="s">
        <v>325</v>
      </c>
      <c r="CX93" s="102" t="s">
        <v>30</v>
      </c>
      <c r="CY93" s="103" t="s">
        <v>326</v>
      </c>
    </row>
    <row r="94" spans="1:103" ht="15" customHeight="1">
      <c r="A94" s="100">
        <f t="shared" si="26"/>
        <v>36</v>
      </c>
      <c r="B94" s="293" t="s">
        <v>134</v>
      </c>
      <c r="C94" s="293"/>
      <c r="D94" s="293"/>
      <c r="E94" s="293"/>
      <c r="F94" s="293" t="str" cm="1">
        <f t="array" ref="F94">TRIM(SUBSTITUTE(SUBSTITUTE(INDEX(CR:CR,MATCH("      item_no: "&amp;A94&amp;",",CR:CR,0)+9,1),"item_name: ",""),",",""))</f>
        <v>日用雑貨</v>
      </c>
      <c r="G94" s="293"/>
      <c r="H94" s="293"/>
      <c r="I94" s="293"/>
      <c r="J94" s="293"/>
      <c r="K94" s="293"/>
      <c r="L94" s="399" t="str" cm="1">
        <f t="array" ref="L94">TRIM(SUBSTITUTE(SUBSTITUTE(INDEX(CR:CR,MATCH("      item_no: "&amp;A94&amp;",",CR:CR,0)+3,1),"item_scan_code: ",""),",",""))</f>
        <v>0700</v>
      </c>
      <c r="M94" s="399"/>
      <c r="N94" s="399"/>
      <c r="O94" s="399"/>
      <c r="P94" s="399"/>
      <c r="Q94" s="281" cm="1">
        <f t="array" ref="Q94">IF(AF94="true","",TRIM(SUBSTITUTE(SUBSTITUTE(INDEX(CR:CR,MATCH("      item_no: "&amp;A94&amp;",",CR:CR,0)+13,1),"item_price_fmt: ￥",""),",",""))+0)</f>
        <v>499</v>
      </c>
      <c r="R94" s="326"/>
      <c r="S94" s="327">
        <f t="shared" si="29"/>
        <v>0</v>
      </c>
      <c r="T94" s="328"/>
      <c r="U94" s="277" cm="1">
        <f t="array" ref="U94">IF(AF94="true","",TRIM(SUBSTITUTE(SUBSTITUTE(INDEX(CR:CR,MATCH("      item_no: "&amp;A94&amp;",",CR:CR,0)+14,1),"item_price_discount_fmt: ￥",""),",",""))+0)</f>
        <v>499</v>
      </c>
      <c r="V94" s="278"/>
      <c r="W94" s="279">
        <f ca="1">INT(SUMIF($Y$10:$AA94,"外税8%",$U$10:$V94)*1.08)+INT(SUMIF($Y$10:$AA94,"外税10%",$U$10:$V94)*1.1)+SUMIF($Y$10:$AA94,"内税10%",$U$10:$V94)+SUMIF($Y$10:$AA94,"非課税",$U$10:$V94)</f>
        <v>38722</v>
      </c>
      <c r="X94" s="280"/>
      <c r="Y94" s="281" t="str" cm="1">
        <f t="array" ref="Y94">TRIM(SUBSTITUTE(SUBSTITUTE(INDEX(CR:CR,MATCH("      item_no: "&amp;A94&amp;",",CR:CR,0)+15,1),"item_tax_fmt: ",""),",",""))</f>
        <v>外税10%</v>
      </c>
      <c r="Z94" s="282"/>
      <c r="AA94" s="282"/>
      <c r="AB94" s="283" t="str" cm="1">
        <f t="array" ref="AB94">TRIM(SUBSTITUTE(SUBSTITUTE(INDEX(CR:CR,MATCH("      item_no: "&amp;A94&amp;",",CR:CR,0)+18,1),"discount_prohibition:",""),",",""))</f>
        <v>0</v>
      </c>
      <c r="AC94" s="283"/>
      <c r="AD94" s="214" t="str">
        <f t="shared" si="27"/>
        <v>外税10%+0</v>
      </c>
      <c r="AE94" s="215"/>
      <c r="AF94" s="284" t="str" cm="1">
        <f t="array" ref="AF94">TRIM(SUBSTITUTE(SUBSTITUTE(INDEX(CR:CR,MATCH("      item_no: "&amp;A94&amp;",",CR:CR,0)+1,1),"item_cancel_line: ",""),",",""))</f>
        <v>false</v>
      </c>
      <c r="AG94" s="284"/>
      <c r="AH94" s="595"/>
      <c r="AI94" s="596"/>
      <c r="AJ94" s="285">
        <f t="shared" si="30"/>
        <v>-24.950000000000003</v>
      </c>
      <c r="AK94" s="286"/>
      <c r="AL94" s="335">
        <f t="shared" ca="1" si="31"/>
        <v>-24.9617068974506</v>
      </c>
      <c r="AM94" s="336"/>
      <c r="AN94" s="333">
        <f t="shared" ca="1" si="32"/>
        <v>-25</v>
      </c>
      <c r="AO94" s="334"/>
      <c r="AP94" s="329">
        <f t="shared" si="33"/>
        <v>499</v>
      </c>
      <c r="AQ94" s="330"/>
      <c r="AR94" s="331">
        <f t="shared" si="34"/>
        <v>12</v>
      </c>
      <c r="AS94" s="332"/>
      <c r="AT94" s="333">
        <f t="shared" ca="1" si="22"/>
        <v>-25</v>
      </c>
      <c r="AU94" s="334"/>
      <c r="AV94" s="271"/>
      <c r="AW94" s="272"/>
      <c r="AX94" s="271">
        <f t="shared" ca="1" si="28"/>
        <v>-25</v>
      </c>
      <c r="AY94" s="272"/>
      <c r="AZ94" s="273">
        <f t="shared" ca="1" si="20"/>
        <v>474</v>
      </c>
      <c r="BA94" s="274"/>
      <c r="BB94" s="343">
        <f t="shared" ca="1" si="23"/>
        <v>521</v>
      </c>
      <c r="BC94" s="344"/>
      <c r="BD94" s="348">
        <f t="shared" si="35"/>
        <v>474</v>
      </c>
      <c r="BE94" s="343"/>
      <c r="BF94" s="343">
        <f t="shared" si="24"/>
        <v>-25</v>
      </c>
      <c r="BG94" s="344"/>
      <c r="BH94" s="345" t="str">
        <f t="shared" ca="1" si="36"/>
        <v/>
      </c>
      <c r="BI94" s="346"/>
      <c r="BJ94" s="564"/>
      <c r="BK94" s="565"/>
      <c r="BL94" s="568"/>
      <c r="BM94" s="570"/>
      <c r="CC94" s="138" t="s">
        <v>80</v>
      </c>
      <c r="CD94" s="337" t="str">
        <f t="shared" si="25"/>
        <v>外税10%</v>
      </c>
      <c r="CE94" s="337"/>
      <c r="CF94" s="338"/>
      <c r="CR94" s="103" t="s">
        <v>327</v>
      </c>
      <c r="CW94" s="103" t="s">
        <v>328</v>
      </c>
      <c r="CX94" s="102" t="s">
        <v>30</v>
      </c>
      <c r="CY94" s="103" t="s">
        <v>329</v>
      </c>
    </row>
    <row r="95" spans="1:103" ht="15" customHeight="1">
      <c r="A95" s="100">
        <f t="shared" si="26"/>
        <v>35</v>
      </c>
      <c r="B95" s="293" t="s">
        <v>142</v>
      </c>
      <c r="C95" s="293"/>
      <c r="D95" s="293"/>
      <c r="E95" s="293"/>
      <c r="F95" s="293" t="str" cm="1">
        <f t="array" ref="F95">TRIM(SUBSTITUTE(SUBSTITUTE(INDEX(CR:CR,MATCH("      item_no: "&amp;A95&amp;",",CR:CR,0)+9,1),"item_name: ",""),",",""))</f>
        <v>バラエティ−</v>
      </c>
      <c r="G95" s="293"/>
      <c r="H95" s="293"/>
      <c r="I95" s="293"/>
      <c r="J95" s="293"/>
      <c r="K95" s="293"/>
      <c r="L95" s="399" t="str" cm="1">
        <f t="array" ref="L95">TRIM(SUBSTITUTE(SUBSTITUTE(INDEX(CR:CR,MATCH("      item_no: "&amp;A95&amp;",",CR:CR,0)+3,1),"item_scan_code: ",""),",",""))</f>
        <v>1200</v>
      </c>
      <c r="M95" s="399"/>
      <c r="N95" s="399"/>
      <c r="O95" s="399"/>
      <c r="P95" s="399"/>
      <c r="Q95" s="281" cm="1">
        <f t="array" ref="Q95">IF(AF95="true","",TRIM(SUBSTITUTE(SUBSTITUTE(INDEX(CR:CR,MATCH("      item_no: "&amp;A95&amp;",",CR:CR,0)+13,1),"item_price_fmt: ￥",""),",",""))+0)</f>
        <v>499</v>
      </c>
      <c r="R95" s="326"/>
      <c r="S95" s="327">
        <f t="shared" si="29"/>
        <v>0</v>
      </c>
      <c r="T95" s="328"/>
      <c r="U95" s="277" cm="1">
        <f t="array" ref="U95">IF(AF95="true","",TRIM(SUBSTITUTE(SUBSTITUTE(INDEX(CR:CR,MATCH("      item_no: "&amp;A95&amp;",",CR:CR,0)+14,1),"item_price_discount_fmt: ￥",""),",",""))+0)</f>
        <v>499</v>
      </c>
      <c r="V95" s="278"/>
      <c r="W95" s="279">
        <f ca="1">INT(SUMIF($Y$10:$AA95,"外税8%",$U$10:$V95)*1.08)+INT(SUMIF($Y$10:$AA95,"外税10%",$U$10:$V95)*1.1)+SUMIF($Y$10:$AA95,"内税10%",$U$10:$V95)+SUMIF($Y$10:$AA95,"非課税",$U$10:$V95)</f>
        <v>39271</v>
      </c>
      <c r="X95" s="280"/>
      <c r="Y95" s="281" t="str" cm="1">
        <f t="array" ref="Y95">TRIM(SUBSTITUTE(SUBSTITUTE(INDEX(CR:CR,MATCH("      item_no: "&amp;A95&amp;",",CR:CR,0)+15,1),"item_tax_fmt: ",""),",",""))</f>
        <v>外税10%</v>
      </c>
      <c r="Z95" s="282"/>
      <c r="AA95" s="282"/>
      <c r="AB95" s="283" t="str" cm="1">
        <f t="array" ref="AB95">TRIM(SUBSTITUTE(SUBSTITUTE(INDEX(CR:CR,MATCH("      item_no: "&amp;A95&amp;",",CR:CR,0)+18,1),"discount_prohibition:",""),",",""))</f>
        <v>0</v>
      </c>
      <c r="AC95" s="283"/>
      <c r="AD95" s="214" t="str">
        <f t="shared" si="27"/>
        <v>外税10%+0</v>
      </c>
      <c r="AE95" s="215"/>
      <c r="AF95" s="284" t="str" cm="1">
        <f t="array" ref="AF95">TRIM(SUBSTITUTE(SUBSTITUTE(INDEX(CR:CR,MATCH("      item_no: "&amp;A95&amp;",",CR:CR,0)+1,1),"item_cancel_line: ",""),",",""))</f>
        <v>false</v>
      </c>
      <c r="AG95" s="284"/>
      <c r="AH95" s="595"/>
      <c r="AI95" s="596"/>
      <c r="AJ95" s="285">
        <f t="shared" si="30"/>
        <v>-24.950000000000003</v>
      </c>
      <c r="AK95" s="286"/>
      <c r="AL95" s="335">
        <f t="shared" ca="1" si="31"/>
        <v>-24.9617068974506</v>
      </c>
      <c r="AM95" s="336"/>
      <c r="AN95" s="333">
        <f t="shared" ca="1" si="32"/>
        <v>-25</v>
      </c>
      <c r="AO95" s="334"/>
      <c r="AP95" s="329">
        <f t="shared" si="33"/>
        <v>499</v>
      </c>
      <c r="AQ95" s="330"/>
      <c r="AR95" s="331">
        <f t="shared" si="34"/>
        <v>12</v>
      </c>
      <c r="AS95" s="332"/>
      <c r="AT95" s="333">
        <f t="shared" ca="1" si="22"/>
        <v>-25</v>
      </c>
      <c r="AU95" s="334"/>
      <c r="AV95" s="271"/>
      <c r="AW95" s="272"/>
      <c r="AX95" s="271">
        <f t="shared" ca="1" si="28"/>
        <v>-25</v>
      </c>
      <c r="AY95" s="272"/>
      <c r="AZ95" s="273">
        <f t="shared" ca="1" si="20"/>
        <v>474</v>
      </c>
      <c r="BA95" s="274"/>
      <c r="BB95" s="343">
        <f t="shared" ca="1" si="23"/>
        <v>521</v>
      </c>
      <c r="BC95" s="344"/>
      <c r="BD95" s="348">
        <f t="shared" si="35"/>
        <v>474</v>
      </c>
      <c r="BE95" s="343"/>
      <c r="BF95" s="343">
        <f t="shared" si="24"/>
        <v>-25</v>
      </c>
      <c r="BG95" s="344"/>
      <c r="BH95" s="345" t="str">
        <f t="shared" ca="1" si="36"/>
        <v/>
      </c>
      <c r="BI95" s="346"/>
      <c r="BJ95" s="564"/>
      <c r="BK95" s="565"/>
      <c r="BL95" s="568"/>
      <c r="BM95" s="570"/>
      <c r="CC95" s="138" t="s">
        <v>80</v>
      </c>
      <c r="CD95" s="337" t="str">
        <f t="shared" si="25"/>
        <v>外税10%</v>
      </c>
      <c r="CE95" s="337"/>
      <c r="CF95" s="338"/>
      <c r="CR95" s="103" t="s">
        <v>330</v>
      </c>
      <c r="CW95" s="103" t="s">
        <v>331</v>
      </c>
      <c r="CX95" s="102" t="s">
        <v>30</v>
      </c>
      <c r="CY95" s="103" t="s">
        <v>332</v>
      </c>
    </row>
    <row r="96" spans="1:103" ht="15" customHeight="1">
      <c r="A96" s="100">
        <f t="shared" si="26"/>
        <v>34</v>
      </c>
      <c r="B96" s="388" t="s">
        <v>232</v>
      </c>
      <c r="C96" s="388"/>
      <c r="D96" s="388"/>
      <c r="E96" s="388"/>
      <c r="F96" s="388" t="str" cm="1">
        <f t="array" ref="F96">TRIM(SUBSTITUTE(SUBSTITUTE(INDEX(CR:CR,MATCH("      item_no: "&amp;A96&amp;",",CR:CR,0)+9,1),"item_name: ",""),",",""))</f>
        <v>地域指定用品</v>
      </c>
      <c r="G96" s="388"/>
      <c r="H96" s="388"/>
      <c r="I96" s="388"/>
      <c r="J96" s="388"/>
      <c r="K96" s="388"/>
      <c r="L96" s="398" t="str" cm="1">
        <f t="array" ref="L96">TRIM(SUBSTITUTE(SUBSTITUTE(INDEX(CR:CR,MATCH("      item_no: "&amp;A96&amp;",",CR:CR,0)+3,1),"item_scan_code: ",""),",",""))</f>
        <v>4600</v>
      </c>
      <c r="M96" s="398"/>
      <c r="N96" s="398"/>
      <c r="O96" s="398"/>
      <c r="P96" s="398"/>
      <c r="Q96" s="382" cm="1">
        <f t="array" ref="Q96">IF(AF96="true","",TRIM(SUBSTITUTE(SUBSTITUTE(INDEX(CR:CR,MATCH("      item_no: "&amp;A96&amp;",",CR:CR,0)+13,1),"item_price_fmt: ￥",""),",",""))+0)</f>
        <v>499</v>
      </c>
      <c r="R96" s="390"/>
      <c r="S96" s="391">
        <f t="shared" si="29"/>
        <v>0</v>
      </c>
      <c r="T96" s="392"/>
      <c r="U96" s="376" cm="1">
        <f t="array" ref="U96">IF(AF96="true","",TRIM(SUBSTITUTE(SUBSTITUTE(INDEX(CR:CR,MATCH("      item_no: "&amp;A96&amp;",",CR:CR,0)+14,1),"item_price_discount_fmt: ￥",""),",",""))+0)</f>
        <v>499</v>
      </c>
      <c r="V96" s="377"/>
      <c r="W96" s="279">
        <f ca="1">INT(SUMIF($Y$10:$AA96,"外税8%",$U$10:$V96)*1.08)+INT(SUMIF($Y$10:$AA96,"外税10%",$U$10:$V96)*1.1)+SUMIF($Y$10:$AA96,"内税10%",$U$10:$V96)+SUMIF($Y$10:$AA96,"非課税",$U$10:$V96)</f>
        <v>39770</v>
      </c>
      <c r="X96" s="280"/>
      <c r="Y96" s="382" t="str" cm="1">
        <f t="array" ref="Y96">TRIM(SUBSTITUTE(SUBSTITUTE(INDEX(CR:CR,MATCH("      item_no: "&amp;A96&amp;",",CR:CR,0)+15,1),"item_tax_fmt: ",""),",",""))</f>
        <v>内税10%</v>
      </c>
      <c r="Z96" s="383"/>
      <c r="AA96" s="383"/>
      <c r="AB96" s="384" t="str" cm="1">
        <f t="array" ref="AB96">TRIM(SUBSTITUTE(SUBSTITUTE(INDEX(CR:CR,MATCH("      item_no: "&amp;A96&amp;",",CR:CR,0)+18,1),"discount_prohibition:",""),",",""))</f>
        <v>1</v>
      </c>
      <c r="AC96" s="384"/>
      <c r="AD96" s="394" t="str">
        <f t="shared" si="27"/>
        <v>内税10%+1</v>
      </c>
      <c r="AE96" s="395"/>
      <c r="AF96" s="385" t="str" cm="1">
        <f t="array" ref="AF96">TRIM(SUBSTITUTE(SUBSTITUTE(INDEX(CR:CR,MATCH("      item_no: "&amp;A96&amp;",",CR:CR,0)+1,1),"item_cancel_line: ",""),",",""))</f>
        <v>false</v>
      </c>
      <c r="AG96" s="385"/>
      <c r="AH96" s="595"/>
      <c r="AI96" s="596"/>
      <c r="AJ96" s="386">
        <f t="shared" si="30"/>
        <v>0</v>
      </c>
      <c r="AK96" s="387"/>
      <c r="AL96" s="335">
        <f t="shared" si="31"/>
        <v>0</v>
      </c>
      <c r="AM96" s="336"/>
      <c r="AN96" s="333">
        <f t="shared" si="32"/>
        <v>0</v>
      </c>
      <c r="AO96" s="334"/>
      <c r="AP96" s="376">
        <f t="shared" si="33"/>
        <v>0</v>
      </c>
      <c r="AQ96" s="377"/>
      <c r="AR96" s="378">
        <f t="shared" si="34"/>
        <v>84</v>
      </c>
      <c r="AS96" s="379"/>
      <c r="AT96" s="333">
        <f t="shared" si="22"/>
        <v>0</v>
      </c>
      <c r="AU96" s="334"/>
      <c r="AV96" s="271"/>
      <c r="AW96" s="272"/>
      <c r="AX96" s="271">
        <f t="shared" si="28"/>
        <v>0</v>
      </c>
      <c r="AY96" s="272"/>
      <c r="AZ96" s="380">
        <f t="shared" si="20"/>
        <v>499</v>
      </c>
      <c r="BA96" s="381"/>
      <c r="BB96" s="372">
        <f t="shared" si="23"/>
        <v>499</v>
      </c>
      <c r="BC96" s="373"/>
      <c r="BD96" s="393">
        <f t="shared" si="35"/>
        <v>499</v>
      </c>
      <c r="BE96" s="372"/>
      <c r="BF96" s="372">
        <f t="shared" si="24"/>
        <v>0</v>
      </c>
      <c r="BG96" s="373"/>
      <c r="BH96" s="374" t="str">
        <f t="shared" si="36"/>
        <v/>
      </c>
      <c r="BI96" s="375"/>
      <c r="BJ96" s="564"/>
      <c r="BK96" s="565"/>
      <c r="BL96" s="568"/>
      <c r="BM96" s="570"/>
      <c r="CC96" s="138" t="s">
        <v>227</v>
      </c>
      <c r="CD96" s="337" t="str">
        <f t="shared" si="25"/>
        <v>※内税10%</v>
      </c>
      <c r="CE96" s="337"/>
      <c r="CF96" s="338"/>
      <c r="CR96" s="103" t="s">
        <v>333</v>
      </c>
      <c r="CW96" s="103" t="s">
        <v>334</v>
      </c>
      <c r="CX96" s="102" t="s">
        <v>30</v>
      </c>
      <c r="CY96" s="103" t="s">
        <v>335</v>
      </c>
    </row>
    <row r="97" spans="1:103" ht="15" customHeight="1">
      <c r="A97" s="100">
        <f t="shared" si="26"/>
        <v>33</v>
      </c>
      <c r="B97" s="293" t="s">
        <v>146</v>
      </c>
      <c r="C97" s="293"/>
      <c r="D97" s="293"/>
      <c r="E97" s="293"/>
      <c r="F97" s="293" t="str" cm="1">
        <f t="array" ref="F97">TRIM(SUBSTITUTE(SUBSTITUTE(INDEX(CR:CR,MATCH("      item_no: "&amp;A97&amp;",",CR:CR,0)+9,1),"item_name: ",""),",",""))</f>
        <v>実用衣料</v>
      </c>
      <c r="G97" s="293"/>
      <c r="H97" s="293"/>
      <c r="I97" s="293"/>
      <c r="J97" s="293"/>
      <c r="K97" s="293"/>
      <c r="L97" s="399" t="str" cm="1">
        <f t="array" ref="L97">TRIM(SUBSTITUTE(SUBSTITUTE(INDEX(CR:CR,MATCH("      item_no: "&amp;A97&amp;",",CR:CR,0)+3,1),"item_scan_code: ",""),",",""))</f>
        <v>1300</v>
      </c>
      <c r="M97" s="399"/>
      <c r="N97" s="399"/>
      <c r="O97" s="399"/>
      <c r="P97" s="399"/>
      <c r="Q97" s="281" cm="1">
        <f t="array" ref="Q97">IF(AF97="true","",TRIM(SUBSTITUTE(SUBSTITUTE(INDEX(CR:CR,MATCH("      item_no: "&amp;A97&amp;",",CR:CR,0)+13,1),"item_price_fmt: ￥",""),",",""))+0)</f>
        <v>499</v>
      </c>
      <c r="R97" s="326"/>
      <c r="S97" s="327">
        <f t="shared" si="29"/>
        <v>0</v>
      </c>
      <c r="T97" s="328"/>
      <c r="U97" s="277" cm="1">
        <f t="array" ref="U97">IF(AF97="true","",TRIM(SUBSTITUTE(SUBSTITUTE(INDEX(CR:CR,MATCH("      item_no: "&amp;A97&amp;",",CR:CR,0)+14,1),"item_price_discount_fmt: ￥",""),",",""))+0)</f>
        <v>499</v>
      </c>
      <c r="V97" s="278"/>
      <c r="W97" s="279">
        <f ca="1">INT(SUMIF($Y$10:$AA97,"外税8%",$U$10:$V97)*1.08)+INT(SUMIF($Y$10:$AA97,"外税10%",$U$10:$V97)*1.1)+SUMIF($Y$10:$AA97,"内税10%",$U$10:$V97)+SUMIF($Y$10:$AA97,"非課税",$U$10:$V97)</f>
        <v>40319</v>
      </c>
      <c r="X97" s="280"/>
      <c r="Y97" s="281" t="str" cm="1">
        <f t="array" ref="Y97">TRIM(SUBSTITUTE(SUBSTITUTE(INDEX(CR:CR,MATCH("      item_no: "&amp;A97&amp;",",CR:CR,0)+15,1),"item_tax_fmt: ",""),",",""))</f>
        <v>外税10%</v>
      </c>
      <c r="Z97" s="282"/>
      <c r="AA97" s="282"/>
      <c r="AB97" s="283" t="str" cm="1">
        <f t="array" ref="AB97">TRIM(SUBSTITUTE(SUBSTITUTE(INDEX(CR:CR,MATCH("      item_no: "&amp;A97&amp;",",CR:CR,0)+18,1),"discount_prohibition:",""),",",""))</f>
        <v>0</v>
      </c>
      <c r="AC97" s="283"/>
      <c r="AD97" s="214" t="str">
        <f t="shared" si="27"/>
        <v>外税10%+0</v>
      </c>
      <c r="AE97" s="215"/>
      <c r="AF97" s="284" t="str" cm="1">
        <f t="array" ref="AF97">TRIM(SUBSTITUTE(SUBSTITUTE(INDEX(CR:CR,MATCH("      item_no: "&amp;A97&amp;",",CR:CR,0)+1,1),"item_cancel_line: ",""),",",""))</f>
        <v>false</v>
      </c>
      <c r="AG97" s="284"/>
      <c r="AH97" s="595"/>
      <c r="AI97" s="596"/>
      <c r="AJ97" s="285">
        <f t="shared" si="30"/>
        <v>-24.950000000000003</v>
      </c>
      <c r="AK97" s="286"/>
      <c r="AL97" s="335">
        <f t="shared" ca="1" si="31"/>
        <v>-24.9617068974506</v>
      </c>
      <c r="AM97" s="336"/>
      <c r="AN97" s="333">
        <f t="shared" ca="1" si="32"/>
        <v>-25</v>
      </c>
      <c r="AO97" s="334"/>
      <c r="AP97" s="329">
        <f t="shared" si="33"/>
        <v>499</v>
      </c>
      <c r="AQ97" s="330"/>
      <c r="AR97" s="331">
        <f t="shared" si="34"/>
        <v>12</v>
      </c>
      <c r="AS97" s="332"/>
      <c r="AT97" s="333">
        <f t="shared" ca="1" si="22"/>
        <v>-25</v>
      </c>
      <c r="AU97" s="334"/>
      <c r="AV97" s="271"/>
      <c r="AW97" s="272"/>
      <c r="AX97" s="271">
        <f t="shared" ca="1" si="28"/>
        <v>-25</v>
      </c>
      <c r="AY97" s="272"/>
      <c r="AZ97" s="273">
        <f t="shared" ca="1" si="20"/>
        <v>474</v>
      </c>
      <c r="BA97" s="274"/>
      <c r="BB97" s="343">
        <f t="shared" ca="1" si="23"/>
        <v>521</v>
      </c>
      <c r="BC97" s="344"/>
      <c r="BD97" s="348">
        <f t="shared" si="35"/>
        <v>474</v>
      </c>
      <c r="BE97" s="343"/>
      <c r="BF97" s="343">
        <f t="shared" si="24"/>
        <v>-25</v>
      </c>
      <c r="BG97" s="344"/>
      <c r="BH97" s="345" t="str">
        <f t="shared" ca="1" si="36"/>
        <v/>
      </c>
      <c r="BI97" s="346"/>
      <c r="BJ97" s="564"/>
      <c r="BK97" s="565"/>
      <c r="BL97" s="568"/>
      <c r="BM97" s="570"/>
      <c r="CC97" s="138" t="s">
        <v>80</v>
      </c>
      <c r="CD97" s="337" t="str">
        <f t="shared" si="25"/>
        <v>外税10%</v>
      </c>
      <c r="CE97" s="337"/>
      <c r="CF97" s="338"/>
      <c r="CR97" s="103" t="s">
        <v>336</v>
      </c>
      <c r="CW97" s="103" t="s">
        <v>337</v>
      </c>
      <c r="CX97" s="102" t="s">
        <v>30</v>
      </c>
      <c r="CY97" s="103" t="s">
        <v>338</v>
      </c>
    </row>
    <row r="98" spans="1:103" ht="15" customHeight="1">
      <c r="A98" s="100">
        <f t="shared" si="26"/>
        <v>32</v>
      </c>
      <c r="B98" s="293" t="s">
        <v>339</v>
      </c>
      <c r="C98" s="293"/>
      <c r="D98" s="293"/>
      <c r="E98" s="293"/>
      <c r="F98" s="293" t="str" cm="1">
        <f t="array" ref="F98">TRIM(SUBSTITUTE(SUBSTITUTE(INDEX(CR:CR,MATCH("      item_no: "&amp;A98&amp;",",CR:CR,0)+9,1),"item_name: ",""),",",""))</f>
        <v>アウター衣料</v>
      </c>
      <c r="G98" s="293"/>
      <c r="H98" s="293"/>
      <c r="I98" s="293"/>
      <c r="J98" s="293"/>
      <c r="K98" s="293"/>
      <c r="L98" s="399" t="str" cm="1">
        <f t="array" ref="L98">TRIM(SUBSTITUTE(SUBSTITUTE(INDEX(CR:CR,MATCH("      item_no: "&amp;A98&amp;",",CR:CR,0)+3,1),"item_scan_code: ",""),",",""))</f>
        <v>2700</v>
      </c>
      <c r="M98" s="399"/>
      <c r="N98" s="399"/>
      <c r="O98" s="399"/>
      <c r="P98" s="399"/>
      <c r="Q98" s="281" cm="1">
        <f t="array" ref="Q98">IF(AF98="true","",TRIM(SUBSTITUTE(SUBSTITUTE(INDEX(CR:CR,MATCH("      item_no: "&amp;A98&amp;",",CR:CR,0)+13,1),"item_price_fmt: ￥",""),",",""))+0)</f>
        <v>499</v>
      </c>
      <c r="R98" s="326"/>
      <c r="S98" s="327">
        <f t="shared" si="29"/>
        <v>0</v>
      </c>
      <c r="T98" s="328"/>
      <c r="U98" s="277" cm="1">
        <f t="array" ref="U98">IF(AF98="true","",TRIM(SUBSTITUTE(SUBSTITUTE(INDEX(CR:CR,MATCH("      item_no: "&amp;A98&amp;",",CR:CR,0)+14,1),"item_price_discount_fmt: ￥",""),",",""))+0)</f>
        <v>499</v>
      </c>
      <c r="V98" s="278"/>
      <c r="W98" s="279">
        <f ca="1">INT(SUMIF($Y$10:$AA98,"外税8%",$U$10:$V98)*1.08)+INT(SUMIF($Y$10:$AA98,"外税10%",$U$10:$V98)*1.1)+SUMIF($Y$10:$AA98,"内税10%",$U$10:$V98)+SUMIF($Y$10:$AA98,"非課税",$U$10:$V98)</f>
        <v>40868</v>
      </c>
      <c r="X98" s="280"/>
      <c r="Y98" s="281" t="str" cm="1">
        <f t="array" ref="Y98">TRIM(SUBSTITUTE(SUBSTITUTE(INDEX(CR:CR,MATCH("      item_no: "&amp;A98&amp;",",CR:CR,0)+15,1),"item_tax_fmt: ",""),",",""))</f>
        <v>外税10%</v>
      </c>
      <c r="Z98" s="282"/>
      <c r="AA98" s="282"/>
      <c r="AB98" s="283" t="str" cm="1">
        <f t="array" ref="AB98">TRIM(SUBSTITUTE(SUBSTITUTE(INDEX(CR:CR,MATCH("      item_no: "&amp;A98&amp;",",CR:CR,0)+18,1),"discount_prohibition:",""),",",""))</f>
        <v>0</v>
      </c>
      <c r="AC98" s="283"/>
      <c r="AD98" s="214" t="str">
        <f t="shared" si="27"/>
        <v>外税10%+0</v>
      </c>
      <c r="AE98" s="215"/>
      <c r="AF98" s="284" t="str" cm="1">
        <f t="array" ref="AF98">TRIM(SUBSTITUTE(SUBSTITUTE(INDEX(CR:CR,MATCH("      item_no: "&amp;A98&amp;",",CR:CR,0)+1,1),"item_cancel_line: ",""),",",""))</f>
        <v>false</v>
      </c>
      <c r="AG98" s="284"/>
      <c r="AH98" s="595"/>
      <c r="AI98" s="596"/>
      <c r="AJ98" s="285">
        <f t="shared" si="30"/>
        <v>-24.950000000000003</v>
      </c>
      <c r="AK98" s="286"/>
      <c r="AL98" s="335">
        <f t="shared" ca="1" si="31"/>
        <v>-24.9617068974506</v>
      </c>
      <c r="AM98" s="336"/>
      <c r="AN98" s="333">
        <f t="shared" ca="1" si="32"/>
        <v>-25</v>
      </c>
      <c r="AO98" s="334"/>
      <c r="AP98" s="329">
        <f t="shared" si="33"/>
        <v>499</v>
      </c>
      <c r="AQ98" s="330"/>
      <c r="AR98" s="331">
        <f t="shared" si="34"/>
        <v>12</v>
      </c>
      <c r="AS98" s="332"/>
      <c r="AT98" s="333">
        <f t="shared" ca="1" si="22"/>
        <v>-25</v>
      </c>
      <c r="AU98" s="334"/>
      <c r="AV98" s="271"/>
      <c r="AW98" s="272"/>
      <c r="AX98" s="271">
        <f t="shared" ca="1" si="28"/>
        <v>-25</v>
      </c>
      <c r="AY98" s="272"/>
      <c r="AZ98" s="273">
        <f t="shared" ca="1" si="20"/>
        <v>474</v>
      </c>
      <c r="BA98" s="274"/>
      <c r="BB98" s="343">
        <f t="shared" ca="1" si="23"/>
        <v>521</v>
      </c>
      <c r="BC98" s="344"/>
      <c r="BD98" s="348">
        <f t="shared" si="35"/>
        <v>474</v>
      </c>
      <c r="BE98" s="343"/>
      <c r="BF98" s="343">
        <f t="shared" si="24"/>
        <v>-25</v>
      </c>
      <c r="BG98" s="344"/>
      <c r="BH98" s="345" t="str">
        <f t="shared" ca="1" si="36"/>
        <v/>
      </c>
      <c r="BI98" s="346"/>
      <c r="BJ98" s="564"/>
      <c r="BK98" s="565"/>
      <c r="BL98" s="568"/>
      <c r="BM98" s="570"/>
      <c r="CC98" s="138" t="s">
        <v>80</v>
      </c>
      <c r="CD98" s="337" t="str">
        <f t="shared" si="25"/>
        <v>外税10%</v>
      </c>
      <c r="CE98" s="337"/>
      <c r="CF98" s="338"/>
      <c r="CR98" s="103" t="s">
        <v>340</v>
      </c>
      <c r="CW98" s="103" t="s">
        <v>341</v>
      </c>
      <c r="CX98" s="102" t="s">
        <v>30</v>
      </c>
      <c r="CY98" s="103" t="s">
        <v>342</v>
      </c>
    </row>
    <row r="99" spans="1:103" ht="15" customHeight="1">
      <c r="A99" s="100">
        <f t="shared" si="26"/>
        <v>31</v>
      </c>
      <c r="B99" s="293" t="s">
        <v>207</v>
      </c>
      <c r="C99" s="293"/>
      <c r="D99" s="293"/>
      <c r="E99" s="293"/>
      <c r="F99" s="293" t="str" cm="1">
        <f t="array" ref="F99">TRIM(SUBSTITUTE(SUBSTITUTE(INDEX(CR:CR,MATCH("      item_no: "&amp;A99&amp;",",CR:CR,0)+9,1),"item_name: ",""),",",""))</f>
        <v>寿司</v>
      </c>
      <c r="G99" s="293"/>
      <c r="H99" s="293"/>
      <c r="I99" s="293"/>
      <c r="J99" s="293"/>
      <c r="K99" s="293"/>
      <c r="L99" s="399" t="str" cm="1">
        <f t="array" ref="L99">TRIM(SUBSTITUTE(SUBSTITUTE(INDEX(CR:CR,MATCH("      item_no: "&amp;A99&amp;",",CR:CR,0)+3,1),"item_scan_code: ",""),",",""))</f>
        <v>2300</v>
      </c>
      <c r="M99" s="399"/>
      <c r="N99" s="399"/>
      <c r="O99" s="399"/>
      <c r="P99" s="399"/>
      <c r="Q99" s="281" cm="1">
        <f t="array" ref="Q99">IF(AF99="true","",TRIM(SUBSTITUTE(SUBSTITUTE(INDEX(CR:CR,MATCH("      item_no: "&amp;A99&amp;",",CR:CR,0)+13,1),"item_price_fmt: ￥",""),",",""))+0)</f>
        <v>499</v>
      </c>
      <c r="R99" s="326"/>
      <c r="S99" s="327">
        <f t="shared" si="29"/>
        <v>0</v>
      </c>
      <c r="T99" s="328"/>
      <c r="U99" s="277" cm="1">
        <f t="array" ref="U99">IF(AF99="true","",TRIM(SUBSTITUTE(SUBSTITUTE(INDEX(CR:CR,MATCH("      item_no: "&amp;A99&amp;",",CR:CR,0)+14,1),"item_price_discount_fmt: ￥",""),",",""))+0)</f>
        <v>499</v>
      </c>
      <c r="V99" s="278"/>
      <c r="W99" s="279">
        <f ca="1">INT(SUMIF($Y$10:$AA99,"外税8%",$U$10:$V99)*1.08)+INT(SUMIF($Y$10:$AA99,"外税10%",$U$10:$V99)*1.1)+SUMIF($Y$10:$AA99,"内税10%",$U$10:$V99)+SUMIF($Y$10:$AA99,"非課税",$U$10:$V99)</f>
        <v>41407</v>
      </c>
      <c r="X99" s="280"/>
      <c r="Y99" s="281" t="str" cm="1">
        <f t="array" ref="Y99">TRIM(SUBSTITUTE(SUBSTITUTE(INDEX(CR:CR,MATCH("      item_no: "&amp;A99&amp;",",CR:CR,0)+15,1),"item_tax_fmt: ",""),",",""))</f>
        <v>外税8%</v>
      </c>
      <c r="Z99" s="282"/>
      <c r="AA99" s="282"/>
      <c r="AB99" s="283" t="str" cm="1">
        <f t="array" ref="AB99">TRIM(SUBSTITUTE(SUBSTITUTE(INDEX(CR:CR,MATCH("      item_no: "&amp;A99&amp;",",CR:CR,0)+18,1),"discount_prohibition:",""),",",""))</f>
        <v>0</v>
      </c>
      <c r="AC99" s="283"/>
      <c r="AD99" s="214" t="str">
        <f t="shared" si="27"/>
        <v>外税8%+0</v>
      </c>
      <c r="AE99" s="215"/>
      <c r="AF99" s="284" t="str" cm="1">
        <f t="array" ref="AF99">TRIM(SUBSTITUTE(SUBSTITUTE(INDEX(CR:CR,MATCH("      item_no: "&amp;A99&amp;",",CR:CR,0)+1,1),"item_cancel_line: ",""),",",""))</f>
        <v>false</v>
      </c>
      <c r="AG99" s="284"/>
      <c r="AH99" s="595"/>
      <c r="AI99" s="596"/>
      <c r="AJ99" s="285">
        <f t="shared" si="30"/>
        <v>-24.950000000000003</v>
      </c>
      <c r="AK99" s="286"/>
      <c r="AL99" s="335">
        <f t="shared" ca="1" si="31"/>
        <v>-24.9617068974506</v>
      </c>
      <c r="AM99" s="336"/>
      <c r="AN99" s="333">
        <f t="shared" ca="1" si="32"/>
        <v>-25</v>
      </c>
      <c r="AO99" s="334"/>
      <c r="AP99" s="329">
        <f t="shared" si="33"/>
        <v>499</v>
      </c>
      <c r="AQ99" s="330"/>
      <c r="AR99" s="331">
        <f t="shared" si="34"/>
        <v>12</v>
      </c>
      <c r="AS99" s="332"/>
      <c r="AT99" s="333">
        <f t="shared" ca="1" si="22"/>
        <v>-25</v>
      </c>
      <c r="AU99" s="334"/>
      <c r="AV99" s="271"/>
      <c r="AW99" s="272"/>
      <c r="AX99" s="271">
        <f t="shared" ca="1" si="28"/>
        <v>-25</v>
      </c>
      <c r="AY99" s="272"/>
      <c r="AZ99" s="273">
        <f t="shared" ca="1" si="20"/>
        <v>474</v>
      </c>
      <c r="BA99" s="274"/>
      <c r="BB99" s="343">
        <f t="shared" ca="1" si="23"/>
        <v>511</v>
      </c>
      <c r="BC99" s="344"/>
      <c r="BD99" s="348">
        <f t="shared" si="35"/>
        <v>474</v>
      </c>
      <c r="BE99" s="343"/>
      <c r="BF99" s="343">
        <f t="shared" si="24"/>
        <v>-25</v>
      </c>
      <c r="BG99" s="344"/>
      <c r="BH99" s="345" t="str">
        <f t="shared" ca="1" si="36"/>
        <v/>
      </c>
      <c r="BI99" s="346"/>
      <c r="BJ99" s="564"/>
      <c r="BK99" s="565"/>
      <c r="BL99" s="568"/>
      <c r="BM99" s="570"/>
      <c r="CC99" s="138" t="s">
        <v>80</v>
      </c>
      <c r="CD99" s="337" t="str">
        <f t="shared" si="25"/>
        <v>外税8%</v>
      </c>
      <c r="CE99" s="337"/>
      <c r="CF99" s="338"/>
      <c r="CR99" s="103" t="s">
        <v>272</v>
      </c>
      <c r="CW99" s="103" t="s">
        <v>343</v>
      </c>
      <c r="CX99" s="102" t="s">
        <v>30</v>
      </c>
      <c r="CY99" s="103" t="s">
        <v>344</v>
      </c>
    </row>
    <row r="100" spans="1:103" ht="15" customHeight="1">
      <c r="A100" s="100">
        <f t="shared" si="26"/>
        <v>30</v>
      </c>
      <c r="B100" s="388" t="s">
        <v>266</v>
      </c>
      <c r="C100" s="388"/>
      <c r="D100" s="388"/>
      <c r="E100" s="388"/>
      <c r="F100" s="388" t="str" cm="1">
        <f t="array" ref="F100">TRIM(SUBSTITUTE(SUBSTITUTE(INDEX(CR:CR,MATCH("      item_no: "&amp;A100&amp;",",CR:CR,0)+9,1),"item_name: ",""),",",""))</f>
        <v>雑誌</v>
      </c>
      <c r="G100" s="388"/>
      <c r="H100" s="388"/>
      <c r="I100" s="388"/>
      <c r="J100" s="388"/>
      <c r="K100" s="388"/>
      <c r="L100" s="398" t="str" cm="1">
        <f t="array" ref="L100">TRIM(SUBSTITUTE(SUBSTITUTE(INDEX(CR:CR,MATCH("      item_no: "&amp;A100&amp;",",CR:CR,0)+3,1),"item_scan_code: ",""),",",""))</f>
        <v>4700</v>
      </c>
      <c r="M100" s="398"/>
      <c r="N100" s="398"/>
      <c r="O100" s="398"/>
      <c r="P100" s="398"/>
      <c r="Q100" s="382" cm="1">
        <f t="array" ref="Q100">IF(AF100="true","",TRIM(SUBSTITUTE(SUBSTITUTE(INDEX(CR:CR,MATCH("      item_no: "&amp;A100&amp;",",CR:CR,0)+13,1),"item_price_fmt: ￥",""),",",""))+0)</f>
        <v>499</v>
      </c>
      <c r="R100" s="390"/>
      <c r="S100" s="391">
        <f t="shared" si="29"/>
        <v>0</v>
      </c>
      <c r="T100" s="392"/>
      <c r="U100" s="376" cm="1">
        <f t="array" ref="U100">IF(AF100="true","",TRIM(SUBSTITUTE(SUBSTITUTE(INDEX(CR:CR,MATCH("      item_no: "&amp;A100&amp;",",CR:CR,0)+14,1),"item_price_discount_fmt: ￥",""),",",""))+0)</f>
        <v>499</v>
      </c>
      <c r="V100" s="377"/>
      <c r="W100" s="279">
        <f ca="1">INT(SUMIF($Y$10:$AA100,"外税8%",$U$10:$V100)*1.08)+INT(SUMIF($Y$10:$AA100,"外税10%",$U$10:$V100)*1.1)+SUMIF($Y$10:$AA100,"内税10%",$U$10:$V100)+SUMIF($Y$10:$AA100,"非課税",$U$10:$V100)</f>
        <v>41956</v>
      </c>
      <c r="X100" s="280"/>
      <c r="Y100" s="382" t="str" cm="1">
        <f t="array" ref="Y100">TRIM(SUBSTITUTE(SUBSTITUTE(INDEX(CR:CR,MATCH("      item_no: "&amp;A100&amp;",",CR:CR,0)+15,1),"item_tax_fmt: ",""),",",""))</f>
        <v>外税10%</v>
      </c>
      <c r="Z100" s="383"/>
      <c r="AA100" s="383"/>
      <c r="AB100" s="384" t="str" cm="1">
        <f t="array" ref="AB100">TRIM(SUBSTITUTE(SUBSTITUTE(INDEX(CR:CR,MATCH("      item_no: "&amp;A100&amp;",",CR:CR,0)+18,1),"discount_prohibition:",""),",",""))</f>
        <v>1</v>
      </c>
      <c r="AC100" s="384"/>
      <c r="AD100" s="394" t="str">
        <f t="shared" si="27"/>
        <v>外税10%+1</v>
      </c>
      <c r="AE100" s="395"/>
      <c r="AF100" s="385" t="str" cm="1">
        <f t="array" ref="AF100">TRIM(SUBSTITUTE(SUBSTITUTE(INDEX(CR:CR,MATCH("      item_no: "&amp;A100&amp;",",CR:CR,0)+1,1),"item_cancel_line: ",""),",",""))</f>
        <v>false</v>
      </c>
      <c r="AG100" s="385"/>
      <c r="AH100" s="595"/>
      <c r="AI100" s="596"/>
      <c r="AJ100" s="386">
        <f t="shared" si="30"/>
        <v>0</v>
      </c>
      <c r="AK100" s="387"/>
      <c r="AL100" s="335">
        <f t="shared" si="31"/>
        <v>0</v>
      </c>
      <c r="AM100" s="336"/>
      <c r="AN100" s="333">
        <f t="shared" si="32"/>
        <v>0</v>
      </c>
      <c r="AO100" s="334"/>
      <c r="AP100" s="376">
        <f t="shared" si="33"/>
        <v>0</v>
      </c>
      <c r="AQ100" s="377"/>
      <c r="AR100" s="378">
        <f t="shared" si="34"/>
        <v>84</v>
      </c>
      <c r="AS100" s="379"/>
      <c r="AT100" s="333">
        <f t="shared" si="22"/>
        <v>0</v>
      </c>
      <c r="AU100" s="334"/>
      <c r="AV100" s="271"/>
      <c r="AW100" s="272"/>
      <c r="AX100" s="271">
        <f t="shared" si="28"/>
        <v>0</v>
      </c>
      <c r="AY100" s="272"/>
      <c r="AZ100" s="380">
        <f t="shared" si="20"/>
        <v>499</v>
      </c>
      <c r="BA100" s="381"/>
      <c r="BB100" s="372">
        <f t="shared" si="23"/>
        <v>548</v>
      </c>
      <c r="BC100" s="373"/>
      <c r="BD100" s="393">
        <f t="shared" si="35"/>
        <v>499</v>
      </c>
      <c r="BE100" s="372"/>
      <c r="BF100" s="372">
        <f t="shared" si="24"/>
        <v>0</v>
      </c>
      <c r="BG100" s="373"/>
      <c r="BH100" s="374" t="str">
        <f t="shared" si="36"/>
        <v/>
      </c>
      <c r="BI100" s="375"/>
      <c r="BJ100" s="564"/>
      <c r="BK100" s="565"/>
      <c r="BL100" s="568"/>
      <c r="BM100" s="570"/>
      <c r="CC100" s="138" t="s">
        <v>80</v>
      </c>
      <c r="CD100" s="337" t="str">
        <f t="shared" si="25"/>
        <v>外税10%</v>
      </c>
      <c r="CE100" s="337"/>
      <c r="CF100" s="338"/>
      <c r="CR100" s="103" t="s">
        <v>345</v>
      </c>
      <c r="CW100" s="103" t="s">
        <v>346</v>
      </c>
      <c r="CX100" s="102" t="s">
        <v>30</v>
      </c>
      <c r="CY100" s="103" t="s">
        <v>347</v>
      </c>
    </row>
    <row r="101" spans="1:103" ht="15" customHeight="1">
      <c r="A101" s="100">
        <f t="shared" si="26"/>
        <v>29</v>
      </c>
      <c r="B101" s="293" t="s">
        <v>193</v>
      </c>
      <c r="C101" s="293"/>
      <c r="D101" s="293"/>
      <c r="E101" s="293"/>
      <c r="F101" s="293" t="str" cm="1">
        <f t="array" ref="F101">TRIM(SUBSTITUTE(SUBSTITUTE(INDEX(CR:CR,MATCH("      item_no: "&amp;A101&amp;",",CR:CR,0)+9,1),"item_name: ",""),",",""))</f>
        <v>国産豚肉生姜焼き用（ロース）</v>
      </c>
      <c r="G101" s="293"/>
      <c r="H101" s="293"/>
      <c r="I101" s="293"/>
      <c r="J101" s="293"/>
      <c r="K101" s="293"/>
      <c r="L101" s="325" t="str" cm="1">
        <f t="array" ref="L101">TRIM(SUBSTITUTE(SUBSTITUTE(INDEX(CR:CR,MATCH("      item_no: "&amp;A101&amp;",",CR:CR,0)+3,1),"item_scan_code: ",""),",",""))</f>
        <v>0226642624804030000205</v>
      </c>
      <c r="M101" s="325"/>
      <c r="N101" s="325"/>
      <c r="O101" s="325"/>
      <c r="P101" s="325"/>
      <c r="Q101" s="281" cm="1">
        <f t="array" ref="Q101">IF(AF101="true","",TRIM(SUBSTITUTE(SUBSTITUTE(INDEX(CR:CR,MATCH("      item_no: "&amp;A101&amp;",",CR:CR,0)+13,1),"item_price_fmt: ￥",""),",",""))+0)</f>
        <v>2480</v>
      </c>
      <c r="R101" s="326"/>
      <c r="S101" s="327">
        <f t="shared" si="29"/>
        <v>-496</v>
      </c>
      <c r="T101" s="328"/>
      <c r="U101" s="277" cm="1">
        <f t="array" ref="U101">IF(AF101="true","",TRIM(SUBSTITUTE(SUBSTITUTE(INDEX(CR:CR,MATCH("      item_no: "&amp;A101&amp;",",CR:CR,0)+14,1),"item_price_discount_fmt: ￥",""),",",""))+0)</f>
        <v>1984</v>
      </c>
      <c r="V101" s="278"/>
      <c r="W101" s="279">
        <f ca="1">INT(SUMIF($Y$10:$AA101,"外税8%",$U$10:$V101)*1.08)+INT(SUMIF($Y$10:$AA101,"外税10%",$U$10:$V101)*1.1)+SUMIF($Y$10:$AA101,"内税10%",$U$10:$V101)+SUMIF($Y$10:$AA101,"非課税",$U$10:$V101)</f>
        <v>44099</v>
      </c>
      <c r="X101" s="280"/>
      <c r="Y101" s="281" t="str" cm="1">
        <f t="array" ref="Y101">TRIM(SUBSTITUTE(SUBSTITUTE(INDEX(CR:CR,MATCH("      item_no: "&amp;A101&amp;",",CR:CR,0)+15,1),"item_tax_fmt: ",""),",",""))</f>
        <v>外税8%</v>
      </c>
      <c r="Z101" s="282"/>
      <c r="AA101" s="282"/>
      <c r="AB101" s="283" t="str" cm="1">
        <f t="array" ref="AB101">TRIM(SUBSTITUTE(SUBSTITUTE(INDEX(CR:CR,MATCH("      item_no: "&amp;A101&amp;",",CR:CR,0)+18,1),"discount_prohibition:",""),",",""))</f>
        <v>0</v>
      </c>
      <c r="AC101" s="283"/>
      <c r="AD101" s="214" t="str">
        <f t="shared" si="27"/>
        <v>外税8%+0</v>
      </c>
      <c r="AE101" s="215"/>
      <c r="AF101" s="284" t="str" cm="1">
        <f t="array" ref="AF101">TRIM(SUBSTITUTE(SUBSTITUTE(INDEX(CR:CR,MATCH("      item_no: "&amp;A101&amp;",",CR:CR,0)+1,1),"item_cancel_line: ",""),",",""))</f>
        <v>false</v>
      </c>
      <c r="AG101" s="284"/>
      <c r="AH101" s="595"/>
      <c r="AI101" s="596"/>
      <c r="AJ101" s="285">
        <f t="shared" si="30"/>
        <v>-99.2</v>
      </c>
      <c r="AK101" s="286"/>
      <c r="AL101" s="335">
        <f t="shared" ca="1" si="31"/>
        <v>-99.246546061206402</v>
      </c>
      <c r="AM101" s="336"/>
      <c r="AN101" s="333">
        <f t="shared" ca="1" si="32"/>
        <v>-100</v>
      </c>
      <c r="AO101" s="334"/>
      <c r="AP101" s="329">
        <f t="shared" si="33"/>
        <v>1984</v>
      </c>
      <c r="AQ101" s="330"/>
      <c r="AR101" s="331">
        <f t="shared" si="34"/>
        <v>3</v>
      </c>
      <c r="AS101" s="332"/>
      <c r="AT101" s="333">
        <f t="shared" ca="1" si="22"/>
        <v>-100</v>
      </c>
      <c r="AU101" s="334"/>
      <c r="AV101" s="271"/>
      <c r="AW101" s="272"/>
      <c r="AX101" s="271">
        <f t="shared" ca="1" si="28"/>
        <v>-100</v>
      </c>
      <c r="AY101" s="272"/>
      <c r="AZ101" s="273">
        <f t="shared" ca="1" si="20"/>
        <v>1884</v>
      </c>
      <c r="BA101" s="274"/>
      <c r="BB101" s="343">
        <f t="shared" ca="1" si="23"/>
        <v>2034</v>
      </c>
      <c r="BC101" s="344"/>
      <c r="BD101" s="348">
        <f t="shared" si="35"/>
        <v>1884</v>
      </c>
      <c r="BE101" s="343"/>
      <c r="BF101" s="343">
        <f t="shared" si="24"/>
        <v>-100</v>
      </c>
      <c r="BG101" s="344"/>
      <c r="BH101" s="345" t="str">
        <f t="shared" ca="1" si="36"/>
        <v/>
      </c>
      <c r="BI101" s="346"/>
      <c r="BJ101" s="564"/>
      <c r="BK101" s="565"/>
      <c r="BL101" s="568"/>
      <c r="BM101" s="570"/>
      <c r="CC101" s="138" t="s">
        <v>80</v>
      </c>
      <c r="CD101" s="337" t="str">
        <f t="shared" si="25"/>
        <v>外税8%</v>
      </c>
      <c r="CE101" s="337"/>
      <c r="CF101" s="338"/>
      <c r="CR101" s="103" t="s">
        <v>279</v>
      </c>
      <c r="CW101" s="103" t="s">
        <v>348</v>
      </c>
      <c r="CX101" s="102" t="s">
        <v>30</v>
      </c>
      <c r="CY101" s="103" t="s">
        <v>349</v>
      </c>
    </row>
    <row r="102" spans="1:103" ht="15" customHeight="1">
      <c r="A102" s="100">
        <f t="shared" si="26"/>
        <v>28</v>
      </c>
      <c r="B102" s="293" t="s">
        <v>193</v>
      </c>
      <c r="C102" s="293"/>
      <c r="D102" s="293"/>
      <c r="E102" s="293"/>
      <c r="F102" s="293" t="str" cm="1">
        <f t="array" ref="F102">TRIM(SUBSTITUTE(SUBSTITUTE(INDEX(CR:CR,MATCH("      item_no: "&amp;A102&amp;",",CR:CR,0)+9,1),"item_name: ",""),",",""))</f>
        <v>国産豚肉生姜焼き用（ロース）</v>
      </c>
      <c r="G102" s="293"/>
      <c r="H102" s="293"/>
      <c r="I102" s="293"/>
      <c r="J102" s="293"/>
      <c r="K102" s="293"/>
      <c r="L102" s="325" t="str" cm="1">
        <f t="array" ref="L102">TRIM(SUBSTITUTE(SUBSTITUTE(INDEX(CR:CR,MATCH("      item_no: "&amp;A102&amp;",",CR:CR,0)+3,1),"item_scan_code: ",""),",",""))</f>
        <v>0226642624804030000304</v>
      </c>
      <c r="M102" s="325"/>
      <c r="N102" s="325"/>
      <c r="O102" s="325"/>
      <c r="P102" s="325"/>
      <c r="Q102" s="281" cm="1">
        <f t="array" ref="Q102">IF(AF102="true","",TRIM(SUBSTITUTE(SUBSTITUTE(INDEX(CR:CR,MATCH("      item_no: "&amp;A102&amp;",",CR:CR,0)+13,1),"item_price_fmt: ￥",""),",",""))+0)</f>
        <v>2480</v>
      </c>
      <c r="R102" s="326"/>
      <c r="S102" s="327">
        <f t="shared" si="29"/>
        <v>-744</v>
      </c>
      <c r="T102" s="328"/>
      <c r="U102" s="277" cm="1">
        <f t="array" ref="U102">IF(AF102="true","",TRIM(SUBSTITUTE(SUBSTITUTE(INDEX(CR:CR,MATCH("      item_no: "&amp;A102&amp;",",CR:CR,0)+14,1),"item_price_discount_fmt: ￥",""),",",""))+0)</f>
        <v>1736</v>
      </c>
      <c r="V102" s="278"/>
      <c r="W102" s="279">
        <f ca="1">INT(SUMIF($Y$10:$AA102,"外税8%",$U$10:$V102)*1.08)+INT(SUMIF($Y$10:$AA102,"外税10%",$U$10:$V102)*1.1)+SUMIF($Y$10:$AA102,"内税10%",$U$10:$V102)+SUMIF($Y$10:$AA102,"非課税",$U$10:$V102)</f>
        <v>45974</v>
      </c>
      <c r="X102" s="280"/>
      <c r="Y102" s="281" t="str" cm="1">
        <f t="array" ref="Y102">TRIM(SUBSTITUTE(SUBSTITUTE(INDEX(CR:CR,MATCH("      item_no: "&amp;A102&amp;",",CR:CR,0)+15,1),"item_tax_fmt: ",""),",",""))</f>
        <v>外税8%</v>
      </c>
      <c r="Z102" s="282"/>
      <c r="AA102" s="282"/>
      <c r="AB102" s="283" t="str" cm="1">
        <f t="array" ref="AB102">TRIM(SUBSTITUTE(SUBSTITUTE(INDEX(CR:CR,MATCH("      item_no: "&amp;A102&amp;",",CR:CR,0)+18,1),"discount_prohibition:",""),",",""))</f>
        <v>0</v>
      </c>
      <c r="AC102" s="283"/>
      <c r="AD102" s="214" t="str">
        <f t="shared" si="27"/>
        <v>外税8%+0</v>
      </c>
      <c r="AE102" s="215"/>
      <c r="AF102" s="284" t="str" cm="1">
        <f t="array" ref="AF102">TRIM(SUBSTITUTE(SUBSTITUTE(INDEX(CR:CR,MATCH("      item_no: "&amp;A102&amp;",",CR:CR,0)+1,1),"item_cancel_line: ",""),",",""))</f>
        <v>false</v>
      </c>
      <c r="AG102" s="284"/>
      <c r="AH102" s="595"/>
      <c r="AI102" s="596"/>
      <c r="AJ102" s="285">
        <f t="shared" si="30"/>
        <v>-86.800000000000011</v>
      </c>
      <c r="AK102" s="286"/>
      <c r="AL102" s="335">
        <f t="shared" ca="1" si="31"/>
        <v>-86.840727803555609</v>
      </c>
      <c r="AM102" s="336"/>
      <c r="AN102" s="333">
        <f t="shared" ca="1" si="32"/>
        <v>-87</v>
      </c>
      <c r="AO102" s="334"/>
      <c r="AP102" s="329">
        <f t="shared" si="33"/>
        <v>1736</v>
      </c>
      <c r="AQ102" s="330"/>
      <c r="AR102" s="331">
        <f t="shared" si="34"/>
        <v>4</v>
      </c>
      <c r="AS102" s="332"/>
      <c r="AT102" s="333">
        <f t="shared" ca="1" si="22"/>
        <v>-87</v>
      </c>
      <c r="AU102" s="334"/>
      <c r="AV102" s="271"/>
      <c r="AW102" s="272"/>
      <c r="AX102" s="271">
        <f t="shared" ca="1" si="28"/>
        <v>-87</v>
      </c>
      <c r="AY102" s="272"/>
      <c r="AZ102" s="273">
        <f t="shared" ca="1" si="20"/>
        <v>1649</v>
      </c>
      <c r="BA102" s="274"/>
      <c r="BB102" s="343">
        <f t="shared" ca="1" si="23"/>
        <v>1780</v>
      </c>
      <c r="BC102" s="344"/>
      <c r="BD102" s="348">
        <f t="shared" si="35"/>
        <v>1649</v>
      </c>
      <c r="BE102" s="343"/>
      <c r="BF102" s="343">
        <f t="shared" si="24"/>
        <v>-87</v>
      </c>
      <c r="BG102" s="344"/>
      <c r="BH102" s="345" t="str">
        <f t="shared" ca="1" si="36"/>
        <v/>
      </c>
      <c r="BI102" s="346"/>
      <c r="BJ102" s="564"/>
      <c r="BK102" s="565"/>
      <c r="BL102" s="568"/>
      <c r="BM102" s="570"/>
      <c r="CC102" s="138" t="s">
        <v>80</v>
      </c>
      <c r="CD102" s="337" t="str">
        <f t="shared" si="25"/>
        <v>外税8%</v>
      </c>
      <c r="CE102" s="337"/>
      <c r="CF102" s="338"/>
      <c r="CR102" s="103" t="s">
        <v>282</v>
      </c>
      <c r="CW102" s="103" t="s">
        <v>350</v>
      </c>
      <c r="CX102" s="102" t="s">
        <v>30</v>
      </c>
      <c r="CY102" s="103" t="s">
        <v>351</v>
      </c>
    </row>
    <row r="103" spans="1:103" ht="15" customHeight="1">
      <c r="A103" s="100">
        <f t="shared" si="26"/>
        <v>27</v>
      </c>
      <c r="B103" s="293" t="s">
        <v>193</v>
      </c>
      <c r="C103" s="293"/>
      <c r="D103" s="293"/>
      <c r="E103" s="293"/>
      <c r="F103" s="293" t="str" cm="1">
        <f t="array" ref="F103">TRIM(SUBSTITUTE(SUBSTITUTE(INDEX(CR:CR,MATCH("      item_no: "&amp;A103&amp;",",CR:CR,0)+9,1),"item_name: ",""),",",""))</f>
        <v>国産豚肉生姜焼き用（ロース）</v>
      </c>
      <c r="G103" s="293"/>
      <c r="H103" s="293"/>
      <c r="I103" s="293"/>
      <c r="J103" s="293"/>
      <c r="K103" s="293"/>
      <c r="L103" s="325" t="str" cm="1">
        <f t="array" ref="L103">TRIM(SUBSTITUTE(SUBSTITUTE(INDEX(CR:CR,MATCH("      item_no: "&amp;A103&amp;",",CR:CR,0)+3,1),"item_scan_code: ",""),",",""))</f>
        <v>0226642624804030000502</v>
      </c>
      <c r="M103" s="325"/>
      <c r="N103" s="325"/>
      <c r="O103" s="325"/>
      <c r="P103" s="325"/>
      <c r="Q103" s="281" cm="1">
        <f t="array" ref="Q103">IF(AF103="true","",TRIM(SUBSTITUTE(SUBSTITUTE(INDEX(CR:CR,MATCH("      item_no: "&amp;A103&amp;",",CR:CR,0)+13,1),"item_price_fmt: ￥",""),",",""))+0)</f>
        <v>2480</v>
      </c>
      <c r="R103" s="326"/>
      <c r="S103" s="327">
        <f t="shared" si="29"/>
        <v>-1240</v>
      </c>
      <c r="T103" s="328"/>
      <c r="U103" s="277" cm="1">
        <f t="array" ref="U103">IF(AF103="true","",TRIM(SUBSTITUTE(SUBSTITUTE(INDEX(CR:CR,MATCH("      item_no: "&amp;A103&amp;",",CR:CR,0)+14,1),"item_price_discount_fmt: ￥",""),",",""))+0)</f>
        <v>1240</v>
      </c>
      <c r="V103" s="278"/>
      <c r="W103" s="279">
        <f ca="1">INT(SUMIF($Y$10:$AA103,"外税8%",$U$10:$V103)*1.08)+INT(SUMIF($Y$10:$AA103,"外税10%",$U$10:$V103)*1.1)+SUMIF($Y$10:$AA103,"内税10%",$U$10:$V103)+SUMIF($Y$10:$AA103,"非課税",$U$10:$V103)</f>
        <v>47313</v>
      </c>
      <c r="X103" s="280"/>
      <c r="Y103" s="281" t="str" cm="1">
        <f t="array" ref="Y103">TRIM(SUBSTITUTE(SUBSTITUTE(INDEX(CR:CR,MATCH("      item_no: "&amp;A103&amp;",",CR:CR,0)+15,1),"item_tax_fmt: ",""),",",""))</f>
        <v>外税8%</v>
      </c>
      <c r="Z103" s="282"/>
      <c r="AA103" s="282"/>
      <c r="AB103" s="283" t="str" cm="1">
        <f t="array" ref="AB103">TRIM(SUBSTITUTE(SUBSTITUTE(INDEX(CR:CR,MATCH("      item_no: "&amp;A103&amp;",",CR:CR,0)+18,1),"discount_prohibition:",""),",",""))</f>
        <v>0</v>
      </c>
      <c r="AC103" s="283"/>
      <c r="AD103" s="214" t="str">
        <f t="shared" si="27"/>
        <v>外税8%+0</v>
      </c>
      <c r="AE103" s="215"/>
      <c r="AF103" s="284" t="str" cm="1">
        <f t="array" ref="AF103">TRIM(SUBSTITUTE(SUBSTITUTE(INDEX(CR:CR,MATCH("      item_no: "&amp;A103&amp;",",CR:CR,0)+1,1),"item_cancel_line: ",""),",",""))</f>
        <v>false</v>
      </c>
      <c r="AG103" s="284"/>
      <c r="AH103" s="595"/>
      <c r="AI103" s="596"/>
      <c r="AJ103" s="396">
        <f t="shared" si="30"/>
        <v>-62</v>
      </c>
      <c r="AK103" s="397"/>
      <c r="AL103" s="335">
        <f t="shared" ca="1" si="31"/>
        <v>-62.029091288254001</v>
      </c>
      <c r="AM103" s="336"/>
      <c r="AN103" s="333">
        <f t="shared" ca="1" si="32"/>
        <v>-63</v>
      </c>
      <c r="AO103" s="334"/>
      <c r="AP103" s="329">
        <f t="shared" si="33"/>
        <v>1240</v>
      </c>
      <c r="AQ103" s="330"/>
      <c r="AR103" s="331">
        <f t="shared" si="34"/>
        <v>5</v>
      </c>
      <c r="AS103" s="332"/>
      <c r="AT103" s="333">
        <f t="shared" ca="1" si="22"/>
        <v>-63</v>
      </c>
      <c r="AU103" s="334"/>
      <c r="AV103" s="271"/>
      <c r="AW103" s="272"/>
      <c r="AX103" s="271">
        <f t="shared" ca="1" si="28"/>
        <v>-63</v>
      </c>
      <c r="AY103" s="272"/>
      <c r="AZ103" s="273">
        <f t="shared" ca="1" si="20"/>
        <v>1177</v>
      </c>
      <c r="BA103" s="274"/>
      <c r="BB103" s="343">
        <f t="shared" ca="1" si="23"/>
        <v>1271</v>
      </c>
      <c r="BC103" s="344"/>
      <c r="BD103" s="348">
        <f t="shared" si="35"/>
        <v>1177</v>
      </c>
      <c r="BE103" s="343"/>
      <c r="BF103" s="343">
        <f t="shared" si="24"/>
        <v>-63</v>
      </c>
      <c r="BG103" s="344"/>
      <c r="BH103" s="345" t="str">
        <f t="shared" ca="1" si="36"/>
        <v/>
      </c>
      <c r="BI103" s="346"/>
      <c r="BJ103" s="564"/>
      <c r="BK103" s="565"/>
      <c r="BL103" s="568"/>
      <c r="BM103" s="570"/>
      <c r="CC103" s="138" t="s">
        <v>80</v>
      </c>
      <c r="CD103" s="337" t="str">
        <f t="shared" si="25"/>
        <v>外税8%</v>
      </c>
      <c r="CE103" s="337"/>
      <c r="CF103" s="338"/>
      <c r="CR103" s="103" t="s">
        <v>352</v>
      </c>
      <c r="CW103" s="103" t="s">
        <v>353</v>
      </c>
      <c r="CX103" s="102" t="s">
        <v>30</v>
      </c>
      <c r="CY103" s="103" t="s">
        <v>354</v>
      </c>
    </row>
    <row r="104" spans="1:103" ht="15" customHeight="1">
      <c r="A104" s="100">
        <f t="shared" si="26"/>
        <v>26</v>
      </c>
      <c r="B104" s="293" t="s">
        <v>181</v>
      </c>
      <c r="C104" s="293"/>
      <c r="D104" s="293"/>
      <c r="E104" s="293"/>
      <c r="F104" s="293" t="str" cm="1">
        <f t="array" ref="F104">TRIM(SUBSTITUTE(SUBSTITUTE(INDEX(CR:CR,MATCH("      item_no: "&amp;A104&amp;",",CR:CR,0)+9,1),"item_name: ",""),",",""))</f>
        <v>本まぐろ赤身スライス刺養解番７６１</v>
      </c>
      <c r="G104" s="293"/>
      <c r="H104" s="293"/>
      <c r="I104" s="293"/>
      <c r="J104" s="293"/>
      <c r="K104" s="293"/>
      <c r="L104" s="325" t="str" cm="1">
        <f t="array" ref="L104">TRIM(SUBSTITUTE(SUBSTITUTE(INDEX(CR:CR,MATCH("      item_no: "&amp;A104&amp;",",CR:CR,0)+3,1),"item_scan_code: ",""),",",""))</f>
        <v>0269406704756030000205</v>
      </c>
      <c r="M104" s="325"/>
      <c r="N104" s="325"/>
      <c r="O104" s="325"/>
      <c r="P104" s="325"/>
      <c r="Q104" s="281" cm="1">
        <f t="array" ref="Q104">IF(AF104="true","",TRIM(SUBSTITUTE(SUBSTITUTE(INDEX(CR:CR,MATCH("      item_no: "&amp;A104&amp;",",CR:CR,0)+13,1),"item_price_fmt: ￥",""),",",""))+0)</f>
        <v>475</v>
      </c>
      <c r="R104" s="326"/>
      <c r="S104" s="327">
        <f t="shared" si="29"/>
        <v>-286</v>
      </c>
      <c r="T104" s="328"/>
      <c r="U104" s="277" cm="1">
        <f t="array" ref="U104">IF(AF104="true","",TRIM(SUBSTITUTE(SUBSTITUTE(INDEX(CR:CR,MATCH("      item_no: "&amp;A104&amp;",",CR:CR,0)+14,1),"item_price_discount_fmt: ￥",""),",",""))+0)</f>
        <v>189</v>
      </c>
      <c r="V104" s="278"/>
      <c r="W104" s="279">
        <f ca="1">INT(SUMIF($Y$10:$AA104,"外税8%",$U$10:$V104)*1.08)+INT(SUMIF($Y$10:$AA104,"外税10%",$U$10:$V104)*1.1)+SUMIF($Y$10:$AA104,"内税10%",$U$10:$V104)+SUMIF($Y$10:$AA104,"非課税",$U$10:$V104)</f>
        <v>47517</v>
      </c>
      <c r="X104" s="280"/>
      <c r="Y104" s="281" t="str" cm="1">
        <f t="array" ref="Y104">TRIM(SUBSTITUTE(SUBSTITUTE(INDEX(CR:CR,MATCH("      item_no: "&amp;A104&amp;",",CR:CR,0)+15,1),"item_tax_fmt: ",""),",",""))</f>
        <v>外税8%</v>
      </c>
      <c r="Z104" s="282"/>
      <c r="AA104" s="282"/>
      <c r="AB104" s="283" t="str" cm="1">
        <f t="array" ref="AB104">TRIM(SUBSTITUTE(SUBSTITUTE(INDEX(CR:CR,MATCH("      item_no: "&amp;A104&amp;",",CR:CR,0)+18,1),"discount_prohibition:",""),",",""))</f>
        <v>0</v>
      </c>
      <c r="AC104" s="283"/>
      <c r="AD104" s="214" t="str">
        <f t="shared" si="27"/>
        <v>外税8%+0</v>
      </c>
      <c r="AE104" s="215"/>
      <c r="AF104" s="284" t="str" cm="1">
        <f t="array" ref="AF104">TRIM(SUBSTITUTE(SUBSTITUTE(INDEX(CR:CR,MATCH("      item_no: "&amp;A104&amp;",",CR:CR,0)+1,1),"item_cancel_line: ",""),",",""))</f>
        <v>false</v>
      </c>
      <c r="AG104" s="284"/>
      <c r="AH104" s="595"/>
      <c r="AI104" s="596"/>
      <c r="AJ104" s="285">
        <f t="shared" si="30"/>
        <v>-9.4500000000000011</v>
      </c>
      <c r="AK104" s="286"/>
      <c r="AL104" s="335">
        <f t="shared" ca="1" si="31"/>
        <v>-9.4544340753871019</v>
      </c>
      <c r="AM104" s="336"/>
      <c r="AN104" s="333">
        <f t="shared" ca="1" si="32"/>
        <v>-10</v>
      </c>
      <c r="AO104" s="334"/>
      <c r="AP104" s="329">
        <f t="shared" si="33"/>
        <v>189</v>
      </c>
      <c r="AQ104" s="330"/>
      <c r="AR104" s="331">
        <f t="shared" si="34"/>
        <v>63</v>
      </c>
      <c r="AS104" s="332"/>
      <c r="AT104" s="333">
        <f t="shared" ca="1" si="22"/>
        <v>-10</v>
      </c>
      <c r="AU104" s="334"/>
      <c r="AV104" s="271"/>
      <c r="AW104" s="272"/>
      <c r="AX104" s="271">
        <f t="shared" ca="1" si="28"/>
        <v>-10</v>
      </c>
      <c r="AY104" s="272"/>
      <c r="AZ104" s="273">
        <f t="shared" ca="1" si="20"/>
        <v>179</v>
      </c>
      <c r="BA104" s="274"/>
      <c r="BB104" s="343">
        <f t="shared" ca="1" si="23"/>
        <v>193</v>
      </c>
      <c r="BC104" s="344"/>
      <c r="BD104" s="348">
        <f t="shared" si="35"/>
        <v>179</v>
      </c>
      <c r="BE104" s="343"/>
      <c r="BF104" s="343">
        <f t="shared" si="24"/>
        <v>-10</v>
      </c>
      <c r="BG104" s="344"/>
      <c r="BH104" s="345" t="str">
        <f t="shared" ca="1" si="36"/>
        <v/>
      </c>
      <c r="BI104" s="346"/>
      <c r="BJ104" s="564"/>
      <c r="BK104" s="565"/>
      <c r="BL104" s="568"/>
      <c r="BM104" s="570"/>
      <c r="CC104" s="138" t="s">
        <v>80</v>
      </c>
      <c r="CD104" s="337" t="str">
        <f t="shared" si="25"/>
        <v>外税8%</v>
      </c>
      <c r="CE104" s="337"/>
      <c r="CF104" s="338"/>
      <c r="CR104" s="103" t="s">
        <v>355</v>
      </c>
      <c r="CW104" s="103" t="s">
        <v>356</v>
      </c>
      <c r="CX104" s="102" t="s">
        <v>30</v>
      </c>
      <c r="CY104" s="103" t="s">
        <v>357</v>
      </c>
    </row>
    <row r="105" spans="1:103" ht="15" customHeight="1">
      <c r="A105" s="100">
        <f t="shared" si="26"/>
        <v>25</v>
      </c>
      <c r="B105" s="293" t="s">
        <v>181</v>
      </c>
      <c r="C105" s="293"/>
      <c r="D105" s="293"/>
      <c r="E105" s="293"/>
      <c r="F105" s="293" t="str" cm="1">
        <f t="array" ref="F105">TRIM(SUBSTITUTE(SUBSTITUTE(INDEX(CR:CR,MATCH("      item_no: "&amp;A105&amp;",",CR:CR,0)+9,1),"item_name: ",""),",",""))</f>
        <v>本まぐろ赤身スライス刺養解番７６１</v>
      </c>
      <c r="G105" s="293"/>
      <c r="H105" s="293"/>
      <c r="I105" s="293"/>
      <c r="J105" s="293"/>
      <c r="K105" s="293"/>
      <c r="L105" s="325" t="str" cm="1">
        <f t="array" ref="L105">TRIM(SUBSTITUTE(SUBSTITUTE(INDEX(CR:CR,MATCH("      item_no: "&amp;A105&amp;",",CR:CR,0)+3,1),"item_scan_code: ",""),",",""))</f>
        <v>0269406704756030000304</v>
      </c>
      <c r="M105" s="325"/>
      <c r="N105" s="325"/>
      <c r="O105" s="325"/>
      <c r="P105" s="325"/>
      <c r="Q105" s="281" cm="1">
        <f t="array" ref="Q105">IF(AF105="true","",TRIM(SUBSTITUTE(SUBSTITUTE(INDEX(CR:CR,MATCH("      item_no: "&amp;A105&amp;",",CR:CR,0)+13,1),"item_price_fmt: ￥",""),",",""))+0)</f>
        <v>475</v>
      </c>
      <c r="R105" s="326"/>
      <c r="S105" s="327">
        <f t="shared" si="29"/>
        <v>-310</v>
      </c>
      <c r="T105" s="328"/>
      <c r="U105" s="277" cm="1">
        <f t="array" ref="U105">IF(AF105="true","",TRIM(SUBSTITUTE(SUBSTITUTE(INDEX(CR:CR,MATCH("      item_no: "&amp;A105&amp;",",CR:CR,0)+14,1),"item_price_discount_fmt: ￥",""),",",""))+0)</f>
        <v>165</v>
      </c>
      <c r="V105" s="278"/>
      <c r="W105" s="279">
        <f ca="1">INT(SUMIF($Y$10:$AA105,"外税8%",$U$10:$V105)*1.08)+INT(SUMIF($Y$10:$AA105,"外税10%",$U$10:$V105)*1.1)+SUMIF($Y$10:$AA105,"内税10%",$U$10:$V105)+SUMIF($Y$10:$AA105,"非課税",$U$10:$V105)</f>
        <v>47695</v>
      </c>
      <c r="X105" s="280"/>
      <c r="Y105" s="281" t="str" cm="1">
        <f t="array" ref="Y105">TRIM(SUBSTITUTE(SUBSTITUTE(INDEX(CR:CR,MATCH("      item_no: "&amp;A105&amp;",",CR:CR,0)+15,1),"item_tax_fmt: ",""),",",""))</f>
        <v>外税8%</v>
      </c>
      <c r="Z105" s="282"/>
      <c r="AA105" s="282"/>
      <c r="AB105" s="283" t="str" cm="1">
        <f t="array" ref="AB105">TRIM(SUBSTITUTE(SUBSTITUTE(INDEX(CR:CR,MATCH("      item_no: "&amp;A105&amp;",",CR:CR,0)+18,1),"discount_prohibition:",""),",",""))</f>
        <v>0</v>
      </c>
      <c r="AC105" s="283"/>
      <c r="AD105" s="214" t="str">
        <f t="shared" si="27"/>
        <v>外税8%+0</v>
      </c>
      <c r="AE105" s="215"/>
      <c r="AF105" s="284" t="str" cm="1">
        <f t="array" ref="AF105">TRIM(SUBSTITUTE(SUBSTITUTE(INDEX(CR:CR,MATCH("      item_no: "&amp;A105&amp;",",CR:CR,0)+1,1),"item_cancel_line: ",""),",",""))</f>
        <v>false</v>
      </c>
      <c r="AG105" s="284"/>
      <c r="AH105" s="595"/>
      <c r="AI105" s="596"/>
      <c r="AJ105" s="285">
        <f t="shared" si="30"/>
        <v>-8.25</v>
      </c>
      <c r="AK105" s="286"/>
      <c r="AL105" s="335">
        <f t="shared" ca="1" si="31"/>
        <v>-8.2538710181950883</v>
      </c>
      <c r="AM105" s="336"/>
      <c r="AN105" s="333">
        <f t="shared" ca="1" si="32"/>
        <v>-9</v>
      </c>
      <c r="AO105" s="334"/>
      <c r="AP105" s="329">
        <f t="shared" si="33"/>
        <v>165</v>
      </c>
      <c r="AQ105" s="330"/>
      <c r="AR105" s="331">
        <f t="shared" si="34"/>
        <v>68</v>
      </c>
      <c r="AS105" s="332"/>
      <c r="AT105" s="333">
        <f t="shared" ca="1" si="22"/>
        <v>-9</v>
      </c>
      <c r="AU105" s="334"/>
      <c r="AV105" s="271"/>
      <c r="AW105" s="272"/>
      <c r="AX105" s="271">
        <f t="shared" ca="1" si="28"/>
        <v>-9</v>
      </c>
      <c r="AY105" s="272"/>
      <c r="AZ105" s="273">
        <f t="shared" ca="1" si="20"/>
        <v>156</v>
      </c>
      <c r="BA105" s="274"/>
      <c r="BB105" s="343">
        <f t="shared" ca="1" si="23"/>
        <v>168</v>
      </c>
      <c r="BC105" s="344"/>
      <c r="BD105" s="348">
        <f t="shared" si="35"/>
        <v>156</v>
      </c>
      <c r="BE105" s="343"/>
      <c r="BF105" s="343">
        <f t="shared" si="24"/>
        <v>-9</v>
      </c>
      <c r="BG105" s="344"/>
      <c r="BH105" s="345" t="str">
        <f t="shared" ca="1" si="36"/>
        <v/>
      </c>
      <c r="BI105" s="346"/>
      <c r="BJ105" s="564"/>
      <c r="BK105" s="565"/>
      <c r="BL105" s="568"/>
      <c r="BM105" s="570"/>
      <c r="CC105" s="138" t="s">
        <v>80</v>
      </c>
      <c r="CD105" s="337" t="str">
        <f t="shared" si="25"/>
        <v>外税8%</v>
      </c>
      <c r="CE105" s="337"/>
      <c r="CF105" s="338"/>
      <c r="CR105" s="103" t="s">
        <v>358</v>
      </c>
      <c r="CW105" s="103" t="s">
        <v>359</v>
      </c>
      <c r="CX105" s="102" t="s">
        <v>30</v>
      </c>
      <c r="CY105" s="103" t="s">
        <v>360</v>
      </c>
    </row>
    <row r="106" spans="1:103" ht="15" customHeight="1">
      <c r="A106" s="100">
        <f t="shared" si="26"/>
        <v>24</v>
      </c>
      <c r="B106" s="293" t="s">
        <v>181</v>
      </c>
      <c r="C106" s="293"/>
      <c r="D106" s="293"/>
      <c r="E106" s="293"/>
      <c r="F106" s="293" t="str" cm="1">
        <f t="array" ref="F106">TRIM(SUBSTITUTE(SUBSTITUTE(INDEX(CR:CR,MATCH("      item_no: "&amp;A106&amp;",",CR:CR,0)+9,1),"item_name: ",""),",",""))</f>
        <v>本まぐろ赤身スライス刺養解番７６１</v>
      </c>
      <c r="G106" s="293"/>
      <c r="H106" s="293"/>
      <c r="I106" s="293"/>
      <c r="J106" s="293"/>
      <c r="K106" s="293"/>
      <c r="L106" s="325" t="str" cm="1">
        <f t="array" ref="L106">TRIM(SUBSTITUTE(SUBSTITUTE(INDEX(CR:CR,MATCH("      item_no: "&amp;A106&amp;",",CR:CR,0)+3,1),"item_scan_code: ",""),",",""))</f>
        <v>0269406704756030000502</v>
      </c>
      <c r="M106" s="325"/>
      <c r="N106" s="325"/>
      <c r="O106" s="325"/>
      <c r="P106" s="325"/>
      <c r="Q106" s="281" cm="1">
        <f t="array" ref="Q106">IF(AF106="true","",TRIM(SUBSTITUTE(SUBSTITUTE(INDEX(CR:CR,MATCH("      item_no: "&amp;A106&amp;",",CR:CR,0)+13,1),"item_price_fmt: ￥",""),",",""))+0)</f>
        <v>475</v>
      </c>
      <c r="R106" s="326"/>
      <c r="S106" s="327">
        <f t="shared" si="29"/>
        <v>-357</v>
      </c>
      <c r="T106" s="328"/>
      <c r="U106" s="277" cm="1">
        <f t="array" ref="U106">IF(AF106="true","",TRIM(SUBSTITUTE(SUBSTITUTE(INDEX(CR:CR,MATCH("      item_no: "&amp;A106&amp;",",CR:CR,0)+14,1),"item_price_discount_fmt: ￥",""),",",""))+0)</f>
        <v>118</v>
      </c>
      <c r="V106" s="278"/>
      <c r="W106" s="279">
        <f ca="1">INT(SUMIF($Y$10:$AA106,"外税8%",$U$10:$V106)*1.08)+INT(SUMIF($Y$10:$AA106,"外税10%",$U$10:$V106)*1.1)+SUMIF($Y$10:$AA106,"内税10%",$U$10:$V106)+SUMIF($Y$10:$AA106,"非課税",$U$10:$V106)</f>
        <v>47823</v>
      </c>
      <c r="X106" s="280"/>
      <c r="Y106" s="281" t="str" cm="1">
        <f t="array" ref="Y106">TRIM(SUBSTITUTE(SUBSTITUTE(INDEX(CR:CR,MATCH("      item_no: "&amp;A106&amp;",",CR:CR,0)+15,1),"item_tax_fmt: ",""),",",""))</f>
        <v>外税8%</v>
      </c>
      <c r="Z106" s="282"/>
      <c r="AA106" s="282"/>
      <c r="AB106" s="283" t="str" cm="1">
        <f t="array" ref="AB106">TRIM(SUBSTITUTE(SUBSTITUTE(INDEX(CR:CR,MATCH("      item_no: "&amp;A106&amp;",",CR:CR,0)+18,1),"discount_prohibition:",""),",",""))</f>
        <v>0</v>
      </c>
      <c r="AC106" s="283"/>
      <c r="AD106" s="214" t="str">
        <f t="shared" si="27"/>
        <v>外税8%+0</v>
      </c>
      <c r="AE106" s="215"/>
      <c r="AF106" s="284" t="str" cm="1">
        <f t="array" ref="AF106">TRIM(SUBSTITUTE(SUBSTITUTE(INDEX(CR:CR,MATCH("      item_no: "&amp;A106&amp;",",CR:CR,0)+1,1),"item_cancel_line: ",""),",",""))</f>
        <v>false</v>
      </c>
      <c r="AG106" s="284"/>
      <c r="AH106" s="595"/>
      <c r="AI106" s="596"/>
      <c r="AJ106" s="285">
        <f t="shared" si="30"/>
        <v>-5.9</v>
      </c>
      <c r="AK106" s="286"/>
      <c r="AL106" s="335">
        <f t="shared" ca="1" si="31"/>
        <v>-5.9027683645273967</v>
      </c>
      <c r="AM106" s="336"/>
      <c r="AN106" s="333">
        <f t="shared" ca="1" si="32"/>
        <v>-6</v>
      </c>
      <c r="AO106" s="334"/>
      <c r="AP106" s="329">
        <f t="shared" si="33"/>
        <v>118</v>
      </c>
      <c r="AQ106" s="330"/>
      <c r="AR106" s="331">
        <f t="shared" si="34"/>
        <v>72</v>
      </c>
      <c r="AS106" s="332"/>
      <c r="AT106" s="333">
        <f t="shared" ca="1" si="22"/>
        <v>-6</v>
      </c>
      <c r="AU106" s="334"/>
      <c r="AV106" s="271"/>
      <c r="AW106" s="272"/>
      <c r="AX106" s="271">
        <f t="shared" ca="1" si="28"/>
        <v>-6</v>
      </c>
      <c r="AY106" s="272"/>
      <c r="AZ106" s="273">
        <f t="shared" ca="1" si="20"/>
        <v>112</v>
      </c>
      <c r="BA106" s="274"/>
      <c r="BB106" s="343">
        <f t="shared" ca="1" si="23"/>
        <v>120</v>
      </c>
      <c r="BC106" s="344"/>
      <c r="BD106" s="348">
        <f t="shared" si="35"/>
        <v>112</v>
      </c>
      <c r="BE106" s="343"/>
      <c r="BF106" s="343">
        <f t="shared" si="24"/>
        <v>-6</v>
      </c>
      <c r="BG106" s="344"/>
      <c r="BH106" s="345" t="str">
        <f t="shared" ca="1" si="36"/>
        <v/>
      </c>
      <c r="BI106" s="346"/>
      <c r="BJ106" s="564"/>
      <c r="BK106" s="565"/>
      <c r="BL106" s="568"/>
      <c r="BM106" s="570"/>
      <c r="CC106" s="138" t="s">
        <v>80</v>
      </c>
      <c r="CD106" s="337" t="str">
        <f t="shared" si="25"/>
        <v>外税8%</v>
      </c>
      <c r="CE106" s="337"/>
      <c r="CF106" s="338"/>
      <c r="CR106" s="103" t="s">
        <v>294</v>
      </c>
      <c r="CW106" s="103" t="s">
        <v>361</v>
      </c>
      <c r="CX106" s="102" t="s">
        <v>30</v>
      </c>
      <c r="CY106" s="103" t="s">
        <v>362</v>
      </c>
    </row>
    <row r="107" spans="1:103" ht="15" customHeight="1">
      <c r="A107" s="100">
        <f t="shared" si="26"/>
        <v>23</v>
      </c>
      <c r="B107" s="293" t="s">
        <v>200</v>
      </c>
      <c r="C107" s="293"/>
      <c r="D107" s="293"/>
      <c r="E107" s="293"/>
      <c r="F107" s="293" t="str" cm="1">
        <f t="array" ref="F107">TRIM(SUBSTITUTE(SUBSTITUTE(INDEX(CR:CR,MATCH("      item_no: "&amp;A107&amp;",",CR:CR,0)+9,1),"item_name: ",""),",",""))</f>
        <v>のり弁当（生姜と合わせだしの塩唐揚げ）</v>
      </c>
      <c r="G107" s="293"/>
      <c r="H107" s="293"/>
      <c r="I107" s="293"/>
      <c r="J107" s="293"/>
      <c r="K107" s="293"/>
      <c r="L107" s="325" t="str" cm="1">
        <f t="array" ref="L107">TRIM(SUBSTITUTE(SUBSTITUTE(INDEX(CR:CR,MATCH("      item_no: "&amp;A107&amp;",",CR:CR,0)+3,1),"item_scan_code: ",""),",",""))</f>
        <v>0237962604988030000203</v>
      </c>
      <c r="M107" s="325"/>
      <c r="N107" s="325"/>
      <c r="O107" s="325"/>
      <c r="P107" s="325"/>
      <c r="Q107" s="281" cm="1">
        <f t="array" ref="Q107">IF(AF107="true","",TRIM(SUBSTITUTE(SUBSTITUTE(INDEX(CR:CR,MATCH("      item_no: "&amp;A107&amp;",",CR:CR,0)+13,1),"item_price_fmt: ￥",""),",",""))+0)</f>
        <v>498</v>
      </c>
      <c r="R107" s="326"/>
      <c r="S107" s="327">
        <f t="shared" si="29"/>
        <v>-100</v>
      </c>
      <c r="T107" s="328"/>
      <c r="U107" s="277" cm="1">
        <f t="array" ref="U107">IF(AF107="true","",TRIM(SUBSTITUTE(SUBSTITUTE(INDEX(CR:CR,MATCH("      item_no: "&amp;A107&amp;",",CR:CR,0)+14,1),"item_price_discount_fmt: ￥",""),",",""))+0)</f>
        <v>398</v>
      </c>
      <c r="V107" s="278"/>
      <c r="W107" s="279">
        <f ca="1">INT(SUMIF($Y$10:$AA107,"外税8%",$U$10:$V107)*1.08)+INT(SUMIF($Y$10:$AA107,"外税10%",$U$10:$V107)*1.1)+SUMIF($Y$10:$AA107,"内税10%",$U$10:$V107)+SUMIF($Y$10:$AA107,"非課税",$U$10:$V107)</f>
        <v>48253</v>
      </c>
      <c r="X107" s="280"/>
      <c r="Y107" s="281" t="str" cm="1">
        <f t="array" ref="Y107">TRIM(SUBSTITUTE(SUBSTITUTE(INDEX(CR:CR,MATCH("      item_no: "&amp;A107&amp;",",CR:CR,0)+15,1),"item_tax_fmt: ",""),",",""))</f>
        <v>外税8%</v>
      </c>
      <c r="Z107" s="282"/>
      <c r="AA107" s="282"/>
      <c r="AB107" s="283" t="str" cm="1">
        <f t="array" ref="AB107">TRIM(SUBSTITUTE(SUBSTITUTE(INDEX(CR:CR,MATCH("      item_no: "&amp;A107&amp;",",CR:CR,0)+18,1),"discount_prohibition:",""),",",""))</f>
        <v>0</v>
      </c>
      <c r="AC107" s="283"/>
      <c r="AD107" s="214" t="str">
        <f t="shared" si="27"/>
        <v>外税8%+0</v>
      </c>
      <c r="AE107" s="215"/>
      <c r="AF107" s="284" t="str" cm="1">
        <f t="array" ref="AF107">TRIM(SUBSTITUTE(SUBSTITUTE(INDEX(CR:CR,MATCH("      item_no: "&amp;A107&amp;",",CR:CR,0)+1,1),"item_cancel_line: ",""),",",""))</f>
        <v>false</v>
      </c>
      <c r="AG107" s="284"/>
      <c r="AH107" s="595"/>
      <c r="AI107" s="596"/>
      <c r="AJ107" s="285">
        <f t="shared" si="30"/>
        <v>-19.900000000000002</v>
      </c>
      <c r="AK107" s="286"/>
      <c r="AL107" s="335">
        <f t="shared" ca="1" si="31"/>
        <v>-19.909337365100882</v>
      </c>
      <c r="AM107" s="336"/>
      <c r="AN107" s="333">
        <f t="shared" ca="1" si="32"/>
        <v>-20</v>
      </c>
      <c r="AO107" s="334"/>
      <c r="AP107" s="329">
        <f t="shared" si="33"/>
        <v>398</v>
      </c>
      <c r="AQ107" s="330"/>
      <c r="AR107" s="331">
        <f t="shared" si="34"/>
        <v>39</v>
      </c>
      <c r="AS107" s="332"/>
      <c r="AT107" s="333">
        <f t="shared" ca="1" si="22"/>
        <v>-20</v>
      </c>
      <c r="AU107" s="334"/>
      <c r="AV107" s="271"/>
      <c r="AW107" s="272"/>
      <c r="AX107" s="271">
        <f t="shared" ca="1" si="28"/>
        <v>-20</v>
      </c>
      <c r="AY107" s="272"/>
      <c r="AZ107" s="273">
        <f t="shared" ref="AZ107:AZ129" ca="1" si="37">IF(U107="","",U107+AX107)</f>
        <v>378</v>
      </c>
      <c r="BA107" s="274"/>
      <c r="BB107" s="343">
        <f t="shared" ca="1" si="23"/>
        <v>408</v>
      </c>
      <c r="BC107" s="344"/>
      <c r="BD107" s="348">
        <f t="shared" si="35"/>
        <v>378</v>
      </c>
      <c r="BE107" s="343"/>
      <c r="BF107" s="343">
        <f t="shared" si="24"/>
        <v>-20</v>
      </c>
      <c r="BG107" s="344"/>
      <c r="BH107" s="345" t="str">
        <f t="shared" ca="1" si="36"/>
        <v/>
      </c>
      <c r="BI107" s="346"/>
      <c r="BJ107" s="564"/>
      <c r="BK107" s="565"/>
      <c r="BL107" s="568"/>
      <c r="BM107" s="570"/>
      <c r="CC107" s="138" t="s">
        <v>80</v>
      </c>
      <c r="CD107" s="337" t="str">
        <f t="shared" si="25"/>
        <v>外税8%</v>
      </c>
      <c r="CE107" s="337"/>
      <c r="CF107" s="338"/>
      <c r="CR107" s="103" t="s">
        <v>297</v>
      </c>
      <c r="CW107" s="103" t="s">
        <v>363</v>
      </c>
      <c r="CX107" s="102" t="s">
        <v>30</v>
      </c>
      <c r="CY107" s="103" t="s">
        <v>364</v>
      </c>
    </row>
    <row r="108" spans="1:103" ht="15" customHeight="1">
      <c r="A108" s="100">
        <f t="shared" si="26"/>
        <v>22</v>
      </c>
      <c r="B108" s="293" t="s">
        <v>200</v>
      </c>
      <c r="C108" s="293"/>
      <c r="D108" s="293"/>
      <c r="E108" s="293"/>
      <c r="F108" s="293" t="str" cm="1">
        <f t="array" ref="F108">TRIM(SUBSTITUTE(SUBSTITUTE(INDEX(CR:CR,MATCH("      item_no: "&amp;A108&amp;",",CR:CR,0)+9,1),"item_name: ",""),",",""))</f>
        <v>のり弁当（生姜と合わせだしの塩唐揚げ）</v>
      </c>
      <c r="G108" s="293"/>
      <c r="H108" s="293"/>
      <c r="I108" s="293"/>
      <c r="J108" s="293"/>
      <c r="K108" s="293"/>
      <c r="L108" s="325" t="str" cm="1">
        <f t="array" ref="L108">TRIM(SUBSTITUTE(SUBSTITUTE(INDEX(CR:CR,MATCH("      item_no: "&amp;A108&amp;",",CR:CR,0)+3,1),"item_scan_code: ",""),",",""))</f>
        <v>0237962604988030000302</v>
      </c>
      <c r="M108" s="325"/>
      <c r="N108" s="325"/>
      <c r="O108" s="325"/>
      <c r="P108" s="325"/>
      <c r="Q108" s="281" cm="1">
        <f t="array" ref="Q108">IF(AF108="true","",TRIM(SUBSTITUTE(SUBSTITUTE(INDEX(CR:CR,MATCH("      item_no: "&amp;A108&amp;",",CR:CR,0)+13,1),"item_price_fmt: ￥",""),",",""))+0)</f>
        <v>498</v>
      </c>
      <c r="R108" s="326"/>
      <c r="S108" s="327">
        <f t="shared" si="29"/>
        <v>-150</v>
      </c>
      <c r="T108" s="328"/>
      <c r="U108" s="277" cm="1">
        <f t="array" ref="U108">IF(AF108="true","",TRIM(SUBSTITUTE(SUBSTITUTE(INDEX(CR:CR,MATCH("      item_no: "&amp;A108&amp;",",CR:CR,0)+14,1),"item_price_discount_fmt: ￥",""),",",""))+0)</f>
        <v>348</v>
      </c>
      <c r="V108" s="278"/>
      <c r="W108" s="279">
        <f ca="1">INT(SUMIF($Y$10:$AA108,"外税8%",$U$10:$V108)*1.08)+INT(SUMIF($Y$10:$AA108,"外税10%",$U$10:$V108)*1.1)+SUMIF($Y$10:$AA108,"内税10%",$U$10:$V108)+SUMIF($Y$10:$AA108,"非課税",$U$10:$V108)</f>
        <v>48628</v>
      </c>
      <c r="X108" s="280"/>
      <c r="Y108" s="281" t="str" cm="1">
        <f t="array" ref="Y108">TRIM(SUBSTITUTE(SUBSTITUTE(INDEX(CR:CR,MATCH("      item_no: "&amp;A108&amp;",",CR:CR,0)+15,1),"item_tax_fmt: ",""),",",""))</f>
        <v>外税8%</v>
      </c>
      <c r="Z108" s="282"/>
      <c r="AA108" s="282"/>
      <c r="AB108" s="283" t="str" cm="1">
        <f t="array" ref="AB108">TRIM(SUBSTITUTE(SUBSTITUTE(INDEX(CR:CR,MATCH("      item_no: "&amp;A108&amp;",",CR:CR,0)+18,1),"discount_prohibition:",""),",",""))</f>
        <v>0</v>
      </c>
      <c r="AC108" s="283"/>
      <c r="AD108" s="214" t="str">
        <f t="shared" si="27"/>
        <v>外税8%+0</v>
      </c>
      <c r="AE108" s="215"/>
      <c r="AF108" s="284" t="str" cm="1">
        <f t="array" ref="AF108">TRIM(SUBSTITUTE(SUBSTITUTE(INDEX(CR:CR,MATCH("      item_no: "&amp;A108&amp;",",CR:CR,0)+1,1),"item_cancel_line: ",""),",",""))</f>
        <v>false</v>
      </c>
      <c r="AG108" s="284"/>
      <c r="AH108" s="595"/>
      <c r="AI108" s="596"/>
      <c r="AJ108" s="285">
        <f t="shared" si="30"/>
        <v>-17.400000000000002</v>
      </c>
      <c r="AK108" s="286"/>
      <c r="AL108" s="335">
        <f t="shared" ca="1" si="31"/>
        <v>-17.408164329284187</v>
      </c>
      <c r="AM108" s="336"/>
      <c r="AN108" s="333">
        <f t="shared" ca="1" si="32"/>
        <v>-18</v>
      </c>
      <c r="AO108" s="334"/>
      <c r="AP108" s="329">
        <f t="shared" si="33"/>
        <v>348</v>
      </c>
      <c r="AQ108" s="330"/>
      <c r="AR108" s="331">
        <f t="shared" si="34"/>
        <v>45</v>
      </c>
      <c r="AS108" s="332"/>
      <c r="AT108" s="333">
        <f t="shared" ca="1" si="22"/>
        <v>-18</v>
      </c>
      <c r="AU108" s="334"/>
      <c r="AV108" s="271"/>
      <c r="AW108" s="272"/>
      <c r="AX108" s="271">
        <f t="shared" ca="1" si="28"/>
        <v>-18</v>
      </c>
      <c r="AY108" s="272"/>
      <c r="AZ108" s="273">
        <f t="shared" ca="1" si="37"/>
        <v>330</v>
      </c>
      <c r="BA108" s="274"/>
      <c r="BB108" s="343">
        <f t="shared" ca="1" si="23"/>
        <v>356</v>
      </c>
      <c r="BC108" s="344"/>
      <c r="BD108" s="348">
        <f t="shared" si="35"/>
        <v>330</v>
      </c>
      <c r="BE108" s="343"/>
      <c r="BF108" s="343">
        <f t="shared" si="24"/>
        <v>-18</v>
      </c>
      <c r="BG108" s="344"/>
      <c r="BH108" s="345" t="str">
        <f t="shared" ca="1" si="36"/>
        <v/>
      </c>
      <c r="BI108" s="346"/>
      <c r="BJ108" s="564"/>
      <c r="BK108" s="565"/>
      <c r="BL108" s="568"/>
      <c r="BM108" s="570"/>
      <c r="CC108" s="138" t="s">
        <v>80</v>
      </c>
      <c r="CD108" s="337" t="str">
        <f t="shared" si="25"/>
        <v>外税8%</v>
      </c>
      <c r="CE108" s="337"/>
      <c r="CF108" s="338"/>
      <c r="CR108" s="103" t="s">
        <v>300</v>
      </c>
      <c r="CW108" s="103" t="s">
        <v>365</v>
      </c>
      <c r="CX108" s="102" t="s">
        <v>30</v>
      </c>
      <c r="CY108" s="103" t="s">
        <v>366</v>
      </c>
    </row>
    <row r="109" spans="1:103" ht="15" customHeight="1">
      <c r="A109" s="100">
        <f t="shared" si="26"/>
        <v>21</v>
      </c>
      <c r="B109" s="293" t="s">
        <v>200</v>
      </c>
      <c r="C109" s="293"/>
      <c r="D109" s="293"/>
      <c r="E109" s="293"/>
      <c r="F109" s="293" t="str" cm="1">
        <f t="array" ref="F109">TRIM(SUBSTITUTE(SUBSTITUTE(INDEX(CR:CR,MATCH("      item_no: "&amp;A109&amp;",",CR:CR,0)+9,1),"item_name: ",""),",",""))</f>
        <v>のり弁当（生姜と合わせだしの塩唐揚げ）</v>
      </c>
      <c r="G109" s="293"/>
      <c r="H109" s="293"/>
      <c r="I109" s="293"/>
      <c r="J109" s="293"/>
      <c r="K109" s="293"/>
      <c r="L109" s="325" t="str" cm="1">
        <f t="array" ref="L109">TRIM(SUBSTITUTE(SUBSTITUTE(INDEX(CR:CR,MATCH("      item_no: "&amp;A109&amp;",",CR:CR,0)+3,1),"item_scan_code: ",""),",",""))</f>
        <v>0237962604988030000500</v>
      </c>
      <c r="M109" s="325"/>
      <c r="N109" s="325"/>
      <c r="O109" s="325"/>
      <c r="P109" s="325"/>
      <c r="Q109" s="281" cm="1">
        <f t="array" ref="Q109">IF(AF109="true","",TRIM(SUBSTITUTE(SUBSTITUTE(INDEX(CR:CR,MATCH("      item_no: "&amp;A109&amp;",",CR:CR,0)+13,1),"item_price_fmt: ￥",""),",",""))+0)</f>
        <v>498</v>
      </c>
      <c r="R109" s="326"/>
      <c r="S109" s="327">
        <f t="shared" si="29"/>
        <v>-249</v>
      </c>
      <c r="T109" s="328"/>
      <c r="U109" s="277" cm="1">
        <f t="array" ref="U109">IF(AF109="true","",TRIM(SUBSTITUTE(SUBSTITUTE(INDEX(CR:CR,MATCH("      item_no: "&amp;A109&amp;",",CR:CR,0)+14,1),"item_price_discount_fmt: ￥",""),",",""))+0)</f>
        <v>249</v>
      </c>
      <c r="V109" s="278"/>
      <c r="W109" s="279">
        <f ca="1">INT(SUMIF($Y$10:$AA109,"外税8%",$U$10:$V109)*1.08)+INT(SUMIF($Y$10:$AA109,"外税10%",$U$10:$V109)*1.1)+SUMIF($Y$10:$AA109,"内税10%",$U$10:$V109)+SUMIF($Y$10:$AA109,"非課税",$U$10:$V109)</f>
        <v>48897</v>
      </c>
      <c r="X109" s="280"/>
      <c r="Y109" s="281" t="str" cm="1">
        <f t="array" ref="Y109">TRIM(SUBSTITUTE(SUBSTITUTE(INDEX(CR:CR,MATCH("      item_no: "&amp;A109&amp;",",CR:CR,0)+15,1),"item_tax_fmt: ",""),",",""))</f>
        <v>外税8%</v>
      </c>
      <c r="Z109" s="282"/>
      <c r="AA109" s="282"/>
      <c r="AB109" s="283" t="str" cm="1">
        <f t="array" ref="AB109">TRIM(SUBSTITUTE(SUBSTITUTE(INDEX(CR:CR,MATCH("      item_no: "&amp;A109&amp;",",CR:CR,0)+18,1),"discount_prohibition:",""),",",""))</f>
        <v>0</v>
      </c>
      <c r="AC109" s="283"/>
      <c r="AD109" s="214" t="str">
        <f t="shared" si="27"/>
        <v>外税8%+0</v>
      </c>
      <c r="AE109" s="215"/>
      <c r="AF109" s="284" t="str" cm="1">
        <f t="array" ref="AF109">TRIM(SUBSTITUTE(SUBSTITUTE(INDEX(CR:CR,MATCH("      item_no: "&amp;A109&amp;",",CR:CR,0)+1,1),"item_cancel_line: ",""),",",""))</f>
        <v>false</v>
      </c>
      <c r="AG109" s="284"/>
      <c r="AH109" s="595"/>
      <c r="AI109" s="596"/>
      <c r="AJ109" s="285">
        <f t="shared" si="30"/>
        <v>-12.450000000000001</v>
      </c>
      <c r="AK109" s="286"/>
      <c r="AL109" s="335">
        <f t="shared" ca="1" si="31"/>
        <v>-12.455841718367134</v>
      </c>
      <c r="AM109" s="336"/>
      <c r="AN109" s="333">
        <f t="shared" ca="1" si="32"/>
        <v>-13</v>
      </c>
      <c r="AO109" s="334"/>
      <c r="AP109" s="329">
        <f t="shared" si="33"/>
        <v>249</v>
      </c>
      <c r="AQ109" s="330"/>
      <c r="AR109" s="331">
        <f t="shared" si="34"/>
        <v>53</v>
      </c>
      <c r="AS109" s="332"/>
      <c r="AT109" s="333">
        <f t="shared" ca="1" si="22"/>
        <v>-13</v>
      </c>
      <c r="AU109" s="334"/>
      <c r="AV109" s="271"/>
      <c r="AW109" s="272"/>
      <c r="AX109" s="271">
        <f t="shared" ca="1" si="28"/>
        <v>-13</v>
      </c>
      <c r="AY109" s="272"/>
      <c r="AZ109" s="273">
        <f t="shared" ca="1" si="37"/>
        <v>236</v>
      </c>
      <c r="BA109" s="274"/>
      <c r="BB109" s="343">
        <f t="shared" ca="1" si="23"/>
        <v>254</v>
      </c>
      <c r="BC109" s="344"/>
      <c r="BD109" s="348">
        <f t="shared" si="35"/>
        <v>236</v>
      </c>
      <c r="BE109" s="343"/>
      <c r="BF109" s="343">
        <f t="shared" si="24"/>
        <v>-13</v>
      </c>
      <c r="BG109" s="344"/>
      <c r="BH109" s="345" t="str">
        <f t="shared" ca="1" si="36"/>
        <v/>
      </c>
      <c r="BI109" s="346"/>
      <c r="BJ109" s="564"/>
      <c r="BK109" s="565"/>
      <c r="BL109" s="568"/>
      <c r="BM109" s="570"/>
      <c r="CC109" s="138" t="s">
        <v>80</v>
      </c>
      <c r="CD109" s="337" t="str">
        <f t="shared" si="25"/>
        <v>外税8%</v>
      </c>
      <c r="CE109" s="337"/>
      <c r="CF109" s="338"/>
      <c r="CR109" s="103" t="s">
        <v>367</v>
      </c>
      <c r="CW109" s="103" t="s">
        <v>368</v>
      </c>
      <c r="CX109" s="102" t="s">
        <v>30</v>
      </c>
      <c r="CY109" s="103" t="s">
        <v>369</v>
      </c>
    </row>
    <row r="110" spans="1:103" ht="15" customHeight="1">
      <c r="A110" s="100">
        <f t="shared" si="26"/>
        <v>20</v>
      </c>
      <c r="B110" s="388" t="s">
        <v>219</v>
      </c>
      <c r="C110" s="388"/>
      <c r="D110" s="388"/>
      <c r="E110" s="388"/>
      <c r="F110" s="388" t="str" cm="1">
        <f t="array" ref="F110">TRIM(SUBSTITUTE(SUBSTITUTE(INDEX(CR:CR,MATCH("      item_no: "&amp;A110&amp;",",CR:CR,0)+9,1),"item_name: ",""),",",""))</f>
        <v>アサヒ　スーパードライ　３５０ｍｌ</v>
      </c>
      <c r="G110" s="388"/>
      <c r="H110" s="388"/>
      <c r="I110" s="388"/>
      <c r="J110" s="388"/>
      <c r="K110" s="388"/>
      <c r="L110" s="389" t="str" cm="1">
        <f t="array" ref="L110">TRIM(SUBSTITUTE(SUBSTITUTE(INDEX(CR:CR,MATCH("      item_no: "&amp;A110&amp;",",CR:CR,0)+3,1),"item_scan_code: ",""),",",""))</f>
        <v>4901004006714030000205</v>
      </c>
      <c r="M110" s="389"/>
      <c r="N110" s="389"/>
      <c r="O110" s="389"/>
      <c r="P110" s="389"/>
      <c r="Q110" s="382" cm="1">
        <f t="array" ref="Q110">IF(AF110="true","",TRIM(SUBSTITUTE(SUBSTITUTE(INDEX(CR:CR,MATCH("      item_no: "&amp;A110&amp;",",CR:CR,0)+13,1),"item_price_fmt: ￥",""),",",""))+0)</f>
        <v>179</v>
      </c>
      <c r="R110" s="390"/>
      <c r="S110" s="391">
        <f t="shared" si="29"/>
        <v>-36</v>
      </c>
      <c r="T110" s="392"/>
      <c r="U110" s="376" cm="1">
        <f t="array" ref="U110">IF(AF110="true","",TRIM(SUBSTITUTE(SUBSTITUTE(INDEX(CR:CR,MATCH("      item_no: "&amp;A110&amp;",",CR:CR,0)+14,1),"item_price_discount_fmt: ￥",""),",",""))+0)</f>
        <v>143</v>
      </c>
      <c r="V110" s="377"/>
      <c r="W110" s="279">
        <f ca="1">INT(SUMIF($Y$10:$AA110,"外税8%",$U$10:$V110)*1.08)+INT(SUMIF($Y$10:$AA110,"外税10%",$U$10:$V110)*1.1)+SUMIF($Y$10:$AA110,"内税10%",$U$10:$V110)+SUMIF($Y$10:$AA110,"非課税",$U$10:$V110)</f>
        <v>49054</v>
      </c>
      <c r="X110" s="280"/>
      <c r="Y110" s="382" t="str" cm="1">
        <f t="array" ref="Y110">TRIM(SUBSTITUTE(SUBSTITUTE(INDEX(CR:CR,MATCH("      item_no: "&amp;A110&amp;",",CR:CR,0)+15,1),"item_tax_fmt: ",""),",",""))</f>
        <v>外税10%</v>
      </c>
      <c r="Z110" s="383"/>
      <c r="AA110" s="383"/>
      <c r="AB110" s="384" t="str" cm="1">
        <f t="array" ref="AB110">TRIM(SUBSTITUTE(SUBSTITUTE(INDEX(CR:CR,MATCH("      item_no: "&amp;A110&amp;",",CR:CR,0)+18,1),"discount_prohibition:",""),",",""))</f>
        <v>1</v>
      </c>
      <c r="AC110" s="384"/>
      <c r="AD110" s="394" t="str">
        <f t="shared" si="27"/>
        <v>外税10%+1</v>
      </c>
      <c r="AE110" s="395"/>
      <c r="AF110" s="385" t="str" cm="1">
        <f t="array" ref="AF110">TRIM(SUBSTITUTE(SUBSTITUTE(INDEX(CR:CR,MATCH("      item_no: "&amp;A110&amp;",",CR:CR,0)+1,1),"item_cancel_line: ",""),",",""))</f>
        <v>false</v>
      </c>
      <c r="AG110" s="385"/>
      <c r="AH110" s="595"/>
      <c r="AI110" s="596"/>
      <c r="AJ110" s="386">
        <f t="shared" si="30"/>
        <v>0</v>
      </c>
      <c r="AK110" s="387"/>
      <c r="AL110" s="335">
        <f t="shared" si="31"/>
        <v>0</v>
      </c>
      <c r="AM110" s="336"/>
      <c r="AN110" s="333">
        <f t="shared" si="32"/>
        <v>0</v>
      </c>
      <c r="AO110" s="334"/>
      <c r="AP110" s="376">
        <f t="shared" si="33"/>
        <v>0</v>
      </c>
      <c r="AQ110" s="377"/>
      <c r="AR110" s="378">
        <f t="shared" si="34"/>
        <v>84</v>
      </c>
      <c r="AS110" s="379"/>
      <c r="AT110" s="333">
        <f t="shared" si="22"/>
        <v>0</v>
      </c>
      <c r="AU110" s="334"/>
      <c r="AV110" s="271"/>
      <c r="AW110" s="272"/>
      <c r="AX110" s="271">
        <f t="shared" si="28"/>
        <v>0</v>
      </c>
      <c r="AY110" s="272"/>
      <c r="AZ110" s="380">
        <f t="shared" si="37"/>
        <v>143</v>
      </c>
      <c r="BA110" s="381"/>
      <c r="BB110" s="372">
        <f t="shared" si="23"/>
        <v>157</v>
      </c>
      <c r="BC110" s="373"/>
      <c r="BD110" s="393">
        <f t="shared" si="35"/>
        <v>143</v>
      </c>
      <c r="BE110" s="372"/>
      <c r="BF110" s="372">
        <f t="shared" si="24"/>
        <v>0</v>
      </c>
      <c r="BG110" s="373"/>
      <c r="BH110" s="374" t="str">
        <f t="shared" si="36"/>
        <v/>
      </c>
      <c r="BI110" s="375"/>
      <c r="BJ110" s="564"/>
      <c r="BK110" s="565"/>
      <c r="BL110" s="568"/>
      <c r="BM110" s="570"/>
      <c r="CC110" s="138" t="s">
        <v>80</v>
      </c>
      <c r="CD110" s="337" t="str">
        <f t="shared" si="25"/>
        <v>外税10%</v>
      </c>
      <c r="CE110" s="337"/>
      <c r="CF110" s="338"/>
      <c r="CR110" s="103" t="s">
        <v>370</v>
      </c>
      <c r="CW110" s="103" t="s">
        <v>371</v>
      </c>
      <c r="CX110" s="102" t="s">
        <v>30</v>
      </c>
      <c r="CY110" s="103" t="s">
        <v>372</v>
      </c>
    </row>
    <row r="111" spans="1:103" ht="15" customHeight="1">
      <c r="A111" s="100">
        <f t="shared" si="26"/>
        <v>19</v>
      </c>
      <c r="B111" s="388" t="s">
        <v>219</v>
      </c>
      <c r="C111" s="388"/>
      <c r="D111" s="388"/>
      <c r="E111" s="388"/>
      <c r="F111" s="388" t="str" cm="1">
        <f t="array" ref="F111">TRIM(SUBSTITUTE(SUBSTITUTE(INDEX(CR:CR,MATCH("      item_no: "&amp;A111&amp;",",CR:CR,0)+9,1),"item_name: ",""),",",""))</f>
        <v>アサヒ　スーパードライ　３５０ｍｌ</v>
      </c>
      <c r="G111" s="388"/>
      <c r="H111" s="388"/>
      <c r="I111" s="388"/>
      <c r="J111" s="388"/>
      <c r="K111" s="388"/>
      <c r="L111" s="389" t="str" cm="1">
        <f t="array" ref="L111">TRIM(SUBSTITUTE(SUBSTITUTE(INDEX(CR:CR,MATCH("      item_no: "&amp;A111&amp;",",CR:CR,0)+3,1),"item_scan_code: ",""),",",""))</f>
        <v>4901004006714030000304</v>
      </c>
      <c r="M111" s="389"/>
      <c r="N111" s="389"/>
      <c r="O111" s="389"/>
      <c r="P111" s="389"/>
      <c r="Q111" s="382" cm="1">
        <f t="array" ref="Q111">IF(AF111="true","",TRIM(SUBSTITUTE(SUBSTITUTE(INDEX(CR:CR,MATCH("      item_no: "&amp;A111&amp;",",CR:CR,0)+13,1),"item_price_fmt: ￥",""),",",""))+0)</f>
        <v>179</v>
      </c>
      <c r="R111" s="390"/>
      <c r="S111" s="391">
        <f t="shared" si="29"/>
        <v>-54</v>
      </c>
      <c r="T111" s="392"/>
      <c r="U111" s="376" cm="1">
        <f t="array" ref="U111">IF(AF111="true","",TRIM(SUBSTITUTE(SUBSTITUTE(INDEX(CR:CR,MATCH("      item_no: "&amp;A111&amp;",",CR:CR,0)+14,1),"item_price_discount_fmt: ￥",""),",",""))+0)</f>
        <v>125</v>
      </c>
      <c r="V111" s="377"/>
      <c r="W111" s="279">
        <f ca="1">INT(SUMIF($Y$10:$AA111,"外税8%",$U$10:$V111)*1.08)+INT(SUMIF($Y$10:$AA111,"外税10%",$U$10:$V111)*1.1)+SUMIF($Y$10:$AA111,"内税10%",$U$10:$V111)+SUMIF($Y$10:$AA111,"非課税",$U$10:$V111)</f>
        <v>49191</v>
      </c>
      <c r="X111" s="280"/>
      <c r="Y111" s="382" t="str" cm="1">
        <f t="array" ref="Y111">TRIM(SUBSTITUTE(SUBSTITUTE(INDEX(CR:CR,MATCH("      item_no: "&amp;A111&amp;",",CR:CR,0)+15,1),"item_tax_fmt: ",""),",",""))</f>
        <v>外税10%</v>
      </c>
      <c r="Z111" s="383"/>
      <c r="AA111" s="383"/>
      <c r="AB111" s="384" t="str" cm="1">
        <f t="array" ref="AB111">TRIM(SUBSTITUTE(SUBSTITUTE(INDEX(CR:CR,MATCH("      item_no: "&amp;A111&amp;",",CR:CR,0)+18,1),"discount_prohibition:",""),",",""))</f>
        <v>1</v>
      </c>
      <c r="AC111" s="384"/>
      <c r="AD111" s="394" t="str">
        <f t="shared" si="27"/>
        <v>外税10%+1</v>
      </c>
      <c r="AE111" s="395"/>
      <c r="AF111" s="385" t="str" cm="1">
        <f t="array" ref="AF111">TRIM(SUBSTITUTE(SUBSTITUTE(INDEX(CR:CR,MATCH("      item_no: "&amp;A111&amp;",",CR:CR,0)+1,1),"item_cancel_line: ",""),",",""))</f>
        <v>false</v>
      </c>
      <c r="AG111" s="385"/>
      <c r="AH111" s="595"/>
      <c r="AI111" s="596"/>
      <c r="AJ111" s="386">
        <f t="shared" si="30"/>
        <v>0</v>
      </c>
      <c r="AK111" s="387"/>
      <c r="AL111" s="335">
        <f t="shared" si="31"/>
        <v>0</v>
      </c>
      <c r="AM111" s="336"/>
      <c r="AN111" s="333">
        <f t="shared" si="32"/>
        <v>0</v>
      </c>
      <c r="AO111" s="334"/>
      <c r="AP111" s="376">
        <f t="shared" si="33"/>
        <v>0</v>
      </c>
      <c r="AQ111" s="377"/>
      <c r="AR111" s="378">
        <f t="shared" si="34"/>
        <v>84</v>
      </c>
      <c r="AS111" s="379"/>
      <c r="AT111" s="333">
        <f t="shared" si="22"/>
        <v>0</v>
      </c>
      <c r="AU111" s="334"/>
      <c r="AV111" s="271"/>
      <c r="AW111" s="272"/>
      <c r="AX111" s="271">
        <f t="shared" si="28"/>
        <v>0</v>
      </c>
      <c r="AY111" s="272"/>
      <c r="AZ111" s="380">
        <f t="shared" si="37"/>
        <v>125</v>
      </c>
      <c r="BA111" s="381"/>
      <c r="BB111" s="372">
        <f t="shared" si="23"/>
        <v>137</v>
      </c>
      <c r="BC111" s="373"/>
      <c r="BD111" s="393">
        <f t="shared" si="35"/>
        <v>125</v>
      </c>
      <c r="BE111" s="372"/>
      <c r="BF111" s="372">
        <f t="shared" si="24"/>
        <v>0</v>
      </c>
      <c r="BG111" s="373"/>
      <c r="BH111" s="374" t="str">
        <f t="shared" si="36"/>
        <v/>
      </c>
      <c r="BI111" s="375"/>
      <c r="BJ111" s="564"/>
      <c r="BK111" s="565"/>
      <c r="BL111" s="568"/>
      <c r="BM111" s="570"/>
      <c r="CC111" s="138" t="s">
        <v>80</v>
      </c>
      <c r="CD111" s="337" t="str">
        <f t="shared" si="25"/>
        <v>外税10%</v>
      </c>
      <c r="CE111" s="337"/>
      <c r="CF111" s="338"/>
      <c r="CR111" s="103" t="s">
        <v>309</v>
      </c>
      <c r="CW111" s="103" t="s">
        <v>373</v>
      </c>
      <c r="CX111" s="102" t="s">
        <v>30</v>
      </c>
      <c r="CY111" s="103" t="s">
        <v>374</v>
      </c>
    </row>
    <row r="112" spans="1:103" ht="15" customHeight="1">
      <c r="A112" s="100">
        <f t="shared" si="26"/>
        <v>18</v>
      </c>
      <c r="B112" s="388" t="s">
        <v>219</v>
      </c>
      <c r="C112" s="388"/>
      <c r="D112" s="388"/>
      <c r="E112" s="388"/>
      <c r="F112" s="388" t="str" cm="1">
        <f t="array" ref="F112">TRIM(SUBSTITUTE(SUBSTITUTE(INDEX(CR:CR,MATCH("      item_no: "&amp;A112&amp;",",CR:CR,0)+9,1),"item_name: ",""),",",""))</f>
        <v>アサヒ　スーパードライ　３５０ｍｌ</v>
      </c>
      <c r="G112" s="388"/>
      <c r="H112" s="388"/>
      <c r="I112" s="388"/>
      <c r="J112" s="388"/>
      <c r="K112" s="388"/>
      <c r="L112" s="389" t="str" cm="1">
        <f t="array" ref="L112">TRIM(SUBSTITUTE(SUBSTITUTE(INDEX(CR:CR,MATCH("      item_no: "&amp;A112&amp;",",CR:CR,0)+3,1),"item_scan_code: ",""),",",""))</f>
        <v>4901004006714030000502</v>
      </c>
      <c r="M112" s="389"/>
      <c r="N112" s="389"/>
      <c r="O112" s="389"/>
      <c r="P112" s="389"/>
      <c r="Q112" s="382" cm="1">
        <f t="array" ref="Q112">IF(AF112="true","",TRIM(SUBSTITUTE(SUBSTITUTE(INDEX(CR:CR,MATCH("      item_no: "&amp;A112&amp;",",CR:CR,0)+13,1),"item_price_fmt: ￥",""),",",""))+0)</f>
        <v>179</v>
      </c>
      <c r="R112" s="390"/>
      <c r="S112" s="391">
        <f t="shared" si="29"/>
        <v>-90</v>
      </c>
      <c r="T112" s="392"/>
      <c r="U112" s="376" cm="1">
        <f t="array" ref="U112">IF(AF112="true","",TRIM(SUBSTITUTE(SUBSTITUTE(INDEX(CR:CR,MATCH("      item_no: "&amp;A112&amp;",",CR:CR,0)+14,1),"item_price_discount_fmt: ￥",""),",",""))+0)</f>
        <v>89</v>
      </c>
      <c r="V112" s="377"/>
      <c r="W112" s="279">
        <f ca="1">INT(SUMIF($Y$10:$AA112,"外税8%",$U$10:$V112)*1.08)+INT(SUMIF($Y$10:$AA112,"外税10%",$U$10:$V112)*1.1)+SUMIF($Y$10:$AA112,"内税10%",$U$10:$V112)+SUMIF($Y$10:$AA112,"非課税",$U$10:$V112)</f>
        <v>49289</v>
      </c>
      <c r="X112" s="280"/>
      <c r="Y112" s="382" t="str" cm="1">
        <f t="array" ref="Y112">TRIM(SUBSTITUTE(SUBSTITUTE(INDEX(CR:CR,MATCH("      item_no: "&amp;A112&amp;",",CR:CR,0)+15,1),"item_tax_fmt: ",""),",",""))</f>
        <v>外税10%</v>
      </c>
      <c r="Z112" s="383"/>
      <c r="AA112" s="383"/>
      <c r="AB112" s="384" t="str" cm="1">
        <f t="array" ref="AB112">TRIM(SUBSTITUTE(SUBSTITUTE(INDEX(CR:CR,MATCH("      item_no: "&amp;A112&amp;",",CR:CR,0)+18,1),"discount_prohibition:",""),",",""))</f>
        <v>1</v>
      </c>
      <c r="AC112" s="384"/>
      <c r="AD112" s="394" t="str">
        <f t="shared" si="27"/>
        <v>外税10%+1</v>
      </c>
      <c r="AE112" s="395"/>
      <c r="AF112" s="385" t="str" cm="1">
        <f t="array" ref="AF112">TRIM(SUBSTITUTE(SUBSTITUTE(INDEX(CR:CR,MATCH("      item_no: "&amp;A112&amp;",",CR:CR,0)+1,1),"item_cancel_line: ",""),",",""))</f>
        <v>false</v>
      </c>
      <c r="AG112" s="385"/>
      <c r="AH112" s="595"/>
      <c r="AI112" s="596"/>
      <c r="AJ112" s="386">
        <f t="shared" si="30"/>
        <v>0</v>
      </c>
      <c r="AK112" s="387"/>
      <c r="AL112" s="335">
        <f t="shared" si="31"/>
        <v>0</v>
      </c>
      <c r="AM112" s="336"/>
      <c r="AN112" s="333">
        <f t="shared" si="32"/>
        <v>0</v>
      </c>
      <c r="AO112" s="334"/>
      <c r="AP112" s="376">
        <f t="shared" si="33"/>
        <v>0</v>
      </c>
      <c r="AQ112" s="377"/>
      <c r="AR112" s="378">
        <f t="shared" si="34"/>
        <v>84</v>
      </c>
      <c r="AS112" s="379"/>
      <c r="AT112" s="333">
        <f t="shared" si="22"/>
        <v>0</v>
      </c>
      <c r="AU112" s="334"/>
      <c r="AV112" s="271"/>
      <c r="AW112" s="272"/>
      <c r="AX112" s="271">
        <f t="shared" si="28"/>
        <v>0</v>
      </c>
      <c r="AY112" s="272"/>
      <c r="AZ112" s="380">
        <f t="shared" si="37"/>
        <v>89</v>
      </c>
      <c r="BA112" s="381"/>
      <c r="BB112" s="372">
        <f t="shared" si="23"/>
        <v>97</v>
      </c>
      <c r="BC112" s="373"/>
      <c r="BD112" s="393">
        <f t="shared" si="35"/>
        <v>89</v>
      </c>
      <c r="BE112" s="372"/>
      <c r="BF112" s="372">
        <f t="shared" si="24"/>
        <v>0</v>
      </c>
      <c r="BG112" s="373"/>
      <c r="BH112" s="374" t="str">
        <f t="shared" si="36"/>
        <v/>
      </c>
      <c r="BI112" s="375"/>
      <c r="BJ112" s="564"/>
      <c r="BK112" s="565"/>
      <c r="BL112" s="568"/>
      <c r="BM112" s="570"/>
      <c r="CC112" s="138" t="s">
        <v>80</v>
      </c>
      <c r="CD112" s="337" t="str">
        <f t="shared" si="25"/>
        <v>外税10%</v>
      </c>
      <c r="CE112" s="337"/>
      <c r="CF112" s="338"/>
      <c r="CR112" s="103" t="s">
        <v>312</v>
      </c>
      <c r="CW112" s="103" t="s">
        <v>375</v>
      </c>
      <c r="CX112" s="102" t="s">
        <v>30</v>
      </c>
      <c r="CY112" s="103" t="s">
        <v>376</v>
      </c>
    </row>
    <row r="113" spans="1:103" ht="15" customHeight="1">
      <c r="A113" s="100">
        <f t="shared" si="26"/>
        <v>17</v>
      </c>
      <c r="B113" s="293" t="s">
        <v>171</v>
      </c>
      <c r="C113" s="293"/>
      <c r="D113" s="293"/>
      <c r="E113" s="293"/>
      <c r="F113" s="293" t="str" cm="1">
        <f t="array" ref="F113">TRIM(SUBSTITUTE(SUBSTITUTE(INDEX(CR:CR,MATCH("      item_no: "&amp;A113&amp;",",CR:CR,0)+9,1),"item_name: ",""),",",""))</f>
        <v>ブルーベリー</v>
      </c>
      <c r="G113" s="293"/>
      <c r="H113" s="293"/>
      <c r="I113" s="293"/>
      <c r="J113" s="293"/>
      <c r="K113" s="293"/>
      <c r="L113" s="325" t="str" cm="1">
        <f t="array" ref="L113">TRIM(SUBSTITUTE(SUBSTITUTE(INDEX(CR:CR,MATCH("      item_no: "&amp;A113&amp;",",CR:CR,0)+3,1),"item_scan_code: ",""),",",""))</f>
        <v>0714300114618230000104</v>
      </c>
      <c r="M113" s="325"/>
      <c r="N113" s="325"/>
      <c r="O113" s="325"/>
      <c r="P113" s="325"/>
      <c r="Q113" s="281" cm="1">
        <f t="array" ref="Q113">IF(AF113="true","",TRIM(SUBSTITUTE(SUBSTITUTE(INDEX(CR:CR,MATCH("      item_no: "&amp;A113&amp;",",CR:CR,0)+13,1),"item_price_fmt: ￥",""),",",""))+0)</f>
        <v>398</v>
      </c>
      <c r="R113" s="326"/>
      <c r="S113" s="327">
        <f t="shared" si="29"/>
        <v>-40</v>
      </c>
      <c r="T113" s="328"/>
      <c r="U113" s="277" cm="1">
        <f t="array" ref="U113">IF(AF113="true","",TRIM(SUBSTITUTE(SUBSTITUTE(INDEX(CR:CR,MATCH("      item_no: "&amp;A113&amp;",",CR:CR,0)+14,1),"item_price_discount_fmt: ￥",""),",",""))+0)</f>
        <v>358</v>
      </c>
      <c r="V113" s="278"/>
      <c r="W113" s="279">
        <f ca="1">INT(SUMIF($Y$10:$AA113,"外税8%",$U$10:$V113)*1.08)+INT(SUMIF($Y$10:$AA113,"外税10%",$U$10:$V113)*1.1)+SUMIF($Y$10:$AA113,"内税10%",$U$10:$V113)+SUMIF($Y$10:$AA113,"非課税",$U$10:$V113)</f>
        <v>49676</v>
      </c>
      <c r="X113" s="280"/>
      <c r="Y113" s="281" t="str" cm="1">
        <f t="array" ref="Y113">TRIM(SUBSTITUTE(SUBSTITUTE(INDEX(CR:CR,MATCH("      item_no: "&amp;A113&amp;",",CR:CR,0)+15,1),"item_tax_fmt: ",""),",",""))</f>
        <v>外税8%</v>
      </c>
      <c r="Z113" s="282"/>
      <c r="AA113" s="282"/>
      <c r="AB113" s="283" t="str" cm="1">
        <f t="array" ref="AB113">TRIM(SUBSTITUTE(SUBSTITUTE(INDEX(CR:CR,MATCH("      item_no: "&amp;A113&amp;",",CR:CR,0)+18,1),"discount_prohibition:",""),",",""))</f>
        <v>0</v>
      </c>
      <c r="AC113" s="283"/>
      <c r="AD113" s="214" t="str">
        <f t="shared" si="27"/>
        <v>外税8%+0</v>
      </c>
      <c r="AE113" s="215"/>
      <c r="AF113" s="284" t="str" cm="1">
        <f t="array" ref="AF113">TRIM(SUBSTITUTE(SUBSTITUTE(INDEX(CR:CR,MATCH("      item_no: "&amp;A113&amp;",",CR:CR,0)+1,1),"item_cancel_line: ",""),",",""))</f>
        <v>false</v>
      </c>
      <c r="AG113" s="284"/>
      <c r="AH113" s="595"/>
      <c r="AI113" s="596"/>
      <c r="AJ113" s="285">
        <f t="shared" si="30"/>
        <v>-17.900000000000002</v>
      </c>
      <c r="AK113" s="286"/>
      <c r="AL113" s="335">
        <f t="shared" ca="1" si="31"/>
        <v>-17.908398936447526</v>
      </c>
      <c r="AM113" s="336"/>
      <c r="AN113" s="333">
        <f t="shared" ca="1" si="32"/>
        <v>-18</v>
      </c>
      <c r="AO113" s="334"/>
      <c r="AP113" s="329">
        <f t="shared" si="33"/>
        <v>358</v>
      </c>
      <c r="AQ113" s="330"/>
      <c r="AR113" s="331">
        <f t="shared" si="34"/>
        <v>42</v>
      </c>
      <c r="AS113" s="332"/>
      <c r="AT113" s="333">
        <f t="shared" ca="1" si="22"/>
        <v>-18</v>
      </c>
      <c r="AU113" s="334"/>
      <c r="AV113" s="271"/>
      <c r="AW113" s="272"/>
      <c r="AX113" s="271">
        <f t="shared" ca="1" si="28"/>
        <v>-18</v>
      </c>
      <c r="AY113" s="272"/>
      <c r="AZ113" s="273">
        <f t="shared" ca="1" si="37"/>
        <v>340</v>
      </c>
      <c r="BA113" s="274"/>
      <c r="BB113" s="343">
        <f t="shared" ca="1" si="23"/>
        <v>367</v>
      </c>
      <c r="BC113" s="344"/>
      <c r="BD113" s="348">
        <f t="shared" si="35"/>
        <v>340</v>
      </c>
      <c r="BE113" s="343"/>
      <c r="BF113" s="343">
        <f t="shared" si="24"/>
        <v>-18</v>
      </c>
      <c r="BG113" s="344"/>
      <c r="BH113" s="345" t="str">
        <f t="shared" ca="1" si="36"/>
        <v/>
      </c>
      <c r="BI113" s="346"/>
      <c r="BJ113" s="564"/>
      <c r="BK113" s="565"/>
      <c r="BL113" s="568"/>
      <c r="BM113" s="570"/>
      <c r="CC113" s="138" t="s">
        <v>80</v>
      </c>
      <c r="CD113" s="337" t="str">
        <f t="shared" si="25"/>
        <v>外税8%</v>
      </c>
      <c r="CE113" s="337"/>
      <c r="CF113" s="338"/>
      <c r="CR113" s="103" t="s">
        <v>315</v>
      </c>
      <c r="CW113" s="103" t="s">
        <v>377</v>
      </c>
      <c r="CX113" s="102" t="s">
        <v>30</v>
      </c>
      <c r="CY113" s="103" t="s">
        <v>378</v>
      </c>
    </row>
    <row r="114" spans="1:103" ht="15" customHeight="1">
      <c r="A114" s="100">
        <f t="shared" si="26"/>
        <v>16</v>
      </c>
      <c r="B114" s="293" t="s">
        <v>171</v>
      </c>
      <c r="C114" s="293"/>
      <c r="D114" s="293"/>
      <c r="E114" s="293"/>
      <c r="F114" s="293" t="str" cm="1">
        <f t="array" ref="F114">TRIM(SUBSTITUTE(SUBSTITUTE(INDEX(CR:CR,MATCH("      item_no: "&amp;A114&amp;",",CR:CR,0)+9,1),"item_name: ",""),",",""))</f>
        <v>ブルーベリー</v>
      </c>
      <c r="G114" s="293"/>
      <c r="H114" s="293"/>
      <c r="I114" s="293"/>
      <c r="J114" s="293"/>
      <c r="K114" s="293"/>
      <c r="L114" s="325" t="str" cm="1">
        <f t="array" ref="L114">TRIM(SUBSTITUTE(SUBSTITUTE(INDEX(CR:CR,MATCH("      item_no: "&amp;A114&amp;",",CR:CR,0)+3,1),"item_scan_code: ",""),",",""))</f>
        <v>0714300114618230000203</v>
      </c>
      <c r="M114" s="325"/>
      <c r="N114" s="325"/>
      <c r="O114" s="325"/>
      <c r="P114" s="325"/>
      <c r="Q114" s="281" cm="1">
        <f t="array" ref="Q114">IF(AF114="true","",TRIM(SUBSTITUTE(SUBSTITUTE(INDEX(CR:CR,MATCH("      item_no: "&amp;A114&amp;",",CR:CR,0)+13,1),"item_price_fmt: ￥",""),",",""))+0)</f>
        <v>398</v>
      </c>
      <c r="R114" s="326"/>
      <c r="S114" s="327">
        <f t="shared" si="29"/>
        <v>-80</v>
      </c>
      <c r="T114" s="328"/>
      <c r="U114" s="277" cm="1">
        <f t="array" ref="U114">IF(AF114="true","",TRIM(SUBSTITUTE(SUBSTITUTE(INDEX(CR:CR,MATCH("      item_no: "&amp;A114&amp;",",CR:CR,0)+14,1),"item_price_discount_fmt: ￥",""),",",""))+0)</f>
        <v>318</v>
      </c>
      <c r="V114" s="278"/>
      <c r="W114" s="279">
        <f ca="1">INT(SUMIF($Y$10:$AA114,"外税8%",$U$10:$V114)*1.08)+INT(SUMIF($Y$10:$AA114,"外税10%",$U$10:$V114)*1.1)+SUMIF($Y$10:$AA114,"内税10%",$U$10:$V114)+SUMIF($Y$10:$AA114,"非課税",$U$10:$V114)</f>
        <v>50019</v>
      </c>
      <c r="X114" s="280"/>
      <c r="Y114" s="281" t="str" cm="1">
        <f t="array" ref="Y114">TRIM(SUBSTITUTE(SUBSTITUTE(INDEX(CR:CR,MATCH("      item_no: "&amp;A114&amp;",",CR:CR,0)+15,1),"item_tax_fmt: ",""),",",""))</f>
        <v>外税8%</v>
      </c>
      <c r="Z114" s="282"/>
      <c r="AA114" s="282"/>
      <c r="AB114" s="283" t="str" cm="1">
        <f t="array" ref="AB114">TRIM(SUBSTITUTE(SUBSTITUTE(INDEX(CR:CR,MATCH("      item_no: "&amp;A114&amp;",",CR:CR,0)+18,1),"discount_prohibition:",""),",",""))</f>
        <v>0</v>
      </c>
      <c r="AC114" s="283"/>
      <c r="AD114" s="214" t="str">
        <f t="shared" si="27"/>
        <v>外税8%+0</v>
      </c>
      <c r="AE114" s="215"/>
      <c r="AF114" s="284" t="str" cm="1">
        <f t="array" ref="AF114">TRIM(SUBSTITUTE(SUBSTITUTE(INDEX(CR:CR,MATCH("      item_no: "&amp;A114&amp;",",CR:CR,0)+1,1),"item_cancel_line: ",""),",",""))</f>
        <v>false</v>
      </c>
      <c r="AG114" s="284"/>
      <c r="AH114" s="595"/>
      <c r="AI114" s="596"/>
      <c r="AJ114" s="285">
        <f t="shared" si="30"/>
        <v>-15.9</v>
      </c>
      <c r="AK114" s="286"/>
      <c r="AL114" s="335">
        <f t="shared" ca="1" si="31"/>
        <v>-15.907460507794172</v>
      </c>
      <c r="AM114" s="336"/>
      <c r="AN114" s="333">
        <f t="shared" ca="1" si="32"/>
        <v>-16</v>
      </c>
      <c r="AO114" s="334"/>
      <c r="AP114" s="329">
        <f t="shared" si="33"/>
        <v>318</v>
      </c>
      <c r="AQ114" s="330"/>
      <c r="AR114" s="331">
        <f t="shared" si="34"/>
        <v>49</v>
      </c>
      <c r="AS114" s="332"/>
      <c r="AT114" s="333">
        <f t="shared" ca="1" si="22"/>
        <v>-16</v>
      </c>
      <c r="AU114" s="334"/>
      <c r="AV114" s="271"/>
      <c r="AW114" s="272"/>
      <c r="AX114" s="271">
        <f t="shared" ca="1" si="28"/>
        <v>-16</v>
      </c>
      <c r="AY114" s="272"/>
      <c r="AZ114" s="273">
        <f t="shared" ca="1" si="37"/>
        <v>302</v>
      </c>
      <c r="BA114" s="274"/>
      <c r="BB114" s="343">
        <f t="shared" ca="1" si="23"/>
        <v>326</v>
      </c>
      <c r="BC114" s="344"/>
      <c r="BD114" s="348">
        <f t="shared" si="35"/>
        <v>302</v>
      </c>
      <c r="BE114" s="343"/>
      <c r="BF114" s="343">
        <f t="shared" si="24"/>
        <v>-16</v>
      </c>
      <c r="BG114" s="344"/>
      <c r="BH114" s="345" t="str">
        <f t="shared" ca="1" si="36"/>
        <v/>
      </c>
      <c r="BI114" s="346"/>
      <c r="BJ114" s="564"/>
      <c r="BK114" s="565"/>
      <c r="BL114" s="568"/>
      <c r="BM114" s="570"/>
      <c r="CC114" s="138" t="s">
        <v>80</v>
      </c>
      <c r="CD114" s="337" t="str">
        <f t="shared" si="25"/>
        <v>外税8%</v>
      </c>
      <c r="CE114" s="337"/>
      <c r="CF114" s="338"/>
      <c r="CR114" s="103" t="s">
        <v>318</v>
      </c>
      <c r="CW114" s="103" t="s">
        <v>379</v>
      </c>
      <c r="CX114" s="102" t="s">
        <v>30</v>
      </c>
      <c r="CY114" s="103" t="s">
        <v>380</v>
      </c>
    </row>
    <row r="115" spans="1:103" ht="15" customHeight="1">
      <c r="A115" s="100">
        <f t="shared" si="26"/>
        <v>15</v>
      </c>
      <c r="B115" s="293" t="s">
        <v>171</v>
      </c>
      <c r="C115" s="293"/>
      <c r="D115" s="293"/>
      <c r="E115" s="293"/>
      <c r="F115" s="293" t="str" cm="1">
        <f t="array" ref="F115">TRIM(SUBSTITUTE(SUBSTITUTE(INDEX(CR:CR,MATCH("      item_no: "&amp;A115&amp;",",CR:CR,0)+9,1),"item_name: ",""),",",""))</f>
        <v>ブルーベリー</v>
      </c>
      <c r="G115" s="293"/>
      <c r="H115" s="293"/>
      <c r="I115" s="293"/>
      <c r="J115" s="293"/>
      <c r="K115" s="293"/>
      <c r="L115" s="325" t="str" cm="1">
        <f t="array" ref="L115">TRIM(SUBSTITUTE(SUBSTITUTE(INDEX(CR:CR,MATCH("      item_no: "&amp;A115&amp;",",CR:CR,0)+3,1),"item_scan_code: ",""),",",""))</f>
        <v>0714300114618230000500</v>
      </c>
      <c r="M115" s="325"/>
      <c r="N115" s="325"/>
      <c r="O115" s="325"/>
      <c r="P115" s="325"/>
      <c r="Q115" s="281" cm="1">
        <f t="array" ref="Q115">IF(AF115="true","",TRIM(SUBSTITUTE(SUBSTITUTE(INDEX(CR:CR,MATCH("      item_no: "&amp;A115&amp;",",CR:CR,0)+13,1),"item_price_fmt: ￥",""),",",""))+0)</f>
        <v>398</v>
      </c>
      <c r="R115" s="326"/>
      <c r="S115" s="327">
        <f t="shared" si="29"/>
        <v>-199</v>
      </c>
      <c r="T115" s="328"/>
      <c r="U115" s="277" cm="1">
        <f t="array" ref="U115">IF(AF115="true","",TRIM(SUBSTITUTE(SUBSTITUTE(INDEX(CR:CR,MATCH("      item_no: "&amp;A115&amp;",",CR:CR,0)+14,1),"item_price_discount_fmt: ￥",""),",",""))+0)</f>
        <v>199</v>
      </c>
      <c r="V115" s="278"/>
      <c r="W115" s="279">
        <f ca="1">INT(SUMIF($Y$10:$AA115,"外税8%",$U$10:$V115)*1.08)+INT(SUMIF($Y$10:$AA115,"外税10%",$U$10:$V115)*1.1)+SUMIF($Y$10:$AA115,"内税10%",$U$10:$V115)+SUMIF($Y$10:$AA115,"非課税",$U$10:$V115)</f>
        <v>50234</v>
      </c>
      <c r="X115" s="280"/>
      <c r="Y115" s="281" t="str" cm="1">
        <f t="array" ref="Y115">TRIM(SUBSTITUTE(SUBSTITUTE(INDEX(CR:CR,MATCH("      item_no: "&amp;A115&amp;",",CR:CR,0)+15,1),"item_tax_fmt: ",""),",",""))</f>
        <v>外税8%</v>
      </c>
      <c r="Z115" s="282"/>
      <c r="AA115" s="282"/>
      <c r="AB115" s="283" t="str" cm="1">
        <f t="array" ref="AB115">TRIM(SUBSTITUTE(SUBSTITUTE(INDEX(CR:CR,MATCH("      item_no: "&amp;A115&amp;",",CR:CR,0)+18,1),"discount_prohibition:",""),",",""))</f>
        <v>0</v>
      </c>
      <c r="AC115" s="283"/>
      <c r="AD115" s="214" t="str">
        <f t="shared" si="27"/>
        <v>外税8%+0</v>
      </c>
      <c r="AE115" s="215"/>
      <c r="AF115" s="284" t="str" cm="1">
        <f t="array" ref="AF115">TRIM(SUBSTITUTE(SUBSTITUTE(INDEX(CR:CR,MATCH("      item_no: "&amp;A115&amp;",",CR:CR,0)+1,1),"item_cancel_line: ",""),",",""))</f>
        <v>false</v>
      </c>
      <c r="AG115" s="284"/>
      <c r="AH115" s="595"/>
      <c r="AI115" s="596"/>
      <c r="AJ115" s="285">
        <f t="shared" si="30"/>
        <v>-9.9500000000000011</v>
      </c>
      <c r="AK115" s="286"/>
      <c r="AL115" s="335">
        <f t="shared" ca="1" si="31"/>
        <v>-9.9546686825504409</v>
      </c>
      <c r="AM115" s="336"/>
      <c r="AN115" s="333">
        <f t="shared" ca="1" si="32"/>
        <v>-10</v>
      </c>
      <c r="AO115" s="334"/>
      <c r="AP115" s="329">
        <f t="shared" si="33"/>
        <v>199</v>
      </c>
      <c r="AQ115" s="330"/>
      <c r="AR115" s="331">
        <f t="shared" si="34"/>
        <v>58</v>
      </c>
      <c r="AS115" s="332"/>
      <c r="AT115" s="333">
        <f t="shared" ca="1" si="22"/>
        <v>-10</v>
      </c>
      <c r="AU115" s="334"/>
      <c r="AV115" s="271"/>
      <c r="AW115" s="272"/>
      <c r="AX115" s="271">
        <f t="shared" ca="1" si="28"/>
        <v>-10</v>
      </c>
      <c r="AY115" s="272"/>
      <c r="AZ115" s="273">
        <f t="shared" ca="1" si="37"/>
        <v>189</v>
      </c>
      <c r="BA115" s="274"/>
      <c r="BB115" s="343">
        <f t="shared" ca="1" si="23"/>
        <v>204</v>
      </c>
      <c r="BC115" s="344"/>
      <c r="BD115" s="348">
        <f t="shared" si="35"/>
        <v>189</v>
      </c>
      <c r="BE115" s="343"/>
      <c r="BF115" s="343">
        <f t="shared" si="24"/>
        <v>-10</v>
      </c>
      <c r="BG115" s="344"/>
      <c r="BH115" s="345" t="str">
        <f t="shared" ca="1" si="36"/>
        <v/>
      </c>
      <c r="BI115" s="346"/>
      <c r="BJ115" s="564"/>
      <c r="BK115" s="565"/>
      <c r="BL115" s="568"/>
      <c r="BM115" s="570"/>
      <c r="CC115" s="138" t="s">
        <v>80</v>
      </c>
      <c r="CD115" s="337" t="str">
        <f t="shared" si="25"/>
        <v>外税8%</v>
      </c>
      <c r="CE115" s="337"/>
      <c r="CF115" s="338"/>
      <c r="CR115" s="103" t="s">
        <v>321</v>
      </c>
      <c r="CW115" s="103" t="s">
        <v>381</v>
      </c>
      <c r="CX115" s="102" t="s">
        <v>30</v>
      </c>
      <c r="CY115" s="103" t="s">
        <v>382</v>
      </c>
    </row>
    <row r="116" spans="1:103" ht="15" customHeight="1">
      <c r="A116" s="100">
        <f t="shared" si="26"/>
        <v>14</v>
      </c>
      <c r="B116" s="293" t="s">
        <v>110</v>
      </c>
      <c r="C116" s="293"/>
      <c r="D116" s="293"/>
      <c r="E116" s="293"/>
      <c r="F116" s="293" t="str" cm="1">
        <f t="array" ref="F116">TRIM(SUBSTITUTE(SUBSTITUTE(INDEX(CR:CR,MATCH("      item_no: "&amp;A116&amp;",",CR:CR,0)+9,1),"item_name: ",""),",",""))</f>
        <v>ウォーカー　ショートブレッド</v>
      </c>
      <c r="G116" s="293"/>
      <c r="H116" s="293"/>
      <c r="I116" s="293"/>
      <c r="J116" s="293"/>
      <c r="K116" s="293"/>
      <c r="L116" s="325" t="str" cm="1">
        <f t="array" ref="L116">TRIM(SUBSTITUTE(SUBSTITUTE(INDEX(CR:CR,MATCH("      item_no: "&amp;A116&amp;",",CR:CR,0)+3,1),"item_scan_code: ",""),",",""))</f>
        <v>0039047001152230000209</v>
      </c>
      <c r="M116" s="325"/>
      <c r="N116" s="325"/>
      <c r="O116" s="325"/>
      <c r="P116" s="325"/>
      <c r="Q116" s="281" cm="1">
        <f t="array" ref="Q116">IF(AF116="true","",TRIM(SUBSTITUTE(SUBSTITUTE(INDEX(CR:CR,MATCH("      item_no: "&amp;A116&amp;",",CR:CR,0)+13,1),"item_price_fmt: ￥",""),",",""))+0)</f>
        <v>479</v>
      </c>
      <c r="R116" s="326"/>
      <c r="S116" s="327">
        <f t="shared" si="29"/>
        <v>-96</v>
      </c>
      <c r="T116" s="328"/>
      <c r="U116" s="277" cm="1">
        <f t="array" ref="U116">IF(AF116="true","",TRIM(SUBSTITUTE(SUBSTITUTE(INDEX(CR:CR,MATCH("      item_no: "&amp;A116&amp;",",CR:CR,0)+14,1),"item_price_discount_fmt: ￥",""),",",""))+0)</f>
        <v>383</v>
      </c>
      <c r="V116" s="278"/>
      <c r="W116" s="279">
        <f ca="1">INT(SUMIF($Y$10:$AA116,"外税8%",$U$10:$V116)*1.08)+INT(SUMIF($Y$10:$AA116,"外税10%",$U$10:$V116)*1.1)+SUMIF($Y$10:$AA116,"内税10%",$U$10:$V116)+SUMIF($Y$10:$AA116,"非課税",$U$10:$V116)</f>
        <v>50648</v>
      </c>
      <c r="X116" s="280"/>
      <c r="Y116" s="281" t="str" cm="1">
        <f t="array" ref="Y116">TRIM(SUBSTITUTE(SUBSTITUTE(INDEX(CR:CR,MATCH("      item_no: "&amp;A116&amp;",",CR:CR,0)+15,1),"item_tax_fmt: ",""),",",""))</f>
        <v>外税8%</v>
      </c>
      <c r="Z116" s="282"/>
      <c r="AA116" s="282"/>
      <c r="AB116" s="283" t="str" cm="1">
        <f t="array" ref="AB116">TRIM(SUBSTITUTE(SUBSTITUTE(INDEX(CR:CR,MATCH("      item_no: "&amp;A116&amp;",",CR:CR,0)+18,1),"discount_prohibition:",""),",",""))</f>
        <v>0</v>
      </c>
      <c r="AC116" s="283"/>
      <c r="AD116" s="214" t="str">
        <f t="shared" si="27"/>
        <v>外税8%+0</v>
      </c>
      <c r="AE116" s="215"/>
      <c r="AF116" s="284" t="str" cm="1">
        <f t="array" ref="AF116">TRIM(SUBSTITUTE(SUBSTITUTE(INDEX(CR:CR,MATCH("      item_no: "&amp;A116&amp;",",CR:CR,0)+1,1),"item_cancel_line: ",""),",",""))</f>
        <v>false</v>
      </c>
      <c r="AG116" s="284"/>
      <c r="AH116" s="595"/>
      <c r="AI116" s="596"/>
      <c r="AJ116" s="285">
        <f t="shared" si="30"/>
        <v>-19.150000000000002</v>
      </c>
      <c r="AK116" s="286"/>
      <c r="AL116" s="335">
        <f t="shared" ca="1" si="31"/>
        <v>-19.158985454355872</v>
      </c>
      <c r="AM116" s="336"/>
      <c r="AN116" s="333">
        <f t="shared" ca="1" si="32"/>
        <v>-20</v>
      </c>
      <c r="AO116" s="334"/>
      <c r="AP116" s="329">
        <f t="shared" si="33"/>
        <v>383</v>
      </c>
      <c r="AQ116" s="330"/>
      <c r="AR116" s="331">
        <f t="shared" si="34"/>
        <v>40</v>
      </c>
      <c r="AS116" s="332"/>
      <c r="AT116" s="333">
        <f t="shared" ca="1" si="22"/>
        <v>-20</v>
      </c>
      <c r="AU116" s="334"/>
      <c r="AV116" s="271"/>
      <c r="AW116" s="272"/>
      <c r="AX116" s="271">
        <f t="shared" ca="1" si="28"/>
        <v>-20</v>
      </c>
      <c r="AY116" s="272"/>
      <c r="AZ116" s="273">
        <f t="shared" ca="1" si="37"/>
        <v>363</v>
      </c>
      <c r="BA116" s="274"/>
      <c r="BB116" s="343">
        <f t="shared" ca="1" si="23"/>
        <v>392</v>
      </c>
      <c r="BC116" s="344"/>
      <c r="BD116" s="348">
        <f t="shared" si="35"/>
        <v>363</v>
      </c>
      <c r="BE116" s="343"/>
      <c r="BF116" s="343">
        <f t="shared" si="24"/>
        <v>-20</v>
      </c>
      <c r="BG116" s="344"/>
      <c r="BH116" s="345" t="str">
        <f t="shared" ca="1" si="36"/>
        <v/>
      </c>
      <c r="BI116" s="346"/>
      <c r="BJ116" s="564"/>
      <c r="BK116" s="565"/>
      <c r="BL116" s="568"/>
      <c r="BM116" s="570"/>
      <c r="CC116" s="138" t="s">
        <v>80</v>
      </c>
      <c r="CD116" s="337" t="str">
        <f t="shared" si="25"/>
        <v>外税8%</v>
      </c>
      <c r="CE116" s="337"/>
      <c r="CF116" s="338"/>
      <c r="CR116" s="103" t="s">
        <v>324</v>
      </c>
      <c r="CW116" s="103" t="s">
        <v>383</v>
      </c>
      <c r="CX116" s="102" t="s">
        <v>30</v>
      </c>
      <c r="CY116" s="103" t="s">
        <v>384</v>
      </c>
    </row>
    <row r="117" spans="1:103" ht="15" customHeight="1">
      <c r="A117" s="100">
        <f t="shared" si="26"/>
        <v>13</v>
      </c>
      <c r="B117" s="293" t="s">
        <v>110</v>
      </c>
      <c r="C117" s="293"/>
      <c r="D117" s="293"/>
      <c r="E117" s="293"/>
      <c r="F117" s="293" t="str" cm="1">
        <f t="array" ref="F117">TRIM(SUBSTITUTE(SUBSTITUTE(INDEX(CR:CR,MATCH("      item_no: "&amp;A117&amp;",",CR:CR,0)+9,1),"item_name: ",""),",",""))</f>
        <v>ウォーカー　ショートブレッド</v>
      </c>
      <c r="G117" s="293"/>
      <c r="H117" s="293"/>
      <c r="I117" s="293"/>
      <c r="J117" s="293"/>
      <c r="K117" s="293"/>
      <c r="L117" s="325" t="str" cm="1">
        <f t="array" ref="L117">TRIM(SUBSTITUTE(SUBSTITUTE(INDEX(CR:CR,MATCH("      item_no: "&amp;A117&amp;",",CR:CR,0)+3,1),"item_scan_code: ",""),",",""))</f>
        <v>0039047001152230000308</v>
      </c>
      <c r="M117" s="325"/>
      <c r="N117" s="325"/>
      <c r="O117" s="325"/>
      <c r="P117" s="325"/>
      <c r="Q117" s="281" cm="1">
        <f t="array" ref="Q117">IF(AF117="true","",TRIM(SUBSTITUTE(SUBSTITUTE(INDEX(CR:CR,MATCH("      item_no: "&amp;A117&amp;",",CR:CR,0)+13,1),"item_price_fmt: ￥",""),",",""))+0)</f>
        <v>479</v>
      </c>
      <c r="R117" s="326"/>
      <c r="S117" s="327">
        <f t="shared" si="29"/>
        <v>-144</v>
      </c>
      <c r="T117" s="328"/>
      <c r="U117" s="277" cm="1">
        <f t="array" ref="U117">IF(AF117="true","",TRIM(SUBSTITUTE(SUBSTITUTE(INDEX(CR:CR,MATCH("      item_no: "&amp;A117&amp;",",CR:CR,0)+14,1),"item_price_discount_fmt: ￥",""),",",""))+0)</f>
        <v>335</v>
      </c>
      <c r="V117" s="278"/>
      <c r="W117" s="279">
        <f ca="1">INT(SUMIF($Y$10:$AA117,"外税8%",$U$10:$V117)*1.08)+INT(SUMIF($Y$10:$AA117,"外税10%",$U$10:$V117)*1.1)+SUMIF($Y$10:$AA117,"内税10%",$U$10:$V117)+SUMIF($Y$10:$AA117,"非課税",$U$10:$V117)</f>
        <v>51010</v>
      </c>
      <c r="X117" s="280"/>
      <c r="Y117" s="281" t="str" cm="1">
        <f t="array" ref="Y117">TRIM(SUBSTITUTE(SUBSTITUTE(INDEX(CR:CR,MATCH("      item_no: "&amp;A117&amp;",",CR:CR,0)+15,1),"item_tax_fmt: ",""),",",""))</f>
        <v>外税8%</v>
      </c>
      <c r="Z117" s="282"/>
      <c r="AA117" s="282"/>
      <c r="AB117" s="283" t="str" cm="1">
        <f t="array" ref="AB117">TRIM(SUBSTITUTE(SUBSTITUTE(INDEX(CR:CR,MATCH("      item_no: "&amp;A117&amp;",",CR:CR,0)+18,1),"discount_prohibition:",""),",",""))</f>
        <v>0</v>
      </c>
      <c r="AC117" s="283"/>
      <c r="AD117" s="214" t="str">
        <f t="shared" si="27"/>
        <v>外税8%+0</v>
      </c>
      <c r="AE117" s="215"/>
      <c r="AF117" s="284" t="str" cm="1">
        <f t="array" ref="AF117">TRIM(SUBSTITUTE(SUBSTITUTE(INDEX(CR:CR,MATCH("      item_no: "&amp;A117&amp;",",CR:CR,0)+1,1),"item_cancel_line: ",""),",",""))</f>
        <v>false</v>
      </c>
      <c r="AG117" s="284"/>
      <c r="AH117" s="595"/>
      <c r="AI117" s="596"/>
      <c r="AJ117" s="285">
        <f t="shared" si="30"/>
        <v>-16.75</v>
      </c>
      <c r="AK117" s="286"/>
      <c r="AL117" s="335">
        <f t="shared" ca="1" si="31"/>
        <v>-16.757859339971848</v>
      </c>
      <c r="AM117" s="336"/>
      <c r="AN117" s="333">
        <f t="shared" ca="1" si="32"/>
        <v>-17</v>
      </c>
      <c r="AO117" s="334"/>
      <c r="AP117" s="329">
        <f t="shared" si="33"/>
        <v>335</v>
      </c>
      <c r="AQ117" s="330"/>
      <c r="AR117" s="331">
        <f t="shared" si="34"/>
        <v>46</v>
      </c>
      <c r="AS117" s="332"/>
      <c r="AT117" s="333">
        <f t="shared" ca="1" si="22"/>
        <v>-17</v>
      </c>
      <c r="AU117" s="334"/>
      <c r="AV117" s="271"/>
      <c r="AW117" s="272"/>
      <c r="AX117" s="271">
        <f t="shared" ca="1" si="28"/>
        <v>-17</v>
      </c>
      <c r="AY117" s="272"/>
      <c r="AZ117" s="273">
        <f t="shared" ca="1" si="37"/>
        <v>318</v>
      </c>
      <c r="BA117" s="274"/>
      <c r="BB117" s="343">
        <f t="shared" ca="1" si="23"/>
        <v>343</v>
      </c>
      <c r="BC117" s="344"/>
      <c r="BD117" s="348">
        <f t="shared" si="35"/>
        <v>318</v>
      </c>
      <c r="BE117" s="343"/>
      <c r="BF117" s="343">
        <f t="shared" si="24"/>
        <v>-17</v>
      </c>
      <c r="BG117" s="344"/>
      <c r="BH117" s="345" t="str">
        <f t="shared" ca="1" si="36"/>
        <v/>
      </c>
      <c r="BI117" s="346"/>
      <c r="BJ117" s="564"/>
      <c r="BK117" s="565"/>
      <c r="BL117" s="568"/>
      <c r="BM117" s="570"/>
      <c r="CC117" s="138" t="s">
        <v>80</v>
      </c>
      <c r="CD117" s="337" t="str">
        <f t="shared" si="25"/>
        <v>外税8%</v>
      </c>
      <c r="CE117" s="337"/>
      <c r="CF117" s="338"/>
      <c r="CR117" s="103" t="s">
        <v>327</v>
      </c>
      <c r="CW117" s="103" t="s">
        <v>385</v>
      </c>
      <c r="CX117" s="102" t="s">
        <v>30</v>
      </c>
      <c r="CY117" s="103" t="s">
        <v>386</v>
      </c>
    </row>
    <row r="118" spans="1:103" ht="15" customHeight="1">
      <c r="A118" s="100">
        <f t="shared" si="26"/>
        <v>12</v>
      </c>
      <c r="B118" s="293" t="s">
        <v>110</v>
      </c>
      <c r="C118" s="293"/>
      <c r="D118" s="293"/>
      <c r="E118" s="293"/>
      <c r="F118" s="293" t="str" cm="1">
        <f t="array" ref="F118">TRIM(SUBSTITUTE(SUBSTITUTE(INDEX(CR:CR,MATCH("      item_no: "&amp;A118&amp;",",CR:CR,0)+9,1),"item_name: ",""),",",""))</f>
        <v>ウォーカー　ショートブレッド</v>
      </c>
      <c r="G118" s="293"/>
      <c r="H118" s="293"/>
      <c r="I118" s="293"/>
      <c r="J118" s="293"/>
      <c r="K118" s="293"/>
      <c r="L118" s="325" t="str" cm="1">
        <f t="array" ref="L118">TRIM(SUBSTITUTE(SUBSTITUTE(INDEX(CR:CR,MATCH("      item_no: "&amp;A118&amp;",",CR:CR,0)+3,1),"item_scan_code: ",""),",",""))</f>
        <v>0039047001152230000506</v>
      </c>
      <c r="M118" s="325"/>
      <c r="N118" s="325"/>
      <c r="O118" s="325"/>
      <c r="P118" s="325"/>
      <c r="Q118" s="281" cm="1">
        <f t="array" ref="Q118">IF(AF118="true","",TRIM(SUBSTITUTE(SUBSTITUTE(INDEX(CR:CR,MATCH("      item_no: "&amp;A118&amp;",",CR:CR,0)+13,1),"item_price_fmt: ￥",""),",",""))+0)</f>
        <v>479</v>
      </c>
      <c r="R118" s="326"/>
      <c r="S118" s="327">
        <f t="shared" si="29"/>
        <v>-240</v>
      </c>
      <c r="T118" s="328"/>
      <c r="U118" s="277" cm="1">
        <f t="array" ref="U118">IF(AF118="true","",TRIM(SUBSTITUTE(SUBSTITUTE(INDEX(CR:CR,MATCH("      item_no: "&amp;A118&amp;",",CR:CR,0)+14,1),"item_price_discount_fmt: ￥",""),",",""))+0)</f>
        <v>239</v>
      </c>
      <c r="V118" s="278"/>
      <c r="W118" s="279">
        <f ca="1">INT(SUMIF($Y$10:$AA118,"外税8%",$U$10:$V118)*1.08)+INT(SUMIF($Y$10:$AA118,"外税10%",$U$10:$V118)*1.1)+SUMIF($Y$10:$AA118,"内税10%",$U$10:$V118)+SUMIF($Y$10:$AA118,"非課税",$U$10:$V118)</f>
        <v>51268</v>
      </c>
      <c r="X118" s="280"/>
      <c r="Y118" s="281" t="str" cm="1">
        <f t="array" ref="Y118">TRIM(SUBSTITUTE(SUBSTITUTE(INDEX(CR:CR,MATCH("      item_no: "&amp;A118&amp;",",CR:CR,0)+15,1),"item_tax_fmt: ",""),",",""))</f>
        <v>外税8%</v>
      </c>
      <c r="Z118" s="282"/>
      <c r="AA118" s="282"/>
      <c r="AB118" s="283" t="str" cm="1">
        <f t="array" ref="AB118">TRIM(SUBSTITUTE(SUBSTITUTE(INDEX(CR:CR,MATCH("      item_no: "&amp;A118&amp;",",CR:CR,0)+18,1),"discount_prohibition:",""),",",""))</f>
        <v>0</v>
      </c>
      <c r="AC118" s="283"/>
      <c r="AD118" s="214" t="str">
        <f t="shared" si="27"/>
        <v>外税8%+0</v>
      </c>
      <c r="AE118" s="215"/>
      <c r="AF118" s="284" t="str" cm="1">
        <f t="array" ref="AF118">TRIM(SUBSTITUTE(SUBSTITUTE(INDEX(CR:CR,MATCH("      item_no: "&amp;A118&amp;",",CR:CR,0)+1,1),"item_cancel_line: ",""),",",""))</f>
        <v>false</v>
      </c>
      <c r="AG118" s="284"/>
      <c r="AH118" s="595"/>
      <c r="AI118" s="596"/>
      <c r="AJ118" s="285">
        <f t="shared" si="30"/>
        <v>-11.950000000000001</v>
      </c>
      <c r="AK118" s="286"/>
      <c r="AL118" s="335">
        <f t="shared" ca="1" si="31"/>
        <v>-11.955607111203795</v>
      </c>
      <c r="AM118" s="336"/>
      <c r="AN118" s="333">
        <f t="shared" ca="1" si="32"/>
        <v>-12</v>
      </c>
      <c r="AO118" s="334"/>
      <c r="AP118" s="329">
        <f t="shared" si="33"/>
        <v>239</v>
      </c>
      <c r="AQ118" s="330"/>
      <c r="AR118" s="331">
        <f t="shared" si="34"/>
        <v>56</v>
      </c>
      <c r="AS118" s="332"/>
      <c r="AT118" s="333">
        <f t="shared" ca="1" si="22"/>
        <v>-12</v>
      </c>
      <c r="AU118" s="334"/>
      <c r="AV118" s="271"/>
      <c r="AW118" s="272"/>
      <c r="AX118" s="271">
        <f t="shared" ca="1" si="28"/>
        <v>-12</v>
      </c>
      <c r="AY118" s="272"/>
      <c r="AZ118" s="273">
        <f t="shared" ca="1" si="37"/>
        <v>227</v>
      </c>
      <c r="BA118" s="274"/>
      <c r="BB118" s="343">
        <f t="shared" ca="1" si="23"/>
        <v>245</v>
      </c>
      <c r="BC118" s="344"/>
      <c r="BD118" s="348">
        <f t="shared" si="35"/>
        <v>227</v>
      </c>
      <c r="BE118" s="343"/>
      <c r="BF118" s="343">
        <f t="shared" si="24"/>
        <v>-12</v>
      </c>
      <c r="BG118" s="344"/>
      <c r="BH118" s="345" t="str">
        <f t="shared" ca="1" si="36"/>
        <v/>
      </c>
      <c r="BI118" s="346"/>
      <c r="BJ118" s="564"/>
      <c r="BK118" s="565"/>
      <c r="BL118" s="568"/>
      <c r="BM118" s="570"/>
      <c r="CC118" s="138" t="s">
        <v>80</v>
      </c>
      <c r="CD118" s="337" t="str">
        <f t="shared" si="25"/>
        <v>外税8%</v>
      </c>
      <c r="CE118" s="337"/>
      <c r="CF118" s="338"/>
      <c r="CR118" s="103" t="s">
        <v>330</v>
      </c>
      <c r="CW118" s="103" t="s">
        <v>387</v>
      </c>
      <c r="CX118" s="102" t="s">
        <v>30</v>
      </c>
      <c r="CY118" s="103" t="s">
        <v>388</v>
      </c>
    </row>
    <row r="119" spans="1:103" ht="15" customHeight="1">
      <c r="A119" s="100">
        <f t="shared" si="26"/>
        <v>11</v>
      </c>
      <c r="B119" s="293" t="s">
        <v>110</v>
      </c>
      <c r="C119" s="293"/>
      <c r="D119" s="293"/>
      <c r="E119" s="293"/>
      <c r="F119" s="293" t="str" cm="1">
        <f t="array" ref="F119">TRIM(SUBSTITUTE(SUBSTITUTE(INDEX(CR:CR,MATCH("      item_no: "&amp;A119&amp;",",CR:CR,0)+9,1),"item_name: ",""),",",""))</f>
        <v>グリコ　ポップキャン</v>
      </c>
      <c r="G119" s="293"/>
      <c r="H119" s="293"/>
      <c r="I119" s="293"/>
      <c r="J119" s="293"/>
      <c r="K119" s="293"/>
      <c r="L119" s="325" t="str" cm="1">
        <f t="array" ref="L119">TRIM(SUBSTITUTE(SUBSTITUTE(INDEX(CR:CR,MATCH("      item_no: "&amp;A119&amp;",",CR:CR,0)+3,1),"item_scan_code: ",""),",",""))</f>
        <v>0000045183553830000205</v>
      </c>
      <c r="M119" s="325"/>
      <c r="N119" s="325"/>
      <c r="O119" s="325"/>
      <c r="P119" s="325"/>
      <c r="Q119" s="281" cm="1">
        <f t="array" ref="Q119">IF(AF119="true","",TRIM(SUBSTITUTE(SUBSTITUTE(INDEX(CR:CR,MATCH("      item_no: "&amp;A119&amp;",",CR:CR,0)+13,1),"item_price_fmt: ￥",""),",",""))+0)</f>
        <v>49</v>
      </c>
      <c r="R119" s="326"/>
      <c r="S119" s="327">
        <f t="shared" si="29"/>
        <v>-10</v>
      </c>
      <c r="T119" s="328"/>
      <c r="U119" s="277" cm="1">
        <f t="array" ref="U119">IF(AF119="true","",TRIM(SUBSTITUTE(SUBSTITUTE(INDEX(CR:CR,MATCH("      item_no: "&amp;A119&amp;",",CR:CR,0)+14,1),"item_price_discount_fmt: ￥",""),",",""))+0)</f>
        <v>39</v>
      </c>
      <c r="V119" s="278"/>
      <c r="W119" s="279">
        <f ca="1">INT(SUMIF($Y$10:$AA119,"外税8%",$U$10:$V119)*1.08)+INT(SUMIF($Y$10:$AA119,"外税10%",$U$10:$V119)*1.1)+SUMIF($Y$10:$AA119,"内税10%",$U$10:$V119)+SUMIF($Y$10:$AA119,"非課税",$U$10:$V119)</f>
        <v>51310</v>
      </c>
      <c r="X119" s="280"/>
      <c r="Y119" s="281" t="str" cm="1">
        <f t="array" ref="Y119">TRIM(SUBSTITUTE(SUBSTITUTE(INDEX(CR:CR,MATCH("      item_no: "&amp;A119&amp;",",CR:CR,0)+15,1),"item_tax_fmt: ",""),",",""))</f>
        <v>外税8%</v>
      </c>
      <c r="Z119" s="282"/>
      <c r="AA119" s="282"/>
      <c r="AB119" s="283" t="str" cm="1">
        <f t="array" ref="AB119">TRIM(SUBSTITUTE(SUBSTITUTE(INDEX(CR:CR,MATCH("      item_no: "&amp;A119&amp;",",CR:CR,0)+18,1),"discount_prohibition:",""),",",""))</f>
        <v>0</v>
      </c>
      <c r="AC119" s="283"/>
      <c r="AD119" s="214" t="str">
        <f t="shared" si="27"/>
        <v>外税8%+0</v>
      </c>
      <c r="AE119" s="215"/>
      <c r="AF119" s="284" t="str" cm="1">
        <f t="array" ref="AF119">TRIM(SUBSTITUTE(SUBSTITUTE(INDEX(CR:CR,MATCH("      item_no: "&amp;A119&amp;",",CR:CR,0)+1,1),"item_cancel_line: ",""),",",""))</f>
        <v>false</v>
      </c>
      <c r="AG119" s="284"/>
      <c r="AH119" s="595"/>
      <c r="AI119" s="596"/>
      <c r="AJ119" s="285">
        <f t="shared" si="30"/>
        <v>-1.9500000000000002</v>
      </c>
      <c r="AK119" s="286"/>
      <c r="AL119" s="335">
        <f t="shared" ca="1" si="31"/>
        <v>-1.950914967937021</v>
      </c>
      <c r="AM119" s="336"/>
      <c r="AN119" s="333">
        <f t="shared" ca="1" si="32"/>
        <v>-2</v>
      </c>
      <c r="AO119" s="334"/>
      <c r="AP119" s="329">
        <f t="shared" si="33"/>
        <v>39</v>
      </c>
      <c r="AQ119" s="330"/>
      <c r="AR119" s="331">
        <f t="shared" si="34"/>
        <v>79</v>
      </c>
      <c r="AS119" s="332"/>
      <c r="AT119" s="333">
        <f t="shared" si="22"/>
        <v>0</v>
      </c>
      <c r="AU119" s="334"/>
      <c r="AV119" s="271"/>
      <c r="AW119" s="272"/>
      <c r="AX119" s="271">
        <f t="shared" si="28"/>
        <v>0</v>
      </c>
      <c r="AY119" s="272"/>
      <c r="AZ119" s="273">
        <f t="shared" si="37"/>
        <v>39</v>
      </c>
      <c r="BA119" s="274"/>
      <c r="BB119" s="343">
        <f t="shared" si="23"/>
        <v>42</v>
      </c>
      <c r="BC119" s="344"/>
      <c r="BD119" s="367">
        <f t="shared" si="35"/>
        <v>39</v>
      </c>
      <c r="BE119" s="368"/>
      <c r="BF119" s="368">
        <f t="shared" si="24"/>
        <v>0</v>
      </c>
      <c r="BG119" s="369"/>
      <c r="BH119" s="370" t="str">
        <f t="shared" si="36"/>
        <v/>
      </c>
      <c r="BI119" s="371"/>
      <c r="BJ119" s="564"/>
      <c r="BK119" s="565"/>
      <c r="BL119" s="568"/>
      <c r="BM119" s="570"/>
      <c r="CC119" s="138" t="s">
        <v>80</v>
      </c>
      <c r="CD119" s="337" t="str">
        <f t="shared" si="25"/>
        <v>外税8%</v>
      </c>
      <c r="CE119" s="337"/>
      <c r="CF119" s="338"/>
      <c r="CR119" s="103" t="s">
        <v>333</v>
      </c>
      <c r="CW119" s="103" t="s">
        <v>389</v>
      </c>
      <c r="CX119" s="102" t="s">
        <v>30</v>
      </c>
      <c r="CY119" s="103" t="s">
        <v>390</v>
      </c>
    </row>
    <row r="120" spans="1:103" ht="15" customHeight="1">
      <c r="A120" s="100">
        <f t="shared" si="26"/>
        <v>10</v>
      </c>
      <c r="B120" s="293" t="s">
        <v>110</v>
      </c>
      <c r="C120" s="293"/>
      <c r="D120" s="293"/>
      <c r="E120" s="293"/>
      <c r="F120" s="293" t="str" cm="1">
        <f t="array" ref="F120">TRIM(SUBSTITUTE(SUBSTITUTE(INDEX(CR:CR,MATCH("      item_no: "&amp;A120&amp;",",CR:CR,0)+9,1),"item_name: ",""),",",""))</f>
        <v>グリコ　ポップキャン</v>
      </c>
      <c r="G120" s="293"/>
      <c r="H120" s="293"/>
      <c r="I120" s="293"/>
      <c r="J120" s="293"/>
      <c r="K120" s="293"/>
      <c r="L120" s="325" t="str" cm="1">
        <f t="array" ref="L120">TRIM(SUBSTITUTE(SUBSTITUTE(INDEX(CR:CR,MATCH("      item_no: "&amp;A120&amp;",",CR:CR,0)+3,1),"item_scan_code: ",""),",",""))</f>
        <v>0000045183553830000304</v>
      </c>
      <c r="M120" s="325"/>
      <c r="N120" s="325"/>
      <c r="O120" s="325"/>
      <c r="P120" s="325"/>
      <c r="Q120" s="281" cm="1">
        <f t="array" ref="Q120">IF(AF120="true","",TRIM(SUBSTITUTE(SUBSTITUTE(INDEX(CR:CR,MATCH("      item_no: "&amp;A120&amp;",",CR:CR,0)+13,1),"item_price_fmt: ￥",""),",",""))+0)</f>
        <v>49</v>
      </c>
      <c r="R120" s="326"/>
      <c r="S120" s="327">
        <f t="shared" si="29"/>
        <v>-15</v>
      </c>
      <c r="T120" s="328"/>
      <c r="U120" s="277" cm="1">
        <f t="array" ref="U120">IF(AF120="true","",TRIM(SUBSTITUTE(SUBSTITUTE(INDEX(CR:CR,MATCH("      item_no: "&amp;A120&amp;",",CR:CR,0)+14,1),"item_price_discount_fmt: ￥",""),",",""))+0)</f>
        <v>34</v>
      </c>
      <c r="V120" s="278"/>
      <c r="W120" s="279">
        <f ca="1">INT(SUMIF($Y$10:$AA120,"外税8%",$U$10:$V120)*1.08)+INT(SUMIF($Y$10:$AA120,"外税10%",$U$10:$V120)*1.1)+SUMIF($Y$10:$AA120,"内税10%",$U$10:$V120)+SUMIF($Y$10:$AA120,"非課税",$U$10:$V120)</f>
        <v>51347</v>
      </c>
      <c r="X120" s="280"/>
      <c r="Y120" s="281" t="str" cm="1">
        <f t="array" ref="Y120">TRIM(SUBSTITUTE(SUBSTITUTE(INDEX(CR:CR,MATCH("      item_no: "&amp;A120&amp;",",CR:CR,0)+15,1),"item_tax_fmt: ",""),",",""))</f>
        <v>外税8%</v>
      </c>
      <c r="Z120" s="282"/>
      <c r="AA120" s="282"/>
      <c r="AB120" s="283" t="str" cm="1">
        <f t="array" ref="AB120">TRIM(SUBSTITUTE(SUBSTITUTE(INDEX(CR:CR,MATCH("      item_no: "&amp;A120&amp;",",CR:CR,0)+18,1),"discount_prohibition:",""),",",""))</f>
        <v>0</v>
      </c>
      <c r="AC120" s="283"/>
      <c r="AD120" s="214" t="str">
        <f t="shared" si="27"/>
        <v>外税8%+0</v>
      </c>
      <c r="AE120" s="215"/>
      <c r="AF120" s="284" t="str" cm="1">
        <f t="array" ref="AF120">TRIM(SUBSTITUTE(SUBSTITUTE(INDEX(CR:CR,MATCH("      item_no: "&amp;A120&amp;",",CR:CR,0)+1,1),"item_cancel_line: ",""),",",""))</f>
        <v>false</v>
      </c>
      <c r="AG120" s="284"/>
      <c r="AH120" s="595"/>
      <c r="AI120" s="596"/>
      <c r="AJ120" s="285">
        <f t="shared" si="30"/>
        <v>-1.7000000000000002</v>
      </c>
      <c r="AK120" s="286"/>
      <c r="AL120" s="335">
        <f t="shared" ca="1" si="31"/>
        <v>-1.7007976643553517</v>
      </c>
      <c r="AM120" s="336"/>
      <c r="AN120" s="333">
        <f t="shared" ca="1" si="32"/>
        <v>-2</v>
      </c>
      <c r="AO120" s="334"/>
      <c r="AP120" s="329">
        <f t="shared" si="33"/>
        <v>34</v>
      </c>
      <c r="AQ120" s="330"/>
      <c r="AR120" s="331">
        <f t="shared" si="34"/>
        <v>81</v>
      </c>
      <c r="AS120" s="332"/>
      <c r="AT120" s="333">
        <f t="shared" si="22"/>
        <v>0</v>
      </c>
      <c r="AU120" s="334"/>
      <c r="AV120" s="271"/>
      <c r="AW120" s="272"/>
      <c r="AX120" s="271">
        <f t="shared" si="28"/>
        <v>0</v>
      </c>
      <c r="AY120" s="272"/>
      <c r="AZ120" s="273">
        <f t="shared" si="37"/>
        <v>34</v>
      </c>
      <c r="BA120" s="274"/>
      <c r="BB120" s="343">
        <f t="shared" si="23"/>
        <v>36</v>
      </c>
      <c r="BC120" s="344"/>
      <c r="BD120" s="367">
        <f t="shared" si="35"/>
        <v>34</v>
      </c>
      <c r="BE120" s="368"/>
      <c r="BF120" s="368">
        <f t="shared" si="24"/>
        <v>0</v>
      </c>
      <c r="BG120" s="369"/>
      <c r="BH120" s="370" t="str">
        <f t="shared" si="36"/>
        <v/>
      </c>
      <c r="BI120" s="371"/>
      <c r="BJ120" s="564"/>
      <c r="BK120" s="565"/>
      <c r="BL120" s="568"/>
      <c r="BM120" s="570"/>
      <c r="CC120" s="138" t="s">
        <v>80</v>
      </c>
      <c r="CD120" s="337" t="str">
        <f t="shared" si="25"/>
        <v>外税8%</v>
      </c>
      <c r="CE120" s="337"/>
      <c r="CF120" s="338"/>
      <c r="CR120" s="103" t="s">
        <v>336</v>
      </c>
      <c r="CW120" s="103" t="s">
        <v>391</v>
      </c>
      <c r="CX120" s="102" t="s">
        <v>30</v>
      </c>
      <c r="CY120" s="103" t="s">
        <v>392</v>
      </c>
    </row>
    <row r="121" spans="1:103" ht="15" customHeight="1">
      <c r="A121" s="100">
        <f t="shared" si="26"/>
        <v>9</v>
      </c>
      <c r="B121" s="293" t="s">
        <v>110</v>
      </c>
      <c r="C121" s="293"/>
      <c r="D121" s="293"/>
      <c r="E121" s="293"/>
      <c r="F121" s="293" t="str" cm="1">
        <f t="array" ref="F121">TRIM(SUBSTITUTE(SUBSTITUTE(INDEX(CR:CR,MATCH("      item_no: "&amp;A121&amp;",",CR:CR,0)+9,1),"item_name: ",""),",",""))</f>
        <v>グリコ　ポップキャン</v>
      </c>
      <c r="G121" s="293"/>
      <c r="H121" s="293"/>
      <c r="I121" s="293"/>
      <c r="J121" s="293"/>
      <c r="K121" s="293"/>
      <c r="L121" s="325" t="str" cm="1">
        <f t="array" ref="L121">TRIM(SUBSTITUTE(SUBSTITUTE(INDEX(CR:CR,MATCH("      item_no: "&amp;A121&amp;",",CR:CR,0)+3,1),"item_scan_code: ",""),",",""))</f>
        <v>0000045183553830000502</v>
      </c>
      <c r="M121" s="325"/>
      <c r="N121" s="325"/>
      <c r="O121" s="325"/>
      <c r="P121" s="325"/>
      <c r="Q121" s="281" cm="1">
        <f t="array" ref="Q121">IF(AF121="true","",TRIM(SUBSTITUTE(SUBSTITUTE(INDEX(CR:CR,MATCH("      item_no: "&amp;A121&amp;",",CR:CR,0)+13,1),"item_price_fmt: ￥",""),",",""))+0)</f>
        <v>49</v>
      </c>
      <c r="R121" s="326"/>
      <c r="S121" s="327">
        <f t="shared" si="29"/>
        <v>-25</v>
      </c>
      <c r="T121" s="328"/>
      <c r="U121" s="277" cm="1">
        <f t="array" ref="U121">IF(AF121="true","",TRIM(SUBSTITUTE(SUBSTITUTE(INDEX(CR:CR,MATCH("      item_no: "&amp;A121&amp;",",CR:CR,0)+14,1),"item_price_discount_fmt: ￥",""),",",""))+0)</f>
        <v>24</v>
      </c>
      <c r="V121" s="278"/>
      <c r="W121" s="279">
        <f ca="1">INT(SUMIF($Y$10:$AA121,"外税8%",$U$10:$V121)*1.08)+INT(SUMIF($Y$10:$AA121,"外税10%",$U$10:$V121)*1.1)+SUMIF($Y$10:$AA121,"内税10%",$U$10:$V121)+SUMIF($Y$10:$AA121,"非課税",$U$10:$V121)</f>
        <v>51373</v>
      </c>
      <c r="X121" s="280"/>
      <c r="Y121" s="281" t="str" cm="1">
        <f t="array" ref="Y121">TRIM(SUBSTITUTE(SUBSTITUTE(INDEX(CR:CR,MATCH("      item_no: "&amp;A121&amp;",",CR:CR,0)+15,1),"item_tax_fmt: ",""),",",""))</f>
        <v>外税8%</v>
      </c>
      <c r="Z121" s="282"/>
      <c r="AA121" s="282"/>
      <c r="AB121" s="283" t="str" cm="1">
        <f t="array" ref="AB121">TRIM(SUBSTITUTE(SUBSTITUTE(INDEX(CR:CR,MATCH("      item_no: "&amp;A121&amp;",",CR:CR,0)+18,1),"discount_prohibition:",""),",",""))</f>
        <v>0</v>
      </c>
      <c r="AC121" s="283"/>
      <c r="AD121" s="214" t="str">
        <f t="shared" si="27"/>
        <v>外税8%+0</v>
      </c>
      <c r="AE121" s="215"/>
      <c r="AF121" s="284" t="str" cm="1">
        <f t="array" ref="AF121">TRIM(SUBSTITUTE(SUBSTITUTE(INDEX(CR:CR,MATCH("      item_no: "&amp;A121&amp;",",CR:CR,0)+1,1),"item_cancel_line: ",""),",",""))</f>
        <v>false</v>
      </c>
      <c r="AG121" s="284"/>
      <c r="AH121" s="595"/>
      <c r="AI121" s="596"/>
      <c r="AJ121" s="285">
        <f t="shared" si="30"/>
        <v>-1.2000000000000002</v>
      </c>
      <c r="AK121" s="286"/>
      <c r="AL121" s="335">
        <f t="shared" ca="1" si="31"/>
        <v>-1.200563057192013</v>
      </c>
      <c r="AM121" s="336"/>
      <c r="AN121" s="333">
        <f t="shared" ca="1" si="32"/>
        <v>-2</v>
      </c>
      <c r="AO121" s="334"/>
      <c r="AP121" s="329">
        <f t="shared" si="33"/>
        <v>24</v>
      </c>
      <c r="AQ121" s="330"/>
      <c r="AR121" s="331">
        <f t="shared" si="34"/>
        <v>82</v>
      </c>
      <c r="AS121" s="332"/>
      <c r="AT121" s="333">
        <f t="shared" si="22"/>
        <v>0</v>
      </c>
      <c r="AU121" s="334"/>
      <c r="AV121" s="271"/>
      <c r="AW121" s="272"/>
      <c r="AX121" s="271">
        <f t="shared" si="28"/>
        <v>0</v>
      </c>
      <c r="AY121" s="272"/>
      <c r="AZ121" s="273">
        <f t="shared" si="37"/>
        <v>24</v>
      </c>
      <c r="BA121" s="274"/>
      <c r="BB121" s="343">
        <f t="shared" si="23"/>
        <v>25</v>
      </c>
      <c r="BC121" s="344"/>
      <c r="BD121" s="367">
        <f t="shared" si="35"/>
        <v>24</v>
      </c>
      <c r="BE121" s="368"/>
      <c r="BF121" s="368">
        <f t="shared" si="24"/>
        <v>0</v>
      </c>
      <c r="BG121" s="369"/>
      <c r="BH121" s="370" t="str">
        <f t="shared" si="36"/>
        <v/>
      </c>
      <c r="BI121" s="371"/>
      <c r="BJ121" s="564"/>
      <c r="BK121" s="565"/>
      <c r="BL121" s="568"/>
      <c r="BM121" s="570"/>
      <c r="CC121" s="138" t="s">
        <v>80</v>
      </c>
      <c r="CD121" s="337" t="str">
        <f t="shared" si="25"/>
        <v>外税8%</v>
      </c>
      <c r="CE121" s="337"/>
      <c r="CF121" s="338"/>
      <c r="CR121" s="103" t="s">
        <v>340</v>
      </c>
      <c r="CW121" s="103" t="s">
        <v>393</v>
      </c>
      <c r="CX121" s="102" t="s">
        <v>30</v>
      </c>
      <c r="CY121" s="103" t="s">
        <v>394</v>
      </c>
    </row>
    <row r="122" spans="1:103" ht="15" customHeight="1">
      <c r="A122" s="100">
        <f t="shared" si="26"/>
        <v>8</v>
      </c>
      <c r="B122" s="293" t="s">
        <v>171</v>
      </c>
      <c r="C122" s="293"/>
      <c r="D122" s="293"/>
      <c r="E122" s="293"/>
      <c r="F122" s="293" t="str" cm="1">
        <f t="array" ref="F122">TRIM(SUBSTITUTE(SUBSTITUTE(INDEX(CR:CR,MATCH("      item_no: "&amp;A122&amp;",",CR:CR,0)+9,1),"item_name: ",""),",",""))</f>
        <v>オールドココナッツ</v>
      </c>
      <c r="G122" s="293"/>
      <c r="H122" s="293"/>
      <c r="I122" s="293"/>
      <c r="J122" s="293"/>
      <c r="K122" s="293"/>
      <c r="L122" s="325" t="str" cm="1">
        <f t="array" ref="L122">TRIM(SUBSTITUTE(SUBSTITUTE(INDEX(CR:CR,MATCH("      item_no: "&amp;A122&amp;",",CR:CR,0)+3,1),"item_scan_code: ",""),",",""))</f>
        <v>8938535840032030000207</v>
      </c>
      <c r="M122" s="325"/>
      <c r="N122" s="325"/>
      <c r="O122" s="325"/>
      <c r="P122" s="325"/>
      <c r="Q122" s="281" cm="1">
        <f t="array" ref="Q122">IF(AF122="true","",TRIM(SUBSTITUTE(SUBSTITUTE(INDEX(CR:CR,MATCH("      item_no: "&amp;A122&amp;",",CR:CR,0)+13,1),"item_price_fmt: ￥",""),",",""))+0)</f>
        <v>499</v>
      </c>
      <c r="R122" s="326"/>
      <c r="S122" s="327">
        <f t="shared" si="29"/>
        <v>-100</v>
      </c>
      <c r="T122" s="328"/>
      <c r="U122" s="277" cm="1">
        <f t="array" ref="U122">IF(AF122="true","",TRIM(SUBSTITUTE(SUBSTITUTE(INDEX(CR:CR,MATCH("      item_no: "&amp;A122&amp;",",CR:CR,0)+14,1),"item_price_discount_fmt: ￥",""),",",""))+0)</f>
        <v>399</v>
      </c>
      <c r="V122" s="278"/>
      <c r="W122" s="279">
        <f ca="1">INT(SUMIF($Y$10:$AA122,"外税8%",$U$10:$V122)*1.08)+INT(SUMIF($Y$10:$AA122,"外税10%",$U$10:$V122)*1.1)+SUMIF($Y$10:$AA122,"内税10%",$U$10:$V122)+SUMIF($Y$10:$AA122,"非課税",$U$10:$V122)</f>
        <v>51804</v>
      </c>
      <c r="X122" s="280"/>
      <c r="Y122" s="281" t="str" cm="1">
        <f t="array" ref="Y122">TRIM(SUBSTITUTE(SUBSTITUTE(INDEX(CR:CR,MATCH("      item_no: "&amp;A122&amp;",",CR:CR,0)+15,1),"item_tax_fmt: ",""),",",""))</f>
        <v>外税8%</v>
      </c>
      <c r="Z122" s="282"/>
      <c r="AA122" s="282"/>
      <c r="AB122" s="283" t="str" cm="1">
        <f t="array" ref="AB122">TRIM(SUBSTITUTE(SUBSTITUTE(INDEX(CR:CR,MATCH("      item_no: "&amp;A122&amp;",",CR:CR,0)+18,1),"discount_prohibition:",""),",",""))</f>
        <v>0</v>
      </c>
      <c r="AC122" s="283"/>
      <c r="AD122" s="214" t="str">
        <f t="shared" si="27"/>
        <v>外税8%+0</v>
      </c>
      <c r="AE122" s="215"/>
      <c r="AF122" s="284" t="str" cm="1">
        <f t="array" ref="AF122">TRIM(SUBSTITUTE(SUBSTITUTE(INDEX(CR:CR,MATCH("      item_no: "&amp;A122&amp;",",CR:CR,0)+1,1),"item_cancel_line: ",""),",",""))</f>
        <v>false</v>
      </c>
      <c r="AG122" s="284"/>
      <c r="AH122" s="595"/>
      <c r="AI122" s="596"/>
      <c r="AJ122" s="285">
        <f t="shared" si="30"/>
        <v>-19.950000000000003</v>
      </c>
      <c r="AK122" s="286"/>
      <c r="AL122" s="335">
        <f t="shared" ca="1" si="31"/>
        <v>-19.959360825817214</v>
      </c>
      <c r="AM122" s="336"/>
      <c r="AN122" s="333">
        <f t="shared" ca="1" si="32"/>
        <v>-20</v>
      </c>
      <c r="AO122" s="334"/>
      <c r="AP122" s="329">
        <f t="shared" si="33"/>
        <v>399</v>
      </c>
      <c r="AQ122" s="330"/>
      <c r="AR122" s="331">
        <f t="shared" si="34"/>
        <v>36</v>
      </c>
      <c r="AS122" s="332"/>
      <c r="AT122" s="333">
        <f t="shared" ca="1" si="22"/>
        <v>-20</v>
      </c>
      <c r="AU122" s="334"/>
      <c r="AV122" s="271"/>
      <c r="AW122" s="272"/>
      <c r="AX122" s="271">
        <f t="shared" ca="1" si="28"/>
        <v>-20</v>
      </c>
      <c r="AY122" s="272"/>
      <c r="AZ122" s="273">
        <f t="shared" ca="1" si="37"/>
        <v>379</v>
      </c>
      <c r="BA122" s="274"/>
      <c r="BB122" s="343">
        <f t="shared" ca="1" si="23"/>
        <v>409</v>
      </c>
      <c r="BC122" s="344"/>
      <c r="BD122" s="348">
        <f t="shared" si="35"/>
        <v>379</v>
      </c>
      <c r="BE122" s="343"/>
      <c r="BF122" s="343">
        <f t="shared" si="24"/>
        <v>-20</v>
      </c>
      <c r="BG122" s="344"/>
      <c r="BH122" s="345" t="str">
        <f t="shared" ca="1" si="36"/>
        <v/>
      </c>
      <c r="BI122" s="346"/>
      <c r="BJ122" s="564"/>
      <c r="BK122" s="565"/>
      <c r="BL122" s="568"/>
      <c r="BM122" s="570"/>
      <c r="CC122" s="138" t="s">
        <v>80</v>
      </c>
      <c r="CD122" s="337" t="str">
        <f t="shared" si="25"/>
        <v>外税8%</v>
      </c>
      <c r="CE122" s="337"/>
      <c r="CF122" s="338"/>
      <c r="CR122" s="103" t="s">
        <v>272</v>
      </c>
      <c r="CW122" s="103" t="s">
        <v>395</v>
      </c>
      <c r="CX122" s="102" t="s">
        <v>30</v>
      </c>
      <c r="CY122" s="103" t="s">
        <v>396</v>
      </c>
    </row>
    <row r="123" spans="1:103" ht="15" customHeight="1">
      <c r="A123" s="100">
        <f t="shared" si="26"/>
        <v>7</v>
      </c>
      <c r="B123" s="293" t="s">
        <v>171</v>
      </c>
      <c r="C123" s="293"/>
      <c r="D123" s="293"/>
      <c r="E123" s="293"/>
      <c r="F123" s="293" t="str" cm="1">
        <f t="array" ref="F123">TRIM(SUBSTITUTE(SUBSTITUTE(INDEX(CR:CR,MATCH("      item_no: "&amp;A123&amp;",",CR:CR,0)+9,1),"item_name: ",""),",",""))</f>
        <v>オールドココナッツ</v>
      </c>
      <c r="G123" s="293"/>
      <c r="H123" s="293"/>
      <c r="I123" s="293"/>
      <c r="J123" s="293"/>
      <c r="K123" s="293"/>
      <c r="L123" s="325" t="str" cm="1">
        <f t="array" ref="L123">TRIM(SUBSTITUTE(SUBSTITUTE(INDEX(CR:CR,MATCH("      item_no: "&amp;A123&amp;",",CR:CR,0)+3,1),"item_scan_code: ",""),",",""))</f>
        <v>8938535840032030000306</v>
      </c>
      <c r="M123" s="325"/>
      <c r="N123" s="325"/>
      <c r="O123" s="325"/>
      <c r="P123" s="325"/>
      <c r="Q123" s="281" cm="1">
        <f t="array" ref="Q123">IF(AF123="true","",TRIM(SUBSTITUTE(SUBSTITUTE(INDEX(CR:CR,MATCH("      item_no: "&amp;A123&amp;",",CR:CR,0)+13,1),"item_price_fmt: ￥",""),",",""))+0)</f>
        <v>499</v>
      </c>
      <c r="R123" s="326"/>
      <c r="S123" s="327">
        <f t="shared" si="29"/>
        <v>-150</v>
      </c>
      <c r="T123" s="328"/>
      <c r="U123" s="277" cm="1">
        <f t="array" ref="U123">IF(AF123="true","",TRIM(SUBSTITUTE(SUBSTITUTE(INDEX(CR:CR,MATCH("      item_no: "&amp;A123&amp;",",CR:CR,0)+14,1),"item_price_discount_fmt: ￥",""),",",""))+0)</f>
        <v>349</v>
      </c>
      <c r="V123" s="278"/>
      <c r="W123" s="279">
        <f ca="1">INT(SUMIF($Y$10:$AA123,"外税8%",$U$10:$V123)*1.08)+INT(SUMIF($Y$10:$AA123,"外税10%",$U$10:$V123)*1.1)+SUMIF($Y$10:$AA123,"内税10%",$U$10:$V123)+SUMIF($Y$10:$AA123,"非課税",$U$10:$V123)</f>
        <v>52180</v>
      </c>
      <c r="X123" s="280"/>
      <c r="Y123" s="281" t="str" cm="1">
        <f t="array" ref="Y123">TRIM(SUBSTITUTE(SUBSTITUTE(INDEX(CR:CR,MATCH("      item_no: "&amp;A123&amp;",",CR:CR,0)+15,1),"item_tax_fmt: ",""),",",""))</f>
        <v>外税8%</v>
      </c>
      <c r="Z123" s="282"/>
      <c r="AA123" s="282"/>
      <c r="AB123" s="283" t="str" cm="1">
        <f t="array" ref="AB123">TRIM(SUBSTITUTE(SUBSTITUTE(INDEX(CR:CR,MATCH("      item_no: "&amp;A123&amp;",",CR:CR,0)+18,1),"discount_prohibition:",""),",",""))</f>
        <v>0</v>
      </c>
      <c r="AC123" s="283"/>
      <c r="AD123" s="214" t="str">
        <f t="shared" si="27"/>
        <v>外税8%+0</v>
      </c>
      <c r="AE123" s="215"/>
      <c r="AF123" s="284" t="str" cm="1">
        <f t="array" ref="AF123">TRIM(SUBSTITUTE(SUBSTITUTE(INDEX(CR:CR,MATCH("      item_no: "&amp;A123&amp;",",CR:CR,0)+1,1),"item_cancel_line: ",""),",",""))</f>
        <v>false</v>
      </c>
      <c r="AG123" s="284"/>
      <c r="AH123" s="595"/>
      <c r="AI123" s="596"/>
      <c r="AJ123" s="285">
        <f t="shared" si="30"/>
        <v>-17.45</v>
      </c>
      <c r="AK123" s="286"/>
      <c r="AL123" s="335">
        <f t="shared" ref="AL123:AL129" ca="1" si="38">IF(S123="","",IF(AB123="0",U123*$U$143/$U$141,0))</f>
        <v>-17.458187790000522</v>
      </c>
      <c r="AM123" s="336"/>
      <c r="AN123" s="333">
        <f t="shared" ca="1" si="32"/>
        <v>-18</v>
      </c>
      <c r="AO123" s="334"/>
      <c r="AP123" s="329">
        <f t="shared" si="33"/>
        <v>349</v>
      </c>
      <c r="AQ123" s="330"/>
      <c r="AR123" s="331">
        <f t="shared" si="34"/>
        <v>43</v>
      </c>
      <c r="AS123" s="332"/>
      <c r="AT123" s="333">
        <f t="shared" ca="1" si="22"/>
        <v>-18</v>
      </c>
      <c r="AU123" s="334"/>
      <c r="AV123" s="271"/>
      <c r="AW123" s="272"/>
      <c r="AX123" s="271">
        <f t="shared" ca="1" si="28"/>
        <v>-18</v>
      </c>
      <c r="AY123" s="272"/>
      <c r="AZ123" s="273">
        <f t="shared" ca="1" si="37"/>
        <v>331</v>
      </c>
      <c r="BA123" s="274"/>
      <c r="BB123" s="343">
        <f t="shared" ca="1" si="23"/>
        <v>357</v>
      </c>
      <c r="BC123" s="344"/>
      <c r="BD123" s="348">
        <f t="shared" si="35"/>
        <v>331</v>
      </c>
      <c r="BE123" s="343"/>
      <c r="BF123" s="343">
        <f t="shared" si="24"/>
        <v>-18</v>
      </c>
      <c r="BG123" s="344"/>
      <c r="BH123" s="345" t="str">
        <f t="shared" ca="1" si="36"/>
        <v/>
      </c>
      <c r="BI123" s="346"/>
      <c r="BJ123" s="564"/>
      <c r="BK123" s="565"/>
      <c r="BL123" s="568"/>
      <c r="BM123" s="570"/>
      <c r="CC123" s="138" t="s">
        <v>80</v>
      </c>
      <c r="CD123" s="337" t="str">
        <f t="shared" si="25"/>
        <v>外税8%</v>
      </c>
      <c r="CE123" s="337"/>
      <c r="CF123" s="338"/>
      <c r="CR123" s="103" t="s">
        <v>397</v>
      </c>
      <c r="CW123" s="103" t="s">
        <v>398</v>
      </c>
      <c r="CX123" s="102" t="s">
        <v>30</v>
      </c>
      <c r="CY123" s="103" t="s">
        <v>399</v>
      </c>
    </row>
    <row r="124" spans="1:103" ht="15" customHeight="1">
      <c r="A124" s="100">
        <f t="shared" si="26"/>
        <v>6</v>
      </c>
      <c r="B124" s="293" t="s">
        <v>171</v>
      </c>
      <c r="C124" s="293"/>
      <c r="D124" s="293"/>
      <c r="E124" s="293"/>
      <c r="F124" s="293" t="str" cm="1">
        <f t="array" ref="F124">TRIM(SUBSTITUTE(SUBSTITUTE(INDEX(CR:CR,MATCH("      item_no: "&amp;A124&amp;",",CR:CR,0)+9,1),"item_name: ",""),",",""))</f>
        <v>オールドココナッツ</v>
      </c>
      <c r="G124" s="293"/>
      <c r="H124" s="293"/>
      <c r="I124" s="293"/>
      <c r="J124" s="293"/>
      <c r="K124" s="293"/>
      <c r="L124" s="325" t="str" cm="1">
        <f t="array" ref="L124">TRIM(SUBSTITUTE(SUBSTITUTE(INDEX(CR:CR,MATCH("      item_no: "&amp;A124&amp;",",CR:CR,0)+3,1),"item_scan_code: ",""),",",""))</f>
        <v>8938535840032030000504</v>
      </c>
      <c r="M124" s="325"/>
      <c r="N124" s="325"/>
      <c r="O124" s="325"/>
      <c r="P124" s="325"/>
      <c r="Q124" s="281" cm="1">
        <f t="array" ref="Q124">IF(AF124="true","",TRIM(SUBSTITUTE(SUBSTITUTE(INDEX(CR:CR,MATCH("      item_no: "&amp;A124&amp;",",CR:CR,0)+13,1),"item_price_fmt: ￥",""),",",""))+0)</f>
        <v>499</v>
      </c>
      <c r="R124" s="326"/>
      <c r="S124" s="327">
        <f t="shared" si="29"/>
        <v>-250</v>
      </c>
      <c r="T124" s="328"/>
      <c r="U124" s="277" cm="1">
        <f t="array" ref="U124">IF(AF124="true","",TRIM(SUBSTITUTE(SUBSTITUTE(INDEX(CR:CR,MATCH("      item_no: "&amp;A124&amp;",",CR:CR,0)+14,1),"item_price_discount_fmt: ￥",""),",",""))+0)</f>
        <v>249</v>
      </c>
      <c r="V124" s="278"/>
      <c r="W124" s="279">
        <f ca="1">INT(SUMIF($Y$10:$AA124,"外税8%",$U$10:$V124)*1.08)+INT(SUMIF($Y$10:$AA124,"外税10%",$U$10:$V124)*1.1)+SUMIF($Y$10:$AA124,"内税10%",$U$10:$V124)+SUMIF($Y$10:$AA124,"非課税",$U$10:$V124)</f>
        <v>52449</v>
      </c>
      <c r="X124" s="280"/>
      <c r="Y124" s="281" t="str" cm="1">
        <f t="array" ref="Y124">TRIM(SUBSTITUTE(SUBSTITUTE(INDEX(CR:CR,MATCH("      item_no: "&amp;A124&amp;",",CR:CR,0)+15,1),"item_tax_fmt: ",""),",",""))</f>
        <v>外税8%</v>
      </c>
      <c r="Z124" s="282"/>
      <c r="AA124" s="282"/>
      <c r="AB124" s="283" t="str" cm="1">
        <f t="array" ref="AB124">TRIM(SUBSTITUTE(SUBSTITUTE(INDEX(CR:CR,MATCH("      item_no: "&amp;A124&amp;",",CR:CR,0)+18,1),"discount_prohibition:",""),",",""))</f>
        <v>0</v>
      </c>
      <c r="AC124" s="283"/>
      <c r="AD124" s="214" t="str">
        <f t="shared" si="27"/>
        <v>外税8%+0</v>
      </c>
      <c r="AE124" s="215"/>
      <c r="AF124" s="284" t="str" cm="1">
        <f t="array" ref="AF124">TRIM(SUBSTITUTE(SUBSTITUTE(INDEX(CR:CR,MATCH("      item_no: "&amp;A124&amp;",",CR:CR,0)+1,1),"item_cancel_line: ",""),",",""))</f>
        <v>false</v>
      </c>
      <c r="AG124" s="284"/>
      <c r="AH124" s="595"/>
      <c r="AI124" s="596"/>
      <c r="AJ124" s="285">
        <f t="shared" si="30"/>
        <v>-12.450000000000001</v>
      </c>
      <c r="AK124" s="286"/>
      <c r="AL124" s="335">
        <f t="shared" ca="1" si="38"/>
        <v>-12.455841718367134</v>
      </c>
      <c r="AM124" s="336"/>
      <c r="AN124" s="333">
        <f t="shared" ca="1" si="32"/>
        <v>-13</v>
      </c>
      <c r="AO124" s="334"/>
      <c r="AP124" s="329">
        <f t="shared" si="33"/>
        <v>249</v>
      </c>
      <c r="AQ124" s="330"/>
      <c r="AR124" s="331">
        <f t="shared" si="34"/>
        <v>53</v>
      </c>
      <c r="AS124" s="332"/>
      <c r="AT124" s="333">
        <f t="shared" ca="1" si="22"/>
        <v>-13</v>
      </c>
      <c r="AU124" s="334"/>
      <c r="AV124" s="271"/>
      <c r="AW124" s="272"/>
      <c r="AX124" s="271">
        <f t="shared" ca="1" si="28"/>
        <v>-13</v>
      </c>
      <c r="AY124" s="272"/>
      <c r="AZ124" s="273">
        <f t="shared" ca="1" si="37"/>
        <v>236</v>
      </c>
      <c r="BA124" s="274"/>
      <c r="BB124" s="343">
        <f t="shared" ca="1" si="23"/>
        <v>254</v>
      </c>
      <c r="BC124" s="344"/>
      <c r="BD124" s="348">
        <f t="shared" si="35"/>
        <v>236</v>
      </c>
      <c r="BE124" s="343"/>
      <c r="BF124" s="343">
        <f t="shared" si="24"/>
        <v>-13</v>
      </c>
      <c r="BG124" s="344"/>
      <c r="BH124" s="345" t="str">
        <f t="shared" ca="1" si="36"/>
        <v/>
      </c>
      <c r="BI124" s="346"/>
      <c r="BJ124" s="564"/>
      <c r="BK124" s="565"/>
      <c r="BL124" s="568"/>
      <c r="BM124" s="570"/>
      <c r="CC124" s="138" t="s">
        <v>80</v>
      </c>
      <c r="CD124" s="337" t="str">
        <f t="shared" si="25"/>
        <v>外税8%</v>
      </c>
      <c r="CE124" s="337"/>
      <c r="CF124" s="338"/>
      <c r="CR124" s="103" t="s">
        <v>279</v>
      </c>
      <c r="CW124" s="103" t="s">
        <v>400</v>
      </c>
      <c r="CX124" s="102" t="s">
        <v>30</v>
      </c>
      <c r="CY124" s="103" t="s">
        <v>401</v>
      </c>
    </row>
    <row r="125" spans="1:103" ht="15" customHeight="1">
      <c r="A125" s="100">
        <f t="shared" si="26"/>
        <v>5</v>
      </c>
      <c r="B125" s="365" t="s">
        <v>181</v>
      </c>
      <c r="C125" s="365"/>
      <c r="D125" s="365"/>
      <c r="E125" s="365"/>
      <c r="F125" s="365" t="str" cm="1">
        <f t="array" ref="F125">TRIM(SUBSTITUTE(SUBSTITUTE(INDEX(CR:CR,MATCH("      item_no: "&amp;A125&amp;",",CR:CR,0)+9,1),"item_name: ",""),",",""))</f>
        <v>本まぐろ赤身スライス刺養解番７６１</v>
      </c>
      <c r="G125" s="365"/>
      <c r="H125" s="365"/>
      <c r="I125" s="365"/>
      <c r="J125" s="365"/>
      <c r="K125" s="365"/>
      <c r="L125" s="366" t="str" cm="1">
        <f t="array" ref="L125">TRIM(SUBSTITUTE(SUBSTITUTE(INDEX(CR:CR,MATCH("      item_no: "&amp;A125&amp;",",CR:CR,0)+3,1),"item_scan_code: ",""),",",""))</f>
        <v>0269406704756030000205</v>
      </c>
      <c r="M125" s="366"/>
      <c r="N125" s="366"/>
      <c r="O125" s="366"/>
      <c r="P125" s="366"/>
      <c r="Q125" s="211" t="s">
        <v>1381</v>
      </c>
      <c r="R125" s="212"/>
      <c r="S125" s="212"/>
      <c r="T125" s="212"/>
      <c r="U125" s="212"/>
      <c r="V125" s="213"/>
      <c r="W125" s="279">
        <f ca="1">INT(SUMIF($Y$10:$AA125,"外税8%",$U$10:$V125)*1.08)+INT(SUMIF($Y$10:$AA125,"外税10%",$U$10:$V125)*1.1)+SUMIF($Y$10:$AA125,"内税10%",$U$10:$V125)+SUMIF($Y$10:$AA125,"非課税",$U$10:$V125)</f>
        <v>52449</v>
      </c>
      <c r="X125" s="280"/>
      <c r="Y125" s="359" t="str" cm="1">
        <f t="array" ref="Y125">TRIM(SUBSTITUTE(SUBSTITUTE(INDEX(CR:CR,MATCH("      item_no: "&amp;A125&amp;",",CR:CR,0)+15,1),"item_tax_fmt: ",""),",",""))</f>
        <v>外税8%</v>
      </c>
      <c r="Z125" s="360"/>
      <c r="AA125" s="360"/>
      <c r="AB125" s="361" t="str" cm="1">
        <f t="array" ref="AB125">TRIM(SUBSTITUTE(SUBSTITUTE(INDEX(CR:CR,MATCH("      item_no: "&amp;A125&amp;",",CR:CR,0)+18,1),"discount_prohibition:",""),",",""))</f>
        <v>0</v>
      </c>
      <c r="AC125" s="361"/>
      <c r="AD125" s="216" t="str">
        <f t="shared" si="27"/>
        <v>外税8%+0</v>
      </c>
      <c r="AE125" s="217"/>
      <c r="AF125" s="362" t="str" cm="1">
        <f t="array" ref="AF125">TRIM(SUBSTITUTE(SUBSTITUTE(INDEX(CR:CR,MATCH("      item_no: "&amp;A125&amp;",",CR:CR,0)+1,1),"item_cancel_line: ",""),",",""))</f>
        <v>true</v>
      </c>
      <c r="AG125" s="362"/>
      <c r="AH125" s="595"/>
      <c r="AI125" s="596"/>
      <c r="AJ125" s="363" t="str">
        <f t="shared" si="30"/>
        <v/>
      </c>
      <c r="AK125" s="364"/>
      <c r="AL125" s="335" t="str">
        <f t="shared" si="38"/>
        <v/>
      </c>
      <c r="AM125" s="336"/>
      <c r="AN125" s="333" t="str">
        <f t="shared" si="32"/>
        <v/>
      </c>
      <c r="AO125" s="334"/>
      <c r="AP125" s="355" t="str">
        <f t="shared" si="33"/>
        <v/>
      </c>
      <c r="AQ125" s="356"/>
      <c r="AR125" s="357" t="str">
        <f t="shared" si="34"/>
        <v/>
      </c>
      <c r="AS125" s="358"/>
      <c r="AT125" s="333">
        <f t="shared" si="22"/>
        <v>0</v>
      </c>
      <c r="AU125" s="334"/>
      <c r="AV125" s="271"/>
      <c r="AW125" s="272"/>
      <c r="AX125" s="271">
        <f t="shared" si="28"/>
        <v>0</v>
      </c>
      <c r="AY125" s="272"/>
      <c r="AZ125" s="334" t="str">
        <f t="shared" si="37"/>
        <v/>
      </c>
      <c r="BA125" s="349"/>
      <c r="BB125" s="350" t="str">
        <f t="shared" si="23"/>
        <v/>
      </c>
      <c r="BC125" s="351"/>
      <c r="BD125" s="352" t="str">
        <f t="shared" si="35"/>
        <v/>
      </c>
      <c r="BE125" s="350"/>
      <c r="BF125" s="350"/>
      <c r="BG125" s="351"/>
      <c r="BH125" s="353" t="str">
        <f t="shared" si="36"/>
        <v/>
      </c>
      <c r="BI125" s="354"/>
      <c r="BJ125" s="564"/>
      <c r="BK125" s="565"/>
      <c r="BL125" s="568"/>
      <c r="BM125" s="570"/>
      <c r="CC125" s="138" t="s">
        <v>80</v>
      </c>
      <c r="CD125" s="337" t="str">
        <f t="shared" si="25"/>
        <v>外税8%</v>
      </c>
      <c r="CE125" s="337"/>
      <c r="CF125" s="338"/>
      <c r="CR125" s="103" t="s">
        <v>282</v>
      </c>
      <c r="CX125" s="102" t="s">
        <v>30</v>
      </c>
    </row>
    <row r="126" spans="1:103" ht="15" customHeight="1">
      <c r="A126" s="100">
        <f t="shared" si="26"/>
        <v>4</v>
      </c>
      <c r="B126" s="293" t="s">
        <v>126</v>
      </c>
      <c r="C126" s="293"/>
      <c r="D126" s="293"/>
      <c r="E126" s="293"/>
      <c r="F126" s="293" t="str" cm="1">
        <f t="array" ref="F126">TRIM(SUBSTITUTE(SUBSTITUTE(INDEX(CR:CR,MATCH("      item_no: "&amp;A126&amp;",",CR:CR,0)+9,1),"item_name: ",""),",",""))</f>
        <v>日清　カップヌードル　カレー</v>
      </c>
      <c r="G126" s="293"/>
      <c r="H126" s="293"/>
      <c r="I126" s="293"/>
      <c r="J126" s="293"/>
      <c r="K126" s="293"/>
      <c r="L126" s="325" t="str" cm="1">
        <f t="array" ref="L126">TRIM(SUBSTITUTE(SUBSTITUTE(INDEX(CR:CR,MATCH("      item_no: "&amp;A126&amp;",",CR:CR,0)+3,1),"item_scan_code: ",""),",",""))</f>
        <v>49698145</v>
      </c>
      <c r="M126" s="325"/>
      <c r="N126" s="325"/>
      <c r="O126" s="325"/>
      <c r="P126" s="325"/>
      <c r="Q126" s="281" cm="1">
        <f t="array" ref="Q126">IF(AF126="true","",TRIM(SUBSTITUTE(SUBSTITUTE(INDEX(CR:CR,MATCH("      item_no: "&amp;A126&amp;",",CR:CR,0)+13,1),"item_price_fmt: ￥",""),",",""))+0)</f>
        <v>189</v>
      </c>
      <c r="R126" s="326"/>
      <c r="S126" s="327">
        <f t="shared" si="29"/>
        <v>0</v>
      </c>
      <c r="T126" s="328"/>
      <c r="U126" s="277" cm="1">
        <f t="array" ref="U126">IF(AF126="true","",TRIM(SUBSTITUTE(SUBSTITUTE(INDEX(CR:CR,MATCH("      item_no: "&amp;A126&amp;",",CR:CR,0)+14,1),"item_price_discount_fmt: ￥",""),",",""))+0)</f>
        <v>189</v>
      </c>
      <c r="V126" s="278"/>
      <c r="W126" s="279">
        <f ca="1">INT(SUMIF($Y$10:$AA126,"外税8%",$U$10:$V126)*1.08)+INT(SUMIF($Y$10:$AA126,"外税10%",$U$10:$V126)*1.1)+SUMIF($Y$10:$AA126,"内税10%",$U$10:$V126)+SUMIF($Y$10:$AA126,"非課税",$U$10:$V126)</f>
        <v>52653</v>
      </c>
      <c r="X126" s="280"/>
      <c r="Y126" s="281" t="str" cm="1">
        <f t="array" ref="Y126">TRIM(SUBSTITUTE(SUBSTITUTE(INDEX(CR:CR,MATCH("      item_no: "&amp;A126&amp;",",CR:CR,0)+15,1),"item_tax_fmt: ",""),",",""))</f>
        <v>外税8%</v>
      </c>
      <c r="Z126" s="282"/>
      <c r="AA126" s="282"/>
      <c r="AB126" s="283" t="str" cm="1">
        <f t="array" ref="AB126">TRIM(SUBSTITUTE(SUBSTITUTE(INDEX(CR:CR,MATCH("      item_no: "&amp;A126&amp;",",CR:CR,0)+18,1),"discount_prohibition:",""),",",""))</f>
        <v>0</v>
      </c>
      <c r="AC126" s="283"/>
      <c r="AD126" s="214" t="str">
        <f t="shared" si="27"/>
        <v>外税8%+0</v>
      </c>
      <c r="AE126" s="215"/>
      <c r="AF126" s="284" t="str" cm="1">
        <f t="array" ref="AF126">TRIM(SUBSTITUTE(SUBSTITUTE(INDEX(CR:CR,MATCH("      item_no: "&amp;A126&amp;",",CR:CR,0)+1,1),"item_cancel_line: ",""),",",""))</f>
        <v>false</v>
      </c>
      <c r="AG126" s="284"/>
      <c r="AH126" s="595"/>
      <c r="AI126" s="596"/>
      <c r="AJ126" s="285">
        <f t="shared" si="30"/>
        <v>-9.4500000000000011</v>
      </c>
      <c r="AK126" s="286"/>
      <c r="AL126" s="335">
        <f t="shared" ca="1" si="38"/>
        <v>-9.4544340753871019</v>
      </c>
      <c r="AM126" s="336"/>
      <c r="AN126" s="333">
        <f t="shared" ca="1" si="32"/>
        <v>-10</v>
      </c>
      <c r="AO126" s="334"/>
      <c r="AP126" s="329">
        <f t="shared" si="33"/>
        <v>189</v>
      </c>
      <c r="AQ126" s="330"/>
      <c r="AR126" s="331">
        <f t="shared" si="34"/>
        <v>63</v>
      </c>
      <c r="AS126" s="332"/>
      <c r="AT126" s="333">
        <f t="shared" ca="1" si="22"/>
        <v>-10</v>
      </c>
      <c r="AU126" s="334"/>
      <c r="AV126" s="271"/>
      <c r="AW126" s="272"/>
      <c r="AX126" s="271">
        <f t="shared" ca="1" si="28"/>
        <v>-10</v>
      </c>
      <c r="AY126" s="272"/>
      <c r="AZ126" s="273">
        <f t="shared" ca="1" si="37"/>
        <v>179</v>
      </c>
      <c r="BA126" s="274"/>
      <c r="BB126" s="343">
        <f t="shared" ca="1" si="23"/>
        <v>193</v>
      </c>
      <c r="BC126" s="344"/>
      <c r="BD126" s="348">
        <f t="shared" si="35"/>
        <v>179</v>
      </c>
      <c r="BE126" s="343"/>
      <c r="BF126" s="343">
        <f>BD126-U126</f>
        <v>-10</v>
      </c>
      <c r="BG126" s="344"/>
      <c r="BH126" s="345" t="str">
        <f t="shared" ca="1" si="36"/>
        <v/>
      </c>
      <c r="BI126" s="346"/>
      <c r="BJ126" s="564"/>
      <c r="BK126" s="565"/>
      <c r="BL126" s="568"/>
      <c r="BM126" s="570"/>
      <c r="CC126" s="138" t="s">
        <v>80</v>
      </c>
      <c r="CD126" s="337" t="str">
        <f t="shared" si="25"/>
        <v>外税8%</v>
      </c>
      <c r="CE126" s="337"/>
      <c r="CF126" s="338"/>
      <c r="CR126" s="103" t="s">
        <v>402</v>
      </c>
      <c r="CW126" s="103" t="s">
        <v>403</v>
      </c>
      <c r="CX126" s="102" t="s">
        <v>30</v>
      </c>
      <c r="CY126" s="103" t="s">
        <v>404</v>
      </c>
    </row>
    <row r="127" spans="1:103" ht="15" customHeight="1">
      <c r="A127" s="100">
        <f t="shared" si="26"/>
        <v>3</v>
      </c>
      <c r="B127" s="293" t="s">
        <v>126</v>
      </c>
      <c r="C127" s="293"/>
      <c r="D127" s="293"/>
      <c r="E127" s="293"/>
      <c r="F127" s="293" t="str" cm="1">
        <f t="array" ref="F127">TRIM(SUBSTITUTE(SUBSTITUTE(INDEX(CR:CR,MATCH("      item_no: "&amp;A127&amp;",",CR:CR,0)+9,1),"item_name: ",""),",",""))</f>
        <v>日清　カップヌードル</v>
      </c>
      <c r="G127" s="293"/>
      <c r="H127" s="293"/>
      <c r="I127" s="293"/>
      <c r="J127" s="293"/>
      <c r="K127" s="293"/>
      <c r="L127" s="325" t="str" cm="1">
        <f t="array" ref="L127">TRIM(SUBSTITUTE(SUBSTITUTE(INDEX(CR:CR,MATCH("      item_no: "&amp;A127&amp;",",CR:CR,0)+3,1),"item_scan_code: ",""),",",""))</f>
        <v>49698626</v>
      </c>
      <c r="M127" s="325"/>
      <c r="N127" s="325"/>
      <c r="O127" s="325"/>
      <c r="P127" s="325"/>
      <c r="Q127" s="281" cm="1">
        <f t="array" ref="Q127">IF(AF127="true","",TRIM(SUBSTITUTE(SUBSTITUTE(INDEX(CR:CR,MATCH("      item_no: "&amp;A127&amp;",",CR:CR,0)+13,1),"item_price_fmt: ￥",""),",",""))+0)</f>
        <v>189</v>
      </c>
      <c r="R127" s="326"/>
      <c r="S127" s="327">
        <f t="shared" si="29"/>
        <v>0</v>
      </c>
      <c r="T127" s="328"/>
      <c r="U127" s="277" cm="1">
        <f t="array" ref="U127">IF(AF127="true","",TRIM(SUBSTITUTE(SUBSTITUTE(INDEX(CR:CR,MATCH("      item_no: "&amp;A127&amp;",",CR:CR,0)+14,1),"item_price_discount_fmt: ￥",""),",",""))+0)</f>
        <v>189</v>
      </c>
      <c r="V127" s="278"/>
      <c r="W127" s="279">
        <f ca="1">INT(SUMIF($Y$10:$AA127,"外税8%",$U$10:$V127)*1.08)+INT(SUMIF($Y$10:$AA127,"外税10%",$U$10:$V127)*1.1)+SUMIF($Y$10:$AA127,"内税10%",$U$10:$V127)+SUMIF($Y$10:$AA127,"非課税",$U$10:$V127)</f>
        <v>52858</v>
      </c>
      <c r="X127" s="280"/>
      <c r="Y127" s="281" t="str" cm="1">
        <f t="array" ref="Y127">TRIM(SUBSTITUTE(SUBSTITUTE(INDEX(CR:CR,MATCH("      item_no: "&amp;A127&amp;",",CR:CR,0)+15,1),"item_tax_fmt: ",""),",",""))</f>
        <v>外税8%</v>
      </c>
      <c r="Z127" s="282"/>
      <c r="AA127" s="282"/>
      <c r="AB127" s="283" t="str" cm="1">
        <f t="array" ref="AB127">TRIM(SUBSTITUTE(SUBSTITUTE(INDEX(CR:CR,MATCH("      item_no: "&amp;A127&amp;",",CR:CR,0)+18,1),"discount_prohibition:",""),",",""))</f>
        <v>0</v>
      </c>
      <c r="AC127" s="283"/>
      <c r="AD127" s="214" t="str">
        <f t="shared" si="27"/>
        <v>外税8%+0</v>
      </c>
      <c r="AE127" s="215"/>
      <c r="AF127" s="284" t="str" cm="1">
        <f t="array" ref="AF127">TRIM(SUBSTITUTE(SUBSTITUTE(INDEX(CR:CR,MATCH("      item_no: "&amp;A127&amp;",",CR:CR,0)+1,1),"item_cancel_line: ",""),",",""))</f>
        <v>false</v>
      </c>
      <c r="AG127" s="284"/>
      <c r="AH127" s="595"/>
      <c r="AI127" s="596"/>
      <c r="AJ127" s="285">
        <f t="shared" si="30"/>
        <v>-9.4500000000000011</v>
      </c>
      <c r="AK127" s="286"/>
      <c r="AL127" s="335">
        <f t="shared" ca="1" si="38"/>
        <v>-9.4544340753871019</v>
      </c>
      <c r="AM127" s="336"/>
      <c r="AN127" s="333">
        <f t="shared" ca="1" si="32"/>
        <v>-10</v>
      </c>
      <c r="AO127" s="334"/>
      <c r="AP127" s="329">
        <f t="shared" si="33"/>
        <v>189</v>
      </c>
      <c r="AQ127" s="330"/>
      <c r="AR127" s="331">
        <f t="shared" si="34"/>
        <v>63</v>
      </c>
      <c r="AS127" s="332"/>
      <c r="AT127" s="333">
        <f t="shared" ca="1" si="22"/>
        <v>-10</v>
      </c>
      <c r="AU127" s="334"/>
      <c r="AV127" s="271"/>
      <c r="AW127" s="272"/>
      <c r="AX127" s="271">
        <f t="shared" ca="1" si="28"/>
        <v>-10</v>
      </c>
      <c r="AY127" s="272"/>
      <c r="AZ127" s="273">
        <f t="shared" ca="1" si="37"/>
        <v>179</v>
      </c>
      <c r="BA127" s="274"/>
      <c r="BB127" s="343">
        <f t="shared" ca="1" si="23"/>
        <v>193</v>
      </c>
      <c r="BC127" s="344"/>
      <c r="BD127" s="347">
        <f t="shared" si="35"/>
        <v>179</v>
      </c>
      <c r="BE127" s="339"/>
      <c r="BF127" s="339">
        <f>BD127-U127</f>
        <v>-10</v>
      </c>
      <c r="BG127" s="340"/>
      <c r="BH127" s="341" t="str">
        <f t="shared" ca="1" si="36"/>
        <v/>
      </c>
      <c r="BI127" s="342"/>
      <c r="BJ127" s="564"/>
      <c r="BK127" s="565"/>
      <c r="BL127" s="568"/>
      <c r="BM127" s="570"/>
      <c r="CC127" s="138" t="s">
        <v>80</v>
      </c>
      <c r="CD127" s="337" t="str">
        <f t="shared" si="25"/>
        <v>外税8%</v>
      </c>
      <c r="CE127" s="337"/>
      <c r="CF127" s="338"/>
      <c r="CR127" s="103" t="s">
        <v>405</v>
      </c>
      <c r="CW127" s="103" t="s">
        <v>406</v>
      </c>
      <c r="CX127" s="102" t="s">
        <v>30</v>
      </c>
      <c r="CY127" s="103" t="s">
        <v>407</v>
      </c>
    </row>
    <row r="128" spans="1:103" ht="15" customHeight="1">
      <c r="A128" s="100">
        <f t="shared" si="26"/>
        <v>2</v>
      </c>
      <c r="B128" s="293" t="s">
        <v>126</v>
      </c>
      <c r="C128" s="293"/>
      <c r="D128" s="293"/>
      <c r="E128" s="293"/>
      <c r="F128" s="293" t="str" cm="1">
        <f t="array" ref="F128">TRIM(SUBSTITUTE(SUBSTITUTE(INDEX(CR:CR,MATCH("      item_no: "&amp;A128&amp;",",CR:CR,0)+9,1),"item_name: ",""),",",""))</f>
        <v>マルちゃん　赤いきつね</v>
      </c>
      <c r="G128" s="293"/>
      <c r="H128" s="293"/>
      <c r="I128" s="293"/>
      <c r="J128" s="293"/>
      <c r="K128" s="293"/>
      <c r="L128" s="325" t="str" cm="1">
        <f t="array" ref="L128">TRIM(SUBSTITUTE(SUBSTITUTE(INDEX(CR:CR,MATCH("      item_no: "&amp;A128&amp;",",CR:CR,0)+3,1),"item_scan_code: ",""),",",""))</f>
        <v>4901990020503</v>
      </c>
      <c r="M128" s="325"/>
      <c r="N128" s="325"/>
      <c r="O128" s="325"/>
      <c r="P128" s="325"/>
      <c r="Q128" s="281" cm="1">
        <f t="array" ref="Q128">IF(AF128="true","",TRIM(SUBSTITUTE(SUBSTITUTE(INDEX(CR:CR,MATCH("      item_no: "&amp;A128&amp;",",CR:CR,0)+13,1),"item_price_fmt: ￥",""),",",""))+0)</f>
        <v>169</v>
      </c>
      <c r="R128" s="326"/>
      <c r="S128" s="327">
        <f t="shared" si="29"/>
        <v>0</v>
      </c>
      <c r="T128" s="328"/>
      <c r="U128" s="277" cm="1">
        <f t="array" ref="U128">IF(AF128="true","",TRIM(SUBSTITUTE(SUBSTITUTE(INDEX(CR:CR,MATCH("      item_no: "&amp;A128&amp;",",CR:CR,0)+14,1),"item_price_discount_fmt: ￥",""),",",""))+0)</f>
        <v>169</v>
      </c>
      <c r="V128" s="278"/>
      <c r="W128" s="279">
        <f ca="1">INT(SUMIF($Y$10:$AA128,"外税8%",$U$10:$V128)*1.08)+INT(SUMIF($Y$10:$AA128,"外税10%",$U$10:$V128)*1.1)+SUMIF($Y$10:$AA128,"内税10%",$U$10:$V128)+SUMIF($Y$10:$AA128,"非課税",$U$10:$V128)</f>
        <v>53040</v>
      </c>
      <c r="X128" s="280"/>
      <c r="Y128" s="281" t="str" cm="1">
        <f t="array" ref="Y128">TRIM(SUBSTITUTE(SUBSTITUTE(INDEX(CR:CR,MATCH("      item_no: "&amp;A128&amp;",",CR:CR,0)+15,1),"item_tax_fmt: ",""),",",""))</f>
        <v>外税8%</v>
      </c>
      <c r="Z128" s="282"/>
      <c r="AA128" s="282"/>
      <c r="AB128" s="283" t="str" cm="1">
        <f t="array" ref="AB128">TRIM(SUBSTITUTE(SUBSTITUTE(INDEX(CR:CR,MATCH("      item_no: "&amp;A128&amp;",",CR:CR,0)+18,1),"discount_prohibition:",""),",",""))</f>
        <v>0</v>
      </c>
      <c r="AC128" s="283"/>
      <c r="AD128" s="214" t="str">
        <f t="shared" si="27"/>
        <v>外税8%+0</v>
      </c>
      <c r="AE128" s="215"/>
      <c r="AF128" s="284" t="str" cm="1">
        <f t="array" ref="AF128">TRIM(SUBSTITUTE(SUBSTITUTE(INDEX(CR:CR,MATCH("      item_no: "&amp;A128&amp;",",CR:CR,0)+1,1),"item_cancel_line: ",""),",",""))</f>
        <v>false</v>
      </c>
      <c r="AG128" s="284"/>
      <c r="AH128" s="595"/>
      <c r="AI128" s="596"/>
      <c r="AJ128" s="285">
        <f t="shared" si="30"/>
        <v>-8.4500000000000011</v>
      </c>
      <c r="AK128" s="286"/>
      <c r="AL128" s="335">
        <f t="shared" ca="1" si="38"/>
        <v>-8.4539648610604239</v>
      </c>
      <c r="AM128" s="336"/>
      <c r="AN128" s="333">
        <f t="shared" ca="1" si="32"/>
        <v>-9</v>
      </c>
      <c r="AO128" s="334"/>
      <c r="AP128" s="329">
        <f t="shared" si="33"/>
        <v>169</v>
      </c>
      <c r="AQ128" s="330"/>
      <c r="AR128" s="331">
        <f t="shared" si="34"/>
        <v>66</v>
      </c>
      <c r="AS128" s="332"/>
      <c r="AT128" s="333">
        <f t="shared" ca="1" si="22"/>
        <v>-9</v>
      </c>
      <c r="AU128" s="334"/>
      <c r="AV128" s="271"/>
      <c r="AW128" s="272"/>
      <c r="AX128" s="271">
        <f t="shared" ca="1" si="28"/>
        <v>-9</v>
      </c>
      <c r="AY128" s="272"/>
      <c r="AZ128" s="273">
        <f t="shared" ca="1" si="37"/>
        <v>160</v>
      </c>
      <c r="BA128" s="274"/>
      <c r="BB128" s="339">
        <f t="shared" ca="1" si="23"/>
        <v>172</v>
      </c>
      <c r="BC128" s="340"/>
      <c r="BD128" s="347">
        <f t="shared" si="35"/>
        <v>160</v>
      </c>
      <c r="BE128" s="339"/>
      <c r="BF128" s="339">
        <f>BD128-U128</f>
        <v>-9</v>
      </c>
      <c r="BG128" s="340"/>
      <c r="BH128" s="341" t="str">
        <f t="shared" ca="1" si="36"/>
        <v/>
      </c>
      <c r="BI128" s="342"/>
      <c r="BJ128" s="564"/>
      <c r="BK128" s="565"/>
      <c r="BL128" s="568"/>
      <c r="BM128" s="570"/>
      <c r="CC128" s="138" t="s">
        <v>80</v>
      </c>
      <c r="CD128" s="337" t="str">
        <f t="shared" si="25"/>
        <v>外税8%</v>
      </c>
      <c r="CE128" s="337"/>
      <c r="CF128" s="338"/>
      <c r="CR128" s="103" t="s">
        <v>408</v>
      </c>
      <c r="CW128" s="103" t="s">
        <v>409</v>
      </c>
      <c r="CX128" s="102" t="s">
        <v>30</v>
      </c>
      <c r="CY128" s="103" t="s">
        <v>410</v>
      </c>
    </row>
    <row r="129" spans="1:103" ht="15" customHeight="1">
      <c r="A129" s="100">
        <f t="shared" si="26"/>
        <v>1</v>
      </c>
      <c r="B129" s="324" t="s">
        <v>126</v>
      </c>
      <c r="C129" s="324"/>
      <c r="D129" s="324"/>
      <c r="E129" s="324"/>
      <c r="F129" s="324" t="str" cm="1">
        <f t="array" ref="F129">TRIM(SUBSTITUTE(SUBSTITUTE(INDEX(CR:CR,MATCH("      item_no: "&amp;A129&amp;",",CR:CR,0)+9,1),"item_name: ",""),",",""))</f>
        <v>マルちゃん　緑のたぬき</v>
      </c>
      <c r="G129" s="324"/>
      <c r="H129" s="324"/>
      <c r="I129" s="324"/>
      <c r="J129" s="324"/>
      <c r="K129" s="324"/>
      <c r="L129" s="260" t="str" cm="1">
        <f t="array" ref="L129">TRIM(SUBSTITUTE(SUBSTITUTE(INDEX(CR:CR,MATCH("      item_no: "&amp;A129&amp;",",CR:CR,0)+3,1),"item_scan_code: ",""),",",""))</f>
        <v>4901990020534</v>
      </c>
      <c r="M129" s="260"/>
      <c r="N129" s="260"/>
      <c r="O129" s="260"/>
      <c r="P129" s="260"/>
      <c r="Q129" s="261" cm="1">
        <f t="array" ref="Q129">IF(AF129="true","",TRIM(SUBSTITUTE(SUBSTITUTE(INDEX(CR:CR,MATCH("      item_no: "&amp;A129&amp;",",CR:CR,0)+13,1),"item_price_fmt: ￥",""),",",""))+0)</f>
        <v>169</v>
      </c>
      <c r="R129" s="262"/>
      <c r="S129" s="263">
        <f t="shared" si="29"/>
        <v>0</v>
      </c>
      <c r="T129" s="264"/>
      <c r="U129" s="265" cm="1">
        <f t="array" ref="U129">IF(AF129="true","",TRIM(SUBSTITUTE(SUBSTITUTE(INDEX(CR:CR,MATCH("      item_no: "&amp;A129&amp;",",CR:CR,0)+14,1),"item_price_discount_fmt: ￥",""),",",""))+0)</f>
        <v>169</v>
      </c>
      <c r="V129" s="266"/>
      <c r="W129" s="267">
        <f ca="1">INT(SUMIF($Y$10:$AA129,"外税8%",$U$10:$V129)*1.08)+INT(SUMIF($Y$10:$AA129,"外税10%",$U$10:$V129)*1.1)+SUMIF($Y$10:$AA129,"内税10%",$U$10:$V129)+SUMIF($Y$10:$AA129,"非課税",$U$10:$V129)</f>
        <v>53223</v>
      </c>
      <c r="X129" s="268"/>
      <c r="Y129" s="261" t="str" cm="1">
        <f t="array" ref="Y129">TRIM(SUBSTITUTE(SUBSTITUTE(INDEX(CR:CR,MATCH("      item_no: "&amp;A129&amp;",",CR:CR,0)+15,1),"item_tax_fmt: ",""),",",""))</f>
        <v>外税8%</v>
      </c>
      <c r="Z129" s="269"/>
      <c r="AA129" s="269"/>
      <c r="AB129" s="270" t="str" cm="1">
        <f t="array" ref="AB129">TRIM(SUBSTITUTE(SUBSTITUTE(INDEX(CR:CR,MATCH("      item_no: "&amp;A129&amp;",",CR:CR,0)+18,1),"discount_prohibition:",""),",",""))</f>
        <v>0</v>
      </c>
      <c r="AC129" s="270"/>
      <c r="AD129" s="218" t="str">
        <f t="shared" si="27"/>
        <v>外税8%+0</v>
      </c>
      <c r="AE129" s="219"/>
      <c r="AF129" s="315" t="str" cm="1">
        <f t="array" ref="AF129">TRIM(SUBSTITUTE(SUBSTITUTE(INDEX(CR:CR,MATCH("      item_no: "&amp;A129&amp;",",CR:CR,0)+1,1),"item_cancel_line: ",""),",",""))</f>
        <v>false</v>
      </c>
      <c r="AG129" s="315"/>
      <c r="AH129" s="597"/>
      <c r="AI129" s="598"/>
      <c r="AJ129" s="316">
        <f t="shared" si="30"/>
        <v>-8.4500000000000011</v>
      </c>
      <c r="AK129" s="317"/>
      <c r="AL129" s="318">
        <f t="shared" ca="1" si="38"/>
        <v>-8.4539648610604239</v>
      </c>
      <c r="AM129" s="319"/>
      <c r="AN129" s="304">
        <f t="shared" ca="1" si="32"/>
        <v>-9</v>
      </c>
      <c r="AO129" s="305"/>
      <c r="AP129" s="320">
        <f t="shared" si="33"/>
        <v>169</v>
      </c>
      <c r="AQ129" s="321"/>
      <c r="AR129" s="322">
        <f t="shared" si="34"/>
        <v>66</v>
      </c>
      <c r="AS129" s="323"/>
      <c r="AT129" s="304">
        <f t="shared" ca="1" si="22"/>
        <v>-9</v>
      </c>
      <c r="AU129" s="305"/>
      <c r="AV129" s="306"/>
      <c r="AW129" s="307"/>
      <c r="AX129" s="308">
        <f t="shared" ca="1" si="28"/>
        <v>-9</v>
      </c>
      <c r="AY129" s="309"/>
      <c r="AZ129" s="310">
        <f t="shared" ca="1" si="37"/>
        <v>160</v>
      </c>
      <c r="BA129" s="311"/>
      <c r="BB129" s="312">
        <f t="shared" ca="1" si="23"/>
        <v>172</v>
      </c>
      <c r="BC129" s="313"/>
      <c r="BD129" s="314">
        <f t="shared" si="35"/>
        <v>160</v>
      </c>
      <c r="BE129" s="287"/>
      <c r="BF129" s="287">
        <f>BD129-U129</f>
        <v>-9</v>
      </c>
      <c r="BG129" s="288"/>
      <c r="BH129" s="289" t="str">
        <f t="shared" ca="1" si="36"/>
        <v/>
      </c>
      <c r="BI129" s="290"/>
      <c r="BJ129" s="564"/>
      <c r="BK129" s="565"/>
      <c r="BL129" s="568"/>
      <c r="BM129" s="570"/>
      <c r="CC129" s="145" t="s">
        <v>80</v>
      </c>
      <c r="CD129" s="291" t="str">
        <f t="shared" si="25"/>
        <v>外税8%</v>
      </c>
      <c r="CE129" s="291"/>
      <c r="CF129" s="292"/>
      <c r="CR129" s="103" t="s">
        <v>294</v>
      </c>
      <c r="CW129" s="103" t="s">
        <v>411</v>
      </c>
      <c r="CX129" s="102" t="s">
        <v>30</v>
      </c>
      <c r="CY129" s="103" t="s">
        <v>412</v>
      </c>
    </row>
    <row r="130" spans="1:103" ht="15" customHeight="1">
      <c r="B130" s="146" t="s">
        <v>413</v>
      </c>
      <c r="C130" s="147"/>
      <c r="D130" s="147"/>
      <c r="E130" s="147"/>
      <c r="F130" s="148"/>
      <c r="G130" s="147"/>
      <c r="H130" s="147"/>
      <c r="I130" s="147"/>
      <c r="J130" s="147"/>
      <c r="K130" s="147"/>
      <c r="L130" s="294"/>
      <c r="M130" s="294"/>
      <c r="N130" s="294"/>
      <c r="O130" s="294"/>
      <c r="P130" s="295"/>
      <c r="Q130" s="296">
        <f>SUM(Q10:R129)</f>
        <v>56704</v>
      </c>
      <c r="R130" s="297"/>
      <c r="S130" s="298"/>
      <c r="T130" s="299"/>
      <c r="U130" s="297">
        <f>SUM(U10:V129)</f>
        <v>49490</v>
      </c>
      <c r="V130" s="300"/>
      <c r="W130" s="301"/>
      <c r="X130" s="302"/>
      <c r="Y130" s="220" t="s">
        <v>414</v>
      </c>
      <c r="Z130" s="303"/>
      <c r="AA130" s="303"/>
      <c r="AB130" s="251" t="s">
        <v>414</v>
      </c>
      <c r="AC130" s="251"/>
      <c r="AD130" s="220"/>
      <c r="AE130" s="221"/>
      <c r="AF130" s="251" t="s">
        <v>414</v>
      </c>
      <c r="AG130" s="220"/>
      <c r="AH130" s="252"/>
      <c r="AI130" s="253"/>
      <c r="AJ130" s="254">
        <f>SUM(AJ10:AK129)</f>
        <v>-1918.1000000000024</v>
      </c>
      <c r="AK130" s="255"/>
      <c r="AL130" s="256">
        <f ca="1">SUM(AL10:AM129)</f>
        <v>-1918.9999999999993</v>
      </c>
      <c r="AM130" s="257"/>
      <c r="AN130" s="258">
        <f ca="1">SUM(AN10:AO129)</f>
        <v>-1945</v>
      </c>
      <c r="AO130" s="257"/>
      <c r="AP130" s="259"/>
      <c r="AQ130" s="221"/>
      <c r="AR130" s="241"/>
      <c r="AS130" s="242"/>
      <c r="AT130" s="243">
        <f ca="1">SUM(AT10:AU129)</f>
        <v>-1916</v>
      </c>
      <c r="AU130" s="244"/>
      <c r="AV130" s="245">
        <f>SUM(AV10:AW129)</f>
        <v>-3</v>
      </c>
      <c r="AW130" s="246"/>
      <c r="AX130" s="245">
        <f ca="1">SUM(AT130:AW130)</f>
        <v>-1919</v>
      </c>
      <c r="AY130" s="246"/>
      <c r="AZ130" s="247">
        <f ca="1">SUM(AZ10:BA129)</f>
        <v>47571</v>
      </c>
      <c r="BA130" s="248"/>
      <c r="BB130" s="249">
        <f ca="1">SUM(BB10:BC129)</f>
        <v>51097</v>
      </c>
      <c r="BC130" s="250"/>
      <c r="BD130" s="276">
        <f t="shared" ref="BD130" si="39">SUM(BD10:BE129)</f>
        <v>47571</v>
      </c>
      <c r="BE130" s="232"/>
      <c r="BF130" s="232">
        <f t="shared" ref="BF130" si="40">SUM(BF10:BG129)</f>
        <v>-1919</v>
      </c>
      <c r="BG130" s="232"/>
      <c r="BH130" s="233" t="str">
        <f t="shared" ca="1" si="36"/>
        <v/>
      </c>
      <c r="BI130" s="234"/>
      <c r="BJ130" s="235" t="s">
        <v>414</v>
      </c>
      <c r="BK130" s="236"/>
      <c r="BL130" s="236" t="s">
        <v>414</v>
      </c>
      <c r="BM130" s="237"/>
      <c r="BN130" s="139"/>
      <c r="BO130" s="139"/>
      <c r="BP130" s="139"/>
      <c r="BQ130" s="139"/>
      <c r="BR130" s="139"/>
      <c r="BS130" s="150"/>
      <c r="BT130" s="150"/>
      <c r="BU130" s="139"/>
      <c r="BV130" s="139"/>
      <c r="BW130" s="151"/>
      <c r="BX130" s="151"/>
      <c r="BY130" s="151"/>
      <c r="BZ130" s="151"/>
      <c r="CA130" s="151"/>
      <c r="CB130" s="152"/>
      <c r="CC130" s="149" t="s">
        <v>414</v>
      </c>
      <c r="CD130" s="238" t="s">
        <v>414</v>
      </c>
      <c r="CE130" s="239"/>
      <c r="CF130" s="240"/>
      <c r="CG130" s="153"/>
      <c r="CH130" s="151"/>
      <c r="CI130" s="151"/>
      <c r="CJ130" s="151"/>
      <c r="CK130" s="151"/>
      <c r="CL130" s="151"/>
      <c r="CM130" s="151"/>
      <c r="CN130" s="151"/>
      <c r="CO130" s="151"/>
      <c r="CP130" s="151"/>
      <c r="CR130" s="103" t="s">
        <v>297</v>
      </c>
      <c r="CX130" s="102" t="s">
        <v>30</v>
      </c>
    </row>
    <row r="131" spans="1:103" ht="15" customHeight="1">
      <c r="U131" s="275"/>
      <c r="V131" s="275"/>
      <c r="W131" s="151"/>
      <c r="X131" s="151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CR131" s="103" t="s">
        <v>300</v>
      </c>
      <c r="CX131" s="102" t="s">
        <v>30</v>
      </c>
    </row>
    <row r="132" spans="1:103" ht="15" customHeight="1">
      <c r="M132" s="102" t="s">
        <v>1418</v>
      </c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CR132" s="103" t="s">
        <v>415</v>
      </c>
      <c r="CX132" s="102" t="s">
        <v>30</v>
      </c>
    </row>
    <row r="133" spans="1:103" ht="15" customHeight="1">
      <c r="M133" s="172" t="s">
        <v>1414</v>
      </c>
      <c r="N133" s="147"/>
      <c r="O133" s="147"/>
      <c r="P133" s="147"/>
      <c r="Q133" s="147"/>
      <c r="R133" s="147"/>
      <c r="S133" s="147"/>
      <c r="T133" s="147"/>
      <c r="U133" s="222">
        <f>U130</f>
        <v>49490</v>
      </c>
      <c r="V133" s="223"/>
      <c r="W133" s="156"/>
      <c r="X133" s="156"/>
      <c r="BG133" s="101"/>
      <c r="BZ133" s="141"/>
      <c r="CA133" s="141"/>
      <c r="CB133" s="141"/>
      <c r="CR133" s="103" t="s">
        <v>417</v>
      </c>
      <c r="CX133" s="102" t="s">
        <v>30</v>
      </c>
    </row>
    <row r="134" spans="1:103" ht="15" customHeight="1">
      <c r="M134" s="160"/>
      <c r="N134" s="161"/>
      <c r="O134" s="161"/>
      <c r="P134" s="161"/>
      <c r="Q134" s="162"/>
      <c r="R134" s="200" t="s">
        <v>1409</v>
      </c>
      <c r="S134" s="200"/>
      <c r="T134" s="201"/>
      <c r="U134" s="226">
        <f>SUMIF($AD$10:$AE$129,"外税8%+1",$U$10:$V$129)</f>
        <v>0</v>
      </c>
      <c r="V134" s="227"/>
      <c r="AV134" s="129"/>
      <c r="AW134" s="129"/>
      <c r="AX134" s="129"/>
      <c r="AY134" s="129"/>
      <c r="AZ134" s="174"/>
      <c r="BA134" s="174"/>
      <c r="BB134" s="175"/>
      <c r="BC134" s="101"/>
      <c r="BD134" s="174"/>
      <c r="BE134" s="174"/>
      <c r="BF134" s="101"/>
      <c r="BG134" s="129"/>
      <c r="BH134" s="129"/>
      <c r="BI134" s="129"/>
      <c r="BJ134" s="139"/>
      <c r="BK134" s="139"/>
      <c r="CR134" s="103" t="s">
        <v>420</v>
      </c>
      <c r="CX134" s="102" t="s">
        <v>30</v>
      </c>
    </row>
    <row r="135" spans="1:103" ht="15" customHeight="1">
      <c r="M135" s="163"/>
      <c r="N135" s="164"/>
      <c r="O135" s="164"/>
      <c r="P135" s="164"/>
      <c r="Q135" s="165"/>
      <c r="R135" s="202" t="s">
        <v>1410</v>
      </c>
      <c r="S135" s="202"/>
      <c r="T135" s="203"/>
      <c r="U135" s="224">
        <f>SUMIF($AD$10:$AE$129,"外税10%+1",$U$10:$V$129)</f>
        <v>5490</v>
      </c>
      <c r="V135" s="225"/>
      <c r="AV135" s="101"/>
      <c r="AW135" s="101"/>
      <c r="AX135" s="101"/>
      <c r="AY135" s="101"/>
      <c r="AZ135" s="101"/>
      <c r="BA135" s="101"/>
      <c r="BB135" s="101"/>
      <c r="BC135" s="101"/>
      <c r="BD135" s="101"/>
      <c r="BE135" s="101"/>
      <c r="BF135" s="101"/>
      <c r="BG135" s="129"/>
      <c r="BH135" s="129"/>
      <c r="BI135" s="129"/>
      <c r="BJ135" s="101"/>
      <c r="BK135" s="101"/>
      <c r="CR135" s="103" t="s">
        <v>312</v>
      </c>
      <c r="CX135" s="102" t="s">
        <v>30</v>
      </c>
    </row>
    <row r="136" spans="1:103" ht="15" customHeight="1">
      <c r="M136" s="166" t="s">
        <v>1415</v>
      </c>
      <c r="N136" s="167"/>
      <c r="O136" s="167"/>
      <c r="P136" s="167"/>
      <c r="Q136" s="167"/>
      <c r="R136" s="204" t="s">
        <v>1411</v>
      </c>
      <c r="S136" s="204"/>
      <c r="T136" s="204"/>
      <c r="U136" s="205">
        <f>SUM(U134:V135)</f>
        <v>5490</v>
      </c>
      <c r="V136" s="206"/>
      <c r="AV136" s="129"/>
      <c r="AW136" s="129"/>
      <c r="AX136" s="129"/>
      <c r="AY136" s="129"/>
      <c r="AZ136" s="174"/>
      <c r="BA136" s="174"/>
      <c r="BB136" s="101"/>
      <c r="BC136" s="101"/>
      <c r="BD136" s="174"/>
      <c r="BE136" s="174"/>
      <c r="BF136" s="101"/>
      <c r="BJ136" s="141"/>
      <c r="BU136" s="100"/>
      <c r="BV136" s="100"/>
      <c r="BW136" s="100"/>
      <c r="BX136" s="100"/>
      <c r="BY136" s="100"/>
      <c r="BZ136" s="141"/>
      <c r="CA136" s="141"/>
      <c r="CB136" s="141"/>
      <c r="CR136" s="103" t="s">
        <v>423</v>
      </c>
      <c r="CX136" s="102" t="s">
        <v>30</v>
      </c>
    </row>
    <row r="137" spans="1:103" ht="15" customHeight="1">
      <c r="M137" s="169"/>
      <c r="N137" s="170"/>
      <c r="O137" s="170"/>
      <c r="P137" s="170"/>
      <c r="Q137" s="162"/>
      <c r="R137" s="200" t="s">
        <v>1409</v>
      </c>
      <c r="S137" s="200"/>
      <c r="T137" s="201"/>
      <c r="U137" s="226">
        <f ca="1">SUMIF($Y$10:$AA$129,"内税8%+1",$U$10:$V$129)</f>
        <v>0</v>
      </c>
      <c r="V137" s="227"/>
      <c r="AV137" s="129"/>
      <c r="AW137" s="129"/>
      <c r="AX137" s="129"/>
      <c r="AY137" s="129"/>
      <c r="AZ137" s="174"/>
      <c r="BA137" s="174"/>
      <c r="BB137" s="101"/>
      <c r="BC137" s="101"/>
      <c r="BD137" s="174"/>
      <c r="BE137" s="174"/>
      <c r="BF137" s="101"/>
      <c r="BK137" s="157"/>
      <c r="BU137" s="102"/>
      <c r="BV137" s="102"/>
      <c r="BZ137" s="141"/>
      <c r="CA137" s="141"/>
      <c r="CB137" s="141"/>
      <c r="CR137" s="103" t="s">
        <v>425</v>
      </c>
      <c r="CX137" s="102" t="s">
        <v>30</v>
      </c>
    </row>
    <row r="138" spans="1:103" ht="15" customHeight="1">
      <c r="M138" s="163"/>
      <c r="N138" s="164"/>
      <c r="O138" s="164"/>
      <c r="P138" s="164"/>
      <c r="Q138" s="165"/>
      <c r="R138" s="202" t="s">
        <v>1410</v>
      </c>
      <c r="S138" s="202"/>
      <c r="T138" s="203"/>
      <c r="U138" s="224">
        <f ca="1">SUMIF($Y$10:$AA$129,"内税10%",$U$10:$V$129)</f>
        <v>2578</v>
      </c>
      <c r="V138" s="225"/>
      <c r="AV138" s="129"/>
      <c r="AW138" s="129"/>
      <c r="AX138" s="129"/>
      <c r="AY138" s="129"/>
      <c r="AZ138" s="174"/>
      <c r="BA138" s="174"/>
      <c r="BB138" s="101"/>
      <c r="BC138" s="101"/>
      <c r="BD138" s="174"/>
      <c r="BE138" s="174"/>
      <c r="BF138" s="101"/>
      <c r="BJ138" s="157"/>
      <c r="BK138" s="157"/>
      <c r="BU138" s="102"/>
      <c r="BV138" s="102"/>
      <c r="BZ138" s="141"/>
      <c r="CA138" s="141"/>
      <c r="CB138" s="141"/>
      <c r="CR138" s="103" t="s">
        <v>321</v>
      </c>
      <c r="CX138" s="102" t="s">
        <v>30</v>
      </c>
    </row>
    <row r="139" spans="1:103" ht="15" customHeight="1">
      <c r="M139" s="166" t="s">
        <v>1412</v>
      </c>
      <c r="N139" s="167"/>
      <c r="O139" s="167"/>
      <c r="P139" s="167"/>
      <c r="Q139" s="167"/>
      <c r="R139" s="204" t="s">
        <v>1411</v>
      </c>
      <c r="S139" s="204"/>
      <c r="T139" s="204"/>
      <c r="U139" s="205">
        <f ca="1">SUM(U137:V138)</f>
        <v>2578</v>
      </c>
      <c r="V139" s="206"/>
      <c r="AV139" s="129"/>
      <c r="AW139" s="129"/>
      <c r="AX139" s="129"/>
      <c r="AY139" s="129"/>
      <c r="AZ139" s="174"/>
      <c r="BA139" s="174"/>
      <c r="BB139" s="101"/>
      <c r="BC139" s="101"/>
      <c r="BD139" s="174"/>
      <c r="BE139" s="174"/>
      <c r="BF139" s="175"/>
      <c r="BG139" s="141"/>
      <c r="BH139" s="141"/>
      <c r="BI139" s="141"/>
      <c r="BJ139" s="157"/>
      <c r="BK139" s="157"/>
      <c r="BZ139" s="141"/>
      <c r="CA139" s="141"/>
      <c r="CB139" s="141"/>
      <c r="CR139" s="103" t="s">
        <v>324</v>
      </c>
      <c r="CX139" s="102" t="s">
        <v>30</v>
      </c>
    </row>
    <row r="140" spans="1:103" ht="15" customHeight="1">
      <c r="M140" s="171" t="s">
        <v>1413</v>
      </c>
      <c r="N140" s="147"/>
      <c r="O140" s="147"/>
      <c r="P140" s="147"/>
      <c r="Q140" s="147"/>
      <c r="R140" s="204" t="s">
        <v>1411</v>
      </c>
      <c r="S140" s="204"/>
      <c r="T140" s="204"/>
      <c r="U140" s="205">
        <f ca="1">SUMIF($Y$10:$AA$129,"非課税",$U$10:$V$129)</f>
        <v>3060</v>
      </c>
      <c r="V140" s="206"/>
      <c r="W140" s="156"/>
      <c r="X140" s="156"/>
      <c r="AV140" s="129"/>
      <c r="AW140" s="129"/>
      <c r="AX140" s="129"/>
      <c r="AY140" s="129"/>
      <c r="AZ140" s="176"/>
      <c r="BA140" s="176"/>
      <c r="BB140" s="175"/>
      <c r="BC140" s="175"/>
      <c r="BD140" s="175"/>
      <c r="BE140" s="175"/>
      <c r="BF140" s="101"/>
      <c r="BJ140" s="157"/>
      <c r="BZ140" s="141"/>
      <c r="CA140" s="141"/>
      <c r="CB140" s="141"/>
      <c r="CR140" s="103" t="s">
        <v>327</v>
      </c>
      <c r="CX140" s="102" t="s">
        <v>30</v>
      </c>
    </row>
    <row r="141" spans="1:103" ht="15" customHeight="1">
      <c r="M141" s="169" t="s">
        <v>1416</v>
      </c>
      <c r="N141" s="170"/>
      <c r="O141" s="170"/>
      <c r="P141" s="170"/>
      <c r="Q141" s="170"/>
      <c r="R141" s="170"/>
      <c r="S141" s="170"/>
      <c r="T141" s="170"/>
      <c r="U141" s="207">
        <f ca="1">U133-(U136+U139+U140)</f>
        <v>38362</v>
      </c>
      <c r="V141" s="208"/>
      <c r="W141" s="100"/>
      <c r="X141" s="100"/>
      <c r="BB141" s="101"/>
      <c r="BC141" s="101"/>
      <c r="BD141" s="101"/>
      <c r="BE141" s="101"/>
      <c r="BF141" s="159"/>
      <c r="BG141" s="157"/>
      <c r="BH141" s="157"/>
      <c r="BI141" s="157"/>
      <c r="BZ141" s="141"/>
      <c r="CA141" s="141"/>
      <c r="CB141" s="141"/>
      <c r="CR141" s="103" t="s">
        <v>330</v>
      </c>
      <c r="CX141" s="102" t="s">
        <v>30</v>
      </c>
    </row>
    <row r="142" spans="1:103" ht="15" customHeight="1">
      <c r="M142" s="169"/>
      <c r="N142" s="170"/>
      <c r="O142" s="170"/>
      <c r="P142" s="170"/>
      <c r="Q142" s="170"/>
      <c r="R142" s="180" t="s">
        <v>1417</v>
      </c>
      <c r="S142" s="178"/>
      <c r="T142" s="179"/>
      <c r="U142" s="209">
        <f ca="1">U141*AH10</f>
        <v>-1918.1000000000001</v>
      </c>
      <c r="V142" s="210"/>
      <c r="W142" s="158"/>
      <c r="X142" s="158"/>
      <c r="BB142" s="159"/>
      <c r="BC142" s="159"/>
      <c r="BD142" s="159"/>
      <c r="BE142" s="159"/>
      <c r="BF142" s="159"/>
      <c r="BG142" s="157"/>
      <c r="BH142" s="157"/>
      <c r="BI142" s="157"/>
      <c r="BJ142" s="157"/>
      <c r="BV142" s="102"/>
      <c r="BZ142" s="177"/>
      <c r="CA142" s="177"/>
      <c r="CB142" s="177"/>
      <c r="CR142" s="103" t="s">
        <v>333</v>
      </c>
      <c r="CX142" s="102" t="s">
        <v>30</v>
      </c>
    </row>
    <row r="143" spans="1:103" ht="15" customHeight="1">
      <c r="M143" s="166" t="s">
        <v>1419</v>
      </c>
      <c r="N143" s="167"/>
      <c r="O143" s="167"/>
      <c r="P143" s="167"/>
      <c r="Q143" s="167"/>
      <c r="R143" s="167"/>
      <c r="S143" s="167"/>
      <c r="T143" s="168"/>
      <c r="U143" s="230">
        <f ca="1">ROUNDUP(U142,0)</f>
        <v>-1919</v>
      </c>
      <c r="V143" s="231"/>
      <c r="BB143" s="157"/>
      <c r="BC143" s="157"/>
      <c r="BD143" s="157"/>
      <c r="BE143" s="157"/>
      <c r="BF143" s="157"/>
      <c r="BG143" s="157"/>
      <c r="BH143" s="157"/>
      <c r="BI143" s="157"/>
      <c r="BJ143" s="157"/>
      <c r="BV143" s="102"/>
      <c r="BZ143" s="177"/>
      <c r="CA143" s="177"/>
      <c r="CB143" s="177"/>
      <c r="CR143" s="103" t="s">
        <v>336</v>
      </c>
      <c r="CX143" s="102" t="s">
        <v>30</v>
      </c>
    </row>
    <row r="144" spans="1:103" ht="15" customHeight="1">
      <c r="BB144" s="157"/>
      <c r="BC144" s="157"/>
      <c r="BD144" s="157"/>
      <c r="BE144" s="157"/>
      <c r="BF144" s="157"/>
      <c r="BG144" s="157"/>
      <c r="BH144" s="157"/>
      <c r="BI144" s="157"/>
      <c r="BJ144" s="157"/>
      <c r="BV144" s="102"/>
      <c r="BZ144" s="177"/>
      <c r="CA144" s="177"/>
      <c r="CB144" s="177"/>
      <c r="CR144" s="103" t="s">
        <v>340</v>
      </c>
      <c r="CX144" s="102" t="s">
        <v>30</v>
      </c>
    </row>
    <row r="145" spans="13:102" ht="15" customHeight="1">
      <c r="BV145" s="102"/>
      <c r="BZ145" s="177"/>
      <c r="CA145" s="177"/>
      <c r="CB145" s="177"/>
      <c r="CR145" s="103" t="s">
        <v>272</v>
      </c>
      <c r="CX145" s="102" t="s">
        <v>30</v>
      </c>
    </row>
    <row r="146" spans="13:102" ht="15" customHeight="1">
      <c r="M146" s="155"/>
      <c r="N146" s="155"/>
      <c r="O146" s="155"/>
      <c r="P146" s="155"/>
      <c r="BV146" s="102"/>
      <c r="BZ146" s="177"/>
      <c r="CA146" s="177"/>
      <c r="CB146" s="177"/>
      <c r="CR146" s="103" t="s">
        <v>426</v>
      </c>
      <c r="CX146" s="102" t="s">
        <v>30</v>
      </c>
    </row>
    <row r="147" spans="13:102" ht="15" customHeight="1">
      <c r="M147" s="155"/>
      <c r="N147" s="155"/>
      <c r="O147" s="155"/>
      <c r="P147" s="155"/>
      <c r="BV147" s="102"/>
      <c r="BZ147" s="177"/>
      <c r="CA147" s="177"/>
      <c r="CB147" s="177"/>
      <c r="CR147" s="103" t="s">
        <v>279</v>
      </c>
      <c r="CX147" s="102" t="s">
        <v>30</v>
      </c>
    </row>
    <row r="148" spans="13:102" ht="15" customHeight="1">
      <c r="U148" s="173"/>
      <c r="V148" s="173"/>
      <c r="BV148" s="102"/>
      <c r="BZ148" s="177"/>
      <c r="CA148" s="177"/>
      <c r="CB148" s="177"/>
      <c r="CR148" s="103" t="s">
        <v>282</v>
      </c>
      <c r="CX148" s="102" t="s">
        <v>30</v>
      </c>
    </row>
    <row r="149" spans="13:102" ht="15" customHeight="1">
      <c r="U149" s="158"/>
      <c r="V149" s="158"/>
      <c r="BV149" s="102"/>
      <c r="BZ149" s="177"/>
      <c r="CA149" s="177"/>
      <c r="CB149" s="177"/>
      <c r="CR149" s="103" t="s">
        <v>427</v>
      </c>
      <c r="CX149" s="102" t="s">
        <v>30</v>
      </c>
    </row>
    <row r="150" spans="13:102" ht="15" customHeight="1">
      <c r="BV150" s="102"/>
      <c r="BZ150" s="177"/>
      <c r="CA150" s="177"/>
      <c r="CB150" s="177"/>
      <c r="CR150" s="103" t="s">
        <v>428</v>
      </c>
      <c r="CX150" s="102" t="s">
        <v>30</v>
      </c>
    </row>
    <row r="151" spans="13:102" ht="15" customHeight="1">
      <c r="BV151" s="102"/>
      <c r="BZ151" s="177"/>
      <c r="CA151" s="177"/>
      <c r="CB151" s="177"/>
      <c r="CR151" s="103" t="s">
        <v>429</v>
      </c>
      <c r="CX151" s="102" t="s">
        <v>30</v>
      </c>
    </row>
    <row r="152" spans="13:102" ht="15" customHeight="1">
      <c r="BU152" s="102"/>
      <c r="BV152" s="102"/>
      <c r="BZ152" s="177"/>
      <c r="CA152" s="177"/>
      <c r="CB152" s="177"/>
      <c r="CR152" s="103" t="s">
        <v>294</v>
      </c>
      <c r="CX152" s="102" t="s">
        <v>30</v>
      </c>
    </row>
    <row r="153" spans="13:102" ht="15" customHeight="1">
      <c r="CR153" s="103" t="s">
        <v>297</v>
      </c>
      <c r="CX153" s="102" t="s">
        <v>30</v>
      </c>
    </row>
    <row r="154" spans="13:102" ht="15" customHeight="1">
      <c r="BU154" s="102"/>
      <c r="BV154" s="102"/>
      <c r="BZ154" s="141"/>
      <c r="CA154" s="141"/>
      <c r="CB154" s="141"/>
      <c r="CR154" s="103" t="s">
        <v>300</v>
      </c>
      <c r="CX154" s="102" t="s">
        <v>30</v>
      </c>
    </row>
    <row r="155" spans="13:102" ht="15" customHeight="1">
      <c r="BU155" s="102"/>
      <c r="BV155" s="102"/>
      <c r="BZ155" s="141"/>
      <c r="CA155" s="141"/>
      <c r="CB155" s="141"/>
      <c r="CR155" s="103" t="s">
        <v>430</v>
      </c>
      <c r="CX155" s="102" t="s">
        <v>30</v>
      </c>
    </row>
    <row r="156" spans="13:102" ht="15" customHeight="1">
      <c r="CR156" s="103" t="s">
        <v>431</v>
      </c>
      <c r="CX156" s="102" t="s">
        <v>30</v>
      </c>
    </row>
    <row r="157" spans="13:102" ht="15" customHeight="1">
      <c r="BU157" s="102"/>
      <c r="BV157" s="102"/>
      <c r="BZ157" s="141"/>
      <c r="CA157" s="141"/>
      <c r="CB157" s="141"/>
      <c r="CR157" s="103" t="s">
        <v>420</v>
      </c>
      <c r="CX157" s="102" t="s">
        <v>30</v>
      </c>
    </row>
    <row r="158" spans="13:102" ht="15" customHeight="1">
      <c r="CR158" s="103" t="s">
        <v>312</v>
      </c>
      <c r="CX158" s="102" t="s">
        <v>30</v>
      </c>
    </row>
    <row r="159" spans="13:102" ht="15" customHeight="1">
      <c r="CR159" s="103" t="s">
        <v>423</v>
      </c>
      <c r="CX159" s="102" t="s">
        <v>30</v>
      </c>
    </row>
    <row r="160" spans="13:102" ht="15" customHeight="1">
      <c r="CR160" s="103" t="s">
        <v>425</v>
      </c>
      <c r="CX160" s="102" t="s">
        <v>30</v>
      </c>
    </row>
    <row r="161" spans="96:102" ht="15" customHeight="1">
      <c r="CR161" s="103" t="s">
        <v>321</v>
      </c>
      <c r="CX161" s="102" t="s">
        <v>30</v>
      </c>
    </row>
    <row r="162" spans="96:102" ht="15" customHeight="1">
      <c r="CR162" s="103" t="s">
        <v>324</v>
      </c>
      <c r="CX162" s="102" t="s">
        <v>30</v>
      </c>
    </row>
    <row r="163" spans="96:102" ht="15" customHeight="1">
      <c r="CR163" s="103" t="s">
        <v>327</v>
      </c>
      <c r="CX163" s="102" t="s">
        <v>30</v>
      </c>
    </row>
    <row r="164" spans="96:102" ht="15" customHeight="1">
      <c r="CR164" s="103" t="s">
        <v>330</v>
      </c>
      <c r="CX164" s="102" t="s">
        <v>30</v>
      </c>
    </row>
    <row r="165" spans="96:102" ht="15" customHeight="1">
      <c r="CR165" s="103" t="s">
        <v>333</v>
      </c>
      <c r="CX165" s="102" t="s">
        <v>30</v>
      </c>
    </row>
    <row r="166" spans="96:102" ht="15" customHeight="1">
      <c r="CR166" s="103" t="s">
        <v>336</v>
      </c>
      <c r="CX166" s="102" t="s">
        <v>30</v>
      </c>
    </row>
    <row r="167" spans="96:102" ht="15" customHeight="1">
      <c r="CR167" s="103" t="s">
        <v>340</v>
      </c>
      <c r="CX167" s="102" t="s">
        <v>30</v>
      </c>
    </row>
    <row r="168" spans="96:102" ht="15" customHeight="1">
      <c r="CR168" s="103" t="s">
        <v>272</v>
      </c>
      <c r="CX168" s="102" t="s">
        <v>30</v>
      </c>
    </row>
    <row r="169" spans="96:102" ht="15" customHeight="1">
      <c r="CR169" s="103" t="s">
        <v>432</v>
      </c>
      <c r="CX169" s="102" t="s">
        <v>30</v>
      </c>
    </row>
    <row r="170" spans="96:102" ht="15" customHeight="1">
      <c r="CR170" s="103" t="s">
        <v>433</v>
      </c>
      <c r="CX170" s="102" t="s">
        <v>30</v>
      </c>
    </row>
    <row r="171" spans="96:102" ht="15" customHeight="1">
      <c r="CR171" s="103" t="s">
        <v>282</v>
      </c>
      <c r="CX171" s="102" t="s">
        <v>30</v>
      </c>
    </row>
    <row r="172" spans="96:102" ht="15" customHeight="1">
      <c r="CR172" s="103" t="s">
        <v>434</v>
      </c>
      <c r="CX172" s="102" t="s">
        <v>30</v>
      </c>
    </row>
    <row r="173" spans="96:102" ht="15" customHeight="1">
      <c r="CR173" s="103" t="s">
        <v>435</v>
      </c>
      <c r="CX173" s="102" t="s">
        <v>30</v>
      </c>
    </row>
    <row r="174" spans="96:102" ht="15" customHeight="1">
      <c r="CR174" s="103" t="s">
        <v>436</v>
      </c>
      <c r="CX174" s="102" t="s">
        <v>30</v>
      </c>
    </row>
    <row r="175" spans="96:102" ht="15" customHeight="1">
      <c r="CR175" s="103" t="s">
        <v>437</v>
      </c>
      <c r="CX175" s="102" t="s">
        <v>30</v>
      </c>
    </row>
    <row r="176" spans="96:102" ht="15" customHeight="1">
      <c r="CR176" s="103" t="s">
        <v>438</v>
      </c>
      <c r="CX176" s="102" t="s">
        <v>30</v>
      </c>
    </row>
    <row r="177" spans="96:102" ht="15" customHeight="1">
      <c r="CR177" s="103" t="s">
        <v>439</v>
      </c>
      <c r="CX177" s="102" t="s">
        <v>30</v>
      </c>
    </row>
    <row r="178" spans="96:102" ht="15" customHeight="1">
      <c r="CR178" s="103" t="s">
        <v>440</v>
      </c>
      <c r="CX178" s="102" t="s">
        <v>30</v>
      </c>
    </row>
    <row r="179" spans="96:102" ht="15" customHeight="1">
      <c r="CR179" s="103" t="s">
        <v>441</v>
      </c>
      <c r="CX179" s="102" t="s">
        <v>30</v>
      </c>
    </row>
    <row r="180" spans="96:102" ht="15" customHeight="1">
      <c r="CR180" s="103" t="s">
        <v>442</v>
      </c>
      <c r="CX180" s="102" t="s">
        <v>30</v>
      </c>
    </row>
    <row r="181" spans="96:102" ht="15" customHeight="1">
      <c r="CR181" s="103" t="s">
        <v>312</v>
      </c>
      <c r="CX181" s="102" t="s">
        <v>30</v>
      </c>
    </row>
    <row r="182" spans="96:102" ht="15" customHeight="1">
      <c r="CR182" s="103" t="s">
        <v>443</v>
      </c>
      <c r="CX182" s="102" t="s">
        <v>30</v>
      </c>
    </row>
    <row r="183" spans="96:102" ht="15" customHeight="1">
      <c r="CR183" s="103" t="s">
        <v>425</v>
      </c>
      <c r="CX183" s="102" t="s">
        <v>30</v>
      </c>
    </row>
    <row r="184" spans="96:102" ht="15" customHeight="1">
      <c r="CR184" s="103" t="s">
        <v>321</v>
      </c>
      <c r="CX184" s="102" t="s">
        <v>30</v>
      </c>
    </row>
    <row r="185" spans="96:102" ht="15" customHeight="1">
      <c r="CR185" s="103" t="s">
        <v>324</v>
      </c>
      <c r="CX185" s="102" t="s">
        <v>30</v>
      </c>
    </row>
    <row r="186" spans="96:102" ht="15" customHeight="1">
      <c r="CR186" s="103" t="s">
        <v>327</v>
      </c>
      <c r="CX186" s="102" t="s">
        <v>30</v>
      </c>
    </row>
    <row r="187" spans="96:102" ht="15" customHeight="1">
      <c r="CR187" s="103" t="s">
        <v>330</v>
      </c>
      <c r="CX187" s="102" t="s">
        <v>30</v>
      </c>
    </row>
    <row r="188" spans="96:102" ht="15" customHeight="1">
      <c r="CR188" s="103" t="s">
        <v>333</v>
      </c>
      <c r="CX188" s="102" t="s">
        <v>30</v>
      </c>
    </row>
    <row r="189" spans="96:102" ht="15" customHeight="1">
      <c r="CR189" s="103" t="s">
        <v>444</v>
      </c>
      <c r="CX189" s="102" t="s">
        <v>30</v>
      </c>
    </row>
    <row r="190" spans="96:102" ht="15" customHeight="1">
      <c r="CR190" s="103" t="s">
        <v>445</v>
      </c>
      <c r="CX190" s="102" t="s">
        <v>30</v>
      </c>
    </row>
    <row r="191" spans="96:102" ht="15" customHeight="1">
      <c r="CR191" s="103" t="s">
        <v>446</v>
      </c>
      <c r="CX191" s="102" t="s">
        <v>30</v>
      </c>
    </row>
    <row r="192" spans="96:102" ht="15" customHeight="1">
      <c r="CR192" s="103" t="s">
        <v>447</v>
      </c>
      <c r="CX192" s="102" t="s">
        <v>30</v>
      </c>
    </row>
    <row r="193" spans="96:102" ht="15" customHeight="1">
      <c r="CR193" s="103" t="s">
        <v>448</v>
      </c>
      <c r="CX193" s="102" t="s">
        <v>30</v>
      </c>
    </row>
    <row r="194" spans="96:102" ht="15" customHeight="1">
      <c r="CR194" s="103" t="s">
        <v>449</v>
      </c>
      <c r="CX194" s="102" t="s">
        <v>30</v>
      </c>
    </row>
    <row r="195" spans="96:102" ht="15" customHeight="1">
      <c r="CR195" s="103" t="s">
        <v>450</v>
      </c>
      <c r="CX195" s="102" t="s">
        <v>30</v>
      </c>
    </row>
    <row r="196" spans="96:102" ht="15" customHeight="1">
      <c r="CR196" s="103" t="s">
        <v>451</v>
      </c>
      <c r="CX196" s="102" t="s">
        <v>30</v>
      </c>
    </row>
    <row r="197" spans="96:102" ht="15" customHeight="1">
      <c r="CR197" s="103" t="s">
        <v>452</v>
      </c>
      <c r="CX197" s="102" t="s">
        <v>30</v>
      </c>
    </row>
    <row r="198" spans="96:102" ht="15" customHeight="1">
      <c r="CR198" s="103" t="s">
        <v>445</v>
      </c>
      <c r="CX198" s="102" t="s">
        <v>30</v>
      </c>
    </row>
    <row r="199" spans="96:102" ht="15" customHeight="1">
      <c r="CR199" s="103" t="s">
        <v>446</v>
      </c>
      <c r="CX199" s="102" t="s">
        <v>30</v>
      </c>
    </row>
    <row r="200" spans="96:102" ht="15" customHeight="1">
      <c r="CR200" s="103" t="s">
        <v>453</v>
      </c>
      <c r="CX200" s="102" t="s">
        <v>30</v>
      </c>
    </row>
    <row r="201" spans="96:102" ht="15" customHeight="1">
      <c r="CR201" s="103" t="s">
        <v>448</v>
      </c>
      <c r="CX201" s="102" t="s">
        <v>30</v>
      </c>
    </row>
    <row r="202" spans="96:102" ht="15" customHeight="1">
      <c r="CR202" s="103" t="s">
        <v>449</v>
      </c>
      <c r="CX202" s="102" t="s">
        <v>30</v>
      </c>
    </row>
    <row r="203" spans="96:102" ht="15" customHeight="1">
      <c r="CR203" s="103" t="s">
        <v>454</v>
      </c>
      <c r="CX203" s="102" t="s">
        <v>30</v>
      </c>
    </row>
    <row r="204" spans="96:102" ht="15" customHeight="1">
      <c r="CR204" s="103" t="s">
        <v>455</v>
      </c>
      <c r="CX204" s="102" t="s">
        <v>30</v>
      </c>
    </row>
    <row r="205" spans="96:102" ht="15" customHeight="1">
      <c r="CR205" s="103" t="s">
        <v>456</v>
      </c>
      <c r="CX205" s="102" t="s">
        <v>30</v>
      </c>
    </row>
    <row r="206" spans="96:102" ht="15" customHeight="1">
      <c r="CR206" s="103" t="s">
        <v>457</v>
      </c>
      <c r="CX206" s="102" t="s">
        <v>30</v>
      </c>
    </row>
    <row r="207" spans="96:102" ht="15" customHeight="1">
      <c r="CR207" s="103" t="s">
        <v>340</v>
      </c>
      <c r="CX207" s="102" t="s">
        <v>30</v>
      </c>
    </row>
    <row r="208" spans="96:102" ht="15" customHeight="1">
      <c r="CR208" s="103" t="s">
        <v>272</v>
      </c>
      <c r="CX208" s="102" t="s">
        <v>30</v>
      </c>
    </row>
    <row r="209" spans="96:102" ht="15" customHeight="1">
      <c r="CR209" s="103" t="s">
        <v>458</v>
      </c>
      <c r="CX209" s="102" t="s">
        <v>30</v>
      </c>
    </row>
    <row r="210" spans="96:102" ht="15" customHeight="1">
      <c r="CR210" s="103" t="s">
        <v>279</v>
      </c>
      <c r="CX210" s="102" t="s">
        <v>30</v>
      </c>
    </row>
    <row r="211" spans="96:102" ht="15" customHeight="1">
      <c r="CR211" s="103" t="s">
        <v>282</v>
      </c>
      <c r="CX211" s="102" t="s">
        <v>30</v>
      </c>
    </row>
    <row r="212" spans="96:102" ht="15" customHeight="1">
      <c r="CR212" s="103" t="s">
        <v>459</v>
      </c>
      <c r="CX212" s="102" t="s">
        <v>30</v>
      </c>
    </row>
    <row r="213" spans="96:102" ht="15" customHeight="1">
      <c r="CR213" s="103" t="s">
        <v>460</v>
      </c>
      <c r="CX213" s="102" t="s">
        <v>30</v>
      </c>
    </row>
    <row r="214" spans="96:102" ht="15" customHeight="1">
      <c r="CR214" s="103" t="s">
        <v>461</v>
      </c>
      <c r="CX214" s="102" t="s">
        <v>30</v>
      </c>
    </row>
    <row r="215" spans="96:102" ht="15" customHeight="1">
      <c r="CR215" s="103" t="s">
        <v>462</v>
      </c>
      <c r="CX215" s="102" t="s">
        <v>30</v>
      </c>
    </row>
    <row r="216" spans="96:102" ht="15" customHeight="1">
      <c r="CR216" s="103" t="s">
        <v>463</v>
      </c>
      <c r="CX216" s="102" t="s">
        <v>30</v>
      </c>
    </row>
    <row r="217" spans="96:102" ht="15" customHeight="1">
      <c r="CR217" s="103" t="s">
        <v>464</v>
      </c>
      <c r="CX217" s="102" t="s">
        <v>30</v>
      </c>
    </row>
    <row r="218" spans="96:102" ht="15" customHeight="1">
      <c r="CR218" s="103" t="s">
        <v>465</v>
      </c>
      <c r="CX218" s="102" t="s">
        <v>30</v>
      </c>
    </row>
    <row r="219" spans="96:102" ht="15" customHeight="1">
      <c r="CR219" s="103" t="s">
        <v>466</v>
      </c>
      <c r="CX219" s="102" t="s">
        <v>30</v>
      </c>
    </row>
    <row r="220" spans="96:102" ht="15" customHeight="1">
      <c r="CR220" s="103" t="s">
        <v>467</v>
      </c>
      <c r="CX220" s="102" t="s">
        <v>30</v>
      </c>
    </row>
    <row r="221" spans="96:102" ht="15" customHeight="1">
      <c r="CR221" s="103" t="s">
        <v>312</v>
      </c>
      <c r="CX221" s="102" t="s">
        <v>30</v>
      </c>
    </row>
    <row r="222" spans="96:102" ht="15" customHeight="1">
      <c r="CR222" s="103" t="s">
        <v>468</v>
      </c>
      <c r="CX222" s="102" t="s">
        <v>30</v>
      </c>
    </row>
    <row r="223" spans="96:102" ht="15" customHeight="1">
      <c r="CR223" s="103" t="s">
        <v>469</v>
      </c>
      <c r="CX223" s="102" t="s">
        <v>30</v>
      </c>
    </row>
    <row r="224" spans="96:102" ht="15" customHeight="1">
      <c r="CR224" s="103" t="s">
        <v>321</v>
      </c>
      <c r="CX224" s="102" t="s">
        <v>30</v>
      </c>
    </row>
    <row r="225" spans="96:102" ht="15" customHeight="1">
      <c r="CR225" s="103" t="s">
        <v>324</v>
      </c>
      <c r="CX225" s="102" t="s">
        <v>30</v>
      </c>
    </row>
    <row r="226" spans="96:102" ht="15" customHeight="1">
      <c r="CR226" s="103" t="s">
        <v>327</v>
      </c>
      <c r="CX226" s="102" t="s">
        <v>30</v>
      </c>
    </row>
    <row r="227" spans="96:102" ht="15" customHeight="1">
      <c r="CR227" s="103" t="s">
        <v>330</v>
      </c>
      <c r="CX227" s="102" t="s">
        <v>30</v>
      </c>
    </row>
    <row r="228" spans="96:102" ht="15" customHeight="1">
      <c r="CR228" s="103" t="s">
        <v>333</v>
      </c>
      <c r="CX228" s="102" t="s">
        <v>30</v>
      </c>
    </row>
    <row r="229" spans="96:102" ht="15" customHeight="1">
      <c r="CR229" s="103" t="s">
        <v>444</v>
      </c>
      <c r="CX229" s="102" t="s">
        <v>30</v>
      </c>
    </row>
    <row r="230" spans="96:102" ht="15" customHeight="1">
      <c r="CR230" s="103" t="s">
        <v>445</v>
      </c>
      <c r="CX230" s="102" t="s">
        <v>30</v>
      </c>
    </row>
    <row r="231" spans="96:102" ht="15" customHeight="1">
      <c r="CR231" s="103" t="s">
        <v>446</v>
      </c>
      <c r="CX231" s="102" t="s">
        <v>30</v>
      </c>
    </row>
    <row r="232" spans="96:102" ht="15" customHeight="1">
      <c r="CR232" s="103" t="s">
        <v>447</v>
      </c>
      <c r="CX232" s="102" t="s">
        <v>30</v>
      </c>
    </row>
    <row r="233" spans="96:102" ht="15" customHeight="1">
      <c r="CR233" s="103" t="s">
        <v>448</v>
      </c>
      <c r="CX233" s="102" t="s">
        <v>30</v>
      </c>
    </row>
    <row r="234" spans="96:102" ht="15" customHeight="1">
      <c r="CR234" s="103" t="s">
        <v>449</v>
      </c>
      <c r="CX234" s="102" t="s">
        <v>30</v>
      </c>
    </row>
    <row r="235" spans="96:102" ht="15" customHeight="1">
      <c r="CR235" s="103" t="s">
        <v>454</v>
      </c>
      <c r="CX235" s="102" t="s">
        <v>30</v>
      </c>
    </row>
    <row r="236" spans="96:102" ht="15" customHeight="1">
      <c r="CR236" s="103" t="s">
        <v>470</v>
      </c>
      <c r="CX236" s="102" t="s">
        <v>30</v>
      </c>
    </row>
    <row r="237" spans="96:102" ht="15" customHeight="1">
      <c r="CR237" s="103" t="s">
        <v>456</v>
      </c>
      <c r="CX237" s="102" t="s">
        <v>30</v>
      </c>
    </row>
    <row r="238" spans="96:102" ht="15" customHeight="1">
      <c r="CR238" s="103" t="s">
        <v>457</v>
      </c>
      <c r="CX238" s="102" t="s">
        <v>30</v>
      </c>
    </row>
    <row r="239" spans="96:102" ht="15" customHeight="1">
      <c r="CR239" s="103" t="s">
        <v>340</v>
      </c>
      <c r="CX239" s="102" t="s">
        <v>30</v>
      </c>
    </row>
    <row r="240" spans="96:102" ht="15" customHeight="1">
      <c r="CR240" s="103" t="s">
        <v>272</v>
      </c>
      <c r="CX240" s="102" t="s">
        <v>30</v>
      </c>
    </row>
    <row r="241" spans="96:102" ht="15" customHeight="1">
      <c r="CR241" s="103" t="s">
        <v>471</v>
      </c>
      <c r="CX241" s="102" t="s">
        <v>30</v>
      </c>
    </row>
    <row r="242" spans="96:102" ht="15" customHeight="1">
      <c r="CR242" s="103" t="s">
        <v>279</v>
      </c>
      <c r="CX242" s="102" t="s">
        <v>30</v>
      </c>
    </row>
    <row r="243" spans="96:102" ht="15" customHeight="1">
      <c r="CR243" s="103" t="s">
        <v>282</v>
      </c>
      <c r="CX243" s="102" t="s">
        <v>30</v>
      </c>
    </row>
    <row r="244" spans="96:102" ht="15" customHeight="1">
      <c r="CR244" s="103" t="s">
        <v>472</v>
      </c>
      <c r="CX244" s="102" t="s">
        <v>30</v>
      </c>
    </row>
    <row r="245" spans="96:102" ht="15" customHeight="1">
      <c r="CR245" s="103" t="s">
        <v>460</v>
      </c>
      <c r="CX245" s="102" t="s">
        <v>30</v>
      </c>
    </row>
    <row r="246" spans="96:102" ht="15" customHeight="1">
      <c r="CR246" s="103" t="s">
        <v>461</v>
      </c>
      <c r="CX246" s="102" t="s">
        <v>30</v>
      </c>
    </row>
    <row r="247" spans="96:102" ht="15" customHeight="1">
      <c r="CR247" s="103" t="s">
        <v>462</v>
      </c>
      <c r="CX247" s="102" t="s">
        <v>30</v>
      </c>
    </row>
    <row r="248" spans="96:102" ht="15" customHeight="1">
      <c r="CR248" s="103" t="s">
        <v>463</v>
      </c>
      <c r="CX248" s="102" t="s">
        <v>30</v>
      </c>
    </row>
    <row r="249" spans="96:102" ht="15" customHeight="1">
      <c r="CR249" s="103" t="s">
        <v>464</v>
      </c>
      <c r="CX249" s="102" t="s">
        <v>30</v>
      </c>
    </row>
    <row r="250" spans="96:102" ht="15" customHeight="1">
      <c r="CR250" s="103" t="s">
        <v>465</v>
      </c>
      <c r="CX250" s="102" t="s">
        <v>30</v>
      </c>
    </row>
    <row r="251" spans="96:102" ht="15" customHeight="1">
      <c r="CR251" s="103" t="s">
        <v>466</v>
      </c>
      <c r="CX251" s="102" t="s">
        <v>30</v>
      </c>
    </row>
    <row r="252" spans="96:102" ht="15" customHeight="1">
      <c r="CR252" s="103" t="s">
        <v>467</v>
      </c>
      <c r="CX252" s="102" t="s">
        <v>30</v>
      </c>
    </row>
    <row r="253" spans="96:102" ht="15" customHeight="1">
      <c r="CR253" s="103" t="s">
        <v>312</v>
      </c>
      <c r="CX253" s="102" t="s">
        <v>30</v>
      </c>
    </row>
    <row r="254" spans="96:102" ht="15" customHeight="1">
      <c r="CR254" s="103" t="s">
        <v>468</v>
      </c>
      <c r="CX254" s="102" t="s">
        <v>30</v>
      </c>
    </row>
    <row r="255" spans="96:102" ht="15" customHeight="1">
      <c r="CR255" s="103" t="s">
        <v>473</v>
      </c>
      <c r="CX255" s="102" t="s">
        <v>30</v>
      </c>
    </row>
    <row r="256" spans="96:102" ht="15" customHeight="1">
      <c r="CR256" s="103" t="s">
        <v>321</v>
      </c>
      <c r="CX256" s="102" t="s">
        <v>30</v>
      </c>
    </row>
    <row r="257" spans="96:102" ht="15" customHeight="1">
      <c r="CR257" s="103" t="s">
        <v>324</v>
      </c>
      <c r="CX257" s="102" t="s">
        <v>30</v>
      </c>
    </row>
    <row r="258" spans="96:102" ht="15" customHeight="1">
      <c r="CR258" s="103" t="s">
        <v>327</v>
      </c>
      <c r="CX258" s="102" t="s">
        <v>30</v>
      </c>
    </row>
    <row r="259" spans="96:102" ht="15" customHeight="1">
      <c r="CR259" s="103" t="s">
        <v>330</v>
      </c>
      <c r="CX259" s="102" t="s">
        <v>30</v>
      </c>
    </row>
    <row r="260" spans="96:102" ht="15" customHeight="1">
      <c r="CR260" s="103" t="s">
        <v>333</v>
      </c>
      <c r="CX260" s="102" t="s">
        <v>30</v>
      </c>
    </row>
    <row r="261" spans="96:102" ht="15" customHeight="1">
      <c r="CR261" s="103" t="s">
        <v>444</v>
      </c>
      <c r="CX261" s="102" t="s">
        <v>30</v>
      </c>
    </row>
    <row r="262" spans="96:102" ht="15" customHeight="1">
      <c r="CR262" s="103" t="s">
        <v>445</v>
      </c>
      <c r="CX262" s="102" t="s">
        <v>30</v>
      </c>
    </row>
    <row r="263" spans="96:102" ht="15" customHeight="1">
      <c r="CR263" s="103" t="s">
        <v>446</v>
      </c>
      <c r="CX263" s="102" t="s">
        <v>30</v>
      </c>
    </row>
    <row r="264" spans="96:102" ht="15" customHeight="1">
      <c r="CR264" s="103" t="s">
        <v>447</v>
      </c>
      <c r="CX264" s="102" t="s">
        <v>30</v>
      </c>
    </row>
    <row r="265" spans="96:102" ht="15" customHeight="1">
      <c r="CR265" s="103" t="s">
        <v>448</v>
      </c>
      <c r="CX265" s="102" t="s">
        <v>30</v>
      </c>
    </row>
    <row r="266" spans="96:102" ht="15" customHeight="1">
      <c r="CR266" s="103" t="s">
        <v>449</v>
      </c>
      <c r="CX266" s="102" t="s">
        <v>30</v>
      </c>
    </row>
    <row r="267" spans="96:102" ht="15" customHeight="1">
      <c r="CR267" s="103" t="s">
        <v>474</v>
      </c>
      <c r="CX267" s="102" t="s">
        <v>30</v>
      </c>
    </row>
    <row r="268" spans="96:102" ht="15" customHeight="1">
      <c r="CR268" s="103" t="s">
        <v>475</v>
      </c>
      <c r="CX268" s="102" t="s">
        <v>30</v>
      </c>
    </row>
    <row r="269" spans="96:102" ht="15" customHeight="1">
      <c r="CR269" s="103" t="s">
        <v>456</v>
      </c>
      <c r="CX269" s="102" t="s">
        <v>30</v>
      </c>
    </row>
    <row r="270" spans="96:102" ht="15" customHeight="1">
      <c r="CR270" s="103" t="s">
        <v>457</v>
      </c>
      <c r="CX270" s="102" t="s">
        <v>30</v>
      </c>
    </row>
    <row r="271" spans="96:102" ht="15" customHeight="1">
      <c r="CR271" s="103" t="s">
        <v>340</v>
      </c>
      <c r="CX271" s="102" t="s">
        <v>30</v>
      </c>
    </row>
    <row r="272" spans="96:102" ht="15" customHeight="1">
      <c r="CR272" s="103" t="s">
        <v>272</v>
      </c>
      <c r="CX272" s="102" t="s">
        <v>30</v>
      </c>
    </row>
    <row r="273" spans="96:102" ht="15" customHeight="1">
      <c r="CR273" s="103" t="s">
        <v>476</v>
      </c>
      <c r="CX273" s="102" t="s">
        <v>30</v>
      </c>
    </row>
    <row r="274" spans="96:102" ht="15" customHeight="1">
      <c r="CR274" s="103" t="s">
        <v>279</v>
      </c>
      <c r="CX274" s="102" t="s">
        <v>30</v>
      </c>
    </row>
    <row r="275" spans="96:102" ht="15" customHeight="1">
      <c r="CR275" s="103" t="s">
        <v>282</v>
      </c>
      <c r="CX275" s="102" t="s">
        <v>30</v>
      </c>
    </row>
    <row r="276" spans="96:102" ht="15" customHeight="1">
      <c r="CR276" s="103" t="s">
        <v>477</v>
      </c>
      <c r="CX276" s="102" t="s">
        <v>30</v>
      </c>
    </row>
    <row r="277" spans="96:102" ht="15" customHeight="1">
      <c r="CR277" s="103" t="s">
        <v>460</v>
      </c>
      <c r="CX277" s="102" t="s">
        <v>30</v>
      </c>
    </row>
    <row r="278" spans="96:102" ht="15" customHeight="1">
      <c r="CR278" s="103" t="s">
        <v>461</v>
      </c>
      <c r="CX278" s="102" t="s">
        <v>30</v>
      </c>
    </row>
    <row r="279" spans="96:102" ht="15" customHeight="1">
      <c r="CR279" s="103" t="s">
        <v>462</v>
      </c>
      <c r="CX279" s="102" t="s">
        <v>30</v>
      </c>
    </row>
    <row r="280" spans="96:102" ht="15" customHeight="1">
      <c r="CR280" s="103" t="s">
        <v>463</v>
      </c>
      <c r="CX280" s="102" t="s">
        <v>30</v>
      </c>
    </row>
    <row r="281" spans="96:102" ht="15" customHeight="1">
      <c r="CR281" s="103" t="s">
        <v>464</v>
      </c>
      <c r="CX281" s="102" t="s">
        <v>30</v>
      </c>
    </row>
    <row r="282" spans="96:102" ht="15" customHeight="1">
      <c r="CR282" s="103" t="s">
        <v>465</v>
      </c>
      <c r="CX282" s="102" t="s">
        <v>30</v>
      </c>
    </row>
    <row r="283" spans="96:102" ht="15" customHeight="1">
      <c r="CR283" s="103" t="s">
        <v>466</v>
      </c>
      <c r="CX283" s="102" t="s">
        <v>30</v>
      </c>
    </row>
    <row r="284" spans="96:102" ht="15" customHeight="1">
      <c r="CR284" s="103" t="s">
        <v>467</v>
      </c>
      <c r="CX284" s="102" t="s">
        <v>30</v>
      </c>
    </row>
    <row r="285" spans="96:102" ht="15" customHeight="1">
      <c r="CR285" s="103" t="s">
        <v>312</v>
      </c>
      <c r="CX285" s="102" t="s">
        <v>30</v>
      </c>
    </row>
    <row r="286" spans="96:102" ht="15" customHeight="1">
      <c r="CR286" s="103" t="s">
        <v>468</v>
      </c>
      <c r="CX286" s="102" t="s">
        <v>30</v>
      </c>
    </row>
    <row r="287" spans="96:102" ht="15" customHeight="1">
      <c r="CR287" s="103" t="s">
        <v>478</v>
      </c>
      <c r="CX287" s="102" t="s">
        <v>30</v>
      </c>
    </row>
    <row r="288" spans="96:102" ht="15" customHeight="1">
      <c r="CR288" s="103" t="s">
        <v>321</v>
      </c>
      <c r="CX288" s="102" t="s">
        <v>30</v>
      </c>
    </row>
    <row r="289" spans="96:102" ht="15" customHeight="1">
      <c r="CR289" s="103" t="s">
        <v>324</v>
      </c>
      <c r="CX289" s="102" t="s">
        <v>30</v>
      </c>
    </row>
    <row r="290" spans="96:102" ht="15" customHeight="1">
      <c r="CR290" s="103" t="s">
        <v>327</v>
      </c>
      <c r="CX290" s="102" t="s">
        <v>30</v>
      </c>
    </row>
    <row r="291" spans="96:102" ht="15" customHeight="1">
      <c r="CR291" s="103" t="s">
        <v>330</v>
      </c>
      <c r="CX291" s="102" t="s">
        <v>30</v>
      </c>
    </row>
    <row r="292" spans="96:102" ht="15" customHeight="1">
      <c r="CR292" s="103" t="s">
        <v>333</v>
      </c>
      <c r="CX292" s="102" t="s">
        <v>30</v>
      </c>
    </row>
    <row r="293" spans="96:102" ht="15" customHeight="1">
      <c r="CR293" s="103" t="s">
        <v>444</v>
      </c>
      <c r="CX293" s="102" t="s">
        <v>30</v>
      </c>
    </row>
    <row r="294" spans="96:102" ht="15" customHeight="1">
      <c r="CR294" s="103" t="s">
        <v>445</v>
      </c>
      <c r="CX294" s="102" t="s">
        <v>30</v>
      </c>
    </row>
    <row r="295" spans="96:102" ht="15" customHeight="1">
      <c r="CR295" s="103" t="s">
        <v>446</v>
      </c>
      <c r="CX295" s="102" t="s">
        <v>30</v>
      </c>
    </row>
    <row r="296" spans="96:102" ht="15" customHeight="1">
      <c r="CR296" s="103" t="s">
        <v>447</v>
      </c>
      <c r="CX296" s="102" t="s">
        <v>30</v>
      </c>
    </row>
    <row r="297" spans="96:102" ht="15" customHeight="1">
      <c r="CR297" s="103" t="s">
        <v>448</v>
      </c>
      <c r="CX297" s="102" t="s">
        <v>30</v>
      </c>
    </row>
    <row r="298" spans="96:102" ht="15" customHeight="1">
      <c r="CR298" s="103" t="s">
        <v>449</v>
      </c>
      <c r="CX298" s="102" t="s">
        <v>30</v>
      </c>
    </row>
    <row r="299" spans="96:102" ht="15" customHeight="1">
      <c r="CR299" s="103" t="s">
        <v>450</v>
      </c>
      <c r="CX299" s="102" t="s">
        <v>30</v>
      </c>
    </row>
    <row r="300" spans="96:102" ht="15" customHeight="1">
      <c r="CR300" s="103" t="s">
        <v>479</v>
      </c>
      <c r="CX300" s="102" t="s">
        <v>30</v>
      </c>
    </row>
    <row r="301" spans="96:102" ht="15" customHeight="1">
      <c r="CR301" s="103" t="s">
        <v>456</v>
      </c>
      <c r="CX301" s="102" t="s">
        <v>30</v>
      </c>
    </row>
    <row r="302" spans="96:102" ht="15" customHeight="1">
      <c r="CR302" s="103" t="s">
        <v>457</v>
      </c>
      <c r="CX302" s="102" t="s">
        <v>30</v>
      </c>
    </row>
    <row r="303" spans="96:102" ht="15" customHeight="1">
      <c r="CR303" s="103" t="s">
        <v>340</v>
      </c>
      <c r="CX303" s="102" t="s">
        <v>30</v>
      </c>
    </row>
    <row r="304" spans="96:102" ht="15" customHeight="1">
      <c r="CR304" s="103" t="s">
        <v>272</v>
      </c>
      <c r="CX304" s="102" t="s">
        <v>30</v>
      </c>
    </row>
    <row r="305" spans="96:102" ht="15" customHeight="1">
      <c r="CR305" s="103" t="s">
        <v>480</v>
      </c>
      <c r="CX305" s="102" t="s">
        <v>30</v>
      </c>
    </row>
    <row r="306" spans="96:102" ht="15" customHeight="1">
      <c r="CR306" s="103" t="s">
        <v>279</v>
      </c>
      <c r="CX306" s="102" t="s">
        <v>30</v>
      </c>
    </row>
    <row r="307" spans="96:102" ht="15" customHeight="1">
      <c r="CR307" s="103" t="s">
        <v>282</v>
      </c>
      <c r="CX307" s="102" t="s">
        <v>30</v>
      </c>
    </row>
    <row r="308" spans="96:102" ht="15" customHeight="1">
      <c r="CR308" s="103" t="s">
        <v>481</v>
      </c>
      <c r="CX308" s="102" t="s">
        <v>30</v>
      </c>
    </row>
    <row r="309" spans="96:102" ht="15" customHeight="1">
      <c r="CR309" s="103" t="s">
        <v>482</v>
      </c>
      <c r="CX309" s="102" t="s">
        <v>30</v>
      </c>
    </row>
    <row r="310" spans="96:102" ht="15" customHeight="1">
      <c r="CR310" s="103" t="s">
        <v>483</v>
      </c>
      <c r="CX310" s="102" t="s">
        <v>30</v>
      </c>
    </row>
    <row r="311" spans="96:102" ht="15" customHeight="1">
      <c r="CR311" s="103" t="s">
        <v>484</v>
      </c>
      <c r="CX311" s="102" t="s">
        <v>30</v>
      </c>
    </row>
    <row r="312" spans="96:102" ht="15" customHeight="1">
      <c r="CR312" s="103" t="s">
        <v>485</v>
      </c>
      <c r="CX312" s="102" t="s">
        <v>30</v>
      </c>
    </row>
    <row r="313" spans="96:102" ht="15" customHeight="1">
      <c r="CR313" s="103" t="s">
        <v>486</v>
      </c>
      <c r="CX313" s="102" t="s">
        <v>30</v>
      </c>
    </row>
    <row r="314" spans="96:102" ht="15" customHeight="1">
      <c r="CR314" s="103" t="s">
        <v>487</v>
      </c>
      <c r="CX314" s="102" t="s">
        <v>30</v>
      </c>
    </row>
    <row r="315" spans="96:102" ht="15" customHeight="1">
      <c r="CR315" s="103" t="s">
        <v>488</v>
      </c>
      <c r="CX315" s="102" t="s">
        <v>30</v>
      </c>
    </row>
    <row r="316" spans="96:102" ht="15" customHeight="1">
      <c r="CR316" s="103" t="s">
        <v>489</v>
      </c>
      <c r="CX316" s="102" t="s">
        <v>30</v>
      </c>
    </row>
    <row r="317" spans="96:102" ht="15" customHeight="1">
      <c r="CR317" s="103" t="s">
        <v>312</v>
      </c>
      <c r="CX317" s="102" t="s">
        <v>30</v>
      </c>
    </row>
    <row r="318" spans="96:102" ht="15" customHeight="1">
      <c r="CR318" s="103" t="s">
        <v>490</v>
      </c>
      <c r="CX318" s="102" t="s">
        <v>30</v>
      </c>
    </row>
    <row r="319" spans="96:102" ht="15" customHeight="1">
      <c r="CR319" s="103" t="s">
        <v>491</v>
      </c>
      <c r="CX319" s="102" t="s">
        <v>30</v>
      </c>
    </row>
    <row r="320" spans="96:102" ht="15" customHeight="1">
      <c r="CR320" s="103" t="s">
        <v>321</v>
      </c>
      <c r="CX320" s="102" t="s">
        <v>30</v>
      </c>
    </row>
    <row r="321" spans="96:102" ht="15" customHeight="1">
      <c r="CR321" s="103" t="s">
        <v>324</v>
      </c>
      <c r="CX321" s="102" t="s">
        <v>30</v>
      </c>
    </row>
    <row r="322" spans="96:102" ht="15" customHeight="1">
      <c r="CR322" s="103" t="s">
        <v>327</v>
      </c>
      <c r="CX322" s="102" t="s">
        <v>30</v>
      </c>
    </row>
    <row r="323" spans="96:102" ht="15" customHeight="1">
      <c r="CR323" s="103" t="s">
        <v>330</v>
      </c>
      <c r="CX323" s="102" t="s">
        <v>30</v>
      </c>
    </row>
    <row r="324" spans="96:102" ht="15" customHeight="1">
      <c r="CR324" s="103" t="s">
        <v>333</v>
      </c>
      <c r="CX324" s="102" t="s">
        <v>30</v>
      </c>
    </row>
    <row r="325" spans="96:102" ht="15" customHeight="1">
      <c r="CR325" s="103" t="s">
        <v>444</v>
      </c>
      <c r="CX325" s="102" t="s">
        <v>30</v>
      </c>
    </row>
    <row r="326" spans="96:102" ht="15" customHeight="1">
      <c r="CR326" s="103" t="s">
        <v>445</v>
      </c>
      <c r="CX326" s="102" t="s">
        <v>30</v>
      </c>
    </row>
    <row r="327" spans="96:102" ht="15" customHeight="1">
      <c r="CR327" s="103" t="s">
        <v>446</v>
      </c>
      <c r="CX327" s="102" t="s">
        <v>30</v>
      </c>
    </row>
    <row r="328" spans="96:102" ht="15" customHeight="1">
      <c r="CR328" s="103" t="s">
        <v>447</v>
      </c>
      <c r="CX328" s="102" t="s">
        <v>30</v>
      </c>
    </row>
    <row r="329" spans="96:102" ht="15" customHeight="1">
      <c r="CR329" s="103" t="s">
        <v>448</v>
      </c>
      <c r="CX329" s="102" t="s">
        <v>30</v>
      </c>
    </row>
    <row r="330" spans="96:102" ht="15" customHeight="1">
      <c r="CR330" s="103" t="s">
        <v>449</v>
      </c>
      <c r="CX330" s="102" t="s">
        <v>30</v>
      </c>
    </row>
    <row r="331" spans="96:102" ht="15" customHeight="1">
      <c r="CR331" s="103" t="s">
        <v>454</v>
      </c>
      <c r="CX331" s="102" t="s">
        <v>30</v>
      </c>
    </row>
    <row r="332" spans="96:102" ht="15" customHeight="1">
      <c r="CR332" s="103" t="s">
        <v>492</v>
      </c>
      <c r="CX332" s="102" t="s">
        <v>30</v>
      </c>
    </row>
    <row r="333" spans="96:102" ht="15" customHeight="1">
      <c r="CR333" s="103" t="s">
        <v>456</v>
      </c>
      <c r="CX333" s="102" t="s">
        <v>30</v>
      </c>
    </row>
    <row r="334" spans="96:102" ht="15" customHeight="1">
      <c r="CR334" s="103" t="s">
        <v>457</v>
      </c>
      <c r="CX334" s="102" t="s">
        <v>30</v>
      </c>
    </row>
    <row r="335" spans="96:102" ht="15" customHeight="1">
      <c r="CR335" s="103" t="s">
        <v>340</v>
      </c>
      <c r="CX335" s="102" t="s">
        <v>30</v>
      </c>
    </row>
    <row r="336" spans="96:102" ht="15" customHeight="1">
      <c r="CR336" s="103" t="s">
        <v>272</v>
      </c>
      <c r="CX336" s="102" t="s">
        <v>30</v>
      </c>
    </row>
    <row r="337" spans="96:102" ht="15" customHeight="1">
      <c r="CR337" s="103" t="s">
        <v>493</v>
      </c>
      <c r="CX337" s="102" t="s">
        <v>30</v>
      </c>
    </row>
    <row r="338" spans="96:102" ht="15" customHeight="1">
      <c r="CR338" s="103" t="s">
        <v>279</v>
      </c>
      <c r="CX338" s="102" t="s">
        <v>30</v>
      </c>
    </row>
    <row r="339" spans="96:102" ht="15" customHeight="1">
      <c r="CR339" s="103" t="s">
        <v>282</v>
      </c>
      <c r="CX339" s="102" t="s">
        <v>30</v>
      </c>
    </row>
    <row r="340" spans="96:102" ht="15" customHeight="1">
      <c r="CR340" s="103" t="s">
        <v>494</v>
      </c>
      <c r="CX340" s="102" t="s">
        <v>30</v>
      </c>
    </row>
    <row r="341" spans="96:102" ht="15" customHeight="1">
      <c r="CR341" s="103" t="s">
        <v>482</v>
      </c>
      <c r="CX341" s="102" t="s">
        <v>30</v>
      </c>
    </row>
    <row r="342" spans="96:102" ht="15" customHeight="1">
      <c r="CR342" s="103" t="s">
        <v>483</v>
      </c>
      <c r="CX342" s="102" t="s">
        <v>30</v>
      </c>
    </row>
    <row r="343" spans="96:102" ht="15" customHeight="1">
      <c r="CR343" s="103" t="s">
        <v>484</v>
      </c>
      <c r="CX343" s="102" t="s">
        <v>30</v>
      </c>
    </row>
    <row r="344" spans="96:102" ht="15" customHeight="1">
      <c r="CR344" s="103" t="s">
        <v>485</v>
      </c>
      <c r="CX344" s="102" t="s">
        <v>30</v>
      </c>
    </row>
    <row r="345" spans="96:102" ht="15" customHeight="1">
      <c r="CR345" s="103" t="s">
        <v>486</v>
      </c>
      <c r="CX345" s="102" t="s">
        <v>30</v>
      </c>
    </row>
    <row r="346" spans="96:102" ht="15" customHeight="1">
      <c r="CR346" s="103" t="s">
        <v>487</v>
      </c>
      <c r="CX346" s="102" t="s">
        <v>30</v>
      </c>
    </row>
    <row r="347" spans="96:102" ht="15" customHeight="1">
      <c r="CR347" s="103" t="s">
        <v>488</v>
      </c>
      <c r="CX347" s="102" t="s">
        <v>30</v>
      </c>
    </row>
    <row r="348" spans="96:102" ht="15" customHeight="1">
      <c r="CR348" s="103" t="s">
        <v>489</v>
      </c>
      <c r="CX348" s="102" t="s">
        <v>30</v>
      </c>
    </row>
    <row r="349" spans="96:102" ht="15" customHeight="1">
      <c r="CR349" s="103" t="s">
        <v>312</v>
      </c>
      <c r="CX349" s="102" t="s">
        <v>30</v>
      </c>
    </row>
    <row r="350" spans="96:102" ht="15" customHeight="1">
      <c r="CR350" s="103" t="s">
        <v>490</v>
      </c>
      <c r="CX350" s="102" t="s">
        <v>30</v>
      </c>
    </row>
    <row r="351" spans="96:102" ht="15" customHeight="1">
      <c r="CR351" s="103" t="s">
        <v>495</v>
      </c>
      <c r="CX351" s="102" t="s">
        <v>30</v>
      </c>
    </row>
    <row r="352" spans="96:102" ht="15" customHeight="1">
      <c r="CR352" s="103" t="s">
        <v>321</v>
      </c>
      <c r="CX352" s="102" t="s">
        <v>30</v>
      </c>
    </row>
    <row r="353" spans="96:102" ht="15" customHeight="1">
      <c r="CR353" s="103" t="s">
        <v>324</v>
      </c>
      <c r="CX353" s="102" t="s">
        <v>30</v>
      </c>
    </row>
    <row r="354" spans="96:102" ht="15" customHeight="1">
      <c r="CR354" s="103" t="s">
        <v>327</v>
      </c>
      <c r="CX354" s="102" t="s">
        <v>30</v>
      </c>
    </row>
    <row r="355" spans="96:102" ht="15" customHeight="1">
      <c r="CR355" s="103" t="s">
        <v>330</v>
      </c>
      <c r="CX355" s="102" t="s">
        <v>30</v>
      </c>
    </row>
    <row r="356" spans="96:102" ht="15" customHeight="1">
      <c r="CR356" s="103" t="s">
        <v>333</v>
      </c>
      <c r="CX356" s="102" t="s">
        <v>30</v>
      </c>
    </row>
    <row r="357" spans="96:102" ht="15" customHeight="1">
      <c r="CR357" s="103" t="s">
        <v>444</v>
      </c>
      <c r="CX357" s="102" t="s">
        <v>30</v>
      </c>
    </row>
    <row r="358" spans="96:102" ht="15" customHeight="1">
      <c r="CR358" s="103" t="s">
        <v>445</v>
      </c>
      <c r="CX358" s="102" t="s">
        <v>30</v>
      </c>
    </row>
    <row r="359" spans="96:102" ht="15" customHeight="1">
      <c r="CR359" s="103" t="s">
        <v>446</v>
      </c>
      <c r="CX359" s="102" t="s">
        <v>30</v>
      </c>
    </row>
    <row r="360" spans="96:102" ht="15" customHeight="1">
      <c r="CR360" s="103" t="s">
        <v>447</v>
      </c>
      <c r="CX360" s="102" t="s">
        <v>30</v>
      </c>
    </row>
    <row r="361" spans="96:102" ht="15" customHeight="1">
      <c r="CR361" s="103" t="s">
        <v>448</v>
      </c>
      <c r="CX361" s="102" t="s">
        <v>30</v>
      </c>
    </row>
    <row r="362" spans="96:102" ht="15" customHeight="1">
      <c r="CR362" s="103" t="s">
        <v>449</v>
      </c>
      <c r="CX362" s="102" t="s">
        <v>30</v>
      </c>
    </row>
    <row r="363" spans="96:102" ht="15" customHeight="1">
      <c r="CR363" s="103" t="s">
        <v>474</v>
      </c>
      <c r="CX363" s="102" t="s">
        <v>30</v>
      </c>
    </row>
    <row r="364" spans="96:102" ht="15" customHeight="1">
      <c r="CR364" s="103" t="s">
        <v>496</v>
      </c>
      <c r="CX364" s="102" t="s">
        <v>30</v>
      </c>
    </row>
    <row r="365" spans="96:102" ht="15" customHeight="1">
      <c r="CR365" s="103" t="s">
        <v>456</v>
      </c>
      <c r="CX365" s="102" t="s">
        <v>30</v>
      </c>
    </row>
    <row r="366" spans="96:102" ht="15" customHeight="1">
      <c r="CR366" s="103" t="s">
        <v>457</v>
      </c>
      <c r="CX366" s="102" t="s">
        <v>30</v>
      </c>
    </row>
    <row r="367" spans="96:102" ht="15" customHeight="1">
      <c r="CR367" s="103" t="s">
        <v>340</v>
      </c>
      <c r="CX367" s="102" t="s">
        <v>30</v>
      </c>
    </row>
    <row r="368" spans="96:102" ht="15" customHeight="1">
      <c r="CR368" s="103" t="s">
        <v>272</v>
      </c>
      <c r="CX368" s="102" t="s">
        <v>30</v>
      </c>
    </row>
    <row r="369" spans="96:102" ht="15" customHeight="1">
      <c r="CR369" s="103" t="s">
        <v>497</v>
      </c>
      <c r="CX369" s="102" t="s">
        <v>30</v>
      </c>
    </row>
    <row r="370" spans="96:102" ht="15" customHeight="1">
      <c r="CR370" s="103" t="s">
        <v>279</v>
      </c>
      <c r="CX370" s="102" t="s">
        <v>30</v>
      </c>
    </row>
    <row r="371" spans="96:102" ht="15" customHeight="1">
      <c r="CR371" s="103" t="s">
        <v>282</v>
      </c>
      <c r="CX371" s="102" t="s">
        <v>30</v>
      </c>
    </row>
    <row r="372" spans="96:102" ht="15" customHeight="1">
      <c r="CR372" s="103" t="s">
        <v>498</v>
      </c>
      <c r="CX372" s="102" t="s">
        <v>30</v>
      </c>
    </row>
    <row r="373" spans="96:102" ht="15" customHeight="1">
      <c r="CR373" s="103" t="s">
        <v>482</v>
      </c>
      <c r="CX373" s="102" t="s">
        <v>30</v>
      </c>
    </row>
    <row r="374" spans="96:102" ht="15" customHeight="1">
      <c r="CR374" s="103" t="s">
        <v>483</v>
      </c>
      <c r="CX374" s="102" t="s">
        <v>30</v>
      </c>
    </row>
    <row r="375" spans="96:102" ht="15" customHeight="1">
      <c r="CR375" s="103" t="s">
        <v>484</v>
      </c>
      <c r="CX375" s="102" t="s">
        <v>30</v>
      </c>
    </row>
    <row r="376" spans="96:102" ht="15" customHeight="1">
      <c r="CR376" s="103" t="s">
        <v>485</v>
      </c>
      <c r="CX376" s="102" t="s">
        <v>30</v>
      </c>
    </row>
    <row r="377" spans="96:102" ht="15" customHeight="1">
      <c r="CR377" s="103" t="s">
        <v>486</v>
      </c>
      <c r="CX377" s="102" t="s">
        <v>30</v>
      </c>
    </row>
    <row r="378" spans="96:102" ht="15" customHeight="1">
      <c r="CR378" s="103" t="s">
        <v>487</v>
      </c>
      <c r="CX378" s="102" t="s">
        <v>30</v>
      </c>
    </row>
    <row r="379" spans="96:102" ht="15" customHeight="1">
      <c r="CR379" s="103" t="s">
        <v>488</v>
      </c>
      <c r="CX379" s="102" t="s">
        <v>30</v>
      </c>
    </row>
    <row r="380" spans="96:102" ht="15" customHeight="1">
      <c r="CR380" s="103" t="s">
        <v>489</v>
      </c>
      <c r="CX380" s="102" t="s">
        <v>30</v>
      </c>
    </row>
    <row r="381" spans="96:102" ht="15" customHeight="1">
      <c r="CR381" s="103" t="s">
        <v>312</v>
      </c>
      <c r="CX381" s="102" t="s">
        <v>30</v>
      </c>
    </row>
    <row r="382" spans="96:102" ht="15" customHeight="1">
      <c r="CR382" s="103" t="s">
        <v>490</v>
      </c>
      <c r="CX382" s="102" t="s">
        <v>30</v>
      </c>
    </row>
    <row r="383" spans="96:102" ht="15" customHeight="1">
      <c r="CR383" s="103" t="s">
        <v>499</v>
      </c>
      <c r="CX383" s="102" t="s">
        <v>30</v>
      </c>
    </row>
    <row r="384" spans="96:102" ht="15" customHeight="1">
      <c r="CR384" s="103" t="s">
        <v>321</v>
      </c>
      <c r="CX384" s="102" t="s">
        <v>30</v>
      </c>
    </row>
    <row r="385" spans="96:102" ht="15" customHeight="1">
      <c r="CR385" s="103" t="s">
        <v>324</v>
      </c>
      <c r="CX385" s="102" t="s">
        <v>30</v>
      </c>
    </row>
    <row r="386" spans="96:102" ht="15" customHeight="1">
      <c r="CR386" s="103" t="s">
        <v>327</v>
      </c>
      <c r="CX386" s="102" t="s">
        <v>30</v>
      </c>
    </row>
    <row r="387" spans="96:102" ht="15" customHeight="1">
      <c r="CR387" s="103" t="s">
        <v>330</v>
      </c>
      <c r="CX387" s="102" t="s">
        <v>30</v>
      </c>
    </row>
    <row r="388" spans="96:102" ht="15" customHeight="1">
      <c r="CR388" s="103" t="s">
        <v>333</v>
      </c>
      <c r="CX388" s="102" t="s">
        <v>30</v>
      </c>
    </row>
    <row r="389" spans="96:102" ht="15" customHeight="1">
      <c r="CR389" s="103" t="s">
        <v>444</v>
      </c>
      <c r="CX389" s="102" t="s">
        <v>30</v>
      </c>
    </row>
    <row r="390" spans="96:102" ht="15" customHeight="1">
      <c r="CR390" s="103" t="s">
        <v>445</v>
      </c>
      <c r="CX390" s="102" t="s">
        <v>30</v>
      </c>
    </row>
    <row r="391" spans="96:102" ht="15" customHeight="1">
      <c r="CR391" s="103" t="s">
        <v>446</v>
      </c>
      <c r="CX391" s="102" t="s">
        <v>30</v>
      </c>
    </row>
    <row r="392" spans="96:102" ht="15" customHeight="1">
      <c r="CR392" s="103" t="s">
        <v>447</v>
      </c>
      <c r="CX392" s="102" t="s">
        <v>30</v>
      </c>
    </row>
    <row r="393" spans="96:102" ht="15" customHeight="1">
      <c r="CR393" s="103" t="s">
        <v>448</v>
      </c>
      <c r="CX393" s="102" t="s">
        <v>30</v>
      </c>
    </row>
    <row r="394" spans="96:102" ht="15" customHeight="1">
      <c r="CR394" s="103" t="s">
        <v>449</v>
      </c>
      <c r="CX394" s="102" t="s">
        <v>30</v>
      </c>
    </row>
    <row r="395" spans="96:102" ht="15" customHeight="1">
      <c r="CR395" s="103" t="s">
        <v>450</v>
      </c>
      <c r="CX395" s="102" t="s">
        <v>30</v>
      </c>
    </row>
    <row r="396" spans="96:102" ht="15" customHeight="1">
      <c r="CR396" s="103" t="s">
        <v>500</v>
      </c>
      <c r="CX396" s="102" t="s">
        <v>30</v>
      </c>
    </row>
    <row r="397" spans="96:102" ht="15" customHeight="1">
      <c r="CR397" s="103" t="s">
        <v>456</v>
      </c>
      <c r="CX397" s="102" t="s">
        <v>30</v>
      </c>
    </row>
    <row r="398" spans="96:102" ht="15" customHeight="1">
      <c r="CR398" s="103" t="s">
        <v>457</v>
      </c>
      <c r="CX398" s="102" t="s">
        <v>30</v>
      </c>
    </row>
    <row r="399" spans="96:102" ht="15" customHeight="1">
      <c r="CR399" s="103" t="s">
        <v>340</v>
      </c>
      <c r="CX399" s="102" t="s">
        <v>30</v>
      </c>
    </row>
    <row r="400" spans="96:102" ht="15" customHeight="1">
      <c r="CR400" s="103" t="s">
        <v>272</v>
      </c>
      <c r="CX400" s="102" t="s">
        <v>30</v>
      </c>
    </row>
    <row r="401" spans="96:102" ht="15" customHeight="1">
      <c r="CR401" s="103" t="s">
        <v>501</v>
      </c>
      <c r="CX401" s="102" t="s">
        <v>30</v>
      </c>
    </row>
    <row r="402" spans="96:102" ht="15" customHeight="1">
      <c r="CR402" s="103" t="s">
        <v>279</v>
      </c>
      <c r="CX402" s="102" t="s">
        <v>30</v>
      </c>
    </row>
    <row r="403" spans="96:102" ht="15" customHeight="1">
      <c r="CR403" s="103" t="s">
        <v>282</v>
      </c>
      <c r="CX403" s="102" t="s">
        <v>30</v>
      </c>
    </row>
    <row r="404" spans="96:102" ht="15" customHeight="1">
      <c r="CR404" s="103" t="s">
        <v>502</v>
      </c>
      <c r="CX404" s="102" t="s">
        <v>30</v>
      </c>
    </row>
    <row r="405" spans="96:102" ht="15" customHeight="1">
      <c r="CR405" s="103" t="s">
        <v>503</v>
      </c>
      <c r="CX405" s="102" t="s">
        <v>30</v>
      </c>
    </row>
    <row r="406" spans="96:102" ht="15" customHeight="1">
      <c r="CR406" s="103" t="s">
        <v>504</v>
      </c>
      <c r="CX406" s="102" t="s">
        <v>30</v>
      </c>
    </row>
    <row r="407" spans="96:102" ht="15" customHeight="1">
      <c r="CR407" s="103" t="s">
        <v>484</v>
      </c>
      <c r="CX407" s="102" t="s">
        <v>30</v>
      </c>
    </row>
    <row r="408" spans="96:102" ht="15" customHeight="1">
      <c r="CR408" s="103" t="s">
        <v>485</v>
      </c>
      <c r="CX408" s="102" t="s">
        <v>30</v>
      </c>
    </row>
    <row r="409" spans="96:102" ht="15" customHeight="1">
      <c r="CR409" s="103" t="s">
        <v>486</v>
      </c>
      <c r="CX409" s="102" t="s">
        <v>30</v>
      </c>
    </row>
    <row r="410" spans="96:102" ht="15" customHeight="1">
      <c r="CR410" s="103" t="s">
        <v>505</v>
      </c>
      <c r="CX410" s="102" t="s">
        <v>30</v>
      </c>
    </row>
    <row r="411" spans="96:102" ht="15" customHeight="1">
      <c r="CR411" s="103" t="s">
        <v>506</v>
      </c>
      <c r="CX411" s="102" t="s">
        <v>30</v>
      </c>
    </row>
    <row r="412" spans="96:102" ht="15" customHeight="1">
      <c r="CR412" s="103" t="s">
        <v>507</v>
      </c>
      <c r="CX412" s="102" t="s">
        <v>30</v>
      </c>
    </row>
    <row r="413" spans="96:102" ht="15" customHeight="1">
      <c r="CR413" s="103" t="s">
        <v>312</v>
      </c>
      <c r="CX413" s="102" t="s">
        <v>30</v>
      </c>
    </row>
    <row r="414" spans="96:102" ht="15" customHeight="1">
      <c r="CR414" s="103" t="s">
        <v>508</v>
      </c>
      <c r="CX414" s="102" t="s">
        <v>30</v>
      </c>
    </row>
    <row r="415" spans="96:102" ht="15" customHeight="1">
      <c r="CR415" s="103" t="s">
        <v>509</v>
      </c>
      <c r="CX415" s="102" t="s">
        <v>30</v>
      </c>
    </row>
    <row r="416" spans="96:102" ht="15" customHeight="1">
      <c r="CR416" s="103" t="s">
        <v>321</v>
      </c>
      <c r="CX416" s="102" t="s">
        <v>30</v>
      </c>
    </row>
    <row r="417" spans="96:102" ht="15" customHeight="1">
      <c r="CR417" s="103" t="s">
        <v>324</v>
      </c>
      <c r="CX417" s="102" t="s">
        <v>30</v>
      </c>
    </row>
    <row r="418" spans="96:102" ht="15" customHeight="1">
      <c r="CR418" s="103" t="s">
        <v>327</v>
      </c>
      <c r="CX418" s="102" t="s">
        <v>30</v>
      </c>
    </row>
    <row r="419" spans="96:102" ht="15" customHeight="1">
      <c r="CR419" s="103" t="s">
        <v>330</v>
      </c>
      <c r="CX419" s="102" t="s">
        <v>30</v>
      </c>
    </row>
    <row r="420" spans="96:102" ht="15" customHeight="1">
      <c r="CR420" s="103" t="s">
        <v>333</v>
      </c>
      <c r="CX420" s="102" t="s">
        <v>30</v>
      </c>
    </row>
    <row r="421" spans="96:102" ht="15" customHeight="1">
      <c r="CR421" s="103" t="s">
        <v>444</v>
      </c>
      <c r="CX421" s="102" t="s">
        <v>30</v>
      </c>
    </row>
    <row r="422" spans="96:102" ht="15" customHeight="1">
      <c r="CR422" s="103" t="s">
        <v>445</v>
      </c>
      <c r="CX422" s="102" t="s">
        <v>30</v>
      </c>
    </row>
    <row r="423" spans="96:102" ht="15" customHeight="1">
      <c r="CR423" s="103" t="s">
        <v>446</v>
      </c>
      <c r="CX423" s="102" t="s">
        <v>30</v>
      </c>
    </row>
    <row r="424" spans="96:102" ht="15" customHeight="1">
      <c r="CR424" s="103" t="s">
        <v>447</v>
      </c>
      <c r="CX424" s="102" t="s">
        <v>30</v>
      </c>
    </row>
    <row r="425" spans="96:102" ht="15" customHeight="1">
      <c r="CR425" s="103" t="s">
        <v>448</v>
      </c>
      <c r="CX425" s="102" t="s">
        <v>30</v>
      </c>
    </row>
    <row r="426" spans="96:102" ht="15" customHeight="1">
      <c r="CR426" s="103" t="s">
        <v>449</v>
      </c>
      <c r="CX426" s="102" t="s">
        <v>30</v>
      </c>
    </row>
    <row r="427" spans="96:102" ht="15" customHeight="1">
      <c r="CR427" s="103" t="s">
        <v>454</v>
      </c>
      <c r="CX427" s="102" t="s">
        <v>30</v>
      </c>
    </row>
    <row r="428" spans="96:102" ht="15" customHeight="1">
      <c r="CR428" s="103" t="s">
        <v>510</v>
      </c>
      <c r="CX428" s="102" t="s">
        <v>30</v>
      </c>
    </row>
    <row r="429" spans="96:102" ht="15" customHeight="1">
      <c r="CR429" s="103" t="s">
        <v>456</v>
      </c>
      <c r="CX429" s="102" t="s">
        <v>30</v>
      </c>
    </row>
    <row r="430" spans="96:102" ht="15" customHeight="1">
      <c r="CR430" s="103" t="s">
        <v>457</v>
      </c>
      <c r="CX430" s="102" t="s">
        <v>30</v>
      </c>
    </row>
    <row r="431" spans="96:102" ht="15" customHeight="1">
      <c r="CR431" s="103" t="s">
        <v>340</v>
      </c>
      <c r="CX431" s="102" t="s">
        <v>30</v>
      </c>
    </row>
    <row r="432" spans="96:102" ht="15" customHeight="1">
      <c r="CR432" s="103" t="s">
        <v>272</v>
      </c>
      <c r="CX432" s="102" t="s">
        <v>30</v>
      </c>
    </row>
    <row r="433" spans="96:102" ht="15" customHeight="1">
      <c r="CR433" s="103" t="s">
        <v>511</v>
      </c>
      <c r="CX433" s="102" t="s">
        <v>30</v>
      </c>
    </row>
    <row r="434" spans="96:102" ht="15" customHeight="1">
      <c r="CR434" s="103" t="s">
        <v>279</v>
      </c>
      <c r="CX434" s="102" t="s">
        <v>30</v>
      </c>
    </row>
    <row r="435" spans="96:102" ht="15" customHeight="1">
      <c r="CR435" s="103" t="s">
        <v>282</v>
      </c>
      <c r="CX435" s="102" t="s">
        <v>30</v>
      </c>
    </row>
    <row r="436" spans="96:102" ht="15" customHeight="1">
      <c r="CR436" s="103" t="s">
        <v>512</v>
      </c>
      <c r="CX436" s="102" t="s">
        <v>30</v>
      </c>
    </row>
    <row r="437" spans="96:102" ht="15" customHeight="1">
      <c r="CR437" s="103" t="s">
        <v>503</v>
      </c>
      <c r="CX437" s="102" t="s">
        <v>30</v>
      </c>
    </row>
    <row r="438" spans="96:102" ht="15" customHeight="1">
      <c r="CR438" s="103" t="s">
        <v>504</v>
      </c>
      <c r="CX438" s="102" t="s">
        <v>30</v>
      </c>
    </row>
    <row r="439" spans="96:102" ht="15" customHeight="1">
      <c r="CR439" s="103" t="s">
        <v>484</v>
      </c>
      <c r="CX439" s="102" t="s">
        <v>30</v>
      </c>
    </row>
    <row r="440" spans="96:102" ht="15" customHeight="1">
      <c r="CR440" s="103" t="s">
        <v>485</v>
      </c>
      <c r="CX440" s="102" t="s">
        <v>30</v>
      </c>
    </row>
    <row r="441" spans="96:102" ht="15" customHeight="1">
      <c r="CR441" s="103" t="s">
        <v>486</v>
      </c>
      <c r="CX441" s="102" t="s">
        <v>30</v>
      </c>
    </row>
    <row r="442" spans="96:102" ht="15" customHeight="1">
      <c r="CR442" s="103" t="s">
        <v>505</v>
      </c>
      <c r="CX442" s="102" t="s">
        <v>30</v>
      </c>
    </row>
    <row r="443" spans="96:102" ht="15" customHeight="1">
      <c r="CR443" s="103" t="s">
        <v>506</v>
      </c>
      <c r="CX443" s="102" t="s">
        <v>30</v>
      </c>
    </row>
    <row r="444" spans="96:102" ht="15" customHeight="1">
      <c r="CR444" s="103" t="s">
        <v>507</v>
      </c>
      <c r="CX444" s="102" t="s">
        <v>30</v>
      </c>
    </row>
    <row r="445" spans="96:102" ht="15" customHeight="1">
      <c r="CR445" s="103" t="s">
        <v>312</v>
      </c>
      <c r="CX445" s="102" t="s">
        <v>30</v>
      </c>
    </row>
    <row r="446" spans="96:102" ht="15" customHeight="1">
      <c r="CR446" s="103" t="s">
        <v>508</v>
      </c>
      <c r="CX446" s="102" t="s">
        <v>30</v>
      </c>
    </row>
    <row r="447" spans="96:102" ht="15" customHeight="1">
      <c r="CR447" s="103" t="s">
        <v>513</v>
      </c>
      <c r="CX447" s="102" t="s">
        <v>30</v>
      </c>
    </row>
    <row r="448" spans="96:102" ht="15" customHeight="1">
      <c r="CR448" s="103" t="s">
        <v>321</v>
      </c>
      <c r="CX448" s="102" t="s">
        <v>30</v>
      </c>
    </row>
    <row r="449" spans="96:102" ht="15" customHeight="1">
      <c r="CR449" s="103" t="s">
        <v>324</v>
      </c>
      <c r="CX449" s="102" t="s">
        <v>30</v>
      </c>
    </row>
    <row r="450" spans="96:102" ht="15" customHeight="1">
      <c r="CR450" s="103" t="s">
        <v>327</v>
      </c>
      <c r="CX450" s="102" t="s">
        <v>30</v>
      </c>
    </row>
    <row r="451" spans="96:102" ht="15" customHeight="1">
      <c r="CR451" s="103" t="s">
        <v>330</v>
      </c>
      <c r="CX451" s="102" t="s">
        <v>30</v>
      </c>
    </row>
    <row r="452" spans="96:102" ht="15" customHeight="1">
      <c r="CR452" s="103" t="s">
        <v>333</v>
      </c>
      <c r="CX452" s="102" t="s">
        <v>30</v>
      </c>
    </row>
    <row r="453" spans="96:102" ht="15" customHeight="1">
      <c r="CR453" s="103" t="s">
        <v>444</v>
      </c>
      <c r="CX453" s="102" t="s">
        <v>30</v>
      </c>
    </row>
    <row r="454" spans="96:102" ht="15" customHeight="1">
      <c r="CR454" s="103" t="s">
        <v>445</v>
      </c>
      <c r="CX454" s="102" t="s">
        <v>30</v>
      </c>
    </row>
    <row r="455" spans="96:102" ht="15" customHeight="1">
      <c r="CR455" s="103" t="s">
        <v>446</v>
      </c>
      <c r="CX455" s="102" t="s">
        <v>30</v>
      </c>
    </row>
    <row r="456" spans="96:102" ht="15" customHeight="1">
      <c r="CR456" s="103" t="s">
        <v>447</v>
      </c>
      <c r="CX456" s="102" t="s">
        <v>30</v>
      </c>
    </row>
    <row r="457" spans="96:102" ht="15" customHeight="1">
      <c r="CR457" s="103" t="s">
        <v>448</v>
      </c>
      <c r="CX457" s="102" t="s">
        <v>30</v>
      </c>
    </row>
    <row r="458" spans="96:102" ht="15" customHeight="1">
      <c r="CR458" s="103" t="s">
        <v>449</v>
      </c>
      <c r="CX458" s="102" t="s">
        <v>30</v>
      </c>
    </row>
    <row r="459" spans="96:102" ht="15" customHeight="1">
      <c r="CR459" s="103" t="s">
        <v>474</v>
      </c>
      <c r="CX459" s="102" t="s">
        <v>30</v>
      </c>
    </row>
    <row r="460" spans="96:102" ht="15" customHeight="1">
      <c r="CR460" s="103" t="s">
        <v>514</v>
      </c>
      <c r="CX460" s="102" t="s">
        <v>30</v>
      </c>
    </row>
    <row r="461" spans="96:102" ht="15" customHeight="1">
      <c r="CR461" s="103" t="s">
        <v>456</v>
      </c>
      <c r="CX461" s="102" t="s">
        <v>30</v>
      </c>
    </row>
    <row r="462" spans="96:102" ht="15" customHeight="1">
      <c r="CR462" s="103" t="s">
        <v>457</v>
      </c>
      <c r="CX462" s="102" t="s">
        <v>30</v>
      </c>
    </row>
    <row r="463" spans="96:102" ht="15" customHeight="1">
      <c r="CR463" s="103" t="s">
        <v>340</v>
      </c>
      <c r="CX463" s="102" t="s">
        <v>30</v>
      </c>
    </row>
    <row r="464" spans="96:102" ht="15" customHeight="1">
      <c r="CR464" s="103" t="s">
        <v>272</v>
      </c>
      <c r="CX464" s="102" t="s">
        <v>30</v>
      </c>
    </row>
    <row r="465" spans="96:102" ht="15" customHeight="1">
      <c r="CR465" s="103" t="s">
        <v>515</v>
      </c>
      <c r="CX465" s="102" t="s">
        <v>30</v>
      </c>
    </row>
    <row r="466" spans="96:102" ht="15" customHeight="1">
      <c r="CR466" s="103" t="s">
        <v>279</v>
      </c>
      <c r="CX466" s="102" t="s">
        <v>30</v>
      </c>
    </row>
    <row r="467" spans="96:102" ht="15" customHeight="1">
      <c r="CR467" s="103" t="s">
        <v>282</v>
      </c>
      <c r="CX467" s="102" t="s">
        <v>30</v>
      </c>
    </row>
    <row r="468" spans="96:102" ht="15" customHeight="1">
      <c r="CR468" s="103" t="s">
        <v>516</v>
      </c>
      <c r="CX468" s="102" t="s">
        <v>30</v>
      </c>
    </row>
    <row r="469" spans="96:102" ht="15" customHeight="1">
      <c r="CR469" s="103" t="s">
        <v>503</v>
      </c>
      <c r="CX469" s="102" t="s">
        <v>30</v>
      </c>
    </row>
    <row r="470" spans="96:102" ht="15" customHeight="1">
      <c r="CR470" s="103" t="s">
        <v>504</v>
      </c>
      <c r="CX470" s="102" t="s">
        <v>30</v>
      </c>
    </row>
    <row r="471" spans="96:102" ht="15" customHeight="1">
      <c r="CR471" s="103" t="s">
        <v>484</v>
      </c>
      <c r="CX471" s="102" t="s">
        <v>30</v>
      </c>
    </row>
    <row r="472" spans="96:102" ht="15" customHeight="1">
      <c r="CR472" s="103" t="s">
        <v>485</v>
      </c>
      <c r="CX472" s="102" t="s">
        <v>30</v>
      </c>
    </row>
    <row r="473" spans="96:102" ht="15" customHeight="1">
      <c r="CR473" s="103" t="s">
        <v>486</v>
      </c>
      <c r="CX473" s="102" t="s">
        <v>30</v>
      </c>
    </row>
    <row r="474" spans="96:102" ht="15" customHeight="1">
      <c r="CR474" s="103" t="s">
        <v>505</v>
      </c>
      <c r="CX474" s="102" t="s">
        <v>30</v>
      </c>
    </row>
    <row r="475" spans="96:102" ht="15" customHeight="1">
      <c r="CR475" s="103" t="s">
        <v>506</v>
      </c>
      <c r="CX475" s="102" t="s">
        <v>30</v>
      </c>
    </row>
    <row r="476" spans="96:102" ht="15" customHeight="1">
      <c r="CR476" s="103" t="s">
        <v>507</v>
      </c>
      <c r="CX476" s="102" t="s">
        <v>30</v>
      </c>
    </row>
    <row r="477" spans="96:102" ht="15" customHeight="1">
      <c r="CR477" s="103" t="s">
        <v>312</v>
      </c>
      <c r="CX477" s="102" t="s">
        <v>30</v>
      </c>
    </row>
    <row r="478" spans="96:102" ht="15" customHeight="1">
      <c r="CR478" s="103" t="s">
        <v>508</v>
      </c>
      <c r="CX478" s="102" t="s">
        <v>30</v>
      </c>
    </row>
    <row r="479" spans="96:102" ht="15" customHeight="1">
      <c r="CR479" s="103" t="s">
        <v>517</v>
      </c>
      <c r="CX479" s="102" t="s">
        <v>30</v>
      </c>
    </row>
    <row r="480" spans="96:102" ht="15" customHeight="1">
      <c r="CR480" s="103" t="s">
        <v>321</v>
      </c>
      <c r="CX480" s="102" t="s">
        <v>30</v>
      </c>
    </row>
    <row r="481" spans="96:102" ht="15" customHeight="1">
      <c r="CR481" s="103" t="s">
        <v>324</v>
      </c>
      <c r="CX481" s="102" t="s">
        <v>30</v>
      </c>
    </row>
    <row r="482" spans="96:102" ht="15" customHeight="1">
      <c r="CR482" s="103" t="s">
        <v>327</v>
      </c>
      <c r="CX482" s="102" t="s">
        <v>30</v>
      </c>
    </row>
    <row r="483" spans="96:102" ht="15" customHeight="1">
      <c r="CR483" s="103" t="s">
        <v>330</v>
      </c>
      <c r="CX483" s="102" t="s">
        <v>30</v>
      </c>
    </row>
    <row r="484" spans="96:102" ht="15" customHeight="1">
      <c r="CR484" s="103" t="s">
        <v>333</v>
      </c>
      <c r="CX484" s="102" t="s">
        <v>30</v>
      </c>
    </row>
    <row r="485" spans="96:102" ht="15" customHeight="1">
      <c r="CR485" s="103" t="s">
        <v>444</v>
      </c>
      <c r="CX485" s="102" t="s">
        <v>30</v>
      </c>
    </row>
    <row r="486" spans="96:102" ht="15" customHeight="1">
      <c r="CR486" s="103" t="s">
        <v>445</v>
      </c>
      <c r="CX486" s="102" t="s">
        <v>30</v>
      </c>
    </row>
    <row r="487" spans="96:102" ht="15" customHeight="1">
      <c r="CR487" s="103" t="s">
        <v>446</v>
      </c>
      <c r="CX487" s="102" t="s">
        <v>30</v>
      </c>
    </row>
    <row r="488" spans="96:102" ht="15" customHeight="1">
      <c r="CR488" s="103" t="s">
        <v>447</v>
      </c>
      <c r="CX488" s="102" t="s">
        <v>30</v>
      </c>
    </row>
    <row r="489" spans="96:102" ht="15" customHeight="1">
      <c r="CR489" s="103" t="s">
        <v>448</v>
      </c>
      <c r="CX489" s="102" t="s">
        <v>30</v>
      </c>
    </row>
    <row r="490" spans="96:102" ht="15" customHeight="1">
      <c r="CR490" s="103" t="s">
        <v>449</v>
      </c>
      <c r="CX490" s="102" t="s">
        <v>30</v>
      </c>
    </row>
    <row r="491" spans="96:102" ht="15" customHeight="1">
      <c r="CR491" s="103" t="s">
        <v>450</v>
      </c>
      <c r="CX491" s="102" t="s">
        <v>30</v>
      </c>
    </row>
    <row r="492" spans="96:102" ht="15" customHeight="1">
      <c r="CR492" s="103" t="s">
        <v>518</v>
      </c>
      <c r="CX492" s="102" t="s">
        <v>30</v>
      </c>
    </row>
    <row r="493" spans="96:102" ht="15" customHeight="1">
      <c r="CR493" s="103" t="s">
        <v>456</v>
      </c>
      <c r="CX493" s="102" t="s">
        <v>30</v>
      </c>
    </row>
    <row r="494" spans="96:102" ht="15" customHeight="1">
      <c r="CR494" s="103" t="s">
        <v>457</v>
      </c>
      <c r="CX494" s="102" t="s">
        <v>30</v>
      </c>
    </row>
    <row r="495" spans="96:102" ht="15" customHeight="1">
      <c r="CR495" s="103" t="s">
        <v>340</v>
      </c>
      <c r="CX495" s="102" t="s">
        <v>30</v>
      </c>
    </row>
    <row r="496" spans="96:102" ht="15" customHeight="1">
      <c r="CR496" s="103" t="s">
        <v>272</v>
      </c>
      <c r="CX496" s="102" t="s">
        <v>30</v>
      </c>
    </row>
    <row r="497" spans="96:102" ht="15" customHeight="1">
      <c r="CR497" s="103" t="s">
        <v>519</v>
      </c>
      <c r="CX497" s="102" t="s">
        <v>30</v>
      </c>
    </row>
    <row r="498" spans="96:102" ht="15" customHeight="1">
      <c r="CR498" s="103" t="s">
        <v>279</v>
      </c>
      <c r="CX498" s="102" t="s">
        <v>30</v>
      </c>
    </row>
    <row r="499" spans="96:102" ht="15" customHeight="1">
      <c r="CR499" s="103" t="s">
        <v>282</v>
      </c>
      <c r="CX499" s="102" t="s">
        <v>30</v>
      </c>
    </row>
    <row r="500" spans="96:102" ht="15" customHeight="1">
      <c r="CR500" s="103" t="s">
        <v>520</v>
      </c>
      <c r="CX500" s="102" t="s">
        <v>30</v>
      </c>
    </row>
    <row r="501" spans="96:102" ht="15" customHeight="1">
      <c r="CR501" s="103" t="s">
        <v>521</v>
      </c>
      <c r="CX501" s="102" t="s">
        <v>30</v>
      </c>
    </row>
    <row r="502" spans="96:102" ht="15" customHeight="1">
      <c r="CR502" s="103" t="s">
        <v>522</v>
      </c>
      <c r="CX502" s="102" t="s">
        <v>30</v>
      </c>
    </row>
    <row r="503" spans="96:102" ht="15" customHeight="1">
      <c r="CR503" s="103" t="s">
        <v>462</v>
      </c>
      <c r="CX503" s="102" t="s">
        <v>30</v>
      </c>
    </row>
    <row r="504" spans="96:102" ht="15" customHeight="1">
      <c r="CR504" s="103" t="s">
        <v>523</v>
      </c>
      <c r="CX504" s="102" t="s">
        <v>30</v>
      </c>
    </row>
    <row r="505" spans="96:102" ht="15" customHeight="1">
      <c r="CR505" s="103" t="s">
        <v>524</v>
      </c>
      <c r="CX505" s="102" t="s">
        <v>30</v>
      </c>
    </row>
    <row r="506" spans="96:102" ht="15" customHeight="1">
      <c r="CR506" s="103" t="s">
        <v>525</v>
      </c>
      <c r="CX506" s="102" t="s">
        <v>30</v>
      </c>
    </row>
    <row r="507" spans="96:102" ht="15" customHeight="1">
      <c r="CR507" s="103" t="s">
        <v>526</v>
      </c>
      <c r="CX507" s="102" t="s">
        <v>30</v>
      </c>
    </row>
    <row r="508" spans="96:102" ht="15" customHeight="1">
      <c r="CR508" s="103" t="s">
        <v>527</v>
      </c>
      <c r="CX508" s="102" t="s">
        <v>30</v>
      </c>
    </row>
    <row r="509" spans="96:102" ht="15" customHeight="1">
      <c r="CR509" s="103" t="s">
        <v>312</v>
      </c>
      <c r="CX509" s="102" t="s">
        <v>30</v>
      </c>
    </row>
    <row r="510" spans="96:102" ht="15" customHeight="1">
      <c r="CR510" s="103" t="s">
        <v>528</v>
      </c>
      <c r="CX510" s="102" t="s">
        <v>30</v>
      </c>
    </row>
    <row r="511" spans="96:102" ht="15" customHeight="1">
      <c r="CR511" s="103" t="s">
        <v>529</v>
      </c>
      <c r="CX511" s="102" t="s">
        <v>30</v>
      </c>
    </row>
    <row r="512" spans="96:102" ht="15" customHeight="1">
      <c r="CR512" s="103" t="s">
        <v>321</v>
      </c>
      <c r="CX512" s="102" t="s">
        <v>30</v>
      </c>
    </row>
    <row r="513" spans="96:102" ht="15" customHeight="1">
      <c r="CR513" s="103" t="s">
        <v>324</v>
      </c>
      <c r="CX513" s="102" t="s">
        <v>30</v>
      </c>
    </row>
    <row r="514" spans="96:102" ht="15" customHeight="1">
      <c r="CR514" s="103" t="s">
        <v>327</v>
      </c>
      <c r="CX514" s="102" t="s">
        <v>30</v>
      </c>
    </row>
    <row r="515" spans="96:102" ht="15" customHeight="1">
      <c r="CR515" s="103" t="s">
        <v>330</v>
      </c>
      <c r="CX515" s="102" t="s">
        <v>30</v>
      </c>
    </row>
    <row r="516" spans="96:102" ht="15" customHeight="1">
      <c r="CR516" s="103" t="s">
        <v>333</v>
      </c>
      <c r="CX516" s="102" t="s">
        <v>30</v>
      </c>
    </row>
    <row r="517" spans="96:102" ht="15" customHeight="1">
      <c r="CR517" s="103" t="s">
        <v>444</v>
      </c>
      <c r="CX517" s="102" t="s">
        <v>30</v>
      </c>
    </row>
    <row r="518" spans="96:102" ht="15" customHeight="1">
      <c r="CR518" s="103" t="s">
        <v>445</v>
      </c>
      <c r="CX518" s="102" t="s">
        <v>30</v>
      </c>
    </row>
    <row r="519" spans="96:102" ht="15" customHeight="1">
      <c r="CR519" s="103" t="s">
        <v>446</v>
      </c>
      <c r="CX519" s="102" t="s">
        <v>30</v>
      </c>
    </row>
    <row r="520" spans="96:102" ht="15" customHeight="1">
      <c r="CR520" s="103" t="s">
        <v>447</v>
      </c>
      <c r="CX520" s="102" t="s">
        <v>30</v>
      </c>
    </row>
    <row r="521" spans="96:102" ht="15" customHeight="1">
      <c r="CR521" s="103" t="s">
        <v>448</v>
      </c>
      <c r="CX521" s="102" t="s">
        <v>30</v>
      </c>
    </row>
    <row r="522" spans="96:102" ht="15" customHeight="1">
      <c r="CR522" s="103" t="s">
        <v>449</v>
      </c>
      <c r="CX522" s="102" t="s">
        <v>30</v>
      </c>
    </row>
    <row r="523" spans="96:102" ht="15" customHeight="1">
      <c r="CR523" s="103" t="s">
        <v>454</v>
      </c>
      <c r="CX523" s="102" t="s">
        <v>30</v>
      </c>
    </row>
    <row r="524" spans="96:102" ht="15" customHeight="1">
      <c r="CR524" s="103" t="s">
        <v>530</v>
      </c>
      <c r="CX524" s="102" t="s">
        <v>30</v>
      </c>
    </row>
    <row r="525" spans="96:102" ht="15" customHeight="1">
      <c r="CR525" s="103" t="s">
        <v>456</v>
      </c>
      <c r="CX525" s="102" t="s">
        <v>30</v>
      </c>
    </row>
    <row r="526" spans="96:102" ht="15" customHeight="1">
      <c r="CR526" s="103" t="s">
        <v>457</v>
      </c>
      <c r="CX526" s="102" t="s">
        <v>30</v>
      </c>
    </row>
    <row r="527" spans="96:102" ht="15" customHeight="1">
      <c r="CR527" s="103" t="s">
        <v>340</v>
      </c>
      <c r="CX527" s="102" t="s">
        <v>30</v>
      </c>
    </row>
    <row r="528" spans="96:102" ht="15" customHeight="1">
      <c r="CR528" s="103" t="s">
        <v>272</v>
      </c>
      <c r="CX528" s="102" t="s">
        <v>30</v>
      </c>
    </row>
    <row r="529" spans="96:102" ht="15" customHeight="1">
      <c r="CR529" s="103" t="s">
        <v>531</v>
      </c>
      <c r="CX529" s="102" t="s">
        <v>30</v>
      </c>
    </row>
    <row r="530" spans="96:102" ht="15" customHeight="1">
      <c r="CR530" s="103" t="s">
        <v>279</v>
      </c>
      <c r="CX530" s="102" t="s">
        <v>30</v>
      </c>
    </row>
    <row r="531" spans="96:102" ht="15" customHeight="1">
      <c r="CR531" s="103" t="s">
        <v>282</v>
      </c>
      <c r="CX531" s="102" t="s">
        <v>30</v>
      </c>
    </row>
    <row r="532" spans="96:102" ht="15" customHeight="1">
      <c r="CR532" s="103" t="s">
        <v>532</v>
      </c>
      <c r="CX532" s="102" t="s">
        <v>30</v>
      </c>
    </row>
    <row r="533" spans="96:102" ht="15" customHeight="1">
      <c r="CR533" s="103" t="s">
        <v>521</v>
      </c>
      <c r="CX533" s="102" t="s">
        <v>30</v>
      </c>
    </row>
    <row r="534" spans="96:102" ht="15" customHeight="1">
      <c r="CR534" s="103" t="s">
        <v>522</v>
      </c>
      <c r="CX534" s="102" t="s">
        <v>30</v>
      </c>
    </row>
    <row r="535" spans="96:102" ht="15" customHeight="1">
      <c r="CR535" s="103" t="s">
        <v>462</v>
      </c>
      <c r="CX535" s="102" t="s">
        <v>30</v>
      </c>
    </row>
    <row r="536" spans="96:102" ht="15" customHeight="1">
      <c r="CR536" s="103" t="s">
        <v>523</v>
      </c>
      <c r="CX536" s="102" t="s">
        <v>30</v>
      </c>
    </row>
    <row r="537" spans="96:102" ht="15" customHeight="1">
      <c r="CR537" s="103" t="s">
        <v>524</v>
      </c>
      <c r="CX537" s="102" t="s">
        <v>30</v>
      </c>
    </row>
    <row r="538" spans="96:102" ht="15" customHeight="1">
      <c r="CR538" s="103" t="s">
        <v>525</v>
      </c>
      <c r="CX538" s="102" t="s">
        <v>30</v>
      </c>
    </row>
    <row r="539" spans="96:102" ht="15" customHeight="1">
      <c r="CR539" s="103" t="s">
        <v>526</v>
      </c>
      <c r="CX539" s="102" t="s">
        <v>30</v>
      </c>
    </row>
    <row r="540" spans="96:102" ht="15" customHeight="1">
      <c r="CR540" s="103" t="s">
        <v>527</v>
      </c>
      <c r="CX540" s="102" t="s">
        <v>30</v>
      </c>
    </row>
    <row r="541" spans="96:102" ht="15" customHeight="1">
      <c r="CR541" s="103" t="s">
        <v>312</v>
      </c>
      <c r="CX541" s="102" t="s">
        <v>30</v>
      </c>
    </row>
    <row r="542" spans="96:102" ht="15" customHeight="1">
      <c r="CR542" s="103" t="s">
        <v>528</v>
      </c>
      <c r="CX542" s="102" t="s">
        <v>30</v>
      </c>
    </row>
    <row r="543" spans="96:102" ht="15" customHeight="1">
      <c r="CR543" s="103" t="s">
        <v>533</v>
      </c>
      <c r="CX543" s="102" t="s">
        <v>30</v>
      </c>
    </row>
    <row r="544" spans="96:102" ht="15" customHeight="1">
      <c r="CR544" s="103" t="s">
        <v>321</v>
      </c>
      <c r="CX544" s="102" t="s">
        <v>30</v>
      </c>
    </row>
    <row r="545" spans="96:102" ht="15" customHeight="1">
      <c r="CR545" s="103" t="s">
        <v>324</v>
      </c>
      <c r="CX545" s="102" t="s">
        <v>30</v>
      </c>
    </row>
    <row r="546" spans="96:102" ht="15" customHeight="1">
      <c r="CR546" s="103" t="s">
        <v>327</v>
      </c>
      <c r="CX546" s="102" t="s">
        <v>30</v>
      </c>
    </row>
    <row r="547" spans="96:102" ht="15" customHeight="1">
      <c r="CR547" s="103" t="s">
        <v>330</v>
      </c>
      <c r="CX547" s="102" t="s">
        <v>30</v>
      </c>
    </row>
    <row r="548" spans="96:102" ht="15" customHeight="1">
      <c r="CR548" s="103" t="s">
        <v>333</v>
      </c>
      <c r="CX548" s="102" t="s">
        <v>30</v>
      </c>
    </row>
    <row r="549" spans="96:102" ht="15" customHeight="1">
      <c r="CR549" s="103" t="s">
        <v>444</v>
      </c>
      <c r="CX549" s="102" t="s">
        <v>30</v>
      </c>
    </row>
    <row r="550" spans="96:102" ht="15" customHeight="1">
      <c r="CR550" s="103" t="s">
        <v>445</v>
      </c>
      <c r="CX550" s="102" t="s">
        <v>30</v>
      </c>
    </row>
    <row r="551" spans="96:102" ht="15" customHeight="1">
      <c r="CR551" s="103" t="s">
        <v>446</v>
      </c>
      <c r="CX551" s="102" t="s">
        <v>30</v>
      </c>
    </row>
    <row r="552" spans="96:102" ht="15" customHeight="1">
      <c r="CR552" s="103" t="s">
        <v>447</v>
      </c>
      <c r="CX552" s="102" t="s">
        <v>30</v>
      </c>
    </row>
    <row r="553" spans="96:102" ht="15" customHeight="1">
      <c r="CR553" s="103" t="s">
        <v>448</v>
      </c>
      <c r="CX553" s="102" t="s">
        <v>30</v>
      </c>
    </row>
    <row r="554" spans="96:102" ht="15" customHeight="1">
      <c r="CR554" s="103" t="s">
        <v>449</v>
      </c>
      <c r="CX554" s="102" t="s">
        <v>30</v>
      </c>
    </row>
    <row r="555" spans="96:102" ht="15" customHeight="1">
      <c r="CR555" s="103" t="s">
        <v>450</v>
      </c>
      <c r="CX555" s="102" t="s">
        <v>30</v>
      </c>
    </row>
    <row r="556" spans="96:102" ht="15" customHeight="1">
      <c r="CR556" s="103" t="s">
        <v>534</v>
      </c>
      <c r="CX556" s="102" t="s">
        <v>30</v>
      </c>
    </row>
    <row r="557" spans="96:102" ht="15" customHeight="1">
      <c r="CR557" s="103" t="s">
        <v>456</v>
      </c>
      <c r="CX557" s="102" t="s">
        <v>30</v>
      </c>
    </row>
    <row r="558" spans="96:102" ht="15" customHeight="1">
      <c r="CR558" s="103" t="s">
        <v>457</v>
      </c>
      <c r="CX558" s="102" t="s">
        <v>30</v>
      </c>
    </row>
    <row r="559" spans="96:102" ht="15" customHeight="1">
      <c r="CR559" s="103" t="s">
        <v>340</v>
      </c>
      <c r="CX559" s="102" t="s">
        <v>30</v>
      </c>
    </row>
    <row r="560" spans="96:102" ht="15" customHeight="1">
      <c r="CR560" s="103" t="s">
        <v>272</v>
      </c>
      <c r="CX560" s="102" t="s">
        <v>30</v>
      </c>
    </row>
    <row r="561" spans="96:102" ht="15" customHeight="1">
      <c r="CR561" s="103" t="s">
        <v>535</v>
      </c>
      <c r="CX561" s="102" t="s">
        <v>30</v>
      </c>
    </row>
    <row r="562" spans="96:102" ht="15" customHeight="1">
      <c r="CR562" s="103" t="s">
        <v>279</v>
      </c>
      <c r="CX562" s="102" t="s">
        <v>30</v>
      </c>
    </row>
    <row r="563" spans="96:102" ht="15" customHeight="1">
      <c r="CR563" s="103" t="s">
        <v>282</v>
      </c>
      <c r="CX563" s="102" t="s">
        <v>30</v>
      </c>
    </row>
    <row r="564" spans="96:102" ht="15" customHeight="1">
      <c r="CR564" s="103" t="s">
        <v>536</v>
      </c>
      <c r="CX564" s="102" t="s">
        <v>30</v>
      </c>
    </row>
    <row r="565" spans="96:102" ht="15" customHeight="1">
      <c r="CR565" s="103" t="s">
        <v>521</v>
      </c>
      <c r="CX565" s="102" t="s">
        <v>30</v>
      </c>
    </row>
    <row r="566" spans="96:102" ht="15" customHeight="1">
      <c r="CR566" s="103" t="s">
        <v>522</v>
      </c>
      <c r="CX566" s="102" t="s">
        <v>30</v>
      </c>
    </row>
    <row r="567" spans="96:102" ht="15" customHeight="1">
      <c r="CR567" s="103" t="s">
        <v>462</v>
      </c>
      <c r="CX567" s="102" t="s">
        <v>30</v>
      </c>
    </row>
    <row r="568" spans="96:102" ht="15" customHeight="1">
      <c r="CR568" s="103" t="s">
        <v>523</v>
      </c>
      <c r="CX568" s="102" t="s">
        <v>30</v>
      </c>
    </row>
    <row r="569" spans="96:102" ht="15" customHeight="1">
      <c r="CR569" s="103" t="s">
        <v>524</v>
      </c>
      <c r="CX569" s="102" t="s">
        <v>30</v>
      </c>
    </row>
    <row r="570" spans="96:102" ht="15" customHeight="1">
      <c r="CR570" s="103" t="s">
        <v>525</v>
      </c>
      <c r="CX570" s="102" t="s">
        <v>30</v>
      </c>
    </row>
    <row r="571" spans="96:102" ht="15" customHeight="1">
      <c r="CR571" s="103" t="s">
        <v>526</v>
      </c>
      <c r="CX571" s="102" t="s">
        <v>30</v>
      </c>
    </row>
    <row r="572" spans="96:102" ht="15" customHeight="1">
      <c r="CR572" s="103" t="s">
        <v>527</v>
      </c>
      <c r="CX572" s="102" t="s">
        <v>30</v>
      </c>
    </row>
    <row r="573" spans="96:102" ht="15" customHeight="1">
      <c r="CR573" s="103" t="s">
        <v>312</v>
      </c>
      <c r="CX573" s="102" t="s">
        <v>30</v>
      </c>
    </row>
    <row r="574" spans="96:102" ht="15" customHeight="1">
      <c r="CR574" s="103" t="s">
        <v>528</v>
      </c>
      <c r="CX574" s="102" t="s">
        <v>30</v>
      </c>
    </row>
    <row r="575" spans="96:102" ht="15" customHeight="1">
      <c r="CR575" s="103" t="s">
        <v>537</v>
      </c>
      <c r="CX575" s="102" t="s">
        <v>30</v>
      </c>
    </row>
    <row r="576" spans="96:102" ht="15" customHeight="1">
      <c r="CR576" s="103" t="s">
        <v>321</v>
      </c>
      <c r="CX576" s="102" t="s">
        <v>30</v>
      </c>
    </row>
    <row r="577" spans="96:102" ht="15" customHeight="1">
      <c r="CR577" s="103" t="s">
        <v>324</v>
      </c>
      <c r="CX577" s="102" t="s">
        <v>30</v>
      </c>
    </row>
    <row r="578" spans="96:102" ht="15" customHeight="1">
      <c r="CR578" s="103" t="s">
        <v>327</v>
      </c>
      <c r="CX578" s="102" t="s">
        <v>30</v>
      </c>
    </row>
    <row r="579" spans="96:102" ht="15" customHeight="1">
      <c r="CR579" s="103" t="s">
        <v>330</v>
      </c>
      <c r="CX579" s="102" t="s">
        <v>30</v>
      </c>
    </row>
    <row r="580" spans="96:102" ht="15" customHeight="1">
      <c r="CR580" s="103" t="s">
        <v>333</v>
      </c>
      <c r="CX580" s="102" t="s">
        <v>30</v>
      </c>
    </row>
    <row r="581" spans="96:102" ht="15" customHeight="1">
      <c r="CR581" s="103" t="s">
        <v>444</v>
      </c>
      <c r="CX581" s="102" t="s">
        <v>30</v>
      </c>
    </row>
    <row r="582" spans="96:102" ht="15" customHeight="1">
      <c r="CR582" s="103" t="s">
        <v>445</v>
      </c>
      <c r="CX582" s="102" t="s">
        <v>30</v>
      </c>
    </row>
    <row r="583" spans="96:102" ht="15" customHeight="1">
      <c r="CR583" s="103" t="s">
        <v>446</v>
      </c>
      <c r="CX583" s="102" t="s">
        <v>30</v>
      </c>
    </row>
    <row r="584" spans="96:102" ht="15" customHeight="1">
      <c r="CR584" s="103" t="s">
        <v>447</v>
      </c>
      <c r="CX584" s="102" t="s">
        <v>30</v>
      </c>
    </row>
    <row r="585" spans="96:102" ht="15" customHeight="1">
      <c r="CR585" s="103" t="s">
        <v>448</v>
      </c>
      <c r="CX585" s="102" t="s">
        <v>30</v>
      </c>
    </row>
    <row r="586" spans="96:102" ht="15" customHeight="1">
      <c r="CR586" s="103" t="s">
        <v>449</v>
      </c>
      <c r="CX586" s="102" t="s">
        <v>30</v>
      </c>
    </row>
    <row r="587" spans="96:102" ht="15" customHeight="1">
      <c r="CR587" s="103" t="s">
        <v>538</v>
      </c>
      <c r="CX587" s="102" t="s">
        <v>30</v>
      </c>
    </row>
    <row r="588" spans="96:102" ht="15" customHeight="1">
      <c r="CR588" s="103" t="s">
        <v>539</v>
      </c>
      <c r="CX588" s="102" t="s">
        <v>30</v>
      </c>
    </row>
    <row r="589" spans="96:102" ht="15" customHeight="1">
      <c r="CR589" s="103" t="s">
        <v>456</v>
      </c>
      <c r="CX589" s="102" t="s">
        <v>30</v>
      </c>
    </row>
    <row r="590" spans="96:102" ht="15" customHeight="1">
      <c r="CR590" s="103" t="s">
        <v>457</v>
      </c>
      <c r="CX590" s="102" t="s">
        <v>30</v>
      </c>
    </row>
    <row r="591" spans="96:102" ht="15" customHeight="1">
      <c r="CR591" s="103" t="s">
        <v>340</v>
      </c>
      <c r="CX591" s="102" t="s">
        <v>30</v>
      </c>
    </row>
    <row r="592" spans="96:102" ht="15" customHeight="1">
      <c r="CR592" s="103" t="s">
        <v>272</v>
      </c>
      <c r="CX592" s="102" t="s">
        <v>30</v>
      </c>
    </row>
    <row r="593" spans="96:102" ht="15" customHeight="1">
      <c r="CR593" s="103" t="s">
        <v>540</v>
      </c>
      <c r="CX593" s="102" t="s">
        <v>30</v>
      </c>
    </row>
    <row r="594" spans="96:102" ht="15" customHeight="1">
      <c r="CR594" s="103" t="s">
        <v>279</v>
      </c>
      <c r="CX594" s="102" t="s">
        <v>30</v>
      </c>
    </row>
    <row r="595" spans="96:102" ht="15" customHeight="1">
      <c r="CR595" s="103" t="s">
        <v>282</v>
      </c>
      <c r="CX595" s="102" t="s">
        <v>30</v>
      </c>
    </row>
    <row r="596" spans="96:102" ht="15" customHeight="1">
      <c r="CR596" s="103" t="s">
        <v>541</v>
      </c>
      <c r="CX596" s="102" t="s">
        <v>30</v>
      </c>
    </row>
    <row r="597" spans="96:102" ht="15" customHeight="1">
      <c r="CR597" s="103" t="s">
        <v>542</v>
      </c>
      <c r="CX597" s="102" t="s">
        <v>30</v>
      </c>
    </row>
    <row r="598" spans="96:102" ht="15" customHeight="1">
      <c r="CR598" s="103" t="s">
        <v>543</v>
      </c>
      <c r="CX598" s="102" t="s">
        <v>30</v>
      </c>
    </row>
    <row r="599" spans="96:102" ht="15" customHeight="1">
      <c r="CR599" s="103" t="s">
        <v>544</v>
      </c>
      <c r="CX599" s="102" t="s">
        <v>30</v>
      </c>
    </row>
    <row r="600" spans="96:102" ht="15" customHeight="1">
      <c r="CR600" s="103" t="s">
        <v>545</v>
      </c>
      <c r="CX600" s="102" t="s">
        <v>30</v>
      </c>
    </row>
    <row r="601" spans="96:102" ht="15" customHeight="1">
      <c r="CR601" s="103" t="s">
        <v>546</v>
      </c>
      <c r="CX601" s="102" t="s">
        <v>30</v>
      </c>
    </row>
    <row r="602" spans="96:102" ht="15" customHeight="1">
      <c r="CR602" s="103" t="s">
        <v>547</v>
      </c>
      <c r="CX602" s="102" t="s">
        <v>30</v>
      </c>
    </row>
    <row r="603" spans="96:102" ht="15" customHeight="1">
      <c r="CR603" s="103" t="s">
        <v>548</v>
      </c>
      <c r="CX603" s="102" t="s">
        <v>30</v>
      </c>
    </row>
    <row r="604" spans="96:102" ht="15" customHeight="1">
      <c r="CR604" s="103" t="s">
        <v>549</v>
      </c>
      <c r="CX604" s="102" t="s">
        <v>30</v>
      </c>
    </row>
    <row r="605" spans="96:102" ht="15" customHeight="1">
      <c r="CR605" s="103" t="s">
        <v>312</v>
      </c>
      <c r="CX605" s="102" t="s">
        <v>30</v>
      </c>
    </row>
    <row r="606" spans="96:102" ht="15" customHeight="1">
      <c r="CR606" s="103" t="s">
        <v>550</v>
      </c>
      <c r="CX606" s="102" t="s">
        <v>30</v>
      </c>
    </row>
    <row r="607" spans="96:102" ht="15" customHeight="1">
      <c r="CR607" s="103" t="s">
        <v>551</v>
      </c>
      <c r="CX607" s="102" t="s">
        <v>30</v>
      </c>
    </row>
    <row r="608" spans="96:102" ht="15" customHeight="1">
      <c r="CR608" s="103" t="s">
        <v>552</v>
      </c>
      <c r="CX608" s="102" t="s">
        <v>30</v>
      </c>
    </row>
    <row r="609" spans="96:102" ht="15" customHeight="1">
      <c r="CR609" s="103" t="s">
        <v>324</v>
      </c>
      <c r="CX609" s="102" t="s">
        <v>30</v>
      </c>
    </row>
    <row r="610" spans="96:102" ht="15" customHeight="1">
      <c r="CR610" s="103" t="s">
        <v>553</v>
      </c>
      <c r="CX610" s="102" t="s">
        <v>30</v>
      </c>
    </row>
    <row r="611" spans="96:102" ht="15" customHeight="1">
      <c r="CR611" s="103" t="s">
        <v>554</v>
      </c>
      <c r="CX611" s="102" t="s">
        <v>30</v>
      </c>
    </row>
    <row r="612" spans="96:102" ht="15" customHeight="1">
      <c r="CR612" s="103" t="s">
        <v>333</v>
      </c>
      <c r="CX612" s="102" t="s">
        <v>30</v>
      </c>
    </row>
    <row r="613" spans="96:102" ht="15" customHeight="1">
      <c r="CR613" s="103" t="s">
        <v>444</v>
      </c>
      <c r="CX613" s="102" t="s">
        <v>30</v>
      </c>
    </row>
    <row r="614" spans="96:102" ht="15" customHeight="1">
      <c r="CR614" s="103" t="s">
        <v>445</v>
      </c>
      <c r="CX614" s="102" t="s">
        <v>30</v>
      </c>
    </row>
    <row r="615" spans="96:102" ht="15" customHeight="1">
      <c r="CR615" s="103" t="s">
        <v>446</v>
      </c>
      <c r="CX615" s="102" t="s">
        <v>30</v>
      </c>
    </row>
    <row r="616" spans="96:102" ht="15" customHeight="1">
      <c r="CR616" s="103" t="s">
        <v>447</v>
      </c>
      <c r="CX616" s="102" t="s">
        <v>30</v>
      </c>
    </row>
    <row r="617" spans="96:102" ht="15" customHeight="1">
      <c r="CR617" s="103" t="s">
        <v>448</v>
      </c>
      <c r="CX617" s="102" t="s">
        <v>30</v>
      </c>
    </row>
    <row r="618" spans="96:102" ht="15" customHeight="1">
      <c r="CR618" s="103" t="s">
        <v>449</v>
      </c>
      <c r="CX618" s="102" t="s">
        <v>30</v>
      </c>
    </row>
    <row r="619" spans="96:102" ht="15" customHeight="1">
      <c r="CR619" s="103" t="s">
        <v>454</v>
      </c>
      <c r="CX619" s="102" t="s">
        <v>30</v>
      </c>
    </row>
    <row r="620" spans="96:102" ht="15" customHeight="1">
      <c r="CR620" s="103" t="s">
        <v>555</v>
      </c>
      <c r="CX620" s="102" t="s">
        <v>30</v>
      </c>
    </row>
    <row r="621" spans="96:102" ht="15" customHeight="1">
      <c r="CR621" s="103" t="s">
        <v>456</v>
      </c>
      <c r="CX621" s="102" t="s">
        <v>30</v>
      </c>
    </row>
    <row r="622" spans="96:102" ht="15" customHeight="1">
      <c r="CR622" s="103" t="s">
        <v>457</v>
      </c>
      <c r="CX622" s="102" t="s">
        <v>30</v>
      </c>
    </row>
    <row r="623" spans="96:102" ht="15" customHeight="1">
      <c r="CR623" s="103" t="s">
        <v>340</v>
      </c>
      <c r="CX623" s="102" t="s">
        <v>30</v>
      </c>
    </row>
    <row r="624" spans="96:102" ht="15" customHeight="1">
      <c r="CR624" s="103" t="s">
        <v>272</v>
      </c>
      <c r="CX624" s="102" t="s">
        <v>30</v>
      </c>
    </row>
    <row r="625" spans="96:102" ht="15" customHeight="1">
      <c r="CR625" s="103" t="s">
        <v>556</v>
      </c>
      <c r="CX625" s="102" t="s">
        <v>30</v>
      </c>
    </row>
    <row r="626" spans="96:102" ht="15" customHeight="1">
      <c r="CR626" s="103" t="s">
        <v>279</v>
      </c>
      <c r="CX626" s="102" t="s">
        <v>30</v>
      </c>
    </row>
    <row r="627" spans="96:102" ht="15" customHeight="1">
      <c r="CR627" s="103" t="s">
        <v>282</v>
      </c>
      <c r="CX627" s="102" t="s">
        <v>30</v>
      </c>
    </row>
    <row r="628" spans="96:102" ht="15" customHeight="1">
      <c r="CR628" s="103" t="s">
        <v>557</v>
      </c>
      <c r="CX628" s="102" t="s">
        <v>30</v>
      </c>
    </row>
    <row r="629" spans="96:102" ht="15" customHeight="1">
      <c r="CR629" s="103" t="s">
        <v>542</v>
      </c>
      <c r="CX629" s="102" t="s">
        <v>30</v>
      </c>
    </row>
    <row r="630" spans="96:102" ht="15" customHeight="1">
      <c r="CR630" s="103" t="s">
        <v>543</v>
      </c>
      <c r="CX630" s="102" t="s">
        <v>30</v>
      </c>
    </row>
    <row r="631" spans="96:102" ht="15" customHeight="1">
      <c r="CR631" s="103" t="s">
        <v>544</v>
      </c>
      <c r="CX631" s="102" t="s">
        <v>30</v>
      </c>
    </row>
    <row r="632" spans="96:102" ht="15" customHeight="1">
      <c r="CR632" s="103" t="s">
        <v>545</v>
      </c>
      <c r="CX632" s="102" t="s">
        <v>30</v>
      </c>
    </row>
    <row r="633" spans="96:102" ht="15" customHeight="1">
      <c r="CR633" s="103" t="s">
        <v>546</v>
      </c>
      <c r="CX633" s="102" t="s">
        <v>30</v>
      </c>
    </row>
    <row r="634" spans="96:102" ht="15" customHeight="1">
      <c r="CR634" s="103" t="s">
        <v>547</v>
      </c>
      <c r="CX634" s="102" t="s">
        <v>30</v>
      </c>
    </row>
    <row r="635" spans="96:102" ht="15" customHeight="1">
      <c r="CR635" s="103" t="s">
        <v>548</v>
      </c>
      <c r="CX635" s="102" t="s">
        <v>30</v>
      </c>
    </row>
    <row r="636" spans="96:102" ht="15" customHeight="1">
      <c r="CR636" s="103" t="s">
        <v>549</v>
      </c>
      <c r="CX636" s="102" t="s">
        <v>30</v>
      </c>
    </row>
    <row r="637" spans="96:102" ht="15" customHeight="1">
      <c r="CR637" s="103" t="s">
        <v>312</v>
      </c>
      <c r="CX637" s="102" t="s">
        <v>30</v>
      </c>
    </row>
    <row r="638" spans="96:102" ht="15" customHeight="1">
      <c r="CR638" s="103" t="s">
        <v>550</v>
      </c>
      <c r="CX638" s="102" t="s">
        <v>30</v>
      </c>
    </row>
    <row r="639" spans="96:102" ht="15" customHeight="1">
      <c r="CR639" s="103" t="s">
        <v>558</v>
      </c>
      <c r="CX639" s="102" t="s">
        <v>30</v>
      </c>
    </row>
    <row r="640" spans="96:102" ht="15" customHeight="1">
      <c r="CR640" s="103" t="s">
        <v>552</v>
      </c>
      <c r="CX640" s="102" t="s">
        <v>30</v>
      </c>
    </row>
    <row r="641" spans="96:102" ht="15" customHeight="1">
      <c r="CR641" s="103" t="s">
        <v>324</v>
      </c>
      <c r="CX641" s="102" t="s">
        <v>30</v>
      </c>
    </row>
    <row r="642" spans="96:102" ht="15" customHeight="1">
      <c r="CR642" s="103" t="s">
        <v>553</v>
      </c>
      <c r="CX642" s="102" t="s">
        <v>30</v>
      </c>
    </row>
    <row r="643" spans="96:102" ht="15" customHeight="1">
      <c r="CR643" s="103" t="s">
        <v>554</v>
      </c>
      <c r="CX643" s="102" t="s">
        <v>30</v>
      </c>
    </row>
    <row r="644" spans="96:102" ht="15" customHeight="1">
      <c r="CR644" s="103" t="s">
        <v>333</v>
      </c>
      <c r="CX644" s="102" t="s">
        <v>30</v>
      </c>
    </row>
    <row r="645" spans="96:102" ht="15" customHeight="1">
      <c r="CR645" s="103" t="s">
        <v>444</v>
      </c>
      <c r="CX645" s="102" t="s">
        <v>30</v>
      </c>
    </row>
    <row r="646" spans="96:102" ht="15" customHeight="1">
      <c r="CR646" s="103" t="s">
        <v>445</v>
      </c>
      <c r="CX646" s="102" t="s">
        <v>30</v>
      </c>
    </row>
    <row r="647" spans="96:102" ht="15" customHeight="1">
      <c r="CR647" s="103" t="s">
        <v>446</v>
      </c>
      <c r="CX647" s="102" t="s">
        <v>30</v>
      </c>
    </row>
    <row r="648" spans="96:102" ht="15" customHeight="1">
      <c r="CR648" s="103" t="s">
        <v>447</v>
      </c>
      <c r="CX648" s="102" t="s">
        <v>30</v>
      </c>
    </row>
    <row r="649" spans="96:102" ht="15" customHeight="1">
      <c r="CR649" s="103" t="s">
        <v>448</v>
      </c>
      <c r="CX649" s="102" t="s">
        <v>30</v>
      </c>
    </row>
    <row r="650" spans="96:102" ht="15" customHeight="1">
      <c r="CR650" s="103" t="s">
        <v>449</v>
      </c>
      <c r="CX650" s="102" t="s">
        <v>30</v>
      </c>
    </row>
    <row r="651" spans="96:102" ht="15" customHeight="1">
      <c r="CR651" s="103" t="s">
        <v>474</v>
      </c>
      <c r="CX651" s="102" t="s">
        <v>30</v>
      </c>
    </row>
    <row r="652" spans="96:102" ht="15" customHeight="1">
      <c r="CR652" s="103" t="s">
        <v>559</v>
      </c>
      <c r="CX652" s="102" t="s">
        <v>30</v>
      </c>
    </row>
    <row r="653" spans="96:102" ht="15" customHeight="1">
      <c r="CR653" s="103" t="s">
        <v>456</v>
      </c>
      <c r="CX653" s="102" t="s">
        <v>30</v>
      </c>
    </row>
    <row r="654" spans="96:102" ht="15" customHeight="1">
      <c r="CR654" s="103" t="s">
        <v>457</v>
      </c>
      <c r="CX654" s="102" t="s">
        <v>30</v>
      </c>
    </row>
    <row r="655" spans="96:102" ht="15" customHeight="1">
      <c r="CR655" s="103" t="s">
        <v>340</v>
      </c>
      <c r="CX655" s="102" t="s">
        <v>30</v>
      </c>
    </row>
    <row r="656" spans="96:102" ht="15" customHeight="1">
      <c r="CR656" s="103" t="s">
        <v>272</v>
      </c>
      <c r="CX656" s="102" t="s">
        <v>30</v>
      </c>
    </row>
    <row r="657" spans="96:102" ht="15" customHeight="1">
      <c r="CR657" s="103" t="s">
        <v>560</v>
      </c>
      <c r="CX657" s="102" t="s">
        <v>30</v>
      </c>
    </row>
    <row r="658" spans="96:102" ht="15" customHeight="1">
      <c r="CR658" s="103" t="s">
        <v>279</v>
      </c>
      <c r="CX658" s="102" t="s">
        <v>30</v>
      </c>
    </row>
    <row r="659" spans="96:102" ht="15" customHeight="1">
      <c r="CR659" s="103" t="s">
        <v>282</v>
      </c>
      <c r="CX659" s="102" t="s">
        <v>30</v>
      </c>
    </row>
    <row r="660" spans="96:102" ht="15" customHeight="1">
      <c r="CR660" s="103" t="s">
        <v>561</v>
      </c>
      <c r="CX660" s="102" t="s">
        <v>30</v>
      </c>
    </row>
    <row r="661" spans="96:102" ht="15" customHeight="1">
      <c r="CR661" s="103" t="s">
        <v>542</v>
      </c>
      <c r="CX661" s="102" t="s">
        <v>30</v>
      </c>
    </row>
    <row r="662" spans="96:102" ht="15" customHeight="1">
      <c r="CR662" s="103" t="s">
        <v>543</v>
      </c>
      <c r="CX662" s="102" t="s">
        <v>30</v>
      </c>
    </row>
    <row r="663" spans="96:102" ht="15" customHeight="1">
      <c r="CR663" s="103" t="s">
        <v>544</v>
      </c>
      <c r="CX663" s="102" t="s">
        <v>30</v>
      </c>
    </row>
    <row r="664" spans="96:102" ht="15" customHeight="1">
      <c r="CR664" s="103" t="s">
        <v>545</v>
      </c>
      <c r="CX664" s="102" t="s">
        <v>30</v>
      </c>
    </row>
    <row r="665" spans="96:102" ht="15" customHeight="1">
      <c r="CR665" s="103" t="s">
        <v>546</v>
      </c>
      <c r="CX665" s="102" t="s">
        <v>30</v>
      </c>
    </row>
    <row r="666" spans="96:102" ht="15" customHeight="1">
      <c r="CR666" s="103" t="s">
        <v>547</v>
      </c>
      <c r="CX666" s="102" t="s">
        <v>30</v>
      </c>
    </row>
    <row r="667" spans="96:102" ht="15" customHeight="1">
      <c r="CR667" s="103" t="s">
        <v>548</v>
      </c>
      <c r="CX667" s="102" t="s">
        <v>30</v>
      </c>
    </row>
    <row r="668" spans="96:102" ht="15" customHeight="1">
      <c r="CR668" s="103" t="s">
        <v>549</v>
      </c>
      <c r="CX668" s="102" t="s">
        <v>30</v>
      </c>
    </row>
    <row r="669" spans="96:102" ht="15" customHeight="1">
      <c r="CR669" s="103" t="s">
        <v>312</v>
      </c>
      <c r="CX669" s="102" t="s">
        <v>30</v>
      </c>
    </row>
    <row r="670" spans="96:102" ht="15" customHeight="1">
      <c r="CR670" s="103" t="s">
        <v>550</v>
      </c>
      <c r="CX670" s="102" t="s">
        <v>30</v>
      </c>
    </row>
    <row r="671" spans="96:102" ht="15" customHeight="1">
      <c r="CR671" s="103" t="s">
        <v>562</v>
      </c>
      <c r="CX671" s="102" t="s">
        <v>30</v>
      </c>
    </row>
    <row r="672" spans="96:102" ht="15" customHeight="1">
      <c r="CR672" s="103" t="s">
        <v>552</v>
      </c>
      <c r="CX672" s="102" t="s">
        <v>30</v>
      </c>
    </row>
    <row r="673" spans="96:102" ht="15" customHeight="1">
      <c r="CR673" s="103" t="s">
        <v>324</v>
      </c>
      <c r="CX673" s="102" t="s">
        <v>30</v>
      </c>
    </row>
    <row r="674" spans="96:102" ht="15" customHeight="1">
      <c r="CR674" s="103" t="s">
        <v>553</v>
      </c>
      <c r="CX674" s="102" t="s">
        <v>30</v>
      </c>
    </row>
    <row r="675" spans="96:102" ht="15" customHeight="1">
      <c r="CR675" s="103" t="s">
        <v>554</v>
      </c>
      <c r="CX675" s="102" t="s">
        <v>30</v>
      </c>
    </row>
    <row r="676" spans="96:102" ht="15" customHeight="1">
      <c r="CR676" s="103" t="s">
        <v>333</v>
      </c>
      <c r="CX676" s="102" t="s">
        <v>30</v>
      </c>
    </row>
    <row r="677" spans="96:102" ht="15" customHeight="1">
      <c r="CR677" s="103" t="s">
        <v>444</v>
      </c>
      <c r="CX677" s="102" t="s">
        <v>30</v>
      </c>
    </row>
    <row r="678" spans="96:102" ht="15" customHeight="1">
      <c r="CR678" s="103" t="s">
        <v>445</v>
      </c>
      <c r="CX678" s="102" t="s">
        <v>30</v>
      </c>
    </row>
    <row r="679" spans="96:102" ht="15" customHeight="1">
      <c r="CR679" s="103" t="s">
        <v>446</v>
      </c>
      <c r="CX679" s="102" t="s">
        <v>30</v>
      </c>
    </row>
    <row r="680" spans="96:102" ht="15" customHeight="1">
      <c r="CR680" s="103" t="s">
        <v>447</v>
      </c>
      <c r="CX680" s="102" t="s">
        <v>30</v>
      </c>
    </row>
    <row r="681" spans="96:102" ht="15" customHeight="1">
      <c r="CR681" s="103" t="s">
        <v>448</v>
      </c>
      <c r="CX681" s="102" t="s">
        <v>30</v>
      </c>
    </row>
    <row r="682" spans="96:102" ht="15" customHeight="1">
      <c r="CR682" s="103" t="s">
        <v>449</v>
      </c>
      <c r="CX682" s="102" t="s">
        <v>30</v>
      </c>
    </row>
    <row r="683" spans="96:102" ht="15" customHeight="1">
      <c r="CR683" s="103" t="s">
        <v>450</v>
      </c>
      <c r="CX683" s="102" t="s">
        <v>30</v>
      </c>
    </row>
    <row r="684" spans="96:102" ht="15" customHeight="1">
      <c r="CR684" s="103" t="s">
        <v>563</v>
      </c>
      <c r="CX684" s="102" t="s">
        <v>30</v>
      </c>
    </row>
    <row r="685" spans="96:102" ht="15" customHeight="1">
      <c r="CR685" s="103" t="s">
        <v>456</v>
      </c>
      <c r="CX685" s="102" t="s">
        <v>30</v>
      </c>
    </row>
    <row r="686" spans="96:102" ht="15" customHeight="1">
      <c r="CR686" s="103" t="s">
        <v>457</v>
      </c>
      <c r="CX686" s="102" t="s">
        <v>30</v>
      </c>
    </row>
    <row r="687" spans="96:102" ht="15" customHeight="1">
      <c r="CR687" s="103" t="s">
        <v>340</v>
      </c>
      <c r="CX687" s="102" t="s">
        <v>30</v>
      </c>
    </row>
    <row r="688" spans="96:102" ht="15" customHeight="1">
      <c r="CR688" s="103" t="s">
        <v>272</v>
      </c>
      <c r="CX688" s="102" t="s">
        <v>30</v>
      </c>
    </row>
    <row r="689" spans="96:102" ht="15" customHeight="1">
      <c r="CR689" s="103" t="s">
        <v>564</v>
      </c>
      <c r="CX689" s="102" t="s">
        <v>30</v>
      </c>
    </row>
    <row r="690" spans="96:102" ht="15" customHeight="1">
      <c r="CR690" s="103" t="s">
        <v>279</v>
      </c>
      <c r="CX690" s="102" t="s">
        <v>30</v>
      </c>
    </row>
    <row r="691" spans="96:102" ht="15" customHeight="1">
      <c r="CR691" s="103" t="s">
        <v>282</v>
      </c>
      <c r="CX691" s="102" t="s">
        <v>30</v>
      </c>
    </row>
    <row r="692" spans="96:102" ht="15" customHeight="1">
      <c r="CR692" s="103" t="s">
        <v>565</v>
      </c>
      <c r="CX692" s="102" t="s">
        <v>30</v>
      </c>
    </row>
    <row r="693" spans="96:102" ht="15" customHeight="1">
      <c r="CR693" s="103" t="s">
        <v>566</v>
      </c>
      <c r="CX693" s="102" t="s">
        <v>30</v>
      </c>
    </row>
    <row r="694" spans="96:102" ht="15" customHeight="1">
      <c r="CR694" s="103" t="s">
        <v>567</v>
      </c>
      <c r="CX694" s="102" t="s">
        <v>30</v>
      </c>
    </row>
    <row r="695" spans="96:102" ht="15" customHeight="1">
      <c r="CR695" s="103" t="s">
        <v>568</v>
      </c>
      <c r="CX695" s="102" t="s">
        <v>30</v>
      </c>
    </row>
    <row r="696" spans="96:102" ht="15" customHeight="1">
      <c r="CR696" s="103" t="s">
        <v>569</v>
      </c>
      <c r="CX696" s="102" t="s">
        <v>30</v>
      </c>
    </row>
    <row r="697" spans="96:102" ht="15" customHeight="1">
      <c r="CR697" s="103" t="s">
        <v>570</v>
      </c>
      <c r="CX697" s="102" t="s">
        <v>30</v>
      </c>
    </row>
    <row r="698" spans="96:102" ht="15" customHeight="1">
      <c r="CR698" s="103" t="s">
        <v>571</v>
      </c>
      <c r="CX698" s="102" t="s">
        <v>30</v>
      </c>
    </row>
    <row r="699" spans="96:102" ht="15" customHeight="1">
      <c r="CR699" s="103" t="s">
        <v>572</v>
      </c>
      <c r="CX699" s="102" t="s">
        <v>30</v>
      </c>
    </row>
    <row r="700" spans="96:102" ht="15" customHeight="1">
      <c r="CR700" s="103" t="s">
        <v>573</v>
      </c>
      <c r="CX700" s="102" t="s">
        <v>30</v>
      </c>
    </row>
    <row r="701" spans="96:102" ht="15" customHeight="1">
      <c r="CR701" s="103" t="s">
        <v>312</v>
      </c>
      <c r="CX701" s="102" t="s">
        <v>30</v>
      </c>
    </row>
    <row r="702" spans="96:102" ht="15" customHeight="1">
      <c r="CR702" s="103" t="s">
        <v>574</v>
      </c>
      <c r="CX702" s="102" t="s">
        <v>30</v>
      </c>
    </row>
    <row r="703" spans="96:102" ht="15" customHeight="1">
      <c r="CR703" s="103" t="s">
        <v>469</v>
      </c>
      <c r="CX703" s="102" t="s">
        <v>30</v>
      </c>
    </row>
    <row r="704" spans="96:102" ht="15" customHeight="1">
      <c r="CR704" s="103" t="s">
        <v>321</v>
      </c>
      <c r="CX704" s="102" t="s">
        <v>30</v>
      </c>
    </row>
    <row r="705" spans="96:102" ht="15" customHeight="1">
      <c r="CR705" s="103" t="s">
        <v>324</v>
      </c>
      <c r="CX705" s="102" t="s">
        <v>30</v>
      </c>
    </row>
    <row r="706" spans="96:102" ht="15" customHeight="1">
      <c r="CR706" s="103" t="s">
        <v>327</v>
      </c>
      <c r="CX706" s="102" t="s">
        <v>30</v>
      </c>
    </row>
    <row r="707" spans="96:102" ht="15" customHeight="1">
      <c r="CR707" s="103" t="s">
        <v>330</v>
      </c>
      <c r="CX707" s="102" t="s">
        <v>30</v>
      </c>
    </row>
    <row r="708" spans="96:102" ht="15" customHeight="1">
      <c r="CR708" s="103" t="s">
        <v>333</v>
      </c>
      <c r="CX708" s="102" t="s">
        <v>30</v>
      </c>
    </row>
    <row r="709" spans="96:102" ht="15" customHeight="1">
      <c r="CR709" s="103" t="s">
        <v>444</v>
      </c>
      <c r="CX709" s="102" t="s">
        <v>30</v>
      </c>
    </row>
    <row r="710" spans="96:102" ht="15" customHeight="1">
      <c r="CR710" s="103" t="s">
        <v>445</v>
      </c>
      <c r="CX710" s="102" t="s">
        <v>30</v>
      </c>
    </row>
    <row r="711" spans="96:102" ht="15" customHeight="1">
      <c r="CR711" s="103" t="s">
        <v>446</v>
      </c>
      <c r="CX711" s="102" t="s">
        <v>30</v>
      </c>
    </row>
    <row r="712" spans="96:102" ht="15" customHeight="1">
      <c r="CR712" s="103" t="s">
        <v>447</v>
      </c>
      <c r="CX712" s="102" t="s">
        <v>30</v>
      </c>
    </row>
    <row r="713" spans="96:102" ht="15" customHeight="1">
      <c r="CR713" s="103" t="s">
        <v>448</v>
      </c>
      <c r="CX713" s="102" t="s">
        <v>30</v>
      </c>
    </row>
    <row r="714" spans="96:102" ht="15" customHeight="1">
      <c r="CR714" s="103" t="s">
        <v>449</v>
      </c>
      <c r="CX714" s="102" t="s">
        <v>30</v>
      </c>
    </row>
    <row r="715" spans="96:102" ht="15" customHeight="1">
      <c r="CR715" s="103" t="s">
        <v>454</v>
      </c>
      <c r="CX715" s="102" t="s">
        <v>30</v>
      </c>
    </row>
    <row r="716" spans="96:102" ht="15" customHeight="1">
      <c r="CR716" s="103" t="s">
        <v>575</v>
      </c>
      <c r="CX716" s="102" t="s">
        <v>30</v>
      </c>
    </row>
    <row r="717" spans="96:102" ht="15" customHeight="1">
      <c r="CR717" s="103" t="s">
        <v>456</v>
      </c>
      <c r="CX717" s="102" t="s">
        <v>30</v>
      </c>
    </row>
    <row r="718" spans="96:102" ht="15" customHeight="1">
      <c r="CR718" s="103" t="s">
        <v>457</v>
      </c>
      <c r="CX718" s="102" t="s">
        <v>30</v>
      </c>
    </row>
    <row r="719" spans="96:102" ht="15" customHeight="1">
      <c r="CR719" s="103" t="s">
        <v>340</v>
      </c>
      <c r="CX719" s="102" t="s">
        <v>30</v>
      </c>
    </row>
    <row r="720" spans="96:102" ht="15" customHeight="1">
      <c r="CR720" s="103" t="s">
        <v>272</v>
      </c>
      <c r="CX720" s="102" t="s">
        <v>30</v>
      </c>
    </row>
    <row r="721" spans="96:102" ht="15" customHeight="1">
      <c r="CR721" s="103" t="s">
        <v>576</v>
      </c>
      <c r="CX721" s="102" t="s">
        <v>30</v>
      </c>
    </row>
    <row r="722" spans="96:102" ht="15" customHeight="1">
      <c r="CR722" s="103" t="s">
        <v>279</v>
      </c>
      <c r="CX722" s="102" t="s">
        <v>30</v>
      </c>
    </row>
    <row r="723" spans="96:102" ht="15" customHeight="1">
      <c r="CR723" s="103" t="s">
        <v>282</v>
      </c>
      <c r="CX723" s="102" t="s">
        <v>30</v>
      </c>
    </row>
    <row r="724" spans="96:102" ht="15" customHeight="1">
      <c r="CR724" s="103" t="s">
        <v>577</v>
      </c>
      <c r="CX724" s="102" t="s">
        <v>30</v>
      </c>
    </row>
    <row r="725" spans="96:102" ht="15" customHeight="1">
      <c r="CR725" s="103" t="s">
        <v>566</v>
      </c>
      <c r="CX725" s="102" t="s">
        <v>30</v>
      </c>
    </row>
    <row r="726" spans="96:102" ht="15" customHeight="1">
      <c r="CR726" s="103" t="s">
        <v>567</v>
      </c>
      <c r="CX726" s="102" t="s">
        <v>30</v>
      </c>
    </row>
    <row r="727" spans="96:102" ht="15" customHeight="1">
      <c r="CR727" s="103" t="s">
        <v>568</v>
      </c>
      <c r="CX727" s="102" t="s">
        <v>30</v>
      </c>
    </row>
    <row r="728" spans="96:102" ht="15" customHeight="1">
      <c r="CR728" s="103" t="s">
        <v>569</v>
      </c>
      <c r="CX728" s="102" t="s">
        <v>30</v>
      </c>
    </row>
    <row r="729" spans="96:102" ht="15" customHeight="1">
      <c r="CR729" s="103" t="s">
        <v>570</v>
      </c>
      <c r="CX729" s="102" t="s">
        <v>30</v>
      </c>
    </row>
    <row r="730" spans="96:102" ht="15" customHeight="1">
      <c r="CR730" s="103" t="s">
        <v>571</v>
      </c>
      <c r="CX730" s="102" t="s">
        <v>30</v>
      </c>
    </row>
    <row r="731" spans="96:102" ht="15" customHeight="1">
      <c r="CR731" s="103" t="s">
        <v>572</v>
      </c>
      <c r="CX731" s="102" t="s">
        <v>30</v>
      </c>
    </row>
    <row r="732" spans="96:102" ht="15" customHeight="1">
      <c r="CR732" s="103" t="s">
        <v>573</v>
      </c>
      <c r="CX732" s="102" t="s">
        <v>30</v>
      </c>
    </row>
    <row r="733" spans="96:102" ht="15" customHeight="1">
      <c r="CR733" s="103" t="s">
        <v>312</v>
      </c>
      <c r="CX733" s="102" t="s">
        <v>30</v>
      </c>
    </row>
    <row r="734" spans="96:102" ht="15" customHeight="1">
      <c r="CR734" s="103" t="s">
        <v>574</v>
      </c>
      <c r="CX734" s="102" t="s">
        <v>30</v>
      </c>
    </row>
    <row r="735" spans="96:102" ht="15" customHeight="1">
      <c r="CR735" s="103" t="s">
        <v>578</v>
      </c>
      <c r="CX735" s="102" t="s">
        <v>30</v>
      </c>
    </row>
    <row r="736" spans="96:102" ht="15" customHeight="1">
      <c r="CR736" s="103" t="s">
        <v>321</v>
      </c>
      <c r="CX736" s="102" t="s">
        <v>30</v>
      </c>
    </row>
    <row r="737" spans="96:102" ht="15" customHeight="1">
      <c r="CR737" s="103" t="s">
        <v>324</v>
      </c>
      <c r="CX737" s="102" t="s">
        <v>30</v>
      </c>
    </row>
    <row r="738" spans="96:102" ht="15" customHeight="1">
      <c r="CR738" s="103" t="s">
        <v>327</v>
      </c>
      <c r="CX738" s="102" t="s">
        <v>30</v>
      </c>
    </row>
    <row r="739" spans="96:102" ht="15" customHeight="1">
      <c r="CR739" s="103" t="s">
        <v>330</v>
      </c>
      <c r="CX739" s="102" t="s">
        <v>30</v>
      </c>
    </row>
    <row r="740" spans="96:102" ht="15" customHeight="1">
      <c r="CR740" s="103" t="s">
        <v>333</v>
      </c>
      <c r="CX740" s="102" t="s">
        <v>30</v>
      </c>
    </row>
    <row r="741" spans="96:102" ht="15" customHeight="1">
      <c r="CR741" s="103" t="s">
        <v>444</v>
      </c>
      <c r="CX741" s="102" t="s">
        <v>30</v>
      </c>
    </row>
    <row r="742" spans="96:102" ht="15" customHeight="1">
      <c r="CR742" s="103" t="s">
        <v>445</v>
      </c>
      <c r="CX742" s="102" t="s">
        <v>30</v>
      </c>
    </row>
    <row r="743" spans="96:102" ht="15" customHeight="1">
      <c r="CR743" s="103" t="s">
        <v>446</v>
      </c>
      <c r="CX743" s="102" t="s">
        <v>30</v>
      </c>
    </row>
    <row r="744" spans="96:102" ht="15" customHeight="1">
      <c r="CR744" s="103" t="s">
        <v>447</v>
      </c>
      <c r="CX744" s="102" t="s">
        <v>30</v>
      </c>
    </row>
    <row r="745" spans="96:102" ht="15" customHeight="1">
      <c r="CR745" s="103" t="s">
        <v>448</v>
      </c>
      <c r="CX745" s="102" t="s">
        <v>30</v>
      </c>
    </row>
    <row r="746" spans="96:102" ht="15" customHeight="1">
      <c r="CR746" s="103" t="s">
        <v>449</v>
      </c>
      <c r="CX746" s="102" t="s">
        <v>30</v>
      </c>
    </row>
    <row r="747" spans="96:102" ht="15" customHeight="1">
      <c r="CR747" s="103" t="s">
        <v>474</v>
      </c>
      <c r="CX747" s="102" t="s">
        <v>30</v>
      </c>
    </row>
    <row r="748" spans="96:102" ht="15" customHeight="1">
      <c r="CR748" s="103" t="s">
        <v>475</v>
      </c>
      <c r="CX748" s="102" t="s">
        <v>30</v>
      </c>
    </row>
    <row r="749" spans="96:102" ht="15" customHeight="1">
      <c r="CR749" s="103" t="s">
        <v>456</v>
      </c>
      <c r="CX749" s="102" t="s">
        <v>30</v>
      </c>
    </row>
    <row r="750" spans="96:102" ht="15" customHeight="1">
      <c r="CR750" s="103" t="s">
        <v>457</v>
      </c>
      <c r="CX750" s="102" t="s">
        <v>30</v>
      </c>
    </row>
    <row r="751" spans="96:102" ht="15" customHeight="1">
      <c r="CR751" s="103" t="s">
        <v>340</v>
      </c>
      <c r="CX751" s="102" t="s">
        <v>30</v>
      </c>
    </row>
    <row r="752" spans="96:102" ht="15" customHeight="1">
      <c r="CR752" s="103" t="s">
        <v>272</v>
      </c>
      <c r="CX752" s="102" t="s">
        <v>30</v>
      </c>
    </row>
    <row r="753" spans="96:102" ht="15" customHeight="1">
      <c r="CR753" s="103" t="s">
        <v>579</v>
      </c>
      <c r="CX753" s="102" t="s">
        <v>30</v>
      </c>
    </row>
    <row r="754" spans="96:102" ht="15" customHeight="1">
      <c r="CR754" s="103" t="s">
        <v>279</v>
      </c>
      <c r="CX754" s="102" t="s">
        <v>30</v>
      </c>
    </row>
    <row r="755" spans="96:102" ht="15" customHeight="1">
      <c r="CR755" s="103" t="s">
        <v>282</v>
      </c>
      <c r="CX755" s="102" t="s">
        <v>30</v>
      </c>
    </row>
    <row r="756" spans="96:102" ht="15" customHeight="1">
      <c r="CR756" s="103" t="s">
        <v>580</v>
      </c>
      <c r="CX756" s="102" t="s">
        <v>30</v>
      </c>
    </row>
    <row r="757" spans="96:102" ht="15" customHeight="1">
      <c r="CR757" s="103" t="s">
        <v>566</v>
      </c>
      <c r="CX757" s="102" t="s">
        <v>30</v>
      </c>
    </row>
    <row r="758" spans="96:102" ht="15" customHeight="1">
      <c r="CR758" s="103" t="s">
        <v>567</v>
      </c>
      <c r="CX758" s="102" t="s">
        <v>30</v>
      </c>
    </row>
    <row r="759" spans="96:102" ht="15" customHeight="1">
      <c r="CR759" s="103" t="s">
        <v>568</v>
      </c>
      <c r="CX759" s="102" t="s">
        <v>30</v>
      </c>
    </row>
    <row r="760" spans="96:102" ht="15" customHeight="1">
      <c r="CR760" s="103" t="s">
        <v>569</v>
      </c>
      <c r="CX760" s="102" t="s">
        <v>30</v>
      </c>
    </row>
    <row r="761" spans="96:102" ht="15" customHeight="1">
      <c r="CR761" s="103" t="s">
        <v>570</v>
      </c>
      <c r="CX761" s="102" t="s">
        <v>30</v>
      </c>
    </row>
    <row r="762" spans="96:102" ht="15" customHeight="1">
      <c r="CR762" s="103" t="s">
        <v>571</v>
      </c>
      <c r="CX762" s="102" t="s">
        <v>30</v>
      </c>
    </row>
    <row r="763" spans="96:102" ht="15" customHeight="1">
      <c r="CR763" s="103" t="s">
        <v>572</v>
      </c>
      <c r="CX763" s="102" t="s">
        <v>30</v>
      </c>
    </row>
    <row r="764" spans="96:102" ht="15" customHeight="1">
      <c r="CR764" s="103" t="s">
        <v>573</v>
      </c>
      <c r="CX764" s="102" t="s">
        <v>30</v>
      </c>
    </row>
    <row r="765" spans="96:102" ht="15" customHeight="1">
      <c r="CR765" s="103" t="s">
        <v>312</v>
      </c>
      <c r="CX765" s="102" t="s">
        <v>30</v>
      </c>
    </row>
    <row r="766" spans="96:102" ht="15" customHeight="1">
      <c r="CR766" s="103" t="s">
        <v>574</v>
      </c>
      <c r="CX766" s="102" t="s">
        <v>30</v>
      </c>
    </row>
    <row r="767" spans="96:102" ht="15" customHeight="1">
      <c r="CR767" s="103" t="s">
        <v>581</v>
      </c>
      <c r="CX767" s="102" t="s">
        <v>30</v>
      </c>
    </row>
    <row r="768" spans="96:102" ht="15" customHeight="1">
      <c r="CR768" s="103" t="s">
        <v>321</v>
      </c>
      <c r="CX768" s="102" t="s">
        <v>30</v>
      </c>
    </row>
    <row r="769" spans="96:102" ht="15" customHeight="1">
      <c r="CR769" s="103" t="s">
        <v>324</v>
      </c>
      <c r="CX769" s="102" t="s">
        <v>30</v>
      </c>
    </row>
    <row r="770" spans="96:102" ht="15" customHeight="1">
      <c r="CR770" s="103" t="s">
        <v>327</v>
      </c>
      <c r="CX770" s="102" t="s">
        <v>30</v>
      </c>
    </row>
    <row r="771" spans="96:102" ht="15" customHeight="1">
      <c r="CR771" s="103" t="s">
        <v>330</v>
      </c>
      <c r="CX771" s="102" t="s">
        <v>30</v>
      </c>
    </row>
    <row r="772" spans="96:102" ht="15" customHeight="1">
      <c r="CR772" s="103" t="s">
        <v>333</v>
      </c>
      <c r="CX772" s="102" t="s">
        <v>30</v>
      </c>
    </row>
    <row r="773" spans="96:102" ht="15" customHeight="1">
      <c r="CR773" s="103" t="s">
        <v>444</v>
      </c>
      <c r="CX773" s="102" t="s">
        <v>30</v>
      </c>
    </row>
    <row r="774" spans="96:102" ht="15" customHeight="1">
      <c r="CR774" s="103" t="s">
        <v>445</v>
      </c>
      <c r="CX774" s="102" t="s">
        <v>30</v>
      </c>
    </row>
    <row r="775" spans="96:102" ht="15" customHeight="1">
      <c r="CR775" s="103" t="s">
        <v>446</v>
      </c>
      <c r="CX775" s="102" t="s">
        <v>30</v>
      </c>
    </row>
    <row r="776" spans="96:102" ht="15" customHeight="1">
      <c r="CR776" s="103" t="s">
        <v>447</v>
      </c>
      <c r="CX776" s="102" t="s">
        <v>30</v>
      </c>
    </row>
    <row r="777" spans="96:102" ht="15" customHeight="1">
      <c r="CR777" s="103" t="s">
        <v>448</v>
      </c>
      <c r="CX777" s="102" t="s">
        <v>30</v>
      </c>
    </row>
    <row r="778" spans="96:102" ht="15" customHeight="1">
      <c r="CR778" s="103" t="s">
        <v>449</v>
      </c>
      <c r="CX778" s="102" t="s">
        <v>30</v>
      </c>
    </row>
    <row r="779" spans="96:102" ht="15" customHeight="1">
      <c r="CR779" s="103" t="s">
        <v>450</v>
      </c>
      <c r="CX779" s="102" t="s">
        <v>30</v>
      </c>
    </row>
    <row r="780" spans="96:102" ht="15" customHeight="1">
      <c r="CR780" s="103" t="s">
        <v>479</v>
      </c>
      <c r="CX780" s="102" t="s">
        <v>30</v>
      </c>
    </row>
    <row r="781" spans="96:102" ht="15" customHeight="1">
      <c r="CR781" s="103" t="s">
        <v>456</v>
      </c>
      <c r="CX781" s="102" t="s">
        <v>30</v>
      </c>
    </row>
    <row r="782" spans="96:102" ht="15" customHeight="1">
      <c r="CR782" s="103" t="s">
        <v>457</v>
      </c>
      <c r="CX782" s="102" t="s">
        <v>30</v>
      </c>
    </row>
    <row r="783" spans="96:102" ht="15" customHeight="1">
      <c r="CR783" s="103" t="s">
        <v>340</v>
      </c>
      <c r="CX783" s="102" t="s">
        <v>30</v>
      </c>
    </row>
    <row r="784" spans="96:102" ht="15" customHeight="1">
      <c r="CR784" s="103" t="s">
        <v>272</v>
      </c>
      <c r="CX784" s="102" t="s">
        <v>30</v>
      </c>
    </row>
    <row r="785" spans="96:102" ht="15" customHeight="1">
      <c r="CR785" s="103" t="s">
        <v>582</v>
      </c>
      <c r="CX785" s="102" t="s">
        <v>30</v>
      </c>
    </row>
    <row r="786" spans="96:102" ht="15" customHeight="1">
      <c r="CR786" s="103" t="s">
        <v>279</v>
      </c>
      <c r="CX786" s="102" t="s">
        <v>30</v>
      </c>
    </row>
    <row r="787" spans="96:102" ht="15" customHeight="1">
      <c r="CR787" s="103" t="s">
        <v>282</v>
      </c>
      <c r="CX787" s="102" t="s">
        <v>30</v>
      </c>
    </row>
    <row r="788" spans="96:102" ht="15" customHeight="1">
      <c r="CR788" s="103" t="s">
        <v>583</v>
      </c>
      <c r="CX788" s="102" t="s">
        <v>30</v>
      </c>
    </row>
    <row r="789" spans="96:102" ht="15" customHeight="1">
      <c r="CR789" s="103" t="s">
        <v>435</v>
      </c>
      <c r="CX789" s="102" t="s">
        <v>30</v>
      </c>
    </row>
    <row r="790" spans="96:102" ht="15" customHeight="1">
      <c r="CR790" s="103" t="s">
        <v>436</v>
      </c>
      <c r="CX790" s="102" t="s">
        <v>30</v>
      </c>
    </row>
    <row r="791" spans="96:102" ht="15" customHeight="1">
      <c r="CR791" s="103" t="s">
        <v>437</v>
      </c>
      <c r="CX791" s="102" t="s">
        <v>30</v>
      </c>
    </row>
    <row r="792" spans="96:102" ht="15" customHeight="1">
      <c r="CR792" s="103" t="s">
        <v>438</v>
      </c>
      <c r="CX792" s="102" t="s">
        <v>30</v>
      </c>
    </row>
    <row r="793" spans="96:102" ht="15" customHeight="1">
      <c r="CR793" s="103" t="s">
        <v>439</v>
      </c>
      <c r="CX793" s="102" t="s">
        <v>30</v>
      </c>
    </row>
    <row r="794" spans="96:102" ht="15" customHeight="1">
      <c r="CR794" s="103" t="s">
        <v>440</v>
      </c>
      <c r="CX794" s="102" t="s">
        <v>30</v>
      </c>
    </row>
    <row r="795" spans="96:102" ht="15" customHeight="1">
      <c r="CR795" s="103" t="s">
        <v>441</v>
      </c>
      <c r="CX795" s="102" t="s">
        <v>30</v>
      </c>
    </row>
    <row r="796" spans="96:102" ht="15" customHeight="1">
      <c r="CR796" s="103" t="s">
        <v>442</v>
      </c>
      <c r="CX796" s="102" t="s">
        <v>30</v>
      </c>
    </row>
    <row r="797" spans="96:102" ht="15" customHeight="1">
      <c r="CR797" s="103" t="s">
        <v>312</v>
      </c>
      <c r="CX797" s="102" t="s">
        <v>30</v>
      </c>
    </row>
    <row r="798" spans="96:102" ht="15" customHeight="1">
      <c r="CR798" s="103" t="s">
        <v>443</v>
      </c>
      <c r="CX798" s="102" t="s">
        <v>30</v>
      </c>
    </row>
    <row r="799" spans="96:102" ht="15" customHeight="1">
      <c r="CR799" s="103" t="s">
        <v>584</v>
      </c>
      <c r="CX799" s="102" t="s">
        <v>30</v>
      </c>
    </row>
    <row r="800" spans="96:102" ht="15" customHeight="1">
      <c r="CR800" s="103" t="s">
        <v>321</v>
      </c>
      <c r="CX800" s="102" t="s">
        <v>30</v>
      </c>
    </row>
    <row r="801" spans="96:102" ht="15" customHeight="1">
      <c r="CR801" s="103" t="s">
        <v>324</v>
      </c>
      <c r="CX801" s="102" t="s">
        <v>30</v>
      </c>
    </row>
    <row r="802" spans="96:102" ht="15" customHeight="1">
      <c r="CR802" s="103" t="s">
        <v>327</v>
      </c>
      <c r="CX802" s="102" t="s">
        <v>30</v>
      </c>
    </row>
    <row r="803" spans="96:102" ht="15" customHeight="1">
      <c r="CR803" s="103" t="s">
        <v>330</v>
      </c>
      <c r="CX803" s="102" t="s">
        <v>30</v>
      </c>
    </row>
    <row r="804" spans="96:102" ht="15" customHeight="1">
      <c r="CR804" s="103" t="s">
        <v>333</v>
      </c>
      <c r="CX804" s="102" t="s">
        <v>30</v>
      </c>
    </row>
    <row r="805" spans="96:102" ht="15" customHeight="1">
      <c r="CR805" s="103" t="s">
        <v>444</v>
      </c>
      <c r="CX805" s="102" t="s">
        <v>30</v>
      </c>
    </row>
    <row r="806" spans="96:102" ht="15" customHeight="1">
      <c r="CR806" s="103" t="s">
        <v>445</v>
      </c>
      <c r="CX806" s="102" t="s">
        <v>30</v>
      </c>
    </row>
    <row r="807" spans="96:102" ht="15" customHeight="1">
      <c r="CR807" s="103" t="s">
        <v>446</v>
      </c>
      <c r="CX807" s="102" t="s">
        <v>30</v>
      </c>
    </row>
    <row r="808" spans="96:102" ht="15" customHeight="1">
      <c r="CR808" s="103" t="s">
        <v>447</v>
      </c>
      <c r="CX808" s="102" t="s">
        <v>30</v>
      </c>
    </row>
    <row r="809" spans="96:102" ht="15" customHeight="1">
      <c r="CR809" s="103" t="s">
        <v>448</v>
      </c>
      <c r="CX809" s="102" t="s">
        <v>30</v>
      </c>
    </row>
    <row r="810" spans="96:102" ht="15" customHeight="1">
      <c r="CR810" s="103" t="s">
        <v>449</v>
      </c>
      <c r="CX810" s="102" t="s">
        <v>30</v>
      </c>
    </row>
    <row r="811" spans="96:102" ht="15" customHeight="1">
      <c r="CR811" s="103" t="s">
        <v>454</v>
      </c>
      <c r="CX811" s="102" t="s">
        <v>30</v>
      </c>
    </row>
    <row r="812" spans="96:102" ht="15" customHeight="1">
      <c r="CR812" s="103" t="s">
        <v>585</v>
      </c>
      <c r="CX812" s="102" t="s">
        <v>30</v>
      </c>
    </row>
    <row r="813" spans="96:102" ht="15" customHeight="1">
      <c r="CR813" s="103" t="s">
        <v>452</v>
      </c>
      <c r="CX813" s="102" t="s">
        <v>30</v>
      </c>
    </row>
    <row r="814" spans="96:102" ht="15" customHeight="1">
      <c r="CR814" s="103" t="s">
        <v>445</v>
      </c>
      <c r="CX814" s="102" t="s">
        <v>30</v>
      </c>
    </row>
    <row r="815" spans="96:102" ht="15" customHeight="1">
      <c r="CR815" s="103" t="s">
        <v>446</v>
      </c>
      <c r="CX815" s="102" t="s">
        <v>30</v>
      </c>
    </row>
    <row r="816" spans="96:102" ht="15" customHeight="1">
      <c r="CR816" s="103" t="s">
        <v>453</v>
      </c>
      <c r="CX816" s="102" t="s">
        <v>30</v>
      </c>
    </row>
    <row r="817" spans="96:102" ht="15" customHeight="1">
      <c r="CR817" s="103" t="s">
        <v>448</v>
      </c>
      <c r="CX817" s="102" t="s">
        <v>30</v>
      </c>
    </row>
    <row r="818" spans="96:102" ht="15" customHeight="1">
      <c r="CR818" s="103" t="s">
        <v>449</v>
      </c>
      <c r="CX818" s="102" t="s">
        <v>30</v>
      </c>
    </row>
    <row r="819" spans="96:102" ht="15" customHeight="1">
      <c r="CR819" s="103" t="s">
        <v>454</v>
      </c>
      <c r="CX819" s="102" t="s">
        <v>30</v>
      </c>
    </row>
    <row r="820" spans="96:102" ht="15" customHeight="1">
      <c r="CR820" s="103" t="s">
        <v>455</v>
      </c>
      <c r="CX820" s="102" t="s">
        <v>30</v>
      </c>
    </row>
    <row r="821" spans="96:102" ht="15" customHeight="1">
      <c r="CR821" s="103" t="s">
        <v>456</v>
      </c>
      <c r="CX821" s="102" t="s">
        <v>30</v>
      </c>
    </row>
    <row r="822" spans="96:102" ht="15" customHeight="1">
      <c r="CR822" s="103" t="s">
        <v>457</v>
      </c>
      <c r="CX822" s="102" t="s">
        <v>30</v>
      </c>
    </row>
    <row r="823" spans="96:102" ht="15" customHeight="1">
      <c r="CR823" s="103" t="s">
        <v>340</v>
      </c>
      <c r="CX823" s="102" t="s">
        <v>30</v>
      </c>
    </row>
    <row r="824" spans="96:102" ht="15" customHeight="1">
      <c r="CR824" s="103" t="s">
        <v>272</v>
      </c>
      <c r="CX824" s="102" t="s">
        <v>30</v>
      </c>
    </row>
    <row r="825" spans="96:102" ht="15" customHeight="1">
      <c r="CR825" s="103" t="s">
        <v>586</v>
      </c>
      <c r="CX825" s="102" t="s">
        <v>30</v>
      </c>
    </row>
    <row r="826" spans="96:102" ht="15" customHeight="1">
      <c r="CR826" s="103" t="s">
        <v>279</v>
      </c>
      <c r="CX826" s="102" t="s">
        <v>30</v>
      </c>
    </row>
    <row r="827" spans="96:102" ht="15" customHeight="1">
      <c r="CR827" s="103" t="s">
        <v>282</v>
      </c>
      <c r="CX827" s="102" t="s">
        <v>30</v>
      </c>
    </row>
    <row r="828" spans="96:102" ht="15" customHeight="1">
      <c r="CR828" s="103" t="s">
        <v>587</v>
      </c>
      <c r="CX828" s="102" t="s">
        <v>30</v>
      </c>
    </row>
    <row r="829" spans="96:102" ht="15" customHeight="1">
      <c r="CR829" s="103" t="s">
        <v>435</v>
      </c>
      <c r="CX829" s="102" t="s">
        <v>30</v>
      </c>
    </row>
    <row r="830" spans="96:102" ht="15" customHeight="1">
      <c r="CR830" s="103" t="s">
        <v>436</v>
      </c>
      <c r="CX830" s="102" t="s">
        <v>30</v>
      </c>
    </row>
    <row r="831" spans="96:102" ht="15" customHeight="1">
      <c r="CR831" s="103" t="s">
        <v>437</v>
      </c>
      <c r="CX831" s="102" t="s">
        <v>30</v>
      </c>
    </row>
    <row r="832" spans="96:102" ht="15" customHeight="1">
      <c r="CR832" s="103" t="s">
        <v>438</v>
      </c>
      <c r="CX832" s="102" t="s">
        <v>30</v>
      </c>
    </row>
    <row r="833" spans="96:102" ht="15" customHeight="1">
      <c r="CR833" s="103" t="s">
        <v>439</v>
      </c>
      <c r="CX833" s="102" t="s">
        <v>30</v>
      </c>
    </row>
    <row r="834" spans="96:102" ht="15" customHeight="1">
      <c r="CR834" s="103" t="s">
        <v>440</v>
      </c>
      <c r="CX834" s="102" t="s">
        <v>30</v>
      </c>
    </row>
    <row r="835" spans="96:102" ht="15" customHeight="1">
      <c r="CR835" s="103" t="s">
        <v>441</v>
      </c>
      <c r="CX835" s="102" t="s">
        <v>30</v>
      </c>
    </row>
    <row r="836" spans="96:102" ht="15" customHeight="1">
      <c r="CR836" s="103" t="s">
        <v>442</v>
      </c>
      <c r="CX836" s="102" t="s">
        <v>30</v>
      </c>
    </row>
    <row r="837" spans="96:102" ht="15" customHeight="1">
      <c r="CR837" s="103" t="s">
        <v>312</v>
      </c>
      <c r="CX837" s="102" t="s">
        <v>30</v>
      </c>
    </row>
    <row r="838" spans="96:102" ht="15" customHeight="1">
      <c r="CR838" s="103" t="s">
        <v>443</v>
      </c>
      <c r="CX838" s="102" t="s">
        <v>30</v>
      </c>
    </row>
    <row r="839" spans="96:102" ht="15" customHeight="1">
      <c r="CR839" s="103" t="s">
        <v>588</v>
      </c>
      <c r="CX839" s="102" t="s">
        <v>30</v>
      </c>
    </row>
    <row r="840" spans="96:102" ht="15" customHeight="1">
      <c r="CR840" s="103" t="s">
        <v>321</v>
      </c>
      <c r="CX840" s="102" t="s">
        <v>30</v>
      </c>
    </row>
    <row r="841" spans="96:102" ht="15" customHeight="1">
      <c r="CR841" s="103" t="s">
        <v>324</v>
      </c>
      <c r="CX841" s="102" t="s">
        <v>30</v>
      </c>
    </row>
    <row r="842" spans="96:102" ht="15" customHeight="1">
      <c r="CR842" s="103" t="s">
        <v>327</v>
      </c>
      <c r="CX842" s="102" t="s">
        <v>30</v>
      </c>
    </row>
    <row r="843" spans="96:102" ht="15" customHeight="1">
      <c r="CR843" s="103" t="s">
        <v>330</v>
      </c>
      <c r="CX843" s="102" t="s">
        <v>30</v>
      </c>
    </row>
    <row r="844" spans="96:102" ht="15" customHeight="1">
      <c r="CR844" s="103" t="s">
        <v>333</v>
      </c>
      <c r="CX844" s="102" t="s">
        <v>30</v>
      </c>
    </row>
    <row r="845" spans="96:102" ht="15" customHeight="1">
      <c r="CR845" s="103" t="s">
        <v>444</v>
      </c>
      <c r="CX845" s="102" t="s">
        <v>30</v>
      </c>
    </row>
    <row r="846" spans="96:102" ht="15" customHeight="1">
      <c r="CR846" s="103" t="s">
        <v>445</v>
      </c>
      <c r="CX846" s="102" t="s">
        <v>30</v>
      </c>
    </row>
    <row r="847" spans="96:102" ht="15" customHeight="1">
      <c r="CR847" s="103" t="s">
        <v>446</v>
      </c>
      <c r="CX847" s="102" t="s">
        <v>30</v>
      </c>
    </row>
    <row r="848" spans="96:102" ht="15" customHeight="1">
      <c r="CR848" s="103" t="s">
        <v>447</v>
      </c>
      <c r="CX848" s="102" t="s">
        <v>30</v>
      </c>
    </row>
    <row r="849" spans="96:102" ht="15" customHeight="1">
      <c r="CR849" s="103" t="s">
        <v>448</v>
      </c>
      <c r="CX849" s="102" t="s">
        <v>30</v>
      </c>
    </row>
    <row r="850" spans="96:102" ht="15" customHeight="1">
      <c r="CR850" s="103" t="s">
        <v>449</v>
      </c>
      <c r="CX850" s="102" t="s">
        <v>30</v>
      </c>
    </row>
    <row r="851" spans="96:102" ht="15" customHeight="1">
      <c r="CR851" s="103" t="s">
        <v>474</v>
      </c>
      <c r="CX851" s="102" t="s">
        <v>30</v>
      </c>
    </row>
    <row r="852" spans="96:102" ht="15" customHeight="1">
      <c r="CR852" s="103" t="s">
        <v>589</v>
      </c>
      <c r="CX852" s="102" t="s">
        <v>30</v>
      </c>
    </row>
    <row r="853" spans="96:102" ht="15" customHeight="1">
      <c r="CR853" s="103" t="s">
        <v>452</v>
      </c>
      <c r="CX853" s="102" t="s">
        <v>30</v>
      </c>
    </row>
    <row r="854" spans="96:102" ht="15" customHeight="1">
      <c r="CR854" s="103" t="s">
        <v>445</v>
      </c>
      <c r="CX854" s="102" t="s">
        <v>30</v>
      </c>
    </row>
    <row r="855" spans="96:102" ht="15" customHeight="1">
      <c r="CR855" s="103" t="s">
        <v>446</v>
      </c>
      <c r="CX855" s="102" t="s">
        <v>30</v>
      </c>
    </row>
    <row r="856" spans="96:102" ht="15" customHeight="1">
      <c r="CR856" s="103" t="s">
        <v>453</v>
      </c>
      <c r="CX856" s="102" t="s">
        <v>30</v>
      </c>
    </row>
    <row r="857" spans="96:102" ht="15" customHeight="1">
      <c r="CR857" s="103" t="s">
        <v>448</v>
      </c>
      <c r="CX857" s="102" t="s">
        <v>30</v>
      </c>
    </row>
    <row r="858" spans="96:102" ht="15" customHeight="1">
      <c r="CR858" s="103" t="s">
        <v>449</v>
      </c>
      <c r="CX858" s="102" t="s">
        <v>30</v>
      </c>
    </row>
    <row r="859" spans="96:102" ht="15" customHeight="1">
      <c r="CR859" s="103" t="s">
        <v>454</v>
      </c>
      <c r="CX859" s="102" t="s">
        <v>30</v>
      </c>
    </row>
    <row r="860" spans="96:102" ht="15" customHeight="1">
      <c r="CR860" s="103" t="s">
        <v>455</v>
      </c>
      <c r="CX860" s="102" t="s">
        <v>30</v>
      </c>
    </row>
    <row r="861" spans="96:102" ht="15" customHeight="1">
      <c r="CR861" s="103" t="s">
        <v>456</v>
      </c>
      <c r="CX861" s="102" t="s">
        <v>30</v>
      </c>
    </row>
    <row r="862" spans="96:102" ht="15" customHeight="1">
      <c r="CR862" s="103" t="s">
        <v>457</v>
      </c>
      <c r="CX862" s="102" t="s">
        <v>30</v>
      </c>
    </row>
    <row r="863" spans="96:102" ht="15" customHeight="1">
      <c r="CR863" s="103" t="s">
        <v>340</v>
      </c>
      <c r="CX863" s="102" t="s">
        <v>30</v>
      </c>
    </row>
    <row r="864" spans="96:102" ht="15" customHeight="1">
      <c r="CR864" s="103" t="s">
        <v>272</v>
      </c>
      <c r="CX864" s="102" t="s">
        <v>30</v>
      </c>
    </row>
    <row r="865" spans="96:102" ht="15" customHeight="1">
      <c r="CR865" s="103" t="s">
        <v>590</v>
      </c>
      <c r="CX865" s="102" t="s">
        <v>30</v>
      </c>
    </row>
    <row r="866" spans="96:102" ht="15" customHeight="1">
      <c r="CR866" s="103" t="s">
        <v>279</v>
      </c>
      <c r="CX866" s="102" t="s">
        <v>30</v>
      </c>
    </row>
    <row r="867" spans="96:102" ht="15" customHeight="1">
      <c r="CR867" s="103" t="s">
        <v>282</v>
      </c>
      <c r="CX867" s="102" t="s">
        <v>30</v>
      </c>
    </row>
    <row r="868" spans="96:102" ht="15" customHeight="1">
      <c r="CR868" s="103" t="s">
        <v>434</v>
      </c>
      <c r="CX868" s="102" t="s">
        <v>30</v>
      </c>
    </row>
    <row r="869" spans="96:102" ht="15" customHeight="1">
      <c r="CR869" s="103" t="s">
        <v>435</v>
      </c>
      <c r="CX869" s="102" t="s">
        <v>30</v>
      </c>
    </row>
    <row r="870" spans="96:102" ht="15" customHeight="1">
      <c r="CR870" s="103" t="s">
        <v>436</v>
      </c>
      <c r="CX870" s="102" t="s">
        <v>30</v>
      </c>
    </row>
    <row r="871" spans="96:102" ht="15" customHeight="1">
      <c r="CR871" s="103" t="s">
        <v>437</v>
      </c>
      <c r="CX871" s="102" t="s">
        <v>30</v>
      </c>
    </row>
    <row r="872" spans="96:102" ht="15" customHeight="1">
      <c r="CR872" s="103" t="s">
        <v>438</v>
      </c>
      <c r="CX872" s="102" t="s">
        <v>30</v>
      </c>
    </row>
    <row r="873" spans="96:102" ht="15" customHeight="1">
      <c r="CR873" s="103" t="s">
        <v>439</v>
      </c>
      <c r="CX873" s="102" t="s">
        <v>30</v>
      </c>
    </row>
    <row r="874" spans="96:102" ht="15" customHeight="1">
      <c r="CR874" s="103" t="s">
        <v>440</v>
      </c>
      <c r="CX874" s="102" t="s">
        <v>30</v>
      </c>
    </row>
    <row r="875" spans="96:102" ht="15" customHeight="1">
      <c r="CR875" s="103" t="s">
        <v>441</v>
      </c>
      <c r="CX875" s="102" t="s">
        <v>30</v>
      </c>
    </row>
    <row r="876" spans="96:102" ht="15" customHeight="1">
      <c r="CR876" s="103" t="s">
        <v>442</v>
      </c>
      <c r="CX876" s="102" t="s">
        <v>30</v>
      </c>
    </row>
    <row r="877" spans="96:102" ht="15" customHeight="1">
      <c r="CR877" s="103" t="s">
        <v>312</v>
      </c>
      <c r="CX877" s="102" t="s">
        <v>30</v>
      </c>
    </row>
    <row r="878" spans="96:102" ht="15" customHeight="1">
      <c r="CR878" s="103" t="s">
        <v>443</v>
      </c>
      <c r="CX878" s="102" t="s">
        <v>30</v>
      </c>
    </row>
    <row r="879" spans="96:102" ht="15" customHeight="1">
      <c r="CR879" s="103" t="s">
        <v>425</v>
      </c>
      <c r="CX879" s="102" t="s">
        <v>30</v>
      </c>
    </row>
    <row r="880" spans="96:102" ht="15" customHeight="1">
      <c r="CR880" s="103" t="s">
        <v>321</v>
      </c>
      <c r="CX880" s="102" t="s">
        <v>30</v>
      </c>
    </row>
    <row r="881" spans="96:102" ht="15" customHeight="1">
      <c r="CR881" s="103" t="s">
        <v>324</v>
      </c>
      <c r="CX881" s="102" t="s">
        <v>30</v>
      </c>
    </row>
    <row r="882" spans="96:102" ht="15" customHeight="1">
      <c r="CR882" s="103" t="s">
        <v>327</v>
      </c>
      <c r="CX882" s="102" t="s">
        <v>30</v>
      </c>
    </row>
    <row r="883" spans="96:102" ht="15" customHeight="1">
      <c r="CR883" s="103" t="s">
        <v>330</v>
      </c>
      <c r="CX883" s="102" t="s">
        <v>30</v>
      </c>
    </row>
    <row r="884" spans="96:102" ht="15" customHeight="1">
      <c r="CR884" s="103" t="s">
        <v>333</v>
      </c>
      <c r="CX884" s="102" t="s">
        <v>30</v>
      </c>
    </row>
    <row r="885" spans="96:102" ht="15" customHeight="1">
      <c r="CR885" s="103" t="s">
        <v>444</v>
      </c>
      <c r="CX885" s="102" t="s">
        <v>30</v>
      </c>
    </row>
    <row r="886" spans="96:102" ht="15" customHeight="1">
      <c r="CR886" s="103" t="s">
        <v>445</v>
      </c>
      <c r="CX886" s="102" t="s">
        <v>30</v>
      </c>
    </row>
    <row r="887" spans="96:102" ht="15" customHeight="1">
      <c r="CR887" s="103" t="s">
        <v>446</v>
      </c>
      <c r="CX887" s="102" t="s">
        <v>30</v>
      </c>
    </row>
    <row r="888" spans="96:102" ht="15" customHeight="1">
      <c r="CR888" s="103" t="s">
        <v>447</v>
      </c>
      <c r="CX888" s="102" t="s">
        <v>30</v>
      </c>
    </row>
    <row r="889" spans="96:102" ht="15" customHeight="1">
      <c r="CR889" s="103" t="s">
        <v>448</v>
      </c>
      <c r="CX889" s="102" t="s">
        <v>30</v>
      </c>
    </row>
    <row r="890" spans="96:102" ht="15" customHeight="1">
      <c r="CR890" s="103" t="s">
        <v>449</v>
      </c>
      <c r="CX890" s="102" t="s">
        <v>30</v>
      </c>
    </row>
    <row r="891" spans="96:102" ht="15" customHeight="1">
      <c r="CR891" s="103" t="s">
        <v>450</v>
      </c>
      <c r="CX891" s="102" t="s">
        <v>30</v>
      </c>
    </row>
    <row r="892" spans="96:102" ht="15" customHeight="1">
      <c r="CR892" s="103" t="s">
        <v>451</v>
      </c>
      <c r="CX892" s="102" t="s">
        <v>30</v>
      </c>
    </row>
    <row r="893" spans="96:102" ht="15" customHeight="1">
      <c r="CR893" s="103" t="s">
        <v>452</v>
      </c>
      <c r="CX893" s="102" t="s">
        <v>30</v>
      </c>
    </row>
    <row r="894" spans="96:102" ht="15" customHeight="1">
      <c r="CR894" s="103" t="s">
        <v>445</v>
      </c>
      <c r="CX894" s="102" t="s">
        <v>30</v>
      </c>
    </row>
    <row r="895" spans="96:102" ht="15" customHeight="1">
      <c r="CR895" s="103" t="s">
        <v>446</v>
      </c>
      <c r="CX895" s="102" t="s">
        <v>30</v>
      </c>
    </row>
    <row r="896" spans="96:102" ht="15" customHeight="1">
      <c r="CR896" s="103" t="s">
        <v>453</v>
      </c>
      <c r="CX896" s="102" t="s">
        <v>30</v>
      </c>
    </row>
    <row r="897" spans="96:102" ht="15" customHeight="1">
      <c r="CR897" s="103" t="s">
        <v>448</v>
      </c>
      <c r="CX897" s="102" t="s">
        <v>30</v>
      </c>
    </row>
    <row r="898" spans="96:102" ht="15" customHeight="1">
      <c r="CR898" s="103" t="s">
        <v>449</v>
      </c>
      <c r="CX898" s="102" t="s">
        <v>30</v>
      </c>
    </row>
    <row r="899" spans="96:102" ht="15" customHeight="1">
      <c r="CR899" s="103" t="s">
        <v>454</v>
      </c>
      <c r="CX899" s="102" t="s">
        <v>30</v>
      </c>
    </row>
    <row r="900" spans="96:102" ht="15" customHeight="1">
      <c r="CR900" s="103" t="s">
        <v>455</v>
      </c>
      <c r="CX900" s="102" t="s">
        <v>30</v>
      </c>
    </row>
    <row r="901" spans="96:102" ht="15" customHeight="1">
      <c r="CR901" s="103" t="s">
        <v>456</v>
      </c>
      <c r="CX901" s="102" t="s">
        <v>30</v>
      </c>
    </row>
    <row r="902" spans="96:102" ht="15" customHeight="1">
      <c r="CR902" s="103" t="s">
        <v>457</v>
      </c>
      <c r="CX902" s="102" t="s">
        <v>30</v>
      </c>
    </row>
    <row r="903" spans="96:102" ht="15" customHeight="1">
      <c r="CR903" s="103" t="s">
        <v>340</v>
      </c>
      <c r="CX903" s="102" t="s">
        <v>30</v>
      </c>
    </row>
    <row r="904" spans="96:102" ht="15" customHeight="1">
      <c r="CR904" s="103" t="s">
        <v>272</v>
      </c>
      <c r="CX904" s="102" t="s">
        <v>30</v>
      </c>
    </row>
    <row r="905" spans="96:102" ht="15" customHeight="1">
      <c r="CR905" s="103" t="s">
        <v>591</v>
      </c>
      <c r="CX905" s="102" t="s">
        <v>30</v>
      </c>
    </row>
    <row r="906" spans="96:102" ht="15" customHeight="1">
      <c r="CR906" s="103" t="s">
        <v>279</v>
      </c>
      <c r="CX906" s="102" t="s">
        <v>30</v>
      </c>
    </row>
    <row r="907" spans="96:102" ht="15" customHeight="1">
      <c r="CR907" s="103" t="s">
        <v>282</v>
      </c>
      <c r="CX907" s="102" t="s">
        <v>30</v>
      </c>
    </row>
    <row r="908" spans="96:102" ht="15" customHeight="1">
      <c r="CR908" s="103" t="s">
        <v>592</v>
      </c>
      <c r="CX908" s="102" t="s">
        <v>30</v>
      </c>
    </row>
    <row r="909" spans="96:102" ht="15" customHeight="1">
      <c r="CR909" s="103" t="s">
        <v>593</v>
      </c>
      <c r="CX909" s="102" t="s">
        <v>30</v>
      </c>
    </row>
    <row r="910" spans="96:102" ht="15" customHeight="1">
      <c r="CR910" s="103" t="s">
        <v>594</v>
      </c>
      <c r="CX910" s="102" t="s">
        <v>30</v>
      </c>
    </row>
    <row r="911" spans="96:102" ht="15" customHeight="1">
      <c r="CR911" s="103" t="s">
        <v>595</v>
      </c>
      <c r="CX911" s="102" t="s">
        <v>30</v>
      </c>
    </row>
    <row r="912" spans="96:102" ht="15" customHeight="1">
      <c r="CR912" s="103" t="s">
        <v>596</v>
      </c>
      <c r="CX912" s="102" t="s">
        <v>30</v>
      </c>
    </row>
    <row r="913" spans="96:102" ht="15" customHeight="1">
      <c r="CR913" s="103" t="s">
        <v>597</v>
      </c>
      <c r="CX913" s="102" t="s">
        <v>30</v>
      </c>
    </row>
    <row r="914" spans="96:102" ht="15" customHeight="1">
      <c r="CR914" s="103" t="s">
        <v>598</v>
      </c>
      <c r="CX914" s="102" t="s">
        <v>30</v>
      </c>
    </row>
    <row r="915" spans="96:102" ht="15" customHeight="1">
      <c r="CR915" s="103" t="s">
        <v>599</v>
      </c>
      <c r="CX915" s="102" t="s">
        <v>30</v>
      </c>
    </row>
    <row r="916" spans="96:102" ht="15" customHeight="1">
      <c r="CR916" s="103" t="s">
        <v>600</v>
      </c>
      <c r="CX916" s="102" t="s">
        <v>30</v>
      </c>
    </row>
    <row r="917" spans="96:102" ht="15" customHeight="1">
      <c r="CR917" s="103" t="s">
        <v>312</v>
      </c>
      <c r="CX917" s="102" t="s">
        <v>30</v>
      </c>
    </row>
    <row r="918" spans="96:102" ht="15" customHeight="1">
      <c r="CR918" s="103" t="s">
        <v>601</v>
      </c>
      <c r="CX918" s="102" t="s">
        <v>30</v>
      </c>
    </row>
    <row r="919" spans="96:102" ht="15" customHeight="1">
      <c r="CR919" s="103" t="s">
        <v>602</v>
      </c>
      <c r="CX919" s="102" t="s">
        <v>30</v>
      </c>
    </row>
    <row r="920" spans="96:102" ht="15" customHeight="1">
      <c r="CR920" s="103" t="s">
        <v>321</v>
      </c>
      <c r="CX920" s="102" t="s">
        <v>30</v>
      </c>
    </row>
    <row r="921" spans="96:102" ht="15" customHeight="1">
      <c r="CR921" s="103" t="s">
        <v>324</v>
      </c>
      <c r="CX921" s="102" t="s">
        <v>30</v>
      </c>
    </row>
    <row r="922" spans="96:102" ht="15" customHeight="1">
      <c r="CR922" s="103" t="s">
        <v>327</v>
      </c>
      <c r="CX922" s="102" t="s">
        <v>30</v>
      </c>
    </row>
    <row r="923" spans="96:102" ht="15" customHeight="1">
      <c r="CR923" s="103" t="s">
        <v>330</v>
      </c>
      <c r="CX923" s="102" t="s">
        <v>30</v>
      </c>
    </row>
    <row r="924" spans="96:102" ht="15" customHeight="1">
      <c r="CR924" s="103" t="s">
        <v>333</v>
      </c>
      <c r="CX924" s="102" t="s">
        <v>30</v>
      </c>
    </row>
    <row r="925" spans="96:102" ht="15" customHeight="1">
      <c r="CR925" s="103" t="s">
        <v>444</v>
      </c>
      <c r="CX925" s="102" t="s">
        <v>30</v>
      </c>
    </row>
    <row r="926" spans="96:102" ht="15" customHeight="1">
      <c r="CR926" s="103" t="s">
        <v>445</v>
      </c>
      <c r="CX926" s="102" t="s">
        <v>30</v>
      </c>
    </row>
    <row r="927" spans="96:102" ht="15" customHeight="1">
      <c r="CR927" s="103" t="s">
        <v>446</v>
      </c>
      <c r="CX927" s="102" t="s">
        <v>30</v>
      </c>
    </row>
    <row r="928" spans="96:102" ht="15" customHeight="1">
      <c r="CR928" s="103" t="s">
        <v>447</v>
      </c>
      <c r="CX928" s="102" t="s">
        <v>30</v>
      </c>
    </row>
    <row r="929" spans="96:102" ht="15" customHeight="1">
      <c r="CR929" s="103" t="s">
        <v>448</v>
      </c>
      <c r="CX929" s="102" t="s">
        <v>30</v>
      </c>
    </row>
    <row r="930" spans="96:102" ht="15" customHeight="1">
      <c r="CR930" s="103" t="s">
        <v>449</v>
      </c>
      <c r="CX930" s="102" t="s">
        <v>30</v>
      </c>
    </row>
    <row r="931" spans="96:102" ht="15" customHeight="1">
      <c r="CR931" s="103" t="s">
        <v>454</v>
      </c>
      <c r="CX931" s="102" t="s">
        <v>30</v>
      </c>
    </row>
    <row r="932" spans="96:102" ht="15" customHeight="1">
      <c r="CR932" s="103" t="s">
        <v>603</v>
      </c>
      <c r="CX932" s="102" t="s">
        <v>30</v>
      </c>
    </row>
    <row r="933" spans="96:102" ht="15" customHeight="1">
      <c r="CR933" s="103" t="s">
        <v>456</v>
      </c>
      <c r="CX933" s="102" t="s">
        <v>30</v>
      </c>
    </row>
    <row r="934" spans="96:102" ht="15" customHeight="1">
      <c r="CR934" s="103" t="s">
        <v>457</v>
      </c>
      <c r="CX934" s="102" t="s">
        <v>30</v>
      </c>
    </row>
    <row r="935" spans="96:102" ht="15" customHeight="1">
      <c r="CR935" s="103" t="s">
        <v>340</v>
      </c>
      <c r="CX935" s="102" t="s">
        <v>30</v>
      </c>
    </row>
    <row r="936" spans="96:102" ht="15" customHeight="1">
      <c r="CR936" s="103" t="s">
        <v>272</v>
      </c>
      <c r="CX936" s="102" t="s">
        <v>30</v>
      </c>
    </row>
    <row r="937" spans="96:102" ht="15" customHeight="1">
      <c r="CR937" s="103" t="s">
        <v>604</v>
      </c>
      <c r="CX937" s="102" t="s">
        <v>30</v>
      </c>
    </row>
    <row r="938" spans="96:102" ht="15" customHeight="1">
      <c r="CR938" s="103" t="s">
        <v>279</v>
      </c>
      <c r="CX938" s="102" t="s">
        <v>30</v>
      </c>
    </row>
    <row r="939" spans="96:102" ht="15" customHeight="1">
      <c r="CR939" s="103" t="s">
        <v>282</v>
      </c>
      <c r="CX939" s="102" t="s">
        <v>30</v>
      </c>
    </row>
    <row r="940" spans="96:102" ht="15" customHeight="1">
      <c r="CR940" s="103" t="s">
        <v>605</v>
      </c>
      <c r="CX940" s="102" t="s">
        <v>30</v>
      </c>
    </row>
    <row r="941" spans="96:102" ht="15" customHeight="1">
      <c r="CR941" s="103" t="s">
        <v>593</v>
      </c>
      <c r="CX941" s="102" t="s">
        <v>30</v>
      </c>
    </row>
    <row r="942" spans="96:102" ht="15" customHeight="1">
      <c r="CR942" s="103" t="s">
        <v>594</v>
      </c>
      <c r="CX942" s="102" t="s">
        <v>30</v>
      </c>
    </row>
    <row r="943" spans="96:102" ht="15" customHeight="1">
      <c r="CR943" s="103" t="s">
        <v>595</v>
      </c>
      <c r="CX943" s="102" t="s">
        <v>30</v>
      </c>
    </row>
    <row r="944" spans="96:102" ht="15" customHeight="1">
      <c r="CR944" s="103" t="s">
        <v>596</v>
      </c>
      <c r="CX944" s="102" t="s">
        <v>30</v>
      </c>
    </row>
    <row r="945" spans="96:102" ht="15" customHeight="1">
      <c r="CR945" s="103" t="s">
        <v>597</v>
      </c>
      <c r="CX945" s="102" t="s">
        <v>30</v>
      </c>
    </row>
    <row r="946" spans="96:102" ht="15" customHeight="1">
      <c r="CR946" s="103" t="s">
        <v>598</v>
      </c>
      <c r="CX946" s="102" t="s">
        <v>30</v>
      </c>
    </row>
    <row r="947" spans="96:102" ht="15" customHeight="1">
      <c r="CR947" s="103" t="s">
        <v>599</v>
      </c>
      <c r="CX947" s="102" t="s">
        <v>30</v>
      </c>
    </row>
    <row r="948" spans="96:102" ht="15" customHeight="1">
      <c r="CR948" s="103" t="s">
        <v>600</v>
      </c>
      <c r="CX948" s="102" t="s">
        <v>30</v>
      </c>
    </row>
    <row r="949" spans="96:102" ht="15" customHeight="1">
      <c r="CR949" s="103" t="s">
        <v>312</v>
      </c>
      <c r="CX949" s="102" t="s">
        <v>30</v>
      </c>
    </row>
    <row r="950" spans="96:102" ht="15" customHeight="1">
      <c r="CR950" s="103" t="s">
        <v>601</v>
      </c>
      <c r="CX950" s="102" t="s">
        <v>30</v>
      </c>
    </row>
    <row r="951" spans="96:102" ht="15" customHeight="1">
      <c r="CR951" s="103" t="s">
        <v>606</v>
      </c>
      <c r="CX951" s="102" t="s">
        <v>30</v>
      </c>
    </row>
    <row r="952" spans="96:102" ht="15" customHeight="1">
      <c r="CR952" s="103" t="s">
        <v>321</v>
      </c>
      <c r="CX952" s="102" t="s">
        <v>30</v>
      </c>
    </row>
    <row r="953" spans="96:102" ht="15" customHeight="1">
      <c r="CR953" s="103" t="s">
        <v>324</v>
      </c>
      <c r="CX953" s="102" t="s">
        <v>30</v>
      </c>
    </row>
    <row r="954" spans="96:102" ht="15" customHeight="1">
      <c r="CR954" s="103" t="s">
        <v>327</v>
      </c>
      <c r="CX954" s="102" t="s">
        <v>30</v>
      </c>
    </row>
    <row r="955" spans="96:102" ht="15" customHeight="1">
      <c r="CR955" s="103" t="s">
        <v>330</v>
      </c>
      <c r="CX955" s="102" t="s">
        <v>30</v>
      </c>
    </row>
    <row r="956" spans="96:102" ht="15" customHeight="1">
      <c r="CR956" s="103" t="s">
        <v>333</v>
      </c>
      <c r="CX956" s="102" t="s">
        <v>30</v>
      </c>
    </row>
    <row r="957" spans="96:102" ht="15" customHeight="1">
      <c r="CR957" s="103" t="s">
        <v>444</v>
      </c>
      <c r="CX957" s="102" t="s">
        <v>30</v>
      </c>
    </row>
    <row r="958" spans="96:102" ht="15" customHeight="1">
      <c r="CR958" s="103" t="s">
        <v>445</v>
      </c>
      <c r="CX958" s="102" t="s">
        <v>30</v>
      </c>
    </row>
    <row r="959" spans="96:102" ht="15" customHeight="1">
      <c r="CR959" s="103" t="s">
        <v>446</v>
      </c>
      <c r="CX959" s="102" t="s">
        <v>30</v>
      </c>
    </row>
    <row r="960" spans="96:102" ht="15" customHeight="1">
      <c r="CR960" s="103" t="s">
        <v>447</v>
      </c>
      <c r="CX960" s="102" t="s">
        <v>30</v>
      </c>
    </row>
    <row r="961" spans="96:102" ht="15" customHeight="1">
      <c r="CR961" s="103" t="s">
        <v>448</v>
      </c>
      <c r="CX961" s="102" t="s">
        <v>30</v>
      </c>
    </row>
    <row r="962" spans="96:102" ht="15" customHeight="1">
      <c r="CR962" s="103" t="s">
        <v>449</v>
      </c>
      <c r="CX962" s="102" t="s">
        <v>30</v>
      </c>
    </row>
    <row r="963" spans="96:102" ht="15" customHeight="1">
      <c r="CR963" s="103" t="s">
        <v>474</v>
      </c>
      <c r="CX963" s="102" t="s">
        <v>30</v>
      </c>
    </row>
    <row r="964" spans="96:102" ht="15" customHeight="1">
      <c r="CR964" s="103" t="s">
        <v>607</v>
      </c>
      <c r="CX964" s="102" t="s">
        <v>30</v>
      </c>
    </row>
    <row r="965" spans="96:102" ht="15" customHeight="1">
      <c r="CR965" s="103" t="s">
        <v>456</v>
      </c>
      <c r="CX965" s="102" t="s">
        <v>30</v>
      </c>
    </row>
    <row r="966" spans="96:102" ht="15" customHeight="1">
      <c r="CR966" s="103" t="s">
        <v>457</v>
      </c>
      <c r="CX966" s="102" t="s">
        <v>30</v>
      </c>
    </row>
    <row r="967" spans="96:102" ht="15" customHeight="1">
      <c r="CR967" s="103" t="s">
        <v>340</v>
      </c>
      <c r="CX967" s="102" t="s">
        <v>30</v>
      </c>
    </row>
    <row r="968" spans="96:102" ht="15" customHeight="1">
      <c r="CR968" s="103" t="s">
        <v>272</v>
      </c>
      <c r="CX968" s="102" t="s">
        <v>30</v>
      </c>
    </row>
    <row r="969" spans="96:102" ht="15" customHeight="1">
      <c r="CR969" s="103" t="s">
        <v>608</v>
      </c>
      <c r="CX969" s="102" t="s">
        <v>30</v>
      </c>
    </row>
    <row r="970" spans="96:102" ht="15" customHeight="1">
      <c r="CR970" s="103" t="s">
        <v>279</v>
      </c>
      <c r="CX970" s="102" t="s">
        <v>30</v>
      </c>
    </row>
    <row r="971" spans="96:102" ht="15" customHeight="1">
      <c r="CR971" s="103" t="s">
        <v>282</v>
      </c>
      <c r="CX971" s="102" t="s">
        <v>30</v>
      </c>
    </row>
    <row r="972" spans="96:102" ht="15" customHeight="1">
      <c r="CR972" s="103" t="s">
        <v>609</v>
      </c>
      <c r="CX972" s="102" t="s">
        <v>30</v>
      </c>
    </row>
    <row r="973" spans="96:102" ht="15" customHeight="1">
      <c r="CR973" s="103" t="s">
        <v>593</v>
      </c>
      <c r="CX973" s="102" t="s">
        <v>30</v>
      </c>
    </row>
    <row r="974" spans="96:102" ht="15" customHeight="1">
      <c r="CR974" s="103" t="s">
        <v>594</v>
      </c>
      <c r="CX974" s="102" t="s">
        <v>30</v>
      </c>
    </row>
    <row r="975" spans="96:102" ht="15" customHeight="1">
      <c r="CR975" s="103" t="s">
        <v>595</v>
      </c>
      <c r="CX975" s="102" t="s">
        <v>30</v>
      </c>
    </row>
    <row r="976" spans="96:102" ht="15" customHeight="1">
      <c r="CR976" s="103" t="s">
        <v>596</v>
      </c>
      <c r="CX976" s="102" t="s">
        <v>30</v>
      </c>
    </row>
    <row r="977" spans="96:102" ht="15" customHeight="1">
      <c r="CR977" s="103" t="s">
        <v>597</v>
      </c>
      <c r="CX977" s="102" t="s">
        <v>30</v>
      </c>
    </row>
    <row r="978" spans="96:102" ht="15" customHeight="1">
      <c r="CR978" s="103" t="s">
        <v>598</v>
      </c>
      <c r="CX978" s="102" t="s">
        <v>30</v>
      </c>
    </row>
    <row r="979" spans="96:102" ht="15" customHeight="1">
      <c r="CR979" s="103" t="s">
        <v>599</v>
      </c>
      <c r="CX979" s="102" t="s">
        <v>30</v>
      </c>
    </row>
    <row r="980" spans="96:102" ht="15" customHeight="1">
      <c r="CR980" s="103" t="s">
        <v>600</v>
      </c>
      <c r="CX980" s="102" t="s">
        <v>30</v>
      </c>
    </row>
    <row r="981" spans="96:102" ht="15" customHeight="1">
      <c r="CR981" s="103" t="s">
        <v>312</v>
      </c>
      <c r="CX981" s="102" t="s">
        <v>30</v>
      </c>
    </row>
    <row r="982" spans="96:102" ht="15" customHeight="1">
      <c r="CR982" s="103" t="s">
        <v>601</v>
      </c>
      <c r="CX982" s="102" t="s">
        <v>30</v>
      </c>
    </row>
    <row r="983" spans="96:102" ht="15" customHeight="1">
      <c r="CR983" s="103" t="s">
        <v>610</v>
      </c>
      <c r="CX983" s="102" t="s">
        <v>30</v>
      </c>
    </row>
    <row r="984" spans="96:102" ht="15" customHeight="1">
      <c r="CR984" s="103" t="s">
        <v>321</v>
      </c>
      <c r="CX984" s="102" t="s">
        <v>30</v>
      </c>
    </row>
    <row r="985" spans="96:102" ht="15" customHeight="1">
      <c r="CR985" s="103" t="s">
        <v>324</v>
      </c>
      <c r="CX985" s="102" t="s">
        <v>30</v>
      </c>
    </row>
    <row r="986" spans="96:102" ht="15" customHeight="1">
      <c r="CR986" s="103" t="s">
        <v>327</v>
      </c>
      <c r="CX986" s="102" t="s">
        <v>30</v>
      </c>
    </row>
    <row r="987" spans="96:102" ht="15" customHeight="1">
      <c r="CR987" s="103" t="s">
        <v>330</v>
      </c>
      <c r="CX987" s="102" t="s">
        <v>30</v>
      </c>
    </row>
    <row r="988" spans="96:102" ht="15" customHeight="1">
      <c r="CR988" s="103" t="s">
        <v>333</v>
      </c>
      <c r="CX988" s="102" t="s">
        <v>30</v>
      </c>
    </row>
    <row r="989" spans="96:102" ht="15" customHeight="1">
      <c r="CR989" s="103" t="s">
        <v>444</v>
      </c>
      <c r="CX989" s="102" t="s">
        <v>30</v>
      </c>
    </row>
    <row r="990" spans="96:102" ht="15" customHeight="1">
      <c r="CR990" s="103" t="s">
        <v>445</v>
      </c>
      <c r="CX990" s="102" t="s">
        <v>30</v>
      </c>
    </row>
    <row r="991" spans="96:102" ht="15" customHeight="1">
      <c r="CR991" s="103" t="s">
        <v>446</v>
      </c>
      <c r="CX991" s="102" t="s">
        <v>30</v>
      </c>
    </row>
    <row r="992" spans="96:102" ht="15" customHeight="1">
      <c r="CR992" s="103" t="s">
        <v>447</v>
      </c>
      <c r="CX992" s="102" t="s">
        <v>30</v>
      </c>
    </row>
    <row r="993" spans="96:102" ht="15" customHeight="1">
      <c r="CR993" s="103" t="s">
        <v>448</v>
      </c>
      <c r="CX993" s="102" t="s">
        <v>30</v>
      </c>
    </row>
    <row r="994" spans="96:102" ht="15" customHeight="1">
      <c r="CR994" s="103" t="s">
        <v>449</v>
      </c>
      <c r="CX994" s="102" t="s">
        <v>30</v>
      </c>
    </row>
    <row r="995" spans="96:102" ht="15" customHeight="1">
      <c r="CR995" s="103" t="s">
        <v>450</v>
      </c>
      <c r="CX995" s="102" t="s">
        <v>30</v>
      </c>
    </row>
    <row r="996" spans="96:102" ht="15" customHeight="1">
      <c r="CR996" s="103" t="s">
        <v>611</v>
      </c>
      <c r="CX996" s="102" t="s">
        <v>30</v>
      </c>
    </row>
    <row r="997" spans="96:102" ht="15" customHeight="1">
      <c r="CR997" s="103" t="s">
        <v>456</v>
      </c>
      <c r="CX997" s="102" t="s">
        <v>30</v>
      </c>
    </row>
    <row r="998" spans="96:102" ht="15" customHeight="1">
      <c r="CR998" s="103" t="s">
        <v>457</v>
      </c>
      <c r="CX998" s="102" t="s">
        <v>30</v>
      </c>
    </row>
    <row r="999" spans="96:102" ht="15" customHeight="1">
      <c r="CR999" s="103" t="s">
        <v>340</v>
      </c>
      <c r="CX999" s="102" t="s">
        <v>30</v>
      </c>
    </row>
    <row r="1000" spans="96:102" ht="15" customHeight="1">
      <c r="CR1000" s="103" t="s">
        <v>272</v>
      </c>
      <c r="CX1000" s="102" t="s">
        <v>30</v>
      </c>
    </row>
    <row r="1001" spans="96:102" ht="15" customHeight="1">
      <c r="CR1001" s="103" t="s">
        <v>612</v>
      </c>
      <c r="CX1001" s="102" t="s">
        <v>30</v>
      </c>
    </row>
    <row r="1002" spans="96:102" ht="15" customHeight="1">
      <c r="CR1002" s="103" t="s">
        <v>279</v>
      </c>
      <c r="CX1002" s="102" t="s">
        <v>30</v>
      </c>
    </row>
    <row r="1003" spans="96:102" ht="15" customHeight="1">
      <c r="CR1003" s="103" t="s">
        <v>282</v>
      </c>
      <c r="CX1003" s="102" t="s">
        <v>30</v>
      </c>
    </row>
    <row r="1004" spans="96:102" ht="15" customHeight="1">
      <c r="CR1004" s="103" t="s">
        <v>613</v>
      </c>
      <c r="CX1004" s="102" t="s">
        <v>30</v>
      </c>
    </row>
    <row r="1005" spans="96:102" ht="15" customHeight="1">
      <c r="CR1005" s="103" t="s">
        <v>614</v>
      </c>
      <c r="CX1005" s="102" t="s">
        <v>30</v>
      </c>
    </row>
    <row r="1006" spans="96:102" ht="15" customHeight="1">
      <c r="CR1006" s="103" t="s">
        <v>615</v>
      </c>
      <c r="CX1006" s="102" t="s">
        <v>30</v>
      </c>
    </row>
    <row r="1007" spans="96:102" ht="15" customHeight="1">
      <c r="CR1007" s="103" t="s">
        <v>616</v>
      </c>
      <c r="CX1007" s="102" t="s">
        <v>30</v>
      </c>
    </row>
    <row r="1008" spans="96:102" ht="15" customHeight="1">
      <c r="CR1008" s="103" t="s">
        <v>617</v>
      </c>
      <c r="CX1008" s="102" t="s">
        <v>30</v>
      </c>
    </row>
    <row r="1009" spans="96:102" ht="15" customHeight="1">
      <c r="CR1009" s="103" t="s">
        <v>618</v>
      </c>
      <c r="CX1009" s="102" t="s">
        <v>30</v>
      </c>
    </row>
    <row r="1010" spans="96:102" ht="15" customHeight="1">
      <c r="CR1010" s="103" t="s">
        <v>619</v>
      </c>
      <c r="CX1010" s="102" t="s">
        <v>30</v>
      </c>
    </row>
    <row r="1011" spans="96:102" ht="15" customHeight="1">
      <c r="CR1011" s="103" t="s">
        <v>620</v>
      </c>
      <c r="CX1011" s="102" t="s">
        <v>30</v>
      </c>
    </row>
    <row r="1012" spans="96:102" ht="15" customHeight="1">
      <c r="CR1012" s="103" t="s">
        <v>467</v>
      </c>
      <c r="CX1012" s="102" t="s">
        <v>30</v>
      </c>
    </row>
    <row r="1013" spans="96:102" ht="15" customHeight="1">
      <c r="CR1013" s="103" t="s">
        <v>312</v>
      </c>
      <c r="CX1013" s="102" t="s">
        <v>30</v>
      </c>
    </row>
    <row r="1014" spans="96:102" ht="15" customHeight="1">
      <c r="CR1014" s="103" t="s">
        <v>468</v>
      </c>
      <c r="CX1014" s="102" t="s">
        <v>30</v>
      </c>
    </row>
    <row r="1015" spans="96:102" ht="15" customHeight="1">
      <c r="CR1015" s="103" t="s">
        <v>621</v>
      </c>
      <c r="CX1015" s="102" t="s">
        <v>30</v>
      </c>
    </row>
    <row r="1016" spans="96:102" ht="15" customHeight="1">
      <c r="CR1016" s="103" t="s">
        <v>552</v>
      </c>
      <c r="CX1016" s="102" t="s">
        <v>30</v>
      </c>
    </row>
    <row r="1017" spans="96:102" ht="15" customHeight="1">
      <c r="CR1017" s="103" t="s">
        <v>324</v>
      </c>
      <c r="CX1017" s="102" t="s">
        <v>30</v>
      </c>
    </row>
    <row r="1018" spans="96:102" ht="15" customHeight="1">
      <c r="CR1018" s="103" t="s">
        <v>327</v>
      </c>
      <c r="CX1018" s="102" t="s">
        <v>30</v>
      </c>
    </row>
    <row r="1019" spans="96:102" ht="15" customHeight="1">
      <c r="CR1019" s="103" t="s">
        <v>554</v>
      </c>
      <c r="CX1019" s="102" t="s">
        <v>30</v>
      </c>
    </row>
    <row r="1020" spans="96:102" ht="15" customHeight="1">
      <c r="CR1020" s="103" t="s">
        <v>333</v>
      </c>
      <c r="CX1020" s="102" t="s">
        <v>30</v>
      </c>
    </row>
    <row r="1021" spans="96:102" ht="15" customHeight="1">
      <c r="CR1021" s="103" t="s">
        <v>336</v>
      </c>
      <c r="CX1021" s="102" t="s">
        <v>30</v>
      </c>
    </row>
    <row r="1022" spans="96:102" ht="15" customHeight="1">
      <c r="CR1022" s="103" t="s">
        <v>340</v>
      </c>
      <c r="CX1022" s="102" t="s">
        <v>30</v>
      </c>
    </row>
    <row r="1023" spans="96:102" ht="15" customHeight="1">
      <c r="CR1023" s="103" t="s">
        <v>272</v>
      </c>
      <c r="CX1023" s="102" t="s">
        <v>30</v>
      </c>
    </row>
    <row r="1024" spans="96:102" ht="15" customHeight="1">
      <c r="CR1024" s="103" t="s">
        <v>622</v>
      </c>
      <c r="CX1024" s="102" t="s">
        <v>30</v>
      </c>
    </row>
    <row r="1025" spans="96:102" ht="15" customHeight="1">
      <c r="CR1025" s="103" t="s">
        <v>279</v>
      </c>
      <c r="CX1025" s="102" t="s">
        <v>30</v>
      </c>
    </row>
    <row r="1026" spans="96:102" ht="15" customHeight="1">
      <c r="CR1026" s="103" t="s">
        <v>282</v>
      </c>
      <c r="CX1026" s="102" t="s">
        <v>30</v>
      </c>
    </row>
    <row r="1027" spans="96:102" ht="15" customHeight="1">
      <c r="CR1027" s="103" t="s">
        <v>623</v>
      </c>
      <c r="CX1027" s="102" t="s">
        <v>30</v>
      </c>
    </row>
    <row r="1028" spans="96:102" ht="15" customHeight="1">
      <c r="CR1028" s="103" t="s">
        <v>624</v>
      </c>
      <c r="CX1028" s="102" t="s">
        <v>30</v>
      </c>
    </row>
    <row r="1029" spans="96:102" ht="15" customHeight="1">
      <c r="CR1029" s="103" t="s">
        <v>615</v>
      </c>
      <c r="CX1029" s="102" t="s">
        <v>30</v>
      </c>
    </row>
    <row r="1030" spans="96:102" ht="15" customHeight="1">
      <c r="CR1030" s="103" t="s">
        <v>625</v>
      </c>
      <c r="CX1030" s="102" t="s">
        <v>30</v>
      </c>
    </row>
    <row r="1031" spans="96:102" ht="15" customHeight="1">
      <c r="CR1031" s="103" t="s">
        <v>626</v>
      </c>
      <c r="CX1031" s="102" t="s">
        <v>30</v>
      </c>
    </row>
    <row r="1032" spans="96:102" ht="15" customHeight="1">
      <c r="CR1032" s="103" t="s">
        <v>618</v>
      </c>
      <c r="CX1032" s="102" t="s">
        <v>30</v>
      </c>
    </row>
    <row r="1033" spans="96:102" ht="15" customHeight="1">
      <c r="CR1033" s="103" t="s">
        <v>627</v>
      </c>
      <c r="CX1033" s="102" t="s">
        <v>30</v>
      </c>
    </row>
    <row r="1034" spans="96:102" ht="15" customHeight="1">
      <c r="CR1034" s="103" t="s">
        <v>628</v>
      </c>
      <c r="CX1034" s="102" t="s">
        <v>30</v>
      </c>
    </row>
    <row r="1035" spans="96:102" ht="15" customHeight="1">
      <c r="CR1035" s="103" t="s">
        <v>467</v>
      </c>
      <c r="CX1035" s="102" t="s">
        <v>30</v>
      </c>
    </row>
    <row r="1036" spans="96:102" ht="15" customHeight="1">
      <c r="CR1036" s="103" t="s">
        <v>312</v>
      </c>
      <c r="CX1036" s="102" t="s">
        <v>30</v>
      </c>
    </row>
    <row r="1037" spans="96:102" ht="15" customHeight="1">
      <c r="CR1037" s="103" t="s">
        <v>468</v>
      </c>
      <c r="CX1037" s="102" t="s">
        <v>30</v>
      </c>
    </row>
    <row r="1038" spans="96:102" ht="15" customHeight="1">
      <c r="CR1038" s="103" t="s">
        <v>621</v>
      </c>
      <c r="CX1038" s="102" t="s">
        <v>30</v>
      </c>
    </row>
    <row r="1039" spans="96:102" ht="15" customHeight="1">
      <c r="CR1039" s="103" t="s">
        <v>321</v>
      </c>
      <c r="CX1039" s="102" t="s">
        <v>30</v>
      </c>
    </row>
    <row r="1040" spans="96:102" ht="15" customHeight="1">
      <c r="CR1040" s="103" t="s">
        <v>324</v>
      </c>
      <c r="CX1040" s="102" t="s">
        <v>30</v>
      </c>
    </row>
    <row r="1041" spans="96:102" ht="15" customHeight="1">
      <c r="CR1041" s="103" t="s">
        <v>327</v>
      </c>
      <c r="CX1041" s="102" t="s">
        <v>30</v>
      </c>
    </row>
    <row r="1042" spans="96:102" ht="15" customHeight="1">
      <c r="CR1042" s="103" t="s">
        <v>330</v>
      </c>
      <c r="CX1042" s="102" t="s">
        <v>30</v>
      </c>
    </row>
    <row r="1043" spans="96:102" ht="15" customHeight="1">
      <c r="CR1043" s="103" t="s">
        <v>333</v>
      </c>
      <c r="CX1043" s="102" t="s">
        <v>30</v>
      </c>
    </row>
    <row r="1044" spans="96:102" ht="15" customHeight="1">
      <c r="CR1044" s="103" t="s">
        <v>336</v>
      </c>
      <c r="CX1044" s="102" t="s">
        <v>30</v>
      </c>
    </row>
    <row r="1045" spans="96:102" ht="15" customHeight="1">
      <c r="CR1045" s="103" t="s">
        <v>340</v>
      </c>
      <c r="CX1045" s="102" t="s">
        <v>30</v>
      </c>
    </row>
    <row r="1046" spans="96:102" ht="15" customHeight="1">
      <c r="CR1046" s="103" t="s">
        <v>272</v>
      </c>
      <c r="CX1046" s="102" t="s">
        <v>30</v>
      </c>
    </row>
    <row r="1047" spans="96:102" ht="15" customHeight="1">
      <c r="CR1047" s="103" t="s">
        <v>629</v>
      </c>
      <c r="CX1047" s="102" t="s">
        <v>30</v>
      </c>
    </row>
    <row r="1048" spans="96:102" ht="15" customHeight="1">
      <c r="CR1048" s="103" t="s">
        <v>279</v>
      </c>
      <c r="CX1048" s="102" t="s">
        <v>30</v>
      </c>
    </row>
    <row r="1049" spans="96:102" ht="15" customHeight="1">
      <c r="CR1049" s="103" t="s">
        <v>282</v>
      </c>
      <c r="CX1049" s="102" t="s">
        <v>30</v>
      </c>
    </row>
    <row r="1050" spans="96:102" ht="15" customHeight="1">
      <c r="CR1050" s="103" t="s">
        <v>630</v>
      </c>
      <c r="CX1050" s="102" t="s">
        <v>30</v>
      </c>
    </row>
    <row r="1051" spans="96:102" ht="15" customHeight="1">
      <c r="CR1051" s="103" t="s">
        <v>631</v>
      </c>
      <c r="CX1051" s="102" t="s">
        <v>30</v>
      </c>
    </row>
    <row r="1052" spans="96:102" ht="15" customHeight="1">
      <c r="CR1052" s="103" t="s">
        <v>615</v>
      </c>
      <c r="CX1052" s="102" t="s">
        <v>30</v>
      </c>
    </row>
    <row r="1053" spans="96:102" ht="15" customHeight="1">
      <c r="CR1053" s="103" t="s">
        <v>632</v>
      </c>
      <c r="CX1053" s="102" t="s">
        <v>30</v>
      </c>
    </row>
    <row r="1054" spans="96:102" ht="15" customHeight="1">
      <c r="CR1054" s="103" t="s">
        <v>633</v>
      </c>
      <c r="CX1054" s="102" t="s">
        <v>30</v>
      </c>
    </row>
    <row r="1055" spans="96:102" ht="15" customHeight="1">
      <c r="CR1055" s="103" t="s">
        <v>618</v>
      </c>
      <c r="CX1055" s="102" t="s">
        <v>30</v>
      </c>
    </row>
    <row r="1056" spans="96:102" ht="15" customHeight="1">
      <c r="CR1056" s="103" t="s">
        <v>634</v>
      </c>
      <c r="CX1056" s="102" t="s">
        <v>30</v>
      </c>
    </row>
    <row r="1057" spans="96:102" ht="15" customHeight="1">
      <c r="CR1057" s="103" t="s">
        <v>635</v>
      </c>
      <c r="CX1057" s="102" t="s">
        <v>30</v>
      </c>
    </row>
    <row r="1058" spans="96:102" ht="15" customHeight="1">
      <c r="CR1058" s="103" t="s">
        <v>467</v>
      </c>
      <c r="CX1058" s="102" t="s">
        <v>30</v>
      </c>
    </row>
    <row r="1059" spans="96:102" ht="15" customHeight="1">
      <c r="CR1059" s="103" t="s">
        <v>312</v>
      </c>
      <c r="CX1059" s="102" t="s">
        <v>30</v>
      </c>
    </row>
    <row r="1060" spans="96:102" ht="15" customHeight="1">
      <c r="CR1060" s="103" t="s">
        <v>468</v>
      </c>
      <c r="CX1060" s="102" t="s">
        <v>30</v>
      </c>
    </row>
    <row r="1061" spans="96:102" ht="15" customHeight="1">
      <c r="CR1061" s="103" t="s">
        <v>621</v>
      </c>
      <c r="CX1061" s="102" t="s">
        <v>30</v>
      </c>
    </row>
    <row r="1062" spans="96:102" ht="15" customHeight="1">
      <c r="CR1062" s="103" t="s">
        <v>552</v>
      </c>
      <c r="CX1062" s="102" t="s">
        <v>30</v>
      </c>
    </row>
    <row r="1063" spans="96:102" ht="15" customHeight="1">
      <c r="CR1063" s="103" t="s">
        <v>324</v>
      </c>
      <c r="CX1063" s="102" t="s">
        <v>30</v>
      </c>
    </row>
    <row r="1064" spans="96:102" ht="15" customHeight="1">
      <c r="CR1064" s="103" t="s">
        <v>327</v>
      </c>
      <c r="CX1064" s="102" t="s">
        <v>30</v>
      </c>
    </row>
    <row r="1065" spans="96:102" ht="15" customHeight="1">
      <c r="CR1065" s="103" t="s">
        <v>330</v>
      </c>
      <c r="CX1065" s="102" t="s">
        <v>30</v>
      </c>
    </row>
    <row r="1066" spans="96:102" ht="15" customHeight="1">
      <c r="CR1066" s="103" t="s">
        <v>333</v>
      </c>
      <c r="CX1066" s="102" t="s">
        <v>30</v>
      </c>
    </row>
    <row r="1067" spans="96:102" ht="15" customHeight="1">
      <c r="CR1067" s="103" t="s">
        <v>336</v>
      </c>
      <c r="CX1067" s="102" t="s">
        <v>30</v>
      </c>
    </row>
    <row r="1068" spans="96:102" ht="15" customHeight="1">
      <c r="CR1068" s="103" t="s">
        <v>340</v>
      </c>
      <c r="CX1068" s="102" t="s">
        <v>30</v>
      </c>
    </row>
    <row r="1069" spans="96:102" ht="15" customHeight="1">
      <c r="CR1069" s="103" t="s">
        <v>272</v>
      </c>
      <c r="CX1069" s="102" t="s">
        <v>30</v>
      </c>
    </row>
    <row r="1070" spans="96:102" ht="15" customHeight="1">
      <c r="CR1070" s="103" t="s">
        <v>636</v>
      </c>
      <c r="CX1070" s="102" t="s">
        <v>30</v>
      </c>
    </row>
    <row r="1071" spans="96:102" ht="15" customHeight="1">
      <c r="CR1071" s="103" t="s">
        <v>279</v>
      </c>
      <c r="CX1071" s="102" t="s">
        <v>30</v>
      </c>
    </row>
    <row r="1072" spans="96:102" ht="15" customHeight="1">
      <c r="CR1072" s="103" t="s">
        <v>282</v>
      </c>
      <c r="CX1072" s="102" t="s">
        <v>30</v>
      </c>
    </row>
    <row r="1073" spans="96:102" ht="15" customHeight="1">
      <c r="CR1073" s="103" t="s">
        <v>637</v>
      </c>
      <c r="CX1073" s="102" t="s">
        <v>30</v>
      </c>
    </row>
    <row r="1074" spans="96:102" ht="15" customHeight="1">
      <c r="CR1074" s="103" t="s">
        <v>638</v>
      </c>
      <c r="CX1074" s="102" t="s">
        <v>30</v>
      </c>
    </row>
    <row r="1075" spans="96:102" ht="15" customHeight="1">
      <c r="CR1075" s="103" t="s">
        <v>615</v>
      </c>
      <c r="CX1075" s="102" t="s">
        <v>30</v>
      </c>
    </row>
    <row r="1076" spans="96:102" ht="15" customHeight="1">
      <c r="CR1076" s="103" t="s">
        <v>639</v>
      </c>
      <c r="CX1076" s="102" t="s">
        <v>30</v>
      </c>
    </row>
    <row r="1077" spans="96:102" ht="15" customHeight="1">
      <c r="CR1077" s="103" t="s">
        <v>640</v>
      </c>
      <c r="CX1077" s="102" t="s">
        <v>30</v>
      </c>
    </row>
    <row r="1078" spans="96:102" ht="15" customHeight="1">
      <c r="CR1078" s="103" t="s">
        <v>618</v>
      </c>
      <c r="CX1078" s="102" t="s">
        <v>30</v>
      </c>
    </row>
    <row r="1079" spans="96:102" ht="15" customHeight="1">
      <c r="CR1079" s="103" t="s">
        <v>641</v>
      </c>
      <c r="CX1079" s="102" t="s">
        <v>30</v>
      </c>
    </row>
    <row r="1080" spans="96:102" ht="15" customHeight="1">
      <c r="CR1080" s="103" t="s">
        <v>642</v>
      </c>
      <c r="CX1080" s="102" t="s">
        <v>30</v>
      </c>
    </row>
    <row r="1081" spans="96:102" ht="15" customHeight="1">
      <c r="CR1081" s="103" t="s">
        <v>467</v>
      </c>
      <c r="CX1081" s="102" t="s">
        <v>30</v>
      </c>
    </row>
    <row r="1082" spans="96:102" ht="15" customHeight="1">
      <c r="CR1082" s="103" t="s">
        <v>312</v>
      </c>
      <c r="CX1082" s="102" t="s">
        <v>30</v>
      </c>
    </row>
    <row r="1083" spans="96:102" ht="15" customHeight="1">
      <c r="CR1083" s="103" t="s">
        <v>468</v>
      </c>
      <c r="CX1083" s="102" t="s">
        <v>30</v>
      </c>
    </row>
    <row r="1084" spans="96:102" ht="15" customHeight="1">
      <c r="CR1084" s="103" t="s">
        <v>621</v>
      </c>
      <c r="CX1084" s="102" t="s">
        <v>30</v>
      </c>
    </row>
    <row r="1085" spans="96:102" ht="15" customHeight="1">
      <c r="CR1085" s="103" t="s">
        <v>552</v>
      </c>
      <c r="CX1085" s="102" t="s">
        <v>30</v>
      </c>
    </row>
    <row r="1086" spans="96:102" ht="15" customHeight="1">
      <c r="CR1086" s="103" t="s">
        <v>324</v>
      </c>
      <c r="CX1086" s="102" t="s">
        <v>30</v>
      </c>
    </row>
    <row r="1087" spans="96:102" ht="15" customHeight="1">
      <c r="CR1087" s="103" t="s">
        <v>327</v>
      </c>
      <c r="CX1087" s="102" t="s">
        <v>30</v>
      </c>
    </row>
    <row r="1088" spans="96:102" ht="15" customHeight="1">
      <c r="CR1088" s="103" t="s">
        <v>330</v>
      </c>
      <c r="CX1088" s="102" t="s">
        <v>30</v>
      </c>
    </row>
    <row r="1089" spans="96:102" ht="15" customHeight="1">
      <c r="CR1089" s="103" t="s">
        <v>333</v>
      </c>
      <c r="CX1089" s="102" t="s">
        <v>30</v>
      </c>
    </row>
    <row r="1090" spans="96:102" ht="15" customHeight="1">
      <c r="CR1090" s="103" t="s">
        <v>336</v>
      </c>
      <c r="CX1090" s="102" t="s">
        <v>30</v>
      </c>
    </row>
    <row r="1091" spans="96:102" ht="15" customHeight="1">
      <c r="CR1091" s="103" t="s">
        <v>340</v>
      </c>
      <c r="CX1091" s="102" t="s">
        <v>30</v>
      </c>
    </row>
    <row r="1092" spans="96:102" ht="15" customHeight="1">
      <c r="CR1092" s="103" t="s">
        <v>272</v>
      </c>
      <c r="CX1092" s="102" t="s">
        <v>30</v>
      </c>
    </row>
    <row r="1093" spans="96:102" ht="15" customHeight="1">
      <c r="CR1093" s="103" t="s">
        <v>643</v>
      </c>
      <c r="CX1093" s="102" t="s">
        <v>30</v>
      </c>
    </row>
    <row r="1094" spans="96:102" ht="15" customHeight="1">
      <c r="CR1094" s="103" t="s">
        <v>279</v>
      </c>
      <c r="CX1094" s="102" t="s">
        <v>30</v>
      </c>
    </row>
    <row r="1095" spans="96:102" ht="15" customHeight="1">
      <c r="CR1095" s="103" t="s">
        <v>282</v>
      </c>
      <c r="CX1095" s="102" t="s">
        <v>30</v>
      </c>
    </row>
    <row r="1096" spans="96:102" ht="15" customHeight="1">
      <c r="CR1096" s="103" t="s">
        <v>644</v>
      </c>
      <c r="CX1096" s="102" t="s">
        <v>30</v>
      </c>
    </row>
    <row r="1097" spans="96:102" ht="15" customHeight="1">
      <c r="CR1097" s="103" t="s">
        <v>645</v>
      </c>
      <c r="CX1097" s="102" t="s">
        <v>30</v>
      </c>
    </row>
    <row r="1098" spans="96:102" ht="15" customHeight="1">
      <c r="CR1098" s="103" t="s">
        <v>615</v>
      </c>
      <c r="CX1098" s="102" t="s">
        <v>30</v>
      </c>
    </row>
    <row r="1099" spans="96:102" ht="15" customHeight="1">
      <c r="CR1099" s="103" t="s">
        <v>646</v>
      </c>
      <c r="CX1099" s="102" t="s">
        <v>30</v>
      </c>
    </row>
    <row r="1100" spans="96:102" ht="15" customHeight="1">
      <c r="CR1100" s="103" t="s">
        <v>647</v>
      </c>
      <c r="CX1100" s="102" t="s">
        <v>30</v>
      </c>
    </row>
    <row r="1101" spans="96:102" ht="15" customHeight="1">
      <c r="CR1101" s="103" t="s">
        <v>618</v>
      </c>
      <c r="CX1101" s="102" t="s">
        <v>30</v>
      </c>
    </row>
    <row r="1102" spans="96:102" ht="15" customHeight="1">
      <c r="CR1102" s="103" t="s">
        <v>648</v>
      </c>
      <c r="CX1102" s="102" t="s">
        <v>30</v>
      </c>
    </row>
    <row r="1103" spans="96:102" ht="15" customHeight="1">
      <c r="CR1103" s="103" t="s">
        <v>649</v>
      </c>
      <c r="CX1103" s="102" t="s">
        <v>30</v>
      </c>
    </row>
    <row r="1104" spans="96:102" ht="15" customHeight="1">
      <c r="CR1104" s="103" t="s">
        <v>467</v>
      </c>
      <c r="CX1104" s="102" t="s">
        <v>30</v>
      </c>
    </row>
    <row r="1105" spans="96:102" ht="15" customHeight="1">
      <c r="CR1105" s="103" t="s">
        <v>312</v>
      </c>
      <c r="CX1105" s="102" t="s">
        <v>30</v>
      </c>
    </row>
    <row r="1106" spans="96:102" ht="15" customHeight="1">
      <c r="CR1106" s="103" t="s">
        <v>468</v>
      </c>
      <c r="CX1106" s="102" t="s">
        <v>30</v>
      </c>
    </row>
    <row r="1107" spans="96:102" ht="15" customHeight="1">
      <c r="CR1107" s="103" t="s">
        <v>621</v>
      </c>
      <c r="CX1107" s="102" t="s">
        <v>30</v>
      </c>
    </row>
    <row r="1108" spans="96:102" ht="15" customHeight="1">
      <c r="CR1108" s="103" t="s">
        <v>650</v>
      </c>
      <c r="CX1108" s="102" t="s">
        <v>30</v>
      </c>
    </row>
    <row r="1109" spans="96:102" ht="15" customHeight="1">
      <c r="CR1109" s="103" t="s">
        <v>324</v>
      </c>
      <c r="CX1109" s="102" t="s">
        <v>30</v>
      </c>
    </row>
    <row r="1110" spans="96:102" ht="15" customHeight="1">
      <c r="CR1110" s="103" t="s">
        <v>327</v>
      </c>
      <c r="CX1110" s="102" t="s">
        <v>30</v>
      </c>
    </row>
    <row r="1111" spans="96:102" ht="15" customHeight="1">
      <c r="CR1111" s="103" t="s">
        <v>554</v>
      </c>
      <c r="CX1111" s="102" t="s">
        <v>30</v>
      </c>
    </row>
    <row r="1112" spans="96:102" ht="15" customHeight="1">
      <c r="CR1112" s="103" t="s">
        <v>333</v>
      </c>
      <c r="CX1112" s="102" t="s">
        <v>30</v>
      </c>
    </row>
    <row r="1113" spans="96:102" ht="15" customHeight="1">
      <c r="CR1113" s="103" t="s">
        <v>336</v>
      </c>
      <c r="CX1113" s="102" t="s">
        <v>30</v>
      </c>
    </row>
    <row r="1114" spans="96:102" ht="15" customHeight="1">
      <c r="CR1114" s="103" t="s">
        <v>340</v>
      </c>
      <c r="CX1114" s="102" t="s">
        <v>30</v>
      </c>
    </row>
    <row r="1115" spans="96:102" ht="15" customHeight="1">
      <c r="CR1115" s="103" t="s">
        <v>272</v>
      </c>
      <c r="CX1115" s="102" t="s">
        <v>30</v>
      </c>
    </row>
    <row r="1116" spans="96:102" ht="15" customHeight="1">
      <c r="CR1116" s="103" t="s">
        <v>651</v>
      </c>
      <c r="CX1116" s="102" t="s">
        <v>30</v>
      </c>
    </row>
    <row r="1117" spans="96:102" ht="15" customHeight="1">
      <c r="CR1117" s="103" t="s">
        <v>279</v>
      </c>
      <c r="CX1117" s="102" t="s">
        <v>30</v>
      </c>
    </row>
    <row r="1118" spans="96:102" ht="15" customHeight="1">
      <c r="CR1118" s="103" t="s">
        <v>282</v>
      </c>
      <c r="CX1118" s="102" t="s">
        <v>30</v>
      </c>
    </row>
    <row r="1119" spans="96:102" ht="15" customHeight="1">
      <c r="CR1119" s="103" t="s">
        <v>652</v>
      </c>
      <c r="CX1119" s="102" t="s">
        <v>30</v>
      </c>
    </row>
    <row r="1120" spans="96:102" ht="15" customHeight="1">
      <c r="CR1120" s="103" t="s">
        <v>653</v>
      </c>
      <c r="CX1120" s="102" t="s">
        <v>30</v>
      </c>
    </row>
    <row r="1121" spans="96:102" ht="15" customHeight="1">
      <c r="CR1121" s="103" t="s">
        <v>615</v>
      </c>
      <c r="CX1121" s="102" t="s">
        <v>30</v>
      </c>
    </row>
    <row r="1122" spans="96:102" ht="15" customHeight="1">
      <c r="CR1122" s="103" t="s">
        <v>654</v>
      </c>
      <c r="CX1122" s="102" t="s">
        <v>30</v>
      </c>
    </row>
    <row r="1123" spans="96:102" ht="15" customHeight="1">
      <c r="CR1123" s="103" t="s">
        <v>655</v>
      </c>
      <c r="CX1123" s="102" t="s">
        <v>30</v>
      </c>
    </row>
    <row r="1124" spans="96:102" ht="15" customHeight="1">
      <c r="CR1124" s="103" t="s">
        <v>618</v>
      </c>
      <c r="CX1124" s="102" t="s">
        <v>30</v>
      </c>
    </row>
    <row r="1125" spans="96:102" ht="15" customHeight="1">
      <c r="CR1125" s="103" t="s">
        <v>656</v>
      </c>
      <c r="CX1125" s="102" t="s">
        <v>30</v>
      </c>
    </row>
    <row r="1126" spans="96:102" ht="15" customHeight="1">
      <c r="CR1126" s="103" t="s">
        <v>657</v>
      </c>
      <c r="CX1126" s="102" t="s">
        <v>30</v>
      </c>
    </row>
    <row r="1127" spans="96:102" ht="15" customHeight="1">
      <c r="CR1127" s="103" t="s">
        <v>467</v>
      </c>
      <c r="CX1127" s="102" t="s">
        <v>30</v>
      </c>
    </row>
    <row r="1128" spans="96:102" ht="15" customHeight="1">
      <c r="CR1128" s="103" t="s">
        <v>312</v>
      </c>
      <c r="CX1128" s="102" t="s">
        <v>30</v>
      </c>
    </row>
    <row r="1129" spans="96:102" ht="15" customHeight="1">
      <c r="CR1129" s="103" t="s">
        <v>468</v>
      </c>
      <c r="CX1129" s="102" t="s">
        <v>30</v>
      </c>
    </row>
    <row r="1130" spans="96:102" ht="15" customHeight="1">
      <c r="CR1130" s="103" t="s">
        <v>621</v>
      </c>
      <c r="CX1130" s="102" t="s">
        <v>30</v>
      </c>
    </row>
    <row r="1131" spans="96:102" ht="15" customHeight="1">
      <c r="CR1131" s="103" t="s">
        <v>552</v>
      </c>
      <c r="CX1131" s="102" t="s">
        <v>30</v>
      </c>
    </row>
    <row r="1132" spans="96:102" ht="15" customHeight="1">
      <c r="CR1132" s="103" t="s">
        <v>324</v>
      </c>
      <c r="CX1132" s="102" t="s">
        <v>30</v>
      </c>
    </row>
    <row r="1133" spans="96:102" ht="15" customHeight="1">
      <c r="CR1133" s="103" t="s">
        <v>327</v>
      </c>
      <c r="CX1133" s="102" t="s">
        <v>30</v>
      </c>
    </row>
    <row r="1134" spans="96:102" ht="15" customHeight="1">
      <c r="CR1134" s="103" t="s">
        <v>330</v>
      </c>
      <c r="CX1134" s="102" t="s">
        <v>30</v>
      </c>
    </row>
    <row r="1135" spans="96:102" ht="15" customHeight="1">
      <c r="CR1135" s="103" t="s">
        <v>333</v>
      </c>
      <c r="CX1135" s="102" t="s">
        <v>30</v>
      </c>
    </row>
    <row r="1136" spans="96:102" ht="15" customHeight="1">
      <c r="CR1136" s="103" t="s">
        <v>336</v>
      </c>
      <c r="CX1136" s="102" t="s">
        <v>30</v>
      </c>
    </row>
    <row r="1137" spans="96:102" ht="15" customHeight="1">
      <c r="CR1137" s="103" t="s">
        <v>340</v>
      </c>
      <c r="CX1137" s="102" t="s">
        <v>30</v>
      </c>
    </row>
    <row r="1138" spans="96:102" ht="15" customHeight="1">
      <c r="CR1138" s="103" t="s">
        <v>272</v>
      </c>
      <c r="CX1138" s="102" t="s">
        <v>30</v>
      </c>
    </row>
    <row r="1139" spans="96:102" ht="15" customHeight="1">
      <c r="CR1139" s="103" t="s">
        <v>658</v>
      </c>
      <c r="CX1139" s="102" t="s">
        <v>30</v>
      </c>
    </row>
    <row r="1140" spans="96:102" ht="15" customHeight="1">
      <c r="CR1140" s="103" t="s">
        <v>279</v>
      </c>
      <c r="CX1140" s="102" t="s">
        <v>30</v>
      </c>
    </row>
    <row r="1141" spans="96:102" ht="15" customHeight="1">
      <c r="CR1141" s="103" t="s">
        <v>282</v>
      </c>
      <c r="CX1141" s="102" t="s">
        <v>30</v>
      </c>
    </row>
    <row r="1142" spans="96:102" ht="15" customHeight="1">
      <c r="CR1142" s="103" t="s">
        <v>659</v>
      </c>
      <c r="CX1142" s="102" t="s">
        <v>30</v>
      </c>
    </row>
    <row r="1143" spans="96:102" ht="15" customHeight="1">
      <c r="CR1143" s="103" t="s">
        <v>660</v>
      </c>
      <c r="CX1143" s="102" t="s">
        <v>30</v>
      </c>
    </row>
    <row r="1144" spans="96:102" ht="15" customHeight="1">
      <c r="CR1144" s="103" t="s">
        <v>615</v>
      </c>
      <c r="CX1144" s="102" t="s">
        <v>30</v>
      </c>
    </row>
    <row r="1145" spans="96:102" ht="15" customHeight="1">
      <c r="CR1145" s="103" t="s">
        <v>661</v>
      </c>
      <c r="CX1145" s="102" t="s">
        <v>30</v>
      </c>
    </row>
    <row r="1146" spans="96:102" ht="15" customHeight="1">
      <c r="CR1146" s="103" t="s">
        <v>662</v>
      </c>
      <c r="CX1146" s="102" t="s">
        <v>30</v>
      </c>
    </row>
    <row r="1147" spans="96:102" ht="15" customHeight="1">
      <c r="CR1147" s="103" t="s">
        <v>618</v>
      </c>
      <c r="CX1147" s="102" t="s">
        <v>30</v>
      </c>
    </row>
    <row r="1148" spans="96:102" ht="15" customHeight="1">
      <c r="CR1148" s="103" t="s">
        <v>663</v>
      </c>
      <c r="CX1148" s="102" t="s">
        <v>30</v>
      </c>
    </row>
    <row r="1149" spans="96:102" ht="15" customHeight="1">
      <c r="CR1149" s="103" t="s">
        <v>664</v>
      </c>
      <c r="CX1149" s="102" t="s">
        <v>30</v>
      </c>
    </row>
    <row r="1150" spans="96:102" ht="15" customHeight="1">
      <c r="CR1150" s="103" t="s">
        <v>467</v>
      </c>
      <c r="CX1150" s="102" t="s">
        <v>30</v>
      </c>
    </row>
    <row r="1151" spans="96:102" ht="15" customHeight="1">
      <c r="CR1151" s="103" t="s">
        <v>312</v>
      </c>
      <c r="CX1151" s="102" t="s">
        <v>30</v>
      </c>
    </row>
    <row r="1152" spans="96:102" ht="15" customHeight="1">
      <c r="CR1152" s="103" t="s">
        <v>468</v>
      </c>
      <c r="CX1152" s="102" t="s">
        <v>30</v>
      </c>
    </row>
    <row r="1153" spans="96:102" ht="15" customHeight="1">
      <c r="CR1153" s="103" t="s">
        <v>621</v>
      </c>
      <c r="CX1153" s="102" t="s">
        <v>30</v>
      </c>
    </row>
    <row r="1154" spans="96:102" ht="15" customHeight="1">
      <c r="CR1154" s="103" t="s">
        <v>552</v>
      </c>
      <c r="CX1154" s="102" t="s">
        <v>30</v>
      </c>
    </row>
    <row r="1155" spans="96:102" ht="15" customHeight="1">
      <c r="CR1155" s="103" t="s">
        <v>324</v>
      </c>
      <c r="CX1155" s="102" t="s">
        <v>30</v>
      </c>
    </row>
    <row r="1156" spans="96:102" ht="15" customHeight="1">
      <c r="CR1156" s="103" t="s">
        <v>327</v>
      </c>
      <c r="CX1156" s="102" t="s">
        <v>30</v>
      </c>
    </row>
    <row r="1157" spans="96:102" ht="15" customHeight="1">
      <c r="CR1157" s="103" t="s">
        <v>330</v>
      </c>
      <c r="CX1157" s="102" t="s">
        <v>30</v>
      </c>
    </row>
    <row r="1158" spans="96:102" ht="15" customHeight="1">
      <c r="CR1158" s="103" t="s">
        <v>333</v>
      </c>
      <c r="CX1158" s="102" t="s">
        <v>30</v>
      </c>
    </row>
    <row r="1159" spans="96:102" ht="15" customHeight="1">
      <c r="CR1159" s="103" t="s">
        <v>336</v>
      </c>
      <c r="CX1159" s="102" t="s">
        <v>30</v>
      </c>
    </row>
    <row r="1160" spans="96:102" ht="15" customHeight="1">
      <c r="CR1160" s="103" t="s">
        <v>340</v>
      </c>
      <c r="CX1160" s="102" t="s">
        <v>30</v>
      </c>
    </row>
    <row r="1161" spans="96:102" ht="15" customHeight="1">
      <c r="CR1161" s="103" t="s">
        <v>272</v>
      </c>
      <c r="CX1161" s="102" t="s">
        <v>30</v>
      </c>
    </row>
    <row r="1162" spans="96:102" ht="15" customHeight="1">
      <c r="CR1162" s="103" t="s">
        <v>665</v>
      </c>
      <c r="CX1162" s="102" t="s">
        <v>30</v>
      </c>
    </row>
    <row r="1163" spans="96:102" ht="15" customHeight="1">
      <c r="CR1163" s="103" t="s">
        <v>279</v>
      </c>
      <c r="CX1163" s="102" t="s">
        <v>30</v>
      </c>
    </row>
    <row r="1164" spans="96:102" ht="15" customHeight="1">
      <c r="CR1164" s="103" t="s">
        <v>282</v>
      </c>
      <c r="CX1164" s="102" t="s">
        <v>30</v>
      </c>
    </row>
    <row r="1165" spans="96:102" ht="15" customHeight="1">
      <c r="CR1165" s="103" t="s">
        <v>666</v>
      </c>
      <c r="CX1165" s="102" t="s">
        <v>30</v>
      </c>
    </row>
    <row r="1166" spans="96:102" ht="15" customHeight="1">
      <c r="CR1166" s="103" t="s">
        <v>667</v>
      </c>
      <c r="CX1166" s="102" t="s">
        <v>30</v>
      </c>
    </row>
    <row r="1167" spans="96:102" ht="15" customHeight="1">
      <c r="CR1167" s="103" t="s">
        <v>615</v>
      </c>
      <c r="CX1167" s="102" t="s">
        <v>30</v>
      </c>
    </row>
    <row r="1168" spans="96:102" ht="15" customHeight="1">
      <c r="CR1168" s="103" t="s">
        <v>568</v>
      </c>
      <c r="CX1168" s="102" t="s">
        <v>30</v>
      </c>
    </row>
    <row r="1169" spans="96:102" ht="15" customHeight="1">
      <c r="CR1169" s="103" t="s">
        <v>668</v>
      </c>
      <c r="CX1169" s="102" t="s">
        <v>30</v>
      </c>
    </row>
    <row r="1170" spans="96:102" ht="15" customHeight="1">
      <c r="CR1170" s="103" t="s">
        <v>618</v>
      </c>
      <c r="CX1170" s="102" t="s">
        <v>30</v>
      </c>
    </row>
    <row r="1171" spans="96:102" ht="15" customHeight="1">
      <c r="CR1171" s="103" t="s">
        <v>669</v>
      </c>
      <c r="CX1171" s="102" t="s">
        <v>30</v>
      </c>
    </row>
    <row r="1172" spans="96:102" ht="15" customHeight="1">
      <c r="CR1172" s="103" t="s">
        <v>670</v>
      </c>
      <c r="CX1172" s="102" t="s">
        <v>30</v>
      </c>
    </row>
    <row r="1173" spans="96:102" ht="15" customHeight="1">
      <c r="CR1173" s="103" t="s">
        <v>467</v>
      </c>
      <c r="CX1173" s="102" t="s">
        <v>30</v>
      </c>
    </row>
    <row r="1174" spans="96:102" ht="15" customHeight="1">
      <c r="CR1174" s="103" t="s">
        <v>312</v>
      </c>
      <c r="CX1174" s="102" t="s">
        <v>30</v>
      </c>
    </row>
    <row r="1175" spans="96:102" ht="15" customHeight="1">
      <c r="CR1175" s="103" t="s">
        <v>468</v>
      </c>
      <c r="CX1175" s="102" t="s">
        <v>30</v>
      </c>
    </row>
    <row r="1176" spans="96:102" ht="15" customHeight="1">
      <c r="CR1176" s="103" t="s">
        <v>621</v>
      </c>
      <c r="CX1176" s="102" t="s">
        <v>30</v>
      </c>
    </row>
    <row r="1177" spans="96:102" ht="15" customHeight="1">
      <c r="CR1177" s="103" t="s">
        <v>321</v>
      </c>
      <c r="CX1177" s="102" t="s">
        <v>30</v>
      </c>
    </row>
    <row r="1178" spans="96:102" ht="15" customHeight="1">
      <c r="CR1178" s="103" t="s">
        <v>324</v>
      </c>
      <c r="CX1178" s="102" t="s">
        <v>30</v>
      </c>
    </row>
    <row r="1179" spans="96:102" ht="15" customHeight="1">
      <c r="CR1179" s="103" t="s">
        <v>327</v>
      </c>
      <c r="CX1179" s="102" t="s">
        <v>30</v>
      </c>
    </row>
    <row r="1180" spans="96:102" ht="15" customHeight="1">
      <c r="CR1180" s="103" t="s">
        <v>330</v>
      </c>
      <c r="CX1180" s="102" t="s">
        <v>30</v>
      </c>
    </row>
    <row r="1181" spans="96:102" ht="15" customHeight="1">
      <c r="CR1181" s="103" t="s">
        <v>333</v>
      </c>
      <c r="CX1181" s="102" t="s">
        <v>30</v>
      </c>
    </row>
    <row r="1182" spans="96:102" ht="15" customHeight="1">
      <c r="CR1182" s="103" t="s">
        <v>336</v>
      </c>
      <c r="CX1182" s="102" t="s">
        <v>30</v>
      </c>
    </row>
    <row r="1183" spans="96:102" ht="15" customHeight="1">
      <c r="CR1183" s="103" t="s">
        <v>340</v>
      </c>
      <c r="CX1183" s="102" t="s">
        <v>30</v>
      </c>
    </row>
    <row r="1184" spans="96:102" ht="15" customHeight="1">
      <c r="CR1184" s="103" t="s">
        <v>272</v>
      </c>
      <c r="CX1184" s="102" t="s">
        <v>30</v>
      </c>
    </row>
    <row r="1185" spans="96:102" ht="15" customHeight="1">
      <c r="CR1185" s="103" t="s">
        <v>671</v>
      </c>
      <c r="CX1185" s="102" t="s">
        <v>30</v>
      </c>
    </row>
    <row r="1186" spans="96:102" ht="15" customHeight="1">
      <c r="CR1186" s="103" t="s">
        <v>279</v>
      </c>
      <c r="CX1186" s="102" t="s">
        <v>30</v>
      </c>
    </row>
    <row r="1187" spans="96:102" ht="15" customHeight="1">
      <c r="CR1187" s="103" t="s">
        <v>282</v>
      </c>
      <c r="CX1187" s="102" t="s">
        <v>30</v>
      </c>
    </row>
    <row r="1188" spans="96:102" ht="15" customHeight="1">
      <c r="CR1188" s="103" t="s">
        <v>672</v>
      </c>
      <c r="CX1188" s="102" t="s">
        <v>30</v>
      </c>
    </row>
    <row r="1189" spans="96:102" ht="15" customHeight="1">
      <c r="CR1189" s="103" t="s">
        <v>673</v>
      </c>
      <c r="CX1189" s="102" t="s">
        <v>30</v>
      </c>
    </row>
    <row r="1190" spans="96:102" ht="15" customHeight="1">
      <c r="CR1190" s="103" t="s">
        <v>615</v>
      </c>
      <c r="CX1190" s="102" t="s">
        <v>30</v>
      </c>
    </row>
    <row r="1191" spans="96:102" ht="15" customHeight="1">
      <c r="CR1191" s="103" t="s">
        <v>544</v>
      </c>
      <c r="CX1191" s="102" t="s">
        <v>30</v>
      </c>
    </row>
    <row r="1192" spans="96:102" ht="15" customHeight="1">
      <c r="CR1192" s="103" t="s">
        <v>674</v>
      </c>
      <c r="CX1192" s="102" t="s">
        <v>30</v>
      </c>
    </row>
    <row r="1193" spans="96:102" ht="15" customHeight="1">
      <c r="CR1193" s="103" t="s">
        <v>618</v>
      </c>
      <c r="CX1193" s="102" t="s">
        <v>30</v>
      </c>
    </row>
    <row r="1194" spans="96:102" ht="15" customHeight="1">
      <c r="CR1194" s="103" t="s">
        <v>675</v>
      </c>
      <c r="CX1194" s="102" t="s">
        <v>30</v>
      </c>
    </row>
    <row r="1195" spans="96:102" ht="15" customHeight="1">
      <c r="CR1195" s="103" t="s">
        <v>676</v>
      </c>
      <c r="CX1195" s="102" t="s">
        <v>30</v>
      </c>
    </row>
    <row r="1196" spans="96:102" ht="15" customHeight="1">
      <c r="CR1196" s="103" t="s">
        <v>467</v>
      </c>
      <c r="CX1196" s="102" t="s">
        <v>30</v>
      </c>
    </row>
    <row r="1197" spans="96:102" ht="15" customHeight="1">
      <c r="CR1197" s="103" t="s">
        <v>312</v>
      </c>
      <c r="CX1197" s="102" t="s">
        <v>30</v>
      </c>
    </row>
    <row r="1198" spans="96:102" ht="15" customHeight="1">
      <c r="CR1198" s="103" t="s">
        <v>468</v>
      </c>
      <c r="CX1198" s="102" t="s">
        <v>30</v>
      </c>
    </row>
    <row r="1199" spans="96:102" ht="15" customHeight="1">
      <c r="CR1199" s="103" t="s">
        <v>621</v>
      </c>
      <c r="CX1199" s="102" t="s">
        <v>30</v>
      </c>
    </row>
    <row r="1200" spans="96:102" ht="15" customHeight="1">
      <c r="CR1200" s="103" t="s">
        <v>552</v>
      </c>
      <c r="CX1200" s="102" t="s">
        <v>30</v>
      </c>
    </row>
    <row r="1201" spans="96:102" ht="15" customHeight="1">
      <c r="CR1201" s="103" t="s">
        <v>324</v>
      </c>
      <c r="CX1201" s="102" t="s">
        <v>30</v>
      </c>
    </row>
    <row r="1202" spans="96:102" ht="15" customHeight="1">
      <c r="CR1202" s="103" t="s">
        <v>553</v>
      </c>
      <c r="CX1202" s="102" t="s">
        <v>30</v>
      </c>
    </row>
    <row r="1203" spans="96:102" ht="15" customHeight="1">
      <c r="CR1203" s="103" t="s">
        <v>554</v>
      </c>
      <c r="CX1203" s="102" t="s">
        <v>30</v>
      </c>
    </row>
    <row r="1204" spans="96:102" ht="15" customHeight="1">
      <c r="CR1204" s="103" t="s">
        <v>333</v>
      </c>
      <c r="CX1204" s="102" t="s">
        <v>30</v>
      </c>
    </row>
    <row r="1205" spans="96:102" ht="15" customHeight="1">
      <c r="CR1205" s="103" t="s">
        <v>336</v>
      </c>
      <c r="CX1205" s="102" t="s">
        <v>30</v>
      </c>
    </row>
    <row r="1206" spans="96:102" ht="15" customHeight="1">
      <c r="CR1206" s="103" t="s">
        <v>340</v>
      </c>
      <c r="CX1206" s="102" t="s">
        <v>30</v>
      </c>
    </row>
    <row r="1207" spans="96:102" ht="15" customHeight="1">
      <c r="CR1207" s="103" t="s">
        <v>272</v>
      </c>
      <c r="CX1207" s="102" t="s">
        <v>30</v>
      </c>
    </row>
    <row r="1208" spans="96:102" ht="15" customHeight="1">
      <c r="CR1208" s="103" t="s">
        <v>677</v>
      </c>
      <c r="CX1208" s="102" t="s">
        <v>30</v>
      </c>
    </row>
    <row r="1209" spans="96:102" ht="15" customHeight="1">
      <c r="CR1209" s="103" t="s">
        <v>279</v>
      </c>
      <c r="CX1209" s="102" t="s">
        <v>30</v>
      </c>
    </row>
    <row r="1210" spans="96:102" ht="15" customHeight="1">
      <c r="CR1210" s="103" t="s">
        <v>282</v>
      </c>
      <c r="CX1210" s="102" t="s">
        <v>30</v>
      </c>
    </row>
    <row r="1211" spans="96:102" ht="15" customHeight="1">
      <c r="CR1211" s="103" t="s">
        <v>678</v>
      </c>
      <c r="CX1211" s="102" t="s">
        <v>30</v>
      </c>
    </row>
    <row r="1212" spans="96:102" ht="15" customHeight="1">
      <c r="CR1212" s="103" t="s">
        <v>679</v>
      </c>
      <c r="CX1212" s="102" t="s">
        <v>30</v>
      </c>
    </row>
    <row r="1213" spans="96:102" ht="15" customHeight="1">
      <c r="CR1213" s="103" t="s">
        <v>615</v>
      </c>
      <c r="CX1213" s="102" t="s">
        <v>30</v>
      </c>
    </row>
    <row r="1214" spans="96:102" ht="15" customHeight="1">
      <c r="CR1214" s="103" t="s">
        <v>680</v>
      </c>
      <c r="CX1214" s="102" t="s">
        <v>30</v>
      </c>
    </row>
    <row r="1215" spans="96:102" ht="15" customHeight="1">
      <c r="CR1215" s="103" t="s">
        <v>681</v>
      </c>
      <c r="CX1215" s="102" t="s">
        <v>30</v>
      </c>
    </row>
    <row r="1216" spans="96:102" ht="15" customHeight="1">
      <c r="CR1216" s="103" t="s">
        <v>618</v>
      </c>
      <c r="CX1216" s="102" t="s">
        <v>30</v>
      </c>
    </row>
    <row r="1217" spans="96:102" ht="15" customHeight="1">
      <c r="CR1217" s="103" t="s">
        <v>682</v>
      </c>
      <c r="CX1217" s="102" t="s">
        <v>30</v>
      </c>
    </row>
    <row r="1218" spans="96:102" ht="15" customHeight="1">
      <c r="CR1218" s="103" t="s">
        <v>683</v>
      </c>
      <c r="CX1218" s="102" t="s">
        <v>30</v>
      </c>
    </row>
    <row r="1219" spans="96:102" ht="15" customHeight="1">
      <c r="CR1219" s="103" t="s">
        <v>467</v>
      </c>
      <c r="CX1219" s="102" t="s">
        <v>30</v>
      </c>
    </row>
    <row r="1220" spans="96:102" ht="15" customHeight="1">
      <c r="CR1220" s="103" t="s">
        <v>312</v>
      </c>
      <c r="CX1220" s="102" t="s">
        <v>30</v>
      </c>
    </row>
    <row r="1221" spans="96:102" ht="15" customHeight="1">
      <c r="CR1221" s="103" t="s">
        <v>468</v>
      </c>
      <c r="CX1221" s="102" t="s">
        <v>30</v>
      </c>
    </row>
    <row r="1222" spans="96:102" ht="15" customHeight="1">
      <c r="CR1222" s="103" t="s">
        <v>621</v>
      </c>
      <c r="CX1222" s="102" t="s">
        <v>30</v>
      </c>
    </row>
    <row r="1223" spans="96:102" ht="15" customHeight="1">
      <c r="CR1223" s="103" t="s">
        <v>321</v>
      </c>
      <c r="CX1223" s="102" t="s">
        <v>30</v>
      </c>
    </row>
    <row r="1224" spans="96:102" ht="15" customHeight="1">
      <c r="CR1224" s="103" t="s">
        <v>324</v>
      </c>
      <c r="CX1224" s="102" t="s">
        <v>30</v>
      </c>
    </row>
    <row r="1225" spans="96:102" ht="15" customHeight="1">
      <c r="CR1225" s="103" t="s">
        <v>327</v>
      </c>
      <c r="CX1225" s="102" t="s">
        <v>30</v>
      </c>
    </row>
    <row r="1226" spans="96:102" ht="15" customHeight="1">
      <c r="CR1226" s="103" t="s">
        <v>330</v>
      </c>
      <c r="CX1226" s="102" t="s">
        <v>30</v>
      </c>
    </row>
    <row r="1227" spans="96:102" ht="15" customHeight="1">
      <c r="CR1227" s="103" t="s">
        <v>333</v>
      </c>
      <c r="CX1227" s="102" t="s">
        <v>30</v>
      </c>
    </row>
    <row r="1228" spans="96:102" ht="15" customHeight="1">
      <c r="CR1228" s="103" t="s">
        <v>336</v>
      </c>
      <c r="CX1228" s="102" t="s">
        <v>30</v>
      </c>
    </row>
    <row r="1229" spans="96:102" ht="15" customHeight="1">
      <c r="CR1229" s="103" t="s">
        <v>340</v>
      </c>
      <c r="CX1229" s="102" t="s">
        <v>30</v>
      </c>
    </row>
    <row r="1230" spans="96:102" ht="15" customHeight="1">
      <c r="CR1230" s="103" t="s">
        <v>272</v>
      </c>
      <c r="CX1230" s="102" t="s">
        <v>30</v>
      </c>
    </row>
    <row r="1231" spans="96:102" ht="15" customHeight="1">
      <c r="CR1231" s="103" t="s">
        <v>684</v>
      </c>
      <c r="CX1231" s="102" t="s">
        <v>30</v>
      </c>
    </row>
    <row r="1232" spans="96:102" ht="15" customHeight="1">
      <c r="CR1232" s="103" t="s">
        <v>279</v>
      </c>
      <c r="CX1232" s="102" t="s">
        <v>30</v>
      </c>
    </row>
    <row r="1233" spans="96:102" ht="15" customHeight="1">
      <c r="CR1233" s="103" t="s">
        <v>282</v>
      </c>
      <c r="CX1233" s="102" t="s">
        <v>30</v>
      </c>
    </row>
    <row r="1234" spans="96:102" ht="15" customHeight="1">
      <c r="CR1234" s="103" t="s">
        <v>685</v>
      </c>
      <c r="CX1234" s="102" t="s">
        <v>30</v>
      </c>
    </row>
    <row r="1235" spans="96:102" ht="15" customHeight="1">
      <c r="CR1235" s="103" t="s">
        <v>686</v>
      </c>
      <c r="CX1235" s="102" t="s">
        <v>30</v>
      </c>
    </row>
    <row r="1236" spans="96:102" ht="15" customHeight="1">
      <c r="CR1236" s="103" t="s">
        <v>615</v>
      </c>
      <c r="CX1236" s="102" t="s">
        <v>30</v>
      </c>
    </row>
    <row r="1237" spans="96:102" ht="15" customHeight="1">
      <c r="CR1237" s="103" t="s">
        <v>294</v>
      </c>
      <c r="CX1237" s="102" t="s">
        <v>30</v>
      </c>
    </row>
    <row r="1238" spans="96:102" ht="15" customHeight="1">
      <c r="CR1238" s="103" t="s">
        <v>687</v>
      </c>
      <c r="CX1238" s="102" t="s">
        <v>30</v>
      </c>
    </row>
    <row r="1239" spans="96:102" ht="15" customHeight="1">
      <c r="CR1239" s="103" t="s">
        <v>618</v>
      </c>
      <c r="CX1239" s="102" t="s">
        <v>30</v>
      </c>
    </row>
    <row r="1240" spans="96:102" ht="15" customHeight="1">
      <c r="CR1240" s="103" t="s">
        <v>688</v>
      </c>
      <c r="CX1240" s="102" t="s">
        <v>30</v>
      </c>
    </row>
    <row r="1241" spans="96:102" ht="15" customHeight="1">
      <c r="CR1241" s="103" t="s">
        <v>689</v>
      </c>
      <c r="CX1241" s="102" t="s">
        <v>30</v>
      </c>
    </row>
    <row r="1242" spans="96:102" ht="15" customHeight="1">
      <c r="CR1242" s="103" t="s">
        <v>467</v>
      </c>
      <c r="CX1242" s="102" t="s">
        <v>30</v>
      </c>
    </row>
    <row r="1243" spans="96:102" ht="15" customHeight="1">
      <c r="CR1243" s="103" t="s">
        <v>312</v>
      </c>
      <c r="CX1243" s="102" t="s">
        <v>30</v>
      </c>
    </row>
    <row r="1244" spans="96:102" ht="15" customHeight="1">
      <c r="CR1244" s="103" t="s">
        <v>468</v>
      </c>
      <c r="CX1244" s="102" t="s">
        <v>30</v>
      </c>
    </row>
    <row r="1245" spans="96:102" ht="15" customHeight="1">
      <c r="CR1245" s="103" t="s">
        <v>621</v>
      </c>
      <c r="CX1245" s="102" t="s">
        <v>30</v>
      </c>
    </row>
    <row r="1246" spans="96:102" ht="15" customHeight="1">
      <c r="CR1246" s="103" t="s">
        <v>321</v>
      </c>
      <c r="CX1246" s="102" t="s">
        <v>30</v>
      </c>
    </row>
    <row r="1247" spans="96:102" ht="15" customHeight="1">
      <c r="CR1247" s="103" t="s">
        <v>324</v>
      </c>
      <c r="CX1247" s="102" t="s">
        <v>30</v>
      </c>
    </row>
    <row r="1248" spans="96:102" ht="15" customHeight="1">
      <c r="CR1248" s="103" t="s">
        <v>327</v>
      </c>
      <c r="CX1248" s="102" t="s">
        <v>30</v>
      </c>
    </row>
    <row r="1249" spans="96:102" ht="15" customHeight="1">
      <c r="CR1249" s="103" t="s">
        <v>330</v>
      </c>
      <c r="CX1249" s="102" t="s">
        <v>30</v>
      </c>
    </row>
    <row r="1250" spans="96:102" ht="15" customHeight="1">
      <c r="CR1250" s="103" t="s">
        <v>333</v>
      </c>
      <c r="CX1250" s="102" t="s">
        <v>30</v>
      </c>
    </row>
    <row r="1251" spans="96:102" ht="15" customHeight="1">
      <c r="CR1251" s="103" t="s">
        <v>336</v>
      </c>
      <c r="CX1251" s="102" t="s">
        <v>30</v>
      </c>
    </row>
    <row r="1252" spans="96:102" ht="15" customHeight="1">
      <c r="CR1252" s="103" t="s">
        <v>340</v>
      </c>
      <c r="CX1252" s="102" t="s">
        <v>30</v>
      </c>
    </row>
    <row r="1253" spans="96:102" ht="15" customHeight="1">
      <c r="CR1253" s="103" t="s">
        <v>272</v>
      </c>
      <c r="CX1253" s="102" t="s">
        <v>30</v>
      </c>
    </row>
    <row r="1254" spans="96:102" ht="15" customHeight="1">
      <c r="CR1254" s="103" t="s">
        <v>690</v>
      </c>
      <c r="CX1254" s="102" t="s">
        <v>30</v>
      </c>
    </row>
    <row r="1255" spans="96:102" ht="15" customHeight="1">
      <c r="CR1255" s="103" t="s">
        <v>279</v>
      </c>
      <c r="CX1255" s="102" t="s">
        <v>30</v>
      </c>
    </row>
    <row r="1256" spans="96:102" ht="15" customHeight="1">
      <c r="CR1256" s="103" t="s">
        <v>282</v>
      </c>
      <c r="CX1256" s="102" t="s">
        <v>30</v>
      </c>
    </row>
    <row r="1257" spans="96:102" ht="15" customHeight="1">
      <c r="CR1257" s="103" t="s">
        <v>691</v>
      </c>
      <c r="CX1257" s="102" t="s">
        <v>30</v>
      </c>
    </row>
    <row r="1258" spans="96:102" ht="15" customHeight="1">
      <c r="CR1258" s="103" t="s">
        <v>692</v>
      </c>
      <c r="CX1258" s="102" t="s">
        <v>30</v>
      </c>
    </row>
    <row r="1259" spans="96:102" ht="15" customHeight="1">
      <c r="CR1259" s="103" t="s">
        <v>615</v>
      </c>
      <c r="CX1259" s="102" t="s">
        <v>30</v>
      </c>
    </row>
    <row r="1260" spans="96:102" ht="15" customHeight="1">
      <c r="CR1260" s="103" t="s">
        <v>693</v>
      </c>
      <c r="CX1260" s="102" t="s">
        <v>30</v>
      </c>
    </row>
    <row r="1261" spans="96:102" ht="15" customHeight="1">
      <c r="CR1261" s="103" t="s">
        <v>694</v>
      </c>
      <c r="CX1261" s="102" t="s">
        <v>30</v>
      </c>
    </row>
    <row r="1262" spans="96:102" ht="15" customHeight="1">
      <c r="CR1262" s="103" t="s">
        <v>618</v>
      </c>
      <c r="CX1262" s="102" t="s">
        <v>30</v>
      </c>
    </row>
    <row r="1263" spans="96:102" ht="15" customHeight="1">
      <c r="CR1263" s="103" t="s">
        <v>695</v>
      </c>
      <c r="CX1263" s="102" t="s">
        <v>30</v>
      </c>
    </row>
    <row r="1264" spans="96:102" ht="15" customHeight="1">
      <c r="CR1264" s="103" t="s">
        <v>696</v>
      </c>
      <c r="CX1264" s="102" t="s">
        <v>30</v>
      </c>
    </row>
    <row r="1265" spans="96:102" ht="15" customHeight="1">
      <c r="CR1265" s="103" t="s">
        <v>467</v>
      </c>
      <c r="CX1265" s="102" t="s">
        <v>30</v>
      </c>
    </row>
    <row r="1266" spans="96:102" ht="15" customHeight="1">
      <c r="CR1266" s="103" t="s">
        <v>312</v>
      </c>
      <c r="CX1266" s="102" t="s">
        <v>30</v>
      </c>
    </row>
    <row r="1267" spans="96:102" ht="15" customHeight="1">
      <c r="CR1267" s="103" t="s">
        <v>468</v>
      </c>
      <c r="CX1267" s="102" t="s">
        <v>30</v>
      </c>
    </row>
    <row r="1268" spans="96:102" ht="15" customHeight="1">
      <c r="CR1268" s="103" t="s">
        <v>621</v>
      </c>
      <c r="CX1268" s="102" t="s">
        <v>30</v>
      </c>
    </row>
    <row r="1269" spans="96:102" ht="15" customHeight="1">
      <c r="CR1269" s="103" t="s">
        <v>321</v>
      </c>
      <c r="CX1269" s="102" t="s">
        <v>30</v>
      </c>
    </row>
    <row r="1270" spans="96:102" ht="15" customHeight="1">
      <c r="CR1270" s="103" t="s">
        <v>324</v>
      </c>
      <c r="CX1270" s="102" t="s">
        <v>30</v>
      </c>
    </row>
    <row r="1271" spans="96:102" ht="15" customHeight="1">
      <c r="CR1271" s="103" t="s">
        <v>327</v>
      </c>
      <c r="CX1271" s="102" t="s">
        <v>30</v>
      </c>
    </row>
    <row r="1272" spans="96:102" ht="15" customHeight="1">
      <c r="CR1272" s="103" t="s">
        <v>330</v>
      </c>
      <c r="CX1272" s="102" t="s">
        <v>30</v>
      </c>
    </row>
    <row r="1273" spans="96:102" ht="15" customHeight="1">
      <c r="CR1273" s="103" t="s">
        <v>333</v>
      </c>
      <c r="CX1273" s="102" t="s">
        <v>30</v>
      </c>
    </row>
    <row r="1274" spans="96:102" ht="15" customHeight="1">
      <c r="CR1274" s="103" t="s">
        <v>336</v>
      </c>
      <c r="CX1274" s="102" t="s">
        <v>30</v>
      </c>
    </row>
    <row r="1275" spans="96:102" ht="15" customHeight="1">
      <c r="CR1275" s="103" t="s">
        <v>340</v>
      </c>
      <c r="CX1275" s="102" t="s">
        <v>30</v>
      </c>
    </row>
    <row r="1276" spans="96:102" ht="15" customHeight="1">
      <c r="CR1276" s="103" t="s">
        <v>272</v>
      </c>
      <c r="CX1276" s="102" t="s">
        <v>30</v>
      </c>
    </row>
    <row r="1277" spans="96:102" ht="15" customHeight="1">
      <c r="CR1277" s="103" t="s">
        <v>697</v>
      </c>
      <c r="CX1277" s="102" t="s">
        <v>30</v>
      </c>
    </row>
    <row r="1278" spans="96:102" ht="15" customHeight="1">
      <c r="CR1278" s="103" t="s">
        <v>279</v>
      </c>
      <c r="CX1278" s="102" t="s">
        <v>30</v>
      </c>
    </row>
    <row r="1279" spans="96:102" ht="15" customHeight="1">
      <c r="CR1279" s="103" t="s">
        <v>282</v>
      </c>
      <c r="CX1279" s="102" t="s">
        <v>30</v>
      </c>
    </row>
    <row r="1280" spans="96:102" ht="15" customHeight="1">
      <c r="CR1280" s="103" t="s">
        <v>698</v>
      </c>
      <c r="CX1280" s="102" t="s">
        <v>30</v>
      </c>
    </row>
    <row r="1281" spans="96:102" ht="15" customHeight="1">
      <c r="CR1281" s="103" t="s">
        <v>699</v>
      </c>
      <c r="CX1281" s="102" t="s">
        <v>30</v>
      </c>
    </row>
    <row r="1282" spans="96:102" ht="15" customHeight="1">
      <c r="CR1282" s="103" t="s">
        <v>615</v>
      </c>
      <c r="CX1282" s="102" t="s">
        <v>30</v>
      </c>
    </row>
    <row r="1283" spans="96:102" ht="15" customHeight="1">
      <c r="CR1283" s="103" t="s">
        <v>484</v>
      </c>
      <c r="CX1283" s="102" t="s">
        <v>30</v>
      </c>
    </row>
    <row r="1284" spans="96:102" ht="15" customHeight="1">
      <c r="CR1284" s="103" t="s">
        <v>700</v>
      </c>
      <c r="CX1284" s="102" t="s">
        <v>30</v>
      </c>
    </row>
    <row r="1285" spans="96:102" ht="15" customHeight="1">
      <c r="CR1285" s="103" t="s">
        <v>618</v>
      </c>
      <c r="CX1285" s="102" t="s">
        <v>30</v>
      </c>
    </row>
    <row r="1286" spans="96:102" ht="15" customHeight="1">
      <c r="CR1286" s="103" t="s">
        <v>701</v>
      </c>
      <c r="CX1286" s="102" t="s">
        <v>30</v>
      </c>
    </row>
    <row r="1287" spans="96:102" ht="15" customHeight="1">
      <c r="CR1287" s="103" t="s">
        <v>702</v>
      </c>
      <c r="CX1287" s="102" t="s">
        <v>30</v>
      </c>
    </row>
    <row r="1288" spans="96:102" ht="15" customHeight="1">
      <c r="CR1288" s="103" t="s">
        <v>467</v>
      </c>
      <c r="CX1288" s="102" t="s">
        <v>30</v>
      </c>
    </row>
    <row r="1289" spans="96:102" ht="15" customHeight="1">
      <c r="CR1289" s="103" t="s">
        <v>312</v>
      </c>
      <c r="CX1289" s="102" t="s">
        <v>30</v>
      </c>
    </row>
    <row r="1290" spans="96:102" ht="15" customHeight="1">
      <c r="CR1290" s="103" t="s">
        <v>468</v>
      </c>
      <c r="CX1290" s="102" t="s">
        <v>30</v>
      </c>
    </row>
    <row r="1291" spans="96:102" ht="15" customHeight="1">
      <c r="CR1291" s="103" t="s">
        <v>621</v>
      </c>
      <c r="CX1291" s="102" t="s">
        <v>30</v>
      </c>
    </row>
    <row r="1292" spans="96:102" ht="15" customHeight="1">
      <c r="CR1292" s="103" t="s">
        <v>321</v>
      </c>
      <c r="CX1292" s="102" t="s">
        <v>30</v>
      </c>
    </row>
    <row r="1293" spans="96:102" ht="15" customHeight="1">
      <c r="CR1293" s="103" t="s">
        <v>324</v>
      </c>
      <c r="CX1293" s="102" t="s">
        <v>30</v>
      </c>
    </row>
    <row r="1294" spans="96:102" ht="15" customHeight="1">
      <c r="CR1294" s="103" t="s">
        <v>327</v>
      </c>
      <c r="CX1294" s="102" t="s">
        <v>30</v>
      </c>
    </row>
    <row r="1295" spans="96:102" ht="15" customHeight="1">
      <c r="CR1295" s="103" t="s">
        <v>330</v>
      </c>
      <c r="CX1295" s="102" t="s">
        <v>30</v>
      </c>
    </row>
    <row r="1296" spans="96:102" ht="15" customHeight="1">
      <c r="CR1296" s="103" t="s">
        <v>333</v>
      </c>
      <c r="CX1296" s="102" t="s">
        <v>30</v>
      </c>
    </row>
    <row r="1297" spans="96:102" ht="15" customHeight="1">
      <c r="CR1297" s="103" t="s">
        <v>336</v>
      </c>
      <c r="CX1297" s="102" t="s">
        <v>30</v>
      </c>
    </row>
    <row r="1298" spans="96:102" ht="15" customHeight="1">
      <c r="CR1298" s="103" t="s">
        <v>340</v>
      </c>
      <c r="CX1298" s="102" t="s">
        <v>30</v>
      </c>
    </row>
    <row r="1299" spans="96:102" ht="15" customHeight="1">
      <c r="CR1299" s="103" t="s">
        <v>272</v>
      </c>
      <c r="CX1299" s="102" t="s">
        <v>30</v>
      </c>
    </row>
    <row r="1300" spans="96:102" ht="15" customHeight="1">
      <c r="CR1300" s="103" t="s">
        <v>703</v>
      </c>
      <c r="CX1300" s="102" t="s">
        <v>30</v>
      </c>
    </row>
    <row r="1301" spans="96:102" ht="15" customHeight="1">
      <c r="CR1301" s="103" t="s">
        <v>279</v>
      </c>
      <c r="CX1301" s="102" t="s">
        <v>30</v>
      </c>
    </row>
    <row r="1302" spans="96:102" ht="15" customHeight="1">
      <c r="CR1302" s="103" t="s">
        <v>282</v>
      </c>
      <c r="CX1302" s="102" t="s">
        <v>30</v>
      </c>
    </row>
    <row r="1303" spans="96:102" ht="15" customHeight="1">
      <c r="CR1303" s="103" t="s">
        <v>704</v>
      </c>
      <c r="CX1303" s="102" t="s">
        <v>30</v>
      </c>
    </row>
    <row r="1304" spans="96:102" ht="15" customHeight="1">
      <c r="CR1304" s="103" t="s">
        <v>705</v>
      </c>
      <c r="CX1304" s="102" t="s">
        <v>30</v>
      </c>
    </row>
    <row r="1305" spans="96:102" ht="15" customHeight="1">
      <c r="CR1305" s="103" t="s">
        <v>615</v>
      </c>
      <c r="CX1305" s="102" t="s">
        <v>30</v>
      </c>
    </row>
    <row r="1306" spans="96:102" ht="15" customHeight="1">
      <c r="CR1306" s="103" t="s">
        <v>706</v>
      </c>
      <c r="CX1306" s="102" t="s">
        <v>30</v>
      </c>
    </row>
    <row r="1307" spans="96:102" ht="15" customHeight="1">
      <c r="CR1307" s="103" t="s">
        <v>707</v>
      </c>
      <c r="CX1307" s="102" t="s">
        <v>30</v>
      </c>
    </row>
    <row r="1308" spans="96:102" ht="15" customHeight="1">
      <c r="CR1308" s="103" t="s">
        <v>618</v>
      </c>
      <c r="CX1308" s="102" t="s">
        <v>30</v>
      </c>
    </row>
    <row r="1309" spans="96:102" ht="15" customHeight="1">
      <c r="CR1309" s="103" t="s">
        <v>708</v>
      </c>
      <c r="CX1309" s="102" t="s">
        <v>30</v>
      </c>
    </row>
    <row r="1310" spans="96:102" ht="15" customHeight="1">
      <c r="CR1310" s="103" t="s">
        <v>709</v>
      </c>
      <c r="CX1310" s="102" t="s">
        <v>30</v>
      </c>
    </row>
    <row r="1311" spans="96:102" ht="15" customHeight="1">
      <c r="CR1311" s="103" t="s">
        <v>467</v>
      </c>
      <c r="CX1311" s="102" t="s">
        <v>30</v>
      </c>
    </row>
    <row r="1312" spans="96:102" ht="15" customHeight="1">
      <c r="CR1312" s="103" t="s">
        <v>312</v>
      </c>
      <c r="CX1312" s="102" t="s">
        <v>30</v>
      </c>
    </row>
    <row r="1313" spans="96:102" ht="15" customHeight="1">
      <c r="CR1313" s="103" t="s">
        <v>468</v>
      </c>
      <c r="CX1313" s="102" t="s">
        <v>30</v>
      </c>
    </row>
    <row r="1314" spans="96:102" ht="15" customHeight="1">
      <c r="CR1314" s="103" t="s">
        <v>621</v>
      </c>
      <c r="CX1314" s="102" t="s">
        <v>30</v>
      </c>
    </row>
    <row r="1315" spans="96:102" ht="15" customHeight="1">
      <c r="CR1315" s="103" t="s">
        <v>650</v>
      </c>
      <c r="CX1315" s="102" t="s">
        <v>30</v>
      </c>
    </row>
    <row r="1316" spans="96:102" ht="15" customHeight="1">
      <c r="CR1316" s="103" t="s">
        <v>324</v>
      </c>
      <c r="CX1316" s="102" t="s">
        <v>30</v>
      </c>
    </row>
    <row r="1317" spans="96:102" ht="15" customHeight="1">
      <c r="CR1317" s="103" t="s">
        <v>553</v>
      </c>
      <c r="CX1317" s="102" t="s">
        <v>30</v>
      </c>
    </row>
    <row r="1318" spans="96:102" ht="15" customHeight="1">
      <c r="CR1318" s="103" t="s">
        <v>554</v>
      </c>
      <c r="CX1318" s="102" t="s">
        <v>30</v>
      </c>
    </row>
    <row r="1319" spans="96:102" ht="15" customHeight="1">
      <c r="CR1319" s="103" t="s">
        <v>333</v>
      </c>
      <c r="CX1319" s="102" t="s">
        <v>30</v>
      </c>
    </row>
    <row r="1320" spans="96:102" ht="15" customHeight="1">
      <c r="CR1320" s="103" t="s">
        <v>336</v>
      </c>
      <c r="CX1320" s="102" t="s">
        <v>30</v>
      </c>
    </row>
    <row r="1321" spans="96:102" ht="15" customHeight="1">
      <c r="CR1321" s="103" t="s">
        <v>340</v>
      </c>
      <c r="CX1321" s="102" t="s">
        <v>30</v>
      </c>
    </row>
    <row r="1322" spans="96:102" ht="15" customHeight="1">
      <c r="CR1322" s="103" t="s">
        <v>272</v>
      </c>
      <c r="CX1322" s="102" t="s">
        <v>30</v>
      </c>
    </row>
    <row r="1323" spans="96:102" ht="15" customHeight="1">
      <c r="CR1323" s="103" t="s">
        <v>710</v>
      </c>
      <c r="CX1323" s="102" t="s">
        <v>30</v>
      </c>
    </row>
    <row r="1324" spans="96:102" ht="15" customHeight="1">
      <c r="CR1324" s="103" t="s">
        <v>279</v>
      </c>
      <c r="CX1324" s="102" t="s">
        <v>30</v>
      </c>
    </row>
    <row r="1325" spans="96:102" ht="15" customHeight="1">
      <c r="CR1325" s="103" t="s">
        <v>282</v>
      </c>
      <c r="CX1325" s="102" t="s">
        <v>30</v>
      </c>
    </row>
    <row r="1326" spans="96:102" ht="15" customHeight="1">
      <c r="CR1326" s="103" t="s">
        <v>711</v>
      </c>
      <c r="CX1326" s="102" t="s">
        <v>30</v>
      </c>
    </row>
    <row r="1327" spans="96:102" ht="15" customHeight="1">
      <c r="CR1327" s="103" t="s">
        <v>712</v>
      </c>
      <c r="CX1327" s="102" t="s">
        <v>30</v>
      </c>
    </row>
    <row r="1328" spans="96:102" ht="15" customHeight="1">
      <c r="CR1328" s="103" t="s">
        <v>615</v>
      </c>
      <c r="CX1328" s="102" t="s">
        <v>30</v>
      </c>
    </row>
    <row r="1329" spans="96:102" ht="15" customHeight="1">
      <c r="CR1329" s="103" t="s">
        <v>713</v>
      </c>
      <c r="CX1329" s="102" t="s">
        <v>30</v>
      </c>
    </row>
    <row r="1330" spans="96:102" ht="15" customHeight="1">
      <c r="CR1330" s="103" t="s">
        <v>714</v>
      </c>
      <c r="CX1330" s="102" t="s">
        <v>30</v>
      </c>
    </row>
    <row r="1331" spans="96:102" ht="15" customHeight="1">
      <c r="CR1331" s="103" t="s">
        <v>618</v>
      </c>
      <c r="CX1331" s="102" t="s">
        <v>30</v>
      </c>
    </row>
    <row r="1332" spans="96:102" ht="15" customHeight="1">
      <c r="CR1332" s="103" t="s">
        <v>715</v>
      </c>
      <c r="CX1332" s="102" t="s">
        <v>30</v>
      </c>
    </row>
    <row r="1333" spans="96:102" ht="15" customHeight="1">
      <c r="CR1333" s="103" t="s">
        <v>716</v>
      </c>
      <c r="CX1333" s="102" t="s">
        <v>30</v>
      </c>
    </row>
    <row r="1334" spans="96:102" ht="15" customHeight="1">
      <c r="CR1334" s="103" t="s">
        <v>467</v>
      </c>
      <c r="CX1334" s="102" t="s">
        <v>30</v>
      </c>
    </row>
    <row r="1335" spans="96:102" ht="15" customHeight="1">
      <c r="CR1335" s="103" t="s">
        <v>312</v>
      </c>
      <c r="CX1335" s="102" t="s">
        <v>30</v>
      </c>
    </row>
    <row r="1336" spans="96:102" ht="15" customHeight="1">
      <c r="CR1336" s="103" t="s">
        <v>468</v>
      </c>
      <c r="CX1336" s="102" t="s">
        <v>30</v>
      </c>
    </row>
    <row r="1337" spans="96:102" ht="15" customHeight="1">
      <c r="CR1337" s="103" t="s">
        <v>621</v>
      </c>
      <c r="CX1337" s="102" t="s">
        <v>30</v>
      </c>
    </row>
    <row r="1338" spans="96:102" ht="15" customHeight="1">
      <c r="CR1338" s="103" t="s">
        <v>321</v>
      </c>
      <c r="CX1338" s="102" t="s">
        <v>30</v>
      </c>
    </row>
    <row r="1339" spans="96:102" ht="15" customHeight="1">
      <c r="CR1339" s="103" t="s">
        <v>324</v>
      </c>
      <c r="CX1339" s="102" t="s">
        <v>30</v>
      </c>
    </row>
    <row r="1340" spans="96:102" ht="15" customHeight="1">
      <c r="CR1340" s="103" t="s">
        <v>327</v>
      </c>
      <c r="CX1340" s="102" t="s">
        <v>30</v>
      </c>
    </row>
    <row r="1341" spans="96:102" ht="15" customHeight="1">
      <c r="CR1341" s="103" t="s">
        <v>330</v>
      </c>
      <c r="CX1341" s="102" t="s">
        <v>30</v>
      </c>
    </row>
    <row r="1342" spans="96:102" ht="15" customHeight="1">
      <c r="CR1342" s="103" t="s">
        <v>333</v>
      </c>
      <c r="CX1342" s="102" t="s">
        <v>30</v>
      </c>
    </row>
    <row r="1343" spans="96:102" ht="15" customHeight="1">
      <c r="CR1343" s="103" t="s">
        <v>336</v>
      </c>
      <c r="CX1343" s="102" t="s">
        <v>30</v>
      </c>
    </row>
    <row r="1344" spans="96:102" ht="15" customHeight="1">
      <c r="CR1344" s="103" t="s">
        <v>340</v>
      </c>
      <c r="CX1344" s="102" t="s">
        <v>30</v>
      </c>
    </row>
    <row r="1345" spans="96:102" ht="15" customHeight="1">
      <c r="CR1345" s="103" t="s">
        <v>272</v>
      </c>
      <c r="CX1345" s="102" t="s">
        <v>30</v>
      </c>
    </row>
    <row r="1346" spans="96:102" ht="15" customHeight="1">
      <c r="CR1346" s="103" t="s">
        <v>717</v>
      </c>
      <c r="CX1346" s="102" t="s">
        <v>30</v>
      </c>
    </row>
    <row r="1347" spans="96:102" ht="15" customHeight="1">
      <c r="CR1347" s="103" t="s">
        <v>279</v>
      </c>
      <c r="CX1347" s="102" t="s">
        <v>30</v>
      </c>
    </row>
    <row r="1348" spans="96:102" ht="15" customHeight="1">
      <c r="CR1348" s="103" t="s">
        <v>282</v>
      </c>
      <c r="CX1348" s="102" t="s">
        <v>30</v>
      </c>
    </row>
    <row r="1349" spans="96:102" ht="15" customHeight="1">
      <c r="CR1349" s="103" t="s">
        <v>718</v>
      </c>
      <c r="CX1349" s="102" t="s">
        <v>30</v>
      </c>
    </row>
    <row r="1350" spans="96:102" ht="15" customHeight="1">
      <c r="CR1350" s="103" t="s">
        <v>719</v>
      </c>
      <c r="CX1350" s="102" t="s">
        <v>30</v>
      </c>
    </row>
    <row r="1351" spans="96:102" ht="15" customHeight="1">
      <c r="CR1351" s="103" t="s">
        <v>615</v>
      </c>
      <c r="CX1351" s="102" t="s">
        <v>30</v>
      </c>
    </row>
    <row r="1352" spans="96:102" ht="15" customHeight="1">
      <c r="CR1352" s="103" t="s">
        <v>720</v>
      </c>
      <c r="CX1352" s="102" t="s">
        <v>30</v>
      </c>
    </row>
    <row r="1353" spans="96:102" ht="15" customHeight="1">
      <c r="CR1353" s="103" t="s">
        <v>721</v>
      </c>
      <c r="CX1353" s="102" t="s">
        <v>30</v>
      </c>
    </row>
    <row r="1354" spans="96:102" ht="15" customHeight="1">
      <c r="CR1354" s="103" t="s">
        <v>618</v>
      </c>
      <c r="CX1354" s="102" t="s">
        <v>30</v>
      </c>
    </row>
    <row r="1355" spans="96:102" ht="15" customHeight="1">
      <c r="CR1355" s="103" t="s">
        <v>722</v>
      </c>
      <c r="CX1355" s="102" t="s">
        <v>30</v>
      </c>
    </row>
    <row r="1356" spans="96:102" ht="15" customHeight="1">
      <c r="CR1356" s="103" t="s">
        <v>723</v>
      </c>
      <c r="CX1356" s="102" t="s">
        <v>30</v>
      </c>
    </row>
    <row r="1357" spans="96:102" ht="15" customHeight="1">
      <c r="CR1357" s="103" t="s">
        <v>467</v>
      </c>
      <c r="CX1357" s="102" t="s">
        <v>30</v>
      </c>
    </row>
    <row r="1358" spans="96:102" ht="15" customHeight="1">
      <c r="CR1358" s="103" t="s">
        <v>312</v>
      </c>
      <c r="CX1358" s="102" t="s">
        <v>30</v>
      </c>
    </row>
    <row r="1359" spans="96:102" ht="15" customHeight="1">
      <c r="CR1359" s="103" t="s">
        <v>468</v>
      </c>
      <c r="CX1359" s="102" t="s">
        <v>30</v>
      </c>
    </row>
    <row r="1360" spans="96:102" ht="15" customHeight="1">
      <c r="CR1360" s="103" t="s">
        <v>621</v>
      </c>
      <c r="CX1360" s="102" t="s">
        <v>30</v>
      </c>
    </row>
    <row r="1361" spans="96:102" ht="15" customHeight="1">
      <c r="CR1361" s="103" t="s">
        <v>321</v>
      </c>
      <c r="CX1361" s="102" t="s">
        <v>30</v>
      </c>
    </row>
    <row r="1362" spans="96:102" ht="15" customHeight="1">
      <c r="CR1362" s="103" t="s">
        <v>324</v>
      </c>
      <c r="CX1362" s="102" t="s">
        <v>30</v>
      </c>
    </row>
    <row r="1363" spans="96:102" ht="15" customHeight="1">
      <c r="CR1363" s="103" t="s">
        <v>327</v>
      </c>
      <c r="CX1363" s="102" t="s">
        <v>30</v>
      </c>
    </row>
    <row r="1364" spans="96:102" ht="15" customHeight="1">
      <c r="CR1364" s="103" t="s">
        <v>330</v>
      </c>
      <c r="CX1364" s="102" t="s">
        <v>30</v>
      </c>
    </row>
    <row r="1365" spans="96:102" ht="15" customHeight="1">
      <c r="CR1365" s="103" t="s">
        <v>333</v>
      </c>
      <c r="CX1365" s="102" t="s">
        <v>30</v>
      </c>
    </row>
    <row r="1366" spans="96:102" ht="15" customHeight="1">
      <c r="CR1366" s="103" t="s">
        <v>336</v>
      </c>
      <c r="CX1366" s="102" t="s">
        <v>30</v>
      </c>
    </row>
    <row r="1367" spans="96:102" ht="15" customHeight="1">
      <c r="CR1367" s="103" t="s">
        <v>340</v>
      </c>
      <c r="CX1367" s="102" t="s">
        <v>30</v>
      </c>
    </row>
    <row r="1368" spans="96:102" ht="15" customHeight="1">
      <c r="CR1368" s="103" t="s">
        <v>272</v>
      </c>
      <c r="CX1368" s="102" t="s">
        <v>30</v>
      </c>
    </row>
    <row r="1369" spans="96:102" ht="15" customHeight="1">
      <c r="CR1369" s="103" t="s">
        <v>724</v>
      </c>
      <c r="CX1369" s="102" t="s">
        <v>30</v>
      </c>
    </row>
    <row r="1370" spans="96:102" ht="15" customHeight="1">
      <c r="CR1370" s="103" t="s">
        <v>279</v>
      </c>
      <c r="CX1370" s="102" t="s">
        <v>30</v>
      </c>
    </row>
    <row r="1371" spans="96:102" ht="15" customHeight="1">
      <c r="CR1371" s="103" t="s">
        <v>282</v>
      </c>
      <c r="CX1371" s="102" t="s">
        <v>30</v>
      </c>
    </row>
    <row r="1372" spans="96:102" ht="15" customHeight="1">
      <c r="CR1372" s="103" t="s">
        <v>725</v>
      </c>
      <c r="CX1372" s="102" t="s">
        <v>30</v>
      </c>
    </row>
    <row r="1373" spans="96:102" ht="15" customHeight="1">
      <c r="CR1373" s="103" t="s">
        <v>726</v>
      </c>
      <c r="CX1373" s="102" t="s">
        <v>30</v>
      </c>
    </row>
    <row r="1374" spans="96:102" ht="15" customHeight="1">
      <c r="CR1374" s="103" t="s">
        <v>615</v>
      </c>
      <c r="CX1374" s="102" t="s">
        <v>30</v>
      </c>
    </row>
    <row r="1375" spans="96:102" ht="15" customHeight="1">
      <c r="CR1375" s="103" t="s">
        <v>727</v>
      </c>
      <c r="CX1375" s="102" t="s">
        <v>30</v>
      </c>
    </row>
    <row r="1376" spans="96:102" ht="15" customHeight="1">
      <c r="CR1376" s="103" t="s">
        <v>728</v>
      </c>
      <c r="CX1376" s="102" t="s">
        <v>30</v>
      </c>
    </row>
    <row r="1377" spans="96:102" ht="15" customHeight="1">
      <c r="CR1377" s="103" t="s">
        <v>618</v>
      </c>
      <c r="CX1377" s="102" t="s">
        <v>30</v>
      </c>
    </row>
    <row r="1378" spans="96:102" ht="15" customHeight="1">
      <c r="CR1378" s="103" t="s">
        <v>729</v>
      </c>
      <c r="CX1378" s="102" t="s">
        <v>30</v>
      </c>
    </row>
    <row r="1379" spans="96:102" ht="15" customHeight="1">
      <c r="CR1379" s="103" t="s">
        <v>730</v>
      </c>
      <c r="CX1379" s="102" t="s">
        <v>30</v>
      </c>
    </row>
    <row r="1380" spans="96:102" ht="15" customHeight="1">
      <c r="CR1380" s="103" t="s">
        <v>467</v>
      </c>
      <c r="CX1380" s="102" t="s">
        <v>30</v>
      </c>
    </row>
    <row r="1381" spans="96:102" ht="15" customHeight="1">
      <c r="CR1381" s="103" t="s">
        <v>312</v>
      </c>
      <c r="CX1381" s="102" t="s">
        <v>30</v>
      </c>
    </row>
    <row r="1382" spans="96:102" ht="15" customHeight="1">
      <c r="CR1382" s="103" t="s">
        <v>468</v>
      </c>
      <c r="CX1382" s="102" t="s">
        <v>30</v>
      </c>
    </row>
    <row r="1383" spans="96:102" ht="15" customHeight="1">
      <c r="CR1383" s="103" t="s">
        <v>621</v>
      </c>
      <c r="CX1383" s="102" t="s">
        <v>30</v>
      </c>
    </row>
    <row r="1384" spans="96:102" ht="15" customHeight="1">
      <c r="CR1384" s="103" t="s">
        <v>321</v>
      </c>
      <c r="CX1384" s="102" t="s">
        <v>30</v>
      </c>
    </row>
    <row r="1385" spans="96:102" ht="15" customHeight="1">
      <c r="CR1385" s="103" t="s">
        <v>324</v>
      </c>
      <c r="CX1385" s="102" t="s">
        <v>30</v>
      </c>
    </row>
    <row r="1386" spans="96:102" ht="15" customHeight="1">
      <c r="CR1386" s="103" t="s">
        <v>327</v>
      </c>
      <c r="CX1386" s="102" t="s">
        <v>30</v>
      </c>
    </row>
    <row r="1387" spans="96:102" ht="15" customHeight="1">
      <c r="CR1387" s="103" t="s">
        <v>330</v>
      </c>
      <c r="CX1387" s="102" t="s">
        <v>30</v>
      </c>
    </row>
    <row r="1388" spans="96:102" ht="15" customHeight="1">
      <c r="CR1388" s="103" t="s">
        <v>333</v>
      </c>
      <c r="CX1388" s="102" t="s">
        <v>30</v>
      </c>
    </row>
    <row r="1389" spans="96:102" ht="15" customHeight="1">
      <c r="CR1389" s="103" t="s">
        <v>336</v>
      </c>
      <c r="CX1389" s="102" t="s">
        <v>30</v>
      </c>
    </row>
    <row r="1390" spans="96:102" ht="15" customHeight="1">
      <c r="CR1390" s="103" t="s">
        <v>340</v>
      </c>
      <c r="CX1390" s="102" t="s">
        <v>30</v>
      </c>
    </row>
    <row r="1391" spans="96:102" ht="15" customHeight="1">
      <c r="CR1391" s="103" t="s">
        <v>272</v>
      </c>
      <c r="CX1391" s="102" t="s">
        <v>30</v>
      </c>
    </row>
    <row r="1392" spans="96:102" ht="15" customHeight="1">
      <c r="CR1392" s="103" t="s">
        <v>731</v>
      </c>
      <c r="CX1392" s="102" t="s">
        <v>30</v>
      </c>
    </row>
    <row r="1393" spans="96:102" ht="15" customHeight="1">
      <c r="CR1393" s="103" t="s">
        <v>279</v>
      </c>
      <c r="CX1393" s="102" t="s">
        <v>30</v>
      </c>
    </row>
    <row r="1394" spans="96:102" ht="15" customHeight="1">
      <c r="CR1394" s="103" t="s">
        <v>282</v>
      </c>
      <c r="CX1394" s="102" t="s">
        <v>30</v>
      </c>
    </row>
    <row r="1395" spans="96:102" ht="15" customHeight="1">
      <c r="CR1395" s="103" t="s">
        <v>732</v>
      </c>
      <c r="CX1395" s="102" t="s">
        <v>30</v>
      </c>
    </row>
    <row r="1396" spans="96:102" ht="15" customHeight="1">
      <c r="CR1396" s="103" t="s">
        <v>733</v>
      </c>
      <c r="CX1396" s="102" t="s">
        <v>30</v>
      </c>
    </row>
    <row r="1397" spans="96:102" ht="15" customHeight="1">
      <c r="CR1397" s="103" t="s">
        <v>615</v>
      </c>
      <c r="CX1397" s="102" t="s">
        <v>30</v>
      </c>
    </row>
    <row r="1398" spans="96:102" ht="15" customHeight="1">
      <c r="CR1398" s="103" t="s">
        <v>734</v>
      </c>
      <c r="CX1398" s="102" t="s">
        <v>30</v>
      </c>
    </row>
    <row r="1399" spans="96:102" ht="15" customHeight="1">
      <c r="CR1399" s="103" t="s">
        <v>735</v>
      </c>
      <c r="CX1399" s="102" t="s">
        <v>30</v>
      </c>
    </row>
    <row r="1400" spans="96:102" ht="15" customHeight="1">
      <c r="CR1400" s="103" t="s">
        <v>618</v>
      </c>
      <c r="CX1400" s="102" t="s">
        <v>30</v>
      </c>
    </row>
    <row r="1401" spans="96:102" ht="15" customHeight="1">
      <c r="CR1401" s="103" t="s">
        <v>736</v>
      </c>
      <c r="CX1401" s="102" t="s">
        <v>30</v>
      </c>
    </row>
    <row r="1402" spans="96:102" ht="15" customHeight="1">
      <c r="CR1402" s="103" t="s">
        <v>737</v>
      </c>
      <c r="CX1402" s="102" t="s">
        <v>30</v>
      </c>
    </row>
    <row r="1403" spans="96:102" ht="15" customHeight="1">
      <c r="CR1403" s="103" t="s">
        <v>467</v>
      </c>
      <c r="CX1403" s="102" t="s">
        <v>30</v>
      </c>
    </row>
    <row r="1404" spans="96:102" ht="15" customHeight="1">
      <c r="CR1404" s="103" t="s">
        <v>312</v>
      </c>
      <c r="CX1404" s="102" t="s">
        <v>30</v>
      </c>
    </row>
    <row r="1405" spans="96:102" ht="15" customHeight="1">
      <c r="CR1405" s="103" t="s">
        <v>468</v>
      </c>
      <c r="CX1405" s="102" t="s">
        <v>30</v>
      </c>
    </row>
    <row r="1406" spans="96:102" ht="15" customHeight="1">
      <c r="CR1406" s="103" t="s">
        <v>621</v>
      </c>
      <c r="CX1406" s="102" t="s">
        <v>30</v>
      </c>
    </row>
    <row r="1407" spans="96:102" ht="15" customHeight="1">
      <c r="CR1407" s="103" t="s">
        <v>321</v>
      </c>
      <c r="CX1407" s="102" t="s">
        <v>30</v>
      </c>
    </row>
    <row r="1408" spans="96:102" ht="15" customHeight="1">
      <c r="CR1408" s="103" t="s">
        <v>324</v>
      </c>
      <c r="CX1408" s="102" t="s">
        <v>30</v>
      </c>
    </row>
    <row r="1409" spans="96:102" ht="15" customHeight="1">
      <c r="CR1409" s="103" t="s">
        <v>327</v>
      </c>
      <c r="CX1409" s="102" t="s">
        <v>30</v>
      </c>
    </row>
    <row r="1410" spans="96:102" ht="15" customHeight="1">
      <c r="CR1410" s="103" t="s">
        <v>330</v>
      </c>
      <c r="CX1410" s="102" t="s">
        <v>30</v>
      </c>
    </row>
    <row r="1411" spans="96:102" ht="15" customHeight="1">
      <c r="CR1411" s="103" t="s">
        <v>333</v>
      </c>
      <c r="CX1411" s="102" t="s">
        <v>30</v>
      </c>
    </row>
    <row r="1412" spans="96:102" ht="15" customHeight="1">
      <c r="CR1412" s="103" t="s">
        <v>336</v>
      </c>
      <c r="CX1412" s="102" t="s">
        <v>30</v>
      </c>
    </row>
    <row r="1413" spans="96:102" ht="15" customHeight="1">
      <c r="CR1413" s="103" t="s">
        <v>340</v>
      </c>
      <c r="CX1413" s="102" t="s">
        <v>30</v>
      </c>
    </row>
    <row r="1414" spans="96:102" ht="15" customHeight="1">
      <c r="CR1414" s="103" t="s">
        <v>272</v>
      </c>
      <c r="CX1414" s="102" t="s">
        <v>30</v>
      </c>
    </row>
    <row r="1415" spans="96:102" ht="15" customHeight="1">
      <c r="CR1415" s="103" t="s">
        <v>738</v>
      </c>
      <c r="CX1415" s="102" t="s">
        <v>30</v>
      </c>
    </row>
    <row r="1416" spans="96:102" ht="15" customHeight="1">
      <c r="CR1416" s="103" t="s">
        <v>279</v>
      </c>
      <c r="CX1416" s="102" t="s">
        <v>30</v>
      </c>
    </row>
    <row r="1417" spans="96:102" ht="15" customHeight="1">
      <c r="CR1417" s="103" t="s">
        <v>282</v>
      </c>
      <c r="CX1417" s="102" t="s">
        <v>30</v>
      </c>
    </row>
    <row r="1418" spans="96:102" ht="15" customHeight="1">
      <c r="CR1418" s="103" t="s">
        <v>739</v>
      </c>
      <c r="CX1418" s="102" t="s">
        <v>30</v>
      </c>
    </row>
    <row r="1419" spans="96:102" ht="15" customHeight="1">
      <c r="CR1419" s="103" t="s">
        <v>740</v>
      </c>
      <c r="CX1419" s="102" t="s">
        <v>30</v>
      </c>
    </row>
    <row r="1420" spans="96:102" ht="15" customHeight="1">
      <c r="CR1420" s="103" t="s">
        <v>615</v>
      </c>
      <c r="CX1420" s="102" t="s">
        <v>30</v>
      </c>
    </row>
    <row r="1421" spans="96:102" ht="15" customHeight="1">
      <c r="CR1421" s="103" t="s">
        <v>741</v>
      </c>
      <c r="CX1421" s="102" t="s">
        <v>30</v>
      </c>
    </row>
    <row r="1422" spans="96:102" ht="15" customHeight="1">
      <c r="CR1422" s="103" t="s">
        <v>742</v>
      </c>
      <c r="CX1422" s="102" t="s">
        <v>30</v>
      </c>
    </row>
    <row r="1423" spans="96:102" ht="15" customHeight="1">
      <c r="CR1423" s="103" t="s">
        <v>618</v>
      </c>
      <c r="CX1423" s="102" t="s">
        <v>30</v>
      </c>
    </row>
    <row r="1424" spans="96:102" ht="15" customHeight="1">
      <c r="CR1424" s="103" t="s">
        <v>743</v>
      </c>
      <c r="CX1424" s="102" t="s">
        <v>30</v>
      </c>
    </row>
    <row r="1425" spans="96:102" ht="15" customHeight="1">
      <c r="CR1425" s="103" t="s">
        <v>744</v>
      </c>
      <c r="CX1425" s="102" t="s">
        <v>30</v>
      </c>
    </row>
    <row r="1426" spans="96:102" ht="15" customHeight="1">
      <c r="CR1426" s="103" t="s">
        <v>467</v>
      </c>
      <c r="CX1426" s="102" t="s">
        <v>30</v>
      </c>
    </row>
    <row r="1427" spans="96:102" ht="15" customHeight="1">
      <c r="CR1427" s="103" t="s">
        <v>312</v>
      </c>
      <c r="CX1427" s="102" t="s">
        <v>30</v>
      </c>
    </row>
    <row r="1428" spans="96:102" ht="15" customHeight="1">
      <c r="CR1428" s="103" t="s">
        <v>468</v>
      </c>
      <c r="CX1428" s="102" t="s">
        <v>30</v>
      </c>
    </row>
    <row r="1429" spans="96:102" ht="15" customHeight="1">
      <c r="CR1429" s="103" t="s">
        <v>621</v>
      </c>
      <c r="CX1429" s="102" t="s">
        <v>30</v>
      </c>
    </row>
    <row r="1430" spans="96:102" ht="15" customHeight="1">
      <c r="CR1430" s="103" t="s">
        <v>321</v>
      </c>
      <c r="CX1430" s="102" t="s">
        <v>30</v>
      </c>
    </row>
    <row r="1431" spans="96:102" ht="15" customHeight="1">
      <c r="CR1431" s="103" t="s">
        <v>324</v>
      </c>
      <c r="CX1431" s="102" t="s">
        <v>30</v>
      </c>
    </row>
    <row r="1432" spans="96:102" ht="15" customHeight="1">
      <c r="CR1432" s="103" t="s">
        <v>327</v>
      </c>
      <c r="CX1432" s="102" t="s">
        <v>30</v>
      </c>
    </row>
    <row r="1433" spans="96:102" ht="15" customHeight="1">
      <c r="CR1433" s="103" t="s">
        <v>330</v>
      </c>
      <c r="CX1433" s="102" t="s">
        <v>30</v>
      </c>
    </row>
    <row r="1434" spans="96:102" ht="15" customHeight="1">
      <c r="CR1434" s="103" t="s">
        <v>333</v>
      </c>
      <c r="CX1434" s="102" t="s">
        <v>30</v>
      </c>
    </row>
    <row r="1435" spans="96:102" ht="15" customHeight="1">
      <c r="CR1435" s="103" t="s">
        <v>336</v>
      </c>
      <c r="CX1435" s="102" t="s">
        <v>30</v>
      </c>
    </row>
    <row r="1436" spans="96:102" ht="15" customHeight="1">
      <c r="CR1436" s="103" t="s">
        <v>340</v>
      </c>
      <c r="CX1436" s="102" t="s">
        <v>30</v>
      </c>
    </row>
    <row r="1437" spans="96:102" ht="15" customHeight="1">
      <c r="CR1437" s="103" t="s">
        <v>272</v>
      </c>
      <c r="CX1437" s="102" t="s">
        <v>30</v>
      </c>
    </row>
    <row r="1438" spans="96:102" ht="15" customHeight="1">
      <c r="CR1438" s="103" t="s">
        <v>745</v>
      </c>
      <c r="CX1438" s="102" t="s">
        <v>30</v>
      </c>
    </row>
    <row r="1439" spans="96:102" ht="15" customHeight="1">
      <c r="CR1439" s="103" t="s">
        <v>279</v>
      </c>
      <c r="CX1439" s="102" t="s">
        <v>30</v>
      </c>
    </row>
    <row r="1440" spans="96:102" ht="15" customHeight="1">
      <c r="CR1440" s="103" t="s">
        <v>282</v>
      </c>
      <c r="CX1440" s="102" t="s">
        <v>30</v>
      </c>
    </row>
    <row r="1441" spans="96:102" ht="15" customHeight="1">
      <c r="CR1441" s="103" t="s">
        <v>746</v>
      </c>
      <c r="CX1441" s="102" t="s">
        <v>30</v>
      </c>
    </row>
    <row r="1442" spans="96:102" ht="15" customHeight="1">
      <c r="CR1442" s="103" t="s">
        <v>747</v>
      </c>
      <c r="CX1442" s="102" t="s">
        <v>30</v>
      </c>
    </row>
    <row r="1443" spans="96:102" ht="15" customHeight="1">
      <c r="CR1443" s="103" t="s">
        <v>615</v>
      </c>
      <c r="CX1443" s="102" t="s">
        <v>30</v>
      </c>
    </row>
    <row r="1444" spans="96:102" ht="15" customHeight="1">
      <c r="CR1444" s="103" t="s">
        <v>595</v>
      </c>
      <c r="CX1444" s="102" t="s">
        <v>30</v>
      </c>
    </row>
    <row r="1445" spans="96:102" ht="15" customHeight="1">
      <c r="CR1445" s="103" t="s">
        <v>748</v>
      </c>
      <c r="CX1445" s="102" t="s">
        <v>30</v>
      </c>
    </row>
    <row r="1446" spans="96:102" ht="15" customHeight="1">
      <c r="CR1446" s="103" t="s">
        <v>618</v>
      </c>
      <c r="CX1446" s="102" t="s">
        <v>30</v>
      </c>
    </row>
    <row r="1447" spans="96:102" ht="15" customHeight="1">
      <c r="CR1447" s="103" t="s">
        <v>749</v>
      </c>
      <c r="CX1447" s="102" t="s">
        <v>30</v>
      </c>
    </row>
    <row r="1448" spans="96:102" ht="15" customHeight="1">
      <c r="CR1448" s="103" t="s">
        <v>750</v>
      </c>
      <c r="CX1448" s="102" t="s">
        <v>30</v>
      </c>
    </row>
    <row r="1449" spans="96:102" ht="15" customHeight="1">
      <c r="CR1449" s="103" t="s">
        <v>467</v>
      </c>
      <c r="CX1449" s="102" t="s">
        <v>30</v>
      </c>
    </row>
    <row r="1450" spans="96:102" ht="15" customHeight="1">
      <c r="CR1450" s="103" t="s">
        <v>312</v>
      </c>
      <c r="CX1450" s="102" t="s">
        <v>30</v>
      </c>
    </row>
    <row r="1451" spans="96:102" ht="15" customHeight="1">
      <c r="CR1451" s="103" t="s">
        <v>468</v>
      </c>
      <c r="CX1451" s="102" t="s">
        <v>30</v>
      </c>
    </row>
    <row r="1452" spans="96:102" ht="15" customHeight="1">
      <c r="CR1452" s="103" t="s">
        <v>621</v>
      </c>
      <c r="CX1452" s="102" t="s">
        <v>30</v>
      </c>
    </row>
    <row r="1453" spans="96:102" ht="15" customHeight="1">
      <c r="CR1453" s="103" t="s">
        <v>321</v>
      </c>
      <c r="CX1453" s="102" t="s">
        <v>30</v>
      </c>
    </row>
    <row r="1454" spans="96:102" ht="15" customHeight="1">
      <c r="CR1454" s="103" t="s">
        <v>324</v>
      </c>
      <c r="CX1454" s="102" t="s">
        <v>30</v>
      </c>
    </row>
    <row r="1455" spans="96:102" ht="15" customHeight="1">
      <c r="CR1455" s="103" t="s">
        <v>327</v>
      </c>
      <c r="CX1455" s="102" t="s">
        <v>30</v>
      </c>
    </row>
    <row r="1456" spans="96:102" ht="15" customHeight="1">
      <c r="CR1456" s="103" t="s">
        <v>330</v>
      </c>
      <c r="CX1456" s="102" t="s">
        <v>30</v>
      </c>
    </row>
    <row r="1457" spans="96:102" ht="15" customHeight="1">
      <c r="CR1457" s="103" t="s">
        <v>333</v>
      </c>
      <c r="CX1457" s="102" t="s">
        <v>30</v>
      </c>
    </row>
    <row r="1458" spans="96:102" ht="15" customHeight="1">
      <c r="CR1458" s="103" t="s">
        <v>336</v>
      </c>
      <c r="CX1458" s="102" t="s">
        <v>30</v>
      </c>
    </row>
    <row r="1459" spans="96:102" ht="15" customHeight="1">
      <c r="CR1459" s="103" t="s">
        <v>340</v>
      </c>
      <c r="CX1459" s="102" t="s">
        <v>30</v>
      </c>
    </row>
    <row r="1460" spans="96:102" ht="15" customHeight="1">
      <c r="CR1460" s="103" t="s">
        <v>272</v>
      </c>
      <c r="CX1460" s="102" t="s">
        <v>30</v>
      </c>
    </row>
    <row r="1461" spans="96:102" ht="15" customHeight="1">
      <c r="CR1461" s="103" t="s">
        <v>751</v>
      </c>
      <c r="CX1461" s="102" t="s">
        <v>30</v>
      </c>
    </row>
    <row r="1462" spans="96:102" ht="15" customHeight="1">
      <c r="CR1462" s="103" t="s">
        <v>279</v>
      </c>
      <c r="CX1462" s="102" t="s">
        <v>30</v>
      </c>
    </row>
    <row r="1463" spans="96:102" ht="15" customHeight="1">
      <c r="CR1463" s="103" t="s">
        <v>282</v>
      </c>
      <c r="CX1463" s="102" t="s">
        <v>30</v>
      </c>
    </row>
    <row r="1464" spans="96:102" ht="15" customHeight="1">
      <c r="CR1464" s="103" t="s">
        <v>752</v>
      </c>
      <c r="CX1464" s="102" t="s">
        <v>30</v>
      </c>
    </row>
    <row r="1465" spans="96:102" ht="15" customHeight="1">
      <c r="CR1465" s="103" t="s">
        <v>753</v>
      </c>
      <c r="CX1465" s="102" t="s">
        <v>30</v>
      </c>
    </row>
    <row r="1466" spans="96:102" ht="15" customHeight="1">
      <c r="CR1466" s="103" t="s">
        <v>615</v>
      </c>
      <c r="CX1466" s="102" t="s">
        <v>30</v>
      </c>
    </row>
    <row r="1467" spans="96:102" ht="15" customHeight="1">
      <c r="CR1467" s="103" t="s">
        <v>754</v>
      </c>
      <c r="CX1467" s="102" t="s">
        <v>30</v>
      </c>
    </row>
    <row r="1468" spans="96:102" ht="15" customHeight="1">
      <c r="CR1468" s="103" t="s">
        <v>755</v>
      </c>
      <c r="CX1468" s="102" t="s">
        <v>30</v>
      </c>
    </row>
    <row r="1469" spans="96:102" ht="15" customHeight="1">
      <c r="CR1469" s="103" t="s">
        <v>618</v>
      </c>
      <c r="CX1469" s="102" t="s">
        <v>30</v>
      </c>
    </row>
    <row r="1470" spans="96:102" ht="15" customHeight="1">
      <c r="CR1470" s="103" t="s">
        <v>756</v>
      </c>
      <c r="CX1470" s="102" t="s">
        <v>30</v>
      </c>
    </row>
    <row r="1471" spans="96:102" ht="15" customHeight="1">
      <c r="CR1471" s="103" t="s">
        <v>757</v>
      </c>
      <c r="CX1471" s="102" t="s">
        <v>30</v>
      </c>
    </row>
    <row r="1472" spans="96:102" ht="15" customHeight="1">
      <c r="CR1472" s="103" t="s">
        <v>467</v>
      </c>
      <c r="CX1472" s="102" t="s">
        <v>30</v>
      </c>
    </row>
    <row r="1473" spans="96:102" ht="15" customHeight="1">
      <c r="CR1473" s="103" t="s">
        <v>312</v>
      </c>
      <c r="CX1473" s="102" t="s">
        <v>30</v>
      </c>
    </row>
    <row r="1474" spans="96:102" ht="15" customHeight="1">
      <c r="CR1474" s="103" t="s">
        <v>468</v>
      </c>
      <c r="CX1474" s="102" t="s">
        <v>30</v>
      </c>
    </row>
    <row r="1475" spans="96:102" ht="15" customHeight="1">
      <c r="CR1475" s="103" t="s">
        <v>621</v>
      </c>
      <c r="CX1475" s="102" t="s">
        <v>30</v>
      </c>
    </row>
    <row r="1476" spans="96:102" ht="15" customHeight="1">
      <c r="CR1476" s="103" t="s">
        <v>321</v>
      </c>
      <c r="CX1476" s="102" t="s">
        <v>30</v>
      </c>
    </row>
    <row r="1477" spans="96:102" ht="15" customHeight="1">
      <c r="CR1477" s="103" t="s">
        <v>324</v>
      </c>
      <c r="CX1477" s="102" t="s">
        <v>30</v>
      </c>
    </row>
    <row r="1478" spans="96:102" ht="15" customHeight="1">
      <c r="CR1478" s="103" t="s">
        <v>327</v>
      </c>
      <c r="CX1478" s="102" t="s">
        <v>30</v>
      </c>
    </row>
    <row r="1479" spans="96:102" ht="15" customHeight="1">
      <c r="CR1479" s="103" t="s">
        <v>330</v>
      </c>
      <c r="CX1479" s="102" t="s">
        <v>30</v>
      </c>
    </row>
    <row r="1480" spans="96:102" ht="15" customHeight="1">
      <c r="CR1480" s="103" t="s">
        <v>333</v>
      </c>
      <c r="CX1480" s="102" t="s">
        <v>30</v>
      </c>
    </row>
    <row r="1481" spans="96:102" ht="15" customHeight="1">
      <c r="CR1481" s="103" t="s">
        <v>336</v>
      </c>
      <c r="CX1481" s="102" t="s">
        <v>30</v>
      </c>
    </row>
    <row r="1482" spans="96:102" ht="15" customHeight="1">
      <c r="CR1482" s="103" t="s">
        <v>340</v>
      </c>
      <c r="CX1482" s="102" t="s">
        <v>30</v>
      </c>
    </row>
    <row r="1483" spans="96:102" ht="15" customHeight="1">
      <c r="CR1483" s="103" t="s">
        <v>272</v>
      </c>
      <c r="CX1483" s="102" t="s">
        <v>30</v>
      </c>
    </row>
    <row r="1484" spans="96:102" ht="15" customHeight="1">
      <c r="CR1484" s="103" t="s">
        <v>758</v>
      </c>
      <c r="CX1484" s="102" t="s">
        <v>30</v>
      </c>
    </row>
    <row r="1485" spans="96:102" ht="15" customHeight="1">
      <c r="CR1485" s="103" t="s">
        <v>279</v>
      </c>
      <c r="CX1485" s="102" t="s">
        <v>30</v>
      </c>
    </row>
    <row r="1486" spans="96:102" ht="15" customHeight="1">
      <c r="CR1486" s="103" t="s">
        <v>282</v>
      </c>
      <c r="CX1486" s="102" t="s">
        <v>30</v>
      </c>
    </row>
    <row r="1487" spans="96:102" ht="15" customHeight="1">
      <c r="CR1487" s="103" t="s">
        <v>759</v>
      </c>
      <c r="CX1487" s="102" t="s">
        <v>30</v>
      </c>
    </row>
    <row r="1488" spans="96:102" ht="15" customHeight="1">
      <c r="CR1488" s="103" t="s">
        <v>760</v>
      </c>
      <c r="CX1488" s="102" t="s">
        <v>30</v>
      </c>
    </row>
    <row r="1489" spans="96:102" ht="15" customHeight="1">
      <c r="CR1489" s="103" t="s">
        <v>615</v>
      </c>
      <c r="CX1489" s="102" t="s">
        <v>30</v>
      </c>
    </row>
    <row r="1490" spans="96:102" ht="15" customHeight="1">
      <c r="CR1490" s="103" t="s">
        <v>437</v>
      </c>
      <c r="CX1490" s="102" t="s">
        <v>30</v>
      </c>
    </row>
    <row r="1491" spans="96:102" ht="15" customHeight="1">
      <c r="CR1491" s="103" t="s">
        <v>761</v>
      </c>
      <c r="CX1491" s="102" t="s">
        <v>30</v>
      </c>
    </row>
    <row r="1492" spans="96:102" ht="15" customHeight="1">
      <c r="CR1492" s="103" t="s">
        <v>618</v>
      </c>
      <c r="CX1492" s="102" t="s">
        <v>30</v>
      </c>
    </row>
    <row r="1493" spans="96:102" ht="15" customHeight="1">
      <c r="CR1493" s="103" t="s">
        <v>762</v>
      </c>
      <c r="CX1493" s="102" t="s">
        <v>30</v>
      </c>
    </row>
    <row r="1494" spans="96:102" ht="15" customHeight="1">
      <c r="CR1494" s="103" t="s">
        <v>763</v>
      </c>
      <c r="CX1494" s="102" t="s">
        <v>30</v>
      </c>
    </row>
    <row r="1495" spans="96:102" ht="15" customHeight="1">
      <c r="CR1495" s="103" t="s">
        <v>467</v>
      </c>
      <c r="CX1495" s="102" t="s">
        <v>30</v>
      </c>
    </row>
    <row r="1496" spans="96:102" ht="15" customHeight="1">
      <c r="CR1496" s="103" t="s">
        <v>312</v>
      </c>
      <c r="CX1496" s="102" t="s">
        <v>30</v>
      </c>
    </row>
    <row r="1497" spans="96:102" ht="15" customHeight="1">
      <c r="CR1497" s="103" t="s">
        <v>468</v>
      </c>
      <c r="CX1497" s="102" t="s">
        <v>30</v>
      </c>
    </row>
    <row r="1498" spans="96:102" ht="15" customHeight="1">
      <c r="CR1498" s="103" t="s">
        <v>621</v>
      </c>
      <c r="CX1498" s="102" t="s">
        <v>30</v>
      </c>
    </row>
    <row r="1499" spans="96:102" ht="15" customHeight="1">
      <c r="CR1499" s="103" t="s">
        <v>321</v>
      </c>
      <c r="CX1499" s="102" t="s">
        <v>30</v>
      </c>
    </row>
    <row r="1500" spans="96:102" ht="15" customHeight="1">
      <c r="CR1500" s="103" t="s">
        <v>324</v>
      </c>
      <c r="CX1500" s="102" t="s">
        <v>30</v>
      </c>
    </row>
    <row r="1501" spans="96:102" ht="15" customHeight="1">
      <c r="CR1501" s="103" t="s">
        <v>327</v>
      </c>
      <c r="CX1501" s="102" t="s">
        <v>30</v>
      </c>
    </row>
    <row r="1502" spans="96:102" ht="15" customHeight="1">
      <c r="CR1502" s="103" t="s">
        <v>330</v>
      </c>
      <c r="CX1502" s="102" t="s">
        <v>30</v>
      </c>
    </row>
    <row r="1503" spans="96:102" ht="15" customHeight="1">
      <c r="CR1503" s="103" t="s">
        <v>333</v>
      </c>
      <c r="CX1503" s="102" t="s">
        <v>30</v>
      </c>
    </row>
    <row r="1504" spans="96:102" ht="15" customHeight="1">
      <c r="CR1504" s="103" t="s">
        <v>336</v>
      </c>
      <c r="CX1504" s="102" t="s">
        <v>30</v>
      </c>
    </row>
    <row r="1505" spans="96:102" ht="15" customHeight="1">
      <c r="CR1505" s="103" t="s">
        <v>340</v>
      </c>
      <c r="CX1505" s="102" t="s">
        <v>30</v>
      </c>
    </row>
    <row r="1506" spans="96:102" ht="15" customHeight="1">
      <c r="CR1506" s="103" t="s">
        <v>272</v>
      </c>
      <c r="CX1506" s="102" t="s">
        <v>30</v>
      </c>
    </row>
    <row r="1507" spans="96:102" ht="15" customHeight="1">
      <c r="CR1507" s="103" t="s">
        <v>764</v>
      </c>
      <c r="CX1507" s="102" t="s">
        <v>30</v>
      </c>
    </row>
    <row r="1508" spans="96:102" ht="15" customHeight="1">
      <c r="CR1508" s="103" t="s">
        <v>279</v>
      </c>
      <c r="CX1508" s="102" t="s">
        <v>30</v>
      </c>
    </row>
    <row r="1509" spans="96:102" ht="15" customHeight="1">
      <c r="CR1509" s="103" t="s">
        <v>282</v>
      </c>
      <c r="CX1509" s="102" t="s">
        <v>30</v>
      </c>
    </row>
    <row r="1510" spans="96:102" ht="15" customHeight="1">
      <c r="CR1510" s="103" t="s">
        <v>765</v>
      </c>
      <c r="CX1510" s="102" t="s">
        <v>30</v>
      </c>
    </row>
    <row r="1511" spans="96:102" ht="15" customHeight="1">
      <c r="CR1511" s="103" t="s">
        <v>766</v>
      </c>
      <c r="CX1511" s="102" t="s">
        <v>30</v>
      </c>
    </row>
    <row r="1512" spans="96:102" ht="15" customHeight="1">
      <c r="CR1512" s="103" t="s">
        <v>615</v>
      </c>
      <c r="CX1512" s="102" t="s">
        <v>30</v>
      </c>
    </row>
    <row r="1513" spans="96:102" ht="15" customHeight="1">
      <c r="CR1513" s="103" t="s">
        <v>767</v>
      </c>
      <c r="CX1513" s="102" t="s">
        <v>30</v>
      </c>
    </row>
    <row r="1514" spans="96:102" ht="15" customHeight="1">
      <c r="CR1514" s="103" t="s">
        <v>768</v>
      </c>
      <c r="CX1514" s="102" t="s">
        <v>30</v>
      </c>
    </row>
    <row r="1515" spans="96:102" ht="15" customHeight="1">
      <c r="CR1515" s="103" t="s">
        <v>618</v>
      </c>
      <c r="CX1515" s="102" t="s">
        <v>30</v>
      </c>
    </row>
    <row r="1516" spans="96:102" ht="15" customHeight="1">
      <c r="CR1516" s="103" t="s">
        <v>769</v>
      </c>
      <c r="CX1516" s="102" t="s">
        <v>30</v>
      </c>
    </row>
    <row r="1517" spans="96:102" ht="15" customHeight="1">
      <c r="CR1517" s="103" t="s">
        <v>770</v>
      </c>
      <c r="CX1517" s="102" t="s">
        <v>30</v>
      </c>
    </row>
    <row r="1518" spans="96:102" ht="15" customHeight="1">
      <c r="CR1518" s="103" t="s">
        <v>467</v>
      </c>
      <c r="CX1518" s="102" t="s">
        <v>30</v>
      </c>
    </row>
    <row r="1519" spans="96:102" ht="15" customHeight="1">
      <c r="CR1519" s="103" t="s">
        <v>312</v>
      </c>
      <c r="CX1519" s="102" t="s">
        <v>30</v>
      </c>
    </row>
    <row r="1520" spans="96:102" ht="15" customHeight="1">
      <c r="CR1520" s="103" t="s">
        <v>468</v>
      </c>
      <c r="CX1520" s="102" t="s">
        <v>30</v>
      </c>
    </row>
    <row r="1521" spans="96:102" ht="15" customHeight="1">
      <c r="CR1521" s="103" t="s">
        <v>621</v>
      </c>
      <c r="CX1521" s="102" t="s">
        <v>30</v>
      </c>
    </row>
    <row r="1522" spans="96:102" ht="15" customHeight="1">
      <c r="CR1522" s="103" t="s">
        <v>552</v>
      </c>
      <c r="CX1522" s="102" t="s">
        <v>30</v>
      </c>
    </row>
    <row r="1523" spans="96:102" ht="15" customHeight="1">
      <c r="CR1523" s="103" t="s">
        <v>324</v>
      </c>
      <c r="CX1523" s="102" t="s">
        <v>30</v>
      </c>
    </row>
    <row r="1524" spans="96:102" ht="15" customHeight="1">
      <c r="CR1524" s="103" t="s">
        <v>327</v>
      </c>
      <c r="CX1524" s="102" t="s">
        <v>30</v>
      </c>
    </row>
    <row r="1525" spans="96:102" ht="15" customHeight="1">
      <c r="CR1525" s="103" t="s">
        <v>330</v>
      </c>
      <c r="CX1525" s="102" t="s">
        <v>30</v>
      </c>
    </row>
    <row r="1526" spans="96:102" ht="15" customHeight="1">
      <c r="CR1526" s="103" t="s">
        <v>333</v>
      </c>
      <c r="CX1526" s="102" t="s">
        <v>30</v>
      </c>
    </row>
    <row r="1527" spans="96:102" ht="15" customHeight="1">
      <c r="CR1527" s="103" t="s">
        <v>336</v>
      </c>
      <c r="CX1527" s="102" t="s">
        <v>30</v>
      </c>
    </row>
    <row r="1528" spans="96:102" ht="15" customHeight="1">
      <c r="CR1528" s="103" t="s">
        <v>340</v>
      </c>
      <c r="CX1528" s="102" t="s">
        <v>30</v>
      </c>
    </row>
    <row r="1529" spans="96:102" ht="15" customHeight="1">
      <c r="CR1529" s="103" t="s">
        <v>272</v>
      </c>
      <c r="CX1529" s="102" t="s">
        <v>30</v>
      </c>
    </row>
    <row r="1530" spans="96:102" ht="15" customHeight="1">
      <c r="CR1530" s="103" t="s">
        <v>771</v>
      </c>
      <c r="CX1530" s="102" t="s">
        <v>30</v>
      </c>
    </row>
    <row r="1531" spans="96:102" ht="15" customHeight="1">
      <c r="CR1531" s="103" t="s">
        <v>279</v>
      </c>
      <c r="CX1531" s="102" t="s">
        <v>30</v>
      </c>
    </row>
    <row r="1532" spans="96:102" ht="15" customHeight="1">
      <c r="CR1532" s="103" t="s">
        <v>282</v>
      </c>
      <c r="CX1532" s="102" t="s">
        <v>30</v>
      </c>
    </row>
    <row r="1533" spans="96:102" ht="15" customHeight="1">
      <c r="CR1533" s="103" t="s">
        <v>772</v>
      </c>
      <c r="CX1533" s="102" t="s">
        <v>30</v>
      </c>
    </row>
    <row r="1534" spans="96:102" ht="15" customHeight="1">
      <c r="CR1534" s="103" t="s">
        <v>773</v>
      </c>
      <c r="CX1534" s="102" t="s">
        <v>30</v>
      </c>
    </row>
    <row r="1535" spans="96:102" ht="15" customHeight="1">
      <c r="CR1535" s="103" t="s">
        <v>615</v>
      </c>
      <c r="CX1535" s="102" t="s">
        <v>30</v>
      </c>
    </row>
    <row r="1536" spans="96:102" ht="15" customHeight="1">
      <c r="CR1536" s="103" t="s">
        <v>462</v>
      </c>
      <c r="CX1536" s="102" t="s">
        <v>30</v>
      </c>
    </row>
    <row r="1537" spans="96:102" ht="15" customHeight="1">
      <c r="CR1537" s="103" t="s">
        <v>774</v>
      </c>
      <c r="CX1537" s="102" t="s">
        <v>30</v>
      </c>
    </row>
    <row r="1538" spans="96:102" ht="15" customHeight="1">
      <c r="CR1538" s="103" t="s">
        <v>618</v>
      </c>
      <c r="CX1538" s="102" t="s">
        <v>30</v>
      </c>
    </row>
    <row r="1539" spans="96:102" ht="15" customHeight="1">
      <c r="CR1539" s="103" t="s">
        <v>775</v>
      </c>
      <c r="CX1539" s="102" t="s">
        <v>30</v>
      </c>
    </row>
    <row r="1540" spans="96:102" ht="15" customHeight="1">
      <c r="CR1540" s="103" t="s">
        <v>776</v>
      </c>
      <c r="CX1540" s="102" t="s">
        <v>30</v>
      </c>
    </row>
    <row r="1541" spans="96:102" ht="15" customHeight="1">
      <c r="CR1541" s="103" t="s">
        <v>467</v>
      </c>
      <c r="CX1541" s="102" t="s">
        <v>30</v>
      </c>
    </row>
    <row r="1542" spans="96:102" ht="15" customHeight="1">
      <c r="CR1542" s="103" t="s">
        <v>312</v>
      </c>
      <c r="CX1542" s="102" t="s">
        <v>30</v>
      </c>
    </row>
    <row r="1543" spans="96:102" ht="15" customHeight="1">
      <c r="CR1543" s="103" t="s">
        <v>468</v>
      </c>
      <c r="CX1543" s="102" t="s">
        <v>30</v>
      </c>
    </row>
    <row r="1544" spans="96:102" ht="15" customHeight="1">
      <c r="CR1544" s="103" t="s">
        <v>621</v>
      </c>
      <c r="CX1544" s="102" t="s">
        <v>30</v>
      </c>
    </row>
    <row r="1545" spans="96:102" ht="15" customHeight="1">
      <c r="CR1545" s="103" t="s">
        <v>321</v>
      </c>
      <c r="CX1545" s="102" t="s">
        <v>30</v>
      </c>
    </row>
    <row r="1546" spans="96:102" ht="15" customHeight="1">
      <c r="CR1546" s="103" t="s">
        <v>324</v>
      </c>
      <c r="CX1546" s="102" t="s">
        <v>30</v>
      </c>
    </row>
    <row r="1547" spans="96:102" ht="15" customHeight="1">
      <c r="CR1547" s="103" t="s">
        <v>327</v>
      </c>
      <c r="CX1547" s="102" t="s">
        <v>30</v>
      </c>
    </row>
    <row r="1548" spans="96:102" ht="15" customHeight="1">
      <c r="CR1548" s="103" t="s">
        <v>330</v>
      </c>
      <c r="CX1548" s="102" t="s">
        <v>30</v>
      </c>
    </row>
    <row r="1549" spans="96:102" ht="15" customHeight="1">
      <c r="CR1549" s="103" t="s">
        <v>333</v>
      </c>
      <c r="CX1549" s="102" t="s">
        <v>30</v>
      </c>
    </row>
    <row r="1550" spans="96:102" ht="15" customHeight="1">
      <c r="CR1550" s="103" t="s">
        <v>336</v>
      </c>
      <c r="CX1550" s="102" t="s">
        <v>30</v>
      </c>
    </row>
    <row r="1551" spans="96:102" ht="15" customHeight="1">
      <c r="CR1551" s="103" t="s">
        <v>340</v>
      </c>
      <c r="CX1551" s="102" t="s">
        <v>30</v>
      </c>
    </row>
    <row r="1552" spans="96:102" ht="15" customHeight="1">
      <c r="CR1552" s="103" t="s">
        <v>272</v>
      </c>
      <c r="CX1552" s="102" t="s">
        <v>30</v>
      </c>
    </row>
    <row r="1553" spans="96:102" ht="15" customHeight="1">
      <c r="CR1553" s="103" t="s">
        <v>777</v>
      </c>
      <c r="CX1553" s="102" t="s">
        <v>30</v>
      </c>
    </row>
    <row r="1554" spans="96:102" ht="15" customHeight="1">
      <c r="CR1554" s="103" t="s">
        <v>279</v>
      </c>
      <c r="CX1554" s="102" t="s">
        <v>30</v>
      </c>
    </row>
    <row r="1555" spans="96:102" ht="15" customHeight="1">
      <c r="CR1555" s="103" t="s">
        <v>282</v>
      </c>
      <c r="CX1555" s="102" t="s">
        <v>30</v>
      </c>
    </row>
    <row r="1556" spans="96:102" ht="15" customHeight="1">
      <c r="CR1556" s="103" t="s">
        <v>778</v>
      </c>
      <c r="CX1556" s="102" t="s">
        <v>30</v>
      </c>
    </row>
    <row r="1557" spans="96:102" ht="15" customHeight="1">
      <c r="CR1557" s="103" t="s">
        <v>779</v>
      </c>
      <c r="CX1557" s="102" t="s">
        <v>30</v>
      </c>
    </row>
    <row r="1558" spans="96:102" ht="15" customHeight="1">
      <c r="CR1558" s="103" t="s">
        <v>615</v>
      </c>
      <c r="CX1558" s="102" t="s">
        <v>30</v>
      </c>
    </row>
    <row r="1559" spans="96:102" ht="15" customHeight="1">
      <c r="CR1559" s="103" t="s">
        <v>780</v>
      </c>
      <c r="CX1559" s="102" t="s">
        <v>30</v>
      </c>
    </row>
    <row r="1560" spans="96:102" ht="15" customHeight="1">
      <c r="CR1560" s="103" t="s">
        <v>781</v>
      </c>
      <c r="CX1560" s="102" t="s">
        <v>30</v>
      </c>
    </row>
    <row r="1561" spans="96:102" ht="15" customHeight="1">
      <c r="CR1561" s="103" t="s">
        <v>618</v>
      </c>
      <c r="CX1561" s="102" t="s">
        <v>30</v>
      </c>
    </row>
    <row r="1562" spans="96:102" ht="15" customHeight="1">
      <c r="CR1562" s="103" t="s">
        <v>782</v>
      </c>
      <c r="CX1562" s="102" t="s">
        <v>30</v>
      </c>
    </row>
    <row r="1563" spans="96:102" ht="15" customHeight="1">
      <c r="CR1563" s="103" t="s">
        <v>783</v>
      </c>
      <c r="CX1563" s="102" t="s">
        <v>30</v>
      </c>
    </row>
    <row r="1564" spans="96:102" ht="15" customHeight="1">
      <c r="CR1564" s="103" t="s">
        <v>467</v>
      </c>
      <c r="CX1564" s="102" t="s">
        <v>30</v>
      </c>
    </row>
    <row r="1565" spans="96:102" ht="15" customHeight="1">
      <c r="CR1565" s="103" t="s">
        <v>312</v>
      </c>
      <c r="CX1565" s="102" t="s">
        <v>30</v>
      </c>
    </row>
    <row r="1566" spans="96:102" ht="15" customHeight="1">
      <c r="CR1566" s="103" t="s">
        <v>468</v>
      </c>
      <c r="CX1566" s="102" t="s">
        <v>30</v>
      </c>
    </row>
    <row r="1567" spans="96:102" ht="15" customHeight="1">
      <c r="CR1567" s="103" t="s">
        <v>621</v>
      </c>
      <c r="CX1567" s="102" t="s">
        <v>30</v>
      </c>
    </row>
    <row r="1568" spans="96:102" ht="15" customHeight="1">
      <c r="CR1568" s="103" t="s">
        <v>321</v>
      </c>
      <c r="CX1568" s="102" t="s">
        <v>30</v>
      </c>
    </row>
    <row r="1569" spans="96:102" ht="15" customHeight="1">
      <c r="CR1569" s="103" t="s">
        <v>324</v>
      </c>
      <c r="CX1569" s="102" t="s">
        <v>30</v>
      </c>
    </row>
    <row r="1570" spans="96:102" ht="15" customHeight="1">
      <c r="CR1570" s="103" t="s">
        <v>327</v>
      </c>
      <c r="CX1570" s="102" t="s">
        <v>30</v>
      </c>
    </row>
    <row r="1571" spans="96:102" ht="15" customHeight="1">
      <c r="CR1571" s="103" t="s">
        <v>330</v>
      </c>
      <c r="CX1571" s="102" t="s">
        <v>30</v>
      </c>
    </row>
    <row r="1572" spans="96:102" ht="15" customHeight="1">
      <c r="CR1572" s="103" t="s">
        <v>333</v>
      </c>
      <c r="CX1572" s="102" t="s">
        <v>30</v>
      </c>
    </row>
    <row r="1573" spans="96:102" ht="15" customHeight="1">
      <c r="CR1573" s="103" t="s">
        <v>336</v>
      </c>
      <c r="CX1573" s="102" t="s">
        <v>30</v>
      </c>
    </row>
    <row r="1574" spans="96:102" ht="15" customHeight="1">
      <c r="CR1574" s="103" t="s">
        <v>340</v>
      </c>
      <c r="CX1574" s="102" t="s">
        <v>30</v>
      </c>
    </row>
    <row r="1575" spans="96:102" ht="15" customHeight="1">
      <c r="CR1575" s="103" t="s">
        <v>272</v>
      </c>
      <c r="CX1575" s="102" t="s">
        <v>30</v>
      </c>
    </row>
    <row r="1576" spans="96:102" ht="15" customHeight="1">
      <c r="CR1576" s="103" t="s">
        <v>784</v>
      </c>
      <c r="CX1576" s="102" t="s">
        <v>30</v>
      </c>
    </row>
    <row r="1577" spans="96:102" ht="15" customHeight="1">
      <c r="CR1577" s="103" t="s">
        <v>279</v>
      </c>
      <c r="CX1577" s="102" t="s">
        <v>30</v>
      </c>
    </row>
    <row r="1578" spans="96:102" ht="15" customHeight="1">
      <c r="CR1578" s="103" t="s">
        <v>282</v>
      </c>
      <c r="CX1578" s="102" t="s">
        <v>30</v>
      </c>
    </row>
    <row r="1579" spans="96:102" ht="15" customHeight="1">
      <c r="CR1579" s="103" t="s">
        <v>785</v>
      </c>
      <c r="CX1579" s="102" t="s">
        <v>30</v>
      </c>
    </row>
    <row r="1580" spans="96:102" ht="15" customHeight="1">
      <c r="CR1580" s="103" t="s">
        <v>786</v>
      </c>
      <c r="CX1580" s="102" t="s">
        <v>30</v>
      </c>
    </row>
    <row r="1581" spans="96:102" ht="15" customHeight="1">
      <c r="CR1581" s="103" t="s">
        <v>787</v>
      </c>
      <c r="CX1581" s="102" t="s">
        <v>30</v>
      </c>
    </row>
    <row r="1582" spans="96:102" ht="15" customHeight="1">
      <c r="CR1582" s="103" t="s">
        <v>616</v>
      </c>
      <c r="CX1582" s="102" t="s">
        <v>30</v>
      </c>
    </row>
    <row r="1583" spans="96:102" ht="15" customHeight="1">
      <c r="CR1583" s="103" t="s">
        <v>788</v>
      </c>
      <c r="CX1583" s="102" t="s">
        <v>30</v>
      </c>
    </row>
    <row r="1584" spans="96:102" ht="15" customHeight="1">
      <c r="CR1584" s="103" t="s">
        <v>618</v>
      </c>
      <c r="CX1584" s="102" t="s">
        <v>30</v>
      </c>
    </row>
    <row r="1585" spans="96:102" ht="15" customHeight="1">
      <c r="CR1585" s="103" t="s">
        <v>789</v>
      </c>
      <c r="CX1585" s="102" t="s">
        <v>30</v>
      </c>
    </row>
    <row r="1586" spans="96:102" ht="15" customHeight="1">
      <c r="CR1586" s="103" t="s">
        <v>790</v>
      </c>
      <c r="CX1586" s="102" t="s">
        <v>30</v>
      </c>
    </row>
    <row r="1587" spans="96:102" ht="15" customHeight="1">
      <c r="CR1587" s="103" t="s">
        <v>791</v>
      </c>
      <c r="CX1587" s="102" t="s">
        <v>30</v>
      </c>
    </row>
    <row r="1588" spans="96:102" ht="15" customHeight="1">
      <c r="CR1588" s="103" t="s">
        <v>312</v>
      </c>
      <c r="CX1588" s="102" t="s">
        <v>30</v>
      </c>
    </row>
    <row r="1589" spans="96:102" ht="15" customHeight="1">
      <c r="CR1589" s="103" t="s">
        <v>792</v>
      </c>
      <c r="CX1589" s="102" t="s">
        <v>30</v>
      </c>
    </row>
    <row r="1590" spans="96:102" ht="15" customHeight="1">
      <c r="CR1590" s="103" t="s">
        <v>793</v>
      </c>
      <c r="CX1590" s="102" t="s">
        <v>30</v>
      </c>
    </row>
    <row r="1591" spans="96:102" ht="15" customHeight="1">
      <c r="CR1591" s="103" t="s">
        <v>552</v>
      </c>
      <c r="CX1591" s="102" t="s">
        <v>30</v>
      </c>
    </row>
    <row r="1592" spans="96:102" ht="15" customHeight="1">
      <c r="CR1592" s="103" t="s">
        <v>324</v>
      </c>
      <c r="CX1592" s="102" t="s">
        <v>30</v>
      </c>
    </row>
    <row r="1593" spans="96:102" ht="15" customHeight="1">
      <c r="CR1593" s="103" t="s">
        <v>327</v>
      </c>
      <c r="CX1593" s="102" t="s">
        <v>30</v>
      </c>
    </row>
    <row r="1594" spans="96:102" ht="15" customHeight="1">
      <c r="CR1594" s="103" t="s">
        <v>554</v>
      </c>
      <c r="CX1594" s="102" t="s">
        <v>30</v>
      </c>
    </row>
    <row r="1595" spans="96:102" ht="15" customHeight="1">
      <c r="CR1595" s="103" t="s">
        <v>333</v>
      </c>
      <c r="CX1595" s="102" t="s">
        <v>30</v>
      </c>
    </row>
    <row r="1596" spans="96:102" ht="15" customHeight="1">
      <c r="CR1596" s="103" t="s">
        <v>336</v>
      </c>
      <c r="CX1596" s="102" t="s">
        <v>30</v>
      </c>
    </row>
    <row r="1597" spans="96:102" ht="15" customHeight="1">
      <c r="CR1597" s="103" t="s">
        <v>340</v>
      </c>
      <c r="CX1597" s="102" t="s">
        <v>30</v>
      </c>
    </row>
    <row r="1598" spans="96:102" ht="15" customHeight="1">
      <c r="CR1598" s="103" t="s">
        <v>272</v>
      </c>
      <c r="CX1598" s="102" t="s">
        <v>30</v>
      </c>
    </row>
    <row r="1599" spans="96:102" ht="15" customHeight="1">
      <c r="CR1599" s="103" t="s">
        <v>794</v>
      </c>
      <c r="CX1599" s="102" t="s">
        <v>30</v>
      </c>
    </row>
    <row r="1600" spans="96:102" ht="15" customHeight="1">
      <c r="CR1600" s="103" t="s">
        <v>279</v>
      </c>
      <c r="CX1600" s="102" t="s">
        <v>30</v>
      </c>
    </row>
    <row r="1601" spans="96:102" ht="15" customHeight="1">
      <c r="CR1601" s="103" t="s">
        <v>282</v>
      </c>
      <c r="CX1601" s="102" t="s">
        <v>30</v>
      </c>
    </row>
    <row r="1602" spans="96:102" ht="15" customHeight="1">
      <c r="CR1602" s="103" t="s">
        <v>795</v>
      </c>
      <c r="CX1602" s="102" t="s">
        <v>30</v>
      </c>
    </row>
    <row r="1603" spans="96:102" ht="15" customHeight="1">
      <c r="CR1603" s="103" t="s">
        <v>786</v>
      </c>
      <c r="CX1603" s="102" t="s">
        <v>30</v>
      </c>
    </row>
    <row r="1604" spans="96:102" ht="15" customHeight="1">
      <c r="CR1604" s="103" t="s">
        <v>787</v>
      </c>
      <c r="CX1604" s="102" t="s">
        <v>30</v>
      </c>
    </row>
    <row r="1605" spans="96:102" ht="15" customHeight="1">
      <c r="CR1605" s="103" t="s">
        <v>616</v>
      </c>
      <c r="CX1605" s="102" t="s">
        <v>30</v>
      </c>
    </row>
    <row r="1606" spans="96:102" ht="15" customHeight="1">
      <c r="CR1606" s="103" t="s">
        <v>788</v>
      </c>
      <c r="CX1606" s="102" t="s">
        <v>30</v>
      </c>
    </row>
    <row r="1607" spans="96:102" ht="15" customHeight="1">
      <c r="CR1607" s="103" t="s">
        <v>618</v>
      </c>
      <c r="CX1607" s="102" t="s">
        <v>30</v>
      </c>
    </row>
    <row r="1608" spans="96:102" ht="15" customHeight="1">
      <c r="CR1608" s="103" t="s">
        <v>789</v>
      </c>
      <c r="CX1608" s="102" t="s">
        <v>30</v>
      </c>
    </row>
    <row r="1609" spans="96:102" ht="15" customHeight="1">
      <c r="CR1609" s="103" t="s">
        <v>790</v>
      </c>
      <c r="CX1609" s="102" t="s">
        <v>30</v>
      </c>
    </row>
    <row r="1610" spans="96:102" ht="15" customHeight="1">
      <c r="CR1610" s="103" t="s">
        <v>796</v>
      </c>
      <c r="CX1610" s="102" t="s">
        <v>30</v>
      </c>
    </row>
    <row r="1611" spans="96:102" ht="15" customHeight="1">
      <c r="CR1611" s="103" t="s">
        <v>312</v>
      </c>
      <c r="CX1611" s="102" t="s">
        <v>30</v>
      </c>
    </row>
    <row r="1612" spans="96:102" ht="15" customHeight="1">
      <c r="CR1612" s="103" t="s">
        <v>797</v>
      </c>
      <c r="CX1612" s="102" t="s">
        <v>30</v>
      </c>
    </row>
    <row r="1613" spans="96:102" ht="15" customHeight="1">
      <c r="CR1613" s="103" t="s">
        <v>798</v>
      </c>
      <c r="CX1613" s="102" t="s">
        <v>30</v>
      </c>
    </row>
    <row r="1614" spans="96:102" ht="15" customHeight="1">
      <c r="CR1614" s="103" t="s">
        <v>552</v>
      </c>
      <c r="CX1614" s="102" t="s">
        <v>30</v>
      </c>
    </row>
    <row r="1615" spans="96:102" ht="15" customHeight="1">
      <c r="CR1615" s="103" t="s">
        <v>324</v>
      </c>
      <c r="CX1615" s="102" t="s">
        <v>30</v>
      </c>
    </row>
    <row r="1616" spans="96:102" ht="15" customHeight="1">
      <c r="CR1616" s="103" t="s">
        <v>327</v>
      </c>
      <c r="CX1616" s="102" t="s">
        <v>30</v>
      </c>
    </row>
    <row r="1617" spans="96:102" ht="15" customHeight="1">
      <c r="CR1617" s="103" t="s">
        <v>554</v>
      </c>
      <c r="CX1617" s="102" t="s">
        <v>30</v>
      </c>
    </row>
    <row r="1618" spans="96:102" ht="15" customHeight="1">
      <c r="CR1618" s="103" t="s">
        <v>333</v>
      </c>
      <c r="CX1618" s="102" t="s">
        <v>30</v>
      </c>
    </row>
    <row r="1619" spans="96:102" ht="15" customHeight="1">
      <c r="CR1619" s="103" t="s">
        <v>336</v>
      </c>
      <c r="CX1619" s="102" t="s">
        <v>30</v>
      </c>
    </row>
    <row r="1620" spans="96:102" ht="15" customHeight="1">
      <c r="CR1620" s="103" t="s">
        <v>340</v>
      </c>
      <c r="CX1620" s="102" t="s">
        <v>30</v>
      </c>
    </row>
    <row r="1621" spans="96:102" ht="15" customHeight="1">
      <c r="CR1621" s="103" t="s">
        <v>272</v>
      </c>
      <c r="CX1621" s="102" t="s">
        <v>30</v>
      </c>
    </row>
    <row r="1622" spans="96:102" ht="15" customHeight="1">
      <c r="CR1622" s="103" t="s">
        <v>799</v>
      </c>
      <c r="CX1622" s="102" t="s">
        <v>30</v>
      </c>
    </row>
    <row r="1623" spans="96:102" ht="15" customHeight="1">
      <c r="CR1623" s="103" t="s">
        <v>433</v>
      </c>
      <c r="CX1623" s="102" t="s">
        <v>30</v>
      </c>
    </row>
    <row r="1624" spans="96:102" ht="15" customHeight="1">
      <c r="CR1624" s="103" t="s">
        <v>282</v>
      </c>
      <c r="CX1624" s="102" t="s">
        <v>30</v>
      </c>
    </row>
    <row r="1625" spans="96:102" ht="15" customHeight="1">
      <c r="CR1625" s="103" t="s">
        <v>800</v>
      </c>
      <c r="CX1625" s="102" t="s">
        <v>30</v>
      </c>
    </row>
    <row r="1626" spans="96:102" ht="15" customHeight="1">
      <c r="CR1626" s="103" t="s">
        <v>801</v>
      </c>
      <c r="CX1626" s="102" t="s">
        <v>30</v>
      </c>
    </row>
    <row r="1627" spans="96:102" ht="15" customHeight="1">
      <c r="CR1627" s="103" t="s">
        <v>802</v>
      </c>
      <c r="CX1627" s="102" t="s">
        <v>30</v>
      </c>
    </row>
    <row r="1628" spans="96:102" ht="15" customHeight="1">
      <c r="CR1628" s="103" t="s">
        <v>741</v>
      </c>
      <c r="CX1628" s="102" t="s">
        <v>30</v>
      </c>
    </row>
    <row r="1629" spans="96:102" ht="15" customHeight="1">
      <c r="CR1629" s="103" t="s">
        <v>803</v>
      </c>
      <c r="CX1629" s="102" t="s">
        <v>30</v>
      </c>
    </row>
    <row r="1630" spans="96:102" ht="15" customHeight="1">
      <c r="CR1630" s="103" t="s">
        <v>804</v>
      </c>
      <c r="CX1630" s="102" t="s">
        <v>30</v>
      </c>
    </row>
    <row r="1631" spans="96:102" ht="15" customHeight="1">
      <c r="CR1631" s="103" t="s">
        <v>805</v>
      </c>
      <c r="CX1631" s="102" t="s">
        <v>30</v>
      </c>
    </row>
    <row r="1632" spans="96:102" ht="15" customHeight="1">
      <c r="CR1632" s="103" t="s">
        <v>806</v>
      </c>
      <c r="CX1632" s="102" t="s">
        <v>30</v>
      </c>
    </row>
    <row r="1633" spans="96:102" ht="15" customHeight="1">
      <c r="CR1633" s="103" t="s">
        <v>807</v>
      </c>
      <c r="CX1633" s="102" t="s">
        <v>30</v>
      </c>
    </row>
    <row r="1634" spans="96:102" ht="15" customHeight="1">
      <c r="CR1634" s="103" t="s">
        <v>312</v>
      </c>
      <c r="CX1634" s="102" t="s">
        <v>30</v>
      </c>
    </row>
    <row r="1635" spans="96:102" ht="15" customHeight="1">
      <c r="CR1635" s="103" t="s">
        <v>808</v>
      </c>
      <c r="CX1635" s="102" t="s">
        <v>30</v>
      </c>
    </row>
    <row r="1636" spans="96:102" ht="15" customHeight="1">
      <c r="CR1636" s="103" t="s">
        <v>809</v>
      </c>
      <c r="CX1636" s="102" t="s">
        <v>30</v>
      </c>
    </row>
    <row r="1637" spans="96:102" ht="15" customHeight="1">
      <c r="CR1637" s="103" t="s">
        <v>321</v>
      </c>
      <c r="CX1637" s="102" t="s">
        <v>30</v>
      </c>
    </row>
    <row r="1638" spans="96:102" ht="15" customHeight="1">
      <c r="CR1638" s="103" t="s">
        <v>324</v>
      </c>
      <c r="CX1638" s="102" t="s">
        <v>30</v>
      </c>
    </row>
    <row r="1639" spans="96:102" ht="15" customHeight="1">
      <c r="CR1639" s="103" t="s">
        <v>327</v>
      </c>
      <c r="CX1639" s="102" t="s">
        <v>30</v>
      </c>
    </row>
    <row r="1640" spans="96:102" ht="15" customHeight="1">
      <c r="CR1640" s="103" t="s">
        <v>330</v>
      </c>
      <c r="CX1640" s="102" t="s">
        <v>30</v>
      </c>
    </row>
    <row r="1641" spans="96:102" ht="15" customHeight="1">
      <c r="CR1641" s="103" t="s">
        <v>333</v>
      </c>
      <c r="CX1641" s="102" t="s">
        <v>30</v>
      </c>
    </row>
    <row r="1642" spans="96:102" ht="15" customHeight="1">
      <c r="CR1642" s="103" t="s">
        <v>444</v>
      </c>
      <c r="CX1642" s="102" t="s">
        <v>30</v>
      </c>
    </row>
    <row r="1643" spans="96:102" ht="15" customHeight="1">
      <c r="CR1643" s="103" t="s">
        <v>445</v>
      </c>
      <c r="CX1643" s="102" t="s">
        <v>30</v>
      </c>
    </row>
    <row r="1644" spans="96:102" ht="15" customHeight="1">
      <c r="CR1644" s="103" t="s">
        <v>446</v>
      </c>
      <c r="CX1644" s="102" t="s">
        <v>30</v>
      </c>
    </row>
    <row r="1645" spans="96:102" ht="15" customHeight="1">
      <c r="CR1645" s="103" t="s">
        <v>453</v>
      </c>
      <c r="CX1645" s="102" t="s">
        <v>30</v>
      </c>
    </row>
    <row r="1646" spans="96:102" ht="15" customHeight="1">
      <c r="CR1646" s="103" t="s">
        <v>448</v>
      </c>
      <c r="CX1646" s="102" t="s">
        <v>30</v>
      </c>
    </row>
    <row r="1647" spans="96:102" ht="15" customHeight="1">
      <c r="CR1647" s="103" t="s">
        <v>449</v>
      </c>
      <c r="CX1647" s="102" t="s">
        <v>30</v>
      </c>
    </row>
    <row r="1648" spans="96:102" ht="15" customHeight="1">
      <c r="CR1648" s="103" t="s">
        <v>450</v>
      </c>
      <c r="CX1648" s="102" t="s">
        <v>30</v>
      </c>
    </row>
    <row r="1649" spans="96:102" ht="15" customHeight="1">
      <c r="CR1649" s="103" t="s">
        <v>810</v>
      </c>
      <c r="CX1649" s="102" t="s">
        <v>30</v>
      </c>
    </row>
    <row r="1650" spans="96:102" ht="15" customHeight="1">
      <c r="CR1650" s="103" t="s">
        <v>456</v>
      </c>
      <c r="CX1650" s="102" t="s">
        <v>30</v>
      </c>
    </row>
    <row r="1651" spans="96:102" ht="15" customHeight="1">
      <c r="CR1651" s="103" t="s">
        <v>457</v>
      </c>
      <c r="CX1651" s="102" t="s">
        <v>30</v>
      </c>
    </row>
    <row r="1652" spans="96:102" ht="15" customHeight="1">
      <c r="CR1652" s="103" t="s">
        <v>340</v>
      </c>
      <c r="CX1652" s="102" t="s">
        <v>30</v>
      </c>
    </row>
    <row r="1653" spans="96:102" ht="15" customHeight="1">
      <c r="CR1653" s="103" t="s">
        <v>272</v>
      </c>
      <c r="CX1653" s="102" t="s">
        <v>30</v>
      </c>
    </row>
    <row r="1654" spans="96:102" ht="15" customHeight="1">
      <c r="CR1654" s="103" t="s">
        <v>811</v>
      </c>
      <c r="CX1654" s="102" t="s">
        <v>30</v>
      </c>
    </row>
    <row r="1655" spans="96:102" ht="15" customHeight="1">
      <c r="CR1655" s="103" t="s">
        <v>279</v>
      </c>
      <c r="CX1655" s="102" t="s">
        <v>30</v>
      </c>
    </row>
    <row r="1656" spans="96:102" ht="15" customHeight="1">
      <c r="CR1656" s="103" t="s">
        <v>282</v>
      </c>
      <c r="CX1656" s="102" t="s">
        <v>30</v>
      </c>
    </row>
    <row r="1657" spans="96:102" ht="15" customHeight="1">
      <c r="CR1657" s="103" t="s">
        <v>800</v>
      </c>
      <c r="CX1657" s="102" t="s">
        <v>30</v>
      </c>
    </row>
    <row r="1658" spans="96:102" ht="15" customHeight="1">
      <c r="CR1658" s="103" t="s">
        <v>801</v>
      </c>
      <c r="CX1658" s="102" t="s">
        <v>30</v>
      </c>
    </row>
    <row r="1659" spans="96:102" ht="15" customHeight="1">
      <c r="CR1659" s="103" t="s">
        <v>802</v>
      </c>
      <c r="CX1659" s="102" t="s">
        <v>30</v>
      </c>
    </row>
    <row r="1660" spans="96:102" ht="15" customHeight="1">
      <c r="CR1660" s="103" t="s">
        <v>741</v>
      </c>
      <c r="CX1660" s="102" t="s">
        <v>30</v>
      </c>
    </row>
    <row r="1661" spans="96:102" ht="15" customHeight="1">
      <c r="CR1661" s="103" t="s">
        <v>803</v>
      </c>
      <c r="CX1661" s="102" t="s">
        <v>30</v>
      </c>
    </row>
    <row r="1662" spans="96:102" ht="15" customHeight="1">
      <c r="CR1662" s="103" t="s">
        <v>804</v>
      </c>
      <c r="CX1662" s="102" t="s">
        <v>30</v>
      </c>
    </row>
    <row r="1663" spans="96:102" ht="15" customHeight="1">
      <c r="CR1663" s="103" t="s">
        <v>805</v>
      </c>
      <c r="CX1663" s="102" t="s">
        <v>30</v>
      </c>
    </row>
    <row r="1664" spans="96:102" ht="15" customHeight="1">
      <c r="CR1664" s="103" t="s">
        <v>806</v>
      </c>
      <c r="CX1664" s="102" t="s">
        <v>30</v>
      </c>
    </row>
    <row r="1665" spans="96:102" ht="15" customHeight="1">
      <c r="CR1665" s="103" t="s">
        <v>807</v>
      </c>
      <c r="CX1665" s="102" t="s">
        <v>30</v>
      </c>
    </row>
    <row r="1666" spans="96:102" ht="15" customHeight="1">
      <c r="CR1666" s="103" t="s">
        <v>312</v>
      </c>
      <c r="CX1666" s="102" t="s">
        <v>30</v>
      </c>
    </row>
    <row r="1667" spans="96:102" ht="15" customHeight="1">
      <c r="CR1667" s="103" t="s">
        <v>808</v>
      </c>
      <c r="CX1667" s="102" t="s">
        <v>30</v>
      </c>
    </row>
    <row r="1668" spans="96:102" ht="15" customHeight="1">
      <c r="CR1668" s="103" t="s">
        <v>809</v>
      </c>
      <c r="CX1668" s="102" t="s">
        <v>30</v>
      </c>
    </row>
    <row r="1669" spans="96:102" ht="15" customHeight="1">
      <c r="CR1669" s="103" t="s">
        <v>321</v>
      </c>
      <c r="CX1669" s="102" t="s">
        <v>30</v>
      </c>
    </row>
    <row r="1670" spans="96:102" ht="15" customHeight="1">
      <c r="CR1670" s="103" t="s">
        <v>324</v>
      </c>
      <c r="CX1670" s="102" t="s">
        <v>30</v>
      </c>
    </row>
    <row r="1671" spans="96:102" ht="15" customHeight="1">
      <c r="CR1671" s="103" t="s">
        <v>327</v>
      </c>
      <c r="CX1671" s="102" t="s">
        <v>30</v>
      </c>
    </row>
    <row r="1672" spans="96:102" ht="15" customHeight="1">
      <c r="CR1672" s="103" t="s">
        <v>330</v>
      </c>
      <c r="CX1672" s="102" t="s">
        <v>30</v>
      </c>
    </row>
    <row r="1673" spans="96:102" ht="15" customHeight="1">
      <c r="CR1673" s="103" t="s">
        <v>333</v>
      </c>
      <c r="CX1673" s="102" t="s">
        <v>30</v>
      </c>
    </row>
    <row r="1674" spans="96:102" ht="15" customHeight="1">
      <c r="CR1674" s="103" t="s">
        <v>444</v>
      </c>
      <c r="CX1674" s="102" t="s">
        <v>30</v>
      </c>
    </row>
    <row r="1675" spans="96:102" ht="15" customHeight="1">
      <c r="CR1675" s="103" t="s">
        <v>445</v>
      </c>
      <c r="CX1675" s="102" t="s">
        <v>30</v>
      </c>
    </row>
    <row r="1676" spans="96:102" ht="15" customHeight="1">
      <c r="CR1676" s="103" t="s">
        <v>446</v>
      </c>
      <c r="CX1676" s="102" t="s">
        <v>30</v>
      </c>
    </row>
    <row r="1677" spans="96:102" ht="15" customHeight="1">
      <c r="CR1677" s="103" t="s">
        <v>453</v>
      </c>
      <c r="CX1677" s="102" t="s">
        <v>30</v>
      </c>
    </row>
    <row r="1678" spans="96:102" ht="15" customHeight="1">
      <c r="CR1678" s="103" t="s">
        <v>448</v>
      </c>
      <c r="CX1678" s="102" t="s">
        <v>30</v>
      </c>
    </row>
    <row r="1679" spans="96:102" ht="15" customHeight="1">
      <c r="CR1679" s="103" t="s">
        <v>449</v>
      </c>
      <c r="CX1679" s="102" t="s">
        <v>30</v>
      </c>
    </row>
    <row r="1680" spans="96:102" ht="15" customHeight="1">
      <c r="CR1680" s="103" t="s">
        <v>450</v>
      </c>
      <c r="CX1680" s="102" t="s">
        <v>30</v>
      </c>
    </row>
    <row r="1681" spans="96:102" ht="15" customHeight="1">
      <c r="CR1681" s="103" t="s">
        <v>810</v>
      </c>
      <c r="CX1681" s="102" t="s">
        <v>30</v>
      </c>
    </row>
    <row r="1682" spans="96:102" ht="15" customHeight="1">
      <c r="CR1682" s="103" t="s">
        <v>456</v>
      </c>
      <c r="CX1682" s="102" t="s">
        <v>30</v>
      </c>
    </row>
    <row r="1683" spans="96:102" ht="15" customHeight="1">
      <c r="CR1683" s="103" t="s">
        <v>457</v>
      </c>
      <c r="CX1683" s="102" t="s">
        <v>30</v>
      </c>
    </row>
    <row r="1684" spans="96:102" ht="15" customHeight="1">
      <c r="CR1684" s="103" t="s">
        <v>340</v>
      </c>
      <c r="CX1684" s="102" t="s">
        <v>30</v>
      </c>
    </row>
    <row r="1685" spans="96:102" ht="15" customHeight="1">
      <c r="CR1685" s="103" t="s">
        <v>272</v>
      </c>
      <c r="CX1685" s="102" t="s">
        <v>30</v>
      </c>
    </row>
    <row r="1686" spans="96:102" ht="15" customHeight="1">
      <c r="CR1686" s="103" t="s">
        <v>812</v>
      </c>
      <c r="CX1686" s="102" t="s">
        <v>30</v>
      </c>
    </row>
    <row r="1687" spans="96:102" ht="15" customHeight="1">
      <c r="CR1687" s="103" t="s">
        <v>279</v>
      </c>
      <c r="CX1687" s="102" t="s">
        <v>30</v>
      </c>
    </row>
    <row r="1688" spans="96:102" ht="15" customHeight="1">
      <c r="CR1688" s="103" t="s">
        <v>282</v>
      </c>
      <c r="CX1688" s="102" t="s">
        <v>30</v>
      </c>
    </row>
    <row r="1689" spans="96:102" ht="15" customHeight="1">
      <c r="CR1689" s="103" t="s">
        <v>813</v>
      </c>
      <c r="CX1689" s="102" t="s">
        <v>30</v>
      </c>
    </row>
    <row r="1690" spans="96:102" ht="15" customHeight="1">
      <c r="CR1690" s="103" t="s">
        <v>814</v>
      </c>
      <c r="CX1690" s="102" t="s">
        <v>30</v>
      </c>
    </row>
    <row r="1691" spans="96:102" ht="15" customHeight="1">
      <c r="CR1691" s="103" t="s">
        <v>815</v>
      </c>
      <c r="CX1691" s="102" t="s">
        <v>30</v>
      </c>
    </row>
    <row r="1692" spans="96:102" ht="15" customHeight="1">
      <c r="CR1692" s="103" t="s">
        <v>741</v>
      </c>
      <c r="CX1692" s="102" t="s">
        <v>30</v>
      </c>
    </row>
    <row r="1693" spans="96:102" ht="15" customHeight="1">
      <c r="CR1693" s="103" t="s">
        <v>803</v>
      </c>
      <c r="CX1693" s="102" t="s">
        <v>30</v>
      </c>
    </row>
    <row r="1694" spans="96:102" ht="15" customHeight="1">
      <c r="CR1694" s="103" t="s">
        <v>816</v>
      </c>
      <c r="CX1694" s="102" t="s">
        <v>30</v>
      </c>
    </row>
    <row r="1695" spans="96:102" ht="15" customHeight="1">
      <c r="CR1695" s="103" t="s">
        <v>817</v>
      </c>
      <c r="CX1695" s="102" t="s">
        <v>30</v>
      </c>
    </row>
    <row r="1696" spans="96:102" ht="15" customHeight="1">
      <c r="CR1696" s="103" t="s">
        <v>818</v>
      </c>
      <c r="CX1696" s="102" t="s">
        <v>30</v>
      </c>
    </row>
    <row r="1697" spans="96:102" ht="15" customHeight="1">
      <c r="CR1697" s="103" t="s">
        <v>819</v>
      </c>
      <c r="CX1697" s="102" t="s">
        <v>30</v>
      </c>
    </row>
    <row r="1698" spans="96:102" ht="15" customHeight="1">
      <c r="CR1698" s="103" t="s">
        <v>312</v>
      </c>
      <c r="CX1698" s="102" t="s">
        <v>30</v>
      </c>
    </row>
    <row r="1699" spans="96:102" ht="15" customHeight="1">
      <c r="CR1699" s="103" t="s">
        <v>820</v>
      </c>
      <c r="CX1699" s="102" t="s">
        <v>30</v>
      </c>
    </row>
    <row r="1700" spans="96:102" ht="15" customHeight="1">
      <c r="CR1700" s="103" t="s">
        <v>821</v>
      </c>
      <c r="CX1700" s="102" t="s">
        <v>30</v>
      </c>
    </row>
    <row r="1701" spans="96:102" ht="15" customHeight="1">
      <c r="CR1701" s="103" t="s">
        <v>321</v>
      </c>
      <c r="CX1701" s="102" t="s">
        <v>30</v>
      </c>
    </row>
    <row r="1702" spans="96:102" ht="15" customHeight="1">
      <c r="CR1702" s="103" t="s">
        <v>324</v>
      </c>
      <c r="CX1702" s="102" t="s">
        <v>30</v>
      </c>
    </row>
    <row r="1703" spans="96:102" ht="15" customHeight="1">
      <c r="CR1703" s="103" t="s">
        <v>327</v>
      </c>
      <c r="CX1703" s="102" t="s">
        <v>30</v>
      </c>
    </row>
    <row r="1704" spans="96:102" ht="15" customHeight="1">
      <c r="CR1704" s="103" t="s">
        <v>330</v>
      </c>
      <c r="CX1704" s="102" t="s">
        <v>30</v>
      </c>
    </row>
    <row r="1705" spans="96:102" ht="15" customHeight="1">
      <c r="CR1705" s="103" t="s">
        <v>333</v>
      </c>
      <c r="CX1705" s="102" t="s">
        <v>30</v>
      </c>
    </row>
    <row r="1706" spans="96:102" ht="15" customHeight="1">
      <c r="CR1706" s="103" t="s">
        <v>444</v>
      </c>
      <c r="CX1706" s="102" t="s">
        <v>30</v>
      </c>
    </row>
    <row r="1707" spans="96:102" ht="15" customHeight="1">
      <c r="CR1707" s="103" t="s">
        <v>445</v>
      </c>
      <c r="CX1707" s="102" t="s">
        <v>30</v>
      </c>
    </row>
    <row r="1708" spans="96:102" ht="15" customHeight="1">
      <c r="CR1708" s="103" t="s">
        <v>446</v>
      </c>
      <c r="CX1708" s="102" t="s">
        <v>30</v>
      </c>
    </row>
    <row r="1709" spans="96:102" ht="15" customHeight="1">
      <c r="CR1709" s="103" t="s">
        <v>453</v>
      </c>
      <c r="CX1709" s="102" t="s">
        <v>30</v>
      </c>
    </row>
    <row r="1710" spans="96:102" ht="15" customHeight="1">
      <c r="CR1710" s="103" t="s">
        <v>448</v>
      </c>
      <c r="CX1710" s="102" t="s">
        <v>30</v>
      </c>
    </row>
    <row r="1711" spans="96:102" ht="15" customHeight="1">
      <c r="CR1711" s="103" t="s">
        <v>449</v>
      </c>
      <c r="CX1711" s="102" t="s">
        <v>30</v>
      </c>
    </row>
    <row r="1712" spans="96:102" ht="15" customHeight="1">
      <c r="CR1712" s="103" t="s">
        <v>450</v>
      </c>
      <c r="CX1712" s="102" t="s">
        <v>30</v>
      </c>
    </row>
    <row r="1713" spans="96:102" ht="15" customHeight="1">
      <c r="CR1713" s="103" t="s">
        <v>822</v>
      </c>
      <c r="CX1713" s="102" t="s">
        <v>30</v>
      </c>
    </row>
    <row r="1714" spans="96:102" ht="15" customHeight="1">
      <c r="CR1714" s="103" t="s">
        <v>456</v>
      </c>
      <c r="CX1714" s="102" t="s">
        <v>30</v>
      </c>
    </row>
    <row r="1715" spans="96:102" ht="15" customHeight="1">
      <c r="CR1715" s="103" t="s">
        <v>457</v>
      </c>
      <c r="CX1715" s="102" t="s">
        <v>30</v>
      </c>
    </row>
    <row r="1716" spans="96:102" ht="15" customHeight="1">
      <c r="CR1716" s="103" t="s">
        <v>340</v>
      </c>
      <c r="CX1716" s="102" t="s">
        <v>30</v>
      </c>
    </row>
    <row r="1717" spans="96:102" ht="15" customHeight="1">
      <c r="CR1717" s="103" t="s">
        <v>272</v>
      </c>
      <c r="CX1717" s="102" t="s">
        <v>30</v>
      </c>
    </row>
    <row r="1718" spans="96:102" ht="15" customHeight="1">
      <c r="CR1718" s="103" t="s">
        <v>823</v>
      </c>
      <c r="CX1718" s="102" t="s">
        <v>30</v>
      </c>
    </row>
    <row r="1719" spans="96:102" ht="15" customHeight="1">
      <c r="CR1719" s="103" t="s">
        <v>279</v>
      </c>
      <c r="CX1719" s="102" t="s">
        <v>30</v>
      </c>
    </row>
    <row r="1720" spans="96:102" ht="15" customHeight="1">
      <c r="CR1720" s="103" t="s">
        <v>282</v>
      </c>
      <c r="CX1720" s="102" t="s">
        <v>30</v>
      </c>
    </row>
    <row r="1721" spans="96:102" ht="15" customHeight="1">
      <c r="CR1721" s="103" t="s">
        <v>824</v>
      </c>
      <c r="CX1721" s="102" t="s">
        <v>30</v>
      </c>
    </row>
    <row r="1722" spans="96:102" ht="15" customHeight="1">
      <c r="CR1722" s="103" t="s">
        <v>825</v>
      </c>
      <c r="CX1722" s="102" t="s">
        <v>30</v>
      </c>
    </row>
    <row r="1723" spans="96:102" ht="15" customHeight="1">
      <c r="CR1723" s="103" t="s">
        <v>826</v>
      </c>
      <c r="CX1723" s="102" t="s">
        <v>30</v>
      </c>
    </row>
    <row r="1724" spans="96:102" ht="15" customHeight="1">
      <c r="CR1724" s="103" t="s">
        <v>654</v>
      </c>
      <c r="CX1724" s="102" t="s">
        <v>30</v>
      </c>
    </row>
    <row r="1725" spans="96:102" ht="15" customHeight="1">
      <c r="CR1725" s="103" t="s">
        <v>827</v>
      </c>
      <c r="CX1725" s="102" t="s">
        <v>30</v>
      </c>
    </row>
    <row r="1726" spans="96:102" ht="15" customHeight="1">
      <c r="CR1726" s="103" t="s">
        <v>828</v>
      </c>
      <c r="CX1726" s="102" t="s">
        <v>30</v>
      </c>
    </row>
    <row r="1727" spans="96:102" ht="15" customHeight="1">
      <c r="CR1727" s="103" t="s">
        <v>829</v>
      </c>
      <c r="CX1727" s="102" t="s">
        <v>30</v>
      </c>
    </row>
    <row r="1728" spans="96:102" ht="15" customHeight="1">
      <c r="CR1728" s="103" t="s">
        <v>830</v>
      </c>
      <c r="CX1728" s="102" t="s">
        <v>30</v>
      </c>
    </row>
    <row r="1729" spans="96:102" ht="15" customHeight="1">
      <c r="CR1729" s="103" t="s">
        <v>831</v>
      </c>
      <c r="CX1729" s="102" t="s">
        <v>30</v>
      </c>
    </row>
    <row r="1730" spans="96:102" ht="15" customHeight="1">
      <c r="CR1730" s="103" t="s">
        <v>312</v>
      </c>
      <c r="CX1730" s="102" t="s">
        <v>30</v>
      </c>
    </row>
    <row r="1731" spans="96:102" ht="15" customHeight="1">
      <c r="CR1731" s="103" t="s">
        <v>832</v>
      </c>
      <c r="CX1731" s="102" t="s">
        <v>30</v>
      </c>
    </row>
    <row r="1732" spans="96:102" ht="15" customHeight="1">
      <c r="CR1732" s="103" t="s">
        <v>833</v>
      </c>
      <c r="CX1732" s="102" t="s">
        <v>30</v>
      </c>
    </row>
    <row r="1733" spans="96:102" ht="15" customHeight="1">
      <c r="CR1733" s="103" t="s">
        <v>552</v>
      </c>
      <c r="CX1733" s="102" t="s">
        <v>30</v>
      </c>
    </row>
    <row r="1734" spans="96:102" ht="15" customHeight="1">
      <c r="CR1734" s="103" t="s">
        <v>324</v>
      </c>
      <c r="CX1734" s="102" t="s">
        <v>30</v>
      </c>
    </row>
    <row r="1735" spans="96:102" ht="15" customHeight="1">
      <c r="CR1735" s="103" t="s">
        <v>327</v>
      </c>
      <c r="CX1735" s="102" t="s">
        <v>30</v>
      </c>
    </row>
    <row r="1736" spans="96:102" ht="15" customHeight="1">
      <c r="CR1736" s="103" t="s">
        <v>330</v>
      </c>
      <c r="CX1736" s="102" t="s">
        <v>30</v>
      </c>
    </row>
    <row r="1737" spans="96:102" ht="15" customHeight="1">
      <c r="CR1737" s="103" t="s">
        <v>333</v>
      </c>
      <c r="CX1737" s="102" t="s">
        <v>30</v>
      </c>
    </row>
    <row r="1738" spans="96:102" ht="15" customHeight="1">
      <c r="CR1738" s="103" t="s">
        <v>336</v>
      </c>
      <c r="CX1738" s="102" t="s">
        <v>30</v>
      </c>
    </row>
    <row r="1739" spans="96:102" ht="15" customHeight="1">
      <c r="CR1739" s="103" t="s">
        <v>340</v>
      </c>
      <c r="CX1739" s="102" t="s">
        <v>30</v>
      </c>
    </row>
    <row r="1740" spans="96:102" ht="15" customHeight="1">
      <c r="CR1740" s="103" t="s">
        <v>272</v>
      </c>
      <c r="CX1740" s="102" t="s">
        <v>30</v>
      </c>
    </row>
    <row r="1741" spans="96:102" ht="15" customHeight="1">
      <c r="CR1741" s="103" t="s">
        <v>834</v>
      </c>
      <c r="CX1741" s="102" t="s">
        <v>30</v>
      </c>
    </row>
    <row r="1742" spans="96:102" ht="15" customHeight="1">
      <c r="CR1742" s="103" t="s">
        <v>279</v>
      </c>
      <c r="CX1742" s="102" t="s">
        <v>30</v>
      </c>
    </row>
    <row r="1743" spans="96:102" ht="15" customHeight="1">
      <c r="CR1743" s="103" t="s">
        <v>282</v>
      </c>
      <c r="CX1743" s="102" t="s">
        <v>30</v>
      </c>
    </row>
    <row r="1744" spans="96:102" ht="15" customHeight="1">
      <c r="CR1744" s="103" t="s">
        <v>835</v>
      </c>
      <c r="CX1744" s="102" t="s">
        <v>30</v>
      </c>
    </row>
    <row r="1745" spans="96:102" ht="15" customHeight="1">
      <c r="CR1745" s="103" t="s">
        <v>836</v>
      </c>
      <c r="CX1745" s="102" t="s">
        <v>30</v>
      </c>
    </row>
    <row r="1746" spans="96:102" ht="15" customHeight="1">
      <c r="CR1746" s="103" t="s">
        <v>837</v>
      </c>
      <c r="CX1746" s="102" t="s">
        <v>30</v>
      </c>
    </row>
    <row r="1747" spans="96:102" ht="15" customHeight="1">
      <c r="CR1747" s="103" t="s">
        <v>661</v>
      </c>
      <c r="CX1747" s="102" t="s">
        <v>30</v>
      </c>
    </row>
    <row r="1748" spans="96:102" ht="15" customHeight="1">
      <c r="CR1748" s="103" t="s">
        <v>838</v>
      </c>
      <c r="CX1748" s="102" t="s">
        <v>30</v>
      </c>
    </row>
    <row r="1749" spans="96:102" ht="15" customHeight="1">
      <c r="CR1749" s="103" t="s">
        <v>839</v>
      </c>
      <c r="CX1749" s="102" t="s">
        <v>30</v>
      </c>
    </row>
    <row r="1750" spans="96:102" ht="15" customHeight="1">
      <c r="CR1750" s="103" t="s">
        <v>840</v>
      </c>
      <c r="CX1750" s="102" t="s">
        <v>30</v>
      </c>
    </row>
    <row r="1751" spans="96:102" ht="15" customHeight="1">
      <c r="CR1751" s="103" t="s">
        <v>841</v>
      </c>
      <c r="CX1751" s="102" t="s">
        <v>30</v>
      </c>
    </row>
    <row r="1752" spans="96:102" ht="15" customHeight="1">
      <c r="CR1752" s="103" t="s">
        <v>842</v>
      </c>
      <c r="CX1752" s="102" t="s">
        <v>30</v>
      </c>
    </row>
    <row r="1753" spans="96:102" ht="15" customHeight="1">
      <c r="CR1753" s="103" t="s">
        <v>312</v>
      </c>
      <c r="CX1753" s="102" t="s">
        <v>30</v>
      </c>
    </row>
    <row r="1754" spans="96:102" ht="15" customHeight="1">
      <c r="CR1754" s="103" t="s">
        <v>843</v>
      </c>
      <c r="CX1754" s="102" t="s">
        <v>30</v>
      </c>
    </row>
    <row r="1755" spans="96:102" ht="15" customHeight="1">
      <c r="CR1755" s="103" t="s">
        <v>844</v>
      </c>
      <c r="CX1755" s="102" t="s">
        <v>30</v>
      </c>
    </row>
    <row r="1756" spans="96:102" ht="15" customHeight="1">
      <c r="CR1756" s="103" t="s">
        <v>552</v>
      </c>
      <c r="CX1756" s="102" t="s">
        <v>30</v>
      </c>
    </row>
    <row r="1757" spans="96:102" ht="15" customHeight="1">
      <c r="CR1757" s="103" t="s">
        <v>324</v>
      </c>
      <c r="CX1757" s="102" t="s">
        <v>30</v>
      </c>
    </row>
    <row r="1758" spans="96:102" ht="15" customHeight="1">
      <c r="CR1758" s="103" t="s">
        <v>327</v>
      </c>
      <c r="CX1758" s="102" t="s">
        <v>30</v>
      </c>
    </row>
    <row r="1759" spans="96:102" ht="15" customHeight="1">
      <c r="CR1759" s="103" t="s">
        <v>330</v>
      </c>
      <c r="CX1759" s="102" t="s">
        <v>30</v>
      </c>
    </row>
    <row r="1760" spans="96:102" ht="15" customHeight="1">
      <c r="CR1760" s="103" t="s">
        <v>333</v>
      </c>
      <c r="CX1760" s="102" t="s">
        <v>30</v>
      </c>
    </row>
    <row r="1761" spans="96:102" ht="15" customHeight="1">
      <c r="CR1761" s="103" t="s">
        <v>336</v>
      </c>
      <c r="CX1761" s="102" t="s">
        <v>30</v>
      </c>
    </row>
    <row r="1762" spans="96:102" ht="15" customHeight="1">
      <c r="CR1762" s="103" t="s">
        <v>340</v>
      </c>
      <c r="CX1762" s="102" t="s">
        <v>30</v>
      </c>
    </row>
    <row r="1763" spans="96:102" ht="15" customHeight="1">
      <c r="CR1763" s="103" t="s">
        <v>272</v>
      </c>
      <c r="CX1763" s="102" t="s">
        <v>30</v>
      </c>
    </row>
    <row r="1764" spans="96:102" ht="15" customHeight="1">
      <c r="CR1764" s="103" t="s">
        <v>845</v>
      </c>
      <c r="CX1764" s="102" t="s">
        <v>30</v>
      </c>
    </row>
    <row r="1765" spans="96:102" ht="15" customHeight="1">
      <c r="CR1765" s="103" t="s">
        <v>279</v>
      </c>
      <c r="CX1765" s="102" t="s">
        <v>30</v>
      </c>
    </row>
    <row r="1766" spans="96:102" ht="15" customHeight="1">
      <c r="CR1766" s="103" t="s">
        <v>282</v>
      </c>
      <c r="CX1766" s="102" t="s">
        <v>30</v>
      </c>
    </row>
    <row r="1767" spans="96:102" ht="15" customHeight="1">
      <c r="CR1767" s="103" t="s">
        <v>846</v>
      </c>
      <c r="CX1767" s="102" t="s">
        <v>30</v>
      </c>
    </row>
    <row r="1768" spans="96:102" ht="15" customHeight="1">
      <c r="CR1768" s="103" t="s">
        <v>847</v>
      </c>
      <c r="CX1768" s="102" t="s">
        <v>30</v>
      </c>
    </row>
    <row r="1769" spans="96:102" ht="15" customHeight="1">
      <c r="CR1769" s="103" t="s">
        <v>848</v>
      </c>
      <c r="CX1769" s="102" t="s">
        <v>30</v>
      </c>
    </row>
    <row r="1770" spans="96:102" ht="15" customHeight="1">
      <c r="CR1770" s="103" t="s">
        <v>734</v>
      </c>
      <c r="CX1770" s="102" t="s">
        <v>30</v>
      </c>
    </row>
    <row r="1771" spans="96:102" ht="15" customHeight="1">
      <c r="CR1771" s="103" t="s">
        <v>849</v>
      </c>
      <c r="CX1771" s="102" t="s">
        <v>30</v>
      </c>
    </row>
    <row r="1772" spans="96:102" ht="15" customHeight="1">
      <c r="CR1772" s="103" t="s">
        <v>850</v>
      </c>
      <c r="CX1772" s="102" t="s">
        <v>30</v>
      </c>
    </row>
    <row r="1773" spans="96:102" ht="15" customHeight="1">
      <c r="CR1773" s="103" t="s">
        <v>851</v>
      </c>
      <c r="CX1773" s="102" t="s">
        <v>30</v>
      </c>
    </row>
    <row r="1774" spans="96:102" ht="15" customHeight="1">
      <c r="CR1774" s="103" t="s">
        <v>852</v>
      </c>
      <c r="CX1774" s="102" t="s">
        <v>30</v>
      </c>
    </row>
    <row r="1775" spans="96:102" ht="15" customHeight="1">
      <c r="CR1775" s="103" t="s">
        <v>853</v>
      </c>
      <c r="CX1775" s="102" t="s">
        <v>30</v>
      </c>
    </row>
    <row r="1776" spans="96:102" ht="15" customHeight="1">
      <c r="CR1776" s="103" t="s">
        <v>312</v>
      </c>
      <c r="CX1776" s="102" t="s">
        <v>30</v>
      </c>
    </row>
    <row r="1777" spans="96:102" ht="15" customHeight="1">
      <c r="CR1777" s="103" t="s">
        <v>854</v>
      </c>
      <c r="CX1777" s="102" t="s">
        <v>30</v>
      </c>
    </row>
    <row r="1778" spans="96:102" ht="15" customHeight="1">
      <c r="CR1778" s="103" t="s">
        <v>855</v>
      </c>
      <c r="CX1778" s="102" t="s">
        <v>30</v>
      </c>
    </row>
    <row r="1779" spans="96:102" ht="15" customHeight="1">
      <c r="CR1779" s="103" t="s">
        <v>321</v>
      </c>
      <c r="CX1779" s="102" t="s">
        <v>30</v>
      </c>
    </row>
    <row r="1780" spans="96:102" ht="15" customHeight="1">
      <c r="CR1780" s="103" t="s">
        <v>324</v>
      </c>
      <c r="CX1780" s="102" t="s">
        <v>30</v>
      </c>
    </row>
    <row r="1781" spans="96:102" ht="15" customHeight="1">
      <c r="CR1781" s="103" t="s">
        <v>327</v>
      </c>
      <c r="CX1781" s="102" t="s">
        <v>30</v>
      </c>
    </row>
    <row r="1782" spans="96:102" ht="15" customHeight="1">
      <c r="CR1782" s="103" t="s">
        <v>330</v>
      </c>
      <c r="CX1782" s="102" t="s">
        <v>30</v>
      </c>
    </row>
    <row r="1783" spans="96:102" ht="15" customHeight="1">
      <c r="CR1783" s="103" t="s">
        <v>333</v>
      </c>
      <c r="CX1783" s="102" t="s">
        <v>30</v>
      </c>
    </row>
    <row r="1784" spans="96:102" ht="15" customHeight="1">
      <c r="CR1784" s="103" t="s">
        <v>336</v>
      </c>
      <c r="CX1784" s="102" t="s">
        <v>30</v>
      </c>
    </row>
    <row r="1785" spans="96:102" ht="15" customHeight="1">
      <c r="CR1785" s="103" t="s">
        <v>340</v>
      </c>
      <c r="CX1785" s="102" t="s">
        <v>30</v>
      </c>
    </row>
    <row r="1786" spans="96:102" ht="15" customHeight="1">
      <c r="CR1786" s="103" t="s">
        <v>272</v>
      </c>
      <c r="CX1786" s="102" t="s">
        <v>30</v>
      </c>
    </row>
    <row r="1787" spans="96:102" ht="15" customHeight="1">
      <c r="CR1787" s="103" t="s">
        <v>856</v>
      </c>
      <c r="CX1787" s="102" t="s">
        <v>30</v>
      </c>
    </row>
    <row r="1788" spans="96:102" ht="15" customHeight="1">
      <c r="CR1788" s="103" t="s">
        <v>279</v>
      </c>
      <c r="CX1788" s="102" t="s">
        <v>30</v>
      </c>
    </row>
    <row r="1789" spans="96:102" ht="15" customHeight="1">
      <c r="CR1789" s="103" t="s">
        <v>282</v>
      </c>
      <c r="CX1789" s="102" t="s">
        <v>30</v>
      </c>
    </row>
    <row r="1790" spans="96:102" ht="15" customHeight="1">
      <c r="CR1790" s="103" t="s">
        <v>857</v>
      </c>
      <c r="CX1790" s="102" t="s">
        <v>30</v>
      </c>
    </row>
    <row r="1791" spans="96:102" ht="15" customHeight="1">
      <c r="CR1791" s="103" t="s">
        <v>858</v>
      </c>
      <c r="CX1791" s="102" t="s">
        <v>30</v>
      </c>
    </row>
    <row r="1792" spans="96:102" ht="15" customHeight="1">
      <c r="CR1792" s="103" t="s">
        <v>859</v>
      </c>
      <c r="CX1792" s="102" t="s">
        <v>30</v>
      </c>
    </row>
    <row r="1793" spans="96:102" ht="15" customHeight="1">
      <c r="CR1793" s="103" t="s">
        <v>860</v>
      </c>
      <c r="CX1793" s="102" t="s">
        <v>30</v>
      </c>
    </row>
    <row r="1794" spans="96:102" ht="15" customHeight="1">
      <c r="CR1794" s="103" t="s">
        <v>861</v>
      </c>
      <c r="CX1794" s="102" t="s">
        <v>30</v>
      </c>
    </row>
    <row r="1795" spans="96:102" ht="15" customHeight="1">
      <c r="CR1795" s="103" t="s">
        <v>862</v>
      </c>
      <c r="CX1795" s="102" t="s">
        <v>30</v>
      </c>
    </row>
    <row r="1796" spans="96:102" ht="15" customHeight="1">
      <c r="CR1796" s="103" t="s">
        <v>863</v>
      </c>
      <c r="CX1796" s="102" t="s">
        <v>30</v>
      </c>
    </row>
    <row r="1797" spans="96:102" ht="15" customHeight="1">
      <c r="CR1797" s="103" t="s">
        <v>864</v>
      </c>
      <c r="CX1797" s="102" t="s">
        <v>30</v>
      </c>
    </row>
    <row r="1798" spans="96:102" ht="15" customHeight="1">
      <c r="CR1798" s="103" t="s">
        <v>865</v>
      </c>
      <c r="CX1798" s="102" t="s">
        <v>30</v>
      </c>
    </row>
    <row r="1799" spans="96:102" ht="15" customHeight="1">
      <c r="CR1799" s="103" t="s">
        <v>312</v>
      </c>
      <c r="CX1799" s="102" t="s">
        <v>30</v>
      </c>
    </row>
    <row r="1800" spans="96:102" ht="15" customHeight="1">
      <c r="CR1800" s="103" t="s">
        <v>866</v>
      </c>
      <c r="CX1800" s="102" t="s">
        <v>30</v>
      </c>
    </row>
    <row r="1801" spans="96:102" ht="15" customHeight="1">
      <c r="CR1801" s="103" t="s">
        <v>867</v>
      </c>
      <c r="CX1801" s="102" t="s">
        <v>30</v>
      </c>
    </row>
    <row r="1802" spans="96:102" ht="15" customHeight="1">
      <c r="CR1802" s="103" t="s">
        <v>868</v>
      </c>
      <c r="CX1802" s="102" t="s">
        <v>30</v>
      </c>
    </row>
    <row r="1803" spans="96:102" ht="15" customHeight="1">
      <c r="CR1803" s="103" t="s">
        <v>324</v>
      </c>
      <c r="CX1803" s="102" t="s">
        <v>30</v>
      </c>
    </row>
    <row r="1804" spans="96:102" ht="15" customHeight="1">
      <c r="CR1804" s="103" t="s">
        <v>327</v>
      </c>
      <c r="CX1804" s="102" t="s">
        <v>30</v>
      </c>
    </row>
    <row r="1805" spans="96:102" ht="15" customHeight="1">
      <c r="CR1805" s="103" t="s">
        <v>554</v>
      </c>
      <c r="CX1805" s="102" t="s">
        <v>30</v>
      </c>
    </row>
    <row r="1806" spans="96:102" ht="15" customHeight="1">
      <c r="CR1806" s="103" t="s">
        <v>333</v>
      </c>
      <c r="CX1806" s="102" t="s">
        <v>30</v>
      </c>
    </row>
    <row r="1807" spans="96:102" ht="15" customHeight="1">
      <c r="CR1807" s="103" t="s">
        <v>336</v>
      </c>
      <c r="CX1807" s="102" t="s">
        <v>30</v>
      </c>
    </row>
    <row r="1808" spans="96:102" ht="15" customHeight="1">
      <c r="CR1808" s="103" t="s">
        <v>340</v>
      </c>
      <c r="CX1808" s="102" t="s">
        <v>30</v>
      </c>
    </row>
    <row r="1809" spans="96:102" ht="15" customHeight="1">
      <c r="CR1809" s="103" t="s">
        <v>272</v>
      </c>
      <c r="CX1809" s="102" t="s">
        <v>30</v>
      </c>
    </row>
    <row r="1810" spans="96:102" ht="15" customHeight="1">
      <c r="CR1810" s="103" t="s">
        <v>869</v>
      </c>
      <c r="CX1810" s="102" t="s">
        <v>30</v>
      </c>
    </row>
    <row r="1811" spans="96:102" ht="15" customHeight="1">
      <c r="CR1811" s="103" t="s">
        <v>279</v>
      </c>
      <c r="CX1811" s="102" t="s">
        <v>30</v>
      </c>
    </row>
    <row r="1812" spans="96:102" ht="15" customHeight="1">
      <c r="CR1812" s="103" t="s">
        <v>282</v>
      </c>
      <c r="CX1812" s="102" t="s">
        <v>30</v>
      </c>
    </row>
    <row r="1813" spans="96:102" ht="15" customHeight="1">
      <c r="CR1813" s="103" t="s">
        <v>870</v>
      </c>
      <c r="CX1813" s="102" t="s">
        <v>30</v>
      </c>
    </row>
    <row r="1814" spans="96:102" ht="15" customHeight="1">
      <c r="CR1814" s="103" t="s">
        <v>871</v>
      </c>
      <c r="CX1814" s="102" t="s">
        <v>30</v>
      </c>
    </row>
    <row r="1815" spans="96:102" ht="15" customHeight="1">
      <c r="CR1815" s="103" t="s">
        <v>872</v>
      </c>
      <c r="CX1815" s="102" t="s">
        <v>30</v>
      </c>
    </row>
    <row r="1816" spans="96:102" ht="15" customHeight="1">
      <c r="CR1816" s="103" t="s">
        <v>860</v>
      </c>
      <c r="CX1816" s="102" t="s">
        <v>30</v>
      </c>
    </row>
    <row r="1817" spans="96:102" ht="15" customHeight="1">
      <c r="CR1817" s="103" t="s">
        <v>861</v>
      </c>
      <c r="CX1817" s="102" t="s">
        <v>30</v>
      </c>
    </row>
    <row r="1818" spans="96:102" ht="15" customHeight="1">
      <c r="CR1818" s="103" t="s">
        <v>862</v>
      </c>
      <c r="CX1818" s="102" t="s">
        <v>30</v>
      </c>
    </row>
    <row r="1819" spans="96:102" ht="15" customHeight="1">
      <c r="CR1819" s="103" t="s">
        <v>873</v>
      </c>
      <c r="CX1819" s="102" t="s">
        <v>30</v>
      </c>
    </row>
    <row r="1820" spans="96:102" ht="15" customHeight="1">
      <c r="CR1820" s="103" t="s">
        <v>874</v>
      </c>
      <c r="CX1820" s="102" t="s">
        <v>30</v>
      </c>
    </row>
    <row r="1821" spans="96:102" ht="15" customHeight="1">
      <c r="CR1821" s="103" t="s">
        <v>875</v>
      </c>
      <c r="CX1821" s="102" t="s">
        <v>30</v>
      </c>
    </row>
    <row r="1822" spans="96:102" ht="15" customHeight="1">
      <c r="CR1822" s="103" t="s">
        <v>312</v>
      </c>
      <c r="CX1822" s="102" t="s">
        <v>30</v>
      </c>
    </row>
    <row r="1823" spans="96:102" ht="15" customHeight="1">
      <c r="CR1823" s="103" t="s">
        <v>876</v>
      </c>
      <c r="CX1823" s="102" t="s">
        <v>30</v>
      </c>
    </row>
    <row r="1824" spans="96:102" ht="15" customHeight="1">
      <c r="CR1824" s="103" t="s">
        <v>877</v>
      </c>
      <c r="CX1824" s="102" t="s">
        <v>30</v>
      </c>
    </row>
    <row r="1825" spans="96:102" ht="15" customHeight="1">
      <c r="CR1825" s="103" t="s">
        <v>868</v>
      </c>
      <c r="CX1825" s="102" t="s">
        <v>30</v>
      </c>
    </row>
    <row r="1826" spans="96:102" ht="15" customHeight="1">
      <c r="CR1826" s="103" t="s">
        <v>324</v>
      </c>
      <c r="CX1826" s="102" t="s">
        <v>30</v>
      </c>
    </row>
    <row r="1827" spans="96:102" ht="15" customHeight="1">
      <c r="CR1827" s="103" t="s">
        <v>327</v>
      </c>
      <c r="CX1827" s="102" t="s">
        <v>30</v>
      </c>
    </row>
    <row r="1828" spans="96:102" ht="15" customHeight="1">
      <c r="CR1828" s="103" t="s">
        <v>554</v>
      </c>
      <c r="CX1828" s="102" t="s">
        <v>30</v>
      </c>
    </row>
    <row r="1829" spans="96:102" ht="15" customHeight="1">
      <c r="CR1829" s="103" t="s">
        <v>333</v>
      </c>
      <c r="CX1829" s="102" t="s">
        <v>30</v>
      </c>
    </row>
    <row r="1830" spans="96:102" ht="15" customHeight="1">
      <c r="CR1830" s="103" t="s">
        <v>336</v>
      </c>
      <c r="CX1830" s="102" t="s">
        <v>30</v>
      </c>
    </row>
    <row r="1831" spans="96:102" ht="15" customHeight="1">
      <c r="CR1831" s="103" t="s">
        <v>340</v>
      </c>
      <c r="CX1831" s="102" t="s">
        <v>30</v>
      </c>
    </row>
    <row r="1832" spans="96:102" ht="15" customHeight="1">
      <c r="CR1832" s="103" t="s">
        <v>272</v>
      </c>
      <c r="CX1832" s="102" t="s">
        <v>30</v>
      </c>
    </row>
    <row r="1833" spans="96:102" ht="15" customHeight="1">
      <c r="CR1833" s="103" t="s">
        <v>878</v>
      </c>
      <c r="CX1833" s="102" t="s">
        <v>30</v>
      </c>
    </row>
    <row r="1834" spans="96:102" ht="15" customHeight="1">
      <c r="CR1834" s="103" t="s">
        <v>279</v>
      </c>
      <c r="CX1834" s="102" t="s">
        <v>30</v>
      </c>
    </row>
    <row r="1835" spans="96:102" ht="15" customHeight="1">
      <c r="CR1835" s="103" t="s">
        <v>282</v>
      </c>
      <c r="CX1835" s="102" t="s">
        <v>30</v>
      </c>
    </row>
    <row r="1836" spans="96:102" ht="15" customHeight="1">
      <c r="CR1836" s="103" t="s">
        <v>879</v>
      </c>
      <c r="CX1836" s="102" t="s">
        <v>30</v>
      </c>
    </row>
    <row r="1837" spans="96:102" ht="15" customHeight="1">
      <c r="CR1837" s="103" t="s">
        <v>880</v>
      </c>
      <c r="CX1837" s="102" t="s">
        <v>30</v>
      </c>
    </row>
    <row r="1838" spans="96:102" ht="15" customHeight="1">
      <c r="CR1838" s="103" t="s">
        <v>881</v>
      </c>
      <c r="CX1838" s="102" t="s">
        <v>30</v>
      </c>
    </row>
    <row r="1839" spans="96:102" ht="15" customHeight="1">
      <c r="CR1839" s="103" t="s">
        <v>860</v>
      </c>
      <c r="CX1839" s="102" t="s">
        <v>30</v>
      </c>
    </row>
    <row r="1840" spans="96:102" ht="15" customHeight="1">
      <c r="CR1840" s="103" t="s">
        <v>861</v>
      </c>
      <c r="CX1840" s="102" t="s">
        <v>30</v>
      </c>
    </row>
    <row r="1841" spans="96:102" ht="15" customHeight="1">
      <c r="CR1841" s="103" t="s">
        <v>862</v>
      </c>
      <c r="CX1841" s="102" t="s">
        <v>30</v>
      </c>
    </row>
    <row r="1842" spans="96:102" ht="15" customHeight="1">
      <c r="CR1842" s="103" t="s">
        <v>882</v>
      </c>
      <c r="CX1842" s="102" t="s">
        <v>30</v>
      </c>
    </row>
    <row r="1843" spans="96:102" ht="15" customHeight="1">
      <c r="CR1843" s="103" t="s">
        <v>883</v>
      </c>
      <c r="CX1843" s="102" t="s">
        <v>30</v>
      </c>
    </row>
    <row r="1844" spans="96:102" ht="15" customHeight="1">
      <c r="CR1844" s="103" t="s">
        <v>884</v>
      </c>
      <c r="CX1844" s="102" t="s">
        <v>30</v>
      </c>
    </row>
    <row r="1845" spans="96:102" ht="15" customHeight="1">
      <c r="CR1845" s="103" t="s">
        <v>312</v>
      </c>
      <c r="CX1845" s="102" t="s">
        <v>30</v>
      </c>
    </row>
    <row r="1846" spans="96:102" ht="15" customHeight="1">
      <c r="CR1846" s="103" t="s">
        <v>885</v>
      </c>
      <c r="CX1846" s="102" t="s">
        <v>30</v>
      </c>
    </row>
    <row r="1847" spans="96:102" ht="15" customHeight="1">
      <c r="CR1847" s="103" t="s">
        <v>886</v>
      </c>
      <c r="CX1847" s="102" t="s">
        <v>30</v>
      </c>
    </row>
    <row r="1848" spans="96:102" ht="15" customHeight="1">
      <c r="CR1848" s="103" t="s">
        <v>868</v>
      </c>
      <c r="CX1848" s="102" t="s">
        <v>30</v>
      </c>
    </row>
    <row r="1849" spans="96:102" ht="15" customHeight="1">
      <c r="CR1849" s="103" t="s">
        <v>324</v>
      </c>
      <c r="CX1849" s="102" t="s">
        <v>30</v>
      </c>
    </row>
    <row r="1850" spans="96:102" ht="15" customHeight="1">
      <c r="CR1850" s="103" t="s">
        <v>327</v>
      </c>
      <c r="CX1850" s="102" t="s">
        <v>30</v>
      </c>
    </row>
    <row r="1851" spans="96:102" ht="15" customHeight="1">
      <c r="CR1851" s="103" t="s">
        <v>554</v>
      </c>
      <c r="CX1851" s="102" t="s">
        <v>30</v>
      </c>
    </row>
    <row r="1852" spans="96:102" ht="15" customHeight="1">
      <c r="CR1852" s="103" t="s">
        <v>333</v>
      </c>
      <c r="CX1852" s="102" t="s">
        <v>30</v>
      </c>
    </row>
    <row r="1853" spans="96:102" ht="15" customHeight="1">
      <c r="CR1853" s="103" t="s">
        <v>336</v>
      </c>
      <c r="CX1853" s="102" t="s">
        <v>30</v>
      </c>
    </row>
    <row r="1854" spans="96:102" ht="15" customHeight="1">
      <c r="CR1854" s="103" t="s">
        <v>340</v>
      </c>
      <c r="CX1854" s="102" t="s">
        <v>30</v>
      </c>
    </row>
    <row r="1855" spans="96:102" ht="15" customHeight="1">
      <c r="CR1855" s="103" t="s">
        <v>272</v>
      </c>
      <c r="CX1855" s="102" t="s">
        <v>30</v>
      </c>
    </row>
    <row r="1856" spans="96:102" ht="15" customHeight="1">
      <c r="CR1856" s="103" t="s">
        <v>887</v>
      </c>
      <c r="CX1856" s="102" t="s">
        <v>30</v>
      </c>
    </row>
    <row r="1857" spans="96:102" ht="15" customHeight="1">
      <c r="CR1857" s="103" t="s">
        <v>279</v>
      </c>
      <c r="CX1857" s="102" t="s">
        <v>30</v>
      </c>
    </row>
    <row r="1858" spans="96:102" ht="15" customHeight="1">
      <c r="CR1858" s="103" t="s">
        <v>282</v>
      </c>
      <c r="CX1858" s="102" t="s">
        <v>30</v>
      </c>
    </row>
    <row r="1859" spans="96:102" ht="15" customHeight="1">
      <c r="CR1859" s="103" t="s">
        <v>888</v>
      </c>
      <c r="CX1859" s="102" t="s">
        <v>30</v>
      </c>
    </row>
    <row r="1860" spans="96:102" ht="15" customHeight="1">
      <c r="CR1860" s="103" t="s">
        <v>889</v>
      </c>
      <c r="CX1860" s="102" t="s">
        <v>30</v>
      </c>
    </row>
    <row r="1861" spans="96:102" ht="15" customHeight="1">
      <c r="CR1861" s="103" t="s">
        <v>890</v>
      </c>
      <c r="CX1861" s="102" t="s">
        <v>30</v>
      </c>
    </row>
    <row r="1862" spans="96:102" ht="15" customHeight="1">
      <c r="CR1862" s="103" t="s">
        <v>891</v>
      </c>
      <c r="CX1862" s="102" t="s">
        <v>30</v>
      </c>
    </row>
    <row r="1863" spans="96:102" ht="15" customHeight="1">
      <c r="CR1863" s="103" t="s">
        <v>788</v>
      </c>
      <c r="CX1863" s="102" t="s">
        <v>30</v>
      </c>
    </row>
    <row r="1864" spans="96:102" ht="15" customHeight="1">
      <c r="CR1864" s="103" t="s">
        <v>618</v>
      </c>
      <c r="CX1864" s="102" t="s">
        <v>30</v>
      </c>
    </row>
    <row r="1865" spans="96:102" ht="15" customHeight="1">
      <c r="CR1865" s="103" t="s">
        <v>892</v>
      </c>
      <c r="CX1865" s="102" t="s">
        <v>30</v>
      </c>
    </row>
    <row r="1866" spans="96:102" ht="15" customHeight="1">
      <c r="CR1866" s="103" t="s">
        <v>893</v>
      </c>
      <c r="CX1866" s="102" t="s">
        <v>30</v>
      </c>
    </row>
    <row r="1867" spans="96:102" ht="15" customHeight="1">
      <c r="CR1867" s="103" t="s">
        <v>894</v>
      </c>
      <c r="CX1867" s="102" t="s">
        <v>30</v>
      </c>
    </row>
    <row r="1868" spans="96:102" ht="15" customHeight="1">
      <c r="CR1868" s="103" t="s">
        <v>312</v>
      </c>
      <c r="CX1868" s="102" t="s">
        <v>30</v>
      </c>
    </row>
    <row r="1869" spans="96:102" ht="15" customHeight="1">
      <c r="CR1869" s="103" t="s">
        <v>895</v>
      </c>
      <c r="CX1869" s="102" t="s">
        <v>30</v>
      </c>
    </row>
    <row r="1870" spans="96:102" ht="15" customHeight="1">
      <c r="CR1870" s="103" t="s">
        <v>896</v>
      </c>
      <c r="CX1870" s="102" t="s">
        <v>30</v>
      </c>
    </row>
    <row r="1871" spans="96:102" ht="15" customHeight="1">
      <c r="CR1871" s="103" t="s">
        <v>868</v>
      </c>
      <c r="CX1871" s="102" t="s">
        <v>30</v>
      </c>
    </row>
    <row r="1872" spans="96:102" ht="15" customHeight="1">
      <c r="CR1872" s="103" t="s">
        <v>324</v>
      </c>
      <c r="CX1872" s="102" t="s">
        <v>30</v>
      </c>
    </row>
    <row r="1873" spans="96:102" ht="15" customHeight="1">
      <c r="CR1873" s="103" t="s">
        <v>327</v>
      </c>
      <c r="CX1873" s="102" t="s">
        <v>30</v>
      </c>
    </row>
    <row r="1874" spans="96:102" ht="15" customHeight="1">
      <c r="CR1874" s="103" t="s">
        <v>554</v>
      </c>
      <c r="CX1874" s="102" t="s">
        <v>30</v>
      </c>
    </row>
    <row r="1875" spans="96:102" ht="15" customHeight="1">
      <c r="CR1875" s="103" t="s">
        <v>333</v>
      </c>
      <c r="CX1875" s="102" t="s">
        <v>30</v>
      </c>
    </row>
    <row r="1876" spans="96:102" ht="15" customHeight="1">
      <c r="CR1876" s="103" t="s">
        <v>336</v>
      </c>
      <c r="CX1876" s="102" t="s">
        <v>30</v>
      </c>
    </row>
    <row r="1877" spans="96:102" ht="15" customHeight="1">
      <c r="CR1877" s="103" t="s">
        <v>340</v>
      </c>
      <c r="CX1877" s="102" t="s">
        <v>30</v>
      </c>
    </row>
    <row r="1878" spans="96:102" ht="15" customHeight="1">
      <c r="CR1878" s="103" t="s">
        <v>272</v>
      </c>
      <c r="CX1878" s="102" t="s">
        <v>30</v>
      </c>
    </row>
    <row r="1879" spans="96:102" ht="15" customHeight="1">
      <c r="CR1879" s="103" t="s">
        <v>897</v>
      </c>
      <c r="CX1879" s="102" t="s">
        <v>30</v>
      </c>
    </row>
    <row r="1880" spans="96:102" ht="15" customHeight="1">
      <c r="CR1880" s="103" t="s">
        <v>279</v>
      </c>
      <c r="CX1880" s="102" t="s">
        <v>30</v>
      </c>
    </row>
    <row r="1881" spans="96:102" ht="15" customHeight="1">
      <c r="CR1881" s="103" t="s">
        <v>282</v>
      </c>
      <c r="CX1881" s="102" t="s">
        <v>30</v>
      </c>
    </row>
    <row r="1882" spans="96:102" ht="15" customHeight="1">
      <c r="CR1882" s="103" t="s">
        <v>898</v>
      </c>
      <c r="CX1882" s="102" t="s">
        <v>30</v>
      </c>
    </row>
    <row r="1883" spans="96:102" ht="15" customHeight="1">
      <c r="CR1883" s="103" t="s">
        <v>899</v>
      </c>
      <c r="CX1883" s="102" t="s">
        <v>30</v>
      </c>
    </row>
    <row r="1884" spans="96:102" ht="15" customHeight="1">
      <c r="CR1884" s="103" t="s">
        <v>900</v>
      </c>
      <c r="CX1884" s="102" t="s">
        <v>30</v>
      </c>
    </row>
    <row r="1885" spans="96:102" ht="15" customHeight="1">
      <c r="CR1885" s="103" t="s">
        <v>860</v>
      </c>
      <c r="CX1885" s="102" t="s">
        <v>30</v>
      </c>
    </row>
    <row r="1886" spans="96:102" ht="15" customHeight="1">
      <c r="CR1886" s="103" t="s">
        <v>861</v>
      </c>
      <c r="CX1886" s="102" t="s">
        <v>30</v>
      </c>
    </row>
    <row r="1887" spans="96:102" ht="15" customHeight="1">
      <c r="CR1887" s="103" t="s">
        <v>901</v>
      </c>
      <c r="CX1887" s="102" t="s">
        <v>30</v>
      </c>
    </row>
    <row r="1888" spans="96:102" ht="15" customHeight="1">
      <c r="CR1888" s="103" t="s">
        <v>902</v>
      </c>
      <c r="CX1888" s="102" t="s">
        <v>30</v>
      </c>
    </row>
    <row r="1889" spans="96:102" ht="15" customHeight="1">
      <c r="CR1889" s="103" t="s">
        <v>903</v>
      </c>
      <c r="CX1889" s="102" t="s">
        <v>30</v>
      </c>
    </row>
    <row r="1890" spans="96:102" ht="15" customHeight="1">
      <c r="CR1890" s="103" t="s">
        <v>904</v>
      </c>
      <c r="CX1890" s="102" t="s">
        <v>30</v>
      </c>
    </row>
    <row r="1891" spans="96:102" ht="15" customHeight="1">
      <c r="CR1891" s="103" t="s">
        <v>312</v>
      </c>
      <c r="CX1891" s="102" t="s">
        <v>30</v>
      </c>
    </row>
    <row r="1892" spans="96:102" ht="15" customHeight="1">
      <c r="CR1892" s="103" t="s">
        <v>905</v>
      </c>
      <c r="CX1892" s="102" t="s">
        <v>30</v>
      </c>
    </row>
    <row r="1893" spans="96:102" ht="15" customHeight="1">
      <c r="CR1893" s="103" t="s">
        <v>906</v>
      </c>
      <c r="CX1893" s="102" t="s">
        <v>30</v>
      </c>
    </row>
    <row r="1894" spans="96:102" ht="15" customHeight="1">
      <c r="CR1894" s="103" t="s">
        <v>868</v>
      </c>
      <c r="CX1894" s="102" t="s">
        <v>30</v>
      </c>
    </row>
    <row r="1895" spans="96:102" ht="15" customHeight="1">
      <c r="CR1895" s="103" t="s">
        <v>324</v>
      </c>
      <c r="CX1895" s="102" t="s">
        <v>30</v>
      </c>
    </row>
    <row r="1896" spans="96:102" ht="15" customHeight="1">
      <c r="CR1896" s="103" t="s">
        <v>327</v>
      </c>
      <c r="CX1896" s="102" t="s">
        <v>30</v>
      </c>
    </row>
    <row r="1897" spans="96:102" ht="15" customHeight="1">
      <c r="CR1897" s="103" t="s">
        <v>554</v>
      </c>
      <c r="CX1897" s="102" t="s">
        <v>30</v>
      </c>
    </row>
    <row r="1898" spans="96:102" ht="15" customHeight="1">
      <c r="CR1898" s="103" t="s">
        <v>333</v>
      </c>
      <c r="CX1898" s="102" t="s">
        <v>30</v>
      </c>
    </row>
    <row r="1899" spans="96:102" ht="15" customHeight="1">
      <c r="CR1899" s="103" t="s">
        <v>336</v>
      </c>
      <c r="CX1899" s="102" t="s">
        <v>30</v>
      </c>
    </row>
    <row r="1900" spans="96:102" ht="15" customHeight="1">
      <c r="CR1900" s="103" t="s">
        <v>340</v>
      </c>
      <c r="CX1900" s="102" t="s">
        <v>30</v>
      </c>
    </row>
    <row r="1901" spans="96:102" ht="15" customHeight="1">
      <c r="CR1901" s="103" t="s">
        <v>272</v>
      </c>
      <c r="CX1901" s="102" t="s">
        <v>30</v>
      </c>
    </row>
    <row r="1902" spans="96:102" ht="15" customHeight="1">
      <c r="CR1902" s="103" t="s">
        <v>907</v>
      </c>
      <c r="CX1902" s="102" t="s">
        <v>30</v>
      </c>
    </row>
    <row r="1903" spans="96:102" ht="15" customHeight="1">
      <c r="CR1903" s="103" t="s">
        <v>279</v>
      </c>
      <c r="CX1903" s="102" t="s">
        <v>30</v>
      </c>
    </row>
    <row r="1904" spans="96:102" ht="15" customHeight="1">
      <c r="CR1904" s="103" t="s">
        <v>282</v>
      </c>
      <c r="CX1904" s="102" t="s">
        <v>30</v>
      </c>
    </row>
    <row r="1905" spans="96:102" ht="15" customHeight="1">
      <c r="CR1905" s="103" t="s">
        <v>908</v>
      </c>
      <c r="CX1905" s="102" t="s">
        <v>30</v>
      </c>
    </row>
    <row r="1906" spans="96:102" ht="15" customHeight="1">
      <c r="CR1906" s="103" t="s">
        <v>909</v>
      </c>
      <c r="CX1906" s="102" t="s">
        <v>30</v>
      </c>
    </row>
    <row r="1907" spans="96:102" ht="15" customHeight="1">
      <c r="CR1907" s="103" t="s">
        <v>910</v>
      </c>
      <c r="CX1907" s="102" t="s">
        <v>30</v>
      </c>
    </row>
    <row r="1908" spans="96:102" ht="15" customHeight="1">
      <c r="CR1908" s="103" t="s">
        <v>646</v>
      </c>
      <c r="CX1908" s="102" t="s">
        <v>30</v>
      </c>
    </row>
    <row r="1909" spans="96:102" ht="15" customHeight="1">
      <c r="CR1909" s="103" t="s">
        <v>911</v>
      </c>
      <c r="CX1909" s="102" t="s">
        <v>30</v>
      </c>
    </row>
    <row r="1910" spans="96:102" ht="15" customHeight="1">
      <c r="CR1910" s="103" t="s">
        <v>912</v>
      </c>
      <c r="CX1910" s="102" t="s">
        <v>30</v>
      </c>
    </row>
    <row r="1911" spans="96:102" ht="15" customHeight="1">
      <c r="CR1911" s="103" t="s">
        <v>913</v>
      </c>
      <c r="CX1911" s="102" t="s">
        <v>30</v>
      </c>
    </row>
    <row r="1912" spans="96:102" ht="15" customHeight="1">
      <c r="CR1912" s="103" t="s">
        <v>914</v>
      </c>
      <c r="CX1912" s="102" t="s">
        <v>30</v>
      </c>
    </row>
    <row r="1913" spans="96:102" ht="15" customHeight="1">
      <c r="CR1913" s="103" t="s">
        <v>915</v>
      </c>
      <c r="CX1913" s="102" t="s">
        <v>30</v>
      </c>
    </row>
    <row r="1914" spans="96:102" ht="15" customHeight="1">
      <c r="CR1914" s="103" t="s">
        <v>312</v>
      </c>
      <c r="CX1914" s="102" t="s">
        <v>30</v>
      </c>
    </row>
    <row r="1915" spans="96:102" ht="15" customHeight="1">
      <c r="CR1915" s="103" t="s">
        <v>916</v>
      </c>
      <c r="CX1915" s="102" t="s">
        <v>30</v>
      </c>
    </row>
    <row r="1916" spans="96:102" ht="15" customHeight="1">
      <c r="CR1916" s="103" t="s">
        <v>917</v>
      </c>
      <c r="CX1916" s="102" t="s">
        <v>30</v>
      </c>
    </row>
    <row r="1917" spans="96:102" ht="15" customHeight="1">
      <c r="CR1917" s="103" t="s">
        <v>650</v>
      </c>
      <c r="CX1917" s="102" t="s">
        <v>30</v>
      </c>
    </row>
    <row r="1918" spans="96:102" ht="15" customHeight="1">
      <c r="CR1918" s="103" t="s">
        <v>324</v>
      </c>
      <c r="CX1918" s="102" t="s">
        <v>30</v>
      </c>
    </row>
    <row r="1919" spans="96:102" ht="15" customHeight="1">
      <c r="CR1919" s="103" t="s">
        <v>327</v>
      </c>
      <c r="CX1919" s="102" t="s">
        <v>30</v>
      </c>
    </row>
    <row r="1920" spans="96:102" ht="15" customHeight="1">
      <c r="CR1920" s="103" t="s">
        <v>554</v>
      </c>
      <c r="CX1920" s="102" t="s">
        <v>30</v>
      </c>
    </row>
    <row r="1921" spans="96:102" ht="15" customHeight="1">
      <c r="CR1921" s="103" t="s">
        <v>333</v>
      </c>
      <c r="CX1921" s="102" t="s">
        <v>30</v>
      </c>
    </row>
    <row r="1922" spans="96:102" ht="15" customHeight="1">
      <c r="CR1922" s="103" t="s">
        <v>336</v>
      </c>
      <c r="CX1922" s="102" t="s">
        <v>30</v>
      </c>
    </row>
    <row r="1923" spans="96:102" ht="15" customHeight="1">
      <c r="CR1923" s="103" t="s">
        <v>340</v>
      </c>
      <c r="CX1923" s="102" t="s">
        <v>30</v>
      </c>
    </row>
    <row r="1924" spans="96:102" ht="15" customHeight="1">
      <c r="CR1924" s="103" t="s">
        <v>272</v>
      </c>
      <c r="CX1924" s="102" t="s">
        <v>30</v>
      </c>
    </row>
    <row r="1925" spans="96:102" ht="15" customHeight="1">
      <c r="CR1925" s="103" t="s">
        <v>918</v>
      </c>
      <c r="CX1925" s="102" t="s">
        <v>30</v>
      </c>
    </row>
    <row r="1926" spans="96:102" ht="15" customHeight="1">
      <c r="CR1926" s="103" t="s">
        <v>279</v>
      </c>
      <c r="CX1926" s="102" t="s">
        <v>30</v>
      </c>
    </row>
    <row r="1927" spans="96:102" ht="15" customHeight="1">
      <c r="CR1927" s="103" t="s">
        <v>282</v>
      </c>
      <c r="CX1927" s="102" t="s">
        <v>30</v>
      </c>
    </row>
    <row r="1928" spans="96:102" ht="15" customHeight="1">
      <c r="CR1928" s="103" t="s">
        <v>919</v>
      </c>
      <c r="CX1928" s="102" t="s">
        <v>30</v>
      </c>
    </row>
    <row r="1929" spans="96:102" ht="15" customHeight="1">
      <c r="CR1929" s="103" t="s">
        <v>920</v>
      </c>
      <c r="CX1929" s="102" t="s">
        <v>30</v>
      </c>
    </row>
    <row r="1930" spans="96:102" ht="15" customHeight="1">
      <c r="CR1930" s="103" t="s">
        <v>921</v>
      </c>
      <c r="CX1930" s="102" t="s">
        <v>30</v>
      </c>
    </row>
    <row r="1931" spans="96:102" ht="15" customHeight="1">
      <c r="CR1931" s="103" t="s">
        <v>706</v>
      </c>
      <c r="CX1931" s="102" t="s">
        <v>30</v>
      </c>
    </row>
    <row r="1932" spans="96:102" ht="15" customHeight="1">
      <c r="CR1932" s="103" t="s">
        <v>922</v>
      </c>
      <c r="CX1932" s="102" t="s">
        <v>30</v>
      </c>
    </row>
    <row r="1933" spans="96:102" ht="15" customHeight="1">
      <c r="CR1933" s="103" t="s">
        <v>923</v>
      </c>
      <c r="CX1933" s="102" t="s">
        <v>30</v>
      </c>
    </row>
    <row r="1934" spans="96:102" ht="15" customHeight="1">
      <c r="CR1934" s="103" t="s">
        <v>924</v>
      </c>
      <c r="CX1934" s="102" t="s">
        <v>30</v>
      </c>
    </row>
    <row r="1935" spans="96:102" ht="15" customHeight="1">
      <c r="CR1935" s="103" t="s">
        <v>925</v>
      </c>
      <c r="CX1935" s="102" t="s">
        <v>30</v>
      </c>
    </row>
    <row r="1936" spans="96:102" ht="15" customHeight="1">
      <c r="CR1936" s="103" t="s">
        <v>926</v>
      </c>
      <c r="CX1936" s="102" t="s">
        <v>30</v>
      </c>
    </row>
    <row r="1937" spans="96:102" ht="15" customHeight="1">
      <c r="CR1937" s="103" t="s">
        <v>312</v>
      </c>
      <c r="CX1937" s="102" t="s">
        <v>30</v>
      </c>
    </row>
    <row r="1938" spans="96:102" ht="15" customHeight="1">
      <c r="CR1938" s="103" t="s">
        <v>927</v>
      </c>
      <c r="CX1938" s="102" t="s">
        <v>30</v>
      </c>
    </row>
    <row r="1939" spans="96:102" ht="15" customHeight="1">
      <c r="CR1939" s="103" t="s">
        <v>928</v>
      </c>
      <c r="CX1939" s="102" t="s">
        <v>30</v>
      </c>
    </row>
    <row r="1940" spans="96:102" ht="15" customHeight="1">
      <c r="CR1940" s="103" t="s">
        <v>650</v>
      </c>
      <c r="CX1940" s="102" t="s">
        <v>30</v>
      </c>
    </row>
    <row r="1941" spans="96:102" ht="15" customHeight="1">
      <c r="CR1941" s="103" t="s">
        <v>324</v>
      </c>
      <c r="CX1941" s="102" t="s">
        <v>30</v>
      </c>
    </row>
    <row r="1942" spans="96:102" ht="15" customHeight="1">
      <c r="CR1942" s="103" t="s">
        <v>553</v>
      </c>
      <c r="CX1942" s="102" t="s">
        <v>30</v>
      </c>
    </row>
    <row r="1943" spans="96:102" ht="15" customHeight="1">
      <c r="CR1943" s="103" t="s">
        <v>554</v>
      </c>
      <c r="CX1943" s="102" t="s">
        <v>30</v>
      </c>
    </row>
    <row r="1944" spans="96:102" ht="15" customHeight="1">
      <c r="CR1944" s="103" t="s">
        <v>333</v>
      </c>
      <c r="CX1944" s="102" t="s">
        <v>30</v>
      </c>
    </row>
    <row r="1945" spans="96:102" ht="15" customHeight="1">
      <c r="CR1945" s="103" t="s">
        <v>336</v>
      </c>
      <c r="CX1945" s="102" t="s">
        <v>30</v>
      </c>
    </row>
    <row r="1946" spans="96:102" ht="15" customHeight="1">
      <c r="CR1946" s="103" t="s">
        <v>340</v>
      </c>
      <c r="CX1946" s="102" t="s">
        <v>30</v>
      </c>
    </row>
    <row r="1947" spans="96:102" ht="15" customHeight="1">
      <c r="CR1947" s="103" t="s">
        <v>272</v>
      </c>
      <c r="CX1947" s="102" t="s">
        <v>30</v>
      </c>
    </row>
    <row r="1948" spans="96:102" ht="15" customHeight="1">
      <c r="CR1948" s="103" t="s">
        <v>929</v>
      </c>
      <c r="CX1948" s="102" t="s">
        <v>30</v>
      </c>
    </row>
    <row r="1949" spans="96:102" ht="15" customHeight="1">
      <c r="CR1949" s="103" t="s">
        <v>279</v>
      </c>
      <c r="CX1949" s="102" t="s">
        <v>30</v>
      </c>
    </row>
    <row r="1950" spans="96:102" ht="15" customHeight="1">
      <c r="CR1950" s="103" t="s">
        <v>282</v>
      </c>
      <c r="CX1950" s="102" t="s">
        <v>30</v>
      </c>
    </row>
    <row r="1951" spans="96:102" ht="15" customHeight="1">
      <c r="CR1951" s="103" t="s">
        <v>930</v>
      </c>
      <c r="CX1951" s="102" t="s">
        <v>30</v>
      </c>
    </row>
    <row r="1952" spans="96:102" ht="15" customHeight="1">
      <c r="CR1952" s="103" t="s">
        <v>931</v>
      </c>
      <c r="CX1952" s="102" t="s">
        <v>30</v>
      </c>
    </row>
    <row r="1953" spans="96:102" ht="15" customHeight="1">
      <c r="CR1953" s="103" t="s">
        <v>932</v>
      </c>
      <c r="CX1953" s="102" t="s">
        <v>30</v>
      </c>
    </row>
    <row r="1954" spans="96:102" ht="15" customHeight="1">
      <c r="CR1954" s="103" t="s">
        <v>706</v>
      </c>
      <c r="CX1954" s="102" t="s">
        <v>30</v>
      </c>
    </row>
    <row r="1955" spans="96:102" ht="15" customHeight="1">
      <c r="CR1955" s="103" t="s">
        <v>922</v>
      </c>
      <c r="CX1955" s="102" t="s">
        <v>30</v>
      </c>
    </row>
    <row r="1956" spans="96:102" ht="15" customHeight="1">
      <c r="CR1956" s="103" t="s">
        <v>933</v>
      </c>
      <c r="CX1956" s="102" t="s">
        <v>30</v>
      </c>
    </row>
    <row r="1957" spans="96:102" ht="15" customHeight="1">
      <c r="CR1957" s="103" t="s">
        <v>934</v>
      </c>
      <c r="CX1957" s="102" t="s">
        <v>30</v>
      </c>
    </row>
    <row r="1958" spans="96:102" ht="15" customHeight="1">
      <c r="CR1958" s="103" t="s">
        <v>935</v>
      </c>
      <c r="CX1958" s="102" t="s">
        <v>30</v>
      </c>
    </row>
    <row r="1959" spans="96:102" ht="15" customHeight="1">
      <c r="CR1959" s="103" t="s">
        <v>936</v>
      </c>
      <c r="CX1959" s="102" t="s">
        <v>30</v>
      </c>
    </row>
    <row r="1960" spans="96:102" ht="15" customHeight="1">
      <c r="CR1960" s="103" t="s">
        <v>312</v>
      </c>
      <c r="CX1960" s="102" t="s">
        <v>30</v>
      </c>
    </row>
    <row r="1961" spans="96:102" ht="15" customHeight="1">
      <c r="CR1961" s="103" t="s">
        <v>937</v>
      </c>
      <c r="CX1961" s="102" t="s">
        <v>30</v>
      </c>
    </row>
    <row r="1962" spans="96:102" ht="15" customHeight="1">
      <c r="CR1962" s="103" t="s">
        <v>938</v>
      </c>
      <c r="CX1962" s="102" t="s">
        <v>30</v>
      </c>
    </row>
    <row r="1963" spans="96:102" ht="15" customHeight="1">
      <c r="CR1963" s="103" t="s">
        <v>650</v>
      </c>
      <c r="CX1963" s="102" t="s">
        <v>30</v>
      </c>
    </row>
    <row r="1964" spans="96:102" ht="15" customHeight="1">
      <c r="CR1964" s="103" t="s">
        <v>324</v>
      </c>
      <c r="CX1964" s="102" t="s">
        <v>30</v>
      </c>
    </row>
    <row r="1965" spans="96:102" ht="15" customHeight="1">
      <c r="CR1965" s="103" t="s">
        <v>553</v>
      </c>
      <c r="CX1965" s="102" t="s">
        <v>30</v>
      </c>
    </row>
    <row r="1966" spans="96:102" ht="15" customHeight="1">
      <c r="CR1966" s="103" t="s">
        <v>554</v>
      </c>
      <c r="CX1966" s="102" t="s">
        <v>30</v>
      </c>
    </row>
    <row r="1967" spans="96:102" ht="15" customHeight="1">
      <c r="CR1967" s="103" t="s">
        <v>333</v>
      </c>
      <c r="CX1967" s="102" t="s">
        <v>30</v>
      </c>
    </row>
    <row r="1968" spans="96:102" ht="15" customHeight="1">
      <c r="CR1968" s="103" t="s">
        <v>336</v>
      </c>
      <c r="CX1968" s="102" t="s">
        <v>30</v>
      </c>
    </row>
    <row r="1969" spans="96:102" ht="15" customHeight="1">
      <c r="CR1969" s="103" t="s">
        <v>340</v>
      </c>
      <c r="CX1969" s="102" t="s">
        <v>30</v>
      </c>
    </row>
    <row r="1970" spans="96:102" ht="15" customHeight="1">
      <c r="CR1970" s="103" t="s">
        <v>272</v>
      </c>
      <c r="CX1970" s="102" t="s">
        <v>30</v>
      </c>
    </row>
    <row r="1971" spans="96:102" ht="15" customHeight="1">
      <c r="CR1971" s="103" t="s">
        <v>939</v>
      </c>
      <c r="CX1971" s="102" t="s">
        <v>30</v>
      </c>
    </row>
    <row r="1972" spans="96:102" ht="15" customHeight="1">
      <c r="CR1972" s="103" t="s">
        <v>279</v>
      </c>
      <c r="CX1972" s="102" t="s">
        <v>30</v>
      </c>
    </row>
    <row r="1973" spans="96:102" ht="15" customHeight="1">
      <c r="CR1973" s="103" t="s">
        <v>282</v>
      </c>
      <c r="CX1973" s="102" t="s">
        <v>30</v>
      </c>
    </row>
    <row r="1974" spans="96:102" ht="15" customHeight="1">
      <c r="CR1974" s="103" t="s">
        <v>940</v>
      </c>
      <c r="CX1974" s="102" t="s">
        <v>30</v>
      </c>
    </row>
    <row r="1975" spans="96:102" ht="15" customHeight="1">
      <c r="CR1975" s="103" t="s">
        <v>941</v>
      </c>
      <c r="CX1975" s="102" t="s">
        <v>30</v>
      </c>
    </row>
    <row r="1976" spans="96:102" ht="15" customHeight="1">
      <c r="CR1976" s="103" t="s">
        <v>942</v>
      </c>
      <c r="CX1976" s="102" t="s">
        <v>30</v>
      </c>
    </row>
    <row r="1977" spans="96:102" ht="15" customHeight="1">
      <c r="CR1977" s="103" t="s">
        <v>680</v>
      </c>
      <c r="CX1977" s="102" t="s">
        <v>30</v>
      </c>
    </row>
    <row r="1978" spans="96:102" ht="15" customHeight="1">
      <c r="CR1978" s="103" t="s">
        <v>943</v>
      </c>
      <c r="CX1978" s="102" t="s">
        <v>30</v>
      </c>
    </row>
    <row r="1979" spans="96:102" ht="15" customHeight="1">
      <c r="CR1979" s="103" t="s">
        <v>944</v>
      </c>
      <c r="CX1979" s="102" t="s">
        <v>30</v>
      </c>
    </row>
    <row r="1980" spans="96:102" ht="15" customHeight="1">
      <c r="CR1980" s="103" t="s">
        <v>945</v>
      </c>
      <c r="CX1980" s="102" t="s">
        <v>30</v>
      </c>
    </row>
    <row r="1981" spans="96:102" ht="15" customHeight="1">
      <c r="CR1981" s="103" t="s">
        <v>946</v>
      </c>
      <c r="CX1981" s="102" t="s">
        <v>30</v>
      </c>
    </row>
    <row r="1982" spans="96:102" ht="15" customHeight="1">
      <c r="CR1982" s="103" t="s">
        <v>819</v>
      </c>
      <c r="CX1982" s="102" t="s">
        <v>30</v>
      </c>
    </row>
    <row r="1983" spans="96:102" ht="15" customHeight="1">
      <c r="CR1983" s="103" t="s">
        <v>312</v>
      </c>
      <c r="CX1983" s="102" t="s">
        <v>30</v>
      </c>
    </row>
    <row r="1984" spans="96:102" ht="15" customHeight="1">
      <c r="CR1984" s="103" t="s">
        <v>820</v>
      </c>
      <c r="CX1984" s="102" t="s">
        <v>30</v>
      </c>
    </row>
    <row r="1985" spans="96:102" ht="15" customHeight="1">
      <c r="CR1985" s="103" t="s">
        <v>947</v>
      </c>
      <c r="CX1985" s="102" t="s">
        <v>30</v>
      </c>
    </row>
    <row r="1986" spans="96:102" ht="15" customHeight="1">
      <c r="CR1986" s="103" t="s">
        <v>321</v>
      </c>
      <c r="CX1986" s="102" t="s">
        <v>30</v>
      </c>
    </row>
    <row r="1987" spans="96:102" ht="15" customHeight="1">
      <c r="CR1987" s="103" t="s">
        <v>324</v>
      </c>
      <c r="CX1987" s="102" t="s">
        <v>30</v>
      </c>
    </row>
    <row r="1988" spans="96:102" ht="15" customHeight="1">
      <c r="CR1988" s="103" t="s">
        <v>327</v>
      </c>
      <c r="CX1988" s="102" t="s">
        <v>30</v>
      </c>
    </row>
    <row r="1989" spans="96:102" ht="15" customHeight="1">
      <c r="CR1989" s="103" t="s">
        <v>330</v>
      </c>
      <c r="CX1989" s="102" t="s">
        <v>30</v>
      </c>
    </row>
    <row r="1990" spans="96:102" ht="15" customHeight="1">
      <c r="CR1990" s="103" t="s">
        <v>333</v>
      </c>
      <c r="CX1990" s="102" t="s">
        <v>30</v>
      </c>
    </row>
    <row r="1991" spans="96:102" ht="15" customHeight="1">
      <c r="CR1991" s="103" t="s">
        <v>336</v>
      </c>
      <c r="CX1991" s="102" t="s">
        <v>30</v>
      </c>
    </row>
    <row r="1992" spans="96:102" ht="15" customHeight="1">
      <c r="CR1992" s="103" t="s">
        <v>340</v>
      </c>
      <c r="CX1992" s="102" t="s">
        <v>30</v>
      </c>
    </row>
    <row r="1993" spans="96:102" ht="15" customHeight="1">
      <c r="CR1993" s="103" t="s">
        <v>272</v>
      </c>
      <c r="CX1993" s="102" t="s">
        <v>30</v>
      </c>
    </row>
    <row r="1994" spans="96:102" ht="15" customHeight="1">
      <c r="CR1994" s="103" t="s">
        <v>948</v>
      </c>
      <c r="CX1994" s="102" t="s">
        <v>30</v>
      </c>
    </row>
    <row r="1995" spans="96:102" ht="15" customHeight="1">
      <c r="CR1995" s="103" t="s">
        <v>279</v>
      </c>
      <c r="CX1995" s="102" t="s">
        <v>30</v>
      </c>
    </row>
    <row r="1996" spans="96:102" ht="15" customHeight="1">
      <c r="CR1996" s="103" t="s">
        <v>282</v>
      </c>
      <c r="CX1996" s="102" t="s">
        <v>30</v>
      </c>
    </row>
    <row r="1997" spans="96:102" ht="15" customHeight="1">
      <c r="CR1997" s="103" t="s">
        <v>949</v>
      </c>
      <c r="CX1997" s="102" t="s">
        <v>30</v>
      </c>
    </row>
    <row r="1998" spans="96:102" ht="15" customHeight="1">
      <c r="CR1998" s="103" t="s">
        <v>950</v>
      </c>
      <c r="CX1998" s="102" t="s">
        <v>30</v>
      </c>
    </row>
    <row r="1999" spans="96:102" ht="15" customHeight="1">
      <c r="CR1999" s="103" t="s">
        <v>951</v>
      </c>
      <c r="CX1999" s="102" t="s">
        <v>30</v>
      </c>
    </row>
    <row r="2000" spans="96:102" ht="15" customHeight="1">
      <c r="CR2000" s="103" t="s">
        <v>544</v>
      </c>
      <c r="CX2000" s="102" t="s">
        <v>30</v>
      </c>
    </row>
    <row r="2001" spans="96:102" ht="15" customHeight="1">
      <c r="CR2001" s="103" t="s">
        <v>545</v>
      </c>
      <c r="CX2001" s="102" t="s">
        <v>30</v>
      </c>
    </row>
    <row r="2002" spans="96:102" ht="15" customHeight="1">
      <c r="CR2002" s="103" t="s">
        <v>546</v>
      </c>
      <c r="CX2002" s="102" t="s">
        <v>30</v>
      </c>
    </row>
    <row r="2003" spans="96:102" ht="15" customHeight="1">
      <c r="CR2003" s="103" t="s">
        <v>952</v>
      </c>
      <c r="CX2003" s="102" t="s">
        <v>30</v>
      </c>
    </row>
    <row r="2004" spans="96:102" ht="15" customHeight="1">
      <c r="CR2004" s="103" t="s">
        <v>953</v>
      </c>
      <c r="CX2004" s="102" t="s">
        <v>30</v>
      </c>
    </row>
    <row r="2005" spans="96:102" ht="15" customHeight="1">
      <c r="CR2005" s="103" t="s">
        <v>954</v>
      </c>
      <c r="CX2005" s="102" t="s">
        <v>30</v>
      </c>
    </row>
    <row r="2006" spans="96:102" ht="15" customHeight="1">
      <c r="CR2006" s="103" t="s">
        <v>312</v>
      </c>
      <c r="CX2006" s="102" t="s">
        <v>30</v>
      </c>
    </row>
    <row r="2007" spans="96:102" ht="15" customHeight="1">
      <c r="CR2007" s="103" t="s">
        <v>955</v>
      </c>
      <c r="CX2007" s="102" t="s">
        <v>30</v>
      </c>
    </row>
    <row r="2008" spans="96:102" ht="15" customHeight="1">
      <c r="CR2008" s="103" t="s">
        <v>956</v>
      </c>
      <c r="CX2008" s="102" t="s">
        <v>30</v>
      </c>
    </row>
    <row r="2009" spans="96:102" ht="15" customHeight="1">
      <c r="CR2009" s="103" t="s">
        <v>552</v>
      </c>
      <c r="CX2009" s="102" t="s">
        <v>30</v>
      </c>
    </row>
    <row r="2010" spans="96:102" ht="15" customHeight="1">
      <c r="CR2010" s="103" t="s">
        <v>324</v>
      </c>
      <c r="CX2010" s="102" t="s">
        <v>30</v>
      </c>
    </row>
    <row r="2011" spans="96:102" ht="15" customHeight="1">
      <c r="CR2011" s="103" t="s">
        <v>553</v>
      </c>
      <c r="CX2011" s="102" t="s">
        <v>30</v>
      </c>
    </row>
    <row r="2012" spans="96:102" ht="15" customHeight="1">
      <c r="CR2012" s="103" t="s">
        <v>554</v>
      </c>
      <c r="CX2012" s="102" t="s">
        <v>30</v>
      </c>
    </row>
    <row r="2013" spans="96:102" ht="15" customHeight="1">
      <c r="CR2013" s="103" t="s">
        <v>333</v>
      </c>
      <c r="CX2013" s="102" t="s">
        <v>30</v>
      </c>
    </row>
    <row r="2014" spans="96:102" ht="15" customHeight="1">
      <c r="CR2014" s="103" t="s">
        <v>336</v>
      </c>
      <c r="CX2014" s="102" t="s">
        <v>30</v>
      </c>
    </row>
    <row r="2015" spans="96:102" ht="15" customHeight="1">
      <c r="CR2015" s="103" t="s">
        <v>340</v>
      </c>
      <c r="CX2015" s="102" t="s">
        <v>30</v>
      </c>
    </row>
    <row r="2016" spans="96:102" ht="15" customHeight="1">
      <c r="CR2016" s="103" t="s">
        <v>272</v>
      </c>
      <c r="CX2016" s="102" t="s">
        <v>30</v>
      </c>
    </row>
    <row r="2017" spans="96:102" ht="15" customHeight="1">
      <c r="CR2017" s="103" t="s">
        <v>957</v>
      </c>
      <c r="CX2017" s="102" t="s">
        <v>30</v>
      </c>
    </row>
    <row r="2018" spans="96:102" ht="15" customHeight="1">
      <c r="CR2018" s="103" t="s">
        <v>279</v>
      </c>
      <c r="CX2018" s="102" t="s">
        <v>30</v>
      </c>
    </row>
    <row r="2019" spans="96:102" ht="15" customHeight="1">
      <c r="CR2019" s="103" t="s">
        <v>282</v>
      </c>
      <c r="CX2019" s="102" t="s">
        <v>30</v>
      </c>
    </row>
    <row r="2020" spans="96:102" ht="15" customHeight="1">
      <c r="CR2020" s="103" t="s">
        <v>958</v>
      </c>
      <c r="CX2020" s="102" t="s">
        <v>30</v>
      </c>
    </row>
    <row r="2021" spans="96:102" ht="15" customHeight="1">
      <c r="CR2021" s="103" t="s">
        <v>959</v>
      </c>
      <c r="CX2021" s="102" t="s">
        <v>30</v>
      </c>
    </row>
    <row r="2022" spans="96:102" ht="15" customHeight="1">
      <c r="CR2022" s="103" t="s">
        <v>960</v>
      </c>
      <c r="CX2022" s="102" t="s">
        <v>30</v>
      </c>
    </row>
    <row r="2023" spans="96:102" ht="15" customHeight="1">
      <c r="CR2023" s="103" t="s">
        <v>961</v>
      </c>
      <c r="CX2023" s="102" t="s">
        <v>30</v>
      </c>
    </row>
    <row r="2024" spans="96:102" ht="15" customHeight="1">
      <c r="CR2024" s="103" t="s">
        <v>962</v>
      </c>
      <c r="CX2024" s="102" t="s">
        <v>30</v>
      </c>
    </row>
    <row r="2025" spans="96:102" ht="15" customHeight="1">
      <c r="CR2025" s="103" t="s">
        <v>963</v>
      </c>
      <c r="CX2025" s="102" t="s">
        <v>30</v>
      </c>
    </row>
    <row r="2026" spans="96:102" ht="15" customHeight="1">
      <c r="CR2026" s="103" t="s">
        <v>964</v>
      </c>
      <c r="CX2026" s="102" t="s">
        <v>30</v>
      </c>
    </row>
    <row r="2027" spans="96:102" ht="15" customHeight="1">
      <c r="CR2027" s="103" t="s">
        <v>965</v>
      </c>
      <c r="CX2027" s="102" t="s">
        <v>30</v>
      </c>
    </row>
    <row r="2028" spans="96:102" ht="15" customHeight="1">
      <c r="CR2028" s="103" t="s">
        <v>807</v>
      </c>
      <c r="CX2028" s="102" t="s">
        <v>30</v>
      </c>
    </row>
    <row r="2029" spans="96:102" ht="15" customHeight="1">
      <c r="CR2029" s="103" t="s">
        <v>312</v>
      </c>
      <c r="CX2029" s="102" t="s">
        <v>30</v>
      </c>
    </row>
    <row r="2030" spans="96:102" ht="15" customHeight="1">
      <c r="CR2030" s="103" t="s">
        <v>808</v>
      </c>
      <c r="CX2030" s="102" t="s">
        <v>30</v>
      </c>
    </row>
    <row r="2031" spans="96:102" ht="15" customHeight="1">
      <c r="CR2031" s="103" t="s">
        <v>966</v>
      </c>
      <c r="CX2031" s="102" t="s">
        <v>30</v>
      </c>
    </row>
    <row r="2032" spans="96:102" ht="15" customHeight="1">
      <c r="CR2032" s="103" t="s">
        <v>552</v>
      </c>
      <c r="CX2032" s="102" t="s">
        <v>30</v>
      </c>
    </row>
    <row r="2033" spans="96:102" ht="15" customHeight="1">
      <c r="CR2033" s="103" t="s">
        <v>324</v>
      </c>
      <c r="CX2033" s="102" t="s">
        <v>30</v>
      </c>
    </row>
    <row r="2034" spans="96:102" ht="15" customHeight="1">
      <c r="CR2034" s="103" t="s">
        <v>553</v>
      </c>
      <c r="CX2034" s="102" t="s">
        <v>30</v>
      </c>
    </row>
    <row r="2035" spans="96:102" ht="15" customHeight="1">
      <c r="CR2035" s="103" t="s">
        <v>330</v>
      </c>
      <c r="CX2035" s="102" t="s">
        <v>30</v>
      </c>
    </row>
    <row r="2036" spans="96:102" ht="15" customHeight="1">
      <c r="CR2036" s="103" t="s">
        <v>333</v>
      </c>
      <c r="CX2036" s="102" t="s">
        <v>30</v>
      </c>
    </row>
    <row r="2037" spans="96:102" ht="15" customHeight="1">
      <c r="CR2037" s="103" t="s">
        <v>336</v>
      </c>
      <c r="CX2037" s="102" t="s">
        <v>30</v>
      </c>
    </row>
    <row r="2038" spans="96:102" ht="15" customHeight="1">
      <c r="CR2038" s="103" t="s">
        <v>340</v>
      </c>
      <c r="CX2038" s="102" t="s">
        <v>30</v>
      </c>
    </row>
    <row r="2039" spans="96:102" ht="15" customHeight="1">
      <c r="CR2039" s="103" t="s">
        <v>272</v>
      </c>
      <c r="CX2039" s="102" t="s">
        <v>30</v>
      </c>
    </row>
    <row r="2040" spans="96:102" ht="15" customHeight="1">
      <c r="CR2040" s="103" t="s">
        <v>967</v>
      </c>
      <c r="CX2040" s="102" t="s">
        <v>30</v>
      </c>
    </row>
    <row r="2041" spans="96:102" ht="15" customHeight="1">
      <c r="CR2041" s="103" t="s">
        <v>279</v>
      </c>
      <c r="CX2041" s="102" t="s">
        <v>30</v>
      </c>
    </row>
    <row r="2042" spans="96:102" ht="15" customHeight="1">
      <c r="CR2042" s="103" t="s">
        <v>282</v>
      </c>
      <c r="CX2042" s="102" t="s">
        <v>30</v>
      </c>
    </row>
    <row r="2043" spans="96:102" ht="15" customHeight="1">
      <c r="CR2043" s="103" t="s">
        <v>968</v>
      </c>
      <c r="CX2043" s="102" t="s">
        <v>30</v>
      </c>
    </row>
    <row r="2044" spans="96:102" ht="15" customHeight="1">
      <c r="CR2044" s="103" t="s">
        <v>969</v>
      </c>
      <c r="CX2044" s="102" t="s">
        <v>30</v>
      </c>
    </row>
    <row r="2045" spans="96:102" ht="15" customHeight="1">
      <c r="CR2045" s="103" t="s">
        <v>970</v>
      </c>
      <c r="CX2045" s="102" t="s">
        <v>30</v>
      </c>
    </row>
    <row r="2046" spans="96:102" ht="15" customHeight="1">
      <c r="CR2046" s="103" t="s">
        <v>720</v>
      </c>
      <c r="CX2046" s="102" t="s">
        <v>30</v>
      </c>
    </row>
    <row r="2047" spans="96:102" ht="15" customHeight="1">
      <c r="CR2047" s="103" t="s">
        <v>971</v>
      </c>
      <c r="CX2047" s="102" t="s">
        <v>30</v>
      </c>
    </row>
    <row r="2048" spans="96:102" ht="15" customHeight="1">
      <c r="CR2048" s="103" t="s">
        <v>972</v>
      </c>
      <c r="CX2048" s="102" t="s">
        <v>30</v>
      </c>
    </row>
    <row r="2049" spans="96:102" ht="15" customHeight="1">
      <c r="CR2049" s="103" t="s">
        <v>973</v>
      </c>
      <c r="CX2049" s="102" t="s">
        <v>30</v>
      </c>
    </row>
    <row r="2050" spans="96:102" ht="15" customHeight="1">
      <c r="CR2050" s="103" t="s">
        <v>974</v>
      </c>
      <c r="CX2050" s="102" t="s">
        <v>30</v>
      </c>
    </row>
    <row r="2051" spans="96:102" ht="15" customHeight="1">
      <c r="CR2051" s="103" t="s">
        <v>975</v>
      </c>
      <c r="CX2051" s="102" t="s">
        <v>30</v>
      </c>
    </row>
    <row r="2052" spans="96:102" ht="15" customHeight="1">
      <c r="CR2052" s="103" t="s">
        <v>312</v>
      </c>
      <c r="CX2052" s="102" t="s">
        <v>30</v>
      </c>
    </row>
    <row r="2053" spans="96:102" ht="15" customHeight="1">
      <c r="CR2053" s="103" t="s">
        <v>976</v>
      </c>
      <c r="CX2053" s="102" t="s">
        <v>30</v>
      </c>
    </row>
    <row r="2054" spans="96:102" ht="15" customHeight="1">
      <c r="CR2054" s="103" t="s">
        <v>469</v>
      </c>
      <c r="CX2054" s="102" t="s">
        <v>30</v>
      </c>
    </row>
    <row r="2055" spans="96:102" ht="15" customHeight="1">
      <c r="CR2055" s="103" t="s">
        <v>321</v>
      </c>
      <c r="CX2055" s="102" t="s">
        <v>30</v>
      </c>
    </row>
    <row r="2056" spans="96:102" ht="15" customHeight="1">
      <c r="CR2056" s="103" t="s">
        <v>324</v>
      </c>
      <c r="CX2056" s="102" t="s">
        <v>30</v>
      </c>
    </row>
    <row r="2057" spans="96:102" ht="15" customHeight="1">
      <c r="CR2057" s="103" t="s">
        <v>327</v>
      </c>
      <c r="CX2057" s="102" t="s">
        <v>30</v>
      </c>
    </row>
    <row r="2058" spans="96:102" ht="15" customHeight="1">
      <c r="CR2058" s="103" t="s">
        <v>330</v>
      </c>
      <c r="CX2058" s="102" t="s">
        <v>30</v>
      </c>
    </row>
    <row r="2059" spans="96:102" ht="15" customHeight="1">
      <c r="CR2059" s="103" t="s">
        <v>333</v>
      </c>
      <c r="CX2059" s="102" t="s">
        <v>30</v>
      </c>
    </row>
    <row r="2060" spans="96:102" ht="15" customHeight="1">
      <c r="CR2060" s="103" t="s">
        <v>336</v>
      </c>
      <c r="CX2060" s="102" t="s">
        <v>30</v>
      </c>
    </row>
    <row r="2061" spans="96:102" ht="15" customHeight="1">
      <c r="CR2061" s="103" t="s">
        <v>340</v>
      </c>
      <c r="CX2061" s="102" t="s">
        <v>30</v>
      </c>
    </row>
    <row r="2062" spans="96:102" ht="15" customHeight="1">
      <c r="CR2062" s="103" t="s">
        <v>272</v>
      </c>
      <c r="CX2062" s="102" t="s">
        <v>30</v>
      </c>
    </row>
    <row r="2063" spans="96:102" ht="15" customHeight="1">
      <c r="CR2063" s="103" t="s">
        <v>977</v>
      </c>
      <c r="CX2063" s="102" t="s">
        <v>30</v>
      </c>
    </row>
    <row r="2064" spans="96:102" ht="15" customHeight="1">
      <c r="CR2064" s="103" t="s">
        <v>279</v>
      </c>
      <c r="CX2064" s="102" t="s">
        <v>30</v>
      </c>
    </row>
    <row r="2065" spans="96:102" ht="15" customHeight="1">
      <c r="CR2065" s="103" t="s">
        <v>282</v>
      </c>
      <c r="CX2065" s="102" t="s">
        <v>30</v>
      </c>
    </row>
    <row r="2066" spans="96:102" ht="15" customHeight="1">
      <c r="CR2066" s="103" t="s">
        <v>978</v>
      </c>
      <c r="CX2066" s="102" t="s">
        <v>30</v>
      </c>
    </row>
    <row r="2067" spans="96:102" ht="15" customHeight="1">
      <c r="CR2067" s="103" t="s">
        <v>979</v>
      </c>
      <c r="CX2067" s="102" t="s">
        <v>30</v>
      </c>
    </row>
    <row r="2068" spans="96:102" ht="15" customHeight="1">
      <c r="CR2068" s="103" t="s">
        <v>980</v>
      </c>
      <c r="CX2068" s="102" t="s">
        <v>30</v>
      </c>
    </row>
    <row r="2069" spans="96:102" ht="15" customHeight="1">
      <c r="CR2069" s="103" t="s">
        <v>625</v>
      </c>
      <c r="CX2069" s="102" t="s">
        <v>30</v>
      </c>
    </row>
    <row r="2070" spans="96:102" ht="15" customHeight="1">
      <c r="CR2070" s="103" t="s">
        <v>981</v>
      </c>
      <c r="CX2070" s="102" t="s">
        <v>30</v>
      </c>
    </row>
    <row r="2071" spans="96:102" ht="15" customHeight="1">
      <c r="CR2071" s="103" t="s">
        <v>982</v>
      </c>
      <c r="CX2071" s="102" t="s">
        <v>30</v>
      </c>
    </row>
    <row r="2072" spans="96:102" ht="15" customHeight="1">
      <c r="CR2072" s="103" t="s">
        <v>983</v>
      </c>
      <c r="CX2072" s="102" t="s">
        <v>30</v>
      </c>
    </row>
    <row r="2073" spans="96:102" ht="15" customHeight="1">
      <c r="CR2073" s="103" t="s">
        <v>984</v>
      </c>
      <c r="CX2073" s="102" t="s">
        <v>30</v>
      </c>
    </row>
    <row r="2074" spans="96:102" ht="15" customHeight="1">
      <c r="CR2074" s="103" t="s">
        <v>985</v>
      </c>
      <c r="CX2074" s="102" t="s">
        <v>30</v>
      </c>
    </row>
    <row r="2075" spans="96:102" ht="15" customHeight="1">
      <c r="CR2075" s="103" t="s">
        <v>312</v>
      </c>
      <c r="CX2075" s="102" t="s">
        <v>30</v>
      </c>
    </row>
    <row r="2076" spans="96:102" ht="15" customHeight="1">
      <c r="CR2076" s="103" t="s">
        <v>986</v>
      </c>
      <c r="CX2076" s="102" t="s">
        <v>30</v>
      </c>
    </row>
    <row r="2077" spans="96:102" ht="15" customHeight="1">
      <c r="CR2077" s="103" t="s">
        <v>987</v>
      </c>
      <c r="CX2077" s="102" t="s">
        <v>30</v>
      </c>
    </row>
    <row r="2078" spans="96:102" ht="15" customHeight="1">
      <c r="CR2078" s="103" t="s">
        <v>321</v>
      </c>
      <c r="CX2078" s="102" t="s">
        <v>30</v>
      </c>
    </row>
    <row r="2079" spans="96:102" ht="15" customHeight="1">
      <c r="CR2079" s="103" t="s">
        <v>324</v>
      </c>
      <c r="CX2079" s="102" t="s">
        <v>30</v>
      </c>
    </row>
    <row r="2080" spans="96:102" ht="15" customHeight="1">
      <c r="CR2080" s="103" t="s">
        <v>327</v>
      </c>
      <c r="CX2080" s="102" t="s">
        <v>30</v>
      </c>
    </row>
    <row r="2081" spans="96:102" ht="15" customHeight="1">
      <c r="CR2081" s="103" t="s">
        <v>330</v>
      </c>
      <c r="CX2081" s="102" t="s">
        <v>30</v>
      </c>
    </row>
    <row r="2082" spans="96:102" ht="15" customHeight="1">
      <c r="CR2082" s="103" t="s">
        <v>333</v>
      </c>
      <c r="CX2082" s="102" t="s">
        <v>30</v>
      </c>
    </row>
    <row r="2083" spans="96:102" ht="15" customHeight="1">
      <c r="CR2083" s="103" t="s">
        <v>336</v>
      </c>
      <c r="CX2083" s="102" t="s">
        <v>30</v>
      </c>
    </row>
    <row r="2084" spans="96:102" ht="15" customHeight="1">
      <c r="CR2084" s="103" t="s">
        <v>340</v>
      </c>
      <c r="CX2084" s="102" t="s">
        <v>30</v>
      </c>
    </row>
    <row r="2085" spans="96:102" ht="15" customHeight="1">
      <c r="CR2085" s="103" t="s">
        <v>272</v>
      </c>
      <c r="CX2085" s="102" t="s">
        <v>30</v>
      </c>
    </row>
    <row r="2086" spans="96:102" ht="15" customHeight="1">
      <c r="CR2086" s="103" t="s">
        <v>988</v>
      </c>
      <c r="CX2086" s="102" t="s">
        <v>30</v>
      </c>
    </row>
    <row r="2087" spans="96:102" ht="15" customHeight="1">
      <c r="CR2087" s="103" t="s">
        <v>279</v>
      </c>
      <c r="CX2087" s="102" t="s">
        <v>30</v>
      </c>
    </row>
    <row r="2088" spans="96:102" ht="15" customHeight="1">
      <c r="CR2088" s="103" t="s">
        <v>282</v>
      </c>
      <c r="CX2088" s="102" t="s">
        <v>30</v>
      </c>
    </row>
    <row r="2089" spans="96:102" ht="15" customHeight="1">
      <c r="CR2089" s="103" t="s">
        <v>989</v>
      </c>
      <c r="CX2089" s="102" t="s">
        <v>30</v>
      </c>
    </row>
    <row r="2090" spans="96:102" ht="15" customHeight="1">
      <c r="CR2090" s="103" t="s">
        <v>990</v>
      </c>
      <c r="CX2090" s="102" t="s">
        <v>30</v>
      </c>
    </row>
    <row r="2091" spans="96:102" ht="15" customHeight="1">
      <c r="CR2091" s="103" t="s">
        <v>991</v>
      </c>
      <c r="CX2091" s="102" t="s">
        <v>30</v>
      </c>
    </row>
    <row r="2092" spans="96:102" ht="15" customHeight="1">
      <c r="CR2092" s="103" t="s">
        <v>625</v>
      </c>
      <c r="CX2092" s="102" t="s">
        <v>30</v>
      </c>
    </row>
    <row r="2093" spans="96:102" ht="15" customHeight="1">
      <c r="CR2093" s="103" t="s">
        <v>992</v>
      </c>
      <c r="CX2093" s="102" t="s">
        <v>30</v>
      </c>
    </row>
    <row r="2094" spans="96:102" ht="15" customHeight="1">
      <c r="CR2094" s="103" t="s">
        <v>993</v>
      </c>
      <c r="CX2094" s="102" t="s">
        <v>30</v>
      </c>
    </row>
    <row r="2095" spans="96:102" ht="15" customHeight="1">
      <c r="CR2095" s="103" t="s">
        <v>994</v>
      </c>
      <c r="CX2095" s="102" t="s">
        <v>30</v>
      </c>
    </row>
    <row r="2096" spans="96:102" ht="15" customHeight="1">
      <c r="CR2096" s="103" t="s">
        <v>995</v>
      </c>
      <c r="CX2096" s="102" t="s">
        <v>30</v>
      </c>
    </row>
    <row r="2097" spans="96:102" ht="15" customHeight="1">
      <c r="CR2097" s="103" t="s">
        <v>996</v>
      </c>
      <c r="CX2097" s="102" t="s">
        <v>30</v>
      </c>
    </row>
    <row r="2098" spans="96:102" ht="15" customHeight="1">
      <c r="CR2098" s="103" t="s">
        <v>312</v>
      </c>
      <c r="CX2098" s="102" t="s">
        <v>30</v>
      </c>
    </row>
    <row r="2099" spans="96:102" ht="15" customHeight="1">
      <c r="CR2099" s="103" t="s">
        <v>997</v>
      </c>
      <c r="CX2099" s="102" t="s">
        <v>30</v>
      </c>
    </row>
    <row r="2100" spans="96:102" ht="15" customHeight="1">
      <c r="CR2100" s="103" t="s">
        <v>478</v>
      </c>
      <c r="CX2100" s="102" t="s">
        <v>30</v>
      </c>
    </row>
    <row r="2101" spans="96:102" ht="15" customHeight="1">
      <c r="CR2101" s="103" t="s">
        <v>321</v>
      </c>
      <c r="CX2101" s="102" t="s">
        <v>30</v>
      </c>
    </row>
    <row r="2102" spans="96:102" ht="15" customHeight="1">
      <c r="CR2102" s="103" t="s">
        <v>324</v>
      </c>
      <c r="CX2102" s="102" t="s">
        <v>30</v>
      </c>
    </row>
    <row r="2103" spans="96:102" ht="15" customHeight="1">
      <c r="CR2103" s="103" t="s">
        <v>327</v>
      </c>
      <c r="CX2103" s="102" t="s">
        <v>30</v>
      </c>
    </row>
    <row r="2104" spans="96:102" ht="15" customHeight="1">
      <c r="CR2104" s="103" t="s">
        <v>330</v>
      </c>
      <c r="CX2104" s="102" t="s">
        <v>30</v>
      </c>
    </row>
    <row r="2105" spans="96:102" ht="15" customHeight="1">
      <c r="CR2105" s="103" t="s">
        <v>333</v>
      </c>
      <c r="CX2105" s="102" t="s">
        <v>30</v>
      </c>
    </row>
    <row r="2106" spans="96:102" ht="15" customHeight="1">
      <c r="CR2106" s="103" t="s">
        <v>336</v>
      </c>
      <c r="CX2106" s="102" t="s">
        <v>30</v>
      </c>
    </row>
    <row r="2107" spans="96:102" ht="15" customHeight="1">
      <c r="CR2107" s="103" t="s">
        <v>340</v>
      </c>
      <c r="CX2107" s="102" t="s">
        <v>30</v>
      </c>
    </row>
    <row r="2108" spans="96:102" ht="15" customHeight="1">
      <c r="CR2108" s="103" t="s">
        <v>272</v>
      </c>
      <c r="CX2108" s="102" t="s">
        <v>30</v>
      </c>
    </row>
    <row r="2109" spans="96:102" ht="15" customHeight="1">
      <c r="CR2109" s="103" t="s">
        <v>998</v>
      </c>
      <c r="CX2109" s="102" t="s">
        <v>30</v>
      </c>
    </row>
    <row r="2110" spans="96:102" ht="15" customHeight="1">
      <c r="CR2110" s="103" t="s">
        <v>279</v>
      </c>
      <c r="CX2110" s="102" t="s">
        <v>30</v>
      </c>
    </row>
    <row r="2111" spans="96:102" ht="15" customHeight="1">
      <c r="CR2111" s="103" t="s">
        <v>282</v>
      </c>
      <c r="CX2111" s="102" t="s">
        <v>30</v>
      </c>
    </row>
    <row r="2112" spans="96:102" ht="15" customHeight="1">
      <c r="CR2112" s="103" t="s">
        <v>999</v>
      </c>
      <c r="CX2112" s="102" t="s">
        <v>30</v>
      </c>
    </row>
    <row r="2113" spans="96:102" ht="15" customHeight="1">
      <c r="CR2113" s="103" t="s">
        <v>1000</v>
      </c>
      <c r="CX2113" s="102" t="s">
        <v>30</v>
      </c>
    </row>
    <row r="2114" spans="96:102" ht="15" customHeight="1">
      <c r="CR2114" s="103" t="s">
        <v>1001</v>
      </c>
      <c r="CX2114" s="102" t="s">
        <v>30</v>
      </c>
    </row>
    <row r="2115" spans="96:102" ht="15" customHeight="1">
      <c r="CR2115" s="103" t="s">
        <v>568</v>
      </c>
      <c r="CX2115" s="102" t="s">
        <v>30</v>
      </c>
    </row>
    <row r="2116" spans="96:102" ht="15" customHeight="1">
      <c r="CR2116" s="103" t="s">
        <v>1002</v>
      </c>
      <c r="CX2116" s="102" t="s">
        <v>30</v>
      </c>
    </row>
    <row r="2117" spans="96:102" ht="15" customHeight="1">
      <c r="CR2117" s="103" t="s">
        <v>1003</v>
      </c>
      <c r="CX2117" s="102" t="s">
        <v>30</v>
      </c>
    </row>
    <row r="2118" spans="96:102" ht="15" customHeight="1">
      <c r="CR2118" s="103" t="s">
        <v>1004</v>
      </c>
      <c r="CX2118" s="102" t="s">
        <v>30</v>
      </c>
    </row>
    <row r="2119" spans="96:102" ht="15" customHeight="1">
      <c r="CR2119" s="103" t="s">
        <v>1005</v>
      </c>
      <c r="CX2119" s="102" t="s">
        <v>30</v>
      </c>
    </row>
    <row r="2120" spans="96:102" ht="15" customHeight="1">
      <c r="CR2120" s="103" t="s">
        <v>1006</v>
      </c>
      <c r="CX2120" s="102" t="s">
        <v>30</v>
      </c>
    </row>
    <row r="2121" spans="96:102" ht="15" customHeight="1">
      <c r="CR2121" s="103" t="s">
        <v>312</v>
      </c>
      <c r="CX2121" s="102" t="s">
        <v>30</v>
      </c>
    </row>
    <row r="2122" spans="96:102" ht="15" customHeight="1">
      <c r="CR2122" s="103" t="s">
        <v>1007</v>
      </c>
      <c r="CX2122" s="102" t="s">
        <v>30</v>
      </c>
    </row>
    <row r="2123" spans="96:102" ht="15" customHeight="1">
      <c r="CR2123" s="103" t="s">
        <v>473</v>
      </c>
      <c r="CX2123" s="102" t="s">
        <v>30</v>
      </c>
    </row>
    <row r="2124" spans="96:102" ht="15" customHeight="1">
      <c r="CR2124" s="103" t="s">
        <v>321</v>
      </c>
      <c r="CX2124" s="102" t="s">
        <v>30</v>
      </c>
    </row>
    <row r="2125" spans="96:102" ht="15" customHeight="1">
      <c r="CR2125" s="103" t="s">
        <v>324</v>
      </c>
      <c r="CX2125" s="102" t="s">
        <v>30</v>
      </c>
    </row>
    <row r="2126" spans="96:102" ht="15" customHeight="1">
      <c r="CR2126" s="103" t="s">
        <v>327</v>
      </c>
      <c r="CX2126" s="102" t="s">
        <v>30</v>
      </c>
    </row>
    <row r="2127" spans="96:102" ht="15" customHeight="1">
      <c r="CR2127" s="103" t="s">
        <v>330</v>
      </c>
      <c r="CX2127" s="102" t="s">
        <v>30</v>
      </c>
    </row>
    <row r="2128" spans="96:102" ht="15" customHeight="1">
      <c r="CR2128" s="103" t="s">
        <v>333</v>
      </c>
      <c r="CX2128" s="102" t="s">
        <v>30</v>
      </c>
    </row>
    <row r="2129" spans="96:102" ht="15" customHeight="1">
      <c r="CR2129" s="103" t="s">
        <v>336</v>
      </c>
      <c r="CX2129" s="102" t="s">
        <v>30</v>
      </c>
    </row>
    <row r="2130" spans="96:102" ht="15" customHeight="1">
      <c r="CR2130" s="103" t="s">
        <v>340</v>
      </c>
      <c r="CX2130" s="102" t="s">
        <v>30</v>
      </c>
    </row>
    <row r="2131" spans="96:102" ht="15" customHeight="1">
      <c r="CR2131" s="103" t="s">
        <v>272</v>
      </c>
      <c r="CX2131" s="102" t="s">
        <v>30</v>
      </c>
    </row>
    <row r="2132" spans="96:102" ht="15" customHeight="1">
      <c r="CR2132" s="103" t="s">
        <v>1008</v>
      </c>
      <c r="CX2132" s="102" t="s">
        <v>30</v>
      </c>
    </row>
    <row r="2133" spans="96:102" ht="15" customHeight="1">
      <c r="CR2133" s="103" t="s">
        <v>279</v>
      </c>
      <c r="CX2133" s="102" t="s">
        <v>30</v>
      </c>
    </row>
    <row r="2134" spans="96:102" ht="15" customHeight="1">
      <c r="CR2134" s="103" t="s">
        <v>282</v>
      </c>
      <c r="CX2134" s="102" t="s">
        <v>30</v>
      </c>
    </row>
    <row r="2135" spans="96:102" ht="15" customHeight="1">
      <c r="CR2135" s="103" t="s">
        <v>1009</v>
      </c>
      <c r="CX2135" s="102" t="s">
        <v>30</v>
      </c>
    </row>
    <row r="2136" spans="96:102" ht="15" customHeight="1">
      <c r="CR2136" s="103" t="s">
        <v>1010</v>
      </c>
      <c r="CX2136" s="102" t="s">
        <v>30</v>
      </c>
    </row>
    <row r="2137" spans="96:102" ht="15" customHeight="1">
      <c r="CR2137" s="103" t="s">
        <v>1011</v>
      </c>
      <c r="CX2137" s="102" t="s">
        <v>30</v>
      </c>
    </row>
    <row r="2138" spans="96:102" ht="15" customHeight="1">
      <c r="CR2138" s="103" t="s">
        <v>568</v>
      </c>
      <c r="CX2138" s="102" t="s">
        <v>30</v>
      </c>
    </row>
    <row r="2139" spans="96:102" ht="15" customHeight="1">
      <c r="CR2139" s="103" t="s">
        <v>1012</v>
      </c>
      <c r="CX2139" s="102" t="s">
        <v>30</v>
      </c>
    </row>
    <row r="2140" spans="96:102" ht="15" customHeight="1">
      <c r="CR2140" s="103" t="s">
        <v>1013</v>
      </c>
      <c r="CX2140" s="102" t="s">
        <v>30</v>
      </c>
    </row>
    <row r="2141" spans="96:102" ht="15" customHeight="1">
      <c r="CR2141" s="103" t="s">
        <v>1014</v>
      </c>
      <c r="CX2141" s="102" t="s">
        <v>30</v>
      </c>
    </row>
    <row r="2142" spans="96:102" ht="15" customHeight="1">
      <c r="CR2142" s="103" t="s">
        <v>1015</v>
      </c>
      <c r="CX2142" s="102" t="s">
        <v>30</v>
      </c>
    </row>
    <row r="2143" spans="96:102" ht="15" customHeight="1">
      <c r="CR2143" s="103" t="s">
        <v>1016</v>
      </c>
      <c r="CX2143" s="102" t="s">
        <v>30</v>
      </c>
    </row>
    <row r="2144" spans="96:102" ht="15" customHeight="1">
      <c r="CR2144" s="103" t="s">
        <v>312</v>
      </c>
      <c r="CX2144" s="102" t="s">
        <v>30</v>
      </c>
    </row>
    <row r="2145" spans="96:102" ht="15" customHeight="1">
      <c r="CR2145" s="103" t="s">
        <v>1017</v>
      </c>
      <c r="CX2145" s="102" t="s">
        <v>30</v>
      </c>
    </row>
    <row r="2146" spans="96:102" ht="15" customHeight="1">
      <c r="CR2146" s="103" t="s">
        <v>1018</v>
      </c>
      <c r="CX2146" s="102" t="s">
        <v>30</v>
      </c>
    </row>
    <row r="2147" spans="96:102" ht="15" customHeight="1">
      <c r="CR2147" s="103" t="s">
        <v>321</v>
      </c>
      <c r="CX2147" s="102" t="s">
        <v>30</v>
      </c>
    </row>
    <row r="2148" spans="96:102" ht="15" customHeight="1">
      <c r="CR2148" s="103" t="s">
        <v>324</v>
      </c>
      <c r="CX2148" s="102" t="s">
        <v>30</v>
      </c>
    </row>
    <row r="2149" spans="96:102" ht="15" customHeight="1">
      <c r="CR2149" s="103" t="s">
        <v>327</v>
      </c>
      <c r="CX2149" s="102" t="s">
        <v>30</v>
      </c>
    </row>
    <row r="2150" spans="96:102" ht="15" customHeight="1">
      <c r="CR2150" s="103" t="s">
        <v>330</v>
      </c>
      <c r="CX2150" s="102" t="s">
        <v>30</v>
      </c>
    </row>
    <row r="2151" spans="96:102" ht="15" customHeight="1">
      <c r="CR2151" s="103" t="s">
        <v>333</v>
      </c>
      <c r="CX2151" s="102" t="s">
        <v>30</v>
      </c>
    </row>
    <row r="2152" spans="96:102" ht="15" customHeight="1">
      <c r="CR2152" s="103" t="s">
        <v>336</v>
      </c>
      <c r="CX2152" s="102" t="s">
        <v>30</v>
      </c>
    </row>
    <row r="2153" spans="96:102" ht="15" customHeight="1">
      <c r="CR2153" s="103" t="s">
        <v>340</v>
      </c>
      <c r="CX2153" s="102" t="s">
        <v>30</v>
      </c>
    </row>
    <row r="2154" spans="96:102" ht="15" customHeight="1">
      <c r="CR2154" s="103" t="s">
        <v>272</v>
      </c>
      <c r="CX2154" s="102" t="s">
        <v>30</v>
      </c>
    </row>
    <row r="2155" spans="96:102" ht="15" customHeight="1">
      <c r="CR2155" s="103" t="s">
        <v>1019</v>
      </c>
      <c r="CX2155" s="102" t="s">
        <v>30</v>
      </c>
    </row>
    <row r="2156" spans="96:102" ht="15" customHeight="1">
      <c r="CR2156" s="103" t="s">
        <v>279</v>
      </c>
      <c r="CX2156" s="102" t="s">
        <v>30</v>
      </c>
    </row>
    <row r="2157" spans="96:102" ht="15" customHeight="1">
      <c r="CR2157" s="103" t="s">
        <v>282</v>
      </c>
      <c r="CX2157" s="102" t="s">
        <v>30</v>
      </c>
    </row>
    <row r="2158" spans="96:102" ht="15" customHeight="1">
      <c r="CR2158" s="103" t="s">
        <v>1020</v>
      </c>
      <c r="CX2158" s="102" t="s">
        <v>30</v>
      </c>
    </row>
    <row r="2159" spans="96:102" ht="15" customHeight="1">
      <c r="CR2159" s="103" t="s">
        <v>1021</v>
      </c>
      <c r="CX2159" s="102" t="s">
        <v>30</v>
      </c>
    </row>
    <row r="2160" spans="96:102" ht="15" customHeight="1">
      <c r="CR2160" s="103" t="s">
        <v>1022</v>
      </c>
      <c r="CX2160" s="102" t="s">
        <v>30</v>
      </c>
    </row>
    <row r="2161" spans="96:102" ht="15" customHeight="1">
      <c r="CR2161" s="103" t="s">
        <v>595</v>
      </c>
      <c r="CX2161" s="102" t="s">
        <v>30</v>
      </c>
    </row>
    <row r="2162" spans="96:102" ht="15" customHeight="1">
      <c r="CR2162" s="103" t="s">
        <v>1023</v>
      </c>
      <c r="CX2162" s="102" t="s">
        <v>30</v>
      </c>
    </row>
    <row r="2163" spans="96:102" ht="15" customHeight="1">
      <c r="CR2163" s="103" t="s">
        <v>1024</v>
      </c>
      <c r="CX2163" s="102" t="s">
        <v>30</v>
      </c>
    </row>
    <row r="2164" spans="96:102" ht="15" customHeight="1">
      <c r="CR2164" s="103" t="s">
        <v>1025</v>
      </c>
      <c r="CX2164" s="102" t="s">
        <v>30</v>
      </c>
    </row>
    <row r="2165" spans="96:102" ht="15" customHeight="1">
      <c r="CR2165" s="103" t="s">
        <v>1026</v>
      </c>
      <c r="CX2165" s="102" t="s">
        <v>30</v>
      </c>
    </row>
    <row r="2166" spans="96:102" ht="15" customHeight="1">
      <c r="CR2166" s="103" t="s">
        <v>1027</v>
      </c>
      <c r="CX2166" s="102" t="s">
        <v>30</v>
      </c>
    </row>
    <row r="2167" spans="96:102" ht="15" customHeight="1">
      <c r="CR2167" s="103" t="s">
        <v>312</v>
      </c>
      <c r="CX2167" s="102" t="s">
        <v>30</v>
      </c>
    </row>
    <row r="2168" spans="96:102" ht="15" customHeight="1">
      <c r="CR2168" s="103" t="s">
        <v>1028</v>
      </c>
      <c r="CX2168" s="102" t="s">
        <v>30</v>
      </c>
    </row>
    <row r="2169" spans="96:102" ht="15" customHeight="1">
      <c r="CR2169" s="103" t="s">
        <v>1029</v>
      </c>
      <c r="CX2169" s="102" t="s">
        <v>30</v>
      </c>
    </row>
    <row r="2170" spans="96:102" ht="15" customHeight="1">
      <c r="CR2170" s="103" t="s">
        <v>321</v>
      </c>
      <c r="CX2170" s="102" t="s">
        <v>30</v>
      </c>
    </row>
    <row r="2171" spans="96:102" ht="15" customHeight="1">
      <c r="CR2171" s="103" t="s">
        <v>324</v>
      </c>
      <c r="CX2171" s="102" t="s">
        <v>30</v>
      </c>
    </row>
    <row r="2172" spans="96:102" ht="15" customHeight="1">
      <c r="CR2172" s="103" t="s">
        <v>327</v>
      </c>
      <c r="CX2172" s="102" t="s">
        <v>30</v>
      </c>
    </row>
    <row r="2173" spans="96:102" ht="15" customHeight="1">
      <c r="CR2173" s="103" t="s">
        <v>330</v>
      </c>
      <c r="CX2173" s="102" t="s">
        <v>30</v>
      </c>
    </row>
    <row r="2174" spans="96:102" ht="15" customHeight="1">
      <c r="CR2174" s="103" t="s">
        <v>333</v>
      </c>
      <c r="CX2174" s="102" t="s">
        <v>30</v>
      </c>
    </row>
    <row r="2175" spans="96:102" ht="15" customHeight="1">
      <c r="CR2175" s="103" t="s">
        <v>336</v>
      </c>
      <c r="CX2175" s="102" t="s">
        <v>30</v>
      </c>
    </row>
    <row r="2176" spans="96:102" ht="15" customHeight="1">
      <c r="CR2176" s="103" t="s">
        <v>340</v>
      </c>
      <c r="CX2176" s="102" t="s">
        <v>30</v>
      </c>
    </row>
    <row r="2177" spans="96:102" ht="15" customHeight="1">
      <c r="CR2177" s="103" t="s">
        <v>272</v>
      </c>
      <c r="CX2177" s="102" t="s">
        <v>30</v>
      </c>
    </row>
    <row r="2178" spans="96:102" ht="15" customHeight="1">
      <c r="CR2178" s="103" t="s">
        <v>1030</v>
      </c>
      <c r="CX2178" s="102" t="s">
        <v>30</v>
      </c>
    </row>
    <row r="2179" spans="96:102" ht="15" customHeight="1">
      <c r="CR2179" s="103" t="s">
        <v>279</v>
      </c>
      <c r="CX2179" s="102" t="s">
        <v>30</v>
      </c>
    </row>
    <row r="2180" spans="96:102" ht="15" customHeight="1">
      <c r="CR2180" s="103" t="s">
        <v>282</v>
      </c>
      <c r="CX2180" s="102" t="s">
        <v>30</v>
      </c>
    </row>
    <row r="2181" spans="96:102" ht="15" customHeight="1">
      <c r="CR2181" s="103" t="s">
        <v>1031</v>
      </c>
      <c r="CX2181" s="102" t="s">
        <v>30</v>
      </c>
    </row>
    <row r="2182" spans="96:102" ht="15" customHeight="1">
      <c r="CR2182" s="103" t="s">
        <v>1032</v>
      </c>
      <c r="CX2182" s="102" t="s">
        <v>30</v>
      </c>
    </row>
    <row r="2183" spans="96:102" ht="15" customHeight="1">
      <c r="CR2183" s="103" t="s">
        <v>1033</v>
      </c>
      <c r="CX2183" s="102" t="s">
        <v>30</v>
      </c>
    </row>
    <row r="2184" spans="96:102" ht="15" customHeight="1">
      <c r="CR2184" s="103" t="s">
        <v>595</v>
      </c>
      <c r="CX2184" s="102" t="s">
        <v>30</v>
      </c>
    </row>
    <row r="2185" spans="96:102" ht="15" customHeight="1">
      <c r="CR2185" s="103" t="s">
        <v>1034</v>
      </c>
      <c r="CX2185" s="102" t="s">
        <v>30</v>
      </c>
    </row>
    <row r="2186" spans="96:102" ht="15" customHeight="1">
      <c r="CR2186" s="103" t="s">
        <v>1035</v>
      </c>
      <c r="CX2186" s="102" t="s">
        <v>30</v>
      </c>
    </row>
    <row r="2187" spans="96:102" ht="15" customHeight="1">
      <c r="CR2187" s="103" t="s">
        <v>1036</v>
      </c>
      <c r="CX2187" s="102" t="s">
        <v>30</v>
      </c>
    </row>
    <row r="2188" spans="96:102" ht="15" customHeight="1">
      <c r="CR2188" s="103" t="s">
        <v>1037</v>
      </c>
      <c r="CX2188" s="102" t="s">
        <v>30</v>
      </c>
    </row>
    <row r="2189" spans="96:102" ht="15" customHeight="1">
      <c r="CR2189" s="103" t="s">
        <v>996</v>
      </c>
      <c r="CX2189" s="102" t="s">
        <v>30</v>
      </c>
    </row>
    <row r="2190" spans="96:102" ht="15" customHeight="1">
      <c r="CR2190" s="103" t="s">
        <v>312</v>
      </c>
      <c r="CX2190" s="102" t="s">
        <v>30</v>
      </c>
    </row>
    <row r="2191" spans="96:102" ht="15" customHeight="1">
      <c r="CR2191" s="103" t="s">
        <v>997</v>
      </c>
      <c r="CX2191" s="102" t="s">
        <v>30</v>
      </c>
    </row>
    <row r="2192" spans="96:102" ht="15" customHeight="1">
      <c r="CR2192" s="103" t="s">
        <v>478</v>
      </c>
      <c r="CX2192" s="102" t="s">
        <v>30</v>
      </c>
    </row>
    <row r="2193" spans="96:102" ht="15" customHeight="1">
      <c r="CR2193" s="103" t="s">
        <v>321</v>
      </c>
      <c r="CX2193" s="102" t="s">
        <v>30</v>
      </c>
    </row>
    <row r="2194" spans="96:102" ht="15" customHeight="1">
      <c r="CR2194" s="103" t="s">
        <v>324</v>
      </c>
      <c r="CX2194" s="102" t="s">
        <v>30</v>
      </c>
    </row>
    <row r="2195" spans="96:102" ht="15" customHeight="1">
      <c r="CR2195" s="103" t="s">
        <v>327</v>
      </c>
      <c r="CX2195" s="102" t="s">
        <v>30</v>
      </c>
    </row>
    <row r="2196" spans="96:102" ht="15" customHeight="1">
      <c r="CR2196" s="103" t="s">
        <v>330</v>
      </c>
      <c r="CX2196" s="102" t="s">
        <v>30</v>
      </c>
    </row>
    <row r="2197" spans="96:102" ht="15" customHeight="1">
      <c r="CR2197" s="103" t="s">
        <v>333</v>
      </c>
      <c r="CX2197" s="102" t="s">
        <v>30</v>
      </c>
    </row>
    <row r="2198" spans="96:102" ht="15" customHeight="1">
      <c r="CR2198" s="103" t="s">
        <v>336</v>
      </c>
      <c r="CX2198" s="102" t="s">
        <v>30</v>
      </c>
    </row>
    <row r="2199" spans="96:102" ht="15" customHeight="1">
      <c r="CR2199" s="103" t="s">
        <v>340</v>
      </c>
      <c r="CX2199" s="102" t="s">
        <v>30</v>
      </c>
    </row>
    <row r="2200" spans="96:102" ht="15" customHeight="1">
      <c r="CR2200" s="103" t="s">
        <v>272</v>
      </c>
      <c r="CX2200" s="102" t="s">
        <v>30</v>
      </c>
    </row>
    <row r="2201" spans="96:102" ht="15" customHeight="1">
      <c r="CR2201" s="103" t="s">
        <v>1038</v>
      </c>
      <c r="CX2201" s="102" t="s">
        <v>30</v>
      </c>
    </row>
    <row r="2202" spans="96:102" ht="15" customHeight="1">
      <c r="CR2202" s="103" t="s">
        <v>279</v>
      </c>
      <c r="CX2202" s="102" t="s">
        <v>30</v>
      </c>
    </row>
    <row r="2203" spans="96:102" ht="15" customHeight="1">
      <c r="CR2203" s="103" t="s">
        <v>282</v>
      </c>
      <c r="CX2203" s="102" t="s">
        <v>30</v>
      </c>
    </row>
    <row r="2204" spans="96:102" ht="15" customHeight="1">
      <c r="CR2204" s="103" t="s">
        <v>1039</v>
      </c>
      <c r="CX2204" s="102" t="s">
        <v>30</v>
      </c>
    </row>
    <row r="2205" spans="96:102" ht="15" customHeight="1">
      <c r="CR2205" s="103" t="s">
        <v>1040</v>
      </c>
      <c r="CX2205" s="102" t="s">
        <v>30</v>
      </c>
    </row>
    <row r="2206" spans="96:102" ht="15" customHeight="1">
      <c r="CR2206" s="103" t="s">
        <v>1041</v>
      </c>
      <c r="CX2206" s="102" t="s">
        <v>30</v>
      </c>
    </row>
    <row r="2207" spans="96:102" ht="15" customHeight="1">
      <c r="CR2207" s="103" t="s">
        <v>754</v>
      </c>
      <c r="CX2207" s="102" t="s">
        <v>30</v>
      </c>
    </row>
    <row r="2208" spans="96:102" ht="15" customHeight="1">
      <c r="CR2208" s="103" t="s">
        <v>1042</v>
      </c>
      <c r="CX2208" s="102" t="s">
        <v>30</v>
      </c>
    </row>
    <row r="2209" spans="96:102" ht="15" customHeight="1">
      <c r="CR2209" s="103" t="s">
        <v>1043</v>
      </c>
      <c r="CX2209" s="102" t="s">
        <v>30</v>
      </c>
    </row>
    <row r="2210" spans="96:102" ht="15" customHeight="1">
      <c r="CR2210" s="103" t="s">
        <v>1044</v>
      </c>
      <c r="CX2210" s="102" t="s">
        <v>30</v>
      </c>
    </row>
    <row r="2211" spans="96:102" ht="15" customHeight="1">
      <c r="CR2211" s="103" t="s">
        <v>1045</v>
      </c>
      <c r="CX2211" s="102" t="s">
        <v>30</v>
      </c>
    </row>
    <row r="2212" spans="96:102" ht="15" customHeight="1">
      <c r="CR2212" s="103" t="s">
        <v>807</v>
      </c>
      <c r="CX2212" s="102" t="s">
        <v>30</v>
      </c>
    </row>
    <row r="2213" spans="96:102" ht="15" customHeight="1">
      <c r="CR2213" s="103" t="s">
        <v>312</v>
      </c>
      <c r="CX2213" s="102" t="s">
        <v>30</v>
      </c>
    </row>
    <row r="2214" spans="96:102" ht="15" customHeight="1">
      <c r="CR2214" s="103" t="s">
        <v>808</v>
      </c>
      <c r="CX2214" s="102" t="s">
        <v>30</v>
      </c>
    </row>
    <row r="2215" spans="96:102" ht="15" customHeight="1">
      <c r="CR2215" s="103" t="s">
        <v>966</v>
      </c>
      <c r="CX2215" s="102" t="s">
        <v>30</v>
      </c>
    </row>
    <row r="2216" spans="96:102" ht="15" customHeight="1">
      <c r="CR2216" s="103" t="s">
        <v>321</v>
      </c>
      <c r="CX2216" s="102" t="s">
        <v>30</v>
      </c>
    </row>
    <row r="2217" spans="96:102" ht="15" customHeight="1">
      <c r="CR2217" s="103" t="s">
        <v>324</v>
      </c>
      <c r="CX2217" s="102" t="s">
        <v>30</v>
      </c>
    </row>
    <row r="2218" spans="96:102" ht="15" customHeight="1">
      <c r="CR2218" s="103" t="s">
        <v>327</v>
      </c>
      <c r="CX2218" s="102" t="s">
        <v>30</v>
      </c>
    </row>
    <row r="2219" spans="96:102" ht="15" customHeight="1">
      <c r="CR2219" s="103" t="s">
        <v>330</v>
      </c>
      <c r="CX2219" s="102" t="s">
        <v>30</v>
      </c>
    </row>
    <row r="2220" spans="96:102" ht="15" customHeight="1">
      <c r="CR2220" s="103" t="s">
        <v>333</v>
      </c>
      <c r="CX2220" s="102" t="s">
        <v>30</v>
      </c>
    </row>
    <row r="2221" spans="96:102" ht="15" customHeight="1">
      <c r="CR2221" s="103" t="s">
        <v>336</v>
      </c>
      <c r="CX2221" s="102" t="s">
        <v>30</v>
      </c>
    </row>
    <row r="2222" spans="96:102" ht="15" customHeight="1">
      <c r="CR2222" s="103" t="s">
        <v>340</v>
      </c>
      <c r="CX2222" s="102" t="s">
        <v>30</v>
      </c>
    </row>
    <row r="2223" spans="96:102" ht="15" customHeight="1">
      <c r="CR2223" s="103" t="s">
        <v>272</v>
      </c>
      <c r="CX2223" s="102" t="s">
        <v>30</v>
      </c>
    </row>
    <row r="2224" spans="96:102" ht="15" customHeight="1">
      <c r="CR2224" s="103" t="s">
        <v>1046</v>
      </c>
      <c r="CX2224" s="102" t="s">
        <v>30</v>
      </c>
    </row>
    <row r="2225" spans="96:102" ht="15" customHeight="1">
      <c r="CR2225" s="103" t="s">
        <v>279</v>
      </c>
      <c r="CX2225" s="102" t="s">
        <v>30</v>
      </c>
    </row>
    <row r="2226" spans="96:102" ht="15" customHeight="1">
      <c r="CR2226" s="103" t="s">
        <v>282</v>
      </c>
      <c r="CX2226" s="102" t="s">
        <v>30</v>
      </c>
    </row>
    <row r="2227" spans="96:102" ht="15" customHeight="1">
      <c r="CR2227" s="103" t="s">
        <v>1047</v>
      </c>
      <c r="CX2227" s="102" t="s">
        <v>30</v>
      </c>
    </row>
    <row r="2228" spans="96:102" ht="15" customHeight="1">
      <c r="CR2228" s="103" t="s">
        <v>1048</v>
      </c>
      <c r="CX2228" s="102" t="s">
        <v>30</v>
      </c>
    </row>
    <row r="2229" spans="96:102" ht="15" customHeight="1">
      <c r="CR2229" s="103" t="s">
        <v>1049</v>
      </c>
      <c r="CX2229" s="102" t="s">
        <v>30</v>
      </c>
    </row>
    <row r="2230" spans="96:102" ht="15" customHeight="1">
      <c r="CR2230" s="103" t="s">
        <v>754</v>
      </c>
      <c r="CX2230" s="102" t="s">
        <v>30</v>
      </c>
    </row>
    <row r="2231" spans="96:102" ht="15" customHeight="1">
      <c r="CR2231" s="103" t="s">
        <v>1050</v>
      </c>
      <c r="CX2231" s="102" t="s">
        <v>30</v>
      </c>
    </row>
    <row r="2232" spans="96:102" ht="15" customHeight="1">
      <c r="CR2232" s="103" t="s">
        <v>1051</v>
      </c>
      <c r="CX2232" s="102" t="s">
        <v>30</v>
      </c>
    </row>
    <row r="2233" spans="96:102" ht="15" customHeight="1">
      <c r="CR2233" s="103" t="s">
        <v>1052</v>
      </c>
      <c r="CX2233" s="102" t="s">
        <v>30</v>
      </c>
    </row>
    <row r="2234" spans="96:102" ht="15" customHeight="1">
      <c r="CR2234" s="103" t="s">
        <v>1053</v>
      </c>
      <c r="CX2234" s="102" t="s">
        <v>30</v>
      </c>
    </row>
    <row r="2235" spans="96:102" ht="15" customHeight="1">
      <c r="CR2235" s="103" t="s">
        <v>1054</v>
      </c>
      <c r="CX2235" s="102" t="s">
        <v>30</v>
      </c>
    </row>
    <row r="2236" spans="96:102" ht="15" customHeight="1">
      <c r="CR2236" s="103" t="s">
        <v>312</v>
      </c>
      <c r="CX2236" s="102" t="s">
        <v>30</v>
      </c>
    </row>
    <row r="2237" spans="96:102" ht="15" customHeight="1">
      <c r="CR2237" s="103" t="s">
        <v>1055</v>
      </c>
      <c r="CX2237" s="102" t="s">
        <v>30</v>
      </c>
    </row>
    <row r="2238" spans="96:102" ht="15" customHeight="1">
      <c r="CR2238" s="103" t="s">
        <v>1056</v>
      </c>
      <c r="CX2238" s="102" t="s">
        <v>30</v>
      </c>
    </row>
    <row r="2239" spans="96:102" ht="15" customHeight="1">
      <c r="CR2239" s="103" t="s">
        <v>321</v>
      </c>
      <c r="CX2239" s="102" t="s">
        <v>30</v>
      </c>
    </row>
    <row r="2240" spans="96:102" ht="15" customHeight="1">
      <c r="CR2240" s="103" t="s">
        <v>324</v>
      </c>
      <c r="CX2240" s="102" t="s">
        <v>30</v>
      </c>
    </row>
    <row r="2241" spans="96:102" ht="15" customHeight="1">
      <c r="CR2241" s="103" t="s">
        <v>327</v>
      </c>
      <c r="CX2241" s="102" t="s">
        <v>30</v>
      </c>
    </row>
    <row r="2242" spans="96:102" ht="15" customHeight="1">
      <c r="CR2242" s="103" t="s">
        <v>330</v>
      </c>
      <c r="CX2242" s="102" t="s">
        <v>30</v>
      </c>
    </row>
    <row r="2243" spans="96:102" ht="15" customHeight="1">
      <c r="CR2243" s="103" t="s">
        <v>333</v>
      </c>
      <c r="CX2243" s="102" t="s">
        <v>30</v>
      </c>
    </row>
    <row r="2244" spans="96:102" ht="15" customHeight="1">
      <c r="CR2244" s="103" t="s">
        <v>336</v>
      </c>
      <c r="CX2244" s="102" t="s">
        <v>30</v>
      </c>
    </row>
    <row r="2245" spans="96:102" ht="15" customHeight="1">
      <c r="CR2245" s="103" t="s">
        <v>340</v>
      </c>
      <c r="CX2245" s="102" t="s">
        <v>30</v>
      </c>
    </row>
    <row r="2246" spans="96:102" ht="15" customHeight="1">
      <c r="CR2246" s="103" t="s">
        <v>272</v>
      </c>
      <c r="CX2246" s="102" t="s">
        <v>30</v>
      </c>
    </row>
    <row r="2247" spans="96:102" ht="15" customHeight="1">
      <c r="CR2247" s="103" t="s">
        <v>1057</v>
      </c>
      <c r="CX2247" s="102" t="s">
        <v>30</v>
      </c>
    </row>
    <row r="2248" spans="96:102" ht="15" customHeight="1">
      <c r="CR2248" s="103" t="s">
        <v>279</v>
      </c>
      <c r="CX2248" s="102" t="s">
        <v>30</v>
      </c>
    </row>
    <row r="2249" spans="96:102" ht="15" customHeight="1">
      <c r="CR2249" s="103" t="s">
        <v>282</v>
      </c>
      <c r="CX2249" s="102" t="s">
        <v>30</v>
      </c>
    </row>
    <row r="2250" spans="96:102" ht="15" customHeight="1">
      <c r="CR2250" s="103" t="s">
        <v>1058</v>
      </c>
      <c r="CX2250" s="102" t="s">
        <v>30</v>
      </c>
    </row>
    <row r="2251" spans="96:102" ht="15" customHeight="1">
      <c r="CR2251" s="103" t="s">
        <v>1059</v>
      </c>
      <c r="CX2251" s="102" t="s">
        <v>30</v>
      </c>
    </row>
    <row r="2252" spans="96:102" ht="15" customHeight="1">
      <c r="CR2252" s="103" t="s">
        <v>1060</v>
      </c>
      <c r="CX2252" s="102" t="s">
        <v>30</v>
      </c>
    </row>
    <row r="2253" spans="96:102" ht="15" customHeight="1">
      <c r="CR2253" s="103" t="s">
        <v>437</v>
      </c>
      <c r="CX2253" s="102" t="s">
        <v>30</v>
      </c>
    </row>
    <row r="2254" spans="96:102" ht="15" customHeight="1">
      <c r="CR2254" s="103" t="s">
        <v>438</v>
      </c>
      <c r="CX2254" s="102" t="s">
        <v>30</v>
      </c>
    </row>
    <row r="2255" spans="96:102" ht="15" customHeight="1">
      <c r="CR2255" s="103" t="s">
        <v>1061</v>
      </c>
      <c r="CX2255" s="102" t="s">
        <v>30</v>
      </c>
    </row>
    <row r="2256" spans="96:102" ht="15" customHeight="1">
      <c r="CR2256" s="103" t="s">
        <v>1062</v>
      </c>
      <c r="CX2256" s="102" t="s">
        <v>30</v>
      </c>
    </row>
    <row r="2257" spans="96:102" ht="15" customHeight="1">
      <c r="CR2257" s="103" t="s">
        <v>1063</v>
      </c>
      <c r="CX2257" s="102" t="s">
        <v>30</v>
      </c>
    </row>
    <row r="2258" spans="96:102" ht="15" customHeight="1">
      <c r="CR2258" s="103" t="s">
        <v>926</v>
      </c>
      <c r="CX2258" s="102" t="s">
        <v>30</v>
      </c>
    </row>
    <row r="2259" spans="96:102" ht="15" customHeight="1">
      <c r="CR2259" s="103" t="s">
        <v>312</v>
      </c>
      <c r="CX2259" s="102" t="s">
        <v>30</v>
      </c>
    </row>
    <row r="2260" spans="96:102" ht="15" customHeight="1">
      <c r="CR2260" s="103" t="s">
        <v>927</v>
      </c>
      <c r="CX2260" s="102" t="s">
        <v>30</v>
      </c>
    </row>
    <row r="2261" spans="96:102" ht="15" customHeight="1">
      <c r="CR2261" s="103" t="s">
        <v>1029</v>
      </c>
      <c r="CX2261" s="102" t="s">
        <v>30</v>
      </c>
    </row>
    <row r="2262" spans="96:102" ht="15" customHeight="1">
      <c r="CR2262" s="103" t="s">
        <v>321</v>
      </c>
      <c r="CX2262" s="102" t="s">
        <v>30</v>
      </c>
    </row>
    <row r="2263" spans="96:102" ht="15" customHeight="1">
      <c r="CR2263" s="103" t="s">
        <v>324</v>
      </c>
      <c r="CX2263" s="102" t="s">
        <v>30</v>
      </c>
    </row>
    <row r="2264" spans="96:102" ht="15" customHeight="1">
      <c r="CR2264" s="103" t="s">
        <v>327</v>
      </c>
      <c r="CX2264" s="102" t="s">
        <v>30</v>
      </c>
    </row>
    <row r="2265" spans="96:102" ht="15" customHeight="1">
      <c r="CR2265" s="103" t="s">
        <v>330</v>
      </c>
      <c r="CX2265" s="102" t="s">
        <v>30</v>
      </c>
    </row>
    <row r="2266" spans="96:102" ht="15" customHeight="1">
      <c r="CR2266" s="103" t="s">
        <v>333</v>
      </c>
      <c r="CX2266" s="102" t="s">
        <v>30</v>
      </c>
    </row>
    <row r="2267" spans="96:102" ht="15" customHeight="1">
      <c r="CR2267" s="103" t="s">
        <v>444</v>
      </c>
      <c r="CX2267" s="102" t="s">
        <v>30</v>
      </c>
    </row>
    <row r="2268" spans="96:102" ht="15" customHeight="1">
      <c r="CR2268" s="103" t="s">
        <v>445</v>
      </c>
      <c r="CX2268" s="102" t="s">
        <v>30</v>
      </c>
    </row>
    <row r="2269" spans="96:102" ht="15" customHeight="1">
      <c r="CR2269" s="103" t="s">
        <v>446</v>
      </c>
      <c r="CX2269" s="102" t="s">
        <v>30</v>
      </c>
    </row>
    <row r="2270" spans="96:102" ht="15" customHeight="1">
      <c r="CR2270" s="103" t="s">
        <v>453</v>
      </c>
      <c r="CX2270" s="102" t="s">
        <v>30</v>
      </c>
    </row>
    <row r="2271" spans="96:102" ht="15" customHeight="1">
      <c r="CR2271" s="103" t="s">
        <v>448</v>
      </c>
      <c r="CX2271" s="102" t="s">
        <v>30</v>
      </c>
    </row>
    <row r="2272" spans="96:102" ht="15" customHeight="1">
      <c r="CR2272" s="103" t="s">
        <v>449</v>
      </c>
      <c r="CX2272" s="102" t="s">
        <v>30</v>
      </c>
    </row>
    <row r="2273" spans="96:102" ht="15" customHeight="1">
      <c r="CR2273" s="103" t="s">
        <v>454</v>
      </c>
      <c r="CX2273" s="102" t="s">
        <v>30</v>
      </c>
    </row>
    <row r="2274" spans="96:102" ht="15" customHeight="1">
      <c r="CR2274" s="103" t="s">
        <v>1064</v>
      </c>
      <c r="CX2274" s="102" t="s">
        <v>30</v>
      </c>
    </row>
    <row r="2275" spans="96:102" ht="15" customHeight="1">
      <c r="CR2275" s="103" t="s">
        <v>456</v>
      </c>
      <c r="CX2275" s="102" t="s">
        <v>30</v>
      </c>
    </row>
    <row r="2276" spans="96:102" ht="15" customHeight="1">
      <c r="CR2276" s="103" t="s">
        <v>457</v>
      </c>
      <c r="CX2276" s="102" t="s">
        <v>30</v>
      </c>
    </row>
    <row r="2277" spans="96:102" ht="15" customHeight="1">
      <c r="CR2277" s="103" t="s">
        <v>340</v>
      </c>
      <c r="CX2277" s="102" t="s">
        <v>30</v>
      </c>
    </row>
    <row r="2278" spans="96:102" ht="15" customHeight="1">
      <c r="CR2278" s="103" t="s">
        <v>272</v>
      </c>
      <c r="CX2278" s="102" t="s">
        <v>30</v>
      </c>
    </row>
    <row r="2279" spans="96:102" ht="15" customHeight="1">
      <c r="CR2279" s="103" t="s">
        <v>1065</v>
      </c>
      <c r="CX2279" s="102" t="s">
        <v>30</v>
      </c>
    </row>
    <row r="2280" spans="96:102" ht="15" customHeight="1">
      <c r="CR2280" s="103" t="s">
        <v>279</v>
      </c>
      <c r="CX2280" s="102" t="s">
        <v>30</v>
      </c>
    </row>
    <row r="2281" spans="96:102" ht="15" customHeight="1">
      <c r="CR2281" s="103" t="s">
        <v>282</v>
      </c>
      <c r="CX2281" s="102" t="s">
        <v>30</v>
      </c>
    </row>
    <row r="2282" spans="96:102" ht="15" customHeight="1">
      <c r="CR2282" s="103" t="s">
        <v>1066</v>
      </c>
      <c r="CX2282" s="102" t="s">
        <v>30</v>
      </c>
    </row>
    <row r="2283" spans="96:102" ht="15" customHeight="1">
      <c r="CR2283" s="103" t="s">
        <v>1067</v>
      </c>
      <c r="CX2283" s="102" t="s">
        <v>30</v>
      </c>
    </row>
    <row r="2284" spans="96:102" ht="15" customHeight="1">
      <c r="CR2284" s="103" t="s">
        <v>1068</v>
      </c>
      <c r="CX2284" s="102" t="s">
        <v>30</v>
      </c>
    </row>
    <row r="2285" spans="96:102" ht="15" customHeight="1">
      <c r="CR2285" s="103" t="s">
        <v>437</v>
      </c>
      <c r="CX2285" s="102" t="s">
        <v>30</v>
      </c>
    </row>
    <row r="2286" spans="96:102" ht="15" customHeight="1">
      <c r="CR2286" s="103" t="s">
        <v>1069</v>
      </c>
      <c r="CX2286" s="102" t="s">
        <v>30</v>
      </c>
    </row>
    <row r="2287" spans="96:102" ht="15" customHeight="1">
      <c r="CR2287" s="103" t="s">
        <v>1070</v>
      </c>
      <c r="CX2287" s="102" t="s">
        <v>30</v>
      </c>
    </row>
    <row r="2288" spans="96:102" ht="15" customHeight="1">
      <c r="CR2288" s="103" t="s">
        <v>1071</v>
      </c>
      <c r="CX2288" s="102" t="s">
        <v>30</v>
      </c>
    </row>
    <row r="2289" spans="96:102" ht="15" customHeight="1">
      <c r="CR2289" s="103" t="s">
        <v>1072</v>
      </c>
      <c r="CX2289" s="102" t="s">
        <v>30</v>
      </c>
    </row>
    <row r="2290" spans="96:102" ht="15" customHeight="1">
      <c r="CR2290" s="103" t="s">
        <v>1073</v>
      </c>
      <c r="CX2290" s="102" t="s">
        <v>30</v>
      </c>
    </row>
    <row r="2291" spans="96:102" ht="15" customHeight="1">
      <c r="CR2291" s="103" t="s">
        <v>312</v>
      </c>
      <c r="CX2291" s="102" t="s">
        <v>30</v>
      </c>
    </row>
    <row r="2292" spans="96:102" ht="15" customHeight="1">
      <c r="CR2292" s="103" t="s">
        <v>1074</v>
      </c>
      <c r="CX2292" s="102" t="s">
        <v>30</v>
      </c>
    </row>
    <row r="2293" spans="96:102" ht="15" customHeight="1">
      <c r="CR2293" s="103" t="s">
        <v>1075</v>
      </c>
      <c r="CX2293" s="102" t="s">
        <v>30</v>
      </c>
    </row>
    <row r="2294" spans="96:102" ht="15" customHeight="1">
      <c r="CR2294" s="103" t="s">
        <v>321</v>
      </c>
      <c r="CX2294" s="102" t="s">
        <v>30</v>
      </c>
    </row>
    <row r="2295" spans="96:102" ht="15" customHeight="1">
      <c r="CR2295" s="103" t="s">
        <v>324</v>
      </c>
      <c r="CX2295" s="102" t="s">
        <v>30</v>
      </c>
    </row>
    <row r="2296" spans="96:102" ht="15" customHeight="1">
      <c r="CR2296" s="103" t="s">
        <v>327</v>
      </c>
      <c r="CX2296" s="102" t="s">
        <v>30</v>
      </c>
    </row>
    <row r="2297" spans="96:102" ht="15" customHeight="1">
      <c r="CR2297" s="103" t="s">
        <v>330</v>
      </c>
      <c r="CX2297" s="102" t="s">
        <v>30</v>
      </c>
    </row>
    <row r="2298" spans="96:102" ht="15" customHeight="1">
      <c r="CR2298" s="103" t="s">
        <v>333</v>
      </c>
      <c r="CX2298" s="102" t="s">
        <v>30</v>
      </c>
    </row>
    <row r="2299" spans="96:102" ht="15" customHeight="1">
      <c r="CR2299" s="103" t="s">
        <v>336</v>
      </c>
      <c r="CX2299" s="102" t="s">
        <v>30</v>
      </c>
    </row>
    <row r="2300" spans="96:102" ht="15" customHeight="1">
      <c r="CR2300" s="103" t="s">
        <v>340</v>
      </c>
      <c r="CX2300" s="102" t="s">
        <v>30</v>
      </c>
    </row>
    <row r="2301" spans="96:102" ht="15" customHeight="1">
      <c r="CR2301" s="103" t="s">
        <v>272</v>
      </c>
      <c r="CX2301" s="102" t="s">
        <v>30</v>
      </c>
    </row>
    <row r="2302" spans="96:102" ht="15" customHeight="1">
      <c r="CR2302" s="103" t="s">
        <v>1076</v>
      </c>
      <c r="CX2302" s="102" t="s">
        <v>30</v>
      </c>
    </row>
    <row r="2303" spans="96:102" ht="15" customHeight="1">
      <c r="CR2303" s="103" t="s">
        <v>279</v>
      </c>
      <c r="CX2303" s="102" t="s">
        <v>30</v>
      </c>
    </row>
    <row r="2304" spans="96:102" ht="15" customHeight="1">
      <c r="CR2304" s="103" t="s">
        <v>282</v>
      </c>
      <c r="CX2304" s="102" t="s">
        <v>30</v>
      </c>
    </row>
    <row r="2305" spans="96:102" ht="15" customHeight="1">
      <c r="CR2305" s="103" t="s">
        <v>1077</v>
      </c>
      <c r="CX2305" s="102" t="s">
        <v>30</v>
      </c>
    </row>
    <row r="2306" spans="96:102" ht="15" customHeight="1">
      <c r="CR2306" s="103" t="s">
        <v>1078</v>
      </c>
      <c r="CX2306" s="102" t="s">
        <v>30</v>
      </c>
    </row>
    <row r="2307" spans="96:102" ht="15" customHeight="1">
      <c r="CR2307" s="103" t="s">
        <v>1079</v>
      </c>
      <c r="CX2307" s="102" t="s">
        <v>30</v>
      </c>
    </row>
    <row r="2308" spans="96:102" ht="15" customHeight="1">
      <c r="CR2308" s="103" t="s">
        <v>462</v>
      </c>
      <c r="CX2308" s="102" t="s">
        <v>30</v>
      </c>
    </row>
    <row r="2309" spans="96:102" ht="15" customHeight="1">
      <c r="CR2309" s="103" t="s">
        <v>1080</v>
      </c>
      <c r="CX2309" s="102" t="s">
        <v>30</v>
      </c>
    </row>
    <row r="2310" spans="96:102" ht="15" customHeight="1">
      <c r="CR2310" s="103" t="s">
        <v>1081</v>
      </c>
      <c r="CX2310" s="102" t="s">
        <v>30</v>
      </c>
    </row>
    <row r="2311" spans="96:102" ht="15" customHeight="1">
      <c r="CR2311" s="103" t="s">
        <v>1082</v>
      </c>
      <c r="CX2311" s="102" t="s">
        <v>30</v>
      </c>
    </row>
    <row r="2312" spans="96:102" ht="15" customHeight="1">
      <c r="CR2312" s="103" t="s">
        <v>1083</v>
      </c>
      <c r="CX2312" s="102" t="s">
        <v>30</v>
      </c>
    </row>
    <row r="2313" spans="96:102" ht="15" customHeight="1">
      <c r="CR2313" s="103" t="s">
        <v>1084</v>
      </c>
      <c r="CX2313" s="102" t="s">
        <v>30</v>
      </c>
    </row>
    <row r="2314" spans="96:102" ht="15" customHeight="1">
      <c r="CR2314" s="103" t="s">
        <v>312</v>
      </c>
      <c r="CX2314" s="102" t="s">
        <v>30</v>
      </c>
    </row>
    <row r="2315" spans="96:102" ht="15" customHeight="1">
      <c r="CR2315" s="103" t="s">
        <v>1085</v>
      </c>
      <c r="CX2315" s="102" t="s">
        <v>30</v>
      </c>
    </row>
    <row r="2316" spans="96:102" ht="15" customHeight="1">
      <c r="CR2316" s="103" t="s">
        <v>1086</v>
      </c>
      <c r="CX2316" s="102" t="s">
        <v>30</v>
      </c>
    </row>
    <row r="2317" spans="96:102" ht="15" customHeight="1">
      <c r="CR2317" s="103" t="s">
        <v>321</v>
      </c>
      <c r="CX2317" s="102" t="s">
        <v>30</v>
      </c>
    </row>
    <row r="2318" spans="96:102" ht="15" customHeight="1">
      <c r="CR2318" s="103" t="s">
        <v>324</v>
      </c>
      <c r="CX2318" s="102" t="s">
        <v>30</v>
      </c>
    </row>
    <row r="2319" spans="96:102" ht="15" customHeight="1">
      <c r="CR2319" s="103" t="s">
        <v>327</v>
      </c>
      <c r="CX2319" s="102" t="s">
        <v>30</v>
      </c>
    </row>
    <row r="2320" spans="96:102" ht="15" customHeight="1">
      <c r="CR2320" s="103" t="s">
        <v>330</v>
      </c>
      <c r="CX2320" s="102" t="s">
        <v>30</v>
      </c>
    </row>
    <row r="2321" spans="96:102" ht="15" customHeight="1">
      <c r="CR2321" s="103" t="s">
        <v>333</v>
      </c>
      <c r="CX2321" s="102" t="s">
        <v>30</v>
      </c>
    </row>
    <row r="2322" spans="96:102" ht="15" customHeight="1">
      <c r="CR2322" s="103" t="s">
        <v>336</v>
      </c>
      <c r="CX2322" s="102" t="s">
        <v>30</v>
      </c>
    </row>
    <row r="2323" spans="96:102" ht="15" customHeight="1">
      <c r="CR2323" s="103" t="s">
        <v>340</v>
      </c>
      <c r="CX2323" s="102" t="s">
        <v>30</v>
      </c>
    </row>
    <row r="2324" spans="96:102" ht="15" customHeight="1">
      <c r="CR2324" s="103" t="s">
        <v>272</v>
      </c>
      <c r="CX2324" s="102" t="s">
        <v>30</v>
      </c>
    </row>
    <row r="2325" spans="96:102" ht="15" customHeight="1">
      <c r="CR2325" s="103" t="s">
        <v>1087</v>
      </c>
      <c r="CX2325" s="102" t="s">
        <v>30</v>
      </c>
    </row>
    <row r="2326" spans="96:102" ht="15" customHeight="1">
      <c r="CR2326" s="103" t="s">
        <v>279</v>
      </c>
      <c r="CX2326" s="102" t="s">
        <v>30</v>
      </c>
    </row>
    <row r="2327" spans="96:102" ht="15" customHeight="1">
      <c r="CR2327" s="103" t="s">
        <v>282</v>
      </c>
      <c r="CX2327" s="102" t="s">
        <v>30</v>
      </c>
    </row>
    <row r="2328" spans="96:102" ht="15" customHeight="1">
      <c r="CR2328" s="103" t="s">
        <v>1088</v>
      </c>
      <c r="CX2328" s="102" t="s">
        <v>30</v>
      </c>
    </row>
    <row r="2329" spans="96:102" ht="15" customHeight="1">
      <c r="CR2329" s="103" t="s">
        <v>1089</v>
      </c>
      <c r="CX2329" s="102" t="s">
        <v>30</v>
      </c>
    </row>
    <row r="2330" spans="96:102" ht="15" customHeight="1">
      <c r="CR2330" s="103" t="s">
        <v>1090</v>
      </c>
      <c r="CX2330" s="102" t="s">
        <v>30</v>
      </c>
    </row>
    <row r="2331" spans="96:102" ht="15" customHeight="1">
      <c r="CR2331" s="103" t="s">
        <v>462</v>
      </c>
      <c r="CX2331" s="102" t="s">
        <v>30</v>
      </c>
    </row>
    <row r="2332" spans="96:102" ht="15" customHeight="1">
      <c r="CR2332" s="103" t="s">
        <v>1091</v>
      </c>
      <c r="CX2332" s="102" t="s">
        <v>30</v>
      </c>
    </row>
    <row r="2333" spans="96:102" ht="15" customHeight="1">
      <c r="CR2333" s="103" t="s">
        <v>1092</v>
      </c>
      <c r="CX2333" s="102" t="s">
        <v>30</v>
      </c>
    </row>
    <row r="2334" spans="96:102" ht="15" customHeight="1">
      <c r="CR2334" s="103" t="s">
        <v>1093</v>
      </c>
      <c r="CX2334" s="102" t="s">
        <v>30</v>
      </c>
    </row>
    <row r="2335" spans="96:102" ht="15" customHeight="1">
      <c r="CR2335" s="103" t="s">
        <v>1094</v>
      </c>
      <c r="CX2335" s="102" t="s">
        <v>30</v>
      </c>
    </row>
    <row r="2336" spans="96:102" ht="15" customHeight="1">
      <c r="CR2336" s="103" t="s">
        <v>819</v>
      </c>
      <c r="CX2336" s="102" t="s">
        <v>30</v>
      </c>
    </row>
    <row r="2337" spans="96:102" ht="15" customHeight="1">
      <c r="CR2337" s="103" t="s">
        <v>312</v>
      </c>
      <c r="CX2337" s="102" t="s">
        <v>30</v>
      </c>
    </row>
    <row r="2338" spans="96:102" ht="15" customHeight="1">
      <c r="CR2338" s="103" t="s">
        <v>820</v>
      </c>
      <c r="CX2338" s="102" t="s">
        <v>30</v>
      </c>
    </row>
    <row r="2339" spans="96:102" ht="15" customHeight="1">
      <c r="CR2339" s="103" t="s">
        <v>947</v>
      </c>
      <c r="CX2339" s="102" t="s">
        <v>30</v>
      </c>
    </row>
    <row r="2340" spans="96:102" ht="15" customHeight="1">
      <c r="CR2340" s="103" t="s">
        <v>321</v>
      </c>
      <c r="CX2340" s="102" t="s">
        <v>30</v>
      </c>
    </row>
    <row r="2341" spans="96:102" ht="15" customHeight="1">
      <c r="CR2341" s="103" t="s">
        <v>324</v>
      </c>
      <c r="CX2341" s="102" t="s">
        <v>30</v>
      </c>
    </row>
    <row r="2342" spans="96:102" ht="15" customHeight="1">
      <c r="CR2342" s="103" t="s">
        <v>327</v>
      </c>
      <c r="CX2342" s="102" t="s">
        <v>30</v>
      </c>
    </row>
    <row r="2343" spans="96:102" ht="15" customHeight="1">
      <c r="CR2343" s="103" t="s">
        <v>330</v>
      </c>
      <c r="CX2343" s="102" t="s">
        <v>30</v>
      </c>
    </row>
    <row r="2344" spans="96:102" ht="15" customHeight="1">
      <c r="CR2344" s="103" t="s">
        <v>333</v>
      </c>
      <c r="CX2344" s="102" t="s">
        <v>30</v>
      </c>
    </row>
    <row r="2345" spans="96:102" ht="15" customHeight="1">
      <c r="CR2345" s="103" t="s">
        <v>336</v>
      </c>
      <c r="CX2345" s="102" t="s">
        <v>30</v>
      </c>
    </row>
    <row r="2346" spans="96:102" ht="15" customHeight="1">
      <c r="CR2346" s="103" t="s">
        <v>340</v>
      </c>
      <c r="CX2346" s="102" t="s">
        <v>30</v>
      </c>
    </row>
    <row r="2347" spans="96:102" ht="15" customHeight="1">
      <c r="CR2347" s="103" t="s">
        <v>272</v>
      </c>
      <c r="CX2347" s="102" t="s">
        <v>30</v>
      </c>
    </row>
    <row r="2348" spans="96:102" ht="15" customHeight="1">
      <c r="CR2348" s="103" t="s">
        <v>1095</v>
      </c>
      <c r="CX2348" s="102" t="s">
        <v>30</v>
      </c>
    </row>
    <row r="2349" spans="96:102" ht="15" customHeight="1">
      <c r="CR2349" s="103" t="s">
        <v>279</v>
      </c>
      <c r="CX2349" s="102" t="s">
        <v>30</v>
      </c>
    </row>
    <row r="2350" spans="96:102" ht="15" customHeight="1">
      <c r="CR2350" s="103" t="s">
        <v>282</v>
      </c>
      <c r="CX2350" s="102" t="s">
        <v>30</v>
      </c>
    </row>
    <row r="2351" spans="96:102" ht="15" customHeight="1">
      <c r="CR2351" s="103" t="s">
        <v>1096</v>
      </c>
      <c r="CX2351" s="102" t="s">
        <v>30</v>
      </c>
    </row>
    <row r="2352" spans="96:102" ht="15" customHeight="1">
      <c r="CR2352" s="103" t="s">
        <v>1097</v>
      </c>
      <c r="CX2352" s="102" t="s">
        <v>30</v>
      </c>
    </row>
    <row r="2353" spans="96:102" ht="15" customHeight="1">
      <c r="CR2353" s="103" t="s">
        <v>1098</v>
      </c>
      <c r="CX2353" s="102" t="s">
        <v>30</v>
      </c>
    </row>
    <row r="2354" spans="96:102" ht="15" customHeight="1">
      <c r="CR2354" s="103" t="s">
        <v>462</v>
      </c>
      <c r="CX2354" s="102" t="s">
        <v>30</v>
      </c>
    </row>
    <row r="2355" spans="96:102" ht="15" customHeight="1">
      <c r="CR2355" s="103" t="s">
        <v>1099</v>
      </c>
      <c r="CX2355" s="102" t="s">
        <v>30</v>
      </c>
    </row>
    <row r="2356" spans="96:102" ht="15" customHeight="1">
      <c r="CR2356" s="103" t="s">
        <v>1100</v>
      </c>
      <c r="CX2356" s="102" t="s">
        <v>30</v>
      </c>
    </row>
    <row r="2357" spans="96:102" ht="15" customHeight="1">
      <c r="CR2357" s="103" t="s">
        <v>1101</v>
      </c>
      <c r="CX2357" s="102" t="s">
        <v>30</v>
      </c>
    </row>
    <row r="2358" spans="96:102" ht="15" customHeight="1">
      <c r="CR2358" s="103" t="s">
        <v>1102</v>
      </c>
      <c r="CX2358" s="102" t="s">
        <v>30</v>
      </c>
    </row>
    <row r="2359" spans="96:102" ht="15" customHeight="1">
      <c r="CR2359" s="103" t="s">
        <v>1103</v>
      </c>
      <c r="CX2359" s="102" t="s">
        <v>30</v>
      </c>
    </row>
    <row r="2360" spans="96:102" ht="15" customHeight="1">
      <c r="CR2360" s="103" t="s">
        <v>312</v>
      </c>
      <c r="CX2360" s="102" t="s">
        <v>30</v>
      </c>
    </row>
    <row r="2361" spans="96:102" ht="15" customHeight="1">
      <c r="CR2361" s="103" t="s">
        <v>1104</v>
      </c>
      <c r="CX2361" s="102" t="s">
        <v>30</v>
      </c>
    </row>
    <row r="2362" spans="96:102" ht="15" customHeight="1">
      <c r="CR2362" s="103" t="s">
        <v>1105</v>
      </c>
      <c r="CX2362" s="102" t="s">
        <v>30</v>
      </c>
    </row>
    <row r="2363" spans="96:102" ht="15" customHeight="1">
      <c r="CR2363" s="103" t="s">
        <v>321</v>
      </c>
      <c r="CX2363" s="102" t="s">
        <v>30</v>
      </c>
    </row>
    <row r="2364" spans="96:102" ht="15" customHeight="1">
      <c r="CR2364" s="103" t="s">
        <v>324</v>
      </c>
      <c r="CX2364" s="102" t="s">
        <v>30</v>
      </c>
    </row>
    <row r="2365" spans="96:102" ht="15" customHeight="1">
      <c r="CR2365" s="103" t="s">
        <v>327</v>
      </c>
      <c r="CX2365" s="102" t="s">
        <v>30</v>
      </c>
    </row>
    <row r="2366" spans="96:102" ht="15" customHeight="1">
      <c r="CR2366" s="103" t="s">
        <v>330</v>
      </c>
      <c r="CX2366" s="102" t="s">
        <v>30</v>
      </c>
    </row>
    <row r="2367" spans="96:102" ht="15" customHeight="1">
      <c r="CR2367" s="103" t="s">
        <v>333</v>
      </c>
      <c r="CX2367" s="102" t="s">
        <v>30</v>
      </c>
    </row>
    <row r="2368" spans="96:102" ht="15" customHeight="1">
      <c r="CR2368" s="103" t="s">
        <v>336</v>
      </c>
      <c r="CX2368" s="102" t="s">
        <v>30</v>
      </c>
    </row>
    <row r="2369" spans="96:102" ht="15" customHeight="1">
      <c r="CR2369" s="103" t="s">
        <v>340</v>
      </c>
      <c r="CX2369" s="102" t="s">
        <v>30</v>
      </c>
    </row>
    <row r="2370" spans="96:102" ht="15" customHeight="1">
      <c r="CR2370" s="103" t="s">
        <v>272</v>
      </c>
      <c r="CX2370" s="102" t="s">
        <v>30</v>
      </c>
    </row>
    <row r="2371" spans="96:102" ht="15" customHeight="1">
      <c r="CR2371" s="103" t="s">
        <v>1106</v>
      </c>
      <c r="CX2371" s="102" t="s">
        <v>30</v>
      </c>
    </row>
    <row r="2372" spans="96:102" ht="15" customHeight="1">
      <c r="CR2372" s="103" t="s">
        <v>279</v>
      </c>
      <c r="CX2372" s="102" t="s">
        <v>30</v>
      </c>
    </row>
    <row r="2373" spans="96:102" ht="15" customHeight="1">
      <c r="CR2373" s="103" t="s">
        <v>282</v>
      </c>
      <c r="CX2373" s="102" t="s">
        <v>30</v>
      </c>
    </row>
    <row r="2374" spans="96:102" ht="15" customHeight="1">
      <c r="CR2374" s="103" t="s">
        <v>1107</v>
      </c>
      <c r="CX2374" s="102" t="s">
        <v>30</v>
      </c>
    </row>
    <row r="2375" spans="96:102" ht="15" customHeight="1">
      <c r="CR2375" s="103" t="s">
        <v>1108</v>
      </c>
      <c r="CX2375" s="102" t="s">
        <v>30</v>
      </c>
    </row>
    <row r="2376" spans="96:102" ht="15" customHeight="1">
      <c r="CR2376" s="103" t="s">
        <v>1109</v>
      </c>
      <c r="CX2376" s="102" t="s">
        <v>30</v>
      </c>
    </row>
    <row r="2377" spans="96:102" ht="15" customHeight="1">
      <c r="CR2377" s="103" t="s">
        <v>780</v>
      </c>
      <c r="CX2377" s="102" t="s">
        <v>30</v>
      </c>
    </row>
    <row r="2378" spans="96:102" ht="15" customHeight="1">
      <c r="CR2378" s="103" t="s">
        <v>1110</v>
      </c>
      <c r="CX2378" s="102" t="s">
        <v>30</v>
      </c>
    </row>
    <row r="2379" spans="96:102" ht="15" customHeight="1">
      <c r="CR2379" s="103" t="s">
        <v>1111</v>
      </c>
      <c r="CX2379" s="102" t="s">
        <v>30</v>
      </c>
    </row>
    <row r="2380" spans="96:102" ht="15" customHeight="1">
      <c r="CR2380" s="103" t="s">
        <v>1112</v>
      </c>
      <c r="CX2380" s="102" t="s">
        <v>30</v>
      </c>
    </row>
    <row r="2381" spans="96:102" ht="15" customHeight="1">
      <c r="CR2381" s="103" t="s">
        <v>1113</v>
      </c>
      <c r="CX2381" s="102" t="s">
        <v>30</v>
      </c>
    </row>
    <row r="2382" spans="96:102" ht="15" customHeight="1">
      <c r="CR2382" s="103" t="s">
        <v>1084</v>
      </c>
      <c r="CX2382" s="102" t="s">
        <v>30</v>
      </c>
    </row>
    <row r="2383" spans="96:102" ht="15" customHeight="1">
      <c r="CR2383" s="103" t="s">
        <v>312</v>
      </c>
      <c r="CX2383" s="102" t="s">
        <v>30</v>
      </c>
    </row>
    <row r="2384" spans="96:102" ht="15" customHeight="1">
      <c r="CR2384" s="103" t="s">
        <v>1085</v>
      </c>
      <c r="CX2384" s="102" t="s">
        <v>30</v>
      </c>
    </row>
    <row r="2385" spans="96:102" ht="15" customHeight="1">
      <c r="CR2385" s="103" t="s">
        <v>1086</v>
      </c>
      <c r="CX2385" s="102" t="s">
        <v>30</v>
      </c>
    </row>
    <row r="2386" spans="96:102" ht="15" customHeight="1">
      <c r="CR2386" s="103" t="s">
        <v>321</v>
      </c>
      <c r="CX2386" s="102" t="s">
        <v>30</v>
      </c>
    </row>
    <row r="2387" spans="96:102" ht="15" customHeight="1">
      <c r="CR2387" s="103" t="s">
        <v>324</v>
      </c>
      <c r="CX2387" s="102" t="s">
        <v>30</v>
      </c>
    </row>
    <row r="2388" spans="96:102" ht="15" customHeight="1">
      <c r="CR2388" s="103" t="s">
        <v>327</v>
      </c>
      <c r="CX2388" s="102" t="s">
        <v>30</v>
      </c>
    </row>
    <row r="2389" spans="96:102" ht="15" customHeight="1">
      <c r="CR2389" s="103" t="s">
        <v>330</v>
      </c>
      <c r="CX2389" s="102" t="s">
        <v>30</v>
      </c>
    </row>
    <row r="2390" spans="96:102" ht="15" customHeight="1">
      <c r="CR2390" s="103" t="s">
        <v>333</v>
      </c>
      <c r="CX2390" s="102" t="s">
        <v>30</v>
      </c>
    </row>
    <row r="2391" spans="96:102" ht="15" customHeight="1">
      <c r="CR2391" s="103" t="s">
        <v>336</v>
      </c>
      <c r="CX2391" s="102" t="s">
        <v>30</v>
      </c>
    </row>
    <row r="2392" spans="96:102" ht="15" customHeight="1">
      <c r="CR2392" s="103" t="s">
        <v>340</v>
      </c>
      <c r="CX2392" s="102" t="s">
        <v>30</v>
      </c>
    </row>
    <row r="2393" spans="96:102" ht="15" customHeight="1">
      <c r="CR2393" s="103" t="s">
        <v>272</v>
      </c>
      <c r="CX2393" s="102" t="s">
        <v>30</v>
      </c>
    </row>
    <row r="2394" spans="96:102" ht="15" customHeight="1">
      <c r="CR2394" s="103" t="s">
        <v>1114</v>
      </c>
      <c r="CX2394" s="102" t="s">
        <v>30</v>
      </c>
    </row>
    <row r="2395" spans="96:102" ht="15" customHeight="1">
      <c r="CR2395" s="103" t="s">
        <v>279</v>
      </c>
      <c r="CX2395" s="102" t="s">
        <v>30</v>
      </c>
    </row>
    <row r="2396" spans="96:102" ht="15" customHeight="1">
      <c r="CR2396" s="103" t="s">
        <v>282</v>
      </c>
      <c r="CX2396" s="102" t="s">
        <v>30</v>
      </c>
    </row>
    <row r="2397" spans="96:102" ht="15" customHeight="1">
      <c r="CR2397" s="103" t="s">
        <v>1115</v>
      </c>
      <c r="CX2397" s="102" t="s">
        <v>30</v>
      </c>
    </row>
    <row r="2398" spans="96:102" ht="15" customHeight="1">
      <c r="CR2398" s="103" t="s">
        <v>1116</v>
      </c>
      <c r="CX2398" s="102" t="s">
        <v>30</v>
      </c>
    </row>
    <row r="2399" spans="96:102" ht="15" customHeight="1">
      <c r="CR2399" s="103" t="s">
        <v>1117</v>
      </c>
      <c r="CX2399" s="102" t="s">
        <v>30</v>
      </c>
    </row>
    <row r="2400" spans="96:102" ht="15" customHeight="1">
      <c r="CR2400" s="103" t="s">
        <v>780</v>
      </c>
      <c r="CX2400" s="102" t="s">
        <v>30</v>
      </c>
    </row>
    <row r="2401" spans="96:102" ht="15" customHeight="1">
      <c r="CR2401" s="103" t="s">
        <v>1118</v>
      </c>
      <c r="CX2401" s="102" t="s">
        <v>30</v>
      </c>
    </row>
    <row r="2402" spans="96:102" ht="15" customHeight="1">
      <c r="CR2402" s="103" t="s">
        <v>1119</v>
      </c>
      <c r="CX2402" s="102" t="s">
        <v>30</v>
      </c>
    </row>
    <row r="2403" spans="96:102" ht="15" customHeight="1">
      <c r="CR2403" s="103" t="s">
        <v>1120</v>
      </c>
      <c r="CX2403" s="102" t="s">
        <v>30</v>
      </c>
    </row>
    <row r="2404" spans="96:102" ht="15" customHeight="1">
      <c r="CR2404" s="103" t="s">
        <v>1121</v>
      </c>
      <c r="CX2404" s="102" t="s">
        <v>30</v>
      </c>
    </row>
    <row r="2405" spans="96:102" ht="15" customHeight="1">
      <c r="CR2405" s="103" t="s">
        <v>1122</v>
      </c>
      <c r="CX2405" s="102" t="s">
        <v>30</v>
      </c>
    </row>
    <row r="2406" spans="96:102" ht="15" customHeight="1">
      <c r="CR2406" s="103" t="s">
        <v>312</v>
      </c>
      <c r="CX2406" s="102" t="s">
        <v>30</v>
      </c>
    </row>
    <row r="2407" spans="96:102" ht="15" customHeight="1">
      <c r="CR2407" s="103" t="s">
        <v>1123</v>
      </c>
      <c r="CX2407" s="102" t="s">
        <v>30</v>
      </c>
    </row>
    <row r="2408" spans="96:102" ht="15" customHeight="1">
      <c r="CR2408" s="103" t="s">
        <v>499</v>
      </c>
      <c r="CX2408" s="102" t="s">
        <v>30</v>
      </c>
    </row>
    <row r="2409" spans="96:102" ht="15" customHeight="1">
      <c r="CR2409" s="103" t="s">
        <v>321</v>
      </c>
      <c r="CX2409" s="102" t="s">
        <v>30</v>
      </c>
    </row>
    <row r="2410" spans="96:102" ht="15" customHeight="1">
      <c r="CR2410" s="103" t="s">
        <v>324</v>
      </c>
      <c r="CX2410" s="102" t="s">
        <v>30</v>
      </c>
    </row>
    <row r="2411" spans="96:102" ht="15" customHeight="1">
      <c r="CR2411" s="103" t="s">
        <v>327</v>
      </c>
      <c r="CX2411" s="102" t="s">
        <v>30</v>
      </c>
    </row>
    <row r="2412" spans="96:102" ht="15" customHeight="1">
      <c r="CR2412" s="103" t="s">
        <v>330</v>
      </c>
      <c r="CX2412" s="102" t="s">
        <v>30</v>
      </c>
    </row>
    <row r="2413" spans="96:102" ht="15" customHeight="1">
      <c r="CR2413" s="103" t="s">
        <v>333</v>
      </c>
      <c r="CX2413" s="102" t="s">
        <v>30</v>
      </c>
    </row>
    <row r="2414" spans="96:102" ht="15" customHeight="1">
      <c r="CR2414" s="103" t="s">
        <v>336</v>
      </c>
      <c r="CX2414" s="102" t="s">
        <v>30</v>
      </c>
    </row>
    <row r="2415" spans="96:102" ht="15" customHeight="1">
      <c r="CR2415" s="103" t="s">
        <v>340</v>
      </c>
      <c r="CX2415" s="102" t="s">
        <v>30</v>
      </c>
    </row>
    <row r="2416" spans="96:102" ht="15" customHeight="1">
      <c r="CR2416" s="103" t="s">
        <v>272</v>
      </c>
      <c r="CX2416" s="102" t="s">
        <v>30</v>
      </c>
    </row>
    <row r="2417" spans="96:102" ht="15" customHeight="1">
      <c r="CR2417" s="103" t="s">
        <v>1124</v>
      </c>
      <c r="CX2417" s="102" t="s">
        <v>30</v>
      </c>
    </row>
    <row r="2418" spans="96:102" ht="15" customHeight="1">
      <c r="CR2418" s="103" t="s">
        <v>279</v>
      </c>
      <c r="CX2418" s="102" t="s">
        <v>30</v>
      </c>
    </row>
    <row r="2419" spans="96:102" ht="15" customHeight="1">
      <c r="CR2419" s="103" t="s">
        <v>282</v>
      </c>
      <c r="CX2419" s="102" t="s">
        <v>30</v>
      </c>
    </row>
    <row r="2420" spans="96:102" ht="15" customHeight="1">
      <c r="CR2420" s="103" t="s">
        <v>1125</v>
      </c>
      <c r="CX2420" s="102" t="s">
        <v>30</v>
      </c>
    </row>
    <row r="2421" spans="96:102" ht="15" customHeight="1">
      <c r="CR2421" s="103" t="s">
        <v>1126</v>
      </c>
      <c r="CX2421" s="102" t="s">
        <v>30</v>
      </c>
    </row>
    <row r="2422" spans="96:102" ht="15" customHeight="1">
      <c r="CR2422" s="103" t="s">
        <v>1127</v>
      </c>
      <c r="CX2422" s="102" t="s">
        <v>30</v>
      </c>
    </row>
    <row r="2423" spans="96:102" ht="15" customHeight="1">
      <c r="CR2423" s="103" t="s">
        <v>780</v>
      </c>
      <c r="CX2423" s="102" t="s">
        <v>30</v>
      </c>
    </row>
    <row r="2424" spans="96:102" ht="15" customHeight="1">
      <c r="CR2424" s="103" t="s">
        <v>1110</v>
      </c>
      <c r="CX2424" s="102" t="s">
        <v>30</v>
      </c>
    </row>
    <row r="2425" spans="96:102" ht="15" customHeight="1">
      <c r="CR2425" s="103" t="s">
        <v>1128</v>
      </c>
      <c r="CX2425" s="102" t="s">
        <v>30</v>
      </c>
    </row>
    <row r="2426" spans="96:102" ht="15" customHeight="1">
      <c r="CR2426" s="103" t="s">
        <v>1129</v>
      </c>
      <c r="CX2426" s="102" t="s">
        <v>30</v>
      </c>
    </row>
    <row r="2427" spans="96:102" ht="15" customHeight="1">
      <c r="CR2427" s="103" t="s">
        <v>1130</v>
      </c>
      <c r="CX2427" s="102" t="s">
        <v>30</v>
      </c>
    </row>
    <row r="2428" spans="96:102" ht="15" customHeight="1">
      <c r="CR2428" s="103" t="s">
        <v>1103</v>
      </c>
      <c r="CX2428" s="102" t="s">
        <v>30</v>
      </c>
    </row>
    <row r="2429" spans="96:102" ht="15" customHeight="1">
      <c r="CR2429" s="103" t="s">
        <v>312</v>
      </c>
      <c r="CX2429" s="102" t="s">
        <v>30</v>
      </c>
    </row>
    <row r="2430" spans="96:102" ht="15" customHeight="1">
      <c r="CR2430" s="103" t="s">
        <v>1104</v>
      </c>
      <c r="CX2430" s="102" t="s">
        <v>30</v>
      </c>
    </row>
    <row r="2431" spans="96:102" ht="15" customHeight="1">
      <c r="CR2431" s="103" t="s">
        <v>1105</v>
      </c>
      <c r="CX2431" s="102" t="s">
        <v>30</v>
      </c>
    </row>
    <row r="2432" spans="96:102" ht="15" customHeight="1">
      <c r="CR2432" s="103" t="s">
        <v>321</v>
      </c>
      <c r="CX2432" s="102" t="s">
        <v>30</v>
      </c>
    </row>
    <row r="2433" spans="96:102" ht="15" customHeight="1">
      <c r="CR2433" s="103" t="s">
        <v>324</v>
      </c>
      <c r="CX2433" s="102" t="s">
        <v>30</v>
      </c>
    </row>
    <row r="2434" spans="96:102" ht="15" customHeight="1">
      <c r="CR2434" s="103" t="s">
        <v>327</v>
      </c>
      <c r="CX2434" s="102" t="s">
        <v>30</v>
      </c>
    </row>
    <row r="2435" spans="96:102" ht="15" customHeight="1">
      <c r="CR2435" s="103" t="s">
        <v>330</v>
      </c>
      <c r="CX2435" s="102" t="s">
        <v>30</v>
      </c>
    </row>
    <row r="2436" spans="96:102" ht="15" customHeight="1">
      <c r="CR2436" s="103" t="s">
        <v>333</v>
      </c>
      <c r="CX2436" s="102" t="s">
        <v>30</v>
      </c>
    </row>
    <row r="2437" spans="96:102" ht="15" customHeight="1">
      <c r="CR2437" s="103" t="s">
        <v>336</v>
      </c>
      <c r="CX2437" s="102" t="s">
        <v>30</v>
      </c>
    </row>
    <row r="2438" spans="96:102" ht="15" customHeight="1">
      <c r="CR2438" s="103" t="s">
        <v>340</v>
      </c>
      <c r="CX2438" s="102" t="s">
        <v>30</v>
      </c>
    </row>
    <row r="2439" spans="96:102" ht="15" customHeight="1">
      <c r="CR2439" s="103" t="s">
        <v>272</v>
      </c>
      <c r="CX2439" s="102" t="s">
        <v>30</v>
      </c>
    </row>
    <row r="2440" spans="96:102" ht="15" customHeight="1">
      <c r="CR2440" s="103" t="s">
        <v>1131</v>
      </c>
      <c r="CX2440" s="102" t="s">
        <v>30</v>
      </c>
    </row>
    <row r="2441" spans="96:102" ht="15" customHeight="1">
      <c r="CR2441" s="103" t="s">
        <v>279</v>
      </c>
      <c r="CX2441" s="102" t="s">
        <v>30</v>
      </c>
    </row>
    <row r="2442" spans="96:102" ht="15" customHeight="1">
      <c r="CR2442" s="103" t="s">
        <v>282</v>
      </c>
      <c r="CX2442" s="102" t="s">
        <v>30</v>
      </c>
    </row>
    <row r="2443" spans="96:102" ht="15" customHeight="1">
      <c r="CR2443" s="103" t="s">
        <v>1132</v>
      </c>
      <c r="CX2443" s="102" t="s">
        <v>30</v>
      </c>
    </row>
    <row r="2444" spans="96:102" ht="15" customHeight="1">
      <c r="CR2444" s="103" t="s">
        <v>1133</v>
      </c>
      <c r="CX2444" s="102" t="s">
        <v>30</v>
      </c>
    </row>
    <row r="2445" spans="96:102" ht="15" customHeight="1">
      <c r="CR2445" s="103" t="s">
        <v>1134</v>
      </c>
      <c r="CX2445" s="102" t="s">
        <v>30</v>
      </c>
    </row>
    <row r="2446" spans="96:102" ht="15" customHeight="1">
      <c r="CR2446" s="103" t="s">
        <v>734</v>
      </c>
      <c r="CX2446" s="102" t="s">
        <v>30</v>
      </c>
    </row>
    <row r="2447" spans="96:102" ht="15" customHeight="1">
      <c r="CR2447" s="103" t="s">
        <v>1135</v>
      </c>
      <c r="CX2447" s="102" t="s">
        <v>30</v>
      </c>
    </row>
    <row r="2448" spans="96:102" ht="15" customHeight="1">
      <c r="CR2448" s="103" t="s">
        <v>1136</v>
      </c>
      <c r="CX2448" s="102" t="s">
        <v>30</v>
      </c>
    </row>
    <row r="2449" spans="96:102" ht="15" customHeight="1">
      <c r="CR2449" s="103" t="s">
        <v>1137</v>
      </c>
      <c r="CX2449" s="102" t="s">
        <v>30</v>
      </c>
    </row>
    <row r="2450" spans="96:102" ht="15" customHeight="1">
      <c r="CR2450" s="103" t="s">
        <v>1138</v>
      </c>
      <c r="CX2450" s="102" t="s">
        <v>30</v>
      </c>
    </row>
    <row r="2451" spans="96:102" ht="15" customHeight="1">
      <c r="CR2451" s="103" t="s">
        <v>1139</v>
      </c>
      <c r="CX2451" s="102" t="s">
        <v>30</v>
      </c>
    </row>
    <row r="2452" spans="96:102" ht="15" customHeight="1">
      <c r="CR2452" s="103" t="s">
        <v>312</v>
      </c>
      <c r="CX2452" s="102" t="s">
        <v>30</v>
      </c>
    </row>
    <row r="2453" spans="96:102" ht="15" customHeight="1">
      <c r="CR2453" s="103" t="s">
        <v>1140</v>
      </c>
      <c r="CX2453" s="102" t="s">
        <v>30</v>
      </c>
    </row>
    <row r="2454" spans="96:102" ht="15" customHeight="1">
      <c r="CR2454" s="103" t="s">
        <v>1141</v>
      </c>
      <c r="CX2454" s="102" t="s">
        <v>30</v>
      </c>
    </row>
    <row r="2455" spans="96:102" ht="15" customHeight="1">
      <c r="CR2455" s="103" t="s">
        <v>321</v>
      </c>
      <c r="CX2455" s="102" t="s">
        <v>30</v>
      </c>
    </row>
    <row r="2456" spans="96:102" ht="15" customHeight="1">
      <c r="CR2456" s="103" t="s">
        <v>324</v>
      </c>
      <c r="CX2456" s="102" t="s">
        <v>30</v>
      </c>
    </row>
    <row r="2457" spans="96:102" ht="15" customHeight="1">
      <c r="CR2457" s="103" t="s">
        <v>327</v>
      </c>
      <c r="CX2457" s="102" t="s">
        <v>30</v>
      </c>
    </row>
    <row r="2458" spans="96:102" ht="15" customHeight="1">
      <c r="CR2458" s="103" t="s">
        <v>330</v>
      </c>
      <c r="CX2458" s="102" t="s">
        <v>30</v>
      </c>
    </row>
    <row r="2459" spans="96:102" ht="15" customHeight="1">
      <c r="CR2459" s="103" t="s">
        <v>333</v>
      </c>
      <c r="CX2459" s="102" t="s">
        <v>30</v>
      </c>
    </row>
    <row r="2460" spans="96:102" ht="15" customHeight="1">
      <c r="CR2460" s="103" t="s">
        <v>336</v>
      </c>
      <c r="CX2460" s="102" t="s">
        <v>30</v>
      </c>
    </row>
    <row r="2461" spans="96:102" ht="15" customHeight="1">
      <c r="CR2461" s="103" t="s">
        <v>340</v>
      </c>
      <c r="CX2461" s="102" t="s">
        <v>30</v>
      </c>
    </row>
    <row r="2462" spans="96:102" ht="15" customHeight="1">
      <c r="CR2462" s="103" t="s">
        <v>272</v>
      </c>
      <c r="CX2462" s="102" t="s">
        <v>30</v>
      </c>
    </row>
    <row r="2463" spans="96:102" ht="15" customHeight="1">
      <c r="CR2463" s="103" t="s">
        <v>1142</v>
      </c>
      <c r="CX2463" s="102" t="s">
        <v>30</v>
      </c>
    </row>
    <row r="2464" spans="96:102" ht="15" customHeight="1">
      <c r="CR2464" s="103" t="s">
        <v>279</v>
      </c>
      <c r="CX2464" s="102" t="s">
        <v>30</v>
      </c>
    </row>
    <row r="2465" spans="96:102" ht="15" customHeight="1">
      <c r="CR2465" s="103" t="s">
        <v>282</v>
      </c>
      <c r="CX2465" s="102" t="s">
        <v>30</v>
      </c>
    </row>
    <row r="2466" spans="96:102" ht="15" customHeight="1">
      <c r="CR2466" s="103" t="s">
        <v>1143</v>
      </c>
      <c r="CX2466" s="102" t="s">
        <v>30</v>
      </c>
    </row>
    <row r="2467" spans="96:102" ht="15" customHeight="1">
      <c r="CR2467" s="103" t="s">
        <v>1144</v>
      </c>
      <c r="CX2467" s="102" t="s">
        <v>30</v>
      </c>
    </row>
    <row r="2468" spans="96:102" ht="15" customHeight="1">
      <c r="CR2468" s="103" t="s">
        <v>1145</v>
      </c>
      <c r="CX2468" s="102" t="s">
        <v>30</v>
      </c>
    </row>
    <row r="2469" spans="96:102" ht="15" customHeight="1">
      <c r="CR2469" s="103" t="s">
        <v>727</v>
      </c>
      <c r="CX2469" s="102" t="s">
        <v>30</v>
      </c>
    </row>
    <row r="2470" spans="96:102" ht="15" customHeight="1">
      <c r="CR2470" s="103" t="s">
        <v>1146</v>
      </c>
      <c r="CX2470" s="102" t="s">
        <v>30</v>
      </c>
    </row>
    <row r="2471" spans="96:102" ht="15" customHeight="1">
      <c r="CR2471" s="103" t="s">
        <v>1147</v>
      </c>
      <c r="CX2471" s="102" t="s">
        <v>30</v>
      </c>
    </row>
    <row r="2472" spans="96:102" ht="15" customHeight="1">
      <c r="CR2472" s="103" t="s">
        <v>1148</v>
      </c>
      <c r="CX2472" s="102" t="s">
        <v>30</v>
      </c>
    </row>
    <row r="2473" spans="96:102" ht="15" customHeight="1">
      <c r="CR2473" s="103" t="s">
        <v>1149</v>
      </c>
      <c r="CX2473" s="102" t="s">
        <v>30</v>
      </c>
    </row>
    <row r="2474" spans="96:102" ht="15" customHeight="1">
      <c r="CR2474" s="103" t="s">
        <v>1150</v>
      </c>
      <c r="CX2474" s="102" t="s">
        <v>30</v>
      </c>
    </row>
    <row r="2475" spans="96:102" ht="15" customHeight="1">
      <c r="CR2475" s="103" t="s">
        <v>312</v>
      </c>
      <c r="CX2475" s="102" t="s">
        <v>30</v>
      </c>
    </row>
    <row r="2476" spans="96:102" ht="15" customHeight="1">
      <c r="CR2476" s="103" t="s">
        <v>1151</v>
      </c>
      <c r="CX2476" s="102" t="s">
        <v>30</v>
      </c>
    </row>
    <row r="2477" spans="96:102" ht="15" customHeight="1">
      <c r="CR2477" s="103" t="s">
        <v>529</v>
      </c>
      <c r="CX2477" s="102" t="s">
        <v>30</v>
      </c>
    </row>
    <row r="2478" spans="96:102" ht="15" customHeight="1">
      <c r="CR2478" s="103" t="s">
        <v>321</v>
      </c>
      <c r="CX2478" s="102" t="s">
        <v>30</v>
      </c>
    </row>
    <row r="2479" spans="96:102" ht="15" customHeight="1">
      <c r="CR2479" s="103" t="s">
        <v>324</v>
      </c>
      <c r="CX2479" s="102" t="s">
        <v>30</v>
      </c>
    </row>
    <row r="2480" spans="96:102" ht="15" customHeight="1">
      <c r="CR2480" s="103" t="s">
        <v>327</v>
      </c>
      <c r="CX2480" s="102" t="s">
        <v>30</v>
      </c>
    </row>
    <row r="2481" spans="96:102" ht="15" customHeight="1">
      <c r="CR2481" s="103" t="s">
        <v>330</v>
      </c>
      <c r="CX2481" s="102" t="s">
        <v>30</v>
      </c>
    </row>
    <row r="2482" spans="96:102" ht="15" customHeight="1">
      <c r="CR2482" s="103" t="s">
        <v>333</v>
      </c>
      <c r="CX2482" s="102" t="s">
        <v>30</v>
      </c>
    </row>
    <row r="2483" spans="96:102" ht="15" customHeight="1">
      <c r="CR2483" s="103" t="s">
        <v>336</v>
      </c>
      <c r="CX2483" s="102" t="s">
        <v>30</v>
      </c>
    </row>
    <row r="2484" spans="96:102" ht="15" customHeight="1">
      <c r="CR2484" s="103" t="s">
        <v>340</v>
      </c>
      <c r="CX2484" s="102" t="s">
        <v>30</v>
      </c>
    </row>
    <row r="2485" spans="96:102" ht="15" customHeight="1">
      <c r="CR2485" s="103" t="s">
        <v>272</v>
      </c>
      <c r="CX2485" s="102" t="s">
        <v>30</v>
      </c>
    </row>
    <row r="2486" spans="96:102" ht="15" customHeight="1">
      <c r="CR2486" s="103" t="s">
        <v>1152</v>
      </c>
      <c r="CX2486" s="102" t="s">
        <v>30</v>
      </c>
    </row>
    <row r="2487" spans="96:102" ht="15" customHeight="1">
      <c r="CR2487" s="103" t="s">
        <v>279</v>
      </c>
      <c r="CX2487" s="102" t="s">
        <v>30</v>
      </c>
    </row>
    <row r="2488" spans="96:102" ht="15" customHeight="1">
      <c r="CR2488" s="103" t="s">
        <v>282</v>
      </c>
      <c r="CX2488" s="102" t="s">
        <v>30</v>
      </c>
    </row>
    <row r="2489" spans="96:102" ht="15" customHeight="1">
      <c r="CR2489" s="103" t="s">
        <v>1153</v>
      </c>
      <c r="CX2489" s="102" t="s">
        <v>30</v>
      </c>
    </row>
    <row r="2490" spans="96:102" ht="15" customHeight="1">
      <c r="CR2490" s="103" t="s">
        <v>1154</v>
      </c>
      <c r="CX2490" s="102" t="s">
        <v>30</v>
      </c>
    </row>
    <row r="2491" spans="96:102" ht="15" customHeight="1">
      <c r="CR2491" s="103" t="s">
        <v>1155</v>
      </c>
      <c r="CX2491" s="102" t="s">
        <v>30</v>
      </c>
    </row>
    <row r="2492" spans="96:102" ht="15" customHeight="1">
      <c r="CR2492" s="103" t="s">
        <v>741</v>
      </c>
      <c r="CX2492" s="102" t="s">
        <v>30</v>
      </c>
    </row>
    <row r="2493" spans="96:102" ht="15" customHeight="1">
      <c r="CR2493" s="103" t="s">
        <v>1156</v>
      </c>
      <c r="CX2493" s="102" t="s">
        <v>30</v>
      </c>
    </row>
    <row r="2494" spans="96:102" ht="15" customHeight="1">
      <c r="CR2494" s="103" t="s">
        <v>1157</v>
      </c>
      <c r="CX2494" s="102" t="s">
        <v>30</v>
      </c>
    </row>
    <row r="2495" spans="96:102" ht="15" customHeight="1">
      <c r="CR2495" s="103" t="s">
        <v>1158</v>
      </c>
      <c r="CX2495" s="102" t="s">
        <v>30</v>
      </c>
    </row>
    <row r="2496" spans="96:102" ht="15" customHeight="1">
      <c r="CR2496" s="103" t="s">
        <v>1159</v>
      </c>
      <c r="CX2496" s="102" t="s">
        <v>30</v>
      </c>
    </row>
    <row r="2497" spans="96:102" ht="15" customHeight="1">
      <c r="CR2497" s="103" t="s">
        <v>1160</v>
      </c>
      <c r="CX2497" s="102" t="s">
        <v>30</v>
      </c>
    </row>
    <row r="2498" spans="96:102" ht="15" customHeight="1">
      <c r="CR2498" s="103" t="s">
        <v>312</v>
      </c>
      <c r="CX2498" s="102" t="s">
        <v>30</v>
      </c>
    </row>
    <row r="2499" spans="96:102" ht="15" customHeight="1">
      <c r="CR2499" s="103" t="s">
        <v>1161</v>
      </c>
      <c r="CX2499" s="102" t="s">
        <v>30</v>
      </c>
    </row>
    <row r="2500" spans="96:102" ht="15" customHeight="1">
      <c r="CR2500" s="103" t="s">
        <v>1162</v>
      </c>
      <c r="CX2500" s="102" t="s">
        <v>30</v>
      </c>
    </row>
    <row r="2501" spans="96:102" ht="15" customHeight="1">
      <c r="CR2501" s="103" t="s">
        <v>321</v>
      </c>
      <c r="CX2501" s="102" t="s">
        <v>30</v>
      </c>
    </row>
    <row r="2502" spans="96:102" ht="15" customHeight="1">
      <c r="CR2502" s="103" t="s">
        <v>324</v>
      </c>
      <c r="CX2502" s="102" t="s">
        <v>30</v>
      </c>
    </row>
    <row r="2503" spans="96:102" ht="15" customHeight="1">
      <c r="CR2503" s="103" t="s">
        <v>327</v>
      </c>
      <c r="CX2503" s="102" t="s">
        <v>30</v>
      </c>
    </row>
    <row r="2504" spans="96:102" ht="15" customHeight="1">
      <c r="CR2504" s="103" t="s">
        <v>330</v>
      </c>
      <c r="CX2504" s="102" t="s">
        <v>30</v>
      </c>
    </row>
    <row r="2505" spans="96:102" ht="15" customHeight="1">
      <c r="CR2505" s="103" t="s">
        <v>333</v>
      </c>
      <c r="CX2505" s="102" t="s">
        <v>30</v>
      </c>
    </row>
    <row r="2506" spans="96:102" ht="15" customHeight="1">
      <c r="CR2506" s="103" t="s">
        <v>444</v>
      </c>
      <c r="CX2506" s="102" t="s">
        <v>30</v>
      </c>
    </row>
    <row r="2507" spans="96:102" ht="15" customHeight="1">
      <c r="CR2507" s="103" t="s">
        <v>445</v>
      </c>
      <c r="CX2507" s="102" t="s">
        <v>30</v>
      </c>
    </row>
    <row r="2508" spans="96:102" ht="15" customHeight="1">
      <c r="CR2508" s="103" t="s">
        <v>446</v>
      </c>
      <c r="CX2508" s="102" t="s">
        <v>30</v>
      </c>
    </row>
    <row r="2509" spans="96:102" ht="15" customHeight="1">
      <c r="CR2509" s="103" t="s">
        <v>453</v>
      </c>
      <c r="CX2509" s="102" t="s">
        <v>30</v>
      </c>
    </row>
    <row r="2510" spans="96:102" ht="15" customHeight="1">
      <c r="CR2510" s="103" t="s">
        <v>448</v>
      </c>
      <c r="CX2510" s="102" t="s">
        <v>30</v>
      </c>
    </row>
    <row r="2511" spans="96:102" ht="15" customHeight="1">
      <c r="CR2511" s="103" t="s">
        <v>449</v>
      </c>
      <c r="CX2511" s="102" t="s">
        <v>30</v>
      </c>
    </row>
    <row r="2512" spans="96:102" ht="15" customHeight="1">
      <c r="CR2512" s="103" t="s">
        <v>474</v>
      </c>
      <c r="CX2512" s="102" t="s">
        <v>30</v>
      </c>
    </row>
    <row r="2513" spans="96:102" ht="15" customHeight="1">
      <c r="CR2513" s="103" t="s">
        <v>451</v>
      </c>
      <c r="CX2513" s="102" t="s">
        <v>30</v>
      </c>
    </row>
    <row r="2514" spans="96:102" ht="15" customHeight="1">
      <c r="CR2514" s="103" t="s">
        <v>456</v>
      </c>
      <c r="CX2514" s="102" t="s">
        <v>30</v>
      </c>
    </row>
    <row r="2515" spans="96:102" ht="15" customHeight="1">
      <c r="CR2515" s="103" t="s">
        <v>457</v>
      </c>
      <c r="CX2515" s="102" t="s">
        <v>30</v>
      </c>
    </row>
    <row r="2516" spans="96:102" ht="15" customHeight="1">
      <c r="CR2516" s="103" t="s">
        <v>340</v>
      </c>
      <c r="CX2516" s="102" t="s">
        <v>30</v>
      </c>
    </row>
    <row r="2517" spans="96:102" ht="15" customHeight="1">
      <c r="CR2517" s="103" t="s">
        <v>272</v>
      </c>
      <c r="CX2517" s="102" t="s">
        <v>30</v>
      </c>
    </row>
    <row r="2518" spans="96:102" ht="15" customHeight="1">
      <c r="CR2518" s="103" t="s">
        <v>1163</v>
      </c>
      <c r="CX2518" s="102" t="s">
        <v>30</v>
      </c>
    </row>
    <row r="2519" spans="96:102" ht="15" customHeight="1">
      <c r="CR2519" s="103" t="s">
        <v>279</v>
      </c>
      <c r="CX2519" s="102" t="s">
        <v>30</v>
      </c>
    </row>
    <row r="2520" spans="96:102" ht="15" customHeight="1">
      <c r="CR2520" s="103" t="s">
        <v>282</v>
      </c>
      <c r="CX2520" s="102" t="s">
        <v>30</v>
      </c>
    </row>
    <row r="2521" spans="96:102" ht="15" customHeight="1">
      <c r="CR2521" s="103" t="s">
        <v>1164</v>
      </c>
      <c r="CX2521" s="102" t="s">
        <v>30</v>
      </c>
    </row>
    <row r="2522" spans="96:102" ht="15" customHeight="1">
      <c r="CR2522" s="103" t="s">
        <v>1165</v>
      </c>
      <c r="CX2522" s="102" t="s">
        <v>30</v>
      </c>
    </row>
    <row r="2523" spans="96:102" ht="15" customHeight="1">
      <c r="CR2523" s="103" t="s">
        <v>1166</v>
      </c>
      <c r="CX2523" s="102" t="s">
        <v>30</v>
      </c>
    </row>
    <row r="2524" spans="96:102" ht="15" customHeight="1">
      <c r="CR2524" s="103" t="s">
        <v>639</v>
      </c>
      <c r="CX2524" s="102" t="s">
        <v>30</v>
      </c>
    </row>
    <row r="2525" spans="96:102" ht="15" customHeight="1">
      <c r="CR2525" s="103" t="s">
        <v>1167</v>
      </c>
      <c r="CX2525" s="102" t="s">
        <v>30</v>
      </c>
    </row>
    <row r="2526" spans="96:102" ht="15" customHeight="1">
      <c r="CR2526" s="103" t="s">
        <v>1168</v>
      </c>
      <c r="CX2526" s="102" t="s">
        <v>30</v>
      </c>
    </row>
    <row r="2527" spans="96:102" ht="15" customHeight="1">
      <c r="CR2527" s="103" t="s">
        <v>1169</v>
      </c>
      <c r="CX2527" s="102" t="s">
        <v>30</v>
      </c>
    </row>
    <row r="2528" spans="96:102" ht="15" customHeight="1">
      <c r="CR2528" s="103" t="s">
        <v>1170</v>
      </c>
      <c r="CX2528" s="102" t="s">
        <v>30</v>
      </c>
    </row>
    <row r="2529" spans="96:102" ht="15" customHeight="1">
      <c r="CR2529" s="103" t="s">
        <v>1171</v>
      </c>
      <c r="CX2529" s="102" t="s">
        <v>30</v>
      </c>
    </row>
    <row r="2530" spans="96:102" ht="15" customHeight="1">
      <c r="CR2530" s="103" t="s">
        <v>312</v>
      </c>
      <c r="CX2530" s="102" t="s">
        <v>30</v>
      </c>
    </row>
    <row r="2531" spans="96:102" ht="15" customHeight="1">
      <c r="CR2531" s="103" t="s">
        <v>1172</v>
      </c>
      <c r="CX2531" s="102" t="s">
        <v>30</v>
      </c>
    </row>
    <row r="2532" spans="96:102" ht="15" customHeight="1">
      <c r="CR2532" s="103" t="s">
        <v>1173</v>
      </c>
      <c r="CX2532" s="102" t="s">
        <v>30</v>
      </c>
    </row>
    <row r="2533" spans="96:102" ht="15" customHeight="1">
      <c r="CR2533" s="103" t="s">
        <v>552</v>
      </c>
      <c r="CX2533" s="102" t="s">
        <v>30</v>
      </c>
    </row>
    <row r="2534" spans="96:102" ht="15" customHeight="1">
      <c r="CR2534" s="103" t="s">
        <v>324</v>
      </c>
      <c r="CX2534" s="102" t="s">
        <v>30</v>
      </c>
    </row>
    <row r="2535" spans="96:102" ht="15" customHeight="1">
      <c r="CR2535" s="103" t="s">
        <v>327</v>
      </c>
      <c r="CX2535" s="102" t="s">
        <v>30</v>
      </c>
    </row>
    <row r="2536" spans="96:102" ht="15" customHeight="1">
      <c r="CR2536" s="103" t="s">
        <v>330</v>
      </c>
      <c r="CX2536" s="102" t="s">
        <v>30</v>
      </c>
    </row>
    <row r="2537" spans="96:102" ht="15" customHeight="1">
      <c r="CR2537" s="103" t="s">
        <v>333</v>
      </c>
      <c r="CX2537" s="102" t="s">
        <v>30</v>
      </c>
    </row>
    <row r="2538" spans="96:102" ht="15" customHeight="1">
      <c r="CR2538" s="103" t="s">
        <v>336</v>
      </c>
      <c r="CX2538" s="102" t="s">
        <v>30</v>
      </c>
    </row>
    <row r="2539" spans="96:102" ht="15" customHeight="1">
      <c r="CR2539" s="103" t="s">
        <v>340</v>
      </c>
      <c r="CX2539" s="102" t="s">
        <v>30</v>
      </c>
    </row>
    <row r="2540" spans="96:102" ht="15" customHeight="1">
      <c r="CR2540" s="103" t="s">
        <v>272</v>
      </c>
      <c r="CX2540" s="102" t="s">
        <v>30</v>
      </c>
    </row>
    <row r="2541" spans="96:102" ht="15" customHeight="1">
      <c r="CR2541" s="103" t="s">
        <v>1174</v>
      </c>
      <c r="CX2541" s="102" t="s">
        <v>30</v>
      </c>
    </row>
    <row r="2542" spans="96:102" ht="15" customHeight="1">
      <c r="CR2542" s="103" t="s">
        <v>279</v>
      </c>
      <c r="CX2542" s="102" t="s">
        <v>30</v>
      </c>
    </row>
    <row r="2543" spans="96:102" ht="15" customHeight="1">
      <c r="CR2543" s="103" t="s">
        <v>282</v>
      </c>
      <c r="CX2543" s="102" t="s">
        <v>30</v>
      </c>
    </row>
    <row r="2544" spans="96:102" ht="15" customHeight="1">
      <c r="CR2544" s="103" t="s">
        <v>1175</v>
      </c>
      <c r="CX2544" s="102" t="s">
        <v>30</v>
      </c>
    </row>
    <row r="2545" spans="96:102" ht="15" customHeight="1">
      <c r="CR2545" s="103" t="s">
        <v>1176</v>
      </c>
      <c r="CX2545" s="102" t="s">
        <v>30</v>
      </c>
    </row>
    <row r="2546" spans="96:102" ht="15" customHeight="1">
      <c r="CR2546" s="103" t="s">
        <v>1177</v>
      </c>
      <c r="CX2546" s="102" t="s">
        <v>30</v>
      </c>
    </row>
    <row r="2547" spans="96:102" ht="15" customHeight="1">
      <c r="CR2547" s="103" t="s">
        <v>654</v>
      </c>
      <c r="CX2547" s="102" t="s">
        <v>30</v>
      </c>
    </row>
    <row r="2548" spans="96:102" ht="15" customHeight="1">
      <c r="CR2548" s="103" t="s">
        <v>1178</v>
      </c>
      <c r="CX2548" s="102" t="s">
        <v>30</v>
      </c>
    </row>
    <row r="2549" spans="96:102" ht="15" customHeight="1">
      <c r="CR2549" s="103" t="s">
        <v>1179</v>
      </c>
      <c r="CX2549" s="102" t="s">
        <v>30</v>
      </c>
    </row>
    <row r="2550" spans="96:102" ht="15" customHeight="1">
      <c r="CR2550" s="103" t="s">
        <v>1180</v>
      </c>
      <c r="CX2550" s="102" t="s">
        <v>30</v>
      </c>
    </row>
    <row r="2551" spans="96:102" ht="15" customHeight="1">
      <c r="CR2551" s="103" t="s">
        <v>1181</v>
      </c>
      <c r="CX2551" s="102" t="s">
        <v>30</v>
      </c>
    </row>
    <row r="2552" spans="96:102" ht="15" customHeight="1">
      <c r="CR2552" s="103" t="s">
        <v>1182</v>
      </c>
      <c r="CX2552" s="102" t="s">
        <v>30</v>
      </c>
    </row>
    <row r="2553" spans="96:102" ht="15" customHeight="1">
      <c r="CR2553" s="103" t="s">
        <v>312</v>
      </c>
      <c r="CX2553" s="102" t="s">
        <v>30</v>
      </c>
    </row>
    <row r="2554" spans="96:102" ht="15" customHeight="1">
      <c r="CR2554" s="103" t="s">
        <v>1183</v>
      </c>
      <c r="CX2554" s="102" t="s">
        <v>30</v>
      </c>
    </row>
    <row r="2555" spans="96:102" ht="15" customHeight="1">
      <c r="CR2555" s="103" t="s">
        <v>1184</v>
      </c>
      <c r="CX2555" s="102" t="s">
        <v>30</v>
      </c>
    </row>
    <row r="2556" spans="96:102" ht="15" customHeight="1">
      <c r="CR2556" s="103" t="s">
        <v>552</v>
      </c>
      <c r="CX2556" s="102" t="s">
        <v>30</v>
      </c>
    </row>
    <row r="2557" spans="96:102" ht="15" customHeight="1">
      <c r="CR2557" s="103" t="s">
        <v>324</v>
      </c>
      <c r="CX2557" s="102" t="s">
        <v>30</v>
      </c>
    </row>
    <row r="2558" spans="96:102" ht="15" customHeight="1">
      <c r="CR2558" s="103" t="s">
        <v>327</v>
      </c>
      <c r="CX2558" s="102" t="s">
        <v>30</v>
      </c>
    </row>
    <row r="2559" spans="96:102" ht="15" customHeight="1">
      <c r="CR2559" s="103" t="s">
        <v>330</v>
      </c>
      <c r="CX2559" s="102" t="s">
        <v>30</v>
      </c>
    </row>
    <row r="2560" spans="96:102" ht="15" customHeight="1">
      <c r="CR2560" s="103" t="s">
        <v>333</v>
      </c>
      <c r="CX2560" s="102" t="s">
        <v>30</v>
      </c>
    </row>
    <row r="2561" spans="96:102" ht="15" customHeight="1">
      <c r="CR2561" s="103" t="s">
        <v>336</v>
      </c>
      <c r="CX2561" s="102" t="s">
        <v>30</v>
      </c>
    </row>
    <row r="2562" spans="96:102" ht="15" customHeight="1">
      <c r="CR2562" s="103" t="s">
        <v>340</v>
      </c>
      <c r="CX2562" s="102" t="s">
        <v>30</v>
      </c>
    </row>
    <row r="2563" spans="96:102" ht="15" customHeight="1">
      <c r="CR2563" s="103" t="s">
        <v>272</v>
      </c>
      <c r="CX2563" s="102" t="s">
        <v>30</v>
      </c>
    </row>
    <row r="2564" spans="96:102" ht="15" customHeight="1">
      <c r="CR2564" s="103" t="s">
        <v>1185</v>
      </c>
      <c r="CX2564" s="102" t="s">
        <v>30</v>
      </c>
    </row>
    <row r="2565" spans="96:102" ht="15" customHeight="1">
      <c r="CR2565" s="103" t="s">
        <v>279</v>
      </c>
      <c r="CX2565" s="102" t="s">
        <v>30</v>
      </c>
    </row>
    <row r="2566" spans="96:102" ht="15" customHeight="1">
      <c r="CR2566" s="103" t="s">
        <v>282</v>
      </c>
      <c r="CX2566" s="102" t="s">
        <v>30</v>
      </c>
    </row>
    <row r="2567" spans="96:102" ht="15" customHeight="1">
      <c r="CR2567" s="103" t="s">
        <v>1186</v>
      </c>
      <c r="CX2567" s="102" t="s">
        <v>30</v>
      </c>
    </row>
    <row r="2568" spans="96:102" ht="15" customHeight="1">
      <c r="CR2568" s="103" t="s">
        <v>1187</v>
      </c>
      <c r="CX2568" s="102" t="s">
        <v>30</v>
      </c>
    </row>
    <row r="2569" spans="96:102" ht="15" customHeight="1">
      <c r="CR2569" s="103" t="s">
        <v>1188</v>
      </c>
      <c r="CX2569" s="102" t="s">
        <v>30</v>
      </c>
    </row>
    <row r="2570" spans="96:102" ht="15" customHeight="1">
      <c r="CR2570" s="103" t="s">
        <v>1189</v>
      </c>
      <c r="CX2570" s="102" t="s">
        <v>30</v>
      </c>
    </row>
    <row r="2571" spans="96:102" ht="15" customHeight="1">
      <c r="CR2571" s="103" t="s">
        <v>1190</v>
      </c>
      <c r="CX2571" s="102" t="s">
        <v>30</v>
      </c>
    </row>
    <row r="2572" spans="96:102" ht="15" customHeight="1">
      <c r="CR2572" s="103" t="s">
        <v>1191</v>
      </c>
      <c r="CX2572" s="102" t="s">
        <v>30</v>
      </c>
    </row>
    <row r="2573" spans="96:102" ht="15" customHeight="1">
      <c r="CR2573" s="103" t="s">
        <v>1192</v>
      </c>
      <c r="CX2573" s="102" t="s">
        <v>30</v>
      </c>
    </row>
    <row r="2574" spans="96:102" ht="15" customHeight="1">
      <c r="CR2574" s="103" t="s">
        <v>1193</v>
      </c>
      <c r="CX2574" s="102" t="s">
        <v>30</v>
      </c>
    </row>
    <row r="2575" spans="96:102" ht="15" customHeight="1">
      <c r="CR2575" s="103" t="s">
        <v>985</v>
      </c>
      <c r="CX2575" s="102" t="s">
        <v>30</v>
      </c>
    </row>
    <row r="2576" spans="96:102" ht="15" customHeight="1">
      <c r="CR2576" s="103" t="s">
        <v>312</v>
      </c>
      <c r="CX2576" s="102" t="s">
        <v>30</v>
      </c>
    </row>
    <row r="2577" spans="96:102" ht="15" customHeight="1">
      <c r="CR2577" s="103" t="s">
        <v>986</v>
      </c>
      <c r="CX2577" s="102" t="s">
        <v>30</v>
      </c>
    </row>
    <row r="2578" spans="96:102" ht="15" customHeight="1">
      <c r="CR2578" s="103" t="s">
        <v>987</v>
      </c>
      <c r="CX2578" s="102" t="s">
        <v>30</v>
      </c>
    </row>
    <row r="2579" spans="96:102" ht="15" customHeight="1">
      <c r="CR2579" s="103" t="s">
        <v>321</v>
      </c>
      <c r="CX2579" s="102" t="s">
        <v>30</v>
      </c>
    </row>
    <row r="2580" spans="96:102" ht="15" customHeight="1">
      <c r="CR2580" s="103" t="s">
        <v>324</v>
      </c>
      <c r="CX2580" s="102" t="s">
        <v>30</v>
      </c>
    </row>
    <row r="2581" spans="96:102" ht="15" customHeight="1">
      <c r="CR2581" s="103" t="s">
        <v>327</v>
      </c>
      <c r="CX2581" s="102" t="s">
        <v>30</v>
      </c>
    </row>
    <row r="2582" spans="96:102" ht="15" customHeight="1">
      <c r="CR2582" s="103" t="s">
        <v>330</v>
      </c>
      <c r="CX2582" s="102" t="s">
        <v>30</v>
      </c>
    </row>
    <row r="2583" spans="96:102" ht="15" customHeight="1">
      <c r="CR2583" s="103" t="s">
        <v>333</v>
      </c>
      <c r="CX2583" s="102" t="s">
        <v>30</v>
      </c>
    </row>
    <row r="2584" spans="96:102" ht="15" customHeight="1">
      <c r="CR2584" s="103" t="s">
        <v>336</v>
      </c>
      <c r="CX2584" s="102" t="s">
        <v>30</v>
      </c>
    </row>
    <row r="2585" spans="96:102" ht="15" customHeight="1">
      <c r="CR2585" s="103" t="s">
        <v>340</v>
      </c>
      <c r="CX2585" s="102" t="s">
        <v>30</v>
      </c>
    </row>
    <row r="2586" spans="96:102" ht="15" customHeight="1">
      <c r="CR2586" s="103" t="s">
        <v>272</v>
      </c>
      <c r="CX2586" s="102" t="s">
        <v>30</v>
      </c>
    </row>
    <row r="2587" spans="96:102" ht="15" customHeight="1">
      <c r="CR2587" s="103" t="s">
        <v>1194</v>
      </c>
      <c r="CX2587" s="102" t="s">
        <v>30</v>
      </c>
    </row>
    <row r="2588" spans="96:102" ht="15" customHeight="1">
      <c r="CR2588" s="103" t="s">
        <v>279</v>
      </c>
      <c r="CX2588" s="102" t="s">
        <v>30</v>
      </c>
    </row>
    <row r="2589" spans="96:102" ht="15" customHeight="1">
      <c r="CR2589" s="103" t="s">
        <v>282</v>
      </c>
      <c r="CX2589" s="102" t="s">
        <v>30</v>
      </c>
    </row>
    <row r="2590" spans="96:102" ht="15" customHeight="1">
      <c r="CR2590" s="103" t="s">
        <v>1195</v>
      </c>
      <c r="CX2590" s="102" t="s">
        <v>30</v>
      </c>
    </row>
    <row r="2591" spans="96:102" ht="15" customHeight="1">
      <c r="CR2591" s="103" t="s">
        <v>1196</v>
      </c>
      <c r="CX2591" s="102" t="s">
        <v>30</v>
      </c>
    </row>
    <row r="2592" spans="96:102" ht="15" customHeight="1">
      <c r="CR2592" s="103" t="s">
        <v>1197</v>
      </c>
      <c r="CX2592" s="102" t="s">
        <v>30</v>
      </c>
    </row>
    <row r="2593" spans="96:102" ht="15" customHeight="1">
      <c r="CR2593" s="103" t="s">
        <v>661</v>
      </c>
      <c r="CX2593" s="102" t="s">
        <v>30</v>
      </c>
    </row>
    <row r="2594" spans="96:102" ht="15" customHeight="1">
      <c r="CR2594" s="103" t="s">
        <v>1198</v>
      </c>
      <c r="CX2594" s="102" t="s">
        <v>30</v>
      </c>
    </row>
    <row r="2595" spans="96:102" ht="15" customHeight="1">
      <c r="CR2595" s="103" t="s">
        <v>1199</v>
      </c>
      <c r="CX2595" s="102" t="s">
        <v>30</v>
      </c>
    </row>
    <row r="2596" spans="96:102" ht="15" customHeight="1">
      <c r="CR2596" s="103" t="s">
        <v>1200</v>
      </c>
      <c r="CX2596" s="102" t="s">
        <v>30</v>
      </c>
    </row>
    <row r="2597" spans="96:102" ht="15" customHeight="1">
      <c r="CR2597" s="103" t="s">
        <v>1201</v>
      </c>
      <c r="CX2597" s="102" t="s">
        <v>30</v>
      </c>
    </row>
    <row r="2598" spans="96:102" ht="15" customHeight="1">
      <c r="CR2598" s="103" t="s">
        <v>467</v>
      </c>
      <c r="CX2598" s="102" t="s">
        <v>30</v>
      </c>
    </row>
    <row r="2599" spans="96:102" ht="15" customHeight="1">
      <c r="CR2599" s="103" t="s">
        <v>312</v>
      </c>
      <c r="CX2599" s="102" t="s">
        <v>30</v>
      </c>
    </row>
    <row r="2600" spans="96:102" ht="15" customHeight="1">
      <c r="CR2600" s="103" t="s">
        <v>468</v>
      </c>
      <c r="CX2600" s="102" t="s">
        <v>30</v>
      </c>
    </row>
    <row r="2601" spans="96:102" ht="15" customHeight="1">
      <c r="CR2601" s="103" t="s">
        <v>1202</v>
      </c>
      <c r="CX2601" s="102" t="s">
        <v>30</v>
      </c>
    </row>
    <row r="2602" spans="96:102" ht="15" customHeight="1">
      <c r="CR2602" s="103" t="s">
        <v>552</v>
      </c>
      <c r="CX2602" s="102" t="s">
        <v>30</v>
      </c>
    </row>
    <row r="2603" spans="96:102" ht="15" customHeight="1">
      <c r="CR2603" s="103" t="s">
        <v>324</v>
      </c>
      <c r="CX2603" s="102" t="s">
        <v>30</v>
      </c>
    </row>
    <row r="2604" spans="96:102" ht="15" customHeight="1">
      <c r="CR2604" s="103" t="s">
        <v>327</v>
      </c>
      <c r="CX2604" s="102" t="s">
        <v>30</v>
      </c>
    </row>
    <row r="2605" spans="96:102" ht="15" customHeight="1">
      <c r="CR2605" s="103" t="s">
        <v>330</v>
      </c>
      <c r="CX2605" s="102" t="s">
        <v>30</v>
      </c>
    </row>
    <row r="2606" spans="96:102" ht="15" customHeight="1">
      <c r="CR2606" s="103" t="s">
        <v>333</v>
      </c>
      <c r="CX2606" s="102" t="s">
        <v>30</v>
      </c>
    </row>
    <row r="2607" spans="96:102" ht="15" customHeight="1">
      <c r="CR2607" s="103" t="s">
        <v>444</v>
      </c>
      <c r="CX2607" s="102" t="s">
        <v>30</v>
      </c>
    </row>
    <row r="2608" spans="96:102" ht="15" customHeight="1">
      <c r="CR2608" s="103" t="s">
        <v>445</v>
      </c>
      <c r="CX2608" s="102" t="s">
        <v>30</v>
      </c>
    </row>
    <row r="2609" spans="96:102" ht="15" customHeight="1">
      <c r="CR2609" s="103" t="s">
        <v>1203</v>
      </c>
      <c r="CX2609" s="102" t="s">
        <v>30</v>
      </c>
    </row>
    <row r="2610" spans="96:102" ht="15" customHeight="1">
      <c r="CR2610" s="103" t="s">
        <v>1204</v>
      </c>
      <c r="CX2610" s="102" t="s">
        <v>30</v>
      </c>
    </row>
    <row r="2611" spans="96:102" ht="15" customHeight="1">
      <c r="CR2611" s="103" t="s">
        <v>1205</v>
      </c>
      <c r="CX2611" s="102" t="s">
        <v>30</v>
      </c>
    </row>
    <row r="2612" spans="96:102" ht="15" customHeight="1">
      <c r="CR2612" s="103" t="s">
        <v>1206</v>
      </c>
      <c r="CX2612" s="102" t="s">
        <v>30</v>
      </c>
    </row>
    <row r="2613" spans="96:102" ht="15" customHeight="1">
      <c r="CR2613" s="103" t="s">
        <v>1207</v>
      </c>
      <c r="CX2613" s="102" t="s">
        <v>30</v>
      </c>
    </row>
    <row r="2614" spans="96:102" ht="15" customHeight="1">
      <c r="CR2614" s="103" t="s">
        <v>1208</v>
      </c>
      <c r="CX2614" s="102" t="s">
        <v>30</v>
      </c>
    </row>
    <row r="2615" spans="96:102" ht="15" customHeight="1">
      <c r="CR2615" s="103" t="s">
        <v>456</v>
      </c>
      <c r="CX2615" s="102" t="s">
        <v>30</v>
      </c>
    </row>
    <row r="2616" spans="96:102" ht="15" customHeight="1">
      <c r="CR2616" s="103" t="s">
        <v>457</v>
      </c>
      <c r="CX2616" s="102" t="s">
        <v>30</v>
      </c>
    </row>
    <row r="2617" spans="96:102" ht="15" customHeight="1">
      <c r="CR2617" s="103" t="s">
        <v>340</v>
      </c>
      <c r="CX2617" s="102" t="s">
        <v>30</v>
      </c>
    </row>
    <row r="2618" spans="96:102" ht="15" customHeight="1">
      <c r="CR2618" s="103" t="s">
        <v>272</v>
      </c>
      <c r="CX2618" s="102" t="s">
        <v>30</v>
      </c>
    </row>
    <row r="2619" spans="96:102" ht="15" customHeight="1">
      <c r="CR2619" s="103" t="s">
        <v>1209</v>
      </c>
      <c r="CX2619" s="102" t="s">
        <v>30</v>
      </c>
    </row>
    <row r="2620" spans="96:102" ht="15" customHeight="1">
      <c r="CR2620" s="103" t="s">
        <v>279</v>
      </c>
      <c r="CX2620" s="102" t="s">
        <v>30</v>
      </c>
    </row>
    <row r="2621" spans="96:102" ht="15" customHeight="1">
      <c r="CR2621" s="103" t="s">
        <v>282</v>
      </c>
      <c r="CX2621" s="102" t="s">
        <v>30</v>
      </c>
    </row>
    <row r="2622" spans="96:102" ht="15" customHeight="1">
      <c r="CR2622" s="103" t="s">
        <v>1210</v>
      </c>
      <c r="CX2622" s="102" t="s">
        <v>30</v>
      </c>
    </row>
    <row r="2623" spans="96:102" ht="15" customHeight="1">
      <c r="CR2623" s="103" t="s">
        <v>1211</v>
      </c>
      <c r="CX2623" s="102" t="s">
        <v>30</v>
      </c>
    </row>
    <row r="2624" spans="96:102" ht="15" customHeight="1">
      <c r="CR2624" s="103" t="s">
        <v>1212</v>
      </c>
      <c r="CX2624" s="102" t="s">
        <v>30</v>
      </c>
    </row>
    <row r="2625" spans="96:102" ht="15" customHeight="1">
      <c r="CR2625" s="103" t="s">
        <v>713</v>
      </c>
      <c r="CX2625" s="102" t="s">
        <v>30</v>
      </c>
    </row>
    <row r="2626" spans="96:102" ht="15" customHeight="1">
      <c r="CR2626" s="103" t="s">
        <v>1213</v>
      </c>
      <c r="CX2626" s="102" t="s">
        <v>30</v>
      </c>
    </row>
    <row r="2627" spans="96:102" ht="15" customHeight="1">
      <c r="CR2627" s="103" t="s">
        <v>1214</v>
      </c>
      <c r="CX2627" s="102" t="s">
        <v>30</v>
      </c>
    </row>
    <row r="2628" spans="96:102" ht="15" customHeight="1">
      <c r="CR2628" s="103" t="s">
        <v>1215</v>
      </c>
      <c r="CX2628" s="102" t="s">
        <v>30</v>
      </c>
    </row>
    <row r="2629" spans="96:102" ht="15" customHeight="1">
      <c r="CR2629" s="103" t="s">
        <v>1216</v>
      </c>
      <c r="CX2629" s="102" t="s">
        <v>30</v>
      </c>
    </row>
    <row r="2630" spans="96:102" ht="15" customHeight="1">
      <c r="CR2630" s="103" t="s">
        <v>1217</v>
      </c>
      <c r="CX2630" s="102" t="s">
        <v>30</v>
      </c>
    </row>
    <row r="2631" spans="96:102" ht="15" customHeight="1">
      <c r="CR2631" s="103" t="s">
        <v>312</v>
      </c>
      <c r="CX2631" s="102" t="s">
        <v>30</v>
      </c>
    </row>
    <row r="2632" spans="96:102" ht="15" customHeight="1">
      <c r="CR2632" s="103" t="s">
        <v>1218</v>
      </c>
      <c r="CX2632" s="102" t="s">
        <v>30</v>
      </c>
    </row>
    <row r="2633" spans="96:102" ht="15" customHeight="1">
      <c r="CR2633" s="103" t="s">
        <v>1219</v>
      </c>
      <c r="CX2633" s="102" t="s">
        <v>30</v>
      </c>
    </row>
    <row r="2634" spans="96:102" ht="15" customHeight="1">
      <c r="CR2634" s="103" t="s">
        <v>321</v>
      </c>
      <c r="CX2634" s="102" t="s">
        <v>30</v>
      </c>
    </row>
    <row r="2635" spans="96:102" ht="15" customHeight="1">
      <c r="CR2635" s="103" t="s">
        <v>324</v>
      </c>
      <c r="CX2635" s="102" t="s">
        <v>30</v>
      </c>
    </row>
    <row r="2636" spans="96:102" ht="15" customHeight="1">
      <c r="CR2636" s="103" t="s">
        <v>327</v>
      </c>
      <c r="CX2636" s="102" t="s">
        <v>30</v>
      </c>
    </row>
    <row r="2637" spans="96:102" ht="15" customHeight="1">
      <c r="CR2637" s="103" t="s">
        <v>330</v>
      </c>
      <c r="CX2637" s="102" t="s">
        <v>30</v>
      </c>
    </row>
    <row r="2638" spans="96:102" ht="15" customHeight="1">
      <c r="CR2638" s="103" t="s">
        <v>333</v>
      </c>
      <c r="CX2638" s="102" t="s">
        <v>30</v>
      </c>
    </row>
    <row r="2639" spans="96:102" ht="15" customHeight="1">
      <c r="CR2639" s="103" t="s">
        <v>336</v>
      </c>
      <c r="CX2639" s="102" t="s">
        <v>30</v>
      </c>
    </row>
    <row r="2640" spans="96:102" ht="15" customHeight="1">
      <c r="CR2640" s="103" t="s">
        <v>340</v>
      </c>
      <c r="CX2640" s="102" t="s">
        <v>30</v>
      </c>
    </row>
    <row r="2641" spans="96:102" ht="15" customHeight="1">
      <c r="CR2641" s="103" t="s">
        <v>272</v>
      </c>
      <c r="CX2641" s="102" t="s">
        <v>30</v>
      </c>
    </row>
    <row r="2642" spans="96:102" ht="15" customHeight="1">
      <c r="CR2642" s="103" t="s">
        <v>1220</v>
      </c>
      <c r="CX2642" s="102" t="s">
        <v>30</v>
      </c>
    </row>
    <row r="2643" spans="96:102" ht="15" customHeight="1">
      <c r="CR2643" s="103" t="s">
        <v>279</v>
      </c>
      <c r="CX2643" s="102" t="s">
        <v>30</v>
      </c>
    </row>
    <row r="2644" spans="96:102" ht="15" customHeight="1">
      <c r="CR2644" s="103" t="s">
        <v>282</v>
      </c>
      <c r="CX2644" s="102" t="s">
        <v>30</v>
      </c>
    </row>
    <row r="2645" spans="96:102" ht="15" customHeight="1">
      <c r="CR2645" s="103" t="s">
        <v>1221</v>
      </c>
      <c r="CX2645" s="102" t="s">
        <v>30</v>
      </c>
    </row>
    <row r="2646" spans="96:102" ht="15" customHeight="1">
      <c r="CR2646" s="103" t="s">
        <v>1222</v>
      </c>
      <c r="CX2646" s="102" t="s">
        <v>30</v>
      </c>
    </row>
    <row r="2647" spans="96:102" ht="15" customHeight="1">
      <c r="CR2647" s="103" t="s">
        <v>1223</v>
      </c>
      <c r="CX2647" s="102" t="s">
        <v>30</v>
      </c>
    </row>
    <row r="2648" spans="96:102" ht="15" customHeight="1">
      <c r="CR2648" s="103" t="s">
        <v>294</v>
      </c>
      <c r="CX2648" s="102" t="s">
        <v>30</v>
      </c>
    </row>
    <row r="2649" spans="96:102" ht="15" customHeight="1">
      <c r="CR2649" s="103" t="s">
        <v>297</v>
      </c>
      <c r="CX2649" s="102" t="s">
        <v>30</v>
      </c>
    </row>
    <row r="2650" spans="96:102" ht="15" customHeight="1">
      <c r="CR2650" s="103" t="s">
        <v>1224</v>
      </c>
      <c r="CX2650" s="102" t="s">
        <v>30</v>
      </c>
    </row>
    <row r="2651" spans="96:102" ht="15" customHeight="1">
      <c r="CR2651" s="103" t="s">
        <v>1225</v>
      </c>
      <c r="CX2651" s="102" t="s">
        <v>30</v>
      </c>
    </row>
    <row r="2652" spans="96:102" ht="15" customHeight="1">
      <c r="CR2652" s="103" t="s">
        <v>1226</v>
      </c>
      <c r="CX2652" s="102" t="s">
        <v>30</v>
      </c>
    </row>
    <row r="2653" spans="96:102" ht="15" customHeight="1">
      <c r="CR2653" s="103" t="s">
        <v>467</v>
      </c>
      <c r="CX2653" s="102" t="s">
        <v>30</v>
      </c>
    </row>
    <row r="2654" spans="96:102" ht="15" customHeight="1">
      <c r="CR2654" s="103" t="s">
        <v>312</v>
      </c>
      <c r="CX2654" s="102" t="s">
        <v>30</v>
      </c>
    </row>
    <row r="2655" spans="96:102" ht="15" customHeight="1">
      <c r="CR2655" s="103" t="s">
        <v>468</v>
      </c>
      <c r="CX2655" s="102" t="s">
        <v>30</v>
      </c>
    </row>
    <row r="2656" spans="96:102" ht="15" customHeight="1">
      <c r="CR2656" s="103" t="s">
        <v>621</v>
      </c>
      <c r="CX2656" s="102" t="s">
        <v>30</v>
      </c>
    </row>
    <row r="2657" spans="96:102" ht="15" customHeight="1">
      <c r="CR2657" s="103" t="s">
        <v>321</v>
      </c>
      <c r="CX2657" s="102" t="s">
        <v>30</v>
      </c>
    </row>
    <row r="2658" spans="96:102" ht="15" customHeight="1">
      <c r="CR2658" s="103" t="s">
        <v>324</v>
      </c>
      <c r="CX2658" s="102" t="s">
        <v>30</v>
      </c>
    </row>
    <row r="2659" spans="96:102" ht="15" customHeight="1">
      <c r="CR2659" s="103" t="s">
        <v>327</v>
      </c>
      <c r="CX2659" s="102" t="s">
        <v>30</v>
      </c>
    </row>
    <row r="2660" spans="96:102" ht="15" customHeight="1">
      <c r="CR2660" s="103" t="s">
        <v>330</v>
      </c>
      <c r="CX2660" s="102" t="s">
        <v>30</v>
      </c>
    </row>
    <row r="2661" spans="96:102" ht="15" customHeight="1">
      <c r="CR2661" s="103" t="s">
        <v>333</v>
      </c>
      <c r="CX2661" s="102" t="s">
        <v>30</v>
      </c>
    </row>
    <row r="2662" spans="96:102" ht="15" customHeight="1">
      <c r="CR2662" s="103" t="s">
        <v>336</v>
      </c>
      <c r="CX2662" s="102" t="s">
        <v>30</v>
      </c>
    </row>
    <row r="2663" spans="96:102" ht="15" customHeight="1">
      <c r="CR2663" s="103" t="s">
        <v>340</v>
      </c>
      <c r="CX2663" s="102" t="s">
        <v>30</v>
      </c>
    </row>
    <row r="2664" spans="96:102" ht="15" customHeight="1">
      <c r="CR2664" s="103" t="s">
        <v>272</v>
      </c>
      <c r="CX2664" s="102" t="s">
        <v>30</v>
      </c>
    </row>
    <row r="2665" spans="96:102" ht="15" customHeight="1">
      <c r="CR2665" s="103" t="s">
        <v>1227</v>
      </c>
      <c r="CX2665" s="102" t="s">
        <v>30</v>
      </c>
    </row>
    <row r="2666" spans="96:102" ht="15" customHeight="1">
      <c r="CR2666" s="103" t="s">
        <v>279</v>
      </c>
      <c r="CX2666" s="102" t="s">
        <v>30</v>
      </c>
    </row>
    <row r="2667" spans="96:102" ht="15" customHeight="1">
      <c r="CR2667" s="103" t="s">
        <v>282</v>
      </c>
      <c r="CX2667" s="102" t="s">
        <v>30</v>
      </c>
    </row>
    <row r="2668" spans="96:102" ht="15" customHeight="1">
      <c r="CR2668" s="103" t="s">
        <v>1228</v>
      </c>
      <c r="CX2668" s="102" t="s">
        <v>30</v>
      </c>
    </row>
    <row r="2669" spans="96:102" ht="15" customHeight="1">
      <c r="CR2669" s="103" t="s">
        <v>1229</v>
      </c>
      <c r="CX2669" s="102" t="s">
        <v>30</v>
      </c>
    </row>
    <row r="2670" spans="96:102" ht="15" customHeight="1">
      <c r="CR2670" s="103" t="s">
        <v>1230</v>
      </c>
      <c r="CX2670" s="102" t="s">
        <v>30</v>
      </c>
    </row>
    <row r="2671" spans="96:102" ht="15" customHeight="1">
      <c r="CR2671" s="103" t="s">
        <v>961</v>
      </c>
      <c r="CX2671" s="102" t="s">
        <v>30</v>
      </c>
    </row>
    <row r="2672" spans="96:102" ht="15" customHeight="1">
      <c r="CR2672" s="103" t="s">
        <v>1231</v>
      </c>
      <c r="CX2672" s="102" t="s">
        <v>30</v>
      </c>
    </row>
    <row r="2673" spans="96:102" ht="15" customHeight="1">
      <c r="CR2673" s="103" t="s">
        <v>1232</v>
      </c>
      <c r="CX2673" s="102" t="s">
        <v>30</v>
      </c>
    </row>
    <row r="2674" spans="96:102" ht="15" customHeight="1">
      <c r="CR2674" s="103" t="s">
        <v>1233</v>
      </c>
      <c r="CX2674" s="102" t="s">
        <v>30</v>
      </c>
    </row>
    <row r="2675" spans="96:102" ht="15" customHeight="1">
      <c r="CR2675" s="103" t="s">
        <v>1234</v>
      </c>
      <c r="CX2675" s="102" t="s">
        <v>30</v>
      </c>
    </row>
    <row r="2676" spans="96:102" ht="15" customHeight="1">
      <c r="CR2676" s="103" t="s">
        <v>1150</v>
      </c>
      <c r="CX2676" s="102" t="s">
        <v>30</v>
      </c>
    </row>
    <row r="2677" spans="96:102" ht="15" customHeight="1">
      <c r="CR2677" s="103" t="s">
        <v>312</v>
      </c>
      <c r="CX2677" s="102" t="s">
        <v>30</v>
      </c>
    </row>
    <row r="2678" spans="96:102" ht="15" customHeight="1">
      <c r="CR2678" s="103" t="s">
        <v>1151</v>
      </c>
      <c r="CX2678" s="102" t="s">
        <v>30</v>
      </c>
    </row>
    <row r="2679" spans="96:102" ht="15" customHeight="1">
      <c r="CR2679" s="103" t="s">
        <v>529</v>
      </c>
      <c r="CX2679" s="102" t="s">
        <v>30</v>
      </c>
    </row>
    <row r="2680" spans="96:102" ht="15" customHeight="1">
      <c r="CR2680" s="103" t="s">
        <v>552</v>
      </c>
      <c r="CX2680" s="102" t="s">
        <v>30</v>
      </c>
    </row>
    <row r="2681" spans="96:102" ht="15" customHeight="1">
      <c r="CR2681" s="103" t="s">
        <v>324</v>
      </c>
      <c r="CX2681" s="102" t="s">
        <v>30</v>
      </c>
    </row>
    <row r="2682" spans="96:102" ht="15" customHeight="1">
      <c r="CR2682" s="103" t="s">
        <v>327</v>
      </c>
      <c r="CX2682" s="102" t="s">
        <v>30</v>
      </c>
    </row>
    <row r="2683" spans="96:102" ht="15" customHeight="1">
      <c r="CR2683" s="103" t="s">
        <v>330</v>
      </c>
      <c r="CX2683" s="102" t="s">
        <v>30</v>
      </c>
    </row>
    <row r="2684" spans="96:102" ht="15" customHeight="1">
      <c r="CR2684" s="103" t="s">
        <v>333</v>
      </c>
      <c r="CX2684" s="102" t="s">
        <v>30</v>
      </c>
    </row>
    <row r="2685" spans="96:102" ht="15" customHeight="1">
      <c r="CR2685" s="103" t="s">
        <v>336</v>
      </c>
      <c r="CX2685" s="102" t="s">
        <v>30</v>
      </c>
    </row>
    <row r="2686" spans="96:102" ht="15" customHeight="1">
      <c r="CR2686" s="103" t="s">
        <v>340</v>
      </c>
      <c r="CX2686" s="102" t="s">
        <v>30</v>
      </c>
    </row>
    <row r="2687" spans="96:102" ht="15" customHeight="1">
      <c r="CR2687" s="103" t="s">
        <v>272</v>
      </c>
      <c r="CX2687" s="102" t="s">
        <v>30</v>
      </c>
    </row>
    <row r="2688" spans="96:102" ht="15" customHeight="1">
      <c r="CR2688" s="103" t="s">
        <v>1235</v>
      </c>
      <c r="CX2688" s="102" t="s">
        <v>30</v>
      </c>
    </row>
    <row r="2689" spans="96:102" ht="15" customHeight="1">
      <c r="CR2689" s="103" t="s">
        <v>279</v>
      </c>
      <c r="CX2689" s="102" t="s">
        <v>30</v>
      </c>
    </row>
    <row r="2690" spans="96:102" ht="15" customHeight="1">
      <c r="CR2690" s="103" t="s">
        <v>282</v>
      </c>
      <c r="CX2690" s="102" t="s">
        <v>30</v>
      </c>
    </row>
    <row r="2691" spans="96:102" ht="15" customHeight="1">
      <c r="CR2691" s="103" t="s">
        <v>1236</v>
      </c>
      <c r="CX2691" s="102" t="s">
        <v>30</v>
      </c>
    </row>
    <row r="2692" spans="96:102" ht="15" customHeight="1">
      <c r="CR2692" s="103" t="s">
        <v>1237</v>
      </c>
      <c r="CX2692" s="102" t="s">
        <v>30</v>
      </c>
    </row>
    <row r="2693" spans="96:102" ht="15" customHeight="1">
      <c r="CR2693" s="103" t="s">
        <v>1238</v>
      </c>
      <c r="CX2693" s="102" t="s">
        <v>30</v>
      </c>
    </row>
    <row r="2694" spans="96:102" ht="15" customHeight="1">
      <c r="CR2694" s="103" t="s">
        <v>693</v>
      </c>
      <c r="CX2694" s="102" t="s">
        <v>30</v>
      </c>
    </row>
    <row r="2695" spans="96:102" ht="15" customHeight="1">
      <c r="CR2695" s="103" t="s">
        <v>1239</v>
      </c>
      <c r="CX2695" s="102" t="s">
        <v>30</v>
      </c>
    </row>
    <row r="2696" spans="96:102" ht="15" customHeight="1">
      <c r="CR2696" s="103" t="s">
        <v>1240</v>
      </c>
      <c r="CX2696" s="102" t="s">
        <v>30</v>
      </c>
    </row>
    <row r="2697" spans="96:102" ht="15" customHeight="1">
      <c r="CR2697" s="103" t="s">
        <v>1241</v>
      </c>
      <c r="CX2697" s="102" t="s">
        <v>30</v>
      </c>
    </row>
    <row r="2698" spans="96:102" ht="15" customHeight="1">
      <c r="CR2698" s="103" t="s">
        <v>1242</v>
      </c>
      <c r="CX2698" s="102" t="s">
        <v>30</v>
      </c>
    </row>
    <row r="2699" spans="96:102" ht="15" customHeight="1">
      <c r="CR2699" s="103" t="s">
        <v>1243</v>
      </c>
      <c r="CX2699" s="102" t="s">
        <v>30</v>
      </c>
    </row>
    <row r="2700" spans="96:102" ht="15" customHeight="1">
      <c r="CR2700" s="103" t="s">
        <v>312</v>
      </c>
      <c r="CX2700" s="102" t="s">
        <v>30</v>
      </c>
    </row>
    <row r="2701" spans="96:102" ht="15" customHeight="1">
      <c r="CR2701" s="103" t="s">
        <v>1244</v>
      </c>
      <c r="CX2701" s="102" t="s">
        <v>30</v>
      </c>
    </row>
    <row r="2702" spans="96:102" ht="15" customHeight="1">
      <c r="CR2702" s="103" t="s">
        <v>562</v>
      </c>
      <c r="CX2702" s="102" t="s">
        <v>30</v>
      </c>
    </row>
    <row r="2703" spans="96:102" ht="15" customHeight="1">
      <c r="CR2703" s="103" t="s">
        <v>321</v>
      </c>
      <c r="CX2703" s="102" t="s">
        <v>30</v>
      </c>
    </row>
    <row r="2704" spans="96:102" ht="15" customHeight="1">
      <c r="CR2704" s="103" t="s">
        <v>324</v>
      </c>
      <c r="CX2704" s="102" t="s">
        <v>30</v>
      </c>
    </row>
    <row r="2705" spans="96:102" ht="15" customHeight="1">
      <c r="CR2705" s="103" t="s">
        <v>327</v>
      </c>
      <c r="CX2705" s="102" t="s">
        <v>30</v>
      </c>
    </row>
    <row r="2706" spans="96:102" ht="15" customHeight="1">
      <c r="CR2706" s="103" t="s">
        <v>330</v>
      </c>
      <c r="CX2706" s="102" t="s">
        <v>30</v>
      </c>
    </row>
    <row r="2707" spans="96:102" ht="15" customHeight="1">
      <c r="CR2707" s="103" t="s">
        <v>333</v>
      </c>
      <c r="CX2707" s="102" t="s">
        <v>30</v>
      </c>
    </row>
    <row r="2708" spans="96:102" ht="15" customHeight="1">
      <c r="CR2708" s="103" t="s">
        <v>444</v>
      </c>
      <c r="CX2708" s="102" t="s">
        <v>30</v>
      </c>
    </row>
    <row r="2709" spans="96:102" ht="15" customHeight="1">
      <c r="CR2709" s="103" t="s">
        <v>445</v>
      </c>
      <c r="CX2709" s="102" t="s">
        <v>30</v>
      </c>
    </row>
    <row r="2710" spans="96:102" ht="15" customHeight="1">
      <c r="CR2710" s="103" t="s">
        <v>1203</v>
      </c>
      <c r="CX2710" s="102" t="s">
        <v>30</v>
      </c>
    </row>
    <row r="2711" spans="96:102" ht="15" customHeight="1">
      <c r="CR2711" s="103" t="s">
        <v>1204</v>
      </c>
      <c r="CX2711" s="102" t="s">
        <v>30</v>
      </c>
    </row>
    <row r="2712" spans="96:102" ht="15" customHeight="1">
      <c r="CR2712" s="103" t="s">
        <v>1205</v>
      </c>
      <c r="CX2712" s="102" t="s">
        <v>30</v>
      </c>
    </row>
    <row r="2713" spans="96:102" ht="15" customHeight="1">
      <c r="CR2713" s="103" t="s">
        <v>1206</v>
      </c>
      <c r="CX2713" s="102" t="s">
        <v>30</v>
      </c>
    </row>
    <row r="2714" spans="96:102" ht="15" customHeight="1">
      <c r="CR2714" s="103" t="s">
        <v>1245</v>
      </c>
      <c r="CX2714" s="102" t="s">
        <v>30</v>
      </c>
    </row>
    <row r="2715" spans="96:102" ht="15" customHeight="1">
      <c r="CR2715" s="103" t="s">
        <v>1246</v>
      </c>
      <c r="CX2715" s="102" t="s">
        <v>30</v>
      </c>
    </row>
    <row r="2716" spans="96:102" ht="15" customHeight="1">
      <c r="CR2716" s="103" t="s">
        <v>456</v>
      </c>
      <c r="CX2716" s="102" t="s">
        <v>30</v>
      </c>
    </row>
    <row r="2717" spans="96:102" ht="15" customHeight="1">
      <c r="CR2717" s="103" t="s">
        <v>457</v>
      </c>
      <c r="CX2717" s="102" t="s">
        <v>30</v>
      </c>
    </row>
    <row r="2718" spans="96:102" ht="15" customHeight="1">
      <c r="CR2718" s="103" t="s">
        <v>340</v>
      </c>
      <c r="CX2718" s="102" t="s">
        <v>30</v>
      </c>
    </row>
    <row r="2719" spans="96:102" ht="15" customHeight="1">
      <c r="CR2719" s="103" t="s">
        <v>272</v>
      </c>
      <c r="CX2719" s="102" t="s">
        <v>30</v>
      </c>
    </row>
    <row r="2720" spans="96:102" ht="15" customHeight="1">
      <c r="CR2720" s="103" t="s">
        <v>1247</v>
      </c>
      <c r="CX2720" s="102" t="s">
        <v>30</v>
      </c>
    </row>
    <row r="2721" spans="96:102" ht="15" customHeight="1">
      <c r="CR2721" s="103" t="s">
        <v>279</v>
      </c>
      <c r="CX2721" s="102" t="s">
        <v>30</v>
      </c>
    </row>
    <row r="2722" spans="96:102" ht="15" customHeight="1">
      <c r="CR2722" s="103" t="s">
        <v>282</v>
      </c>
      <c r="CX2722" s="102" t="s">
        <v>30</v>
      </c>
    </row>
    <row r="2723" spans="96:102" ht="15" customHeight="1">
      <c r="CR2723" s="103" t="s">
        <v>1248</v>
      </c>
      <c r="CX2723" s="102" t="s">
        <v>30</v>
      </c>
    </row>
    <row r="2724" spans="96:102" ht="15" customHeight="1">
      <c r="CR2724" s="103" t="s">
        <v>1249</v>
      </c>
      <c r="CX2724" s="102" t="s">
        <v>30</v>
      </c>
    </row>
    <row r="2725" spans="96:102" ht="15" customHeight="1">
      <c r="CR2725" s="103" t="s">
        <v>1250</v>
      </c>
      <c r="CX2725" s="102" t="s">
        <v>30</v>
      </c>
    </row>
    <row r="2726" spans="96:102" ht="15" customHeight="1">
      <c r="CR2726" s="103" t="s">
        <v>1251</v>
      </c>
      <c r="CX2726" s="102" t="s">
        <v>30</v>
      </c>
    </row>
    <row r="2727" spans="96:102" ht="15" customHeight="1">
      <c r="CR2727" s="103" t="s">
        <v>1252</v>
      </c>
      <c r="CX2727" s="102" t="s">
        <v>30</v>
      </c>
    </row>
    <row r="2728" spans="96:102" ht="15" customHeight="1">
      <c r="CR2728" s="103" t="s">
        <v>1253</v>
      </c>
      <c r="CX2728" s="102" t="s">
        <v>30</v>
      </c>
    </row>
    <row r="2729" spans="96:102" ht="15" customHeight="1">
      <c r="CR2729" s="103" t="s">
        <v>1254</v>
      </c>
      <c r="CX2729" s="102" t="s">
        <v>30</v>
      </c>
    </row>
    <row r="2730" spans="96:102" ht="15" customHeight="1">
      <c r="CR2730" s="103" t="s">
        <v>1255</v>
      </c>
      <c r="CX2730" s="102" t="s">
        <v>30</v>
      </c>
    </row>
    <row r="2731" spans="96:102" ht="15" customHeight="1">
      <c r="CR2731" s="103" t="s">
        <v>1256</v>
      </c>
      <c r="CX2731" s="102" t="s">
        <v>30</v>
      </c>
    </row>
    <row r="2732" spans="96:102" ht="15" customHeight="1">
      <c r="CR2732" s="103" t="s">
        <v>312</v>
      </c>
      <c r="CX2732" s="102" t="s">
        <v>30</v>
      </c>
    </row>
    <row r="2733" spans="96:102" ht="15" customHeight="1">
      <c r="CR2733" s="103" t="s">
        <v>1257</v>
      </c>
      <c r="CX2733" s="102" t="s">
        <v>30</v>
      </c>
    </row>
    <row r="2734" spans="96:102" ht="15" customHeight="1">
      <c r="CR2734" s="103" t="s">
        <v>1258</v>
      </c>
      <c r="CX2734" s="102" t="s">
        <v>30</v>
      </c>
    </row>
    <row r="2735" spans="96:102" ht="15" customHeight="1">
      <c r="CR2735" s="103" t="s">
        <v>552</v>
      </c>
      <c r="CX2735" s="102" t="s">
        <v>30</v>
      </c>
    </row>
    <row r="2736" spans="96:102" ht="15" customHeight="1">
      <c r="CR2736" s="103" t="s">
        <v>324</v>
      </c>
      <c r="CX2736" s="102" t="s">
        <v>30</v>
      </c>
    </row>
    <row r="2737" spans="96:102" ht="15" customHeight="1">
      <c r="CR2737" s="103" t="s">
        <v>327</v>
      </c>
      <c r="CX2737" s="102" t="s">
        <v>30</v>
      </c>
    </row>
    <row r="2738" spans="96:102" ht="15" customHeight="1">
      <c r="CR2738" s="103" t="s">
        <v>330</v>
      </c>
      <c r="CX2738" s="102" t="s">
        <v>30</v>
      </c>
    </row>
    <row r="2739" spans="96:102" ht="15" customHeight="1">
      <c r="CR2739" s="103" t="s">
        <v>333</v>
      </c>
      <c r="CX2739" s="102" t="s">
        <v>30</v>
      </c>
    </row>
    <row r="2740" spans="96:102" ht="15" customHeight="1">
      <c r="CR2740" s="103" t="s">
        <v>336</v>
      </c>
      <c r="CX2740" s="102" t="s">
        <v>30</v>
      </c>
    </row>
    <row r="2741" spans="96:102" ht="15" customHeight="1">
      <c r="CR2741" s="103" t="s">
        <v>340</v>
      </c>
      <c r="CX2741" s="102" t="s">
        <v>30</v>
      </c>
    </row>
    <row r="2742" spans="96:102" ht="15" customHeight="1">
      <c r="CR2742" s="103" t="s">
        <v>272</v>
      </c>
      <c r="CX2742" s="102" t="s">
        <v>30</v>
      </c>
    </row>
    <row r="2743" spans="96:102" ht="15" customHeight="1">
      <c r="CR2743" s="103" t="s">
        <v>1259</v>
      </c>
      <c r="CX2743" s="102" t="s">
        <v>30</v>
      </c>
    </row>
    <row r="2744" spans="96:102" ht="15" customHeight="1">
      <c r="CR2744" s="103" t="s">
        <v>279</v>
      </c>
      <c r="CX2744" s="102" t="s">
        <v>30</v>
      </c>
    </row>
    <row r="2745" spans="96:102" ht="15" customHeight="1">
      <c r="CR2745" s="103" t="s">
        <v>282</v>
      </c>
      <c r="CX2745" s="102" t="s">
        <v>30</v>
      </c>
    </row>
    <row r="2746" spans="96:102" ht="15" customHeight="1">
      <c r="CR2746" s="103" t="s">
        <v>1260</v>
      </c>
      <c r="CX2746" s="102" t="s">
        <v>30</v>
      </c>
    </row>
    <row r="2747" spans="96:102" ht="15" customHeight="1">
      <c r="CR2747" s="103" t="s">
        <v>1261</v>
      </c>
      <c r="CX2747" s="102" t="s">
        <v>30</v>
      </c>
    </row>
    <row r="2748" spans="96:102" ht="15" customHeight="1">
      <c r="CR2748" s="103" t="s">
        <v>1262</v>
      </c>
      <c r="CX2748" s="102" t="s">
        <v>30</v>
      </c>
    </row>
    <row r="2749" spans="96:102" ht="15" customHeight="1">
      <c r="CR2749" s="103" t="s">
        <v>484</v>
      </c>
      <c r="CX2749" s="102" t="s">
        <v>30</v>
      </c>
    </row>
    <row r="2750" spans="96:102" ht="15" customHeight="1">
      <c r="CR2750" s="103" t="s">
        <v>1263</v>
      </c>
      <c r="CX2750" s="102" t="s">
        <v>30</v>
      </c>
    </row>
    <row r="2751" spans="96:102" ht="15" customHeight="1">
      <c r="CR2751" s="103" t="s">
        <v>1264</v>
      </c>
      <c r="CX2751" s="102" t="s">
        <v>30</v>
      </c>
    </row>
    <row r="2752" spans="96:102" ht="15" customHeight="1">
      <c r="CR2752" s="103" t="s">
        <v>1265</v>
      </c>
      <c r="CX2752" s="102" t="s">
        <v>30</v>
      </c>
    </row>
    <row r="2753" spans="96:102" ht="15" customHeight="1">
      <c r="CR2753" s="103" t="s">
        <v>1266</v>
      </c>
      <c r="CX2753" s="102" t="s">
        <v>30</v>
      </c>
    </row>
    <row r="2754" spans="96:102" ht="15" customHeight="1">
      <c r="CR2754" s="103" t="s">
        <v>1267</v>
      </c>
      <c r="CX2754" s="102" t="s">
        <v>30</v>
      </c>
    </row>
    <row r="2755" spans="96:102" ht="15" customHeight="1">
      <c r="CR2755" s="103" t="s">
        <v>312</v>
      </c>
      <c r="CX2755" s="102" t="s">
        <v>30</v>
      </c>
    </row>
    <row r="2756" spans="96:102" ht="15" customHeight="1">
      <c r="CR2756" s="103" t="s">
        <v>1268</v>
      </c>
      <c r="CX2756" s="102" t="s">
        <v>30</v>
      </c>
    </row>
    <row r="2757" spans="96:102" ht="15" customHeight="1">
      <c r="CR2757" s="103" t="s">
        <v>1269</v>
      </c>
      <c r="CX2757" s="102" t="s">
        <v>30</v>
      </c>
    </row>
    <row r="2758" spans="96:102" ht="15" customHeight="1">
      <c r="CR2758" s="103" t="s">
        <v>321</v>
      </c>
      <c r="CX2758" s="102" t="s">
        <v>30</v>
      </c>
    </row>
    <row r="2759" spans="96:102" ht="15" customHeight="1">
      <c r="CR2759" s="103" t="s">
        <v>324</v>
      </c>
      <c r="CX2759" s="102" t="s">
        <v>30</v>
      </c>
    </row>
    <row r="2760" spans="96:102" ht="15" customHeight="1">
      <c r="CR2760" s="103" t="s">
        <v>327</v>
      </c>
      <c r="CX2760" s="102" t="s">
        <v>30</v>
      </c>
    </row>
    <row r="2761" spans="96:102" ht="15" customHeight="1">
      <c r="CR2761" s="103" t="s">
        <v>330</v>
      </c>
      <c r="CX2761" s="102" t="s">
        <v>30</v>
      </c>
    </row>
    <row r="2762" spans="96:102" ht="15" customHeight="1">
      <c r="CR2762" s="103" t="s">
        <v>333</v>
      </c>
      <c r="CX2762" s="102" t="s">
        <v>30</v>
      </c>
    </row>
    <row r="2763" spans="96:102" ht="15" customHeight="1">
      <c r="CR2763" s="103" t="s">
        <v>444</v>
      </c>
      <c r="CX2763" s="102" t="s">
        <v>30</v>
      </c>
    </row>
    <row r="2764" spans="96:102" ht="15" customHeight="1">
      <c r="CR2764" s="103" t="s">
        <v>445</v>
      </c>
      <c r="CX2764" s="102" t="s">
        <v>30</v>
      </c>
    </row>
    <row r="2765" spans="96:102" ht="15" customHeight="1">
      <c r="CR2765" s="103" t="s">
        <v>1203</v>
      </c>
      <c r="CX2765" s="102" t="s">
        <v>30</v>
      </c>
    </row>
    <row r="2766" spans="96:102" ht="15" customHeight="1">
      <c r="CR2766" s="103" t="s">
        <v>1204</v>
      </c>
      <c r="CX2766" s="102" t="s">
        <v>30</v>
      </c>
    </row>
    <row r="2767" spans="96:102" ht="15" customHeight="1">
      <c r="CR2767" s="103" t="s">
        <v>1205</v>
      </c>
      <c r="CX2767" s="102" t="s">
        <v>30</v>
      </c>
    </row>
    <row r="2768" spans="96:102" ht="15" customHeight="1">
      <c r="CR2768" s="103" t="s">
        <v>1206</v>
      </c>
      <c r="CX2768" s="102" t="s">
        <v>30</v>
      </c>
    </row>
    <row r="2769" spans="96:102" ht="15" customHeight="1">
      <c r="CR2769" s="103" t="s">
        <v>1270</v>
      </c>
      <c r="CX2769" s="102" t="s">
        <v>30</v>
      </c>
    </row>
    <row r="2770" spans="96:102" ht="15" customHeight="1">
      <c r="CR2770" s="103" t="s">
        <v>1271</v>
      </c>
      <c r="CX2770" s="102" t="s">
        <v>30</v>
      </c>
    </row>
    <row r="2771" spans="96:102" ht="15" customHeight="1">
      <c r="CR2771" s="103" t="s">
        <v>456</v>
      </c>
      <c r="CX2771" s="102" t="s">
        <v>30</v>
      </c>
    </row>
    <row r="2772" spans="96:102" ht="15" customHeight="1">
      <c r="CR2772" s="103" t="s">
        <v>457</v>
      </c>
      <c r="CX2772" s="102" t="s">
        <v>30</v>
      </c>
    </row>
    <row r="2773" spans="96:102" ht="15" customHeight="1">
      <c r="CR2773" s="103" t="s">
        <v>1272</v>
      </c>
      <c r="CX2773" s="102" t="s">
        <v>30</v>
      </c>
    </row>
    <row r="2774" spans="96:102" ht="15" customHeight="1">
      <c r="CR2774" s="103" t="s">
        <v>1273</v>
      </c>
      <c r="CX2774" s="102" t="s">
        <v>30</v>
      </c>
    </row>
    <row r="2775" spans="96:102" ht="15" customHeight="1">
      <c r="CR2775" s="103" t="s">
        <v>1274</v>
      </c>
      <c r="CX2775" s="102" t="s">
        <v>30</v>
      </c>
    </row>
    <row r="2776" spans="96:102" ht="15" customHeight="1">
      <c r="CR2776" s="103" t="s">
        <v>1275</v>
      </c>
      <c r="CX2776" s="102" t="s">
        <v>30</v>
      </c>
    </row>
    <row r="2777" spans="96:102" ht="15" customHeight="1">
      <c r="CR2777" s="103" t="s">
        <v>135</v>
      </c>
      <c r="CX2777" s="102" t="s">
        <v>30</v>
      </c>
    </row>
    <row r="2778" spans="96:102" ht="15" customHeight="1">
      <c r="CR2778" s="103" t="s">
        <v>1276</v>
      </c>
      <c r="CX2778" s="102" t="s">
        <v>30</v>
      </c>
    </row>
    <row r="2779" spans="96:102" ht="15" customHeight="1">
      <c r="CR2779" s="103" t="s">
        <v>1277</v>
      </c>
      <c r="CX2779" s="102" t="s">
        <v>30</v>
      </c>
    </row>
    <row r="2780" spans="96:102" ht="15" customHeight="1">
      <c r="CR2780" s="103" t="s">
        <v>1278</v>
      </c>
      <c r="CX2780" s="102" t="s">
        <v>30</v>
      </c>
    </row>
    <row r="2781" spans="96:102" ht="15" customHeight="1">
      <c r="CR2781" s="103" t="s">
        <v>1279</v>
      </c>
      <c r="CX2781" s="102" t="s">
        <v>30</v>
      </c>
    </row>
    <row r="2782" spans="96:102" ht="15" customHeight="1">
      <c r="CR2782" s="103" t="s">
        <v>163</v>
      </c>
      <c r="CX2782" s="102" t="s">
        <v>30</v>
      </c>
    </row>
    <row r="2783" spans="96:102" ht="15" customHeight="1">
      <c r="CR2783" s="103" t="s">
        <v>135</v>
      </c>
      <c r="CX2783" s="102" t="s">
        <v>30</v>
      </c>
    </row>
    <row r="2784" spans="96:102" ht="15" customHeight="1">
      <c r="CR2784" s="103" t="s">
        <v>1276</v>
      </c>
      <c r="CX2784" s="102" t="s">
        <v>30</v>
      </c>
    </row>
    <row r="2785" spans="96:102" ht="15" customHeight="1">
      <c r="CR2785" s="103" t="s">
        <v>1280</v>
      </c>
      <c r="CX2785" s="102" t="s">
        <v>30</v>
      </c>
    </row>
    <row r="2786" spans="96:102" ht="15" customHeight="1">
      <c r="CR2786" s="103" t="s">
        <v>1281</v>
      </c>
      <c r="CX2786" s="102" t="s">
        <v>30</v>
      </c>
    </row>
    <row r="2787" spans="96:102" ht="15" customHeight="1">
      <c r="CR2787" s="103" t="s">
        <v>1282</v>
      </c>
      <c r="CX2787" s="102" t="s">
        <v>30</v>
      </c>
    </row>
    <row r="2788" spans="96:102" ht="15" customHeight="1">
      <c r="CR2788" s="103" t="s">
        <v>163</v>
      </c>
      <c r="CX2788" s="102" t="s">
        <v>30</v>
      </c>
    </row>
    <row r="2789" spans="96:102" ht="15" customHeight="1">
      <c r="CR2789" s="103" t="s">
        <v>135</v>
      </c>
      <c r="CX2789" s="102" t="s">
        <v>30</v>
      </c>
    </row>
    <row r="2790" spans="96:102" ht="15" customHeight="1">
      <c r="CR2790" s="103" t="s">
        <v>1283</v>
      </c>
      <c r="CX2790" s="102" t="s">
        <v>30</v>
      </c>
    </row>
    <row r="2791" spans="96:102" ht="15" customHeight="1">
      <c r="CR2791" s="103" t="s">
        <v>1280</v>
      </c>
      <c r="CX2791" s="102" t="s">
        <v>30</v>
      </c>
    </row>
    <row r="2792" spans="96:102" ht="15" customHeight="1">
      <c r="CR2792" s="103" t="s">
        <v>1284</v>
      </c>
      <c r="CX2792" s="102" t="s">
        <v>30</v>
      </c>
    </row>
    <row r="2793" spans="96:102" ht="15" customHeight="1">
      <c r="CR2793" s="103" t="s">
        <v>1285</v>
      </c>
      <c r="CX2793" s="102" t="s">
        <v>30</v>
      </c>
    </row>
    <row r="2794" spans="96:102" ht="15" customHeight="1">
      <c r="CR2794" s="103" t="s">
        <v>163</v>
      </c>
      <c r="CX2794" s="102" t="s">
        <v>30</v>
      </c>
    </row>
    <row r="2795" spans="96:102" ht="15" customHeight="1">
      <c r="CR2795" s="103" t="s">
        <v>135</v>
      </c>
      <c r="CX2795" s="102" t="s">
        <v>30</v>
      </c>
    </row>
    <row r="2796" spans="96:102" ht="15" customHeight="1">
      <c r="CR2796" s="103" t="s">
        <v>1286</v>
      </c>
      <c r="CX2796" s="102" t="s">
        <v>30</v>
      </c>
    </row>
    <row r="2797" spans="96:102" ht="15" customHeight="1">
      <c r="CR2797" s="103" t="s">
        <v>1287</v>
      </c>
      <c r="CX2797" s="102" t="s">
        <v>30</v>
      </c>
    </row>
    <row r="2798" spans="96:102" ht="15" customHeight="1">
      <c r="CR2798" s="103" t="s">
        <v>1288</v>
      </c>
      <c r="CX2798" s="102" t="s">
        <v>30</v>
      </c>
    </row>
    <row r="2799" spans="96:102" ht="15" customHeight="1">
      <c r="CR2799" s="103" t="s">
        <v>1289</v>
      </c>
      <c r="CX2799" s="102" t="s">
        <v>30</v>
      </c>
    </row>
    <row r="2800" spans="96:102" ht="15" customHeight="1">
      <c r="CR2800" s="103" t="s">
        <v>262</v>
      </c>
      <c r="CX2800" s="102" t="s">
        <v>30</v>
      </c>
    </row>
    <row r="2801" spans="96:102" ht="15" customHeight="1">
      <c r="CR2801" s="103" t="s">
        <v>265</v>
      </c>
      <c r="CX2801" s="102" t="s">
        <v>30</v>
      </c>
    </row>
    <row r="2802" spans="96:102" ht="15" customHeight="1">
      <c r="CR2802" s="103" t="s">
        <v>109</v>
      </c>
      <c r="CX2802" s="102" t="s">
        <v>30</v>
      </c>
    </row>
    <row r="2803" spans="96:102" ht="15" customHeight="1">
      <c r="CR2803" s="103" t="s">
        <v>1290</v>
      </c>
      <c r="CX2803" s="102" t="s">
        <v>30</v>
      </c>
    </row>
    <row r="2804" spans="96:102" ht="15" customHeight="1">
      <c r="CR2804" s="103" t="s">
        <v>1275</v>
      </c>
      <c r="CX2804" s="102" t="s">
        <v>30</v>
      </c>
    </row>
    <row r="2805" spans="96:102" ht="15" customHeight="1">
      <c r="CR2805" s="103" t="s">
        <v>135</v>
      </c>
      <c r="CX2805" s="102" t="s">
        <v>30</v>
      </c>
    </row>
    <row r="2806" spans="96:102" ht="15" customHeight="1">
      <c r="CR2806" s="103" t="s">
        <v>1277</v>
      </c>
      <c r="CX2806" s="102" t="s">
        <v>30</v>
      </c>
    </row>
    <row r="2807" spans="96:102" ht="15" customHeight="1">
      <c r="CR2807" s="103" t="s">
        <v>1291</v>
      </c>
      <c r="CX2807" s="102" t="s">
        <v>30</v>
      </c>
    </row>
    <row r="2808" spans="96:102" ht="15" customHeight="1">
      <c r="CR2808" s="103" t="s">
        <v>1292</v>
      </c>
      <c r="CX2808" s="102" t="s">
        <v>30</v>
      </c>
    </row>
    <row r="2809" spans="96:102" ht="15" customHeight="1">
      <c r="CR2809" s="103" t="s">
        <v>163</v>
      </c>
      <c r="CX2809" s="102" t="s">
        <v>30</v>
      </c>
    </row>
    <row r="2810" spans="96:102" ht="15" customHeight="1">
      <c r="CR2810" s="103" t="s">
        <v>135</v>
      </c>
      <c r="CX2810" s="102" t="s">
        <v>30</v>
      </c>
    </row>
    <row r="2811" spans="96:102" ht="15" customHeight="1">
      <c r="CR2811" s="103" t="s">
        <v>1280</v>
      </c>
      <c r="CX2811" s="102" t="s">
        <v>30</v>
      </c>
    </row>
    <row r="2812" spans="96:102" ht="15" customHeight="1">
      <c r="CR2812" s="103" t="s">
        <v>1293</v>
      </c>
      <c r="CX2812" s="102" t="s">
        <v>30</v>
      </c>
    </row>
    <row r="2813" spans="96:102" ht="15" customHeight="1">
      <c r="CR2813" s="103" t="s">
        <v>1294</v>
      </c>
      <c r="CX2813" s="102" t="s">
        <v>30</v>
      </c>
    </row>
    <row r="2814" spans="96:102" ht="15" customHeight="1">
      <c r="CR2814" s="103" t="s">
        <v>262</v>
      </c>
      <c r="CX2814" s="102" t="s">
        <v>30</v>
      </c>
    </row>
    <row r="2815" spans="96:102" ht="15" customHeight="1">
      <c r="CR2815" s="103" t="s">
        <v>265</v>
      </c>
      <c r="CX2815" s="102" t="s">
        <v>30</v>
      </c>
    </row>
    <row r="2816" spans="96:102" ht="15" customHeight="1">
      <c r="CR2816" s="103" t="s">
        <v>109</v>
      </c>
      <c r="CX2816" s="102" t="s">
        <v>30</v>
      </c>
    </row>
    <row r="2817" spans="96:102" ht="15" customHeight="1">
      <c r="CR2817" s="103" t="s">
        <v>1295</v>
      </c>
      <c r="CX2817" s="102" t="s">
        <v>30</v>
      </c>
    </row>
    <row r="2818" spans="96:102" ht="15" customHeight="1">
      <c r="CR2818" s="103" t="s">
        <v>1296</v>
      </c>
      <c r="CX2818" s="102" t="s">
        <v>30</v>
      </c>
    </row>
    <row r="2819" spans="96:102" ht="15" customHeight="1">
      <c r="CR2819" s="103" t="s">
        <v>1297</v>
      </c>
      <c r="CX2819" s="102" t="s">
        <v>30</v>
      </c>
    </row>
    <row r="2820" spans="96:102" ht="15" customHeight="1">
      <c r="CR2820" s="103" t="s">
        <v>1298</v>
      </c>
      <c r="CX2820" s="102" t="s">
        <v>30</v>
      </c>
    </row>
    <row r="2821" spans="96:102" ht="15" customHeight="1">
      <c r="CR2821" s="103" t="s">
        <v>1299</v>
      </c>
      <c r="CX2821" s="102" t="s">
        <v>30</v>
      </c>
    </row>
    <row r="2822" spans="96:102" ht="15" customHeight="1">
      <c r="CR2822" s="103" t="s">
        <v>1300</v>
      </c>
      <c r="CX2822" s="102" t="s">
        <v>30</v>
      </c>
    </row>
    <row r="2823" spans="96:102" ht="15" customHeight="1">
      <c r="CR2823" s="103" t="s">
        <v>1301</v>
      </c>
      <c r="CX2823" s="102" t="s">
        <v>30</v>
      </c>
    </row>
    <row r="2824" spans="96:102" ht="15" customHeight="1">
      <c r="CR2824" s="103" t="s">
        <v>1302</v>
      </c>
      <c r="CX2824" s="102" t="s">
        <v>30</v>
      </c>
    </row>
    <row r="2825" spans="96:102" ht="15" customHeight="1">
      <c r="CR2825" s="103" t="s">
        <v>135</v>
      </c>
      <c r="CX2825" s="102" t="s">
        <v>30</v>
      </c>
    </row>
    <row r="2826" spans="96:102" ht="15" customHeight="1">
      <c r="CR2826" s="103" t="s">
        <v>1303</v>
      </c>
      <c r="CX2826" s="102" t="s">
        <v>30</v>
      </c>
    </row>
    <row r="2827" spans="96:102" ht="15" customHeight="1">
      <c r="CR2827" s="103" t="s">
        <v>1304</v>
      </c>
      <c r="CX2827" s="102" t="s">
        <v>30</v>
      </c>
    </row>
    <row r="2828" spans="96:102" ht="15" customHeight="1">
      <c r="CR2828" s="103" t="s">
        <v>1305</v>
      </c>
      <c r="CX2828" s="102" t="s">
        <v>30</v>
      </c>
    </row>
    <row r="2829" spans="96:102" ht="15" customHeight="1">
      <c r="CR2829" s="103" t="s">
        <v>1306</v>
      </c>
      <c r="CX2829" s="102" t="s">
        <v>30</v>
      </c>
    </row>
    <row r="2830" spans="96:102" ht="15" customHeight="1">
      <c r="CR2830" s="103" t="s">
        <v>1307</v>
      </c>
      <c r="CX2830" s="102" t="s">
        <v>30</v>
      </c>
    </row>
    <row r="2831" spans="96:102" ht="15" customHeight="1">
      <c r="CR2831" s="103" t="s">
        <v>1308</v>
      </c>
      <c r="CX2831" s="102" t="s">
        <v>30</v>
      </c>
    </row>
    <row r="2832" spans="96:102" ht="15" customHeight="1">
      <c r="CR2832" s="103" t="s">
        <v>1309</v>
      </c>
      <c r="CX2832" s="102" t="s">
        <v>30</v>
      </c>
    </row>
    <row r="2833" spans="96:102" ht="15" customHeight="1">
      <c r="CR2833" s="103" t="s">
        <v>1310</v>
      </c>
      <c r="CX2833" s="102" t="s">
        <v>30</v>
      </c>
    </row>
    <row r="2834" spans="96:102" ht="15" customHeight="1">
      <c r="CR2834" s="103" t="s">
        <v>1311</v>
      </c>
      <c r="CX2834" s="102" t="s">
        <v>30</v>
      </c>
    </row>
    <row r="2835" spans="96:102" ht="15" customHeight="1">
      <c r="CR2835" s="103" t="s">
        <v>1312</v>
      </c>
      <c r="CX2835" s="102" t="s">
        <v>30</v>
      </c>
    </row>
    <row r="2836" spans="96:102" ht="15" customHeight="1">
      <c r="CR2836" s="103" t="s">
        <v>163</v>
      </c>
      <c r="CX2836" s="102" t="s">
        <v>30</v>
      </c>
    </row>
    <row r="2837" spans="96:102" ht="15" customHeight="1">
      <c r="CR2837" s="103" t="s">
        <v>135</v>
      </c>
      <c r="CX2837" s="102" t="s">
        <v>30</v>
      </c>
    </row>
    <row r="2838" spans="96:102" ht="15" customHeight="1">
      <c r="CR2838" s="103" t="s">
        <v>1313</v>
      </c>
      <c r="CX2838" s="102" t="s">
        <v>30</v>
      </c>
    </row>
    <row r="2839" spans="96:102" ht="15" customHeight="1">
      <c r="CR2839" s="103" t="s">
        <v>1304</v>
      </c>
      <c r="CX2839" s="102" t="s">
        <v>30</v>
      </c>
    </row>
    <row r="2840" spans="96:102" ht="15" customHeight="1">
      <c r="CR2840" s="103" t="s">
        <v>1314</v>
      </c>
      <c r="CX2840" s="102" t="s">
        <v>30</v>
      </c>
    </row>
    <row r="2841" spans="96:102" ht="15" customHeight="1">
      <c r="CR2841" s="103" t="s">
        <v>1315</v>
      </c>
      <c r="CX2841" s="102" t="s">
        <v>30</v>
      </c>
    </row>
    <row r="2842" spans="96:102" ht="15" customHeight="1">
      <c r="CR2842" s="103" t="s">
        <v>1316</v>
      </c>
      <c r="CX2842" s="102" t="s">
        <v>30</v>
      </c>
    </row>
    <row r="2843" spans="96:102" ht="15" customHeight="1">
      <c r="CR2843" s="103" t="s">
        <v>1317</v>
      </c>
      <c r="CX2843" s="102" t="s">
        <v>30</v>
      </c>
    </row>
    <row r="2844" spans="96:102" ht="15" customHeight="1">
      <c r="CR2844" s="103" t="s">
        <v>1309</v>
      </c>
      <c r="CX2844" s="102" t="s">
        <v>30</v>
      </c>
    </row>
    <row r="2845" spans="96:102" ht="15" customHeight="1">
      <c r="CR2845" s="103" t="s">
        <v>1310</v>
      </c>
      <c r="CX2845" s="102" t="s">
        <v>30</v>
      </c>
    </row>
    <row r="2846" spans="96:102" ht="15" customHeight="1">
      <c r="CR2846" s="103" t="s">
        <v>1311</v>
      </c>
      <c r="CX2846" s="102" t="s">
        <v>30</v>
      </c>
    </row>
    <row r="2847" spans="96:102" ht="15" customHeight="1">
      <c r="CR2847" s="103" t="s">
        <v>1312</v>
      </c>
      <c r="CX2847" s="102" t="s">
        <v>30</v>
      </c>
    </row>
    <row r="2848" spans="96:102" ht="15" customHeight="1">
      <c r="CR2848" s="103" t="s">
        <v>163</v>
      </c>
      <c r="CX2848" s="102" t="s">
        <v>30</v>
      </c>
    </row>
    <row r="2849" spans="96:102" ht="15" customHeight="1">
      <c r="CR2849" s="103" t="s">
        <v>135</v>
      </c>
      <c r="CX2849" s="102" t="s">
        <v>30</v>
      </c>
    </row>
    <row r="2850" spans="96:102" ht="15" customHeight="1">
      <c r="CR2850" s="103" t="s">
        <v>1318</v>
      </c>
      <c r="CX2850" s="102" t="s">
        <v>30</v>
      </c>
    </row>
    <row r="2851" spans="96:102" ht="15" customHeight="1">
      <c r="CR2851" s="103" t="s">
        <v>1304</v>
      </c>
      <c r="CX2851" s="102" t="s">
        <v>30</v>
      </c>
    </row>
    <row r="2852" spans="96:102" ht="15" customHeight="1">
      <c r="CR2852" s="103" t="s">
        <v>1314</v>
      </c>
      <c r="CX2852" s="102" t="s">
        <v>30</v>
      </c>
    </row>
    <row r="2853" spans="96:102" ht="15" customHeight="1">
      <c r="CR2853" s="103" t="s">
        <v>1319</v>
      </c>
      <c r="CX2853" s="102" t="s">
        <v>30</v>
      </c>
    </row>
    <row r="2854" spans="96:102" ht="15" customHeight="1">
      <c r="CR2854" s="103" t="s">
        <v>1316</v>
      </c>
      <c r="CX2854" s="102" t="s">
        <v>30</v>
      </c>
    </row>
    <row r="2855" spans="96:102" ht="15" customHeight="1">
      <c r="CR2855" s="103" t="s">
        <v>1320</v>
      </c>
      <c r="CX2855" s="102" t="s">
        <v>30</v>
      </c>
    </row>
    <row r="2856" spans="96:102" ht="15" customHeight="1">
      <c r="CR2856" s="103" t="s">
        <v>1321</v>
      </c>
      <c r="CX2856" s="102" t="s">
        <v>30</v>
      </c>
    </row>
    <row r="2857" spans="96:102" ht="15" customHeight="1">
      <c r="CR2857" s="103" t="s">
        <v>1310</v>
      </c>
      <c r="CX2857" s="102" t="s">
        <v>30</v>
      </c>
    </row>
    <row r="2858" spans="96:102" ht="15" customHeight="1">
      <c r="CR2858" s="103" t="s">
        <v>1311</v>
      </c>
      <c r="CX2858" s="102" t="s">
        <v>30</v>
      </c>
    </row>
    <row r="2859" spans="96:102" ht="15" customHeight="1">
      <c r="CR2859" s="103" t="s">
        <v>1312</v>
      </c>
      <c r="CX2859" s="102" t="s">
        <v>30</v>
      </c>
    </row>
    <row r="2860" spans="96:102" ht="15" customHeight="1">
      <c r="CR2860" s="103" t="s">
        <v>163</v>
      </c>
      <c r="CX2860" s="102" t="s">
        <v>30</v>
      </c>
    </row>
    <row r="2861" spans="96:102" ht="15" customHeight="1">
      <c r="CR2861" s="103" t="s">
        <v>135</v>
      </c>
      <c r="CX2861" s="102" t="s">
        <v>30</v>
      </c>
    </row>
    <row r="2862" spans="96:102" ht="15" customHeight="1">
      <c r="CR2862" s="103" t="s">
        <v>1322</v>
      </c>
      <c r="CX2862" s="102" t="s">
        <v>30</v>
      </c>
    </row>
    <row r="2863" spans="96:102" ht="15" customHeight="1">
      <c r="CR2863" s="103" t="s">
        <v>1304</v>
      </c>
      <c r="CX2863" s="102" t="s">
        <v>30</v>
      </c>
    </row>
    <row r="2864" spans="96:102" ht="15" customHeight="1">
      <c r="CR2864" s="103" t="s">
        <v>1323</v>
      </c>
      <c r="CX2864" s="102" t="s">
        <v>30</v>
      </c>
    </row>
    <row r="2865" spans="96:102" ht="15" customHeight="1">
      <c r="CR2865" s="103" t="s">
        <v>1324</v>
      </c>
      <c r="CX2865" s="102" t="s">
        <v>30</v>
      </c>
    </row>
    <row r="2866" spans="96:102" ht="15" customHeight="1">
      <c r="CR2866" s="103" t="s">
        <v>1307</v>
      </c>
      <c r="CX2866" s="102" t="s">
        <v>30</v>
      </c>
    </row>
    <row r="2867" spans="96:102" ht="15" customHeight="1">
      <c r="CR2867" s="103" t="s">
        <v>1325</v>
      </c>
      <c r="CX2867" s="102" t="s">
        <v>30</v>
      </c>
    </row>
    <row r="2868" spans="96:102" ht="15" customHeight="1">
      <c r="CR2868" s="103" t="s">
        <v>1326</v>
      </c>
      <c r="CX2868" s="102" t="s">
        <v>30</v>
      </c>
    </row>
    <row r="2869" spans="96:102" ht="15" customHeight="1">
      <c r="CR2869" s="103" t="s">
        <v>1310</v>
      </c>
      <c r="CX2869" s="102" t="s">
        <v>30</v>
      </c>
    </row>
    <row r="2870" spans="96:102" ht="15" customHeight="1">
      <c r="CR2870" s="103" t="s">
        <v>1311</v>
      </c>
      <c r="CX2870" s="102" t="s">
        <v>30</v>
      </c>
    </row>
    <row r="2871" spans="96:102" ht="15" customHeight="1">
      <c r="CR2871" s="103" t="s">
        <v>1312</v>
      </c>
      <c r="CX2871" s="102" t="s">
        <v>30</v>
      </c>
    </row>
    <row r="2872" spans="96:102" ht="15" customHeight="1">
      <c r="CR2872" s="103" t="s">
        <v>163</v>
      </c>
      <c r="CX2872" s="102" t="s">
        <v>30</v>
      </c>
    </row>
    <row r="2873" spans="96:102" ht="15" customHeight="1">
      <c r="CR2873" s="103" t="s">
        <v>135</v>
      </c>
      <c r="CX2873" s="102" t="s">
        <v>30</v>
      </c>
    </row>
    <row r="2874" spans="96:102" ht="15" customHeight="1">
      <c r="CR2874" s="103" t="s">
        <v>1327</v>
      </c>
      <c r="CX2874" s="102" t="s">
        <v>30</v>
      </c>
    </row>
    <row r="2875" spans="96:102" ht="15" customHeight="1">
      <c r="CR2875" s="103" t="s">
        <v>1304</v>
      </c>
      <c r="CX2875" s="102" t="s">
        <v>30</v>
      </c>
    </row>
    <row r="2876" spans="96:102" ht="15" customHeight="1">
      <c r="CR2876" s="103" t="s">
        <v>1323</v>
      </c>
      <c r="CX2876" s="102" t="s">
        <v>30</v>
      </c>
    </row>
    <row r="2877" spans="96:102" ht="15" customHeight="1">
      <c r="CR2877" s="103" t="s">
        <v>1328</v>
      </c>
      <c r="CX2877" s="102" t="s">
        <v>30</v>
      </c>
    </row>
    <row r="2878" spans="96:102" ht="15" customHeight="1">
      <c r="CR2878" s="103" t="s">
        <v>1307</v>
      </c>
      <c r="CX2878" s="102" t="s">
        <v>30</v>
      </c>
    </row>
    <row r="2879" spans="96:102" ht="15" customHeight="1">
      <c r="CR2879" s="103" t="s">
        <v>1329</v>
      </c>
      <c r="CX2879" s="102" t="s">
        <v>30</v>
      </c>
    </row>
    <row r="2880" spans="96:102" ht="15" customHeight="1">
      <c r="CR2880" s="103" t="s">
        <v>1330</v>
      </c>
      <c r="CX2880" s="102" t="s">
        <v>30</v>
      </c>
    </row>
    <row r="2881" spans="96:102" ht="15" customHeight="1">
      <c r="CR2881" s="103" t="s">
        <v>1310</v>
      </c>
      <c r="CX2881" s="102" t="s">
        <v>30</v>
      </c>
    </row>
    <row r="2882" spans="96:102" ht="15" customHeight="1">
      <c r="CR2882" s="103" t="s">
        <v>1311</v>
      </c>
      <c r="CX2882" s="102" t="s">
        <v>30</v>
      </c>
    </row>
    <row r="2883" spans="96:102" ht="15" customHeight="1">
      <c r="CR2883" s="103" t="s">
        <v>1312</v>
      </c>
      <c r="CX2883" s="102" t="s">
        <v>30</v>
      </c>
    </row>
    <row r="2884" spans="96:102" ht="15" customHeight="1">
      <c r="CR2884" s="103" t="s">
        <v>163</v>
      </c>
      <c r="CX2884" s="102" t="s">
        <v>30</v>
      </c>
    </row>
    <row r="2885" spans="96:102" ht="15" customHeight="1">
      <c r="CR2885" s="103" t="s">
        <v>135</v>
      </c>
      <c r="CX2885" s="102" t="s">
        <v>30</v>
      </c>
    </row>
    <row r="2886" spans="96:102" ht="15" customHeight="1">
      <c r="CR2886" s="103" t="s">
        <v>1331</v>
      </c>
      <c r="CX2886" s="102" t="s">
        <v>30</v>
      </c>
    </row>
    <row r="2887" spans="96:102" ht="15" customHeight="1">
      <c r="CR2887" s="103" t="s">
        <v>1304</v>
      </c>
      <c r="CX2887" s="102" t="s">
        <v>30</v>
      </c>
    </row>
    <row r="2888" spans="96:102" ht="15" customHeight="1">
      <c r="CR2888" s="103" t="s">
        <v>1332</v>
      </c>
      <c r="CX2888" s="102" t="s">
        <v>30</v>
      </c>
    </row>
    <row r="2889" spans="96:102" ht="15" customHeight="1">
      <c r="CR2889" s="103" t="s">
        <v>1333</v>
      </c>
      <c r="CX2889" s="102" t="s">
        <v>30</v>
      </c>
    </row>
    <row r="2890" spans="96:102" ht="15" customHeight="1">
      <c r="CR2890" s="103" t="s">
        <v>1307</v>
      </c>
      <c r="CX2890" s="102" t="s">
        <v>30</v>
      </c>
    </row>
    <row r="2891" spans="96:102" ht="15" customHeight="1">
      <c r="CR2891" s="103" t="s">
        <v>1334</v>
      </c>
      <c r="CX2891" s="102" t="s">
        <v>30</v>
      </c>
    </row>
    <row r="2892" spans="96:102" ht="15" customHeight="1">
      <c r="CR2892" s="103" t="s">
        <v>1335</v>
      </c>
      <c r="CX2892" s="102" t="s">
        <v>30</v>
      </c>
    </row>
    <row r="2893" spans="96:102" ht="15" customHeight="1">
      <c r="CR2893" s="103" t="s">
        <v>1310</v>
      </c>
      <c r="CX2893" s="102" t="s">
        <v>30</v>
      </c>
    </row>
    <row r="2894" spans="96:102" ht="15" customHeight="1">
      <c r="CR2894" s="103" t="s">
        <v>1311</v>
      </c>
      <c r="CX2894" s="102" t="s">
        <v>30</v>
      </c>
    </row>
    <row r="2895" spans="96:102" ht="15" customHeight="1">
      <c r="CR2895" s="103" t="s">
        <v>1312</v>
      </c>
      <c r="CX2895" s="102" t="s">
        <v>30</v>
      </c>
    </row>
    <row r="2896" spans="96:102" ht="15" customHeight="1">
      <c r="CR2896" s="103" t="s">
        <v>163</v>
      </c>
      <c r="CX2896" s="102" t="s">
        <v>30</v>
      </c>
    </row>
    <row r="2897" spans="96:102" ht="15" customHeight="1">
      <c r="CR2897" s="103" t="s">
        <v>135</v>
      </c>
      <c r="CX2897" s="102" t="s">
        <v>30</v>
      </c>
    </row>
    <row r="2898" spans="96:102" ht="15" customHeight="1">
      <c r="CR2898" s="103" t="s">
        <v>1336</v>
      </c>
      <c r="CX2898" s="102" t="s">
        <v>30</v>
      </c>
    </row>
    <row r="2899" spans="96:102" ht="15" customHeight="1">
      <c r="CR2899" s="103" t="s">
        <v>1304</v>
      </c>
      <c r="CX2899" s="102" t="s">
        <v>30</v>
      </c>
    </row>
    <row r="2900" spans="96:102" ht="15" customHeight="1">
      <c r="CR2900" s="103" t="s">
        <v>1337</v>
      </c>
      <c r="CX2900" s="102" t="s">
        <v>30</v>
      </c>
    </row>
    <row r="2901" spans="96:102" ht="15" customHeight="1">
      <c r="CR2901" s="103" t="s">
        <v>1338</v>
      </c>
      <c r="CX2901" s="102" t="s">
        <v>30</v>
      </c>
    </row>
    <row r="2902" spans="96:102" ht="15" customHeight="1">
      <c r="CR2902" s="103" t="s">
        <v>1339</v>
      </c>
      <c r="CX2902" s="102" t="s">
        <v>30</v>
      </c>
    </row>
    <row r="2903" spans="96:102" ht="15" customHeight="1">
      <c r="CR2903" s="103" t="s">
        <v>1320</v>
      </c>
      <c r="CX2903" s="102" t="s">
        <v>30</v>
      </c>
    </row>
    <row r="2904" spans="96:102" ht="15" customHeight="1">
      <c r="CR2904" s="103" t="s">
        <v>1340</v>
      </c>
      <c r="CX2904" s="102" t="s">
        <v>30</v>
      </c>
    </row>
    <row r="2905" spans="96:102" ht="15" customHeight="1">
      <c r="CR2905" s="103" t="s">
        <v>1310</v>
      </c>
      <c r="CX2905" s="102" t="s">
        <v>30</v>
      </c>
    </row>
    <row r="2906" spans="96:102" ht="15" customHeight="1">
      <c r="CR2906" s="103" t="s">
        <v>1311</v>
      </c>
      <c r="CX2906" s="102" t="s">
        <v>30</v>
      </c>
    </row>
    <row r="2907" spans="96:102" ht="15" customHeight="1">
      <c r="CR2907" s="103" t="s">
        <v>1312</v>
      </c>
      <c r="CX2907" s="102" t="s">
        <v>30</v>
      </c>
    </row>
    <row r="2908" spans="96:102" ht="15" customHeight="1">
      <c r="CR2908" s="103" t="s">
        <v>163</v>
      </c>
      <c r="CX2908" s="102" t="s">
        <v>30</v>
      </c>
    </row>
    <row r="2909" spans="96:102" ht="15" customHeight="1">
      <c r="CR2909" s="103" t="s">
        <v>135</v>
      </c>
      <c r="CX2909" s="102" t="s">
        <v>30</v>
      </c>
    </row>
    <row r="2910" spans="96:102" ht="15" customHeight="1">
      <c r="CR2910" s="103" t="s">
        <v>1341</v>
      </c>
      <c r="CX2910" s="102" t="s">
        <v>30</v>
      </c>
    </row>
    <row r="2911" spans="96:102" ht="15" customHeight="1">
      <c r="CR2911" s="103" t="s">
        <v>1304</v>
      </c>
      <c r="CX2911" s="102" t="s">
        <v>30</v>
      </c>
    </row>
    <row r="2912" spans="96:102" ht="15" customHeight="1">
      <c r="CR2912" s="103" t="s">
        <v>1342</v>
      </c>
      <c r="CX2912" s="102" t="s">
        <v>30</v>
      </c>
    </row>
    <row r="2913" spans="96:102" ht="15" customHeight="1">
      <c r="CR2913" s="103" t="s">
        <v>1343</v>
      </c>
      <c r="CX2913" s="102" t="s">
        <v>30</v>
      </c>
    </row>
    <row r="2914" spans="96:102" ht="15" customHeight="1">
      <c r="CR2914" s="103" t="s">
        <v>1316</v>
      </c>
      <c r="CX2914" s="102" t="s">
        <v>30</v>
      </c>
    </row>
    <row r="2915" spans="96:102" ht="15" customHeight="1">
      <c r="CR2915" s="103" t="s">
        <v>1344</v>
      </c>
      <c r="CX2915" s="102" t="s">
        <v>30</v>
      </c>
    </row>
    <row r="2916" spans="96:102" ht="15" customHeight="1">
      <c r="CR2916" s="103" t="s">
        <v>1345</v>
      </c>
      <c r="CX2916" s="102" t="s">
        <v>30</v>
      </c>
    </row>
    <row r="2917" spans="96:102" ht="15" customHeight="1">
      <c r="CR2917" s="103" t="s">
        <v>1310</v>
      </c>
      <c r="CX2917" s="102" t="s">
        <v>30</v>
      </c>
    </row>
    <row r="2918" spans="96:102" ht="15" customHeight="1">
      <c r="CR2918" s="103" t="s">
        <v>1346</v>
      </c>
      <c r="CX2918" s="102" t="s">
        <v>30</v>
      </c>
    </row>
    <row r="2919" spans="96:102" ht="15" customHeight="1">
      <c r="CR2919" s="103" t="s">
        <v>1312</v>
      </c>
      <c r="CX2919" s="102" t="s">
        <v>30</v>
      </c>
    </row>
    <row r="2920" spans="96:102" ht="15" customHeight="1">
      <c r="CR2920" s="103" t="s">
        <v>163</v>
      </c>
      <c r="CX2920" s="102" t="s">
        <v>30</v>
      </c>
    </row>
    <row r="2921" spans="96:102" ht="15" customHeight="1">
      <c r="CR2921" s="103" t="s">
        <v>135</v>
      </c>
      <c r="CX2921" s="102" t="s">
        <v>30</v>
      </c>
    </row>
    <row r="2922" spans="96:102" ht="15" customHeight="1">
      <c r="CR2922" s="103" t="s">
        <v>1347</v>
      </c>
      <c r="CX2922" s="102" t="s">
        <v>30</v>
      </c>
    </row>
    <row r="2923" spans="96:102" ht="15" customHeight="1">
      <c r="CR2923" s="103" t="s">
        <v>1304</v>
      </c>
      <c r="CX2923" s="102" t="s">
        <v>30</v>
      </c>
    </row>
    <row r="2924" spans="96:102" ht="15" customHeight="1">
      <c r="CR2924" s="103" t="s">
        <v>1342</v>
      </c>
      <c r="CX2924" s="102" t="s">
        <v>30</v>
      </c>
    </row>
    <row r="2925" spans="96:102" ht="15" customHeight="1">
      <c r="CR2925" s="103" t="s">
        <v>1348</v>
      </c>
      <c r="CX2925" s="102" t="s">
        <v>30</v>
      </c>
    </row>
    <row r="2926" spans="96:102" ht="15" customHeight="1">
      <c r="CR2926" s="103" t="s">
        <v>1316</v>
      </c>
      <c r="CX2926" s="102" t="s">
        <v>30</v>
      </c>
    </row>
    <row r="2927" spans="96:102" ht="15" customHeight="1">
      <c r="CR2927" s="103" t="s">
        <v>1349</v>
      </c>
      <c r="CX2927" s="102" t="s">
        <v>30</v>
      </c>
    </row>
    <row r="2928" spans="96:102" ht="15" customHeight="1">
      <c r="CR2928" s="103" t="s">
        <v>1350</v>
      </c>
      <c r="CX2928" s="102" t="s">
        <v>30</v>
      </c>
    </row>
    <row r="2929" spans="96:102" ht="15" customHeight="1">
      <c r="CR2929" s="103" t="s">
        <v>1310</v>
      </c>
      <c r="CX2929" s="102" t="s">
        <v>30</v>
      </c>
    </row>
    <row r="2930" spans="96:102" ht="15" customHeight="1">
      <c r="CR2930" s="103" t="s">
        <v>1346</v>
      </c>
      <c r="CX2930" s="102" t="s">
        <v>30</v>
      </c>
    </row>
    <row r="2931" spans="96:102" ht="15" customHeight="1">
      <c r="CR2931" s="103" t="s">
        <v>1312</v>
      </c>
      <c r="CX2931" s="102" t="s">
        <v>30</v>
      </c>
    </row>
    <row r="2932" spans="96:102" ht="15" customHeight="1">
      <c r="CR2932" s="103" t="s">
        <v>163</v>
      </c>
      <c r="CX2932" s="102" t="s">
        <v>30</v>
      </c>
    </row>
    <row r="2933" spans="96:102" ht="15" customHeight="1">
      <c r="CR2933" s="103" t="s">
        <v>135</v>
      </c>
      <c r="CX2933" s="102" t="s">
        <v>30</v>
      </c>
    </row>
    <row r="2934" spans="96:102" ht="15" customHeight="1">
      <c r="CR2934" s="103" t="s">
        <v>1351</v>
      </c>
      <c r="CX2934" s="102" t="s">
        <v>30</v>
      </c>
    </row>
    <row r="2935" spans="96:102" ht="15" customHeight="1">
      <c r="CR2935" s="103" t="s">
        <v>1352</v>
      </c>
      <c r="CX2935" s="102" t="s">
        <v>30</v>
      </c>
    </row>
    <row r="2936" spans="96:102" ht="15" customHeight="1">
      <c r="CR2936" s="103" t="s">
        <v>1353</v>
      </c>
      <c r="CX2936" s="102" t="s">
        <v>30</v>
      </c>
    </row>
    <row r="2937" spans="96:102" ht="15" customHeight="1">
      <c r="CR2937" s="103" t="s">
        <v>1354</v>
      </c>
      <c r="CX2937" s="102" t="s">
        <v>30</v>
      </c>
    </row>
    <row r="2938" spans="96:102" ht="15" customHeight="1">
      <c r="CR2938" s="103" t="s">
        <v>1316</v>
      </c>
      <c r="CX2938" s="102" t="s">
        <v>30</v>
      </c>
    </row>
    <row r="2939" spans="96:102" ht="15" customHeight="1">
      <c r="CR2939" s="103" t="s">
        <v>1317</v>
      </c>
      <c r="CX2939" s="102" t="s">
        <v>30</v>
      </c>
    </row>
    <row r="2940" spans="96:102" ht="15" customHeight="1">
      <c r="CR2940" s="103" t="s">
        <v>1309</v>
      </c>
      <c r="CX2940" s="102" t="s">
        <v>30</v>
      </c>
    </row>
    <row r="2941" spans="96:102" ht="15" customHeight="1">
      <c r="CR2941" s="103" t="s">
        <v>1310</v>
      </c>
      <c r="CX2941" s="102" t="s">
        <v>30</v>
      </c>
    </row>
    <row r="2942" spans="96:102" ht="15" customHeight="1">
      <c r="CR2942" s="103" t="s">
        <v>1311</v>
      </c>
      <c r="CX2942" s="102" t="s">
        <v>30</v>
      </c>
    </row>
    <row r="2943" spans="96:102" ht="15" customHeight="1">
      <c r="CR2943" s="103" t="s">
        <v>1312</v>
      </c>
      <c r="CX2943" s="102" t="s">
        <v>30</v>
      </c>
    </row>
    <row r="2944" spans="96:102" ht="15" customHeight="1">
      <c r="CR2944" s="103" t="s">
        <v>163</v>
      </c>
      <c r="CX2944" s="102" t="s">
        <v>30</v>
      </c>
    </row>
    <row r="2945" spans="96:102" ht="15" customHeight="1">
      <c r="CR2945" s="103" t="s">
        <v>135</v>
      </c>
      <c r="CX2945" s="102" t="s">
        <v>30</v>
      </c>
    </row>
    <row r="2946" spans="96:102" ht="15" customHeight="1">
      <c r="CR2946" s="103" t="s">
        <v>1355</v>
      </c>
      <c r="CX2946" s="102" t="s">
        <v>30</v>
      </c>
    </row>
    <row r="2947" spans="96:102" ht="15" customHeight="1">
      <c r="CR2947" s="103" t="s">
        <v>1356</v>
      </c>
      <c r="CX2947" s="102" t="s">
        <v>30</v>
      </c>
    </row>
    <row r="2948" spans="96:102" ht="15" customHeight="1">
      <c r="CR2948" s="103" t="s">
        <v>1357</v>
      </c>
      <c r="CX2948" s="102" t="s">
        <v>30</v>
      </c>
    </row>
    <row r="2949" spans="96:102" ht="15" customHeight="1">
      <c r="CR2949" s="103" t="s">
        <v>1354</v>
      </c>
      <c r="CX2949" s="102" t="s">
        <v>30</v>
      </c>
    </row>
    <row r="2950" spans="96:102" ht="15" customHeight="1">
      <c r="CR2950" s="103" t="s">
        <v>1358</v>
      </c>
      <c r="CX2950" s="102" t="s">
        <v>30</v>
      </c>
    </row>
    <row r="2951" spans="96:102" ht="15" customHeight="1">
      <c r="CR2951" s="103" t="s">
        <v>1359</v>
      </c>
      <c r="CX2951" s="102" t="s">
        <v>30</v>
      </c>
    </row>
    <row r="2952" spans="96:102" ht="15" customHeight="1">
      <c r="CR2952" s="103" t="s">
        <v>1360</v>
      </c>
      <c r="CX2952" s="102" t="s">
        <v>30</v>
      </c>
    </row>
    <row r="2953" spans="96:102" ht="15" customHeight="1">
      <c r="CR2953" s="103" t="s">
        <v>1310</v>
      </c>
      <c r="CX2953" s="102" t="s">
        <v>30</v>
      </c>
    </row>
    <row r="2954" spans="96:102" ht="15" customHeight="1">
      <c r="CR2954" s="103" t="s">
        <v>1346</v>
      </c>
      <c r="CX2954" s="102" t="s">
        <v>30</v>
      </c>
    </row>
    <row r="2955" spans="96:102" ht="15" customHeight="1">
      <c r="CR2955" s="103" t="s">
        <v>1312</v>
      </c>
      <c r="CX2955" s="102" t="s">
        <v>30</v>
      </c>
    </row>
    <row r="2956" spans="96:102" ht="15" customHeight="1">
      <c r="CR2956" s="103" t="s">
        <v>262</v>
      </c>
      <c r="CX2956" s="102" t="s">
        <v>30</v>
      </c>
    </row>
    <row r="2957" spans="96:102" ht="15" customHeight="1">
      <c r="CR2957" s="103" t="s">
        <v>265</v>
      </c>
      <c r="CX2957" s="102" t="s">
        <v>30</v>
      </c>
    </row>
    <row r="2958" spans="96:102" ht="15" customHeight="1">
      <c r="CR2958" s="103" t="s">
        <v>109</v>
      </c>
      <c r="CX2958" s="102" t="s">
        <v>30</v>
      </c>
    </row>
    <row r="2959" spans="96:102" ht="15" customHeight="1">
      <c r="CR2959" s="103" t="s">
        <v>1361</v>
      </c>
      <c r="CX2959" s="102" t="s">
        <v>30</v>
      </c>
    </row>
    <row r="2960" spans="96:102" ht="15" customHeight="1">
      <c r="CR2960" s="103" t="s">
        <v>1362</v>
      </c>
      <c r="CX2960" s="102" t="s">
        <v>30</v>
      </c>
    </row>
    <row r="2961" spans="96:102" ht="15" customHeight="1">
      <c r="CR2961" s="103" t="s">
        <v>1363</v>
      </c>
      <c r="CX2961" s="102" t="s">
        <v>30</v>
      </c>
    </row>
    <row r="2962" spans="96:102" ht="15" customHeight="1">
      <c r="CR2962" s="103" t="s">
        <v>109</v>
      </c>
      <c r="CX2962" s="102" t="s">
        <v>30</v>
      </c>
    </row>
    <row r="2963" spans="96:102" ht="15" customHeight="1">
      <c r="CR2963" s="103" t="s">
        <v>1364</v>
      </c>
      <c r="CX2963" s="102" t="s">
        <v>30</v>
      </c>
    </row>
    <row r="2964" spans="96:102" ht="15" customHeight="1">
      <c r="CR2964" s="103" t="s">
        <v>1365</v>
      </c>
      <c r="CX2964" s="102" t="s">
        <v>30</v>
      </c>
    </row>
    <row r="2965" spans="96:102" ht="15" customHeight="1">
      <c r="CR2965" s="103" t="s">
        <v>1366</v>
      </c>
      <c r="CX2965" s="102" t="s">
        <v>30</v>
      </c>
    </row>
    <row r="2966" spans="96:102" ht="15" customHeight="1">
      <c r="CR2966" s="103" t="s">
        <v>1367</v>
      </c>
      <c r="CX2966" s="102" t="s">
        <v>30</v>
      </c>
    </row>
    <row r="2967" spans="96:102" ht="15" customHeight="1">
      <c r="CR2967" s="103" t="s">
        <v>1368</v>
      </c>
      <c r="CX2967" s="102" t="s">
        <v>30</v>
      </c>
    </row>
    <row r="2968" spans="96:102" ht="15" customHeight="1">
      <c r="CX2968" s="102" t="s">
        <v>30</v>
      </c>
    </row>
    <row r="2969" spans="96:102" ht="15" customHeight="1">
      <c r="CX2969" s="102" t="s">
        <v>30</v>
      </c>
    </row>
    <row r="2970" spans="96:102" ht="15" customHeight="1">
      <c r="CX2970" s="102" t="s">
        <v>30</v>
      </c>
    </row>
    <row r="2971" spans="96:102" ht="15" customHeight="1">
      <c r="CX2971" s="102" t="s">
        <v>30</v>
      </c>
    </row>
    <row r="2972" spans="96:102" ht="15" customHeight="1">
      <c r="CX2972" s="102" t="s">
        <v>30</v>
      </c>
    </row>
    <row r="2973" spans="96:102" ht="15" customHeight="1">
      <c r="CX2973" s="102" t="s">
        <v>30</v>
      </c>
    </row>
    <row r="2974" spans="96:102" ht="15" customHeight="1">
      <c r="CX2974" s="102" t="s">
        <v>30</v>
      </c>
    </row>
    <row r="2975" spans="96:102" ht="15" customHeight="1">
      <c r="CX2975" s="102" t="s">
        <v>30</v>
      </c>
    </row>
    <row r="2976" spans="96:102" ht="15" customHeight="1">
      <c r="CX2976" s="102" t="s">
        <v>30</v>
      </c>
    </row>
  </sheetData>
  <mergeCells count="3187">
    <mergeCell ref="AF8:AG9"/>
    <mergeCell ref="AH8:AI9"/>
    <mergeCell ref="AJ8:AK9"/>
    <mergeCell ref="AL8:AM9"/>
    <mergeCell ref="F8:K8"/>
    <mergeCell ref="L8:P8"/>
    <mergeCell ref="Q8:R9"/>
    <mergeCell ref="S8:T9"/>
    <mergeCell ref="U8:V9"/>
    <mergeCell ref="W8:X9"/>
    <mergeCell ref="AN1:AO1"/>
    <mergeCell ref="BJ7:BM7"/>
    <mergeCell ref="BW7:BX9"/>
    <mergeCell ref="BY7:BZ9"/>
    <mergeCell ref="CA7:CB9"/>
    <mergeCell ref="CM7:CP7"/>
    <mergeCell ref="AN8:AO9"/>
    <mergeCell ref="AP8:AQ9"/>
    <mergeCell ref="AR8:AS9"/>
    <mergeCell ref="AT8:AW8"/>
    <mergeCell ref="AD8:AE9"/>
    <mergeCell ref="B10:E10"/>
    <mergeCell ref="F10:K10"/>
    <mergeCell ref="L10:P10"/>
    <mergeCell ref="Q10:R10"/>
    <mergeCell ref="S10:T10"/>
    <mergeCell ref="U10:V10"/>
    <mergeCell ref="CG8:CH9"/>
    <mergeCell ref="CI8:CJ9"/>
    <mergeCell ref="CK8:CL9"/>
    <mergeCell ref="CM8:CN9"/>
    <mergeCell ref="CO8:CP9"/>
    <mergeCell ref="F9:K9"/>
    <mergeCell ref="L9:P9"/>
    <mergeCell ref="AT9:AU9"/>
    <mergeCell ref="AV9:AW9"/>
    <mergeCell ref="BD9:BE9"/>
    <mergeCell ref="BN8:BP9"/>
    <mergeCell ref="BQ8:BR9"/>
    <mergeCell ref="BS8:BT9"/>
    <mergeCell ref="BU8:BV9"/>
    <mergeCell ref="CC8:CC9"/>
    <mergeCell ref="CD8:CF9"/>
    <mergeCell ref="AX8:AY9"/>
    <mergeCell ref="AZ8:BA9"/>
    <mergeCell ref="BB8:BC9"/>
    <mergeCell ref="BD8:BI8"/>
    <mergeCell ref="BJ8:BK9"/>
    <mergeCell ref="BL8:BM9"/>
    <mergeCell ref="BF9:BG9"/>
    <mergeCell ref="BH9:BI9"/>
    <mergeCell ref="Y8:AA9"/>
    <mergeCell ref="AB8:AC9"/>
    <mergeCell ref="BB10:BC10"/>
    <mergeCell ref="BD10:BE10"/>
    <mergeCell ref="BF10:BG10"/>
    <mergeCell ref="BH10:BI10"/>
    <mergeCell ref="AL10:AM10"/>
    <mergeCell ref="AN10:AO10"/>
    <mergeCell ref="AP10:AQ10"/>
    <mergeCell ref="AR10:AS10"/>
    <mergeCell ref="AT10:AU10"/>
    <mergeCell ref="AV10:AW10"/>
    <mergeCell ref="W10:X10"/>
    <mergeCell ref="Y10:AA10"/>
    <mergeCell ref="AB10:AC10"/>
    <mergeCell ref="AF10:AG10"/>
    <mergeCell ref="AH10:AI129"/>
    <mergeCell ref="AJ10:AK10"/>
    <mergeCell ref="Y11:AA11"/>
    <mergeCell ref="AB11:AC11"/>
    <mergeCell ref="AF11:AG11"/>
    <mergeCell ref="AJ11:AK11"/>
    <mergeCell ref="AJ20:AK20"/>
    <mergeCell ref="AL20:AM20"/>
    <mergeCell ref="BF34:BG34"/>
    <mergeCell ref="BH34:BI34"/>
    <mergeCell ref="BF40:BG40"/>
    <mergeCell ref="BH40:BI40"/>
    <mergeCell ref="BF46:BG46"/>
    <mergeCell ref="BH46:BI46"/>
    <mergeCell ref="BF52:BG52"/>
    <mergeCell ref="BH52:BI52"/>
    <mergeCell ref="BF58:BG58"/>
    <mergeCell ref="BH58:BI58"/>
    <mergeCell ref="CK10:CL10"/>
    <mergeCell ref="CM10:CN10"/>
    <mergeCell ref="CO10:CP10"/>
    <mergeCell ref="B11:E11"/>
    <mergeCell ref="F11:K11"/>
    <mergeCell ref="L11:P11"/>
    <mergeCell ref="Q11:R11"/>
    <mergeCell ref="S11:T11"/>
    <mergeCell ref="U11:V11"/>
    <mergeCell ref="W11:X11"/>
    <mergeCell ref="BW10:BX22"/>
    <mergeCell ref="BY10:BZ22"/>
    <mergeCell ref="CA10:CB22"/>
    <mergeCell ref="CD10:CF10"/>
    <mergeCell ref="CG10:CH10"/>
    <mergeCell ref="CI10:CJ10"/>
    <mergeCell ref="CD11:CF11"/>
    <mergeCell ref="CG11:CH11"/>
    <mergeCell ref="CI11:CJ11"/>
    <mergeCell ref="CI13:CJ13"/>
    <mergeCell ref="BJ10:BK129"/>
    <mergeCell ref="BL10:BM129"/>
    <mergeCell ref="BN10:BP10"/>
    <mergeCell ref="BQ10:BR10"/>
    <mergeCell ref="BS10:BT10"/>
    <mergeCell ref="BU10:BV10"/>
    <mergeCell ref="BN11:BP11"/>
    <mergeCell ref="BQ11:BR11"/>
    <mergeCell ref="BS11:BT11"/>
    <mergeCell ref="BU11:BV11"/>
    <mergeCell ref="AX10:AY10"/>
    <mergeCell ref="AZ10:BA10"/>
    <mergeCell ref="CK11:CL11"/>
    <mergeCell ref="CM11:CN11"/>
    <mergeCell ref="CO11:CP11"/>
    <mergeCell ref="B12:E12"/>
    <mergeCell ref="F12:K12"/>
    <mergeCell ref="L12:P12"/>
    <mergeCell ref="Q12:R12"/>
    <mergeCell ref="S12:T12"/>
    <mergeCell ref="U12:V12"/>
    <mergeCell ref="W12:X12"/>
    <mergeCell ref="AX11:AY11"/>
    <mergeCell ref="AZ11:BA11"/>
    <mergeCell ref="BB11:BC11"/>
    <mergeCell ref="BD11:BE11"/>
    <mergeCell ref="BF11:BG11"/>
    <mergeCell ref="BH11:BI11"/>
    <mergeCell ref="AL11:AM11"/>
    <mergeCell ref="AN11:AO11"/>
    <mergeCell ref="AP11:AQ11"/>
    <mergeCell ref="AR11:AS11"/>
    <mergeCell ref="AT11:AU11"/>
    <mergeCell ref="AV11:AW11"/>
    <mergeCell ref="BS12:BT12"/>
    <mergeCell ref="BU12:BV12"/>
    <mergeCell ref="CD12:CF12"/>
    <mergeCell ref="CM12:CN12"/>
    <mergeCell ref="CO12:CP12"/>
    <mergeCell ref="L13:P13"/>
    <mergeCell ref="Q13:R13"/>
    <mergeCell ref="S13:T13"/>
    <mergeCell ref="BB12:BC12"/>
    <mergeCell ref="BD12:BE12"/>
    <mergeCell ref="BF12:BG12"/>
    <mergeCell ref="BH12:BI12"/>
    <mergeCell ref="BN12:BP12"/>
    <mergeCell ref="BQ12:BR12"/>
    <mergeCell ref="AP12:AQ12"/>
    <mergeCell ref="AR12:AS12"/>
    <mergeCell ref="AT12:AU12"/>
    <mergeCell ref="AV12:AW12"/>
    <mergeCell ref="AX12:AY12"/>
    <mergeCell ref="AZ12:BA12"/>
    <mergeCell ref="Y12:AA12"/>
    <mergeCell ref="AB12:AC12"/>
    <mergeCell ref="AF12:AG12"/>
    <mergeCell ref="AJ12:AK12"/>
    <mergeCell ref="AL12:AM12"/>
    <mergeCell ref="AN12:AO12"/>
    <mergeCell ref="B14:E14"/>
    <mergeCell ref="F14:K14"/>
    <mergeCell ref="L14:P14"/>
    <mergeCell ref="Q14:R14"/>
    <mergeCell ref="S14:T14"/>
    <mergeCell ref="U14:V14"/>
    <mergeCell ref="BN13:BP13"/>
    <mergeCell ref="BQ13:BR13"/>
    <mergeCell ref="BS13:BT13"/>
    <mergeCell ref="BU13:BV13"/>
    <mergeCell ref="CD13:CF13"/>
    <mergeCell ref="CG13:CH13"/>
    <mergeCell ref="AX13:AY13"/>
    <mergeCell ref="AZ13:BA13"/>
    <mergeCell ref="BB13:BC13"/>
    <mergeCell ref="BD13:BE13"/>
    <mergeCell ref="BF13:BG13"/>
    <mergeCell ref="BH13:BI13"/>
    <mergeCell ref="AL13:AM13"/>
    <mergeCell ref="AN13:AO13"/>
    <mergeCell ref="AP13:AQ13"/>
    <mergeCell ref="AR13:AS13"/>
    <mergeCell ref="AT13:AU13"/>
    <mergeCell ref="AV13:AW13"/>
    <mergeCell ref="U13:V13"/>
    <mergeCell ref="W13:X13"/>
    <mergeCell ref="Y13:AA13"/>
    <mergeCell ref="AB13:AC13"/>
    <mergeCell ref="AF13:AG13"/>
    <mergeCell ref="AJ13:AK13"/>
    <mergeCell ref="B13:E13"/>
    <mergeCell ref="F13:K13"/>
    <mergeCell ref="L15:P15"/>
    <mergeCell ref="Q15:R15"/>
    <mergeCell ref="S15:T15"/>
    <mergeCell ref="U15:V15"/>
    <mergeCell ref="BQ14:BR14"/>
    <mergeCell ref="BS14:BT14"/>
    <mergeCell ref="BU14:BV14"/>
    <mergeCell ref="CD14:CF14"/>
    <mergeCell ref="CG14:CH14"/>
    <mergeCell ref="CI14:CJ14"/>
    <mergeCell ref="AZ14:BA14"/>
    <mergeCell ref="BB14:BC14"/>
    <mergeCell ref="BD14:BE14"/>
    <mergeCell ref="BF14:BG14"/>
    <mergeCell ref="BH14:BI14"/>
    <mergeCell ref="BN14:BP14"/>
    <mergeCell ref="AN14:AO14"/>
    <mergeCell ref="AP14:AQ14"/>
    <mergeCell ref="AR14:AS14"/>
    <mergeCell ref="AT14:AU14"/>
    <mergeCell ref="AV14:AW14"/>
    <mergeCell ref="AX14:AY14"/>
    <mergeCell ref="W14:X14"/>
    <mergeCell ref="Y14:AA14"/>
    <mergeCell ref="AB14:AC14"/>
    <mergeCell ref="AF14:AG14"/>
    <mergeCell ref="AJ14:AK14"/>
    <mergeCell ref="AL14:AM14"/>
    <mergeCell ref="B16:E16"/>
    <mergeCell ref="F16:K16"/>
    <mergeCell ref="L16:P16"/>
    <mergeCell ref="Q16:R16"/>
    <mergeCell ref="S16:T16"/>
    <mergeCell ref="U16:V16"/>
    <mergeCell ref="BQ15:BR15"/>
    <mergeCell ref="BS15:BT15"/>
    <mergeCell ref="BU15:BV15"/>
    <mergeCell ref="CD15:CF15"/>
    <mergeCell ref="CG15:CH15"/>
    <mergeCell ref="CI15:CJ15"/>
    <mergeCell ref="AZ15:BA15"/>
    <mergeCell ref="BB15:BC15"/>
    <mergeCell ref="BD15:BE15"/>
    <mergeCell ref="BF15:BG15"/>
    <mergeCell ref="BH15:BI15"/>
    <mergeCell ref="BN15:BP15"/>
    <mergeCell ref="AN15:AO15"/>
    <mergeCell ref="AP15:AQ15"/>
    <mergeCell ref="AR15:AS15"/>
    <mergeCell ref="AT15:AU15"/>
    <mergeCell ref="AV15:AW15"/>
    <mergeCell ref="AX15:AY15"/>
    <mergeCell ref="W15:X15"/>
    <mergeCell ref="Y15:AA15"/>
    <mergeCell ref="AB15:AC15"/>
    <mergeCell ref="AF15:AG15"/>
    <mergeCell ref="AJ15:AK15"/>
    <mergeCell ref="AL15:AM15"/>
    <mergeCell ref="B15:E15"/>
    <mergeCell ref="F15:K15"/>
    <mergeCell ref="Q17:R17"/>
    <mergeCell ref="S17:T17"/>
    <mergeCell ref="U17:V17"/>
    <mergeCell ref="BQ16:BR16"/>
    <mergeCell ref="BS16:BT16"/>
    <mergeCell ref="BU16:BV16"/>
    <mergeCell ref="CD16:CF16"/>
    <mergeCell ref="CG16:CH16"/>
    <mergeCell ref="CI16:CJ16"/>
    <mergeCell ref="AZ16:BA16"/>
    <mergeCell ref="BB16:BC16"/>
    <mergeCell ref="BD16:BE16"/>
    <mergeCell ref="BF16:BG16"/>
    <mergeCell ref="BH16:BI16"/>
    <mergeCell ref="BN16:BP16"/>
    <mergeCell ref="AN16:AO16"/>
    <mergeCell ref="AP16:AQ16"/>
    <mergeCell ref="AR16:AS16"/>
    <mergeCell ref="AT16:AU16"/>
    <mergeCell ref="AV16:AW16"/>
    <mergeCell ref="AX16:AY16"/>
    <mergeCell ref="W16:X16"/>
    <mergeCell ref="Y16:AA16"/>
    <mergeCell ref="AB16:AC16"/>
    <mergeCell ref="AF16:AG16"/>
    <mergeCell ref="AJ16:AK16"/>
    <mergeCell ref="AL16:AM16"/>
    <mergeCell ref="BS17:BT17"/>
    <mergeCell ref="BU17:BV17"/>
    <mergeCell ref="CD17:CF17"/>
    <mergeCell ref="CD19:CF19"/>
    <mergeCell ref="CK19:CL19"/>
    <mergeCell ref="CM19:CN19"/>
    <mergeCell ref="CO19:CP19"/>
    <mergeCell ref="B18:E18"/>
    <mergeCell ref="F18:K18"/>
    <mergeCell ref="L18:P18"/>
    <mergeCell ref="Q18:R18"/>
    <mergeCell ref="S18:T18"/>
    <mergeCell ref="U18:V18"/>
    <mergeCell ref="W18:X18"/>
    <mergeCell ref="AZ17:BA17"/>
    <mergeCell ref="BB17:BC17"/>
    <mergeCell ref="BD17:BE17"/>
    <mergeCell ref="BF17:BG17"/>
    <mergeCell ref="BH17:BI17"/>
    <mergeCell ref="BQ17:BR17"/>
    <mergeCell ref="AN17:AO17"/>
    <mergeCell ref="AP17:AQ17"/>
    <mergeCell ref="AR17:AS17"/>
    <mergeCell ref="AT17:AU17"/>
    <mergeCell ref="AV17:AW17"/>
    <mergeCell ref="AX17:AY17"/>
    <mergeCell ref="W17:X17"/>
    <mergeCell ref="Y17:AA17"/>
    <mergeCell ref="AB17:AC17"/>
    <mergeCell ref="AF17:AG17"/>
    <mergeCell ref="AJ17:AK17"/>
    <mergeCell ref="AL17:AM17"/>
    <mergeCell ref="B17:E17"/>
    <mergeCell ref="F17:K17"/>
    <mergeCell ref="L17:P17"/>
    <mergeCell ref="BB18:BC18"/>
    <mergeCell ref="BD18:BE18"/>
    <mergeCell ref="BF18:BG18"/>
    <mergeCell ref="BH18:BI18"/>
    <mergeCell ref="CD18:CF18"/>
    <mergeCell ref="CK18:CP18"/>
    <mergeCell ref="AP18:AQ18"/>
    <mergeCell ref="AR18:AS18"/>
    <mergeCell ref="AT18:AU18"/>
    <mergeCell ref="AV18:AW18"/>
    <mergeCell ref="AX18:AY18"/>
    <mergeCell ref="AZ18:BA18"/>
    <mergeCell ref="Y18:AA18"/>
    <mergeCell ref="AB18:AC18"/>
    <mergeCell ref="AF18:AG18"/>
    <mergeCell ref="AJ18:AK18"/>
    <mergeCell ref="AL18:AM18"/>
    <mergeCell ref="AN18:AO18"/>
    <mergeCell ref="B20:E20"/>
    <mergeCell ref="F20:K20"/>
    <mergeCell ref="L20:P20"/>
    <mergeCell ref="Q20:R20"/>
    <mergeCell ref="S20:T20"/>
    <mergeCell ref="U20:V20"/>
    <mergeCell ref="AZ19:BA19"/>
    <mergeCell ref="BB19:BC19"/>
    <mergeCell ref="BD19:BE19"/>
    <mergeCell ref="BF19:BG19"/>
    <mergeCell ref="BH19:BI19"/>
    <mergeCell ref="BN19:BV19"/>
    <mergeCell ref="AN19:AO19"/>
    <mergeCell ref="AP19:AQ19"/>
    <mergeCell ref="AR19:AS19"/>
    <mergeCell ref="AT19:AU19"/>
    <mergeCell ref="AV19:AW19"/>
    <mergeCell ref="AX19:AY19"/>
    <mergeCell ref="W19:X19"/>
    <mergeCell ref="Y19:AA19"/>
    <mergeCell ref="AB19:AC19"/>
    <mergeCell ref="AF19:AG19"/>
    <mergeCell ref="AJ19:AK19"/>
    <mergeCell ref="AL19:AM19"/>
    <mergeCell ref="B19:E19"/>
    <mergeCell ref="F19:K19"/>
    <mergeCell ref="L19:P19"/>
    <mergeCell ref="Q19:R19"/>
    <mergeCell ref="S19:T19"/>
    <mergeCell ref="U19:V19"/>
    <mergeCell ref="CO20:CP20"/>
    <mergeCell ref="B21:E21"/>
    <mergeCell ref="F21:K21"/>
    <mergeCell ref="L21:P21"/>
    <mergeCell ref="Q21:R21"/>
    <mergeCell ref="S21:T21"/>
    <mergeCell ref="U21:V21"/>
    <mergeCell ref="W21:X21"/>
    <mergeCell ref="Y21:AA21"/>
    <mergeCell ref="AB21:AC21"/>
    <mergeCell ref="BQ20:BR20"/>
    <mergeCell ref="BS20:BT20"/>
    <mergeCell ref="BU20:BV20"/>
    <mergeCell ref="CD20:CF20"/>
    <mergeCell ref="CK20:CL20"/>
    <mergeCell ref="CM20:CN20"/>
    <mergeCell ref="AZ20:BA20"/>
    <mergeCell ref="BB20:BC20"/>
    <mergeCell ref="BD20:BE20"/>
    <mergeCell ref="BF20:BG20"/>
    <mergeCell ref="BH20:BI20"/>
    <mergeCell ref="BN20:BP20"/>
    <mergeCell ref="AN20:AO20"/>
    <mergeCell ref="AP20:AQ20"/>
    <mergeCell ref="AR20:AS20"/>
    <mergeCell ref="AT20:AU20"/>
    <mergeCell ref="AV20:AW20"/>
    <mergeCell ref="AX20:AY20"/>
    <mergeCell ref="W20:X20"/>
    <mergeCell ref="Y20:AA20"/>
    <mergeCell ref="AB20:AC20"/>
    <mergeCell ref="AF20:AG20"/>
    <mergeCell ref="CD21:CF21"/>
    <mergeCell ref="CM21:CN21"/>
    <mergeCell ref="CO21:CP21"/>
    <mergeCell ref="B22:E22"/>
    <mergeCell ref="F22:K22"/>
    <mergeCell ref="L22:P22"/>
    <mergeCell ref="Q22:R22"/>
    <mergeCell ref="S22:T22"/>
    <mergeCell ref="U22:V22"/>
    <mergeCell ref="W22:X22"/>
    <mergeCell ref="BF21:BG21"/>
    <mergeCell ref="BH21:BI21"/>
    <mergeCell ref="BN21:BP21"/>
    <mergeCell ref="BQ21:BR21"/>
    <mergeCell ref="BS21:BT21"/>
    <mergeCell ref="BU21:BV21"/>
    <mergeCell ref="AT21:AU21"/>
    <mergeCell ref="AV21:AW21"/>
    <mergeCell ref="AX21:AY21"/>
    <mergeCell ref="AZ21:BA21"/>
    <mergeCell ref="BB21:BC21"/>
    <mergeCell ref="BD21:BE21"/>
    <mergeCell ref="AF21:AG21"/>
    <mergeCell ref="AJ21:AK21"/>
    <mergeCell ref="AL21:AM21"/>
    <mergeCell ref="AN21:AO21"/>
    <mergeCell ref="AP21:AQ21"/>
    <mergeCell ref="AR21:AS21"/>
    <mergeCell ref="BS22:BT22"/>
    <mergeCell ref="BU22:BV22"/>
    <mergeCell ref="CD22:CF22"/>
    <mergeCell ref="F23:K23"/>
    <mergeCell ref="L23:P23"/>
    <mergeCell ref="Q23:R23"/>
    <mergeCell ref="S23:T23"/>
    <mergeCell ref="U23:V23"/>
    <mergeCell ref="W23:X23"/>
    <mergeCell ref="BB22:BC22"/>
    <mergeCell ref="BD22:BE22"/>
    <mergeCell ref="BF22:BG22"/>
    <mergeCell ref="BH22:BI22"/>
    <mergeCell ref="BN22:BP22"/>
    <mergeCell ref="BQ22:BR22"/>
    <mergeCell ref="AP22:AQ22"/>
    <mergeCell ref="AR22:AS22"/>
    <mergeCell ref="AT22:AU22"/>
    <mergeCell ref="AV22:AW22"/>
    <mergeCell ref="AX22:AY22"/>
    <mergeCell ref="AZ22:BA22"/>
    <mergeCell ref="Y22:AA22"/>
    <mergeCell ref="AB22:AC22"/>
    <mergeCell ref="AF22:AG22"/>
    <mergeCell ref="AJ22:AK22"/>
    <mergeCell ref="AL22:AM22"/>
    <mergeCell ref="AN22:AO22"/>
    <mergeCell ref="BS23:BT23"/>
    <mergeCell ref="BU23:BV23"/>
    <mergeCell ref="CD23:CF23"/>
    <mergeCell ref="B24:E24"/>
    <mergeCell ref="F24:K24"/>
    <mergeCell ref="L24:P24"/>
    <mergeCell ref="Q24:R24"/>
    <mergeCell ref="S24:T24"/>
    <mergeCell ref="U24:V24"/>
    <mergeCell ref="W24:X24"/>
    <mergeCell ref="BB23:BC23"/>
    <mergeCell ref="BD23:BE23"/>
    <mergeCell ref="BF23:BG23"/>
    <mergeCell ref="BH23:BI23"/>
    <mergeCell ref="BN23:BP23"/>
    <mergeCell ref="BQ23:BR23"/>
    <mergeCell ref="AP23:AQ23"/>
    <mergeCell ref="AR23:AS23"/>
    <mergeCell ref="AT23:AU23"/>
    <mergeCell ref="AV23:AW23"/>
    <mergeCell ref="AX23:AY23"/>
    <mergeCell ref="AZ23:BA23"/>
    <mergeCell ref="Y23:AA23"/>
    <mergeCell ref="AB23:AC23"/>
    <mergeCell ref="AF23:AG23"/>
    <mergeCell ref="AJ23:AK23"/>
    <mergeCell ref="AL23:AM23"/>
    <mergeCell ref="AN23:AO23"/>
    <mergeCell ref="BS24:BT24"/>
    <mergeCell ref="BU24:BV24"/>
    <mergeCell ref="CD24:CF24"/>
    <mergeCell ref="B23:E23"/>
    <mergeCell ref="F25:K25"/>
    <mergeCell ref="L25:P25"/>
    <mergeCell ref="Q25:R25"/>
    <mergeCell ref="S25:T25"/>
    <mergeCell ref="U25:V25"/>
    <mergeCell ref="W25:X25"/>
    <mergeCell ref="BB24:BC24"/>
    <mergeCell ref="BD24:BE24"/>
    <mergeCell ref="BF24:BG24"/>
    <mergeCell ref="BH24:BI24"/>
    <mergeCell ref="BN24:BP24"/>
    <mergeCell ref="BQ24:BR24"/>
    <mergeCell ref="AP24:AQ24"/>
    <mergeCell ref="AR24:AS24"/>
    <mergeCell ref="AT24:AU24"/>
    <mergeCell ref="AV24:AW24"/>
    <mergeCell ref="AX24:AY24"/>
    <mergeCell ref="AZ24:BA24"/>
    <mergeCell ref="Y24:AA24"/>
    <mergeCell ref="AB24:AC24"/>
    <mergeCell ref="AF24:AG24"/>
    <mergeCell ref="AJ24:AK24"/>
    <mergeCell ref="AL24:AM24"/>
    <mergeCell ref="AN24:AO24"/>
    <mergeCell ref="BS25:BT25"/>
    <mergeCell ref="BU25:BV25"/>
    <mergeCell ref="CD25:CF25"/>
    <mergeCell ref="B26:E26"/>
    <mergeCell ref="F26:K26"/>
    <mergeCell ref="L26:P26"/>
    <mergeCell ref="Q26:R26"/>
    <mergeCell ref="S26:T26"/>
    <mergeCell ref="U26:V26"/>
    <mergeCell ref="W26:X26"/>
    <mergeCell ref="BB25:BC25"/>
    <mergeCell ref="BD25:BE25"/>
    <mergeCell ref="BF25:BG25"/>
    <mergeCell ref="BH25:BI25"/>
    <mergeCell ref="BN25:BP25"/>
    <mergeCell ref="BQ25:BR25"/>
    <mergeCell ref="AP25:AQ25"/>
    <mergeCell ref="AR25:AS25"/>
    <mergeCell ref="AT25:AU25"/>
    <mergeCell ref="AV25:AW25"/>
    <mergeCell ref="AX25:AY25"/>
    <mergeCell ref="AZ25:BA25"/>
    <mergeCell ref="Y25:AA25"/>
    <mergeCell ref="AB25:AC25"/>
    <mergeCell ref="AF25:AG25"/>
    <mergeCell ref="AJ25:AK25"/>
    <mergeCell ref="AL25:AM25"/>
    <mergeCell ref="AN25:AO25"/>
    <mergeCell ref="BS26:BT26"/>
    <mergeCell ref="BU26:BV26"/>
    <mergeCell ref="CD26:CF26"/>
    <mergeCell ref="B25:E25"/>
    <mergeCell ref="B27:E27"/>
    <mergeCell ref="F27:K27"/>
    <mergeCell ref="L27:P27"/>
    <mergeCell ref="Q27:R27"/>
    <mergeCell ref="S27:T27"/>
    <mergeCell ref="U27:V27"/>
    <mergeCell ref="W27:X27"/>
    <mergeCell ref="BB26:BC26"/>
    <mergeCell ref="BD26:BE26"/>
    <mergeCell ref="BF26:BG26"/>
    <mergeCell ref="BH26:BI26"/>
    <mergeCell ref="BN26:BP26"/>
    <mergeCell ref="BQ26:BR26"/>
    <mergeCell ref="AP26:AQ26"/>
    <mergeCell ref="AR26:AS26"/>
    <mergeCell ref="AT26:AU26"/>
    <mergeCell ref="AV26:AW26"/>
    <mergeCell ref="AX26:AY26"/>
    <mergeCell ref="AZ26:BA26"/>
    <mergeCell ref="Y26:AA26"/>
    <mergeCell ref="AB26:AC26"/>
    <mergeCell ref="AF26:AG26"/>
    <mergeCell ref="AJ26:AK26"/>
    <mergeCell ref="AL26:AM26"/>
    <mergeCell ref="AN26:AO26"/>
    <mergeCell ref="AD27:AE27"/>
    <mergeCell ref="CD27:CF27"/>
    <mergeCell ref="CM27:CO27"/>
    <mergeCell ref="B28:E28"/>
    <mergeCell ref="F28:K28"/>
    <mergeCell ref="L28:P28"/>
    <mergeCell ref="Q28:R28"/>
    <mergeCell ref="S28:T28"/>
    <mergeCell ref="U28:V28"/>
    <mergeCell ref="W28:X28"/>
    <mergeCell ref="Y28:AA28"/>
    <mergeCell ref="BB27:BC27"/>
    <mergeCell ref="BD27:BE27"/>
    <mergeCell ref="BF27:BG27"/>
    <mergeCell ref="BH27:BI27"/>
    <mergeCell ref="BS27:BT27"/>
    <mergeCell ref="BU27:BV27"/>
    <mergeCell ref="AP27:AQ27"/>
    <mergeCell ref="AR27:AS27"/>
    <mergeCell ref="AT27:AU27"/>
    <mergeCell ref="AV27:AW27"/>
    <mergeCell ref="AX27:AY27"/>
    <mergeCell ref="AZ27:BA27"/>
    <mergeCell ref="Y27:AA27"/>
    <mergeCell ref="AB27:AC27"/>
    <mergeCell ref="AF27:AG27"/>
    <mergeCell ref="AJ27:AK27"/>
    <mergeCell ref="AL27:AM27"/>
    <mergeCell ref="AN27:AO27"/>
    <mergeCell ref="BD28:BE28"/>
    <mergeCell ref="BF28:BG28"/>
    <mergeCell ref="BH28:BI28"/>
    <mergeCell ref="BO28:BQ28"/>
    <mergeCell ref="CD28:CF28"/>
    <mergeCell ref="B29:E29"/>
    <mergeCell ref="F29:K29"/>
    <mergeCell ref="L29:P29"/>
    <mergeCell ref="Q29:R29"/>
    <mergeCell ref="S29:T29"/>
    <mergeCell ref="AR28:AS28"/>
    <mergeCell ref="AT28:AU28"/>
    <mergeCell ref="AV28:AW28"/>
    <mergeCell ref="AX28:AY28"/>
    <mergeCell ref="AZ28:BA28"/>
    <mergeCell ref="BB28:BC28"/>
    <mergeCell ref="AB28:AC28"/>
    <mergeCell ref="AF28:AG28"/>
    <mergeCell ref="AJ28:AK28"/>
    <mergeCell ref="AL28:AM28"/>
    <mergeCell ref="AN28:AO28"/>
    <mergeCell ref="AP28:AQ28"/>
    <mergeCell ref="CD29:CF29"/>
    <mergeCell ref="AD28:AE28"/>
    <mergeCell ref="Y30:AA30"/>
    <mergeCell ref="AB30:AC30"/>
    <mergeCell ref="AX29:AY29"/>
    <mergeCell ref="AZ29:BA29"/>
    <mergeCell ref="BB29:BC29"/>
    <mergeCell ref="BD29:BE29"/>
    <mergeCell ref="BF29:BG29"/>
    <mergeCell ref="BH29:BI29"/>
    <mergeCell ref="AL29:AM29"/>
    <mergeCell ref="AN29:AO29"/>
    <mergeCell ref="AP29:AQ29"/>
    <mergeCell ref="AR29:AS29"/>
    <mergeCell ref="AT29:AU29"/>
    <mergeCell ref="AV29:AW29"/>
    <mergeCell ref="U29:V29"/>
    <mergeCell ref="W29:X29"/>
    <mergeCell ref="Y29:AA29"/>
    <mergeCell ref="AB29:AC29"/>
    <mergeCell ref="AF29:AG29"/>
    <mergeCell ref="AJ29:AK29"/>
    <mergeCell ref="BF30:BG30"/>
    <mergeCell ref="BH30:BI30"/>
    <mergeCell ref="AD29:AE29"/>
    <mergeCell ref="AD30:AE30"/>
    <mergeCell ref="CD30:CF30"/>
    <mergeCell ref="B31:E31"/>
    <mergeCell ref="F31:K31"/>
    <mergeCell ref="L31:P31"/>
    <mergeCell ref="Q31:R31"/>
    <mergeCell ref="S31:T31"/>
    <mergeCell ref="U31:V31"/>
    <mergeCell ref="W31:X31"/>
    <mergeCell ref="AT30:AU30"/>
    <mergeCell ref="AV30:AW30"/>
    <mergeCell ref="AX30:AY30"/>
    <mergeCell ref="AZ30:BA30"/>
    <mergeCell ref="BB30:BC30"/>
    <mergeCell ref="BD30:BE30"/>
    <mergeCell ref="AF30:AG30"/>
    <mergeCell ref="AJ30:AK30"/>
    <mergeCell ref="AL30:AM30"/>
    <mergeCell ref="AN30:AO30"/>
    <mergeCell ref="AP30:AQ30"/>
    <mergeCell ref="AR30:AS30"/>
    <mergeCell ref="BB31:BC31"/>
    <mergeCell ref="BD31:BE31"/>
    <mergeCell ref="BF31:BG31"/>
    <mergeCell ref="BH31:BI31"/>
    <mergeCell ref="CD31:CF31"/>
    <mergeCell ref="B30:E30"/>
    <mergeCell ref="F30:K30"/>
    <mergeCell ref="L30:P30"/>
    <mergeCell ref="Q30:R30"/>
    <mergeCell ref="S30:T30"/>
    <mergeCell ref="U30:V30"/>
    <mergeCell ref="W30:X30"/>
    <mergeCell ref="F32:K32"/>
    <mergeCell ref="L32:P32"/>
    <mergeCell ref="Q32:R32"/>
    <mergeCell ref="S32:T32"/>
    <mergeCell ref="AT33:AU33"/>
    <mergeCell ref="AV33:AW33"/>
    <mergeCell ref="AX33:AY33"/>
    <mergeCell ref="AZ33:BA33"/>
    <mergeCell ref="BB33:BC33"/>
    <mergeCell ref="BD33:BE33"/>
    <mergeCell ref="AF33:AG33"/>
    <mergeCell ref="AJ33:AK33"/>
    <mergeCell ref="AL33:AM33"/>
    <mergeCell ref="AN33:AO33"/>
    <mergeCell ref="AP33:AQ33"/>
    <mergeCell ref="AR33:AS33"/>
    <mergeCell ref="AP31:AQ31"/>
    <mergeCell ref="AR31:AS31"/>
    <mergeCell ref="AT31:AU31"/>
    <mergeCell ref="AV31:AW31"/>
    <mergeCell ref="AX31:AY31"/>
    <mergeCell ref="AZ31:BA31"/>
    <mergeCell ref="Y31:AA31"/>
    <mergeCell ref="AB31:AC31"/>
    <mergeCell ref="AF31:AG31"/>
    <mergeCell ref="AJ31:AK31"/>
    <mergeCell ref="AL31:AM31"/>
    <mergeCell ref="AN31:AO31"/>
    <mergeCell ref="AD31:AE31"/>
    <mergeCell ref="AD32:AE32"/>
    <mergeCell ref="AD33:AE33"/>
    <mergeCell ref="CD32:CF32"/>
    <mergeCell ref="B33:E33"/>
    <mergeCell ref="F33:K33"/>
    <mergeCell ref="L33:P33"/>
    <mergeCell ref="Q33:R33"/>
    <mergeCell ref="S33:T33"/>
    <mergeCell ref="U33:V33"/>
    <mergeCell ref="W33:X33"/>
    <mergeCell ref="Y33:AA33"/>
    <mergeCell ref="AB33:AC33"/>
    <mergeCell ref="AX32:AY32"/>
    <mergeCell ref="AZ32:BA32"/>
    <mergeCell ref="BB32:BC32"/>
    <mergeCell ref="BD32:BE32"/>
    <mergeCell ref="BF32:BG32"/>
    <mergeCell ref="BH32:BI32"/>
    <mergeCell ref="AL32:AM32"/>
    <mergeCell ref="AN32:AO32"/>
    <mergeCell ref="AP32:AQ32"/>
    <mergeCell ref="AR32:AS32"/>
    <mergeCell ref="AT32:AU32"/>
    <mergeCell ref="AV32:AW32"/>
    <mergeCell ref="U32:V32"/>
    <mergeCell ref="W32:X32"/>
    <mergeCell ref="Y32:AA32"/>
    <mergeCell ref="AB32:AC32"/>
    <mergeCell ref="AF32:AG32"/>
    <mergeCell ref="AJ32:AK32"/>
    <mergeCell ref="BF33:BG33"/>
    <mergeCell ref="BH33:BI33"/>
    <mergeCell ref="CD33:CF33"/>
    <mergeCell ref="B32:E32"/>
    <mergeCell ref="CD34:CF34"/>
    <mergeCell ref="B35:E35"/>
    <mergeCell ref="F35:K35"/>
    <mergeCell ref="L35:P35"/>
    <mergeCell ref="Q35:R35"/>
    <mergeCell ref="S35:T35"/>
    <mergeCell ref="AP34:AQ34"/>
    <mergeCell ref="AR34:AS34"/>
    <mergeCell ref="AT34:AU34"/>
    <mergeCell ref="AV34:AW34"/>
    <mergeCell ref="AX34:AY34"/>
    <mergeCell ref="AZ34:BA34"/>
    <mergeCell ref="Y34:AA34"/>
    <mergeCell ref="AB34:AC34"/>
    <mergeCell ref="AF34:AG34"/>
    <mergeCell ref="AJ34:AK34"/>
    <mergeCell ref="AL34:AM34"/>
    <mergeCell ref="AN34:AO34"/>
    <mergeCell ref="CD35:CF35"/>
    <mergeCell ref="B34:E34"/>
    <mergeCell ref="F34:K34"/>
    <mergeCell ref="L34:P34"/>
    <mergeCell ref="Q34:R34"/>
    <mergeCell ref="S34:T34"/>
    <mergeCell ref="U34:V34"/>
    <mergeCell ref="W34:X34"/>
    <mergeCell ref="BB34:BC34"/>
    <mergeCell ref="BD34:BE34"/>
    <mergeCell ref="AD34:AE34"/>
    <mergeCell ref="Y36:AA36"/>
    <mergeCell ref="AB36:AC36"/>
    <mergeCell ref="AX35:AY35"/>
    <mergeCell ref="AZ35:BA35"/>
    <mergeCell ref="BB35:BC35"/>
    <mergeCell ref="BD35:BE35"/>
    <mergeCell ref="BF35:BG35"/>
    <mergeCell ref="BH35:BI35"/>
    <mergeCell ref="AL35:AM35"/>
    <mergeCell ref="AN35:AO35"/>
    <mergeCell ref="AP35:AQ35"/>
    <mergeCell ref="AR35:AS35"/>
    <mergeCell ref="AT35:AU35"/>
    <mergeCell ref="AV35:AW35"/>
    <mergeCell ref="U35:V35"/>
    <mergeCell ref="W35:X35"/>
    <mergeCell ref="Y35:AA35"/>
    <mergeCell ref="AB35:AC35"/>
    <mergeCell ref="AF35:AG35"/>
    <mergeCell ref="AJ35:AK35"/>
    <mergeCell ref="BF36:BG36"/>
    <mergeCell ref="BH36:BI36"/>
    <mergeCell ref="AD35:AE35"/>
    <mergeCell ref="AD36:AE36"/>
    <mergeCell ref="CD36:CF36"/>
    <mergeCell ref="B37:E37"/>
    <mergeCell ref="F37:K37"/>
    <mergeCell ref="L37:P37"/>
    <mergeCell ref="Q37:R37"/>
    <mergeCell ref="S37:T37"/>
    <mergeCell ref="U37:V37"/>
    <mergeCell ref="W37:X37"/>
    <mergeCell ref="AT36:AU36"/>
    <mergeCell ref="AV36:AW36"/>
    <mergeCell ref="AX36:AY36"/>
    <mergeCell ref="AZ36:BA36"/>
    <mergeCell ref="BB36:BC36"/>
    <mergeCell ref="BD36:BE36"/>
    <mergeCell ref="AF36:AG36"/>
    <mergeCell ref="AJ36:AK36"/>
    <mergeCell ref="AL36:AM36"/>
    <mergeCell ref="AN36:AO36"/>
    <mergeCell ref="AP36:AQ36"/>
    <mergeCell ref="AR36:AS36"/>
    <mergeCell ref="BB37:BC37"/>
    <mergeCell ref="BD37:BE37"/>
    <mergeCell ref="BF37:BG37"/>
    <mergeCell ref="BH37:BI37"/>
    <mergeCell ref="CD37:CF37"/>
    <mergeCell ref="B36:E36"/>
    <mergeCell ref="F36:K36"/>
    <mergeCell ref="L36:P36"/>
    <mergeCell ref="Q36:R36"/>
    <mergeCell ref="S36:T36"/>
    <mergeCell ref="U36:V36"/>
    <mergeCell ref="W36:X36"/>
    <mergeCell ref="F38:K38"/>
    <mergeCell ref="L38:P38"/>
    <mergeCell ref="Q38:R38"/>
    <mergeCell ref="S38:T38"/>
    <mergeCell ref="AT39:AU39"/>
    <mergeCell ref="AV39:AW39"/>
    <mergeCell ref="AX39:AY39"/>
    <mergeCell ref="AZ39:BA39"/>
    <mergeCell ref="BB39:BC39"/>
    <mergeCell ref="BD39:BE39"/>
    <mergeCell ref="AF39:AG39"/>
    <mergeCell ref="AJ39:AK39"/>
    <mergeCell ref="AL39:AM39"/>
    <mergeCell ref="AN39:AO39"/>
    <mergeCell ref="AP39:AQ39"/>
    <mergeCell ref="AR39:AS39"/>
    <mergeCell ref="AP37:AQ37"/>
    <mergeCell ref="AR37:AS37"/>
    <mergeCell ref="AT37:AU37"/>
    <mergeCell ref="AV37:AW37"/>
    <mergeCell ref="AX37:AY37"/>
    <mergeCell ref="AZ37:BA37"/>
    <mergeCell ref="Y37:AA37"/>
    <mergeCell ref="AB37:AC37"/>
    <mergeCell ref="AF37:AG37"/>
    <mergeCell ref="AJ37:AK37"/>
    <mergeCell ref="AL37:AM37"/>
    <mergeCell ref="AN37:AO37"/>
    <mergeCell ref="AD37:AE37"/>
    <mergeCell ref="AD38:AE38"/>
    <mergeCell ref="AD39:AE39"/>
    <mergeCell ref="CD38:CF38"/>
    <mergeCell ref="B39:E39"/>
    <mergeCell ref="F39:K39"/>
    <mergeCell ref="L39:P39"/>
    <mergeCell ref="Q39:R39"/>
    <mergeCell ref="S39:T39"/>
    <mergeCell ref="U39:V39"/>
    <mergeCell ref="W39:X39"/>
    <mergeCell ref="Y39:AA39"/>
    <mergeCell ref="AB39:AC39"/>
    <mergeCell ref="AX38:AY38"/>
    <mergeCell ref="AZ38:BA38"/>
    <mergeCell ref="BB38:BC38"/>
    <mergeCell ref="BD38:BE38"/>
    <mergeCell ref="BF38:BG38"/>
    <mergeCell ref="BH38:BI38"/>
    <mergeCell ref="AL38:AM38"/>
    <mergeCell ref="AN38:AO38"/>
    <mergeCell ref="AP38:AQ38"/>
    <mergeCell ref="AR38:AS38"/>
    <mergeCell ref="AT38:AU38"/>
    <mergeCell ref="AV38:AW38"/>
    <mergeCell ref="U38:V38"/>
    <mergeCell ref="W38:X38"/>
    <mergeCell ref="Y38:AA38"/>
    <mergeCell ref="AB38:AC38"/>
    <mergeCell ref="AF38:AG38"/>
    <mergeCell ref="AJ38:AK38"/>
    <mergeCell ref="BF39:BG39"/>
    <mergeCell ref="BH39:BI39"/>
    <mergeCell ref="CD39:CF39"/>
    <mergeCell ref="B38:E38"/>
    <mergeCell ref="CD40:CF40"/>
    <mergeCell ref="B41:E41"/>
    <mergeCell ref="F41:K41"/>
    <mergeCell ref="L41:P41"/>
    <mergeCell ref="Q41:R41"/>
    <mergeCell ref="S41:T41"/>
    <mergeCell ref="AP40:AQ40"/>
    <mergeCell ref="AR40:AS40"/>
    <mergeCell ref="AT40:AU40"/>
    <mergeCell ref="AV40:AW40"/>
    <mergeCell ref="AX40:AY40"/>
    <mergeCell ref="AZ40:BA40"/>
    <mergeCell ref="Y40:AA40"/>
    <mergeCell ref="AB40:AC40"/>
    <mergeCell ref="AF40:AG40"/>
    <mergeCell ref="AJ40:AK40"/>
    <mergeCell ref="AL40:AM40"/>
    <mergeCell ref="AN40:AO40"/>
    <mergeCell ref="CD41:CF41"/>
    <mergeCell ref="B40:E40"/>
    <mergeCell ref="F40:K40"/>
    <mergeCell ref="L40:P40"/>
    <mergeCell ref="Q40:R40"/>
    <mergeCell ref="S40:T40"/>
    <mergeCell ref="U40:V40"/>
    <mergeCell ref="W40:X40"/>
    <mergeCell ref="BB40:BC40"/>
    <mergeCell ref="BD40:BE40"/>
    <mergeCell ref="AD40:AE40"/>
    <mergeCell ref="Y42:AA42"/>
    <mergeCell ref="AB42:AC42"/>
    <mergeCell ref="AX41:AY41"/>
    <mergeCell ref="AZ41:BA41"/>
    <mergeCell ref="BB41:BC41"/>
    <mergeCell ref="BD41:BE41"/>
    <mergeCell ref="BF41:BG41"/>
    <mergeCell ref="BH41:BI41"/>
    <mergeCell ref="AL41:AM41"/>
    <mergeCell ref="AN41:AO41"/>
    <mergeCell ref="AP41:AQ41"/>
    <mergeCell ref="AR41:AS41"/>
    <mergeCell ref="AT41:AU41"/>
    <mergeCell ref="AV41:AW41"/>
    <mergeCell ref="U41:V41"/>
    <mergeCell ref="W41:X41"/>
    <mergeCell ref="Y41:AA41"/>
    <mergeCell ref="AB41:AC41"/>
    <mergeCell ref="AF41:AG41"/>
    <mergeCell ref="AJ41:AK41"/>
    <mergeCell ref="BF42:BG42"/>
    <mergeCell ref="BH42:BI42"/>
    <mergeCell ref="AD41:AE41"/>
    <mergeCell ref="AD42:AE42"/>
    <mergeCell ref="CD42:CF42"/>
    <mergeCell ref="B43:E43"/>
    <mergeCell ref="F43:K43"/>
    <mergeCell ref="L43:P43"/>
    <mergeCell ref="Q43:R43"/>
    <mergeCell ref="S43:T43"/>
    <mergeCell ref="U43:V43"/>
    <mergeCell ref="W43:X43"/>
    <mergeCell ref="AT42:AU42"/>
    <mergeCell ref="AV42:AW42"/>
    <mergeCell ref="AX42:AY42"/>
    <mergeCell ref="AZ42:BA42"/>
    <mergeCell ref="BB42:BC42"/>
    <mergeCell ref="BD42:BE42"/>
    <mergeCell ref="AF42:AG42"/>
    <mergeCell ref="AJ42:AK42"/>
    <mergeCell ref="AL42:AM42"/>
    <mergeCell ref="AN42:AO42"/>
    <mergeCell ref="AP42:AQ42"/>
    <mergeCell ref="AR42:AS42"/>
    <mergeCell ref="BB43:BC43"/>
    <mergeCell ref="BD43:BE43"/>
    <mergeCell ref="BF43:BG43"/>
    <mergeCell ref="BH43:BI43"/>
    <mergeCell ref="CD43:CF43"/>
    <mergeCell ref="B42:E42"/>
    <mergeCell ref="F42:K42"/>
    <mergeCell ref="L42:P42"/>
    <mergeCell ref="Q42:R42"/>
    <mergeCell ref="S42:T42"/>
    <mergeCell ref="U42:V42"/>
    <mergeCell ref="W42:X42"/>
    <mergeCell ref="F44:K44"/>
    <mergeCell ref="L44:P44"/>
    <mergeCell ref="Q44:R44"/>
    <mergeCell ref="S44:T44"/>
    <mergeCell ref="AT45:AU45"/>
    <mergeCell ref="AV45:AW45"/>
    <mergeCell ref="AX45:AY45"/>
    <mergeCell ref="AZ45:BA45"/>
    <mergeCell ref="BB45:BC45"/>
    <mergeCell ref="BD45:BE45"/>
    <mergeCell ref="AF45:AG45"/>
    <mergeCell ref="AJ45:AK45"/>
    <mergeCell ref="AL45:AM45"/>
    <mergeCell ref="AN45:AO45"/>
    <mergeCell ref="AP45:AQ45"/>
    <mergeCell ref="AR45:AS45"/>
    <mergeCell ref="AP43:AQ43"/>
    <mergeCell ref="AR43:AS43"/>
    <mergeCell ref="AT43:AU43"/>
    <mergeCell ref="AV43:AW43"/>
    <mergeCell ref="AX43:AY43"/>
    <mergeCell ref="AZ43:BA43"/>
    <mergeCell ref="Y43:AA43"/>
    <mergeCell ref="AB43:AC43"/>
    <mergeCell ref="AF43:AG43"/>
    <mergeCell ref="AJ43:AK43"/>
    <mergeCell ref="AL43:AM43"/>
    <mergeCell ref="AN43:AO43"/>
    <mergeCell ref="AD43:AE43"/>
    <mergeCell ref="AD44:AE44"/>
    <mergeCell ref="AD45:AE45"/>
    <mergeCell ref="CD44:CF44"/>
    <mergeCell ref="B45:E45"/>
    <mergeCell ref="F45:K45"/>
    <mergeCell ref="L45:P45"/>
    <mergeCell ref="Q45:R45"/>
    <mergeCell ref="S45:T45"/>
    <mergeCell ref="U45:V45"/>
    <mergeCell ref="W45:X45"/>
    <mergeCell ref="Y45:AA45"/>
    <mergeCell ref="AB45:AC45"/>
    <mergeCell ref="AX44:AY44"/>
    <mergeCell ref="AZ44:BA44"/>
    <mergeCell ref="BB44:BC44"/>
    <mergeCell ref="BD44:BE44"/>
    <mergeCell ref="BF44:BG44"/>
    <mergeCell ref="BH44:BI44"/>
    <mergeCell ref="AL44:AM44"/>
    <mergeCell ref="AN44:AO44"/>
    <mergeCell ref="AP44:AQ44"/>
    <mergeCell ref="AR44:AS44"/>
    <mergeCell ref="AT44:AU44"/>
    <mergeCell ref="AV44:AW44"/>
    <mergeCell ref="U44:V44"/>
    <mergeCell ref="W44:X44"/>
    <mergeCell ref="Y44:AA44"/>
    <mergeCell ref="AB44:AC44"/>
    <mergeCell ref="AF44:AG44"/>
    <mergeCell ref="AJ44:AK44"/>
    <mergeCell ref="BF45:BG45"/>
    <mergeCell ref="BH45:BI45"/>
    <mergeCell ref="CD45:CF45"/>
    <mergeCell ref="B44:E44"/>
    <mergeCell ref="CD46:CF46"/>
    <mergeCell ref="B47:E47"/>
    <mergeCell ref="F47:K47"/>
    <mergeCell ref="L47:P47"/>
    <mergeCell ref="Q47:R47"/>
    <mergeCell ref="S47:T47"/>
    <mergeCell ref="AP46:AQ46"/>
    <mergeCell ref="AR46:AS46"/>
    <mergeCell ref="AT46:AU46"/>
    <mergeCell ref="AV46:AW46"/>
    <mergeCell ref="AX46:AY46"/>
    <mergeCell ref="AZ46:BA46"/>
    <mergeCell ref="Y46:AA46"/>
    <mergeCell ref="AB46:AC46"/>
    <mergeCell ref="AF46:AG46"/>
    <mergeCell ref="AJ46:AK46"/>
    <mergeCell ref="AL46:AM46"/>
    <mergeCell ref="AN46:AO46"/>
    <mergeCell ref="CD47:CF47"/>
    <mergeCell ref="B46:E46"/>
    <mergeCell ref="F46:K46"/>
    <mergeCell ref="L46:P46"/>
    <mergeCell ref="Q46:R46"/>
    <mergeCell ref="S46:T46"/>
    <mergeCell ref="U46:V46"/>
    <mergeCell ref="W46:X46"/>
    <mergeCell ref="BB46:BC46"/>
    <mergeCell ref="BD46:BE46"/>
    <mergeCell ref="AD46:AE46"/>
    <mergeCell ref="Y48:AA48"/>
    <mergeCell ref="AB48:AC48"/>
    <mergeCell ref="AX47:AY47"/>
    <mergeCell ref="AZ47:BA47"/>
    <mergeCell ref="BB47:BC47"/>
    <mergeCell ref="BD47:BE47"/>
    <mergeCell ref="BF47:BG47"/>
    <mergeCell ref="BH47:BI47"/>
    <mergeCell ref="AL47:AM47"/>
    <mergeCell ref="AN47:AO47"/>
    <mergeCell ref="AP47:AQ47"/>
    <mergeCell ref="AR47:AS47"/>
    <mergeCell ref="AT47:AU47"/>
    <mergeCell ref="AV47:AW47"/>
    <mergeCell ref="U47:V47"/>
    <mergeCell ref="W47:X47"/>
    <mergeCell ref="Y47:AA47"/>
    <mergeCell ref="AB47:AC47"/>
    <mergeCell ref="AF47:AG47"/>
    <mergeCell ref="AJ47:AK47"/>
    <mergeCell ref="BF48:BG48"/>
    <mergeCell ref="BH48:BI48"/>
    <mergeCell ref="AD47:AE47"/>
    <mergeCell ref="AD48:AE48"/>
    <mergeCell ref="CD48:CF48"/>
    <mergeCell ref="B49:E49"/>
    <mergeCell ref="F49:K49"/>
    <mergeCell ref="L49:P49"/>
    <mergeCell ref="Q49:R49"/>
    <mergeCell ref="S49:T49"/>
    <mergeCell ref="U49:V49"/>
    <mergeCell ref="W49:X49"/>
    <mergeCell ref="AT48:AU48"/>
    <mergeCell ref="AV48:AW48"/>
    <mergeCell ref="AX48:AY48"/>
    <mergeCell ref="AZ48:BA48"/>
    <mergeCell ref="BB48:BC48"/>
    <mergeCell ref="BD48:BE48"/>
    <mergeCell ref="AF48:AG48"/>
    <mergeCell ref="AJ48:AK48"/>
    <mergeCell ref="AL48:AM48"/>
    <mergeCell ref="AN48:AO48"/>
    <mergeCell ref="AP48:AQ48"/>
    <mergeCell ref="AR48:AS48"/>
    <mergeCell ref="BB49:BC49"/>
    <mergeCell ref="BD49:BE49"/>
    <mergeCell ref="BF49:BG49"/>
    <mergeCell ref="BH49:BI49"/>
    <mergeCell ref="CD49:CF49"/>
    <mergeCell ref="B48:E48"/>
    <mergeCell ref="F48:K48"/>
    <mergeCell ref="L48:P48"/>
    <mergeCell ref="Q48:R48"/>
    <mergeCell ref="S48:T48"/>
    <mergeCell ref="U48:V48"/>
    <mergeCell ref="W48:X48"/>
    <mergeCell ref="F50:K50"/>
    <mergeCell ref="L50:P50"/>
    <mergeCell ref="Q50:R50"/>
    <mergeCell ref="S50:T50"/>
    <mergeCell ref="AT51:AU51"/>
    <mergeCell ref="AV51:AW51"/>
    <mergeCell ref="AX51:AY51"/>
    <mergeCell ref="AZ51:BA51"/>
    <mergeCell ref="BB51:BC51"/>
    <mergeCell ref="BD51:BE51"/>
    <mergeCell ref="AF51:AG51"/>
    <mergeCell ref="AJ51:AK51"/>
    <mergeCell ref="AL51:AM51"/>
    <mergeCell ref="AN51:AO51"/>
    <mergeCell ref="AP51:AQ51"/>
    <mergeCell ref="AR51:AS51"/>
    <mergeCell ref="AP49:AQ49"/>
    <mergeCell ref="AR49:AS49"/>
    <mergeCell ref="AT49:AU49"/>
    <mergeCell ref="AV49:AW49"/>
    <mergeCell ref="AX49:AY49"/>
    <mergeCell ref="AZ49:BA49"/>
    <mergeCell ref="Y49:AA49"/>
    <mergeCell ref="AB49:AC49"/>
    <mergeCell ref="AF49:AG49"/>
    <mergeCell ref="AJ49:AK49"/>
    <mergeCell ref="AL49:AM49"/>
    <mergeCell ref="AN49:AO49"/>
    <mergeCell ref="AD49:AE49"/>
    <mergeCell ref="AD50:AE50"/>
    <mergeCell ref="AD51:AE51"/>
    <mergeCell ref="CD50:CF50"/>
    <mergeCell ref="B51:E51"/>
    <mergeCell ref="F51:K51"/>
    <mergeCell ref="L51:P51"/>
    <mergeCell ref="Q51:R51"/>
    <mergeCell ref="S51:T51"/>
    <mergeCell ref="U51:V51"/>
    <mergeCell ref="W51:X51"/>
    <mergeCell ref="Y51:AA51"/>
    <mergeCell ref="AB51:AC51"/>
    <mergeCell ref="AX50:AY50"/>
    <mergeCell ref="AZ50:BA50"/>
    <mergeCell ref="BB50:BC50"/>
    <mergeCell ref="BD50:BE50"/>
    <mergeCell ref="BF50:BG50"/>
    <mergeCell ref="BH50:BI50"/>
    <mergeCell ref="AL50:AM50"/>
    <mergeCell ref="AN50:AO50"/>
    <mergeCell ref="AP50:AQ50"/>
    <mergeCell ref="AR50:AS50"/>
    <mergeCell ref="AT50:AU50"/>
    <mergeCell ref="AV50:AW50"/>
    <mergeCell ref="U50:V50"/>
    <mergeCell ref="W50:X50"/>
    <mergeCell ref="Y50:AA50"/>
    <mergeCell ref="AB50:AC50"/>
    <mergeCell ref="AF50:AG50"/>
    <mergeCell ref="AJ50:AK50"/>
    <mergeCell ref="BF51:BG51"/>
    <mergeCell ref="BH51:BI51"/>
    <mergeCell ref="CD51:CF51"/>
    <mergeCell ref="B50:E50"/>
    <mergeCell ref="CD52:CF52"/>
    <mergeCell ref="B53:E53"/>
    <mergeCell ref="F53:K53"/>
    <mergeCell ref="L53:P53"/>
    <mergeCell ref="Q53:R53"/>
    <mergeCell ref="S53:T53"/>
    <mergeCell ref="AP52:AQ52"/>
    <mergeCell ref="AR52:AS52"/>
    <mergeCell ref="AT52:AU52"/>
    <mergeCell ref="AV52:AW52"/>
    <mergeCell ref="AX52:AY52"/>
    <mergeCell ref="AZ52:BA52"/>
    <mergeCell ref="Y52:AA52"/>
    <mergeCell ref="AB52:AC52"/>
    <mergeCell ref="AF52:AG52"/>
    <mergeCell ref="AJ52:AK52"/>
    <mergeCell ref="AL52:AM52"/>
    <mergeCell ref="AN52:AO52"/>
    <mergeCell ref="CD53:CF53"/>
    <mergeCell ref="B52:E52"/>
    <mergeCell ref="F52:K52"/>
    <mergeCell ref="L52:P52"/>
    <mergeCell ref="Q52:R52"/>
    <mergeCell ref="S52:T52"/>
    <mergeCell ref="U52:V52"/>
    <mergeCell ref="W52:X52"/>
    <mergeCell ref="BB52:BC52"/>
    <mergeCell ref="BD52:BE52"/>
    <mergeCell ref="AD52:AE52"/>
    <mergeCell ref="Y54:AA54"/>
    <mergeCell ref="AB54:AC54"/>
    <mergeCell ref="AX53:AY53"/>
    <mergeCell ref="AZ53:BA53"/>
    <mergeCell ref="BB53:BC53"/>
    <mergeCell ref="BD53:BE53"/>
    <mergeCell ref="BF53:BG53"/>
    <mergeCell ref="BH53:BI53"/>
    <mergeCell ref="AL53:AM53"/>
    <mergeCell ref="AN53:AO53"/>
    <mergeCell ref="AP53:AQ53"/>
    <mergeCell ref="AR53:AS53"/>
    <mergeCell ref="AT53:AU53"/>
    <mergeCell ref="AV53:AW53"/>
    <mergeCell ref="U53:V53"/>
    <mergeCell ref="W53:X53"/>
    <mergeCell ref="Y53:AA53"/>
    <mergeCell ref="AB53:AC53"/>
    <mergeCell ref="AF53:AG53"/>
    <mergeCell ref="AJ53:AK53"/>
    <mergeCell ref="BF54:BG54"/>
    <mergeCell ref="BH54:BI54"/>
    <mergeCell ref="AD53:AE53"/>
    <mergeCell ref="AD54:AE54"/>
    <mergeCell ref="CD54:CF54"/>
    <mergeCell ref="B55:E55"/>
    <mergeCell ref="F55:K55"/>
    <mergeCell ref="L55:P55"/>
    <mergeCell ref="Q55:R55"/>
    <mergeCell ref="S55:T55"/>
    <mergeCell ref="U55:V55"/>
    <mergeCell ref="W55:X55"/>
    <mergeCell ref="AT54:AU54"/>
    <mergeCell ref="AV54:AW54"/>
    <mergeCell ref="AX54:AY54"/>
    <mergeCell ref="AZ54:BA54"/>
    <mergeCell ref="BB54:BC54"/>
    <mergeCell ref="BD54:BE54"/>
    <mergeCell ref="AF54:AG54"/>
    <mergeCell ref="AJ54:AK54"/>
    <mergeCell ref="AL54:AM54"/>
    <mergeCell ref="AN54:AO54"/>
    <mergeCell ref="AP54:AQ54"/>
    <mergeCell ref="AR54:AS54"/>
    <mergeCell ref="BB55:BC55"/>
    <mergeCell ref="BD55:BE55"/>
    <mergeCell ref="BF55:BG55"/>
    <mergeCell ref="BH55:BI55"/>
    <mergeCell ref="CD55:CF55"/>
    <mergeCell ref="B54:E54"/>
    <mergeCell ref="F54:K54"/>
    <mergeCell ref="L54:P54"/>
    <mergeCell ref="Q54:R54"/>
    <mergeCell ref="S54:T54"/>
    <mergeCell ref="U54:V54"/>
    <mergeCell ref="W54:X54"/>
    <mergeCell ref="F56:K56"/>
    <mergeCell ref="L56:P56"/>
    <mergeCell ref="Q56:R56"/>
    <mergeCell ref="S56:T56"/>
    <mergeCell ref="AT57:AU57"/>
    <mergeCell ref="AV57:AW57"/>
    <mergeCell ref="AX57:AY57"/>
    <mergeCell ref="AZ57:BA57"/>
    <mergeCell ref="BB57:BC57"/>
    <mergeCell ref="BD57:BE57"/>
    <mergeCell ref="AF57:AG57"/>
    <mergeCell ref="AJ57:AK57"/>
    <mergeCell ref="AL57:AM57"/>
    <mergeCell ref="AN57:AO57"/>
    <mergeCell ref="AP57:AQ57"/>
    <mergeCell ref="AR57:AS57"/>
    <mergeCell ref="AP55:AQ55"/>
    <mergeCell ref="AR55:AS55"/>
    <mergeCell ref="AT55:AU55"/>
    <mergeCell ref="AV55:AW55"/>
    <mergeCell ref="AX55:AY55"/>
    <mergeCell ref="AZ55:BA55"/>
    <mergeCell ref="Y55:AA55"/>
    <mergeCell ref="AB55:AC55"/>
    <mergeCell ref="AF55:AG55"/>
    <mergeCell ref="AJ55:AK55"/>
    <mergeCell ref="AL55:AM55"/>
    <mergeCell ref="AN55:AO55"/>
    <mergeCell ref="AD55:AE55"/>
    <mergeCell ref="AD56:AE56"/>
    <mergeCell ref="AD57:AE57"/>
    <mergeCell ref="CD56:CF56"/>
    <mergeCell ref="B57:E57"/>
    <mergeCell ref="F57:K57"/>
    <mergeCell ref="L57:P57"/>
    <mergeCell ref="Q57:R57"/>
    <mergeCell ref="S57:T57"/>
    <mergeCell ref="U57:V57"/>
    <mergeCell ref="W57:X57"/>
    <mergeCell ref="Y57:AA57"/>
    <mergeCell ref="AB57:AC57"/>
    <mergeCell ref="AX56:AY56"/>
    <mergeCell ref="AZ56:BA56"/>
    <mergeCell ref="BB56:BC56"/>
    <mergeCell ref="BD56:BE56"/>
    <mergeCell ref="BF56:BG56"/>
    <mergeCell ref="BH56:BI56"/>
    <mergeCell ref="AL56:AM56"/>
    <mergeCell ref="AN56:AO56"/>
    <mergeCell ref="AP56:AQ56"/>
    <mergeCell ref="AR56:AS56"/>
    <mergeCell ref="AT56:AU56"/>
    <mergeCell ref="AV56:AW56"/>
    <mergeCell ref="U56:V56"/>
    <mergeCell ref="W56:X56"/>
    <mergeCell ref="Y56:AA56"/>
    <mergeCell ref="AB56:AC56"/>
    <mergeCell ref="AF56:AG56"/>
    <mergeCell ref="AJ56:AK56"/>
    <mergeCell ref="BF57:BG57"/>
    <mergeCell ref="BH57:BI57"/>
    <mergeCell ref="CD57:CF57"/>
    <mergeCell ref="B56:E56"/>
    <mergeCell ref="CD58:CF58"/>
    <mergeCell ref="B59:E59"/>
    <mergeCell ref="F59:K59"/>
    <mergeCell ref="L59:P59"/>
    <mergeCell ref="Q59:R59"/>
    <mergeCell ref="S59:T59"/>
    <mergeCell ref="AP58:AQ58"/>
    <mergeCell ref="AR58:AS58"/>
    <mergeCell ref="AT58:AU58"/>
    <mergeCell ref="AV58:AW58"/>
    <mergeCell ref="AX58:AY58"/>
    <mergeCell ref="AZ58:BA58"/>
    <mergeCell ref="Y58:AA58"/>
    <mergeCell ref="AB58:AC58"/>
    <mergeCell ref="AF58:AG58"/>
    <mergeCell ref="AJ58:AK58"/>
    <mergeCell ref="AL58:AM58"/>
    <mergeCell ref="AN58:AO58"/>
    <mergeCell ref="CD59:CF59"/>
    <mergeCell ref="B58:E58"/>
    <mergeCell ref="F58:K58"/>
    <mergeCell ref="L58:P58"/>
    <mergeCell ref="Q58:R58"/>
    <mergeCell ref="S58:T58"/>
    <mergeCell ref="U58:V58"/>
    <mergeCell ref="W58:X58"/>
    <mergeCell ref="BB58:BC58"/>
    <mergeCell ref="BD58:BE58"/>
    <mergeCell ref="AD58:AE58"/>
    <mergeCell ref="Y60:AA60"/>
    <mergeCell ref="AB60:AC60"/>
    <mergeCell ref="AX59:AY59"/>
    <mergeCell ref="AZ59:BA59"/>
    <mergeCell ref="BB59:BC59"/>
    <mergeCell ref="BD59:BE59"/>
    <mergeCell ref="BF59:BG59"/>
    <mergeCell ref="BH59:BI59"/>
    <mergeCell ref="AL59:AM59"/>
    <mergeCell ref="AN59:AO59"/>
    <mergeCell ref="AP59:AQ59"/>
    <mergeCell ref="AR59:AS59"/>
    <mergeCell ref="AT59:AU59"/>
    <mergeCell ref="AV59:AW59"/>
    <mergeCell ref="U59:V59"/>
    <mergeCell ref="W59:X59"/>
    <mergeCell ref="Y59:AA59"/>
    <mergeCell ref="AB59:AC59"/>
    <mergeCell ref="AF59:AG59"/>
    <mergeCell ref="AJ59:AK59"/>
    <mergeCell ref="BF60:BG60"/>
    <mergeCell ref="BH60:BI60"/>
    <mergeCell ref="AD59:AE59"/>
    <mergeCell ref="AD60:AE60"/>
    <mergeCell ref="CD60:CF60"/>
    <mergeCell ref="B61:E61"/>
    <mergeCell ref="F61:K61"/>
    <mergeCell ref="L61:P61"/>
    <mergeCell ref="Q61:R61"/>
    <mergeCell ref="S61:T61"/>
    <mergeCell ref="U61:V61"/>
    <mergeCell ref="W61:X61"/>
    <mergeCell ref="AT60:AU60"/>
    <mergeCell ref="AV60:AW60"/>
    <mergeCell ref="AX60:AY60"/>
    <mergeCell ref="AZ60:BA60"/>
    <mergeCell ref="BB60:BC60"/>
    <mergeCell ref="BD60:BE60"/>
    <mergeCell ref="AF60:AG60"/>
    <mergeCell ref="AJ60:AK60"/>
    <mergeCell ref="AL60:AM60"/>
    <mergeCell ref="AN60:AO60"/>
    <mergeCell ref="AP60:AQ60"/>
    <mergeCell ref="AR60:AS60"/>
    <mergeCell ref="BB61:BC61"/>
    <mergeCell ref="BD61:BE61"/>
    <mergeCell ref="BF61:BG61"/>
    <mergeCell ref="BH61:BI61"/>
    <mergeCell ref="CD61:CF61"/>
    <mergeCell ref="B60:E60"/>
    <mergeCell ref="F60:K60"/>
    <mergeCell ref="L60:P60"/>
    <mergeCell ref="Q60:R60"/>
    <mergeCell ref="S60:T60"/>
    <mergeCell ref="U60:V60"/>
    <mergeCell ref="W60:X60"/>
    <mergeCell ref="F62:K62"/>
    <mergeCell ref="L62:P62"/>
    <mergeCell ref="Q62:R62"/>
    <mergeCell ref="S62:T62"/>
    <mergeCell ref="AT63:AU63"/>
    <mergeCell ref="AV63:AW63"/>
    <mergeCell ref="AX63:AY63"/>
    <mergeCell ref="AZ63:BA63"/>
    <mergeCell ref="BB63:BC63"/>
    <mergeCell ref="BD63:BE63"/>
    <mergeCell ref="AF63:AG63"/>
    <mergeCell ref="AJ63:AK63"/>
    <mergeCell ref="AL63:AM63"/>
    <mergeCell ref="AN63:AO63"/>
    <mergeCell ref="AP63:AQ63"/>
    <mergeCell ref="AR63:AS63"/>
    <mergeCell ref="AP61:AQ61"/>
    <mergeCell ref="AR61:AS61"/>
    <mergeCell ref="AT61:AU61"/>
    <mergeCell ref="AV61:AW61"/>
    <mergeCell ref="AX61:AY61"/>
    <mergeCell ref="AZ61:BA61"/>
    <mergeCell ref="Y61:AA61"/>
    <mergeCell ref="AB61:AC61"/>
    <mergeCell ref="AF61:AG61"/>
    <mergeCell ref="AJ61:AK61"/>
    <mergeCell ref="AL61:AM61"/>
    <mergeCell ref="AN61:AO61"/>
    <mergeCell ref="AD61:AE61"/>
    <mergeCell ref="AD62:AE62"/>
    <mergeCell ref="AD63:AE63"/>
    <mergeCell ref="CD62:CF62"/>
    <mergeCell ref="B63:E63"/>
    <mergeCell ref="F63:K63"/>
    <mergeCell ref="L63:P63"/>
    <mergeCell ref="Q63:R63"/>
    <mergeCell ref="S63:T63"/>
    <mergeCell ref="U63:V63"/>
    <mergeCell ref="W63:X63"/>
    <mergeCell ref="Y63:AA63"/>
    <mergeCell ref="AB63:AC63"/>
    <mergeCell ref="AX62:AY62"/>
    <mergeCell ref="AZ62:BA62"/>
    <mergeCell ref="BB62:BC62"/>
    <mergeCell ref="BD62:BE62"/>
    <mergeCell ref="BF62:BG62"/>
    <mergeCell ref="BH62:BI62"/>
    <mergeCell ref="AL62:AM62"/>
    <mergeCell ref="AN62:AO62"/>
    <mergeCell ref="AP62:AQ62"/>
    <mergeCell ref="AR62:AS62"/>
    <mergeCell ref="AT62:AU62"/>
    <mergeCell ref="AV62:AW62"/>
    <mergeCell ref="U62:V62"/>
    <mergeCell ref="W62:X62"/>
    <mergeCell ref="Y62:AA62"/>
    <mergeCell ref="AB62:AC62"/>
    <mergeCell ref="AF62:AG62"/>
    <mergeCell ref="AJ62:AK62"/>
    <mergeCell ref="BF63:BG63"/>
    <mergeCell ref="BH63:BI63"/>
    <mergeCell ref="CD63:CF63"/>
    <mergeCell ref="B62:E62"/>
    <mergeCell ref="BF64:BG64"/>
    <mergeCell ref="BH64:BI64"/>
    <mergeCell ref="CD64:CF64"/>
    <mergeCell ref="B65:E65"/>
    <mergeCell ref="F65:K65"/>
    <mergeCell ref="L65:P65"/>
    <mergeCell ref="Q65:R65"/>
    <mergeCell ref="S65:T65"/>
    <mergeCell ref="AP64:AQ64"/>
    <mergeCell ref="AR64:AS64"/>
    <mergeCell ref="AT64:AU64"/>
    <mergeCell ref="AV64:AW64"/>
    <mergeCell ref="AX64:AY64"/>
    <mergeCell ref="AZ64:BA64"/>
    <mergeCell ref="Y64:AA64"/>
    <mergeCell ref="AB64:AC64"/>
    <mergeCell ref="AF64:AG64"/>
    <mergeCell ref="AJ64:AK64"/>
    <mergeCell ref="AL64:AM64"/>
    <mergeCell ref="AN64:AO64"/>
    <mergeCell ref="CD65:CF65"/>
    <mergeCell ref="B64:E64"/>
    <mergeCell ref="F64:K64"/>
    <mergeCell ref="L64:P64"/>
    <mergeCell ref="Q64:R64"/>
    <mergeCell ref="S64:T64"/>
    <mergeCell ref="U64:V64"/>
    <mergeCell ref="W64:X64"/>
    <mergeCell ref="BB64:BC64"/>
    <mergeCell ref="BD64:BE64"/>
    <mergeCell ref="AD64:AE64"/>
    <mergeCell ref="AX65:AY65"/>
    <mergeCell ref="AZ65:BA65"/>
    <mergeCell ref="BB65:BC65"/>
    <mergeCell ref="BD65:BE65"/>
    <mergeCell ref="BF65:BG65"/>
    <mergeCell ref="BH65:BI65"/>
    <mergeCell ref="AL65:AM65"/>
    <mergeCell ref="AN65:AO65"/>
    <mergeCell ref="AP65:AQ65"/>
    <mergeCell ref="AR65:AS65"/>
    <mergeCell ref="AT65:AU65"/>
    <mergeCell ref="AV65:AW65"/>
    <mergeCell ref="U65:V65"/>
    <mergeCell ref="W65:X65"/>
    <mergeCell ref="Y65:AA65"/>
    <mergeCell ref="AB65:AC65"/>
    <mergeCell ref="AF65:AG65"/>
    <mergeCell ref="AJ65:AK65"/>
    <mergeCell ref="AD65:AE65"/>
    <mergeCell ref="AN66:AO66"/>
    <mergeCell ref="AP66:AQ66"/>
    <mergeCell ref="AR66:AS66"/>
    <mergeCell ref="BB67:BC67"/>
    <mergeCell ref="BD67:BE67"/>
    <mergeCell ref="BF67:BG67"/>
    <mergeCell ref="BH67:BI67"/>
    <mergeCell ref="CD67:CF67"/>
    <mergeCell ref="B66:E66"/>
    <mergeCell ref="F66:K66"/>
    <mergeCell ref="L66:P66"/>
    <mergeCell ref="Q66:R66"/>
    <mergeCell ref="S66:T66"/>
    <mergeCell ref="U66:V66"/>
    <mergeCell ref="W66:X66"/>
    <mergeCell ref="Y66:AA66"/>
    <mergeCell ref="AB66:AC66"/>
    <mergeCell ref="BF66:BG66"/>
    <mergeCell ref="BH66:BI66"/>
    <mergeCell ref="AD66:AE66"/>
    <mergeCell ref="AP67:AQ67"/>
    <mergeCell ref="AR67:AS67"/>
    <mergeCell ref="AT67:AU67"/>
    <mergeCell ref="AV67:AW67"/>
    <mergeCell ref="AX67:AY67"/>
    <mergeCell ref="AZ67:BA67"/>
    <mergeCell ref="Y67:AA67"/>
    <mergeCell ref="AB67:AC67"/>
    <mergeCell ref="AF67:AG67"/>
    <mergeCell ref="AJ67:AK67"/>
    <mergeCell ref="AL67:AM67"/>
    <mergeCell ref="AN67:AO67"/>
    <mergeCell ref="AD67:AE67"/>
    <mergeCell ref="AD68:AE68"/>
    <mergeCell ref="AD69:AE69"/>
    <mergeCell ref="CD66:CF66"/>
    <mergeCell ref="B67:E67"/>
    <mergeCell ref="F67:K67"/>
    <mergeCell ref="L67:P67"/>
    <mergeCell ref="Q67:R67"/>
    <mergeCell ref="S67:T67"/>
    <mergeCell ref="U67:V67"/>
    <mergeCell ref="W67:X67"/>
    <mergeCell ref="AT66:AU66"/>
    <mergeCell ref="AV66:AW66"/>
    <mergeCell ref="AX66:AY66"/>
    <mergeCell ref="AZ66:BA66"/>
    <mergeCell ref="BB66:BC66"/>
    <mergeCell ref="BD66:BE66"/>
    <mergeCell ref="AF66:AG66"/>
    <mergeCell ref="AJ66:AK66"/>
    <mergeCell ref="AL66:AM66"/>
    <mergeCell ref="CD69:CF69"/>
    <mergeCell ref="B68:E68"/>
    <mergeCell ref="F68:K68"/>
    <mergeCell ref="L68:P68"/>
    <mergeCell ref="Q68:R68"/>
    <mergeCell ref="S68:T68"/>
    <mergeCell ref="AT69:AU69"/>
    <mergeCell ref="AV69:AW69"/>
    <mergeCell ref="AX69:AY69"/>
    <mergeCell ref="AZ69:BA69"/>
    <mergeCell ref="BB69:BC69"/>
    <mergeCell ref="BD69:BE69"/>
    <mergeCell ref="AF69:AG69"/>
    <mergeCell ref="AJ69:AK69"/>
    <mergeCell ref="AL69:AM69"/>
    <mergeCell ref="AN69:AO69"/>
    <mergeCell ref="AP69:AQ69"/>
    <mergeCell ref="AR69:AS69"/>
    <mergeCell ref="BD70:BE70"/>
    <mergeCell ref="AD70:AE70"/>
    <mergeCell ref="CD68:CF68"/>
    <mergeCell ref="B69:E69"/>
    <mergeCell ref="F69:K69"/>
    <mergeCell ref="L69:P69"/>
    <mergeCell ref="Q69:R69"/>
    <mergeCell ref="S69:T69"/>
    <mergeCell ref="U69:V69"/>
    <mergeCell ref="W69:X69"/>
    <mergeCell ref="Y69:AA69"/>
    <mergeCell ref="AB69:AC69"/>
    <mergeCell ref="AX68:AY68"/>
    <mergeCell ref="AZ68:BA68"/>
    <mergeCell ref="BB68:BC68"/>
    <mergeCell ref="BD68:BE68"/>
    <mergeCell ref="BF68:BG68"/>
    <mergeCell ref="BH68:BI68"/>
    <mergeCell ref="AL68:AM68"/>
    <mergeCell ref="AN68:AO68"/>
    <mergeCell ref="AP68:AQ68"/>
    <mergeCell ref="AR68:AS68"/>
    <mergeCell ref="AT68:AU68"/>
    <mergeCell ref="AV68:AW68"/>
    <mergeCell ref="U68:V68"/>
    <mergeCell ref="W68:X68"/>
    <mergeCell ref="Y68:AA68"/>
    <mergeCell ref="AB68:AC68"/>
    <mergeCell ref="AF68:AG68"/>
    <mergeCell ref="AJ68:AK68"/>
    <mergeCell ref="BF69:BG69"/>
    <mergeCell ref="BH69:BI69"/>
    <mergeCell ref="BH72:BI72"/>
    <mergeCell ref="AD71:AE71"/>
    <mergeCell ref="AD72:AE72"/>
    <mergeCell ref="BF70:BG70"/>
    <mergeCell ref="BH70:BI70"/>
    <mergeCell ref="CD70:CF70"/>
    <mergeCell ref="B71:E71"/>
    <mergeCell ref="F71:K71"/>
    <mergeCell ref="L71:P71"/>
    <mergeCell ref="Q71:R71"/>
    <mergeCell ref="S71:T71"/>
    <mergeCell ref="AP70:AQ70"/>
    <mergeCell ref="AR70:AS70"/>
    <mergeCell ref="AT70:AU70"/>
    <mergeCell ref="AV70:AW70"/>
    <mergeCell ref="AX70:AY70"/>
    <mergeCell ref="AZ70:BA70"/>
    <mergeCell ref="Y70:AA70"/>
    <mergeCell ref="AB70:AC70"/>
    <mergeCell ref="AF70:AG70"/>
    <mergeCell ref="AJ70:AK70"/>
    <mergeCell ref="AL70:AM70"/>
    <mergeCell ref="AN70:AO70"/>
    <mergeCell ref="CD71:CF71"/>
    <mergeCell ref="B70:E70"/>
    <mergeCell ref="F70:K70"/>
    <mergeCell ref="L70:P70"/>
    <mergeCell ref="Q70:R70"/>
    <mergeCell ref="S70:T70"/>
    <mergeCell ref="U70:V70"/>
    <mergeCell ref="W70:X70"/>
    <mergeCell ref="BB70:BC70"/>
    <mergeCell ref="AX71:AY71"/>
    <mergeCell ref="AZ71:BA71"/>
    <mergeCell ref="BB71:BC71"/>
    <mergeCell ref="BD71:BE71"/>
    <mergeCell ref="BF71:BG71"/>
    <mergeCell ref="BH71:BI71"/>
    <mergeCell ref="AL71:AM71"/>
    <mergeCell ref="AN71:AO71"/>
    <mergeCell ref="AP71:AQ71"/>
    <mergeCell ref="AR71:AS71"/>
    <mergeCell ref="AT71:AU71"/>
    <mergeCell ref="AV71:AW71"/>
    <mergeCell ref="U71:V71"/>
    <mergeCell ref="W71:X71"/>
    <mergeCell ref="Y71:AA71"/>
    <mergeCell ref="AB71:AC71"/>
    <mergeCell ref="AF71:AG71"/>
    <mergeCell ref="AJ71:AK71"/>
    <mergeCell ref="CD72:CF72"/>
    <mergeCell ref="B73:E73"/>
    <mergeCell ref="F73:K73"/>
    <mergeCell ref="L73:P73"/>
    <mergeCell ref="W73:X73"/>
    <mergeCell ref="AT72:AU72"/>
    <mergeCell ref="AV72:AW72"/>
    <mergeCell ref="AX72:AY72"/>
    <mergeCell ref="AZ72:BA72"/>
    <mergeCell ref="BB72:BC72"/>
    <mergeCell ref="BD72:BE72"/>
    <mergeCell ref="AF72:AG72"/>
    <mergeCell ref="AJ72:AK72"/>
    <mergeCell ref="AL72:AM72"/>
    <mergeCell ref="AN72:AO72"/>
    <mergeCell ref="AP72:AQ72"/>
    <mergeCell ref="AR72:AS72"/>
    <mergeCell ref="BB73:BC73"/>
    <mergeCell ref="BD73:BE73"/>
    <mergeCell ref="BF73:BG73"/>
    <mergeCell ref="BH73:BI73"/>
    <mergeCell ref="CD73:CF73"/>
    <mergeCell ref="B72:E72"/>
    <mergeCell ref="F72:K72"/>
    <mergeCell ref="L72:P72"/>
    <mergeCell ref="Q72:R72"/>
    <mergeCell ref="S72:T72"/>
    <mergeCell ref="U72:V72"/>
    <mergeCell ref="W72:X72"/>
    <mergeCell ref="Y72:AA72"/>
    <mergeCell ref="AB72:AC72"/>
    <mergeCell ref="BF72:BG72"/>
    <mergeCell ref="F74:K74"/>
    <mergeCell ref="L74:P74"/>
    <mergeCell ref="Q74:R74"/>
    <mergeCell ref="S74:T74"/>
    <mergeCell ref="AT75:AU75"/>
    <mergeCell ref="AV75:AW75"/>
    <mergeCell ref="AX75:AY75"/>
    <mergeCell ref="AZ75:BA75"/>
    <mergeCell ref="BB75:BC75"/>
    <mergeCell ref="BD75:BE75"/>
    <mergeCell ref="AF75:AG75"/>
    <mergeCell ref="AJ75:AK75"/>
    <mergeCell ref="AL75:AM75"/>
    <mergeCell ref="AN75:AO75"/>
    <mergeCell ref="AP75:AQ75"/>
    <mergeCell ref="AR75:AS75"/>
    <mergeCell ref="AP73:AQ73"/>
    <mergeCell ref="AR73:AS73"/>
    <mergeCell ref="AT73:AU73"/>
    <mergeCell ref="AV73:AW73"/>
    <mergeCell ref="AX73:AY73"/>
    <mergeCell ref="AZ73:BA73"/>
    <mergeCell ref="Y73:AA73"/>
    <mergeCell ref="AB73:AC73"/>
    <mergeCell ref="AF73:AG73"/>
    <mergeCell ref="AJ73:AK73"/>
    <mergeCell ref="AL73:AM73"/>
    <mergeCell ref="AN73:AO73"/>
    <mergeCell ref="AD73:AE73"/>
    <mergeCell ref="AD74:AE74"/>
    <mergeCell ref="AD75:AE75"/>
    <mergeCell ref="CD74:CF74"/>
    <mergeCell ref="B75:E75"/>
    <mergeCell ref="F75:K75"/>
    <mergeCell ref="L75:P75"/>
    <mergeCell ref="Q75:R75"/>
    <mergeCell ref="S75:T75"/>
    <mergeCell ref="U75:V75"/>
    <mergeCell ref="W75:X75"/>
    <mergeCell ref="Y75:AA75"/>
    <mergeCell ref="AB75:AC75"/>
    <mergeCell ref="AX74:AY74"/>
    <mergeCell ref="AZ74:BA74"/>
    <mergeCell ref="BB74:BC74"/>
    <mergeCell ref="BD74:BE74"/>
    <mergeCell ref="BF74:BG74"/>
    <mergeCell ref="BH74:BI74"/>
    <mergeCell ref="AL74:AM74"/>
    <mergeCell ref="AN74:AO74"/>
    <mergeCell ref="AP74:AQ74"/>
    <mergeCell ref="AR74:AS74"/>
    <mergeCell ref="AT74:AU74"/>
    <mergeCell ref="AV74:AW74"/>
    <mergeCell ref="U74:V74"/>
    <mergeCell ref="W74:X74"/>
    <mergeCell ref="Y74:AA74"/>
    <mergeCell ref="AB74:AC74"/>
    <mergeCell ref="AF74:AG74"/>
    <mergeCell ref="AJ74:AK74"/>
    <mergeCell ref="BF75:BG75"/>
    <mergeCell ref="BH75:BI75"/>
    <mergeCell ref="CD75:CF75"/>
    <mergeCell ref="B74:E74"/>
    <mergeCell ref="BF76:BG76"/>
    <mergeCell ref="BH76:BI76"/>
    <mergeCell ref="CD76:CF76"/>
    <mergeCell ref="B77:E77"/>
    <mergeCell ref="F77:K77"/>
    <mergeCell ref="L77:P77"/>
    <mergeCell ref="Q77:R77"/>
    <mergeCell ref="S77:T77"/>
    <mergeCell ref="AP76:AQ76"/>
    <mergeCell ref="AR76:AS76"/>
    <mergeCell ref="AT76:AU76"/>
    <mergeCell ref="AV76:AW76"/>
    <mergeCell ref="AX76:AY76"/>
    <mergeCell ref="AZ76:BA76"/>
    <mergeCell ref="Y76:AA76"/>
    <mergeCell ref="AB76:AC76"/>
    <mergeCell ref="AF76:AG76"/>
    <mergeCell ref="AJ76:AK76"/>
    <mergeCell ref="AL76:AM76"/>
    <mergeCell ref="AN76:AO76"/>
    <mergeCell ref="CD77:CF77"/>
    <mergeCell ref="B76:E76"/>
    <mergeCell ref="F76:K76"/>
    <mergeCell ref="L76:P76"/>
    <mergeCell ref="Q76:R76"/>
    <mergeCell ref="S76:T76"/>
    <mergeCell ref="U76:V76"/>
    <mergeCell ref="W76:X76"/>
    <mergeCell ref="BB76:BC76"/>
    <mergeCell ref="BD76:BE76"/>
    <mergeCell ref="AD76:AE76"/>
    <mergeCell ref="Y78:AA78"/>
    <mergeCell ref="AB78:AC78"/>
    <mergeCell ref="AX77:AY77"/>
    <mergeCell ref="AZ77:BA77"/>
    <mergeCell ref="BB77:BC77"/>
    <mergeCell ref="BD77:BE77"/>
    <mergeCell ref="BF77:BG77"/>
    <mergeCell ref="BH77:BI77"/>
    <mergeCell ref="AL77:AM77"/>
    <mergeCell ref="AN77:AO77"/>
    <mergeCell ref="AP77:AQ77"/>
    <mergeCell ref="AR77:AS77"/>
    <mergeCell ref="AT77:AU77"/>
    <mergeCell ref="AV77:AW77"/>
    <mergeCell ref="U77:V77"/>
    <mergeCell ref="W77:X77"/>
    <mergeCell ref="Y77:AA77"/>
    <mergeCell ref="AB77:AC77"/>
    <mergeCell ref="AF77:AG77"/>
    <mergeCell ref="AJ77:AK77"/>
    <mergeCell ref="BF78:BG78"/>
    <mergeCell ref="BH78:BI78"/>
    <mergeCell ref="AD77:AE77"/>
    <mergeCell ref="AD78:AE78"/>
    <mergeCell ref="CD78:CF78"/>
    <mergeCell ref="B79:E79"/>
    <mergeCell ref="F79:K79"/>
    <mergeCell ref="L79:P79"/>
    <mergeCell ref="Q79:R79"/>
    <mergeCell ref="S79:T79"/>
    <mergeCell ref="U79:V79"/>
    <mergeCell ref="W79:X79"/>
    <mergeCell ref="AT78:AU78"/>
    <mergeCell ref="AV78:AW78"/>
    <mergeCell ref="AX78:AY78"/>
    <mergeCell ref="AZ78:BA78"/>
    <mergeCell ref="BB78:BC78"/>
    <mergeCell ref="BD78:BE78"/>
    <mergeCell ref="AF78:AG78"/>
    <mergeCell ref="AJ78:AK78"/>
    <mergeCell ref="AL78:AM78"/>
    <mergeCell ref="AN78:AO78"/>
    <mergeCell ref="AP78:AQ78"/>
    <mergeCell ref="AR78:AS78"/>
    <mergeCell ref="BB79:BC79"/>
    <mergeCell ref="BD79:BE79"/>
    <mergeCell ref="BF79:BG79"/>
    <mergeCell ref="BH79:BI79"/>
    <mergeCell ref="CD79:CF79"/>
    <mergeCell ref="B78:E78"/>
    <mergeCell ref="F78:K78"/>
    <mergeCell ref="L78:P78"/>
    <mergeCell ref="Q78:R78"/>
    <mergeCell ref="S78:T78"/>
    <mergeCell ref="U78:V78"/>
    <mergeCell ref="W78:X78"/>
    <mergeCell ref="F80:K80"/>
    <mergeCell ref="L80:P80"/>
    <mergeCell ref="Q80:R80"/>
    <mergeCell ref="S80:T80"/>
    <mergeCell ref="AT81:AU81"/>
    <mergeCell ref="AV81:AW81"/>
    <mergeCell ref="AX81:AY81"/>
    <mergeCell ref="AZ81:BA81"/>
    <mergeCell ref="BB81:BC81"/>
    <mergeCell ref="BD81:BE81"/>
    <mergeCell ref="AF81:AG81"/>
    <mergeCell ref="AJ81:AK81"/>
    <mergeCell ref="AL81:AM81"/>
    <mergeCell ref="AN81:AO81"/>
    <mergeCell ref="AP81:AQ81"/>
    <mergeCell ref="AR81:AS81"/>
    <mergeCell ref="AP79:AQ79"/>
    <mergeCell ref="AR79:AS79"/>
    <mergeCell ref="AT79:AU79"/>
    <mergeCell ref="AV79:AW79"/>
    <mergeCell ref="AX79:AY79"/>
    <mergeCell ref="AZ79:BA79"/>
    <mergeCell ref="Y79:AA79"/>
    <mergeCell ref="AB79:AC79"/>
    <mergeCell ref="AF79:AG79"/>
    <mergeCell ref="AJ79:AK79"/>
    <mergeCell ref="AL79:AM79"/>
    <mergeCell ref="AN79:AO79"/>
    <mergeCell ref="AD79:AE79"/>
    <mergeCell ref="AD80:AE80"/>
    <mergeCell ref="AD81:AE81"/>
    <mergeCell ref="CD80:CF80"/>
    <mergeCell ref="B81:E81"/>
    <mergeCell ref="F81:K81"/>
    <mergeCell ref="L81:P81"/>
    <mergeCell ref="Q81:R81"/>
    <mergeCell ref="S81:T81"/>
    <mergeCell ref="U81:V81"/>
    <mergeCell ref="W81:X81"/>
    <mergeCell ref="Y81:AA81"/>
    <mergeCell ref="AB81:AC81"/>
    <mergeCell ref="AX80:AY80"/>
    <mergeCell ref="AZ80:BA80"/>
    <mergeCell ref="BB80:BC80"/>
    <mergeCell ref="BD80:BE80"/>
    <mergeCell ref="BF80:BG80"/>
    <mergeCell ref="BH80:BI80"/>
    <mergeCell ref="AL80:AM80"/>
    <mergeCell ref="AN80:AO80"/>
    <mergeCell ref="AP80:AQ80"/>
    <mergeCell ref="AR80:AS80"/>
    <mergeCell ref="AT80:AU80"/>
    <mergeCell ref="AV80:AW80"/>
    <mergeCell ref="U80:V80"/>
    <mergeCell ref="W80:X80"/>
    <mergeCell ref="Y80:AA80"/>
    <mergeCell ref="AB80:AC80"/>
    <mergeCell ref="AF80:AG80"/>
    <mergeCell ref="AJ80:AK80"/>
    <mergeCell ref="BF81:BG81"/>
    <mergeCell ref="BH81:BI81"/>
    <mergeCell ref="CD81:CF81"/>
    <mergeCell ref="B80:E80"/>
    <mergeCell ref="BF82:BG82"/>
    <mergeCell ref="BH82:BI82"/>
    <mergeCell ref="CD82:CF82"/>
    <mergeCell ref="B83:E83"/>
    <mergeCell ref="F83:K83"/>
    <mergeCell ref="L83:P83"/>
    <mergeCell ref="Q83:R83"/>
    <mergeCell ref="S83:T83"/>
    <mergeCell ref="AP82:AQ82"/>
    <mergeCell ref="AR82:AS82"/>
    <mergeCell ref="AT82:AU82"/>
    <mergeCell ref="AV82:AW82"/>
    <mergeCell ref="AX82:AY82"/>
    <mergeCell ref="AZ82:BA82"/>
    <mergeCell ref="Y82:AA82"/>
    <mergeCell ref="AB82:AC82"/>
    <mergeCell ref="AF82:AG82"/>
    <mergeCell ref="AJ82:AK82"/>
    <mergeCell ref="AL82:AM82"/>
    <mergeCell ref="AN82:AO82"/>
    <mergeCell ref="CD83:CF83"/>
    <mergeCell ref="B82:E82"/>
    <mergeCell ref="F82:K82"/>
    <mergeCell ref="L82:P82"/>
    <mergeCell ref="Q82:R82"/>
    <mergeCell ref="S82:T82"/>
    <mergeCell ref="U82:V82"/>
    <mergeCell ref="W82:X82"/>
    <mergeCell ref="BB82:BC82"/>
    <mergeCell ref="BD82:BE82"/>
    <mergeCell ref="AD82:AE82"/>
    <mergeCell ref="Y84:AA84"/>
    <mergeCell ref="AB84:AC84"/>
    <mergeCell ref="AX83:AY83"/>
    <mergeCell ref="AZ83:BA83"/>
    <mergeCell ref="BB83:BC83"/>
    <mergeCell ref="BD83:BE83"/>
    <mergeCell ref="BF83:BG83"/>
    <mergeCell ref="BH83:BI83"/>
    <mergeCell ref="AL83:AM83"/>
    <mergeCell ref="AN83:AO83"/>
    <mergeCell ref="AP83:AQ83"/>
    <mergeCell ref="AR83:AS83"/>
    <mergeCell ref="AT83:AU83"/>
    <mergeCell ref="AV83:AW83"/>
    <mergeCell ref="U83:V83"/>
    <mergeCell ref="W83:X83"/>
    <mergeCell ref="Y83:AA83"/>
    <mergeCell ref="AB83:AC83"/>
    <mergeCell ref="AF83:AG83"/>
    <mergeCell ref="AJ83:AK83"/>
    <mergeCell ref="BF84:BG84"/>
    <mergeCell ref="BH84:BI84"/>
    <mergeCell ref="AD83:AE83"/>
    <mergeCell ref="AD84:AE84"/>
    <mergeCell ref="CD84:CF84"/>
    <mergeCell ref="B85:E85"/>
    <mergeCell ref="F85:K85"/>
    <mergeCell ref="L85:P85"/>
    <mergeCell ref="Q85:R85"/>
    <mergeCell ref="S85:T85"/>
    <mergeCell ref="U85:V85"/>
    <mergeCell ref="W85:X85"/>
    <mergeCell ref="AT84:AU84"/>
    <mergeCell ref="AV84:AW84"/>
    <mergeCell ref="AX84:AY84"/>
    <mergeCell ref="AZ84:BA84"/>
    <mergeCell ref="BB84:BC84"/>
    <mergeCell ref="BD84:BE84"/>
    <mergeCell ref="AF84:AG84"/>
    <mergeCell ref="AJ84:AK84"/>
    <mergeCell ref="AL84:AM84"/>
    <mergeCell ref="AN84:AO84"/>
    <mergeCell ref="AP84:AQ84"/>
    <mergeCell ref="AR84:AS84"/>
    <mergeCell ref="BB85:BC85"/>
    <mergeCell ref="BD85:BE85"/>
    <mergeCell ref="BF85:BG85"/>
    <mergeCell ref="BH85:BI85"/>
    <mergeCell ref="CD85:CF85"/>
    <mergeCell ref="B84:E84"/>
    <mergeCell ref="F84:K84"/>
    <mergeCell ref="L84:P84"/>
    <mergeCell ref="Q84:R84"/>
    <mergeCell ref="S84:T84"/>
    <mergeCell ref="U84:V84"/>
    <mergeCell ref="W84:X84"/>
    <mergeCell ref="F86:K86"/>
    <mergeCell ref="L86:P86"/>
    <mergeCell ref="Q86:R86"/>
    <mergeCell ref="S86:T86"/>
    <mergeCell ref="AT87:AU87"/>
    <mergeCell ref="AV87:AW87"/>
    <mergeCell ref="AX87:AY87"/>
    <mergeCell ref="AZ87:BA87"/>
    <mergeCell ref="BB87:BC87"/>
    <mergeCell ref="BD87:BE87"/>
    <mergeCell ref="AF87:AG87"/>
    <mergeCell ref="AJ87:AK87"/>
    <mergeCell ref="AL87:AM87"/>
    <mergeCell ref="AN87:AO87"/>
    <mergeCell ref="AP87:AQ87"/>
    <mergeCell ref="AR87:AS87"/>
    <mergeCell ref="AP85:AQ85"/>
    <mergeCell ref="AR85:AS85"/>
    <mergeCell ref="AT85:AU85"/>
    <mergeCell ref="AV85:AW85"/>
    <mergeCell ref="AX85:AY85"/>
    <mergeCell ref="AZ85:BA85"/>
    <mergeCell ref="Y85:AA85"/>
    <mergeCell ref="AB85:AC85"/>
    <mergeCell ref="AF85:AG85"/>
    <mergeCell ref="AJ85:AK85"/>
    <mergeCell ref="AL85:AM85"/>
    <mergeCell ref="AN85:AO85"/>
    <mergeCell ref="AD85:AE85"/>
    <mergeCell ref="AD86:AE86"/>
    <mergeCell ref="AD87:AE87"/>
    <mergeCell ref="CD86:CF86"/>
    <mergeCell ref="B87:E87"/>
    <mergeCell ref="F87:K87"/>
    <mergeCell ref="L87:P87"/>
    <mergeCell ref="Q87:R87"/>
    <mergeCell ref="S87:T87"/>
    <mergeCell ref="U87:V87"/>
    <mergeCell ref="W87:X87"/>
    <mergeCell ref="Y87:AA87"/>
    <mergeCell ref="AB87:AC87"/>
    <mergeCell ref="AX86:AY86"/>
    <mergeCell ref="AZ86:BA86"/>
    <mergeCell ref="BB86:BC86"/>
    <mergeCell ref="BD86:BE86"/>
    <mergeCell ref="BF86:BG86"/>
    <mergeCell ref="BH86:BI86"/>
    <mergeCell ref="AL86:AM86"/>
    <mergeCell ref="AN86:AO86"/>
    <mergeCell ref="AP86:AQ86"/>
    <mergeCell ref="AR86:AS86"/>
    <mergeCell ref="AT86:AU86"/>
    <mergeCell ref="AV86:AW86"/>
    <mergeCell ref="U86:V86"/>
    <mergeCell ref="W86:X86"/>
    <mergeCell ref="Y86:AA86"/>
    <mergeCell ref="AB86:AC86"/>
    <mergeCell ref="AF86:AG86"/>
    <mergeCell ref="AJ86:AK86"/>
    <mergeCell ref="BF87:BG87"/>
    <mergeCell ref="BH87:BI87"/>
    <mergeCell ref="CD87:CF87"/>
    <mergeCell ref="B86:E86"/>
    <mergeCell ref="BF88:BG88"/>
    <mergeCell ref="BH88:BI88"/>
    <mergeCell ref="CD88:CF88"/>
    <mergeCell ref="B89:E89"/>
    <mergeCell ref="F89:K89"/>
    <mergeCell ref="L89:P89"/>
    <mergeCell ref="Q89:R89"/>
    <mergeCell ref="S89:T89"/>
    <mergeCell ref="AP88:AQ88"/>
    <mergeCell ref="AR88:AS88"/>
    <mergeCell ref="AT88:AU88"/>
    <mergeCell ref="AV88:AW88"/>
    <mergeCell ref="AX88:AY88"/>
    <mergeCell ref="AZ88:BA88"/>
    <mergeCell ref="Y88:AA88"/>
    <mergeCell ref="AB88:AC88"/>
    <mergeCell ref="AF88:AG88"/>
    <mergeCell ref="AJ88:AK88"/>
    <mergeCell ref="AL88:AM88"/>
    <mergeCell ref="AN88:AO88"/>
    <mergeCell ref="CD89:CF89"/>
    <mergeCell ref="B88:E88"/>
    <mergeCell ref="F88:K88"/>
    <mergeCell ref="L88:P88"/>
    <mergeCell ref="Q88:R88"/>
    <mergeCell ref="S88:T88"/>
    <mergeCell ref="U88:V88"/>
    <mergeCell ref="W88:X88"/>
    <mergeCell ref="BB88:BC88"/>
    <mergeCell ref="BD88:BE88"/>
    <mergeCell ref="AD88:AE88"/>
    <mergeCell ref="Y90:AA90"/>
    <mergeCell ref="AB90:AC90"/>
    <mergeCell ref="AX89:AY89"/>
    <mergeCell ref="AZ89:BA89"/>
    <mergeCell ref="BB89:BC89"/>
    <mergeCell ref="BD89:BE89"/>
    <mergeCell ref="BF89:BG89"/>
    <mergeCell ref="BH89:BI89"/>
    <mergeCell ref="AL89:AM89"/>
    <mergeCell ref="AN89:AO89"/>
    <mergeCell ref="AP89:AQ89"/>
    <mergeCell ref="AR89:AS89"/>
    <mergeCell ref="AT89:AU89"/>
    <mergeCell ref="AV89:AW89"/>
    <mergeCell ref="U89:V89"/>
    <mergeCell ref="W89:X89"/>
    <mergeCell ref="Y89:AA89"/>
    <mergeCell ref="AB89:AC89"/>
    <mergeCell ref="AF89:AG89"/>
    <mergeCell ref="AJ89:AK89"/>
    <mergeCell ref="BF90:BG90"/>
    <mergeCell ref="BH90:BI90"/>
    <mergeCell ref="AD89:AE89"/>
    <mergeCell ref="AD90:AE90"/>
    <mergeCell ref="CD90:CF90"/>
    <mergeCell ref="B91:E91"/>
    <mergeCell ref="F91:K91"/>
    <mergeCell ref="L91:P91"/>
    <mergeCell ref="Q91:R91"/>
    <mergeCell ref="S91:T91"/>
    <mergeCell ref="U91:V91"/>
    <mergeCell ref="W91:X91"/>
    <mergeCell ref="AT90:AU90"/>
    <mergeCell ref="AV90:AW90"/>
    <mergeCell ref="AX90:AY90"/>
    <mergeCell ref="AZ90:BA90"/>
    <mergeCell ref="BB90:BC90"/>
    <mergeCell ref="BD90:BE90"/>
    <mergeCell ref="AF90:AG90"/>
    <mergeCell ref="AJ90:AK90"/>
    <mergeCell ref="AL90:AM90"/>
    <mergeCell ref="AN90:AO90"/>
    <mergeCell ref="AP90:AQ90"/>
    <mergeCell ref="AR90:AS90"/>
    <mergeCell ref="BB91:BC91"/>
    <mergeCell ref="BD91:BE91"/>
    <mergeCell ref="BF91:BG91"/>
    <mergeCell ref="BH91:BI91"/>
    <mergeCell ref="CD91:CF91"/>
    <mergeCell ref="B90:E90"/>
    <mergeCell ref="F90:K90"/>
    <mergeCell ref="L90:P90"/>
    <mergeCell ref="Q90:R90"/>
    <mergeCell ref="S90:T90"/>
    <mergeCell ref="U90:V90"/>
    <mergeCell ref="W90:X90"/>
    <mergeCell ref="F92:K92"/>
    <mergeCell ref="L92:P92"/>
    <mergeCell ref="Q92:R92"/>
    <mergeCell ref="S92:T92"/>
    <mergeCell ref="AT93:AU93"/>
    <mergeCell ref="AV93:AW93"/>
    <mergeCell ref="AX93:AY93"/>
    <mergeCell ref="AZ93:BA93"/>
    <mergeCell ref="BB93:BC93"/>
    <mergeCell ref="BD93:BE93"/>
    <mergeCell ref="AF93:AG93"/>
    <mergeCell ref="AJ93:AK93"/>
    <mergeCell ref="AL93:AM93"/>
    <mergeCell ref="AN93:AO93"/>
    <mergeCell ref="AP93:AQ93"/>
    <mergeCell ref="AR93:AS93"/>
    <mergeCell ref="AP91:AQ91"/>
    <mergeCell ref="AR91:AS91"/>
    <mergeCell ref="AT91:AU91"/>
    <mergeCell ref="AV91:AW91"/>
    <mergeCell ref="AX91:AY91"/>
    <mergeCell ref="AZ91:BA91"/>
    <mergeCell ref="Y91:AA91"/>
    <mergeCell ref="AB91:AC91"/>
    <mergeCell ref="AF91:AG91"/>
    <mergeCell ref="AJ91:AK91"/>
    <mergeCell ref="AL91:AM91"/>
    <mergeCell ref="AN91:AO91"/>
    <mergeCell ref="AD91:AE91"/>
    <mergeCell ref="AD92:AE92"/>
    <mergeCell ref="AD93:AE93"/>
    <mergeCell ref="CD92:CF92"/>
    <mergeCell ref="B93:E93"/>
    <mergeCell ref="F93:K93"/>
    <mergeCell ref="L93:P93"/>
    <mergeCell ref="Q93:R93"/>
    <mergeCell ref="S93:T93"/>
    <mergeCell ref="U93:V93"/>
    <mergeCell ref="W93:X93"/>
    <mergeCell ref="Y93:AA93"/>
    <mergeCell ref="AB93:AC93"/>
    <mergeCell ref="AX92:AY92"/>
    <mergeCell ref="AZ92:BA92"/>
    <mergeCell ref="BB92:BC92"/>
    <mergeCell ref="BD92:BE92"/>
    <mergeCell ref="BF92:BG92"/>
    <mergeCell ref="BH92:BI92"/>
    <mergeCell ref="AL92:AM92"/>
    <mergeCell ref="AN92:AO92"/>
    <mergeCell ref="AP92:AQ92"/>
    <mergeCell ref="AR92:AS92"/>
    <mergeCell ref="AT92:AU92"/>
    <mergeCell ref="AV92:AW92"/>
    <mergeCell ref="U92:V92"/>
    <mergeCell ref="W92:X92"/>
    <mergeCell ref="Y92:AA92"/>
    <mergeCell ref="AB92:AC92"/>
    <mergeCell ref="AF92:AG92"/>
    <mergeCell ref="AJ92:AK92"/>
    <mergeCell ref="BF93:BG93"/>
    <mergeCell ref="BH93:BI93"/>
    <mergeCell ref="CD93:CF93"/>
    <mergeCell ref="B92:E92"/>
    <mergeCell ref="BF94:BG94"/>
    <mergeCell ref="BH94:BI94"/>
    <mergeCell ref="CD94:CF94"/>
    <mergeCell ref="B95:E95"/>
    <mergeCell ref="F95:K95"/>
    <mergeCell ref="L95:P95"/>
    <mergeCell ref="Q95:R95"/>
    <mergeCell ref="S95:T95"/>
    <mergeCell ref="AP94:AQ94"/>
    <mergeCell ref="AR94:AS94"/>
    <mergeCell ref="AT94:AU94"/>
    <mergeCell ref="AV94:AW94"/>
    <mergeCell ref="AX94:AY94"/>
    <mergeCell ref="AZ94:BA94"/>
    <mergeCell ref="Y94:AA94"/>
    <mergeCell ref="AB94:AC94"/>
    <mergeCell ref="AF94:AG94"/>
    <mergeCell ref="AJ94:AK94"/>
    <mergeCell ref="AL94:AM94"/>
    <mergeCell ref="AN94:AO94"/>
    <mergeCell ref="CD95:CF95"/>
    <mergeCell ref="B94:E94"/>
    <mergeCell ref="F94:K94"/>
    <mergeCell ref="L94:P94"/>
    <mergeCell ref="Q94:R94"/>
    <mergeCell ref="S94:T94"/>
    <mergeCell ref="U94:V94"/>
    <mergeCell ref="W94:X94"/>
    <mergeCell ref="BB94:BC94"/>
    <mergeCell ref="BD94:BE94"/>
    <mergeCell ref="AD94:AE94"/>
    <mergeCell ref="Y96:AA96"/>
    <mergeCell ref="AB96:AC96"/>
    <mergeCell ref="AX95:AY95"/>
    <mergeCell ref="AZ95:BA95"/>
    <mergeCell ref="BB95:BC95"/>
    <mergeCell ref="BD95:BE95"/>
    <mergeCell ref="BF95:BG95"/>
    <mergeCell ref="BH95:BI95"/>
    <mergeCell ref="AL95:AM95"/>
    <mergeCell ref="AN95:AO95"/>
    <mergeCell ref="AP95:AQ95"/>
    <mergeCell ref="AR95:AS95"/>
    <mergeCell ref="AT95:AU95"/>
    <mergeCell ref="AV95:AW95"/>
    <mergeCell ref="U95:V95"/>
    <mergeCell ref="W95:X95"/>
    <mergeCell ref="Y95:AA95"/>
    <mergeCell ref="AB95:AC95"/>
    <mergeCell ref="AF95:AG95"/>
    <mergeCell ref="AJ95:AK95"/>
    <mergeCell ref="BF96:BG96"/>
    <mergeCell ref="BH96:BI96"/>
    <mergeCell ref="AD95:AE95"/>
    <mergeCell ref="AD96:AE96"/>
    <mergeCell ref="CD96:CF96"/>
    <mergeCell ref="B97:E97"/>
    <mergeCell ref="F97:K97"/>
    <mergeCell ref="L97:P97"/>
    <mergeCell ref="Q97:R97"/>
    <mergeCell ref="S97:T97"/>
    <mergeCell ref="U97:V97"/>
    <mergeCell ref="W97:X97"/>
    <mergeCell ref="AT96:AU96"/>
    <mergeCell ref="AV96:AW96"/>
    <mergeCell ref="AX96:AY96"/>
    <mergeCell ref="AZ96:BA96"/>
    <mergeCell ref="BB96:BC96"/>
    <mergeCell ref="BD96:BE96"/>
    <mergeCell ref="AF96:AG96"/>
    <mergeCell ref="AJ96:AK96"/>
    <mergeCell ref="AL96:AM96"/>
    <mergeCell ref="AN96:AO96"/>
    <mergeCell ref="AP96:AQ96"/>
    <mergeCell ref="AR96:AS96"/>
    <mergeCell ref="BB97:BC97"/>
    <mergeCell ref="BD97:BE97"/>
    <mergeCell ref="BF97:BG97"/>
    <mergeCell ref="BH97:BI97"/>
    <mergeCell ref="CD97:CF97"/>
    <mergeCell ref="B96:E96"/>
    <mergeCell ref="F96:K96"/>
    <mergeCell ref="L96:P96"/>
    <mergeCell ref="Q96:R96"/>
    <mergeCell ref="S96:T96"/>
    <mergeCell ref="U96:V96"/>
    <mergeCell ref="W96:X96"/>
    <mergeCell ref="F98:K98"/>
    <mergeCell ref="L98:P98"/>
    <mergeCell ref="Q98:R98"/>
    <mergeCell ref="S98:T98"/>
    <mergeCell ref="AT99:AU99"/>
    <mergeCell ref="AV99:AW99"/>
    <mergeCell ref="AX99:AY99"/>
    <mergeCell ref="AZ99:BA99"/>
    <mergeCell ref="BB99:BC99"/>
    <mergeCell ref="BD99:BE99"/>
    <mergeCell ref="AF99:AG99"/>
    <mergeCell ref="AJ99:AK99"/>
    <mergeCell ref="AL99:AM99"/>
    <mergeCell ref="AN99:AO99"/>
    <mergeCell ref="AP99:AQ99"/>
    <mergeCell ref="AR99:AS99"/>
    <mergeCell ref="AP97:AQ97"/>
    <mergeCell ref="AR97:AS97"/>
    <mergeCell ref="AT97:AU97"/>
    <mergeCell ref="AV97:AW97"/>
    <mergeCell ref="AX97:AY97"/>
    <mergeCell ref="AZ97:BA97"/>
    <mergeCell ref="Y97:AA97"/>
    <mergeCell ref="AB97:AC97"/>
    <mergeCell ref="AF97:AG97"/>
    <mergeCell ref="AJ97:AK97"/>
    <mergeCell ref="AL97:AM97"/>
    <mergeCell ref="AN97:AO97"/>
    <mergeCell ref="AD97:AE97"/>
    <mergeCell ref="AD98:AE98"/>
    <mergeCell ref="AD99:AE99"/>
    <mergeCell ref="CD98:CF98"/>
    <mergeCell ref="B99:E99"/>
    <mergeCell ref="F99:K99"/>
    <mergeCell ref="L99:P99"/>
    <mergeCell ref="Q99:R99"/>
    <mergeCell ref="S99:T99"/>
    <mergeCell ref="U99:V99"/>
    <mergeCell ref="W99:X99"/>
    <mergeCell ref="Y99:AA99"/>
    <mergeCell ref="AB99:AC99"/>
    <mergeCell ref="AX98:AY98"/>
    <mergeCell ref="AZ98:BA98"/>
    <mergeCell ref="BB98:BC98"/>
    <mergeCell ref="BD98:BE98"/>
    <mergeCell ref="BF98:BG98"/>
    <mergeCell ref="BH98:BI98"/>
    <mergeCell ref="AL98:AM98"/>
    <mergeCell ref="AN98:AO98"/>
    <mergeCell ref="AP98:AQ98"/>
    <mergeCell ref="AR98:AS98"/>
    <mergeCell ref="AT98:AU98"/>
    <mergeCell ref="AV98:AW98"/>
    <mergeCell ref="U98:V98"/>
    <mergeCell ref="W98:X98"/>
    <mergeCell ref="Y98:AA98"/>
    <mergeCell ref="AB98:AC98"/>
    <mergeCell ref="AF98:AG98"/>
    <mergeCell ref="AJ98:AK98"/>
    <mergeCell ref="BF99:BG99"/>
    <mergeCell ref="BH99:BI99"/>
    <mergeCell ref="CD99:CF99"/>
    <mergeCell ref="B98:E98"/>
    <mergeCell ref="BF100:BG100"/>
    <mergeCell ref="BH100:BI100"/>
    <mergeCell ref="CD100:CF100"/>
    <mergeCell ref="B101:E101"/>
    <mergeCell ref="F101:K101"/>
    <mergeCell ref="L101:P101"/>
    <mergeCell ref="Q101:R101"/>
    <mergeCell ref="S101:T101"/>
    <mergeCell ref="AP100:AQ100"/>
    <mergeCell ref="AR100:AS100"/>
    <mergeCell ref="AT100:AU100"/>
    <mergeCell ref="AV100:AW100"/>
    <mergeCell ref="AX100:AY100"/>
    <mergeCell ref="AZ100:BA100"/>
    <mergeCell ref="Y100:AA100"/>
    <mergeCell ref="AB100:AC100"/>
    <mergeCell ref="AF100:AG100"/>
    <mergeCell ref="AJ100:AK100"/>
    <mergeCell ref="AL100:AM100"/>
    <mergeCell ref="AN100:AO100"/>
    <mergeCell ref="CD101:CF101"/>
    <mergeCell ref="B100:E100"/>
    <mergeCell ref="F100:K100"/>
    <mergeCell ref="L100:P100"/>
    <mergeCell ref="Q100:R100"/>
    <mergeCell ref="S100:T100"/>
    <mergeCell ref="U100:V100"/>
    <mergeCell ref="W100:X100"/>
    <mergeCell ref="BB100:BC100"/>
    <mergeCell ref="BD100:BE100"/>
    <mergeCell ref="AD100:AE100"/>
    <mergeCell ref="Y102:AA102"/>
    <mergeCell ref="AB102:AC102"/>
    <mergeCell ref="AX101:AY101"/>
    <mergeCell ref="AZ101:BA101"/>
    <mergeCell ref="BB101:BC101"/>
    <mergeCell ref="BD101:BE101"/>
    <mergeCell ref="BF101:BG101"/>
    <mergeCell ref="BH101:BI101"/>
    <mergeCell ref="AL101:AM101"/>
    <mergeCell ref="AN101:AO101"/>
    <mergeCell ref="AP101:AQ101"/>
    <mergeCell ref="AR101:AS101"/>
    <mergeCell ref="AT101:AU101"/>
    <mergeCell ref="AV101:AW101"/>
    <mergeCell ref="U101:V101"/>
    <mergeCell ref="W101:X101"/>
    <mergeCell ref="Y101:AA101"/>
    <mergeCell ref="AB101:AC101"/>
    <mergeCell ref="AF101:AG101"/>
    <mergeCell ref="AJ101:AK101"/>
    <mergeCell ref="BF102:BG102"/>
    <mergeCell ref="BH102:BI102"/>
    <mergeCell ref="AD101:AE101"/>
    <mergeCell ref="AD102:AE102"/>
    <mergeCell ref="CD102:CF102"/>
    <mergeCell ref="B103:E103"/>
    <mergeCell ref="F103:K103"/>
    <mergeCell ref="L103:P103"/>
    <mergeCell ref="Q103:R103"/>
    <mergeCell ref="S103:T103"/>
    <mergeCell ref="U103:V103"/>
    <mergeCell ref="W103:X103"/>
    <mergeCell ref="AT102:AU102"/>
    <mergeCell ref="AV102:AW102"/>
    <mergeCell ref="AX102:AY102"/>
    <mergeCell ref="AZ102:BA102"/>
    <mergeCell ref="BB102:BC102"/>
    <mergeCell ref="BD102:BE102"/>
    <mergeCell ref="AF102:AG102"/>
    <mergeCell ref="AJ102:AK102"/>
    <mergeCell ref="AL102:AM102"/>
    <mergeCell ref="AN102:AO102"/>
    <mergeCell ref="AP102:AQ102"/>
    <mergeCell ref="AR102:AS102"/>
    <mergeCell ref="BB103:BC103"/>
    <mergeCell ref="BD103:BE103"/>
    <mergeCell ref="BF103:BG103"/>
    <mergeCell ref="BH103:BI103"/>
    <mergeCell ref="CD103:CF103"/>
    <mergeCell ref="B102:E102"/>
    <mergeCell ref="F102:K102"/>
    <mergeCell ref="L102:P102"/>
    <mergeCell ref="Q102:R102"/>
    <mergeCell ref="S102:T102"/>
    <mergeCell ref="U102:V102"/>
    <mergeCell ref="W102:X102"/>
    <mergeCell ref="F104:K104"/>
    <mergeCell ref="L104:P104"/>
    <mergeCell ref="Q104:R104"/>
    <mergeCell ref="S104:T104"/>
    <mergeCell ref="AT105:AU105"/>
    <mergeCell ref="AV105:AW105"/>
    <mergeCell ref="AX105:AY105"/>
    <mergeCell ref="AZ105:BA105"/>
    <mergeCell ref="BB105:BC105"/>
    <mergeCell ref="BD105:BE105"/>
    <mergeCell ref="AF105:AG105"/>
    <mergeCell ref="AJ105:AK105"/>
    <mergeCell ref="AL105:AM105"/>
    <mergeCell ref="AN105:AO105"/>
    <mergeCell ref="AP105:AQ105"/>
    <mergeCell ref="AR105:AS105"/>
    <mergeCell ref="AP103:AQ103"/>
    <mergeCell ref="AR103:AS103"/>
    <mergeCell ref="AT103:AU103"/>
    <mergeCell ref="AV103:AW103"/>
    <mergeCell ref="AX103:AY103"/>
    <mergeCell ref="AZ103:BA103"/>
    <mergeCell ref="Y103:AA103"/>
    <mergeCell ref="AB103:AC103"/>
    <mergeCell ref="AF103:AG103"/>
    <mergeCell ref="AJ103:AK103"/>
    <mergeCell ref="AL103:AM103"/>
    <mergeCell ref="AN103:AO103"/>
    <mergeCell ref="AD103:AE103"/>
    <mergeCell ref="AD104:AE104"/>
    <mergeCell ref="AD105:AE105"/>
    <mergeCell ref="CD104:CF104"/>
    <mergeCell ref="B105:E105"/>
    <mergeCell ref="F105:K105"/>
    <mergeCell ref="L105:P105"/>
    <mergeCell ref="Q105:R105"/>
    <mergeCell ref="S105:T105"/>
    <mergeCell ref="U105:V105"/>
    <mergeCell ref="W105:X105"/>
    <mergeCell ref="Y105:AA105"/>
    <mergeCell ref="AB105:AC105"/>
    <mergeCell ref="AX104:AY104"/>
    <mergeCell ref="AZ104:BA104"/>
    <mergeCell ref="BB104:BC104"/>
    <mergeCell ref="BD104:BE104"/>
    <mergeCell ref="BF104:BG104"/>
    <mergeCell ref="BH104:BI104"/>
    <mergeCell ref="AL104:AM104"/>
    <mergeCell ref="AN104:AO104"/>
    <mergeCell ref="AP104:AQ104"/>
    <mergeCell ref="AR104:AS104"/>
    <mergeCell ref="AT104:AU104"/>
    <mergeCell ref="AV104:AW104"/>
    <mergeCell ref="U104:V104"/>
    <mergeCell ref="W104:X104"/>
    <mergeCell ref="Y104:AA104"/>
    <mergeCell ref="AB104:AC104"/>
    <mergeCell ref="AF104:AG104"/>
    <mergeCell ref="AJ104:AK104"/>
    <mergeCell ref="BF105:BG105"/>
    <mergeCell ref="BH105:BI105"/>
    <mergeCell ref="CD105:CF105"/>
    <mergeCell ref="B104:E104"/>
    <mergeCell ref="BF106:BG106"/>
    <mergeCell ref="BH106:BI106"/>
    <mergeCell ref="CD106:CF106"/>
    <mergeCell ref="B107:E107"/>
    <mergeCell ref="F107:K107"/>
    <mergeCell ref="L107:P107"/>
    <mergeCell ref="Q107:R107"/>
    <mergeCell ref="S107:T107"/>
    <mergeCell ref="AP106:AQ106"/>
    <mergeCell ref="AR106:AS106"/>
    <mergeCell ref="AT106:AU106"/>
    <mergeCell ref="AV106:AW106"/>
    <mergeCell ref="AX106:AY106"/>
    <mergeCell ref="AZ106:BA106"/>
    <mergeCell ref="Y106:AA106"/>
    <mergeCell ref="AB106:AC106"/>
    <mergeCell ref="AF106:AG106"/>
    <mergeCell ref="AJ106:AK106"/>
    <mergeCell ref="AL106:AM106"/>
    <mergeCell ref="AN106:AO106"/>
    <mergeCell ref="CD107:CF107"/>
    <mergeCell ref="B106:E106"/>
    <mergeCell ref="F106:K106"/>
    <mergeCell ref="L106:P106"/>
    <mergeCell ref="Q106:R106"/>
    <mergeCell ref="S106:T106"/>
    <mergeCell ref="U106:V106"/>
    <mergeCell ref="W106:X106"/>
    <mergeCell ref="BB106:BC106"/>
    <mergeCell ref="BD106:BE106"/>
    <mergeCell ref="AD106:AE106"/>
    <mergeCell ref="Y108:AA108"/>
    <mergeCell ref="AB108:AC108"/>
    <mergeCell ref="AX107:AY107"/>
    <mergeCell ref="AZ107:BA107"/>
    <mergeCell ref="BB107:BC107"/>
    <mergeCell ref="BD107:BE107"/>
    <mergeCell ref="BF107:BG107"/>
    <mergeCell ref="BH107:BI107"/>
    <mergeCell ref="AL107:AM107"/>
    <mergeCell ref="AN107:AO107"/>
    <mergeCell ref="AP107:AQ107"/>
    <mergeCell ref="AR107:AS107"/>
    <mergeCell ref="AT107:AU107"/>
    <mergeCell ref="AV107:AW107"/>
    <mergeCell ref="U107:V107"/>
    <mergeCell ref="W107:X107"/>
    <mergeCell ref="Y107:AA107"/>
    <mergeCell ref="AB107:AC107"/>
    <mergeCell ref="AF107:AG107"/>
    <mergeCell ref="AJ107:AK107"/>
    <mergeCell ref="BF108:BG108"/>
    <mergeCell ref="BH108:BI108"/>
    <mergeCell ref="AD107:AE107"/>
    <mergeCell ref="AD108:AE108"/>
    <mergeCell ref="CD108:CF108"/>
    <mergeCell ref="B109:E109"/>
    <mergeCell ref="F109:K109"/>
    <mergeCell ref="L109:P109"/>
    <mergeCell ref="Q109:R109"/>
    <mergeCell ref="S109:T109"/>
    <mergeCell ref="U109:V109"/>
    <mergeCell ref="W109:X109"/>
    <mergeCell ref="AT108:AU108"/>
    <mergeCell ref="AV108:AW108"/>
    <mergeCell ref="AX108:AY108"/>
    <mergeCell ref="AZ108:BA108"/>
    <mergeCell ref="BB108:BC108"/>
    <mergeCell ref="BD108:BE108"/>
    <mergeCell ref="AF108:AG108"/>
    <mergeCell ref="AJ108:AK108"/>
    <mergeCell ref="AL108:AM108"/>
    <mergeCell ref="AN108:AO108"/>
    <mergeCell ref="AP108:AQ108"/>
    <mergeCell ref="AR108:AS108"/>
    <mergeCell ref="BB109:BC109"/>
    <mergeCell ref="BD109:BE109"/>
    <mergeCell ref="BF109:BG109"/>
    <mergeCell ref="BH109:BI109"/>
    <mergeCell ref="CD109:CF109"/>
    <mergeCell ref="B108:E108"/>
    <mergeCell ref="F108:K108"/>
    <mergeCell ref="L108:P108"/>
    <mergeCell ref="Q108:R108"/>
    <mergeCell ref="S108:T108"/>
    <mergeCell ref="U108:V108"/>
    <mergeCell ref="W108:X108"/>
    <mergeCell ref="F110:K110"/>
    <mergeCell ref="L110:P110"/>
    <mergeCell ref="Q110:R110"/>
    <mergeCell ref="S110:T110"/>
    <mergeCell ref="AT111:AU111"/>
    <mergeCell ref="AV111:AW111"/>
    <mergeCell ref="AX111:AY111"/>
    <mergeCell ref="AZ111:BA111"/>
    <mergeCell ref="BB111:BC111"/>
    <mergeCell ref="BD111:BE111"/>
    <mergeCell ref="AF111:AG111"/>
    <mergeCell ref="AJ111:AK111"/>
    <mergeCell ref="AL111:AM111"/>
    <mergeCell ref="AN111:AO111"/>
    <mergeCell ref="AP111:AQ111"/>
    <mergeCell ref="AR111:AS111"/>
    <mergeCell ref="AP109:AQ109"/>
    <mergeCell ref="AR109:AS109"/>
    <mergeCell ref="AT109:AU109"/>
    <mergeCell ref="AV109:AW109"/>
    <mergeCell ref="AX109:AY109"/>
    <mergeCell ref="AZ109:BA109"/>
    <mergeCell ref="Y109:AA109"/>
    <mergeCell ref="AB109:AC109"/>
    <mergeCell ref="AF109:AG109"/>
    <mergeCell ref="AJ109:AK109"/>
    <mergeCell ref="AL109:AM109"/>
    <mergeCell ref="AN109:AO109"/>
    <mergeCell ref="AD109:AE109"/>
    <mergeCell ref="AD110:AE110"/>
    <mergeCell ref="AD111:AE111"/>
    <mergeCell ref="CD110:CF110"/>
    <mergeCell ref="B111:E111"/>
    <mergeCell ref="F111:K111"/>
    <mergeCell ref="L111:P111"/>
    <mergeCell ref="Q111:R111"/>
    <mergeCell ref="S111:T111"/>
    <mergeCell ref="U111:V111"/>
    <mergeCell ref="W111:X111"/>
    <mergeCell ref="Y111:AA111"/>
    <mergeCell ref="AB111:AC111"/>
    <mergeCell ref="AX110:AY110"/>
    <mergeCell ref="AZ110:BA110"/>
    <mergeCell ref="BB110:BC110"/>
    <mergeCell ref="BD110:BE110"/>
    <mergeCell ref="BF110:BG110"/>
    <mergeCell ref="BH110:BI110"/>
    <mergeCell ref="AL110:AM110"/>
    <mergeCell ref="AN110:AO110"/>
    <mergeCell ref="AP110:AQ110"/>
    <mergeCell ref="AR110:AS110"/>
    <mergeCell ref="AT110:AU110"/>
    <mergeCell ref="AV110:AW110"/>
    <mergeCell ref="U110:V110"/>
    <mergeCell ref="W110:X110"/>
    <mergeCell ref="Y110:AA110"/>
    <mergeCell ref="AB110:AC110"/>
    <mergeCell ref="AF110:AG110"/>
    <mergeCell ref="AJ110:AK110"/>
    <mergeCell ref="BF111:BG111"/>
    <mergeCell ref="BH111:BI111"/>
    <mergeCell ref="CD111:CF111"/>
    <mergeCell ref="B110:E110"/>
    <mergeCell ref="BF112:BG112"/>
    <mergeCell ref="BH112:BI112"/>
    <mergeCell ref="CD112:CF112"/>
    <mergeCell ref="B113:E113"/>
    <mergeCell ref="F113:K113"/>
    <mergeCell ref="L113:P113"/>
    <mergeCell ref="Q113:R113"/>
    <mergeCell ref="S113:T113"/>
    <mergeCell ref="AP112:AQ112"/>
    <mergeCell ref="AR112:AS112"/>
    <mergeCell ref="AT112:AU112"/>
    <mergeCell ref="AV112:AW112"/>
    <mergeCell ref="AX112:AY112"/>
    <mergeCell ref="AZ112:BA112"/>
    <mergeCell ref="Y112:AA112"/>
    <mergeCell ref="AB112:AC112"/>
    <mergeCell ref="AF112:AG112"/>
    <mergeCell ref="AJ112:AK112"/>
    <mergeCell ref="AL112:AM112"/>
    <mergeCell ref="AN112:AO112"/>
    <mergeCell ref="CD113:CF113"/>
    <mergeCell ref="B112:E112"/>
    <mergeCell ref="F112:K112"/>
    <mergeCell ref="L112:P112"/>
    <mergeCell ref="Q112:R112"/>
    <mergeCell ref="S112:T112"/>
    <mergeCell ref="U112:V112"/>
    <mergeCell ref="W112:X112"/>
    <mergeCell ref="BB112:BC112"/>
    <mergeCell ref="BD112:BE112"/>
    <mergeCell ref="AD112:AE112"/>
    <mergeCell ref="Y114:AA114"/>
    <mergeCell ref="AB114:AC114"/>
    <mergeCell ref="AX113:AY113"/>
    <mergeCell ref="AZ113:BA113"/>
    <mergeCell ref="BB113:BC113"/>
    <mergeCell ref="BD113:BE113"/>
    <mergeCell ref="BF113:BG113"/>
    <mergeCell ref="BH113:BI113"/>
    <mergeCell ref="AL113:AM113"/>
    <mergeCell ref="AN113:AO113"/>
    <mergeCell ref="AP113:AQ113"/>
    <mergeCell ref="AR113:AS113"/>
    <mergeCell ref="AT113:AU113"/>
    <mergeCell ref="AV113:AW113"/>
    <mergeCell ref="U113:V113"/>
    <mergeCell ref="W113:X113"/>
    <mergeCell ref="Y113:AA113"/>
    <mergeCell ref="AB113:AC113"/>
    <mergeCell ref="AF113:AG113"/>
    <mergeCell ref="AJ113:AK113"/>
    <mergeCell ref="BF114:BG114"/>
    <mergeCell ref="BH114:BI114"/>
    <mergeCell ref="AD113:AE113"/>
    <mergeCell ref="AD114:AE114"/>
    <mergeCell ref="CD114:CF114"/>
    <mergeCell ref="B115:E115"/>
    <mergeCell ref="F115:K115"/>
    <mergeCell ref="L115:P115"/>
    <mergeCell ref="Q115:R115"/>
    <mergeCell ref="S115:T115"/>
    <mergeCell ref="U115:V115"/>
    <mergeCell ref="W115:X115"/>
    <mergeCell ref="AT114:AU114"/>
    <mergeCell ref="AV114:AW114"/>
    <mergeCell ref="AX114:AY114"/>
    <mergeCell ref="AZ114:BA114"/>
    <mergeCell ref="BB114:BC114"/>
    <mergeCell ref="BD114:BE114"/>
    <mergeCell ref="AF114:AG114"/>
    <mergeCell ref="AJ114:AK114"/>
    <mergeCell ref="AL114:AM114"/>
    <mergeCell ref="AN114:AO114"/>
    <mergeCell ref="AP114:AQ114"/>
    <mergeCell ref="AR114:AS114"/>
    <mergeCell ref="BB115:BC115"/>
    <mergeCell ref="BD115:BE115"/>
    <mergeCell ref="BF115:BG115"/>
    <mergeCell ref="BH115:BI115"/>
    <mergeCell ref="CD115:CF115"/>
    <mergeCell ref="B114:E114"/>
    <mergeCell ref="F114:K114"/>
    <mergeCell ref="L114:P114"/>
    <mergeCell ref="Q114:R114"/>
    <mergeCell ref="S114:T114"/>
    <mergeCell ref="U114:V114"/>
    <mergeCell ref="W114:X114"/>
    <mergeCell ref="F116:K116"/>
    <mergeCell ref="L116:P116"/>
    <mergeCell ref="Q116:R116"/>
    <mergeCell ref="S116:T116"/>
    <mergeCell ref="AT117:AU117"/>
    <mergeCell ref="AV117:AW117"/>
    <mergeCell ref="AX117:AY117"/>
    <mergeCell ref="AZ117:BA117"/>
    <mergeCell ref="BB117:BC117"/>
    <mergeCell ref="BD117:BE117"/>
    <mergeCell ref="AF117:AG117"/>
    <mergeCell ref="AJ117:AK117"/>
    <mergeCell ref="AL117:AM117"/>
    <mergeCell ref="AN117:AO117"/>
    <mergeCell ref="AP117:AQ117"/>
    <mergeCell ref="AR117:AS117"/>
    <mergeCell ref="AP115:AQ115"/>
    <mergeCell ref="AR115:AS115"/>
    <mergeCell ref="AT115:AU115"/>
    <mergeCell ref="AV115:AW115"/>
    <mergeCell ref="AX115:AY115"/>
    <mergeCell ref="AZ115:BA115"/>
    <mergeCell ref="Y115:AA115"/>
    <mergeCell ref="AB115:AC115"/>
    <mergeCell ref="AF115:AG115"/>
    <mergeCell ref="AJ115:AK115"/>
    <mergeCell ref="AL115:AM115"/>
    <mergeCell ref="AN115:AO115"/>
    <mergeCell ref="AD115:AE115"/>
    <mergeCell ref="AD116:AE116"/>
    <mergeCell ref="AD117:AE117"/>
    <mergeCell ref="CD116:CF116"/>
    <mergeCell ref="B117:E117"/>
    <mergeCell ref="F117:K117"/>
    <mergeCell ref="L117:P117"/>
    <mergeCell ref="Q117:R117"/>
    <mergeCell ref="S117:T117"/>
    <mergeCell ref="U117:V117"/>
    <mergeCell ref="W117:X117"/>
    <mergeCell ref="Y117:AA117"/>
    <mergeCell ref="AB117:AC117"/>
    <mergeCell ref="AX116:AY116"/>
    <mergeCell ref="AZ116:BA116"/>
    <mergeCell ref="BB116:BC116"/>
    <mergeCell ref="BD116:BE116"/>
    <mergeCell ref="BF116:BG116"/>
    <mergeCell ref="BH116:BI116"/>
    <mergeCell ref="AL116:AM116"/>
    <mergeCell ref="AN116:AO116"/>
    <mergeCell ref="AP116:AQ116"/>
    <mergeCell ref="AR116:AS116"/>
    <mergeCell ref="AT116:AU116"/>
    <mergeCell ref="AV116:AW116"/>
    <mergeCell ref="U116:V116"/>
    <mergeCell ref="W116:X116"/>
    <mergeCell ref="Y116:AA116"/>
    <mergeCell ref="AB116:AC116"/>
    <mergeCell ref="AF116:AG116"/>
    <mergeCell ref="AJ116:AK116"/>
    <mergeCell ref="BF117:BG117"/>
    <mergeCell ref="BH117:BI117"/>
    <mergeCell ref="CD117:CF117"/>
    <mergeCell ref="B116:E116"/>
    <mergeCell ref="BF120:BG120"/>
    <mergeCell ref="BH120:BI120"/>
    <mergeCell ref="BF118:BG118"/>
    <mergeCell ref="BH118:BI118"/>
    <mergeCell ref="CD118:CF118"/>
    <mergeCell ref="B119:E119"/>
    <mergeCell ref="F119:K119"/>
    <mergeCell ref="L119:P119"/>
    <mergeCell ref="Q119:R119"/>
    <mergeCell ref="S119:T119"/>
    <mergeCell ref="AP118:AQ118"/>
    <mergeCell ref="AR118:AS118"/>
    <mergeCell ref="AT118:AU118"/>
    <mergeCell ref="AV118:AW118"/>
    <mergeCell ref="AX118:AY118"/>
    <mergeCell ref="AZ118:BA118"/>
    <mergeCell ref="Y118:AA118"/>
    <mergeCell ref="AB118:AC118"/>
    <mergeCell ref="AF118:AG118"/>
    <mergeCell ref="AJ118:AK118"/>
    <mergeCell ref="AL118:AM118"/>
    <mergeCell ref="AN118:AO118"/>
    <mergeCell ref="CD119:CF119"/>
    <mergeCell ref="B118:E118"/>
    <mergeCell ref="F118:K118"/>
    <mergeCell ref="L118:P118"/>
    <mergeCell ref="Q118:R118"/>
    <mergeCell ref="S118:T118"/>
    <mergeCell ref="U118:V118"/>
    <mergeCell ref="W118:X118"/>
    <mergeCell ref="BB118:BC118"/>
    <mergeCell ref="BD118:BE118"/>
    <mergeCell ref="BB121:BC121"/>
    <mergeCell ref="BD121:BE121"/>
    <mergeCell ref="BF121:BG121"/>
    <mergeCell ref="BH121:BI121"/>
    <mergeCell ref="CD121:CF121"/>
    <mergeCell ref="B120:E120"/>
    <mergeCell ref="F120:K120"/>
    <mergeCell ref="L120:P120"/>
    <mergeCell ref="Q120:R120"/>
    <mergeCell ref="S120:T120"/>
    <mergeCell ref="U120:V120"/>
    <mergeCell ref="W120:X120"/>
    <mergeCell ref="Y120:AA120"/>
    <mergeCell ref="AB120:AC120"/>
    <mergeCell ref="AX119:AY119"/>
    <mergeCell ref="AZ119:BA119"/>
    <mergeCell ref="BB119:BC119"/>
    <mergeCell ref="BD119:BE119"/>
    <mergeCell ref="BF119:BG119"/>
    <mergeCell ref="BH119:BI119"/>
    <mergeCell ref="AL119:AM119"/>
    <mergeCell ref="AN119:AO119"/>
    <mergeCell ref="AP119:AQ119"/>
    <mergeCell ref="AR119:AS119"/>
    <mergeCell ref="AT119:AU119"/>
    <mergeCell ref="AV119:AW119"/>
    <mergeCell ref="U119:V119"/>
    <mergeCell ref="W119:X119"/>
    <mergeCell ref="Y119:AA119"/>
    <mergeCell ref="AB119:AC119"/>
    <mergeCell ref="AF119:AG119"/>
    <mergeCell ref="AJ119:AK119"/>
    <mergeCell ref="AP121:AQ121"/>
    <mergeCell ref="AR121:AS121"/>
    <mergeCell ref="AT121:AU121"/>
    <mergeCell ref="AV121:AW121"/>
    <mergeCell ref="AX121:AY121"/>
    <mergeCell ref="AZ121:BA121"/>
    <mergeCell ref="Y121:AA121"/>
    <mergeCell ref="AB121:AC121"/>
    <mergeCell ref="AF121:AG121"/>
    <mergeCell ref="AJ121:AK121"/>
    <mergeCell ref="AL121:AM121"/>
    <mergeCell ref="AN121:AO121"/>
    <mergeCell ref="CD120:CF120"/>
    <mergeCell ref="B121:E121"/>
    <mergeCell ref="F121:K121"/>
    <mergeCell ref="L121:P121"/>
    <mergeCell ref="Q121:R121"/>
    <mergeCell ref="S121:T121"/>
    <mergeCell ref="U121:V121"/>
    <mergeCell ref="W121:X121"/>
    <mergeCell ref="AT120:AU120"/>
    <mergeCell ref="AV120:AW120"/>
    <mergeCell ref="AX120:AY120"/>
    <mergeCell ref="AZ120:BA120"/>
    <mergeCell ref="BB120:BC120"/>
    <mergeCell ref="BD120:BE120"/>
    <mergeCell ref="AF120:AG120"/>
    <mergeCell ref="AJ120:AK120"/>
    <mergeCell ref="AL120:AM120"/>
    <mergeCell ref="AN120:AO120"/>
    <mergeCell ref="AP120:AQ120"/>
    <mergeCell ref="AR120:AS120"/>
    <mergeCell ref="AR122:AS122"/>
    <mergeCell ref="AT122:AU122"/>
    <mergeCell ref="AV122:AW122"/>
    <mergeCell ref="U122:V122"/>
    <mergeCell ref="W122:X122"/>
    <mergeCell ref="Y122:AA122"/>
    <mergeCell ref="AB122:AC122"/>
    <mergeCell ref="AF122:AG122"/>
    <mergeCell ref="AJ122:AK122"/>
    <mergeCell ref="BF123:BG123"/>
    <mergeCell ref="BH123:BI123"/>
    <mergeCell ref="CD123:CF123"/>
    <mergeCell ref="B122:E122"/>
    <mergeCell ref="F122:K122"/>
    <mergeCell ref="L122:P122"/>
    <mergeCell ref="Q122:R122"/>
    <mergeCell ref="S122:T122"/>
    <mergeCell ref="AT123:AU123"/>
    <mergeCell ref="AV123:AW123"/>
    <mergeCell ref="AX123:AY123"/>
    <mergeCell ref="AZ123:BA123"/>
    <mergeCell ref="BB123:BC123"/>
    <mergeCell ref="BD123:BE123"/>
    <mergeCell ref="AF123:AG123"/>
    <mergeCell ref="AJ123:AK123"/>
    <mergeCell ref="AL123:AM123"/>
    <mergeCell ref="AN123:AO123"/>
    <mergeCell ref="AP123:AQ123"/>
    <mergeCell ref="AR123:AS123"/>
    <mergeCell ref="AX124:AY124"/>
    <mergeCell ref="AZ124:BA124"/>
    <mergeCell ref="Y124:AA124"/>
    <mergeCell ref="AB124:AC124"/>
    <mergeCell ref="AF124:AG124"/>
    <mergeCell ref="AJ124:AK124"/>
    <mergeCell ref="AL124:AM124"/>
    <mergeCell ref="AN124:AO124"/>
    <mergeCell ref="BB124:BC124"/>
    <mergeCell ref="BD124:BE124"/>
    <mergeCell ref="CD122:CF122"/>
    <mergeCell ref="B123:E123"/>
    <mergeCell ref="F123:K123"/>
    <mergeCell ref="L123:P123"/>
    <mergeCell ref="Q123:R123"/>
    <mergeCell ref="S123:T123"/>
    <mergeCell ref="U123:V123"/>
    <mergeCell ref="W123:X123"/>
    <mergeCell ref="Y123:AA123"/>
    <mergeCell ref="AB123:AC123"/>
    <mergeCell ref="AX122:AY122"/>
    <mergeCell ref="AZ122:BA122"/>
    <mergeCell ref="BB122:BC122"/>
    <mergeCell ref="BD122:BE122"/>
    <mergeCell ref="BF122:BG122"/>
    <mergeCell ref="BH122:BI122"/>
    <mergeCell ref="AL122:AM122"/>
    <mergeCell ref="AN122:AO122"/>
    <mergeCell ref="BF124:BG124"/>
    <mergeCell ref="BH124:BI124"/>
    <mergeCell ref="CD124:CF124"/>
    <mergeCell ref="AP122:AQ122"/>
    <mergeCell ref="CD125:CF125"/>
    <mergeCell ref="B124:E124"/>
    <mergeCell ref="F124:K124"/>
    <mergeCell ref="L124:P124"/>
    <mergeCell ref="Q124:R124"/>
    <mergeCell ref="S124:T124"/>
    <mergeCell ref="U124:V124"/>
    <mergeCell ref="W124:X124"/>
    <mergeCell ref="AX125:AY125"/>
    <mergeCell ref="AZ125:BA125"/>
    <mergeCell ref="BB125:BC125"/>
    <mergeCell ref="BD125:BE125"/>
    <mergeCell ref="BF125:BG125"/>
    <mergeCell ref="BH125:BI125"/>
    <mergeCell ref="AL125:AM125"/>
    <mergeCell ref="AN125:AO125"/>
    <mergeCell ref="AP125:AQ125"/>
    <mergeCell ref="AR125:AS125"/>
    <mergeCell ref="AT125:AU125"/>
    <mergeCell ref="AV125:AW125"/>
    <mergeCell ref="W125:X125"/>
    <mergeCell ref="Y125:AA125"/>
    <mergeCell ref="AB125:AC125"/>
    <mergeCell ref="AF125:AG125"/>
    <mergeCell ref="AJ125:AK125"/>
    <mergeCell ref="B125:E125"/>
    <mergeCell ref="F125:K125"/>
    <mergeCell ref="L125:P125"/>
    <mergeCell ref="AP124:AQ124"/>
    <mergeCell ref="AR124:AS124"/>
    <mergeCell ref="AT124:AU124"/>
    <mergeCell ref="AV124:AW124"/>
    <mergeCell ref="BF128:BG128"/>
    <mergeCell ref="BH128:BI128"/>
    <mergeCell ref="AL128:AM128"/>
    <mergeCell ref="AN128:AO128"/>
    <mergeCell ref="AP128:AQ128"/>
    <mergeCell ref="AR128:AS128"/>
    <mergeCell ref="AT128:AU128"/>
    <mergeCell ref="B127:E127"/>
    <mergeCell ref="F127:K127"/>
    <mergeCell ref="L127:P127"/>
    <mergeCell ref="Q127:R127"/>
    <mergeCell ref="S127:T127"/>
    <mergeCell ref="U127:V127"/>
    <mergeCell ref="W127:X127"/>
    <mergeCell ref="AT126:AU126"/>
    <mergeCell ref="AV126:AW126"/>
    <mergeCell ref="AX126:AY126"/>
    <mergeCell ref="AZ126:BA126"/>
    <mergeCell ref="BB126:BC126"/>
    <mergeCell ref="BD126:BE126"/>
    <mergeCell ref="AF126:AG126"/>
    <mergeCell ref="AJ126:AK126"/>
    <mergeCell ref="AL126:AM126"/>
    <mergeCell ref="AN126:AO126"/>
    <mergeCell ref="AP126:AQ126"/>
    <mergeCell ref="AR126:AS126"/>
    <mergeCell ref="BB127:BC127"/>
    <mergeCell ref="BD127:BE127"/>
    <mergeCell ref="B126:E126"/>
    <mergeCell ref="F126:K126"/>
    <mergeCell ref="L126:P126"/>
    <mergeCell ref="Q126:R126"/>
    <mergeCell ref="AP127:AQ127"/>
    <mergeCell ref="AR127:AS127"/>
    <mergeCell ref="AT127:AU127"/>
    <mergeCell ref="AV127:AW127"/>
    <mergeCell ref="AX127:AY127"/>
    <mergeCell ref="AZ127:BA127"/>
    <mergeCell ref="Y127:AA127"/>
    <mergeCell ref="AB127:AC127"/>
    <mergeCell ref="AF127:AG127"/>
    <mergeCell ref="AJ127:AK127"/>
    <mergeCell ref="AL127:AM127"/>
    <mergeCell ref="AN127:AO127"/>
    <mergeCell ref="CD126:CF126"/>
    <mergeCell ref="BF127:BG127"/>
    <mergeCell ref="BH127:BI127"/>
    <mergeCell ref="CD127:CF127"/>
    <mergeCell ref="BF126:BG126"/>
    <mergeCell ref="BH126:BI126"/>
    <mergeCell ref="Y126:AA126"/>
    <mergeCell ref="AB126:AC126"/>
    <mergeCell ref="BF129:BG129"/>
    <mergeCell ref="BH129:BI129"/>
    <mergeCell ref="CD129:CF129"/>
    <mergeCell ref="B128:E128"/>
    <mergeCell ref="L130:P130"/>
    <mergeCell ref="Q130:R130"/>
    <mergeCell ref="S130:T130"/>
    <mergeCell ref="U130:V130"/>
    <mergeCell ref="W130:X130"/>
    <mergeCell ref="Y130:AA130"/>
    <mergeCell ref="AB130:AC130"/>
    <mergeCell ref="AT129:AU129"/>
    <mergeCell ref="AV129:AW129"/>
    <mergeCell ref="AX129:AY129"/>
    <mergeCell ref="AZ129:BA129"/>
    <mergeCell ref="BB129:BC129"/>
    <mergeCell ref="BD129:BE129"/>
    <mergeCell ref="AF129:AG129"/>
    <mergeCell ref="AJ129:AK129"/>
    <mergeCell ref="AL129:AM129"/>
    <mergeCell ref="AN129:AO129"/>
    <mergeCell ref="AP129:AQ129"/>
    <mergeCell ref="AR129:AS129"/>
    <mergeCell ref="B129:E129"/>
    <mergeCell ref="F129:K129"/>
    <mergeCell ref="F128:K128"/>
    <mergeCell ref="L128:P128"/>
    <mergeCell ref="Q128:R128"/>
    <mergeCell ref="S128:T128"/>
    <mergeCell ref="CD128:CF128"/>
    <mergeCell ref="BB128:BC128"/>
    <mergeCell ref="BD128:BE128"/>
    <mergeCell ref="L129:P129"/>
    <mergeCell ref="Q129:R129"/>
    <mergeCell ref="S129:T129"/>
    <mergeCell ref="U129:V129"/>
    <mergeCell ref="W129:X129"/>
    <mergeCell ref="Y129:AA129"/>
    <mergeCell ref="AB129:AC129"/>
    <mergeCell ref="AX128:AY128"/>
    <mergeCell ref="AZ128:BA128"/>
    <mergeCell ref="U131:V131"/>
    <mergeCell ref="BD130:BE130"/>
    <mergeCell ref="AV128:AW128"/>
    <mergeCell ref="U128:V128"/>
    <mergeCell ref="W128:X128"/>
    <mergeCell ref="Y128:AA128"/>
    <mergeCell ref="AB128:AC128"/>
    <mergeCell ref="AF128:AG128"/>
    <mergeCell ref="AJ128:AK128"/>
    <mergeCell ref="U143:V143"/>
    <mergeCell ref="U134:V134"/>
    <mergeCell ref="U138:V138"/>
    <mergeCell ref="U139:V139"/>
    <mergeCell ref="BF130:BG130"/>
    <mergeCell ref="BH130:BI130"/>
    <mergeCell ref="BJ130:BK130"/>
    <mergeCell ref="BL130:BM130"/>
    <mergeCell ref="CD130:CF130"/>
    <mergeCell ref="AR130:AS130"/>
    <mergeCell ref="AT130:AU130"/>
    <mergeCell ref="AV130:AW130"/>
    <mergeCell ref="AX130:AY130"/>
    <mergeCell ref="AZ130:BA130"/>
    <mergeCell ref="BB130:BC130"/>
    <mergeCell ref="AF130:AG130"/>
    <mergeCell ref="AH130:AI130"/>
    <mergeCell ref="AJ130:AK130"/>
    <mergeCell ref="AL130:AM130"/>
    <mergeCell ref="AN130:AO130"/>
    <mergeCell ref="AP130:AQ130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R134:T134"/>
    <mergeCell ref="R135:T135"/>
    <mergeCell ref="R136:T136"/>
    <mergeCell ref="R137:T137"/>
    <mergeCell ref="R138:T138"/>
    <mergeCell ref="R139:T139"/>
    <mergeCell ref="R140:T140"/>
    <mergeCell ref="U140:V140"/>
    <mergeCell ref="U141:V141"/>
    <mergeCell ref="U142:V142"/>
    <mergeCell ref="Q125:V125"/>
    <mergeCell ref="Q73:V73"/>
    <mergeCell ref="AD118:AE118"/>
    <mergeCell ref="AD119:AE119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0:AE130"/>
    <mergeCell ref="U133:V133"/>
    <mergeCell ref="U135:V135"/>
    <mergeCell ref="U136:V136"/>
    <mergeCell ref="U137:V137"/>
    <mergeCell ref="S126:T126"/>
    <mergeCell ref="U126:V126"/>
    <mergeCell ref="W126:X126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CB7E-E530-47B5-B447-DDCE77D3251D}">
  <sheetPr>
    <pageSetUpPr fitToPage="1"/>
  </sheetPr>
  <dimension ref="A1:DF2976"/>
  <sheetViews>
    <sheetView tabSelected="1" zoomScaleNormal="100" workbookViewId="0">
      <pane ySplit="9" topLeftCell="A118" activePane="bottomLeft" state="frozen"/>
      <selection activeCell="AT75" sqref="AT75:AU75"/>
      <selection pane="bottomLeft" activeCell="Q125" sqref="Q125:V125"/>
    </sheetView>
  </sheetViews>
  <sheetFormatPr defaultColWidth="3.125" defaultRowHeight="15" customHeight="1"/>
  <cols>
    <col min="1" max="1" width="3.125" style="46" customWidth="1"/>
    <col min="2" max="11" width="3.125" style="33"/>
    <col min="12" max="12" width="3.125" style="33" customWidth="1"/>
    <col min="13" max="20" width="3.125" style="33"/>
    <col min="21" max="21" width="3.125" style="33" customWidth="1"/>
    <col min="22" max="25" width="3.125" style="33"/>
    <col min="26" max="26" width="3.125" style="33" customWidth="1"/>
    <col min="27" max="27" width="3.125" style="33"/>
    <col min="28" max="30" width="3.125" style="33" customWidth="1"/>
    <col min="31" max="33" width="3.125" style="33"/>
    <col min="34" max="35" width="3.125" style="33" customWidth="1"/>
    <col min="36" max="37" width="3.125" style="33"/>
    <col min="38" max="38" width="3.125" style="33" customWidth="1"/>
    <col min="39" max="66" width="3.125" style="33"/>
    <col min="67" max="71" width="3.125" style="33" customWidth="1"/>
    <col min="72" max="72" width="3.125" style="33"/>
    <col min="73" max="73" width="3.125" style="33" customWidth="1"/>
    <col min="74" max="75" width="3.125" style="33"/>
    <col min="76" max="77" width="3.125" style="33" customWidth="1"/>
    <col min="78" max="80" width="3.125" style="33"/>
    <col min="81" max="81" width="3.125" style="33" customWidth="1"/>
    <col min="82" max="84" width="3.125" style="33"/>
    <col min="85" max="85" width="3.125" style="33" customWidth="1"/>
    <col min="86" max="87" width="3.125" style="33"/>
    <col min="88" max="88" width="3.125" style="33" customWidth="1"/>
    <col min="89" max="89" width="3.125" style="33"/>
    <col min="90" max="90" width="3.125" style="33" customWidth="1"/>
    <col min="91" max="92" width="3.125" style="33"/>
    <col min="93" max="93" width="3.125" style="33" customWidth="1"/>
    <col min="94" max="101" width="3.125" style="33"/>
    <col min="102" max="102" width="3.125" style="33" customWidth="1"/>
    <col min="103" max="103" width="3.125" style="62"/>
    <col min="104" max="107" width="3.125" style="33"/>
    <col min="108" max="108" width="3.125" style="62"/>
    <col min="109" max="109" width="3.125" style="33"/>
    <col min="110" max="110" width="3.125" style="62"/>
    <col min="111" max="16384" width="3.125" style="33"/>
  </cols>
  <sheetData>
    <row r="1" spans="1:109" ht="15" customHeight="1">
      <c r="B1" s="33" t="s">
        <v>1369</v>
      </c>
      <c r="CY1" s="62" t="s">
        <v>29</v>
      </c>
      <c r="DE1" s="33" t="s">
        <v>30</v>
      </c>
    </row>
    <row r="7" spans="1:109" ht="15" customHeight="1">
      <c r="B7" s="37" t="s">
        <v>31</v>
      </c>
      <c r="C7" s="38"/>
      <c r="D7" s="38"/>
      <c r="E7" s="63"/>
      <c r="F7" s="63"/>
      <c r="G7" s="38"/>
      <c r="H7" s="38"/>
      <c r="I7" s="38"/>
      <c r="J7" s="38"/>
      <c r="K7" s="38"/>
      <c r="L7" s="38"/>
      <c r="M7" s="38"/>
      <c r="N7" s="38"/>
      <c r="O7" s="38"/>
      <c r="P7" s="39"/>
      <c r="Q7" s="64" t="s">
        <v>32</v>
      </c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 t="s">
        <v>33</v>
      </c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7"/>
      <c r="BP7" s="68" t="s">
        <v>1371</v>
      </c>
      <c r="BQ7" s="69"/>
      <c r="BR7" s="69"/>
      <c r="BS7" s="69"/>
      <c r="BT7" s="1233" t="s">
        <v>1372</v>
      </c>
      <c r="BU7" s="1233"/>
      <c r="BV7" s="1233"/>
      <c r="BW7" s="1234"/>
      <c r="BX7" s="34" t="s">
        <v>35</v>
      </c>
      <c r="BY7" s="35"/>
      <c r="BZ7" s="35"/>
      <c r="CA7" s="35"/>
      <c r="CB7" s="35"/>
      <c r="CC7" s="35"/>
      <c r="CD7" s="35"/>
      <c r="CE7" s="35"/>
      <c r="CF7" s="36"/>
      <c r="CG7" s="1167" t="s">
        <v>36</v>
      </c>
      <c r="CH7" s="1168"/>
      <c r="CI7" s="1173" t="s">
        <v>37</v>
      </c>
      <c r="CJ7" s="1174"/>
      <c r="CK7" s="1179" t="s">
        <v>38</v>
      </c>
      <c r="CL7" s="1180"/>
      <c r="CN7" s="70" t="s">
        <v>40</v>
      </c>
      <c r="CO7" s="71"/>
      <c r="CP7" s="71"/>
      <c r="CQ7" s="71"/>
      <c r="CR7" s="71"/>
      <c r="CS7" s="72"/>
      <c r="CT7" s="1185" t="s">
        <v>41</v>
      </c>
      <c r="CU7" s="1186"/>
      <c r="CV7" s="1186"/>
      <c r="CW7" s="1187"/>
      <c r="CY7" s="62" t="s">
        <v>42</v>
      </c>
      <c r="DD7" s="62" t="s">
        <v>43</v>
      </c>
      <c r="DE7" s="33" t="s">
        <v>30</v>
      </c>
    </row>
    <row r="8" spans="1:109" ht="15" customHeight="1">
      <c r="B8" s="37" t="s">
        <v>44</v>
      </c>
      <c r="C8" s="38"/>
      <c r="D8" s="38"/>
      <c r="E8" s="39"/>
      <c r="F8" s="1188" t="s">
        <v>45</v>
      </c>
      <c r="G8" s="1188"/>
      <c r="H8" s="1188"/>
      <c r="I8" s="1188"/>
      <c r="J8" s="1188"/>
      <c r="K8" s="1188"/>
      <c r="L8" s="1188" t="s">
        <v>46</v>
      </c>
      <c r="M8" s="1188"/>
      <c r="N8" s="1188"/>
      <c r="O8" s="1188"/>
      <c r="P8" s="1188"/>
      <c r="Q8" s="1189" t="s">
        <v>47</v>
      </c>
      <c r="R8" s="1190"/>
      <c r="S8" s="1193" t="s">
        <v>48</v>
      </c>
      <c r="T8" s="1194"/>
      <c r="U8" s="1190" t="s">
        <v>49</v>
      </c>
      <c r="V8" s="1197"/>
      <c r="W8" s="1213" t="s">
        <v>50</v>
      </c>
      <c r="X8" s="1214"/>
      <c r="Y8" s="1217" t="s">
        <v>51</v>
      </c>
      <c r="Z8" s="1218"/>
      <c r="AA8" s="1218"/>
      <c r="AB8" s="1221" t="s">
        <v>52</v>
      </c>
      <c r="AC8" s="1221"/>
      <c r="AD8" s="1223" t="s">
        <v>1373</v>
      </c>
      <c r="AE8" s="1223"/>
      <c r="AF8" s="1225" t="s">
        <v>53</v>
      </c>
      <c r="AG8" s="1226"/>
      <c r="AH8" s="1229" t="s">
        <v>1374</v>
      </c>
      <c r="AI8" s="1230"/>
      <c r="AJ8" s="1199" t="s">
        <v>1375</v>
      </c>
      <c r="AK8" s="1200"/>
      <c r="AL8" s="1203" t="s">
        <v>57</v>
      </c>
      <c r="AM8" s="1142"/>
      <c r="AN8" s="1205" t="s">
        <v>58</v>
      </c>
      <c r="AO8" s="1206"/>
      <c r="AP8" s="1206"/>
      <c r="AQ8" s="1206"/>
      <c r="AR8" s="1206"/>
      <c r="AS8" s="1207"/>
      <c r="AT8" s="1203" t="s">
        <v>59</v>
      </c>
      <c r="AU8" s="1142"/>
      <c r="AV8" s="1208" t="s">
        <v>60</v>
      </c>
      <c r="AW8" s="1141"/>
      <c r="AX8" s="1210" t="s">
        <v>1376</v>
      </c>
      <c r="AY8" s="1211"/>
      <c r="AZ8" s="1211"/>
      <c r="BA8" s="1211"/>
      <c r="BB8" s="1211"/>
      <c r="BC8" s="1211"/>
      <c r="BD8" s="1211"/>
      <c r="BE8" s="1211"/>
      <c r="BF8" s="1211"/>
      <c r="BG8" s="1211"/>
      <c r="BH8" s="1211"/>
      <c r="BI8" s="1211"/>
      <c r="BJ8" s="1211"/>
      <c r="BK8" s="1211"/>
      <c r="BL8" s="1211"/>
      <c r="BM8" s="1212"/>
      <c r="BN8" s="1141" t="s">
        <v>61</v>
      </c>
      <c r="BO8" s="1142"/>
      <c r="BP8" s="1145" t="s">
        <v>69</v>
      </c>
      <c r="BQ8" s="1147" t="s">
        <v>70</v>
      </c>
      <c r="BR8" s="1148"/>
      <c r="BS8" s="1149"/>
      <c r="BT8" s="1153" t="s">
        <v>63</v>
      </c>
      <c r="BU8" s="1154"/>
      <c r="BV8" s="1157" t="s">
        <v>64</v>
      </c>
      <c r="BW8" s="1158"/>
      <c r="BX8" s="1161" t="s">
        <v>65</v>
      </c>
      <c r="BY8" s="1162"/>
      <c r="BZ8" s="1163"/>
      <c r="CA8" s="1127" t="s">
        <v>66</v>
      </c>
      <c r="CB8" s="1128"/>
      <c r="CC8" s="1128" t="s">
        <v>67</v>
      </c>
      <c r="CD8" s="1128"/>
      <c r="CE8" s="1128" t="s">
        <v>68</v>
      </c>
      <c r="CF8" s="1131"/>
      <c r="CG8" s="1169"/>
      <c r="CH8" s="1170"/>
      <c r="CI8" s="1175"/>
      <c r="CJ8" s="1176"/>
      <c r="CK8" s="1181"/>
      <c r="CL8" s="1182"/>
      <c r="CN8" s="1133" t="s">
        <v>65</v>
      </c>
      <c r="CO8" s="1134"/>
      <c r="CP8" s="1137" t="s">
        <v>71</v>
      </c>
      <c r="CQ8" s="1134"/>
      <c r="CR8" s="1137" t="s">
        <v>72</v>
      </c>
      <c r="CS8" s="1139"/>
      <c r="CT8" s="1113" t="s">
        <v>73</v>
      </c>
      <c r="CU8" s="1114"/>
      <c r="CV8" s="1114" t="s">
        <v>68</v>
      </c>
      <c r="CW8" s="1117"/>
      <c r="CY8" s="62" t="s">
        <v>74</v>
      </c>
      <c r="DE8" s="33" t="s">
        <v>30</v>
      </c>
    </row>
    <row r="9" spans="1:109" ht="15" customHeight="1">
      <c r="B9" s="40"/>
      <c r="C9" s="41"/>
      <c r="D9" s="41"/>
      <c r="E9" s="42"/>
      <c r="F9" s="1119"/>
      <c r="G9" s="1119"/>
      <c r="H9" s="1119"/>
      <c r="I9" s="1119"/>
      <c r="J9" s="1119"/>
      <c r="K9" s="1119"/>
      <c r="L9" s="1119"/>
      <c r="M9" s="1119"/>
      <c r="N9" s="1119"/>
      <c r="O9" s="1119"/>
      <c r="P9" s="1119"/>
      <c r="Q9" s="1191"/>
      <c r="R9" s="1192"/>
      <c r="S9" s="1195"/>
      <c r="T9" s="1196"/>
      <c r="U9" s="1192"/>
      <c r="V9" s="1198"/>
      <c r="W9" s="1215"/>
      <c r="X9" s="1216"/>
      <c r="Y9" s="1219"/>
      <c r="Z9" s="1220"/>
      <c r="AA9" s="1220"/>
      <c r="AB9" s="1222"/>
      <c r="AC9" s="1222"/>
      <c r="AD9" s="1224"/>
      <c r="AE9" s="1224"/>
      <c r="AF9" s="1227"/>
      <c r="AG9" s="1228"/>
      <c r="AH9" s="1231"/>
      <c r="AI9" s="1232"/>
      <c r="AJ9" s="1201"/>
      <c r="AK9" s="1202"/>
      <c r="AL9" s="1204"/>
      <c r="AM9" s="1144"/>
      <c r="AN9" s="1120"/>
      <c r="AO9" s="1121"/>
      <c r="AP9" s="1121">
        <v>57</v>
      </c>
      <c r="AQ9" s="1122"/>
      <c r="AR9" s="1123" t="s">
        <v>75</v>
      </c>
      <c r="AS9" s="1124"/>
      <c r="AT9" s="1204"/>
      <c r="AU9" s="1144"/>
      <c r="AV9" s="1209"/>
      <c r="AW9" s="1143"/>
      <c r="AX9" s="1125" t="s">
        <v>422</v>
      </c>
      <c r="AY9" s="1126"/>
      <c r="AZ9" s="1125" t="s">
        <v>1377</v>
      </c>
      <c r="BA9" s="1126"/>
      <c r="BB9" s="1125" t="s">
        <v>424</v>
      </c>
      <c r="BC9" s="1126"/>
      <c r="BD9" s="1125" t="s">
        <v>1378</v>
      </c>
      <c r="BE9" s="1126"/>
      <c r="BF9" s="1125" t="s">
        <v>1379</v>
      </c>
      <c r="BG9" s="1126"/>
      <c r="BH9" s="1125" t="s">
        <v>1378</v>
      </c>
      <c r="BI9" s="1126"/>
      <c r="BJ9" s="1125" t="s">
        <v>1380</v>
      </c>
      <c r="BK9" s="1126"/>
      <c r="BL9" s="1125" t="s">
        <v>1378</v>
      </c>
      <c r="BM9" s="1126"/>
      <c r="BN9" s="1143"/>
      <c r="BO9" s="1144"/>
      <c r="BP9" s="1146"/>
      <c r="BQ9" s="1150"/>
      <c r="BR9" s="1151"/>
      <c r="BS9" s="1152"/>
      <c r="BT9" s="1155"/>
      <c r="BU9" s="1156"/>
      <c r="BV9" s="1159"/>
      <c r="BW9" s="1160"/>
      <c r="BX9" s="1164"/>
      <c r="BY9" s="1165"/>
      <c r="BZ9" s="1166"/>
      <c r="CA9" s="1129"/>
      <c r="CB9" s="1130"/>
      <c r="CC9" s="1130"/>
      <c r="CD9" s="1130"/>
      <c r="CE9" s="1130"/>
      <c r="CF9" s="1132"/>
      <c r="CG9" s="1171"/>
      <c r="CH9" s="1172"/>
      <c r="CI9" s="1177"/>
      <c r="CJ9" s="1178"/>
      <c r="CK9" s="1183"/>
      <c r="CL9" s="1184"/>
      <c r="CN9" s="1135"/>
      <c r="CO9" s="1136"/>
      <c r="CP9" s="1138"/>
      <c r="CQ9" s="1136"/>
      <c r="CR9" s="1138"/>
      <c r="CS9" s="1140"/>
      <c r="CT9" s="1115"/>
      <c r="CU9" s="1116"/>
      <c r="CV9" s="1116"/>
      <c r="CW9" s="1118"/>
      <c r="CY9" s="62" t="s">
        <v>78</v>
      </c>
      <c r="DE9" s="33" t="s">
        <v>30</v>
      </c>
    </row>
    <row r="10" spans="1:109" ht="15" customHeight="1">
      <c r="A10" s="46">
        <v>120</v>
      </c>
      <c r="B10" s="1101"/>
      <c r="C10" s="1101"/>
      <c r="D10" s="1101"/>
      <c r="E10" s="1101"/>
      <c r="F10" s="1101"/>
      <c r="G10" s="1101"/>
      <c r="H10" s="1101"/>
      <c r="I10" s="1101"/>
      <c r="J10" s="1101"/>
      <c r="K10" s="1101"/>
      <c r="L10" s="1102"/>
      <c r="M10" s="1102"/>
      <c r="N10" s="1102"/>
      <c r="O10" s="1102"/>
      <c r="P10" s="1102"/>
      <c r="Q10" s="1103"/>
      <c r="R10" s="1104"/>
      <c r="S10" s="1105"/>
      <c r="T10" s="1106"/>
      <c r="U10" s="1104"/>
      <c r="V10" s="1107"/>
      <c r="W10" s="1108">
        <f ca="1">INT(SUMIF($Y$10:$AA10,"外税8%",$U$10:$V10)*1.08)+INT(SUMIF($Y$10:$AA10,"外税10%",$U$10:$V10)*1.1)+SUMIF($Y$10:$AA10,"内税10%",$U$10:$V10)+SUMIF($Y$10:$AA10,"非課税",$U$10:$V10)</f>
        <v>0</v>
      </c>
      <c r="X10" s="1109"/>
      <c r="Y10" s="1110"/>
      <c r="Z10" s="1111"/>
      <c r="AA10" s="1111"/>
      <c r="AB10" s="1112"/>
      <c r="AC10" s="1112"/>
      <c r="AD10" s="1090"/>
      <c r="AE10" s="1090"/>
      <c r="AF10" s="1091">
        <v>-0.05</v>
      </c>
      <c r="AG10" s="1092"/>
      <c r="AH10" s="1097" t="str">
        <f t="shared" ref="AH10:AH41" si="0">IF(U10="","",IF(AB10="1",0,U10*$AF$10))</f>
        <v/>
      </c>
      <c r="AI10" s="1098"/>
      <c r="AJ10" s="1099" t="str">
        <f t="shared" ref="AJ10:AJ41" si="1">IF(U10="","",IF(AB10="1",0,U10))</f>
        <v/>
      </c>
      <c r="AK10" s="1100"/>
      <c r="AL10" s="1087" t="str">
        <f t="shared" ref="AL10:AL73" si="2">IF(AJ10="","",RANK(AJ10,$AJ$10:$AK$129,0))</f>
        <v/>
      </c>
      <c r="AM10" s="1088"/>
      <c r="AN10" s="1083" t="str">
        <f t="shared" ref="AN10:AN41" si="3">IF(U10="","",ROUNDDOWN(AH10,0))</f>
        <v/>
      </c>
      <c r="AO10" s="1084"/>
      <c r="AP10" s="1083">
        <f>IF(AL10&lt;=$AP$9,-1,0)</f>
        <v>0</v>
      </c>
      <c r="AQ10" s="1084"/>
      <c r="AR10" s="1085"/>
      <c r="AS10" s="1086"/>
      <c r="AT10" s="1087">
        <f>SUM(AN10:AS10)</f>
        <v>0</v>
      </c>
      <c r="AU10" s="1088"/>
      <c r="AV10" s="1082" t="str">
        <f t="shared" ref="AV10:AV41" si="4">IF(U10="","",U10+AT10)</f>
        <v/>
      </c>
      <c r="AW10" s="1089"/>
      <c r="AX10" s="1081" t="str">
        <f t="shared" ref="AX10:AX41" si="5">IF(AD10="false",IF(Y10="外税8%",INT(AV10*($CE$10/$CA$10)),""),"")</f>
        <v/>
      </c>
      <c r="AY10" s="1082"/>
      <c r="AZ10" s="1081"/>
      <c r="BA10" s="1082"/>
      <c r="BB10" s="1081" t="str">
        <f t="shared" ref="BB10:BB41" si="6">IF(AD10="false",IF(Y10="外税10%",INT(AV10*($CE$11/$CA$11)),""),"")</f>
        <v/>
      </c>
      <c r="BC10" s="1082"/>
      <c r="BD10" s="1081"/>
      <c r="BE10" s="1082"/>
      <c r="BF10" s="1081" t="str">
        <f t="shared" ref="BF10:BF41" si="7">IF(AD10="false",IF(Y10="内税8%",INT(AV10*($CE$13/$CC$13)),""),"")</f>
        <v/>
      </c>
      <c r="BG10" s="1082"/>
      <c r="BH10" s="1081"/>
      <c r="BI10" s="1082"/>
      <c r="BJ10" s="1081" t="str">
        <f t="shared" ref="BJ10:BJ41" si="8">IF(AD10="false",IF(Y10="内税10%",INT(U10/(1+0.1)*0.1),""),"")</f>
        <v/>
      </c>
      <c r="BK10" s="1082"/>
      <c r="BL10" s="1081"/>
      <c r="BM10" s="1082"/>
      <c r="BN10" s="1066" t="str">
        <f t="shared" ref="BN10:BN41" si="9">IF(AV10="","",INT(IF(Y10="外税8%",1.08,IF(Y10="外税10%",1.1,1))*AV10))</f>
        <v/>
      </c>
      <c r="BO10" s="1067"/>
      <c r="BP10" s="43" t="s">
        <v>80</v>
      </c>
      <c r="BQ10" s="1068" t="str">
        <f t="shared" ref="BQ10:BQ41" si="10">BP10&amp;Y10</f>
        <v/>
      </c>
      <c r="BR10" s="1068"/>
      <c r="BS10" s="1069"/>
      <c r="BT10" s="1070">
        <v>200</v>
      </c>
      <c r="BU10" s="1071"/>
      <c r="BV10" s="1074">
        <v>0</v>
      </c>
      <c r="BW10" s="1075"/>
      <c r="BX10" s="1079" t="s">
        <v>79</v>
      </c>
      <c r="BY10" s="1080"/>
      <c r="BZ10" s="1080"/>
      <c r="CA10" s="1005">
        <f ca="1">SUMIF($Y$10:$AA$129,$BX10,AV$10:AW$129)</f>
        <v>30935</v>
      </c>
      <c r="CB10" s="1006"/>
      <c r="CC10" s="1037">
        <f ca="1">CA10+CE10</f>
        <v>33409</v>
      </c>
      <c r="CD10" s="1037"/>
      <c r="CE10" s="1005">
        <f ca="1">INT(CA10*0.08)</f>
        <v>2474</v>
      </c>
      <c r="CF10" s="1006"/>
      <c r="CG10" s="1052">
        <v>-4999</v>
      </c>
      <c r="CH10" s="1053"/>
      <c r="CI10" s="1052">
        <v>-245</v>
      </c>
      <c r="CJ10" s="1057"/>
      <c r="CK10" s="1060">
        <f ca="1">CC17+CG10+CI10</f>
        <v>45900</v>
      </c>
      <c r="CL10" s="1057"/>
      <c r="CN10" s="1062">
        <v>0.08</v>
      </c>
      <c r="CO10" s="1063"/>
      <c r="CP10" s="1048">
        <f ca="1">INT((SUMIF(BQ10:BS129,"外税8%",AV10:AW129)*1.08)+SUMIF(BQ10:BS129,"内税8%",AV10:AW129))</f>
        <v>33409</v>
      </c>
      <c r="CQ10" s="1049"/>
      <c r="CR10" s="1050">
        <f ca="1">ROUNDUP(0-(CG10+CI10)*CP10/(CP10+CP11),0)</f>
        <v>3850</v>
      </c>
      <c r="CS10" s="1051"/>
      <c r="CT10" s="1005">
        <f ca="1">CC10+CC13-CR10</f>
        <v>29559</v>
      </c>
      <c r="CU10" s="1006"/>
      <c r="CV10" s="1005">
        <f ca="1">INT(CT10* (0.08/1.08))</f>
        <v>2189</v>
      </c>
      <c r="CW10" s="1006"/>
      <c r="CY10" s="62" t="s">
        <v>81</v>
      </c>
      <c r="DE10" s="33" t="s">
        <v>30</v>
      </c>
    </row>
    <row r="11" spans="1:109" ht="15" customHeight="1">
      <c r="A11" s="46">
        <f t="shared" ref="A11:A74" si="11">A10-1</f>
        <v>119</v>
      </c>
      <c r="B11" s="832"/>
      <c r="C11" s="832"/>
      <c r="D11" s="832"/>
      <c r="E11" s="832"/>
      <c r="F11" s="832"/>
      <c r="G11" s="832"/>
      <c r="H11" s="832"/>
      <c r="I11" s="832"/>
      <c r="J11" s="832"/>
      <c r="K11" s="832"/>
      <c r="L11" s="1047"/>
      <c r="M11" s="1047"/>
      <c r="N11" s="1047"/>
      <c r="O11" s="1047"/>
      <c r="P11" s="1047"/>
      <c r="Q11" s="887"/>
      <c r="R11" s="888"/>
      <c r="S11" s="836"/>
      <c r="T11" s="837"/>
      <c r="U11" s="888"/>
      <c r="V11" s="889"/>
      <c r="W11" s="840">
        <f ca="1">INT(SUMIF($Y$10:$AA11,"外税8%",$U$10:$V11)*1.08)+INT(SUMIF($Y$10:$AA11,"外税10%",$U$10:$V11)*1.1)+SUMIF($Y$10:$AA11,"内税10%",$U$10:$V11)+SUMIF($Y$10:$AA11,"非課税",$U$10:$V11)</f>
        <v>0</v>
      </c>
      <c r="X11" s="841"/>
      <c r="Y11" s="842"/>
      <c r="Z11" s="843"/>
      <c r="AA11" s="843"/>
      <c r="AB11" s="844"/>
      <c r="AC11" s="844"/>
      <c r="AD11" s="825"/>
      <c r="AE11" s="825"/>
      <c r="AF11" s="1093"/>
      <c r="AG11" s="1094"/>
      <c r="AH11" s="826" t="str">
        <f t="shared" si="0"/>
        <v/>
      </c>
      <c r="AI11" s="827"/>
      <c r="AJ11" s="838" t="str">
        <f t="shared" si="1"/>
        <v/>
      </c>
      <c r="AK11" s="839"/>
      <c r="AL11" s="822" t="str">
        <f t="shared" si="2"/>
        <v/>
      </c>
      <c r="AM11" s="823"/>
      <c r="AN11" s="830" t="str">
        <f t="shared" si="3"/>
        <v/>
      </c>
      <c r="AO11" s="831"/>
      <c r="AP11" s="830">
        <f t="shared" ref="AP11:AP74" si="12">IF(AL11&lt;=$AP$9,-1,0)</f>
        <v>0</v>
      </c>
      <c r="AQ11" s="831"/>
      <c r="AR11" s="820"/>
      <c r="AS11" s="821"/>
      <c r="AT11" s="822">
        <f t="shared" ref="AT11:AT26" si="13">SUM(AN11:AS11)</f>
        <v>0</v>
      </c>
      <c r="AU11" s="823"/>
      <c r="AV11" s="817" t="str">
        <f t="shared" si="4"/>
        <v/>
      </c>
      <c r="AW11" s="824"/>
      <c r="AX11" s="816" t="str">
        <f t="shared" si="5"/>
        <v/>
      </c>
      <c r="AY11" s="817"/>
      <c r="AZ11" s="816"/>
      <c r="BA11" s="817"/>
      <c r="BB11" s="816" t="str">
        <f t="shared" si="6"/>
        <v/>
      </c>
      <c r="BC11" s="817"/>
      <c r="BD11" s="816"/>
      <c r="BE11" s="817"/>
      <c r="BF11" s="816" t="str">
        <f t="shared" si="7"/>
        <v/>
      </c>
      <c r="BG11" s="817"/>
      <c r="BH11" s="816"/>
      <c r="BI11" s="817"/>
      <c r="BJ11" s="816" t="str">
        <f t="shared" si="8"/>
        <v/>
      </c>
      <c r="BK11" s="817"/>
      <c r="BL11" s="816"/>
      <c r="BM11" s="817"/>
      <c r="BN11" s="818" t="str">
        <f t="shared" si="9"/>
        <v/>
      </c>
      <c r="BO11" s="819"/>
      <c r="BP11" s="73" t="s">
        <v>80</v>
      </c>
      <c r="BQ11" s="801" t="str">
        <f t="shared" si="10"/>
        <v/>
      </c>
      <c r="BR11" s="801"/>
      <c r="BS11" s="802"/>
      <c r="BT11" s="1072"/>
      <c r="BU11" s="1073"/>
      <c r="BV11" s="1076"/>
      <c r="BW11" s="1077"/>
      <c r="BX11" s="1025" t="s">
        <v>82</v>
      </c>
      <c r="BY11" s="1026"/>
      <c r="BZ11" s="1026"/>
      <c r="CA11" s="1005">
        <f ca="1">SUMIF($Y$10:$AA$129,BX11,AV$10:AW$129)</f>
        <v>10998</v>
      </c>
      <c r="CB11" s="1006"/>
      <c r="CC11" s="1064">
        <f ca="1">CA11+CE11</f>
        <v>12097</v>
      </c>
      <c r="CD11" s="1064"/>
      <c r="CE11" s="1005">
        <f ca="1">INT(CA11*0.1)</f>
        <v>1099</v>
      </c>
      <c r="CF11" s="1006"/>
      <c r="CG11" s="1052"/>
      <c r="CH11" s="1053"/>
      <c r="CI11" s="1052"/>
      <c r="CJ11" s="1057"/>
      <c r="CK11" s="1060"/>
      <c r="CL11" s="1057"/>
      <c r="CN11" s="972">
        <v>0.1</v>
      </c>
      <c r="CO11" s="1065"/>
      <c r="CP11" s="1045">
        <f ca="1">INT(SUMIF(BQ10:BS129,"外税10%",AV10:AW129)*1.1)+SUMIF(BQ10:BS129,"内税10%",AV10:AW129)*1.1</f>
        <v>12097</v>
      </c>
      <c r="CQ11" s="1046"/>
      <c r="CR11" s="976">
        <f ca="1">0-(CG10+CI10)-CR10</f>
        <v>1394</v>
      </c>
      <c r="CS11" s="977"/>
      <c r="CT11" s="1005">
        <f ca="1">CC11+CC14-CR11</f>
        <v>13281</v>
      </c>
      <c r="CU11" s="1006"/>
      <c r="CV11" s="1005">
        <f ca="1">INT(CT11* (0.1/1.1))</f>
        <v>1207</v>
      </c>
      <c r="CW11" s="1006"/>
      <c r="CY11" s="62" t="s">
        <v>83</v>
      </c>
      <c r="DE11" s="33" t="s">
        <v>30</v>
      </c>
    </row>
    <row r="12" spans="1:109" ht="15" customHeight="1">
      <c r="A12" s="46">
        <f t="shared" si="11"/>
        <v>118</v>
      </c>
      <c r="B12" s="832"/>
      <c r="C12" s="832"/>
      <c r="D12" s="832"/>
      <c r="E12" s="832"/>
      <c r="F12" s="832"/>
      <c r="G12" s="832"/>
      <c r="H12" s="832"/>
      <c r="I12" s="832"/>
      <c r="J12" s="832"/>
      <c r="K12" s="832"/>
      <c r="L12" s="1047"/>
      <c r="M12" s="1047"/>
      <c r="N12" s="1047"/>
      <c r="O12" s="1047"/>
      <c r="P12" s="1047"/>
      <c r="Q12" s="887"/>
      <c r="R12" s="888"/>
      <c r="S12" s="836"/>
      <c r="T12" s="837"/>
      <c r="U12" s="888"/>
      <c r="V12" s="889"/>
      <c r="W12" s="840">
        <f ca="1">INT(SUMIF($Y$10:$AA12,"外税8%",$U$10:$V12)*1.08)+INT(SUMIF($Y$10:$AA12,"外税10%",$U$10:$V12)*1.1)+SUMIF($Y$10:$AA12,"内税10%",$U$10:$V12)+SUMIF($Y$10:$AA12,"非課税",$U$10:$V12)</f>
        <v>0</v>
      </c>
      <c r="X12" s="841"/>
      <c r="Y12" s="842"/>
      <c r="Z12" s="843"/>
      <c r="AA12" s="843"/>
      <c r="AB12" s="844"/>
      <c r="AC12" s="844"/>
      <c r="AD12" s="825"/>
      <c r="AE12" s="825"/>
      <c r="AF12" s="1093"/>
      <c r="AG12" s="1094"/>
      <c r="AH12" s="826" t="str">
        <f t="shared" si="0"/>
        <v/>
      </c>
      <c r="AI12" s="827"/>
      <c r="AJ12" s="838" t="str">
        <f t="shared" si="1"/>
        <v/>
      </c>
      <c r="AK12" s="839"/>
      <c r="AL12" s="822" t="str">
        <f t="shared" si="2"/>
        <v/>
      </c>
      <c r="AM12" s="823"/>
      <c r="AN12" s="830" t="str">
        <f t="shared" si="3"/>
        <v/>
      </c>
      <c r="AO12" s="831"/>
      <c r="AP12" s="830">
        <f t="shared" si="12"/>
        <v>0</v>
      </c>
      <c r="AQ12" s="831"/>
      <c r="AR12" s="820"/>
      <c r="AS12" s="821"/>
      <c r="AT12" s="822">
        <f t="shared" si="13"/>
        <v>0</v>
      </c>
      <c r="AU12" s="823"/>
      <c r="AV12" s="817" t="str">
        <f t="shared" si="4"/>
        <v/>
      </c>
      <c r="AW12" s="824"/>
      <c r="AX12" s="816" t="str">
        <f t="shared" si="5"/>
        <v/>
      </c>
      <c r="AY12" s="817"/>
      <c r="AZ12" s="816"/>
      <c r="BA12" s="817"/>
      <c r="BB12" s="816" t="str">
        <f t="shared" si="6"/>
        <v/>
      </c>
      <c r="BC12" s="817"/>
      <c r="BD12" s="816"/>
      <c r="BE12" s="817"/>
      <c r="BF12" s="816" t="str">
        <f t="shared" si="7"/>
        <v/>
      </c>
      <c r="BG12" s="817"/>
      <c r="BH12" s="816"/>
      <c r="BI12" s="817"/>
      <c r="BJ12" s="816" t="str">
        <f t="shared" si="8"/>
        <v/>
      </c>
      <c r="BK12" s="817"/>
      <c r="BL12" s="816"/>
      <c r="BM12" s="817"/>
      <c r="BN12" s="818" t="str">
        <f t="shared" si="9"/>
        <v/>
      </c>
      <c r="BO12" s="819"/>
      <c r="BP12" s="73" t="s">
        <v>80</v>
      </c>
      <c r="BQ12" s="801" t="str">
        <f t="shared" si="10"/>
        <v/>
      </c>
      <c r="BR12" s="801"/>
      <c r="BS12" s="802"/>
      <c r="BT12" s="1072"/>
      <c r="BU12" s="1073"/>
      <c r="BV12" s="1076"/>
      <c r="BW12" s="1077"/>
      <c r="BX12" s="1015" t="s">
        <v>84</v>
      </c>
      <c r="BY12" s="1016"/>
      <c r="BZ12" s="1017"/>
      <c r="CA12" s="1043">
        <f ca="1">SUM(CA10:CB11)</f>
        <v>41933</v>
      </c>
      <c r="CB12" s="1044"/>
      <c r="CC12" s="1044">
        <f ca="1">SUM(CC10:CD11)</f>
        <v>45506</v>
      </c>
      <c r="CD12" s="1044"/>
      <c r="CE12" s="1005">
        <f ca="1">SUM(CE10:CF11)</f>
        <v>3573</v>
      </c>
      <c r="CF12" s="1006"/>
      <c r="CG12" s="1052"/>
      <c r="CH12" s="1053"/>
      <c r="CI12" s="1052"/>
      <c r="CJ12" s="1057"/>
      <c r="CK12" s="1060"/>
      <c r="CL12" s="1057"/>
      <c r="CR12" s="44"/>
      <c r="CS12" s="45"/>
      <c r="CT12" s="1039" t="s">
        <v>85</v>
      </c>
      <c r="CU12" s="1040"/>
      <c r="CV12" s="1041">
        <f ca="1">SUM(CV10:CV11)</f>
        <v>3396</v>
      </c>
      <c r="CW12" s="1042"/>
      <c r="CY12" s="62" t="s">
        <v>86</v>
      </c>
      <c r="DE12" s="33" t="s">
        <v>30</v>
      </c>
    </row>
    <row r="13" spans="1:109" ht="15" customHeight="1">
      <c r="A13" s="46">
        <f t="shared" si="11"/>
        <v>117</v>
      </c>
      <c r="B13" s="832"/>
      <c r="C13" s="832"/>
      <c r="D13" s="832"/>
      <c r="E13" s="832"/>
      <c r="F13" s="832"/>
      <c r="G13" s="832"/>
      <c r="H13" s="832"/>
      <c r="I13" s="832"/>
      <c r="J13" s="832"/>
      <c r="K13" s="832"/>
      <c r="L13" s="884"/>
      <c r="M13" s="884"/>
      <c r="N13" s="884"/>
      <c r="O13" s="884"/>
      <c r="P13" s="884"/>
      <c r="Q13" s="887"/>
      <c r="R13" s="888"/>
      <c r="S13" s="836"/>
      <c r="T13" s="837"/>
      <c r="U13" s="888"/>
      <c r="V13" s="889"/>
      <c r="W13" s="840">
        <f ca="1">INT(SUMIF($Y$10:$AA13,"外税8%",$U$10:$V13)*1.08)+INT(SUMIF($Y$10:$AA13,"外税10%",$U$10:$V13)*1.1)+SUMIF($Y$10:$AA13,"内税10%",$U$10:$V13)+SUMIF($Y$10:$AA13,"非課税",$U$10:$V13)</f>
        <v>0</v>
      </c>
      <c r="X13" s="841"/>
      <c r="Y13" s="842"/>
      <c r="Z13" s="843"/>
      <c r="AA13" s="843"/>
      <c r="AB13" s="844"/>
      <c r="AC13" s="844"/>
      <c r="AD13" s="825"/>
      <c r="AE13" s="825"/>
      <c r="AF13" s="1093"/>
      <c r="AG13" s="1094"/>
      <c r="AH13" s="826" t="str">
        <f t="shared" si="0"/>
        <v/>
      </c>
      <c r="AI13" s="827"/>
      <c r="AJ13" s="838" t="str">
        <f t="shared" si="1"/>
        <v/>
      </c>
      <c r="AK13" s="839"/>
      <c r="AL13" s="822" t="str">
        <f t="shared" si="2"/>
        <v/>
      </c>
      <c r="AM13" s="823"/>
      <c r="AN13" s="830" t="str">
        <f t="shared" si="3"/>
        <v/>
      </c>
      <c r="AO13" s="831"/>
      <c r="AP13" s="830">
        <f t="shared" si="12"/>
        <v>0</v>
      </c>
      <c r="AQ13" s="831"/>
      <c r="AR13" s="820"/>
      <c r="AS13" s="821"/>
      <c r="AT13" s="822">
        <f t="shared" si="13"/>
        <v>0</v>
      </c>
      <c r="AU13" s="823"/>
      <c r="AV13" s="817" t="str">
        <f t="shared" si="4"/>
        <v/>
      </c>
      <c r="AW13" s="824"/>
      <c r="AX13" s="816" t="str">
        <f t="shared" si="5"/>
        <v/>
      </c>
      <c r="AY13" s="817"/>
      <c r="AZ13" s="816"/>
      <c r="BA13" s="817"/>
      <c r="BB13" s="816" t="str">
        <f t="shared" si="6"/>
        <v/>
      </c>
      <c r="BC13" s="817"/>
      <c r="BD13" s="816"/>
      <c r="BE13" s="817"/>
      <c r="BF13" s="816" t="str">
        <f t="shared" si="7"/>
        <v/>
      </c>
      <c r="BG13" s="817"/>
      <c r="BH13" s="816"/>
      <c r="BI13" s="817"/>
      <c r="BJ13" s="816" t="str">
        <f t="shared" si="8"/>
        <v/>
      </c>
      <c r="BK13" s="817"/>
      <c r="BL13" s="816"/>
      <c r="BM13" s="817"/>
      <c r="BN13" s="818" t="str">
        <f t="shared" si="9"/>
        <v/>
      </c>
      <c r="BO13" s="819"/>
      <c r="BP13" s="73" t="s">
        <v>80</v>
      </c>
      <c r="BQ13" s="801" t="str">
        <f t="shared" si="10"/>
        <v/>
      </c>
      <c r="BR13" s="801"/>
      <c r="BS13" s="802"/>
      <c r="BT13" s="1072"/>
      <c r="BU13" s="1073"/>
      <c r="BV13" s="1076"/>
      <c r="BW13" s="1077"/>
      <c r="BX13" s="1034" t="s">
        <v>87</v>
      </c>
      <c r="BY13" s="1035"/>
      <c r="BZ13" s="1035"/>
      <c r="CA13" s="1036">
        <f ca="1">CC13-CE13</f>
        <v>0</v>
      </c>
      <c r="CB13" s="1023"/>
      <c r="CC13" s="1037">
        <f ca="1">INT(SUMIF(Y10:AA129,BX13,AV10:AW129))</f>
        <v>0</v>
      </c>
      <c r="CD13" s="1037"/>
      <c r="CE13" s="1037">
        <f ca="1">INT(CC13/(1+0.08)*0.08)</f>
        <v>0</v>
      </c>
      <c r="CF13" s="1038"/>
      <c r="CG13" s="1052"/>
      <c r="CH13" s="1053"/>
      <c r="CI13" s="1052"/>
      <c r="CJ13" s="1057"/>
      <c r="CK13" s="1060"/>
      <c r="CL13" s="1057"/>
      <c r="CN13" s="1010" t="s">
        <v>88</v>
      </c>
      <c r="CO13" s="1011"/>
      <c r="CP13" s="1011"/>
      <c r="CQ13" s="1011"/>
      <c r="CR13" s="1011"/>
      <c r="CS13" s="1011"/>
      <c r="CT13" s="1011"/>
      <c r="CU13" s="1012"/>
      <c r="CV13" s="1032">
        <f ca="1">INT(SUMIF(BQ10:BS129,"※非課税",BN10:BO129))</f>
        <v>3060</v>
      </c>
      <c r="CW13" s="1033"/>
      <c r="CY13" s="62" t="s">
        <v>89</v>
      </c>
      <c r="DE13" s="33" t="s">
        <v>30</v>
      </c>
    </row>
    <row r="14" spans="1:109" ht="15" customHeight="1">
      <c r="A14" s="46">
        <f t="shared" si="11"/>
        <v>116</v>
      </c>
      <c r="B14" s="832"/>
      <c r="C14" s="832"/>
      <c r="D14" s="832"/>
      <c r="E14" s="832"/>
      <c r="F14" s="832"/>
      <c r="G14" s="832"/>
      <c r="H14" s="832"/>
      <c r="I14" s="832"/>
      <c r="J14" s="832"/>
      <c r="K14" s="832"/>
      <c r="L14" s="884"/>
      <c r="M14" s="884"/>
      <c r="N14" s="884"/>
      <c r="O14" s="884"/>
      <c r="P14" s="884"/>
      <c r="Q14" s="887"/>
      <c r="R14" s="888"/>
      <c r="S14" s="836"/>
      <c r="T14" s="837"/>
      <c r="U14" s="888"/>
      <c r="V14" s="889"/>
      <c r="W14" s="840">
        <f ca="1">INT(SUMIF($Y$10:$AA14,"外税8%",$U$10:$V14)*1.08)+INT(SUMIF($Y$10:$AA14,"外税10%",$U$10:$V14)*1.1)+SUMIF($Y$10:$AA14,"内税10%",$U$10:$V14)+SUMIF($Y$10:$AA14,"非課税",$U$10:$V14)</f>
        <v>0</v>
      </c>
      <c r="X14" s="841"/>
      <c r="Y14" s="842"/>
      <c r="Z14" s="843"/>
      <c r="AA14" s="843"/>
      <c r="AB14" s="844"/>
      <c r="AC14" s="844"/>
      <c r="AD14" s="825"/>
      <c r="AE14" s="825"/>
      <c r="AF14" s="1093"/>
      <c r="AG14" s="1094"/>
      <c r="AH14" s="826" t="str">
        <f t="shared" si="0"/>
        <v/>
      </c>
      <c r="AI14" s="827"/>
      <c r="AJ14" s="838" t="str">
        <f t="shared" si="1"/>
        <v/>
      </c>
      <c r="AK14" s="839"/>
      <c r="AL14" s="822" t="str">
        <f t="shared" si="2"/>
        <v/>
      </c>
      <c r="AM14" s="823"/>
      <c r="AN14" s="830" t="str">
        <f t="shared" si="3"/>
        <v/>
      </c>
      <c r="AO14" s="831"/>
      <c r="AP14" s="830">
        <f t="shared" si="12"/>
        <v>0</v>
      </c>
      <c r="AQ14" s="831"/>
      <c r="AR14" s="820"/>
      <c r="AS14" s="821"/>
      <c r="AT14" s="822">
        <f t="shared" si="13"/>
        <v>0</v>
      </c>
      <c r="AU14" s="823"/>
      <c r="AV14" s="817" t="str">
        <f t="shared" si="4"/>
        <v/>
      </c>
      <c r="AW14" s="824"/>
      <c r="AX14" s="816" t="str">
        <f t="shared" si="5"/>
        <v/>
      </c>
      <c r="AY14" s="817"/>
      <c r="AZ14" s="816"/>
      <c r="BA14" s="817"/>
      <c r="BB14" s="816" t="str">
        <f t="shared" si="6"/>
        <v/>
      </c>
      <c r="BC14" s="817"/>
      <c r="BD14" s="816"/>
      <c r="BE14" s="817"/>
      <c r="BF14" s="816" t="str">
        <f t="shared" si="7"/>
        <v/>
      </c>
      <c r="BG14" s="817"/>
      <c r="BH14" s="816"/>
      <c r="BI14" s="817"/>
      <c r="BJ14" s="816" t="str">
        <f t="shared" si="8"/>
        <v/>
      </c>
      <c r="BK14" s="817"/>
      <c r="BL14" s="816"/>
      <c r="BM14" s="817"/>
      <c r="BN14" s="818" t="str">
        <f t="shared" si="9"/>
        <v/>
      </c>
      <c r="BO14" s="819"/>
      <c r="BP14" s="73" t="s">
        <v>80</v>
      </c>
      <c r="BQ14" s="801" t="str">
        <f t="shared" si="10"/>
        <v/>
      </c>
      <c r="BR14" s="801"/>
      <c r="BS14" s="802"/>
      <c r="BT14" s="1072"/>
      <c r="BU14" s="1073"/>
      <c r="BV14" s="1076"/>
      <c r="BW14" s="1077"/>
      <c r="BX14" s="1025" t="s">
        <v>90</v>
      </c>
      <c r="BY14" s="1026"/>
      <c r="BZ14" s="1026"/>
      <c r="CA14" s="1027">
        <f ca="1">CC14-CE14</f>
        <v>2344</v>
      </c>
      <c r="CB14" s="1028"/>
      <c r="CC14" s="1005">
        <f ca="1">INT(SUMIF(Y10:AA129,BX14,AV10:AW129))</f>
        <v>2578</v>
      </c>
      <c r="CD14" s="1006"/>
      <c r="CE14" s="1005">
        <f ca="1">INT(CC14/(1+0.1)*0.1)</f>
        <v>234</v>
      </c>
      <c r="CF14" s="1006"/>
      <c r="CG14" s="1052"/>
      <c r="CH14" s="1053"/>
      <c r="CI14" s="1052"/>
      <c r="CJ14" s="1057"/>
      <c r="CK14" s="1060"/>
      <c r="CL14" s="1057"/>
      <c r="CN14" s="1029" t="s">
        <v>91</v>
      </c>
      <c r="CO14" s="1030"/>
      <c r="CP14" s="1030"/>
      <c r="CQ14" s="1030"/>
      <c r="CR14" s="1030"/>
      <c r="CS14" s="1030"/>
      <c r="CT14" s="1030"/>
      <c r="CU14" s="1031"/>
      <c r="CV14" s="1023">
        <f ca="1">INT((SUMIF(BQ10:BS129,"※外税8%",BN10:BO129))+SUMIF(BQ10:BS129,"※内税8%",BN10:BO129))</f>
        <v>0</v>
      </c>
      <c r="CW14" s="1024"/>
      <c r="CY14" s="62" t="s">
        <v>92</v>
      </c>
      <c r="DE14" s="33" t="s">
        <v>30</v>
      </c>
    </row>
    <row r="15" spans="1:109" ht="15" customHeight="1">
      <c r="A15" s="46">
        <f t="shared" si="11"/>
        <v>115</v>
      </c>
      <c r="B15" s="832"/>
      <c r="C15" s="832"/>
      <c r="D15" s="832"/>
      <c r="E15" s="832"/>
      <c r="F15" s="832"/>
      <c r="G15" s="832"/>
      <c r="H15" s="832"/>
      <c r="I15" s="832"/>
      <c r="J15" s="832"/>
      <c r="K15" s="832"/>
      <c r="L15" s="884"/>
      <c r="M15" s="884"/>
      <c r="N15" s="884"/>
      <c r="O15" s="884"/>
      <c r="P15" s="884"/>
      <c r="Q15" s="887"/>
      <c r="R15" s="888"/>
      <c r="S15" s="836"/>
      <c r="T15" s="837"/>
      <c r="U15" s="888"/>
      <c r="V15" s="889"/>
      <c r="W15" s="840">
        <f ca="1">INT(SUMIF($Y$10:$AA15,"外税8%",$U$10:$V15)*1.08)+INT(SUMIF($Y$10:$AA15,"外税10%",$U$10:$V15)*1.1)+SUMIF($Y$10:$AA15,"内税10%",$U$10:$V15)+SUMIF($Y$10:$AA15,"非課税",$U$10:$V15)</f>
        <v>0</v>
      </c>
      <c r="X15" s="841"/>
      <c r="Y15" s="842"/>
      <c r="Z15" s="843"/>
      <c r="AA15" s="843"/>
      <c r="AB15" s="844"/>
      <c r="AC15" s="844"/>
      <c r="AD15" s="825"/>
      <c r="AE15" s="825"/>
      <c r="AF15" s="1093"/>
      <c r="AG15" s="1094"/>
      <c r="AH15" s="826" t="str">
        <f t="shared" si="0"/>
        <v/>
      </c>
      <c r="AI15" s="827"/>
      <c r="AJ15" s="838" t="str">
        <f t="shared" si="1"/>
        <v/>
      </c>
      <c r="AK15" s="839"/>
      <c r="AL15" s="822" t="str">
        <f t="shared" si="2"/>
        <v/>
      </c>
      <c r="AM15" s="823"/>
      <c r="AN15" s="830" t="str">
        <f t="shared" si="3"/>
        <v/>
      </c>
      <c r="AO15" s="831"/>
      <c r="AP15" s="830">
        <f t="shared" si="12"/>
        <v>0</v>
      </c>
      <c r="AQ15" s="831"/>
      <c r="AR15" s="820"/>
      <c r="AS15" s="821"/>
      <c r="AT15" s="822">
        <f t="shared" si="13"/>
        <v>0</v>
      </c>
      <c r="AU15" s="823"/>
      <c r="AV15" s="817" t="str">
        <f t="shared" si="4"/>
        <v/>
      </c>
      <c r="AW15" s="824"/>
      <c r="AX15" s="816" t="str">
        <f t="shared" si="5"/>
        <v/>
      </c>
      <c r="AY15" s="817"/>
      <c r="AZ15" s="816"/>
      <c r="BA15" s="817"/>
      <c r="BB15" s="816" t="str">
        <f t="shared" si="6"/>
        <v/>
      </c>
      <c r="BC15" s="817"/>
      <c r="BD15" s="816"/>
      <c r="BE15" s="817"/>
      <c r="BF15" s="816" t="str">
        <f t="shared" si="7"/>
        <v/>
      </c>
      <c r="BG15" s="817"/>
      <c r="BH15" s="816"/>
      <c r="BI15" s="817"/>
      <c r="BJ15" s="816" t="str">
        <f t="shared" si="8"/>
        <v/>
      </c>
      <c r="BK15" s="817"/>
      <c r="BL15" s="816"/>
      <c r="BM15" s="817"/>
      <c r="BN15" s="818" t="str">
        <f t="shared" si="9"/>
        <v/>
      </c>
      <c r="BO15" s="819"/>
      <c r="BP15" s="73" t="s">
        <v>80</v>
      </c>
      <c r="BQ15" s="801" t="str">
        <f t="shared" si="10"/>
        <v/>
      </c>
      <c r="BR15" s="801"/>
      <c r="BS15" s="802"/>
      <c r="BT15" s="1072"/>
      <c r="BU15" s="1073"/>
      <c r="BV15" s="1076"/>
      <c r="BW15" s="1077"/>
      <c r="BX15" s="1015" t="s">
        <v>93</v>
      </c>
      <c r="BY15" s="1016"/>
      <c r="BZ15" s="1017"/>
      <c r="CA15" s="1018">
        <f ca="1">SUM(CA13:CB14)</f>
        <v>2344</v>
      </c>
      <c r="CB15" s="1019"/>
      <c r="CC15" s="1019">
        <f ca="1">SUM(CC13:CD14)</f>
        <v>2578</v>
      </c>
      <c r="CD15" s="1019"/>
      <c r="CE15" s="1005">
        <f ca="1">SUM(CE13:CF14)</f>
        <v>234</v>
      </c>
      <c r="CF15" s="1006"/>
      <c r="CG15" s="1052"/>
      <c r="CH15" s="1053"/>
      <c r="CI15" s="1052"/>
      <c r="CJ15" s="1057"/>
      <c r="CK15" s="1060"/>
      <c r="CL15" s="1057"/>
      <c r="CN15" s="1020" t="s">
        <v>94</v>
      </c>
      <c r="CO15" s="1021"/>
      <c r="CP15" s="1021"/>
      <c r="CQ15" s="1021"/>
      <c r="CR15" s="1021"/>
      <c r="CS15" s="1021"/>
      <c r="CT15" s="1021"/>
      <c r="CU15" s="1022"/>
      <c r="CV15" s="1013">
        <f ca="1">INT(SUMIF(BQ10:BS129,"※外税10%",BN10:BO129))+SUMIF(BQ10:BS129,"※内税10%",BN10:BO129)</f>
        <v>2578</v>
      </c>
      <c r="CW15" s="1014"/>
      <c r="CY15" s="62" t="s">
        <v>95</v>
      </c>
      <c r="DE15" s="33" t="s">
        <v>30</v>
      </c>
    </row>
    <row r="16" spans="1:109" ht="15" customHeight="1">
      <c r="A16" s="46">
        <f t="shared" si="11"/>
        <v>114</v>
      </c>
      <c r="B16" s="832"/>
      <c r="C16" s="832"/>
      <c r="D16" s="832"/>
      <c r="E16" s="832"/>
      <c r="F16" s="832"/>
      <c r="G16" s="832"/>
      <c r="H16" s="832"/>
      <c r="I16" s="832"/>
      <c r="J16" s="832"/>
      <c r="K16" s="832"/>
      <c r="L16" s="884"/>
      <c r="M16" s="884"/>
      <c r="N16" s="884"/>
      <c r="O16" s="884"/>
      <c r="P16" s="884"/>
      <c r="Q16" s="887"/>
      <c r="R16" s="888"/>
      <c r="S16" s="836"/>
      <c r="T16" s="837"/>
      <c r="U16" s="888"/>
      <c r="V16" s="889"/>
      <c r="W16" s="840">
        <f ca="1">INT(SUMIF($Y$10:$AA16,"外税8%",$U$10:$V16)*1.08)+INT(SUMIF($Y$10:$AA16,"外税10%",$U$10:$V16)*1.1)+SUMIF($Y$10:$AA16,"内税10%",$U$10:$V16)+SUMIF($Y$10:$AA16,"非課税",$U$10:$V16)</f>
        <v>0</v>
      </c>
      <c r="X16" s="841"/>
      <c r="Y16" s="842"/>
      <c r="Z16" s="843"/>
      <c r="AA16" s="843"/>
      <c r="AB16" s="844"/>
      <c r="AC16" s="844"/>
      <c r="AD16" s="825"/>
      <c r="AE16" s="825"/>
      <c r="AF16" s="1093"/>
      <c r="AG16" s="1094"/>
      <c r="AH16" s="826" t="str">
        <f t="shared" si="0"/>
        <v/>
      </c>
      <c r="AI16" s="827"/>
      <c r="AJ16" s="838" t="str">
        <f t="shared" si="1"/>
        <v/>
      </c>
      <c r="AK16" s="839"/>
      <c r="AL16" s="822" t="str">
        <f t="shared" si="2"/>
        <v/>
      </c>
      <c r="AM16" s="823"/>
      <c r="AN16" s="830" t="str">
        <f t="shared" si="3"/>
        <v/>
      </c>
      <c r="AO16" s="831"/>
      <c r="AP16" s="830">
        <f t="shared" si="12"/>
        <v>0</v>
      </c>
      <c r="AQ16" s="831"/>
      <c r="AR16" s="820"/>
      <c r="AS16" s="821"/>
      <c r="AT16" s="822">
        <f t="shared" si="13"/>
        <v>0</v>
      </c>
      <c r="AU16" s="823"/>
      <c r="AV16" s="817" t="str">
        <f t="shared" si="4"/>
        <v/>
      </c>
      <c r="AW16" s="824"/>
      <c r="AX16" s="816" t="str">
        <f t="shared" si="5"/>
        <v/>
      </c>
      <c r="AY16" s="817"/>
      <c r="AZ16" s="816"/>
      <c r="BA16" s="817"/>
      <c r="BB16" s="816" t="str">
        <f t="shared" si="6"/>
        <v/>
      </c>
      <c r="BC16" s="817"/>
      <c r="BD16" s="816"/>
      <c r="BE16" s="817"/>
      <c r="BF16" s="816" t="str">
        <f t="shared" si="7"/>
        <v/>
      </c>
      <c r="BG16" s="817"/>
      <c r="BH16" s="816"/>
      <c r="BI16" s="817"/>
      <c r="BJ16" s="816" t="str">
        <f t="shared" si="8"/>
        <v/>
      </c>
      <c r="BK16" s="817"/>
      <c r="BL16" s="816"/>
      <c r="BM16" s="817"/>
      <c r="BN16" s="818" t="str">
        <f t="shared" si="9"/>
        <v/>
      </c>
      <c r="BO16" s="819"/>
      <c r="BP16" s="73" t="s">
        <v>80</v>
      </c>
      <c r="BQ16" s="801" t="str">
        <f t="shared" si="10"/>
        <v/>
      </c>
      <c r="BR16" s="801"/>
      <c r="BS16" s="802"/>
      <c r="BT16" s="1072"/>
      <c r="BU16" s="1073"/>
      <c r="BV16" s="1076"/>
      <c r="BW16" s="1077"/>
      <c r="BX16" s="1003" t="s">
        <v>96</v>
      </c>
      <c r="BY16" s="1004"/>
      <c r="BZ16" s="1004"/>
      <c r="CA16" s="1005">
        <f ca="1">SUMIF(Y10:AA129,BX16,U10:V129)</f>
        <v>3060</v>
      </c>
      <c r="CB16" s="1006"/>
      <c r="CC16" s="1007">
        <f ca="1">SUMIF(Y10:AA129,BX16,U10:V129)</f>
        <v>3060</v>
      </c>
      <c r="CD16" s="1007"/>
      <c r="CE16" s="1008">
        <f ca="1">CC16-CA16</f>
        <v>0</v>
      </c>
      <c r="CF16" s="1009"/>
      <c r="CG16" s="1052"/>
      <c r="CH16" s="1053"/>
      <c r="CI16" s="1052"/>
      <c r="CJ16" s="1057"/>
      <c r="CK16" s="1060"/>
      <c r="CL16" s="1057"/>
      <c r="CN16" s="1010" t="s">
        <v>97</v>
      </c>
      <c r="CO16" s="1011"/>
      <c r="CP16" s="1011"/>
      <c r="CQ16" s="1011"/>
      <c r="CR16" s="1011"/>
      <c r="CS16" s="1011"/>
      <c r="CT16" s="1011"/>
      <c r="CU16" s="1012"/>
      <c r="CV16" s="1001">
        <f ca="1">CP10+CP11+SUM(CV13:CW15)</f>
        <v>51144</v>
      </c>
      <c r="CW16" s="1002"/>
      <c r="CY16" s="62" t="s">
        <v>98</v>
      </c>
      <c r="DE16" s="33" t="s">
        <v>30</v>
      </c>
    </row>
    <row r="17" spans="1:110" ht="15" customHeight="1">
      <c r="A17" s="46">
        <f t="shared" si="11"/>
        <v>113</v>
      </c>
      <c r="B17" s="832"/>
      <c r="C17" s="832"/>
      <c r="D17" s="832"/>
      <c r="E17" s="832"/>
      <c r="F17" s="832"/>
      <c r="G17" s="832"/>
      <c r="H17" s="832"/>
      <c r="I17" s="832"/>
      <c r="J17" s="832"/>
      <c r="K17" s="832"/>
      <c r="L17" s="884"/>
      <c r="M17" s="884"/>
      <c r="N17" s="884"/>
      <c r="O17" s="884"/>
      <c r="P17" s="884"/>
      <c r="Q17" s="887"/>
      <c r="R17" s="888"/>
      <c r="S17" s="836"/>
      <c r="T17" s="837"/>
      <c r="U17" s="888"/>
      <c r="V17" s="889"/>
      <c r="W17" s="840">
        <f ca="1">INT(SUMIF($Y$10:$AA17,"外税8%",$U$10:$V17)*1.08)+INT(SUMIF($Y$10:$AA17,"外税10%",$U$10:$V17)*1.1)+SUMIF($Y$10:$AA17,"内税10%",$U$10:$V17)+SUMIF($Y$10:$AA17,"非課税",$U$10:$V17)</f>
        <v>0</v>
      </c>
      <c r="X17" s="841"/>
      <c r="Y17" s="842"/>
      <c r="Z17" s="843"/>
      <c r="AA17" s="843"/>
      <c r="AB17" s="844"/>
      <c r="AC17" s="844"/>
      <c r="AD17" s="825"/>
      <c r="AE17" s="825"/>
      <c r="AF17" s="1093"/>
      <c r="AG17" s="1094"/>
      <c r="AH17" s="826" t="str">
        <f t="shared" si="0"/>
        <v/>
      </c>
      <c r="AI17" s="827"/>
      <c r="AJ17" s="838" t="str">
        <f t="shared" si="1"/>
        <v/>
      </c>
      <c r="AK17" s="839"/>
      <c r="AL17" s="822" t="str">
        <f t="shared" si="2"/>
        <v/>
      </c>
      <c r="AM17" s="823"/>
      <c r="AN17" s="830" t="str">
        <f t="shared" si="3"/>
        <v/>
      </c>
      <c r="AO17" s="831"/>
      <c r="AP17" s="830">
        <f t="shared" si="12"/>
        <v>0</v>
      </c>
      <c r="AQ17" s="831"/>
      <c r="AR17" s="820"/>
      <c r="AS17" s="821"/>
      <c r="AT17" s="822">
        <f t="shared" si="13"/>
        <v>0</v>
      </c>
      <c r="AU17" s="823"/>
      <c r="AV17" s="817" t="str">
        <f t="shared" si="4"/>
        <v/>
      </c>
      <c r="AW17" s="824"/>
      <c r="AX17" s="816" t="str">
        <f t="shared" si="5"/>
        <v/>
      </c>
      <c r="AY17" s="817"/>
      <c r="AZ17" s="816"/>
      <c r="BA17" s="817"/>
      <c r="BB17" s="816" t="str">
        <f t="shared" si="6"/>
        <v/>
      </c>
      <c r="BC17" s="817"/>
      <c r="BD17" s="816"/>
      <c r="BE17" s="817"/>
      <c r="BF17" s="816" t="str">
        <f t="shared" si="7"/>
        <v/>
      </c>
      <c r="BG17" s="817"/>
      <c r="BH17" s="816"/>
      <c r="BI17" s="817"/>
      <c r="BJ17" s="816" t="str">
        <f t="shared" si="8"/>
        <v/>
      </c>
      <c r="BK17" s="817"/>
      <c r="BL17" s="816"/>
      <c r="BM17" s="817"/>
      <c r="BN17" s="818" t="str">
        <f t="shared" si="9"/>
        <v/>
      </c>
      <c r="BO17" s="819"/>
      <c r="BP17" s="73" t="s">
        <v>80</v>
      </c>
      <c r="BQ17" s="801" t="str">
        <f t="shared" si="10"/>
        <v/>
      </c>
      <c r="BR17" s="801"/>
      <c r="BS17" s="802"/>
      <c r="BT17" s="1072"/>
      <c r="BU17" s="1073"/>
      <c r="BV17" s="1076"/>
      <c r="BW17" s="1077"/>
      <c r="BX17" s="47"/>
      <c r="CA17" s="996">
        <f ca="1">CA12+CA15+CA16</f>
        <v>47337</v>
      </c>
      <c r="CB17" s="997"/>
      <c r="CC17" s="998">
        <f ca="1">CC12+CC15+CC16</f>
        <v>51144</v>
      </c>
      <c r="CD17" s="999"/>
      <c r="CE17" s="1000">
        <f ca="1">CE12+CE15+CE16</f>
        <v>3807</v>
      </c>
      <c r="CF17" s="999"/>
      <c r="CG17" s="1054"/>
      <c r="CH17" s="1053"/>
      <c r="CI17" s="1052"/>
      <c r="CJ17" s="1057"/>
      <c r="CK17" s="1060"/>
      <c r="CL17" s="1057"/>
      <c r="CY17" s="62" t="s">
        <v>99</v>
      </c>
      <c r="DE17" s="33" t="s">
        <v>30</v>
      </c>
    </row>
    <row r="18" spans="1:110" ht="15" customHeight="1" thickBot="1">
      <c r="A18" s="46">
        <f t="shared" si="11"/>
        <v>112</v>
      </c>
      <c r="B18" s="832"/>
      <c r="C18" s="832"/>
      <c r="D18" s="832"/>
      <c r="E18" s="832"/>
      <c r="F18" s="832"/>
      <c r="G18" s="832"/>
      <c r="H18" s="832"/>
      <c r="I18" s="832"/>
      <c r="J18" s="832"/>
      <c r="K18" s="832"/>
      <c r="L18" s="884"/>
      <c r="M18" s="884"/>
      <c r="N18" s="884"/>
      <c r="O18" s="884"/>
      <c r="P18" s="884"/>
      <c r="Q18" s="887"/>
      <c r="R18" s="888"/>
      <c r="S18" s="836"/>
      <c r="T18" s="837"/>
      <c r="U18" s="888"/>
      <c r="V18" s="889"/>
      <c r="W18" s="840">
        <f ca="1">INT(SUMIF($Y$10:$AA18,"外税8%",$U$10:$V18)*1.08)+INT(SUMIF($Y$10:$AA18,"外税10%",$U$10:$V18)*1.1)+SUMIF($Y$10:$AA18,"内税10%",$U$10:$V18)+SUMIF($Y$10:$AA18,"非課税",$U$10:$V18)</f>
        <v>0</v>
      </c>
      <c r="X18" s="841"/>
      <c r="Y18" s="842"/>
      <c r="Z18" s="843"/>
      <c r="AA18" s="843"/>
      <c r="AB18" s="844"/>
      <c r="AC18" s="844"/>
      <c r="AD18" s="825"/>
      <c r="AE18" s="825"/>
      <c r="AF18" s="1093"/>
      <c r="AG18" s="1094"/>
      <c r="AH18" s="826" t="str">
        <f t="shared" si="0"/>
        <v/>
      </c>
      <c r="AI18" s="827"/>
      <c r="AJ18" s="838" t="str">
        <f t="shared" si="1"/>
        <v/>
      </c>
      <c r="AK18" s="839"/>
      <c r="AL18" s="822" t="str">
        <f t="shared" si="2"/>
        <v/>
      </c>
      <c r="AM18" s="823"/>
      <c r="AN18" s="830" t="str">
        <f t="shared" si="3"/>
        <v/>
      </c>
      <c r="AO18" s="831"/>
      <c r="AP18" s="830">
        <f t="shared" si="12"/>
        <v>0</v>
      </c>
      <c r="AQ18" s="831"/>
      <c r="AR18" s="820"/>
      <c r="AS18" s="821"/>
      <c r="AT18" s="822">
        <f t="shared" si="13"/>
        <v>0</v>
      </c>
      <c r="AU18" s="823"/>
      <c r="AV18" s="817" t="str">
        <f t="shared" si="4"/>
        <v/>
      </c>
      <c r="AW18" s="824"/>
      <c r="AX18" s="816" t="str">
        <f t="shared" si="5"/>
        <v/>
      </c>
      <c r="AY18" s="817"/>
      <c r="AZ18" s="816"/>
      <c r="BA18" s="817"/>
      <c r="BB18" s="816" t="str">
        <f t="shared" si="6"/>
        <v/>
      </c>
      <c r="BC18" s="817"/>
      <c r="BD18" s="816"/>
      <c r="BE18" s="817"/>
      <c r="BF18" s="816" t="str">
        <f t="shared" si="7"/>
        <v/>
      </c>
      <c r="BG18" s="817"/>
      <c r="BH18" s="816"/>
      <c r="BI18" s="817"/>
      <c r="BJ18" s="816" t="str">
        <f t="shared" si="8"/>
        <v/>
      </c>
      <c r="BK18" s="817"/>
      <c r="BL18" s="816"/>
      <c r="BM18" s="817"/>
      <c r="BN18" s="818" t="str">
        <f t="shared" si="9"/>
        <v/>
      </c>
      <c r="BO18" s="819"/>
      <c r="BP18" s="73" t="s">
        <v>80</v>
      </c>
      <c r="BQ18" s="801" t="str">
        <f t="shared" si="10"/>
        <v/>
      </c>
      <c r="BR18" s="801"/>
      <c r="BS18" s="802"/>
      <c r="BT18" s="1072"/>
      <c r="BU18" s="1073"/>
      <c r="BV18" s="1076"/>
      <c r="BW18" s="1077"/>
      <c r="BX18" s="49"/>
      <c r="BY18" s="50"/>
      <c r="BZ18" s="50"/>
      <c r="CG18" s="1054"/>
      <c r="CH18" s="1053"/>
      <c r="CI18" s="1052"/>
      <c r="CJ18" s="1057"/>
      <c r="CK18" s="1060"/>
      <c r="CL18" s="1057"/>
      <c r="CR18" s="994" t="s">
        <v>1370</v>
      </c>
      <c r="CS18" s="995"/>
      <c r="CT18" s="995"/>
      <c r="CU18" s="995"/>
      <c r="CV18" s="995"/>
      <c r="CW18" s="995"/>
      <c r="CY18" s="62" t="s">
        <v>101</v>
      </c>
      <c r="DE18" s="33" t="s">
        <v>30</v>
      </c>
    </row>
    <row r="19" spans="1:110" ht="15" customHeight="1" thickBot="1">
      <c r="A19" s="46">
        <f t="shared" si="11"/>
        <v>111</v>
      </c>
      <c r="B19" s="832"/>
      <c r="C19" s="832"/>
      <c r="D19" s="832"/>
      <c r="E19" s="832"/>
      <c r="F19" s="832"/>
      <c r="G19" s="832"/>
      <c r="H19" s="832"/>
      <c r="I19" s="832"/>
      <c r="J19" s="832"/>
      <c r="K19" s="832"/>
      <c r="L19" s="884"/>
      <c r="M19" s="884"/>
      <c r="N19" s="884"/>
      <c r="O19" s="884"/>
      <c r="P19" s="884"/>
      <c r="Q19" s="887"/>
      <c r="R19" s="888"/>
      <c r="S19" s="836"/>
      <c r="T19" s="837"/>
      <c r="U19" s="888"/>
      <c r="V19" s="889"/>
      <c r="W19" s="840">
        <f ca="1">INT(SUMIF($Y$10:$AA19,"外税8%",$U$10:$V19)*1.08)+INT(SUMIF($Y$10:$AA19,"外税10%",$U$10:$V19)*1.1)+SUMIF($Y$10:$AA19,"内税10%",$U$10:$V19)+SUMIF($Y$10:$AA19,"非課税",$U$10:$V19)</f>
        <v>0</v>
      </c>
      <c r="X19" s="841"/>
      <c r="Y19" s="842"/>
      <c r="Z19" s="843"/>
      <c r="AA19" s="843"/>
      <c r="AB19" s="844"/>
      <c r="AC19" s="844"/>
      <c r="AD19" s="825"/>
      <c r="AE19" s="825"/>
      <c r="AF19" s="1093"/>
      <c r="AG19" s="1094"/>
      <c r="AH19" s="826" t="str">
        <f t="shared" si="0"/>
        <v/>
      </c>
      <c r="AI19" s="827"/>
      <c r="AJ19" s="838" t="str">
        <f t="shared" si="1"/>
        <v/>
      </c>
      <c r="AK19" s="839"/>
      <c r="AL19" s="822" t="str">
        <f t="shared" si="2"/>
        <v/>
      </c>
      <c r="AM19" s="823"/>
      <c r="AN19" s="830" t="str">
        <f t="shared" si="3"/>
        <v/>
      </c>
      <c r="AO19" s="831"/>
      <c r="AP19" s="830">
        <f t="shared" si="12"/>
        <v>0</v>
      </c>
      <c r="AQ19" s="831"/>
      <c r="AR19" s="820"/>
      <c r="AS19" s="821"/>
      <c r="AT19" s="822">
        <f t="shared" si="13"/>
        <v>0</v>
      </c>
      <c r="AU19" s="823"/>
      <c r="AV19" s="817" t="str">
        <f t="shared" si="4"/>
        <v/>
      </c>
      <c r="AW19" s="824"/>
      <c r="AX19" s="816" t="str">
        <f t="shared" si="5"/>
        <v/>
      </c>
      <c r="AY19" s="817"/>
      <c r="AZ19" s="816"/>
      <c r="BA19" s="817"/>
      <c r="BB19" s="816" t="str">
        <f t="shared" si="6"/>
        <v/>
      </c>
      <c r="BC19" s="817"/>
      <c r="BD19" s="816"/>
      <c r="BE19" s="817"/>
      <c r="BF19" s="816" t="str">
        <f t="shared" si="7"/>
        <v/>
      </c>
      <c r="BG19" s="817"/>
      <c r="BH19" s="816"/>
      <c r="BI19" s="817"/>
      <c r="BJ19" s="816" t="str">
        <f t="shared" si="8"/>
        <v/>
      </c>
      <c r="BK19" s="817"/>
      <c r="BL19" s="816"/>
      <c r="BM19" s="817"/>
      <c r="BN19" s="818" t="str">
        <f t="shared" si="9"/>
        <v/>
      </c>
      <c r="BO19" s="819"/>
      <c r="BP19" s="73" t="s">
        <v>80</v>
      </c>
      <c r="BQ19" s="801" t="str">
        <f t="shared" si="10"/>
        <v/>
      </c>
      <c r="BR19" s="801"/>
      <c r="BS19" s="802"/>
      <c r="BT19" s="1072"/>
      <c r="BU19" s="1073"/>
      <c r="BV19" s="1076"/>
      <c r="BW19" s="1077"/>
      <c r="BX19" s="991" t="s">
        <v>1370</v>
      </c>
      <c r="BY19" s="992"/>
      <c r="BZ19" s="992"/>
      <c r="CA19" s="992"/>
      <c r="CB19" s="992"/>
      <c r="CC19" s="992"/>
      <c r="CD19" s="992"/>
      <c r="CE19" s="992"/>
      <c r="CF19" s="993"/>
      <c r="CG19" s="1054"/>
      <c r="CH19" s="1053"/>
      <c r="CI19" s="1052"/>
      <c r="CJ19" s="1057"/>
      <c r="CK19" s="1060"/>
      <c r="CL19" s="1057"/>
      <c r="CR19" s="985">
        <v>0.08</v>
      </c>
      <c r="CS19" s="986"/>
      <c r="CT19" s="987">
        <v>29559</v>
      </c>
      <c r="CU19" s="988"/>
      <c r="CV19" s="989">
        <v>2189</v>
      </c>
      <c r="CW19" s="990"/>
      <c r="CY19" s="62" t="s">
        <v>102</v>
      </c>
      <c r="DE19" s="33" t="s">
        <v>30</v>
      </c>
    </row>
    <row r="20" spans="1:110" ht="15" customHeight="1">
      <c r="A20" s="46">
        <f t="shared" si="11"/>
        <v>110</v>
      </c>
      <c r="B20" s="832"/>
      <c r="C20" s="832"/>
      <c r="D20" s="832"/>
      <c r="E20" s="832"/>
      <c r="F20" s="832"/>
      <c r="G20" s="832"/>
      <c r="H20" s="832"/>
      <c r="I20" s="832"/>
      <c r="J20" s="832"/>
      <c r="K20" s="832"/>
      <c r="L20" s="884"/>
      <c r="M20" s="884"/>
      <c r="N20" s="884"/>
      <c r="O20" s="884"/>
      <c r="P20" s="884"/>
      <c r="Q20" s="887"/>
      <c r="R20" s="888"/>
      <c r="S20" s="836"/>
      <c r="T20" s="837"/>
      <c r="U20" s="888"/>
      <c r="V20" s="889"/>
      <c r="W20" s="840">
        <f ca="1">INT(SUMIF($Y$10:$AA20,"外税8%",$U$10:$V20)*1.08)+INT(SUMIF($Y$10:$AA20,"外税10%",$U$10:$V20)*1.1)+SUMIF($Y$10:$AA20,"内税10%",$U$10:$V20)+SUMIF($Y$10:$AA20,"非課税",$U$10:$V20)</f>
        <v>0</v>
      </c>
      <c r="X20" s="841"/>
      <c r="Y20" s="842"/>
      <c r="Z20" s="843"/>
      <c r="AA20" s="843"/>
      <c r="AB20" s="844"/>
      <c r="AC20" s="844"/>
      <c r="AD20" s="825"/>
      <c r="AE20" s="825"/>
      <c r="AF20" s="1093"/>
      <c r="AG20" s="1094"/>
      <c r="AH20" s="826" t="str">
        <f t="shared" si="0"/>
        <v/>
      </c>
      <c r="AI20" s="827"/>
      <c r="AJ20" s="838" t="str">
        <f t="shared" si="1"/>
        <v/>
      </c>
      <c r="AK20" s="839"/>
      <c r="AL20" s="822" t="str">
        <f t="shared" si="2"/>
        <v/>
      </c>
      <c r="AM20" s="823"/>
      <c r="AN20" s="830" t="str">
        <f t="shared" si="3"/>
        <v/>
      </c>
      <c r="AO20" s="831"/>
      <c r="AP20" s="830">
        <f t="shared" si="12"/>
        <v>0</v>
      </c>
      <c r="AQ20" s="831"/>
      <c r="AR20" s="820"/>
      <c r="AS20" s="821"/>
      <c r="AT20" s="822">
        <f t="shared" si="13"/>
        <v>0</v>
      </c>
      <c r="AU20" s="823"/>
      <c r="AV20" s="817" t="str">
        <f t="shared" si="4"/>
        <v/>
      </c>
      <c r="AW20" s="824"/>
      <c r="AX20" s="816" t="str">
        <f t="shared" si="5"/>
        <v/>
      </c>
      <c r="AY20" s="817"/>
      <c r="AZ20" s="816"/>
      <c r="BA20" s="817"/>
      <c r="BB20" s="816" t="str">
        <f t="shared" si="6"/>
        <v/>
      </c>
      <c r="BC20" s="817"/>
      <c r="BD20" s="816"/>
      <c r="BE20" s="817"/>
      <c r="BF20" s="816" t="str">
        <f t="shared" si="7"/>
        <v/>
      </c>
      <c r="BG20" s="817"/>
      <c r="BH20" s="816"/>
      <c r="BI20" s="817"/>
      <c r="BJ20" s="816" t="str">
        <f t="shared" si="8"/>
        <v/>
      </c>
      <c r="BK20" s="817"/>
      <c r="BL20" s="816"/>
      <c r="BM20" s="817"/>
      <c r="BN20" s="818" t="str">
        <f t="shared" si="9"/>
        <v/>
      </c>
      <c r="BO20" s="819"/>
      <c r="BP20" s="73" t="s">
        <v>80</v>
      </c>
      <c r="BQ20" s="801" t="str">
        <f t="shared" si="10"/>
        <v/>
      </c>
      <c r="BR20" s="801"/>
      <c r="BS20" s="802"/>
      <c r="BT20" s="1072"/>
      <c r="BU20" s="1073"/>
      <c r="BV20" s="1076"/>
      <c r="BW20" s="1077"/>
      <c r="BX20" s="978" t="s">
        <v>79</v>
      </c>
      <c r="BY20" s="979"/>
      <c r="BZ20" s="980"/>
      <c r="CA20" s="981">
        <v>30935</v>
      </c>
      <c r="CB20" s="982"/>
      <c r="CC20" s="983" t="s">
        <v>414</v>
      </c>
      <c r="CD20" s="984"/>
      <c r="CE20" s="970">
        <v>2474</v>
      </c>
      <c r="CF20" s="971"/>
      <c r="CG20" s="1054"/>
      <c r="CH20" s="1053"/>
      <c r="CI20" s="1052"/>
      <c r="CJ20" s="1057"/>
      <c r="CK20" s="1060"/>
      <c r="CL20" s="1057"/>
      <c r="CR20" s="972">
        <v>0.1</v>
      </c>
      <c r="CS20" s="973"/>
      <c r="CT20" s="974">
        <v>13281</v>
      </c>
      <c r="CU20" s="975"/>
      <c r="CV20" s="976">
        <v>1207</v>
      </c>
      <c r="CW20" s="977"/>
      <c r="CY20" s="62" t="s">
        <v>103</v>
      </c>
      <c r="DE20" s="33" t="s">
        <v>30</v>
      </c>
    </row>
    <row r="21" spans="1:110" ht="15" customHeight="1">
      <c r="A21" s="46">
        <f t="shared" si="11"/>
        <v>109</v>
      </c>
      <c r="B21" s="832"/>
      <c r="C21" s="832"/>
      <c r="D21" s="832"/>
      <c r="E21" s="832"/>
      <c r="F21" s="832"/>
      <c r="G21" s="832"/>
      <c r="H21" s="832"/>
      <c r="I21" s="832"/>
      <c r="J21" s="832"/>
      <c r="K21" s="832"/>
      <c r="L21" s="884"/>
      <c r="M21" s="884"/>
      <c r="N21" s="884"/>
      <c r="O21" s="884"/>
      <c r="P21" s="884"/>
      <c r="Q21" s="887"/>
      <c r="R21" s="888"/>
      <c r="S21" s="836"/>
      <c r="T21" s="837"/>
      <c r="U21" s="888"/>
      <c r="V21" s="889"/>
      <c r="W21" s="840">
        <f ca="1">INT(SUMIF($Y$10:$AA21,"外税8%",$U$10:$V21)*1.08)+INT(SUMIF($Y$10:$AA21,"外税10%",$U$10:$V21)*1.1)+SUMIF($Y$10:$AA21,"内税10%",$U$10:$V21)+SUMIF($Y$10:$AA21,"非課税",$U$10:$V21)</f>
        <v>0</v>
      </c>
      <c r="X21" s="841"/>
      <c r="Y21" s="842"/>
      <c r="Z21" s="843"/>
      <c r="AA21" s="843"/>
      <c r="AB21" s="844"/>
      <c r="AC21" s="844"/>
      <c r="AD21" s="825"/>
      <c r="AE21" s="825"/>
      <c r="AF21" s="1093"/>
      <c r="AG21" s="1094"/>
      <c r="AH21" s="826" t="str">
        <f t="shared" si="0"/>
        <v/>
      </c>
      <c r="AI21" s="827"/>
      <c r="AJ21" s="838" t="str">
        <f t="shared" si="1"/>
        <v/>
      </c>
      <c r="AK21" s="839"/>
      <c r="AL21" s="822" t="str">
        <f t="shared" si="2"/>
        <v/>
      </c>
      <c r="AM21" s="823"/>
      <c r="AN21" s="830" t="str">
        <f t="shared" si="3"/>
        <v/>
      </c>
      <c r="AO21" s="831"/>
      <c r="AP21" s="830">
        <f t="shared" si="12"/>
        <v>0</v>
      </c>
      <c r="AQ21" s="831"/>
      <c r="AR21" s="820"/>
      <c r="AS21" s="821"/>
      <c r="AT21" s="822">
        <f t="shared" si="13"/>
        <v>0</v>
      </c>
      <c r="AU21" s="823"/>
      <c r="AV21" s="817" t="str">
        <f t="shared" si="4"/>
        <v/>
      </c>
      <c r="AW21" s="824"/>
      <c r="AX21" s="816" t="str">
        <f t="shared" si="5"/>
        <v/>
      </c>
      <c r="AY21" s="817"/>
      <c r="AZ21" s="816"/>
      <c r="BA21" s="817"/>
      <c r="BB21" s="816" t="str">
        <f t="shared" si="6"/>
        <v/>
      </c>
      <c r="BC21" s="817"/>
      <c r="BD21" s="816"/>
      <c r="BE21" s="817"/>
      <c r="BF21" s="816" t="str">
        <f t="shared" si="7"/>
        <v/>
      </c>
      <c r="BG21" s="817"/>
      <c r="BH21" s="816"/>
      <c r="BI21" s="817"/>
      <c r="BJ21" s="816" t="str">
        <f t="shared" si="8"/>
        <v/>
      </c>
      <c r="BK21" s="817"/>
      <c r="BL21" s="816"/>
      <c r="BM21" s="817"/>
      <c r="BN21" s="818" t="str">
        <f t="shared" si="9"/>
        <v/>
      </c>
      <c r="BO21" s="819"/>
      <c r="BP21" s="73" t="s">
        <v>80</v>
      </c>
      <c r="BQ21" s="801" t="str">
        <f t="shared" si="10"/>
        <v/>
      </c>
      <c r="BR21" s="801"/>
      <c r="BS21" s="802"/>
      <c r="BT21" s="1072"/>
      <c r="BU21" s="1073"/>
      <c r="BV21" s="1076"/>
      <c r="BW21" s="1077"/>
      <c r="BX21" s="965" t="s">
        <v>82</v>
      </c>
      <c r="BY21" s="966"/>
      <c r="BZ21" s="967"/>
      <c r="CA21" s="968">
        <v>10998</v>
      </c>
      <c r="CB21" s="969"/>
      <c r="CC21" s="957" t="s">
        <v>414</v>
      </c>
      <c r="CD21" s="958"/>
      <c r="CE21" s="959">
        <v>1099</v>
      </c>
      <c r="CF21" s="960"/>
      <c r="CG21" s="1054"/>
      <c r="CH21" s="1053"/>
      <c r="CI21" s="1052"/>
      <c r="CJ21" s="1057"/>
      <c r="CK21" s="1060"/>
      <c r="CL21" s="1057"/>
      <c r="CR21" s="51"/>
      <c r="CS21" s="48"/>
      <c r="CT21" s="961" t="s">
        <v>85</v>
      </c>
      <c r="CU21" s="962"/>
      <c r="CV21" s="963">
        <f>SUM(CV19:CV20)</f>
        <v>3396</v>
      </c>
      <c r="CW21" s="964"/>
      <c r="CY21" s="62" t="s">
        <v>104</v>
      </c>
      <c r="DE21" s="33" t="s">
        <v>30</v>
      </c>
    </row>
    <row r="22" spans="1:110" ht="15" customHeight="1">
      <c r="A22" s="46">
        <f t="shared" si="11"/>
        <v>108</v>
      </c>
      <c r="B22" s="832"/>
      <c r="C22" s="832"/>
      <c r="D22" s="832"/>
      <c r="E22" s="832"/>
      <c r="F22" s="832"/>
      <c r="G22" s="832"/>
      <c r="H22" s="832"/>
      <c r="I22" s="832"/>
      <c r="J22" s="832"/>
      <c r="K22" s="832"/>
      <c r="L22" s="884"/>
      <c r="M22" s="884"/>
      <c r="N22" s="884"/>
      <c r="O22" s="884"/>
      <c r="P22" s="884"/>
      <c r="Q22" s="887"/>
      <c r="R22" s="888"/>
      <c r="S22" s="836"/>
      <c r="T22" s="837"/>
      <c r="U22" s="888"/>
      <c r="V22" s="889"/>
      <c r="W22" s="840">
        <f ca="1">INT(SUMIF($Y$10:$AA22,"外税8%",$U$10:$V22)*1.08)+INT(SUMIF($Y$10:$AA22,"外税10%",$U$10:$V22)*1.1)+SUMIF($Y$10:$AA22,"内税10%",$U$10:$V22)+SUMIF($Y$10:$AA22,"非課税",$U$10:$V22)</f>
        <v>0</v>
      </c>
      <c r="X22" s="841"/>
      <c r="Y22" s="842"/>
      <c r="Z22" s="843"/>
      <c r="AA22" s="843"/>
      <c r="AB22" s="844"/>
      <c r="AC22" s="844"/>
      <c r="AD22" s="825"/>
      <c r="AE22" s="825"/>
      <c r="AF22" s="1093"/>
      <c r="AG22" s="1094"/>
      <c r="AH22" s="826" t="str">
        <f t="shared" si="0"/>
        <v/>
      </c>
      <c r="AI22" s="827"/>
      <c r="AJ22" s="838" t="str">
        <f t="shared" si="1"/>
        <v/>
      </c>
      <c r="AK22" s="839"/>
      <c r="AL22" s="822" t="str">
        <f t="shared" si="2"/>
        <v/>
      </c>
      <c r="AM22" s="823"/>
      <c r="AN22" s="830" t="str">
        <f t="shared" si="3"/>
        <v/>
      </c>
      <c r="AO22" s="831"/>
      <c r="AP22" s="830">
        <f t="shared" si="12"/>
        <v>0</v>
      </c>
      <c r="AQ22" s="831"/>
      <c r="AR22" s="820"/>
      <c r="AS22" s="821"/>
      <c r="AT22" s="822">
        <f t="shared" si="13"/>
        <v>0</v>
      </c>
      <c r="AU22" s="823"/>
      <c r="AV22" s="817" t="str">
        <f t="shared" si="4"/>
        <v/>
      </c>
      <c r="AW22" s="824"/>
      <c r="AX22" s="816" t="str">
        <f t="shared" si="5"/>
        <v/>
      </c>
      <c r="AY22" s="817"/>
      <c r="AZ22" s="816"/>
      <c r="BA22" s="817"/>
      <c r="BB22" s="816" t="str">
        <f t="shared" si="6"/>
        <v/>
      </c>
      <c r="BC22" s="817"/>
      <c r="BD22" s="816"/>
      <c r="BE22" s="817"/>
      <c r="BF22" s="816" t="str">
        <f t="shared" si="7"/>
        <v/>
      </c>
      <c r="BG22" s="817"/>
      <c r="BH22" s="816"/>
      <c r="BI22" s="817"/>
      <c r="BJ22" s="816" t="str">
        <f t="shared" si="8"/>
        <v/>
      </c>
      <c r="BK22" s="817"/>
      <c r="BL22" s="816"/>
      <c r="BM22" s="817"/>
      <c r="BN22" s="818" t="str">
        <f t="shared" si="9"/>
        <v/>
      </c>
      <c r="BO22" s="819"/>
      <c r="BP22" s="73" t="s">
        <v>80</v>
      </c>
      <c r="BQ22" s="801" t="str">
        <f t="shared" si="10"/>
        <v/>
      </c>
      <c r="BR22" s="801"/>
      <c r="BS22" s="802"/>
      <c r="BT22" s="1072"/>
      <c r="BU22" s="1073"/>
      <c r="BV22" s="1076"/>
      <c r="BW22" s="1077"/>
      <c r="BX22" s="933" t="s">
        <v>84</v>
      </c>
      <c r="BY22" s="934"/>
      <c r="BZ22" s="935"/>
      <c r="CA22" s="936" t="s">
        <v>414</v>
      </c>
      <c r="CB22" s="937"/>
      <c r="CC22" s="938" t="s">
        <v>414</v>
      </c>
      <c r="CD22" s="937"/>
      <c r="CE22" s="939">
        <f>SUM(CE20:CF21)</f>
        <v>3573</v>
      </c>
      <c r="CF22" s="940"/>
      <c r="CG22" s="1055"/>
      <c r="CH22" s="1056"/>
      <c r="CI22" s="1058"/>
      <c r="CJ22" s="1059"/>
      <c r="CK22" s="1061"/>
      <c r="CL22" s="1059"/>
      <c r="CR22" s="52"/>
      <c r="CS22" s="52"/>
      <c r="CT22" s="53"/>
      <c r="CU22" s="53"/>
      <c r="CV22" s="53"/>
      <c r="CW22" s="53"/>
      <c r="CY22" s="62" t="s">
        <v>105</v>
      </c>
      <c r="DE22" s="33" t="s">
        <v>30</v>
      </c>
    </row>
    <row r="23" spans="1:110" ht="15" customHeight="1">
      <c r="A23" s="46">
        <f t="shared" si="11"/>
        <v>107</v>
      </c>
      <c r="B23" s="832"/>
      <c r="C23" s="832"/>
      <c r="D23" s="832"/>
      <c r="E23" s="832"/>
      <c r="F23" s="832"/>
      <c r="G23" s="832"/>
      <c r="H23" s="832"/>
      <c r="I23" s="832"/>
      <c r="J23" s="832"/>
      <c r="K23" s="832"/>
      <c r="L23" s="884"/>
      <c r="M23" s="884"/>
      <c r="N23" s="884"/>
      <c r="O23" s="884"/>
      <c r="P23" s="884"/>
      <c r="Q23" s="887"/>
      <c r="R23" s="888"/>
      <c r="S23" s="836"/>
      <c r="T23" s="837"/>
      <c r="U23" s="888"/>
      <c r="V23" s="889"/>
      <c r="W23" s="840">
        <f ca="1">INT(SUMIF($Y$10:$AA23,"外税8%",$U$10:$V23)*1.08)+INT(SUMIF($Y$10:$AA23,"外税10%",$U$10:$V23)*1.1)+SUMIF($Y$10:$AA23,"内税10%",$U$10:$V23)+SUMIF($Y$10:$AA23,"非課税",$U$10:$V23)</f>
        <v>0</v>
      </c>
      <c r="X23" s="841"/>
      <c r="Y23" s="842"/>
      <c r="Z23" s="843"/>
      <c r="AA23" s="843"/>
      <c r="AB23" s="844"/>
      <c r="AC23" s="844"/>
      <c r="AD23" s="825"/>
      <c r="AE23" s="825"/>
      <c r="AF23" s="1093"/>
      <c r="AG23" s="1094"/>
      <c r="AH23" s="826" t="str">
        <f t="shared" si="0"/>
        <v/>
      </c>
      <c r="AI23" s="827"/>
      <c r="AJ23" s="931" t="str">
        <f t="shared" si="1"/>
        <v/>
      </c>
      <c r="AK23" s="932"/>
      <c r="AL23" s="822" t="str">
        <f t="shared" si="2"/>
        <v/>
      </c>
      <c r="AM23" s="823"/>
      <c r="AN23" s="830" t="str">
        <f t="shared" si="3"/>
        <v/>
      </c>
      <c r="AO23" s="831"/>
      <c r="AP23" s="830">
        <f t="shared" si="12"/>
        <v>0</v>
      </c>
      <c r="AQ23" s="831"/>
      <c r="AR23" s="820"/>
      <c r="AS23" s="821"/>
      <c r="AT23" s="822">
        <f t="shared" si="13"/>
        <v>0</v>
      </c>
      <c r="AU23" s="823"/>
      <c r="AV23" s="817" t="str">
        <f t="shared" si="4"/>
        <v/>
      </c>
      <c r="AW23" s="824"/>
      <c r="AX23" s="816" t="str">
        <f t="shared" si="5"/>
        <v/>
      </c>
      <c r="AY23" s="817"/>
      <c r="AZ23" s="816"/>
      <c r="BA23" s="817"/>
      <c r="BB23" s="816" t="str">
        <f t="shared" si="6"/>
        <v/>
      </c>
      <c r="BC23" s="817"/>
      <c r="BD23" s="816"/>
      <c r="BE23" s="817"/>
      <c r="BF23" s="816" t="str">
        <f t="shared" si="7"/>
        <v/>
      </c>
      <c r="BG23" s="817"/>
      <c r="BH23" s="816"/>
      <c r="BI23" s="817"/>
      <c r="BJ23" s="816" t="str">
        <f t="shared" si="8"/>
        <v/>
      </c>
      <c r="BK23" s="817"/>
      <c r="BL23" s="816"/>
      <c r="BM23" s="817"/>
      <c r="BN23" s="818" t="str">
        <f t="shared" si="9"/>
        <v/>
      </c>
      <c r="BO23" s="819"/>
      <c r="BP23" s="74" t="s">
        <v>80</v>
      </c>
      <c r="BQ23" s="801" t="str">
        <f t="shared" si="10"/>
        <v/>
      </c>
      <c r="BR23" s="801"/>
      <c r="BS23" s="802"/>
      <c r="BT23" s="1072"/>
      <c r="BU23" s="1073"/>
      <c r="BV23" s="1076"/>
      <c r="BW23" s="1077"/>
      <c r="BX23" s="949" t="s">
        <v>87</v>
      </c>
      <c r="BY23" s="950"/>
      <c r="BZ23" s="951"/>
      <c r="CA23" s="952" t="s">
        <v>414</v>
      </c>
      <c r="CB23" s="953"/>
      <c r="CC23" s="954">
        <v>0</v>
      </c>
      <c r="CD23" s="955"/>
      <c r="CE23" s="954">
        <v>0</v>
      </c>
      <c r="CF23" s="956"/>
      <c r="CR23" s="52"/>
      <c r="CS23" s="52"/>
      <c r="CT23" s="53"/>
      <c r="CU23" s="53"/>
      <c r="CV23" s="53"/>
      <c r="CW23" s="53"/>
      <c r="CY23" s="62" t="s">
        <v>106</v>
      </c>
      <c r="DE23" s="33" t="s">
        <v>30</v>
      </c>
    </row>
    <row r="24" spans="1:110" ht="15" customHeight="1">
      <c r="A24" s="46">
        <f t="shared" si="11"/>
        <v>106</v>
      </c>
      <c r="B24" s="832"/>
      <c r="C24" s="832"/>
      <c r="D24" s="832"/>
      <c r="E24" s="832"/>
      <c r="F24" s="832"/>
      <c r="G24" s="832"/>
      <c r="H24" s="832"/>
      <c r="I24" s="832"/>
      <c r="J24" s="832"/>
      <c r="K24" s="832"/>
      <c r="L24" s="884"/>
      <c r="M24" s="884"/>
      <c r="N24" s="884"/>
      <c r="O24" s="884"/>
      <c r="P24" s="884"/>
      <c r="Q24" s="887"/>
      <c r="R24" s="888"/>
      <c r="S24" s="836"/>
      <c r="T24" s="837"/>
      <c r="U24" s="888"/>
      <c r="V24" s="889"/>
      <c r="W24" s="840">
        <f ca="1">INT(SUMIF($Y$10:$AA24,"外税8%",$U$10:$V24)*1.08)+INT(SUMIF($Y$10:$AA24,"外税10%",$U$10:$V24)*1.1)+SUMIF($Y$10:$AA24,"内税10%",$U$10:$V24)+SUMIF($Y$10:$AA24,"非課税",$U$10:$V24)</f>
        <v>0</v>
      </c>
      <c r="X24" s="841"/>
      <c r="Y24" s="842"/>
      <c r="Z24" s="843"/>
      <c r="AA24" s="843"/>
      <c r="AB24" s="844"/>
      <c r="AC24" s="844"/>
      <c r="AD24" s="825"/>
      <c r="AE24" s="825"/>
      <c r="AF24" s="1093"/>
      <c r="AG24" s="1094"/>
      <c r="AH24" s="826" t="str">
        <f t="shared" si="0"/>
        <v/>
      </c>
      <c r="AI24" s="827"/>
      <c r="AJ24" s="931" t="str">
        <f t="shared" si="1"/>
        <v/>
      </c>
      <c r="AK24" s="932"/>
      <c r="AL24" s="822" t="str">
        <f t="shared" si="2"/>
        <v/>
      </c>
      <c r="AM24" s="823"/>
      <c r="AN24" s="830" t="str">
        <f t="shared" si="3"/>
        <v/>
      </c>
      <c r="AO24" s="831"/>
      <c r="AP24" s="830">
        <f t="shared" si="12"/>
        <v>0</v>
      </c>
      <c r="AQ24" s="831"/>
      <c r="AR24" s="820"/>
      <c r="AS24" s="821"/>
      <c r="AT24" s="822">
        <f t="shared" si="13"/>
        <v>0</v>
      </c>
      <c r="AU24" s="823"/>
      <c r="AV24" s="817" t="str">
        <f t="shared" si="4"/>
        <v/>
      </c>
      <c r="AW24" s="824"/>
      <c r="AX24" s="816" t="str">
        <f t="shared" si="5"/>
        <v/>
      </c>
      <c r="AY24" s="817"/>
      <c r="AZ24" s="816"/>
      <c r="BA24" s="817"/>
      <c r="BB24" s="816" t="str">
        <f t="shared" si="6"/>
        <v/>
      </c>
      <c r="BC24" s="817"/>
      <c r="BD24" s="816"/>
      <c r="BE24" s="817"/>
      <c r="BF24" s="816" t="str">
        <f t="shared" si="7"/>
        <v/>
      </c>
      <c r="BG24" s="817"/>
      <c r="BH24" s="816"/>
      <c r="BI24" s="817"/>
      <c r="BJ24" s="816" t="str">
        <f t="shared" si="8"/>
        <v/>
      </c>
      <c r="BK24" s="817"/>
      <c r="BL24" s="816"/>
      <c r="BM24" s="817"/>
      <c r="BN24" s="818" t="str">
        <f t="shared" si="9"/>
        <v/>
      </c>
      <c r="BO24" s="819"/>
      <c r="BP24" s="74" t="s">
        <v>80</v>
      </c>
      <c r="BQ24" s="801" t="str">
        <f t="shared" si="10"/>
        <v/>
      </c>
      <c r="BR24" s="801"/>
      <c r="BS24" s="802"/>
      <c r="BT24" s="1072"/>
      <c r="BU24" s="1073"/>
      <c r="BV24" s="1076"/>
      <c r="BW24" s="1077"/>
      <c r="BX24" s="944" t="s">
        <v>90</v>
      </c>
      <c r="BY24" s="945"/>
      <c r="BZ24" s="946"/>
      <c r="CA24" s="947" t="s">
        <v>414</v>
      </c>
      <c r="CB24" s="948"/>
      <c r="CC24" s="941">
        <v>2578</v>
      </c>
      <c r="CD24" s="942"/>
      <c r="CE24" s="941">
        <v>234</v>
      </c>
      <c r="CF24" s="943"/>
      <c r="CP24" s="54"/>
      <c r="CQ24" s="54"/>
      <c r="CT24" s="53"/>
      <c r="CU24" s="53"/>
      <c r="CV24" s="53"/>
      <c r="CW24" s="53"/>
      <c r="CY24" s="62" t="s">
        <v>107</v>
      </c>
      <c r="DE24" s="33" t="s">
        <v>30</v>
      </c>
    </row>
    <row r="25" spans="1:110" ht="15" customHeight="1">
      <c r="A25" s="46">
        <f t="shared" si="11"/>
        <v>105</v>
      </c>
      <c r="B25" s="832"/>
      <c r="C25" s="832"/>
      <c r="D25" s="832"/>
      <c r="E25" s="832"/>
      <c r="F25" s="832"/>
      <c r="G25" s="832"/>
      <c r="H25" s="832"/>
      <c r="I25" s="832"/>
      <c r="J25" s="832"/>
      <c r="K25" s="832"/>
      <c r="L25" s="884"/>
      <c r="M25" s="884"/>
      <c r="N25" s="884"/>
      <c r="O25" s="884"/>
      <c r="P25" s="884"/>
      <c r="Q25" s="887"/>
      <c r="R25" s="888"/>
      <c r="S25" s="836"/>
      <c r="T25" s="837"/>
      <c r="U25" s="888"/>
      <c r="V25" s="889"/>
      <c r="W25" s="840">
        <f ca="1">INT(SUMIF($Y$10:$AA25,"外税8%",$U$10:$V25)*1.08)+INT(SUMIF($Y$10:$AA25,"外税10%",$U$10:$V25)*1.1)+SUMIF($Y$10:$AA25,"内税10%",$U$10:$V25)+SUMIF($Y$10:$AA25,"非課税",$U$10:$V25)</f>
        <v>0</v>
      </c>
      <c r="X25" s="841"/>
      <c r="Y25" s="842"/>
      <c r="Z25" s="843"/>
      <c r="AA25" s="843"/>
      <c r="AB25" s="844"/>
      <c r="AC25" s="844"/>
      <c r="AD25" s="825"/>
      <c r="AE25" s="825"/>
      <c r="AF25" s="1093"/>
      <c r="AG25" s="1094"/>
      <c r="AH25" s="826" t="str">
        <f t="shared" si="0"/>
        <v/>
      </c>
      <c r="AI25" s="827"/>
      <c r="AJ25" s="931" t="str">
        <f t="shared" si="1"/>
        <v/>
      </c>
      <c r="AK25" s="932"/>
      <c r="AL25" s="822" t="str">
        <f t="shared" si="2"/>
        <v/>
      </c>
      <c r="AM25" s="823"/>
      <c r="AN25" s="830" t="str">
        <f t="shared" si="3"/>
        <v/>
      </c>
      <c r="AO25" s="831"/>
      <c r="AP25" s="830">
        <f t="shared" si="12"/>
        <v>0</v>
      </c>
      <c r="AQ25" s="831"/>
      <c r="AR25" s="820"/>
      <c r="AS25" s="821"/>
      <c r="AT25" s="822">
        <f t="shared" si="13"/>
        <v>0</v>
      </c>
      <c r="AU25" s="823"/>
      <c r="AV25" s="817" t="str">
        <f t="shared" si="4"/>
        <v/>
      </c>
      <c r="AW25" s="824"/>
      <c r="AX25" s="816" t="str">
        <f t="shared" si="5"/>
        <v/>
      </c>
      <c r="AY25" s="817"/>
      <c r="AZ25" s="816"/>
      <c r="BA25" s="817"/>
      <c r="BB25" s="816" t="str">
        <f t="shared" si="6"/>
        <v/>
      </c>
      <c r="BC25" s="817"/>
      <c r="BD25" s="816"/>
      <c r="BE25" s="817"/>
      <c r="BF25" s="816" t="str">
        <f t="shared" si="7"/>
        <v/>
      </c>
      <c r="BG25" s="817"/>
      <c r="BH25" s="816"/>
      <c r="BI25" s="817"/>
      <c r="BJ25" s="816" t="str">
        <f t="shared" si="8"/>
        <v/>
      </c>
      <c r="BK25" s="817"/>
      <c r="BL25" s="816"/>
      <c r="BM25" s="817"/>
      <c r="BN25" s="818" t="str">
        <f t="shared" si="9"/>
        <v/>
      </c>
      <c r="BO25" s="819"/>
      <c r="BP25" s="74" t="s">
        <v>80</v>
      </c>
      <c r="BQ25" s="801" t="str">
        <f t="shared" si="10"/>
        <v/>
      </c>
      <c r="BR25" s="801"/>
      <c r="BS25" s="802"/>
      <c r="BT25" s="1072"/>
      <c r="BU25" s="1073"/>
      <c r="BV25" s="1076"/>
      <c r="BW25" s="1078"/>
      <c r="BX25" s="933" t="s">
        <v>93</v>
      </c>
      <c r="BY25" s="934"/>
      <c r="BZ25" s="935"/>
      <c r="CA25" s="936" t="s">
        <v>414</v>
      </c>
      <c r="CB25" s="937"/>
      <c r="CC25" s="938" t="s">
        <v>414</v>
      </c>
      <c r="CD25" s="937"/>
      <c r="CE25" s="939">
        <f>SUM(CE23:CF24)</f>
        <v>234</v>
      </c>
      <c r="CF25" s="940"/>
      <c r="CY25" s="62" t="s">
        <v>108</v>
      </c>
      <c r="DE25" s="33" t="s">
        <v>30</v>
      </c>
    </row>
    <row r="26" spans="1:110" ht="15" customHeight="1" thickBot="1">
      <c r="A26" s="46">
        <f t="shared" si="11"/>
        <v>104</v>
      </c>
      <c r="B26" s="832"/>
      <c r="C26" s="832"/>
      <c r="D26" s="832"/>
      <c r="E26" s="832"/>
      <c r="F26" s="832"/>
      <c r="G26" s="832"/>
      <c r="H26" s="832"/>
      <c r="I26" s="832"/>
      <c r="J26" s="832"/>
      <c r="K26" s="832"/>
      <c r="L26" s="884"/>
      <c r="M26" s="884"/>
      <c r="N26" s="884"/>
      <c r="O26" s="884"/>
      <c r="P26" s="884"/>
      <c r="Q26" s="887"/>
      <c r="R26" s="888"/>
      <c r="S26" s="836"/>
      <c r="T26" s="837"/>
      <c r="U26" s="888"/>
      <c r="V26" s="889"/>
      <c r="W26" s="840">
        <f ca="1">INT(SUMIF($Y$10:$AA26,"外税8%",$U$10:$V26)*1.08)+INT(SUMIF($Y$10:$AA26,"外税10%",$U$10:$V26)*1.1)+SUMIF($Y$10:$AA26,"内税10%",$U$10:$V26)+SUMIF($Y$10:$AA26,"非課税",$U$10:$V26)</f>
        <v>0</v>
      </c>
      <c r="X26" s="841"/>
      <c r="Y26" s="842"/>
      <c r="Z26" s="843"/>
      <c r="AA26" s="843"/>
      <c r="AB26" s="844"/>
      <c r="AC26" s="844"/>
      <c r="AD26" s="825"/>
      <c r="AE26" s="825"/>
      <c r="AF26" s="1093"/>
      <c r="AG26" s="1094"/>
      <c r="AH26" s="826" t="str">
        <f t="shared" si="0"/>
        <v/>
      </c>
      <c r="AI26" s="827"/>
      <c r="AJ26" s="931" t="str">
        <f t="shared" si="1"/>
        <v/>
      </c>
      <c r="AK26" s="932"/>
      <c r="AL26" s="822" t="str">
        <f t="shared" si="2"/>
        <v/>
      </c>
      <c r="AM26" s="823"/>
      <c r="AN26" s="830" t="str">
        <f t="shared" si="3"/>
        <v/>
      </c>
      <c r="AO26" s="831"/>
      <c r="AP26" s="830">
        <f t="shared" si="12"/>
        <v>0</v>
      </c>
      <c r="AQ26" s="831"/>
      <c r="AR26" s="820"/>
      <c r="AS26" s="821"/>
      <c r="AT26" s="822">
        <f t="shared" si="13"/>
        <v>0</v>
      </c>
      <c r="AU26" s="823"/>
      <c r="AV26" s="817" t="str">
        <f t="shared" si="4"/>
        <v/>
      </c>
      <c r="AW26" s="824"/>
      <c r="AX26" s="816" t="str">
        <f t="shared" si="5"/>
        <v/>
      </c>
      <c r="AY26" s="817"/>
      <c r="AZ26" s="816"/>
      <c r="BA26" s="817"/>
      <c r="BB26" s="816" t="str">
        <f t="shared" si="6"/>
        <v/>
      </c>
      <c r="BC26" s="817"/>
      <c r="BD26" s="816"/>
      <c r="BE26" s="817"/>
      <c r="BF26" s="816" t="str">
        <f t="shared" si="7"/>
        <v/>
      </c>
      <c r="BG26" s="817"/>
      <c r="BH26" s="816"/>
      <c r="BI26" s="817"/>
      <c r="BJ26" s="816" t="str">
        <f t="shared" si="8"/>
        <v/>
      </c>
      <c r="BK26" s="817"/>
      <c r="BL26" s="816"/>
      <c r="BM26" s="817"/>
      <c r="BN26" s="818" t="str">
        <f t="shared" si="9"/>
        <v/>
      </c>
      <c r="BO26" s="819"/>
      <c r="BP26" s="74" t="s">
        <v>80</v>
      </c>
      <c r="BQ26" s="801" t="str">
        <f t="shared" si="10"/>
        <v/>
      </c>
      <c r="BR26" s="801"/>
      <c r="BS26" s="802"/>
      <c r="BT26" s="1072"/>
      <c r="BU26" s="1073"/>
      <c r="BV26" s="1076"/>
      <c r="BW26" s="1078"/>
      <c r="BX26" s="926" t="s">
        <v>96</v>
      </c>
      <c r="BY26" s="927"/>
      <c r="BZ26" s="928"/>
      <c r="CA26" s="929">
        <v>3060</v>
      </c>
      <c r="CB26" s="930"/>
      <c r="CC26" s="922" t="s">
        <v>414</v>
      </c>
      <c r="CD26" s="923"/>
      <c r="CE26" s="924" t="s">
        <v>414</v>
      </c>
      <c r="CF26" s="925"/>
      <c r="CY26" s="62" t="s">
        <v>109</v>
      </c>
      <c r="DE26" s="33" t="s">
        <v>30</v>
      </c>
    </row>
    <row r="27" spans="1:110" ht="15" customHeight="1" thickBot="1">
      <c r="A27" s="46">
        <f t="shared" si="11"/>
        <v>103</v>
      </c>
      <c r="B27" s="832" t="s">
        <v>110</v>
      </c>
      <c r="C27" s="832"/>
      <c r="D27" s="832"/>
      <c r="E27" s="832"/>
      <c r="F27" s="832" t="str" cm="1">
        <f t="array" ref="F27">TRIM(SUBSTITUTE(SUBSTITUTE(INDEX(CY:CY,MATCH("      item_no: "&amp;A27&amp;",",CY:CY,0)+9,1),"item_name: ",""),",",""))</f>
        <v>天乃屋　歌舞伎揚</v>
      </c>
      <c r="G27" s="832"/>
      <c r="H27" s="832"/>
      <c r="I27" s="832"/>
      <c r="J27" s="832"/>
      <c r="K27" s="832"/>
      <c r="L27" s="884" t="str" cm="1">
        <f t="array" ref="L27">TRIM(SUBSTITUTE(SUBSTITUTE(INDEX(CY:CY,MATCH("      item_no: "&amp;A27&amp;",",CY:CY,0)+3,1),"item_scan_code: ",""),",",""))</f>
        <v>4901035115133</v>
      </c>
      <c r="M27" s="884"/>
      <c r="N27" s="884"/>
      <c r="O27" s="884"/>
      <c r="P27" s="884"/>
      <c r="Q27" s="887" cm="1">
        <f t="array" ref="Q27">IF(AD27="true","",TRIM(SUBSTITUTE(SUBSTITUTE(INDEX(CY:CY,MATCH("      item_no: "&amp;A27&amp;",",CY:CY,0)+13,1),"item_price_fmt: ￥",""),",",""))+0)</f>
        <v>229</v>
      </c>
      <c r="R27" s="888"/>
      <c r="S27" s="836">
        <f t="shared" ref="S27:S72" si="14">IF(Q27="","",U27-Q27)</f>
        <v>-186</v>
      </c>
      <c r="T27" s="837"/>
      <c r="U27" s="888" cm="1">
        <f t="array" ref="U27">IF(AD27="true","",TRIM(SUBSTITUTE(SUBSTITUTE(INDEX(CY:CY,MATCH("      item_no: "&amp;A27&amp;",",CY:CY,0)+14,1),"item_price_discount_fmt: ￥",""),",",""))+0)</f>
        <v>43</v>
      </c>
      <c r="V27" s="889"/>
      <c r="W27" s="840">
        <f ca="1">INT(SUMIF($Y$10:$AA27,"外税8%",$U$10:$V27)*1.08)+INT(SUMIF($Y$10:$AA27,"外税10%",$U$10:$V27)*1.1)+SUMIF($Y$10:$AA27,"内税10%",$U$10:$V27)+SUMIF($Y$10:$AA27,"非課税",$U$10:$V27)</f>
        <v>46</v>
      </c>
      <c r="X27" s="841"/>
      <c r="Y27" s="842" t="str" cm="1">
        <f t="array" ref="Y27">TRIM(SUBSTITUTE(SUBSTITUTE(INDEX(CY:CY,MATCH("      item_no: "&amp;A27&amp;",",CY:CY,0)+15,1),"item_tax_fmt: ",""),",",""))</f>
        <v>外税8%</v>
      </c>
      <c r="Z27" s="843"/>
      <c r="AA27" s="843"/>
      <c r="AB27" s="844" t="str" cm="1">
        <f t="array" ref="AB27">TRIM(SUBSTITUTE(SUBSTITUTE(INDEX(CY:CY,MATCH("      item_no: "&amp;A27&amp;",",CY:CY,0)+18,1),"discount_prohibition:",""),",",""))</f>
        <v>0</v>
      </c>
      <c r="AC27" s="844"/>
      <c r="AD27" s="825" t="str" cm="1">
        <f t="array" ref="AD27">TRIM(SUBSTITUTE(SUBSTITUTE(INDEX(CY:CY,MATCH("      item_no: "&amp;A27&amp;",",CY:CY,0)+1,1),"item_cancel_line: ",""),",",""))</f>
        <v>false</v>
      </c>
      <c r="AE27" s="825"/>
      <c r="AF27" s="1093"/>
      <c r="AG27" s="1094"/>
      <c r="AH27" s="826">
        <f t="shared" si="0"/>
        <v>-2.15</v>
      </c>
      <c r="AI27" s="827"/>
      <c r="AJ27" s="838">
        <f t="shared" si="1"/>
        <v>43</v>
      </c>
      <c r="AK27" s="839"/>
      <c r="AL27" s="822">
        <f t="shared" si="2"/>
        <v>78</v>
      </c>
      <c r="AM27" s="823"/>
      <c r="AN27" s="830">
        <f t="shared" si="3"/>
        <v>-2</v>
      </c>
      <c r="AO27" s="831"/>
      <c r="AP27" s="830">
        <f t="shared" si="12"/>
        <v>0</v>
      </c>
      <c r="AQ27" s="831"/>
      <c r="AR27" s="820"/>
      <c r="AS27" s="821"/>
      <c r="AT27" s="822">
        <f t="shared" ref="AT27:AT90" si="15">SUM(AN27:AS27)</f>
        <v>-2</v>
      </c>
      <c r="AU27" s="823"/>
      <c r="AV27" s="915">
        <f t="shared" si="4"/>
        <v>41</v>
      </c>
      <c r="AW27" s="817"/>
      <c r="AX27" s="816">
        <f t="shared" ca="1" si="5"/>
        <v>3</v>
      </c>
      <c r="AY27" s="817"/>
      <c r="AZ27" s="816"/>
      <c r="BA27" s="817"/>
      <c r="BB27" s="816" t="str">
        <f t="shared" si="6"/>
        <v/>
      </c>
      <c r="BC27" s="817"/>
      <c r="BD27" s="816"/>
      <c r="BE27" s="817"/>
      <c r="BF27" s="816" t="str">
        <f t="shared" si="7"/>
        <v/>
      </c>
      <c r="BG27" s="817"/>
      <c r="BH27" s="816"/>
      <c r="BI27" s="817"/>
      <c r="BJ27" s="816" t="str">
        <f t="shared" si="8"/>
        <v/>
      </c>
      <c r="BK27" s="817"/>
      <c r="BL27" s="816"/>
      <c r="BM27" s="817"/>
      <c r="BN27" s="818">
        <f t="shared" si="9"/>
        <v>44</v>
      </c>
      <c r="BO27" s="819"/>
      <c r="BP27" s="74" t="s">
        <v>80</v>
      </c>
      <c r="BQ27" s="801" t="str">
        <f t="shared" si="10"/>
        <v>外税8%</v>
      </c>
      <c r="BR27" s="801"/>
      <c r="BS27" s="802"/>
      <c r="BT27" s="1072"/>
      <c r="BU27" s="1073"/>
      <c r="BV27" s="1076"/>
      <c r="BW27" s="1078"/>
      <c r="CB27" s="55"/>
      <c r="CC27" s="916">
        <f>CA20+CE20+CA21+CE21+CC24+CA26</f>
        <v>51144</v>
      </c>
      <c r="CD27" s="917"/>
      <c r="CE27" s="918">
        <f>CE22+CE25</f>
        <v>3807</v>
      </c>
      <c r="CF27" s="919"/>
      <c r="CT27" s="920"/>
      <c r="CU27" s="921"/>
      <c r="CV27" s="921"/>
      <c r="CY27" s="62" t="s">
        <v>111</v>
      </c>
      <c r="DD27" s="62" t="s">
        <v>112</v>
      </c>
      <c r="DE27" s="33" t="s">
        <v>30</v>
      </c>
      <c r="DF27" s="62" t="s">
        <v>113</v>
      </c>
    </row>
    <row r="28" spans="1:110" ht="15" customHeight="1">
      <c r="A28" s="46">
        <f t="shared" si="11"/>
        <v>102</v>
      </c>
      <c r="B28" s="832" t="s">
        <v>114</v>
      </c>
      <c r="C28" s="832"/>
      <c r="D28" s="832"/>
      <c r="E28" s="832"/>
      <c r="F28" s="832" t="str" cm="1">
        <f t="array" ref="F28">TRIM(SUBSTITUTE(SUBSTITUTE(INDEX(CY:CY,MATCH("      item_no: "&amp;A28&amp;",",CY:CY,0)+9,1),"item_name: ",""),",",""))</f>
        <v>カルビー　２０２４プロ野球チップス</v>
      </c>
      <c r="G28" s="832"/>
      <c r="H28" s="832"/>
      <c r="I28" s="832"/>
      <c r="J28" s="832"/>
      <c r="K28" s="832"/>
      <c r="L28" s="884" t="str" cm="1">
        <f t="array" ref="L28">TRIM(SUBSTITUTE(SUBSTITUTE(INDEX(CY:CY,MATCH("      item_no: "&amp;A28&amp;",",CY:CY,0)+3,1),"item_scan_code: ",""),",",""))</f>
        <v>4901330903084</v>
      </c>
      <c r="M28" s="884"/>
      <c r="N28" s="884"/>
      <c r="O28" s="884"/>
      <c r="P28" s="884"/>
      <c r="Q28" s="887" cm="1">
        <f t="array" ref="Q28">IF(AD28="true","",TRIM(SUBSTITUTE(SUBSTITUTE(INDEX(CY:CY,MATCH("      item_no: "&amp;A28&amp;",",CY:CY,0)+13,1),"item_price_fmt: ￥",""),",",""))+0)</f>
        <v>109</v>
      </c>
      <c r="R28" s="888"/>
      <c r="S28" s="836">
        <f t="shared" si="14"/>
        <v>0</v>
      </c>
      <c r="T28" s="837"/>
      <c r="U28" s="888" cm="1">
        <f t="array" ref="U28">IF(AD28="true","",TRIM(SUBSTITUTE(SUBSTITUTE(INDEX(CY:CY,MATCH("      item_no: "&amp;A28&amp;",",CY:CY,0)+14,1),"item_price_discount_fmt: ￥",""),",",""))+0)</f>
        <v>109</v>
      </c>
      <c r="V28" s="889"/>
      <c r="W28" s="840">
        <f ca="1">INT(SUMIF($Y$10:$AA28,"外税8%",$U$10:$V28)*1.08)+INT(SUMIF($Y$10:$AA28,"外税10%",$U$10:$V28)*1.1)+SUMIF($Y$10:$AA28,"内税10%",$U$10:$V28)+SUMIF($Y$10:$AA28,"非課税",$U$10:$V28)</f>
        <v>165</v>
      </c>
      <c r="X28" s="841"/>
      <c r="Y28" s="842" t="str" cm="1">
        <f t="array" ref="Y28">TRIM(SUBSTITUTE(SUBSTITUTE(INDEX(CY:CY,MATCH("      item_no: "&amp;A28&amp;",",CY:CY,0)+15,1),"item_tax_fmt: ",""),",",""))</f>
        <v>外税10%</v>
      </c>
      <c r="Z28" s="843"/>
      <c r="AA28" s="843"/>
      <c r="AB28" s="844" t="str" cm="1">
        <f t="array" ref="AB28">TRIM(SUBSTITUTE(SUBSTITUTE(INDEX(CY:CY,MATCH("      item_no: "&amp;A28&amp;",",CY:CY,0)+18,1),"discount_prohibition:",""),",",""))</f>
        <v>0</v>
      </c>
      <c r="AC28" s="844"/>
      <c r="AD28" s="825" t="str" cm="1">
        <f t="array" ref="AD28">TRIM(SUBSTITUTE(SUBSTITUTE(INDEX(CY:CY,MATCH("      item_no: "&amp;A28&amp;",",CY:CY,0)+1,1),"item_cancel_line: ",""),",",""))</f>
        <v>false</v>
      </c>
      <c r="AE28" s="825"/>
      <c r="AF28" s="1093"/>
      <c r="AG28" s="1094"/>
      <c r="AH28" s="826">
        <f t="shared" si="0"/>
        <v>-5.45</v>
      </c>
      <c r="AI28" s="827"/>
      <c r="AJ28" s="838">
        <f t="shared" si="1"/>
        <v>109</v>
      </c>
      <c r="AK28" s="839"/>
      <c r="AL28" s="822">
        <f t="shared" si="2"/>
        <v>74</v>
      </c>
      <c r="AM28" s="823"/>
      <c r="AN28" s="830">
        <f t="shared" si="3"/>
        <v>-5</v>
      </c>
      <c r="AO28" s="831"/>
      <c r="AP28" s="830">
        <f t="shared" si="12"/>
        <v>0</v>
      </c>
      <c r="AQ28" s="831"/>
      <c r="AR28" s="820"/>
      <c r="AS28" s="821"/>
      <c r="AT28" s="822">
        <f t="shared" si="15"/>
        <v>-5</v>
      </c>
      <c r="AU28" s="823"/>
      <c r="AV28" s="915">
        <f t="shared" si="4"/>
        <v>104</v>
      </c>
      <c r="AW28" s="817"/>
      <c r="AX28" s="816" t="str">
        <f t="shared" si="5"/>
        <v/>
      </c>
      <c r="AY28" s="817"/>
      <c r="AZ28" s="816"/>
      <c r="BA28" s="817"/>
      <c r="BB28" s="816">
        <f t="shared" ca="1" si="6"/>
        <v>10</v>
      </c>
      <c r="BC28" s="817"/>
      <c r="BD28" s="816"/>
      <c r="BE28" s="817"/>
      <c r="BF28" s="816" t="str">
        <f t="shared" si="7"/>
        <v/>
      </c>
      <c r="BG28" s="817"/>
      <c r="BH28" s="816"/>
      <c r="BI28" s="817"/>
      <c r="BJ28" s="816" t="str">
        <f t="shared" si="8"/>
        <v/>
      </c>
      <c r="BK28" s="817"/>
      <c r="BL28" s="816"/>
      <c r="BM28" s="817"/>
      <c r="BN28" s="818">
        <f t="shared" si="9"/>
        <v>114</v>
      </c>
      <c r="BO28" s="819"/>
      <c r="BP28" s="74" t="s">
        <v>80</v>
      </c>
      <c r="BQ28" s="801" t="str">
        <f t="shared" si="10"/>
        <v>外税10%</v>
      </c>
      <c r="BR28" s="801"/>
      <c r="BS28" s="802"/>
      <c r="BT28" s="1072"/>
      <c r="BU28" s="1073"/>
      <c r="BV28" s="1076"/>
      <c r="BW28" s="1078"/>
      <c r="CB28" s="55"/>
      <c r="CC28" s="55"/>
      <c r="CD28" s="55"/>
      <c r="CE28" s="55"/>
      <c r="CF28" s="55"/>
      <c r="CY28" s="62" t="s">
        <v>115</v>
      </c>
      <c r="DD28" s="62" t="s">
        <v>116</v>
      </c>
      <c r="DE28" s="33" t="s">
        <v>30</v>
      </c>
      <c r="DF28" s="62" t="s">
        <v>117</v>
      </c>
    </row>
    <row r="29" spans="1:110" ht="15" customHeight="1">
      <c r="A29" s="46">
        <f t="shared" si="11"/>
        <v>101</v>
      </c>
      <c r="B29" s="832" t="s">
        <v>118</v>
      </c>
      <c r="C29" s="832"/>
      <c r="D29" s="832"/>
      <c r="E29" s="832"/>
      <c r="F29" s="832" t="str" cm="1">
        <f t="array" ref="F29">TRIM(SUBSTITUTE(SUBSTITUTE(INDEX(CY:CY,MATCH("      item_no: "&amp;A29&amp;",",CY:CY,0)+9,1),"item_name: ",""),",",""))</f>
        <v>サトウ　切り餅つきたてシングルパック</v>
      </c>
      <c r="G29" s="832"/>
      <c r="H29" s="832"/>
      <c r="I29" s="832"/>
      <c r="J29" s="832"/>
      <c r="K29" s="832"/>
      <c r="L29" s="884" t="str" cm="1">
        <f t="array" ref="L29">TRIM(SUBSTITUTE(SUBSTITUTE(INDEX(CY:CY,MATCH("      item_no: "&amp;A29&amp;",",CY:CY,0)+3,1),"item_scan_code: ",""),",",""))</f>
        <v>4973360286819</v>
      </c>
      <c r="M29" s="884"/>
      <c r="N29" s="884"/>
      <c r="O29" s="884"/>
      <c r="P29" s="884"/>
      <c r="Q29" s="887" cm="1">
        <f t="array" ref="Q29">IF(AD29="true","",TRIM(SUBSTITUTE(SUBSTITUTE(INDEX(CY:CY,MATCH("      item_no: "&amp;A29&amp;",",CY:CY,0)+13,1),"item_price_fmt: ￥",""),",",""))+0)</f>
        <v>779</v>
      </c>
      <c r="R29" s="888"/>
      <c r="S29" s="836">
        <f t="shared" si="14"/>
        <v>-636</v>
      </c>
      <c r="T29" s="837"/>
      <c r="U29" s="888" cm="1">
        <f t="array" ref="U29">IF(AD29="true","",TRIM(SUBSTITUTE(SUBSTITUTE(INDEX(CY:CY,MATCH("      item_no: "&amp;A29&amp;",",CY:CY,0)+14,1),"item_price_discount_fmt: ￥",""),",",""))+0)</f>
        <v>143</v>
      </c>
      <c r="V29" s="889"/>
      <c r="W29" s="840">
        <f ca="1">INT(SUMIF($Y$10:$AA29,"外税8%",$U$10:$V29)*1.08)+INT(SUMIF($Y$10:$AA29,"外税10%",$U$10:$V29)*1.1)+SUMIF($Y$10:$AA29,"内税10%",$U$10:$V29)+SUMIF($Y$10:$AA29,"非課税",$U$10:$V29)</f>
        <v>319</v>
      </c>
      <c r="X29" s="841"/>
      <c r="Y29" s="842" t="str" cm="1">
        <f t="array" ref="Y29">TRIM(SUBSTITUTE(SUBSTITUTE(INDEX(CY:CY,MATCH("      item_no: "&amp;A29&amp;",",CY:CY,0)+15,1),"item_tax_fmt: ",""),",",""))</f>
        <v>外税8%</v>
      </c>
      <c r="Z29" s="843"/>
      <c r="AA29" s="843"/>
      <c r="AB29" s="844" t="str" cm="1">
        <f t="array" ref="AB29">TRIM(SUBSTITUTE(SUBSTITUTE(INDEX(CY:CY,MATCH("      item_no: "&amp;A29&amp;",",CY:CY,0)+18,1),"discount_prohibition:",""),",",""))</f>
        <v>0</v>
      </c>
      <c r="AC29" s="844"/>
      <c r="AD29" s="825" t="str" cm="1">
        <f t="array" ref="AD29">TRIM(SUBSTITUTE(SUBSTITUTE(INDEX(CY:CY,MATCH("      item_no: "&amp;A29&amp;",",CY:CY,0)+1,1),"item_cancel_line: ",""),",",""))</f>
        <v>false</v>
      </c>
      <c r="AE29" s="825"/>
      <c r="AF29" s="1093"/>
      <c r="AG29" s="1094"/>
      <c r="AH29" s="826">
        <f t="shared" si="0"/>
        <v>-7.15</v>
      </c>
      <c r="AI29" s="827"/>
      <c r="AJ29" s="838">
        <f t="shared" si="1"/>
        <v>143</v>
      </c>
      <c r="AK29" s="839"/>
      <c r="AL29" s="822">
        <f t="shared" si="2"/>
        <v>71</v>
      </c>
      <c r="AM29" s="823"/>
      <c r="AN29" s="830">
        <f t="shared" si="3"/>
        <v>-7</v>
      </c>
      <c r="AO29" s="831"/>
      <c r="AP29" s="830">
        <f t="shared" si="12"/>
        <v>0</v>
      </c>
      <c r="AQ29" s="831"/>
      <c r="AR29" s="820"/>
      <c r="AS29" s="821"/>
      <c r="AT29" s="822">
        <f t="shared" si="15"/>
        <v>-7</v>
      </c>
      <c r="AU29" s="823"/>
      <c r="AV29" s="817">
        <f t="shared" si="4"/>
        <v>136</v>
      </c>
      <c r="AW29" s="824"/>
      <c r="AX29" s="816">
        <f t="shared" ca="1" si="5"/>
        <v>10</v>
      </c>
      <c r="AY29" s="817"/>
      <c r="AZ29" s="816"/>
      <c r="BA29" s="817"/>
      <c r="BB29" s="816" t="str">
        <f t="shared" si="6"/>
        <v/>
      </c>
      <c r="BC29" s="817"/>
      <c r="BD29" s="816"/>
      <c r="BE29" s="817"/>
      <c r="BF29" s="816" t="str">
        <f t="shared" si="7"/>
        <v/>
      </c>
      <c r="BG29" s="817"/>
      <c r="BH29" s="816"/>
      <c r="BI29" s="817"/>
      <c r="BJ29" s="816" t="str">
        <f t="shared" si="8"/>
        <v/>
      </c>
      <c r="BK29" s="817"/>
      <c r="BL29" s="816"/>
      <c r="BM29" s="817"/>
      <c r="BN29" s="818">
        <f t="shared" si="9"/>
        <v>146</v>
      </c>
      <c r="BO29" s="819"/>
      <c r="BP29" s="74" t="s">
        <v>80</v>
      </c>
      <c r="BQ29" s="801" t="str">
        <f t="shared" si="10"/>
        <v>外税8%</v>
      </c>
      <c r="BR29" s="801"/>
      <c r="BS29" s="802"/>
      <c r="BT29" s="1072"/>
      <c r="BU29" s="1073"/>
      <c r="BV29" s="1076"/>
      <c r="BW29" s="1078"/>
      <c r="CA29" s="55"/>
      <c r="CB29" s="55"/>
      <c r="CC29" s="56"/>
      <c r="CD29" s="55"/>
      <c r="CE29" s="55"/>
      <c r="CF29" s="55"/>
      <c r="CY29" s="62" t="s">
        <v>119</v>
      </c>
      <c r="DD29" s="62" t="s">
        <v>120</v>
      </c>
      <c r="DE29" s="33" t="s">
        <v>30</v>
      </c>
      <c r="DF29" s="62" t="s">
        <v>121</v>
      </c>
    </row>
    <row r="30" spans="1:110" ht="15" customHeight="1">
      <c r="A30" s="46">
        <f t="shared" si="11"/>
        <v>100</v>
      </c>
      <c r="B30" s="832" t="s">
        <v>122</v>
      </c>
      <c r="C30" s="832"/>
      <c r="D30" s="832"/>
      <c r="E30" s="832"/>
      <c r="F30" s="832" t="str" cm="1">
        <f t="array" ref="F30">TRIM(SUBSTITUTE(SUBSTITUTE(INDEX(CY:CY,MATCH("      item_no: "&amp;A30&amp;",",CY:CY,0)+9,1),"item_name: ",""),",",""))</f>
        <v>キー　コーヒーフィルター無漂白　１００Ｐ</v>
      </c>
      <c r="G30" s="832"/>
      <c r="H30" s="832"/>
      <c r="I30" s="832"/>
      <c r="J30" s="832"/>
      <c r="K30" s="832"/>
      <c r="L30" s="884" t="str" cm="1">
        <f t="array" ref="L30">TRIM(SUBSTITUTE(SUBSTITUTE(INDEX(CY:CY,MATCH("      item_no: "&amp;A30&amp;",",CY:CY,0)+3,1),"item_scan_code: ",""),",",""))</f>
        <v>4901372279703</v>
      </c>
      <c r="M30" s="884"/>
      <c r="N30" s="884"/>
      <c r="O30" s="884"/>
      <c r="P30" s="884"/>
      <c r="Q30" s="887" cm="1">
        <f t="array" ref="Q30">IF(AD30="true","",TRIM(SUBSTITUTE(SUBSTITUTE(INDEX(CY:CY,MATCH("      item_no: "&amp;A30&amp;",",CY:CY,0)+13,1),"item_price_fmt: ￥",""),",",""))+0)</f>
        <v>199</v>
      </c>
      <c r="R30" s="888"/>
      <c r="S30" s="836">
        <f t="shared" si="14"/>
        <v>0</v>
      </c>
      <c r="T30" s="837"/>
      <c r="U30" s="888" cm="1">
        <f t="array" ref="U30">IF(AD30="true","",TRIM(SUBSTITUTE(SUBSTITUTE(INDEX(CY:CY,MATCH("      item_no: "&amp;A30&amp;",",CY:CY,0)+14,1),"item_price_discount_fmt: ￥",""),",",""))+0)</f>
        <v>199</v>
      </c>
      <c r="V30" s="889"/>
      <c r="W30" s="840">
        <f ca="1">INT(SUMIF($Y$10:$AA30,"外税8%",$U$10:$V30)*1.08)+INT(SUMIF($Y$10:$AA30,"外税10%",$U$10:$V30)*1.1)+SUMIF($Y$10:$AA30,"内税10%",$U$10:$V30)+SUMIF($Y$10:$AA30,"非課税",$U$10:$V30)</f>
        <v>538</v>
      </c>
      <c r="X30" s="841"/>
      <c r="Y30" s="842" t="str" cm="1">
        <f t="array" ref="Y30">TRIM(SUBSTITUTE(SUBSTITUTE(INDEX(CY:CY,MATCH("      item_no: "&amp;A30&amp;",",CY:CY,0)+15,1),"item_tax_fmt: ",""),",",""))</f>
        <v>外税10%</v>
      </c>
      <c r="Z30" s="843"/>
      <c r="AA30" s="843"/>
      <c r="AB30" s="844" t="str" cm="1">
        <f t="array" ref="AB30">TRIM(SUBSTITUTE(SUBSTITUTE(INDEX(CY:CY,MATCH("      item_no: "&amp;A30&amp;",",CY:CY,0)+18,1),"discount_prohibition:",""),",",""))</f>
        <v>0</v>
      </c>
      <c r="AC30" s="844"/>
      <c r="AD30" s="825" t="str" cm="1">
        <f t="array" ref="AD30">TRIM(SUBSTITUTE(SUBSTITUTE(INDEX(CY:CY,MATCH("      item_no: "&amp;A30&amp;",",CY:CY,0)+1,1),"item_cancel_line: ",""),",",""))</f>
        <v>false</v>
      </c>
      <c r="AE30" s="825"/>
      <c r="AF30" s="1093"/>
      <c r="AG30" s="1094"/>
      <c r="AH30" s="826">
        <f t="shared" si="0"/>
        <v>-9.9500000000000011</v>
      </c>
      <c r="AI30" s="827"/>
      <c r="AJ30" s="838">
        <f t="shared" si="1"/>
        <v>199</v>
      </c>
      <c r="AK30" s="839"/>
      <c r="AL30" s="822">
        <f t="shared" si="2"/>
        <v>58</v>
      </c>
      <c r="AM30" s="823"/>
      <c r="AN30" s="830">
        <f t="shared" si="3"/>
        <v>-9</v>
      </c>
      <c r="AO30" s="831"/>
      <c r="AP30" s="830">
        <f t="shared" si="12"/>
        <v>0</v>
      </c>
      <c r="AQ30" s="831"/>
      <c r="AR30" s="820"/>
      <c r="AS30" s="821"/>
      <c r="AT30" s="822">
        <f t="shared" si="15"/>
        <v>-9</v>
      </c>
      <c r="AU30" s="823"/>
      <c r="AV30" s="817">
        <f t="shared" si="4"/>
        <v>190</v>
      </c>
      <c r="AW30" s="824"/>
      <c r="AX30" s="816" t="str">
        <f t="shared" si="5"/>
        <v/>
      </c>
      <c r="AY30" s="817"/>
      <c r="AZ30" s="816"/>
      <c r="BA30" s="817"/>
      <c r="BB30" s="816">
        <f t="shared" ca="1" si="6"/>
        <v>18</v>
      </c>
      <c r="BC30" s="817"/>
      <c r="BD30" s="816"/>
      <c r="BE30" s="817"/>
      <c r="BF30" s="816" t="str">
        <f t="shared" si="7"/>
        <v/>
      </c>
      <c r="BG30" s="817"/>
      <c r="BH30" s="816"/>
      <c r="BI30" s="817"/>
      <c r="BJ30" s="816" t="str">
        <f t="shared" si="8"/>
        <v/>
      </c>
      <c r="BK30" s="817"/>
      <c r="BL30" s="816"/>
      <c r="BM30" s="817"/>
      <c r="BN30" s="818">
        <f t="shared" si="9"/>
        <v>209</v>
      </c>
      <c r="BO30" s="819"/>
      <c r="BP30" s="74" t="s">
        <v>80</v>
      </c>
      <c r="BQ30" s="801" t="str">
        <f t="shared" si="10"/>
        <v>外税10%</v>
      </c>
      <c r="BR30" s="801"/>
      <c r="BS30" s="802"/>
      <c r="BT30" s="1072"/>
      <c r="BU30" s="1073"/>
      <c r="BV30" s="1076"/>
      <c r="BW30" s="1078"/>
      <c r="BY30" s="913" t="s">
        <v>418</v>
      </c>
      <c r="BZ30" s="914"/>
      <c r="CA30" s="914"/>
      <c r="CB30" s="911">
        <f>SUMIF(BP10:BP129,"",AV10:AW129)</f>
        <v>41933</v>
      </c>
      <c r="CC30" s="912"/>
      <c r="CD30" s="55"/>
      <c r="CE30" s="55"/>
      <c r="CF30" s="55"/>
      <c r="CY30" s="62" t="s">
        <v>123</v>
      </c>
      <c r="DD30" s="62" t="s">
        <v>124</v>
      </c>
      <c r="DE30" s="33" t="s">
        <v>30</v>
      </c>
      <c r="DF30" s="62" t="s">
        <v>125</v>
      </c>
    </row>
    <row r="31" spans="1:110" ht="15" customHeight="1">
      <c r="A31" s="46">
        <f t="shared" si="11"/>
        <v>99</v>
      </c>
      <c r="B31" s="832" t="s">
        <v>126</v>
      </c>
      <c r="C31" s="832"/>
      <c r="D31" s="832"/>
      <c r="E31" s="832"/>
      <c r="F31" s="832" t="str" cm="1">
        <f t="array" ref="F31">TRIM(SUBSTITUTE(SUBSTITUTE(INDEX(CY:CY,MATCH("      item_no: "&amp;A31&amp;",",CY:CY,0)+9,1),"item_name: ",""),",",""))</f>
        <v>サッポロ一番　塩ラーメン　５食入</v>
      </c>
      <c r="G31" s="832"/>
      <c r="H31" s="832"/>
      <c r="I31" s="832"/>
      <c r="J31" s="832"/>
      <c r="K31" s="832"/>
      <c r="L31" s="884" t="str" cm="1">
        <f t="array" ref="L31">TRIM(SUBSTITUTE(SUBSTITUTE(INDEX(CY:CY,MATCH("      item_no: "&amp;A31&amp;",",CY:CY,0)+3,1),"item_scan_code: ",""),",",""))</f>
        <v>4901734000280</v>
      </c>
      <c r="M31" s="884"/>
      <c r="N31" s="884"/>
      <c r="O31" s="884"/>
      <c r="P31" s="884"/>
      <c r="Q31" s="887" cm="1">
        <f t="array" ref="Q31">IF(AD31="true","",TRIM(SUBSTITUTE(SUBSTITUTE(INDEX(CY:CY,MATCH("      item_no: "&amp;A31&amp;",",CY:CY,0)+13,1),"item_price_fmt: ￥",""),",",""))+0)</f>
        <v>499</v>
      </c>
      <c r="R31" s="888"/>
      <c r="S31" s="836">
        <f t="shared" si="14"/>
        <v>0</v>
      </c>
      <c r="T31" s="837"/>
      <c r="U31" s="888" cm="1">
        <f t="array" ref="U31">IF(AD31="true","",TRIM(SUBSTITUTE(SUBSTITUTE(INDEX(CY:CY,MATCH("      item_no: "&amp;A31&amp;",",CY:CY,0)+14,1),"item_price_discount_fmt: ￥",""),",",""))+0)</f>
        <v>499</v>
      </c>
      <c r="V31" s="889"/>
      <c r="W31" s="840">
        <f ca="1">INT(SUMIF($Y$10:$AA31,"外税8%",$U$10:$V31)*1.08)+INT(SUMIF($Y$10:$AA31,"外税10%",$U$10:$V31)*1.1)+SUMIF($Y$10:$AA31,"内税10%",$U$10:$V31)+SUMIF($Y$10:$AA31,"非課税",$U$10:$V31)</f>
        <v>1077</v>
      </c>
      <c r="X31" s="841"/>
      <c r="Y31" s="842" t="str" cm="1">
        <f t="array" ref="Y31">TRIM(SUBSTITUTE(SUBSTITUTE(INDEX(CY:CY,MATCH("      item_no: "&amp;A31&amp;",",CY:CY,0)+15,1),"item_tax_fmt: ",""),",",""))</f>
        <v>外税8%</v>
      </c>
      <c r="Z31" s="843"/>
      <c r="AA31" s="843"/>
      <c r="AB31" s="844" t="str" cm="1">
        <f t="array" ref="AB31">TRIM(SUBSTITUTE(SUBSTITUTE(INDEX(CY:CY,MATCH("      item_no: "&amp;A31&amp;",",CY:CY,0)+18,1),"discount_prohibition:",""),",",""))</f>
        <v>0</v>
      </c>
      <c r="AC31" s="844"/>
      <c r="AD31" s="825" t="str" cm="1">
        <f t="array" ref="AD31">TRIM(SUBSTITUTE(SUBSTITUTE(INDEX(CY:CY,MATCH("      item_no: "&amp;A31&amp;",",CY:CY,0)+1,1),"item_cancel_line: ",""),",",""))</f>
        <v>false</v>
      </c>
      <c r="AE31" s="825"/>
      <c r="AF31" s="1093"/>
      <c r="AG31" s="1094"/>
      <c r="AH31" s="826">
        <f t="shared" si="0"/>
        <v>-24.950000000000003</v>
      </c>
      <c r="AI31" s="827"/>
      <c r="AJ31" s="838">
        <f t="shared" si="1"/>
        <v>499</v>
      </c>
      <c r="AK31" s="839"/>
      <c r="AL31" s="822">
        <f t="shared" si="2"/>
        <v>12</v>
      </c>
      <c r="AM31" s="823"/>
      <c r="AN31" s="830">
        <f t="shared" si="3"/>
        <v>-24</v>
      </c>
      <c r="AO31" s="831"/>
      <c r="AP31" s="830">
        <f t="shared" si="12"/>
        <v>-1</v>
      </c>
      <c r="AQ31" s="831"/>
      <c r="AR31" s="820"/>
      <c r="AS31" s="821"/>
      <c r="AT31" s="822">
        <f t="shared" si="15"/>
        <v>-25</v>
      </c>
      <c r="AU31" s="823"/>
      <c r="AV31" s="817">
        <f t="shared" si="4"/>
        <v>474</v>
      </c>
      <c r="AW31" s="824"/>
      <c r="AX31" s="816">
        <f t="shared" ca="1" si="5"/>
        <v>37</v>
      </c>
      <c r="AY31" s="817"/>
      <c r="AZ31" s="816"/>
      <c r="BA31" s="817"/>
      <c r="BB31" s="816" t="str">
        <f t="shared" si="6"/>
        <v/>
      </c>
      <c r="BC31" s="817"/>
      <c r="BD31" s="816"/>
      <c r="BE31" s="817"/>
      <c r="BF31" s="816" t="str">
        <f t="shared" si="7"/>
        <v/>
      </c>
      <c r="BG31" s="817"/>
      <c r="BH31" s="816"/>
      <c r="BI31" s="817"/>
      <c r="BJ31" s="816" t="str">
        <f t="shared" si="8"/>
        <v/>
      </c>
      <c r="BK31" s="817"/>
      <c r="BL31" s="816"/>
      <c r="BM31" s="817"/>
      <c r="BN31" s="818">
        <f t="shared" si="9"/>
        <v>511</v>
      </c>
      <c r="BO31" s="819"/>
      <c r="BP31" s="74" t="s">
        <v>80</v>
      </c>
      <c r="BQ31" s="801" t="str">
        <f t="shared" si="10"/>
        <v>外税8%</v>
      </c>
      <c r="BR31" s="801"/>
      <c r="BS31" s="802"/>
      <c r="BT31" s="1072"/>
      <c r="BU31" s="1073"/>
      <c r="BV31" s="1076"/>
      <c r="BW31" s="1078"/>
      <c r="CD31" s="55"/>
      <c r="CE31" s="55"/>
      <c r="CF31" s="55"/>
      <c r="CY31" s="62" t="s">
        <v>127</v>
      </c>
      <c r="DD31" s="62" t="s">
        <v>128</v>
      </c>
      <c r="DE31" s="33" t="s">
        <v>30</v>
      </c>
      <c r="DF31" s="62" t="s">
        <v>129</v>
      </c>
    </row>
    <row r="32" spans="1:110" ht="15" customHeight="1">
      <c r="A32" s="46">
        <f t="shared" si="11"/>
        <v>98</v>
      </c>
      <c r="B32" s="832" t="s">
        <v>130</v>
      </c>
      <c r="C32" s="832"/>
      <c r="D32" s="832"/>
      <c r="E32" s="832"/>
      <c r="F32" s="832" t="str" cm="1">
        <f t="array" ref="F32">TRIM(SUBSTITUTE(SUBSTITUTE(INDEX(CY:CY,MATCH("      item_no: "&amp;A32&amp;",",CY:CY,0)+9,1),"item_name: ",""),",",""))</f>
        <v>食卓応援　秋田あきたこまち　５ｋｇ</v>
      </c>
      <c r="G32" s="832"/>
      <c r="H32" s="832"/>
      <c r="I32" s="832"/>
      <c r="J32" s="832"/>
      <c r="K32" s="832"/>
      <c r="L32" s="884" t="str" cm="1">
        <f t="array" ref="L32">TRIM(SUBSTITUTE(SUBSTITUTE(INDEX(CY:CY,MATCH("      item_no: "&amp;A32&amp;",",CY:CY,0)+3,1),"item_scan_code: ",""),",",""))</f>
        <v>4931849100452</v>
      </c>
      <c r="M32" s="884"/>
      <c r="N32" s="884"/>
      <c r="O32" s="884"/>
      <c r="P32" s="884"/>
      <c r="Q32" s="887" cm="1">
        <f t="array" ref="Q32">IF(AD32="true","",TRIM(SUBSTITUTE(SUBSTITUTE(INDEX(CY:CY,MATCH("      item_no: "&amp;A32&amp;",",CY:CY,0)+13,1),"item_price_fmt: ￥",""),",",""))+0)</f>
        <v>3790</v>
      </c>
      <c r="R32" s="888"/>
      <c r="S32" s="836">
        <f t="shared" si="14"/>
        <v>0</v>
      </c>
      <c r="T32" s="837"/>
      <c r="U32" s="888" cm="1">
        <f t="array" ref="U32">IF(AD32="true","",TRIM(SUBSTITUTE(SUBSTITUTE(INDEX(CY:CY,MATCH("      item_no: "&amp;A32&amp;",",CY:CY,0)+14,1),"item_price_discount_fmt: ￥",""),",",""))+0)</f>
        <v>3790</v>
      </c>
      <c r="V32" s="889"/>
      <c r="W32" s="840">
        <f ca="1">INT(SUMIF($Y$10:$AA32,"外税8%",$U$10:$V32)*1.08)+INT(SUMIF($Y$10:$AA32,"外税10%",$U$10:$V32)*1.1)+SUMIF($Y$10:$AA32,"内税10%",$U$10:$V32)+SUMIF($Y$10:$AA32,"非課税",$U$10:$V32)</f>
        <v>5171</v>
      </c>
      <c r="X32" s="841"/>
      <c r="Y32" s="842" t="str" cm="1">
        <f t="array" ref="Y32">TRIM(SUBSTITUTE(SUBSTITUTE(INDEX(CY:CY,MATCH("      item_no: "&amp;A32&amp;",",CY:CY,0)+15,1),"item_tax_fmt: ",""),",",""))</f>
        <v>外税8%</v>
      </c>
      <c r="Z32" s="843"/>
      <c r="AA32" s="843"/>
      <c r="AB32" s="844" t="str" cm="1">
        <f t="array" ref="AB32">TRIM(SUBSTITUTE(SUBSTITUTE(INDEX(CY:CY,MATCH("      item_no: "&amp;A32&amp;",",CY:CY,0)+18,1),"discount_prohibition:",""),",",""))</f>
        <v>0</v>
      </c>
      <c r="AC32" s="844"/>
      <c r="AD32" s="825" t="str" cm="1">
        <f t="array" ref="AD32">TRIM(SUBSTITUTE(SUBSTITUTE(INDEX(CY:CY,MATCH("      item_no: "&amp;A32&amp;",",CY:CY,0)+1,1),"item_cancel_line: ",""),",",""))</f>
        <v>false</v>
      </c>
      <c r="AE32" s="825"/>
      <c r="AF32" s="1093"/>
      <c r="AG32" s="1094"/>
      <c r="AH32" s="826">
        <f t="shared" si="0"/>
        <v>-189.5</v>
      </c>
      <c r="AI32" s="827"/>
      <c r="AJ32" s="838">
        <f t="shared" si="1"/>
        <v>3790</v>
      </c>
      <c r="AK32" s="839"/>
      <c r="AL32" s="822">
        <f t="shared" si="2"/>
        <v>1</v>
      </c>
      <c r="AM32" s="823"/>
      <c r="AN32" s="830">
        <f t="shared" si="3"/>
        <v>-189</v>
      </c>
      <c r="AO32" s="831"/>
      <c r="AP32" s="830">
        <f t="shared" si="12"/>
        <v>-1</v>
      </c>
      <c r="AQ32" s="831"/>
      <c r="AR32" s="820"/>
      <c r="AS32" s="821"/>
      <c r="AT32" s="822">
        <f t="shared" si="15"/>
        <v>-190</v>
      </c>
      <c r="AU32" s="823"/>
      <c r="AV32" s="817">
        <f t="shared" si="4"/>
        <v>3600</v>
      </c>
      <c r="AW32" s="824"/>
      <c r="AX32" s="816">
        <f t="shared" ca="1" si="5"/>
        <v>287</v>
      </c>
      <c r="AY32" s="817"/>
      <c r="AZ32" s="816"/>
      <c r="BA32" s="817"/>
      <c r="BB32" s="816" t="str">
        <f t="shared" si="6"/>
        <v/>
      </c>
      <c r="BC32" s="817"/>
      <c r="BD32" s="816"/>
      <c r="BE32" s="817"/>
      <c r="BF32" s="816" t="str">
        <f t="shared" si="7"/>
        <v/>
      </c>
      <c r="BG32" s="817"/>
      <c r="BH32" s="816"/>
      <c r="BI32" s="817"/>
      <c r="BJ32" s="816" t="str">
        <f t="shared" si="8"/>
        <v/>
      </c>
      <c r="BK32" s="817"/>
      <c r="BL32" s="816"/>
      <c r="BM32" s="817"/>
      <c r="BN32" s="818">
        <f t="shared" si="9"/>
        <v>3888</v>
      </c>
      <c r="BO32" s="819"/>
      <c r="BP32" s="74" t="s">
        <v>80</v>
      </c>
      <c r="BQ32" s="801" t="str">
        <f t="shared" si="10"/>
        <v>外税8%</v>
      </c>
      <c r="BR32" s="801"/>
      <c r="BS32" s="802"/>
      <c r="BT32" s="1072"/>
      <c r="BU32" s="1073"/>
      <c r="BV32" s="1076"/>
      <c r="BW32" s="1078"/>
      <c r="BY32" s="33" t="s">
        <v>416</v>
      </c>
      <c r="CD32" s="55"/>
      <c r="CE32" s="55"/>
      <c r="CF32" s="55"/>
      <c r="CY32" s="62" t="s">
        <v>131</v>
      </c>
      <c r="DD32" s="62" t="s">
        <v>132</v>
      </c>
      <c r="DE32" s="33" t="s">
        <v>30</v>
      </c>
      <c r="DF32" s="62" t="s">
        <v>133</v>
      </c>
    </row>
    <row r="33" spans="1:110" ht="15" customHeight="1">
      <c r="A33" s="46">
        <f t="shared" si="11"/>
        <v>97</v>
      </c>
      <c r="B33" s="832" t="s">
        <v>134</v>
      </c>
      <c r="C33" s="832"/>
      <c r="D33" s="832"/>
      <c r="E33" s="832"/>
      <c r="F33" s="832" t="str" cm="1">
        <f t="array" ref="F33">TRIM(SUBSTITUTE(SUBSTITUTE(INDEX(CY:CY,MATCH("      item_no: "&amp;A33&amp;",",CY:CY,0)+9,1),"item_name: ",""),",",""))</f>
        <v>花王　ビオレ冷タオル　無香性</v>
      </c>
      <c r="G33" s="832"/>
      <c r="H33" s="832"/>
      <c r="I33" s="832"/>
      <c r="J33" s="832"/>
      <c r="K33" s="832"/>
      <c r="L33" s="884" t="str" cm="1">
        <f t="array" ref="L33">TRIM(SUBSTITUTE(SUBSTITUTE(INDEX(CY:CY,MATCH("      item_no: "&amp;A33&amp;",",CY:CY,0)+3,1),"item_scan_code: ",""),",",""))</f>
        <v>4901301379894</v>
      </c>
      <c r="M33" s="884"/>
      <c r="N33" s="884"/>
      <c r="O33" s="884"/>
      <c r="P33" s="884"/>
      <c r="Q33" s="887" cm="1">
        <f t="array" ref="Q33">IF(AD33="true","",TRIM(SUBSTITUTE(SUBSTITUTE(INDEX(CY:CY,MATCH("      item_no: "&amp;A33&amp;",",CY:CY,0)+13,1),"item_price_fmt: ￥",""),",",""))+0)</f>
        <v>499</v>
      </c>
      <c r="R33" s="888"/>
      <c r="S33" s="836">
        <f t="shared" si="14"/>
        <v>-407</v>
      </c>
      <c r="T33" s="837"/>
      <c r="U33" s="888" cm="1">
        <f t="array" ref="U33">IF(AD33="true","",TRIM(SUBSTITUTE(SUBSTITUTE(INDEX(CY:CY,MATCH("      item_no: "&amp;A33&amp;",",CY:CY,0)+14,1),"item_price_discount_fmt: ￥",""),",",""))+0)</f>
        <v>92</v>
      </c>
      <c r="V33" s="889"/>
      <c r="W33" s="840">
        <f ca="1">INT(SUMIF($Y$10:$AA33,"外税8%",$U$10:$V33)*1.08)+INT(SUMIF($Y$10:$AA33,"外税10%",$U$10:$V33)*1.1)+SUMIF($Y$10:$AA33,"内税10%",$U$10:$V33)+SUMIF($Y$10:$AA33,"非課税",$U$10:$V33)</f>
        <v>5273</v>
      </c>
      <c r="X33" s="841"/>
      <c r="Y33" s="842" t="str" cm="1">
        <f t="array" ref="Y33">TRIM(SUBSTITUTE(SUBSTITUTE(INDEX(CY:CY,MATCH("      item_no: "&amp;A33&amp;",",CY:CY,0)+15,1),"item_tax_fmt: ",""),",",""))</f>
        <v>外税10%</v>
      </c>
      <c r="Z33" s="843"/>
      <c r="AA33" s="843"/>
      <c r="AB33" s="844" t="str" cm="1">
        <f t="array" ref="AB33">TRIM(SUBSTITUTE(SUBSTITUTE(INDEX(CY:CY,MATCH("      item_no: "&amp;A33&amp;",",CY:CY,0)+18,1),"discount_prohibition:",""),",",""))</f>
        <v>0</v>
      </c>
      <c r="AC33" s="844"/>
      <c r="AD33" s="825" t="str" cm="1">
        <f t="array" ref="AD33">TRIM(SUBSTITUTE(SUBSTITUTE(INDEX(CY:CY,MATCH("      item_no: "&amp;A33&amp;",",CY:CY,0)+1,1),"item_cancel_line: ",""),",",""))</f>
        <v>false</v>
      </c>
      <c r="AE33" s="825"/>
      <c r="AF33" s="1093"/>
      <c r="AG33" s="1094"/>
      <c r="AH33" s="826">
        <f t="shared" si="0"/>
        <v>-4.6000000000000005</v>
      </c>
      <c r="AI33" s="827"/>
      <c r="AJ33" s="838">
        <f t="shared" si="1"/>
        <v>92</v>
      </c>
      <c r="AK33" s="839"/>
      <c r="AL33" s="822">
        <f t="shared" si="2"/>
        <v>77</v>
      </c>
      <c r="AM33" s="823"/>
      <c r="AN33" s="830">
        <f t="shared" si="3"/>
        <v>-4</v>
      </c>
      <c r="AO33" s="831"/>
      <c r="AP33" s="830">
        <f t="shared" si="12"/>
        <v>0</v>
      </c>
      <c r="AQ33" s="831"/>
      <c r="AR33" s="820"/>
      <c r="AS33" s="821"/>
      <c r="AT33" s="822">
        <f t="shared" si="15"/>
        <v>-4</v>
      </c>
      <c r="AU33" s="823"/>
      <c r="AV33" s="817">
        <f t="shared" si="4"/>
        <v>88</v>
      </c>
      <c r="AW33" s="824"/>
      <c r="AX33" s="816" t="str">
        <f t="shared" si="5"/>
        <v/>
      </c>
      <c r="AY33" s="817"/>
      <c r="AZ33" s="816"/>
      <c r="BA33" s="817"/>
      <c r="BB33" s="816">
        <f t="shared" ca="1" si="6"/>
        <v>8</v>
      </c>
      <c r="BC33" s="817"/>
      <c r="BD33" s="816"/>
      <c r="BE33" s="817"/>
      <c r="BF33" s="816" t="str">
        <f t="shared" si="7"/>
        <v/>
      </c>
      <c r="BG33" s="817"/>
      <c r="BH33" s="816"/>
      <c r="BI33" s="817"/>
      <c r="BJ33" s="816" t="str">
        <f t="shared" si="8"/>
        <v/>
      </c>
      <c r="BK33" s="817"/>
      <c r="BL33" s="816"/>
      <c r="BM33" s="817"/>
      <c r="BN33" s="818">
        <f t="shared" si="9"/>
        <v>96</v>
      </c>
      <c r="BO33" s="819"/>
      <c r="BP33" s="74" t="s">
        <v>80</v>
      </c>
      <c r="BQ33" s="801" t="str">
        <f t="shared" si="10"/>
        <v>外税10%</v>
      </c>
      <c r="BR33" s="801"/>
      <c r="BS33" s="802"/>
      <c r="BT33" s="1072"/>
      <c r="BU33" s="1073"/>
      <c r="BV33" s="1076"/>
      <c r="BW33" s="1078"/>
      <c r="BY33" s="903" t="s">
        <v>419</v>
      </c>
      <c r="BZ33" s="904"/>
      <c r="CA33" s="905"/>
      <c r="CB33" s="906">
        <f>INT(SUMIF(BP10:BP129,"",AV10:AW129)/200)</f>
        <v>209</v>
      </c>
      <c r="CC33" s="907"/>
      <c r="CY33" s="62" t="s">
        <v>135</v>
      </c>
      <c r="DD33" s="62" t="s">
        <v>136</v>
      </c>
      <c r="DE33" s="33" t="s">
        <v>30</v>
      </c>
      <c r="DF33" s="62" t="s">
        <v>137</v>
      </c>
    </row>
    <row r="34" spans="1:110" ht="15" customHeight="1">
      <c r="A34" s="46">
        <f t="shared" si="11"/>
        <v>96</v>
      </c>
      <c r="B34" s="832" t="s">
        <v>138</v>
      </c>
      <c r="C34" s="832"/>
      <c r="D34" s="832"/>
      <c r="E34" s="832"/>
      <c r="F34" s="832" t="str" cm="1">
        <f t="array" ref="F34">TRIM(SUBSTITUTE(SUBSTITUTE(INDEX(CY:CY,MATCH("      item_no: "&amp;A34&amp;",",CY:CY,0)+9,1),"item_name: ",""),",",""))</f>
        <v>Ｐ．パックゴハン９０Ｇ６個</v>
      </c>
      <c r="G34" s="832"/>
      <c r="H34" s="832"/>
      <c r="I34" s="832"/>
      <c r="J34" s="832"/>
      <c r="K34" s="832"/>
      <c r="L34" s="884" t="str" cm="1">
        <f t="array" ref="L34">TRIM(SUBSTITUTE(SUBSTITUTE(INDEX(CY:CY,MATCH("      item_no: "&amp;A34&amp;",",CY:CY,0)+3,1),"item_scan_code: ",""),",",""))</f>
        <v>4902508139434</v>
      </c>
      <c r="M34" s="884"/>
      <c r="N34" s="884"/>
      <c r="O34" s="884"/>
      <c r="P34" s="884"/>
      <c r="Q34" s="887" cm="1">
        <f t="array" ref="Q34">IF(AD34="true","",TRIM(SUBSTITUTE(SUBSTITUTE(INDEX(CY:CY,MATCH("      item_no: "&amp;A34&amp;",",CY:CY,0)+13,1),"item_price_fmt: ￥",""),",",""))+0)</f>
        <v>799</v>
      </c>
      <c r="R34" s="888"/>
      <c r="S34" s="836">
        <f t="shared" si="14"/>
        <v>0</v>
      </c>
      <c r="T34" s="837"/>
      <c r="U34" s="888" cm="1">
        <f t="array" ref="U34">IF(AD34="true","",TRIM(SUBSTITUTE(SUBSTITUTE(INDEX(CY:CY,MATCH("      item_no: "&amp;A34&amp;",",CY:CY,0)+14,1),"item_price_discount_fmt: ￥",""),",",""))+0)</f>
        <v>799</v>
      </c>
      <c r="V34" s="889"/>
      <c r="W34" s="840">
        <f ca="1">INT(SUMIF($Y$10:$AA34,"外税8%",$U$10:$V34)*1.08)+INT(SUMIF($Y$10:$AA34,"外税10%",$U$10:$V34)*1.1)+SUMIF($Y$10:$AA34,"内税10%",$U$10:$V34)+SUMIF($Y$10:$AA34,"非課税",$U$10:$V34)</f>
        <v>6135</v>
      </c>
      <c r="X34" s="841"/>
      <c r="Y34" s="842" t="str" cm="1">
        <f t="array" ref="Y34">TRIM(SUBSTITUTE(SUBSTITUTE(INDEX(CY:CY,MATCH("      item_no: "&amp;A34&amp;",",CY:CY,0)+15,1),"item_tax_fmt: ",""),",",""))</f>
        <v>外税8%</v>
      </c>
      <c r="Z34" s="843"/>
      <c r="AA34" s="843"/>
      <c r="AB34" s="844" t="str" cm="1">
        <f t="array" ref="AB34">TRIM(SUBSTITUTE(SUBSTITUTE(INDEX(CY:CY,MATCH("      item_no: "&amp;A34&amp;",",CY:CY,0)+18,1),"discount_prohibition:",""),",",""))</f>
        <v>0</v>
      </c>
      <c r="AC34" s="844"/>
      <c r="AD34" s="825" t="str" cm="1">
        <f t="array" ref="AD34">TRIM(SUBSTITUTE(SUBSTITUTE(INDEX(CY:CY,MATCH("      item_no: "&amp;A34&amp;",",CY:CY,0)+1,1),"item_cancel_line: ",""),",",""))</f>
        <v>false</v>
      </c>
      <c r="AE34" s="825"/>
      <c r="AF34" s="1093"/>
      <c r="AG34" s="1094"/>
      <c r="AH34" s="826">
        <f t="shared" si="0"/>
        <v>-39.950000000000003</v>
      </c>
      <c r="AI34" s="827"/>
      <c r="AJ34" s="838">
        <f t="shared" si="1"/>
        <v>799</v>
      </c>
      <c r="AK34" s="839"/>
      <c r="AL34" s="822">
        <f t="shared" si="2"/>
        <v>8</v>
      </c>
      <c r="AM34" s="823"/>
      <c r="AN34" s="830">
        <f t="shared" si="3"/>
        <v>-39</v>
      </c>
      <c r="AO34" s="831"/>
      <c r="AP34" s="830">
        <f t="shared" si="12"/>
        <v>-1</v>
      </c>
      <c r="AQ34" s="831"/>
      <c r="AR34" s="820"/>
      <c r="AS34" s="821"/>
      <c r="AT34" s="822">
        <f t="shared" si="15"/>
        <v>-40</v>
      </c>
      <c r="AU34" s="823"/>
      <c r="AV34" s="817">
        <f t="shared" si="4"/>
        <v>759</v>
      </c>
      <c r="AW34" s="824"/>
      <c r="AX34" s="816">
        <f t="shared" ca="1" si="5"/>
        <v>60</v>
      </c>
      <c r="AY34" s="817"/>
      <c r="AZ34" s="816"/>
      <c r="BA34" s="817"/>
      <c r="BB34" s="816" t="str">
        <f t="shared" si="6"/>
        <v/>
      </c>
      <c r="BC34" s="817"/>
      <c r="BD34" s="816"/>
      <c r="BE34" s="817"/>
      <c r="BF34" s="816" t="str">
        <f t="shared" si="7"/>
        <v/>
      </c>
      <c r="BG34" s="817"/>
      <c r="BH34" s="816"/>
      <c r="BI34" s="817"/>
      <c r="BJ34" s="816" t="str">
        <f t="shared" si="8"/>
        <v/>
      </c>
      <c r="BK34" s="817"/>
      <c r="BL34" s="816"/>
      <c r="BM34" s="817"/>
      <c r="BN34" s="818">
        <f t="shared" si="9"/>
        <v>819</v>
      </c>
      <c r="BO34" s="819"/>
      <c r="BP34" s="74" t="s">
        <v>80</v>
      </c>
      <c r="BQ34" s="801" t="str">
        <f t="shared" si="10"/>
        <v>外税8%</v>
      </c>
      <c r="BR34" s="801"/>
      <c r="BS34" s="802"/>
      <c r="BT34" s="1072"/>
      <c r="BU34" s="1073"/>
      <c r="BV34" s="1076"/>
      <c r="BW34" s="1078"/>
      <c r="BY34" s="908" t="s">
        <v>421</v>
      </c>
      <c r="BZ34" s="909"/>
      <c r="CA34" s="910"/>
      <c r="CB34" s="901">
        <f>INT(SUMIF(BP10:BP129,"",AV10:AW129)/200)*2</f>
        <v>418</v>
      </c>
      <c r="CC34" s="902"/>
      <c r="CY34" s="62" t="s">
        <v>139</v>
      </c>
      <c r="DD34" s="62" t="s">
        <v>140</v>
      </c>
      <c r="DE34" s="33" t="s">
        <v>30</v>
      </c>
      <c r="DF34" s="62" t="s">
        <v>141</v>
      </c>
    </row>
    <row r="35" spans="1:110" ht="15" customHeight="1">
      <c r="A35" s="46">
        <f t="shared" si="11"/>
        <v>95</v>
      </c>
      <c r="B35" s="832" t="s">
        <v>142</v>
      </c>
      <c r="C35" s="832"/>
      <c r="D35" s="832"/>
      <c r="E35" s="832"/>
      <c r="F35" s="832" t="str" cm="1">
        <f t="array" ref="F35">TRIM(SUBSTITUTE(SUBSTITUTE(INDEX(CY:CY,MATCH("      item_no: "&amp;A35&amp;",",CY:CY,0)+9,1),"item_name: ",""),",",""))</f>
        <v>岩崎　シームレスピッチャー２．１Ｌ</v>
      </c>
      <c r="G35" s="832"/>
      <c r="H35" s="832"/>
      <c r="I35" s="832"/>
      <c r="J35" s="832"/>
      <c r="K35" s="832"/>
      <c r="L35" s="884" t="str" cm="1">
        <f t="array" ref="L35">TRIM(SUBSTITUTE(SUBSTITUTE(INDEX(CY:CY,MATCH("      item_no: "&amp;A35&amp;",",CY:CY,0)+3,1),"item_scan_code: ",""),",",""))</f>
        <v>4901126128684</v>
      </c>
      <c r="M35" s="884"/>
      <c r="N35" s="884"/>
      <c r="O35" s="884"/>
      <c r="P35" s="884"/>
      <c r="Q35" s="887" cm="1">
        <f t="array" ref="Q35">IF(AD35="true","",TRIM(SUBSTITUTE(SUBSTITUTE(INDEX(CY:CY,MATCH("      item_no: "&amp;A35&amp;",",CY:CY,0)+13,1),"item_price_fmt: ￥",""),",",""))+0)</f>
        <v>999</v>
      </c>
      <c r="R35" s="888"/>
      <c r="S35" s="836">
        <f t="shared" si="14"/>
        <v>0</v>
      </c>
      <c r="T35" s="837"/>
      <c r="U35" s="888" cm="1">
        <f t="array" ref="U35">IF(AD35="true","",TRIM(SUBSTITUTE(SUBSTITUTE(INDEX(CY:CY,MATCH("      item_no: "&amp;A35&amp;",",CY:CY,0)+14,1),"item_price_discount_fmt: ￥",""),",",""))+0)</f>
        <v>999</v>
      </c>
      <c r="V35" s="889"/>
      <c r="W35" s="840">
        <f ca="1">INT(SUMIF($Y$10:$AA35,"外税8%",$U$10:$V35)*1.08)+INT(SUMIF($Y$10:$AA35,"外税10%",$U$10:$V35)*1.1)+SUMIF($Y$10:$AA35,"内税10%",$U$10:$V35)+SUMIF($Y$10:$AA35,"非課税",$U$10:$V35)</f>
        <v>7233</v>
      </c>
      <c r="X35" s="841"/>
      <c r="Y35" s="842" t="str" cm="1">
        <f t="array" ref="Y35">TRIM(SUBSTITUTE(SUBSTITUTE(INDEX(CY:CY,MATCH("      item_no: "&amp;A35&amp;",",CY:CY,0)+15,1),"item_tax_fmt: ",""),",",""))</f>
        <v>外税10%</v>
      </c>
      <c r="Z35" s="843"/>
      <c r="AA35" s="843"/>
      <c r="AB35" s="844" t="str" cm="1">
        <f t="array" ref="AB35">TRIM(SUBSTITUTE(SUBSTITUTE(INDEX(CY:CY,MATCH("      item_no: "&amp;A35&amp;",",CY:CY,0)+18,1),"discount_prohibition:",""),",",""))</f>
        <v>0</v>
      </c>
      <c r="AC35" s="844"/>
      <c r="AD35" s="825" t="str" cm="1">
        <f t="array" ref="AD35">TRIM(SUBSTITUTE(SUBSTITUTE(INDEX(CY:CY,MATCH("      item_no: "&amp;A35&amp;",",CY:CY,0)+1,1),"item_cancel_line: ",""),",",""))</f>
        <v>false</v>
      </c>
      <c r="AE35" s="825"/>
      <c r="AF35" s="1093"/>
      <c r="AG35" s="1094"/>
      <c r="AH35" s="826">
        <f t="shared" si="0"/>
        <v>-49.95</v>
      </c>
      <c r="AI35" s="827"/>
      <c r="AJ35" s="838">
        <f t="shared" si="1"/>
        <v>999</v>
      </c>
      <c r="AK35" s="839"/>
      <c r="AL35" s="822">
        <f t="shared" si="2"/>
        <v>7</v>
      </c>
      <c r="AM35" s="823"/>
      <c r="AN35" s="830">
        <f t="shared" si="3"/>
        <v>-49</v>
      </c>
      <c r="AO35" s="831"/>
      <c r="AP35" s="830">
        <f t="shared" si="12"/>
        <v>-1</v>
      </c>
      <c r="AQ35" s="831"/>
      <c r="AR35" s="820"/>
      <c r="AS35" s="821"/>
      <c r="AT35" s="822">
        <f t="shared" si="15"/>
        <v>-50</v>
      </c>
      <c r="AU35" s="823"/>
      <c r="AV35" s="817">
        <f t="shared" si="4"/>
        <v>949</v>
      </c>
      <c r="AW35" s="824"/>
      <c r="AX35" s="816" t="str">
        <f t="shared" si="5"/>
        <v/>
      </c>
      <c r="AY35" s="817"/>
      <c r="AZ35" s="816"/>
      <c r="BA35" s="817"/>
      <c r="BB35" s="816">
        <f t="shared" ca="1" si="6"/>
        <v>94</v>
      </c>
      <c r="BC35" s="817"/>
      <c r="BD35" s="816"/>
      <c r="BE35" s="817"/>
      <c r="BF35" s="816" t="str">
        <f t="shared" si="7"/>
        <v/>
      </c>
      <c r="BG35" s="817"/>
      <c r="BH35" s="816"/>
      <c r="BI35" s="817"/>
      <c r="BJ35" s="816" t="str">
        <f t="shared" si="8"/>
        <v/>
      </c>
      <c r="BK35" s="817"/>
      <c r="BL35" s="816"/>
      <c r="BM35" s="817"/>
      <c r="BN35" s="818">
        <f t="shared" si="9"/>
        <v>1043</v>
      </c>
      <c r="BO35" s="819"/>
      <c r="BP35" s="74" t="s">
        <v>80</v>
      </c>
      <c r="BQ35" s="801" t="str">
        <f t="shared" si="10"/>
        <v>外税10%</v>
      </c>
      <c r="BR35" s="801"/>
      <c r="BS35" s="802"/>
      <c r="BT35" s="1072"/>
      <c r="BU35" s="1073"/>
      <c r="BV35" s="1076"/>
      <c r="BW35" s="1078"/>
      <c r="CY35" s="62" t="s">
        <v>143</v>
      </c>
      <c r="DD35" s="62" t="s">
        <v>144</v>
      </c>
      <c r="DE35" s="33" t="s">
        <v>30</v>
      </c>
      <c r="DF35" s="62" t="s">
        <v>145</v>
      </c>
    </row>
    <row r="36" spans="1:110" ht="15" customHeight="1">
      <c r="A36" s="46">
        <f t="shared" si="11"/>
        <v>94</v>
      </c>
      <c r="B36" s="832" t="s">
        <v>146</v>
      </c>
      <c r="C36" s="832"/>
      <c r="D36" s="832"/>
      <c r="E36" s="832"/>
      <c r="F36" s="832" t="str" cm="1">
        <f t="array" ref="F36">TRIM(SUBSTITUTE(SUBSTITUTE(INDEX(CY:CY,MATCH("      item_no: "&amp;A36&amp;",",CY:CY,0)+9,1),"item_name: ",""),",",""))</f>
        <v>桑ジャンプビニール傘６５ＣＭ</v>
      </c>
      <c r="G36" s="832"/>
      <c r="H36" s="832"/>
      <c r="I36" s="832"/>
      <c r="J36" s="832"/>
      <c r="K36" s="832"/>
      <c r="L36" s="884" t="str" cm="1">
        <f t="array" ref="L36">TRIM(SUBSTITUTE(SUBSTITUTE(INDEX(CY:CY,MATCH("      item_no: "&amp;A36&amp;",",CY:CY,0)+3,1),"item_scan_code: ",""),",",""))</f>
        <v>4571315752206</v>
      </c>
      <c r="M36" s="884"/>
      <c r="N36" s="884"/>
      <c r="O36" s="884"/>
      <c r="P36" s="884"/>
      <c r="Q36" s="887" cm="1">
        <f t="array" ref="Q36">IF(AD36="true","",TRIM(SUBSTITUTE(SUBSTITUTE(INDEX(CY:CY,MATCH("      item_no: "&amp;A36&amp;",",CY:CY,0)+13,1),"item_price_fmt: ￥",""),",",""))+0)</f>
        <v>480</v>
      </c>
      <c r="R36" s="888"/>
      <c r="S36" s="836">
        <f t="shared" si="14"/>
        <v>0</v>
      </c>
      <c r="T36" s="837"/>
      <c r="U36" s="888" cm="1">
        <f t="array" ref="U36">IF(AD36="true","",TRIM(SUBSTITUTE(SUBSTITUTE(INDEX(CY:CY,MATCH("      item_no: "&amp;A36&amp;",",CY:CY,0)+14,1),"item_price_discount_fmt: ￥",""),",",""))+0)</f>
        <v>480</v>
      </c>
      <c r="V36" s="889"/>
      <c r="W36" s="840">
        <f ca="1">INT(SUMIF($Y$10:$AA36,"外税8%",$U$10:$V36)*1.08)+INT(SUMIF($Y$10:$AA36,"外税10%",$U$10:$V36)*1.1)+SUMIF($Y$10:$AA36,"内税10%",$U$10:$V36)+SUMIF($Y$10:$AA36,"非課税",$U$10:$V36)</f>
        <v>7761</v>
      </c>
      <c r="X36" s="841"/>
      <c r="Y36" s="842" t="str" cm="1">
        <f t="array" ref="Y36">TRIM(SUBSTITUTE(SUBSTITUTE(INDEX(CY:CY,MATCH("      item_no: "&amp;A36&amp;",",CY:CY,0)+15,1),"item_tax_fmt: ",""),",",""))</f>
        <v>外税10%</v>
      </c>
      <c r="Z36" s="843"/>
      <c r="AA36" s="843"/>
      <c r="AB36" s="844" t="str" cm="1">
        <f t="array" ref="AB36">TRIM(SUBSTITUTE(SUBSTITUTE(INDEX(CY:CY,MATCH("      item_no: "&amp;A36&amp;",",CY:CY,0)+18,1),"discount_prohibition:",""),",",""))</f>
        <v>0</v>
      </c>
      <c r="AC36" s="844"/>
      <c r="AD36" s="825" t="str" cm="1">
        <f t="array" ref="AD36">TRIM(SUBSTITUTE(SUBSTITUTE(INDEX(CY:CY,MATCH("      item_no: "&amp;A36&amp;",",CY:CY,0)+1,1),"item_cancel_line: ",""),",",""))</f>
        <v>false</v>
      </c>
      <c r="AE36" s="825"/>
      <c r="AF36" s="1093"/>
      <c r="AG36" s="1094"/>
      <c r="AH36" s="826">
        <f t="shared" si="0"/>
        <v>-24</v>
      </c>
      <c r="AI36" s="827"/>
      <c r="AJ36" s="838">
        <f t="shared" si="1"/>
        <v>480</v>
      </c>
      <c r="AK36" s="839"/>
      <c r="AL36" s="822">
        <f t="shared" si="2"/>
        <v>34</v>
      </c>
      <c r="AM36" s="823"/>
      <c r="AN36" s="830">
        <f t="shared" si="3"/>
        <v>-24</v>
      </c>
      <c r="AO36" s="831"/>
      <c r="AP36" s="830">
        <f t="shared" si="12"/>
        <v>-1</v>
      </c>
      <c r="AQ36" s="831"/>
      <c r="AR36" s="820"/>
      <c r="AS36" s="821"/>
      <c r="AT36" s="822">
        <f t="shared" si="15"/>
        <v>-25</v>
      </c>
      <c r="AU36" s="823"/>
      <c r="AV36" s="817">
        <f t="shared" si="4"/>
        <v>455</v>
      </c>
      <c r="AW36" s="824"/>
      <c r="AX36" s="816" t="str">
        <f t="shared" si="5"/>
        <v/>
      </c>
      <c r="AY36" s="817"/>
      <c r="AZ36" s="816"/>
      <c r="BA36" s="817"/>
      <c r="BB36" s="816">
        <f t="shared" ca="1" si="6"/>
        <v>45</v>
      </c>
      <c r="BC36" s="817"/>
      <c r="BD36" s="816"/>
      <c r="BE36" s="817"/>
      <c r="BF36" s="816" t="str">
        <f t="shared" si="7"/>
        <v/>
      </c>
      <c r="BG36" s="817"/>
      <c r="BH36" s="816"/>
      <c r="BI36" s="817"/>
      <c r="BJ36" s="816" t="str">
        <f t="shared" si="8"/>
        <v/>
      </c>
      <c r="BK36" s="817"/>
      <c r="BL36" s="816"/>
      <c r="BM36" s="817"/>
      <c r="BN36" s="818">
        <f t="shared" si="9"/>
        <v>500</v>
      </c>
      <c r="BO36" s="819"/>
      <c r="BP36" s="74" t="s">
        <v>80</v>
      </c>
      <c r="BQ36" s="801" t="str">
        <f t="shared" si="10"/>
        <v>外税10%</v>
      </c>
      <c r="BR36" s="801"/>
      <c r="BS36" s="802"/>
      <c r="BT36" s="1072"/>
      <c r="BU36" s="1073"/>
      <c r="BV36" s="1076"/>
      <c r="BW36" s="1078"/>
      <c r="CY36" s="62" t="s">
        <v>147</v>
      </c>
      <c r="DD36" s="62" t="s">
        <v>148</v>
      </c>
      <c r="DE36" s="33" t="s">
        <v>30</v>
      </c>
      <c r="DF36" s="62" t="s">
        <v>149</v>
      </c>
    </row>
    <row r="37" spans="1:110" ht="15" customHeight="1">
      <c r="A37" s="46">
        <f t="shared" si="11"/>
        <v>93</v>
      </c>
      <c r="B37" s="832" t="s">
        <v>150</v>
      </c>
      <c r="C37" s="832"/>
      <c r="D37" s="832"/>
      <c r="E37" s="832"/>
      <c r="F37" s="832" t="str" cm="1">
        <f t="array" ref="F37">TRIM(SUBSTITUTE(SUBSTITUTE(INDEX(CY:CY,MATCH("      item_no: "&amp;A37&amp;",",CY:CY,0)+9,1),"item_name: ",""),",",""))</f>
        <v>おかめ豆腐　絹美人　３Ｐ</v>
      </c>
      <c r="G37" s="832"/>
      <c r="H37" s="832"/>
      <c r="I37" s="832"/>
      <c r="J37" s="832"/>
      <c r="K37" s="832"/>
      <c r="L37" s="884" t="str" cm="1">
        <f t="array" ref="L37">TRIM(SUBSTITUTE(SUBSTITUTE(INDEX(CY:CY,MATCH("      item_no: "&amp;A37&amp;",",CY:CY,0)+3,1),"item_scan_code: ",""),",",""))</f>
        <v>4901160110188</v>
      </c>
      <c r="M37" s="884"/>
      <c r="N37" s="884"/>
      <c r="O37" s="884"/>
      <c r="P37" s="884"/>
      <c r="Q37" s="887" cm="1">
        <f t="array" ref="Q37">IF(AD37="true","",TRIM(SUBSTITUTE(SUBSTITUTE(INDEX(CY:CY,MATCH("      item_no: "&amp;A37&amp;",",CY:CY,0)+13,1),"item_price_fmt: ￥",""),",",""))+0)</f>
        <v>159</v>
      </c>
      <c r="R37" s="888"/>
      <c r="S37" s="836">
        <f t="shared" si="14"/>
        <v>-48</v>
      </c>
      <c r="T37" s="837"/>
      <c r="U37" s="888" cm="1">
        <f t="array" ref="U37">IF(AD37="true","",TRIM(SUBSTITUTE(SUBSTITUTE(INDEX(CY:CY,MATCH("      item_no: "&amp;A37&amp;",",CY:CY,0)+14,1),"item_price_discount_fmt: ￥",""),",",""))+0)</f>
        <v>111</v>
      </c>
      <c r="V37" s="889"/>
      <c r="W37" s="840">
        <f ca="1">INT(SUMIF($Y$10:$AA37,"外税8%",$U$10:$V37)*1.08)+INT(SUMIF($Y$10:$AA37,"外税10%",$U$10:$V37)*1.1)+SUMIF($Y$10:$AA37,"内税10%",$U$10:$V37)+SUMIF($Y$10:$AA37,"非課税",$U$10:$V37)</f>
        <v>7881</v>
      </c>
      <c r="X37" s="841"/>
      <c r="Y37" s="842" t="str" cm="1">
        <f t="array" ref="Y37">TRIM(SUBSTITUTE(SUBSTITUTE(INDEX(CY:CY,MATCH("      item_no: "&amp;A37&amp;",",CY:CY,0)+15,1),"item_tax_fmt: ",""),",",""))</f>
        <v>外税8%</v>
      </c>
      <c r="Z37" s="843"/>
      <c r="AA37" s="843"/>
      <c r="AB37" s="844" t="str" cm="1">
        <f t="array" ref="AB37">TRIM(SUBSTITUTE(SUBSTITUTE(INDEX(CY:CY,MATCH("      item_no: "&amp;A37&amp;",",CY:CY,0)+18,1),"discount_prohibition:",""),",",""))</f>
        <v>0</v>
      </c>
      <c r="AC37" s="844"/>
      <c r="AD37" s="825" t="str" cm="1">
        <f t="array" ref="AD37">TRIM(SUBSTITUTE(SUBSTITUTE(INDEX(CY:CY,MATCH("      item_no: "&amp;A37&amp;",",CY:CY,0)+1,1),"item_cancel_line: ",""),",",""))</f>
        <v>false</v>
      </c>
      <c r="AE37" s="825"/>
      <c r="AF37" s="1093"/>
      <c r="AG37" s="1094"/>
      <c r="AH37" s="826">
        <f t="shared" si="0"/>
        <v>-5.5500000000000007</v>
      </c>
      <c r="AI37" s="827"/>
      <c r="AJ37" s="838">
        <f t="shared" si="1"/>
        <v>111</v>
      </c>
      <c r="AK37" s="839"/>
      <c r="AL37" s="822">
        <f t="shared" si="2"/>
        <v>73</v>
      </c>
      <c r="AM37" s="823"/>
      <c r="AN37" s="830">
        <f t="shared" si="3"/>
        <v>-5</v>
      </c>
      <c r="AO37" s="831"/>
      <c r="AP37" s="830">
        <f t="shared" si="12"/>
        <v>0</v>
      </c>
      <c r="AQ37" s="831"/>
      <c r="AR37" s="820"/>
      <c r="AS37" s="821"/>
      <c r="AT37" s="822">
        <f t="shared" si="15"/>
        <v>-5</v>
      </c>
      <c r="AU37" s="823"/>
      <c r="AV37" s="817">
        <f t="shared" si="4"/>
        <v>106</v>
      </c>
      <c r="AW37" s="824"/>
      <c r="AX37" s="816">
        <f t="shared" ca="1" si="5"/>
        <v>8</v>
      </c>
      <c r="AY37" s="817"/>
      <c r="AZ37" s="816"/>
      <c r="BA37" s="817"/>
      <c r="BB37" s="816" t="str">
        <f t="shared" si="6"/>
        <v/>
      </c>
      <c r="BC37" s="817"/>
      <c r="BD37" s="816"/>
      <c r="BE37" s="817"/>
      <c r="BF37" s="816" t="str">
        <f t="shared" si="7"/>
        <v/>
      </c>
      <c r="BG37" s="817"/>
      <c r="BH37" s="816"/>
      <c r="BI37" s="817"/>
      <c r="BJ37" s="816" t="str">
        <f t="shared" si="8"/>
        <v/>
      </c>
      <c r="BK37" s="817"/>
      <c r="BL37" s="816"/>
      <c r="BM37" s="817"/>
      <c r="BN37" s="818">
        <f t="shared" si="9"/>
        <v>114</v>
      </c>
      <c r="BO37" s="819"/>
      <c r="BP37" s="74" t="s">
        <v>80</v>
      </c>
      <c r="BQ37" s="801" t="str">
        <f t="shared" si="10"/>
        <v>外税8%</v>
      </c>
      <c r="BR37" s="801"/>
      <c r="BS37" s="802"/>
      <c r="BT37" s="1072"/>
      <c r="BU37" s="1073"/>
      <c r="BV37" s="1076"/>
      <c r="BW37" s="1078"/>
      <c r="CY37" s="62" t="s">
        <v>151</v>
      </c>
      <c r="DD37" s="62" t="s">
        <v>152</v>
      </c>
      <c r="DE37" s="33" t="s">
        <v>30</v>
      </c>
      <c r="DF37" s="62" t="s">
        <v>153</v>
      </c>
    </row>
    <row r="38" spans="1:110" ht="15" customHeight="1">
      <c r="A38" s="46">
        <f t="shared" si="11"/>
        <v>92</v>
      </c>
      <c r="B38" s="832" t="s">
        <v>154</v>
      </c>
      <c r="C38" s="832"/>
      <c r="D38" s="832"/>
      <c r="E38" s="832"/>
      <c r="F38" s="832" t="str" cm="1">
        <f t="array" ref="F38">TRIM(SUBSTITUTE(SUBSTITUTE(INDEX(CY:CY,MATCH("      item_no: "&amp;A38&amp;",",CY:CY,0)+9,1),"item_name: ",""),",",""))</f>
        <v>ヤマザキ　ロイヤルブレッド　６枚入</v>
      </c>
      <c r="G38" s="832"/>
      <c r="H38" s="832"/>
      <c r="I38" s="832"/>
      <c r="J38" s="832"/>
      <c r="K38" s="832"/>
      <c r="L38" s="884" t="str" cm="1">
        <f t="array" ref="L38">TRIM(SUBSTITUTE(SUBSTITUTE(INDEX(CY:CY,MATCH("      item_no: "&amp;A38&amp;",",CY:CY,0)+3,1),"item_scan_code: ",""),",",""))</f>
        <v>4903110002222</v>
      </c>
      <c r="M38" s="884"/>
      <c r="N38" s="884"/>
      <c r="O38" s="884"/>
      <c r="P38" s="884"/>
      <c r="Q38" s="887" cm="1">
        <f t="array" ref="Q38">IF(AD38="true","",TRIM(SUBSTITUTE(SUBSTITUTE(INDEX(CY:CY,MATCH("      item_no: "&amp;A38&amp;",",CY:CY,0)+13,1),"item_price_fmt: ￥",""),",",""))+0)</f>
        <v>199</v>
      </c>
      <c r="R38" s="888"/>
      <c r="S38" s="836">
        <f t="shared" si="14"/>
        <v>0</v>
      </c>
      <c r="T38" s="837"/>
      <c r="U38" s="888" cm="1">
        <f t="array" ref="U38">IF(AD38="true","",TRIM(SUBSTITUTE(SUBSTITUTE(INDEX(CY:CY,MATCH("      item_no: "&amp;A38&amp;",",CY:CY,0)+14,1),"item_price_discount_fmt: ￥",""),",",""))+0)</f>
        <v>199</v>
      </c>
      <c r="V38" s="889"/>
      <c r="W38" s="840">
        <f ca="1">INT(SUMIF($Y$10:$AA38,"外税8%",$U$10:$V38)*1.08)+INT(SUMIF($Y$10:$AA38,"外税10%",$U$10:$V38)*1.1)+SUMIF($Y$10:$AA38,"内税10%",$U$10:$V38)+SUMIF($Y$10:$AA38,"非課税",$U$10:$V38)</f>
        <v>8096</v>
      </c>
      <c r="X38" s="841"/>
      <c r="Y38" s="842" t="str" cm="1">
        <f t="array" ref="Y38">TRIM(SUBSTITUTE(SUBSTITUTE(INDEX(CY:CY,MATCH("      item_no: "&amp;A38&amp;",",CY:CY,0)+15,1),"item_tax_fmt: ",""),",",""))</f>
        <v>外税8%</v>
      </c>
      <c r="Z38" s="843"/>
      <c r="AA38" s="843"/>
      <c r="AB38" s="844" t="str" cm="1">
        <f t="array" ref="AB38">TRIM(SUBSTITUTE(SUBSTITUTE(INDEX(CY:CY,MATCH("      item_no: "&amp;A38&amp;",",CY:CY,0)+18,1),"discount_prohibition:",""),",",""))</f>
        <v>0</v>
      </c>
      <c r="AC38" s="844"/>
      <c r="AD38" s="825" t="str" cm="1">
        <f t="array" ref="AD38">TRIM(SUBSTITUTE(SUBSTITUTE(INDEX(CY:CY,MATCH("      item_no: "&amp;A38&amp;",",CY:CY,0)+1,1),"item_cancel_line: ",""),",",""))</f>
        <v>false</v>
      </c>
      <c r="AE38" s="825"/>
      <c r="AF38" s="1093"/>
      <c r="AG38" s="1094"/>
      <c r="AH38" s="826">
        <f t="shared" si="0"/>
        <v>-9.9500000000000011</v>
      </c>
      <c r="AI38" s="827"/>
      <c r="AJ38" s="838">
        <f t="shared" si="1"/>
        <v>199</v>
      </c>
      <c r="AK38" s="839"/>
      <c r="AL38" s="822">
        <f t="shared" si="2"/>
        <v>58</v>
      </c>
      <c r="AM38" s="823"/>
      <c r="AN38" s="830">
        <f t="shared" si="3"/>
        <v>-9</v>
      </c>
      <c r="AO38" s="831"/>
      <c r="AP38" s="830">
        <f t="shared" si="12"/>
        <v>0</v>
      </c>
      <c r="AQ38" s="831"/>
      <c r="AR38" s="820"/>
      <c r="AS38" s="821"/>
      <c r="AT38" s="822">
        <f t="shared" si="15"/>
        <v>-9</v>
      </c>
      <c r="AU38" s="823"/>
      <c r="AV38" s="817">
        <f t="shared" si="4"/>
        <v>190</v>
      </c>
      <c r="AW38" s="824"/>
      <c r="AX38" s="816">
        <f t="shared" ca="1" si="5"/>
        <v>15</v>
      </c>
      <c r="AY38" s="817"/>
      <c r="AZ38" s="816"/>
      <c r="BA38" s="817"/>
      <c r="BB38" s="816" t="str">
        <f t="shared" si="6"/>
        <v/>
      </c>
      <c r="BC38" s="817"/>
      <c r="BD38" s="816"/>
      <c r="BE38" s="817"/>
      <c r="BF38" s="816" t="str">
        <f t="shared" si="7"/>
        <v/>
      </c>
      <c r="BG38" s="817"/>
      <c r="BH38" s="816"/>
      <c r="BI38" s="817"/>
      <c r="BJ38" s="816" t="str">
        <f t="shared" si="8"/>
        <v/>
      </c>
      <c r="BK38" s="817"/>
      <c r="BL38" s="816"/>
      <c r="BM38" s="817"/>
      <c r="BN38" s="818">
        <f t="shared" si="9"/>
        <v>205</v>
      </c>
      <c r="BO38" s="819"/>
      <c r="BP38" s="74" t="s">
        <v>80</v>
      </c>
      <c r="BQ38" s="801" t="str">
        <f t="shared" si="10"/>
        <v>外税8%</v>
      </c>
      <c r="BR38" s="801"/>
      <c r="BS38" s="802"/>
      <c r="BT38" s="1072"/>
      <c r="BU38" s="1073"/>
      <c r="BV38" s="1076"/>
      <c r="BW38" s="1078"/>
      <c r="CY38" s="62" t="s">
        <v>155</v>
      </c>
      <c r="DD38" s="62" t="s">
        <v>156</v>
      </c>
      <c r="DE38" s="33" t="s">
        <v>30</v>
      </c>
      <c r="DF38" s="62" t="s">
        <v>157</v>
      </c>
    </row>
    <row r="39" spans="1:110" ht="15" customHeight="1">
      <c r="A39" s="46">
        <f t="shared" si="11"/>
        <v>91</v>
      </c>
      <c r="B39" s="832" t="s">
        <v>158</v>
      </c>
      <c r="C39" s="832"/>
      <c r="D39" s="832"/>
      <c r="E39" s="832"/>
      <c r="F39" s="832" t="str" cm="1">
        <f t="array" ref="F39">TRIM(SUBSTITUTE(SUBSTITUTE(INDEX(CY:CY,MATCH("      item_no: "&amp;A39&amp;",",CY:CY,0)+9,1),"item_name: ",""),",",""))</f>
        <v>雪メグミルク　酪農牛乳１Ｌ</v>
      </c>
      <c r="G39" s="832"/>
      <c r="H39" s="832"/>
      <c r="I39" s="832"/>
      <c r="J39" s="832"/>
      <c r="K39" s="832"/>
      <c r="L39" s="884" t="str" cm="1">
        <f t="array" ref="L39">TRIM(SUBSTITUTE(SUBSTITUTE(INDEX(CY:CY,MATCH("      item_no: "&amp;A39&amp;",",CY:CY,0)+3,1),"item_scan_code: ",""),",",""))</f>
        <v>4908011510906</v>
      </c>
      <c r="M39" s="884"/>
      <c r="N39" s="884"/>
      <c r="O39" s="884"/>
      <c r="P39" s="884"/>
      <c r="Q39" s="887" cm="1">
        <f t="array" ref="Q39">IF(AD39="true","",TRIM(SUBSTITUTE(SUBSTITUTE(INDEX(CY:CY,MATCH("      item_no: "&amp;A39&amp;",",CY:CY,0)+13,1),"item_price_fmt: ￥",""),",",""))+0)</f>
        <v>150</v>
      </c>
      <c r="R39" s="888"/>
      <c r="S39" s="836">
        <f t="shared" si="14"/>
        <v>0</v>
      </c>
      <c r="T39" s="837"/>
      <c r="U39" s="888" cm="1">
        <f t="array" ref="U39">IF(AD39="true","",TRIM(SUBSTITUTE(SUBSTITUTE(INDEX(CY:CY,MATCH("      item_no: "&amp;A39&amp;",",CY:CY,0)+14,1),"item_price_discount_fmt: ￥",""),",",""))+0)</f>
        <v>150</v>
      </c>
      <c r="V39" s="889"/>
      <c r="W39" s="840">
        <f ca="1">INT(SUMIF($Y$10:$AA39,"外税8%",$U$10:$V39)*1.08)+INT(SUMIF($Y$10:$AA39,"外税10%",$U$10:$V39)*1.1)+SUMIF($Y$10:$AA39,"内税10%",$U$10:$V39)+SUMIF($Y$10:$AA39,"非課税",$U$10:$V39)</f>
        <v>8258</v>
      </c>
      <c r="X39" s="841"/>
      <c r="Y39" s="842" t="str" cm="1">
        <f t="array" ref="Y39">TRIM(SUBSTITUTE(SUBSTITUTE(INDEX(CY:CY,MATCH("      item_no: "&amp;A39&amp;",",CY:CY,0)+15,1),"item_tax_fmt: ",""),",",""))</f>
        <v>外税8%</v>
      </c>
      <c r="Z39" s="843"/>
      <c r="AA39" s="843"/>
      <c r="AB39" s="844" t="str" cm="1">
        <f t="array" ref="AB39">TRIM(SUBSTITUTE(SUBSTITUTE(INDEX(CY:CY,MATCH("      item_no: "&amp;A39&amp;",",CY:CY,0)+18,1),"discount_prohibition:",""),",",""))</f>
        <v>0</v>
      </c>
      <c r="AC39" s="844"/>
      <c r="AD39" s="825" t="str" cm="1">
        <f t="array" ref="AD39">TRIM(SUBSTITUTE(SUBSTITUTE(INDEX(CY:CY,MATCH("      item_no: "&amp;A39&amp;",",CY:CY,0)+1,1),"item_cancel_line: ",""),",",""))</f>
        <v>false</v>
      </c>
      <c r="AE39" s="825"/>
      <c r="AF39" s="1093"/>
      <c r="AG39" s="1094"/>
      <c r="AH39" s="826">
        <f t="shared" si="0"/>
        <v>-7.5</v>
      </c>
      <c r="AI39" s="827"/>
      <c r="AJ39" s="838">
        <f t="shared" si="1"/>
        <v>150</v>
      </c>
      <c r="AK39" s="839"/>
      <c r="AL39" s="822">
        <f t="shared" si="2"/>
        <v>69</v>
      </c>
      <c r="AM39" s="823"/>
      <c r="AN39" s="830">
        <f t="shared" si="3"/>
        <v>-7</v>
      </c>
      <c r="AO39" s="831"/>
      <c r="AP39" s="830">
        <f t="shared" si="12"/>
        <v>0</v>
      </c>
      <c r="AQ39" s="831"/>
      <c r="AR39" s="820"/>
      <c r="AS39" s="821"/>
      <c r="AT39" s="822">
        <f t="shared" si="15"/>
        <v>-7</v>
      </c>
      <c r="AU39" s="823"/>
      <c r="AV39" s="817">
        <f t="shared" si="4"/>
        <v>143</v>
      </c>
      <c r="AW39" s="824"/>
      <c r="AX39" s="816">
        <f t="shared" ca="1" si="5"/>
        <v>11</v>
      </c>
      <c r="AY39" s="817"/>
      <c r="AZ39" s="816"/>
      <c r="BA39" s="817"/>
      <c r="BB39" s="816" t="str">
        <f t="shared" si="6"/>
        <v/>
      </c>
      <c r="BC39" s="817"/>
      <c r="BD39" s="816"/>
      <c r="BE39" s="817"/>
      <c r="BF39" s="816" t="str">
        <f t="shared" si="7"/>
        <v/>
      </c>
      <c r="BG39" s="817"/>
      <c r="BH39" s="816"/>
      <c r="BI39" s="817"/>
      <c r="BJ39" s="816" t="str">
        <f t="shared" si="8"/>
        <v/>
      </c>
      <c r="BK39" s="817"/>
      <c r="BL39" s="816"/>
      <c r="BM39" s="817"/>
      <c r="BN39" s="818">
        <f t="shared" si="9"/>
        <v>154</v>
      </c>
      <c r="BO39" s="819"/>
      <c r="BP39" s="74" t="s">
        <v>80</v>
      </c>
      <c r="BQ39" s="801" t="str">
        <f t="shared" si="10"/>
        <v>外税8%</v>
      </c>
      <c r="BR39" s="801"/>
      <c r="BS39" s="802"/>
      <c r="BT39" s="1072"/>
      <c r="BU39" s="1073"/>
      <c r="BV39" s="1076"/>
      <c r="BW39" s="1078"/>
      <c r="CY39" s="62" t="s">
        <v>159</v>
      </c>
      <c r="DD39" s="62" t="s">
        <v>160</v>
      </c>
      <c r="DE39" s="33" t="s">
        <v>30</v>
      </c>
      <c r="DF39" s="62" t="s">
        <v>161</v>
      </c>
    </row>
    <row r="40" spans="1:110" ht="15" customHeight="1">
      <c r="A40" s="46">
        <f t="shared" si="11"/>
        <v>90</v>
      </c>
      <c r="B40" s="832" t="s">
        <v>162</v>
      </c>
      <c r="C40" s="832"/>
      <c r="D40" s="832"/>
      <c r="E40" s="832"/>
      <c r="F40" s="832" t="str" cm="1">
        <f t="array" ref="F40">TRIM(SUBSTITUTE(SUBSTITUTE(INDEX(CY:CY,MATCH("      item_no: "&amp;A40&amp;",",CY:CY,0)+9,1),"item_name: ",""),",",""))</f>
        <v>きゅうり（袋）</v>
      </c>
      <c r="G40" s="832"/>
      <c r="H40" s="832"/>
      <c r="I40" s="832"/>
      <c r="J40" s="832"/>
      <c r="K40" s="832"/>
      <c r="L40" s="884" t="str" cm="1">
        <f t="array" ref="L40">TRIM(SUBSTITUTE(SUBSTITUTE(INDEX(CY:CY,MATCH("      item_no: "&amp;A40&amp;",",CY:CY,0)+3,1),"item_scan_code: ",""),",",""))</f>
        <v>4515848152034</v>
      </c>
      <c r="M40" s="884"/>
      <c r="N40" s="884"/>
      <c r="O40" s="884"/>
      <c r="P40" s="884"/>
      <c r="Q40" s="887" cm="1">
        <f t="array" ref="Q40">IF(AD40="true","",TRIM(SUBSTITUTE(SUBSTITUTE(INDEX(CY:CY,MATCH("      item_no: "&amp;A40&amp;",",CY:CY,0)+13,1),"item_price_fmt: ￥",""),",",""))+0)</f>
        <v>198</v>
      </c>
      <c r="R40" s="888"/>
      <c r="S40" s="836">
        <f t="shared" si="14"/>
        <v>0</v>
      </c>
      <c r="T40" s="837"/>
      <c r="U40" s="888" cm="1">
        <f t="array" ref="U40">IF(AD40="true","",TRIM(SUBSTITUTE(SUBSTITUTE(INDEX(CY:CY,MATCH("      item_no: "&amp;A40&amp;",",CY:CY,0)+14,1),"item_price_discount_fmt: ￥",""),",",""))+0)</f>
        <v>198</v>
      </c>
      <c r="V40" s="889"/>
      <c r="W40" s="840">
        <f ca="1">INT(SUMIF($Y$10:$AA40,"外税8%",$U$10:$V40)*1.08)+INT(SUMIF($Y$10:$AA40,"外税10%",$U$10:$V40)*1.1)+SUMIF($Y$10:$AA40,"内税10%",$U$10:$V40)+SUMIF($Y$10:$AA40,"非課税",$U$10:$V40)</f>
        <v>8472</v>
      </c>
      <c r="X40" s="841"/>
      <c r="Y40" s="842" t="str" cm="1">
        <f t="array" ref="Y40">TRIM(SUBSTITUTE(SUBSTITUTE(INDEX(CY:CY,MATCH("      item_no: "&amp;A40&amp;",",CY:CY,0)+15,1),"item_tax_fmt: ",""),",",""))</f>
        <v>外税8%</v>
      </c>
      <c r="Z40" s="843"/>
      <c r="AA40" s="843"/>
      <c r="AB40" s="844" t="str" cm="1">
        <f t="array" ref="AB40">TRIM(SUBSTITUTE(SUBSTITUTE(INDEX(CY:CY,MATCH("      item_no: "&amp;A40&amp;",",CY:CY,0)+18,1),"discount_prohibition:",""),",",""))</f>
        <v>0</v>
      </c>
      <c r="AC40" s="844"/>
      <c r="AD40" s="825" t="str" cm="1">
        <f t="array" ref="AD40">TRIM(SUBSTITUTE(SUBSTITUTE(INDEX(CY:CY,MATCH("      item_no: "&amp;A40&amp;",",CY:CY,0)+1,1),"item_cancel_line: ",""),",",""))</f>
        <v>false</v>
      </c>
      <c r="AE40" s="825"/>
      <c r="AF40" s="1093"/>
      <c r="AG40" s="1094"/>
      <c r="AH40" s="826">
        <f t="shared" si="0"/>
        <v>-9.9</v>
      </c>
      <c r="AI40" s="827"/>
      <c r="AJ40" s="838">
        <f t="shared" si="1"/>
        <v>198</v>
      </c>
      <c r="AK40" s="839"/>
      <c r="AL40" s="822">
        <f t="shared" si="2"/>
        <v>61</v>
      </c>
      <c r="AM40" s="823"/>
      <c r="AN40" s="830">
        <f t="shared" si="3"/>
        <v>-9</v>
      </c>
      <c r="AO40" s="831"/>
      <c r="AP40" s="830">
        <f t="shared" si="12"/>
        <v>0</v>
      </c>
      <c r="AQ40" s="831"/>
      <c r="AR40" s="820"/>
      <c r="AS40" s="821"/>
      <c r="AT40" s="822">
        <f t="shared" si="15"/>
        <v>-9</v>
      </c>
      <c r="AU40" s="823"/>
      <c r="AV40" s="817">
        <f t="shared" si="4"/>
        <v>189</v>
      </c>
      <c r="AW40" s="824"/>
      <c r="AX40" s="816">
        <f t="shared" ca="1" si="5"/>
        <v>15</v>
      </c>
      <c r="AY40" s="817"/>
      <c r="AZ40" s="816"/>
      <c r="BA40" s="817"/>
      <c r="BB40" s="816" t="str">
        <f t="shared" si="6"/>
        <v/>
      </c>
      <c r="BC40" s="817"/>
      <c r="BD40" s="816"/>
      <c r="BE40" s="817"/>
      <c r="BF40" s="816" t="str">
        <f t="shared" si="7"/>
        <v/>
      </c>
      <c r="BG40" s="817"/>
      <c r="BH40" s="816"/>
      <c r="BI40" s="817"/>
      <c r="BJ40" s="816" t="str">
        <f t="shared" si="8"/>
        <v/>
      </c>
      <c r="BK40" s="817"/>
      <c r="BL40" s="816"/>
      <c r="BM40" s="817"/>
      <c r="BN40" s="818">
        <f t="shared" si="9"/>
        <v>204</v>
      </c>
      <c r="BO40" s="819"/>
      <c r="BP40" s="74" t="s">
        <v>80</v>
      </c>
      <c r="BQ40" s="801" t="str">
        <f t="shared" si="10"/>
        <v>外税8%</v>
      </c>
      <c r="BR40" s="801"/>
      <c r="BS40" s="802"/>
      <c r="BT40" s="1072"/>
      <c r="BU40" s="1073"/>
      <c r="BV40" s="1076"/>
      <c r="BW40" s="1078"/>
      <c r="CY40" s="62" t="s">
        <v>163</v>
      </c>
      <c r="DD40" s="62" t="s">
        <v>164</v>
      </c>
      <c r="DE40" s="33" t="s">
        <v>30</v>
      </c>
      <c r="DF40" s="62" t="s">
        <v>165</v>
      </c>
    </row>
    <row r="41" spans="1:110" ht="15" customHeight="1">
      <c r="A41" s="46">
        <f t="shared" si="11"/>
        <v>89</v>
      </c>
      <c r="B41" s="832" t="s">
        <v>162</v>
      </c>
      <c r="C41" s="832"/>
      <c r="D41" s="832"/>
      <c r="E41" s="832"/>
      <c r="F41" s="832" t="str" cm="1">
        <f t="array" ref="F41">TRIM(SUBSTITUTE(SUBSTITUTE(INDEX(CY:CY,MATCH("      item_no: "&amp;A41&amp;",",CY:CY,0)+9,1),"item_name: ",""),",",""))</f>
        <v>たまねぎ　バラ　２７４</v>
      </c>
      <c r="G41" s="832"/>
      <c r="H41" s="832"/>
      <c r="I41" s="832"/>
      <c r="J41" s="832"/>
      <c r="K41" s="832"/>
      <c r="L41" s="884" t="str" cm="1">
        <f t="array" ref="L41">TRIM(SUBSTITUTE(SUBSTITUTE(INDEX(CY:CY,MATCH("      item_no: "&amp;A41&amp;",",CY:CY,0)+3,1),"item_scan_code: ",""),",",""))</f>
        <v>06161927</v>
      </c>
      <c r="M41" s="884"/>
      <c r="N41" s="884"/>
      <c r="O41" s="884"/>
      <c r="P41" s="884"/>
      <c r="Q41" s="887" cm="1">
        <f t="array" ref="Q41">IF(AD41="true","",TRIM(SUBSTITUTE(SUBSTITUTE(INDEX(CY:CY,MATCH("      item_no: "&amp;A41&amp;",",CY:CY,0)+13,1),"item_price_fmt: ￥",""),",",""))+0)</f>
        <v>39</v>
      </c>
      <c r="R41" s="888"/>
      <c r="S41" s="836">
        <f t="shared" si="14"/>
        <v>0</v>
      </c>
      <c r="T41" s="837"/>
      <c r="U41" s="888" cm="1">
        <f t="array" ref="U41">IF(AD41="true","",TRIM(SUBSTITUTE(SUBSTITUTE(INDEX(CY:CY,MATCH("      item_no: "&amp;A41&amp;",",CY:CY,0)+14,1),"item_price_discount_fmt: ￥",""),",",""))+0)</f>
        <v>39</v>
      </c>
      <c r="V41" s="889"/>
      <c r="W41" s="840">
        <f ca="1">INT(SUMIF($Y$10:$AA41,"外税8%",$U$10:$V41)*1.08)+INT(SUMIF($Y$10:$AA41,"外税10%",$U$10:$V41)*1.1)+SUMIF($Y$10:$AA41,"内税10%",$U$10:$V41)+SUMIF($Y$10:$AA41,"非課税",$U$10:$V41)</f>
        <v>8514</v>
      </c>
      <c r="X41" s="841"/>
      <c r="Y41" s="842" t="str" cm="1">
        <f t="array" ref="Y41">TRIM(SUBSTITUTE(SUBSTITUTE(INDEX(CY:CY,MATCH("      item_no: "&amp;A41&amp;",",CY:CY,0)+15,1),"item_tax_fmt: ",""),",",""))</f>
        <v>外税8%</v>
      </c>
      <c r="Z41" s="843"/>
      <c r="AA41" s="843"/>
      <c r="AB41" s="844" t="str" cm="1">
        <f t="array" ref="AB41">TRIM(SUBSTITUTE(SUBSTITUTE(INDEX(CY:CY,MATCH("      item_no: "&amp;A41&amp;",",CY:CY,0)+18,1),"discount_prohibition:",""),",",""))</f>
        <v>0</v>
      </c>
      <c r="AC41" s="844"/>
      <c r="AD41" s="825" t="str" cm="1">
        <f t="array" ref="AD41">TRIM(SUBSTITUTE(SUBSTITUTE(INDEX(CY:CY,MATCH("      item_no: "&amp;A41&amp;",",CY:CY,0)+1,1),"item_cancel_line: ",""),",",""))</f>
        <v>false</v>
      </c>
      <c r="AE41" s="825"/>
      <c r="AF41" s="1093"/>
      <c r="AG41" s="1094"/>
      <c r="AH41" s="826">
        <f t="shared" si="0"/>
        <v>-1.9500000000000002</v>
      </c>
      <c r="AI41" s="827"/>
      <c r="AJ41" s="838">
        <f t="shared" si="1"/>
        <v>39</v>
      </c>
      <c r="AK41" s="839"/>
      <c r="AL41" s="822">
        <f t="shared" si="2"/>
        <v>79</v>
      </c>
      <c r="AM41" s="823"/>
      <c r="AN41" s="830">
        <f t="shared" si="3"/>
        <v>-1</v>
      </c>
      <c r="AO41" s="831"/>
      <c r="AP41" s="830">
        <f t="shared" si="12"/>
        <v>0</v>
      </c>
      <c r="AQ41" s="831"/>
      <c r="AR41" s="820"/>
      <c r="AS41" s="821"/>
      <c r="AT41" s="822">
        <f t="shared" si="15"/>
        <v>-1</v>
      </c>
      <c r="AU41" s="823"/>
      <c r="AV41" s="817">
        <f t="shared" si="4"/>
        <v>38</v>
      </c>
      <c r="AW41" s="824"/>
      <c r="AX41" s="816">
        <f t="shared" ca="1" si="5"/>
        <v>3</v>
      </c>
      <c r="AY41" s="817"/>
      <c r="AZ41" s="816"/>
      <c r="BA41" s="817"/>
      <c r="BB41" s="816" t="str">
        <f t="shared" si="6"/>
        <v/>
      </c>
      <c r="BC41" s="817"/>
      <c r="BD41" s="816"/>
      <c r="BE41" s="817"/>
      <c r="BF41" s="816" t="str">
        <f t="shared" si="7"/>
        <v/>
      </c>
      <c r="BG41" s="817"/>
      <c r="BH41" s="816"/>
      <c r="BI41" s="817"/>
      <c r="BJ41" s="816" t="str">
        <f t="shared" si="8"/>
        <v/>
      </c>
      <c r="BK41" s="817"/>
      <c r="BL41" s="816"/>
      <c r="BM41" s="817"/>
      <c r="BN41" s="818">
        <f t="shared" si="9"/>
        <v>41</v>
      </c>
      <c r="BO41" s="819"/>
      <c r="BP41" s="74" t="s">
        <v>80</v>
      </c>
      <c r="BQ41" s="801" t="str">
        <f t="shared" si="10"/>
        <v>外税8%</v>
      </c>
      <c r="BR41" s="801"/>
      <c r="BS41" s="802"/>
      <c r="BT41" s="1072"/>
      <c r="BU41" s="1073"/>
      <c r="BV41" s="1076"/>
      <c r="BW41" s="1078"/>
      <c r="CY41" s="62" t="s">
        <v>135</v>
      </c>
      <c r="DD41" s="62" t="s">
        <v>166</v>
      </c>
      <c r="DE41" s="33" t="s">
        <v>30</v>
      </c>
      <c r="DF41" s="62" t="s">
        <v>167</v>
      </c>
    </row>
    <row r="42" spans="1:110" ht="15" customHeight="1">
      <c r="A42" s="46">
        <f t="shared" si="11"/>
        <v>88</v>
      </c>
      <c r="B42" s="832" t="s">
        <v>162</v>
      </c>
      <c r="C42" s="832"/>
      <c r="D42" s="832"/>
      <c r="E42" s="832"/>
      <c r="F42" s="832" t="str" cm="1">
        <f t="array" ref="F42">TRIM(SUBSTITUTE(SUBSTITUTE(INDEX(CY:CY,MATCH("      item_no: "&amp;A42&amp;",",CY:CY,0)+9,1),"item_name: ",""),",",""))</f>
        <v>国産南瓜ユニツト</v>
      </c>
      <c r="G42" s="832"/>
      <c r="H42" s="832"/>
      <c r="I42" s="832"/>
      <c r="J42" s="832"/>
      <c r="K42" s="832"/>
      <c r="L42" s="884" t="str" cm="1">
        <f t="array" ref="L42">TRIM(SUBSTITUTE(SUBSTITUTE(INDEX(CY:CY,MATCH("      item_no: "&amp;A42&amp;",",CY:CY,0)+3,1),"item_scan_code: ",""),",",""))</f>
        <v>224307701006</v>
      </c>
      <c r="M42" s="884"/>
      <c r="N42" s="884"/>
      <c r="O42" s="884"/>
      <c r="P42" s="884"/>
      <c r="Q42" s="887" cm="1">
        <f t="array" ref="Q42">IF(AD42="true","",TRIM(SUBSTITUTE(SUBSTITUTE(INDEX(CY:CY,MATCH("      item_no: "&amp;A42&amp;",",CY:CY,0)+13,1),"item_price_fmt: ￥",""),",",""))+0)</f>
        <v>100</v>
      </c>
      <c r="R42" s="888"/>
      <c r="S42" s="836">
        <f t="shared" si="14"/>
        <v>0</v>
      </c>
      <c r="T42" s="837"/>
      <c r="U42" s="888" cm="1">
        <f t="array" ref="U42">IF(AD42="true","",TRIM(SUBSTITUTE(SUBSTITUTE(INDEX(CY:CY,MATCH("      item_no: "&amp;A42&amp;",",CY:CY,0)+14,1),"item_price_discount_fmt: ￥",""),",",""))+0)</f>
        <v>100</v>
      </c>
      <c r="V42" s="889"/>
      <c r="W42" s="840">
        <f ca="1">INT(SUMIF($Y$10:$AA42,"外税8%",$U$10:$V42)*1.08)+INT(SUMIF($Y$10:$AA42,"外税10%",$U$10:$V42)*1.1)+SUMIF($Y$10:$AA42,"内税10%",$U$10:$V42)+SUMIF($Y$10:$AA42,"非課税",$U$10:$V42)</f>
        <v>8622</v>
      </c>
      <c r="X42" s="841"/>
      <c r="Y42" s="842" t="str" cm="1">
        <f t="array" ref="Y42">TRIM(SUBSTITUTE(SUBSTITUTE(INDEX(CY:CY,MATCH("      item_no: "&amp;A42&amp;",",CY:CY,0)+15,1),"item_tax_fmt: ",""),",",""))</f>
        <v>外税8%</v>
      </c>
      <c r="Z42" s="843"/>
      <c r="AA42" s="843"/>
      <c r="AB42" s="844" t="str" cm="1">
        <f t="array" ref="AB42">TRIM(SUBSTITUTE(SUBSTITUTE(INDEX(CY:CY,MATCH("      item_no: "&amp;A42&amp;",",CY:CY,0)+18,1),"discount_prohibition:",""),",",""))</f>
        <v>0</v>
      </c>
      <c r="AC42" s="844"/>
      <c r="AD42" s="825" t="str" cm="1">
        <f t="array" ref="AD42">TRIM(SUBSTITUTE(SUBSTITUTE(INDEX(CY:CY,MATCH("      item_no: "&amp;A42&amp;",",CY:CY,0)+1,1),"item_cancel_line: ",""),",",""))</f>
        <v>false</v>
      </c>
      <c r="AE42" s="825"/>
      <c r="AF42" s="1093"/>
      <c r="AG42" s="1094"/>
      <c r="AH42" s="826">
        <f t="shared" ref="AH42:AH73" si="16">IF(U42="","",IF(AB42="1",0,U42*$AF$10))</f>
        <v>-5</v>
      </c>
      <c r="AI42" s="827"/>
      <c r="AJ42" s="838">
        <f t="shared" ref="AJ42:AJ73" si="17">IF(U42="","",IF(AB42="1",0,U42))</f>
        <v>100</v>
      </c>
      <c r="AK42" s="839"/>
      <c r="AL42" s="822">
        <f t="shared" si="2"/>
        <v>75</v>
      </c>
      <c r="AM42" s="823"/>
      <c r="AN42" s="830">
        <f t="shared" ref="AN42:AN73" si="18">IF(U42="","",ROUNDDOWN(AH42,0))</f>
        <v>-5</v>
      </c>
      <c r="AO42" s="831"/>
      <c r="AP42" s="830">
        <f t="shared" si="12"/>
        <v>0</v>
      </c>
      <c r="AQ42" s="831"/>
      <c r="AR42" s="897"/>
      <c r="AS42" s="898"/>
      <c r="AT42" s="899">
        <f t="shared" si="15"/>
        <v>-5</v>
      </c>
      <c r="AU42" s="900"/>
      <c r="AV42" s="817">
        <f t="shared" ref="AV42:AV73" si="19">IF(U42="","",U42+AT42)</f>
        <v>95</v>
      </c>
      <c r="AW42" s="824"/>
      <c r="AX42" s="816">
        <f t="shared" ref="AX42:AX73" ca="1" si="20">IF(AD42="false",IF(Y42="外税8%",INT(AV42*($CE$10/$CA$10)),""),"")</f>
        <v>7</v>
      </c>
      <c r="AY42" s="817"/>
      <c r="AZ42" s="816"/>
      <c r="BA42" s="817"/>
      <c r="BB42" s="816" t="str">
        <f t="shared" ref="BB42:BB73" si="21">IF(AD42="false",IF(Y42="外税10%",INT(AV42*($CE$11/$CA$11)),""),"")</f>
        <v/>
      </c>
      <c r="BC42" s="817"/>
      <c r="BD42" s="816"/>
      <c r="BE42" s="817"/>
      <c r="BF42" s="816" t="str">
        <f t="shared" ref="BF42:BF73" si="22">IF(AD42="false",IF(Y42="内税8%",INT(AV42*($CE$13/$CC$13)),""),"")</f>
        <v/>
      </c>
      <c r="BG42" s="817"/>
      <c r="BH42" s="816"/>
      <c r="BI42" s="817"/>
      <c r="BJ42" s="816" t="str">
        <f t="shared" ref="BJ42:BJ73" si="23">IF(AD42="false",IF(Y42="内税10%",INT(U42/(1+0.1)*0.1),""),"")</f>
        <v/>
      </c>
      <c r="BK42" s="817"/>
      <c r="BL42" s="816"/>
      <c r="BM42" s="817"/>
      <c r="BN42" s="818">
        <f t="shared" ref="BN42:BN73" si="24">IF(AV42="","",INT(IF(Y42="外税8%",1.08,IF(Y42="外税10%",1.1,1))*AV42))</f>
        <v>102</v>
      </c>
      <c r="BO42" s="819"/>
      <c r="BP42" s="74" t="s">
        <v>80</v>
      </c>
      <c r="BQ42" s="801" t="str">
        <f t="shared" ref="BQ42:BQ73" si="25">BP42&amp;Y42</f>
        <v>外税8%</v>
      </c>
      <c r="BR42" s="801"/>
      <c r="BS42" s="802"/>
      <c r="BT42" s="1072"/>
      <c r="BU42" s="1073"/>
      <c r="BV42" s="1076"/>
      <c r="BW42" s="1078"/>
      <c r="CY42" s="62" t="s">
        <v>168</v>
      </c>
      <c r="DD42" s="62" t="s">
        <v>169</v>
      </c>
      <c r="DE42" s="33" t="s">
        <v>30</v>
      </c>
      <c r="DF42" s="62" t="s">
        <v>170</v>
      </c>
    </row>
    <row r="43" spans="1:110" ht="15" customHeight="1">
      <c r="A43" s="46">
        <f t="shared" si="11"/>
        <v>87</v>
      </c>
      <c r="B43" s="832" t="s">
        <v>171</v>
      </c>
      <c r="C43" s="832"/>
      <c r="D43" s="832"/>
      <c r="E43" s="832"/>
      <c r="F43" s="832" t="str" cm="1">
        <f t="array" ref="F43">TRIM(SUBSTITUTE(SUBSTITUTE(INDEX(CY:CY,MATCH("      item_no: "&amp;A43&amp;",",CY:CY,0)+9,1),"item_name: ",""),",",""))</f>
        <v>エナジーナバナナ１便</v>
      </c>
      <c r="G43" s="832"/>
      <c r="H43" s="832"/>
      <c r="I43" s="832"/>
      <c r="J43" s="832"/>
      <c r="K43" s="832"/>
      <c r="L43" s="884" t="str" cm="1">
        <f t="array" ref="L43">TRIM(SUBSTITUTE(SUBSTITUTE(INDEX(CY:CY,MATCH("      item_no: "&amp;A43&amp;",",CY:CY,0)+3,1),"item_scan_code: ",""),",",""))</f>
        <v>4975612534068</v>
      </c>
      <c r="M43" s="884"/>
      <c r="N43" s="884"/>
      <c r="O43" s="884"/>
      <c r="P43" s="884"/>
      <c r="Q43" s="887" cm="1">
        <f t="array" ref="Q43">IF(AD43="true","",TRIM(SUBSTITUTE(SUBSTITUTE(INDEX(CY:CY,MATCH("      item_no: "&amp;A43&amp;",",CY:CY,0)+13,1),"item_price_fmt: ￥",""),",",""))+0)</f>
        <v>198</v>
      </c>
      <c r="R43" s="888"/>
      <c r="S43" s="836">
        <f t="shared" si="14"/>
        <v>0</v>
      </c>
      <c r="T43" s="837"/>
      <c r="U43" s="888" cm="1">
        <f t="array" ref="U43">IF(AD43="true","",TRIM(SUBSTITUTE(SUBSTITUTE(INDEX(CY:CY,MATCH("      item_no: "&amp;A43&amp;",",CY:CY,0)+14,1),"item_price_discount_fmt: ￥",""),",",""))+0)</f>
        <v>198</v>
      </c>
      <c r="V43" s="889"/>
      <c r="W43" s="840">
        <f ca="1">INT(SUMIF($Y$10:$AA43,"外税8%",$U$10:$V43)*1.08)+INT(SUMIF($Y$10:$AA43,"外税10%",$U$10:$V43)*1.1)+SUMIF($Y$10:$AA43,"内税10%",$U$10:$V43)+SUMIF($Y$10:$AA43,"非課税",$U$10:$V43)</f>
        <v>8836</v>
      </c>
      <c r="X43" s="841"/>
      <c r="Y43" s="842" t="str" cm="1">
        <f t="array" ref="Y43">TRIM(SUBSTITUTE(SUBSTITUTE(INDEX(CY:CY,MATCH("      item_no: "&amp;A43&amp;",",CY:CY,0)+15,1),"item_tax_fmt: ",""),",",""))</f>
        <v>外税8%</v>
      </c>
      <c r="Z43" s="843"/>
      <c r="AA43" s="843"/>
      <c r="AB43" s="844" t="str" cm="1">
        <f t="array" ref="AB43">TRIM(SUBSTITUTE(SUBSTITUTE(INDEX(CY:CY,MATCH("      item_no: "&amp;A43&amp;",",CY:CY,0)+18,1),"discount_prohibition:",""),",",""))</f>
        <v>0</v>
      </c>
      <c r="AC43" s="844"/>
      <c r="AD43" s="825" t="str" cm="1">
        <f t="array" ref="AD43">TRIM(SUBSTITUTE(SUBSTITUTE(INDEX(CY:CY,MATCH("      item_no: "&amp;A43&amp;",",CY:CY,0)+1,1),"item_cancel_line: ",""),",",""))</f>
        <v>false</v>
      </c>
      <c r="AE43" s="825"/>
      <c r="AF43" s="1093"/>
      <c r="AG43" s="1094"/>
      <c r="AH43" s="826">
        <f t="shared" si="16"/>
        <v>-9.9</v>
      </c>
      <c r="AI43" s="827"/>
      <c r="AJ43" s="838">
        <f t="shared" si="17"/>
        <v>198</v>
      </c>
      <c r="AK43" s="839"/>
      <c r="AL43" s="822">
        <f t="shared" si="2"/>
        <v>61</v>
      </c>
      <c r="AM43" s="823"/>
      <c r="AN43" s="830">
        <f t="shared" si="18"/>
        <v>-9</v>
      </c>
      <c r="AO43" s="831"/>
      <c r="AP43" s="830">
        <f t="shared" si="12"/>
        <v>0</v>
      </c>
      <c r="AQ43" s="831"/>
      <c r="AR43" s="820"/>
      <c r="AS43" s="821"/>
      <c r="AT43" s="822">
        <f t="shared" si="15"/>
        <v>-9</v>
      </c>
      <c r="AU43" s="823"/>
      <c r="AV43" s="817">
        <f t="shared" si="19"/>
        <v>189</v>
      </c>
      <c r="AW43" s="824"/>
      <c r="AX43" s="816">
        <f t="shared" ca="1" si="20"/>
        <v>15</v>
      </c>
      <c r="AY43" s="817"/>
      <c r="AZ43" s="816"/>
      <c r="BA43" s="817"/>
      <c r="BB43" s="816" t="str">
        <f t="shared" si="21"/>
        <v/>
      </c>
      <c r="BC43" s="817"/>
      <c r="BD43" s="816"/>
      <c r="BE43" s="817"/>
      <c r="BF43" s="816" t="str">
        <f t="shared" si="22"/>
        <v/>
      </c>
      <c r="BG43" s="817"/>
      <c r="BH43" s="816"/>
      <c r="BI43" s="817"/>
      <c r="BJ43" s="816" t="str">
        <f t="shared" si="23"/>
        <v/>
      </c>
      <c r="BK43" s="817"/>
      <c r="BL43" s="816"/>
      <c r="BM43" s="817"/>
      <c r="BN43" s="818">
        <f t="shared" si="24"/>
        <v>204</v>
      </c>
      <c r="BO43" s="819"/>
      <c r="BP43" s="74" t="s">
        <v>80</v>
      </c>
      <c r="BQ43" s="801" t="str">
        <f t="shared" si="25"/>
        <v>外税8%</v>
      </c>
      <c r="BR43" s="801"/>
      <c r="BS43" s="802"/>
      <c r="BT43" s="1072"/>
      <c r="BU43" s="1073"/>
      <c r="BV43" s="1076"/>
      <c r="BW43" s="1078"/>
      <c r="CY43" s="62" t="s">
        <v>172</v>
      </c>
      <c r="DD43" s="62" t="s">
        <v>173</v>
      </c>
      <c r="DE43" s="33" t="s">
        <v>30</v>
      </c>
      <c r="DF43" s="62" t="s">
        <v>174</v>
      </c>
    </row>
    <row r="44" spans="1:110" ht="15" customHeight="1">
      <c r="A44" s="46">
        <f t="shared" si="11"/>
        <v>86</v>
      </c>
      <c r="B44" s="832" t="s">
        <v>171</v>
      </c>
      <c r="C44" s="832"/>
      <c r="D44" s="832"/>
      <c r="E44" s="832"/>
      <c r="F44" s="832" t="str" cm="1">
        <f t="array" ref="F44">TRIM(SUBSTITUTE(SUBSTITUTE(INDEX(CY:CY,MATCH("      item_no: "&amp;A44&amp;",",CY:CY,0)+9,1),"item_name: ",""),",",""))</f>
        <v>幸水梨（インストア）</v>
      </c>
      <c r="G44" s="832"/>
      <c r="H44" s="832"/>
      <c r="I44" s="832"/>
      <c r="J44" s="832"/>
      <c r="K44" s="832"/>
      <c r="L44" s="884" t="str" cm="1">
        <f t="array" ref="L44">TRIM(SUBSTITUTE(SUBSTITUTE(INDEX(CY:CY,MATCH("      item_no: "&amp;A44&amp;",",CY:CY,0)+3,1),"item_scan_code: ",""),",",""))</f>
        <v>04570561</v>
      </c>
      <c r="M44" s="884"/>
      <c r="N44" s="884"/>
      <c r="O44" s="884"/>
      <c r="P44" s="884"/>
      <c r="Q44" s="887" cm="1">
        <f t="array" ref="Q44">IF(AD44="true","",TRIM(SUBSTITUTE(SUBSTITUTE(INDEX(CY:CY,MATCH("      item_no: "&amp;A44&amp;",",CY:CY,0)+13,1),"item_price_fmt: ￥",""),",",""))+0)</f>
        <v>599</v>
      </c>
      <c r="R44" s="888"/>
      <c r="S44" s="836">
        <f t="shared" si="14"/>
        <v>0</v>
      </c>
      <c r="T44" s="837"/>
      <c r="U44" s="888" cm="1">
        <f t="array" ref="U44">IF(AD44="true","",TRIM(SUBSTITUTE(SUBSTITUTE(INDEX(CY:CY,MATCH("      item_no: "&amp;A44&amp;",",CY:CY,0)+14,1),"item_price_discount_fmt: ￥",""),",",""))+0)</f>
        <v>599</v>
      </c>
      <c r="V44" s="889"/>
      <c r="W44" s="840">
        <f ca="1">INT(SUMIF($Y$10:$AA44,"外税8%",$U$10:$V44)*1.08)+INT(SUMIF($Y$10:$AA44,"外税10%",$U$10:$V44)*1.1)+SUMIF($Y$10:$AA44,"内税10%",$U$10:$V44)+SUMIF($Y$10:$AA44,"非課税",$U$10:$V44)</f>
        <v>9483</v>
      </c>
      <c r="X44" s="841"/>
      <c r="Y44" s="842" t="str" cm="1">
        <f t="array" ref="Y44">TRIM(SUBSTITUTE(SUBSTITUTE(INDEX(CY:CY,MATCH("      item_no: "&amp;A44&amp;",",CY:CY,0)+15,1),"item_tax_fmt: ",""),",",""))</f>
        <v>外税8%</v>
      </c>
      <c r="Z44" s="843"/>
      <c r="AA44" s="843"/>
      <c r="AB44" s="844" t="str" cm="1">
        <f t="array" ref="AB44">TRIM(SUBSTITUTE(SUBSTITUTE(INDEX(CY:CY,MATCH("      item_no: "&amp;A44&amp;",",CY:CY,0)+18,1),"discount_prohibition:",""),",",""))</f>
        <v>0</v>
      </c>
      <c r="AC44" s="844"/>
      <c r="AD44" s="825" t="str" cm="1">
        <f t="array" ref="AD44">TRIM(SUBSTITUTE(SUBSTITUTE(INDEX(CY:CY,MATCH("      item_no: "&amp;A44&amp;",",CY:CY,0)+1,1),"item_cancel_line: ",""),",",""))</f>
        <v>false</v>
      </c>
      <c r="AE44" s="825"/>
      <c r="AF44" s="1093"/>
      <c r="AG44" s="1094"/>
      <c r="AH44" s="826">
        <f t="shared" si="16"/>
        <v>-29.950000000000003</v>
      </c>
      <c r="AI44" s="827"/>
      <c r="AJ44" s="838">
        <f t="shared" si="17"/>
        <v>599</v>
      </c>
      <c r="AK44" s="839"/>
      <c r="AL44" s="822">
        <f t="shared" si="2"/>
        <v>10</v>
      </c>
      <c r="AM44" s="823"/>
      <c r="AN44" s="830">
        <f t="shared" si="18"/>
        <v>-29</v>
      </c>
      <c r="AO44" s="831"/>
      <c r="AP44" s="830">
        <f t="shared" si="12"/>
        <v>-1</v>
      </c>
      <c r="AQ44" s="831"/>
      <c r="AR44" s="820"/>
      <c r="AS44" s="821"/>
      <c r="AT44" s="822">
        <f t="shared" si="15"/>
        <v>-30</v>
      </c>
      <c r="AU44" s="823"/>
      <c r="AV44" s="817">
        <f t="shared" si="19"/>
        <v>569</v>
      </c>
      <c r="AW44" s="824"/>
      <c r="AX44" s="816">
        <f t="shared" ca="1" si="20"/>
        <v>45</v>
      </c>
      <c r="AY44" s="817"/>
      <c r="AZ44" s="816"/>
      <c r="BA44" s="817"/>
      <c r="BB44" s="816" t="str">
        <f t="shared" si="21"/>
        <v/>
      </c>
      <c r="BC44" s="817"/>
      <c r="BD44" s="816"/>
      <c r="BE44" s="817"/>
      <c r="BF44" s="816" t="str">
        <f t="shared" si="22"/>
        <v/>
      </c>
      <c r="BG44" s="817"/>
      <c r="BH44" s="816"/>
      <c r="BI44" s="817"/>
      <c r="BJ44" s="816" t="str">
        <f t="shared" si="23"/>
        <v/>
      </c>
      <c r="BK44" s="817"/>
      <c r="BL44" s="816"/>
      <c r="BM44" s="817"/>
      <c r="BN44" s="818">
        <f t="shared" si="24"/>
        <v>614</v>
      </c>
      <c r="BO44" s="819"/>
      <c r="BP44" s="74" t="s">
        <v>80</v>
      </c>
      <c r="BQ44" s="801" t="str">
        <f t="shared" si="25"/>
        <v>外税8%</v>
      </c>
      <c r="BR44" s="801"/>
      <c r="BS44" s="802"/>
      <c r="BT44" s="1072"/>
      <c r="BU44" s="1073"/>
      <c r="BV44" s="1076"/>
      <c r="BW44" s="1078"/>
      <c r="CY44" s="62" t="s">
        <v>175</v>
      </c>
      <c r="DD44" s="62" t="s">
        <v>176</v>
      </c>
      <c r="DE44" s="33" t="s">
        <v>30</v>
      </c>
      <c r="DF44" s="62" t="s">
        <v>177</v>
      </c>
    </row>
    <row r="45" spans="1:110" ht="15" customHeight="1">
      <c r="A45" s="46">
        <f t="shared" si="11"/>
        <v>85</v>
      </c>
      <c r="B45" s="832" t="s">
        <v>171</v>
      </c>
      <c r="C45" s="832"/>
      <c r="D45" s="832"/>
      <c r="E45" s="832"/>
      <c r="F45" s="832" t="str" cm="1">
        <f t="array" ref="F45">TRIM(SUBSTITUTE(SUBSTITUTE(INDEX(CY:CY,MATCH("      item_no: "&amp;A45&amp;",",CY:CY,0)+9,1),"item_name: ",""),",",""))</f>
        <v>シャインマスカット</v>
      </c>
      <c r="G45" s="832"/>
      <c r="H45" s="832"/>
      <c r="I45" s="832"/>
      <c r="J45" s="832"/>
      <c r="K45" s="832"/>
      <c r="L45" s="884" t="str" cm="1">
        <f t="array" ref="L45">TRIM(SUBSTITUTE(SUBSTITUTE(INDEX(CY:CY,MATCH("      item_no: "&amp;A45&amp;",",CY:CY,0)+3,1),"item_scan_code: ",""),",",""))</f>
        <v>285005001003</v>
      </c>
      <c r="M45" s="884"/>
      <c r="N45" s="884"/>
      <c r="O45" s="884"/>
      <c r="P45" s="884"/>
      <c r="Q45" s="887" cm="1">
        <f t="array" ref="Q45">IF(AD45="true","",TRIM(SUBSTITUTE(SUBSTITUTE(INDEX(CY:CY,MATCH("      item_no: "&amp;A45&amp;",",CY:CY,0)+13,1),"item_price_fmt: ￥",""),",",""))+0)</f>
        <v>100</v>
      </c>
      <c r="R45" s="888"/>
      <c r="S45" s="836">
        <f t="shared" si="14"/>
        <v>0</v>
      </c>
      <c r="T45" s="837"/>
      <c r="U45" s="888" cm="1">
        <f t="array" ref="U45">IF(AD45="true","",TRIM(SUBSTITUTE(SUBSTITUTE(INDEX(CY:CY,MATCH("      item_no: "&amp;A45&amp;",",CY:CY,0)+14,1),"item_price_discount_fmt: ￥",""),",",""))+0)</f>
        <v>100</v>
      </c>
      <c r="V45" s="889"/>
      <c r="W45" s="840">
        <f ca="1">INT(SUMIF($Y$10:$AA45,"外税8%",$U$10:$V45)*1.08)+INT(SUMIF($Y$10:$AA45,"外税10%",$U$10:$V45)*1.1)+SUMIF($Y$10:$AA45,"内税10%",$U$10:$V45)+SUMIF($Y$10:$AA45,"非課税",$U$10:$V45)</f>
        <v>9591</v>
      </c>
      <c r="X45" s="841"/>
      <c r="Y45" s="842" t="str" cm="1">
        <f t="array" ref="Y45">TRIM(SUBSTITUTE(SUBSTITUTE(INDEX(CY:CY,MATCH("      item_no: "&amp;A45&amp;",",CY:CY,0)+15,1),"item_tax_fmt: ",""),",",""))</f>
        <v>外税8%</v>
      </c>
      <c r="Z45" s="843"/>
      <c r="AA45" s="843"/>
      <c r="AB45" s="844" t="str" cm="1">
        <f t="array" ref="AB45">TRIM(SUBSTITUTE(SUBSTITUTE(INDEX(CY:CY,MATCH("      item_no: "&amp;A45&amp;",",CY:CY,0)+18,1),"discount_prohibition:",""),",",""))</f>
        <v>0</v>
      </c>
      <c r="AC45" s="844"/>
      <c r="AD45" s="825" t="str" cm="1">
        <f t="array" ref="AD45">TRIM(SUBSTITUTE(SUBSTITUTE(INDEX(CY:CY,MATCH("      item_no: "&amp;A45&amp;",",CY:CY,0)+1,1),"item_cancel_line: ",""),",",""))</f>
        <v>false</v>
      </c>
      <c r="AE45" s="825"/>
      <c r="AF45" s="1093"/>
      <c r="AG45" s="1094"/>
      <c r="AH45" s="826">
        <f t="shared" si="16"/>
        <v>-5</v>
      </c>
      <c r="AI45" s="827"/>
      <c r="AJ45" s="838">
        <f t="shared" si="17"/>
        <v>100</v>
      </c>
      <c r="AK45" s="839"/>
      <c r="AL45" s="822">
        <f t="shared" si="2"/>
        <v>75</v>
      </c>
      <c r="AM45" s="823"/>
      <c r="AN45" s="830">
        <f t="shared" si="18"/>
        <v>-5</v>
      </c>
      <c r="AO45" s="831"/>
      <c r="AP45" s="830">
        <f t="shared" si="12"/>
        <v>0</v>
      </c>
      <c r="AQ45" s="831"/>
      <c r="AR45" s="897"/>
      <c r="AS45" s="898"/>
      <c r="AT45" s="899">
        <f t="shared" si="15"/>
        <v>-5</v>
      </c>
      <c r="AU45" s="900"/>
      <c r="AV45" s="817">
        <f t="shared" si="19"/>
        <v>95</v>
      </c>
      <c r="AW45" s="824"/>
      <c r="AX45" s="816">
        <f t="shared" ca="1" si="20"/>
        <v>7</v>
      </c>
      <c r="AY45" s="817"/>
      <c r="AZ45" s="816"/>
      <c r="BA45" s="817"/>
      <c r="BB45" s="816" t="str">
        <f t="shared" si="21"/>
        <v/>
      </c>
      <c r="BC45" s="817"/>
      <c r="BD45" s="816"/>
      <c r="BE45" s="817"/>
      <c r="BF45" s="816" t="str">
        <f t="shared" si="22"/>
        <v/>
      </c>
      <c r="BG45" s="817"/>
      <c r="BH45" s="816"/>
      <c r="BI45" s="817"/>
      <c r="BJ45" s="816" t="str">
        <f t="shared" si="23"/>
        <v/>
      </c>
      <c r="BK45" s="817"/>
      <c r="BL45" s="816"/>
      <c r="BM45" s="817"/>
      <c r="BN45" s="818">
        <f t="shared" si="24"/>
        <v>102</v>
      </c>
      <c r="BO45" s="819"/>
      <c r="BP45" s="74" t="s">
        <v>80</v>
      </c>
      <c r="BQ45" s="801" t="str">
        <f t="shared" si="25"/>
        <v>外税8%</v>
      </c>
      <c r="BR45" s="801"/>
      <c r="BS45" s="802"/>
      <c r="BT45" s="1072"/>
      <c r="BU45" s="1073"/>
      <c r="BV45" s="1076"/>
      <c r="BW45" s="1078"/>
      <c r="CY45" s="62" t="s">
        <v>178</v>
      </c>
      <c r="DD45" s="62" t="s">
        <v>179</v>
      </c>
      <c r="DE45" s="33" t="s">
        <v>30</v>
      </c>
      <c r="DF45" s="62" t="s">
        <v>180</v>
      </c>
    </row>
    <row r="46" spans="1:110" ht="15" customHeight="1">
      <c r="A46" s="46">
        <f t="shared" si="11"/>
        <v>84</v>
      </c>
      <c r="B46" s="832" t="s">
        <v>181</v>
      </c>
      <c r="C46" s="832"/>
      <c r="D46" s="832"/>
      <c r="E46" s="832"/>
      <c r="F46" s="832" t="str" cm="1">
        <f t="array" ref="F46">TRIM(SUBSTITUTE(SUBSTITUTE(INDEX(CY:CY,MATCH("      item_no: "&amp;A46&amp;",",CY:CY,0)+9,1),"item_name: ",""),",",""))</f>
        <v>ＰＫ鹿児島県産山田のうなぎ長焼　１尾</v>
      </c>
      <c r="G46" s="832"/>
      <c r="H46" s="832"/>
      <c r="I46" s="832"/>
      <c r="J46" s="832"/>
      <c r="K46" s="832"/>
      <c r="L46" s="884" t="str" cm="1">
        <f t="array" ref="L46">TRIM(SUBSTITUTE(SUBSTITUTE(INDEX(CY:CY,MATCH("      item_no: "&amp;A46&amp;",",CY:CY,0)+3,1),"item_scan_code: ",""),",",""))</f>
        <v>4963646020169</v>
      </c>
      <c r="M46" s="884"/>
      <c r="N46" s="884"/>
      <c r="O46" s="884"/>
      <c r="P46" s="884"/>
      <c r="Q46" s="887" cm="1">
        <f t="array" ref="Q46">IF(AD46="true","",TRIM(SUBSTITUTE(SUBSTITUTE(INDEX(CY:CY,MATCH("      item_no: "&amp;A46&amp;",",CY:CY,0)+13,1),"item_price_fmt: ￥",""),",",""))+0)</f>
        <v>2390</v>
      </c>
      <c r="R46" s="888"/>
      <c r="S46" s="836">
        <f t="shared" si="14"/>
        <v>0</v>
      </c>
      <c r="T46" s="837"/>
      <c r="U46" s="888" cm="1">
        <f t="array" ref="U46">IF(AD46="true","",TRIM(SUBSTITUTE(SUBSTITUTE(INDEX(CY:CY,MATCH("      item_no: "&amp;A46&amp;",",CY:CY,0)+14,1),"item_price_discount_fmt: ￥",""),",",""))+0)</f>
        <v>2390</v>
      </c>
      <c r="V46" s="889"/>
      <c r="W46" s="840">
        <f ca="1">INT(SUMIF($Y$10:$AA46,"外税8%",$U$10:$V46)*1.08)+INT(SUMIF($Y$10:$AA46,"外税10%",$U$10:$V46)*1.1)+SUMIF($Y$10:$AA46,"内税10%",$U$10:$V46)+SUMIF($Y$10:$AA46,"非課税",$U$10:$V46)</f>
        <v>12172</v>
      </c>
      <c r="X46" s="841"/>
      <c r="Y46" s="842" t="str" cm="1">
        <f t="array" ref="Y46">TRIM(SUBSTITUTE(SUBSTITUTE(INDEX(CY:CY,MATCH("      item_no: "&amp;A46&amp;",",CY:CY,0)+15,1),"item_tax_fmt: ",""),",",""))</f>
        <v>外税8%</v>
      </c>
      <c r="Z46" s="843"/>
      <c r="AA46" s="843"/>
      <c r="AB46" s="844" t="str" cm="1">
        <f t="array" ref="AB46">TRIM(SUBSTITUTE(SUBSTITUTE(INDEX(CY:CY,MATCH("      item_no: "&amp;A46&amp;",",CY:CY,0)+18,1),"discount_prohibition:",""),",",""))</f>
        <v>0</v>
      </c>
      <c r="AC46" s="844"/>
      <c r="AD46" s="825" t="str" cm="1">
        <f t="array" ref="AD46">TRIM(SUBSTITUTE(SUBSTITUTE(INDEX(CY:CY,MATCH("      item_no: "&amp;A46&amp;",",CY:CY,0)+1,1),"item_cancel_line: ",""),",",""))</f>
        <v>false</v>
      </c>
      <c r="AE46" s="825"/>
      <c r="AF46" s="1093"/>
      <c r="AG46" s="1094"/>
      <c r="AH46" s="826">
        <f t="shared" si="16"/>
        <v>-119.5</v>
      </c>
      <c r="AI46" s="827"/>
      <c r="AJ46" s="838">
        <f t="shared" si="17"/>
        <v>2390</v>
      </c>
      <c r="AK46" s="839"/>
      <c r="AL46" s="822">
        <f t="shared" si="2"/>
        <v>2</v>
      </c>
      <c r="AM46" s="823"/>
      <c r="AN46" s="830">
        <f t="shared" si="18"/>
        <v>-119</v>
      </c>
      <c r="AO46" s="831"/>
      <c r="AP46" s="830">
        <f t="shared" si="12"/>
        <v>-1</v>
      </c>
      <c r="AQ46" s="831"/>
      <c r="AR46" s="820"/>
      <c r="AS46" s="821"/>
      <c r="AT46" s="822">
        <f t="shared" si="15"/>
        <v>-120</v>
      </c>
      <c r="AU46" s="823"/>
      <c r="AV46" s="817">
        <f t="shared" si="19"/>
        <v>2270</v>
      </c>
      <c r="AW46" s="824"/>
      <c r="AX46" s="816">
        <f t="shared" ca="1" si="20"/>
        <v>181</v>
      </c>
      <c r="AY46" s="817"/>
      <c r="AZ46" s="816"/>
      <c r="BA46" s="817"/>
      <c r="BB46" s="816" t="str">
        <f t="shared" si="21"/>
        <v/>
      </c>
      <c r="BC46" s="817"/>
      <c r="BD46" s="816"/>
      <c r="BE46" s="817"/>
      <c r="BF46" s="816" t="str">
        <f t="shared" si="22"/>
        <v/>
      </c>
      <c r="BG46" s="817"/>
      <c r="BH46" s="816"/>
      <c r="BI46" s="817"/>
      <c r="BJ46" s="816" t="str">
        <f t="shared" si="23"/>
        <v/>
      </c>
      <c r="BK46" s="817"/>
      <c r="BL46" s="816"/>
      <c r="BM46" s="817"/>
      <c r="BN46" s="818">
        <f t="shared" si="24"/>
        <v>2451</v>
      </c>
      <c r="BO46" s="819"/>
      <c r="BP46" s="74" t="s">
        <v>80</v>
      </c>
      <c r="BQ46" s="801" t="str">
        <f t="shared" si="25"/>
        <v>外税8%</v>
      </c>
      <c r="BR46" s="801"/>
      <c r="BS46" s="802"/>
      <c r="BT46" s="1072"/>
      <c r="BU46" s="1073"/>
      <c r="BV46" s="1076"/>
      <c r="BW46" s="1078"/>
      <c r="CY46" s="62" t="s">
        <v>182</v>
      </c>
      <c r="DD46" s="62" t="s">
        <v>183</v>
      </c>
      <c r="DE46" s="33" t="s">
        <v>30</v>
      </c>
      <c r="DF46" s="62" t="s">
        <v>184</v>
      </c>
    </row>
    <row r="47" spans="1:110" ht="15" customHeight="1">
      <c r="A47" s="46">
        <f t="shared" si="11"/>
        <v>83</v>
      </c>
      <c r="B47" s="832" t="s">
        <v>181</v>
      </c>
      <c r="C47" s="832"/>
      <c r="D47" s="832"/>
      <c r="E47" s="832"/>
      <c r="F47" s="832" t="str" cm="1">
        <f t="array" ref="F47">TRIM(SUBSTITUTE(SUBSTITUTE(INDEX(CY:CY,MATCH("      item_no: "&amp;A47&amp;",",CY:CY,0)+9,1),"item_name: ",""),",",""))</f>
        <v>まぐろたっぷり盛合わせ品番３１１８</v>
      </c>
      <c r="G47" s="832"/>
      <c r="H47" s="832"/>
      <c r="I47" s="832"/>
      <c r="J47" s="832"/>
      <c r="K47" s="832"/>
      <c r="L47" s="884" t="str" cm="1">
        <f t="array" ref="L47">TRIM(SUBSTITUTE(SUBSTITUTE(INDEX(CY:CY,MATCH("      item_no: "&amp;A47&amp;",",CY:CY,0)+3,1),"item_scan_code: ",""),",",""))</f>
        <v>281021705802</v>
      </c>
      <c r="M47" s="884"/>
      <c r="N47" s="884"/>
      <c r="O47" s="884"/>
      <c r="P47" s="884"/>
      <c r="Q47" s="887" cm="1">
        <f t="array" ref="Q47">IF(AD47="true","",TRIM(SUBSTITUTE(SUBSTITUTE(INDEX(CY:CY,MATCH("      item_no: "&amp;A47&amp;",",CY:CY,0)+13,1),"item_price_fmt: ￥",""),",",""))+0)</f>
        <v>580</v>
      </c>
      <c r="R47" s="888"/>
      <c r="S47" s="836">
        <f t="shared" si="14"/>
        <v>-290</v>
      </c>
      <c r="T47" s="837"/>
      <c r="U47" s="888" cm="1">
        <f t="array" ref="U47">IF(AD47="true","",TRIM(SUBSTITUTE(SUBSTITUTE(INDEX(CY:CY,MATCH("      item_no: "&amp;A47&amp;",",CY:CY,0)+14,1),"item_price_discount_fmt: ￥",""),",",""))+0)</f>
        <v>290</v>
      </c>
      <c r="V47" s="889"/>
      <c r="W47" s="840">
        <f ca="1">INT(SUMIF($Y$10:$AA47,"外税8%",$U$10:$V47)*1.08)+INT(SUMIF($Y$10:$AA47,"外税10%",$U$10:$V47)*1.1)+SUMIF($Y$10:$AA47,"内税10%",$U$10:$V47)+SUMIF($Y$10:$AA47,"非課税",$U$10:$V47)</f>
        <v>12485</v>
      </c>
      <c r="X47" s="841"/>
      <c r="Y47" s="842" t="str" cm="1">
        <f t="array" ref="Y47">TRIM(SUBSTITUTE(SUBSTITUTE(INDEX(CY:CY,MATCH("      item_no: "&amp;A47&amp;",",CY:CY,0)+15,1),"item_tax_fmt: ",""),",",""))</f>
        <v>外税8%</v>
      </c>
      <c r="Z47" s="843"/>
      <c r="AA47" s="843"/>
      <c r="AB47" s="844" t="str" cm="1">
        <f t="array" ref="AB47">TRIM(SUBSTITUTE(SUBSTITUTE(INDEX(CY:CY,MATCH("      item_no: "&amp;A47&amp;",",CY:CY,0)+18,1),"discount_prohibition:",""),",",""))</f>
        <v>0</v>
      </c>
      <c r="AC47" s="844"/>
      <c r="AD47" s="825" t="str" cm="1">
        <f t="array" ref="AD47">TRIM(SUBSTITUTE(SUBSTITUTE(INDEX(CY:CY,MATCH("      item_no: "&amp;A47&amp;",",CY:CY,0)+1,1),"item_cancel_line: ",""),",",""))</f>
        <v>false</v>
      </c>
      <c r="AE47" s="825"/>
      <c r="AF47" s="1093"/>
      <c r="AG47" s="1094"/>
      <c r="AH47" s="826">
        <f t="shared" si="16"/>
        <v>-14.5</v>
      </c>
      <c r="AI47" s="827"/>
      <c r="AJ47" s="838">
        <f t="shared" si="17"/>
        <v>290</v>
      </c>
      <c r="AK47" s="839"/>
      <c r="AL47" s="822">
        <f t="shared" si="2"/>
        <v>50</v>
      </c>
      <c r="AM47" s="823"/>
      <c r="AN47" s="830">
        <f t="shared" si="18"/>
        <v>-14</v>
      </c>
      <c r="AO47" s="831"/>
      <c r="AP47" s="830">
        <f t="shared" si="12"/>
        <v>-1</v>
      </c>
      <c r="AQ47" s="831"/>
      <c r="AR47" s="820"/>
      <c r="AS47" s="821"/>
      <c r="AT47" s="822">
        <f t="shared" si="15"/>
        <v>-15</v>
      </c>
      <c r="AU47" s="823"/>
      <c r="AV47" s="817">
        <f t="shared" si="19"/>
        <v>275</v>
      </c>
      <c r="AW47" s="824"/>
      <c r="AX47" s="816">
        <f t="shared" ca="1" si="20"/>
        <v>21</v>
      </c>
      <c r="AY47" s="817"/>
      <c r="AZ47" s="816"/>
      <c r="BA47" s="817"/>
      <c r="BB47" s="816" t="str">
        <f t="shared" si="21"/>
        <v/>
      </c>
      <c r="BC47" s="817"/>
      <c r="BD47" s="816"/>
      <c r="BE47" s="817"/>
      <c r="BF47" s="816" t="str">
        <f t="shared" si="22"/>
        <v/>
      </c>
      <c r="BG47" s="817"/>
      <c r="BH47" s="816"/>
      <c r="BI47" s="817"/>
      <c r="BJ47" s="816" t="str">
        <f t="shared" si="23"/>
        <v/>
      </c>
      <c r="BK47" s="817"/>
      <c r="BL47" s="816"/>
      <c r="BM47" s="817"/>
      <c r="BN47" s="818">
        <f t="shared" si="24"/>
        <v>297</v>
      </c>
      <c r="BO47" s="819"/>
      <c r="BP47" s="74" t="s">
        <v>80</v>
      </c>
      <c r="BQ47" s="801" t="str">
        <f t="shared" si="25"/>
        <v>外税8%</v>
      </c>
      <c r="BR47" s="801"/>
      <c r="BS47" s="802"/>
      <c r="BT47" s="1072"/>
      <c r="BU47" s="1073"/>
      <c r="BV47" s="1076"/>
      <c r="BW47" s="1078"/>
      <c r="CY47" s="62" t="s">
        <v>185</v>
      </c>
      <c r="DD47" s="62" t="s">
        <v>186</v>
      </c>
      <c r="DE47" s="33" t="s">
        <v>30</v>
      </c>
      <c r="DF47" s="62" t="s">
        <v>187</v>
      </c>
    </row>
    <row r="48" spans="1:110" ht="15" customHeight="1">
      <c r="A48" s="46">
        <f t="shared" si="11"/>
        <v>82</v>
      </c>
      <c r="B48" s="832" t="s">
        <v>188</v>
      </c>
      <c r="C48" s="832"/>
      <c r="D48" s="832"/>
      <c r="E48" s="832"/>
      <c r="F48" s="832" t="str" cm="1">
        <f t="array" ref="F48">TRIM(SUBSTITUTE(SUBSTITUTE(INDEX(CY:CY,MATCH("      item_no: "&amp;A48&amp;",",CY:CY,0)+9,1),"item_name: ",""),",",""))</f>
        <v>ＣＳ食セレ　焼鮭ほぐし１００ｇ　２４入</v>
      </c>
      <c r="G48" s="832"/>
      <c r="H48" s="832"/>
      <c r="I48" s="832"/>
      <c r="J48" s="832"/>
      <c r="K48" s="832"/>
      <c r="L48" s="884" t="str" cm="1">
        <f t="array" ref="L48">TRIM(SUBSTITUTE(SUBSTITUTE(INDEX(CY:CY,MATCH("      item_no: "&amp;A48&amp;",",CY:CY,0)+3,1),"item_scan_code: ",""),",",""))</f>
        <v>4902150131718</v>
      </c>
      <c r="M48" s="884"/>
      <c r="N48" s="884"/>
      <c r="O48" s="884"/>
      <c r="P48" s="884"/>
      <c r="Q48" s="887" cm="1">
        <f t="array" ref="Q48">IF(AD48="true","",TRIM(SUBSTITUTE(SUBSTITUTE(INDEX(CY:CY,MATCH("      item_no: "&amp;A48&amp;",",CY:CY,0)+13,1),"item_price_fmt: ￥",""),",",""))+0)</f>
        <v>200</v>
      </c>
      <c r="R48" s="888"/>
      <c r="S48" s="836">
        <f t="shared" si="14"/>
        <v>0</v>
      </c>
      <c r="T48" s="837"/>
      <c r="U48" s="888" cm="1">
        <f t="array" ref="U48">IF(AD48="true","",TRIM(SUBSTITUTE(SUBSTITUTE(INDEX(CY:CY,MATCH("      item_no: "&amp;A48&amp;",",CY:CY,0)+14,1),"item_price_discount_fmt: ￥",""),",",""))+0)</f>
        <v>200</v>
      </c>
      <c r="V48" s="889"/>
      <c r="W48" s="840">
        <f ca="1">INT(SUMIF($Y$10:$AA48,"外税8%",$U$10:$V48)*1.08)+INT(SUMIF($Y$10:$AA48,"外税10%",$U$10:$V48)*1.1)+SUMIF($Y$10:$AA48,"内税10%",$U$10:$V48)+SUMIF($Y$10:$AA48,"非課税",$U$10:$V48)</f>
        <v>12701</v>
      </c>
      <c r="X48" s="841"/>
      <c r="Y48" s="842" t="str" cm="1">
        <f t="array" ref="Y48">TRIM(SUBSTITUTE(SUBSTITUTE(INDEX(CY:CY,MATCH("      item_no: "&amp;A48&amp;",",CY:CY,0)+15,1),"item_tax_fmt: ",""),",",""))</f>
        <v>外税8%</v>
      </c>
      <c r="Z48" s="843"/>
      <c r="AA48" s="843"/>
      <c r="AB48" s="844" t="str" cm="1">
        <f t="array" ref="AB48">TRIM(SUBSTITUTE(SUBSTITUTE(INDEX(CY:CY,MATCH("      item_no: "&amp;A48&amp;",",CY:CY,0)+18,1),"discount_prohibition:",""),",",""))</f>
        <v>0</v>
      </c>
      <c r="AC48" s="844"/>
      <c r="AD48" s="825" t="str" cm="1">
        <f t="array" ref="AD48">TRIM(SUBSTITUTE(SUBSTITUTE(INDEX(CY:CY,MATCH("      item_no: "&amp;A48&amp;",",CY:CY,0)+1,1),"item_cancel_line: ",""),",",""))</f>
        <v>false</v>
      </c>
      <c r="AE48" s="825"/>
      <c r="AF48" s="1093"/>
      <c r="AG48" s="1094"/>
      <c r="AH48" s="826">
        <f t="shared" si="16"/>
        <v>-10</v>
      </c>
      <c r="AI48" s="827"/>
      <c r="AJ48" s="838">
        <f t="shared" si="17"/>
        <v>200</v>
      </c>
      <c r="AK48" s="839"/>
      <c r="AL48" s="822">
        <f t="shared" si="2"/>
        <v>57</v>
      </c>
      <c r="AM48" s="823"/>
      <c r="AN48" s="830">
        <f t="shared" si="18"/>
        <v>-10</v>
      </c>
      <c r="AO48" s="831"/>
      <c r="AP48" s="830">
        <f t="shared" si="12"/>
        <v>-1</v>
      </c>
      <c r="AQ48" s="831"/>
      <c r="AR48" s="820"/>
      <c r="AS48" s="821"/>
      <c r="AT48" s="822">
        <f t="shared" si="15"/>
        <v>-11</v>
      </c>
      <c r="AU48" s="823"/>
      <c r="AV48" s="817">
        <f t="shared" si="19"/>
        <v>189</v>
      </c>
      <c r="AW48" s="824"/>
      <c r="AX48" s="816">
        <f t="shared" ca="1" si="20"/>
        <v>15</v>
      </c>
      <c r="AY48" s="817"/>
      <c r="AZ48" s="816"/>
      <c r="BA48" s="817"/>
      <c r="BB48" s="816" t="str">
        <f t="shared" si="21"/>
        <v/>
      </c>
      <c r="BC48" s="817"/>
      <c r="BD48" s="816"/>
      <c r="BE48" s="817"/>
      <c r="BF48" s="816" t="str">
        <f t="shared" si="22"/>
        <v/>
      </c>
      <c r="BG48" s="817"/>
      <c r="BH48" s="816"/>
      <c r="BI48" s="817"/>
      <c r="BJ48" s="816" t="str">
        <f t="shared" si="23"/>
        <v/>
      </c>
      <c r="BK48" s="817"/>
      <c r="BL48" s="816"/>
      <c r="BM48" s="817"/>
      <c r="BN48" s="818">
        <f t="shared" si="24"/>
        <v>204</v>
      </c>
      <c r="BO48" s="819"/>
      <c r="BP48" s="74" t="s">
        <v>80</v>
      </c>
      <c r="BQ48" s="801" t="str">
        <f t="shared" si="25"/>
        <v>外税8%</v>
      </c>
      <c r="BR48" s="801"/>
      <c r="BS48" s="802"/>
      <c r="BT48" s="1072"/>
      <c r="BU48" s="1073"/>
      <c r="BV48" s="1076"/>
      <c r="BW48" s="1078"/>
      <c r="CY48" s="62" t="s">
        <v>163</v>
      </c>
      <c r="DD48" s="62" t="s">
        <v>189</v>
      </c>
      <c r="DE48" s="33" t="s">
        <v>30</v>
      </c>
      <c r="DF48" s="62" t="s">
        <v>190</v>
      </c>
    </row>
    <row r="49" spans="1:110" ht="15" customHeight="1">
      <c r="A49" s="46">
        <f t="shared" si="11"/>
        <v>81</v>
      </c>
      <c r="B49" s="832" t="s">
        <v>188</v>
      </c>
      <c r="C49" s="832"/>
      <c r="D49" s="832"/>
      <c r="E49" s="832"/>
      <c r="F49" s="832" t="str" cm="1">
        <f t="array" ref="F49">TRIM(SUBSTITUTE(SUBSTITUTE(INDEX(CY:CY,MATCH("      item_no: "&amp;A49&amp;",",CY:CY,0)+9,1),"item_name: ",""),",",""))</f>
        <v>ＣＰ食セレ真あじ開き天日塩干２枚入</v>
      </c>
      <c r="G49" s="832"/>
      <c r="H49" s="832"/>
      <c r="I49" s="832"/>
      <c r="J49" s="832"/>
      <c r="K49" s="832"/>
      <c r="L49" s="884" t="str" cm="1">
        <f t="array" ref="L49">TRIM(SUBSTITUTE(SUBSTITUTE(INDEX(CY:CY,MATCH("      item_no: "&amp;A49&amp;",",CY:CY,0)+3,1),"item_scan_code: ",""),",",""))</f>
        <v>292187403297</v>
      </c>
      <c r="M49" s="884"/>
      <c r="N49" s="884"/>
      <c r="O49" s="884"/>
      <c r="P49" s="884"/>
      <c r="Q49" s="887" cm="1">
        <f t="array" ref="Q49">IF(AD49="true","",TRIM(SUBSTITUTE(SUBSTITUTE(INDEX(CY:CY,MATCH("      item_no: "&amp;A49&amp;",",CY:CY,0)+13,1),"item_price_fmt: ￥",""),",",""))+0)</f>
        <v>329</v>
      </c>
      <c r="R49" s="888"/>
      <c r="S49" s="836">
        <f t="shared" si="14"/>
        <v>0</v>
      </c>
      <c r="T49" s="837"/>
      <c r="U49" s="888" cm="1">
        <f t="array" ref="U49">IF(AD49="true","",TRIM(SUBSTITUTE(SUBSTITUTE(INDEX(CY:CY,MATCH("      item_no: "&amp;A49&amp;",",CY:CY,0)+14,1),"item_price_discount_fmt: ￥",""),",",""))+0)</f>
        <v>329</v>
      </c>
      <c r="V49" s="889"/>
      <c r="W49" s="840">
        <f ca="1">INT(SUMIF($Y$10:$AA49,"外税8%",$U$10:$V49)*1.08)+INT(SUMIF($Y$10:$AA49,"外税10%",$U$10:$V49)*1.1)+SUMIF($Y$10:$AA49,"内税10%",$U$10:$V49)+SUMIF($Y$10:$AA49,"非課税",$U$10:$V49)</f>
        <v>13057</v>
      </c>
      <c r="X49" s="841"/>
      <c r="Y49" s="842" t="str" cm="1">
        <f t="array" ref="Y49">TRIM(SUBSTITUTE(SUBSTITUTE(INDEX(CY:CY,MATCH("      item_no: "&amp;A49&amp;",",CY:CY,0)+15,1),"item_tax_fmt: ",""),",",""))</f>
        <v>外税8%</v>
      </c>
      <c r="Z49" s="843"/>
      <c r="AA49" s="843"/>
      <c r="AB49" s="844" t="str" cm="1">
        <f t="array" ref="AB49">TRIM(SUBSTITUTE(SUBSTITUTE(INDEX(CY:CY,MATCH("      item_no: "&amp;A49&amp;",",CY:CY,0)+18,1),"discount_prohibition:",""),",",""))</f>
        <v>0</v>
      </c>
      <c r="AC49" s="844"/>
      <c r="AD49" s="825" t="str" cm="1">
        <f t="array" ref="AD49">TRIM(SUBSTITUTE(SUBSTITUTE(INDEX(CY:CY,MATCH("      item_no: "&amp;A49&amp;",",CY:CY,0)+1,1),"item_cancel_line: ",""),",",""))</f>
        <v>false</v>
      </c>
      <c r="AE49" s="825"/>
      <c r="AF49" s="1093"/>
      <c r="AG49" s="1094"/>
      <c r="AH49" s="826">
        <f t="shared" si="16"/>
        <v>-16.45</v>
      </c>
      <c r="AI49" s="827"/>
      <c r="AJ49" s="838">
        <f t="shared" si="17"/>
        <v>329</v>
      </c>
      <c r="AK49" s="839"/>
      <c r="AL49" s="822">
        <f t="shared" si="2"/>
        <v>47</v>
      </c>
      <c r="AM49" s="823"/>
      <c r="AN49" s="830">
        <f t="shared" si="18"/>
        <v>-16</v>
      </c>
      <c r="AO49" s="831"/>
      <c r="AP49" s="830">
        <f t="shared" si="12"/>
        <v>-1</v>
      </c>
      <c r="AQ49" s="831"/>
      <c r="AR49" s="820"/>
      <c r="AS49" s="821"/>
      <c r="AT49" s="822">
        <f t="shared" si="15"/>
        <v>-17</v>
      </c>
      <c r="AU49" s="823"/>
      <c r="AV49" s="817">
        <f t="shared" si="19"/>
        <v>312</v>
      </c>
      <c r="AW49" s="824"/>
      <c r="AX49" s="816">
        <f t="shared" ca="1" si="20"/>
        <v>24</v>
      </c>
      <c r="AY49" s="817"/>
      <c r="AZ49" s="816"/>
      <c r="BA49" s="817"/>
      <c r="BB49" s="816" t="str">
        <f t="shared" si="21"/>
        <v/>
      </c>
      <c r="BC49" s="817"/>
      <c r="BD49" s="816"/>
      <c r="BE49" s="817"/>
      <c r="BF49" s="816" t="str">
        <f t="shared" si="22"/>
        <v/>
      </c>
      <c r="BG49" s="817"/>
      <c r="BH49" s="816"/>
      <c r="BI49" s="817"/>
      <c r="BJ49" s="816" t="str">
        <f t="shared" si="23"/>
        <v/>
      </c>
      <c r="BK49" s="817"/>
      <c r="BL49" s="816"/>
      <c r="BM49" s="817"/>
      <c r="BN49" s="818">
        <f t="shared" si="24"/>
        <v>336</v>
      </c>
      <c r="BO49" s="819"/>
      <c r="BP49" s="74" t="s">
        <v>80</v>
      </c>
      <c r="BQ49" s="801" t="str">
        <f t="shared" si="25"/>
        <v>外税8%</v>
      </c>
      <c r="BR49" s="801"/>
      <c r="BS49" s="802"/>
      <c r="BT49" s="1072"/>
      <c r="BU49" s="1073"/>
      <c r="BV49" s="1076"/>
      <c r="BW49" s="1078"/>
      <c r="CY49" s="62" t="s">
        <v>135</v>
      </c>
      <c r="DD49" s="62" t="s">
        <v>191</v>
      </c>
      <c r="DE49" s="33" t="s">
        <v>30</v>
      </c>
      <c r="DF49" s="62" t="s">
        <v>192</v>
      </c>
    </row>
    <row r="50" spans="1:110" ht="15" customHeight="1">
      <c r="A50" s="46">
        <f t="shared" si="11"/>
        <v>80</v>
      </c>
      <c r="B50" s="832" t="s">
        <v>193</v>
      </c>
      <c r="C50" s="832"/>
      <c r="D50" s="832"/>
      <c r="E50" s="832"/>
      <c r="F50" s="832" t="str" cm="1">
        <f t="array" ref="F50">TRIM(SUBSTITUTE(SUBSTITUTE(INDEX(CY:CY,MATCH("      item_no: "&amp;A50&amp;",",CY:CY,0)+9,1),"item_name: ",""),",",""))</f>
        <v>日本ハム　シャウエッセン　２個束</v>
      </c>
      <c r="G50" s="832"/>
      <c r="H50" s="832"/>
      <c r="I50" s="832"/>
      <c r="J50" s="832"/>
      <c r="K50" s="832"/>
      <c r="L50" s="884" t="str" cm="1">
        <f t="array" ref="L50">TRIM(SUBSTITUTE(SUBSTITUTE(INDEX(CY:CY,MATCH("      item_no: "&amp;A50&amp;",",CY:CY,0)+3,1),"item_scan_code: ",""),",",""))</f>
        <v>4902115379551</v>
      </c>
      <c r="M50" s="884"/>
      <c r="N50" s="884"/>
      <c r="O50" s="884"/>
      <c r="P50" s="884"/>
      <c r="Q50" s="887" cm="1">
        <f t="array" ref="Q50">IF(AD50="true","",TRIM(SUBSTITUTE(SUBSTITUTE(INDEX(CY:CY,MATCH("      item_no: "&amp;A50&amp;",",CY:CY,0)+13,1),"item_price_fmt: ￥",""),",",""))+0)</f>
        <v>399</v>
      </c>
      <c r="R50" s="888"/>
      <c r="S50" s="836">
        <f t="shared" si="14"/>
        <v>0</v>
      </c>
      <c r="T50" s="837"/>
      <c r="U50" s="888" cm="1">
        <f t="array" ref="U50">IF(AD50="true","",TRIM(SUBSTITUTE(SUBSTITUTE(INDEX(CY:CY,MATCH("      item_no: "&amp;A50&amp;",",CY:CY,0)+14,1),"item_price_discount_fmt: ￥",""),",",""))+0)</f>
        <v>399</v>
      </c>
      <c r="V50" s="889"/>
      <c r="W50" s="840">
        <f ca="1">INT(SUMIF($Y$10:$AA50,"外税8%",$U$10:$V50)*1.08)+INT(SUMIF($Y$10:$AA50,"外税10%",$U$10:$V50)*1.1)+SUMIF($Y$10:$AA50,"内税10%",$U$10:$V50)+SUMIF($Y$10:$AA50,"非課税",$U$10:$V50)</f>
        <v>13488</v>
      </c>
      <c r="X50" s="841"/>
      <c r="Y50" s="842" t="str" cm="1">
        <f t="array" ref="Y50">TRIM(SUBSTITUTE(SUBSTITUTE(INDEX(CY:CY,MATCH("      item_no: "&amp;A50&amp;",",CY:CY,0)+15,1),"item_tax_fmt: ",""),",",""))</f>
        <v>外税8%</v>
      </c>
      <c r="Z50" s="843"/>
      <c r="AA50" s="843"/>
      <c r="AB50" s="844" t="str" cm="1">
        <f t="array" ref="AB50">TRIM(SUBSTITUTE(SUBSTITUTE(INDEX(CY:CY,MATCH("      item_no: "&amp;A50&amp;",",CY:CY,0)+18,1),"discount_prohibition:",""),",",""))</f>
        <v>0</v>
      </c>
      <c r="AC50" s="844"/>
      <c r="AD50" s="825" t="str" cm="1">
        <f t="array" ref="AD50">TRIM(SUBSTITUTE(SUBSTITUTE(INDEX(CY:CY,MATCH("      item_no: "&amp;A50&amp;",",CY:CY,0)+1,1),"item_cancel_line: ",""),",",""))</f>
        <v>false</v>
      </c>
      <c r="AE50" s="825"/>
      <c r="AF50" s="1093"/>
      <c r="AG50" s="1094"/>
      <c r="AH50" s="826">
        <f t="shared" si="16"/>
        <v>-19.950000000000003</v>
      </c>
      <c r="AI50" s="827"/>
      <c r="AJ50" s="838">
        <f t="shared" si="17"/>
        <v>399</v>
      </c>
      <c r="AK50" s="839"/>
      <c r="AL50" s="822">
        <f t="shared" si="2"/>
        <v>36</v>
      </c>
      <c r="AM50" s="823"/>
      <c r="AN50" s="830">
        <f t="shared" si="18"/>
        <v>-19</v>
      </c>
      <c r="AO50" s="831"/>
      <c r="AP50" s="830">
        <f t="shared" si="12"/>
        <v>-1</v>
      </c>
      <c r="AQ50" s="831"/>
      <c r="AR50" s="820"/>
      <c r="AS50" s="821"/>
      <c r="AT50" s="822">
        <f t="shared" si="15"/>
        <v>-20</v>
      </c>
      <c r="AU50" s="823"/>
      <c r="AV50" s="817">
        <f t="shared" si="19"/>
        <v>379</v>
      </c>
      <c r="AW50" s="824"/>
      <c r="AX50" s="816">
        <f t="shared" ca="1" si="20"/>
        <v>30</v>
      </c>
      <c r="AY50" s="817"/>
      <c r="AZ50" s="816"/>
      <c r="BA50" s="817"/>
      <c r="BB50" s="816" t="str">
        <f t="shared" si="21"/>
        <v/>
      </c>
      <c r="BC50" s="817"/>
      <c r="BD50" s="816"/>
      <c r="BE50" s="817"/>
      <c r="BF50" s="816" t="str">
        <f t="shared" si="22"/>
        <v/>
      </c>
      <c r="BG50" s="817"/>
      <c r="BH50" s="816"/>
      <c r="BI50" s="817"/>
      <c r="BJ50" s="816" t="str">
        <f t="shared" si="23"/>
        <v/>
      </c>
      <c r="BK50" s="817"/>
      <c r="BL50" s="816"/>
      <c r="BM50" s="817"/>
      <c r="BN50" s="818">
        <f t="shared" si="24"/>
        <v>409</v>
      </c>
      <c r="BO50" s="819"/>
      <c r="BP50" s="74" t="s">
        <v>80</v>
      </c>
      <c r="BQ50" s="801" t="str">
        <f t="shared" si="25"/>
        <v>外税8%</v>
      </c>
      <c r="BR50" s="801"/>
      <c r="BS50" s="802"/>
      <c r="BT50" s="1072"/>
      <c r="BU50" s="1073"/>
      <c r="BV50" s="1076"/>
      <c r="BW50" s="1078"/>
      <c r="CY50" s="62" t="s">
        <v>194</v>
      </c>
      <c r="DD50" s="62" t="s">
        <v>195</v>
      </c>
      <c r="DE50" s="33" t="s">
        <v>30</v>
      </c>
      <c r="DF50" s="62" t="s">
        <v>196</v>
      </c>
    </row>
    <row r="51" spans="1:110" ht="15" customHeight="1">
      <c r="A51" s="46">
        <f t="shared" si="11"/>
        <v>79</v>
      </c>
      <c r="B51" s="832" t="s">
        <v>193</v>
      </c>
      <c r="C51" s="832"/>
      <c r="D51" s="832"/>
      <c r="E51" s="832"/>
      <c r="F51" s="832" t="str" cm="1">
        <f t="array" ref="F51">TRIM(SUBSTITUTE(SUBSTITUTE(INDEX(CY:CY,MATCH("      item_no: "&amp;A51&amp;",",CY:CY,0)+9,1),"item_name: ",""),",",""))</f>
        <v>国産若鶏（もも）　２枚</v>
      </c>
      <c r="G51" s="832"/>
      <c r="H51" s="832"/>
      <c r="I51" s="832"/>
      <c r="J51" s="832"/>
      <c r="K51" s="832"/>
      <c r="L51" s="884" t="str" cm="1">
        <f t="array" ref="L51">TRIM(SUBSTITUTE(SUBSTITUTE(INDEX(CY:CY,MATCH("      item_no: "&amp;A51&amp;",",CY:CY,0)+3,1),"item_scan_code: ",""),",",""))</f>
        <v>211281405808</v>
      </c>
      <c r="M51" s="884"/>
      <c r="N51" s="884"/>
      <c r="O51" s="884"/>
      <c r="P51" s="884"/>
      <c r="Q51" s="887" cm="1">
        <f t="array" ref="Q51">IF(AD51="true","",TRIM(SUBSTITUTE(SUBSTITUTE(INDEX(CY:CY,MATCH("      item_no: "&amp;A51&amp;",",CY:CY,0)+13,1),"item_price_fmt: ￥",""),",",""))+0)</f>
        <v>290</v>
      </c>
      <c r="R51" s="888"/>
      <c r="S51" s="836">
        <f t="shared" si="14"/>
        <v>0</v>
      </c>
      <c r="T51" s="837"/>
      <c r="U51" s="888" cm="1">
        <f t="array" ref="U51">IF(AD51="true","",TRIM(SUBSTITUTE(SUBSTITUTE(INDEX(CY:CY,MATCH("      item_no: "&amp;A51&amp;",",CY:CY,0)+14,1),"item_price_discount_fmt: ￥",""),",",""))+0)</f>
        <v>290</v>
      </c>
      <c r="V51" s="889"/>
      <c r="W51" s="840">
        <f ca="1">INT(SUMIF($Y$10:$AA51,"外税8%",$U$10:$V51)*1.08)+INT(SUMIF($Y$10:$AA51,"外税10%",$U$10:$V51)*1.1)+SUMIF($Y$10:$AA51,"内税10%",$U$10:$V51)+SUMIF($Y$10:$AA51,"非課税",$U$10:$V51)</f>
        <v>13801</v>
      </c>
      <c r="X51" s="841"/>
      <c r="Y51" s="842" t="str" cm="1">
        <f t="array" ref="Y51">TRIM(SUBSTITUTE(SUBSTITUTE(INDEX(CY:CY,MATCH("      item_no: "&amp;A51&amp;",",CY:CY,0)+15,1),"item_tax_fmt: ",""),",",""))</f>
        <v>外税8%</v>
      </c>
      <c r="Z51" s="843"/>
      <c r="AA51" s="843"/>
      <c r="AB51" s="844" t="str" cm="1">
        <f t="array" ref="AB51">TRIM(SUBSTITUTE(SUBSTITUTE(INDEX(CY:CY,MATCH("      item_no: "&amp;A51&amp;",",CY:CY,0)+18,1),"discount_prohibition:",""),",",""))</f>
        <v>0</v>
      </c>
      <c r="AC51" s="844"/>
      <c r="AD51" s="825" t="str" cm="1">
        <f t="array" ref="AD51">TRIM(SUBSTITUTE(SUBSTITUTE(INDEX(CY:CY,MATCH("      item_no: "&amp;A51&amp;",",CY:CY,0)+1,1),"item_cancel_line: ",""),",",""))</f>
        <v>false</v>
      </c>
      <c r="AE51" s="825"/>
      <c r="AF51" s="1093"/>
      <c r="AG51" s="1094"/>
      <c r="AH51" s="826">
        <f t="shared" si="16"/>
        <v>-14.5</v>
      </c>
      <c r="AI51" s="827"/>
      <c r="AJ51" s="838">
        <f t="shared" si="17"/>
        <v>290</v>
      </c>
      <c r="AK51" s="839"/>
      <c r="AL51" s="822">
        <f t="shared" si="2"/>
        <v>50</v>
      </c>
      <c r="AM51" s="823"/>
      <c r="AN51" s="830">
        <f t="shared" si="18"/>
        <v>-14</v>
      </c>
      <c r="AO51" s="831"/>
      <c r="AP51" s="830">
        <f t="shared" si="12"/>
        <v>-1</v>
      </c>
      <c r="AQ51" s="831"/>
      <c r="AR51" s="820"/>
      <c r="AS51" s="821"/>
      <c r="AT51" s="822">
        <f t="shared" si="15"/>
        <v>-15</v>
      </c>
      <c r="AU51" s="823"/>
      <c r="AV51" s="817">
        <f t="shared" si="19"/>
        <v>275</v>
      </c>
      <c r="AW51" s="824"/>
      <c r="AX51" s="816">
        <f t="shared" ca="1" si="20"/>
        <v>21</v>
      </c>
      <c r="AY51" s="817"/>
      <c r="AZ51" s="816"/>
      <c r="BA51" s="817"/>
      <c r="BB51" s="816" t="str">
        <f t="shared" si="21"/>
        <v/>
      </c>
      <c r="BC51" s="817"/>
      <c r="BD51" s="816"/>
      <c r="BE51" s="817"/>
      <c r="BF51" s="816" t="str">
        <f t="shared" si="22"/>
        <v/>
      </c>
      <c r="BG51" s="817"/>
      <c r="BH51" s="816"/>
      <c r="BI51" s="817"/>
      <c r="BJ51" s="816" t="str">
        <f t="shared" si="23"/>
        <v/>
      </c>
      <c r="BK51" s="817"/>
      <c r="BL51" s="816"/>
      <c r="BM51" s="817"/>
      <c r="BN51" s="818">
        <f t="shared" si="24"/>
        <v>297</v>
      </c>
      <c r="BO51" s="819"/>
      <c r="BP51" s="74" t="s">
        <v>80</v>
      </c>
      <c r="BQ51" s="801" t="str">
        <f t="shared" si="25"/>
        <v>外税8%</v>
      </c>
      <c r="BR51" s="801"/>
      <c r="BS51" s="802"/>
      <c r="BT51" s="1072"/>
      <c r="BU51" s="1073"/>
      <c r="BV51" s="1076"/>
      <c r="BW51" s="1078"/>
      <c r="CY51" s="62" t="s">
        <v>197</v>
      </c>
      <c r="DD51" s="62" t="s">
        <v>198</v>
      </c>
      <c r="DE51" s="33" t="s">
        <v>30</v>
      </c>
      <c r="DF51" s="62" t="s">
        <v>199</v>
      </c>
    </row>
    <row r="52" spans="1:110" ht="15" customHeight="1">
      <c r="A52" s="46">
        <f t="shared" si="11"/>
        <v>78</v>
      </c>
      <c r="B52" s="832" t="s">
        <v>200</v>
      </c>
      <c r="C52" s="832"/>
      <c r="D52" s="832"/>
      <c r="E52" s="832"/>
      <c r="F52" s="832" t="str" cm="1">
        <f t="array" ref="F52">TRIM(SUBSTITUTE(SUBSTITUTE(INDEX(CY:CY,MATCH("      item_no: "&amp;A52&amp;",",CY:CY,0)+9,1),"item_name: ",""),",",""))</f>
        <v>こだわりポテトサラダ（中）</v>
      </c>
      <c r="G52" s="832"/>
      <c r="H52" s="832"/>
      <c r="I52" s="832"/>
      <c r="J52" s="832"/>
      <c r="K52" s="832"/>
      <c r="L52" s="884" t="str" cm="1">
        <f t="array" ref="L52">TRIM(SUBSTITUTE(SUBSTITUTE(INDEX(CY:CY,MATCH("      item_no: "&amp;A52&amp;",",CY:CY,0)+3,1),"item_scan_code: ",""),",",""))</f>
        <v>4517888134469</v>
      </c>
      <c r="M52" s="884"/>
      <c r="N52" s="884"/>
      <c r="O52" s="884"/>
      <c r="P52" s="884"/>
      <c r="Q52" s="834" cm="1">
        <f t="array" ref="Q52">IF(AD52="true","",TRIM(SUBSTITUTE(SUBSTITUTE(INDEX(CY:CY,MATCH("      item_no: "&amp;A52&amp;",",CY:CY,0)+13,1),"item_price_fmt: ￥",""),",",""))+0)</f>
        <v>149</v>
      </c>
      <c r="R52" s="835"/>
      <c r="S52" s="836">
        <f t="shared" si="14"/>
        <v>0</v>
      </c>
      <c r="T52" s="837"/>
      <c r="U52" s="838" cm="1">
        <f t="array" ref="U52">IF(AD52="true","",TRIM(SUBSTITUTE(SUBSTITUTE(INDEX(CY:CY,MATCH("      item_no: "&amp;A52&amp;",",CY:CY,0)+14,1),"item_price_discount_fmt: ￥",""),",",""))+0)</f>
        <v>149</v>
      </c>
      <c r="V52" s="839"/>
      <c r="W52" s="840">
        <f ca="1">INT(SUMIF($Y$10:$AA52,"外税8%",$U$10:$V52)*1.08)+INT(SUMIF($Y$10:$AA52,"外税10%",$U$10:$V52)*1.1)+SUMIF($Y$10:$AA52,"内税10%",$U$10:$V52)+SUMIF($Y$10:$AA52,"非課税",$U$10:$V52)</f>
        <v>13962</v>
      </c>
      <c r="X52" s="841"/>
      <c r="Y52" s="842" t="str" cm="1">
        <f t="array" ref="Y52">TRIM(SUBSTITUTE(SUBSTITUTE(INDEX(CY:CY,MATCH("      item_no: "&amp;A52&amp;",",CY:CY,0)+15,1),"item_tax_fmt: ",""),",",""))</f>
        <v>外税8%</v>
      </c>
      <c r="Z52" s="843"/>
      <c r="AA52" s="843"/>
      <c r="AB52" s="844" t="str" cm="1">
        <f t="array" ref="AB52">TRIM(SUBSTITUTE(SUBSTITUTE(INDEX(CY:CY,MATCH("      item_no: "&amp;A52&amp;",",CY:CY,0)+18,1),"discount_prohibition:",""),",",""))</f>
        <v>0</v>
      </c>
      <c r="AC52" s="844"/>
      <c r="AD52" s="825" t="str" cm="1">
        <f t="array" ref="AD52">TRIM(SUBSTITUTE(SUBSTITUTE(INDEX(CY:CY,MATCH("      item_no: "&amp;A52&amp;",",CY:CY,0)+1,1),"item_cancel_line: ",""),",",""))</f>
        <v>false</v>
      </c>
      <c r="AE52" s="825"/>
      <c r="AF52" s="1093"/>
      <c r="AG52" s="1094"/>
      <c r="AH52" s="826">
        <f t="shared" si="16"/>
        <v>-7.45</v>
      </c>
      <c r="AI52" s="827"/>
      <c r="AJ52" s="838">
        <f t="shared" si="17"/>
        <v>149</v>
      </c>
      <c r="AK52" s="839"/>
      <c r="AL52" s="822">
        <f t="shared" si="2"/>
        <v>70</v>
      </c>
      <c r="AM52" s="823"/>
      <c r="AN52" s="830">
        <f t="shared" si="18"/>
        <v>-7</v>
      </c>
      <c r="AO52" s="831"/>
      <c r="AP52" s="830">
        <f t="shared" si="12"/>
        <v>0</v>
      </c>
      <c r="AQ52" s="831"/>
      <c r="AR52" s="820"/>
      <c r="AS52" s="821"/>
      <c r="AT52" s="822">
        <f t="shared" si="15"/>
        <v>-7</v>
      </c>
      <c r="AU52" s="823"/>
      <c r="AV52" s="817">
        <f t="shared" si="19"/>
        <v>142</v>
      </c>
      <c r="AW52" s="824"/>
      <c r="AX52" s="816">
        <f t="shared" ca="1" si="20"/>
        <v>11</v>
      </c>
      <c r="AY52" s="817"/>
      <c r="AZ52" s="816"/>
      <c r="BA52" s="817"/>
      <c r="BB52" s="816" t="str">
        <f t="shared" si="21"/>
        <v/>
      </c>
      <c r="BC52" s="817"/>
      <c r="BD52" s="816"/>
      <c r="BE52" s="817"/>
      <c r="BF52" s="816" t="str">
        <f t="shared" si="22"/>
        <v/>
      </c>
      <c r="BG52" s="817"/>
      <c r="BH52" s="816"/>
      <c r="BI52" s="817"/>
      <c r="BJ52" s="816" t="str">
        <f t="shared" si="23"/>
        <v/>
      </c>
      <c r="BK52" s="817"/>
      <c r="BL52" s="816"/>
      <c r="BM52" s="817"/>
      <c r="BN52" s="818">
        <f t="shared" si="24"/>
        <v>153</v>
      </c>
      <c r="BO52" s="819"/>
      <c r="BP52" s="74" t="s">
        <v>80</v>
      </c>
      <c r="BQ52" s="801" t="str">
        <f t="shared" si="25"/>
        <v>外税8%</v>
      </c>
      <c r="BR52" s="801"/>
      <c r="BS52" s="802"/>
      <c r="BT52" s="1072"/>
      <c r="BU52" s="1073"/>
      <c r="BV52" s="1076"/>
      <c r="BW52" s="1078"/>
      <c r="CY52" s="62" t="s">
        <v>201</v>
      </c>
      <c r="DD52" s="62" t="s">
        <v>202</v>
      </c>
      <c r="DE52" s="33" t="s">
        <v>30</v>
      </c>
      <c r="DF52" s="62" t="s">
        <v>203</v>
      </c>
    </row>
    <row r="53" spans="1:110" ht="15" customHeight="1">
      <c r="A53" s="46">
        <f t="shared" si="11"/>
        <v>77</v>
      </c>
      <c r="B53" s="832" t="s">
        <v>200</v>
      </c>
      <c r="C53" s="832"/>
      <c r="D53" s="832"/>
      <c r="E53" s="832"/>
      <c r="F53" s="832" t="str" cm="1">
        <f t="array" ref="F53">TRIM(SUBSTITUTE(SUBSTITUTE(INDEX(CY:CY,MATCH("      item_no: "&amp;A53&amp;",",CY:CY,0)+9,1),"item_name: ",""),",",""))</f>
        <v>熟成三元豚の柔らかロースとんかつ１枚</v>
      </c>
      <c r="G53" s="832"/>
      <c r="H53" s="832"/>
      <c r="I53" s="832"/>
      <c r="J53" s="832"/>
      <c r="K53" s="832"/>
      <c r="L53" s="884" t="str" cm="1">
        <f t="array" ref="L53">TRIM(SUBSTITUTE(SUBSTITUTE(INDEX(CY:CY,MATCH("      item_no: "&amp;A53&amp;",",CY:CY,0)+3,1),"item_scan_code: ",""),",",""))</f>
        <v>248954603995</v>
      </c>
      <c r="M53" s="884"/>
      <c r="N53" s="884"/>
      <c r="O53" s="884"/>
      <c r="P53" s="884"/>
      <c r="Q53" s="834" cm="1">
        <f t="array" ref="Q53">IF(AD53="true","",TRIM(SUBSTITUTE(SUBSTITUTE(INDEX(CY:CY,MATCH("      item_no: "&amp;A53&amp;",",CY:CY,0)+13,1),"item_price_fmt: ￥",""),",",""))+0)</f>
        <v>349</v>
      </c>
      <c r="R53" s="835"/>
      <c r="S53" s="836">
        <f t="shared" si="14"/>
        <v>0</v>
      </c>
      <c r="T53" s="837"/>
      <c r="U53" s="838" cm="1">
        <f t="array" ref="U53">IF(AD53="true","",TRIM(SUBSTITUTE(SUBSTITUTE(INDEX(CY:CY,MATCH("      item_no: "&amp;A53&amp;",",CY:CY,0)+14,1),"item_price_discount_fmt: ￥",""),",",""))+0)</f>
        <v>349</v>
      </c>
      <c r="V53" s="839"/>
      <c r="W53" s="840">
        <f ca="1">INT(SUMIF($Y$10:$AA53,"外税8%",$U$10:$V53)*1.08)+INT(SUMIF($Y$10:$AA53,"外税10%",$U$10:$V53)*1.1)+SUMIF($Y$10:$AA53,"内税10%",$U$10:$V53)+SUMIF($Y$10:$AA53,"非課税",$U$10:$V53)</f>
        <v>14339</v>
      </c>
      <c r="X53" s="841"/>
      <c r="Y53" s="842" t="str" cm="1">
        <f t="array" ref="Y53">TRIM(SUBSTITUTE(SUBSTITUTE(INDEX(CY:CY,MATCH("      item_no: "&amp;A53&amp;",",CY:CY,0)+15,1),"item_tax_fmt: ",""),",",""))</f>
        <v>外税8%</v>
      </c>
      <c r="Z53" s="843"/>
      <c r="AA53" s="843"/>
      <c r="AB53" s="844" t="str" cm="1">
        <f t="array" ref="AB53">TRIM(SUBSTITUTE(SUBSTITUTE(INDEX(CY:CY,MATCH("      item_no: "&amp;A53&amp;",",CY:CY,0)+18,1),"discount_prohibition:",""),",",""))</f>
        <v>0</v>
      </c>
      <c r="AC53" s="844"/>
      <c r="AD53" s="825" t="str" cm="1">
        <f t="array" ref="AD53">TRIM(SUBSTITUTE(SUBSTITUTE(INDEX(CY:CY,MATCH("      item_no: "&amp;A53&amp;",",CY:CY,0)+1,1),"item_cancel_line: ",""),",",""))</f>
        <v>false</v>
      </c>
      <c r="AE53" s="825"/>
      <c r="AF53" s="1093"/>
      <c r="AG53" s="1094"/>
      <c r="AH53" s="826">
        <f t="shared" si="16"/>
        <v>-17.45</v>
      </c>
      <c r="AI53" s="827"/>
      <c r="AJ53" s="838">
        <f t="shared" si="17"/>
        <v>349</v>
      </c>
      <c r="AK53" s="839"/>
      <c r="AL53" s="822">
        <f t="shared" si="2"/>
        <v>43</v>
      </c>
      <c r="AM53" s="823"/>
      <c r="AN53" s="830">
        <f t="shared" si="18"/>
        <v>-17</v>
      </c>
      <c r="AO53" s="831"/>
      <c r="AP53" s="830">
        <f t="shared" si="12"/>
        <v>-1</v>
      </c>
      <c r="AQ53" s="831"/>
      <c r="AR53" s="820"/>
      <c r="AS53" s="821"/>
      <c r="AT53" s="822">
        <f t="shared" si="15"/>
        <v>-18</v>
      </c>
      <c r="AU53" s="823"/>
      <c r="AV53" s="817">
        <f t="shared" si="19"/>
        <v>331</v>
      </c>
      <c r="AW53" s="824"/>
      <c r="AX53" s="816">
        <f t="shared" ca="1" si="20"/>
        <v>26</v>
      </c>
      <c r="AY53" s="817"/>
      <c r="AZ53" s="816"/>
      <c r="BA53" s="817"/>
      <c r="BB53" s="816" t="str">
        <f t="shared" si="21"/>
        <v/>
      </c>
      <c r="BC53" s="817"/>
      <c r="BD53" s="816"/>
      <c r="BE53" s="817"/>
      <c r="BF53" s="816" t="str">
        <f t="shared" si="22"/>
        <v/>
      </c>
      <c r="BG53" s="817"/>
      <c r="BH53" s="816"/>
      <c r="BI53" s="817"/>
      <c r="BJ53" s="816" t="str">
        <f t="shared" si="23"/>
        <v/>
      </c>
      <c r="BK53" s="817"/>
      <c r="BL53" s="816"/>
      <c r="BM53" s="817"/>
      <c r="BN53" s="818">
        <f t="shared" si="24"/>
        <v>357</v>
      </c>
      <c r="BO53" s="819"/>
      <c r="BP53" s="74" t="s">
        <v>80</v>
      </c>
      <c r="BQ53" s="801" t="str">
        <f t="shared" si="25"/>
        <v>外税8%</v>
      </c>
      <c r="BR53" s="801"/>
      <c r="BS53" s="802"/>
      <c r="BT53" s="1072"/>
      <c r="BU53" s="1073"/>
      <c r="BV53" s="1076"/>
      <c r="BW53" s="1078"/>
      <c r="CY53" s="62" t="s">
        <v>204</v>
      </c>
      <c r="DD53" s="62" t="s">
        <v>205</v>
      </c>
      <c r="DE53" s="33" t="s">
        <v>30</v>
      </c>
      <c r="DF53" s="62" t="s">
        <v>206</v>
      </c>
    </row>
    <row r="54" spans="1:110" ht="15" customHeight="1">
      <c r="A54" s="46">
        <f t="shared" si="11"/>
        <v>76</v>
      </c>
      <c r="B54" s="832" t="s">
        <v>207</v>
      </c>
      <c r="C54" s="832"/>
      <c r="D54" s="832"/>
      <c r="E54" s="832"/>
      <c r="F54" s="832" t="str" cm="1">
        <f t="array" ref="F54">TRIM(SUBSTITUTE(SUBSTITUTE(INDEX(CY:CY,MATCH("      item_no: "&amp;A54&amp;",",CY:CY,0)+9,1),"item_name: ",""),",",""))</f>
        <v>押し寿司バッテラ６カン（アウト）</v>
      </c>
      <c r="G54" s="832"/>
      <c r="H54" s="832"/>
      <c r="I54" s="832"/>
      <c r="J54" s="832"/>
      <c r="K54" s="832"/>
      <c r="L54" s="884" t="str" cm="1">
        <f t="array" ref="L54">TRIM(SUBSTITUTE(SUBSTITUTE(INDEX(CY:CY,MATCH("      item_no: "&amp;A54&amp;",",CY:CY,0)+3,1),"item_scan_code: ",""),",",""))</f>
        <v>4945224356181</v>
      </c>
      <c r="M54" s="884"/>
      <c r="N54" s="884"/>
      <c r="O54" s="884"/>
      <c r="P54" s="884"/>
      <c r="Q54" s="834" cm="1">
        <f t="array" ref="Q54">IF(AD54="true","",TRIM(SUBSTITUTE(SUBSTITUTE(INDEX(CY:CY,MATCH("      item_no: "&amp;A54&amp;",",CY:CY,0)+13,1),"item_price_fmt: ￥",""),",",""))+0)</f>
        <v>399</v>
      </c>
      <c r="R54" s="835"/>
      <c r="S54" s="836">
        <f t="shared" si="14"/>
        <v>0</v>
      </c>
      <c r="T54" s="837"/>
      <c r="U54" s="838" cm="1">
        <f t="array" ref="U54">IF(AD54="true","",TRIM(SUBSTITUTE(SUBSTITUTE(INDEX(CY:CY,MATCH("      item_no: "&amp;A54&amp;",",CY:CY,0)+14,1),"item_price_discount_fmt: ￥",""),",",""))+0)</f>
        <v>399</v>
      </c>
      <c r="V54" s="839"/>
      <c r="W54" s="840">
        <f ca="1">INT(SUMIF($Y$10:$AA54,"外税8%",$U$10:$V54)*1.08)+INT(SUMIF($Y$10:$AA54,"外税10%",$U$10:$V54)*1.1)+SUMIF($Y$10:$AA54,"内税10%",$U$10:$V54)+SUMIF($Y$10:$AA54,"非課税",$U$10:$V54)</f>
        <v>14770</v>
      </c>
      <c r="X54" s="841"/>
      <c r="Y54" s="842" t="str" cm="1">
        <f t="array" ref="Y54">TRIM(SUBSTITUTE(SUBSTITUTE(INDEX(CY:CY,MATCH("      item_no: "&amp;A54&amp;",",CY:CY,0)+15,1),"item_tax_fmt: ",""),",",""))</f>
        <v>外税8%</v>
      </c>
      <c r="Z54" s="843"/>
      <c r="AA54" s="843"/>
      <c r="AB54" s="844" t="str" cm="1">
        <f t="array" ref="AB54">TRIM(SUBSTITUTE(SUBSTITUTE(INDEX(CY:CY,MATCH("      item_no: "&amp;A54&amp;",",CY:CY,0)+18,1),"discount_prohibition:",""),",",""))</f>
        <v>0</v>
      </c>
      <c r="AC54" s="844"/>
      <c r="AD54" s="825" t="str" cm="1">
        <f t="array" ref="AD54">TRIM(SUBSTITUTE(SUBSTITUTE(INDEX(CY:CY,MATCH("      item_no: "&amp;A54&amp;",",CY:CY,0)+1,1),"item_cancel_line: ",""),",",""))</f>
        <v>false</v>
      </c>
      <c r="AE54" s="825"/>
      <c r="AF54" s="1093"/>
      <c r="AG54" s="1094"/>
      <c r="AH54" s="826">
        <f t="shared" si="16"/>
        <v>-19.950000000000003</v>
      </c>
      <c r="AI54" s="827"/>
      <c r="AJ54" s="838">
        <f t="shared" si="17"/>
        <v>399</v>
      </c>
      <c r="AK54" s="839"/>
      <c r="AL54" s="822">
        <f t="shared" si="2"/>
        <v>36</v>
      </c>
      <c r="AM54" s="823"/>
      <c r="AN54" s="830">
        <f t="shared" si="18"/>
        <v>-19</v>
      </c>
      <c r="AO54" s="831"/>
      <c r="AP54" s="830">
        <f t="shared" si="12"/>
        <v>-1</v>
      </c>
      <c r="AQ54" s="831"/>
      <c r="AR54" s="820"/>
      <c r="AS54" s="821"/>
      <c r="AT54" s="822">
        <f t="shared" si="15"/>
        <v>-20</v>
      </c>
      <c r="AU54" s="823"/>
      <c r="AV54" s="817">
        <f t="shared" si="19"/>
        <v>379</v>
      </c>
      <c r="AW54" s="824"/>
      <c r="AX54" s="816">
        <f t="shared" ca="1" si="20"/>
        <v>30</v>
      </c>
      <c r="AY54" s="817"/>
      <c r="AZ54" s="816"/>
      <c r="BA54" s="817"/>
      <c r="BB54" s="816" t="str">
        <f t="shared" si="21"/>
        <v/>
      </c>
      <c r="BC54" s="817"/>
      <c r="BD54" s="816"/>
      <c r="BE54" s="817"/>
      <c r="BF54" s="816" t="str">
        <f t="shared" si="22"/>
        <v/>
      </c>
      <c r="BG54" s="817"/>
      <c r="BH54" s="816"/>
      <c r="BI54" s="817"/>
      <c r="BJ54" s="816" t="str">
        <f t="shared" si="23"/>
        <v/>
      </c>
      <c r="BK54" s="817"/>
      <c r="BL54" s="816"/>
      <c r="BM54" s="817"/>
      <c r="BN54" s="818">
        <f t="shared" si="24"/>
        <v>409</v>
      </c>
      <c r="BO54" s="819"/>
      <c r="BP54" s="74" t="s">
        <v>80</v>
      </c>
      <c r="BQ54" s="801" t="str">
        <f t="shared" si="25"/>
        <v>外税8%</v>
      </c>
      <c r="BR54" s="801"/>
      <c r="BS54" s="802"/>
      <c r="BT54" s="1072"/>
      <c r="BU54" s="1073"/>
      <c r="BV54" s="1076"/>
      <c r="BW54" s="1078"/>
      <c r="CY54" s="62" t="s">
        <v>208</v>
      </c>
      <c r="DD54" s="62" t="s">
        <v>209</v>
      </c>
      <c r="DE54" s="33" t="s">
        <v>30</v>
      </c>
      <c r="DF54" s="62" t="s">
        <v>210</v>
      </c>
    </row>
    <row r="55" spans="1:110" ht="15" customHeight="1">
      <c r="A55" s="46">
        <f t="shared" si="11"/>
        <v>75</v>
      </c>
      <c r="B55" s="832" t="s">
        <v>207</v>
      </c>
      <c r="C55" s="832"/>
      <c r="D55" s="832"/>
      <c r="E55" s="832"/>
      <c r="F55" s="832" t="str" cm="1">
        <f t="array" ref="F55">TRIM(SUBSTITUTE(SUBSTITUTE(INDEX(CY:CY,MATCH("      item_no: "&amp;A55&amp;",",CY:CY,0)+9,1),"item_name: ",""),",",""))</f>
        <v>にぎり寿司　かおり</v>
      </c>
      <c r="G55" s="832"/>
      <c r="H55" s="832"/>
      <c r="I55" s="832"/>
      <c r="J55" s="832"/>
      <c r="K55" s="832"/>
      <c r="L55" s="884" t="str" cm="1">
        <f t="array" ref="L55">TRIM(SUBSTITUTE(SUBSTITUTE(INDEX(CY:CY,MATCH("      item_no: "&amp;A55&amp;",",CY:CY,0)+3,1),"item_scan_code: ",""),",",""))</f>
        <v>224847807992</v>
      </c>
      <c r="M55" s="884"/>
      <c r="N55" s="884"/>
      <c r="O55" s="884"/>
      <c r="P55" s="884"/>
      <c r="Q55" s="887" cm="1">
        <f t="array" ref="Q55">IF(AD55="true","",TRIM(SUBSTITUTE(SUBSTITUTE(INDEX(CY:CY,MATCH("      item_no: "&amp;A55&amp;",",CY:CY,0)+13,1),"item_price_fmt: ￥",""),",",""))+0)</f>
        <v>799</v>
      </c>
      <c r="R55" s="888"/>
      <c r="S55" s="836">
        <f t="shared" si="14"/>
        <v>0</v>
      </c>
      <c r="T55" s="837"/>
      <c r="U55" s="888" cm="1">
        <f t="array" ref="U55">IF(AD55="true","",TRIM(SUBSTITUTE(SUBSTITUTE(INDEX(CY:CY,MATCH("      item_no: "&amp;A55&amp;",",CY:CY,0)+14,1),"item_price_discount_fmt: ￥",""),",",""))+0)</f>
        <v>799</v>
      </c>
      <c r="V55" s="889"/>
      <c r="W55" s="840">
        <f ca="1">INT(SUMIF($Y$10:$AA55,"外税8%",$U$10:$V55)*1.08)+INT(SUMIF($Y$10:$AA55,"外税10%",$U$10:$V55)*1.1)+SUMIF($Y$10:$AA55,"内税10%",$U$10:$V55)+SUMIF($Y$10:$AA55,"非課税",$U$10:$V55)</f>
        <v>15632</v>
      </c>
      <c r="X55" s="841"/>
      <c r="Y55" s="842" t="str" cm="1">
        <f t="array" ref="Y55">TRIM(SUBSTITUTE(SUBSTITUTE(INDEX(CY:CY,MATCH("      item_no: "&amp;A55&amp;",",CY:CY,0)+15,1),"item_tax_fmt: ",""),",",""))</f>
        <v>外税8%</v>
      </c>
      <c r="Z55" s="843"/>
      <c r="AA55" s="843"/>
      <c r="AB55" s="844" t="str" cm="1">
        <f t="array" ref="AB55">TRIM(SUBSTITUTE(SUBSTITUTE(INDEX(CY:CY,MATCH("      item_no: "&amp;A55&amp;",",CY:CY,0)+18,1),"discount_prohibition:",""),",",""))</f>
        <v>0</v>
      </c>
      <c r="AC55" s="844"/>
      <c r="AD55" s="825" t="str" cm="1">
        <f t="array" ref="AD55">TRIM(SUBSTITUTE(SUBSTITUTE(INDEX(CY:CY,MATCH("      item_no: "&amp;A55&amp;",",CY:CY,0)+1,1),"item_cancel_line: ",""),",",""))</f>
        <v>false</v>
      </c>
      <c r="AE55" s="825"/>
      <c r="AF55" s="1093"/>
      <c r="AG55" s="1094"/>
      <c r="AH55" s="826">
        <f t="shared" si="16"/>
        <v>-39.950000000000003</v>
      </c>
      <c r="AI55" s="827"/>
      <c r="AJ55" s="838">
        <f t="shared" si="17"/>
        <v>799</v>
      </c>
      <c r="AK55" s="839"/>
      <c r="AL55" s="822">
        <f t="shared" si="2"/>
        <v>8</v>
      </c>
      <c r="AM55" s="823"/>
      <c r="AN55" s="830">
        <f t="shared" si="18"/>
        <v>-39</v>
      </c>
      <c r="AO55" s="831"/>
      <c r="AP55" s="830">
        <f t="shared" si="12"/>
        <v>-1</v>
      </c>
      <c r="AQ55" s="831"/>
      <c r="AR55" s="820"/>
      <c r="AS55" s="821"/>
      <c r="AT55" s="822">
        <f t="shared" si="15"/>
        <v>-40</v>
      </c>
      <c r="AU55" s="823"/>
      <c r="AV55" s="817">
        <f t="shared" si="19"/>
        <v>759</v>
      </c>
      <c r="AW55" s="824"/>
      <c r="AX55" s="816">
        <f t="shared" ca="1" si="20"/>
        <v>60</v>
      </c>
      <c r="AY55" s="817"/>
      <c r="AZ55" s="816"/>
      <c r="BA55" s="817"/>
      <c r="BB55" s="816" t="str">
        <f t="shared" si="21"/>
        <v/>
      </c>
      <c r="BC55" s="817"/>
      <c r="BD55" s="816"/>
      <c r="BE55" s="817"/>
      <c r="BF55" s="816" t="str">
        <f t="shared" si="22"/>
        <v/>
      </c>
      <c r="BG55" s="817"/>
      <c r="BH55" s="816"/>
      <c r="BI55" s="817"/>
      <c r="BJ55" s="816" t="str">
        <f t="shared" si="23"/>
        <v/>
      </c>
      <c r="BK55" s="817"/>
      <c r="BL55" s="816"/>
      <c r="BM55" s="817"/>
      <c r="BN55" s="818">
        <f t="shared" si="24"/>
        <v>819</v>
      </c>
      <c r="BO55" s="819"/>
      <c r="BP55" s="74" t="s">
        <v>80</v>
      </c>
      <c r="BQ55" s="801" t="str">
        <f t="shared" si="25"/>
        <v>外税8%</v>
      </c>
      <c r="BR55" s="801"/>
      <c r="BS55" s="802"/>
      <c r="BT55" s="1072"/>
      <c r="BU55" s="1073"/>
      <c r="BV55" s="1076"/>
      <c r="BW55" s="1078"/>
      <c r="CY55" s="62" t="s">
        <v>211</v>
      </c>
      <c r="DD55" s="62" t="s">
        <v>212</v>
      </c>
      <c r="DE55" s="33" t="s">
        <v>30</v>
      </c>
      <c r="DF55" s="62" t="s">
        <v>213</v>
      </c>
    </row>
    <row r="56" spans="1:110" ht="15" customHeight="1">
      <c r="A56" s="46">
        <f t="shared" si="11"/>
        <v>74</v>
      </c>
      <c r="B56" s="832" t="s">
        <v>214</v>
      </c>
      <c r="C56" s="832"/>
      <c r="D56" s="832"/>
      <c r="E56" s="832"/>
      <c r="F56" s="832" t="str" cm="1">
        <f t="array" ref="F56">TRIM(SUBSTITUTE(SUBSTITUTE(INDEX(CY:CY,MATCH("      item_no: "&amp;A56&amp;",",CY:CY,0)+9,1),"item_name: ",""),",",""))</f>
        <v>ミニパン詰め合わせ６コ入</v>
      </c>
      <c r="G56" s="832"/>
      <c r="H56" s="832"/>
      <c r="I56" s="832"/>
      <c r="J56" s="832"/>
      <c r="K56" s="832"/>
      <c r="L56" s="884" t="str" cm="1">
        <f t="array" ref="L56">TRIM(SUBSTITUTE(SUBSTITUTE(INDEX(CY:CY,MATCH("      item_no: "&amp;A56&amp;",",CY:CY,0)+3,1),"item_scan_code: ",""),",",""))</f>
        <v>04971573</v>
      </c>
      <c r="M56" s="884"/>
      <c r="N56" s="884"/>
      <c r="O56" s="884"/>
      <c r="P56" s="884"/>
      <c r="Q56" s="887" cm="1">
        <f t="array" ref="Q56">IF(AD56="true","",TRIM(SUBSTITUTE(SUBSTITUTE(INDEX(CY:CY,MATCH("      item_no: "&amp;A56&amp;",",CY:CY,0)+13,1),"item_price_fmt: ￥",""),",",""))+0)</f>
        <v>249</v>
      </c>
      <c r="R56" s="888"/>
      <c r="S56" s="836">
        <f t="shared" si="14"/>
        <v>0</v>
      </c>
      <c r="T56" s="837"/>
      <c r="U56" s="888" cm="1">
        <f t="array" ref="U56">IF(AD56="true","",TRIM(SUBSTITUTE(SUBSTITUTE(INDEX(CY:CY,MATCH("      item_no: "&amp;A56&amp;",",CY:CY,0)+14,1),"item_price_discount_fmt: ￥",""),",",""))+0)</f>
        <v>249</v>
      </c>
      <c r="V56" s="889"/>
      <c r="W56" s="840">
        <f ca="1">INT(SUMIF($Y$10:$AA56,"外税8%",$U$10:$V56)*1.08)+INT(SUMIF($Y$10:$AA56,"外税10%",$U$10:$V56)*1.1)+SUMIF($Y$10:$AA56,"内税10%",$U$10:$V56)+SUMIF($Y$10:$AA56,"非課税",$U$10:$V56)</f>
        <v>15901</v>
      </c>
      <c r="X56" s="841"/>
      <c r="Y56" s="842" t="str" cm="1">
        <f t="array" ref="Y56">TRIM(SUBSTITUTE(SUBSTITUTE(INDEX(CY:CY,MATCH("      item_no: "&amp;A56&amp;",",CY:CY,0)+15,1),"item_tax_fmt: ",""),",",""))</f>
        <v>外税8%</v>
      </c>
      <c r="Z56" s="843"/>
      <c r="AA56" s="843"/>
      <c r="AB56" s="844" t="str" cm="1">
        <f t="array" ref="AB56">TRIM(SUBSTITUTE(SUBSTITUTE(INDEX(CY:CY,MATCH("      item_no: "&amp;A56&amp;",",CY:CY,0)+18,1),"discount_prohibition:",""),",",""))</f>
        <v>0</v>
      </c>
      <c r="AC56" s="844"/>
      <c r="AD56" s="825" t="str" cm="1">
        <f t="array" ref="AD56">TRIM(SUBSTITUTE(SUBSTITUTE(INDEX(CY:CY,MATCH("      item_no: "&amp;A56&amp;",",CY:CY,0)+1,1),"item_cancel_line: ",""),",",""))</f>
        <v>false</v>
      </c>
      <c r="AE56" s="825"/>
      <c r="AF56" s="1093"/>
      <c r="AG56" s="1094"/>
      <c r="AH56" s="826">
        <f t="shared" si="16"/>
        <v>-12.450000000000001</v>
      </c>
      <c r="AI56" s="827"/>
      <c r="AJ56" s="838">
        <f t="shared" si="17"/>
        <v>249</v>
      </c>
      <c r="AK56" s="839"/>
      <c r="AL56" s="822">
        <f t="shared" si="2"/>
        <v>53</v>
      </c>
      <c r="AM56" s="823"/>
      <c r="AN56" s="830">
        <f t="shared" si="18"/>
        <v>-12</v>
      </c>
      <c r="AO56" s="831"/>
      <c r="AP56" s="830">
        <f t="shared" si="12"/>
        <v>-1</v>
      </c>
      <c r="AQ56" s="831"/>
      <c r="AR56" s="820"/>
      <c r="AS56" s="821"/>
      <c r="AT56" s="822">
        <f t="shared" si="15"/>
        <v>-13</v>
      </c>
      <c r="AU56" s="823"/>
      <c r="AV56" s="817">
        <f t="shared" si="19"/>
        <v>236</v>
      </c>
      <c r="AW56" s="824"/>
      <c r="AX56" s="816">
        <f t="shared" ca="1" si="20"/>
        <v>18</v>
      </c>
      <c r="AY56" s="817"/>
      <c r="AZ56" s="816"/>
      <c r="BA56" s="817"/>
      <c r="BB56" s="816" t="str">
        <f t="shared" si="21"/>
        <v/>
      </c>
      <c r="BC56" s="817"/>
      <c r="BD56" s="816"/>
      <c r="BE56" s="817"/>
      <c r="BF56" s="816" t="str">
        <f t="shared" si="22"/>
        <v/>
      </c>
      <c r="BG56" s="817"/>
      <c r="BH56" s="816"/>
      <c r="BI56" s="817"/>
      <c r="BJ56" s="816" t="str">
        <f t="shared" si="23"/>
        <v/>
      </c>
      <c r="BK56" s="817"/>
      <c r="BL56" s="816"/>
      <c r="BM56" s="817"/>
      <c r="BN56" s="818">
        <f t="shared" si="24"/>
        <v>254</v>
      </c>
      <c r="BO56" s="819"/>
      <c r="BP56" s="74" t="s">
        <v>80</v>
      </c>
      <c r="BQ56" s="801" t="str">
        <f t="shared" si="25"/>
        <v>外税8%</v>
      </c>
      <c r="BR56" s="801"/>
      <c r="BS56" s="802"/>
      <c r="BT56" s="1072"/>
      <c r="BU56" s="1073"/>
      <c r="BV56" s="1076"/>
      <c r="BW56" s="1078"/>
      <c r="CY56" s="62" t="s">
        <v>163</v>
      </c>
      <c r="DD56" s="62" t="s">
        <v>215</v>
      </c>
      <c r="DE56" s="33" t="s">
        <v>30</v>
      </c>
      <c r="DF56" s="62" t="s">
        <v>216</v>
      </c>
    </row>
    <row r="57" spans="1:110" ht="15" customHeight="1">
      <c r="A57" s="46">
        <f t="shared" si="11"/>
        <v>73</v>
      </c>
      <c r="B57" s="832" t="s">
        <v>122</v>
      </c>
      <c r="C57" s="832"/>
      <c r="D57" s="832"/>
      <c r="E57" s="832"/>
      <c r="F57" s="832" t="str" cm="1">
        <f t="array" ref="F57">TRIM(SUBSTITUTE(SUBSTITUTE(INDEX(CY:CY,MATCH("      item_no: "&amp;A57&amp;",",CY:CY,0)+9,1),"item_name: ",""),",",""))</f>
        <v>ＩＧマンジョウ　濃厚熟成本みりん　１Ｌ</v>
      </c>
      <c r="G57" s="832"/>
      <c r="H57" s="832"/>
      <c r="I57" s="832"/>
      <c r="J57" s="832"/>
      <c r="K57" s="832"/>
      <c r="L57" s="884" t="str" cm="1">
        <f t="array" ref="L57">TRIM(SUBSTITUTE(SUBSTITUTE(INDEX(CY:CY,MATCH("      item_no: "&amp;A57&amp;",",CY:CY,0)+3,1),"item_scan_code: ",""),",",""))</f>
        <v>4901515001536</v>
      </c>
      <c r="M57" s="884"/>
      <c r="N57" s="884"/>
      <c r="O57" s="884"/>
      <c r="P57" s="884"/>
      <c r="Q57" s="887" cm="1">
        <f t="array" ref="Q57">IF(AD57="true","",TRIM(SUBSTITUTE(SUBSTITUTE(INDEX(CY:CY,MATCH("      item_no: "&amp;A57&amp;",",CY:CY,0)+13,1),"item_price_fmt: ￥",""),",",""))+0)</f>
        <v>329</v>
      </c>
      <c r="R57" s="888"/>
      <c r="S57" s="836">
        <f t="shared" si="14"/>
        <v>0</v>
      </c>
      <c r="T57" s="837"/>
      <c r="U57" s="888" cm="1">
        <f t="array" ref="U57">IF(AD57="true","",TRIM(SUBSTITUTE(SUBSTITUTE(INDEX(CY:CY,MATCH("      item_no: "&amp;A57&amp;",",CY:CY,0)+14,1),"item_price_discount_fmt: ￥",""),",",""))+0)</f>
        <v>329</v>
      </c>
      <c r="V57" s="889"/>
      <c r="W57" s="840">
        <f ca="1">INT(SUMIF($Y$10:$AA57,"外税8%",$U$10:$V57)*1.08)+INT(SUMIF($Y$10:$AA57,"外税10%",$U$10:$V57)*1.1)+SUMIF($Y$10:$AA57,"内税10%",$U$10:$V57)+SUMIF($Y$10:$AA57,"非課税",$U$10:$V57)</f>
        <v>16263</v>
      </c>
      <c r="X57" s="841"/>
      <c r="Y57" s="842" t="str" cm="1">
        <f t="array" ref="Y57">TRIM(SUBSTITUTE(SUBSTITUTE(INDEX(CY:CY,MATCH("      item_no: "&amp;A57&amp;",",CY:CY,0)+15,1),"item_tax_fmt: ",""),",",""))</f>
        <v>外税10%</v>
      </c>
      <c r="Z57" s="843"/>
      <c r="AA57" s="843"/>
      <c r="AB57" s="844" t="str" cm="1">
        <f t="array" ref="AB57">TRIM(SUBSTITUTE(SUBSTITUTE(INDEX(CY:CY,MATCH("      item_no: "&amp;A57&amp;",",CY:CY,0)+18,1),"discount_prohibition:",""),",",""))</f>
        <v>0</v>
      </c>
      <c r="AC57" s="844"/>
      <c r="AD57" s="825" t="str" cm="1">
        <f t="array" ref="AD57">TRIM(SUBSTITUTE(SUBSTITUTE(INDEX(CY:CY,MATCH("      item_no: "&amp;A57&amp;",",CY:CY,0)+1,1),"item_cancel_line: ",""),",",""))</f>
        <v>false</v>
      </c>
      <c r="AE57" s="825"/>
      <c r="AF57" s="1093"/>
      <c r="AG57" s="1094"/>
      <c r="AH57" s="826">
        <f t="shared" si="16"/>
        <v>-16.45</v>
      </c>
      <c r="AI57" s="827"/>
      <c r="AJ57" s="838">
        <f t="shared" si="17"/>
        <v>329</v>
      </c>
      <c r="AK57" s="839"/>
      <c r="AL57" s="822">
        <f t="shared" si="2"/>
        <v>47</v>
      </c>
      <c r="AM57" s="823"/>
      <c r="AN57" s="830">
        <f t="shared" si="18"/>
        <v>-16</v>
      </c>
      <c r="AO57" s="831"/>
      <c r="AP57" s="830">
        <f t="shared" si="12"/>
        <v>-1</v>
      </c>
      <c r="AQ57" s="831"/>
      <c r="AR57" s="820"/>
      <c r="AS57" s="821"/>
      <c r="AT57" s="822">
        <f t="shared" si="15"/>
        <v>-17</v>
      </c>
      <c r="AU57" s="823"/>
      <c r="AV57" s="817">
        <f t="shared" si="19"/>
        <v>312</v>
      </c>
      <c r="AW57" s="824"/>
      <c r="AX57" s="816" t="str">
        <f t="shared" si="20"/>
        <v/>
      </c>
      <c r="AY57" s="817"/>
      <c r="AZ57" s="816"/>
      <c r="BA57" s="817"/>
      <c r="BB57" s="816">
        <f t="shared" ca="1" si="21"/>
        <v>31</v>
      </c>
      <c r="BC57" s="817"/>
      <c r="BD57" s="816"/>
      <c r="BE57" s="817"/>
      <c r="BF57" s="816" t="str">
        <f t="shared" si="22"/>
        <v/>
      </c>
      <c r="BG57" s="817"/>
      <c r="BH57" s="816"/>
      <c r="BI57" s="817"/>
      <c r="BJ57" s="816" t="str">
        <f t="shared" si="23"/>
        <v/>
      </c>
      <c r="BK57" s="817"/>
      <c r="BL57" s="816"/>
      <c r="BM57" s="817"/>
      <c r="BN57" s="818">
        <f t="shared" si="24"/>
        <v>343</v>
      </c>
      <c r="BO57" s="819"/>
      <c r="BP57" s="74" t="s">
        <v>80</v>
      </c>
      <c r="BQ57" s="801" t="str">
        <f t="shared" si="25"/>
        <v>外税10%</v>
      </c>
      <c r="BR57" s="801"/>
      <c r="BS57" s="802"/>
      <c r="BT57" s="1072"/>
      <c r="BU57" s="1073"/>
      <c r="BV57" s="1076"/>
      <c r="BW57" s="1078"/>
      <c r="CY57" s="62" t="s">
        <v>135</v>
      </c>
      <c r="DD57" s="62" t="s">
        <v>217</v>
      </c>
      <c r="DE57" s="33" t="s">
        <v>30</v>
      </c>
      <c r="DF57" s="62" t="s">
        <v>218</v>
      </c>
    </row>
    <row r="58" spans="1:110" ht="15" customHeight="1">
      <c r="A58" s="46">
        <f t="shared" si="11"/>
        <v>72</v>
      </c>
      <c r="B58" s="875" t="s">
        <v>219</v>
      </c>
      <c r="C58" s="875"/>
      <c r="D58" s="875"/>
      <c r="E58" s="875"/>
      <c r="F58" s="875" t="str" cm="1">
        <f t="array" ref="F58">TRIM(SUBSTITUTE(SUBSTITUTE(INDEX(CY:CY,MATCH("      item_no: "&amp;A58&amp;",",CY:CY,0)+9,1),"item_name: ",""),",",""))</f>
        <v>アサヒ　スーパードライ　３５０ｍｌ×６</v>
      </c>
      <c r="G58" s="875"/>
      <c r="H58" s="875"/>
      <c r="I58" s="875"/>
      <c r="J58" s="875"/>
      <c r="K58" s="875"/>
      <c r="L58" s="881" t="str" cm="1">
        <f t="array" ref="L58">TRIM(SUBSTITUTE(SUBSTITUTE(INDEX(CY:CY,MATCH("      item_no: "&amp;A58&amp;",",CY:CY,0)+3,1),"item_scan_code: ",""),",",""))</f>
        <v>4901004006721</v>
      </c>
      <c r="M58" s="881"/>
      <c r="N58" s="881"/>
      <c r="O58" s="881"/>
      <c r="P58" s="881"/>
      <c r="Q58" s="890" cm="1">
        <f t="array" ref="Q58">IF(AD58="true","",TRIM(SUBSTITUTE(SUBSTITUTE(INDEX(CY:CY,MATCH("      item_no: "&amp;A58&amp;",",CY:CY,0)+13,1),"item_price_fmt: ￥",""),",",""))+0)</f>
        <v>1055</v>
      </c>
      <c r="R58" s="891"/>
      <c r="S58" s="879">
        <f t="shared" si="14"/>
        <v>0</v>
      </c>
      <c r="T58" s="880"/>
      <c r="U58" s="891" cm="1">
        <f t="array" ref="U58">IF(AD58="true","",TRIM(SUBSTITUTE(SUBSTITUTE(INDEX(CY:CY,MATCH("      item_no: "&amp;A58&amp;",",CY:CY,0)+14,1),"item_price_discount_fmt: ￥",""),",",""))+0)</f>
        <v>1055</v>
      </c>
      <c r="V58" s="892"/>
      <c r="W58" s="840">
        <f ca="1">INT(SUMIF($Y$10:$AA58,"外税8%",$U$10:$V58)*1.08)+INT(SUMIF($Y$10:$AA58,"外税10%",$U$10:$V58)*1.1)+SUMIF($Y$10:$AA58,"内税10%",$U$10:$V58)+SUMIF($Y$10:$AA58,"非課税",$U$10:$V58)</f>
        <v>17424</v>
      </c>
      <c r="X58" s="841"/>
      <c r="Y58" s="867" t="str" cm="1">
        <f t="array" ref="Y58">TRIM(SUBSTITUTE(SUBSTITUTE(INDEX(CY:CY,MATCH("      item_no: "&amp;A58&amp;",",CY:CY,0)+15,1),"item_tax_fmt: ",""),",",""))</f>
        <v>外税10%</v>
      </c>
      <c r="Z58" s="868"/>
      <c r="AA58" s="868"/>
      <c r="AB58" s="869" t="str" cm="1">
        <f t="array" ref="AB58">TRIM(SUBSTITUTE(SUBSTITUTE(INDEX(CY:CY,MATCH("      item_no: "&amp;A58&amp;",",CY:CY,0)+18,1),"discount_prohibition:",""),",",""))</f>
        <v>1</v>
      </c>
      <c r="AC58" s="869"/>
      <c r="AD58" s="870" t="str" cm="1">
        <f t="array" ref="AD58">TRIM(SUBSTITUTE(SUBSTITUTE(INDEX(CY:CY,MATCH("      item_no: "&amp;A58&amp;",",CY:CY,0)+1,1),"item_cancel_line: ",""),",",""))</f>
        <v>false</v>
      </c>
      <c r="AE58" s="870"/>
      <c r="AF58" s="1093"/>
      <c r="AG58" s="1094"/>
      <c r="AH58" s="871">
        <f t="shared" si="16"/>
        <v>0</v>
      </c>
      <c r="AI58" s="872"/>
      <c r="AJ58" s="873">
        <f t="shared" si="17"/>
        <v>0</v>
      </c>
      <c r="AK58" s="874"/>
      <c r="AL58" s="864">
        <f t="shared" si="2"/>
        <v>84</v>
      </c>
      <c r="AM58" s="865"/>
      <c r="AN58" s="830">
        <f t="shared" si="18"/>
        <v>0</v>
      </c>
      <c r="AO58" s="831"/>
      <c r="AP58" s="830">
        <f t="shared" si="12"/>
        <v>0</v>
      </c>
      <c r="AQ58" s="831"/>
      <c r="AR58" s="820"/>
      <c r="AS58" s="821"/>
      <c r="AT58" s="864">
        <f t="shared" si="15"/>
        <v>0</v>
      </c>
      <c r="AU58" s="865"/>
      <c r="AV58" s="861">
        <f t="shared" si="19"/>
        <v>1055</v>
      </c>
      <c r="AW58" s="866"/>
      <c r="AX58" s="860" t="str">
        <f t="shared" si="20"/>
        <v/>
      </c>
      <c r="AY58" s="861"/>
      <c r="AZ58" s="860"/>
      <c r="BA58" s="861"/>
      <c r="BB58" s="860">
        <f t="shared" ca="1" si="21"/>
        <v>105</v>
      </c>
      <c r="BC58" s="861"/>
      <c r="BD58" s="860"/>
      <c r="BE58" s="861"/>
      <c r="BF58" s="860" t="str">
        <f t="shared" si="22"/>
        <v/>
      </c>
      <c r="BG58" s="861"/>
      <c r="BH58" s="860"/>
      <c r="BI58" s="861"/>
      <c r="BJ58" s="860" t="str">
        <f t="shared" si="23"/>
        <v/>
      </c>
      <c r="BK58" s="861"/>
      <c r="BL58" s="860"/>
      <c r="BM58" s="861"/>
      <c r="BN58" s="862">
        <f t="shared" si="24"/>
        <v>1160</v>
      </c>
      <c r="BO58" s="863"/>
      <c r="BP58" s="74" t="s">
        <v>80</v>
      </c>
      <c r="BQ58" s="801" t="str">
        <f t="shared" si="25"/>
        <v>外税10%</v>
      </c>
      <c r="BR58" s="801"/>
      <c r="BS58" s="802"/>
      <c r="BT58" s="1072"/>
      <c r="BU58" s="1073"/>
      <c r="BV58" s="1076"/>
      <c r="BW58" s="1078"/>
      <c r="CY58" s="62" t="s">
        <v>220</v>
      </c>
      <c r="DD58" s="62" t="s">
        <v>221</v>
      </c>
      <c r="DE58" s="33" t="s">
        <v>30</v>
      </c>
      <c r="DF58" s="62" t="s">
        <v>222</v>
      </c>
    </row>
    <row r="59" spans="1:110" ht="15" customHeight="1">
      <c r="A59" s="46">
        <f t="shared" si="11"/>
        <v>71</v>
      </c>
      <c r="B59" s="832" t="s">
        <v>223</v>
      </c>
      <c r="C59" s="832"/>
      <c r="D59" s="832"/>
      <c r="E59" s="832"/>
      <c r="F59" s="832" t="str" cm="1">
        <f t="array" ref="F59">TRIM(SUBSTITUTE(SUBSTITUTE(INDEX(CY:CY,MATCH("      item_no: "&amp;A59&amp;",",CY:CY,0)+9,1),"item_name: ",""),",",""))</f>
        <v>アサヒ　ドライゼロ　３５０ｍｌ×６</v>
      </c>
      <c r="G59" s="832"/>
      <c r="H59" s="832"/>
      <c r="I59" s="832"/>
      <c r="J59" s="832"/>
      <c r="K59" s="832"/>
      <c r="L59" s="884" t="str" cm="1">
        <f t="array" ref="L59">TRIM(SUBSTITUTE(SUBSTITUTE(INDEX(CY:CY,MATCH("      item_no: "&amp;A59&amp;",",CY:CY,0)+3,1),"item_scan_code: ",""),",",""))</f>
        <v>4904230030010</v>
      </c>
      <c r="M59" s="884"/>
      <c r="N59" s="884"/>
      <c r="O59" s="884"/>
      <c r="P59" s="884"/>
      <c r="Q59" s="887" cm="1">
        <f t="array" ref="Q59">IF(AD59="true","",TRIM(SUBSTITUTE(SUBSTITUTE(INDEX(CY:CY,MATCH("      item_no: "&amp;A59&amp;",",CY:CY,0)+13,1),"item_price_fmt: ￥",""),",",""))+0)</f>
        <v>599</v>
      </c>
      <c r="R59" s="888"/>
      <c r="S59" s="836">
        <f t="shared" si="14"/>
        <v>0</v>
      </c>
      <c r="T59" s="837"/>
      <c r="U59" s="888" cm="1">
        <f t="array" ref="U59">IF(AD59="true","",TRIM(SUBSTITUTE(SUBSTITUTE(INDEX(CY:CY,MATCH("      item_no: "&amp;A59&amp;",",CY:CY,0)+14,1),"item_price_discount_fmt: ￥",""),",",""))+0)</f>
        <v>599</v>
      </c>
      <c r="V59" s="889"/>
      <c r="W59" s="885">
        <f ca="1">INT(SUMIF($Y$10:$AA59,"外税8%",$U$10:$V59)*1.08)+INT(SUMIF($Y$10:$AA59,"外税10%",$U$10:$V59)*1.1)+SUMIF($Y$10:$AA59,"内税10%",$U$10:$V59)+SUMIF($Y$10:$AA59,"非課税",$U$10:$V59)</f>
        <v>18071</v>
      </c>
      <c r="X59" s="886"/>
      <c r="Y59" s="842" t="str" cm="1">
        <f t="array" ref="Y59">TRIM(SUBSTITUTE(SUBSTITUTE(INDEX(CY:CY,MATCH("      item_no: "&amp;A59&amp;",",CY:CY,0)+15,1),"item_tax_fmt: ",""),",",""))</f>
        <v>外税8%</v>
      </c>
      <c r="Z59" s="843"/>
      <c r="AA59" s="843"/>
      <c r="AB59" s="844" t="str" cm="1">
        <f t="array" ref="AB59">TRIM(SUBSTITUTE(SUBSTITUTE(INDEX(CY:CY,MATCH("      item_no: "&amp;A59&amp;",",CY:CY,0)+18,1),"discount_prohibition:",""),",",""))</f>
        <v>0</v>
      </c>
      <c r="AC59" s="844"/>
      <c r="AD59" s="825" t="str" cm="1">
        <f t="array" ref="AD59">TRIM(SUBSTITUTE(SUBSTITUTE(INDEX(CY:CY,MATCH("      item_no: "&amp;A59&amp;",",CY:CY,0)+1,1),"item_cancel_line: ",""),",",""))</f>
        <v>false</v>
      </c>
      <c r="AE59" s="825"/>
      <c r="AF59" s="1093"/>
      <c r="AG59" s="1094"/>
      <c r="AH59" s="826">
        <f t="shared" si="16"/>
        <v>-29.950000000000003</v>
      </c>
      <c r="AI59" s="827"/>
      <c r="AJ59" s="838">
        <f t="shared" si="17"/>
        <v>599</v>
      </c>
      <c r="AK59" s="839"/>
      <c r="AL59" s="822">
        <f t="shared" si="2"/>
        <v>10</v>
      </c>
      <c r="AM59" s="823"/>
      <c r="AN59" s="830">
        <f t="shared" si="18"/>
        <v>-29</v>
      </c>
      <c r="AO59" s="831"/>
      <c r="AP59" s="830">
        <f t="shared" si="12"/>
        <v>-1</v>
      </c>
      <c r="AQ59" s="831"/>
      <c r="AR59" s="820"/>
      <c r="AS59" s="821"/>
      <c r="AT59" s="822">
        <f t="shared" si="15"/>
        <v>-30</v>
      </c>
      <c r="AU59" s="823"/>
      <c r="AV59" s="817">
        <f t="shared" si="19"/>
        <v>569</v>
      </c>
      <c r="AW59" s="824"/>
      <c r="AX59" s="816">
        <f t="shared" ca="1" si="20"/>
        <v>45</v>
      </c>
      <c r="AY59" s="817"/>
      <c r="AZ59" s="816"/>
      <c r="BA59" s="817"/>
      <c r="BB59" s="816" t="str">
        <f t="shared" si="21"/>
        <v/>
      </c>
      <c r="BC59" s="817"/>
      <c r="BD59" s="816"/>
      <c r="BE59" s="817"/>
      <c r="BF59" s="816" t="str">
        <f t="shared" si="22"/>
        <v/>
      </c>
      <c r="BG59" s="817"/>
      <c r="BH59" s="816"/>
      <c r="BI59" s="817"/>
      <c r="BJ59" s="816" t="str">
        <f t="shared" si="23"/>
        <v/>
      </c>
      <c r="BK59" s="817"/>
      <c r="BL59" s="816"/>
      <c r="BM59" s="817"/>
      <c r="BN59" s="818">
        <f t="shared" si="24"/>
        <v>614</v>
      </c>
      <c r="BO59" s="819"/>
      <c r="BP59" s="74" t="s">
        <v>80</v>
      </c>
      <c r="BQ59" s="801" t="str">
        <f t="shared" si="25"/>
        <v>外税8%</v>
      </c>
      <c r="BR59" s="801"/>
      <c r="BS59" s="802"/>
      <c r="BT59" s="1072"/>
      <c r="BU59" s="1073"/>
      <c r="BV59" s="1076"/>
      <c r="BW59" s="1078"/>
      <c r="CY59" s="62" t="s">
        <v>197</v>
      </c>
      <c r="DD59" s="62" t="s">
        <v>224</v>
      </c>
      <c r="DE59" s="33" t="s">
        <v>30</v>
      </c>
      <c r="DF59" s="62" t="s">
        <v>225</v>
      </c>
    </row>
    <row r="60" spans="1:110" ht="15" customHeight="1">
      <c r="A60" s="46">
        <f t="shared" si="11"/>
        <v>70</v>
      </c>
      <c r="B60" s="875" t="s">
        <v>226</v>
      </c>
      <c r="C60" s="875"/>
      <c r="D60" s="875"/>
      <c r="E60" s="875"/>
      <c r="F60" s="875" t="str" cm="1">
        <f t="array" ref="F60">TRIM(SUBSTITUTE(SUBSTITUTE(INDEX(CY:CY,MATCH("      item_no: "&amp;A60&amp;",",CY:CY,0)+9,1),"item_name: ",""),",",""))</f>
        <v>セブンスター　１個</v>
      </c>
      <c r="G60" s="875"/>
      <c r="H60" s="875"/>
      <c r="I60" s="875"/>
      <c r="J60" s="875"/>
      <c r="K60" s="875"/>
      <c r="L60" s="881" t="str" cm="1">
        <f t="array" ref="L60">TRIM(SUBSTITUTE(SUBSTITUTE(INDEX(CY:CY,MATCH("      item_no: "&amp;A60&amp;",",CY:CY,0)+3,1),"item_scan_code: ",""),",",""))</f>
        <v>49400397</v>
      </c>
      <c r="M60" s="881"/>
      <c r="N60" s="881"/>
      <c r="O60" s="881"/>
      <c r="P60" s="881"/>
      <c r="Q60" s="890" cm="1">
        <f t="array" ref="Q60">IF(AD60="true","",TRIM(SUBSTITUTE(SUBSTITUTE(INDEX(CY:CY,MATCH("      item_no: "&amp;A60&amp;",",CY:CY,0)+13,1),"item_price_fmt: ￥",""),",",""))+0)</f>
        <v>600</v>
      </c>
      <c r="R60" s="891"/>
      <c r="S60" s="879">
        <f t="shared" si="14"/>
        <v>0</v>
      </c>
      <c r="T60" s="880"/>
      <c r="U60" s="891" cm="1">
        <f t="array" ref="U60">IF(AD60="true","",TRIM(SUBSTITUTE(SUBSTITUTE(INDEX(CY:CY,MATCH("      item_no: "&amp;A60&amp;",",CY:CY,0)+14,1),"item_price_discount_fmt: ￥",""),",",""))+0)</f>
        <v>600</v>
      </c>
      <c r="V60" s="892"/>
      <c r="W60" s="840">
        <f ca="1">INT(SUMIF($Y$10:$AA60,"外税8%",$U$10:$V60)*1.08)+INT(SUMIF($Y$10:$AA60,"外税10%",$U$10:$V60)*1.1)+SUMIF($Y$10:$AA60,"内税10%",$U$10:$V60)+SUMIF($Y$10:$AA60,"非課税",$U$10:$V60)</f>
        <v>18671</v>
      </c>
      <c r="X60" s="841"/>
      <c r="Y60" s="867" t="str" cm="1">
        <f t="array" ref="Y60">TRIM(SUBSTITUTE(SUBSTITUTE(INDEX(CY:CY,MATCH("      item_no: "&amp;A60&amp;",",CY:CY,0)+15,1),"item_tax_fmt: ",""),",",""))</f>
        <v>内税10%</v>
      </c>
      <c r="Z60" s="868"/>
      <c r="AA60" s="868"/>
      <c r="AB60" s="869" t="str" cm="1">
        <f t="array" ref="AB60">TRIM(SUBSTITUTE(SUBSTITUTE(INDEX(CY:CY,MATCH("      item_no: "&amp;A60&amp;",",CY:CY,0)+18,1),"discount_prohibition:",""),",",""))</f>
        <v>1</v>
      </c>
      <c r="AC60" s="869"/>
      <c r="AD60" s="870" t="str" cm="1">
        <f t="array" ref="AD60">TRIM(SUBSTITUTE(SUBSTITUTE(INDEX(CY:CY,MATCH("      item_no: "&amp;A60&amp;",",CY:CY,0)+1,1),"item_cancel_line: ",""),",",""))</f>
        <v>false</v>
      </c>
      <c r="AE60" s="870"/>
      <c r="AF60" s="1093"/>
      <c r="AG60" s="1094"/>
      <c r="AH60" s="871">
        <f t="shared" si="16"/>
        <v>0</v>
      </c>
      <c r="AI60" s="872"/>
      <c r="AJ60" s="873">
        <f t="shared" si="17"/>
        <v>0</v>
      </c>
      <c r="AK60" s="874"/>
      <c r="AL60" s="864">
        <f t="shared" si="2"/>
        <v>84</v>
      </c>
      <c r="AM60" s="865"/>
      <c r="AN60" s="830">
        <f t="shared" si="18"/>
        <v>0</v>
      </c>
      <c r="AO60" s="831"/>
      <c r="AP60" s="830">
        <f t="shared" si="12"/>
        <v>0</v>
      </c>
      <c r="AQ60" s="831"/>
      <c r="AR60" s="820"/>
      <c r="AS60" s="821"/>
      <c r="AT60" s="864">
        <f t="shared" si="15"/>
        <v>0</v>
      </c>
      <c r="AU60" s="865"/>
      <c r="AV60" s="861">
        <f t="shared" si="19"/>
        <v>600</v>
      </c>
      <c r="AW60" s="866"/>
      <c r="AX60" s="860" t="str">
        <f t="shared" si="20"/>
        <v/>
      </c>
      <c r="AY60" s="861"/>
      <c r="AZ60" s="860"/>
      <c r="BA60" s="861"/>
      <c r="BB60" s="860" t="str">
        <f t="shared" si="21"/>
        <v/>
      </c>
      <c r="BC60" s="861"/>
      <c r="BD60" s="860"/>
      <c r="BE60" s="861"/>
      <c r="BF60" s="860" t="str">
        <f t="shared" si="22"/>
        <v/>
      </c>
      <c r="BG60" s="861"/>
      <c r="BH60" s="860"/>
      <c r="BI60" s="861"/>
      <c r="BJ60" s="860">
        <f t="shared" si="23"/>
        <v>54</v>
      </c>
      <c r="BK60" s="861"/>
      <c r="BL60" s="860"/>
      <c r="BM60" s="861"/>
      <c r="BN60" s="862">
        <f t="shared" si="24"/>
        <v>600</v>
      </c>
      <c r="BO60" s="863"/>
      <c r="BP60" s="74" t="s">
        <v>227</v>
      </c>
      <c r="BQ60" s="801" t="str">
        <f t="shared" si="25"/>
        <v>※内税10%</v>
      </c>
      <c r="BR60" s="801"/>
      <c r="BS60" s="802"/>
      <c r="BT60" s="1072"/>
      <c r="BU60" s="1073"/>
      <c r="BV60" s="1076"/>
      <c r="BW60" s="1078"/>
      <c r="CY60" s="62" t="s">
        <v>201</v>
      </c>
      <c r="DD60" s="62" t="s">
        <v>228</v>
      </c>
      <c r="DE60" s="33" t="s">
        <v>30</v>
      </c>
      <c r="DF60" s="62" t="s">
        <v>229</v>
      </c>
    </row>
    <row r="61" spans="1:110" ht="15" customHeight="1">
      <c r="A61" s="46">
        <f t="shared" si="11"/>
        <v>69</v>
      </c>
      <c r="B61" s="875" t="s">
        <v>226</v>
      </c>
      <c r="C61" s="875"/>
      <c r="D61" s="875"/>
      <c r="E61" s="875"/>
      <c r="F61" s="875" t="str" cm="1">
        <f t="array" ref="F61">TRIM(SUBSTITUTE(SUBSTITUTE(INDEX(CY:CY,MATCH("      item_no: "&amp;A61&amp;",",CY:CY,0)+9,1),"item_name: ",""),",",""))</f>
        <v>テリア　メンソール　１個</v>
      </c>
      <c r="G61" s="875"/>
      <c r="H61" s="875"/>
      <c r="I61" s="875"/>
      <c r="J61" s="875"/>
      <c r="K61" s="875"/>
      <c r="L61" s="881" t="str" cm="1">
        <f t="array" ref="L61">TRIM(SUBSTITUTE(SUBSTITUTE(INDEX(CY:CY,MATCH("      item_no: "&amp;A61&amp;",",CY:CY,0)+3,1),"item_scan_code: ",""),",",""))</f>
        <v>7622100832898</v>
      </c>
      <c r="M61" s="881"/>
      <c r="N61" s="881"/>
      <c r="O61" s="881"/>
      <c r="P61" s="881"/>
      <c r="Q61" s="890" cm="1">
        <f t="array" ref="Q61">IF(AD61="true","",TRIM(SUBSTITUTE(SUBSTITUTE(INDEX(CY:CY,MATCH("      item_no: "&amp;A61&amp;",",CY:CY,0)+13,1),"item_price_fmt: ￥",""),",",""))+0)</f>
        <v>580</v>
      </c>
      <c r="R61" s="891"/>
      <c r="S61" s="879">
        <f t="shared" si="14"/>
        <v>0</v>
      </c>
      <c r="T61" s="880"/>
      <c r="U61" s="891" cm="1">
        <f t="array" ref="U61">IF(AD61="true","",TRIM(SUBSTITUTE(SUBSTITUTE(INDEX(CY:CY,MATCH("      item_no: "&amp;A61&amp;",",CY:CY,0)+14,1),"item_price_discount_fmt: ￥",""),",",""))+0)</f>
        <v>580</v>
      </c>
      <c r="V61" s="892"/>
      <c r="W61" s="840">
        <f ca="1">INT(SUMIF($Y$10:$AA61,"外税8%",$U$10:$V61)*1.08)+INT(SUMIF($Y$10:$AA61,"外税10%",$U$10:$V61)*1.1)+SUMIF($Y$10:$AA61,"内税10%",$U$10:$V61)+SUMIF($Y$10:$AA61,"非課税",$U$10:$V61)</f>
        <v>19251</v>
      </c>
      <c r="X61" s="841"/>
      <c r="Y61" s="867" t="str" cm="1">
        <f t="array" ref="Y61">TRIM(SUBSTITUTE(SUBSTITUTE(INDEX(CY:CY,MATCH("      item_no: "&amp;A61&amp;",",CY:CY,0)+15,1),"item_tax_fmt: ",""),",",""))</f>
        <v>内税10%</v>
      </c>
      <c r="Z61" s="868"/>
      <c r="AA61" s="868"/>
      <c r="AB61" s="869" t="str" cm="1">
        <f t="array" ref="AB61">TRIM(SUBSTITUTE(SUBSTITUTE(INDEX(CY:CY,MATCH("      item_no: "&amp;A61&amp;",",CY:CY,0)+18,1),"discount_prohibition:",""),",",""))</f>
        <v>1</v>
      </c>
      <c r="AC61" s="869"/>
      <c r="AD61" s="870" t="str" cm="1">
        <f t="array" ref="AD61">TRIM(SUBSTITUTE(SUBSTITUTE(INDEX(CY:CY,MATCH("      item_no: "&amp;A61&amp;",",CY:CY,0)+1,1),"item_cancel_line: ",""),",",""))</f>
        <v>false</v>
      </c>
      <c r="AE61" s="870"/>
      <c r="AF61" s="1093"/>
      <c r="AG61" s="1094"/>
      <c r="AH61" s="871">
        <f t="shared" si="16"/>
        <v>0</v>
      </c>
      <c r="AI61" s="872"/>
      <c r="AJ61" s="873">
        <f t="shared" si="17"/>
        <v>0</v>
      </c>
      <c r="AK61" s="874"/>
      <c r="AL61" s="864">
        <f t="shared" si="2"/>
        <v>84</v>
      </c>
      <c r="AM61" s="865"/>
      <c r="AN61" s="830">
        <f t="shared" si="18"/>
        <v>0</v>
      </c>
      <c r="AO61" s="831"/>
      <c r="AP61" s="830">
        <f t="shared" si="12"/>
        <v>0</v>
      </c>
      <c r="AQ61" s="831"/>
      <c r="AR61" s="820"/>
      <c r="AS61" s="821"/>
      <c r="AT61" s="864">
        <f t="shared" si="15"/>
        <v>0</v>
      </c>
      <c r="AU61" s="865"/>
      <c r="AV61" s="861">
        <f t="shared" si="19"/>
        <v>580</v>
      </c>
      <c r="AW61" s="866"/>
      <c r="AX61" s="860" t="str">
        <f t="shared" si="20"/>
        <v/>
      </c>
      <c r="AY61" s="861"/>
      <c r="AZ61" s="860"/>
      <c r="BA61" s="861"/>
      <c r="BB61" s="860" t="str">
        <f t="shared" si="21"/>
        <v/>
      </c>
      <c r="BC61" s="861"/>
      <c r="BD61" s="860"/>
      <c r="BE61" s="861"/>
      <c r="BF61" s="860" t="str">
        <f t="shared" si="22"/>
        <v/>
      </c>
      <c r="BG61" s="861"/>
      <c r="BH61" s="860"/>
      <c r="BI61" s="861"/>
      <c r="BJ61" s="860">
        <f t="shared" si="23"/>
        <v>52</v>
      </c>
      <c r="BK61" s="861"/>
      <c r="BL61" s="860"/>
      <c r="BM61" s="861"/>
      <c r="BN61" s="862">
        <f t="shared" si="24"/>
        <v>580</v>
      </c>
      <c r="BO61" s="863"/>
      <c r="BP61" s="74" t="s">
        <v>227</v>
      </c>
      <c r="BQ61" s="801" t="str">
        <f t="shared" si="25"/>
        <v>※内税10%</v>
      </c>
      <c r="BR61" s="801"/>
      <c r="BS61" s="802"/>
      <c r="BT61" s="1072"/>
      <c r="BU61" s="1073"/>
      <c r="BV61" s="1076"/>
      <c r="BW61" s="1078"/>
      <c r="CY61" s="62" t="s">
        <v>204</v>
      </c>
      <c r="DD61" s="62" t="s">
        <v>230</v>
      </c>
      <c r="DE61" s="33" t="s">
        <v>30</v>
      </c>
      <c r="DF61" s="62" t="s">
        <v>231</v>
      </c>
    </row>
    <row r="62" spans="1:110" ht="15" customHeight="1">
      <c r="A62" s="46">
        <f t="shared" si="11"/>
        <v>68</v>
      </c>
      <c r="B62" s="875" t="s">
        <v>232</v>
      </c>
      <c r="C62" s="875"/>
      <c r="D62" s="875"/>
      <c r="E62" s="875"/>
      <c r="F62" s="875" t="str" cm="1">
        <f t="array" ref="F62">TRIM(SUBSTITUTE(SUBSTITUTE(INDEX(CY:CY,MATCH("      item_no: "&amp;A62&amp;",",CY:CY,0)+9,1),"item_name: ",""),",",""))</f>
        <v>武蔵野市指定ゴミ袋　２０リットル</v>
      </c>
      <c r="G62" s="875"/>
      <c r="H62" s="875"/>
      <c r="I62" s="875"/>
      <c r="J62" s="875"/>
      <c r="K62" s="875"/>
      <c r="L62" s="881" t="str" cm="1">
        <f t="array" ref="L62">TRIM(SUBSTITUTE(SUBSTITUTE(INDEX(CY:CY,MATCH("      item_no: "&amp;A62&amp;",",CY:CY,0)+3,1),"item_scan_code: ",""),",",""))</f>
        <v>4535508000086</v>
      </c>
      <c r="M62" s="881"/>
      <c r="N62" s="881"/>
      <c r="O62" s="881"/>
      <c r="P62" s="881"/>
      <c r="Q62" s="890" cm="1">
        <f t="array" ref="Q62">IF(AD62="true","",TRIM(SUBSTITUTE(SUBSTITUTE(INDEX(CY:CY,MATCH("      item_no: "&amp;A62&amp;",",CY:CY,0)+13,1),"item_price_fmt: ￥",""),",",""))+0)</f>
        <v>400</v>
      </c>
      <c r="R62" s="891"/>
      <c r="S62" s="879">
        <f t="shared" si="14"/>
        <v>0</v>
      </c>
      <c r="T62" s="880"/>
      <c r="U62" s="891" cm="1">
        <f t="array" ref="U62">IF(AD62="true","",TRIM(SUBSTITUTE(SUBSTITUTE(INDEX(CY:CY,MATCH("      item_no: "&amp;A62&amp;",",CY:CY,0)+14,1),"item_price_discount_fmt: ￥",""),",",""))+0)</f>
        <v>400</v>
      </c>
      <c r="V62" s="892"/>
      <c r="W62" s="840">
        <f ca="1">INT(SUMIF($Y$10:$AA62,"外税8%",$U$10:$V62)*1.08)+INT(SUMIF($Y$10:$AA62,"外税10%",$U$10:$V62)*1.1)+SUMIF($Y$10:$AA62,"内税10%",$U$10:$V62)+SUMIF($Y$10:$AA62,"非課税",$U$10:$V62)</f>
        <v>19651</v>
      </c>
      <c r="X62" s="841"/>
      <c r="Y62" s="867" t="str" cm="1">
        <f t="array" ref="Y62">TRIM(SUBSTITUTE(SUBSTITUTE(INDEX(CY:CY,MATCH("      item_no: "&amp;A62&amp;",",CY:CY,0)+15,1),"item_tax_fmt: ",""),",",""))</f>
        <v>内税10%</v>
      </c>
      <c r="Z62" s="868"/>
      <c r="AA62" s="868"/>
      <c r="AB62" s="869" t="str" cm="1">
        <f t="array" ref="AB62">TRIM(SUBSTITUTE(SUBSTITUTE(INDEX(CY:CY,MATCH("      item_no: "&amp;A62&amp;",",CY:CY,0)+18,1),"discount_prohibition:",""),",",""))</f>
        <v>1</v>
      </c>
      <c r="AC62" s="869"/>
      <c r="AD62" s="870" t="str" cm="1">
        <f t="array" ref="AD62">TRIM(SUBSTITUTE(SUBSTITUTE(INDEX(CY:CY,MATCH("      item_no: "&amp;A62&amp;",",CY:CY,0)+1,1),"item_cancel_line: ",""),",",""))</f>
        <v>false</v>
      </c>
      <c r="AE62" s="870"/>
      <c r="AF62" s="1093"/>
      <c r="AG62" s="1094"/>
      <c r="AH62" s="871">
        <f t="shared" si="16"/>
        <v>0</v>
      </c>
      <c r="AI62" s="872"/>
      <c r="AJ62" s="873">
        <f t="shared" si="17"/>
        <v>0</v>
      </c>
      <c r="AK62" s="874"/>
      <c r="AL62" s="864">
        <f t="shared" si="2"/>
        <v>84</v>
      </c>
      <c r="AM62" s="865"/>
      <c r="AN62" s="830">
        <f t="shared" si="18"/>
        <v>0</v>
      </c>
      <c r="AO62" s="831"/>
      <c r="AP62" s="830">
        <f t="shared" si="12"/>
        <v>0</v>
      </c>
      <c r="AQ62" s="831"/>
      <c r="AR62" s="820"/>
      <c r="AS62" s="821"/>
      <c r="AT62" s="864">
        <f t="shared" si="15"/>
        <v>0</v>
      </c>
      <c r="AU62" s="865"/>
      <c r="AV62" s="861">
        <f t="shared" si="19"/>
        <v>400</v>
      </c>
      <c r="AW62" s="866"/>
      <c r="AX62" s="860" t="str">
        <f t="shared" si="20"/>
        <v/>
      </c>
      <c r="AY62" s="861"/>
      <c r="AZ62" s="860"/>
      <c r="BA62" s="861"/>
      <c r="BB62" s="860" t="str">
        <f t="shared" si="21"/>
        <v/>
      </c>
      <c r="BC62" s="861"/>
      <c r="BD62" s="860"/>
      <c r="BE62" s="861"/>
      <c r="BF62" s="860" t="str">
        <f t="shared" si="22"/>
        <v/>
      </c>
      <c r="BG62" s="861"/>
      <c r="BH62" s="860"/>
      <c r="BI62" s="861"/>
      <c r="BJ62" s="860">
        <f t="shared" si="23"/>
        <v>36</v>
      </c>
      <c r="BK62" s="861"/>
      <c r="BL62" s="860"/>
      <c r="BM62" s="861"/>
      <c r="BN62" s="862">
        <f t="shared" si="24"/>
        <v>400</v>
      </c>
      <c r="BO62" s="863"/>
      <c r="BP62" s="74" t="s">
        <v>227</v>
      </c>
      <c r="BQ62" s="801" t="str">
        <f t="shared" si="25"/>
        <v>※内税10%</v>
      </c>
      <c r="BR62" s="801"/>
      <c r="BS62" s="802"/>
      <c r="BT62" s="1072"/>
      <c r="BU62" s="1073"/>
      <c r="BV62" s="1076"/>
      <c r="BW62" s="1078"/>
      <c r="CY62" s="62" t="s">
        <v>233</v>
      </c>
      <c r="DD62" s="62" t="s">
        <v>234</v>
      </c>
      <c r="DE62" s="33" t="s">
        <v>30</v>
      </c>
      <c r="DF62" s="62" t="s">
        <v>235</v>
      </c>
    </row>
    <row r="63" spans="1:110" ht="15" customHeight="1">
      <c r="A63" s="46">
        <f t="shared" si="11"/>
        <v>67</v>
      </c>
      <c r="B63" s="875" t="s">
        <v>236</v>
      </c>
      <c r="C63" s="875"/>
      <c r="D63" s="875"/>
      <c r="E63" s="875"/>
      <c r="F63" s="875" t="str" cm="1">
        <f t="array" ref="F63">TRIM(SUBSTITUTE(SUBSTITUTE(INDEX(CY:CY,MATCH("      item_no: "&amp;A63&amp;",",CY:CY,0)+9,1),"item_name: ",""),",",""))</f>
        <v>ハガキ　８５円</v>
      </c>
      <c r="G63" s="875"/>
      <c r="H63" s="875"/>
      <c r="I63" s="875"/>
      <c r="J63" s="875"/>
      <c r="K63" s="875"/>
      <c r="L63" s="881" t="str" cm="1">
        <f t="array" ref="L63">TRIM(SUBSTITUTE(SUBSTITUTE(INDEX(CY:CY,MATCH("      item_no: "&amp;A63&amp;",",CY:CY,0)+3,1),"item_scan_code: ",""),",",""))</f>
        <v>05341801</v>
      </c>
      <c r="M63" s="881"/>
      <c r="N63" s="881"/>
      <c r="O63" s="881"/>
      <c r="P63" s="881"/>
      <c r="Q63" s="890" cm="1">
        <f t="array" ref="Q63">IF(AD63="true","",TRIM(SUBSTITUTE(SUBSTITUTE(INDEX(CY:CY,MATCH("      item_no: "&amp;A63&amp;",",CY:CY,0)+13,1),"item_price_fmt: ￥",""),",",""))+0)</f>
        <v>85</v>
      </c>
      <c r="R63" s="891"/>
      <c r="S63" s="879">
        <f t="shared" si="14"/>
        <v>0</v>
      </c>
      <c r="T63" s="880"/>
      <c r="U63" s="891" cm="1">
        <f t="array" ref="U63">IF(AD63="true","",TRIM(SUBSTITUTE(SUBSTITUTE(INDEX(CY:CY,MATCH("      item_no: "&amp;A63&amp;",",CY:CY,0)+14,1),"item_price_discount_fmt: ￥",""),",",""))+0)</f>
        <v>85</v>
      </c>
      <c r="V63" s="892"/>
      <c r="W63" s="840">
        <f ca="1">INT(SUMIF($Y$10:$AA63,"外税8%",$U$10:$V63)*1.08)+INT(SUMIF($Y$10:$AA63,"外税10%",$U$10:$V63)*1.1)+SUMIF($Y$10:$AA63,"内税10%",$U$10:$V63)+SUMIF($Y$10:$AA63,"非課税",$U$10:$V63)</f>
        <v>19736</v>
      </c>
      <c r="X63" s="841"/>
      <c r="Y63" s="867" t="str" cm="1">
        <f t="array" ref="Y63">TRIM(SUBSTITUTE(SUBSTITUTE(INDEX(CY:CY,MATCH("      item_no: "&amp;A63&amp;",",CY:CY,0)+15,1),"item_tax_fmt: ",""),",",""))</f>
        <v>非課税</v>
      </c>
      <c r="Z63" s="868"/>
      <c r="AA63" s="868"/>
      <c r="AB63" s="869" t="str" cm="1">
        <f t="array" ref="AB63">TRIM(SUBSTITUTE(SUBSTITUTE(INDEX(CY:CY,MATCH("      item_no: "&amp;A63&amp;",",CY:CY,0)+18,1),"discount_prohibition:",""),",",""))</f>
        <v>1</v>
      </c>
      <c r="AC63" s="869"/>
      <c r="AD63" s="870" t="str" cm="1">
        <f t="array" ref="AD63">TRIM(SUBSTITUTE(SUBSTITUTE(INDEX(CY:CY,MATCH("      item_no: "&amp;A63&amp;",",CY:CY,0)+1,1),"item_cancel_line: ",""),",",""))</f>
        <v>false</v>
      </c>
      <c r="AE63" s="870"/>
      <c r="AF63" s="1093"/>
      <c r="AG63" s="1094"/>
      <c r="AH63" s="871">
        <f t="shared" si="16"/>
        <v>0</v>
      </c>
      <c r="AI63" s="872"/>
      <c r="AJ63" s="873">
        <f t="shared" si="17"/>
        <v>0</v>
      </c>
      <c r="AK63" s="874"/>
      <c r="AL63" s="864">
        <f t="shared" si="2"/>
        <v>84</v>
      </c>
      <c r="AM63" s="865"/>
      <c r="AN63" s="830">
        <f t="shared" si="18"/>
        <v>0</v>
      </c>
      <c r="AO63" s="831"/>
      <c r="AP63" s="830">
        <f t="shared" si="12"/>
        <v>0</v>
      </c>
      <c r="AQ63" s="831"/>
      <c r="AR63" s="820"/>
      <c r="AS63" s="821"/>
      <c r="AT63" s="864">
        <f t="shared" si="15"/>
        <v>0</v>
      </c>
      <c r="AU63" s="865"/>
      <c r="AV63" s="861">
        <f t="shared" si="19"/>
        <v>85</v>
      </c>
      <c r="AW63" s="866"/>
      <c r="AX63" s="860" t="str">
        <f t="shared" si="20"/>
        <v/>
      </c>
      <c r="AY63" s="861"/>
      <c r="AZ63" s="860"/>
      <c r="BA63" s="861"/>
      <c r="BB63" s="860" t="str">
        <f t="shared" si="21"/>
        <v/>
      </c>
      <c r="BC63" s="861"/>
      <c r="BD63" s="860"/>
      <c r="BE63" s="861"/>
      <c r="BF63" s="860" t="str">
        <f t="shared" si="22"/>
        <v/>
      </c>
      <c r="BG63" s="861"/>
      <c r="BH63" s="860"/>
      <c r="BI63" s="861"/>
      <c r="BJ63" s="860" t="str">
        <f t="shared" si="23"/>
        <v/>
      </c>
      <c r="BK63" s="861"/>
      <c r="BL63" s="860"/>
      <c r="BM63" s="861"/>
      <c r="BN63" s="862">
        <f t="shared" si="24"/>
        <v>85</v>
      </c>
      <c r="BO63" s="863"/>
      <c r="BP63" s="74" t="s">
        <v>227</v>
      </c>
      <c r="BQ63" s="801" t="str">
        <f t="shared" si="25"/>
        <v>※非課税</v>
      </c>
      <c r="BR63" s="801"/>
      <c r="BS63" s="802"/>
      <c r="BT63" s="1072"/>
      <c r="BU63" s="1073"/>
      <c r="BV63" s="1076"/>
      <c r="BW63" s="1078"/>
      <c r="CY63" s="62" t="s">
        <v>237</v>
      </c>
      <c r="DD63" s="62" t="s">
        <v>238</v>
      </c>
      <c r="DE63" s="33" t="s">
        <v>30</v>
      </c>
      <c r="DF63" s="62" t="s">
        <v>239</v>
      </c>
    </row>
    <row r="64" spans="1:110" ht="15" customHeight="1">
      <c r="A64" s="46">
        <f t="shared" si="11"/>
        <v>66</v>
      </c>
      <c r="B64" s="875" t="s">
        <v>240</v>
      </c>
      <c r="C64" s="875"/>
      <c r="D64" s="875"/>
      <c r="E64" s="875"/>
      <c r="F64" s="875" t="str" cm="1">
        <f t="array" ref="F64">TRIM(SUBSTITUTE(SUBSTITUTE(INDEX(CY:CY,MATCH("      item_no: "&amp;A64&amp;",",CY:CY,0)+9,1),"item_name: ",""),",",""))</f>
        <v>いなげや商品券　１０００円</v>
      </c>
      <c r="G64" s="875"/>
      <c r="H64" s="875"/>
      <c r="I64" s="875"/>
      <c r="J64" s="875"/>
      <c r="K64" s="875"/>
      <c r="L64" s="881" t="str" cm="1">
        <f t="array" ref="L64">TRIM(SUBSTITUTE(SUBSTITUTE(INDEX(CY:CY,MATCH("      item_no: "&amp;A64&amp;",",CY:CY,0)+3,1),"item_scan_code: ",""),",",""))</f>
        <v>03801000</v>
      </c>
      <c r="M64" s="881"/>
      <c r="N64" s="881"/>
      <c r="O64" s="881"/>
      <c r="P64" s="881"/>
      <c r="Q64" s="890" cm="1">
        <f t="array" ref="Q64">IF(AD64="true","",TRIM(SUBSTITUTE(SUBSTITUTE(INDEX(CY:CY,MATCH("      item_no: "&amp;A64&amp;",",CY:CY,0)+13,1),"item_price_fmt: ￥",""),",",""))+0)</f>
        <v>1000</v>
      </c>
      <c r="R64" s="891"/>
      <c r="S64" s="879">
        <f t="shared" si="14"/>
        <v>0</v>
      </c>
      <c r="T64" s="880"/>
      <c r="U64" s="891" cm="1">
        <f t="array" ref="U64">IF(AD64="true","",TRIM(SUBSTITUTE(SUBSTITUTE(INDEX(CY:CY,MATCH("      item_no: "&amp;A64&amp;",",CY:CY,0)+14,1),"item_price_discount_fmt: ￥",""),",",""))+0)</f>
        <v>1000</v>
      </c>
      <c r="V64" s="892"/>
      <c r="W64" s="840">
        <f ca="1">INT(SUMIF($Y$10:$AA64,"外税8%",$U$10:$V64)*1.08)+INT(SUMIF($Y$10:$AA64,"外税10%",$U$10:$V64)*1.1)+SUMIF($Y$10:$AA64,"内税10%",$U$10:$V64)+SUMIF($Y$10:$AA64,"非課税",$U$10:$V64)</f>
        <v>20736</v>
      </c>
      <c r="X64" s="841"/>
      <c r="Y64" s="867" t="str" cm="1">
        <f t="array" ref="Y64">TRIM(SUBSTITUTE(SUBSTITUTE(INDEX(CY:CY,MATCH("      item_no: "&amp;A64&amp;",",CY:CY,0)+15,1),"item_tax_fmt: ",""),",",""))</f>
        <v>非課税</v>
      </c>
      <c r="Z64" s="868"/>
      <c r="AA64" s="868"/>
      <c r="AB64" s="869" t="str" cm="1">
        <f t="array" ref="AB64">TRIM(SUBSTITUTE(SUBSTITUTE(INDEX(CY:CY,MATCH("      item_no: "&amp;A64&amp;",",CY:CY,0)+18,1),"discount_prohibition:",""),",",""))</f>
        <v>1</v>
      </c>
      <c r="AC64" s="869"/>
      <c r="AD64" s="870" t="str" cm="1">
        <f t="array" ref="AD64">TRIM(SUBSTITUTE(SUBSTITUTE(INDEX(CY:CY,MATCH("      item_no: "&amp;A64&amp;",",CY:CY,0)+1,1),"item_cancel_line: ",""),",",""))</f>
        <v>false</v>
      </c>
      <c r="AE64" s="870"/>
      <c r="AF64" s="1093"/>
      <c r="AG64" s="1094"/>
      <c r="AH64" s="871">
        <f t="shared" si="16"/>
        <v>0</v>
      </c>
      <c r="AI64" s="872"/>
      <c r="AJ64" s="873">
        <f t="shared" si="17"/>
        <v>0</v>
      </c>
      <c r="AK64" s="874"/>
      <c r="AL64" s="864">
        <f t="shared" si="2"/>
        <v>84</v>
      </c>
      <c r="AM64" s="865"/>
      <c r="AN64" s="830">
        <f t="shared" si="18"/>
        <v>0</v>
      </c>
      <c r="AO64" s="831"/>
      <c r="AP64" s="830">
        <f t="shared" si="12"/>
        <v>0</v>
      </c>
      <c r="AQ64" s="831"/>
      <c r="AR64" s="820"/>
      <c r="AS64" s="821"/>
      <c r="AT64" s="864">
        <f t="shared" si="15"/>
        <v>0</v>
      </c>
      <c r="AU64" s="865"/>
      <c r="AV64" s="861">
        <f t="shared" si="19"/>
        <v>1000</v>
      </c>
      <c r="AW64" s="866"/>
      <c r="AX64" s="860" t="str">
        <f t="shared" si="20"/>
        <v/>
      </c>
      <c r="AY64" s="861"/>
      <c r="AZ64" s="860"/>
      <c r="BA64" s="861"/>
      <c r="BB64" s="860" t="str">
        <f t="shared" si="21"/>
        <v/>
      </c>
      <c r="BC64" s="861"/>
      <c r="BD64" s="860"/>
      <c r="BE64" s="861"/>
      <c r="BF64" s="860" t="str">
        <f t="shared" si="22"/>
        <v/>
      </c>
      <c r="BG64" s="861"/>
      <c r="BH64" s="860"/>
      <c r="BI64" s="861"/>
      <c r="BJ64" s="860" t="str">
        <f t="shared" si="23"/>
        <v/>
      </c>
      <c r="BK64" s="861"/>
      <c r="BL64" s="860"/>
      <c r="BM64" s="861"/>
      <c r="BN64" s="862">
        <f t="shared" si="24"/>
        <v>1000</v>
      </c>
      <c r="BO64" s="863"/>
      <c r="BP64" s="74" t="s">
        <v>227</v>
      </c>
      <c r="BQ64" s="801" t="str">
        <f t="shared" si="25"/>
        <v>※非課税</v>
      </c>
      <c r="BR64" s="801"/>
      <c r="BS64" s="802"/>
      <c r="BT64" s="1072"/>
      <c r="BU64" s="1073"/>
      <c r="BV64" s="1076"/>
      <c r="BW64" s="1078"/>
      <c r="CY64" s="62" t="s">
        <v>163</v>
      </c>
      <c r="DD64" s="62" t="s">
        <v>241</v>
      </c>
      <c r="DE64" s="33" t="s">
        <v>30</v>
      </c>
      <c r="DF64" s="62" t="s">
        <v>242</v>
      </c>
    </row>
    <row r="65" spans="1:110" ht="15" customHeight="1">
      <c r="A65" s="46">
        <f t="shared" si="11"/>
        <v>65</v>
      </c>
      <c r="B65" s="875" t="s">
        <v>236</v>
      </c>
      <c r="C65" s="875"/>
      <c r="D65" s="875"/>
      <c r="E65" s="875"/>
      <c r="F65" s="875" t="str" cm="1">
        <f t="array" ref="F65">TRIM(SUBSTITUTE(SUBSTITUTE(INDEX(CY:CY,MATCH("      item_no: "&amp;A65&amp;",",CY:CY,0)+9,1),"item_name: ",""),",",""))</f>
        <v>ビール共通ギフト券３５０×２缶券　Ｋ１１</v>
      </c>
      <c r="G65" s="875"/>
      <c r="H65" s="875"/>
      <c r="I65" s="875"/>
      <c r="J65" s="875"/>
      <c r="K65" s="875"/>
      <c r="L65" s="881" t="str" cm="1">
        <f t="array" ref="L65">TRIM(SUBSTITUTE(SUBSTITUTE(INDEX(CY:CY,MATCH("      item_no: "&amp;A65&amp;",",CY:CY,0)+3,1),"item_scan_code: ",""),",",""))</f>
        <v>4959092600109</v>
      </c>
      <c r="M65" s="881"/>
      <c r="N65" s="881"/>
      <c r="O65" s="881"/>
      <c r="P65" s="881"/>
      <c r="Q65" s="890" cm="1">
        <f t="array" ref="Q65">IF(AD65="true","",TRIM(SUBSTITUTE(SUBSTITUTE(INDEX(CY:CY,MATCH("      item_no: "&amp;A65&amp;",",CY:CY,0)+13,1),"item_price_fmt: ￥",""),",",""))+0)</f>
        <v>560</v>
      </c>
      <c r="R65" s="891"/>
      <c r="S65" s="879">
        <f t="shared" si="14"/>
        <v>0</v>
      </c>
      <c r="T65" s="880"/>
      <c r="U65" s="891" cm="1">
        <f t="array" ref="U65">IF(AD65="true","",TRIM(SUBSTITUTE(SUBSTITUTE(INDEX(CY:CY,MATCH("      item_no: "&amp;A65&amp;",",CY:CY,0)+14,1),"item_price_discount_fmt: ￥",""),",",""))+0)</f>
        <v>560</v>
      </c>
      <c r="V65" s="892"/>
      <c r="W65" s="840">
        <f ca="1">INT(SUMIF($Y$10:$AA65,"外税8%",$U$10:$V65)*1.08)+INT(SUMIF($Y$10:$AA65,"外税10%",$U$10:$V65)*1.1)+SUMIF($Y$10:$AA65,"内税10%",$U$10:$V65)+SUMIF($Y$10:$AA65,"非課税",$U$10:$V65)</f>
        <v>21296</v>
      </c>
      <c r="X65" s="841"/>
      <c r="Y65" s="867" t="str" cm="1">
        <f t="array" ref="Y65">TRIM(SUBSTITUTE(SUBSTITUTE(INDEX(CY:CY,MATCH("      item_no: "&amp;A65&amp;",",CY:CY,0)+15,1),"item_tax_fmt: ",""),",",""))</f>
        <v>非課税</v>
      </c>
      <c r="Z65" s="868"/>
      <c r="AA65" s="868"/>
      <c r="AB65" s="869" t="str" cm="1">
        <f t="array" ref="AB65">TRIM(SUBSTITUTE(SUBSTITUTE(INDEX(CY:CY,MATCH("      item_no: "&amp;A65&amp;",",CY:CY,0)+18,1),"discount_prohibition:",""),",",""))</f>
        <v>1</v>
      </c>
      <c r="AC65" s="869"/>
      <c r="AD65" s="870" t="str" cm="1">
        <f t="array" ref="AD65">TRIM(SUBSTITUTE(SUBSTITUTE(INDEX(CY:CY,MATCH("      item_no: "&amp;A65&amp;",",CY:CY,0)+1,1),"item_cancel_line: ",""),",",""))</f>
        <v>false</v>
      </c>
      <c r="AE65" s="870"/>
      <c r="AF65" s="1093"/>
      <c r="AG65" s="1094"/>
      <c r="AH65" s="871">
        <f t="shared" si="16"/>
        <v>0</v>
      </c>
      <c r="AI65" s="872"/>
      <c r="AJ65" s="873">
        <f t="shared" si="17"/>
        <v>0</v>
      </c>
      <c r="AK65" s="874"/>
      <c r="AL65" s="864">
        <f t="shared" si="2"/>
        <v>84</v>
      </c>
      <c r="AM65" s="865"/>
      <c r="AN65" s="830">
        <f t="shared" si="18"/>
        <v>0</v>
      </c>
      <c r="AO65" s="831"/>
      <c r="AP65" s="830">
        <f t="shared" si="12"/>
        <v>0</v>
      </c>
      <c r="AQ65" s="831"/>
      <c r="AR65" s="820"/>
      <c r="AS65" s="821"/>
      <c r="AT65" s="864">
        <f t="shared" si="15"/>
        <v>0</v>
      </c>
      <c r="AU65" s="865"/>
      <c r="AV65" s="861">
        <f t="shared" si="19"/>
        <v>560</v>
      </c>
      <c r="AW65" s="866"/>
      <c r="AX65" s="860" t="str">
        <f t="shared" si="20"/>
        <v/>
      </c>
      <c r="AY65" s="861"/>
      <c r="AZ65" s="860"/>
      <c r="BA65" s="861"/>
      <c r="BB65" s="860" t="str">
        <f t="shared" si="21"/>
        <v/>
      </c>
      <c r="BC65" s="861"/>
      <c r="BD65" s="860"/>
      <c r="BE65" s="861"/>
      <c r="BF65" s="860" t="str">
        <f t="shared" si="22"/>
        <v/>
      </c>
      <c r="BG65" s="861"/>
      <c r="BH65" s="860"/>
      <c r="BI65" s="861"/>
      <c r="BJ65" s="860" t="str">
        <f t="shared" si="23"/>
        <v/>
      </c>
      <c r="BK65" s="861"/>
      <c r="BL65" s="860"/>
      <c r="BM65" s="861"/>
      <c r="BN65" s="862">
        <f t="shared" si="24"/>
        <v>560</v>
      </c>
      <c r="BO65" s="863"/>
      <c r="BP65" s="74" t="s">
        <v>227</v>
      </c>
      <c r="BQ65" s="801" t="str">
        <f t="shared" si="25"/>
        <v>※非課税</v>
      </c>
      <c r="BR65" s="801"/>
      <c r="BS65" s="802"/>
      <c r="BT65" s="1072"/>
      <c r="BU65" s="1073"/>
      <c r="BV65" s="1076"/>
      <c r="BW65" s="1078"/>
      <c r="CY65" s="62" t="s">
        <v>135</v>
      </c>
      <c r="DD65" s="62" t="s">
        <v>243</v>
      </c>
      <c r="DE65" s="33" t="s">
        <v>30</v>
      </c>
      <c r="DF65" s="62" t="s">
        <v>244</v>
      </c>
    </row>
    <row r="66" spans="1:110" ht="15" customHeight="1">
      <c r="A66" s="46">
        <f t="shared" si="11"/>
        <v>64</v>
      </c>
      <c r="B66" s="875" t="s">
        <v>236</v>
      </c>
      <c r="C66" s="875"/>
      <c r="D66" s="875"/>
      <c r="E66" s="875"/>
      <c r="F66" s="875" t="str" cm="1">
        <f t="array" ref="F66">TRIM(SUBSTITUTE(SUBSTITUTE(INDEX(CY:CY,MATCH("      item_no: "&amp;A66&amp;",",CY:CY,0)+9,1),"item_name: ",""),",",""))</f>
        <v>ビール共通ギフト券　大瓶２本券　Ａー２５</v>
      </c>
      <c r="G66" s="875"/>
      <c r="H66" s="875"/>
      <c r="I66" s="875"/>
      <c r="J66" s="875"/>
      <c r="K66" s="875"/>
      <c r="L66" s="881" t="str" cm="1">
        <f t="array" ref="L66">TRIM(SUBSTITUTE(SUBSTITUTE(INDEX(CY:CY,MATCH("      item_no: "&amp;A66&amp;",",CY:CY,0)+3,1),"item_scan_code: ",""),",",""))</f>
        <v>4959092100159</v>
      </c>
      <c r="M66" s="881"/>
      <c r="N66" s="881"/>
      <c r="O66" s="881"/>
      <c r="P66" s="881"/>
      <c r="Q66" s="890" cm="1">
        <f t="array" ref="Q66">IF(AD66="true","",TRIM(SUBSTITUTE(SUBSTITUTE(INDEX(CY:CY,MATCH("      item_no: "&amp;A66&amp;",",CY:CY,0)+13,1),"item_price_fmt: ￥",""),",",""))+0)</f>
        <v>915</v>
      </c>
      <c r="R66" s="891"/>
      <c r="S66" s="879">
        <f t="shared" si="14"/>
        <v>0</v>
      </c>
      <c r="T66" s="880"/>
      <c r="U66" s="891" cm="1">
        <f t="array" ref="U66">IF(AD66="true","",TRIM(SUBSTITUTE(SUBSTITUTE(INDEX(CY:CY,MATCH("      item_no: "&amp;A66&amp;",",CY:CY,0)+14,1),"item_price_discount_fmt: ￥",""),",",""))+0)</f>
        <v>915</v>
      </c>
      <c r="V66" s="892"/>
      <c r="W66" s="840">
        <f ca="1">INT(SUMIF($Y$10:$AA66,"外税8%",$U$10:$V66)*1.08)+INT(SUMIF($Y$10:$AA66,"外税10%",$U$10:$V66)*1.1)+SUMIF($Y$10:$AA66,"内税10%",$U$10:$V66)+SUMIF($Y$10:$AA66,"非課税",$U$10:$V66)</f>
        <v>22211</v>
      </c>
      <c r="X66" s="841"/>
      <c r="Y66" s="867" t="str" cm="1">
        <f t="array" ref="Y66">TRIM(SUBSTITUTE(SUBSTITUTE(INDEX(CY:CY,MATCH("      item_no: "&amp;A66&amp;",",CY:CY,0)+15,1),"item_tax_fmt: ",""),",",""))</f>
        <v>非課税</v>
      </c>
      <c r="Z66" s="868"/>
      <c r="AA66" s="868"/>
      <c r="AB66" s="869" t="str" cm="1">
        <f t="array" ref="AB66">TRIM(SUBSTITUTE(SUBSTITUTE(INDEX(CY:CY,MATCH("      item_no: "&amp;A66&amp;",",CY:CY,0)+18,1),"discount_prohibition:",""),",",""))</f>
        <v>1</v>
      </c>
      <c r="AC66" s="869"/>
      <c r="AD66" s="870" t="str" cm="1">
        <f t="array" ref="AD66">TRIM(SUBSTITUTE(SUBSTITUTE(INDEX(CY:CY,MATCH("      item_no: "&amp;A66&amp;",",CY:CY,0)+1,1),"item_cancel_line: ",""),",",""))</f>
        <v>false</v>
      </c>
      <c r="AE66" s="870"/>
      <c r="AF66" s="1093"/>
      <c r="AG66" s="1094"/>
      <c r="AH66" s="871">
        <f t="shared" si="16"/>
        <v>0</v>
      </c>
      <c r="AI66" s="872"/>
      <c r="AJ66" s="873">
        <f t="shared" si="17"/>
        <v>0</v>
      </c>
      <c r="AK66" s="874"/>
      <c r="AL66" s="864">
        <f t="shared" si="2"/>
        <v>84</v>
      </c>
      <c r="AM66" s="865"/>
      <c r="AN66" s="830">
        <f t="shared" si="18"/>
        <v>0</v>
      </c>
      <c r="AO66" s="831"/>
      <c r="AP66" s="830">
        <f t="shared" si="12"/>
        <v>0</v>
      </c>
      <c r="AQ66" s="831"/>
      <c r="AR66" s="820"/>
      <c r="AS66" s="821"/>
      <c r="AT66" s="864">
        <f t="shared" si="15"/>
        <v>0</v>
      </c>
      <c r="AU66" s="865"/>
      <c r="AV66" s="861">
        <f t="shared" si="19"/>
        <v>915</v>
      </c>
      <c r="AW66" s="866"/>
      <c r="AX66" s="860" t="str">
        <f t="shared" si="20"/>
        <v/>
      </c>
      <c r="AY66" s="861"/>
      <c r="AZ66" s="860"/>
      <c r="BA66" s="861"/>
      <c r="BB66" s="860" t="str">
        <f t="shared" si="21"/>
        <v/>
      </c>
      <c r="BC66" s="861"/>
      <c r="BD66" s="860"/>
      <c r="BE66" s="861"/>
      <c r="BF66" s="860" t="str">
        <f t="shared" si="22"/>
        <v/>
      </c>
      <c r="BG66" s="861"/>
      <c r="BH66" s="860"/>
      <c r="BI66" s="861"/>
      <c r="BJ66" s="860" t="str">
        <f t="shared" si="23"/>
        <v/>
      </c>
      <c r="BK66" s="861"/>
      <c r="BL66" s="860"/>
      <c r="BM66" s="861"/>
      <c r="BN66" s="862">
        <f t="shared" si="24"/>
        <v>915</v>
      </c>
      <c r="BO66" s="863"/>
      <c r="BP66" s="74" t="s">
        <v>227</v>
      </c>
      <c r="BQ66" s="801" t="str">
        <f t="shared" si="25"/>
        <v>※非課税</v>
      </c>
      <c r="BR66" s="801"/>
      <c r="BS66" s="802"/>
      <c r="BT66" s="1072"/>
      <c r="BU66" s="1073"/>
      <c r="BV66" s="1076"/>
      <c r="BW66" s="1078"/>
      <c r="CY66" s="62" t="s">
        <v>245</v>
      </c>
      <c r="DD66" s="62" t="s">
        <v>246</v>
      </c>
      <c r="DE66" s="33" t="s">
        <v>30</v>
      </c>
      <c r="DF66" s="62" t="s">
        <v>247</v>
      </c>
    </row>
    <row r="67" spans="1:110" ht="15" customHeight="1">
      <c r="A67" s="46">
        <f t="shared" si="11"/>
        <v>63</v>
      </c>
      <c r="B67" s="875" t="s">
        <v>236</v>
      </c>
      <c r="C67" s="875"/>
      <c r="D67" s="875"/>
      <c r="E67" s="875"/>
      <c r="F67" s="875" t="str" cm="1">
        <f t="array" ref="F67">TRIM(SUBSTITUTE(SUBSTITUTE(INDEX(CY:CY,MATCH("      item_no: "&amp;A67&amp;",",CY:CY,0)+9,1),"item_name: ",""),",",""))</f>
        <v>全農連　おこめギフト券　１Ｋｇ</v>
      </c>
      <c r="G67" s="875"/>
      <c r="H67" s="875"/>
      <c r="I67" s="875"/>
      <c r="J67" s="875"/>
      <c r="K67" s="875"/>
      <c r="L67" s="881" t="str" cm="1">
        <f t="array" ref="L67">TRIM(SUBSTITUTE(SUBSTITUTE(INDEX(CY:CY,MATCH("      item_no: "&amp;A67&amp;",",CY:CY,0)+3,1),"item_scan_code: ",""),",",""))</f>
        <v>4908010721006</v>
      </c>
      <c r="M67" s="881"/>
      <c r="N67" s="881"/>
      <c r="O67" s="881"/>
      <c r="P67" s="881"/>
      <c r="Q67" s="890" cm="1">
        <f t="array" ref="Q67">IF(AD67="true","",TRIM(SUBSTITUTE(SUBSTITUTE(INDEX(CY:CY,MATCH("      item_no: "&amp;A67&amp;",",CY:CY,0)+13,1),"item_price_fmt: ￥",""),",",""))+0)</f>
        <v>500</v>
      </c>
      <c r="R67" s="891"/>
      <c r="S67" s="879">
        <f t="shared" si="14"/>
        <v>0</v>
      </c>
      <c r="T67" s="880"/>
      <c r="U67" s="891" cm="1">
        <f t="array" ref="U67">IF(AD67="true","",TRIM(SUBSTITUTE(SUBSTITUTE(INDEX(CY:CY,MATCH("      item_no: "&amp;A67&amp;",",CY:CY,0)+14,1),"item_price_discount_fmt: ￥",""),",",""))+0)</f>
        <v>500</v>
      </c>
      <c r="V67" s="892"/>
      <c r="W67" s="840">
        <f ca="1">INT(SUMIF($Y$10:$AA67,"外税8%",$U$10:$V67)*1.08)+INT(SUMIF($Y$10:$AA67,"外税10%",$U$10:$V67)*1.1)+SUMIF($Y$10:$AA67,"内税10%",$U$10:$V67)+SUMIF($Y$10:$AA67,"非課税",$U$10:$V67)</f>
        <v>22711</v>
      </c>
      <c r="X67" s="841"/>
      <c r="Y67" s="867" t="str" cm="1">
        <f t="array" ref="Y67">TRIM(SUBSTITUTE(SUBSTITUTE(INDEX(CY:CY,MATCH("      item_no: "&amp;A67&amp;",",CY:CY,0)+15,1),"item_tax_fmt: ",""),",",""))</f>
        <v>非課税</v>
      </c>
      <c r="Z67" s="868"/>
      <c r="AA67" s="868"/>
      <c r="AB67" s="869" t="str" cm="1">
        <f t="array" ref="AB67">TRIM(SUBSTITUTE(SUBSTITUTE(INDEX(CY:CY,MATCH("      item_no: "&amp;A67&amp;",",CY:CY,0)+18,1),"discount_prohibition:",""),",",""))</f>
        <v>1</v>
      </c>
      <c r="AC67" s="869"/>
      <c r="AD67" s="870" t="str" cm="1">
        <f t="array" ref="AD67">TRIM(SUBSTITUTE(SUBSTITUTE(INDEX(CY:CY,MATCH("      item_no: "&amp;A67&amp;",",CY:CY,0)+1,1),"item_cancel_line: ",""),",",""))</f>
        <v>false</v>
      </c>
      <c r="AE67" s="870"/>
      <c r="AF67" s="1093"/>
      <c r="AG67" s="1094"/>
      <c r="AH67" s="871">
        <f t="shared" si="16"/>
        <v>0</v>
      </c>
      <c r="AI67" s="872"/>
      <c r="AJ67" s="873">
        <f t="shared" si="17"/>
        <v>0</v>
      </c>
      <c r="AK67" s="874"/>
      <c r="AL67" s="864">
        <f t="shared" si="2"/>
        <v>84</v>
      </c>
      <c r="AM67" s="865"/>
      <c r="AN67" s="830">
        <f t="shared" si="18"/>
        <v>0</v>
      </c>
      <c r="AO67" s="831"/>
      <c r="AP67" s="830">
        <f t="shared" si="12"/>
        <v>0</v>
      </c>
      <c r="AQ67" s="831"/>
      <c r="AR67" s="820"/>
      <c r="AS67" s="821"/>
      <c r="AT67" s="864">
        <f t="shared" si="15"/>
        <v>0</v>
      </c>
      <c r="AU67" s="865"/>
      <c r="AV67" s="861">
        <f t="shared" si="19"/>
        <v>500</v>
      </c>
      <c r="AW67" s="866"/>
      <c r="AX67" s="860" t="str">
        <f t="shared" si="20"/>
        <v/>
      </c>
      <c r="AY67" s="861"/>
      <c r="AZ67" s="860"/>
      <c r="BA67" s="861"/>
      <c r="BB67" s="860" t="str">
        <f t="shared" si="21"/>
        <v/>
      </c>
      <c r="BC67" s="861"/>
      <c r="BD67" s="860"/>
      <c r="BE67" s="861"/>
      <c r="BF67" s="860" t="str">
        <f t="shared" si="22"/>
        <v/>
      </c>
      <c r="BG67" s="861"/>
      <c r="BH67" s="860"/>
      <c r="BI67" s="861"/>
      <c r="BJ67" s="860" t="str">
        <f t="shared" si="23"/>
        <v/>
      </c>
      <c r="BK67" s="861"/>
      <c r="BL67" s="860"/>
      <c r="BM67" s="861"/>
      <c r="BN67" s="862">
        <f t="shared" si="24"/>
        <v>500</v>
      </c>
      <c r="BO67" s="863"/>
      <c r="BP67" s="74" t="s">
        <v>227</v>
      </c>
      <c r="BQ67" s="801" t="str">
        <f t="shared" si="25"/>
        <v>※非課税</v>
      </c>
      <c r="BR67" s="801"/>
      <c r="BS67" s="802"/>
      <c r="BT67" s="1072"/>
      <c r="BU67" s="1073"/>
      <c r="BV67" s="1076"/>
      <c r="BW67" s="1078"/>
      <c r="CY67" s="62" t="s">
        <v>248</v>
      </c>
      <c r="DD67" s="62" t="s">
        <v>249</v>
      </c>
      <c r="DE67" s="33" t="s">
        <v>30</v>
      </c>
      <c r="DF67" s="62" t="s">
        <v>250</v>
      </c>
    </row>
    <row r="68" spans="1:110" ht="15" customHeight="1">
      <c r="A68" s="46">
        <f t="shared" si="11"/>
        <v>62</v>
      </c>
      <c r="B68" s="832" t="s">
        <v>158</v>
      </c>
      <c r="C68" s="832"/>
      <c r="D68" s="832"/>
      <c r="E68" s="832"/>
      <c r="F68" s="832" t="str" cm="1">
        <f t="array" ref="F68">TRIM(SUBSTITUTE(SUBSTITUTE(INDEX(CY:CY,MATCH("      item_no: "&amp;A68&amp;",",CY:CY,0)+9,1),"item_name: ",""),",",""))</f>
        <v>富士通商　お徳用　ブロッコリー</v>
      </c>
      <c r="G68" s="832"/>
      <c r="H68" s="832"/>
      <c r="I68" s="832"/>
      <c r="J68" s="832"/>
      <c r="K68" s="832"/>
      <c r="L68" s="884" t="str" cm="1">
        <f t="array" ref="L68">TRIM(SUBSTITUTE(SUBSTITUTE(INDEX(CY:CY,MATCH("      item_no: "&amp;A68&amp;",",CY:CY,0)+3,1),"item_scan_code: ",""),",",""))</f>
        <v>4967777017173</v>
      </c>
      <c r="M68" s="884"/>
      <c r="N68" s="884"/>
      <c r="O68" s="884"/>
      <c r="P68" s="884"/>
      <c r="Q68" s="887" cm="1">
        <f t="array" ref="Q68">IF(AD68="true","",TRIM(SUBSTITUTE(SUBSTITUTE(INDEX(CY:CY,MATCH("      item_no: "&amp;A68&amp;",",CY:CY,0)+13,1),"item_price_fmt: ￥",""),",",""))+0)</f>
        <v>359</v>
      </c>
      <c r="R68" s="888"/>
      <c r="S68" s="836">
        <f t="shared" si="14"/>
        <v>0</v>
      </c>
      <c r="T68" s="837"/>
      <c r="U68" s="888" cm="1">
        <f t="array" ref="U68">IF(AD68="true","",TRIM(SUBSTITUTE(SUBSTITUTE(INDEX(CY:CY,MATCH("      item_no: "&amp;A68&amp;",",CY:CY,0)+14,1),"item_price_discount_fmt: ￥",""),",",""))+0)</f>
        <v>359</v>
      </c>
      <c r="V68" s="889"/>
      <c r="W68" s="840">
        <f ca="1">INT(SUMIF($Y$10:$AA68,"外税8%",$U$10:$V68)*1.08)+INT(SUMIF($Y$10:$AA68,"外税10%",$U$10:$V68)*1.1)+SUMIF($Y$10:$AA68,"内税10%",$U$10:$V68)+SUMIF($Y$10:$AA68,"非課税",$U$10:$V68)</f>
        <v>23099</v>
      </c>
      <c r="X68" s="841"/>
      <c r="Y68" s="842" t="str" cm="1">
        <f t="array" ref="Y68">TRIM(SUBSTITUTE(SUBSTITUTE(INDEX(CY:CY,MATCH("      item_no: "&amp;A68&amp;",",CY:CY,0)+15,1),"item_tax_fmt: ",""),",",""))</f>
        <v>外税8%</v>
      </c>
      <c r="Z68" s="843"/>
      <c r="AA68" s="843"/>
      <c r="AB68" s="844" t="str" cm="1">
        <f t="array" ref="AB68">TRIM(SUBSTITUTE(SUBSTITUTE(INDEX(CY:CY,MATCH("      item_no: "&amp;A68&amp;",",CY:CY,0)+18,1),"discount_prohibition:",""),",",""))</f>
        <v>0</v>
      </c>
      <c r="AC68" s="844"/>
      <c r="AD68" s="825" t="str" cm="1">
        <f t="array" ref="AD68">TRIM(SUBSTITUTE(SUBSTITUTE(INDEX(CY:CY,MATCH("      item_no: "&amp;A68&amp;",",CY:CY,0)+1,1),"item_cancel_line: ",""),",",""))</f>
        <v>false</v>
      </c>
      <c r="AE68" s="825"/>
      <c r="AF68" s="1093"/>
      <c r="AG68" s="1094"/>
      <c r="AH68" s="826">
        <f t="shared" si="16"/>
        <v>-17.95</v>
      </c>
      <c r="AI68" s="827"/>
      <c r="AJ68" s="828">
        <f t="shared" si="17"/>
        <v>359</v>
      </c>
      <c r="AK68" s="829"/>
      <c r="AL68" s="822">
        <f t="shared" si="2"/>
        <v>41</v>
      </c>
      <c r="AM68" s="823"/>
      <c r="AN68" s="830">
        <f t="shared" si="18"/>
        <v>-17</v>
      </c>
      <c r="AO68" s="831"/>
      <c r="AP68" s="830">
        <f t="shared" si="12"/>
        <v>-1</v>
      </c>
      <c r="AQ68" s="831"/>
      <c r="AR68" s="820"/>
      <c r="AS68" s="821"/>
      <c r="AT68" s="822">
        <f t="shared" si="15"/>
        <v>-18</v>
      </c>
      <c r="AU68" s="823"/>
      <c r="AV68" s="817">
        <f t="shared" si="19"/>
        <v>341</v>
      </c>
      <c r="AW68" s="824"/>
      <c r="AX68" s="816">
        <f t="shared" ca="1" si="20"/>
        <v>27</v>
      </c>
      <c r="AY68" s="817"/>
      <c r="AZ68" s="816"/>
      <c r="BA68" s="817"/>
      <c r="BB68" s="816" t="str">
        <f t="shared" si="21"/>
        <v/>
      </c>
      <c r="BC68" s="817"/>
      <c r="BD68" s="816"/>
      <c r="BE68" s="817"/>
      <c r="BF68" s="816" t="str">
        <f t="shared" si="22"/>
        <v/>
      </c>
      <c r="BG68" s="817"/>
      <c r="BH68" s="816"/>
      <c r="BI68" s="817"/>
      <c r="BJ68" s="816" t="str">
        <f t="shared" si="23"/>
        <v/>
      </c>
      <c r="BK68" s="817"/>
      <c r="BL68" s="816"/>
      <c r="BM68" s="817"/>
      <c r="BN68" s="818">
        <f t="shared" si="24"/>
        <v>368</v>
      </c>
      <c r="BO68" s="819"/>
      <c r="BP68" s="74" t="s">
        <v>80</v>
      </c>
      <c r="BQ68" s="801" t="str">
        <f t="shared" si="25"/>
        <v>外税8%</v>
      </c>
      <c r="BR68" s="801"/>
      <c r="BS68" s="802"/>
      <c r="BT68" s="1072"/>
      <c r="BU68" s="1073"/>
      <c r="BV68" s="1076"/>
      <c r="BW68" s="1078"/>
      <c r="CY68" s="62" t="s">
        <v>251</v>
      </c>
      <c r="DD68" s="62" t="s">
        <v>252</v>
      </c>
      <c r="DE68" s="33" t="s">
        <v>30</v>
      </c>
      <c r="DF68" s="62" t="s">
        <v>253</v>
      </c>
    </row>
    <row r="69" spans="1:110" ht="15" customHeight="1">
      <c r="A69" s="46">
        <f t="shared" si="11"/>
        <v>61</v>
      </c>
      <c r="B69" s="832" t="s">
        <v>134</v>
      </c>
      <c r="C69" s="832"/>
      <c r="D69" s="832"/>
      <c r="E69" s="832"/>
      <c r="F69" s="832" t="str" cm="1">
        <f t="array" ref="F69">TRIM(SUBSTITUTE(SUBSTITUTE(INDEX(CY:CY,MATCH("      item_no: "&amp;A69&amp;",",CY:CY,0)+9,1),"item_name: ",""),",",""))</f>
        <v>レジ袋</v>
      </c>
      <c r="G69" s="832"/>
      <c r="H69" s="832"/>
      <c r="I69" s="832"/>
      <c r="J69" s="832"/>
      <c r="K69" s="832"/>
      <c r="L69" s="884" t="str" cm="1">
        <f t="array" ref="L69">TRIM(SUBSTITUTE(SUBSTITUTE(INDEX(CY:CY,MATCH("      item_no: "&amp;A69&amp;",",CY:CY,0)+3,1),"item_scan_code: ",""),",",""))</f>
        <v>4901683053108</v>
      </c>
      <c r="M69" s="884"/>
      <c r="N69" s="884"/>
      <c r="O69" s="884"/>
      <c r="P69" s="884"/>
      <c r="Q69" s="887" cm="1">
        <f t="array" ref="Q69">IF(AD69="true","",TRIM(SUBSTITUTE(SUBSTITUTE(INDEX(CY:CY,MATCH("      item_no: "&amp;A69&amp;",",CY:CY,0)+13,1),"item_price_fmt: ￥",""),",",""))+0)</f>
        <v>5</v>
      </c>
      <c r="R69" s="888"/>
      <c r="S69" s="836">
        <f t="shared" si="14"/>
        <v>0</v>
      </c>
      <c r="T69" s="837"/>
      <c r="U69" s="888" cm="1">
        <f t="array" ref="U69">IF(AD69="true","",TRIM(SUBSTITUTE(SUBSTITUTE(INDEX(CY:CY,MATCH("      item_no: "&amp;A69&amp;",",CY:CY,0)+14,1),"item_price_discount_fmt: ￥",""),",",""))+0)</f>
        <v>5</v>
      </c>
      <c r="V69" s="889"/>
      <c r="W69" s="885">
        <f ca="1">INT(SUMIF($Y$10:$AA69,"外税8%",$U$10:$V69)*1.08)+INT(SUMIF($Y$10:$AA69,"外税10%",$U$10:$V69)*1.1)+SUMIF($Y$10:$AA69,"内税10%",$U$10:$V69)+SUMIF($Y$10:$AA69,"非課税",$U$10:$V69)</f>
        <v>23104</v>
      </c>
      <c r="X69" s="886"/>
      <c r="Y69" s="842" t="str" cm="1">
        <f t="array" ref="Y69">TRIM(SUBSTITUTE(SUBSTITUTE(INDEX(CY:CY,MATCH("      item_no: "&amp;A69&amp;",",CY:CY,0)+15,1),"item_tax_fmt: ",""),",",""))</f>
        <v>外税10%</v>
      </c>
      <c r="Z69" s="843"/>
      <c r="AA69" s="843"/>
      <c r="AB69" s="844" t="str" cm="1">
        <f t="array" ref="AB69">TRIM(SUBSTITUTE(SUBSTITUTE(INDEX(CY:CY,MATCH("      item_no: "&amp;A69&amp;",",CY:CY,0)+18,1),"discount_prohibition:",""),",",""))</f>
        <v>0</v>
      </c>
      <c r="AC69" s="844"/>
      <c r="AD69" s="825" t="str" cm="1">
        <f t="array" ref="AD69">TRIM(SUBSTITUTE(SUBSTITUTE(INDEX(CY:CY,MATCH("      item_no: "&amp;A69&amp;",",CY:CY,0)+1,1),"item_cancel_line: ",""),",",""))</f>
        <v>false</v>
      </c>
      <c r="AE69" s="825"/>
      <c r="AF69" s="1093"/>
      <c r="AG69" s="1094"/>
      <c r="AH69" s="826">
        <f t="shared" si="16"/>
        <v>-0.25</v>
      </c>
      <c r="AI69" s="827"/>
      <c r="AJ69" s="838">
        <f t="shared" si="17"/>
        <v>5</v>
      </c>
      <c r="AK69" s="839"/>
      <c r="AL69" s="822">
        <f t="shared" si="2"/>
        <v>83</v>
      </c>
      <c r="AM69" s="823"/>
      <c r="AN69" s="830">
        <f t="shared" si="18"/>
        <v>0</v>
      </c>
      <c r="AO69" s="831"/>
      <c r="AP69" s="830">
        <f t="shared" si="12"/>
        <v>0</v>
      </c>
      <c r="AQ69" s="831"/>
      <c r="AR69" s="820"/>
      <c r="AS69" s="821"/>
      <c r="AT69" s="822">
        <f t="shared" si="15"/>
        <v>0</v>
      </c>
      <c r="AU69" s="823"/>
      <c r="AV69" s="817">
        <f t="shared" si="19"/>
        <v>5</v>
      </c>
      <c r="AW69" s="824"/>
      <c r="AX69" s="816" t="str">
        <f t="shared" si="20"/>
        <v/>
      </c>
      <c r="AY69" s="817"/>
      <c r="AZ69" s="816"/>
      <c r="BA69" s="817"/>
      <c r="BB69" s="816">
        <f t="shared" ca="1" si="21"/>
        <v>0</v>
      </c>
      <c r="BC69" s="817"/>
      <c r="BD69" s="816"/>
      <c r="BE69" s="817"/>
      <c r="BF69" s="816" t="str">
        <f t="shared" si="22"/>
        <v/>
      </c>
      <c r="BG69" s="817"/>
      <c r="BH69" s="816"/>
      <c r="BI69" s="817"/>
      <c r="BJ69" s="816" t="str">
        <f t="shared" si="23"/>
        <v/>
      </c>
      <c r="BK69" s="817"/>
      <c r="BL69" s="816"/>
      <c r="BM69" s="817"/>
      <c r="BN69" s="818">
        <f t="shared" si="24"/>
        <v>5</v>
      </c>
      <c r="BO69" s="819"/>
      <c r="BP69" s="74" t="s">
        <v>80</v>
      </c>
      <c r="BQ69" s="801" t="str">
        <f t="shared" si="25"/>
        <v>外税10%</v>
      </c>
      <c r="BR69" s="801"/>
      <c r="BS69" s="802"/>
      <c r="BT69" s="1072"/>
      <c r="BU69" s="1073"/>
      <c r="BV69" s="1076"/>
      <c r="BW69" s="1078"/>
      <c r="CY69" s="62" t="s">
        <v>151</v>
      </c>
      <c r="DD69" s="62" t="s">
        <v>254</v>
      </c>
      <c r="DE69" s="33" t="s">
        <v>30</v>
      </c>
      <c r="DF69" s="62" t="s">
        <v>255</v>
      </c>
    </row>
    <row r="70" spans="1:110" ht="15" customHeight="1">
      <c r="A70" s="46">
        <f t="shared" si="11"/>
        <v>60</v>
      </c>
      <c r="B70" s="832" t="s">
        <v>142</v>
      </c>
      <c r="C70" s="832"/>
      <c r="D70" s="832"/>
      <c r="E70" s="832"/>
      <c r="F70" s="832" t="str" cm="1">
        <f t="array" ref="F70">TRIM(SUBSTITUTE(SUBSTITUTE(INDEX(CY:CY,MATCH("      item_no: "&amp;A70&amp;",",CY:CY,0)+9,1),"item_name: ",""),",",""))</f>
        <v>パナソニック　エボルタネオ単３　８本入</v>
      </c>
      <c r="G70" s="832"/>
      <c r="H70" s="832"/>
      <c r="I70" s="832"/>
      <c r="J70" s="832"/>
      <c r="K70" s="832"/>
      <c r="L70" s="884" t="str" cm="1">
        <f t="array" ref="L70">TRIM(SUBSTITUTE(SUBSTITUTE(INDEX(CY:CY,MATCH("      item_no: "&amp;A70&amp;",",CY:CY,0)+3,1),"item_scan_code: ",""),",",""))</f>
        <v>4549077899057</v>
      </c>
      <c r="M70" s="884"/>
      <c r="N70" s="884"/>
      <c r="O70" s="884"/>
      <c r="P70" s="884"/>
      <c r="Q70" s="887" cm="1">
        <f t="array" ref="Q70">IF(AD70="true","",TRIM(SUBSTITUTE(SUBSTITUTE(INDEX(CY:CY,MATCH("      item_no: "&amp;A70&amp;",",CY:CY,0)+13,1),"item_price_fmt: ￥",""),",",""))+0)</f>
        <v>1090</v>
      </c>
      <c r="R70" s="888"/>
      <c r="S70" s="836">
        <f t="shared" si="14"/>
        <v>0</v>
      </c>
      <c r="T70" s="837"/>
      <c r="U70" s="888" cm="1">
        <f t="array" ref="U70">IF(AD70="true","",TRIM(SUBSTITUTE(SUBSTITUTE(INDEX(CY:CY,MATCH("      item_no: "&amp;A70&amp;",",CY:CY,0)+14,1),"item_price_discount_fmt: ￥",""),",",""))+0)</f>
        <v>1090</v>
      </c>
      <c r="V70" s="889"/>
      <c r="W70" s="885">
        <f ca="1">INT(SUMIF($Y$10:$AA70,"外税8%",$U$10:$V70)*1.08)+INT(SUMIF($Y$10:$AA70,"外税10%",$U$10:$V70)*1.1)+SUMIF($Y$10:$AA70,"内税10%",$U$10:$V70)+SUMIF($Y$10:$AA70,"非課税",$U$10:$V70)</f>
        <v>24303</v>
      </c>
      <c r="X70" s="886"/>
      <c r="Y70" s="842" t="str" cm="1">
        <f t="array" ref="Y70">TRIM(SUBSTITUTE(SUBSTITUTE(INDEX(CY:CY,MATCH("      item_no: "&amp;A70&amp;",",CY:CY,0)+15,1),"item_tax_fmt: ",""),",",""))</f>
        <v>外税10%</v>
      </c>
      <c r="Z70" s="843"/>
      <c r="AA70" s="843"/>
      <c r="AB70" s="844" t="str" cm="1">
        <f t="array" ref="AB70">TRIM(SUBSTITUTE(SUBSTITUTE(INDEX(CY:CY,MATCH("      item_no: "&amp;A70&amp;",",CY:CY,0)+18,1),"discount_prohibition:",""),",",""))</f>
        <v>0</v>
      </c>
      <c r="AC70" s="844"/>
      <c r="AD70" s="825" t="str" cm="1">
        <f t="array" ref="AD70">TRIM(SUBSTITUTE(SUBSTITUTE(INDEX(CY:CY,MATCH("      item_no: "&amp;A70&amp;",",CY:CY,0)+1,1),"item_cancel_line: ",""),",",""))</f>
        <v>false</v>
      </c>
      <c r="AE70" s="825"/>
      <c r="AF70" s="1093"/>
      <c r="AG70" s="1094"/>
      <c r="AH70" s="826">
        <f t="shared" si="16"/>
        <v>-54.5</v>
      </c>
      <c r="AI70" s="827"/>
      <c r="AJ70" s="838">
        <f t="shared" si="17"/>
        <v>1090</v>
      </c>
      <c r="AK70" s="839"/>
      <c r="AL70" s="822">
        <f t="shared" si="2"/>
        <v>6</v>
      </c>
      <c r="AM70" s="823"/>
      <c r="AN70" s="830">
        <f t="shared" si="18"/>
        <v>-54</v>
      </c>
      <c r="AO70" s="831"/>
      <c r="AP70" s="830">
        <f t="shared" si="12"/>
        <v>-1</v>
      </c>
      <c r="AQ70" s="831"/>
      <c r="AR70" s="820"/>
      <c r="AS70" s="821"/>
      <c r="AT70" s="822">
        <f t="shared" si="15"/>
        <v>-55</v>
      </c>
      <c r="AU70" s="823"/>
      <c r="AV70" s="817">
        <f t="shared" si="19"/>
        <v>1035</v>
      </c>
      <c r="AW70" s="824"/>
      <c r="AX70" s="816" t="str">
        <f t="shared" si="20"/>
        <v/>
      </c>
      <c r="AY70" s="817"/>
      <c r="AZ70" s="816"/>
      <c r="BA70" s="817"/>
      <c r="BB70" s="816">
        <f t="shared" ca="1" si="21"/>
        <v>103</v>
      </c>
      <c r="BC70" s="817"/>
      <c r="BD70" s="816"/>
      <c r="BE70" s="817"/>
      <c r="BF70" s="816" t="str">
        <f t="shared" si="22"/>
        <v/>
      </c>
      <c r="BG70" s="817"/>
      <c r="BH70" s="816"/>
      <c r="BI70" s="817"/>
      <c r="BJ70" s="816" t="str">
        <f t="shared" si="23"/>
        <v/>
      </c>
      <c r="BK70" s="817"/>
      <c r="BL70" s="816"/>
      <c r="BM70" s="817"/>
      <c r="BN70" s="818">
        <f t="shared" si="24"/>
        <v>1138</v>
      </c>
      <c r="BO70" s="819"/>
      <c r="BP70" s="74" t="s">
        <v>80</v>
      </c>
      <c r="BQ70" s="801" t="str">
        <f t="shared" si="25"/>
        <v>外税10%</v>
      </c>
      <c r="BR70" s="801"/>
      <c r="BS70" s="802"/>
      <c r="BT70" s="1072"/>
      <c r="BU70" s="1073"/>
      <c r="BV70" s="1076"/>
      <c r="BW70" s="1078"/>
      <c r="CY70" s="62" t="s">
        <v>256</v>
      </c>
      <c r="DD70" s="62" t="s">
        <v>257</v>
      </c>
      <c r="DE70" s="33" t="s">
        <v>30</v>
      </c>
      <c r="DF70" s="62" t="s">
        <v>258</v>
      </c>
    </row>
    <row r="71" spans="1:110" ht="15" customHeight="1">
      <c r="A71" s="46">
        <f t="shared" si="11"/>
        <v>59</v>
      </c>
      <c r="B71" s="832" t="s">
        <v>150</v>
      </c>
      <c r="C71" s="832"/>
      <c r="D71" s="832"/>
      <c r="E71" s="832"/>
      <c r="F71" s="832" t="str" cm="1">
        <f t="array" ref="F71">TRIM(SUBSTITUTE(SUBSTITUTE(INDEX(CY:CY,MATCH("      item_no: "&amp;A71&amp;",",CY:CY,0)+9,1),"item_name: ",""),",",""))</f>
        <v>トノハタ　紀州産南高梅しそ漬味梅干</v>
      </c>
      <c r="G71" s="832"/>
      <c r="H71" s="832"/>
      <c r="I71" s="832"/>
      <c r="J71" s="832"/>
      <c r="K71" s="832"/>
      <c r="L71" s="884" t="str" cm="1">
        <f t="array" ref="L71">TRIM(SUBSTITUTE(SUBSTITUTE(INDEX(CY:CY,MATCH("      item_no: "&amp;A71&amp;",",CY:CY,0)+3,1),"item_scan_code: ",""),",",""))</f>
        <v>4904962014548</v>
      </c>
      <c r="M71" s="884"/>
      <c r="N71" s="884"/>
      <c r="O71" s="884"/>
      <c r="P71" s="884"/>
      <c r="Q71" s="887" cm="1">
        <f t="array" ref="Q71">IF(AD71="true","",TRIM(SUBSTITUTE(SUBSTITUTE(INDEX(CY:CY,MATCH("      item_no: "&amp;A71&amp;",",CY:CY,0)+13,1),"item_price_fmt: ￥",""),",",""))+0)</f>
        <v>599</v>
      </c>
      <c r="R71" s="888"/>
      <c r="S71" s="836">
        <f t="shared" si="14"/>
        <v>-120</v>
      </c>
      <c r="T71" s="837"/>
      <c r="U71" s="888" cm="1">
        <f t="array" ref="U71">IF(AD71="true","",TRIM(SUBSTITUTE(SUBSTITUTE(INDEX(CY:CY,MATCH("      item_no: "&amp;A71&amp;",",CY:CY,0)+14,1),"item_price_discount_fmt: ￥",""),",",""))+0)</f>
        <v>479</v>
      </c>
      <c r="V71" s="889"/>
      <c r="W71" s="840">
        <f ca="1">INT(SUMIF($Y$10:$AA71,"外税8%",$U$10:$V71)*1.08)+INT(SUMIF($Y$10:$AA71,"外税10%",$U$10:$V71)*1.1)+SUMIF($Y$10:$AA71,"内税10%",$U$10:$V71)+SUMIF($Y$10:$AA71,"非課税",$U$10:$V71)</f>
        <v>24820</v>
      </c>
      <c r="X71" s="841"/>
      <c r="Y71" s="842" t="str" cm="1">
        <f t="array" ref="Y71">TRIM(SUBSTITUTE(SUBSTITUTE(INDEX(CY:CY,MATCH("      item_no: "&amp;A71&amp;",",CY:CY,0)+15,1),"item_tax_fmt: ",""),",",""))</f>
        <v>外税8%</v>
      </c>
      <c r="Z71" s="843"/>
      <c r="AA71" s="843"/>
      <c r="AB71" s="844" t="str" cm="1">
        <f t="array" ref="AB71">TRIM(SUBSTITUTE(SUBSTITUTE(INDEX(CY:CY,MATCH("      item_no: "&amp;A71&amp;",",CY:CY,0)+18,1),"discount_prohibition:",""),",",""))</f>
        <v>0</v>
      </c>
      <c r="AC71" s="844"/>
      <c r="AD71" s="825" t="str" cm="1">
        <f t="array" ref="AD71">TRIM(SUBSTITUTE(SUBSTITUTE(INDEX(CY:CY,MATCH("      item_no: "&amp;A71&amp;",",CY:CY,0)+1,1),"item_cancel_line: ",""),",",""))</f>
        <v>false</v>
      </c>
      <c r="AE71" s="825"/>
      <c r="AF71" s="1093"/>
      <c r="AG71" s="1094"/>
      <c r="AH71" s="826">
        <f t="shared" si="16"/>
        <v>-23.950000000000003</v>
      </c>
      <c r="AI71" s="827"/>
      <c r="AJ71" s="828">
        <f t="shared" si="17"/>
        <v>479</v>
      </c>
      <c r="AK71" s="829"/>
      <c r="AL71" s="822">
        <f t="shared" si="2"/>
        <v>35</v>
      </c>
      <c r="AM71" s="823"/>
      <c r="AN71" s="830">
        <f t="shared" si="18"/>
        <v>-23</v>
      </c>
      <c r="AO71" s="831"/>
      <c r="AP71" s="830">
        <f t="shared" si="12"/>
        <v>-1</v>
      </c>
      <c r="AQ71" s="831"/>
      <c r="AR71" s="820"/>
      <c r="AS71" s="821"/>
      <c r="AT71" s="822">
        <f t="shared" si="15"/>
        <v>-24</v>
      </c>
      <c r="AU71" s="823"/>
      <c r="AV71" s="817">
        <f t="shared" si="19"/>
        <v>455</v>
      </c>
      <c r="AW71" s="824"/>
      <c r="AX71" s="816">
        <f t="shared" ca="1" si="20"/>
        <v>36</v>
      </c>
      <c r="AY71" s="817"/>
      <c r="AZ71" s="816"/>
      <c r="BA71" s="817"/>
      <c r="BB71" s="816" t="str">
        <f t="shared" si="21"/>
        <v/>
      </c>
      <c r="BC71" s="817"/>
      <c r="BD71" s="816"/>
      <c r="BE71" s="817"/>
      <c r="BF71" s="816" t="str">
        <f t="shared" si="22"/>
        <v/>
      </c>
      <c r="BG71" s="817"/>
      <c r="BH71" s="816"/>
      <c r="BI71" s="817"/>
      <c r="BJ71" s="816" t="str">
        <f t="shared" si="23"/>
        <v/>
      </c>
      <c r="BK71" s="817"/>
      <c r="BL71" s="816"/>
      <c r="BM71" s="817"/>
      <c r="BN71" s="818">
        <f t="shared" si="24"/>
        <v>491</v>
      </c>
      <c r="BO71" s="819"/>
      <c r="BP71" s="74" t="s">
        <v>80</v>
      </c>
      <c r="BQ71" s="801" t="str">
        <f t="shared" si="25"/>
        <v>外税8%</v>
      </c>
      <c r="BR71" s="801"/>
      <c r="BS71" s="802"/>
      <c r="BT71" s="1072"/>
      <c r="BU71" s="1073"/>
      <c r="BV71" s="1076"/>
      <c r="BW71" s="1078"/>
      <c r="CY71" s="62" t="s">
        <v>259</v>
      </c>
      <c r="DD71" s="62" t="s">
        <v>260</v>
      </c>
      <c r="DE71" s="33" t="s">
        <v>30</v>
      </c>
      <c r="DF71" s="62" t="s">
        <v>261</v>
      </c>
    </row>
    <row r="72" spans="1:110" ht="15" customHeight="1">
      <c r="A72" s="46">
        <f t="shared" si="11"/>
        <v>58</v>
      </c>
      <c r="B72" s="832" t="s">
        <v>150</v>
      </c>
      <c r="C72" s="832"/>
      <c r="D72" s="832"/>
      <c r="E72" s="832"/>
      <c r="F72" s="832" t="str" cm="1">
        <f t="array" ref="F72">TRIM(SUBSTITUTE(SUBSTITUTE(INDEX(CY:CY,MATCH("      item_no: "&amp;A72&amp;",",CY:CY,0)+9,1),"item_name: ",""),",",""))</f>
        <v>ピックルス　ぬか胡瓜</v>
      </c>
      <c r="G72" s="832"/>
      <c r="H72" s="832"/>
      <c r="I72" s="832"/>
      <c r="J72" s="832"/>
      <c r="K72" s="832"/>
      <c r="L72" s="884" t="str" cm="1">
        <f t="array" ref="L72">TRIM(SUBSTITUTE(SUBSTITUTE(INDEX(CY:CY,MATCH("      item_no: "&amp;A72&amp;",",CY:CY,0)+3,1),"item_scan_code: ",""),",",""))</f>
        <v>4902016151478</v>
      </c>
      <c r="M72" s="884"/>
      <c r="N72" s="884"/>
      <c r="O72" s="884"/>
      <c r="P72" s="884"/>
      <c r="Q72" s="887" cm="1">
        <f t="array" ref="Q72">IF(AD72="true","",TRIM(SUBSTITUTE(SUBSTITUTE(INDEX(CY:CY,MATCH("      item_no: "&amp;A72&amp;",",CY:CY,0)+13,1),"item_price_fmt: ￥",""),",",""))+0)</f>
        <v>329</v>
      </c>
      <c r="R72" s="888"/>
      <c r="S72" s="836">
        <f t="shared" si="14"/>
        <v>-66</v>
      </c>
      <c r="T72" s="837"/>
      <c r="U72" s="888" cm="1">
        <f t="array" ref="U72">IF(AD72="true","",TRIM(SUBSTITUTE(SUBSTITUTE(INDEX(CY:CY,MATCH("      item_no: "&amp;A72&amp;",",CY:CY,0)+14,1),"item_price_discount_fmt: ￥",""),",",""))+0)</f>
        <v>263</v>
      </c>
      <c r="V72" s="889"/>
      <c r="W72" s="840">
        <f ca="1">INT(SUMIF($Y$10:$AA72,"外税8%",$U$10:$V72)*1.08)+INT(SUMIF($Y$10:$AA72,"外税10%",$U$10:$V72)*1.1)+SUMIF($Y$10:$AA72,"内税10%",$U$10:$V72)+SUMIF($Y$10:$AA72,"非課税",$U$10:$V72)</f>
        <v>25104</v>
      </c>
      <c r="X72" s="841"/>
      <c r="Y72" s="842" t="str" cm="1">
        <f t="array" ref="Y72">TRIM(SUBSTITUTE(SUBSTITUTE(INDEX(CY:CY,MATCH("      item_no: "&amp;A72&amp;",",CY:CY,0)+15,1),"item_tax_fmt: ",""),",",""))</f>
        <v>外税8%</v>
      </c>
      <c r="Z72" s="843"/>
      <c r="AA72" s="843"/>
      <c r="AB72" s="844" t="str" cm="1">
        <f t="array" ref="AB72">TRIM(SUBSTITUTE(SUBSTITUTE(INDEX(CY:CY,MATCH("      item_no: "&amp;A72&amp;",",CY:CY,0)+18,1),"discount_prohibition:",""),",",""))</f>
        <v>0</v>
      </c>
      <c r="AC72" s="844"/>
      <c r="AD72" s="825" t="str" cm="1">
        <f t="array" ref="AD72">TRIM(SUBSTITUTE(SUBSTITUTE(INDEX(CY:CY,MATCH("      item_no: "&amp;A72&amp;",",CY:CY,0)+1,1),"item_cancel_line: ",""),",",""))</f>
        <v>false</v>
      </c>
      <c r="AE72" s="825"/>
      <c r="AF72" s="1093"/>
      <c r="AG72" s="1094"/>
      <c r="AH72" s="826">
        <f t="shared" si="16"/>
        <v>-13.15</v>
      </c>
      <c r="AI72" s="827"/>
      <c r="AJ72" s="828">
        <f t="shared" si="17"/>
        <v>263</v>
      </c>
      <c r="AK72" s="829"/>
      <c r="AL72" s="822">
        <f t="shared" si="2"/>
        <v>52</v>
      </c>
      <c r="AM72" s="823"/>
      <c r="AN72" s="830">
        <f t="shared" si="18"/>
        <v>-13</v>
      </c>
      <c r="AO72" s="831"/>
      <c r="AP72" s="830">
        <f t="shared" si="12"/>
        <v>-1</v>
      </c>
      <c r="AQ72" s="831"/>
      <c r="AR72" s="820"/>
      <c r="AS72" s="821"/>
      <c r="AT72" s="822">
        <f t="shared" si="15"/>
        <v>-14</v>
      </c>
      <c r="AU72" s="823"/>
      <c r="AV72" s="817">
        <f t="shared" si="19"/>
        <v>249</v>
      </c>
      <c r="AW72" s="824"/>
      <c r="AX72" s="816">
        <f t="shared" ca="1" si="20"/>
        <v>19</v>
      </c>
      <c r="AY72" s="817"/>
      <c r="AZ72" s="816"/>
      <c r="BA72" s="817"/>
      <c r="BB72" s="816" t="str">
        <f t="shared" si="21"/>
        <v/>
      </c>
      <c r="BC72" s="817"/>
      <c r="BD72" s="816"/>
      <c r="BE72" s="817"/>
      <c r="BF72" s="816" t="str">
        <f t="shared" si="22"/>
        <v/>
      </c>
      <c r="BG72" s="817"/>
      <c r="BH72" s="816"/>
      <c r="BI72" s="817"/>
      <c r="BJ72" s="816" t="str">
        <f t="shared" si="23"/>
        <v/>
      </c>
      <c r="BK72" s="817"/>
      <c r="BL72" s="816"/>
      <c r="BM72" s="817"/>
      <c r="BN72" s="818">
        <f t="shared" si="24"/>
        <v>268</v>
      </c>
      <c r="BO72" s="819"/>
      <c r="BP72" s="74" t="s">
        <v>80</v>
      </c>
      <c r="BQ72" s="801" t="str">
        <f t="shared" si="25"/>
        <v>外税8%</v>
      </c>
      <c r="BR72" s="801"/>
      <c r="BS72" s="802"/>
      <c r="BT72" s="1072"/>
      <c r="BU72" s="1073"/>
      <c r="BV72" s="1076"/>
      <c r="BW72" s="1078"/>
      <c r="CY72" s="62" t="s">
        <v>262</v>
      </c>
      <c r="DD72" s="62" t="s">
        <v>263</v>
      </c>
      <c r="DE72" s="33" t="s">
        <v>30</v>
      </c>
      <c r="DF72" s="62" t="s">
        <v>264</v>
      </c>
    </row>
    <row r="73" spans="1:110" ht="15" customHeight="1">
      <c r="A73" s="46">
        <f t="shared" si="11"/>
        <v>57</v>
      </c>
      <c r="B73" s="855" t="s">
        <v>150</v>
      </c>
      <c r="C73" s="855"/>
      <c r="D73" s="855"/>
      <c r="E73" s="855"/>
      <c r="F73" s="855" t="str" cm="1">
        <f t="array" ref="F73">TRIM(SUBSTITUTE(SUBSTITUTE(INDEX(CY:CY,MATCH("      item_no: "&amp;A73&amp;",",CY:CY,0)+9,1),"item_name: ",""),",",""))</f>
        <v>ピックルス　ぬか胡瓜</v>
      </c>
      <c r="G73" s="855"/>
      <c r="H73" s="855"/>
      <c r="I73" s="855"/>
      <c r="J73" s="855"/>
      <c r="K73" s="855"/>
      <c r="L73" s="896" t="str" cm="1">
        <f t="array" ref="L73">TRIM(SUBSTITUTE(SUBSTITUTE(INDEX(CY:CY,MATCH("      item_no: "&amp;A73&amp;",",CY:CY,0)+3,1),"item_scan_code: ",""),",",""))</f>
        <v>4902016151478</v>
      </c>
      <c r="M73" s="896"/>
      <c r="N73" s="896"/>
      <c r="O73" s="896"/>
      <c r="P73" s="896"/>
      <c r="Q73" s="211" t="s">
        <v>1381</v>
      </c>
      <c r="R73" s="212"/>
      <c r="S73" s="212"/>
      <c r="T73" s="212"/>
      <c r="U73" s="212"/>
      <c r="V73" s="213"/>
      <c r="W73" s="840">
        <f ca="1">INT(SUMIF($Y$10:$AA73,"外税8%",$U$10:$V73)*1.08)+INT(SUMIF($Y$10:$AA73,"外税10%",$U$10:$V73)*1.1)+SUMIF($Y$10:$AA73,"内税10%",$U$10:$V73)+SUMIF($Y$10:$AA73,"非課税",$U$10:$V73)</f>
        <v>25104</v>
      </c>
      <c r="X73" s="841"/>
      <c r="Y73" s="857" t="str" cm="1">
        <f t="array" ref="Y73">TRIM(SUBSTITUTE(SUBSTITUTE(INDEX(CY:CY,MATCH("      item_no: "&amp;A73&amp;",",CY:CY,0)+15,1),"item_tax_fmt: ",""),",",""))</f>
        <v>外税8%</v>
      </c>
      <c r="Z73" s="858"/>
      <c r="AA73" s="858"/>
      <c r="AB73" s="859" t="str" cm="1">
        <f t="array" ref="AB73">TRIM(SUBSTITUTE(SUBSTITUTE(INDEX(CY:CY,MATCH("      item_no: "&amp;A73&amp;",",CY:CY,0)+18,1),"discount_prohibition:",""),",",""))</f>
        <v>0</v>
      </c>
      <c r="AC73" s="859"/>
      <c r="AD73" s="850" t="str" cm="1">
        <f t="array" ref="AD73">TRIM(SUBSTITUTE(SUBSTITUTE(INDEX(CY:CY,MATCH("      item_no: "&amp;A73&amp;",",CY:CY,0)+1,1),"item_cancel_line: ",""),",",""))</f>
        <v>true</v>
      </c>
      <c r="AE73" s="850"/>
      <c r="AF73" s="1093"/>
      <c r="AG73" s="1094"/>
      <c r="AH73" s="851" t="str">
        <f t="shared" si="16"/>
        <v/>
      </c>
      <c r="AI73" s="852"/>
      <c r="AJ73" s="853" t="str">
        <f t="shared" si="17"/>
        <v/>
      </c>
      <c r="AK73" s="854"/>
      <c r="AL73" s="820" t="str">
        <f t="shared" si="2"/>
        <v/>
      </c>
      <c r="AM73" s="821"/>
      <c r="AN73" s="830" t="str">
        <f t="shared" si="18"/>
        <v/>
      </c>
      <c r="AO73" s="831"/>
      <c r="AP73" s="830">
        <f t="shared" si="12"/>
        <v>0</v>
      </c>
      <c r="AQ73" s="831"/>
      <c r="AR73" s="820"/>
      <c r="AS73" s="821"/>
      <c r="AT73" s="820">
        <f t="shared" si="15"/>
        <v>0</v>
      </c>
      <c r="AU73" s="821"/>
      <c r="AV73" s="831" t="str">
        <f t="shared" si="19"/>
        <v/>
      </c>
      <c r="AW73" s="849"/>
      <c r="AX73" s="830" t="str">
        <f t="shared" si="20"/>
        <v/>
      </c>
      <c r="AY73" s="831"/>
      <c r="AZ73" s="830"/>
      <c r="BA73" s="831"/>
      <c r="BB73" s="830" t="str">
        <f t="shared" si="21"/>
        <v/>
      </c>
      <c r="BC73" s="831"/>
      <c r="BD73" s="830"/>
      <c r="BE73" s="831"/>
      <c r="BF73" s="830" t="str">
        <f t="shared" si="22"/>
        <v/>
      </c>
      <c r="BG73" s="831"/>
      <c r="BH73" s="830"/>
      <c r="BI73" s="831"/>
      <c r="BJ73" s="830" t="str">
        <f t="shared" si="23"/>
        <v/>
      </c>
      <c r="BK73" s="831"/>
      <c r="BL73" s="830"/>
      <c r="BM73" s="831"/>
      <c r="BN73" s="847" t="str">
        <f t="shared" si="24"/>
        <v/>
      </c>
      <c r="BO73" s="848"/>
      <c r="BP73" s="74" t="s">
        <v>80</v>
      </c>
      <c r="BQ73" s="801" t="str">
        <f t="shared" si="25"/>
        <v>外税8%</v>
      </c>
      <c r="BR73" s="801"/>
      <c r="BS73" s="802"/>
      <c r="BT73" s="1072"/>
      <c r="BU73" s="1073"/>
      <c r="BV73" s="1076"/>
      <c r="BW73" s="1078"/>
      <c r="CY73" s="62" t="s">
        <v>265</v>
      </c>
      <c r="DE73" s="33" t="s">
        <v>30</v>
      </c>
    </row>
    <row r="74" spans="1:110" ht="15" customHeight="1">
      <c r="A74" s="46">
        <f t="shared" si="11"/>
        <v>56</v>
      </c>
      <c r="B74" s="893" t="s">
        <v>266</v>
      </c>
      <c r="C74" s="894"/>
      <c r="D74" s="894"/>
      <c r="E74" s="895"/>
      <c r="F74" s="875" t="str" cm="1">
        <f t="array" ref="F74">TRIM(SUBSTITUTE(SUBSTITUTE(INDEX(CY:CY,MATCH("      item_no: "&amp;A74&amp;",",CY:CY,0)+9,1),"item_name: ",""),",",""))</f>
        <v>新共通雑誌コード</v>
      </c>
      <c r="G74" s="875"/>
      <c r="H74" s="875"/>
      <c r="I74" s="875"/>
      <c r="J74" s="875"/>
      <c r="K74" s="875"/>
      <c r="L74" s="881" t="str" cm="1">
        <f t="array" ref="L74">TRIM(SUBSTITUTE(SUBSTITUTE(INDEX(CY:CY,MATCH("      item_no: "&amp;A74&amp;",",CY:CY,0)+3,1),"item_scan_code: ",""),",",""))</f>
        <v>97842971113111922036011005</v>
      </c>
      <c r="M74" s="881"/>
      <c r="N74" s="881"/>
      <c r="O74" s="881"/>
      <c r="P74" s="881"/>
      <c r="Q74" s="890" cm="1">
        <f t="array" ref="Q74">IF(AD74="true","",TRIM(SUBSTITUTE(SUBSTITUTE(INDEX(CY:CY,MATCH("      item_no: "&amp;A74&amp;",",CY:CY,0)+13,1),"item_price_fmt: ￥",""),",",""))+0)</f>
        <v>1100</v>
      </c>
      <c r="R74" s="891"/>
      <c r="S74" s="879">
        <f t="shared" ref="S74:S124" si="26">IF(Q74="","",U74-Q74)</f>
        <v>0</v>
      </c>
      <c r="T74" s="880"/>
      <c r="U74" s="891" cm="1">
        <f t="array" ref="U74">IF(AD74="true","",TRIM(SUBSTITUTE(SUBSTITUTE(INDEX(CY:CY,MATCH("      item_no: "&amp;A74&amp;",",CY:CY,0)+14,1),"item_price_discount_fmt: ￥",""),",",""))+0)</f>
        <v>1100</v>
      </c>
      <c r="V74" s="892"/>
      <c r="W74" s="840">
        <f ca="1">INT(SUMIF($Y$10:$AA74,"外税8%",$U$10:$V74)*1.08)+INT(SUMIF($Y$10:$AA74,"外税10%",$U$10:$V74)*1.1)+SUMIF($Y$10:$AA74,"内税10%",$U$10:$V74)+SUMIF($Y$10:$AA74,"非課税",$U$10:$V74)</f>
        <v>26314</v>
      </c>
      <c r="X74" s="841"/>
      <c r="Y74" s="867" t="str" cm="1">
        <f t="array" ref="Y74">TRIM(SUBSTITUTE(SUBSTITUTE(INDEX(CY:CY,MATCH("      item_no: "&amp;A74&amp;",",CY:CY,0)+15,1),"item_tax_fmt: ",""),",",""))</f>
        <v>外税10%</v>
      </c>
      <c r="Z74" s="868"/>
      <c r="AA74" s="868"/>
      <c r="AB74" s="869" t="str" cm="1">
        <f t="array" ref="AB74">TRIM(SUBSTITUTE(SUBSTITUTE(INDEX(CY:CY,MATCH("      item_no: "&amp;A74&amp;",",CY:CY,0)+18,1),"discount_prohibition:",""),",",""))</f>
        <v>1</v>
      </c>
      <c r="AC74" s="869"/>
      <c r="AD74" s="870" t="str" cm="1">
        <f t="array" ref="AD74">TRIM(SUBSTITUTE(SUBSTITUTE(INDEX(CY:CY,MATCH("      item_no: "&amp;A74&amp;",",CY:CY,0)+1,1),"item_cancel_line: ",""),",",""))</f>
        <v>false</v>
      </c>
      <c r="AE74" s="870"/>
      <c r="AF74" s="1093"/>
      <c r="AG74" s="1094"/>
      <c r="AH74" s="871">
        <f t="shared" ref="AH74:AH105" si="27">IF(U74="","",IF(AB74="1",0,U74*$AF$10))</f>
        <v>0</v>
      </c>
      <c r="AI74" s="872"/>
      <c r="AJ74" s="873">
        <f t="shared" ref="AJ74:AJ105" si="28">IF(U74="","",IF(AB74="1",0,U74))</f>
        <v>0</v>
      </c>
      <c r="AK74" s="874"/>
      <c r="AL74" s="864">
        <f t="shared" ref="AL74:AL129" si="29">IF(AJ74="","",RANK(AJ74,$AJ$10:$AK$129,0))</f>
        <v>84</v>
      </c>
      <c r="AM74" s="865"/>
      <c r="AN74" s="830">
        <f t="shared" ref="AN74:AN105" si="30">IF(U74="","",ROUNDDOWN(AH74,0))</f>
        <v>0</v>
      </c>
      <c r="AO74" s="831"/>
      <c r="AP74" s="830">
        <f t="shared" si="12"/>
        <v>0</v>
      </c>
      <c r="AQ74" s="831"/>
      <c r="AR74" s="820"/>
      <c r="AS74" s="821"/>
      <c r="AT74" s="864">
        <f t="shared" si="15"/>
        <v>0</v>
      </c>
      <c r="AU74" s="865"/>
      <c r="AV74" s="861">
        <f t="shared" ref="AV74:AV105" si="31">IF(U74="","",U74+AT74)</f>
        <v>1100</v>
      </c>
      <c r="AW74" s="866"/>
      <c r="AX74" s="860" t="str">
        <f t="shared" ref="AX74:AX105" si="32">IF(AD74="false",IF(Y74="外税8%",INT(AV74*($CE$10/$CA$10)),""),"")</f>
        <v/>
      </c>
      <c r="AY74" s="861"/>
      <c r="AZ74" s="860"/>
      <c r="BA74" s="861"/>
      <c r="BB74" s="860">
        <f t="shared" ref="BB74:BB105" ca="1" si="33">IF(AD74="false",IF(Y74="外税10%",INT(AV74*($CE$11/$CA$11)),""),"")</f>
        <v>109</v>
      </c>
      <c r="BC74" s="861"/>
      <c r="BD74" s="860">
        <v>1</v>
      </c>
      <c r="BE74" s="861"/>
      <c r="BF74" s="860" t="str">
        <f t="shared" ref="BF74:BF105" si="34">IF(AD74="false",IF(Y74="内税8%",INT(AV74*($CE$13/$CC$13)),""),"")</f>
        <v/>
      </c>
      <c r="BG74" s="861"/>
      <c r="BH74" s="860"/>
      <c r="BI74" s="861"/>
      <c r="BJ74" s="860" t="str">
        <f t="shared" ref="BJ74:BJ105" si="35">IF(AD74="false",IF(Y74="内税10%",INT(U74/(1+0.1)*0.1),""),"")</f>
        <v/>
      </c>
      <c r="BK74" s="861"/>
      <c r="BL74" s="860"/>
      <c r="BM74" s="861"/>
      <c r="BN74" s="862">
        <f t="shared" ref="BN74:BN105" si="36">IF(AV74="","",INT(IF(Y74="外税8%",1.08,IF(Y74="外税10%",1.1,1))*AV74))</f>
        <v>1210</v>
      </c>
      <c r="BO74" s="863"/>
      <c r="BP74" s="74" t="s">
        <v>80</v>
      </c>
      <c r="BQ74" s="801" t="str">
        <f t="shared" ref="BQ74:BQ105" si="37">BP74&amp;Y74</f>
        <v>外税10%</v>
      </c>
      <c r="BR74" s="801"/>
      <c r="BS74" s="802"/>
      <c r="BT74" s="1072"/>
      <c r="BU74" s="1073"/>
      <c r="BV74" s="1076"/>
      <c r="BW74" s="1078"/>
      <c r="CY74" s="62" t="s">
        <v>109</v>
      </c>
      <c r="DD74" s="62" t="s">
        <v>267</v>
      </c>
      <c r="DE74" s="33" t="s">
        <v>30</v>
      </c>
      <c r="DF74" s="62" t="s">
        <v>268</v>
      </c>
    </row>
    <row r="75" spans="1:110" ht="15" customHeight="1">
      <c r="A75" s="46">
        <f t="shared" ref="A75:A129" si="38">A74-1</f>
        <v>55</v>
      </c>
      <c r="B75" s="875" t="s">
        <v>266</v>
      </c>
      <c r="C75" s="875"/>
      <c r="D75" s="875"/>
      <c r="E75" s="875"/>
      <c r="F75" s="875" t="str" cm="1">
        <f t="array" ref="F75">TRIM(SUBSTITUTE(SUBSTITUTE(INDEX(CY:CY,MATCH("      item_no: "&amp;A75&amp;",",CY:CY,0)+9,1),"item_name: ",""),",",""))</f>
        <v>新共通雑誌コード</v>
      </c>
      <c r="G75" s="875"/>
      <c r="H75" s="875"/>
      <c r="I75" s="875"/>
      <c r="J75" s="875"/>
      <c r="K75" s="875"/>
      <c r="L75" s="881" t="str" cm="1">
        <f t="array" ref="L75">TRIM(SUBSTITUTE(SUBSTITUTE(INDEX(CY:CY,MATCH("      item_no: "&amp;A75&amp;",",CY:CY,0)+3,1),"item_scan_code: ",""),",",""))</f>
        <v>97842971136741923055019805</v>
      </c>
      <c r="M75" s="881"/>
      <c r="N75" s="881"/>
      <c r="O75" s="881"/>
      <c r="P75" s="881"/>
      <c r="Q75" s="890" cm="1">
        <f t="array" ref="Q75">IF(AD75="true","",TRIM(SUBSTITUTE(SUBSTITUTE(INDEX(CY:CY,MATCH("      item_no: "&amp;A75&amp;",",CY:CY,0)+13,1),"item_price_fmt: ￥",""),",",""))+0)</f>
        <v>1980</v>
      </c>
      <c r="R75" s="891"/>
      <c r="S75" s="879">
        <f t="shared" si="26"/>
        <v>0</v>
      </c>
      <c r="T75" s="880"/>
      <c r="U75" s="891" cm="1">
        <f t="array" ref="U75">IF(AD75="true","",TRIM(SUBSTITUTE(SUBSTITUTE(INDEX(CY:CY,MATCH("      item_no: "&amp;A75&amp;",",CY:CY,0)+14,1),"item_price_discount_fmt: ￥",""),",",""))+0)</f>
        <v>1980</v>
      </c>
      <c r="V75" s="892"/>
      <c r="W75" s="840">
        <f ca="1">INT(SUMIF($Y$10:$AA75,"外税8%",$U$10:$V75)*1.08)+INT(SUMIF($Y$10:$AA75,"外税10%",$U$10:$V75)*1.1)+SUMIF($Y$10:$AA75,"内税10%",$U$10:$V75)+SUMIF($Y$10:$AA75,"非課税",$U$10:$V75)</f>
        <v>28492</v>
      </c>
      <c r="X75" s="841"/>
      <c r="Y75" s="867" t="str" cm="1">
        <f t="array" ref="Y75">TRIM(SUBSTITUTE(SUBSTITUTE(INDEX(CY:CY,MATCH("      item_no: "&amp;A75&amp;",",CY:CY,0)+15,1),"item_tax_fmt: ",""),",",""))</f>
        <v>外税10%</v>
      </c>
      <c r="Z75" s="868"/>
      <c r="AA75" s="868"/>
      <c r="AB75" s="869" t="str" cm="1">
        <f t="array" ref="AB75">TRIM(SUBSTITUTE(SUBSTITUTE(INDEX(CY:CY,MATCH("      item_no: "&amp;A75&amp;",",CY:CY,0)+18,1),"discount_prohibition:",""),",",""))</f>
        <v>1</v>
      </c>
      <c r="AC75" s="869"/>
      <c r="AD75" s="870" t="str" cm="1">
        <f t="array" ref="AD75">TRIM(SUBSTITUTE(SUBSTITUTE(INDEX(CY:CY,MATCH("      item_no: "&amp;A75&amp;",",CY:CY,0)+1,1),"item_cancel_line: ",""),",",""))</f>
        <v>false</v>
      </c>
      <c r="AE75" s="870"/>
      <c r="AF75" s="1093"/>
      <c r="AG75" s="1094"/>
      <c r="AH75" s="871">
        <f t="shared" si="27"/>
        <v>0</v>
      </c>
      <c r="AI75" s="872"/>
      <c r="AJ75" s="873">
        <f t="shared" si="28"/>
        <v>0</v>
      </c>
      <c r="AK75" s="874"/>
      <c r="AL75" s="864">
        <f t="shared" si="29"/>
        <v>84</v>
      </c>
      <c r="AM75" s="865"/>
      <c r="AN75" s="830">
        <f t="shared" si="30"/>
        <v>0</v>
      </c>
      <c r="AO75" s="831"/>
      <c r="AP75" s="830">
        <f t="shared" ref="AP75:AP129" si="39">IF(AL75&lt;=$AP$9,-1,0)</f>
        <v>0</v>
      </c>
      <c r="AQ75" s="831"/>
      <c r="AR75" s="820"/>
      <c r="AS75" s="821"/>
      <c r="AT75" s="864">
        <f t="shared" si="15"/>
        <v>0</v>
      </c>
      <c r="AU75" s="865"/>
      <c r="AV75" s="861">
        <f t="shared" si="31"/>
        <v>1980</v>
      </c>
      <c r="AW75" s="866"/>
      <c r="AX75" s="860" t="str">
        <f t="shared" si="32"/>
        <v/>
      </c>
      <c r="AY75" s="861"/>
      <c r="AZ75" s="860"/>
      <c r="BA75" s="861"/>
      <c r="BB75" s="860">
        <f t="shared" ca="1" si="33"/>
        <v>197</v>
      </c>
      <c r="BC75" s="861"/>
      <c r="BD75" s="860">
        <v>1</v>
      </c>
      <c r="BE75" s="861"/>
      <c r="BF75" s="860" t="str">
        <f t="shared" si="34"/>
        <v/>
      </c>
      <c r="BG75" s="861"/>
      <c r="BH75" s="860"/>
      <c r="BI75" s="861"/>
      <c r="BJ75" s="860" t="str">
        <f t="shared" si="35"/>
        <v/>
      </c>
      <c r="BK75" s="861"/>
      <c r="BL75" s="860"/>
      <c r="BM75" s="861"/>
      <c r="BN75" s="862">
        <f t="shared" si="36"/>
        <v>2178</v>
      </c>
      <c r="BO75" s="863"/>
      <c r="BP75" s="74" t="s">
        <v>80</v>
      </c>
      <c r="BQ75" s="801" t="str">
        <f t="shared" si="37"/>
        <v>外税10%</v>
      </c>
      <c r="BR75" s="801"/>
      <c r="BS75" s="802"/>
      <c r="BT75" s="1072"/>
      <c r="BU75" s="1073"/>
      <c r="BV75" s="1076"/>
      <c r="BW75" s="1078"/>
      <c r="CY75" s="62" t="s">
        <v>269</v>
      </c>
      <c r="DD75" s="62" t="s">
        <v>270</v>
      </c>
      <c r="DE75" s="33" t="s">
        <v>30</v>
      </c>
      <c r="DF75" s="62" t="s">
        <v>271</v>
      </c>
    </row>
    <row r="76" spans="1:110" ht="15" customHeight="1">
      <c r="A76" s="46">
        <f t="shared" si="38"/>
        <v>54</v>
      </c>
      <c r="B76" s="832" t="s">
        <v>162</v>
      </c>
      <c r="C76" s="832"/>
      <c r="D76" s="832"/>
      <c r="E76" s="832"/>
      <c r="F76" s="832" t="str" cm="1">
        <f t="array" ref="F76">TRIM(SUBSTITUTE(SUBSTITUTE(INDEX(CY:CY,MATCH("      item_no: "&amp;A76&amp;",",CY:CY,0)+9,1),"item_name: ",""),",",""))</f>
        <v>野菜</v>
      </c>
      <c r="G76" s="832"/>
      <c r="H76" s="832"/>
      <c r="I76" s="832"/>
      <c r="J76" s="832"/>
      <c r="K76" s="832"/>
      <c r="L76" s="884" t="str" cm="1">
        <f t="array" ref="L76">TRIM(SUBSTITUTE(SUBSTITUTE(INDEX(CY:CY,MATCH("      item_no: "&amp;A76&amp;",",CY:CY,0)+3,1),"item_scan_code: ",""),",",""))</f>
        <v>0200</v>
      </c>
      <c r="M76" s="884"/>
      <c r="N76" s="884"/>
      <c r="O76" s="884"/>
      <c r="P76" s="884"/>
      <c r="Q76" s="887" cm="1">
        <f t="array" ref="Q76">IF(AD76="true","",TRIM(SUBSTITUTE(SUBSTITUTE(INDEX(CY:CY,MATCH("      item_no: "&amp;A76&amp;",",CY:CY,0)+13,1),"item_price_fmt: ￥",""),",",""))+0)</f>
        <v>499</v>
      </c>
      <c r="R76" s="888"/>
      <c r="S76" s="836">
        <f t="shared" si="26"/>
        <v>0</v>
      </c>
      <c r="T76" s="837"/>
      <c r="U76" s="888" cm="1">
        <f t="array" ref="U76">IF(AD76="true","",TRIM(SUBSTITUTE(SUBSTITUTE(INDEX(CY:CY,MATCH("      item_no: "&amp;A76&amp;",",CY:CY,0)+14,1),"item_price_discount_fmt: ￥",""),",",""))+0)</f>
        <v>499</v>
      </c>
      <c r="V76" s="889"/>
      <c r="W76" s="885">
        <f ca="1">INT(SUMIF($Y$10:$AA76,"外税8%",$U$10:$V76)*1.08)+INT(SUMIF($Y$10:$AA76,"外税10%",$U$10:$V76)*1.1)+SUMIF($Y$10:$AA76,"内税10%",$U$10:$V76)+SUMIF($Y$10:$AA76,"非課税",$U$10:$V76)</f>
        <v>29031</v>
      </c>
      <c r="X76" s="886"/>
      <c r="Y76" s="842" t="str" cm="1">
        <f t="array" ref="Y76">TRIM(SUBSTITUTE(SUBSTITUTE(INDEX(CY:CY,MATCH("      item_no: "&amp;A76&amp;",",CY:CY,0)+15,1),"item_tax_fmt: ",""),",",""))</f>
        <v>外税8%</v>
      </c>
      <c r="Z76" s="843"/>
      <c r="AA76" s="843"/>
      <c r="AB76" s="844" t="str" cm="1">
        <f t="array" ref="AB76">TRIM(SUBSTITUTE(SUBSTITUTE(INDEX(CY:CY,MATCH("      item_no: "&amp;A76&amp;",",CY:CY,0)+18,1),"discount_prohibition:",""),",",""))</f>
        <v>0</v>
      </c>
      <c r="AC76" s="844"/>
      <c r="AD76" s="825" t="str" cm="1">
        <f t="array" ref="AD76">TRIM(SUBSTITUTE(SUBSTITUTE(INDEX(CY:CY,MATCH("      item_no: "&amp;A76&amp;",",CY:CY,0)+1,1),"item_cancel_line: ",""),",",""))</f>
        <v>false</v>
      </c>
      <c r="AE76" s="825"/>
      <c r="AF76" s="1093"/>
      <c r="AG76" s="1094"/>
      <c r="AH76" s="826">
        <f t="shared" si="27"/>
        <v>-24.950000000000003</v>
      </c>
      <c r="AI76" s="827"/>
      <c r="AJ76" s="838">
        <f t="shared" si="28"/>
        <v>499</v>
      </c>
      <c r="AK76" s="839"/>
      <c r="AL76" s="882">
        <f t="shared" si="29"/>
        <v>12</v>
      </c>
      <c r="AM76" s="883"/>
      <c r="AN76" s="830">
        <f t="shared" si="30"/>
        <v>-24</v>
      </c>
      <c r="AO76" s="831"/>
      <c r="AP76" s="830">
        <f t="shared" si="39"/>
        <v>-1</v>
      </c>
      <c r="AQ76" s="831"/>
      <c r="AR76" s="820"/>
      <c r="AS76" s="821"/>
      <c r="AT76" s="822">
        <f t="shared" si="15"/>
        <v>-25</v>
      </c>
      <c r="AU76" s="823"/>
      <c r="AV76" s="817">
        <f t="shared" si="31"/>
        <v>474</v>
      </c>
      <c r="AW76" s="824"/>
      <c r="AX76" s="816">
        <f t="shared" ca="1" si="32"/>
        <v>37</v>
      </c>
      <c r="AY76" s="817"/>
      <c r="AZ76" s="816">
        <v>1</v>
      </c>
      <c r="BA76" s="817"/>
      <c r="BB76" s="816" t="str">
        <f t="shared" si="33"/>
        <v/>
      </c>
      <c r="BC76" s="817"/>
      <c r="BD76" s="816"/>
      <c r="BE76" s="817"/>
      <c r="BF76" s="816" t="str">
        <f t="shared" si="34"/>
        <v/>
      </c>
      <c r="BG76" s="817"/>
      <c r="BH76" s="816"/>
      <c r="BI76" s="817"/>
      <c r="BJ76" s="816" t="str">
        <f t="shared" si="35"/>
        <v/>
      </c>
      <c r="BK76" s="817"/>
      <c r="BL76" s="816"/>
      <c r="BM76" s="817"/>
      <c r="BN76" s="818">
        <f t="shared" si="36"/>
        <v>511</v>
      </c>
      <c r="BO76" s="819"/>
      <c r="BP76" s="75" t="s">
        <v>80</v>
      </c>
      <c r="BQ76" s="801" t="str">
        <f t="shared" si="37"/>
        <v>外税8%</v>
      </c>
      <c r="BR76" s="801"/>
      <c r="BS76" s="802"/>
      <c r="BT76" s="1072"/>
      <c r="BU76" s="1073"/>
      <c r="BV76" s="1076"/>
      <c r="BW76" s="1078"/>
      <c r="CY76" s="62" t="s">
        <v>272</v>
      </c>
      <c r="DD76" s="62" t="s">
        <v>273</v>
      </c>
      <c r="DE76" s="33" t="s">
        <v>30</v>
      </c>
      <c r="DF76" s="62" t="s">
        <v>274</v>
      </c>
    </row>
    <row r="77" spans="1:110" ht="15" customHeight="1">
      <c r="A77" s="46">
        <f t="shared" si="38"/>
        <v>53</v>
      </c>
      <c r="B77" s="832" t="s">
        <v>171</v>
      </c>
      <c r="C77" s="832"/>
      <c r="D77" s="832"/>
      <c r="E77" s="832"/>
      <c r="F77" s="832" t="str" cm="1">
        <f t="array" ref="F77">TRIM(SUBSTITUTE(SUBSTITUTE(INDEX(CY:CY,MATCH("      item_no: "&amp;A77&amp;",",CY:CY,0)+9,1),"item_name: ",""),",",""))</f>
        <v>果物</v>
      </c>
      <c r="G77" s="832"/>
      <c r="H77" s="832"/>
      <c r="I77" s="832"/>
      <c r="J77" s="832"/>
      <c r="K77" s="832"/>
      <c r="L77" s="884" t="str" cm="1">
        <f t="array" ref="L77">TRIM(SUBSTITUTE(SUBSTITUTE(INDEX(CY:CY,MATCH("      item_no: "&amp;A77&amp;",",CY:CY,0)+3,1),"item_scan_code: ",""),",",""))</f>
        <v>0900</v>
      </c>
      <c r="M77" s="884"/>
      <c r="N77" s="884"/>
      <c r="O77" s="884"/>
      <c r="P77" s="884"/>
      <c r="Q77" s="887" cm="1">
        <f t="array" ref="Q77">IF(AD77="true","",TRIM(SUBSTITUTE(SUBSTITUTE(INDEX(CY:CY,MATCH("      item_no: "&amp;A77&amp;",",CY:CY,0)+13,1),"item_price_fmt: ￥",""),",",""))+0)</f>
        <v>499</v>
      </c>
      <c r="R77" s="888"/>
      <c r="S77" s="836">
        <f t="shared" si="26"/>
        <v>0</v>
      </c>
      <c r="T77" s="837"/>
      <c r="U77" s="888" cm="1">
        <f t="array" ref="U77">IF(AD77="true","",TRIM(SUBSTITUTE(SUBSTITUTE(INDEX(CY:CY,MATCH("      item_no: "&amp;A77&amp;",",CY:CY,0)+14,1),"item_price_discount_fmt: ￥",""),",",""))+0)</f>
        <v>499</v>
      </c>
      <c r="V77" s="889"/>
      <c r="W77" s="885">
        <f ca="1">INT(SUMIF($Y$10:$AA77,"外税8%",$U$10:$V77)*1.08)+INT(SUMIF($Y$10:$AA77,"外税10%",$U$10:$V77)*1.1)+SUMIF($Y$10:$AA77,"内税10%",$U$10:$V77)+SUMIF($Y$10:$AA77,"非課税",$U$10:$V77)</f>
        <v>29570</v>
      </c>
      <c r="X77" s="886"/>
      <c r="Y77" s="842" t="str" cm="1">
        <f t="array" ref="Y77">TRIM(SUBSTITUTE(SUBSTITUTE(INDEX(CY:CY,MATCH("      item_no: "&amp;A77&amp;",",CY:CY,0)+15,1),"item_tax_fmt: ",""),",",""))</f>
        <v>外税8%</v>
      </c>
      <c r="Z77" s="843"/>
      <c r="AA77" s="843"/>
      <c r="AB77" s="844" t="str" cm="1">
        <f t="array" ref="AB77">TRIM(SUBSTITUTE(SUBSTITUTE(INDEX(CY:CY,MATCH("      item_no: "&amp;A77&amp;",",CY:CY,0)+18,1),"discount_prohibition:",""),",",""))</f>
        <v>0</v>
      </c>
      <c r="AC77" s="844"/>
      <c r="AD77" s="825" t="str" cm="1">
        <f t="array" ref="AD77">TRIM(SUBSTITUTE(SUBSTITUTE(INDEX(CY:CY,MATCH("      item_no: "&amp;A77&amp;",",CY:CY,0)+1,1),"item_cancel_line: ",""),",",""))</f>
        <v>false</v>
      </c>
      <c r="AE77" s="825"/>
      <c r="AF77" s="1093"/>
      <c r="AG77" s="1094"/>
      <c r="AH77" s="826">
        <f t="shared" si="27"/>
        <v>-24.950000000000003</v>
      </c>
      <c r="AI77" s="827"/>
      <c r="AJ77" s="838">
        <f t="shared" si="28"/>
        <v>499</v>
      </c>
      <c r="AK77" s="839"/>
      <c r="AL77" s="882">
        <f t="shared" si="29"/>
        <v>12</v>
      </c>
      <c r="AM77" s="883"/>
      <c r="AN77" s="830">
        <f t="shared" si="30"/>
        <v>-24</v>
      </c>
      <c r="AO77" s="831"/>
      <c r="AP77" s="830">
        <f t="shared" si="39"/>
        <v>-1</v>
      </c>
      <c r="AQ77" s="831"/>
      <c r="AR77" s="820"/>
      <c r="AS77" s="821"/>
      <c r="AT77" s="822">
        <f t="shared" si="15"/>
        <v>-25</v>
      </c>
      <c r="AU77" s="823"/>
      <c r="AV77" s="817">
        <f t="shared" si="31"/>
        <v>474</v>
      </c>
      <c r="AW77" s="824"/>
      <c r="AX77" s="816">
        <f t="shared" ca="1" si="32"/>
        <v>37</v>
      </c>
      <c r="AY77" s="817"/>
      <c r="AZ77" s="816">
        <v>1</v>
      </c>
      <c r="BA77" s="817"/>
      <c r="BB77" s="816" t="str">
        <f t="shared" si="33"/>
        <v/>
      </c>
      <c r="BC77" s="817"/>
      <c r="BD77" s="816"/>
      <c r="BE77" s="817"/>
      <c r="BF77" s="816" t="str">
        <f t="shared" si="34"/>
        <v/>
      </c>
      <c r="BG77" s="817"/>
      <c r="BH77" s="816"/>
      <c r="BI77" s="817"/>
      <c r="BJ77" s="816" t="str">
        <f t="shared" si="35"/>
        <v/>
      </c>
      <c r="BK77" s="817"/>
      <c r="BL77" s="816"/>
      <c r="BM77" s="817"/>
      <c r="BN77" s="818">
        <f t="shared" si="36"/>
        <v>511</v>
      </c>
      <c r="BO77" s="819"/>
      <c r="BP77" s="74" t="s">
        <v>80</v>
      </c>
      <c r="BQ77" s="801" t="str">
        <f t="shared" si="37"/>
        <v>外税8%</v>
      </c>
      <c r="BR77" s="801"/>
      <c r="BS77" s="802"/>
      <c r="BT77" s="1072"/>
      <c r="BU77" s="1073"/>
      <c r="BV77" s="1076"/>
      <c r="BW77" s="1078"/>
      <c r="CY77" s="62" t="s">
        <v>275</v>
      </c>
      <c r="DD77" s="62" t="s">
        <v>276</v>
      </c>
      <c r="DE77" s="33" t="s">
        <v>30</v>
      </c>
      <c r="DF77" s="62" t="s">
        <v>277</v>
      </c>
    </row>
    <row r="78" spans="1:110" ht="15" customHeight="1">
      <c r="A78" s="46">
        <f t="shared" si="38"/>
        <v>52</v>
      </c>
      <c r="B78" s="832" t="s">
        <v>278</v>
      </c>
      <c r="C78" s="832"/>
      <c r="D78" s="832"/>
      <c r="E78" s="832"/>
      <c r="F78" s="832" t="str" cm="1">
        <f t="array" ref="F78">TRIM(SUBSTITUTE(SUBSTITUTE(INDEX(CY:CY,MATCH("      item_no: "&amp;A78&amp;",",CY:CY,0)+9,1),"item_name: ",""),",",""))</f>
        <v>フロ−ラル</v>
      </c>
      <c r="G78" s="832"/>
      <c r="H78" s="832"/>
      <c r="I78" s="832"/>
      <c r="J78" s="832"/>
      <c r="K78" s="832"/>
      <c r="L78" s="884" t="str" cm="1">
        <f t="array" ref="L78">TRIM(SUBSTITUTE(SUBSTITUTE(INDEX(CY:CY,MATCH("      item_no: "&amp;A78&amp;",",CY:CY,0)+3,1),"item_scan_code: ",""),",",""))</f>
        <v>1500</v>
      </c>
      <c r="M78" s="884"/>
      <c r="N78" s="884"/>
      <c r="O78" s="884"/>
      <c r="P78" s="884"/>
      <c r="Q78" s="887" cm="1">
        <f t="array" ref="Q78">IF(AD78="true","",TRIM(SUBSTITUTE(SUBSTITUTE(INDEX(CY:CY,MATCH("      item_no: "&amp;A78&amp;",",CY:CY,0)+13,1),"item_price_fmt: ￥",""),",",""))+0)</f>
        <v>499</v>
      </c>
      <c r="R78" s="888"/>
      <c r="S78" s="836">
        <f t="shared" si="26"/>
        <v>0</v>
      </c>
      <c r="T78" s="837"/>
      <c r="U78" s="888" cm="1">
        <f t="array" ref="U78">IF(AD78="true","",TRIM(SUBSTITUTE(SUBSTITUTE(INDEX(CY:CY,MATCH("      item_no: "&amp;A78&amp;",",CY:CY,0)+14,1),"item_price_discount_fmt: ￥",""),",",""))+0)</f>
        <v>499</v>
      </c>
      <c r="V78" s="889"/>
      <c r="W78" s="885">
        <f ca="1">INT(SUMIF($Y$10:$AA78,"外税8%",$U$10:$V78)*1.08)+INT(SUMIF($Y$10:$AA78,"外税10%",$U$10:$V78)*1.1)+SUMIF($Y$10:$AA78,"内税10%",$U$10:$V78)+SUMIF($Y$10:$AA78,"非課税",$U$10:$V78)</f>
        <v>30119</v>
      </c>
      <c r="X78" s="886"/>
      <c r="Y78" s="842" t="str" cm="1">
        <f t="array" ref="Y78">TRIM(SUBSTITUTE(SUBSTITUTE(INDEX(CY:CY,MATCH("      item_no: "&amp;A78&amp;",",CY:CY,0)+15,1),"item_tax_fmt: ",""),",",""))</f>
        <v>外税10%</v>
      </c>
      <c r="Z78" s="843"/>
      <c r="AA78" s="843"/>
      <c r="AB78" s="844" t="str" cm="1">
        <f t="array" ref="AB78">TRIM(SUBSTITUTE(SUBSTITUTE(INDEX(CY:CY,MATCH("      item_no: "&amp;A78&amp;",",CY:CY,0)+18,1),"discount_prohibition:",""),",",""))</f>
        <v>0</v>
      </c>
      <c r="AC78" s="844"/>
      <c r="AD78" s="825" t="str" cm="1">
        <f t="array" ref="AD78">TRIM(SUBSTITUTE(SUBSTITUTE(INDEX(CY:CY,MATCH("      item_no: "&amp;A78&amp;",",CY:CY,0)+1,1),"item_cancel_line: ",""),",",""))</f>
        <v>false</v>
      </c>
      <c r="AE78" s="825"/>
      <c r="AF78" s="1093"/>
      <c r="AG78" s="1094"/>
      <c r="AH78" s="826">
        <f t="shared" si="27"/>
        <v>-24.950000000000003</v>
      </c>
      <c r="AI78" s="827"/>
      <c r="AJ78" s="838">
        <f t="shared" si="28"/>
        <v>499</v>
      </c>
      <c r="AK78" s="839"/>
      <c r="AL78" s="882">
        <f t="shared" si="29"/>
        <v>12</v>
      </c>
      <c r="AM78" s="883"/>
      <c r="AN78" s="830">
        <f t="shared" si="30"/>
        <v>-24</v>
      </c>
      <c r="AO78" s="831"/>
      <c r="AP78" s="830">
        <f t="shared" si="39"/>
        <v>-1</v>
      </c>
      <c r="AQ78" s="831"/>
      <c r="AR78" s="820"/>
      <c r="AS78" s="821"/>
      <c r="AT78" s="822">
        <f t="shared" si="15"/>
        <v>-25</v>
      </c>
      <c r="AU78" s="823"/>
      <c r="AV78" s="817">
        <f t="shared" si="31"/>
        <v>474</v>
      </c>
      <c r="AW78" s="824"/>
      <c r="AX78" s="816" t="str">
        <f t="shared" si="32"/>
        <v/>
      </c>
      <c r="AY78" s="817"/>
      <c r="AZ78" s="816"/>
      <c r="BA78" s="817"/>
      <c r="BB78" s="816">
        <f t="shared" ca="1" si="33"/>
        <v>47</v>
      </c>
      <c r="BC78" s="817"/>
      <c r="BD78" s="816">
        <v>1</v>
      </c>
      <c r="BE78" s="817"/>
      <c r="BF78" s="816" t="str">
        <f t="shared" si="34"/>
        <v/>
      </c>
      <c r="BG78" s="817"/>
      <c r="BH78" s="816"/>
      <c r="BI78" s="817"/>
      <c r="BJ78" s="816" t="str">
        <f t="shared" si="35"/>
        <v/>
      </c>
      <c r="BK78" s="817"/>
      <c r="BL78" s="816"/>
      <c r="BM78" s="817"/>
      <c r="BN78" s="818">
        <f t="shared" si="36"/>
        <v>521</v>
      </c>
      <c r="BO78" s="819"/>
      <c r="BP78" s="74" t="s">
        <v>80</v>
      </c>
      <c r="BQ78" s="801" t="str">
        <f t="shared" si="37"/>
        <v>外税10%</v>
      </c>
      <c r="BR78" s="801"/>
      <c r="BS78" s="802"/>
      <c r="BT78" s="1072"/>
      <c r="BU78" s="1073"/>
      <c r="BV78" s="1076"/>
      <c r="BW78" s="1078"/>
      <c r="CY78" s="62" t="s">
        <v>279</v>
      </c>
      <c r="DD78" s="62" t="s">
        <v>280</v>
      </c>
      <c r="DE78" s="33" t="s">
        <v>30</v>
      </c>
      <c r="DF78" s="62" t="s">
        <v>281</v>
      </c>
    </row>
    <row r="79" spans="1:110" ht="15" customHeight="1">
      <c r="A79" s="46">
        <f t="shared" si="38"/>
        <v>51</v>
      </c>
      <c r="B79" s="832" t="s">
        <v>181</v>
      </c>
      <c r="C79" s="832"/>
      <c r="D79" s="832"/>
      <c r="E79" s="832"/>
      <c r="F79" s="832" t="str" cm="1">
        <f t="array" ref="F79">TRIM(SUBSTITUTE(SUBSTITUTE(INDEX(CY:CY,MATCH("      item_no: "&amp;A79&amp;",",CY:CY,0)+9,1),"item_name: ",""),",",""))</f>
        <v>鮮魚</v>
      </c>
      <c r="G79" s="832"/>
      <c r="H79" s="832"/>
      <c r="I79" s="832"/>
      <c r="J79" s="832"/>
      <c r="K79" s="832"/>
      <c r="L79" s="884" t="str" cm="1">
        <f t="array" ref="L79">TRIM(SUBSTITUTE(SUBSTITUTE(INDEX(CY:CY,MATCH("      item_no: "&amp;A79&amp;",",CY:CY,0)+3,1),"item_scan_code: ",""),",",""))</f>
        <v>0400</v>
      </c>
      <c r="M79" s="884"/>
      <c r="N79" s="884"/>
      <c r="O79" s="884"/>
      <c r="P79" s="884"/>
      <c r="Q79" s="887" cm="1">
        <f t="array" ref="Q79">IF(AD79="true","",TRIM(SUBSTITUTE(SUBSTITUTE(INDEX(CY:CY,MATCH("      item_no: "&amp;A79&amp;",",CY:CY,0)+13,1),"item_price_fmt: ￥",""),",",""))+0)</f>
        <v>499</v>
      </c>
      <c r="R79" s="888"/>
      <c r="S79" s="836">
        <f t="shared" si="26"/>
        <v>0</v>
      </c>
      <c r="T79" s="837"/>
      <c r="U79" s="888" cm="1">
        <f t="array" ref="U79">IF(AD79="true","",TRIM(SUBSTITUTE(SUBSTITUTE(INDEX(CY:CY,MATCH("      item_no: "&amp;A79&amp;",",CY:CY,0)+14,1),"item_price_discount_fmt: ￥",""),",",""))+0)</f>
        <v>499</v>
      </c>
      <c r="V79" s="889"/>
      <c r="W79" s="885">
        <f ca="1">INT(SUMIF($Y$10:$AA79,"外税8%",$U$10:$V79)*1.08)+INT(SUMIF($Y$10:$AA79,"外税10%",$U$10:$V79)*1.1)+SUMIF($Y$10:$AA79,"内税10%",$U$10:$V79)+SUMIF($Y$10:$AA79,"非課税",$U$10:$V79)</f>
        <v>30658</v>
      </c>
      <c r="X79" s="886"/>
      <c r="Y79" s="842" t="str" cm="1">
        <f t="array" ref="Y79">TRIM(SUBSTITUTE(SUBSTITUTE(INDEX(CY:CY,MATCH("      item_no: "&amp;A79&amp;",",CY:CY,0)+15,1),"item_tax_fmt: ",""),",",""))</f>
        <v>外税8%</v>
      </c>
      <c r="Z79" s="843"/>
      <c r="AA79" s="843"/>
      <c r="AB79" s="844" t="str" cm="1">
        <f t="array" ref="AB79">TRIM(SUBSTITUTE(SUBSTITUTE(INDEX(CY:CY,MATCH("      item_no: "&amp;A79&amp;",",CY:CY,0)+18,1),"discount_prohibition:",""),",",""))</f>
        <v>0</v>
      </c>
      <c r="AC79" s="844"/>
      <c r="AD79" s="825" t="str" cm="1">
        <f t="array" ref="AD79">TRIM(SUBSTITUTE(SUBSTITUTE(INDEX(CY:CY,MATCH("      item_no: "&amp;A79&amp;",",CY:CY,0)+1,1),"item_cancel_line: ",""),",",""))</f>
        <v>false</v>
      </c>
      <c r="AE79" s="825"/>
      <c r="AF79" s="1093"/>
      <c r="AG79" s="1094"/>
      <c r="AH79" s="826">
        <f t="shared" si="27"/>
        <v>-24.950000000000003</v>
      </c>
      <c r="AI79" s="827"/>
      <c r="AJ79" s="838">
        <f t="shared" si="28"/>
        <v>499</v>
      </c>
      <c r="AK79" s="839"/>
      <c r="AL79" s="882">
        <f t="shared" si="29"/>
        <v>12</v>
      </c>
      <c r="AM79" s="883"/>
      <c r="AN79" s="830">
        <f t="shared" si="30"/>
        <v>-24</v>
      </c>
      <c r="AO79" s="831"/>
      <c r="AP79" s="830">
        <f t="shared" si="39"/>
        <v>-1</v>
      </c>
      <c r="AQ79" s="831"/>
      <c r="AR79" s="820"/>
      <c r="AS79" s="821"/>
      <c r="AT79" s="822">
        <f t="shared" si="15"/>
        <v>-25</v>
      </c>
      <c r="AU79" s="823"/>
      <c r="AV79" s="817">
        <f t="shared" si="31"/>
        <v>474</v>
      </c>
      <c r="AW79" s="824"/>
      <c r="AX79" s="816">
        <f t="shared" ca="1" si="32"/>
        <v>37</v>
      </c>
      <c r="AY79" s="817"/>
      <c r="AZ79" s="816">
        <v>1</v>
      </c>
      <c r="BA79" s="817"/>
      <c r="BB79" s="816" t="str">
        <f t="shared" si="33"/>
        <v/>
      </c>
      <c r="BC79" s="817"/>
      <c r="BD79" s="816"/>
      <c r="BE79" s="817"/>
      <c r="BF79" s="816" t="str">
        <f t="shared" si="34"/>
        <v/>
      </c>
      <c r="BG79" s="817"/>
      <c r="BH79" s="816"/>
      <c r="BI79" s="817"/>
      <c r="BJ79" s="816" t="str">
        <f t="shared" si="35"/>
        <v/>
      </c>
      <c r="BK79" s="817"/>
      <c r="BL79" s="816"/>
      <c r="BM79" s="817"/>
      <c r="BN79" s="818">
        <f t="shared" si="36"/>
        <v>511</v>
      </c>
      <c r="BO79" s="819"/>
      <c r="BP79" s="74" t="s">
        <v>80</v>
      </c>
      <c r="BQ79" s="801" t="str">
        <f t="shared" si="37"/>
        <v>外税8%</v>
      </c>
      <c r="BR79" s="801"/>
      <c r="BS79" s="802"/>
      <c r="BT79" s="1072"/>
      <c r="BU79" s="1073"/>
      <c r="BV79" s="1076"/>
      <c r="BW79" s="1078"/>
      <c r="CY79" s="62" t="s">
        <v>282</v>
      </c>
      <c r="DD79" s="62" t="s">
        <v>283</v>
      </c>
      <c r="DE79" s="33" t="s">
        <v>30</v>
      </c>
      <c r="DF79" s="62" t="s">
        <v>284</v>
      </c>
    </row>
    <row r="80" spans="1:110" ht="15" customHeight="1">
      <c r="A80" s="46">
        <f t="shared" si="38"/>
        <v>50</v>
      </c>
      <c r="B80" s="832" t="s">
        <v>188</v>
      </c>
      <c r="C80" s="832"/>
      <c r="D80" s="832"/>
      <c r="E80" s="832"/>
      <c r="F80" s="832" t="str" cm="1">
        <f t="array" ref="F80">TRIM(SUBSTITUTE(SUBSTITUTE(INDEX(CY:CY,MATCH("      item_no: "&amp;A80&amp;",",CY:CY,0)+9,1),"item_name: ",""),",",""))</f>
        <v>塩干</v>
      </c>
      <c r="G80" s="832"/>
      <c r="H80" s="832"/>
      <c r="I80" s="832"/>
      <c r="J80" s="832"/>
      <c r="K80" s="832"/>
      <c r="L80" s="884" t="str" cm="1">
        <f t="array" ref="L80">TRIM(SUBSTITUTE(SUBSTITUTE(INDEX(CY:CY,MATCH("      item_no: "&amp;A80&amp;",",CY:CY,0)+3,1),"item_scan_code: ",""),",",""))</f>
        <v>0600</v>
      </c>
      <c r="M80" s="884"/>
      <c r="N80" s="884"/>
      <c r="O80" s="884"/>
      <c r="P80" s="884"/>
      <c r="Q80" s="887" cm="1">
        <f t="array" ref="Q80">IF(AD80="true","",TRIM(SUBSTITUTE(SUBSTITUTE(INDEX(CY:CY,MATCH("      item_no: "&amp;A80&amp;",",CY:CY,0)+13,1),"item_price_fmt: ￥",""),",",""))+0)</f>
        <v>499</v>
      </c>
      <c r="R80" s="888"/>
      <c r="S80" s="836">
        <f t="shared" si="26"/>
        <v>0</v>
      </c>
      <c r="T80" s="837"/>
      <c r="U80" s="888" cm="1">
        <f t="array" ref="U80">IF(AD80="true","",TRIM(SUBSTITUTE(SUBSTITUTE(INDEX(CY:CY,MATCH("      item_no: "&amp;A80&amp;",",CY:CY,0)+14,1),"item_price_discount_fmt: ￥",""),",",""))+0)</f>
        <v>499</v>
      </c>
      <c r="V80" s="889"/>
      <c r="W80" s="885">
        <f ca="1">INT(SUMIF($Y$10:$AA80,"外税8%",$U$10:$V80)*1.08)+INT(SUMIF($Y$10:$AA80,"外税10%",$U$10:$V80)*1.1)+SUMIF($Y$10:$AA80,"内税10%",$U$10:$V80)+SUMIF($Y$10:$AA80,"非課税",$U$10:$V80)</f>
        <v>31197</v>
      </c>
      <c r="X80" s="886"/>
      <c r="Y80" s="842" t="str" cm="1">
        <f t="array" ref="Y80">TRIM(SUBSTITUTE(SUBSTITUTE(INDEX(CY:CY,MATCH("      item_no: "&amp;A80&amp;",",CY:CY,0)+15,1),"item_tax_fmt: ",""),",",""))</f>
        <v>外税8%</v>
      </c>
      <c r="Z80" s="843"/>
      <c r="AA80" s="843"/>
      <c r="AB80" s="844" t="str" cm="1">
        <f t="array" ref="AB80">TRIM(SUBSTITUTE(SUBSTITUTE(INDEX(CY:CY,MATCH("      item_no: "&amp;A80&amp;",",CY:CY,0)+18,1),"discount_prohibition:",""),",",""))</f>
        <v>0</v>
      </c>
      <c r="AC80" s="844"/>
      <c r="AD80" s="825" t="str" cm="1">
        <f t="array" ref="AD80">TRIM(SUBSTITUTE(SUBSTITUTE(INDEX(CY:CY,MATCH("      item_no: "&amp;A80&amp;",",CY:CY,0)+1,1),"item_cancel_line: ",""),",",""))</f>
        <v>false</v>
      </c>
      <c r="AE80" s="825"/>
      <c r="AF80" s="1093"/>
      <c r="AG80" s="1094"/>
      <c r="AH80" s="826">
        <f t="shared" si="27"/>
        <v>-24.950000000000003</v>
      </c>
      <c r="AI80" s="827"/>
      <c r="AJ80" s="838">
        <f t="shared" si="28"/>
        <v>499</v>
      </c>
      <c r="AK80" s="839"/>
      <c r="AL80" s="882">
        <f t="shared" si="29"/>
        <v>12</v>
      </c>
      <c r="AM80" s="883"/>
      <c r="AN80" s="830">
        <f t="shared" si="30"/>
        <v>-24</v>
      </c>
      <c r="AO80" s="831"/>
      <c r="AP80" s="830">
        <f t="shared" si="39"/>
        <v>-1</v>
      </c>
      <c r="AQ80" s="831"/>
      <c r="AR80" s="820"/>
      <c r="AS80" s="821"/>
      <c r="AT80" s="822">
        <f t="shared" si="15"/>
        <v>-25</v>
      </c>
      <c r="AU80" s="823"/>
      <c r="AV80" s="817">
        <f t="shared" si="31"/>
        <v>474</v>
      </c>
      <c r="AW80" s="824"/>
      <c r="AX80" s="816">
        <f t="shared" ca="1" si="32"/>
        <v>37</v>
      </c>
      <c r="AY80" s="817"/>
      <c r="AZ80" s="816">
        <v>1</v>
      </c>
      <c r="BA80" s="817"/>
      <c r="BB80" s="816" t="str">
        <f t="shared" si="33"/>
        <v/>
      </c>
      <c r="BC80" s="817"/>
      <c r="BD80" s="816"/>
      <c r="BE80" s="817"/>
      <c r="BF80" s="816" t="str">
        <f t="shared" si="34"/>
        <v/>
      </c>
      <c r="BG80" s="817"/>
      <c r="BH80" s="816"/>
      <c r="BI80" s="817"/>
      <c r="BJ80" s="816" t="str">
        <f t="shared" si="35"/>
        <v/>
      </c>
      <c r="BK80" s="817"/>
      <c r="BL80" s="816"/>
      <c r="BM80" s="817"/>
      <c r="BN80" s="818">
        <f t="shared" si="36"/>
        <v>511</v>
      </c>
      <c r="BO80" s="819"/>
      <c r="BP80" s="74" t="s">
        <v>80</v>
      </c>
      <c r="BQ80" s="801" t="str">
        <f t="shared" si="37"/>
        <v>外税8%</v>
      </c>
      <c r="BR80" s="801"/>
      <c r="BS80" s="802"/>
      <c r="BT80" s="1072"/>
      <c r="BU80" s="1073"/>
      <c r="BV80" s="1076"/>
      <c r="BW80" s="1078"/>
      <c r="CY80" s="62" t="s">
        <v>285</v>
      </c>
      <c r="DD80" s="62" t="s">
        <v>286</v>
      </c>
      <c r="DE80" s="33" t="s">
        <v>30</v>
      </c>
      <c r="DF80" s="62" t="s">
        <v>287</v>
      </c>
    </row>
    <row r="81" spans="1:110" ht="15" customHeight="1">
      <c r="A81" s="46">
        <f t="shared" si="38"/>
        <v>49</v>
      </c>
      <c r="B81" s="832" t="s">
        <v>193</v>
      </c>
      <c r="C81" s="832"/>
      <c r="D81" s="832"/>
      <c r="E81" s="832"/>
      <c r="F81" s="832" t="str" cm="1">
        <f t="array" ref="F81">TRIM(SUBSTITUTE(SUBSTITUTE(INDEX(CY:CY,MATCH("      item_no: "&amp;A81&amp;",",CY:CY,0)+9,1),"item_name: ",""),",",""))</f>
        <v>精肉</v>
      </c>
      <c r="G81" s="832"/>
      <c r="H81" s="832"/>
      <c r="I81" s="832"/>
      <c r="J81" s="832"/>
      <c r="K81" s="832"/>
      <c r="L81" s="884" t="str" cm="1">
        <f t="array" ref="L81">TRIM(SUBSTITUTE(SUBSTITUTE(INDEX(CY:CY,MATCH("      item_no: "&amp;A81&amp;",",CY:CY,0)+3,1),"item_scan_code: ",""),",",""))</f>
        <v>0500</v>
      </c>
      <c r="M81" s="884"/>
      <c r="N81" s="884"/>
      <c r="O81" s="884"/>
      <c r="P81" s="884"/>
      <c r="Q81" s="887" cm="1">
        <f t="array" ref="Q81">IF(AD81="true","",TRIM(SUBSTITUTE(SUBSTITUTE(INDEX(CY:CY,MATCH("      item_no: "&amp;A81&amp;",",CY:CY,0)+13,1),"item_price_fmt: ￥",""),",",""))+0)</f>
        <v>499</v>
      </c>
      <c r="R81" s="888"/>
      <c r="S81" s="836">
        <f t="shared" si="26"/>
        <v>0</v>
      </c>
      <c r="T81" s="837"/>
      <c r="U81" s="888" cm="1">
        <f t="array" ref="U81">IF(AD81="true","",TRIM(SUBSTITUTE(SUBSTITUTE(INDEX(CY:CY,MATCH("      item_no: "&amp;A81&amp;",",CY:CY,0)+14,1),"item_price_discount_fmt: ￥",""),",",""))+0)</f>
        <v>499</v>
      </c>
      <c r="V81" s="889"/>
      <c r="W81" s="885">
        <f ca="1">INT(SUMIF($Y$10:$AA81,"外税8%",$U$10:$V81)*1.08)+INT(SUMIF($Y$10:$AA81,"外税10%",$U$10:$V81)*1.1)+SUMIF($Y$10:$AA81,"内税10%",$U$10:$V81)+SUMIF($Y$10:$AA81,"非課税",$U$10:$V81)</f>
        <v>31736</v>
      </c>
      <c r="X81" s="886"/>
      <c r="Y81" s="842" t="str" cm="1">
        <f t="array" ref="Y81">TRIM(SUBSTITUTE(SUBSTITUTE(INDEX(CY:CY,MATCH("      item_no: "&amp;A81&amp;",",CY:CY,0)+15,1),"item_tax_fmt: ",""),",",""))</f>
        <v>外税8%</v>
      </c>
      <c r="Z81" s="843"/>
      <c r="AA81" s="843"/>
      <c r="AB81" s="844" t="str" cm="1">
        <f t="array" ref="AB81">TRIM(SUBSTITUTE(SUBSTITUTE(INDEX(CY:CY,MATCH("      item_no: "&amp;A81&amp;",",CY:CY,0)+18,1),"discount_prohibition:",""),",",""))</f>
        <v>0</v>
      </c>
      <c r="AC81" s="844"/>
      <c r="AD81" s="825" t="str" cm="1">
        <f t="array" ref="AD81">TRIM(SUBSTITUTE(SUBSTITUTE(INDEX(CY:CY,MATCH("      item_no: "&amp;A81&amp;",",CY:CY,0)+1,1),"item_cancel_line: ",""),",",""))</f>
        <v>false</v>
      </c>
      <c r="AE81" s="825"/>
      <c r="AF81" s="1093"/>
      <c r="AG81" s="1094"/>
      <c r="AH81" s="826">
        <f t="shared" si="27"/>
        <v>-24.950000000000003</v>
      </c>
      <c r="AI81" s="827"/>
      <c r="AJ81" s="838">
        <f t="shared" si="28"/>
        <v>499</v>
      </c>
      <c r="AK81" s="839"/>
      <c r="AL81" s="882">
        <f t="shared" si="29"/>
        <v>12</v>
      </c>
      <c r="AM81" s="883"/>
      <c r="AN81" s="830">
        <f t="shared" si="30"/>
        <v>-24</v>
      </c>
      <c r="AO81" s="831"/>
      <c r="AP81" s="830">
        <f t="shared" si="39"/>
        <v>-1</v>
      </c>
      <c r="AQ81" s="831"/>
      <c r="AR81" s="820"/>
      <c r="AS81" s="821"/>
      <c r="AT81" s="822">
        <f t="shared" si="15"/>
        <v>-25</v>
      </c>
      <c r="AU81" s="823"/>
      <c r="AV81" s="817">
        <f t="shared" si="31"/>
        <v>474</v>
      </c>
      <c r="AW81" s="824"/>
      <c r="AX81" s="816">
        <f t="shared" ca="1" si="32"/>
        <v>37</v>
      </c>
      <c r="AY81" s="817"/>
      <c r="AZ81" s="816">
        <v>1</v>
      </c>
      <c r="BA81" s="817"/>
      <c r="BB81" s="816" t="str">
        <f t="shared" si="33"/>
        <v/>
      </c>
      <c r="BC81" s="817"/>
      <c r="BD81" s="816"/>
      <c r="BE81" s="817"/>
      <c r="BF81" s="816" t="str">
        <f t="shared" si="34"/>
        <v/>
      </c>
      <c r="BG81" s="817"/>
      <c r="BH81" s="816"/>
      <c r="BI81" s="817"/>
      <c r="BJ81" s="816" t="str">
        <f t="shared" si="35"/>
        <v/>
      </c>
      <c r="BK81" s="817"/>
      <c r="BL81" s="816"/>
      <c r="BM81" s="817"/>
      <c r="BN81" s="818">
        <f t="shared" si="36"/>
        <v>511</v>
      </c>
      <c r="BO81" s="819"/>
      <c r="BP81" s="74" t="s">
        <v>80</v>
      </c>
      <c r="BQ81" s="801" t="str">
        <f t="shared" si="37"/>
        <v>外税8%</v>
      </c>
      <c r="BR81" s="801"/>
      <c r="BS81" s="802"/>
      <c r="BT81" s="1072"/>
      <c r="BU81" s="1073"/>
      <c r="BV81" s="1076"/>
      <c r="BW81" s="1078"/>
      <c r="CY81" s="62" t="s">
        <v>288</v>
      </c>
      <c r="DD81" s="62" t="s">
        <v>289</v>
      </c>
      <c r="DE81" s="33" t="s">
        <v>30</v>
      </c>
      <c r="DF81" s="62" t="s">
        <v>290</v>
      </c>
    </row>
    <row r="82" spans="1:110" ht="15" customHeight="1">
      <c r="A82" s="46">
        <f t="shared" si="38"/>
        <v>48</v>
      </c>
      <c r="B82" s="832" t="s">
        <v>150</v>
      </c>
      <c r="C82" s="832"/>
      <c r="D82" s="832"/>
      <c r="E82" s="832"/>
      <c r="F82" s="832" t="str" cm="1">
        <f t="array" ref="F82">TRIM(SUBSTITUTE(SUBSTITUTE(INDEX(CY:CY,MATCH("      item_no: "&amp;A82&amp;",",CY:CY,0)+9,1),"item_name: ",""),",",""))</f>
        <v>テ゛イリ−</v>
      </c>
      <c r="G82" s="832"/>
      <c r="H82" s="832"/>
      <c r="I82" s="832"/>
      <c r="J82" s="832"/>
      <c r="K82" s="832"/>
      <c r="L82" s="884" t="str" cm="1">
        <f t="array" ref="L82">TRIM(SUBSTITUTE(SUBSTITUTE(INDEX(CY:CY,MATCH("      item_no: "&amp;A82&amp;",",CY:CY,0)+3,1),"item_scan_code: ",""),",",""))</f>
        <v>1000</v>
      </c>
      <c r="M82" s="884"/>
      <c r="N82" s="884"/>
      <c r="O82" s="884"/>
      <c r="P82" s="884"/>
      <c r="Q82" s="834" cm="1">
        <f t="array" ref="Q82">IF(AD82="true","",TRIM(SUBSTITUTE(SUBSTITUTE(INDEX(CY:CY,MATCH("      item_no: "&amp;A82&amp;",",CY:CY,0)+13,1),"item_price_fmt: ￥",""),",",""))+0)</f>
        <v>499</v>
      </c>
      <c r="R82" s="835"/>
      <c r="S82" s="836">
        <f t="shared" si="26"/>
        <v>0</v>
      </c>
      <c r="T82" s="837"/>
      <c r="U82" s="838" cm="1">
        <f t="array" ref="U82">IF(AD82="true","",TRIM(SUBSTITUTE(SUBSTITUTE(INDEX(CY:CY,MATCH("      item_no: "&amp;A82&amp;",",CY:CY,0)+14,1),"item_price_discount_fmt: ￥",""),",",""))+0)</f>
        <v>499</v>
      </c>
      <c r="V82" s="839"/>
      <c r="W82" s="885">
        <f ca="1">INT(SUMIF($Y$10:$AA82,"外税8%",$U$10:$V82)*1.08)+INT(SUMIF($Y$10:$AA82,"外税10%",$U$10:$V82)*1.1)+SUMIF($Y$10:$AA82,"内税10%",$U$10:$V82)+SUMIF($Y$10:$AA82,"非課税",$U$10:$V82)</f>
        <v>32275</v>
      </c>
      <c r="X82" s="886"/>
      <c r="Y82" s="842" t="str" cm="1">
        <f t="array" ref="Y82">TRIM(SUBSTITUTE(SUBSTITUTE(INDEX(CY:CY,MATCH("      item_no: "&amp;A82&amp;",",CY:CY,0)+15,1),"item_tax_fmt: ",""),",",""))</f>
        <v>外税8%</v>
      </c>
      <c r="Z82" s="843"/>
      <c r="AA82" s="843"/>
      <c r="AB82" s="844" t="str" cm="1">
        <f t="array" ref="AB82">TRIM(SUBSTITUTE(SUBSTITUTE(INDEX(CY:CY,MATCH("      item_no: "&amp;A82&amp;",",CY:CY,0)+18,1),"discount_prohibition:",""),",",""))</f>
        <v>0</v>
      </c>
      <c r="AC82" s="844"/>
      <c r="AD82" s="825" t="str" cm="1">
        <f t="array" ref="AD82">TRIM(SUBSTITUTE(SUBSTITUTE(INDEX(CY:CY,MATCH("      item_no: "&amp;A82&amp;",",CY:CY,0)+1,1),"item_cancel_line: ",""),",",""))</f>
        <v>false</v>
      </c>
      <c r="AE82" s="825"/>
      <c r="AF82" s="1093"/>
      <c r="AG82" s="1094"/>
      <c r="AH82" s="826">
        <f t="shared" si="27"/>
        <v>-24.950000000000003</v>
      </c>
      <c r="AI82" s="827"/>
      <c r="AJ82" s="838">
        <f t="shared" si="28"/>
        <v>499</v>
      </c>
      <c r="AK82" s="839"/>
      <c r="AL82" s="882">
        <f t="shared" si="29"/>
        <v>12</v>
      </c>
      <c r="AM82" s="883"/>
      <c r="AN82" s="830">
        <f t="shared" si="30"/>
        <v>-24</v>
      </c>
      <c r="AO82" s="831"/>
      <c r="AP82" s="830">
        <f t="shared" si="39"/>
        <v>-1</v>
      </c>
      <c r="AQ82" s="831"/>
      <c r="AR82" s="820"/>
      <c r="AS82" s="821"/>
      <c r="AT82" s="822">
        <f t="shared" si="15"/>
        <v>-25</v>
      </c>
      <c r="AU82" s="823"/>
      <c r="AV82" s="817">
        <f t="shared" si="31"/>
        <v>474</v>
      </c>
      <c r="AW82" s="824"/>
      <c r="AX82" s="816">
        <f t="shared" ca="1" si="32"/>
        <v>37</v>
      </c>
      <c r="AY82" s="817"/>
      <c r="AZ82" s="816">
        <v>1</v>
      </c>
      <c r="BA82" s="817"/>
      <c r="BB82" s="816" t="str">
        <f t="shared" si="33"/>
        <v/>
      </c>
      <c r="BC82" s="817"/>
      <c r="BD82" s="816"/>
      <c r="BE82" s="817"/>
      <c r="BF82" s="816" t="str">
        <f t="shared" si="34"/>
        <v/>
      </c>
      <c r="BG82" s="817"/>
      <c r="BH82" s="816"/>
      <c r="BI82" s="817"/>
      <c r="BJ82" s="816" t="str">
        <f t="shared" si="35"/>
        <v/>
      </c>
      <c r="BK82" s="817"/>
      <c r="BL82" s="816"/>
      <c r="BM82" s="817"/>
      <c r="BN82" s="818">
        <f t="shared" si="36"/>
        <v>511</v>
      </c>
      <c r="BO82" s="819"/>
      <c r="BP82" s="74" t="s">
        <v>80</v>
      </c>
      <c r="BQ82" s="801" t="str">
        <f t="shared" si="37"/>
        <v>外税8%</v>
      </c>
      <c r="BR82" s="801"/>
      <c r="BS82" s="802"/>
      <c r="BT82" s="1072"/>
      <c r="BU82" s="1073"/>
      <c r="BV82" s="1076"/>
      <c r="BW82" s="1078"/>
      <c r="CY82" s="62" t="s">
        <v>291</v>
      </c>
      <c r="DD82" s="62" t="s">
        <v>292</v>
      </c>
      <c r="DE82" s="33" t="s">
        <v>30</v>
      </c>
      <c r="DF82" s="62" t="s">
        <v>293</v>
      </c>
    </row>
    <row r="83" spans="1:110" ht="15" customHeight="1">
      <c r="A83" s="46">
        <f t="shared" si="38"/>
        <v>47</v>
      </c>
      <c r="B83" s="832" t="s">
        <v>158</v>
      </c>
      <c r="C83" s="832"/>
      <c r="D83" s="832"/>
      <c r="E83" s="832"/>
      <c r="F83" s="832" t="str" cm="1">
        <f t="array" ref="F83">TRIM(SUBSTITUTE(SUBSTITUTE(INDEX(CY:CY,MATCH("      item_no: "&amp;A83&amp;",",CY:CY,0)+9,1),"item_name: ",""),",",""))</f>
        <v>乳製品・冷食</v>
      </c>
      <c r="G83" s="832"/>
      <c r="H83" s="832"/>
      <c r="I83" s="832"/>
      <c r="J83" s="832"/>
      <c r="K83" s="832"/>
      <c r="L83" s="884" t="str" cm="1">
        <f t="array" ref="L83">TRIM(SUBSTITUTE(SUBSTITUTE(INDEX(CY:CY,MATCH("      item_no: "&amp;A83&amp;",",CY:CY,0)+3,1),"item_scan_code: ",""),",",""))</f>
        <v>1100</v>
      </c>
      <c r="M83" s="884"/>
      <c r="N83" s="884"/>
      <c r="O83" s="884"/>
      <c r="P83" s="884"/>
      <c r="Q83" s="834" cm="1">
        <f t="array" ref="Q83">IF(AD83="true","",TRIM(SUBSTITUTE(SUBSTITUTE(INDEX(CY:CY,MATCH("      item_no: "&amp;A83&amp;",",CY:CY,0)+13,1),"item_price_fmt: ￥",""),",",""))+0)</f>
        <v>499</v>
      </c>
      <c r="R83" s="835"/>
      <c r="S83" s="836">
        <f t="shared" si="26"/>
        <v>0</v>
      </c>
      <c r="T83" s="837"/>
      <c r="U83" s="838" cm="1">
        <f t="array" ref="U83">IF(AD83="true","",TRIM(SUBSTITUTE(SUBSTITUTE(INDEX(CY:CY,MATCH("      item_no: "&amp;A83&amp;",",CY:CY,0)+14,1),"item_price_discount_fmt: ￥",""),",",""))+0)</f>
        <v>499</v>
      </c>
      <c r="V83" s="839"/>
      <c r="W83" s="885">
        <f ca="1">INT(SUMIF($Y$10:$AA83,"外税8%",$U$10:$V83)*1.08)+INT(SUMIF($Y$10:$AA83,"外税10%",$U$10:$V83)*1.1)+SUMIF($Y$10:$AA83,"内税10%",$U$10:$V83)+SUMIF($Y$10:$AA83,"非課税",$U$10:$V83)</f>
        <v>32814</v>
      </c>
      <c r="X83" s="886"/>
      <c r="Y83" s="842" t="str" cm="1">
        <f t="array" ref="Y83">TRIM(SUBSTITUTE(SUBSTITUTE(INDEX(CY:CY,MATCH("      item_no: "&amp;A83&amp;",",CY:CY,0)+15,1),"item_tax_fmt: ",""),",",""))</f>
        <v>外税8%</v>
      </c>
      <c r="Z83" s="843"/>
      <c r="AA83" s="843"/>
      <c r="AB83" s="844" t="str" cm="1">
        <f t="array" ref="AB83">TRIM(SUBSTITUTE(SUBSTITUTE(INDEX(CY:CY,MATCH("      item_no: "&amp;A83&amp;",",CY:CY,0)+18,1),"discount_prohibition:",""),",",""))</f>
        <v>0</v>
      </c>
      <c r="AC83" s="844"/>
      <c r="AD83" s="825" t="str" cm="1">
        <f t="array" ref="AD83">TRIM(SUBSTITUTE(SUBSTITUTE(INDEX(CY:CY,MATCH("      item_no: "&amp;A83&amp;",",CY:CY,0)+1,1),"item_cancel_line: ",""),",",""))</f>
        <v>false</v>
      </c>
      <c r="AE83" s="825"/>
      <c r="AF83" s="1093"/>
      <c r="AG83" s="1094"/>
      <c r="AH83" s="826">
        <f t="shared" si="27"/>
        <v>-24.950000000000003</v>
      </c>
      <c r="AI83" s="827"/>
      <c r="AJ83" s="838">
        <f t="shared" si="28"/>
        <v>499</v>
      </c>
      <c r="AK83" s="839"/>
      <c r="AL83" s="882">
        <f t="shared" si="29"/>
        <v>12</v>
      </c>
      <c r="AM83" s="883"/>
      <c r="AN83" s="830">
        <f t="shared" si="30"/>
        <v>-24</v>
      </c>
      <c r="AO83" s="831"/>
      <c r="AP83" s="830">
        <f t="shared" si="39"/>
        <v>-1</v>
      </c>
      <c r="AQ83" s="831"/>
      <c r="AR83" s="820"/>
      <c r="AS83" s="821"/>
      <c r="AT83" s="822">
        <f t="shared" si="15"/>
        <v>-25</v>
      </c>
      <c r="AU83" s="823"/>
      <c r="AV83" s="817">
        <f t="shared" si="31"/>
        <v>474</v>
      </c>
      <c r="AW83" s="824"/>
      <c r="AX83" s="816">
        <f t="shared" ca="1" si="32"/>
        <v>37</v>
      </c>
      <c r="AY83" s="817"/>
      <c r="AZ83" s="816">
        <v>1</v>
      </c>
      <c r="BA83" s="817"/>
      <c r="BB83" s="816" t="str">
        <f t="shared" si="33"/>
        <v/>
      </c>
      <c r="BC83" s="817"/>
      <c r="BD83" s="816"/>
      <c r="BE83" s="817"/>
      <c r="BF83" s="816" t="str">
        <f t="shared" si="34"/>
        <v/>
      </c>
      <c r="BG83" s="817"/>
      <c r="BH83" s="816"/>
      <c r="BI83" s="817"/>
      <c r="BJ83" s="816" t="str">
        <f t="shared" si="35"/>
        <v/>
      </c>
      <c r="BK83" s="817"/>
      <c r="BL83" s="816"/>
      <c r="BM83" s="817"/>
      <c r="BN83" s="818">
        <f t="shared" si="36"/>
        <v>511</v>
      </c>
      <c r="BO83" s="819"/>
      <c r="BP83" s="74" t="s">
        <v>80</v>
      </c>
      <c r="BQ83" s="801" t="str">
        <f t="shared" si="37"/>
        <v>外税8%</v>
      </c>
      <c r="BR83" s="801"/>
      <c r="BS83" s="802"/>
      <c r="BT83" s="1072"/>
      <c r="BU83" s="1073"/>
      <c r="BV83" s="1076"/>
      <c r="BW83" s="1078"/>
      <c r="CY83" s="62" t="s">
        <v>294</v>
      </c>
      <c r="DD83" s="62" t="s">
        <v>295</v>
      </c>
      <c r="DE83" s="33" t="s">
        <v>30</v>
      </c>
      <c r="DF83" s="62" t="s">
        <v>296</v>
      </c>
    </row>
    <row r="84" spans="1:110" ht="15" customHeight="1">
      <c r="A84" s="46">
        <f t="shared" si="38"/>
        <v>46</v>
      </c>
      <c r="B84" s="832" t="s">
        <v>154</v>
      </c>
      <c r="C84" s="832"/>
      <c r="D84" s="832"/>
      <c r="E84" s="832"/>
      <c r="F84" s="832" t="str" cm="1">
        <f t="array" ref="F84">TRIM(SUBSTITUTE(SUBSTITUTE(INDEX(CY:CY,MATCH("      item_no: "&amp;A84&amp;",",CY:CY,0)+9,1),"item_name: ",""),",",""))</f>
        <v>ベ−カリ−</v>
      </c>
      <c r="G84" s="832"/>
      <c r="H84" s="832"/>
      <c r="I84" s="832"/>
      <c r="J84" s="832"/>
      <c r="K84" s="832"/>
      <c r="L84" s="884" t="str" cm="1">
        <f t="array" ref="L84">TRIM(SUBSTITUTE(SUBSTITUTE(INDEX(CY:CY,MATCH("      item_no: "&amp;A84&amp;",",CY:CY,0)+3,1),"item_scan_code: ",""),",",""))</f>
        <v>3400</v>
      </c>
      <c r="M84" s="884"/>
      <c r="N84" s="884"/>
      <c r="O84" s="884"/>
      <c r="P84" s="884"/>
      <c r="Q84" s="834" cm="1">
        <f t="array" ref="Q84">IF(AD84="true","",TRIM(SUBSTITUTE(SUBSTITUTE(INDEX(CY:CY,MATCH("      item_no: "&amp;A84&amp;",",CY:CY,0)+13,1),"item_price_fmt: ￥",""),",",""))+0)</f>
        <v>499</v>
      </c>
      <c r="R84" s="835"/>
      <c r="S84" s="836">
        <f t="shared" si="26"/>
        <v>0</v>
      </c>
      <c r="T84" s="837"/>
      <c r="U84" s="838" cm="1">
        <f t="array" ref="U84">IF(AD84="true","",TRIM(SUBSTITUTE(SUBSTITUTE(INDEX(CY:CY,MATCH("      item_no: "&amp;A84&amp;",",CY:CY,0)+14,1),"item_price_discount_fmt: ￥",""),",",""))+0)</f>
        <v>499</v>
      </c>
      <c r="V84" s="839"/>
      <c r="W84" s="885">
        <f ca="1">INT(SUMIF($Y$10:$AA84,"外税8%",$U$10:$V84)*1.08)+INT(SUMIF($Y$10:$AA84,"外税10%",$U$10:$V84)*1.1)+SUMIF($Y$10:$AA84,"内税10%",$U$10:$V84)+SUMIF($Y$10:$AA84,"非課税",$U$10:$V84)</f>
        <v>33353</v>
      </c>
      <c r="X84" s="886"/>
      <c r="Y84" s="842" t="str" cm="1">
        <f t="array" ref="Y84">TRIM(SUBSTITUTE(SUBSTITUTE(INDEX(CY:CY,MATCH("      item_no: "&amp;A84&amp;",",CY:CY,0)+15,1),"item_tax_fmt: ",""),",",""))</f>
        <v>外税8%</v>
      </c>
      <c r="Z84" s="843"/>
      <c r="AA84" s="843"/>
      <c r="AB84" s="844" t="str" cm="1">
        <f t="array" ref="AB84">TRIM(SUBSTITUTE(SUBSTITUTE(INDEX(CY:CY,MATCH("      item_no: "&amp;A84&amp;",",CY:CY,0)+18,1),"discount_prohibition:",""),",",""))</f>
        <v>0</v>
      </c>
      <c r="AC84" s="844"/>
      <c r="AD84" s="825" t="str" cm="1">
        <f t="array" ref="AD84">TRIM(SUBSTITUTE(SUBSTITUTE(INDEX(CY:CY,MATCH("      item_no: "&amp;A84&amp;",",CY:CY,0)+1,1),"item_cancel_line: ",""),",",""))</f>
        <v>false</v>
      </c>
      <c r="AE84" s="825"/>
      <c r="AF84" s="1093"/>
      <c r="AG84" s="1094"/>
      <c r="AH84" s="826">
        <f t="shared" si="27"/>
        <v>-24.950000000000003</v>
      </c>
      <c r="AI84" s="827"/>
      <c r="AJ84" s="838">
        <f t="shared" si="28"/>
        <v>499</v>
      </c>
      <c r="AK84" s="839"/>
      <c r="AL84" s="882">
        <f t="shared" si="29"/>
        <v>12</v>
      </c>
      <c r="AM84" s="883"/>
      <c r="AN84" s="830">
        <f t="shared" si="30"/>
        <v>-24</v>
      </c>
      <c r="AO84" s="831"/>
      <c r="AP84" s="830">
        <f t="shared" si="39"/>
        <v>-1</v>
      </c>
      <c r="AQ84" s="831"/>
      <c r="AR84" s="820"/>
      <c r="AS84" s="821"/>
      <c r="AT84" s="822">
        <f t="shared" si="15"/>
        <v>-25</v>
      </c>
      <c r="AU84" s="823"/>
      <c r="AV84" s="817">
        <f t="shared" si="31"/>
        <v>474</v>
      </c>
      <c r="AW84" s="824"/>
      <c r="AX84" s="816">
        <f t="shared" ca="1" si="32"/>
        <v>37</v>
      </c>
      <c r="AY84" s="817"/>
      <c r="AZ84" s="816">
        <v>1</v>
      </c>
      <c r="BA84" s="817"/>
      <c r="BB84" s="816" t="str">
        <f t="shared" si="33"/>
        <v/>
      </c>
      <c r="BC84" s="817"/>
      <c r="BD84" s="816"/>
      <c r="BE84" s="817"/>
      <c r="BF84" s="816" t="str">
        <f t="shared" si="34"/>
        <v/>
      </c>
      <c r="BG84" s="817"/>
      <c r="BH84" s="816"/>
      <c r="BI84" s="817"/>
      <c r="BJ84" s="816" t="str">
        <f t="shared" si="35"/>
        <v/>
      </c>
      <c r="BK84" s="817"/>
      <c r="BL84" s="816"/>
      <c r="BM84" s="817"/>
      <c r="BN84" s="818">
        <f t="shared" si="36"/>
        <v>511</v>
      </c>
      <c r="BO84" s="819"/>
      <c r="BP84" s="74" t="s">
        <v>80</v>
      </c>
      <c r="BQ84" s="801" t="str">
        <f t="shared" si="37"/>
        <v>外税8%</v>
      </c>
      <c r="BR84" s="801"/>
      <c r="BS84" s="802"/>
      <c r="BT84" s="1072"/>
      <c r="BU84" s="1073"/>
      <c r="BV84" s="1076"/>
      <c r="BW84" s="1078"/>
      <c r="CY84" s="62" t="s">
        <v>297</v>
      </c>
      <c r="DD84" s="62" t="s">
        <v>298</v>
      </c>
      <c r="DE84" s="33" t="s">
        <v>30</v>
      </c>
      <c r="DF84" s="62" t="s">
        <v>299</v>
      </c>
    </row>
    <row r="85" spans="1:110" ht="15" customHeight="1">
      <c r="A85" s="46">
        <f t="shared" si="38"/>
        <v>45</v>
      </c>
      <c r="B85" s="832" t="s">
        <v>214</v>
      </c>
      <c r="C85" s="832"/>
      <c r="D85" s="832"/>
      <c r="E85" s="832"/>
      <c r="F85" s="832" t="str" cm="1">
        <f t="array" ref="F85">TRIM(SUBSTITUTE(SUBSTITUTE(INDEX(CY:CY,MATCH("      item_no: "&amp;A85&amp;",",CY:CY,0)+9,1),"item_name: ",""),",",""))</f>
        <v>ホ゛ンマタン</v>
      </c>
      <c r="G85" s="832"/>
      <c r="H85" s="832"/>
      <c r="I85" s="832"/>
      <c r="J85" s="832"/>
      <c r="K85" s="832"/>
      <c r="L85" s="884" t="str" cm="1">
        <f t="array" ref="L85">TRIM(SUBSTITUTE(SUBSTITUTE(INDEX(CY:CY,MATCH("      item_no: "&amp;A85&amp;",",CY:CY,0)+3,1),"item_scan_code: ",""),",",""))</f>
        <v>4300</v>
      </c>
      <c r="M85" s="884"/>
      <c r="N85" s="884"/>
      <c r="O85" s="884"/>
      <c r="P85" s="884"/>
      <c r="Q85" s="834" cm="1">
        <f t="array" ref="Q85">IF(AD85="true","",TRIM(SUBSTITUTE(SUBSTITUTE(INDEX(CY:CY,MATCH("      item_no: "&amp;A85&amp;",",CY:CY,0)+13,1),"item_price_fmt: ￥",""),",",""))+0)</f>
        <v>499</v>
      </c>
      <c r="R85" s="835"/>
      <c r="S85" s="836">
        <f t="shared" si="26"/>
        <v>0</v>
      </c>
      <c r="T85" s="837"/>
      <c r="U85" s="838" cm="1">
        <f t="array" ref="U85">IF(AD85="true","",TRIM(SUBSTITUTE(SUBSTITUTE(INDEX(CY:CY,MATCH("      item_no: "&amp;A85&amp;",",CY:CY,0)+14,1),"item_price_discount_fmt: ￥",""),",",""))+0)</f>
        <v>499</v>
      </c>
      <c r="V85" s="839"/>
      <c r="W85" s="885">
        <f ca="1">INT(SUMIF($Y$10:$AA85,"外税8%",$U$10:$V85)*1.08)+INT(SUMIF($Y$10:$AA85,"外税10%",$U$10:$V85)*1.1)+SUMIF($Y$10:$AA85,"内税10%",$U$10:$V85)+SUMIF($Y$10:$AA85,"非課税",$U$10:$V85)</f>
        <v>33892</v>
      </c>
      <c r="X85" s="886"/>
      <c r="Y85" s="842" t="str" cm="1">
        <f t="array" ref="Y85">TRIM(SUBSTITUTE(SUBSTITUTE(INDEX(CY:CY,MATCH("      item_no: "&amp;A85&amp;",",CY:CY,0)+15,1),"item_tax_fmt: ",""),",",""))</f>
        <v>外税8%</v>
      </c>
      <c r="Z85" s="843"/>
      <c r="AA85" s="843"/>
      <c r="AB85" s="844" t="str" cm="1">
        <f t="array" ref="AB85">TRIM(SUBSTITUTE(SUBSTITUTE(INDEX(CY:CY,MATCH("      item_no: "&amp;A85&amp;",",CY:CY,0)+18,1),"discount_prohibition:",""),",",""))</f>
        <v>0</v>
      </c>
      <c r="AC85" s="844"/>
      <c r="AD85" s="825" t="str" cm="1">
        <f t="array" ref="AD85">TRIM(SUBSTITUTE(SUBSTITUTE(INDEX(CY:CY,MATCH("      item_no: "&amp;A85&amp;",",CY:CY,0)+1,1),"item_cancel_line: ",""),",",""))</f>
        <v>false</v>
      </c>
      <c r="AE85" s="825"/>
      <c r="AF85" s="1093"/>
      <c r="AG85" s="1094"/>
      <c r="AH85" s="826">
        <f t="shared" si="27"/>
        <v>-24.950000000000003</v>
      </c>
      <c r="AI85" s="827"/>
      <c r="AJ85" s="838">
        <f t="shared" si="28"/>
        <v>499</v>
      </c>
      <c r="AK85" s="839"/>
      <c r="AL85" s="882">
        <f t="shared" si="29"/>
        <v>12</v>
      </c>
      <c r="AM85" s="883"/>
      <c r="AN85" s="830">
        <f t="shared" si="30"/>
        <v>-24</v>
      </c>
      <c r="AO85" s="831"/>
      <c r="AP85" s="830">
        <f t="shared" si="39"/>
        <v>-1</v>
      </c>
      <c r="AQ85" s="831"/>
      <c r="AR85" s="820"/>
      <c r="AS85" s="821"/>
      <c r="AT85" s="822">
        <f t="shared" si="15"/>
        <v>-25</v>
      </c>
      <c r="AU85" s="823"/>
      <c r="AV85" s="817">
        <f t="shared" si="31"/>
        <v>474</v>
      </c>
      <c r="AW85" s="824"/>
      <c r="AX85" s="816">
        <f t="shared" ca="1" si="32"/>
        <v>37</v>
      </c>
      <c r="AY85" s="817"/>
      <c r="AZ85" s="816">
        <v>1</v>
      </c>
      <c r="BA85" s="817"/>
      <c r="BB85" s="816" t="str">
        <f t="shared" si="33"/>
        <v/>
      </c>
      <c r="BC85" s="817"/>
      <c r="BD85" s="816"/>
      <c r="BE85" s="817"/>
      <c r="BF85" s="816" t="str">
        <f t="shared" si="34"/>
        <v/>
      </c>
      <c r="BG85" s="817"/>
      <c r="BH85" s="816"/>
      <c r="BI85" s="817"/>
      <c r="BJ85" s="816" t="str">
        <f t="shared" si="35"/>
        <v/>
      </c>
      <c r="BK85" s="817"/>
      <c r="BL85" s="816"/>
      <c r="BM85" s="817"/>
      <c r="BN85" s="818">
        <f t="shared" si="36"/>
        <v>511</v>
      </c>
      <c r="BO85" s="819"/>
      <c r="BP85" s="74" t="s">
        <v>80</v>
      </c>
      <c r="BQ85" s="801" t="str">
        <f t="shared" si="37"/>
        <v>外税8%</v>
      </c>
      <c r="BR85" s="801"/>
      <c r="BS85" s="802"/>
      <c r="BT85" s="1072"/>
      <c r="BU85" s="1073"/>
      <c r="BV85" s="1076"/>
      <c r="BW85" s="1078"/>
      <c r="CY85" s="62" t="s">
        <v>300</v>
      </c>
      <c r="DD85" s="62" t="s">
        <v>301</v>
      </c>
      <c r="DE85" s="33" t="s">
        <v>30</v>
      </c>
      <c r="DF85" s="62" t="s">
        <v>302</v>
      </c>
    </row>
    <row r="86" spans="1:110" ht="15" customHeight="1">
      <c r="A86" s="46">
        <f t="shared" si="38"/>
        <v>44</v>
      </c>
      <c r="B86" s="832" t="s">
        <v>130</v>
      </c>
      <c r="C86" s="832"/>
      <c r="D86" s="832"/>
      <c r="E86" s="832"/>
      <c r="F86" s="832" t="str" cm="1">
        <f t="array" ref="F86">TRIM(SUBSTITUTE(SUBSTITUTE(INDEX(CY:CY,MATCH("      item_no: "&amp;A86&amp;",",CY:CY,0)+9,1),"item_name: ",""),",",""))</f>
        <v>米</v>
      </c>
      <c r="G86" s="832"/>
      <c r="H86" s="832"/>
      <c r="I86" s="832"/>
      <c r="J86" s="832"/>
      <c r="K86" s="832"/>
      <c r="L86" s="884" t="str" cm="1">
        <f t="array" ref="L86">TRIM(SUBSTITUTE(SUBSTITUTE(INDEX(CY:CY,MATCH("      item_no: "&amp;A86&amp;",",CY:CY,0)+3,1),"item_scan_code: ",""),",",""))</f>
        <v>5400</v>
      </c>
      <c r="M86" s="884"/>
      <c r="N86" s="884"/>
      <c r="O86" s="884"/>
      <c r="P86" s="884"/>
      <c r="Q86" s="834" cm="1">
        <f t="array" ref="Q86">IF(AD86="true","",TRIM(SUBSTITUTE(SUBSTITUTE(INDEX(CY:CY,MATCH("      item_no: "&amp;A86&amp;",",CY:CY,0)+13,1),"item_price_fmt: ￥",""),",",""))+0)</f>
        <v>499</v>
      </c>
      <c r="R86" s="835"/>
      <c r="S86" s="836">
        <f t="shared" si="26"/>
        <v>0</v>
      </c>
      <c r="T86" s="837"/>
      <c r="U86" s="838" cm="1">
        <f t="array" ref="U86">IF(AD86="true","",TRIM(SUBSTITUTE(SUBSTITUTE(INDEX(CY:CY,MATCH("      item_no: "&amp;A86&amp;",",CY:CY,0)+14,1),"item_price_discount_fmt: ￥",""),",",""))+0)</f>
        <v>499</v>
      </c>
      <c r="V86" s="839"/>
      <c r="W86" s="840">
        <f ca="1">INT(SUMIF($Y$10:$AA86,"外税8%",$U$10:$V86)*1.08)+INT(SUMIF($Y$10:$AA86,"外税10%",$U$10:$V86)*1.1)+SUMIF($Y$10:$AA86,"内税10%",$U$10:$V86)+SUMIF($Y$10:$AA86,"非課税",$U$10:$V86)</f>
        <v>34431</v>
      </c>
      <c r="X86" s="841"/>
      <c r="Y86" s="842" t="str" cm="1">
        <f t="array" ref="Y86">TRIM(SUBSTITUTE(SUBSTITUTE(INDEX(CY:CY,MATCH("      item_no: "&amp;A86&amp;",",CY:CY,0)+15,1),"item_tax_fmt: ",""),",",""))</f>
        <v>外税8%</v>
      </c>
      <c r="Z86" s="843"/>
      <c r="AA86" s="843"/>
      <c r="AB86" s="844" t="str" cm="1">
        <f t="array" ref="AB86">TRIM(SUBSTITUTE(SUBSTITUTE(INDEX(CY:CY,MATCH("      item_no: "&amp;A86&amp;",",CY:CY,0)+18,1),"discount_prohibition:",""),",",""))</f>
        <v>0</v>
      </c>
      <c r="AC86" s="844"/>
      <c r="AD86" s="825" t="str" cm="1">
        <f t="array" ref="AD86">TRIM(SUBSTITUTE(SUBSTITUTE(INDEX(CY:CY,MATCH("      item_no: "&amp;A86&amp;",",CY:CY,0)+1,1),"item_cancel_line: ",""),",",""))</f>
        <v>false</v>
      </c>
      <c r="AE86" s="825"/>
      <c r="AF86" s="1093"/>
      <c r="AG86" s="1094"/>
      <c r="AH86" s="826">
        <f t="shared" si="27"/>
        <v>-24.950000000000003</v>
      </c>
      <c r="AI86" s="827"/>
      <c r="AJ86" s="828">
        <f t="shared" si="28"/>
        <v>499</v>
      </c>
      <c r="AK86" s="829"/>
      <c r="AL86" s="882">
        <f t="shared" si="29"/>
        <v>12</v>
      </c>
      <c r="AM86" s="883"/>
      <c r="AN86" s="830">
        <f t="shared" si="30"/>
        <v>-24</v>
      </c>
      <c r="AO86" s="831"/>
      <c r="AP86" s="830">
        <f t="shared" si="39"/>
        <v>-1</v>
      </c>
      <c r="AQ86" s="831"/>
      <c r="AR86" s="820"/>
      <c r="AS86" s="821"/>
      <c r="AT86" s="822">
        <f t="shared" si="15"/>
        <v>-25</v>
      </c>
      <c r="AU86" s="823"/>
      <c r="AV86" s="817">
        <f t="shared" si="31"/>
        <v>474</v>
      </c>
      <c r="AW86" s="824"/>
      <c r="AX86" s="816">
        <f t="shared" ca="1" si="32"/>
        <v>37</v>
      </c>
      <c r="AY86" s="817"/>
      <c r="AZ86" s="816">
        <v>1</v>
      </c>
      <c r="BA86" s="817"/>
      <c r="BB86" s="816" t="str">
        <f t="shared" si="33"/>
        <v/>
      </c>
      <c r="BC86" s="817"/>
      <c r="BD86" s="816"/>
      <c r="BE86" s="817"/>
      <c r="BF86" s="816" t="str">
        <f t="shared" si="34"/>
        <v/>
      </c>
      <c r="BG86" s="817"/>
      <c r="BH86" s="816"/>
      <c r="BI86" s="817"/>
      <c r="BJ86" s="816" t="str">
        <f t="shared" si="35"/>
        <v/>
      </c>
      <c r="BK86" s="817"/>
      <c r="BL86" s="816"/>
      <c r="BM86" s="817"/>
      <c r="BN86" s="818">
        <f t="shared" si="36"/>
        <v>511</v>
      </c>
      <c r="BO86" s="819"/>
      <c r="BP86" s="74" t="s">
        <v>80</v>
      </c>
      <c r="BQ86" s="801" t="str">
        <f t="shared" si="37"/>
        <v>外税8%</v>
      </c>
      <c r="BR86" s="801"/>
      <c r="BS86" s="802"/>
      <c r="BT86" s="1072"/>
      <c r="BU86" s="1073"/>
      <c r="BV86" s="1076"/>
      <c r="BW86" s="1078"/>
      <c r="CY86" s="62" t="s">
        <v>303</v>
      </c>
      <c r="DD86" s="62" t="s">
        <v>304</v>
      </c>
      <c r="DE86" s="33" t="s">
        <v>30</v>
      </c>
      <c r="DF86" s="62" t="s">
        <v>305</v>
      </c>
    </row>
    <row r="87" spans="1:110" ht="15" customHeight="1">
      <c r="A87" s="46">
        <f t="shared" si="38"/>
        <v>43</v>
      </c>
      <c r="B87" s="875" t="s">
        <v>226</v>
      </c>
      <c r="C87" s="875"/>
      <c r="D87" s="875"/>
      <c r="E87" s="875"/>
      <c r="F87" s="875" t="str" cm="1">
        <f t="array" ref="F87">TRIM(SUBSTITUTE(SUBSTITUTE(INDEX(CY:CY,MATCH("      item_no: "&amp;A87&amp;",",CY:CY,0)+9,1),"item_name: ",""),",",""))</f>
        <v>タハ゛コ</v>
      </c>
      <c r="G87" s="875"/>
      <c r="H87" s="875"/>
      <c r="I87" s="875"/>
      <c r="J87" s="875"/>
      <c r="K87" s="875"/>
      <c r="L87" s="881" t="str" cm="1">
        <f t="array" ref="L87">TRIM(SUBSTITUTE(SUBSTITUTE(INDEX(CY:CY,MATCH("      item_no: "&amp;A87&amp;",",CY:CY,0)+3,1),"item_scan_code: ",""),",",""))</f>
        <v>1400</v>
      </c>
      <c r="M87" s="881"/>
      <c r="N87" s="881"/>
      <c r="O87" s="881"/>
      <c r="P87" s="881"/>
      <c r="Q87" s="877" cm="1">
        <f t="array" ref="Q87">IF(AD87="true","",TRIM(SUBSTITUTE(SUBSTITUTE(INDEX(CY:CY,MATCH("      item_no: "&amp;A87&amp;",",CY:CY,0)+13,1),"item_price_fmt: ￥",""),",",""))+0)</f>
        <v>499</v>
      </c>
      <c r="R87" s="878"/>
      <c r="S87" s="879">
        <f t="shared" si="26"/>
        <v>0</v>
      </c>
      <c r="T87" s="880"/>
      <c r="U87" s="873" cm="1">
        <f t="array" ref="U87">IF(AD87="true","",TRIM(SUBSTITUTE(SUBSTITUTE(INDEX(CY:CY,MATCH("      item_no: "&amp;A87&amp;",",CY:CY,0)+14,1),"item_price_discount_fmt: ￥",""),",",""))+0)</f>
        <v>499</v>
      </c>
      <c r="V87" s="874"/>
      <c r="W87" s="840">
        <f ca="1">INT(SUMIF($Y$10:$AA87,"外税8%",$U$10:$V87)*1.08)+INT(SUMIF($Y$10:$AA87,"外税10%",$U$10:$V87)*1.1)+SUMIF($Y$10:$AA87,"内税10%",$U$10:$V87)+SUMIF($Y$10:$AA87,"非課税",$U$10:$V87)</f>
        <v>34930</v>
      </c>
      <c r="X87" s="841"/>
      <c r="Y87" s="867" t="str" cm="1">
        <f t="array" ref="Y87">TRIM(SUBSTITUTE(SUBSTITUTE(INDEX(CY:CY,MATCH("      item_no: "&amp;A87&amp;",",CY:CY,0)+15,1),"item_tax_fmt: ",""),",",""))</f>
        <v>内税10%</v>
      </c>
      <c r="Z87" s="868"/>
      <c r="AA87" s="868"/>
      <c r="AB87" s="869" t="str" cm="1">
        <f t="array" ref="AB87">TRIM(SUBSTITUTE(SUBSTITUTE(INDEX(CY:CY,MATCH("      item_no: "&amp;A87&amp;",",CY:CY,0)+18,1),"discount_prohibition:",""),",",""))</f>
        <v>1</v>
      </c>
      <c r="AC87" s="869"/>
      <c r="AD87" s="870" t="str" cm="1">
        <f t="array" ref="AD87">TRIM(SUBSTITUTE(SUBSTITUTE(INDEX(CY:CY,MATCH("      item_no: "&amp;A87&amp;",",CY:CY,0)+1,1),"item_cancel_line: ",""),",",""))</f>
        <v>false</v>
      </c>
      <c r="AE87" s="870"/>
      <c r="AF87" s="1093"/>
      <c r="AG87" s="1094"/>
      <c r="AH87" s="871">
        <f t="shared" si="27"/>
        <v>0</v>
      </c>
      <c r="AI87" s="872"/>
      <c r="AJ87" s="873">
        <f t="shared" si="28"/>
        <v>0</v>
      </c>
      <c r="AK87" s="874"/>
      <c r="AL87" s="864">
        <f t="shared" si="29"/>
        <v>84</v>
      </c>
      <c r="AM87" s="865"/>
      <c r="AN87" s="830">
        <f t="shared" si="30"/>
        <v>0</v>
      </c>
      <c r="AO87" s="831"/>
      <c r="AP87" s="830">
        <f t="shared" si="39"/>
        <v>0</v>
      </c>
      <c r="AQ87" s="831"/>
      <c r="AR87" s="820"/>
      <c r="AS87" s="821"/>
      <c r="AT87" s="864">
        <f t="shared" si="15"/>
        <v>0</v>
      </c>
      <c r="AU87" s="865"/>
      <c r="AV87" s="861">
        <f t="shared" si="31"/>
        <v>499</v>
      </c>
      <c r="AW87" s="866"/>
      <c r="AX87" s="860" t="str">
        <f t="shared" si="32"/>
        <v/>
      </c>
      <c r="AY87" s="861"/>
      <c r="AZ87" s="860"/>
      <c r="BA87" s="861"/>
      <c r="BB87" s="860" t="str">
        <f t="shared" si="33"/>
        <v/>
      </c>
      <c r="BC87" s="861"/>
      <c r="BD87" s="860"/>
      <c r="BE87" s="861"/>
      <c r="BF87" s="860" t="str">
        <f t="shared" si="34"/>
        <v/>
      </c>
      <c r="BG87" s="861"/>
      <c r="BH87" s="860"/>
      <c r="BI87" s="861"/>
      <c r="BJ87" s="860">
        <f t="shared" si="35"/>
        <v>45</v>
      </c>
      <c r="BK87" s="861"/>
      <c r="BL87" s="860">
        <v>1</v>
      </c>
      <c r="BM87" s="861"/>
      <c r="BN87" s="862">
        <f t="shared" si="36"/>
        <v>499</v>
      </c>
      <c r="BO87" s="863"/>
      <c r="BP87" s="74" t="s">
        <v>227</v>
      </c>
      <c r="BQ87" s="801" t="str">
        <f t="shared" si="37"/>
        <v>※内税10%</v>
      </c>
      <c r="BR87" s="801"/>
      <c r="BS87" s="802"/>
      <c r="BT87" s="1072"/>
      <c r="BU87" s="1073"/>
      <c r="BV87" s="1076"/>
      <c r="BW87" s="1078"/>
      <c r="CY87" s="62" t="s">
        <v>306</v>
      </c>
      <c r="DD87" s="62" t="s">
        <v>307</v>
      </c>
      <c r="DE87" s="33" t="s">
        <v>30</v>
      </c>
      <c r="DF87" s="62" t="s">
        <v>308</v>
      </c>
    </row>
    <row r="88" spans="1:110" ht="15" customHeight="1">
      <c r="A88" s="46">
        <f t="shared" si="38"/>
        <v>42</v>
      </c>
      <c r="B88" s="832" t="s">
        <v>110</v>
      </c>
      <c r="C88" s="832"/>
      <c r="D88" s="832"/>
      <c r="E88" s="832"/>
      <c r="F88" s="832" t="str" cm="1">
        <f t="array" ref="F88">TRIM(SUBSTITUTE(SUBSTITUTE(INDEX(CY:CY,MATCH("      item_no: "&amp;A88&amp;",",CY:CY,0)+9,1),"item_name: ",""),",",""))</f>
        <v>菓子</v>
      </c>
      <c r="G88" s="832"/>
      <c r="H88" s="832"/>
      <c r="I88" s="832"/>
      <c r="J88" s="832"/>
      <c r="K88" s="832"/>
      <c r="L88" s="884" t="str" cm="1">
        <f t="array" ref="L88">TRIM(SUBSTITUTE(SUBSTITUTE(INDEX(CY:CY,MATCH("      item_no: "&amp;A88&amp;",",CY:CY,0)+3,1),"item_scan_code: ",""),",",""))</f>
        <v>0100</v>
      </c>
      <c r="M88" s="884"/>
      <c r="N88" s="884"/>
      <c r="O88" s="884"/>
      <c r="P88" s="884"/>
      <c r="Q88" s="834" cm="1">
        <f t="array" ref="Q88">IF(AD88="true","",TRIM(SUBSTITUTE(SUBSTITUTE(INDEX(CY:CY,MATCH("      item_no: "&amp;A88&amp;",",CY:CY,0)+13,1),"item_price_fmt: ￥",""),",",""))+0)</f>
        <v>499</v>
      </c>
      <c r="R88" s="835"/>
      <c r="S88" s="836">
        <f t="shared" si="26"/>
        <v>0</v>
      </c>
      <c r="T88" s="837"/>
      <c r="U88" s="838" cm="1">
        <f t="array" ref="U88">IF(AD88="true","",TRIM(SUBSTITUTE(SUBSTITUTE(INDEX(CY:CY,MATCH("      item_no: "&amp;A88&amp;",",CY:CY,0)+14,1),"item_price_discount_fmt: ￥",""),",",""))+0)</f>
        <v>499</v>
      </c>
      <c r="V88" s="839"/>
      <c r="W88" s="840">
        <f ca="1">INT(SUMIF($Y$10:$AA88,"外税8%",$U$10:$V88)*1.08)+INT(SUMIF($Y$10:$AA88,"外税10%",$U$10:$V88)*1.1)+SUMIF($Y$10:$AA88,"内税10%",$U$10:$V88)+SUMIF($Y$10:$AA88,"非課税",$U$10:$V88)</f>
        <v>35469</v>
      </c>
      <c r="X88" s="841"/>
      <c r="Y88" s="842" t="str" cm="1">
        <f t="array" ref="Y88">TRIM(SUBSTITUTE(SUBSTITUTE(INDEX(CY:CY,MATCH("      item_no: "&amp;A88&amp;",",CY:CY,0)+15,1),"item_tax_fmt: ",""),",",""))</f>
        <v>外税8%</v>
      </c>
      <c r="Z88" s="843"/>
      <c r="AA88" s="843"/>
      <c r="AB88" s="844" t="str" cm="1">
        <f t="array" ref="AB88">TRIM(SUBSTITUTE(SUBSTITUTE(INDEX(CY:CY,MATCH("      item_no: "&amp;A88&amp;",",CY:CY,0)+18,1),"discount_prohibition:",""),",",""))</f>
        <v>0</v>
      </c>
      <c r="AC88" s="844"/>
      <c r="AD88" s="825" t="str" cm="1">
        <f t="array" ref="AD88">TRIM(SUBSTITUTE(SUBSTITUTE(INDEX(CY:CY,MATCH("      item_no: "&amp;A88&amp;",",CY:CY,0)+1,1),"item_cancel_line: ",""),",",""))</f>
        <v>false</v>
      </c>
      <c r="AE88" s="825"/>
      <c r="AF88" s="1093"/>
      <c r="AG88" s="1094"/>
      <c r="AH88" s="826">
        <f t="shared" si="27"/>
        <v>-24.950000000000003</v>
      </c>
      <c r="AI88" s="827"/>
      <c r="AJ88" s="828">
        <f t="shared" si="28"/>
        <v>499</v>
      </c>
      <c r="AK88" s="829"/>
      <c r="AL88" s="882">
        <f t="shared" si="29"/>
        <v>12</v>
      </c>
      <c r="AM88" s="883"/>
      <c r="AN88" s="830">
        <f t="shared" si="30"/>
        <v>-24</v>
      </c>
      <c r="AO88" s="831"/>
      <c r="AP88" s="830">
        <f t="shared" si="39"/>
        <v>-1</v>
      </c>
      <c r="AQ88" s="831"/>
      <c r="AR88" s="820"/>
      <c r="AS88" s="821"/>
      <c r="AT88" s="822">
        <f t="shared" si="15"/>
        <v>-25</v>
      </c>
      <c r="AU88" s="823"/>
      <c r="AV88" s="817">
        <f t="shared" si="31"/>
        <v>474</v>
      </c>
      <c r="AW88" s="824"/>
      <c r="AX88" s="816">
        <f t="shared" ca="1" si="32"/>
        <v>37</v>
      </c>
      <c r="AY88" s="817"/>
      <c r="AZ88" s="816">
        <v>1</v>
      </c>
      <c r="BA88" s="817"/>
      <c r="BB88" s="816" t="str">
        <f t="shared" si="33"/>
        <v/>
      </c>
      <c r="BC88" s="817"/>
      <c r="BD88" s="816"/>
      <c r="BE88" s="817"/>
      <c r="BF88" s="816" t="str">
        <f t="shared" si="34"/>
        <v/>
      </c>
      <c r="BG88" s="817"/>
      <c r="BH88" s="816"/>
      <c r="BI88" s="817"/>
      <c r="BJ88" s="816" t="str">
        <f t="shared" si="35"/>
        <v/>
      </c>
      <c r="BK88" s="817"/>
      <c r="BL88" s="816"/>
      <c r="BM88" s="817"/>
      <c r="BN88" s="845">
        <f t="shared" si="36"/>
        <v>511</v>
      </c>
      <c r="BO88" s="846"/>
      <c r="BP88" s="74" t="s">
        <v>80</v>
      </c>
      <c r="BQ88" s="801" t="str">
        <f t="shared" si="37"/>
        <v>外税8%</v>
      </c>
      <c r="BR88" s="801"/>
      <c r="BS88" s="802"/>
      <c r="BT88" s="1072"/>
      <c r="BU88" s="1073"/>
      <c r="BV88" s="1076"/>
      <c r="BW88" s="1078"/>
      <c r="CY88" s="62" t="s">
        <v>309</v>
      </c>
      <c r="DD88" s="62" t="s">
        <v>310</v>
      </c>
      <c r="DE88" s="33" t="s">
        <v>30</v>
      </c>
      <c r="DF88" s="62" t="s">
        <v>311</v>
      </c>
    </row>
    <row r="89" spans="1:110" ht="15" customHeight="1">
      <c r="A89" s="46">
        <f t="shared" si="38"/>
        <v>41</v>
      </c>
      <c r="B89" s="832" t="s">
        <v>118</v>
      </c>
      <c r="C89" s="832"/>
      <c r="D89" s="832"/>
      <c r="E89" s="832"/>
      <c r="F89" s="832" t="str" cm="1">
        <f t="array" ref="F89">TRIM(SUBSTITUTE(SUBSTITUTE(INDEX(CY:CY,MATCH("      item_no: "&amp;A89&amp;",",CY:CY,0)+9,1),"item_name: ",""),",",""))</f>
        <v>一般食品</v>
      </c>
      <c r="G89" s="832"/>
      <c r="H89" s="832"/>
      <c r="I89" s="832"/>
      <c r="J89" s="832"/>
      <c r="K89" s="832"/>
      <c r="L89" s="884" t="str" cm="1">
        <f t="array" ref="L89">TRIM(SUBSTITUTE(SUBSTITUTE(INDEX(CY:CY,MATCH("      item_no: "&amp;A89&amp;",",CY:CY,0)+3,1),"item_scan_code: ",""),",",""))</f>
        <v>0300</v>
      </c>
      <c r="M89" s="884"/>
      <c r="N89" s="884"/>
      <c r="O89" s="884"/>
      <c r="P89" s="884"/>
      <c r="Q89" s="834" cm="1">
        <f t="array" ref="Q89">IF(AD89="true","",TRIM(SUBSTITUTE(SUBSTITUTE(INDEX(CY:CY,MATCH("      item_no: "&amp;A89&amp;",",CY:CY,0)+13,1),"item_price_fmt: ￥",""),",",""))+0)</f>
        <v>499</v>
      </c>
      <c r="R89" s="835"/>
      <c r="S89" s="836">
        <f t="shared" si="26"/>
        <v>0</v>
      </c>
      <c r="T89" s="837"/>
      <c r="U89" s="838" cm="1">
        <f t="array" ref="U89">IF(AD89="true","",TRIM(SUBSTITUTE(SUBSTITUTE(INDEX(CY:CY,MATCH("      item_no: "&amp;A89&amp;",",CY:CY,0)+14,1),"item_price_discount_fmt: ￥",""),",",""))+0)</f>
        <v>499</v>
      </c>
      <c r="V89" s="839"/>
      <c r="W89" s="840">
        <f ca="1">INT(SUMIF($Y$10:$AA89,"外税8%",$U$10:$V89)*1.08)+INT(SUMIF($Y$10:$AA89,"外税10%",$U$10:$V89)*1.1)+SUMIF($Y$10:$AA89,"内税10%",$U$10:$V89)+SUMIF($Y$10:$AA89,"非課税",$U$10:$V89)</f>
        <v>36007</v>
      </c>
      <c r="X89" s="841"/>
      <c r="Y89" s="842" t="str" cm="1">
        <f t="array" ref="Y89">TRIM(SUBSTITUTE(SUBSTITUTE(INDEX(CY:CY,MATCH("      item_no: "&amp;A89&amp;",",CY:CY,0)+15,1),"item_tax_fmt: ",""),",",""))</f>
        <v>外税8%</v>
      </c>
      <c r="Z89" s="843"/>
      <c r="AA89" s="843"/>
      <c r="AB89" s="844" t="str" cm="1">
        <f t="array" ref="AB89">TRIM(SUBSTITUTE(SUBSTITUTE(INDEX(CY:CY,MATCH("      item_no: "&amp;A89&amp;",",CY:CY,0)+18,1),"discount_prohibition:",""),",",""))</f>
        <v>0</v>
      </c>
      <c r="AC89" s="844"/>
      <c r="AD89" s="825" t="str" cm="1">
        <f t="array" ref="AD89">TRIM(SUBSTITUTE(SUBSTITUTE(INDEX(CY:CY,MATCH("      item_no: "&amp;A89&amp;",",CY:CY,0)+1,1),"item_cancel_line: ",""),",",""))</f>
        <v>false</v>
      </c>
      <c r="AE89" s="825"/>
      <c r="AF89" s="1093"/>
      <c r="AG89" s="1094"/>
      <c r="AH89" s="826">
        <f t="shared" si="27"/>
        <v>-24.950000000000003</v>
      </c>
      <c r="AI89" s="827"/>
      <c r="AJ89" s="828">
        <f t="shared" si="28"/>
        <v>499</v>
      </c>
      <c r="AK89" s="829"/>
      <c r="AL89" s="882">
        <f t="shared" si="29"/>
        <v>12</v>
      </c>
      <c r="AM89" s="883"/>
      <c r="AN89" s="830">
        <f t="shared" si="30"/>
        <v>-24</v>
      </c>
      <c r="AO89" s="831"/>
      <c r="AP89" s="830">
        <f t="shared" si="39"/>
        <v>-1</v>
      </c>
      <c r="AQ89" s="831"/>
      <c r="AR89" s="820"/>
      <c r="AS89" s="821"/>
      <c r="AT89" s="822">
        <f t="shared" si="15"/>
        <v>-25</v>
      </c>
      <c r="AU89" s="823"/>
      <c r="AV89" s="817">
        <f t="shared" si="31"/>
        <v>474</v>
      </c>
      <c r="AW89" s="824"/>
      <c r="AX89" s="816">
        <f t="shared" ca="1" si="32"/>
        <v>37</v>
      </c>
      <c r="AY89" s="817"/>
      <c r="AZ89" s="816">
        <v>1</v>
      </c>
      <c r="BA89" s="817"/>
      <c r="BB89" s="816" t="str">
        <f t="shared" si="33"/>
        <v/>
      </c>
      <c r="BC89" s="817"/>
      <c r="BD89" s="816"/>
      <c r="BE89" s="817"/>
      <c r="BF89" s="816" t="str">
        <f t="shared" si="34"/>
        <v/>
      </c>
      <c r="BG89" s="817"/>
      <c r="BH89" s="816"/>
      <c r="BI89" s="817"/>
      <c r="BJ89" s="816" t="str">
        <f t="shared" si="35"/>
        <v/>
      </c>
      <c r="BK89" s="817"/>
      <c r="BL89" s="816"/>
      <c r="BM89" s="817"/>
      <c r="BN89" s="845">
        <f t="shared" si="36"/>
        <v>511</v>
      </c>
      <c r="BO89" s="846"/>
      <c r="BP89" s="74" t="s">
        <v>80</v>
      </c>
      <c r="BQ89" s="801" t="str">
        <f t="shared" si="37"/>
        <v>外税8%</v>
      </c>
      <c r="BR89" s="801"/>
      <c r="BS89" s="802"/>
      <c r="BT89" s="1072"/>
      <c r="BU89" s="1073"/>
      <c r="BV89" s="1076"/>
      <c r="BW89" s="1078"/>
      <c r="CY89" s="62" t="s">
        <v>312</v>
      </c>
      <c r="DD89" s="62" t="s">
        <v>313</v>
      </c>
      <c r="DE89" s="33" t="s">
        <v>30</v>
      </c>
      <c r="DF89" s="62" t="s">
        <v>314</v>
      </c>
    </row>
    <row r="90" spans="1:110" ht="15" customHeight="1">
      <c r="A90" s="46">
        <f t="shared" si="38"/>
        <v>40</v>
      </c>
      <c r="B90" s="832" t="s">
        <v>126</v>
      </c>
      <c r="C90" s="832"/>
      <c r="D90" s="832"/>
      <c r="E90" s="832"/>
      <c r="F90" s="832" t="str" cm="1">
        <f t="array" ref="F90">TRIM(SUBSTITUTE(SUBSTITUTE(INDEX(CY:CY,MATCH("      item_no: "&amp;A90&amp;",",CY:CY,0)+9,1),"item_name: ",""),",",""))</f>
        <v>農水産乾物</v>
      </c>
      <c r="G90" s="832"/>
      <c r="H90" s="832"/>
      <c r="I90" s="832"/>
      <c r="J90" s="832"/>
      <c r="K90" s="832"/>
      <c r="L90" s="884" t="str" cm="1">
        <f t="array" ref="L90">TRIM(SUBSTITUTE(SUBSTITUTE(INDEX(CY:CY,MATCH("      item_no: "&amp;A90&amp;",",CY:CY,0)+3,1),"item_scan_code: ",""),",",""))</f>
        <v>0800</v>
      </c>
      <c r="M90" s="884"/>
      <c r="N90" s="884"/>
      <c r="O90" s="884"/>
      <c r="P90" s="884"/>
      <c r="Q90" s="834" cm="1">
        <f t="array" ref="Q90">IF(AD90="true","",TRIM(SUBSTITUTE(SUBSTITUTE(INDEX(CY:CY,MATCH("      item_no: "&amp;A90&amp;",",CY:CY,0)+13,1),"item_price_fmt: ￥",""),",",""))+0)</f>
        <v>499</v>
      </c>
      <c r="R90" s="835"/>
      <c r="S90" s="836">
        <f t="shared" si="26"/>
        <v>0</v>
      </c>
      <c r="T90" s="837"/>
      <c r="U90" s="838" cm="1">
        <f t="array" ref="U90">IF(AD90="true","",TRIM(SUBSTITUTE(SUBSTITUTE(INDEX(CY:CY,MATCH("      item_no: "&amp;A90&amp;",",CY:CY,0)+14,1),"item_price_discount_fmt: ￥",""),",",""))+0)</f>
        <v>499</v>
      </c>
      <c r="V90" s="839"/>
      <c r="W90" s="840">
        <f ca="1">INT(SUMIF($Y$10:$AA90,"外税8%",$U$10:$V90)*1.08)+INT(SUMIF($Y$10:$AA90,"外税10%",$U$10:$V90)*1.1)+SUMIF($Y$10:$AA90,"内税10%",$U$10:$V90)+SUMIF($Y$10:$AA90,"非課税",$U$10:$V90)</f>
        <v>36546</v>
      </c>
      <c r="X90" s="841"/>
      <c r="Y90" s="842" t="str" cm="1">
        <f t="array" ref="Y90">TRIM(SUBSTITUTE(SUBSTITUTE(INDEX(CY:CY,MATCH("      item_no: "&amp;A90&amp;",",CY:CY,0)+15,1),"item_tax_fmt: ",""),",",""))</f>
        <v>外税8%</v>
      </c>
      <c r="Z90" s="843"/>
      <c r="AA90" s="843"/>
      <c r="AB90" s="844" t="str" cm="1">
        <f t="array" ref="AB90">TRIM(SUBSTITUTE(SUBSTITUTE(INDEX(CY:CY,MATCH("      item_no: "&amp;A90&amp;",",CY:CY,0)+18,1),"discount_prohibition:",""),",",""))</f>
        <v>0</v>
      </c>
      <c r="AC90" s="844"/>
      <c r="AD90" s="825" t="str" cm="1">
        <f t="array" ref="AD90">TRIM(SUBSTITUTE(SUBSTITUTE(INDEX(CY:CY,MATCH("      item_no: "&amp;A90&amp;",",CY:CY,0)+1,1),"item_cancel_line: ",""),",",""))</f>
        <v>false</v>
      </c>
      <c r="AE90" s="825"/>
      <c r="AF90" s="1093"/>
      <c r="AG90" s="1094"/>
      <c r="AH90" s="826">
        <f t="shared" si="27"/>
        <v>-24.950000000000003</v>
      </c>
      <c r="AI90" s="827"/>
      <c r="AJ90" s="828">
        <f t="shared" si="28"/>
        <v>499</v>
      </c>
      <c r="AK90" s="829"/>
      <c r="AL90" s="882">
        <f t="shared" si="29"/>
        <v>12</v>
      </c>
      <c r="AM90" s="883"/>
      <c r="AN90" s="830">
        <f t="shared" si="30"/>
        <v>-24</v>
      </c>
      <c r="AO90" s="831"/>
      <c r="AP90" s="830">
        <f t="shared" si="39"/>
        <v>-1</v>
      </c>
      <c r="AQ90" s="831"/>
      <c r="AR90" s="820"/>
      <c r="AS90" s="821"/>
      <c r="AT90" s="822">
        <f t="shared" si="15"/>
        <v>-25</v>
      </c>
      <c r="AU90" s="823"/>
      <c r="AV90" s="817">
        <f t="shared" si="31"/>
        <v>474</v>
      </c>
      <c r="AW90" s="824"/>
      <c r="AX90" s="816">
        <f t="shared" ca="1" si="32"/>
        <v>37</v>
      </c>
      <c r="AY90" s="817"/>
      <c r="AZ90" s="816">
        <v>1</v>
      </c>
      <c r="BA90" s="817"/>
      <c r="BB90" s="816" t="str">
        <f t="shared" si="33"/>
        <v/>
      </c>
      <c r="BC90" s="817"/>
      <c r="BD90" s="816"/>
      <c r="BE90" s="817"/>
      <c r="BF90" s="816" t="str">
        <f t="shared" si="34"/>
        <v/>
      </c>
      <c r="BG90" s="817"/>
      <c r="BH90" s="816"/>
      <c r="BI90" s="817"/>
      <c r="BJ90" s="816" t="str">
        <f t="shared" si="35"/>
        <v/>
      </c>
      <c r="BK90" s="817"/>
      <c r="BL90" s="816"/>
      <c r="BM90" s="817"/>
      <c r="BN90" s="845">
        <f t="shared" si="36"/>
        <v>511</v>
      </c>
      <c r="BO90" s="846"/>
      <c r="BP90" s="74" t="s">
        <v>80</v>
      </c>
      <c r="BQ90" s="801" t="str">
        <f t="shared" si="37"/>
        <v>外税8%</v>
      </c>
      <c r="BR90" s="801"/>
      <c r="BS90" s="802"/>
      <c r="BT90" s="1072"/>
      <c r="BU90" s="1073"/>
      <c r="BV90" s="1076"/>
      <c r="BW90" s="1078"/>
      <c r="CY90" s="62" t="s">
        <v>315</v>
      </c>
      <c r="DD90" s="62" t="s">
        <v>316</v>
      </c>
      <c r="DE90" s="33" t="s">
        <v>30</v>
      </c>
      <c r="DF90" s="62" t="s">
        <v>317</v>
      </c>
    </row>
    <row r="91" spans="1:110" ht="15" customHeight="1">
      <c r="A91" s="46">
        <f t="shared" si="38"/>
        <v>39</v>
      </c>
      <c r="B91" s="832" t="s">
        <v>223</v>
      </c>
      <c r="C91" s="832"/>
      <c r="D91" s="832"/>
      <c r="E91" s="832"/>
      <c r="F91" s="832" t="str" cm="1">
        <f t="array" ref="F91">TRIM(SUBSTITUTE(SUBSTITUTE(INDEX(CY:CY,MATCH("      item_no: "&amp;A91&amp;",",CY:CY,0)+9,1),"item_name: ",""),",",""))</f>
        <v>その他酒</v>
      </c>
      <c r="G91" s="832"/>
      <c r="H91" s="832"/>
      <c r="I91" s="832"/>
      <c r="J91" s="832"/>
      <c r="K91" s="832"/>
      <c r="L91" s="884" t="str" cm="1">
        <f t="array" ref="L91">TRIM(SUBSTITUTE(SUBSTITUTE(INDEX(CY:CY,MATCH("      item_no: "&amp;A91&amp;",",CY:CY,0)+3,1),"item_scan_code: ",""),",",""))</f>
        <v>4800</v>
      </c>
      <c r="M91" s="884"/>
      <c r="N91" s="884"/>
      <c r="O91" s="884"/>
      <c r="P91" s="884"/>
      <c r="Q91" s="834" cm="1">
        <f t="array" ref="Q91">IF(AD91="true","",TRIM(SUBSTITUTE(SUBSTITUTE(INDEX(CY:CY,MATCH("      item_no: "&amp;A91&amp;",",CY:CY,0)+13,1),"item_price_fmt: ￥",""),",",""))+0)</f>
        <v>499</v>
      </c>
      <c r="R91" s="835"/>
      <c r="S91" s="836">
        <f t="shared" si="26"/>
        <v>0</v>
      </c>
      <c r="T91" s="837"/>
      <c r="U91" s="838" cm="1">
        <f t="array" ref="U91">IF(AD91="true","",TRIM(SUBSTITUTE(SUBSTITUTE(INDEX(CY:CY,MATCH("      item_no: "&amp;A91&amp;",",CY:CY,0)+14,1),"item_price_discount_fmt: ￥",""),",",""))+0)</f>
        <v>499</v>
      </c>
      <c r="V91" s="839"/>
      <c r="W91" s="840">
        <f ca="1">INT(SUMIF($Y$10:$AA91,"外税8%",$U$10:$V91)*1.08)+INT(SUMIF($Y$10:$AA91,"外税10%",$U$10:$V91)*1.1)+SUMIF($Y$10:$AA91,"内税10%",$U$10:$V91)+SUMIF($Y$10:$AA91,"非課税",$U$10:$V91)</f>
        <v>37085</v>
      </c>
      <c r="X91" s="841"/>
      <c r="Y91" s="842" t="str" cm="1">
        <f t="array" ref="Y91">TRIM(SUBSTITUTE(SUBSTITUTE(INDEX(CY:CY,MATCH("      item_no: "&amp;A91&amp;",",CY:CY,0)+15,1),"item_tax_fmt: ",""),",",""))</f>
        <v>外税8%</v>
      </c>
      <c r="Z91" s="843"/>
      <c r="AA91" s="843"/>
      <c r="AB91" s="844" t="str" cm="1">
        <f t="array" ref="AB91">TRIM(SUBSTITUTE(SUBSTITUTE(INDEX(CY:CY,MATCH("      item_no: "&amp;A91&amp;",",CY:CY,0)+18,1),"discount_prohibition:",""),",",""))</f>
        <v>0</v>
      </c>
      <c r="AC91" s="844"/>
      <c r="AD91" s="825" t="str" cm="1">
        <f t="array" ref="AD91">TRIM(SUBSTITUTE(SUBSTITUTE(INDEX(CY:CY,MATCH("      item_no: "&amp;A91&amp;",",CY:CY,0)+1,1),"item_cancel_line: ",""),",",""))</f>
        <v>false</v>
      </c>
      <c r="AE91" s="825"/>
      <c r="AF91" s="1093"/>
      <c r="AG91" s="1094"/>
      <c r="AH91" s="826">
        <f t="shared" si="27"/>
        <v>-24.950000000000003</v>
      </c>
      <c r="AI91" s="827"/>
      <c r="AJ91" s="828">
        <f t="shared" si="28"/>
        <v>499</v>
      </c>
      <c r="AK91" s="829"/>
      <c r="AL91" s="882">
        <f t="shared" si="29"/>
        <v>12</v>
      </c>
      <c r="AM91" s="883"/>
      <c r="AN91" s="830">
        <f t="shared" si="30"/>
        <v>-24</v>
      </c>
      <c r="AO91" s="831"/>
      <c r="AP91" s="830">
        <f t="shared" si="39"/>
        <v>-1</v>
      </c>
      <c r="AQ91" s="831"/>
      <c r="AR91" s="820"/>
      <c r="AS91" s="821"/>
      <c r="AT91" s="822">
        <f t="shared" ref="AT91:AT129" si="40">SUM(AN91:AS91)</f>
        <v>-25</v>
      </c>
      <c r="AU91" s="823"/>
      <c r="AV91" s="817">
        <f t="shared" si="31"/>
        <v>474</v>
      </c>
      <c r="AW91" s="824"/>
      <c r="AX91" s="816">
        <f t="shared" ca="1" si="32"/>
        <v>37</v>
      </c>
      <c r="AY91" s="817"/>
      <c r="AZ91" s="816">
        <v>1</v>
      </c>
      <c r="BA91" s="817"/>
      <c r="BB91" s="816" t="str">
        <f t="shared" si="33"/>
        <v/>
      </c>
      <c r="BC91" s="817"/>
      <c r="BD91" s="816"/>
      <c r="BE91" s="817"/>
      <c r="BF91" s="816" t="str">
        <f t="shared" si="34"/>
        <v/>
      </c>
      <c r="BG91" s="817"/>
      <c r="BH91" s="816"/>
      <c r="BI91" s="817"/>
      <c r="BJ91" s="816" t="str">
        <f t="shared" si="35"/>
        <v/>
      </c>
      <c r="BK91" s="817"/>
      <c r="BL91" s="816"/>
      <c r="BM91" s="817"/>
      <c r="BN91" s="845">
        <f t="shared" si="36"/>
        <v>511</v>
      </c>
      <c r="BO91" s="846"/>
      <c r="BP91" s="74" t="s">
        <v>80</v>
      </c>
      <c r="BQ91" s="801" t="str">
        <f t="shared" si="37"/>
        <v>外税8%</v>
      </c>
      <c r="BR91" s="801"/>
      <c r="BS91" s="802"/>
      <c r="BT91" s="1072"/>
      <c r="BU91" s="1073"/>
      <c r="BV91" s="1076"/>
      <c r="BW91" s="1078"/>
      <c r="CY91" s="62" t="s">
        <v>318</v>
      </c>
      <c r="DD91" s="62" t="s">
        <v>319</v>
      </c>
      <c r="DE91" s="33" t="s">
        <v>30</v>
      </c>
      <c r="DF91" s="62" t="s">
        <v>320</v>
      </c>
    </row>
    <row r="92" spans="1:110" ht="15" customHeight="1">
      <c r="A92" s="46">
        <f t="shared" si="38"/>
        <v>38</v>
      </c>
      <c r="B92" s="875" t="s">
        <v>219</v>
      </c>
      <c r="C92" s="875"/>
      <c r="D92" s="875"/>
      <c r="E92" s="875"/>
      <c r="F92" s="875" t="str" cm="1">
        <f t="array" ref="F92">TRIM(SUBSTITUTE(SUBSTITUTE(INDEX(CY:CY,MATCH("      item_no: "&amp;A92&amp;",",CY:CY,0)+9,1),"item_name: ",""),",",""))</f>
        <v>酒</v>
      </c>
      <c r="G92" s="875"/>
      <c r="H92" s="875"/>
      <c r="I92" s="875"/>
      <c r="J92" s="875"/>
      <c r="K92" s="875"/>
      <c r="L92" s="881" t="str" cm="1">
        <f t="array" ref="L92">TRIM(SUBSTITUTE(SUBSTITUTE(INDEX(CY:CY,MATCH("      item_no: "&amp;A92&amp;",",CY:CY,0)+3,1),"item_scan_code: ",""),",",""))</f>
        <v>4400</v>
      </c>
      <c r="M92" s="881"/>
      <c r="N92" s="881"/>
      <c r="O92" s="881"/>
      <c r="P92" s="881"/>
      <c r="Q92" s="877" cm="1">
        <f t="array" ref="Q92">IF(AD92="true","",TRIM(SUBSTITUTE(SUBSTITUTE(INDEX(CY:CY,MATCH("      item_no: "&amp;A92&amp;",",CY:CY,0)+13,1),"item_price_fmt: ￥",""),",",""))+0)</f>
        <v>499</v>
      </c>
      <c r="R92" s="878"/>
      <c r="S92" s="879">
        <f t="shared" si="26"/>
        <v>0</v>
      </c>
      <c r="T92" s="880"/>
      <c r="U92" s="873" cm="1">
        <f t="array" ref="U92">IF(AD92="true","",TRIM(SUBSTITUTE(SUBSTITUTE(INDEX(CY:CY,MATCH("      item_no: "&amp;A92&amp;",",CY:CY,0)+14,1),"item_price_discount_fmt: ￥",""),",",""))+0)</f>
        <v>499</v>
      </c>
      <c r="V92" s="874"/>
      <c r="W92" s="840">
        <f ca="1">INT(SUMIF($Y$10:$AA92,"外税8%",$U$10:$V92)*1.08)+INT(SUMIF($Y$10:$AA92,"外税10%",$U$10:$V92)*1.1)+SUMIF($Y$10:$AA92,"内税10%",$U$10:$V92)+SUMIF($Y$10:$AA92,"非課税",$U$10:$V92)</f>
        <v>37634</v>
      </c>
      <c r="X92" s="841"/>
      <c r="Y92" s="867" t="str" cm="1">
        <f t="array" ref="Y92">TRIM(SUBSTITUTE(SUBSTITUTE(INDEX(CY:CY,MATCH("      item_no: "&amp;A92&amp;",",CY:CY,0)+15,1),"item_tax_fmt: ",""),",",""))</f>
        <v>外税10%</v>
      </c>
      <c r="Z92" s="868"/>
      <c r="AA92" s="868"/>
      <c r="AB92" s="869" t="str" cm="1">
        <f t="array" ref="AB92">TRIM(SUBSTITUTE(SUBSTITUTE(INDEX(CY:CY,MATCH("      item_no: "&amp;A92&amp;",",CY:CY,0)+18,1),"discount_prohibition:",""),",",""))</f>
        <v>1</v>
      </c>
      <c r="AC92" s="869"/>
      <c r="AD92" s="870" t="str" cm="1">
        <f t="array" ref="AD92">TRIM(SUBSTITUTE(SUBSTITUTE(INDEX(CY:CY,MATCH("      item_no: "&amp;A92&amp;",",CY:CY,0)+1,1),"item_cancel_line: ",""),",",""))</f>
        <v>false</v>
      </c>
      <c r="AE92" s="870"/>
      <c r="AF92" s="1093"/>
      <c r="AG92" s="1094"/>
      <c r="AH92" s="871">
        <f t="shared" si="27"/>
        <v>0</v>
      </c>
      <c r="AI92" s="872"/>
      <c r="AJ92" s="873">
        <f t="shared" si="28"/>
        <v>0</v>
      </c>
      <c r="AK92" s="874"/>
      <c r="AL92" s="864">
        <f t="shared" si="29"/>
        <v>84</v>
      </c>
      <c r="AM92" s="865"/>
      <c r="AN92" s="830">
        <f t="shared" si="30"/>
        <v>0</v>
      </c>
      <c r="AO92" s="831"/>
      <c r="AP92" s="830">
        <f t="shared" si="39"/>
        <v>0</v>
      </c>
      <c r="AQ92" s="831"/>
      <c r="AR92" s="820"/>
      <c r="AS92" s="821"/>
      <c r="AT92" s="864">
        <f t="shared" si="40"/>
        <v>0</v>
      </c>
      <c r="AU92" s="865"/>
      <c r="AV92" s="861">
        <f t="shared" si="31"/>
        <v>499</v>
      </c>
      <c r="AW92" s="866"/>
      <c r="AX92" s="860" t="str">
        <f t="shared" si="32"/>
        <v/>
      </c>
      <c r="AY92" s="861"/>
      <c r="AZ92" s="860"/>
      <c r="BA92" s="861"/>
      <c r="BB92" s="860">
        <f t="shared" ca="1" si="33"/>
        <v>49</v>
      </c>
      <c r="BC92" s="861"/>
      <c r="BD92" s="860">
        <v>1</v>
      </c>
      <c r="BE92" s="861"/>
      <c r="BF92" s="860" t="str">
        <f t="shared" si="34"/>
        <v/>
      </c>
      <c r="BG92" s="861"/>
      <c r="BH92" s="860"/>
      <c r="BI92" s="861"/>
      <c r="BJ92" s="860" t="str">
        <f t="shared" si="35"/>
        <v/>
      </c>
      <c r="BK92" s="861"/>
      <c r="BL92" s="860"/>
      <c r="BM92" s="861"/>
      <c r="BN92" s="862">
        <f t="shared" si="36"/>
        <v>548</v>
      </c>
      <c r="BO92" s="863"/>
      <c r="BP92" s="74" t="s">
        <v>80</v>
      </c>
      <c r="BQ92" s="801" t="str">
        <f t="shared" si="37"/>
        <v>外税10%</v>
      </c>
      <c r="BR92" s="801"/>
      <c r="BS92" s="802"/>
      <c r="BT92" s="1072"/>
      <c r="BU92" s="1073"/>
      <c r="BV92" s="1076"/>
      <c r="BW92" s="1078"/>
      <c r="CY92" s="62" t="s">
        <v>321</v>
      </c>
      <c r="DD92" s="62" t="s">
        <v>322</v>
      </c>
      <c r="DE92" s="33" t="s">
        <v>30</v>
      </c>
      <c r="DF92" s="62" t="s">
        <v>323</v>
      </c>
    </row>
    <row r="93" spans="1:110" ht="15" customHeight="1">
      <c r="A93" s="46">
        <f t="shared" si="38"/>
        <v>37</v>
      </c>
      <c r="B93" s="832" t="s">
        <v>200</v>
      </c>
      <c r="C93" s="832"/>
      <c r="D93" s="832"/>
      <c r="E93" s="832"/>
      <c r="F93" s="832" t="str" cm="1">
        <f t="array" ref="F93">TRIM(SUBSTITUTE(SUBSTITUTE(INDEX(CY:CY,MATCH("      item_no: "&amp;A93&amp;",",CY:CY,0)+9,1),"item_name: ",""),",",""))</f>
        <v>惣菜</v>
      </c>
      <c r="G93" s="832"/>
      <c r="H93" s="832"/>
      <c r="I93" s="832"/>
      <c r="J93" s="832"/>
      <c r="K93" s="832"/>
      <c r="L93" s="884" t="str" cm="1">
        <f t="array" ref="L93">TRIM(SUBSTITUTE(SUBSTITUTE(INDEX(CY:CY,MATCH("      item_no: "&amp;A93&amp;",",CY:CY,0)+3,1),"item_scan_code: ",""),",",""))</f>
        <v>2000</v>
      </c>
      <c r="M93" s="884"/>
      <c r="N93" s="884"/>
      <c r="O93" s="884"/>
      <c r="P93" s="884"/>
      <c r="Q93" s="834" cm="1">
        <f t="array" ref="Q93">IF(AD93="true","",TRIM(SUBSTITUTE(SUBSTITUTE(INDEX(CY:CY,MATCH("      item_no: "&amp;A93&amp;",",CY:CY,0)+13,1),"item_price_fmt: ￥",""),",",""))+0)</f>
        <v>499</v>
      </c>
      <c r="R93" s="835"/>
      <c r="S93" s="836">
        <f t="shared" si="26"/>
        <v>0</v>
      </c>
      <c r="T93" s="837"/>
      <c r="U93" s="838" cm="1">
        <f t="array" ref="U93">IF(AD93="true","",TRIM(SUBSTITUTE(SUBSTITUTE(INDEX(CY:CY,MATCH("      item_no: "&amp;A93&amp;",",CY:CY,0)+14,1),"item_price_discount_fmt: ￥",""),",",""))+0)</f>
        <v>499</v>
      </c>
      <c r="V93" s="839"/>
      <c r="W93" s="840">
        <f ca="1">INT(SUMIF($Y$10:$AA93,"外税8%",$U$10:$V93)*1.08)+INT(SUMIF($Y$10:$AA93,"外税10%",$U$10:$V93)*1.1)+SUMIF($Y$10:$AA93,"内税10%",$U$10:$V93)+SUMIF($Y$10:$AA93,"非課税",$U$10:$V93)</f>
        <v>38173</v>
      </c>
      <c r="X93" s="841"/>
      <c r="Y93" s="842" t="str" cm="1">
        <f t="array" ref="Y93">TRIM(SUBSTITUTE(SUBSTITUTE(INDEX(CY:CY,MATCH("      item_no: "&amp;A93&amp;",",CY:CY,0)+15,1),"item_tax_fmt: ",""),",",""))</f>
        <v>外税8%</v>
      </c>
      <c r="Z93" s="843"/>
      <c r="AA93" s="843"/>
      <c r="AB93" s="844" t="str" cm="1">
        <f t="array" ref="AB93">TRIM(SUBSTITUTE(SUBSTITUTE(INDEX(CY:CY,MATCH("      item_no: "&amp;A93&amp;",",CY:CY,0)+18,1),"discount_prohibition:",""),",",""))</f>
        <v>0</v>
      </c>
      <c r="AC93" s="844"/>
      <c r="AD93" s="825" t="str" cm="1">
        <f t="array" ref="AD93">TRIM(SUBSTITUTE(SUBSTITUTE(INDEX(CY:CY,MATCH("      item_no: "&amp;A93&amp;",",CY:CY,0)+1,1),"item_cancel_line: ",""),",",""))</f>
        <v>false</v>
      </c>
      <c r="AE93" s="825"/>
      <c r="AF93" s="1093"/>
      <c r="AG93" s="1094"/>
      <c r="AH93" s="826">
        <f t="shared" si="27"/>
        <v>-24.950000000000003</v>
      </c>
      <c r="AI93" s="827"/>
      <c r="AJ93" s="828">
        <f t="shared" si="28"/>
        <v>499</v>
      </c>
      <c r="AK93" s="829"/>
      <c r="AL93" s="882">
        <f t="shared" si="29"/>
        <v>12</v>
      </c>
      <c r="AM93" s="883"/>
      <c r="AN93" s="830">
        <f t="shared" si="30"/>
        <v>-24</v>
      </c>
      <c r="AO93" s="831"/>
      <c r="AP93" s="830">
        <f t="shared" si="39"/>
        <v>-1</v>
      </c>
      <c r="AQ93" s="831"/>
      <c r="AR93" s="820"/>
      <c r="AS93" s="821"/>
      <c r="AT93" s="822">
        <f t="shared" si="40"/>
        <v>-25</v>
      </c>
      <c r="AU93" s="823"/>
      <c r="AV93" s="817">
        <f t="shared" si="31"/>
        <v>474</v>
      </c>
      <c r="AW93" s="824"/>
      <c r="AX93" s="816">
        <f t="shared" ca="1" si="32"/>
        <v>37</v>
      </c>
      <c r="AY93" s="817"/>
      <c r="AZ93" s="816">
        <v>1</v>
      </c>
      <c r="BA93" s="817"/>
      <c r="BB93" s="816" t="str">
        <f t="shared" si="33"/>
        <v/>
      </c>
      <c r="BC93" s="817"/>
      <c r="BD93" s="816"/>
      <c r="BE93" s="817"/>
      <c r="BF93" s="816" t="str">
        <f t="shared" si="34"/>
        <v/>
      </c>
      <c r="BG93" s="817"/>
      <c r="BH93" s="816"/>
      <c r="BI93" s="817"/>
      <c r="BJ93" s="816" t="str">
        <f t="shared" si="35"/>
        <v/>
      </c>
      <c r="BK93" s="817"/>
      <c r="BL93" s="816"/>
      <c r="BM93" s="817"/>
      <c r="BN93" s="845">
        <f t="shared" si="36"/>
        <v>511</v>
      </c>
      <c r="BO93" s="846"/>
      <c r="BP93" s="74" t="s">
        <v>80</v>
      </c>
      <c r="BQ93" s="801" t="str">
        <f t="shared" si="37"/>
        <v>外税8%</v>
      </c>
      <c r="BR93" s="801"/>
      <c r="BS93" s="802"/>
      <c r="BT93" s="1072"/>
      <c r="BU93" s="1073"/>
      <c r="BV93" s="1076"/>
      <c r="BW93" s="1078"/>
      <c r="CY93" s="62" t="s">
        <v>324</v>
      </c>
      <c r="DD93" s="62" t="s">
        <v>325</v>
      </c>
      <c r="DE93" s="33" t="s">
        <v>30</v>
      </c>
      <c r="DF93" s="62" t="s">
        <v>326</v>
      </c>
    </row>
    <row r="94" spans="1:110" ht="15" customHeight="1">
      <c r="A94" s="46">
        <f t="shared" si="38"/>
        <v>36</v>
      </c>
      <c r="B94" s="832" t="s">
        <v>134</v>
      </c>
      <c r="C94" s="832"/>
      <c r="D94" s="832"/>
      <c r="E94" s="832"/>
      <c r="F94" s="832" t="str" cm="1">
        <f t="array" ref="F94">TRIM(SUBSTITUTE(SUBSTITUTE(INDEX(CY:CY,MATCH("      item_no: "&amp;A94&amp;",",CY:CY,0)+9,1),"item_name: ",""),",",""))</f>
        <v>日用雑貨</v>
      </c>
      <c r="G94" s="832"/>
      <c r="H94" s="832"/>
      <c r="I94" s="832"/>
      <c r="J94" s="832"/>
      <c r="K94" s="832"/>
      <c r="L94" s="884" t="str" cm="1">
        <f t="array" ref="L94">TRIM(SUBSTITUTE(SUBSTITUTE(INDEX(CY:CY,MATCH("      item_no: "&amp;A94&amp;",",CY:CY,0)+3,1),"item_scan_code: ",""),",",""))</f>
        <v>0700</v>
      </c>
      <c r="M94" s="884"/>
      <c r="N94" s="884"/>
      <c r="O94" s="884"/>
      <c r="P94" s="884"/>
      <c r="Q94" s="834" cm="1">
        <f t="array" ref="Q94">IF(AD94="true","",TRIM(SUBSTITUTE(SUBSTITUTE(INDEX(CY:CY,MATCH("      item_no: "&amp;A94&amp;",",CY:CY,0)+13,1),"item_price_fmt: ￥",""),",",""))+0)</f>
        <v>499</v>
      </c>
      <c r="R94" s="835"/>
      <c r="S94" s="836">
        <f t="shared" si="26"/>
        <v>0</v>
      </c>
      <c r="T94" s="837"/>
      <c r="U94" s="838" cm="1">
        <f t="array" ref="U94">IF(AD94="true","",TRIM(SUBSTITUTE(SUBSTITUTE(INDEX(CY:CY,MATCH("      item_no: "&amp;A94&amp;",",CY:CY,0)+14,1),"item_price_discount_fmt: ￥",""),",",""))+0)</f>
        <v>499</v>
      </c>
      <c r="V94" s="839"/>
      <c r="W94" s="840">
        <f ca="1">INT(SUMIF($Y$10:$AA94,"外税8%",$U$10:$V94)*1.08)+INT(SUMIF($Y$10:$AA94,"外税10%",$U$10:$V94)*1.1)+SUMIF($Y$10:$AA94,"内税10%",$U$10:$V94)+SUMIF($Y$10:$AA94,"非課税",$U$10:$V94)</f>
        <v>38722</v>
      </c>
      <c r="X94" s="841"/>
      <c r="Y94" s="842" t="str" cm="1">
        <f t="array" ref="Y94">TRIM(SUBSTITUTE(SUBSTITUTE(INDEX(CY:CY,MATCH("      item_no: "&amp;A94&amp;",",CY:CY,0)+15,1),"item_tax_fmt: ",""),",",""))</f>
        <v>外税10%</v>
      </c>
      <c r="Z94" s="843"/>
      <c r="AA94" s="843"/>
      <c r="AB94" s="844" t="str" cm="1">
        <f t="array" ref="AB94">TRIM(SUBSTITUTE(SUBSTITUTE(INDEX(CY:CY,MATCH("      item_no: "&amp;A94&amp;",",CY:CY,0)+18,1),"discount_prohibition:",""),",",""))</f>
        <v>0</v>
      </c>
      <c r="AC94" s="844"/>
      <c r="AD94" s="825" t="str" cm="1">
        <f t="array" ref="AD94">TRIM(SUBSTITUTE(SUBSTITUTE(INDEX(CY:CY,MATCH("      item_no: "&amp;A94&amp;",",CY:CY,0)+1,1),"item_cancel_line: ",""),",",""))</f>
        <v>false</v>
      </c>
      <c r="AE94" s="825"/>
      <c r="AF94" s="1093"/>
      <c r="AG94" s="1094"/>
      <c r="AH94" s="826">
        <f t="shared" si="27"/>
        <v>-24.950000000000003</v>
      </c>
      <c r="AI94" s="827"/>
      <c r="AJ94" s="828">
        <f t="shared" si="28"/>
        <v>499</v>
      </c>
      <c r="AK94" s="829"/>
      <c r="AL94" s="882">
        <f t="shared" si="29"/>
        <v>12</v>
      </c>
      <c r="AM94" s="883"/>
      <c r="AN94" s="830">
        <f t="shared" si="30"/>
        <v>-24</v>
      </c>
      <c r="AO94" s="831"/>
      <c r="AP94" s="830">
        <f t="shared" si="39"/>
        <v>-1</v>
      </c>
      <c r="AQ94" s="831"/>
      <c r="AR94" s="820"/>
      <c r="AS94" s="821"/>
      <c r="AT94" s="822">
        <f t="shared" si="40"/>
        <v>-25</v>
      </c>
      <c r="AU94" s="823"/>
      <c r="AV94" s="817">
        <f t="shared" si="31"/>
        <v>474</v>
      </c>
      <c r="AW94" s="824"/>
      <c r="AX94" s="816" t="str">
        <f t="shared" si="32"/>
        <v/>
      </c>
      <c r="AY94" s="817"/>
      <c r="AZ94" s="816"/>
      <c r="BA94" s="817"/>
      <c r="BB94" s="816">
        <f t="shared" ca="1" si="33"/>
        <v>47</v>
      </c>
      <c r="BC94" s="817"/>
      <c r="BD94" s="816">
        <v>1</v>
      </c>
      <c r="BE94" s="817"/>
      <c r="BF94" s="816" t="str">
        <f t="shared" si="34"/>
        <v/>
      </c>
      <c r="BG94" s="817"/>
      <c r="BH94" s="816"/>
      <c r="BI94" s="817"/>
      <c r="BJ94" s="816" t="str">
        <f t="shared" si="35"/>
        <v/>
      </c>
      <c r="BK94" s="817"/>
      <c r="BL94" s="816"/>
      <c r="BM94" s="817"/>
      <c r="BN94" s="845">
        <f t="shared" si="36"/>
        <v>521</v>
      </c>
      <c r="BO94" s="846"/>
      <c r="BP94" s="74" t="s">
        <v>80</v>
      </c>
      <c r="BQ94" s="801" t="str">
        <f t="shared" si="37"/>
        <v>外税10%</v>
      </c>
      <c r="BR94" s="801"/>
      <c r="BS94" s="802"/>
      <c r="BT94" s="1072"/>
      <c r="BU94" s="1073"/>
      <c r="BV94" s="1076"/>
      <c r="BW94" s="1078"/>
      <c r="CY94" s="62" t="s">
        <v>327</v>
      </c>
      <c r="DD94" s="62" t="s">
        <v>328</v>
      </c>
      <c r="DE94" s="33" t="s">
        <v>30</v>
      </c>
      <c r="DF94" s="62" t="s">
        <v>329</v>
      </c>
    </row>
    <row r="95" spans="1:110" ht="15" customHeight="1">
      <c r="A95" s="46">
        <f t="shared" si="38"/>
        <v>35</v>
      </c>
      <c r="B95" s="832" t="s">
        <v>142</v>
      </c>
      <c r="C95" s="832"/>
      <c r="D95" s="832"/>
      <c r="E95" s="832"/>
      <c r="F95" s="832" t="str" cm="1">
        <f t="array" ref="F95">TRIM(SUBSTITUTE(SUBSTITUTE(INDEX(CY:CY,MATCH("      item_no: "&amp;A95&amp;",",CY:CY,0)+9,1),"item_name: ",""),",",""))</f>
        <v>バラエティ−</v>
      </c>
      <c r="G95" s="832"/>
      <c r="H95" s="832"/>
      <c r="I95" s="832"/>
      <c r="J95" s="832"/>
      <c r="K95" s="832"/>
      <c r="L95" s="884" t="str" cm="1">
        <f t="array" ref="L95">TRIM(SUBSTITUTE(SUBSTITUTE(INDEX(CY:CY,MATCH("      item_no: "&amp;A95&amp;",",CY:CY,0)+3,1),"item_scan_code: ",""),",",""))</f>
        <v>1200</v>
      </c>
      <c r="M95" s="884"/>
      <c r="N95" s="884"/>
      <c r="O95" s="884"/>
      <c r="P95" s="884"/>
      <c r="Q95" s="834" cm="1">
        <f t="array" ref="Q95">IF(AD95="true","",TRIM(SUBSTITUTE(SUBSTITUTE(INDEX(CY:CY,MATCH("      item_no: "&amp;A95&amp;",",CY:CY,0)+13,1),"item_price_fmt: ￥",""),",",""))+0)</f>
        <v>499</v>
      </c>
      <c r="R95" s="835"/>
      <c r="S95" s="836">
        <f t="shared" si="26"/>
        <v>0</v>
      </c>
      <c r="T95" s="837"/>
      <c r="U95" s="838" cm="1">
        <f t="array" ref="U95">IF(AD95="true","",TRIM(SUBSTITUTE(SUBSTITUTE(INDEX(CY:CY,MATCH("      item_no: "&amp;A95&amp;",",CY:CY,0)+14,1),"item_price_discount_fmt: ￥",""),",",""))+0)</f>
        <v>499</v>
      </c>
      <c r="V95" s="839"/>
      <c r="W95" s="840">
        <f ca="1">INT(SUMIF($Y$10:$AA95,"外税8%",$U$10:$V95)*1.08)+INT(SUMIF($Y$10:$AA95,"外税10%",$U$10:$V95)*1.1)+SUMIF($Y$10:$AA95,"内税10%",$U$10:$V95)+SUMIF($Y$10:$AA95,"非課税",$U$10:$V95)</f>
        <v>39271</v>
      </c>
      <c r="X95" s="841"/>
      <c r="Y95" s="842" t="str" cm="1">
        <f t="array" ref="Y95">TRIM(SUBSTITUTE(SUBSTITUTE(INDEX(CY:CY,MATCH("      item_no: "&amp;A95&amp;",",CY:CY,0)+15,1),"item_tax_fmt: ",""),",",""))</f>
        <v>外税10%</v>
      </c>
      <c r="Z95" s="843"/>
      <c r="AA95" s="843"/>
      <c r="AB95" s="844" t="str" cm="1">
        <f t="array" ref="AB95">TRIM(SUBSTITUTE(SUBSTITUTE(INDEX(CY:CY,MATCH("      item_no: "&amp;A95&amp;",",CY:CY,0)+18,1),"discount_prohibition:",""),",",""))</f>
        <v>0</v>
      </c>
      <c r="AC95" s="844"/>
      <c r="AD95" s="825" t="str" cm="1">
        <f t="array" ref="AD95">TRIM(SUBSTITUTE(SUBSTITUTE(INDEX(CY:CY,MATCH("      item_no: "&amp;A95&amp;",",CY:CY,0)+1,1),"item_cancel_line: ",""),",",""))</f>
        <v>false</v>
      </c>
      <c r="AE95" s="825"/>
      <c r="AF95" s="1093"/>
      <c r="AG95" s="1094"/>
      <c r="AH95" s="826">
        <f t="shared" si="27"/>
        <v>-24.950000000000003</v>
      </c>
      <c r="AI95" s="827"/>
      <c r="AJ95" s="828">
        <f t="shared" si="28"/>
        <v>499</v>
      </c>
      <c r="AK95" s="829"/>
      <c r="AL95" s="882">
        <f t="shared" si="29"/>
        <v>12</v>
      </c>
      <c r="AM95" s="883"/>
      <c r="AN95" s="830">
        <f t="shared" si="30"/>
        <v>-24</v>
      </c>
      <c r="AO95" s="831"/>
      <c r="AP95" s="830">
        <f t="shared" si="39"/>
        <v>-1</v>
      </c>
      <c r="AQ95" s="831"/>
      <c r="AR95" s="820"/>
      <c r="AS95" s="821"/>
      <c r="AT95" s="822">
        <f t="shared" si="40"/>
        <v>-25</v>
      </c>
      <c r="AU95" s="823"/>
      <c r="AV95" s="817">
        <f t="shared" si="31"/>
        <v>474</v>
      </c>
      <c r="AW95" s="824"/>
      <c r="AX95" s="816" t="str">
        <f t="shared" si="32"/>
        <v/>
      </c>
      <c r="AY95" s="817"/>
      <c r="AZ95" s="816"/>
      <c r="BA95" s="817"/>
      <c r="BB95" s="816">
        <f t="shared" ca="1" si="33"/>
        <v>47</v>
      </c>
      <c r="BC95" s="817"/>
      <c r="BD95" s="816">
        <v>1</v>
      </c>
      <c r="BE95" s="817"/>
      <c r="BF95" s="816" t="str">
        <f t="shared" si="34"/>
        <v/>
      </c>
      <c r="BG95" s="817"/>
      <c r="BH95" s="816"/>
      <c r="BI95" s="817"/>
      <c r="BJ95" s="816" t="str">
        <f t="shared" si="35"/>
        <v/>
      </c>
      <c r="BK95" s="817"/>
      <c r="BL95" s="816"/>
      <c r="BM95" s="817"/>
      <c r="BN95" s="845">
        <f t="shared" si="36"/>
        <v>521</v>
      </c>
      <c r="BO95" s="846"/>
      <c r="BP95" s="74" t="s">
        <v>80</v>
      </c>
      <c r="BQ95" s="801" t="str">
        <f t="shared" si="37"/>
        <v>外税10%</v>
      </c>
      <c r="BR95" s="801"/>
      <c r="BS95" s="802"/>
      <c r="BT95" s="1072"/>
      <c r="BU95" s="1073"/>
      <c r="BV95" s="1076"/>
      <c r="BW95" s="1078"/>
      <c r="CY95" s="62" t="s">
        <v>330</v>
      </c>
      <c r="DD95" s="62" t="s">
        <v>331</v>
      </c>
      <c r="DE95" s="33" t="s">
        <v>30</v>
      </c>
      <c r="DF95" s="62" t="s">
        <v>332</v>
      </c>
    </row>
    <row r="96" spans="1:110" ht="15" customHeight="1">
      <c r="A96" s="46">
        <f t="shared" si="38"/>
        <v>34</v>
      </c>
      <c r="B96" s="875" t="s">
        <v>232</v>
      </c>
      <c r="C96" s="875"/>
      <c r="D96" s="875"/>
      <c r="E96" s="875"/>
      <c r="F96" s="875" t="str" cm="1">
        <f t="array" ref="F96">TRIM(SUBSTITUTE(SUBSTITUTE(INDEX(CY:CY,MATCH("      item_no: "&amp;A96&amp;",",CY:CY,0)+9,1),"item_name: ",""),",",""))</f>
        <v>地域指定用品</v>
      </c>
      <c r="G96" s="875"/>
      <c r="H96" s="875"/>
      <c r="I96" s="875"/>
      <c r="J96" s="875"/>
      <c r="K96" s="875"/>
      <c r="L96" s="881" t="str" cm="1">
        <f t="array" ref="L96">TRIM(SUBSTITUTE(SUBSTITUTE(INDEX(CY:CY,MATCH("      item_no: "&amp;A96&amp;",",CY:CY,0)+3,1),"item_scan_code: ",""),",",""))</f>
        <v>4600</v>
      </c>
      <c r="M96" s="881"/>
      <c r="N96" s="881"/>
      <c r="O96" s="881"/>
      <c r="P96" s="881"/>
      <c r="Q96" s="877" cm="1">
        <f t="array" ref="Q96">IF(AD96="true","",TRIM(SUBSTITUTE(SUBSTITUTE(INDEX(CY:CY,MATCH("      item_no: "&amp;A96&amp;",",CY:CY,0)+13,1),"item_price_fmt: ￥",""),",",""))+0)</f>
        <v>499</v>
      </c>
      <c r="R96" s="878"/>
      <c r="S96" s="879">
        <f t="shared" si="26"/>
        <v>0</v>
      </c>
      <c r="T96" s="880"/>
      <c r="U96" s="873" cm="1">
        <f t="array" ref="U96">IF(AD96="true","",TRIM(SUBSTITUTE(SUBSTITUTE(INDEX(CY:CY,MATCH("      item_no: "&amp;A96&amp;",",CY:CY,0)+14,1),"item_price_discount_fmt: ￥",""),",",""))+0)</f>
        <v>499</v>
      </c>
      <c r="V96" s="874"/>
      <c r="W96" s="840">
        <f ca="1">INT(SUMIF($Y$10:$AA96,"外税8%",$U$10:$V96)*1.08)+INT(SUMIF($Y$10:$AA96,"外税10%",$U$10:$V96)*1.1)+SUMIF($Y$10:$AA96,"内税10%",$U$10:$V96)+SUMIF($Y$10:$AA96,"非課税",$U$10:$V96)</f>
        <v>39770</v>
      </c>
      <c r="X96" s="841"/>
      <c r="Y96" s="867" t="str" cm="1">
        <f t="array" ref="Y96">TRIM(SUBSTITUTE(SUBSTITUTE(INDEX(CY:CY,MATCH("      item_no: "&amp;A96&amp;",",CY:CY,0)+15,1),"item_tax_fmt: ",""),",",""))</f>
        <v>内税10%</v>
      </c>
      <c r="Z96" s="868"/>
      <c r="AA96" s="868"/>
      <c r="AB96" s="869" t="str" cm="1">
        <f t="array" ref="AB96">TRIM(SUBSTITUTE(SUBSTITUTE(INDEX(CY:CY,MATCH("      item_no: "&amp;A96&amp;",",CY:CY,0)+18,1),"discount_prohibition:",""),",",""))</f>
        <v>1</v>
      </c>
      <c r="AC96" s="869"/>
      <c r="AD96" s="870" t="str" cm="1">
        <f t="array" ref="AD96">TRIM(SUBSTITUTE(SUBSTITUTE(INDEX(CY:CY,MATCH("      item_no: "&amp;A96&amp;",",CY:CY,0)+1,1),"item_cancel_line: ",""),",",""))</f>
        <v>false</v>
      </c>
      <c r="AE96" s="870"/>
      <c r="AF96" s="1093"/>
      <c r="AG96" s="1094"/>
      <c r="AH96" s="871">
        <f t="shared" si="27"/>
        <v>0</v>
      </c>
      <c r="AI96" s="872"/>
      <c r="AJ96" s="873">
        <f t="shared" si="28"/>
        <v>0</v>
      </c>
      <c r="AK96" s="874"/>
      <c r="AL96" s="864">
        <f t="shared" si="29"/>
        <v>84</v>
      </c>
      <c r="AM96" s="865"/>
      <c r="AN96" s="830">
        <f t="shared" si="30"/>
        <v>0</v>
      </c>
      <c r="AO96" s="831"/>
      <c r="AP96" s="830">
        <f t="shared" si="39"/>
        <v>0</v>
      </c>
      <c r="AQ96" s="831"/>
      <c r="AR96" s="820"/>
      <c r="AS96" s="821"/>
      <c r="AT96" s="864">
        <f t="shared" si="40"/>
        <v>0</v>
      </c>
      <c r="AU96" s="865"/>
      <c r="AV96" s="861">
        <f t="shared" si="31"/>
        <v>499</v>
      </c>
      <c r="AW96" s="866"/>
      <c r="AX96" s="860" t="str">
        <f t="shared" si="32"/>
        <v/>
      </c>
      <c r="AY96" s="861"/>
      <c r="AZ96" s="860"/>
      <c r="BA96" s="861"/>
      <c r="BB96" s="860" t="str">
        <f t="shared" si="33"/>
        <v/>
      </c>
      <c r="BC96" s="861"/>
      <c r="BD96" s="860"/>
      <c r="BE96" s="861"/>
      <c r="BF96" s="860" t="str">
        <f t="shared" si="34"/>
        <v/>
      </c>
      <c r="BG96" s="861"/>
      <c r="BH96" s="860"/>
      <c r="BI96" s="861"/>
      <c r="BJ96" s="860">
        <f t="shared" si="35"/>
        <v>45</v>
      </c>
      <c r="BK96" s="861"/>
      <c r="BL96" s="860">
        <v>1</v>
      </c>
      <c r="BM96" s="861"/>
      <c r="BN96" s="862">
        <f t="shared" si="36"/>
        <v>499</v>
      </c>
      <c r="BO96" s="863"/>
      <c r="BP96" s="74" t="s">
        <v>227</v>
      </c>
      <c r="BQ96" s="801" t="str">
        <f t="shared" si="37"/>
        <v>※内税10%</v>
      </c>
      <c r="BR96" s="801"/>
      <c r="BS96" s="802"/>
      <c r="BT96" s="1072"/>
      <c r="BU96" s="1073"/>
      <c r="BV96" s="1076"/>
      <c r="BW96" s="1078"/>
      <c r="CY96" s="62" t="s">
        <v>333</v>
      </c>
      <c r="DD96" s="62" t="s">
        <v>334</v>
      </c>
      <c r="DE96" s="33" t="s">
        <v>30</v>
      </c>
      <c r="DF96" s="62" t="s">
        <v>335</v>
      </c>
    </row>
    <row r="97" spans="1:110" ht="15" customHeight="1">
      <c r="A97" s="46">
        <f t="shared" si="38"/>
        <v>33</v>
      </c>
      <c r="B97" s="832" t="s">
        <v>146</v>
      </c>
      <c r="C97" s="832"/>
      <c r="D97" s="832"/>
      <c r="E97" s="832"/>
      <c r="F97" s="832" t="str" cm="1">
        <f t="array" ref="F97">TRIM(SUBSTITUTE(SUBSTITUTE(INDEX(CY:CY,MATCH("      item_no: "&amp;A97&amp;",",CY:CY,0)+9,1),"item_name: ",""),",",""))</f>
        <v>実用衣料</v>
      </c>
      <c r="G97" s="832"/>
      <c r="H97" s="832"/>
      <c r="I97" s="832"/>
      <c r="J97" s="832"/>
      <c r="K97" s="832"/>
      <c r="L97" s="884" t="str" cm="1">
        <f t="array" ref="L97">TRIM(SUBSTITUTE(SUBSTITUTE(INDEX(CY:CY,MATCH("      item_no: "&amp;A97&amp;",",CY:CY,0)+3,1),"item_scan_code: ",""),",",""))</f>
        <v>1300</v>
      </c>
      <c r="M97" s="884"/>
      <c r="N97" s="884"/>
      <c r="O97" s="884"/>
      <c r="P97" s="884"/>
      <c r="Q97" s="834" cm="1">
        <f t="array" ref="Q97">IF(AD97="true","",TRIM(SUBSTITUTE(SUBSTITUTE(INDEX(CY:CY,MATCH("      item_no: "&amp;A97&amp;",",CY:CY,0)+13,1),"item_price_fmt: ￥",""),",",""))+0)</f>
        <v>499</v>
      </c>
      <c r="R97" s="835"/>
      <c r="S97" s="836">
        <f t="shared" si="26"/>
        <v>0</v>
      </c>
      <c r="T97" s="837"/>
      <c r="U97" s="838" cm="1">
        <f t="array" ref="U97">IF(AD97="true","",TRIM(SUBSTITUTE(SUBSTITUTE(INDEX(CY:CY,MATCH("      item_no: "&amp;A97&amp;",",CY:CY,0)+14,1),"item_price_discount_fmt: ￥",""),",",""))+0)</f>
        <v>499</v>
      </c>
      <c r="V97" s="839"/>
      <c r="W97" s="840">
        <f ca="1">INT(SUMIF($Y$10:$AA97,"外税8%",$U$10:$V97)*1.08)+INT(SUMIF($Y$10:$AA97,"外税10%",$U$10:$V97)*1.1)+SUMIF($Y$10:$AA97,"内税10%",$U$10:$V97)+SUMIF($Y$10:$AA97,"非課税",$U$10:$V97)</f>
        <v>40319</v>
      </c>
      <c r="X97" s="841"/>
      <c r="Y97" s="842" t="str" cm="1">
        <f t="array" ref="Y97">TRIM(SUBSTITUTE(SUBSTITUTE(INDEX(CY:CY,MATCH("      item_no: "&amp;A97&amp;",",CY:CY,0)+15,1),"item_tax_fmt: ",""),",",""))</f>
        <v>外税10%</v>
      </c>
      <c r="Z97" s="843"/>
      <c r="AA97" s="843"/>
      <c r="AB97" s="844" t="str" cm="1">
        <f t="array" ref="AB97">TRIM(SUBSTITUTE(SUBSTITUTE(INDEX(CY:CY,MATCH("      item_no: "&amp;A97&amp;",",CY:CY,0)+18,1),"discount_prohibition:",""),",",""))</f>
        <v>0</v>
      </c>
      <c r="AC97" s="844"/>
      <c r="AD97" s="825" t="str" cm="1">
        <f t="array" ref="AD97">TRIM(SUBSTITUTE(SUBSTITUTE(INDEX(CY:CY,MATCH("      item_no: "&amp;A97&amp;",",CY:CY,0)+1,1),"item_cancel_line: ",""),",",""))</f>
        <v>false</v>
      </c>
      <c r="AE97" s="825"/>
      <c r="AF97" s="1093"/>
      <c r="AG97" s="1094"/>
      <c r="AH97" s="826">
        <f t="shared" si="27"/>
        <v>-24.950000000000003</v>
      </c>
      <c r="AI97" s="827"/>
      <c r="AJ97" s="828">
        <f t="shared" si="28"/>
        <v>499</v>
      </c>
      <c r="AK97" s="829"/>
      <c r="AL97" s="882">
        <f t="shared" si="29"/>
        <v>12</v>
      </c>
      <c r="AM97" s="883"/>
      <c r="AN97" s="830">
        <f t="shared" si="30"/>
        <v>-24</v>
      </c>
      <c r="AO97" s="831"/>
      <c r="AP97" s="830">
        <f t="shared" si="39"/>
        <v>-1</v>
      </c>
      <c r="AQ97" s="831"/>
      <c r="AR97" s="820"/>
      <c r="AS97" s="821"/>
      <c r="AT97" s="822">
        <f t="shared" si="40"/>
        <v>-25</v>
      </c>
      <c r="AU97" s="823"/>
      <c r="AV97" s="817">
        <f t="shared" si="31"/>
        <v>474</v>
      </c>
      <c r="AW97" s="824"/>
      <c r="AX97" s="816" t="str">
        <f t="shared" si="32"/>
        <v/>
      </c>
      <c r="AY97" s="817"/>
      <c r="AZ97" s="816"/>
      <c r="BA97" s="817"/>
      <c r="BB97" s="816">
        <f t="shared" ca="1" si="33"/>
        <v>47</v>
      </c>
      <c r="BC97" s="817"/>
      <c r="BD97" s="816">
        <v>1</v>
      </c>
      <c r="BE97" s="817"/>
      <c r="BF97" s="816" t="str">
        <f t="shared" si="34"/>
        <v/>
      </c>
      <c r="BG97" s="817"/>
      <c r="BH97" s="816"/>
      <c r="BI97" s="817"/>
      <c r="BJ97" s="816" t="str">
        <f t="shared" si="35"/>
        <v/>
      </c>
      <c r="BK97" s="817"/>
      <c r="BL97" s="816"/>
      <c r="BM97" s="817"/>
      <c r="BN97" s="845">
        <f t="shared" si="36"/>
        <v>521</v>
      </c>
      <c r="BO97" s="846"/>
      <c r="BP97" s="74" t="s">
        <v>80</v>
      </c>
      <c r="BQ97" s="801" t="str">
        <f t="shared" si="37"/>
        <v>外税10%</v>
      </c>
      <c r="BR97" s="801"/>
      <c r="BS97" s="802"/>
      <c r="BT97" s="1072"/>
      <c r="BU97" s="1073"/>
      <c r="BV97" s="1076"/>
      <c r="BW97" s="1078"/>
      <c r="CY97" s="62" t="s">
        <v>336</v>
      </c>
      <c r="DD97" s="62" t="s">
        <v>337</v>
      </c>
      <c r="DE97" s="33" t="s">
        <v>30</v>
      </c>
      <c r="DF97" s="62" t="s">
        <v>338</v>
      </c>
    </row>
    <row r="98" spans="1:110" ht="15" customHeight="1">
      <c r="A98" s="46">
        <f t="shared" si="38"/>
        <v>32</v>
      </c>
      <c r="B98" s="832" t="s">
        <v>339</v>
      </c>
      <c r="C98" s="832"/>
      <c r="D98" s="832"/>
      <c r="E98" s="832"/>
      <c r="F98" s="832" t="str" cm="1">
        <f t="array" ref="F98">TRIM(SUBSTITUTE(SUBSTITUTE(INDEX(CY:CY,MATCH("      item_no: "&amp;A98&amp;",",CY:CY,0)+9,1),"item_name: ",""),",",""))</f>
        <v>アウター衣料</v>
      </c>
      <c r="G98" s="832"/>
      <c r="H98" s="832"/>
      <c r="I98" s="832"/>
      <c r="J98" s="832"/>
      <c r="K98" s="832"/>
      <c r="L98" s="884" t="str" cm="1">
        <f t="array" ref="L98">TRIM(SUBSTITUTE(SUBSTITUTE(INDEX(CY:CY,MATCH("      item_no: "&amp;A98&amp;",",CY:CY,0)+3,1),"item_scan_code: ",""),",",""))</f>
        <v>2700</v>
      </c>
      <c r="M98" s="884"/>
      <c r="N98" s="884"/>
      <c r="O98" s="884"/>
      <c r="P98" s="884"/>
      <c r="Q98" s="834" cm="1">
        <f t="array" ref="Q98">IF(AD98="true","",TRIM(SUBSTITUTE(SUBSTITUTE(INDEX(CY:CY,MATCH("      item_no: "&amp;A98&amp;",",CY:CY,0)+13,1),"item_price_fmt: ￥",""),",",""))+0)</f>
        <v>499</v>
      </c>
      <c r="R98" s="835"/>
      <c r="S98" s="836">
        <f t="shared" si="26"/>
        <v>0</v>
      </c>
      <c r="T98" s="837"/>
      <c r="U98" s="838" cm="1">
        <f t="array" ref="U98">IF(AD98="true","",TRIM(SUBSTITUTE(SUBSTITUTE(INDEX(CY:CY,MATCH("      item_no: "&amp;A98&amp;",",CY:CY,0)+14,1),"item_price_discount_fmt: ￥",""),",",""))+0)</f>
        <v>499</v>
      </c>
      <c r="V98" s="839"/>
      <c r="W98" s="840">
        <f ca="1">INT(SUMIF($Y$10:$AA98,"外税8%",$U$10:$V98)*1.08)+INT(SUMIF($Y$10:$AA98,"外税10%",$U$10:$V98)*1.1)+SUMIF($Y$10:$AA98,"内税10%",$U$10:$V98)+SUMIF($Y$10:$AA98,"非課税",$U$10:$V98)</f>
        <v>40868</v>
      </c>
      <c r="X98" s="841"/>
      <c r="Y98" s="842" t="str" cm="1">
        <f t="array" ref="Y98">TRIM(SUBSTITUTE(SUBSTITUTE(INDEX(CY:CY,MATCH("      item_no: "&amp;A98&amp;",",CY:CY,0)+15,1),"item_tax_fmt: ",""),",",""))</f>
        <v>外税10%</v>
      </c>
      <c r="Z98" s="843"/>
      <c r="AA98" s="843"/>
      <c r="AB98" s="844" t="str" cm="1">
        <f t="array" ref="AB98">TRIM(SUBSTITUTE(SUBSTITUTE(INDEX(CY:CY,MATCH("      item_no: "&amp;A98&amp;",",CY:CY,0)+18,1),"discount_prohibition:",""),",",""))</f>
        <v>0</v>
      </c>
      <c r="AC98" s="844"/>
      <c r="AD98" s="825" t="str" cm="1">
        <f t="array" ref="AD98">TRIM(SUBSTITUTE(SUBSTITUTE(INDEX(CY:CY,MATCH("      item_no: "&amp;A98&amp;",",CY:CY,0)+1,1),"item_cancel_line: ",""),",",""))</f>
        <v>false</v>
      </c>
      <c r="AE98" s="825"/>
      <c r="AF98" s="1093"/>
      <c r="AG98" s="1094"/>
      <c r="AH98" s="826">
        <f t="shared" si="27"/>
        <v>-24.950000000000003</v>
      </c>
      <c r="AI98" s="827"/>
      <c r="AJ98" s="828">
        <f t="shared" si="28"/>
        <v>499</v>
      </c>
      <c r="AK98" s="829"/>
      <c r="AL98" s="882">
        <f t="shared" si="29"/>
        <v>12</v>
      </c>
      <c r="AM98" s="883"/>
      <c r="AN98" s="830">
        <f t="shared" si="30"/>
        <v>-24</v>
      </c>
      <c r="AO98" s="831"/>
      <c r="AP98" s="830">
        <f t="shared" si="39"/>
        <v>-1</v>
      </c>
      <c r="AQ98" s="831"/>
      <c r="AR98" s="820"/>
      <c r="AS98" s="821"/>
      <c r="AT98" s="822">
        <f t="shared" si="40"/>
        <v>-25</v>
      </c>
      <c r="AU98" s="823"/>
      <c r="AV98" s="817">
        <f t="shared" si="31"/>
        <v>474</v>
      </c>
      <c r="AW98" s="824"/>
      <c r="AX98" s="816" t="str">
        <f t="shared" si="32"/>
        <v/>
      </c>
      <c r="AY98" s="817"/>
      <c r="AZ98" s="816"/>
      <c r="BA98" s="817"/>
      <c r="BB98" s="816">
        <f t="shared" ca="1" si="33"/>
        <v>47</v>
      </c>
      <c r="BC98" s="817"/>
      <c r="BD98" s="816">
        <v>1</v>
      </c>
      <c r="BE98" s="817"/>
      <c r="BF98" s="816" t="str">
        <f t="shared" si="34"/>
        <v/>
      </c>
      <c r="BG98" s="817"/>
      <c r="BH98" s="816"/>
      <c r="BI98" s="817"/>
      <c r="BJ98" s="816" t="str">
        <f t="shared" si="35"/>
        <v/>
      </c>
      <c r="BK98" s="817"/>
      <c r="BL98" s="816"/>
      <c r="BM98" s="817"/>
      <c r="BN98" s="845">
        <f t="shared" si="36"/>
        <v>521</v>
      </c>
      <c r="BO98" s="846"/>
      <c r="BP98" s="74" t="s">
        <v>80</v>
      </c>
      <c r="BQ98" s="801" t="str">
        <f t="shared" si="37"/>
        <v>外税10%</v>
      </c>
      <c r="BR98" s="801"/>
      <c r="BS98" s="802"/>
      <c r="BT98" s="1072"/>
      <c r="BU98" s="1073"/>
      <c r="BV98" s="1076"/>
      <c r="BW98" s="1078"/>
      <c r="CY98" s="62" t="s">
        <v>340</v>
      </c>
      <c r="DD98" s="62" t="s">
        <v>341</v>
      </c>
      <c r="DE98" s="33" t="s">
        <v>30</v>
      </c>
      <c r="DF98" s="62" t="s">
        <v>342</v>
      </c>
    </row>
    <row r="99" spans="1:110" ht="15" customHeight="1">
      <c r="A99" s="46">
        <f t="shared" si="38"/>
        <v>31</v>
      </c>
      <c r="B99" s="832" t="s">
        <v>207</v>
      </c>
      <c r="C99" s="832"/>
      <c r="D99" s="832"/>
      <c r="E99" s="832"/>
      <c r="F99" s="832" t="str" cm="1">
        <f t="array" ref="F99">TRIM(SUBSTITUTE(SUBSTITUTE(INDEX(CY:CY,MATCH("      item_no: "&amp;A99&amp;",",CY:CY,0)+9,1),"item_name: ",""),",",""))</f>
        <v>寿司</v>
      </c>
      <c r="G99" s="832"/>
      <c r="H99" s="832"/>
      <c r="I99" s="832"/>
      <c r="J99" s="832"/>
      <c r="K99" s="832"/>
      <c r="L99" s="884" t="str" cm="1">
        <f t="array" ref="L99">TRIM(SUBSTITUTE(SUBSTITUTE(INDEX(CY:CY,MATCH("      item_no: "&amp;A99&amp;",",CY:CY,0)+3,1),"item_scan_code: ",""),",",""))</f>
        <v>2300</v>
      </c>
      <c r="M99" s="884"/>
      <c r="N99" s="884"/>
      <c r="O99" s="884"/>
      <c r="P99" s="884"/>
      <c r="Q99" s="834" cm="1">
        <f t="array" ref="Q99">IF(AD99="true","",TRIM(SUBSTITUTE(SUBSTITUTE(INDEX(CY:CY,MATCH("      item_no: "&amp;A99&amp;",",CY:CY,0)+13,1),"item_price_fmt: ￥",""),",",""))+0)</f>
        <v>499</v>
      </c>
      <c r="R99" s="835"/>
      <c r="S99" s="836">
        <f t="shared" si="26"/>
        <v>0</v>
      </c>
      <c r="T99" s="837"/>
      <c r="U99" s="838" cm="1">
        <f t="array" ref="U99">IF(AD99="true","",TRIM(SUBSTITUTE(SUBSTITUTE(INDEX(CY:CY,MATCH("      item_no: "&amp;A99&amp;",",CY:CY,0)+14,1),"item_price_discount_fmt: ￥",""),",",""))+0)</f>
        <v>499</v>
      </c>
      <c r="V99" s="839"/>
      <c r="W99" s="840">
        <f ca="1">INT(SUMIF($Y$10:$AA99,"外税8%",$U$10:$V99)*1.08)+INT(SUMIF($Y$10:$AA99,"外税10%",$U$10:$V99)*1.1)+SUMIF($Y$10:$AA99,"内税10%",$U$10:$V99)+SUMIF($Y$10:$AA99,"非課税",$U$10:$V99)</f>
        <v>41407</v>
      </c>
      <c r="X99" s="841"/>
      <c r="Y99" s="842" t="str" cm="1">
        <f t="array" ref="Y99">TRIM(SUBSTITUTE(SUBSTITUTE(INDEX(CY:CY,MATCH("      item_no: "&amp;A99&amp;",",CY:CY,0)+15,1),"item_tax_fmt: ",""),",",""))</f>
        <v>外税8%</v>
      </c>
      <c r="Z99" s="843"/>
      <c r="AA99" s="843"/>
      <c r="AB99" s="844" t="str" cm="1">
        <f t="array" ref="AB99">TRIM(SUBSTITUTE(SUBSTITUTE(INDEX(CY:CY,MATCH("      item_no: "&amp;A99&amp;",",CY:CY,0)+18,1),"discount_prohibition:",""),",",""))</f>
        <v>0</v>
      </c>
      <c r="AC99" s="844"/>
      <c r="AD99" s="825" t="str" cm="1">
        <f t="array" ref="AD99">TRIM(SUBSTITUTE(SUBSTITUTE(INDEX(CY:CY,MATCH("      item_no: "&amp;A99&amp;",",CY:CY,0)+1,1),"item_cancel_line: ",""),",",""))</f>
        <v>false</v>
      </c>
      <c r="AE99" s="825"/>
      <c r="AF99" s="1093"/>
      <c r="AG99" s="1094"/>
      <c r="AH99" s="826">
        <f t="shared" si="27"/>
        <v>-24.950000000000003</v>
      </c>
      <c r="AI99" s="827"/>
      <c r="AJ99" s="828">
        <f t="shared" si="28"/>
        <v>499</v>
      </c>
      <c r="AK99" s="829"/>
      <c r="AL99" s="882">
        <f t="shared" si="29"/>
        <v>12</v>
      </c>
      <c r="AM99" s="883"/>
      <c r="AN99" s="830">
        <f t="shared" si="30"/>
        <v>-24</v>
      </c>
      <c r="AO99" s="831"/>
      <c r="AP99" s="830">
        <f t="shared" si="39"/>
        <v>-1</v>
      </c>
      <c r="AQ99" s="831"/>
      <c r="AR99" s="820"/>
      <c r="AS99" s="821"/>
      <c r="AT99" s="822">
        <f t="shared" si="40"/>
        <v>-25</v>
      </c>
      <c r="AU99" s="823"/>
      <c r="AV99" s="817">
        <f t="shared" si="31"/>
        <v>474</v>
      </c>
      <c r="AW99" s="824"/>
      <c r="AX99" s="816">
        <f t="shared" ca="1" si="32"/>
        <v>37</v>
      </c>
      <c r="AY99" s="817"/>
      <c r="AZ99" s="816">
        <v>1</v>
      </c>
      <c r="BA99" s="817"/>
      <c r="BB99" s="816" t="str">
        <f t="shared" si="33"/>
        <v/>
      </c>
      <c r="BC99" s="817"/>
      <c r="BD99" s="816"/>
      <c r="BE99" s="817"/>
      <c r="BF99" s="816" t="str">
        <f t="shared" si="34"/>
        <v/>
      </c>
      <c r="BG99" s="817"/>
      <c r="BH99" s="816"/>
      <c r="BI99" s="817"/>
      <c r="BJ99" s="816" t="str">
        <f t="shared" si="35"/>
        <v/>
      </c>
      <c r="BK99" s="817"/>
      <c r="BL99" s="816"/>
      <c r="BM99" s="817"/>
      <c r="BN99" s="845">
        <f t="shared" si="36"/>
        <v>511</v>
      </c>
      <c r="BO99" s="846"/>
      <c r="BP99" s="74" t="s">
        <v>80</v>
      </c>
      <c r="BQ99" s="801" t="str">
        <f t="shared" si="37"/>
        <v>外税8%</v>
      </c>
      <c r="BR99" s="801"/>
      <c r="BS99" s="802"/>
      <c r="BT99" s="1072"/>
      <c r="BU99" s="1073"/>
      <c r="BV99" s="1076"/>
      <c r="BW99" s="1078"/>
      <c r="CY99" s="62" t="s">
        <v>272</v>
      </c>
      <c r="DD99" s="62" t="s">
        <v>343</v>
      </c>
      <c r="DE99" s="33" t="s">
        <v>30</v>
      </c>
      <c r="DF99" s="62" t="s">
        <v>344</v>
      </c>
    </row>
    <row r="100" spans="1:110" ht="15" customHeight="1">
      <c r="A100" s="46">
        <f t="shared" si="38"/>
        <v>30</v>
      </c>
      <c r="B100" s="875" t="s">
        <v>266</v>
      </c>
      <c r="C100" s="875"/>
      <c r="D100" s="875"/>
      <c r="E100" s="875"/>
      <c r="F100" s="875" t="str" cm="1">
        <f t="array" ref="F100">TRIM(SUBSTITUTE(SUBSTITUTE(INDEX(CY:CY,MATCH("      item_no: "&amp;A100&amp;",",CY:CY,0)+9,1),"item_name: ",""),",",""))</f>
        <v>雑誌</v>
      </c>
      <c r="G100" s="875"/>
      <c r="H100" s="875"/>
      <c r="I100" s="875"/>
      <c r="J100" s="875"/>
      <c r="K100" s="875"/>
      <c r="L100" s="881" t="str" cm="1">
        <f t="array" ref="L100">TRIM(SUBSTITUTE(SUBSTITUTE(INDEX(CY:CY,MATCH("      item_no: "&amp;A100&amp;",",CY:CY,0)+3,1),"item_scan_code: ",""),",",""))</f>
        <v>4700</v>
      </c>
      <c r="M100" s="881"/>
      <c r="N100" s="881"/>
      <c r="O100" s="881"/>
      <c r="P100" s="881"/>
      <c r="Q100" s="877" cm="1">
        <f t="array" ref="Q100">IF(AD100="true","",TRIM(SUBSTITUTE(SUBSTITUTE(INDEX(CY:CY,MATCH("      item_no: "&amp;A100&amp;",",CY:CY,0)+13,1),"item_price_fmt: ￥",""),",",""))+0)</f>
        <v>499</v>
      </c>
      <c r="R100" s="878"/>
      <c r="S100" s="879">
        <f t="shared" si="26"/>
        <v>0</v>
      </c>
      <c r="T100" s="880"/>
      <c r="U100" s="873" cm="1">
        <f t="array" ref="U100">IF(AD100="true","",TRIM(SUBSTITUTE(SUBSTITUTE(INDEX(CY:CY,MATCH("      item_no: "&amp;A100&amp;",",CY:CY,0)+14,1),"item_price_discount_fmt: ￥",""),",",""))+0)</f>
        <v>499</v>
      </c>
      <c r="V100" s="874"/>
      <c r="W100" s="840">
        <f ca="1">INT(SUMIF($Y$10:$AA100,"外税8%",$U$10:$V100)*1.08)+INT(SUMIF($Y$10:$AA100,"外税10%",$U$10:$V100)*1.1)+SUMIF($Y$10:$AA100,"内税10%",$U$10:$V100)+SUMIF($Y$10:$AA100,"非課税",$U$10:$V100)</f>
        <v>41956</v>
      </c>
      <c r="X100" s="841"/>
      <c r="Y100" s="867" t="str" cm="1">
        <f t="array" ref="Y100">TRIM(SUBSTITUTE(SUBSTITUTE(INDEX(CY:CY,MATCH("      item_no: "&amp;A100&amp;",",CY:CY,0)+15,1),"item_tax_fmt: ",""),",",""))</f>
        <v>外税10%</v>
      </c>
      <c r="Z100" s="868"/>
      <c r="AA100" s="868"/>
      <c r="AB100" s="869" t="str" cm="1">
        <f t="array" ref="AB100">TRIM(SUBSTITUTE(SUBSTITUTE(INDEX(CY:CY,MATCH("      item_no: "&amp;A100&amp;",",CY:CY,0)+18,1),"discount_prohibition:",""),",",""))</f>
        <v>1</v>
      </c>
      <c r="AC100" s="869"/>
      <c r="AD100" s="870" t="str" cm="1">
        <f t="array" ref="AD100">TRIM(SUBSTITUTE(SUBSTITUTE(INDEX(CY:CY,MATCH("      item_no: "&amp;A100&amp;",",CY:CY,0)+1,1),"item_cancel_line: ",""),",",""))</f>
        <v>false</v>
      </c>
      <c r="AE100" s="870"/>
      <c r="AF100" s="1093"/>
      <c r="AG100" s="1094"/>
      <c r="AH100" s="871">
        <f t="shared" si="27"/>
        <v>0</v>
      </c>
      <c r="AI100" s="872"/>
      <c r="AJ100" s="873">
        <f t="shared" si="28"/>
        <v>0</v>
      </c>
      <c r="AK100" s="874"/>
      <c r="AL100" s="864">
        <f t="shared" si="29"/>
        <v>84</v>
      </c>
      <c r="AM100" s="865"/>
      <c r="AN100" s="830">
        <f t="shared" si="30"/>
        <v>0</v>
      </c>
      <c r="AO100" s="831"/>
      <c r="AP100" s="830">
        <f t="shared" si="39"/>
        <v>0</v>
      </c>
      <c r="AQ100" s="831"/>
      <c r="AR100" s="820"/>
      <c r="AS100" s="821"/>
      <c r="AT100" s="864">
        <f t="shared" si="40"/>
        <v>0</v>
      </c>
      <c r="AU100" s="865"/>
      <c r="AV100" s="861">
        <f t="shared" si="31"/>
        <v>499</v>
      </c>
      <c r="AW100" s="866"/>
      <c r="AX100" s="860" t="str">
        <f t="shared" si="32"/>
        <v/>
      </c>
      <c r="AY100" s="861"/>
      <c r="AZ100" s="860"/>
      <c r="BA100" s="861"/>
      <c r="BB100" s="860">
        <f t="shared" ca="1" si="33"/>
        <v>49</v>
      </c>
      <c r="BC100" s="861"/>
      <c r="BD100" s="860">
        <v>1</v>
      </c>
      <c r="BE100" s="861"/>
      <c r="BF100" s="860" t="str">
        <f t="shared" si="34"/>
        <v/>
      </c>
      <c r="BG100" s="861"/>
      <c r="BH100" s="860"/>
      <c r="BI100" s="861"/>
      <c r="BJ100" s="860" t="str">
        <f t="shared" si="35"/>
        <v/>
      </c>
      <c r="BK100" s="861"/>
      <c r="BL100" s="860"/>
      <c r="BM100" s="861"/>
      <c r="BN100" s="862">
        <f t="shared" si="36"/>
        <v>548</v>
      </c>
      <c r="BO100" s="863"/>
      <c r="BP100" s="74" t="s">
        <v>80</v>
      </c>
      <c r="BQ100" s="801" t="str">
        <f t="shared" si="37"/>
        <v>外税10%</v>
      </c>
      <c r="BR100" s="801"/>
      <c r="BS100" s="802"/>
      <c r="BT100" s="1072"/>
      <c r="BU100" s="1073"/>
      <c r="BV100" s="1076"/>
      <c r="BW100" s="1078"/>
      <c r="CY100" s="62" t="s">
        <v>345</v>
      </c>
      <c r="DD100" s="62" t="s">
        <v>346</v>
      </c>
      <c r="DE100" s="33" t="s">
        <v>30</v>
      </c>
      <c r="DF100" s="62" t="s">
        <v>347</v>
      </c>
    </row>
    <row r="101" spans="1:110" ht="15" customHeight="1">
      <c r="A101" s="46">
        <f t="shared" si="38"/>
        <v>29</v>
      </c>
      <c r="B101" s="832" t="s">
        <v>193</v>
      </c>
      <c r="C101" s="832"/>
      <c r="D101" s="832"/>
      <c r="E101" s="832"/>
      <c r="F101" s="832" t="str" cm="1">
        <f t="array" ref="F101">TRIM(SUBSTITUTE(SUBSTITUTE(INDEX(CY:CY,MATCH("      item_no: "&amp;A101&amp;",",CY:CY,0)+9,1),"item_name: ",""),",",""))</f>
        <v>国産豚肉生姜焼き用（ロース）</v>
      </c>
      <c r="G101" s="832"/>
      <c r="H101" s="832"/>
      <c r="I101" s="832"/>
      <c r="J101" s="832"/>
      <c r="K101" s="832"/>
      <c r="L101" s="833" t="str" cm="1">
        <f t="array" ref="L101">TRIM(SUBSTITUTE(SUBSTITUTE(INDEX(CY:CY,MATCH("      item_no: "&amp;A101&amp;",",CY:CY,0)+3,1),"item_scan_code: ",""),",",""))</f>
        <v>0226642624804030000205</v>
      </c>
      <c r="M101" s="833"/>
      <c r="N101" s="833"/>
      <c r="O101" s="833"/>
      <c r="P101" s="833"/>
      <c r="Q101" s="834" cm="1">
        <f t="array" ref="Q101">IF(AD101="true","",TRIM(SUBSTITUTE(SUBSTITUTE(INDEX(CY:CY,MATCH("      item_no: "&amp;A101&amp;",",CY:CY,0)+13,1),"item_price_fmt: ￥",""),",",""))+0)</f>
        <v>2480</v>
      </c>
      <c r="R101" s="835"/>
      <c r="S101" s="836">
        <f t="shared" si="26"/>
        <v>-496</v>
      </c>
      <c r="T101" s="837"/>
      <c r="U101" s="838" cm="1">
        <f t="array" ref="U101">IF(AD101="true","",TRIM(SUBSTITUTE(SUBSTITUTE(INDEX(CY:CY,MATCH("      item_no: "&amp;A101&amp;",",CY:CY,0)+14,1),"item_price_discount_fmt: ￥",""),",",""))+0)</f>
        <v>1984</v>
      </c>
      <c r="V101" s="839"/>
      <c r="W101" s="840">
        <f ca="1">INT(SUMIF($Y$10:$AA101,"外税8%",$U$10:$V101)*1.08)+INT(SUMIF($Y$10:$AA101,"外税10%",$U$10:$V101)*1.1)+SUMIF($Y$10:$AA101,"内税10%",$U$10:$V101)+SUMIF($Y$10:$AA101,"非課税",$U$10:$V101)</f>
        <v>44099</v>
      </c>
      <c r="X101" s="841"/>
      <c r="Y101" s="842" t="str" cm="1">
        <f t="array" ref="Y101">TRIM(SUBSTITUTE(SUBSTITUTE(INDEX(CY:CY,MATCH("      item_no: "&amp;A101&amp;",",CY:CY,0)+15,1),"item_tax_fmt: ",""),",",""))</f>
        <v>外税8%</v>
      </c>
      <c r="Z101" s="843"/>
      <c r="AA101" s="843"/>
      <c r="AB101" s="844" t="str" cm="1">
        <f t="array" ref="AB101">TRIM(SUBSTITUTE(SUBSTITUTE(INDEX(CY:CY,MATCH("      item_no: "&amp;A101&amp;",",CY:CY,0)+18,1),"discount_prohibition:",""),",",""))</f>
        <v>0</v>
      </c>
      <c r="AC101" s="844"/>
      <c r="AD101" s="825" t="str" cm="1">
        <f t="array" ref="AD101">TRIM(SUBSTITUTE(SUBSTITUTE(INDEX(CY:CY,MATCH("      item_no: "&amp;A101&amp;",",CY:CY,0)+1,1),"item_cancel_line: ",""),",",""))</f>
        <v>false</v>
      </c>
      <c r="AE101" s="825"/>
      <c r="AF101" s="1093"/>
      <c r="AG101" s="1094"/>
      <c r="AH101" s="826">
        <f t="shared" si="27"/>
        <v>-99.2</v>
      </c>
      <c r="AI101" s="827"/>
      <c r="AJ101" s="838">
        <f t="shared" si="28"/>
        <v>1984</v>
      </c>
      <c r="AK101" s="839"/>
      <c r="AL101" s="822">
        <f t="shared" si="29"/>
        <v>3</v>
      </c>
      <c r="AM101" s="823"/>
      <c r="AN101" s="830">
        <f t="shared" si="30"/>
        <v>-99</v>
      </c>
      <c r="AO101" s="831"/>
      <c r="AP101" s="830">
        <f t="shared" si="39"/>
        <v>-1</v>
      </c>
      <c r="AQ101" s="831"/>
      <c r="AR101" s="820"/>
      <c r="AS101" s="821"/>
      <c r="AT101" s="822">
        <f t="shared" si="40"/>
        <v>-100</v>
      </c>
      <c r="AU101" s="823"/>
      <c r="AV101" s="817">
        <f t="shared" si="31"/>
        <v>1884</v>
      </c>
      <c r="AW101" s="824"/>
      <c r="AX101" s="816">
        <f t="shared" ca="1" si="32"/>
        <v>150</v>
      </c>
      <c r="AY101" s="817"/>
      <c r="AZ101" s="816">
        <v>1</v>
      </c>
      <c r="BA101" s="817"/>
      <c r="BB101" s="816" t="str">
        <f t="shared" si="33"/>
        <v/>
      </c>
      <c r="BC101" s="817"/>
      <c r="BD101" s="816"/>
      <c r="BE101" s="817"/>
      <c r="BF101" s="816" t="str">
        <f t="shared" si="34"/>
        <v/>
      </c>
      <c r="BG101" s="817"/>
      <c r="BH101" s="816"/>
      <c r="BI101" s="817"/>
      <c r="BJ101" s="816" t="str">
        <f t="shared" si="35"/>
        <v/>
      </c>
      <c r="BK101" s="817"/>
      <c r="BL101" s="816"/>
      <c r="BM101" s="817"/>
      <c r="BN101" s="818">
        <f t="shared" si="36"/>
        <v>2034</v>
      </c>
      <c r="BO101" s="819"/>
      <c r="BP101" s="74" t="s">
        <v>80</v>
      </c>
      <c r="BQ101" s="801" t="str">
        <f t="shared" si="37"/>
        <v>外税8%</v>
      </c>
      <c r="BR101" s="801"/>
      <c r="BS101" s="802"/>
      <c r="BT101" s="1072"/>
      <c r="BU101" s="1073"/>
      <c r="BV101" s="1076"/>
      <c r="BW101" s="1078"/>
      <c r="CY101" s="62" t="s">
        <v>279</v>
      </c>
      <c r="DD101" s="62" t="s">
        <v>348</v>
      </c>
      <c r="DE101" s="33" t="s">
        <v>30</v>
      </c>
      <c r="DF101" s="62" t="s">
        <v>349</v>
      </c>
    </row>
    <row r="102" spans="1:110" ht="15" customHeight="1">
      <c r="A102" s="46">
        <f t="shared" si="38"/>
        <v>28</v>
      </c>
      <c r="B102" s="832" t="s">
        <v>193</v>
      </c>
      <c r="C102" s="832"/>
      <c r="D102" s="832"/>
      <c r="E102" s="832"/>
      <c r="F102" s="832" t="str" cm="1">
        <f t="array" ref="F102">TRIM(SUBSTITUTE(SUBSTITUTE(INDEX(CY:CY,MATCH("      item_no: "&amp;A102&amp;",",CY:CY,0)+9,1),"item_name: ",""),",",""))</f>
        <v>国産豚肉生姜焼き用（ロース）</v>
      </c>
      <c r="G102" s="832"/>
      <c r="H102" s="832"/>
      <c r="I102" s="832"/>
      <c r="J102" s="832"/>
      <c r="K102" s="832"/>
      <c r="L102" s="833" t="str" cm="1">
        <f t="array" ref="L102">TRIM(SUBSTITUTE(SUBSTITUTE(INDEX(CY:CY,MATCH("      item_no: "&amp;A102&amp;",",CY:CY,0)+3,1),"item_scan_code: ",""),",",""))</f>
        <v>0226642624804030000304</v>
      </c>
      <c r="M102" s="833"/>
      <c r="N102" s="833"/>
      <c r="O102" s="833"/>
      <c r="P102" s="833"/>
      <c r="Q102" s="834" cm="1">
        <f t="array" ref="Q102">IF(AD102="true","",TRIM(SUBSTITUTE(SUBSTITUTE(INDEX(CY:CY,MATCH("      item_no: "&amp;A102&amp;",",CY:CY,0)+13,1),"item_price_fmt: ￥",""),",",""))+0)</f>
        <v>2480</v>
      </c>
      <c r="R102" s="835"/>
      <c r="S102" s="836">
        <f t="shared" si="26"/>
        <v>-744</v>
      </c>
      <c r="T102" s="837"/>
      <c r="U102" s="838" cm="1">
        <f t="array" ref="U102">IF(AD102="true","",TRIM(SUBSTITUTE(SUBSTITUTE(INDEX(CY:CY,MATCH("      item_no: "&amp;A102&amp;",",CY:CY,0)+14,1),"item_price_discount_fmt: ￥",""),",",""))+0)</f>
        <v>1736</v>
      </c>
      <c r="V102" s="839"/>
      <c r="W102" s="840">
        <f ca="1">INT(SUMIF($Y$10:$AA102,"外税8%",$U$10:$V102)*1.08)+INT(SUMIF($Y$10:$AA102,"外税10%",$U$10:$V102)*1.1)+SUMIF($Y$10:$AA102,"内税10%",$U$10:$V102)+SUMIF($Y$10:$AA102,"非課税",$U$10:$V102)</f>
        <v>45974</v>
      </c>
      <c r="X102" s="841"/>
      <c r="Y102" s="842" t="str" cm="1">
        <f t="array" ref="Y102">TRIM(SUBSTITUTE(SUBSTITUTE(INDEX(CY:CY,MATCH("      item_no: "&amp;A102&amp;",",CY:CY,0)+15,1),"item_tax_fmt: ",""),",",""))</f>
        <v>外税8%</v>
      </c>
      <c r="Z102" s="843"/>
      <c r="AA102" s="843"/>
      <c r="AB102" s="844" t="str" cm="1">
        <f t="array" ref="AB102">TRIM(SUBSTITUTE(SUBSTITUTE(INDEX(CY:CY,MATCH("      item_no: "&amp;A102&amp;",",CY:CY,0)+18,1),"discount_prohibition:",""),",",""))</f>
        <v>0</v>
      </c>
      <c r="AC102" s="844"/>
      <c r="AD102" s="825" t="str" cm="1">
        <f t="array" ref="AD102">TRIM(SUBSTITUTE(SUBSTITUTE(INDEX(CY:CY,MATCH("      item_no: "&amp;A102&amp;",",CY:CY,0)+1,1),"item_cancel_line: ",""),",",""))</f>
        <v>false</v>
      </c>
      <c r="AE102" s="825"/>
      <c r="AF102" s="1093"/>
      <c r="AG102" s="1094"/>
      <c r="AH102" s="826">
        <f t="shared" si="27"/>
        <v>-86.800000000000011</v>
      </c>
      <c r="AI102" s="827"/>
      <c r="AJ102" s="838">
        <f t="shared" si="28"/>
        <v>1736</v>
      </c>
      <c r="AK102" s="839"/>
      <c r="AL102" s="822">
        <f t="shared" si="29"/>
        <v>4</v>
      </c>
      <c r="AM102" s="823"/>
      <c r="AN102" s="830">
        <f t="shared" si="30"/>
        <v>-86</v>
      </c>
      <c r="AO102" s="831"/>
      <c r="AP102" s="830">
        <f t="shared" si="39"/>
        <v>-1</v>
      </c>
      <c r="AQ102" s="831"/>
      <c r="AR102" s="820"/>
      <c r="AS102" s="821"/>
      <c r="AT102" s="822">
        <f t="shared" si="40"/>
        <v>-87</v>
      </c>
      <c r="AU102" s="823"/>
      <c r="AV102" s="817">
        <f t="shared" si="31"/>
        <v>1649</v>
      </c>
      <c r="AW102" s="824"/>
      <c r="AX102" s="816">
        <f t="shared" ca="1" si="32"/>
        <v>131</v>
      </c>
      <c r="AY102" s="817"/>
      <c r="AZ102" s="816">
        <v>1</v>
      </c>
      <c r="BA102" s="817"/>
      <c r="BB102" s="816" t="str">
        <f t="shared" si="33"/>
        <v/>
      </c>
      <c r="BC102" s="817"/>
      <c r="BD102" s="816"/>
      <c r="BE102" s="817"/>
      <c r="BF102" s="816" t="str">
        <f t="shared" si="34"/>
        <v/>
      </c>
      <c r="BG102" s="817"/>
      <c r="BH102" s="816"/>
      <c r="BI102" s="817"/>
      <c r="BJ102" s="816" t="str">
        <f t="shared" si="35"/>
        <v/>
      </c>
      <c r="BK102" s="817"/>
      <c r="BL102" s="816"/>
      <c r="BM102" s="817"/>
      <c r="BN102" s="818">
        <f t="shared" si="36"/>
        <v>1780</v>
      </c>
      <c r="BO102" s="819"/>
      <c r="BP102" s="74" t="s">
        <v>80</v>
      </c>
      <c r="BQ102" s="801" t="str">
        <f t="shared" si="37"/>
        <v>外税8%</v>
      </c>
      <c r="BR102" s="801"/>
      <c r="BS102" s="802"/>
      <c r="BT102" s="1072"/>
      <c r="BU102" s="1073"/>
      <c r="BV102" s="1076"/>
      <c r="BW102" s="1078"/>
      <c r="CY102" s="62" t="s">
        <v>282</v>
      </c>
      <c r="DD102" s="62" t="s">
        <v>350</v>
      </c>
      <c r="DE102" s="33" t="s">
        <v>30</v>
      </c>
      <c r="DF102" s="62" t="s">
        <v>351</v>
      </c>
    </row>
    <row r="103" spans="1:110" ht="15" customHeight="1">
      <c r="A103" s="46">
        <f t="shared" si="38"/>
        <v>27</v>
      </c>
      <c r="B103" s="832" t="s">
        <v>193</v>
      </c>
      <c r="C103" s="832"/>
      <c r="D103" s="832"/>
      <c r="E103" s="832"/>
      <c r="F103" s="832" t="str" cm="1">
        <f t="array" ref="F103">TRIM(SUBSTITUTE(SUBSTITUTE(INDEX(CY:CY,MATCH("      item_no: "&amp;A103&amp;",",CY:CY,0)+9,1),"item_name: ",""),",",""))</f>
        <v>国産豚肉生姜焼き用（ロース）</v>
      </c>
      <c r="G103" s="832"/>
      <c r="H103" s="832"/>
      <c r="I103" s="832"/>
      <c r="J103" s="832"/>
      <c r="K103" s="832"/>
      <c r="L103" s="833" t="str" cm="1">
        <f t="array" ref="L103">TRIM(SUBSTITUTE(SUBSTITUTE(INDEX(CY:CY,MATCH("      item_no: "&amp;A103&amp;",",CY:CY,0)+3,1),"item_scan_code: ",""),",",""))</f>
        <v>0226642624804030000502</v>
      </c>
      <c r="M103" s="833"/>
      <c r="N103" s="833"/>
      <c r="O103" s="833"/>
      <c r="P103" s="833"/>
      <c r="Q103" s="834" cm="1">
        <f t="array" ref="Q103">IF(AD103="true","",TRIM(SUBSTITUTE(SUBSTITUTE(INDEX(CY:CY,MATCH("      item_no: "&amp;A103&amp;",",CY:CY,0)+13,1),"item_price_fmt: ￥",""),",",""))+0)</f>
        <v>2480</v>
      </c>
      <c r="R103" s="835"/>
      <c r="S103" s="836">
        <f t="shared" si="26"/>
        <v>-1240</v>
      </c>
      <c r="T103" s="837"/>
      <c r="U103" s="838" cm="1">
        <f t="array" ref="U103">IF(AD103="true","",TRIM(SUBSTITUTE(SUBSTITUTE(INDEX(CY:CY,MATCH("      item_no: "&amp;A103&amp;",",CY:CY,0)+14,1),"item_price_discount_fmt: ￥",""),",",""))+0)</f>
        <v>1240</v>
      </c>
      <c r="V103" s="839"/>
      <c r="W103" s="840">
        <f ca="1">INT(SUMIF($Y$10:$AA103,"外税8%",$U$10:$V103)*1.08)+INT(SUMIF($Y$10:$AA103,"外税10%",$U$10:$V103)*1.1)+SUMIF($Y$10:$AA103,"内税10%",$U$10:$V103)+SUMIF($Y$10:$AA103,"非課税",$U$10:$V103)</f>
        <v>47313</v>
      </c>
      <c r="X103" s="841"/>
      <c r="Y103" s="842" t="str" cm="1">
        <f t="array" ref="Y103">TRIM(SUBSTITUTE(SUBSTITUTE(INDEX(CY:CY,MATCH("      item_no: "&amp;A103&amp;",",CY:CY,0)+15,1),"item_tax_fmt: ",""),",",""))</f>
        <v>外税8%</v>
      </c>
      <c r="Z103" s="843"/>
      <c r="AA103" s="843"/>
      <c r="AB103" s="844" t="str" cm="1">
        <f t="array" ref="AB103">TRIM(SUBSTITUTE(SUBSTITUTE(INDEX(CY:CY,MATCH("      item_no: "&amp;A103&amp;",",CY:CY,0)+18,1),"discount_prohibition:",""),",",""))</f>
        <v>0</v>
      </c>
      <c r="AC103" s="844"/>
      <c r="AD103" s="825" t="str" cm="1">
        <f t="array" ref="AD103">TRIM(SUBSTITUTE(SUBSTITUTE(INDEX(CY:CY,MATCH("      item_no: "&amp;A103&amp;",",CY:CY,0)+1,1),"item_cancel_line: ",""),",",""))</f>
        <v>false</v>
      </c>
      <c r="AE103" s="825"/>
      <c r="AF103" s="1093"/>
      <c r="AG103" s="1094"/>
      <c r="AH103" s="826">
        <f t="shared" si="27"/>
        <v>-62</v>
      </c>
      <c r="AI103" s="827"/>
      <c r="AJ103" s="838">
        <f t="shared" si="28"/>
        <v>1240</v>
      </c>
      <c r="AK103" s="839"/>
      <c r="AL103" s="822">
        <f t="shared" si="29"/>
        <v>5</v>
      </c>
      <c r="AM103" s="823"/>
      <c r="AN103" s="830">
        <f t="shared" si="30"/>
        <v>-62</v>
      </c>
      <c r="AO103" s="831"/>
      <c r="AP103" s="830">
        <f t="shared" si="39"/>
        <v>-1</v>
      </c>
      <c r="AQ103" s="831"/>
      <c r="AR103" s="820"/>
      <c r="AS103" s="821"/>
      <c r="AT103" s="822">
        <f t="shared" si="40"/>
        <v>-63</v>
      </c>
      <c r="AU103" s="823"/>
      <c r="AV103" s="817">
        <f t="shared" si="31"/>
        <v>1177</v>
      </c>
      <c r="AW103" s="824"/>
      <c r="AX103" s="816">
        <f t="shared" ca="1" si="32"/>
        <v>94</v>
      </c>
      <c r="AY103" s="817"/>
      <c r="AZ103" s="816">
        <v>1</v>
      </c>
      <c r="BA103" s="817"/>
      <c r="BB103" s="816" t="str">
        <f t="shared" si="33"/>
        <v/>
      </c>
      <c r="BC103" s="817"/>
      <c r="BD103" s="816"/>
      <c r="BE103" s="817"/>
      <c r="BF103" s="816" t="str">
        <f t="shared" si="34"/>
        <v/>
      </c>
      <c r="BG103" s="817"/>
      <c r="BH103" s="816"/>
      <c r="BI103" s="817"/>
      <c r="BJ103" s="816" t="str">
        <f t="shared" si="35"/>
        <v/>
      </c>
      <c r="BK103" s="817"/>
      <c r="BL103" s="816"/>
      <c r="BM103" s="817"/>
      <c r="BN103" s="818">
        <f t="shared" si="36"/>
        <v>1271</v>
      </c>
      <c r="BO103" s="819"/>
      <c r="BP103" s="74" t="s">
        <v>80</v>
      </c>
      <c r="BQ103" s="801" t="str">
        <f t="shared" si="37"/>
        <v>外税8%</v>
      </c>
      <c r="BR103" s="801"/>
      <c r="BS103" s="802"/>
      <c r="BT103" s="1072"/>
      <c r="BU103" s="1073"/>
      <c r="BV103" s="1076"/>
      <c r="BW103" s="1078"/>
      <c r="CY103" s="62" t="s">
        <v>352</v>
      </c>
      <c r="DD103" s="62" t="s">
        <v>353</v>
      </c>
      <c r="DE103" s="33" t="s">
        <v>30</v>
      </c>
      <c r="DF103" s="62" t="s">
        <v>354</v>
      </c>
    </row>
    <row r="104" spans="1:110" ht="15" customHeight="1">
      <c r="A104" s="46">
        <f t="shared" si="38"/>
        <v>26</v>
      </c>
      <c r="B104" s="832" t="s">
        <v>181</v>
      </c>
      <c r="C104" s="832"/>
      <c r="D104" s="832"/>
      <c r="E104" s="832"/>
      <c r="F104" s="832" t="str" cm="1">
        <f t="array" ref="F104">TRIM(SUBSTITUTE(SUBSTITUTE(INDEX(CY:CY,MATCH("      item_no: "&amp;A104&amp;",",CY:CY,0)+9,1),"item_name: ",""),",",""))</f>
        <v>本まぐろ赤身スライス刺養解番７６１</v>
      </c>
      <c r="G104" s="832"/>
      <c r="H104" s="832"/>
      <c r="I104" s="832"/>
      <c r="J104" s="832"/>
      <c r="K104" s="832"/>
      <c r="L104" s="833" t="str" cm="1">
        <f t="array" ref="L104">TRIM(SUBSTITUTE(SUBSTITUTE(INDEX(CY:CY,MATCH("      item_no: "&amp;A104&amp;",",CY:CY,0)+3,1),"item_scan_code: ",""),",",""))</f>
        <v>0269406704756030000205</v>
      </c>
      <c r="M104" s="833"/>
      <c r="N104" s="833"/>
      <c r="O104" s="833"/>
      <c r="P104" s="833"/>
      <c r="Q104" s="834" cm="1">
        <f t="array" ref="Q104">IF(AD104="true","",TRIM(SUBSTITUTE(SUBSTITUTE(INDEX(CY:CY,MATCH("      item_no: "&amp;A104&amp;",",CY:CY,0)+13,1),"item_price_fmt: ￥",""),",",""))+0)</f>
        <v>475</v>
      </c>
      <c r="R104" s="835"/>
      <c r="S104" s="836">
        <f t="shared" si="26"/>
        <v>-286</v>
      </c>
      <c r="T104" s="837"/>
      <c r="U104" s="838" cm="1">
        <f t="array" ref="U104">IF(AD104="true","",TRIM(SUBSTITUTE(SUBSTITUTE(INDEX(CY:CY,MATCH("      item_no: "&amp;A104&amp;",",CY:CY,0)+14,1),"item_price_discount_fmt: ￥",""),",",""))+0)</f>
        <v>189</v>
      </c>
      <c r="V104" s="839"/>
      <c r="W104" s="840">
        <f ca="1">INT(SUMIF($Y$10:$AA104,"外税8%",$U$10:$V104)*1.08)+INT(SUMIF($Y$10:$AA104,"外税10%",$U$10:$V104)*1.1)+SUMIF($Y$10:$AA104,"内税10%",$U$10:$V104)+SUMIF($Y$10:$AA104,"非課税",$U$10:$V104)</f>
        <v>47517</v>
      </c>
      <c r="X104" s="841"/>
      <c r="Y104" s="842" t="str" cm="1">
        <f t="array" ref="Y104">TRIM(SUBSTITUTE(SUBSTITUTE(INDEX(CY:CY,MATCH("      item_no: "&amp;A104&amp;",",CY:CY,0)+15,1),"item_tax_fmt: ",""),",",""))</f>
        <v>外税8%</v>
      </c>
      <c r="Z104" s="843"/>
      <c r="AA104" s="843"/>
      <c r="AB104" s="844" t="str" cm="1">
        <f t="array" ref="AB104">TRIM(SUBSTITUTE(SUBSTITUTE(INDEX(CY:CY,MATCH("      item_no: "&amp;A104&amp;",",CY:CY,0)+18,1),"discount_prohibition:",""),",",""))</f>
        <v>0</v>
      </c>
      <c r="AC104" s="844"/>
      <c r="AD104" s="825" t="str" cm="1">
        <f t="array" ref="AD104">TRIM(SUBSTITUTE(SUBSTITUTE(INDEX(CY:CY,MATCH("      item_no: "&amp;A104&amp;",",CY:CY,0)+1,1),"item_cancel_line: ",""),",",""))</f>
        <v>false</v>
      </c>
      <c r="AE104" s="825"/>
      <c r="AF104" s="1093"/>
      <c r="AG104" s="1094"/>
      <c r="AH104" s="826">
        <f t="shared" si="27"/>
        <v>-9.4500000000000011</v>
      </c>
      <c r="AI104" s="827"/>
      <c r="AJ104" s="828">
        <f t="shared" si="28"/>
        <v>189</v>
      </c>
      <c r="AK104" s="829"/>
      <c r="AL104" s="822">
        <f t="shared" si="29"/>
        <v>63</v>
      </c>
      <c r="AM104" s="823"/>
      <c r="AN104" s="830">
        <f t="shared" si="30"/>
        <v>-9</v>
      </c>
      <c r="AO104" s="831"/>
      <c r="AP104" s="830">
        <f t="shared" si="39"/>
        <v>0</v>
      </c>
      <c r="AQ104" s="831"/>
      <c r="AR104" s="820"/>
      <c r="AS104" s="821"/>
      <c r="AT104" s="822">
        <f t="shared" si="40"/>
        <v>-9</v>
      </c>
      <c r="AU104" s="823"/>
      <c r="AV104" s="817">
        <f t="shared" si="31"/>
        <v>180</v>
      </c>
      <c r="AW104" s="824"/>
      <c r="AX104" s="816">
        <f t="shared" ca="1" si="32"/>
        <v>14</v>
      </c>
      <c r="AY104" s="817"/>
      <c r="AZ104" s="816">
        <v>1</v>
      </c>
      <c r="BA104" s="817"/>
      <c r="BB104" s="816" t="str">
        <f t="shared" si="33"/>
        <v/>
      </c>
      <c r="BC104" s="817"/>
      <c r="BD104" s="816"/>
      <c r="BE104" s="817"/>
      <c r="BF104" s="816" t="str">
        <f t="shared" si="34"/>
        <v/>
      </c>
      <c r="BG104" s="817"/>
      <c r="BH104" s="816"/>
      <c r="BI104" s="817"/>
      <c r="BJ104" s="816" t="str">
        <f t="shared" si="35"/>
        <v/>
      </c>
      <c r="BK104" s="817"/>
      <c r="BL104" s="816"/>
      <c r="BM104" s="817"/>
      <c r="BN104" s="845">
        <f t="shared" si="36"/>
        <v>194</v>
      </c>
      <c r="BO104" s="846"/>
      <c r="BP104" s="74" t="s">
        <v>80</v>
      </c>
      <c r="BQ104" s="801" t="str">
        <f t="shared" si="37"/>
        <v>外税8%</v>
      </c>
      <c r="BR104" s="801"/>
      <c r="BS104" s="802"/>
      <c r="BT104" s="1072"/>
      <c r="BU104" s="1073"/>
      <c r="BV104" s="1076"/>
      <c r="BW104" s="1078"/>
      <c r="CY104" s="62" t="s">
        <v>355</v>
      </c>
      <c r="DD104" s="62" t="s">
        <v>356</v>
      </c>
      <c r="DE104" s="33" t="s">
        <v>30</v>
      </c>
      <c r="DF104" s="62" t="s">
        <v>357</v>
      </c>
    </row>
    <row r="105" spans="1:110" ht="15" customHeight="1">
      <c r="A105" s="46">
        <f t="shared" si="38"/>
        <v>25</v>
      </c>
      <c r="B105" s="832" t="s">
        <v>181</v>
      </c>
      <c r="C105" s="832"/>
      <c r="D105" s="832"/>
      <c r="E105" s="832"/>
      <c r="F105" s="832" t="str" cm="1">
        <f t="array" ref="F105">TRIM(SUBSTITUTE(SUBSTITUTE(INDEX(CY:CY,MATCH("      item_no: "&amp;A105&amp;",",CY:CY,0)+9,1),"item_name: ",""),",",""))</f>
        <v>本まぐろ赤身スライス刺養解番７６１</v>
      </c>
      <c r="G105" s="832"/>
      <c r="H105" s="832"/>
      <c r="I105" s="832"/>
      <c r="J105" s="832"/>
      <c r="K105" s="832"/>
      <c r="L105" s="833" t="str" cm="1">
        <f t="array" ref="L105">TRIM(SUBSTITUTE(SUBSTITUTE(INDEX(CY:CY,MATCH("      item_no: "&amp;A105&amp;",",CY:CY,0)+3,1),"item_scan_code: ",""),",",""))</f>
        <v>0269406704756030000304</v>
      </c>
      <c r="M105" s="833"/>
      <c r="N105" s="833"/>
      <c r="O105" s="833"/>
      <c r="P105" s="833"/>
      <c r="Q105" s="834" cm="1">
        <f t="array" ref="Q105">IF(AD105="true","",TRIM(SUBSTITUTE(SUBSTITUTE(INDEX(CY:CY,MATCH("      item_no: "&amp;A105&amp;",",CY:CY,0)+13,1),"item_price_fmt: ￥",""),",",""))+0)</f>
        <v>475</v>
      </c>
      <c r="R105" s="835"/>
      <c r="S105" s="836">
        <f t="shared" si="26"/>
        <v>-310</v>
      </c>
      <c r="T105" s="837"/>
      <c r="U105" s="838" cm="1">
        <f t="array" ref="U105">IF(AD105="true","",TRIM(SUBSTITUTE(SUBSTITUTE(INDEX(CY:CY,MATCH("      item_no: "&amp;A105&amp;",",CY:CY,0)+14,1),"item_price_discount_fmt: ￥",""),",",""))+0)</f>
        <v>165</v>
      </c>
      <c r="V105" s="839"/>
      <c r="W105" s="840">
        <f ca="1">INT(SUMIF($Y$10:$AA105,"外税8%",$U$10:$V105)*1.08)+INT(SUMIF($Y$10:$AA105,"外税10%",$U$10:$V105)*1.1)+SUMIF($Y$10:$AA105,"内税10%",$U$10:$V105)+SUMIF($Y$10:$AA105,"非課税",$U$10:$V105)</f>
        <v>47695</v>
      </c>
      <c r="X105" s="841"/>
      <c r="Y105" s="842" t="str" cm="1">
        <f t="array" ref="Y105">TRIM(SUBSTITUTE(SUBSTITUTE(INDEX(CY:CY,MATCH("      item_no: "&amp;A105&amp;",",CY:CY,0)+15,1),"item_tax_fmt: ",""),",",""))</f>
        <v>外税8%</v>
      </c>
      <c r="Z105" s="843"/>
      <c r="AA105" s="843"/>
      <c r="AB105" s="844" t="str" cm="1">
        <f t="array" ref="AB105">TRIM(SUBSTITUTE(SUBSTITUTE(INDEX(CY:CY,MATCH("      item_no: "&amp;A105&amp;",",CY:CY,0)+18,1),"discount_prohibition:",""),",",""))</f>
        <v>0</v>
      </c>
      <c r="AC105" s="844"/>
      <c r="AD105" s="825" t="str" cm="1">
        <f t="array" ref="AD105">TRIM(SUBSTITUTE(SUBSTITUTE(INDEX(CY:CY,MATCH("      item_no: "&amp;A105&amp;",",CY:CY,0)+1,1),"item_cancel_line: ",""),",",""))</f>
        <v>false</v>
      </c>
      <c r="AE105" s="825"/>
      <c r="AF105" s="1093"/>
      <c r="AG105" s="1094"/>
      <c r="AH105" s="826">
        <f t="shared" si="27"/>
        <v>-8.25</v>
      </c>
      <c r="AI105" s="827"/>
      <c r="AJ105" s="828">
        <f t="shared" si="28"/>
        <v>165</v>
      </c>
      <c r="AK105" s="829"/>
      <c r="AL105" s="822">
        <f t="shared" si="29"/>
        <v>68</v>
      </c>
      <c r="AM105" s="823"/>
      <c r="AN105" s="830">
        <f t="shared" si="30"/>
        <v>-8</v>
      </c>
      <c r="AO105" s="831"/>
      <c r="AP105" s="830">
        <f t="shared" si="39"/>
        <v>0</v>
      </c>
      <c r="AQ105" s="831"/>
      <c r="AR105" s="820"/>
      <c r="AS105" s="821"/>
      <c r="AT105" s="822">
        <f t="shared" si="40"/>
        <v>-8</v>
      </c>
      <c r="AU105" s="823"/>
      <c r="AV105" s="817">
        <f t="shared" si="31"/>
        <v>157</v>
      </c>
      <c r="AW105" s="824"/>
      <c r="AX105" s="816">
        <f t="shared" ca="1" si="32"/>
        <v>12</v>
      </c>
      <c r="AY105" s="817"/>
      <c r="AZ105" s="816">
        <v>1</v>
      </c>
      <c r="BA105" s="817"/>
      <c r="BB105" s="816" t="str">
        <f t="shared" si="33"/>
        <v/>
      </c>
      <c r="BC105" s="817"/>
      <c r="BD105" s="816"/>
      <c r="BE105" s="817"/>
      <c r="BF105" s="816" t="str">
        <f t="shared" si="34"/>
        <v/>
      </c>
      <c r="BG105" s="817"/>
      <c r="BH105" s="816"/>
      <c r="BI105" s="817"/>
      <c r="BJ105" s="816" t="str">
        <f t="shared" si="35"/>
        <v/>
      </c>
      <c r="BK105" s="817"/>
      <c r="BL105" s="816"/>
      <c r="BM105" s="817"/>
      <c r="BN105" s="845">
        <f t="shared" si="36"/>
        <v>169</v>
      </c>
      <c r="BO105" s="846"/>
      <c r="BP105" s="74" t="s">
        <v>80</v>
      </c>
      <c r="BQ105" s="801" t="str">
        <f t="shared" si="37"/>
        <v>外税8%</v>
      </c>
      <c r="BR105" s="801"/>
      <c r="BS105" s="802"/>
      <c r="BT105" s="1072"/>
      <c r="BU105" s="1073"/>
      <c r="BV105" s="1076"/>
      <c r="BW105" s="1078"/>
      <c r="CY105" s="62" t="s">
        <v>358</v>
      </c>
      <c r="DD105" s="62" t="s">
        <v>359</v>
      </c>
      <c r="DE105" s="33" t="s">
        <v>30</v>
      </c>
      <c r="DF105" s="62" t="s">
        <v>360</v>
      </c>
    </row>
    <row r="106" spans="1:110" ht="15" customHeight="1">
      <c r="A106" s="46">
        <f t="shared" si="38"/>
        <v>24</v>
      </c>
      <c r="B106" s="832" t="s">
        <v>181</v>
      </c>
      <c r="C106" s="832"/>
      <c r="D106" s="832"/>
      <c r="E106" s="832"/>
      <c r="F106" s="832" t="str" cm="1">
        <f t="array" ref="F106">TRIM(SUBSTITUTE(SUBSTITUTE(INDEX(CY:CY,MATCH("      item_no: "&amp;A106&amp;",",CY:CY,0)+9,1),"item_name: ",""),",",""))</f>
        <v>本まぐろ赤身スライス刺養解番７６１</v>
      </c>
      <c r="G106" s="832"/>
      <c r="H106" s="832"/>
      <c r="I106" s="832"/>
      <c r="J106" s="832"/>
      <c r="K106" s="832"/>
      <c r="L106" s="833" t="str" cm="1">
        <f t="array" ref="L106">TRIM(SUBSTITUTE(SUBSTITUTE(INDEX(CY:CY,MATCH("      item_no: "&amp;A106&amp;",",CY:CY,0)+3,1),"item_scan_code: ",""),",",""))</f>
        <v>0269406704756030000502</v>
      </c>
      <c r="M106" s="833"/>
      <c r="N106" s="833"/>
      <c r="O106" s="833"/>
      <c r="P106" s="833"/>
      <c r="Q106" s="834" cm="1">
        <f t="array" ref="Q106">IF(AD106="true","",TRIM(SUBSTITUTE(SUBSTITUTE(INDEX(CY:CY,MATCH("      item_no: "&amp;A106&amp;",",CY:CY,0)+13,1),"item_price_fmt: ￥",""),",",""))+0)</f>
        <v>475</v>
      </c>
      <c r="R106" s="835"/>
      <c r="S106" s="836">
        <f t="shared" si="26"/>
        <v>-357</v>
      </c>
      <c r="T106" s="837"/>
      <c r="U106" s="838" cm="1">
        <f t="array" ref="U106">IF(AD106="true","",TRIM(SUBSTITUTE(SUBSTITUTE(INDEX(CY:CY,MATCH("      item_no: "&amp;A106&amp;",",CY:CY,0)+14,1),"item_price_discount_fmt: ￥",""),",",""))+0)</f>
        <v>118</v>
      </c>
      <c r="V106" s="839"/>
      <c r="W106" s="840">
        <f ca="1">INT(SUMIF($Y$10:$AA106,"外税8%",$U$10:$V106)*1.08)+INT(SUMIF($Y$10:$AA106,"外税10%",$U$10:$V106)*1.1)+SUMIF($Y$10:$AA106,"内税10%",$U$10:$V106)+SUMIF($Y$10:$AA106,"非課税",$U$10:$V106)</f>
        <v>47823</v>
      </c>
      <c r="X106" s="841"/>
      <c r="Y106" s="842" t="str" cm="1">
        <f t="array" ref="Y106">TRIM(SUBSTITUTE(SUBSTITUTE(INDEX(CY:CY,MATCH("      item_no: "&amp;A106&amp;",",CY:CY,0)+15,1),"item_tax_fmt: ",""),",",""))</f>
        <v>外税8%</v>
      </c>
      <c r="Z106" s="843"/>
      <c r="AA106" s="843"/>
      <c r="AB106" s="844" t="str" cm="1">
        <f t="array" ref="AB106">TRIM(SUBSTITUTE(SUBSTITUTE(INDEX(CY:CY,MATCH("      item_no: "&amp;A106&amp;",",CY:CY,0)+18,1),"discount_prohibition:",""),",",""))</f>
        <v>0</v>
      </c>
      <c r="AC106" s="844"/>
      <c r="AD106" s="825" t="str" cm="1">
        <f t="array" ref="AD106">TRIM(SUBSTITUTE(SUBSTITUTE(INDEX(CY:CY,MATCH("      item_no: "&amp;A106&amp;",",CY:CY,0)+1,1),"item_cancel_line: ",""),",",""))</f>
        <v>false</v>
      </c>
      <c r="AE106" s="825"/>
      <c r="AF106" s="1093"/>
      <c r="AG106" s="1094"/>
      <c r="AH106" s="826">
        <f t="shared" ref="AH106:AH129" si="41">IF(U106="","",IF(AB106="1",0,U106*$AF$10))</f>
        <v>-5.9</v>
      </c>
      <c r="AI106" s="827"/>
      <c r="AJ106" s="828">
        <f t="shared" ref="AJ106:AJ129" si="42">IF(U106="","",IF(AB106="1",0,U106))</f>
        <v>118</v>
      </c>
      <c r="AK106" s="829"/>
      <c r="AL106" s="822">
        <f t="shared" si="29"/>
        <v>72</v>
      </c>
      <c r="AM106" s="823"/>
      <c r="AN106" s="830">
        <f t="shared" ref="AN106:AN129" si="43">IF(U106="","",ROUNDDOWN(AH106,0))</f>
        <v>-5</v>
      </c>
      <c r="AO106" s="831"/>
      <c r="AP106" s="830">
        <f t="shared" si="39"/>
        <v>0</v>
      </c>
      <c r="AQ106" s="831"/>
      <c r="AR106" s="820"/>
      <c r="AS106" s="821"/>
      <c r="AT106" s="822">
        <f t="shared" si="40"/>
        <v>-5</v>
      </c>
      <c r="AU106" s="823"/>
      <c r="AV106" s="817">
        <f t="shared" ref="AV106:AV129" si="44">IF(U106="","",U106+AT106)</f>
        <v>113</v>
      </c>
      <c r="AW106" s="824"/>
      <c r="AX106" s="816">
        <f t="shared" ref="AX106:AX129" ca="1" si="45">IF(AD106="false",IF(Y106="外税8%",INT(AV106*($CE$10/$CA$10)),""),"")</f>
        <v>9</v>
      </c>
      <c r="AY106" s="817"/>
      <c r="AZ106" s="816">
        <v>1</v>
      </c>
      <c r="BA106" s="817"/>
      <c r="BB106" s="816" t="str">
        <f t="shared" ref="BB106:BB129" si="46">IF(AD106="false",IF(Y106="外税10%",INT(AV106*($CE$11/$CA$11)),""),"")</f>
        <v/>
      </c>
      <c r="BC106" s="817"/>
      <c r="BD106" s="816"/>
      <c r="BE106" s="817"/>
      <c r="BF106" s="816" t="str">
        <f t="shared" ref="BF106:BF129" si="47">IF(AD106="false",IF(Y106="内税8%",INT(AV106*($CE$13/$CC$13)),""),"")</f>
        <v/>
      </c>
      <c r="BG106" s="817"/>
      <c r="BH106" s="816"/>
      <c r="BI106" s="817"/>
      <c r="BJ106" s="816" t="str">
        <f t="shared" ref="BJ106:BJ129" si="48">IF(AD106="false",IF(Y106="内税10%",INT(U106/(1+0.1)*0.1),""),"")</f>
        <v/>
      </c>
      <c r="BK106" s="817"/>
      <c r="BL106" s="816"/>
      <c r="BM106" s="817"/>
      <c r="BN106" s="845">
        <f t="shared" ref="BN106:BN129" si="49">IF(AV106="","",INT(IF(Y106="外税8%",1.08,IF(Y106="外税10%",1.1,1))*AV106))</f>
        <v>122</v>
      </c>
      <c r="BO106" s="846"/>
      <c r="BP106" s="74" t="s">
        <v>80</v>
      </c>
      <c r="BQ106" s="801" t="str">
        <f t="shared" ref="BQ106:BQ129" si="50">BP106&amp;Y106</f>
        <v>外税8%</v>
      </c>
      <c r="BR106" s="801"/>
      <c r="BS106" s="802"/>
      <c r="BT106" s="1072"/>
      <c r="BU106" s="1073"/>
      <c r="BV106" s="1076"/>
      <c r="BW106" s="1078"/>
      <c r="CY106" s="62" t="s">
        <v>294</v>
      </c>
      <c r="DD106" s="62" t="s">
        <v>361</v>
      </c>
      <c r="DE106" s="33" t="s">
        <v>30</v>
      </c>
      <c r="DF106" s="62" t="s">
        <v>362</v>
      </c>
    </row>
    <row r="107" spans="1:110" ht="15" customHeight="1">
      <c r="A107" s="46">
        <f t="shared" si="38"/>
        <v>23</v>
      </c>
      <c r="B107" s="832" t="s">
        <v>200</v>
      </c>
      <c r="C107" s="832"/>
      <c r="D107" s="832"/>
      <c r="E107" s="832"/>
      <c r="F107" s="832" t="str" cm="1">
        <f t="array" ref="F107">TRIM(SUBSTITUTE(SUBSTITUTE(INDEX(CY:CY,MATCH("      item_no: "&amp;A107&amp;",",CY:CY,0)+9,1),"item_name: ",""),",",""))</f>
        <v>のり弁当（生姜と合わせだしの塩唐揚げ）</v>
      </c>
      <c r="G107" s="832"/>
      <c r="H107" s="832"/>
      <c r="I107" s="832"/>
      <c r="J107" s="832"/>
      <c r="K107" s="832"/>
      <c r="L107" s="833" t="str" cm="1">
        <f t="array" ref="L107">TRIM(SUBSTITUTE(SUBSTITUTE(INDEX(CY:CY,MATCH("      item_no: "&amp;A107&amp;",",CY:CY,0)+3,1),"item_scan_code: ",""),",",""))</f>
        <v>0237962604988030000203</v>
      </c>
      <c r="M107" s="833"/>
      <c r="N107" s="833"/>
      <c r="O107" s="833"/>
      <c r="P107" s="833"/>
      <c r="Q107" s="834" cm="1">
        <f t="array" ref="Q107">IF(AD107="true","",TRIM(SUBSTITUTE(SUBSTITUTE(INDEX(CY:CY,MATCH("      item_no: "&amp;A107&amp;",",CY:CY,0)+13,1),"item_price_fmt: ￥",""),",",""))+0)</f>
        <v>498</v>
      </c>
      <c r="R107" s="835"/>
      <c r="S107" s="836">
        <f t="shared" si="26"/>
        <v>-100</v>
      </c>
      <c r="T107" s="837"/>
      <c r="U107" s="838" cm="1">
        <f t="array" ref="U107">IF(AD107="true","",TRIM(SUBSTITUTE(SUBSTITUTE(INDEX(CY:CY,MATCH("      item_no: "&amp;A107&amp;",",CY:CY,0)+14,1),"item_price_discount_fmt: ￥",""),",",""))+0)</f>
        <v>398</v>
      </c>
      <c r="V107" s="839"/>
      <c r="W107" s="840">
        <f ca="1">INT(SUMIF($Y$10:$AA107,"外税8%",$U$10:$V107)*1.08)+INT(SUMIF($Y$10:$AA107,"外税10%",$U$10:$V107)*1.1)+SUMIF($Y$10:$AA107,"内税10%",$U$10:$V107)+SUMIF($Y$10:$AA107,"非課税",$U$10:$V107)</f>
        <v>48253</v>
      </c>
      <c r="X107" s="841"/>
      <c r="Y107" s="842" t="str" cm="1">
        <f t="array" ref="Y107">TRIM(SUBSTITUTE(SUBSTITUTE(INDEX(CY:CY,MATCH("      item_no: "&amp;A107&amp;",",CY:CY,0)+15,1),"item_tax_fmt: ",""),",",""))</f>
        <v>外税8%</v>
      </c>
      <c r="Z107" s="843"/>
      <c r="AA107" s="843"/>
      <c r="AB107" s="844" t="str" cm="1">
        <f t="array" ref="AB107">TRIM(SUBSTITUTE(SUBSTITUTE(INDEX(CY:CY,MATCH("      item_no: "&amp;A107&amp;",",CY:CY,0)+18,1),"discount_prohibition:",""),",",""))</f>
        <v>0</v>
      </c>
      <c r="AC107" s="844"/>
      <c r="AD107" s="825" t="str" cm="1">
        <f t="array" ref="AD107">TRIM(SUBSTITUTE(SUBSTITUTE(INDEX(CY:CY,MATCH("      item_no: "&amp;A107&amp;",",CY:CY,0)+1,1),"item_cancel_line: ",""),",",""))</f>
        <v>false</v>
      </c>
      <c r="AE107" s="825"/>
      <c r="AF107" s="1093"/>
      <c r="AG107" s="1094"/>
      <c r="AH107" s="826">
        <f t="shared" si="41"/>
        <v>-19.900000000000002</v>
      </c>
      <c r="AI107" s="827"/>
      <c r="AJ107" s="828">
        <f t="shared" si="42"/>
        <v>398</v>
      </c>
      <c r="AK107" s="829"/>
      <c r="AL107" s="822">
        <f t="shared" si="29"/>
        <v>39</v>
      </c>
      <c r="AM107" s="823"/>
      <c r="AN107" s="830">
        <f t="shared" si="43"/>
        <v>-19</v>
      </c>
      <c r="AO107" s="831"/>
      <c r="AP107" s="830">
        <f t="shared" si="39"/>
        <v>-1</v>
      </c>
      <c r="AQ107" s="831"/>
      <c r="AR107" s="820"/>
      <c r="AS107" s="821"/>
      <c r="AT107" s="822">
        <f t="shared" si="40"/>
        <v>-20</v>
      </c>
      <c r="AU107" s="823"/>
      <c r="AV107" s="817">
        <f t="shared" si="44"/>
        <v>378</v>
      </c>
      <c r="AW107" s="824"/>
      <c r="AX107" s="816">
        <f t="shared" ca="1" si="45"/>
        <v>30</v>
      </c>
      <c r="AY107" s="817"/>
      <c r="AZ107" s="816">
        <v>1</v>
      </c>
      <c r="BA107" s="817"/>
      <c r="BB107" s="816" t="str">
        <f t="shared" si="46"/>
        <v/>
      </c>
      <c r="BC107" s="817"/>
      <c r="BD107" s="816"/>
      <c r="BE107" s="817"/>
      <c r="BF107" s="816" t="str">
        <f t="shared" si="47"/>
        <v/>
      </c>
      <c r="BG107" s="817"/>
      <c r="BH107" s="816"/>
      <c r="BI107" s="817"/>
      <c r="BJ107" s="816" t="str">
        <f t="shared" si="48"/>
        <v/>
      </c>
      <c r="BK107" s="817"/>
      <c r="BL107" s="816"/>
      <c r="BM107" s="817"/>
      <c r="BN107" s="845">
        <f t="shared" si="49"/>
        <v>408</v>
      </c>
      <c r="BO107" s="846"/>
      <c r="BP107" s="74" t="s">
        <v>80</v>
      </c>
      <c r="BQ107" s="801" t="str">
        <f t="shared" si="50"/>
        <v>外税8%</v>
      </c>
      <c r="BR107" s="801"/>
      <c r="BS107" s="802"/>
      <c r="BT107" s="1072"/>
      <c r="BU107" s="1073"/>
      <c r="BV107" s="1076"/>
      <c r="BW107" s="1078"/>
      <c r="CY107" s="62" t="s">
        <v>297</v>
      </c>
      <c r="DD107" s="62" t="s">
        <v>363</v>
      </c>
      <c r="DE107" s="33" t="s">
        <v>30</v>
      </c>
      <c r="DF107" s="62" t="s">
        <v>364</v>
      </c>
    </row>
    <row r="108" spans="1:110" ht="15" customHeight="1">
      <c r="A108" s="46">
        <f t="shared" si="38"/>
        <v>22</v>
      </c>
      <c r="B108" s="832" t="s">
        <v>200</v>
      </c>
      <c r="C108" s="832"/>
      <c r="D108" s="832"/>
      <c r="E108" s="832"/>
      <c r="F108" s="832" t="str" cm="1">
        <f t="array" ref="F108">TRIM(SUBSTITUTE(SUBSTITUTE(INDEX(CY:CY,MATCH("      item_no: "&amp;A108&amp;",",CY:CY,0)+9,1),"item_name: ",""),",",""))</f>
        <v>のり弁当（生姜と合わせだしの塩唐揚げ）</v>
      </c>
      <c r="G108" s="832"/>
      <c r="H108" s="832"/>
      <c r="I108" s="832"/>
      <c r="J108" s="832"/>
      <c r="K108" s="832"/>
      <c r="L108" s="833" t="str" cm="1">
        <f t="array" ref="L108">TRIM(SUBSTITUTE(SUBSTITUTE(INDEX(CY:CY,MATCH("      item_no: "&amp;A108&amp;",",CY:CY,0)+3,1),"item_scan_code: ",""),",",""))</f>
        <v>0237962604988030000302</v>
      </c>
      <c r="M108" s="833"/>
      <c r="N108" s="833"/>
      <c r="O108" s="833"/>
      <c r="P108" s="833"/>
      <c r="Q108" s="834" cm="1">
        <f t="array" ref="Q108">IF(AD108="true","",TRIM(SUBSTITUTE(SUBSTITUTE(INDEX(CY:CY,MATCH("      item_no: "&amp;A108&amp;",",CY:CY,0)+13,1),"item_price_fmt: ￥",""),",",""))+0)</f>
        <v>498</v>
      </c>
      <c r="R108" s="835"/>
      <c r="S108" s="836">
        <f t="shared" si="26"/>
        <v>-150</v>
      </c>
      <c r="T108" s="837"/>
      <c r="U108" s="838" cm="1">
        <f t="array" ref="U108">IF(AD108="true","",TRIM(SUBSTITUTE(SUBSTITUTE(INDEX(CY:CY,MATCH("      item_no: "&amp;A108&amp;",",CY:CY,0)+14,1),"item_price_discount_fmt: ￥",""),",",""))+0)</f>
        <v>348</v>
      </c>
      <c r="V108" s="839"/>
      <c r="W108" s="840">
        <f ca="1">INT(SUMIF($Y$10:$AA108,"外税8%",$U$10:$V108)*1.08)+INT(SUMIF($Y$10:$AA108,"外税10%",$U$10:$V108)*1.1)+SUMIF($Y$10:$AA108,"内税10%",$U$10:$V108)+SUMIF($Y$10:$AA108,"非課税",$U$10:$V108)</f>
        <v>48628</v>
      </c>
      <c r="X108" s="841"/>
      <c r="Y108" s="842" t="str" cm="1">
        <f t="array" ref="Y108">TRIM(SUBSTITUTE(SUBSTITUTE(INDEX(CY:CY,MATCH("      item_no: "&amp;A108&amp;",",CY:CY,0)+15,1),"item_tax_fmt: ",""),",",""))</f>
        <v>外税8%</v>
      </c>
      <c r="Z108" s="843"/>
      <c r="AA108" s="843"/>
      <c r="AB108" s="844" t="str" cm="1">
        <f t="array" ref="AB108">TRIM(SUBSTITUTE(SUBSTITUTE(INDEX(CY:CY,MATCH("      item_no: "&amp;A108&amp;",",CY:CY,0)+18,1),"discount_prohibition:",""),",",""))</f>
        <v>0</v>
      </c>
      <c r="AC108" s="844"/>
      <c r="AD108" s="825" t="str" cm="1">
        <f t="array" ref="AD108">TRIM(SUBSTITUTE(SUBSTITUTE(INDEX(CY:CY,MATCH("      item_no: "&amp;A108&amp;",",CY:CY,0)+1,1),"item_cancel_line: ",""),",",""))</f>
        <v>false</v>
      </c>
      <c r="AE108" s="825"/>
      <c r="AF108" s="1093"/>
      <c r="AG108" s="1094"/>
      <c r="AH108" s="826">
        <f t="shared" si="41"/>
        <v>-17.400000000000002</v>
      </c>
      <c r="AI108" s="827"/>
      <c r="AJ108" s="828">
        <f t="shared" si="42"/>
        <v>348</v>
      </c>
      <c r="AK108" s="829"/>
      <c r="AL108" s="822">
        <f t="shared" si="29"/>
        <v>45</v>
      </c>
      <c r="AM108" s="823"/>
      <c r="AN108" s="830">
        <f t="shared" si="43"/>
        <v>-17</v>
      </c>
      <c r="AO108" s="831"/>
      <c r="AP108" s="830">
        <f t="shared" si="39"/>
        <v>-1</v>
      </c>
      <c r="AQ108" s="831"/>
      <c r="AR108" s="820"/>
      <c r="AS108" s="821"/>
      <c r="AT108" s="822">
        <f t="shared" si="40"/>
        <v>-18</v>
      </c>
      <c r="AU108" s="823"/>
      <c r="AV108" s="817">
        <f t="shared" si="44"/>
        <v>330</v>
      </c>
      <c r="AW108" s="824"/>
      <c r="AX108" s="816">
        <f t="shared" ca="1" si="45"/>
        <v>26</v>
      </c>
      <c r="AY108" s="817"/>
      <c r="AZ108" s="816">
        <v>1</v>
      </c>
      <c r="BA108" s="817"/>
      <c r="BB108" s="816" t="str">
        <f t="shared" si="46"/>
        <v/>
      </c>
      <c r="BC108" s="817"/>
      <c r="BD108" s="816"/>
      <c r="BE108" s="817"/>
      <c r="BF108" s="816" t="str">
        <f t="shared" si="47"/>
        <v/>
      </c>
      <c r="BG108" s="817"/>
      <c r="BH108" s="816"/>
      <c r="BI108" s="817"/>
      <c r="BJ108" s="816" t="str">
        <f t="shared" si="48"/>
        <v/>
      </c>
      <c r="BK108" s="817"/>
      <c r="BL108" s="816"/>
      <c r="BM108" s="817"/>
      <c r="BN108" s="845">
        <f t="shared" si="49"/>
        <v>356</v>
      </c>
      <c r="BO108" s="846"/>
      <c r="BP108" s="74" t="s">
        <v>80</v>
      </c>
      <c r="BQ108" s="801" t="str">
        <f t="shared" si="50"/>
        <v>外税8%</v>
      </c>
      <c r="BR108" s="801"/>
      <c r="BS108" s="802"/>
      <c r="BT108" s="1072"/>
      <c r="BU108" s="1073"/>
      <c r="BV108" s="1076"/>
      <c r="BW108" s="1078"/>
      <c r="CY108" s="62" t="s">
        <v>300</v>
      </c>
      <c r="DD108" s="62" t="s">
        <v>365</v>
      </c>
      <c r="DE108" s="33" t="s">
        <v>30</v>
      </c>
      <c r="DF108" s="62" t="s">
        <v>366</v>
      </c>
    </row>
    <row r="109" spans="1:110" ht="15" customHeight="1">
      <c r="A109" s="46">
        <f t="shared" si="38"/>
        <v>21</v>
      </c>
      <c r="B109" s="832" t="s">
        <v>200</v>
      </c>
      <c r="C109" s="832"/>
      <c r="D109" s="832"/>
      <c r="E109" s="832"/>
      <c r="F109" s="832" t="str" cm="1">
        <f t="array" ref="F109">TRIM(SUBSTITUTE(SUBSTITUTE(INDEX(CY:CY,MATCH("      item_no: "&amp;A109&amp;",",CY:CY,0)+9,1),"item_name: ",""),",",""))</f>
        <v>のり弁当（生姜と合わせだしの塩唐揚げ）</v>
      </c>
      <c r="G109" s="832"/>
      <c r="H109" s="832"/>
      <c r="I109" s="832"/>
      <c r="J109" s="832"/>
      <c r="K109" s="832"/>
      <c r="L109" s="833" t="str" cm="1">
        <f t="array" ref="L109">TRIM(SUBSTITUTE(SUBSTITUTE(INDEX(CY:CY,MATCH("      item_no: "&amp;A109&amp;",",CY:CY,0)+3,1),"item_scan_code: ",""),",",""))</f>
        <v>0237962604988030000500</v>
      </c>
      <c r="M109" s="833"/>
      <c r="N109" s="833"/>
      <c r="O109" s="833"/>
      <c r="P109" s="833"/>
      <c r="Q109" s="834" cm="1">
        <f t="array" ref="Q109">IF(AD109="true","",TRIM(SUBSTITUTE(SUBSTITUTE(INDEX(CY:CY,MATCH("      item_no: "&amp;A109&amp;",",CY:CY,0)+13,1),"item_price_fmt: ￥",""),",",""))+0)</f>
        <v>498</v>
      </c>
      <c r="R109" s="835"/>
      <c r="S109" s="836">
        <f t="shared" si="26"/>
        <v>-249</v>
      </c>
      <c r="T109" s="837"/>
      <c r="U109" s="838" cm="1">
        <f t="array" ref="U109">IF(AD109="true","",TRIM(SUBSTITUTE(SUBSTITUTE(INDEX(CY:CY,MATCH("      item_no: "&amp;A109&amp;",",CY:CY,0)+14,1),"item_price_discount_fmt: ￥",""),",",""))+0)</f>
        <v>249</v>
      </c>
      <c r="V109" s="839"/>
      <c r="W109" s="840">
        <f ca="1">INT(SUMIF($Y$10:$AA109,"外税8%",$U$10:$V109)*1.08)+INT(SUMIF($Y$10:$AA109,"外税10%",$U$10:$V109)*1.1)+SUMIF($Y$10:$AA109,"内税10%",$U$10:$V109)+SUMIF($Y$10:$AA109,"非課税",$U$10:$V109)</f>
        <v>48897</v>
      </c>
      <c r="X109" s="841"/>
      <c r="Y109" s="842" t="str" cm="1">
        <f t="array" ref="Y109">TRIM(SUBSTITUTE(SUBSTITUTE(INDEX(CY:CY,MATCH("      item_no: "&amp;A109&amp;",",CY:CY,0)+15,1),"item_tax_fmt: ",""),",",""))</f>
        <v>外税8%</v>
      </c>
      <c r="Z109" s="843"/>
      <c r="AA109" s="843"/>
      <c r="AB109" s="844" t="str" cm="1">
        <f t="array" ref="AB109">TRIM(SUBSTITUTE(SUBSTITUTE(INDEX(CY:CY,MATCH("      item_no: "&amp;A109&amp;",",CY:CY,0)+18,1),"discount_prohibition:",""),",",""))</f>
        <v>0</v>
      </c>
      <c r="AC109" s="844"/>
      <c r="AD109" s="825" t="str" cm="1">
        <f t="array" ref="AD109">TRIM(SUBSTITUTE(SUBSTITUTE(INDEX(CY:CY,MATCH("      item_no: "&amp;A109&amp;",",CY:CY,0)+1,1),"item_cancel_line: ",""),",",""))</f>
        <v>false</v>
      </c>
      <c r="AE109" s="825"/>
      <c r="AF109" s="1093"/>
      <c r="AG109" s="1094"/>
      <c r="AH109" s="826">
        <f t="shared" si="41"/>
        <v>-12.450000000000001</v>
      </c>
      <c r="AI109" s="827"/>
      <c r="AJ109" s="828">
        <f t="shared" si="42"/>
        <v>249</v>
      </c>
      <c r="AK109" s="829"/>
      <c r="AL109" s="822">
        <f t="shared" si="29"/>
        <v>53</v>
      </c>
      <c r="AM109" s="823"/>
      <c r="AN109" s="830">
        <f t="shared" si="43"/>
        <v>-12</v>
      </c>
      <c r="AO109" s="831"/>
      <c r="AP109" s="830">
        <f t="shared" si="39"/>
        <v>-1</v>
      </c>
      <c r="AQ109" s="831"/>
      <c r="AR109" s="820"/>
      <c r="AS109" s="821"/>
      <c r="AT109" s="822">
        <f t="shared" si="40"/>
        <v>-13</v>
      </c>
      <c r="AU109" s="823"/>
      <c r="AV109" s="817">
        <f t="shared" si="44"/>
        <v>236</v>
      </c>
      <c r="AW109" s="824"/>
      <c r="AX109" s="816">
        <f t="shared" ca="1" si="45"/>
        <v>18</v>
      </c>
      <c r="AY109" s="817"/>
      <c r="AZ109" s="816">
        <v>1</v>
      </c>
      <c r="BA109" s="817"/>
      <c r="BB109" s="816" t="str">
        <f t="shared" si="46"/>
        <v/>
      </c>
      <c r="BC109" s="817"/>
      <c r="BD109" s="816"/>
      <c r="BE109" s="817"/>
      <c r="BF109" s="816" t="str">
        <f t="shared" si="47"/>
        <v/>
      </c>
      <c r="BG109" s="817"/>
      <c r="BH109" s="816"/>
      <c r="BI109" s="817"/>
      <c r="BJ109" s="816" t="str">
        <f t="shared" si="48"/>
        <v/>
      </c>
      <c r="BK109" s="817"/>
      <c r="BL109" s="816"/>
      <c r="BM109" s="817"/>
      <c r="BN109" s="845">
        <f t="shared" si="49"/>
        <v>254</v>
      </c>
      <c r="BO109" s="846"/>
      <c r="BP109" s="74" t="s">
        <v>80</v>
      </c>
      <c r="BQ109" s="801" t="str">
        <f t="shared" si="50"/>
        <v>外税8%</v>
      </c>
      <c r="BR109" s="801"/>
      <c r="BS109" s="802"/>
      <c r="BT109" s="1072"/>
      <c r="BU109" s="1073"/>
      <c r="BV109" s="1076"/>
      <c r="BW109" s="1078"/>
      <c r="CY109" s="62" t="s">
        <v>367</v>
      </c>
      <c r="DD109" s="62" t="s">
        <v>368</v>
      </c>
      <c r="DE109" s="33" t="s">
        <v>30</v>
      </c>
      <c r="DF109" s="62" t="s">
        <v>369</v>
      </c>
    </row>
    <row r="110" spans="1:110" ht="15" customHeight="1">
      <c r="A110" s="46">
        <f t="shared" si="38"/>
        <v>20</v>
      </c>
      <c r="B110" s="875" t="s">
        <v>219</v>
      </c>
      <c r="C110" s="875"/>
      <c r="D110" s="875"/>
      <c r="E110" s="875"/>
      <c r="F110" s="875" t="str" cm="1">
        <f t="array" ref="F110">TRIM(SUBSTITUTE(SUBSTITUTE(INDEX(CY:CY,MATCH("      item_no: "&amp;A110&amp;",",CY:CY,0)+9,1),"item_name: ",""),",",""))</f>
        <v>アサヒ　スーパードライ　３５０ｍｌ</v>
      </c>
      <c r="G110" s="875"/>
      <c r="H110" s="875"/>
      <c r="I110" s="875"/>
      <c r="J110" s="875"/>
      <c r="K110" s="875"/>
      <c r="L110" s="876" t="str" cm="1">
        <f t="array" ref="L110">TRIM(SUBSTITUTE(SUBSTITUTE(INDEX(CY:CY,MATCH("      item_no: "&amp;A110&amp;",",CY:CY,0)+3,1),"item_scan_code: ",""),",",""))</f>
        <v>4901004006714030000205</v>
      </c>
      <c r="M110" s="876"/>
      <c r="N110" s="876"/>
      <c r="O110" s="876"/>
      <c r="P110" s="876"/>
      <c r="Q110" s="877" cm="1">
        <f t="array" ref="Q110">IF(AD110="true","",TRIM(SUBSTITUTE(SUBSTITUTE(INDEX(CY:CY,MATCH("      item_no: "&amp;A110&amp;",",CY:CY,0)+13,1),"item_price_fmt: ￥",""),",",""))+0)</f>
        <v>179</v>
      </c>
      <c r="R110" s="878"/>
      <c r="S110" s="879">
        <f t="shared" si="26"/>
        <v>-36</v>
      </c>
      <c r="T110" s="880"/>
      <c r="U110" s="873" cm="1">
        <f t="array" ref="U110">IF(AD110="true","",TRIM(SUBSTITUTE(SUBSTITUTE(INDEX(CY:CY,MATCH("      item_no: "&amp;A110&amp;",",CY:CY,0)+14,1),"item_price_discount_fmt: ￥",""),",",""))+0)</f>
        <v>143</v>
      </c>
      <c r="V110" s="874"/>
      <c r="W110" s="840">
        <f ca="1">INT(SUMIF($Y$10:$AA110,"外税8%",$U$10:$V110)*1.08)+INT(SUMIF($Y$10:$AA110,"外税10%",$U$10:$V110)*1.1)+SUMIF($Y$10:$AA110,"内税10%",$U$10:$V110)+SUMIF($Y$10:$AA110,"非課税",$U$10:$V110)</f>
        <v>49054</v>
      </c>
      <c r="X110" s="841"/>
      <c r="Y110" s="867" t="str" cm="1">
        <f t="array" ref="Y110">TRIM(SUBSTITUTE(SUBSTITUTE(INDEX(CY:CY,MATCH("      item_no: "&amp;A110&amp;",",CY:CY,0)+15,1),"item_tax_fmt: ",""),",",""))</f>
        <v>外税10%</v>
      </c>
      <c r="Z110" s="868"/>
      <c r="AA110" s="868"/>
      <c r="AB110" s="869" t="str" cm="1">
        <f t="array" ref="AB110">TRIM(SUBSTITUTE(SUBSTITUTE(INDEX(CY:CY,MATCH("      item_no: "&amp;A110&amp;",",CY:CY,0)+18,1),"discount_prohibition:",""),",",""))</f>
        <v>1</v>
      </c>
      <c r="AC110" s="869"/>
      <c r="AD110" s="870" t="str" cm="1">
        <f t="array" ref="AD110">TRIM(SUBSTITUTE(SUBSTITUTE(INDEX(CY:CY,MATCH("      item_no: "&amp;A110&amp;",",CY:CY,0)+1,1),"item_cancel_line: ",""),",",""))</f>
        <v>false</v>
      </c>
      <c r="AE110" s="870"/>
      <c r="AF110" s="1093"/>
      <c r="AG110" s="1094"/>
      <c r="AH110" s="871">
        <f t="shared" si="41"/>
        <v>0</v>
      </c>
      <c r="AI110" s="872"/>
      <c r="AJ110" s="873">
        <f t="shared" si="42"/>
        <v>0</v>
      </c>
      <c r="AK110" s="874"/>
      <c r="AL110" s="864">
        <f t="shared" si="29"/>
        <v>84</v>
      </c>
      <c r="AM110" s="865"/>
      <c r="AN110" s="830">
        <f t="shared" si="43"/>
        <v>0</v>
      </c>
      <c r="AO110" s="831"/>
      <c r="AP110" s="830">
        <f t="shared" si="39"/>
        <v>0</v>
      </c>
      <c r="AQ110" s="831"/>
      <c r="AR110" s="820"/>
      <c r="AS110" s="821"/>
      <c r="AT110" s="864">
        <f t="shared" si="40"/>
        <v>0</v>
      </c>
      <c r="AU110" s="865"/>
      <c r="AV110" s="861">
        <f t="shared" si="44"/>
        <v>143</v>
      </c>
      <c r="AW110" s="866"/>
      <c r="AX110" s="860" t="str">
        <f t="shared" si="45"/>
        <v/>
      </c>
      <c r="AY110" s="861"/>
      <c r="AZ110" s="860"/>
      <c r="BA110" s="861"/>
      <c r="BB110" s="860">
        <f t="shared" ca="1" si="46"/>
        <v>14</v>
      </c>
      <c r="BC110" s="861"/>
      <c r="BD110" s="860">
        <v>1</v>
      </c>
      <c r="BE110" s="861"/>
      <c r="BF110" s="860" t="str">
        <f t="shared" si="47"/>
        <v/>
      </c>
      <c r="BG110" s="861"/>
      <c r="BH110" s="860"/>
      <c r="BI110" s="861"/>
      <c r="BJ110" s="860" t="str">
        <f t="shared" si="48"/>
        <v/>
      </c>
      <c r="BK110" s="861"/>
      <c r="BL110" s="860"/>
      <c r="BM110" s="861"/>
      <c r="BN110" s="862">
        <f t="shared" si="49"/>
        <v>157</v>
      </c>
      <c r="BO110" s="863"/>
      <c r="BP110" s="74" t="s">
        <v>80</v>
      </c>
      <c r="BQ110" s="801" t="str">
        <f t="shared" si="50"/>
        <v>外税10%</v>
      </c>
      <c r="BR110" s="801"/>
      <c r="BS110" s="802"/>
      <c r="BT110" s="1072"/>
      <c r="BU110" s="1073"/>
      <c r="BV110" s="1076"/>
      <c r="BW110" s="1078"/>
      <c r="CY110" s="62" t="s">
        <v>370</v>
      </c>
      <c r="DD110" s="62" t="s">
        <v>371</v>
      </c>
      <c r="DE110" s="33" t="s">
        <v>30</v>
      </c>
      <c r="DF110" s="62" t="s">
        <v>372</v>
      </c>
    </row>
    <row r="111" spans="1:110" ht="15" customHeight="1">
      <c r="A111" s="46">
        <f t="shared" si="38"/>
        <v>19</v>
      </c>
      <c r="B111" s="875" t="s">
        <v>219</v>
      </c>
      <c r="C111" s="875"/>
      <c r="D111" s="875"/>
      <c r="E111" s="875"/>
      <c r="F111" s="875" t="str" cm="1">
        <f t="array" ref="F111">TRIM(SUBSTITUTE(SUBSTITUTE(INDEX(CY:CY,MATCH("      item_no: "&amp;A111&amp;",",CY:CY,0)+9,1),"item_name: ",""),",",""))</f>
        <v>アサヒ　スーパードライ　３５０ｍｌ</v>
      </c>
      <c r="G111" s="875"/>
      <c r="H111" s="875"/>
      <c r="I111" s="875"/>
      <c r="J111" s="875"/>
      <c r="K111" s="875"/>
      <c r="L111" s="876" t="str" cm="1">
        <f t="array" ref="L111">TRIM(SUBSTITUTE(SUBSTITUTE(INDEX(CY:CY,MATCH("      item_no: "&amp;A111&amp;",",CY:CY,0)+3,1),"item_scan_code: ",""),",",""))</f>
        <v>4901004006714030000304</v>
      </c>
      <c r="M111" s="876"/>
      <c r="N111" s="876"/>
      <c r="O111" s="876"/>
      <c r="P111" s="876"/>
      <c r="Q111" s="877" cm="1">
        <f t="array" ref="Q111">IF(AD111="true","",TRIM(SUBSTITUTE(SUBSTITUTE(INDEX(CY:CY,MATCH("      item_no: "&amp;A111&amp;",",CY:CY,0)+13,1),"item_price_fmt: ￥",""),",",""))+0)</f>
        <v>179</v>
      </c>
      <c r="R111" s="878"/>
      <c r="S111" s="879">
        <f t="shared" si="26"/>
        <v>-54</v>
      </c>
      <c r="T111" s="880"/>
      <c r="U111" s="873" cm="1">
        <f t="array" ref="U111">IF(AD111="true","",TRIM(SUBSTITUTE(SUBSTITUTE(INDEX(CY:CY,MATCH("      item_no: "&amp;A111&amp;",",CY:CY,0)+14,1),"item_price_discount_fmt: ￥",""),",",""))+0)</f>
        <v>125</v>
      </c>
      <c r="V111" s="874"/>
      <c r="W111" s="840">
        <f ca="1">INT(SUMIF($Y$10:$AA111,"外税8%",$U$10:$V111)*1.08)+INT(SUMIF($Y$10:$AA111,"外税10%",$U$10:$V111)*1.1)+SUMIF($Y$10:$AA111,"内税10%",$U$10:$V111)+SUMIF($Y$10:$AA111,"非課税",$U$10:$V111)</f>
        <v>49191</v>
      </c>
      <c r="X111" s="841"/>
      <c r="Y111" s="867" t="str" cm="1">
        <f t="array" ref="Y111">TRIM(SUBSTITUTE(SUBSTITUTE(INDEX(CY:CY,MATCH("      item_no: "&amp;A111&amp;",",CY:CY,0)+15,1),"item_tax_fmt: ",""),",",""))</f>
        <v>外税10%</v>
      </c>
      <c r="Z111" s="868"/>
      <c r="AA111" s="868"/>
      <c r="AB111" s="869" t="str" cm="1">
        <f t="array" ref="AB111">TRIM(SUBSTITUTE(SUBSTITUTE(INDEX(CY:CY,MATCH("      item_no: "&amp;A111&amp;",",CY:CY,0)+18,1),"discount_prohibition:",""),",",""))</f>
        <v>1</v>
      </c>
      <c r="AC111" s="869"/>
      <c r="AD111" s="870" t="str" cm="1">
        <f t="array" ref="AD111">TRIM(SUBSTITUTE(SUBSTITUTE(INDEX(CY:CY,MATCH("      item_no: "&amp;A111&amp;",",CY:CY,0)+1,1),"item_cancel_line: ",""),",",""))</f>
        <v>false</v>
      </c>
      <c r="AE111" s="870"/>
      <c r="AF111" s="1093"/>
      <c r="AG111" s="1094"/>
      <c r="AH111" s="871">
        <f t="shared" si="41"/>
        <v>0</v>
      </c>
      <c r="AI111" s="872"/>
      <c r="AJ111" s="873">
        <f t="shared" si="42"/>
        <v>0</v>
      </c>
      <c r="AK111" s="874"/>
      <c r="AL111" s="864">
        <f t="shared" si="29"/>
        <v>84</v>
      </c>
      <c r="AM111" s="865"/>
      <c r="AN111" s="830">
        <f t="shared" si="43"/>
        <v>0</v>
      </c>
      <c r="AO111" s="831"/>
      <c r="AP111" s="830">
        <f t="shared" si="39"/>
        <v>0</v>
      </c>
      <c r="AQ111" s="831"/>
      <c r="AR111" s="820"/>
      <c r="AS111" s="821"/>
      <c r="AT111" s="864">
        <f t="shared" si="40"/>
        <v>0</v>
      </c>
      <c r="AU111" s="865"/>
      <c r="AV111" s="861">
        <f t="shared" si="44"/>
        <v>125</v>
      </c>
      <c r="AW111" s="866"/>
      <c r="AX111" s="860" t="str">
        <f t="shared" si="45"/>
        <v/>
      </c>
      <c r="AY111" s="861"/>
      <c r="AZ111" s="860"/>
      <c r="BA111" s="861"/>
      <c r="BB111" s="860">
        <f t="shared" ca="1" si="46"/>
        <v>12</v>
      </c>
      <c r="BC111" s="861"/>
      <c r="BD111" s="860">
        <v>1</v>
      </c>
      <c r="BE111" s="861"/>
      <c r="BF111" s="860" t="str">
        <f t="shared" si="47"/>
        <v/>
      </c>
      <c r="BG111" s="861"/>
      <c r="BH111" s="860"/>
      <c r="BI111" s="861"/>
      <c r="BJ111" s="860" t="str">
        <f t="shared" si="48"/>
        <v/>
      </c>
      <c r="BK111" s="861"/>
      <c r="BL111" s="860"/>
      <c r="BM111" s="861"/>
      <c r="BN111" s="862">
        <f t="shared" si="49"/>
        <v>137</v>
      </c>
      <c r="BO111" s="863"/>
      <c r="BP111" s="74" t="s">
        <v>80</v>
      </c>
      <c r="BQ111" s="801" t="str">
        <f t="shared" si="50"/>
        <v>外税10%</v>
      </c>
      <c r="BR111" s="801"/>
      <c r="BS111" s="802"/>
      <c r="BT111" s="1072"/>
      <c r="BU111" s="1073"/>
      <c r="BV111" s="1076"/>
      <c r="BW111" s="1078"/>
      <c r="CY111" s="62" t="s">
        <v>309</v>
      </c>
      <c r="DD111" s="62" t="s">
        <v>373</v>
      </c>
      <c r="DE111" s="33" t="s">
        <v>30</v>
      </c>
      <c r="DF111" s="62" t="s">
        <v>374</v>
      </c>
    </row>
    <row r="112" spans="1:110" ht="15" customHeight="1">
      <c r="A112" s="46">
        <f t="shared" si="38"/>
        <v>18</v>
      </c>
      <c r="B112" s="875" t="s">
        <v>219</v>
      </c>
      <c r="C112" s="875"/>
      <c r="D112" s="875"/>
      <c r="E112" s="875"/>
      <c r="F112" s="875" t="str" cm="1">
        <f t="array" ref="F112">TRIM(SUBSTITUTE(SUBSTITUTE(INDEX(CY:CY,MATCH("      item_no: "&amp;A112&amp;",",CY:CY,0)+9,1),"item_name: ",""),",",""))</f>
        <v>アサヒ　スーパードライ　３５０ｍｌ</v>
      </c>
      <c r="G112" s="875"/>
      <c r="H112" s="875"/>
      <c r="I112" s="875"/>
      <c r="J112" s="875"/>
      <c r="K112" s="875"/>
      <c r="L112" s="876" t="str" cm="1">
        <f t="array" ref="L112">TRIM(SUBSTITUTE(SUBSTITUTE(INDEX(CY:CY,MATCH("      item_no: "&amp;A112&amp;",",CY:CY,0)+3,1),"item_scan_code: ",""),",",""))</f>
        <v>4901004006714030000502</v>
      </c>
      <c r="M112" s="876"/>
      <c r="N112" s="876"/>
      <c r="O112" s="876"/>
      <c r="P112" s="876"/>
      <c r="Q112" s="877" cm="1">
        <f t="array" ref="Q112">IF(AD112="true","",TRIM(SUBSTITUTE(SUBSTITUTE(INDEX(CY:CY,MATCH("      item_no: "&amp;A112&amp;",",CY:CY,0)+13,1),"item_price_fmt: ￥",""),",",""))+0)</f>
        <v>179</v>
      </c>
      <c r="R112" s="878"/>
      <c r="S112" s="879">
        <f t="shared" si="26"/>
        <v>-90</v>
      </c>
      <c r="T112" s="880"/>
      <c r="U112" s="873" cm="1">
        <f t="array" ref="U112">IF(AD112="true","",TRIM(SUBSTITUTE(SUBSTITUTE(INDEX(CY:CY,MATCH("      item_no: "&amp;A112&amp;",",CY:CY,0)+14,1),"item_price_discount_fmt: ￥",""),",",""))+0)</f>
        <v>89</v>
      </c>
      <c r="V112" s="874"/>
      <c r="W112" s="840">
        <f ca="1">INT(SUMIF($Y$10:$AA112,"外税8%",$U$10:$V112)*1.08)+INT(SUMIF($Y$10:$AA112,"外税10%",$U$10:$V112)*1.1)+SUMIF($Y$10:$AA112,"内税10%",$U$10:$V112)+SUMIF($Y$10:$AA112,"非課税",$U$10:$V112)</f>
        <v>49289</v>
      </c>
      <c r="X112" s="841"/>
      <c r="Y112" s="867" t="str" cm="1">
        <f t="array" ref="Y112">TRIM(SUBSTITUTE(SUBSTITUTE(INDEX(CY:CY,MATCH("      item_no: "&amp;A112&amp;",",CY:CY,0)+15,1),"item_tax_fmt: ",""),",",""))</f>
        <v>外税10%</v>
      </c>
      <c r="Z112" s="868"/>
      <c r="AA112" s="868"/>
      <c r="AB112" s="869" t="str" cm="1">
        <f t="array" ref="AB112">TRIM(SUBSTITUTE(SUBSTITUTE(INDEX(CY:CY,MATCH("      item_no: "&amp;A112&amp;",",CY:CY,0)+18,1),"discount_prohibition:",""),",",""))</f>
        <v>1</v>
      </c>
      <c r="AC112" s="869"/>
      <c r="AD112" s="870" t="str" cm="1">
        <f t="array" ref="AD112">TRIM(SUBSTITUTE(SUBSTITUTE(INDEX(CY:CY,MATCH("      item_no: "&amp;A112&amp;",",CY:CY,0)+1,1),"item_cancel_line: ",""),",",""))</f>
        <v>false</v>
      </c>
      <c r="AE112" s="870"/>
      <c r="AF112" s="1093"/>
      <c r="AG112" s="1094"/>
      <c r="AH112" s="871">
        <f t="shared" si="41"/>
        <v>0</v>
      </c>
      <c r="AI112" s="872"/>
      <c r="AJ112" s="873">
        <f t="shared" si="42"/>
        <v>0</v>
      </c>
      <c r="AK112" s="874"/>
      <c r="AL112" s="864">
        <f t="shared" si="29"/>
        <v>84</v>
      </c>
      <c r="AM112" s="865"/>
      <c r="AN112" s="830">
        <f t="shared" si="43"/>
        <v>0</v>
      </c>
      <c r="AO112" s="831"/>
      <c r="AP112" s="830">
        <f t="shared" si="39"/>
        <v>0</v>
      </c>
      <c r="AQ112" s="831"/>
      <c r="AR112" s="820"/>
      <c r="AS112" s="821"/>
      <c r="AT112" s="864">
        <f t="shared" si="40"/>
        <v>0</v>
      </c>
      <c r="AU112" s="865"/>
      <c r="AV112" s="861">
        <f t="shared" si="44"/>
        <v>89</v>
      </c>
      <c r="AW112" s="866"/>
      <c r="AX112" s="860" t="str">
        <f t="shared" si="45"/>
        <v/>
      </c>
      <c r="AY112" s="861"/>
      <c r="AZ112" s="860"/>
      <c r="BA112" s="861"/>
      <c r="BB112" s="860">
        <f t="shared" ca="1" si="46"/>
        <v>8</v>
      </c>
      <c r="BC112" s="861"/>
      <c r="BD112" s="860">
        <v>1</v>
      </c>
      <c r="BE112" s="861"/>
      <c r="BF112" s="860" t="str">
        <f t="shared" si="47"/>
        <v/>
      </c>
      <c r="BG112" s="861"/>
      <c r="BH112" s="860"/>
      <c r="BI112" s="861"/>
      <c r="BJ112" s="860" t="str">
        <f t="shared" si="48"/>
        <v/>
      </c>
      <c r="BK112" s="861"/>
      <c r="BL112" s="860"/>
      <c r="BM112" s="861"/>
      <c r="BN112" s="862">
        <f t="shared" si="49"/>
        <v>97</v>
      </c>
      <c r="BO112" s="863"/>
      <c r="BP112" s="74" t="s">
        <v>80</v>
      </c>
      <c r="BQ112" s="801" t="str">
        <f t="shared" si="50"/>
        <v>外税10%</v>
      </c>
      <c r="BR112" s="801"/>
      <c r="BS112" s="802"/>
      <c r="BT112" s="1072"/>
      <c r="BU112" s="1073"/>
      <c r="BV112" s="1076"/>
      <c r="BW112" s="1078"/>
      <c r="CY112" s="62" t="s">
        <v>312</v>
      </c>
      <c r="DD112" s="62" t="s">
        <v>375</v>
      </c>
      <c r="DE112" s="33" t="s">
        <v>30</v>
      </c>
      <c r="DF112" s="62" t="s">
        <v>376</v>
      </c>
    </row>
    <row r="113" spans="1:110" ht="15" customHeight="1">
      <c r="A113" s="46">
        <f t="shared" si="38"/>
        <v>17</v>
      </c>
      <c r="B113" s="832" t="s">
        <v>171</v>
      </c>
      <c r="C113" s="832"/>
      <c r="D113" s="832"/>
      <c r="E113" s="832"/>
      <c r="F113" s="832" t="str" cm="1">
        <f t="array" ref="F113">TRIM(SUBSTITUTE(SUBSTITUTE(INDEX(CY:CY,MATCH("      item_no: "&amp;A113&amp;",",CY:CY,0)+9,1),"item_name: ",""),",",""))</f>
        <v>ブルーベリー</v>
      </c>
      <c r="G113" s="832"/>
      <c r="H113" s="832"/>
      <c r="I113" s="832"/>
      <c r="J113" s="832"/>
      <c r="K113" s="832"/>
      <c r="L113" s="833" t="str" cm="1">
        <f t="array" ref="L113">TRIM(SUBSTITUTE(SUBSTITUTE(INDEX(CY:CY,MATCH("      item_no: "&amp;A113&amp;",",CY:CY,0)+3,1),"item_scan_code: ",""),",",""))</f>
        <v>0714300114618230000104</v>
      </c>
      <c r="M113" s="833"/>
      <c r="N113" s="833"/>
      <c r="O113" s="833"/>
      <c r="P113" s="833"/>
      <c r="Q113" s="834" cm="1">
        <f t="array" ref="Q113">IF(AD113="true","",TRIM(SUBSTITUTE(SUBSTITUTE(INDEX(CY:CY,MATCH("      item_no: "&amp;A113&amp;",",CY:CY,0)+13,1),"item_price_fmt: ￥",""),",",""))+0)</f>
        <v>398</v>
      </c>
      <c r="R113" s="835"/>
      <c r="S113" s="836">
        <f t="shared" si="26"/>
        <v>-40</v>
      </c>
      <c r="T113" s="837"/>
      <c r="U113" s="838" cm="1">
        <f t="array" ref="U113">IF(AD113="true","",TRIM(SUBSTITUTE(SUBSTITUTE(INDEX(CY:CY,MATCH("      item_no: "&amp;A113&amp;",",CY:CY,0)+14,1),"item_price_discount_fmt: ￥",""),",",""))+0)</f>
        <v>358</v>
      </c>
      <c r="V113" s="839"/>
      <c r="W113" s="840">
        <f ca="1">INT(SUMIF($Y$10:$AA113,"外税8%",$U$10:$V113)*1.08)+INT(SUMIF($Y$10:$AA113,"外税10%",$U$10:$V113)*1.1)+SUMIF($Y$10:$AA113,"内税10%",$U$10:$V113)+SUMIF($Y$10:$AA113,"非課税",$U$10:$V113)</f>
        <v>49676</v>
      </c>
      <c r="X113" s="841"/>
      <c r="Y113" s="842" t="str" cm="1">
        <f t="array" ref="Y113">TRIM(SUBSTITUTE(SUBSTITUTE(INDEX(CY:CY,MATCH("      item_no: "&amp;A113&amp;",",CY:CY,0)+15,1),"item_tax_fmt: ",""),",",""))</f>
        <v>外税8%</v>
      </c>
      <c r="Z113" s="843"/>
      <c r="AA113" s="843"/>
      <c r="AB113" s="844" t="str" cm="1">
        <f t="array" ref="AB113">TRIM(SUBSTITUTE(SUBSTITUTE(INDEX(CY:CY,MATCH("      item_no: "&amp;A113&amp;",",CY:CY,0)+18,1),"discount_prohibition:",""),",",""))</f>
        <v>0</v>
      </c>
      <c r="AC113" s="844"/>
      <c r="AD113" s="825" t="str" cm="1">
        <f t="array" ref="AD113">TRIM(SUBSTITUTE(SUBSTITUTE(INDEX(CY:CY,MATCH("      item_no: "&amp;A113&amp;",",CY:CY,0)+1,1),"item_cancel_line: ",""),",",""))</f>
        <v>false</v>
      </c>
      <c r="AE113" s="825"/>
      <c r="AF113" s="1093"/>
      <c r="AG113" s="1094"/>
      <c r="AH113" s="826">
        <f t="shared" si="41"/>
        <v>-17.900000000000002</v>
      </c>
      <c r="AI113" s="827"/>
      <c r="AJ113" s="828">
        <f t="shared" si="42"/>
        <v>358</v>
      </c>
      <c r="AK113" s="829"/>
      <c r="AL113" s="822">
        <f t="shared" si="29"/>
        <v>42</v>
      </c>
      <c r="AM113" s="823"/>
      <c r="AN113" s="830">
        <f t="shared" si="43"/>
        <v>-17</v>
      </c>
      <c r="AO113" s="831"/>
      <c r="AP113" s="830">
        <f t="shared" si="39"/>
        <v>-1</v>
      </c>
      <c r="AQ113" s="831"/>
      <c r="AR113" s="820"/>
      <c r="AS113" s="821"/>
      <c r="AT113" s="822">
        <f t="shared" si="40"/>
        <v>-18</v>
      </c>
      <c r="AU113" s="823"/>
      <c r="AV113" s="817">
        <f t="shared" si="44"/>
        <v>340</v>
      </c>
      <c r="AW113" s="824"/>
      <c r="AX113" s="816">
        <f t="shared" ca="1" si="45"/>
        <v>27</v>
      </c>
      <c r="AY113" s="817"/>
      <c r="AZ113" s="816">
        <v>1</v>
      </c>
      <c r="BA113" s="817"/>
      <c r="BB113" s="816" t="str">
        <f t="shared" si="46"/>
        <v/>
      </c>
      <c r="BC113" s="817"/>
      <c r="BD113" s="816"/>
      <c r="BE113" s="817"/>
      <c r="BF113" s="816" t="str">
        <f t="shared" si="47"/>
        <v/>
      </c>
      <c r="BG113" s="817"/>
      <c r="BH113" s="816"/>
      <c r="BI113" s="817"/>
      <c r="BJ113" s="816" t="str">
        <f t="shared" si="48"/>
        <v/>
      </c>
      <c r="BK113" s="817"/>
      <c r="BL113" s="816"/>
      <c r="BM113" s="817"/>
      <c r="BN113" s="845">
        <f t="shared" si="49"/>
        <v>367</v>
      </c>
      <c r="BO113" s="846"/>
      <c r="BP113" s="74" t="s">
        <v>80</v>
      </c>
      <c r="BQ113" s="801" t="str">
        <f t="shared" si="50"/>
        <v>外税8%</v>
      </c>
      <c r="BR113" s="801"/>
      <c r="BS113" s="802"/>
      <c r="BT113" s="1072"/>
      <c r="BU113" s="1073"/>
      <c r="BV113" s="1076"/>
      <c r="BW113" s="1078"/>
      <c r="CY113" s="62" t="s">
        <v>315</v>
      </c>
      <c r="DD113" s="62" t="s">
        <v>377</v>
      </c>
      <c r="DE113" s="33" t="s">
        <v>30</v>
      </c>
      <c r="DF113" s="62" t="s">
        <v>378</v>
      </c>
    </row>
    <row r="114" spans="1:110" ht="15" customHeight="1">
      <c r="A114" s="46">
        <f t="shared" si="38"/>
        <v>16</v>
      </c>
      <c r="B114" s="832" t="s">
        <v>171</v>
      </c>
      <c r="C114" s="832"/>
      <c r="D114" s="832"/>
      <c r="E114" s="832"/>
      <c r="F114" s="832" t="str" cm="1">
        <f t="array" ref="F114">TRIM(SUBSTITUTE(SUBSTITUTE(INDEX(CY:CY,MATCH("      item_no: "&amp;A114&amp;",",CY:CY,0)+9,1),"item_name: ",""),",",""))</f>
        <v>ブルーベリー</v>
      </c>
      <c r="G114" s="832"/>
      <c r="H114" s="832"/>
      <c r="I114" s="832"/>
      <c r="J114" s="832"/>
      <c r="K114" s="832"/>
      <c r="L114" s="833" t="str" cm="1">
        <f t="array" ref="L114">TRIM(SUBSTITUTE(SUBSTITUTE(INDEX(CY:CY,MATCH("      item_no: "&amp;A114&amp;",",CY:CY,0)+3,1),"item_scan_code: ",""),",",""))</f>
        <v>0714300114618230000203</v>
      </c>
      <c r="M114" s="833"/>
      <c r="N114" s="833"/>
      <c r="O114" s="833"/>
      <c r="P114" s="833"/>
      <c r="Q114" s="834" cm="1">
        <f t="array" ref="Q114">IF(AD114="true","",TRIM(SUBSTITUTE(SUBSTITUTE(INDEX(CY:CY,MATCH("      item_no: "&amp;A114&amp;",",CY:CY,0)+13,1),"item_price_fmt: ￥",""),",",""))+0)</f>
        <v>398</v>
      </c>
      <c r="R114" s="835"/>
      <c r="S114" s="836">
        <f t="shared" si="26"/>
        <v>-80</v>
      </c>
      <c r="T114" s="837"/>
      <c r="U114" s="838" cm="1">
        <f t="array" ref="U114">IF(AD114="true","",TRIM(SUBSTITUTE(SUBSTITUTE(INDEX(CY:CY,MATCH("      item_no: "&amp;A114&amp;",",CY:CY,0)+14,1),"item_price_discount_fmt: ￥",""),",",""))+0)</f>
        <v>318</v>
      </c>
      <c r="V114" s="839"/>
      <c r="W114" s="840">
        <f ca="1">INT(SUMIF($Y$10:$AA114,"外税8%",$U$10:$V114)*1.08)+INT(SUMIF($Y$10:$AA114,"外税10%",$U$10:$V114)*1.1)+SUMIF($Y$10:$AA114,"内税10%",$U$10:$V114)+SUMIF($Y$10:$AA114,"非課税",$U$10:$V114)</f>
        <v>50019</v>
      </c>
      <c r="X114" s="841"/>
      <c r="Y114" s="842" t="str" cm="1">
        <f t="array" ref="Y114">TRIM(SUBSTITUTE(SUBSTITUTE(INDEX(CY:CY,MATCH("      item_no: "&amp;A114&amp;",",CY:CY,0)+15,1),"item_tax_fmt: ",""),",",""))</f>
        <v>外税8%</v>
      </c>
      <c r="Z114" s="843"/>
      <c r="AA114" s="843"/>
      <c r="AB114" s="844" t="str" cm="1">
        <f t="array" ref="AB114">TRIM(SUBSTITUTE(SUBSTITUTE(INDEX(CY:CY,MATCH("      item_no: "&amp;A114&amp;",",CY:CY,0)+18,1),"discount_prohibition:",""),",",""))</f>
        <v>0</v>
      </c>
      <c r="AC114" s="844"/>
      <c r="AD114" s="825" t="str" cm="1">
        <f t="array" ref="AD114">TRIM(SUBSTITUTE(SUBSTITUTE(INDEX(CY:CY,MATCH("      item_no: "&amp;A114&amp;",",CY:CY,0)+1,1),"item_cancel_line: ",""),",",""))</f>
        <v>false</v>
      </c>
      <c r="AE114" s="825"/>
      <c r="AF114" s="1093"/>
      <c r="AG114" s="1094"/>
      <c r="AH114" s="826">
        <f t="shared" si="41"/>
        <v>-15.9</v>
      </c>
      <c r="AI114" s="827"/>
      <c r="AJ114" s="828">
        <f t="shared" si="42"/>
        <v>318</v>
      </c>
      <c r="AK114" s="829"/>
      <c r="AL114" s="822">
        <f t="shared" si="29"/>
        <v>49</v>
      </c>
      <c r="AM114" s="823"/>
      <c r="AN114" s="830">
        <f t="shared" si="43"/>
        <v>-15</v>
      </c>
      <c r="AO114" s="831"/>
      <c r="AP114" s="830">
        <f t="shared" si="39"/>
        <v>-1</v>
      </c>
      <c r="AQ114" s="831"/>
      <c r="AR114" s="820"/>
      <c r="AS114" s="821"/>
      <c r="AT114" s="822">
        <f t="shared" si="40"/>
        <v>-16</v>
      </c>
      <c r="AU114" s="823"/>
      <c r="AV114" s="817">
        <f t="shared" si="44"/>
        <v>302</v>
      </c>
      <c r="AW114" s="824"/>
      <c r="AX114" s="816">
        <f t="shared" ca="1" si="45"/>
        <v>24</v>
      </c>
      <c r="AY114" s="817"/>
      <c r="AZ114" s="816">
        <v>1</v>
      </c>
      <c r="BA114" s="817"/>
      <c r="BB114" s="816" t="str">
        <f t="shared" si="46"/>
        <v/>
      </c>
      <c r="BC114" s="817"/>
      <c r="BD114" s="816"/>
      <c r="BE114" s="817"/>
      <c r="BF114" s="816" t="str">
        <f t="shared" si="47"/>
        <v/>
      </c>
      <c r="BG114" s="817"/>
      <c r="BH114" s="816"/>
      <c r="BI114" s="817"/>
      <c r="BJ114" s="816" t="str">
        <f t="shared" si="48"/>
        <v/>
      </c>
      <c r="BK114" s="817"/>
      <c r="BL114" s="816"/>
      <c r="BM114" s="817"/>
      <c r="BN114" s="845">
        <f t="shared" si="49"/>
        <v>326</v>
      </c>
      <c r="BO114" s="846"/>
      <c r="BP114" s="74" t="s">
        <v>80</v>
      </c>
      <c r="BQ114" s="801" t="str">
        <f t="shared" si="50"/>
        <v>外税8%</v>
      </c>
      <c r="BR114" s="801"/>
      <c r="BS114" s="802"/>
      <c r="BT114" s="1072"/>
      <c r="BU114" s="1073"/>
      <c r="BV114" s="1076"/>
      <c r="BW114" s="1078"/>
      <c r="CY114" s="62" t="s">
        <v>318</v>
      </c>
      <c r="DD114" s="62" t="s">
        <v>379</v>
      </c>
      <c r="DE114" s="33" t="s">
        <v>30</v>
      </c>
      <c r="DF114" s="62" t="s">
        <v>380</v>
      </c>
    </row>
    <row r="115" spans="1:110" ht="15" customHeight="1">
      <c r="A115" s="46">
        <f t="shared" si="38"/>
        <v>15</v>
      </c>
      <c r="B115" s="832" t="s">
        <v>171</v>
      </c>
      <c r="C115" s="832"/>
      <c r="D115" s="832"/>
      <c r="E115" s="832"/>
      <c r="F115" s="832" t="str" cm="1">
        <f t="array" ref="F115">TRIM(SUBSTITUTE(SUBSTITUTE(INDEX(CY:CY,MATCH("      item_no: "&amp;A115&amp;",",CY:CY,0)+9,1),"item_name: ",""),",",""))</f>
        <v>ブルーベリー</v>
      </c>
      <c r="G115" s="832"/>
      <c r="H115" s="832"/>
      <c r="I115" s="832"/>
      <c r="J115" s="832"/>
      <c r="K115" s="832"/>
      <c r="L115" s="833" t="str" cm="1">
        <f t="array" ref="L115">TRIM(SUBSTITUTE(SUBSTITUTE(INDEX(CY:CY,MATCH("      item_no: "&amp;A115&amp;",",CY:CY,0)+3,1),"item_scan_code: ",""),",",""))</f>
        <v>0714300114618230000500</v>
      </c>
      <c r="M115" s="833"/>
      <c r="N115" s="833"/>
      <c r="O115" s="833"/>
      <c r="P115" s="833"/>
      <c r="Q115" s="834" cm="1">
        <f t="array" ref="Q115">IF(AD115="true","",TRIM(SUBSTITUTE(SUBSTITUTE(INDEX(CY:CY,MATCH("      item_no: "&amp;A115&amp;",",CY:CY,0)+13,1),"item_price_fmt: ￥",""),",",""))+0)</f>
        <v>398</v>
      </c>
      <c r="R115" s="835"/>
      <c r="S115" s="836">
        <f t="shared" si="26"/>
        <v>-199</v>
      </c>
      <c r="T115" s="837"/>
      <c r="U115" s="838" cm="1">
        <f t="array" ref="U115">IF(AD115="true","",TRIM(SUBSTITUTE(SUBSTITUTE(INDEX(CY:CY,MATCH("      item_no: "&amp;A115&amp;",",CY:CY,0)+14,1),"item_price_discount_fmt: ￥",""),",",""))+0)</f>
        <v>199</v>
      </c>
      <c r="V115" s="839"/>
      <c r="W115" s="840">
        <f ca="1">INT(SUMIF($Y$10:$AA115,"外税8%",$U$10:$V115)*1.08)+INT(SUMIF($Y$10:$AA115,"外税10%",$U$10:$V115)*1.1)+SUMIF($Y$10:$AA115,"内税10%",$U$10:$V115)+SUMIF($Y$10:$AA115,"非課税",$U$10:$V115)</f>
        <v>50234</v>
      </c>
      <c r="X115" s="841"/>
      <c r="Y115" s="842" t="str" cm="1">
        <f t="array" ref="Y115">TRIM(SUBSTITUTE(SUBSTITUTE(INDEX(CY:CY,MATCH("      item_no: "&amp;A115&amp;",",CY:CY,0)+15,1),"item_tax_fmt: ",""),",",""))</f>
        <v>外税8%</v>
      </c>
      <c r="Z115" s="843"/>
      <c r="AA115" s="843"/>
      <c r="AB115" s="844" t="str" cm="1">
        <f t="array" ref="AB115">TRIM(SUBSTITUTE(SUBSTITUTE(INDEX(CY:CY,MATCH("      item_no: "&amp;A115&amp;",",CY:CY,0)+18,1),"discount_prohibition:",""),",",""))</f>
        <v>0</v>
      </c>
      <c r="AC115" s="844"/>
      <c r="AD115" s="825" t="str" cm="1">
        <f t="array" ref="AD115">TRIM(SUBSTITUTE(SUBSTITUTE(INDEX(CY:CY,MATCH("      item_no: "&amp;A115&amp;",",CY:CY,0)+1,1),"item_cancel_line: ",""),",",""))</f>
        <v>false</v>
      </c>
      <c r="AE115" s="825"/>
      <c r="AF115" s="1093"/>
      <c r="AG115" s="1094"/>
      <c r="AH115" s="826">
        <f t="shared" si="41"/>
        <v>-9.9500000000000011</v>
      </c>
      <c r="AI115" s="827"/>
      <c r="AJ115" s="828">
        <f t="shared" si="42"/>
        <v>199</v>
      </c>
      <c r="AK115" s="829"/>
      <c r="AL115" s="822">
        <f t="shared" si="29"/>
        <v>58</v>
      </c>
      <c r="AM115" s="823"/>
      <c r="AN115" s="830">
        <f t="shared" si="43"/>
        <v>-9</v>
      </c>
      <c r="AO115" s="831"/>
      <c r="AP115" s="830">
        <f t="shared" si="39"/>
        <v>0</v>
      </c>
      <c r="AQ115" s="831"/>
      <c r="AR115" s="820"/>
      <c r="AS115" s="821"/>
      <c r="AT115" s="822">
        <f t="shared" si="40"/>
        <v>-9</v>
      </c>
      <c r="AU115" s="823"/>
      <c r="AV115" s="817">
        <f t="shared" si="44"/>
        <v>190</v>
      </c>
      <c r="AW115" s="824"/>
      <c r="AX115" s="816">
        <f t="shared" ca="1" si="45"/>
        <v>15</v>
      </c>
      <c r="AY115" s="817"/>
      <c r="AZ115" s="816">
        <v>1</v>
      </c>
      <c r="BA115" s="817"/>
      <c r="BB115" s="816" t="str">
        <f t="shared" si="46"/>
        <v/>
      </c>
      <c r="BC115" s="817"/>
      <c r="BD115" s="816"/>
      <c r="BE115" s="817"/>
      <c r="BF115" s="816" t="str">
        <f t="shared" si="47"/>
        <v/>
      </c>
      <c r="BG115" s="817"/>
      <c r="BH115" s="816"/>
      <c r="BI115" s="817"/>
      <c r="BJ115" s="816" t="str">
        <f t="shared" si="48"/>
        <v/>
      </c>
      <c r="BK115" s="817"/>
      <c r="BL115" s="816"/>
      <c r="BM115" s="817"/>
      <c r="BN115" s="845">
        <f t="shared" si="49"/>
        <v>205</v>
      </c>
      <c r="BO115" s="846"/>
      <c r="BP115" s="74" t="s">
        <v>80</v>
      </c>
      <c r="BQ115" s="801" t="str">
        <f t="shared" si="50"/>
        <v>外税8%</v>
      </c>
      <c r="BR115" s="801"/>
      <c r="BS115" s="802"/>
      <c r="BT115" s="1072"/>
      <c r="BU115" s="1073"/>
      <c r="BV115" s="1076"/>
      <c r="BW115" s="1078"/>
      <c r="CY115" s="62" t="s">
        <v>321</v>
      </c>
      <c r="DD115" s="62" t="s">
        <v>381</v>
      </c>
      <c r="DE115" s="33" t="s">
        <v>30</v>
      </c>
      <c r="DF115" s="62" t="s">
        <v>382</v>
      </c>
    </row>
    <row r="116" spans="1:110" ht="15" customHeight="1">
      <c r="A116" s="46">
        <f t="shared" si="38"/>
        <v>14</v>
      </c>
      <c r="B116" s="832" t="s">
        <v>110</v>
      </c>
      <c r="C116" s="832"/>
      <c r="D116" s="832"/>
      <c r="E116" s="832"/>
      <c r="F116" s="832" t="str" cm="1">
        <f t="array" ref="F116">TRIM(SUBSTITUTE(SUBSTITUTE(INDEX(CY:CY,MATCH("      item_no: "&amp;A116&amp;",",CY:CY,0)+9,1),"item_name: ",""),",",""))</f>
        <v>ウォーカー　ショートブレッド</v>
      </c>
      <c r="G116" s="832"/>
      <c r="H116" s="832"/>
      <c r="I116" s="832"/>
      <c r="J116" s="832"/>
      <c r="K116" s="832"/>
      <c r="L116" s="833" t="str" cm="1">
        <f t="array" ref="L116">TRIM(SUBSTITUTE(SUBSTITUTE(INDEX(CY:CY,MATCH("      item_no: "&amp;A116&amp;",",CY:CY,0)+3,1),"item_scan_code: ",""),",",""))</f>
        <v>0039047001152230000209</v>
      </c>
      <c r="M116" s="833"/>
      <c r="N116" s="833"/>
      <c r="O116" s="833"/>
      <c r="P116" s="833"/>
      <c r="Q116" s="834" cm="1">
        <f t="array" ref="Q116">IF(AD116="true","",TRIM(SUBSTITUTE(SUBSTITUTE(INDEX(CY:CY,MATCH("      item_no: "&amp;A116&amp;",",CY:CY,0)+13,1),"item_price_fmt: ￥",""),",",""))+0)</f>
        <v>479</v>
      </c>
      <c r="R116" s="835"/>
      <c r="S116" s="836">
        <f t="shared" si="26"/>
        <v>-96</v>
      </c>
      <c r="T116" s="837"/>
      <c r="U116" s="838" cm="1">
        <f t="array" ref="U116">IF(AD116="true","",TRIM(SUBSTITUTE(SUBSTITUTE(INDEX(CY:CY,MATCH("      item_no: "&amp;A116&amp;",",CY:CY,0)+14,1),"item_price_discount_fmt: ￥",""),",",""))+0)</f>
        <v>383</v>
      </c>
      <c r="V116" s="839"/>
      <c r="W116" s="840">
        <f ca="1">INT(SUMIF($Y$10:$AA116,"外税8%",$U$10:$V116)*1.08)+INT(SUMIF($Y$10:$AA116,"外税10%",$U$10:$V116)*1.1)+SUMIF($Y$10:$AA116,"内税10%",$U$10:$V116)+SUMIF($Y$10:$AA116,"非課税",$U$10:$V116)</f>
        <v>50648</v>
      </c>
      <c r="X116" s="841"/>
      <c r="Y116" s="842" t="str" cm="1">
        <f t="array" ref="Y116">TRIM(SUBSTITUTE(SUBSTITUTE(INDEX(CY:CY,MATCH("      item_no: "&amp;A116&amp;",",CY:CY,0)+15,1),"item_tax_fmt: ",""),",",""))</f>
        <v>外税8%</v>
      </c>
      <c r="Z116" s="843"/>
      <c r="AA116" s="843"/>
      <c r="AB116" s="844" t="str" cm="1">
        <f t="array" ref="AB116">TRIM(SUBSTITUTE(SUBSTITUTE(INDEX(CY:CY,MATCH("      item_no: "&amp;A116&amp;",",CY:CY,0)+18,1),"discount_prohibition:",""),",",""))</f>
        <v>0</v>
      </c>
      <c r="AC116" s="844"/>
      <c r="AD116" s="825" t="str" cm="1">
        <f t="array" ref="AD116">TRIM(SUBSTITUTE(SUBSTITUTE(INDEX(CY:CY,MATCH("      item_no: "&amp;A116&amp;",",CY:CY,0)+1,1),"item_cancel_line: ",""),",",""))</f>
        <v>false</v>
      </c>
      <c r="AE116" s="825"/>
      <c r="AF116" s="1093"/>
      <c r="AG116" s="1094"/>
      <c r="AH116" s="826">
        <f t="shared" si="41"/>
        <v>-19.150000000000002</v>
      </c>
      <c r="AI116" s="827"/>
      <c r="AJ116" s="828">
        <f t="shared" si="42"/>
        <v>383</v>
      </c>
      <c r="AK116" s="829"/>
      <c r="AL116" s="822">
        <f t="shared" si="29"/>
        <v>40</v>
      </c>
      <c r="AM116" s="823"/>
      <c r="AN116" s="830">
        <f t="shared" si="43"/>
        <v>-19</v>
      </c>
      <c r="AO116" s="831"/>
      <c r="AP116" s="830">
        <f t="shared" si="39"/>
        <v>-1</v>
      </c>
      <c r="AQ116" s="831"/>
      <c r="AR116" s="820"/>
      <c r="AS116" s="821"/>
      <c r="AT116" s="822">
        <f t="shared" si="40"/>
        <v>-20</v>
      </c>
      <c r="AU116" s="823"/>
      <c r="AV116" s="817">
        <f t="shared" si="44"/>
        <v>363</v>
      </c>
      <c r="AW116" s="824"/>
      <c r="AX116" s="816">
        <f t="shared" ca="1" si="45"/>
        <v>29</v>
      </c>
      <c r="AY116" s="817"/>
      <c r="AZ116" s="816">
        <v>1</v>
      </c>
      <c r="BA116" s="817"/>
      <c r="BB116" s="816" t="str">
        <f t="shared" si="46"/>
        <v/>
      </c>
      <c r="BC116" s="817"/>
      <c r="BD116" s="816"/>
      <c r="BE116" s="817"/>
      <c r="BF116" s="816" t="str">
        <f t="shared" si="47"/>
        <v/>
      </c>
      <c r="BG116" s="817"/>
      <c r="BH116" s="816"/>
      <c r="BI116" s="817"/>
      <c r="BJ116" s="816" t="str">
        <f t="shared" si="48"/>
        <v/>
      </c>
      <c r="BK116" s="817"/>
      <c r="BL116" s="816"/>
      <c r="BM116" s="817"/>
      <c r="BN116" s="845">
        <f t="shared" si="49"/>
        <v>392</v>
      </c>
      <c r="BO116" s="846"/>
      <c r="BP116" s="74" t="s">
        <v>80</v>
      </c>
      <c r="BQ116" s="801" t="str">
        <f t="shared" si="50"/>
        <v>外税8%</v>
      </c>
      <c r="BR116" s="801"/>
      <c r="BS116" s="802"/>
      <c r="BT116" s="1072"/>
      <c r="BU116" s="1073"/>
      <c r="BV116" s="1076"/>
      <c r="BW116" s="1078"/>
      <c r="CY116" s="62" t="s">
        <v>324</v>
      </c>
      <c r="DD116" s="62" t="s">
        <v>383</v>
      </c>
      <c r="DE116" s="33" t="s">
        <v>30</v>
      </c>
      <c r="DF116" s="62" t="s">
        <v>384</v>
      </c>
    </row>
    <row r="117" spans="1:110" ht="15" customHeight="1">
      <c r="A117" s="46">
        <f t="shared" si="38"/>
        <v>13</v>
      </c>
      <c r="B117" s="832" t="s">
        <v>110</v>
      </c>
      <c r="C117" s="832"/>
      <c r="D117" s="832"/>
      <c r="E117" s="832"/>
      <c r="F117" s="832" t="str" cm="1">
        <f t="array" ref="F117">TRIM(SUBSTITUTE(SUBSTITUTE(INDEX(CY:CY,MATCH("      item_no: "&amp;A117&amp;",",CY:CY,0)+9,1),"item_name: ",""),",",""))</f>
        <v>ウォーカー　ショートブレッド</v>
      </c>
      <c r="G117" s="832"/>
      <c r="H117" s="832"/>
      <c r="I117" s="832"/>
      <c r="J117" s="832"/>
      <c r="K117" s="832"/>
      <c r="L117" s="833" t="str" cm="1">
        <f t="array" ref="L117">TRIM(SUBSTITUTE(SUBSTITUTE(INDEX(CY:CY,MATCH("      item_no: "&amp;A117&amp;",",CY:CY,0)+3,1),"item_scan_code: ",""),",",""))</f>
        <v>0039047001152230000308</v>
      </c>
      <c r="M117" s="833"/>
      <c r="N117" s="833"/>
      <c r="O117" s="833"/>
      <c r="P117" s="833"/>
      <c r="Q117" s="834" cm="1">
        <f t="array" ref="Q117">IF(AD117="true","",TRIM(SUBSTITUTE(SUBSTITUTE(INDEX(CY:CY,MATCH("      item_no: "&amp;A117&amp;",",CY:CY,0)+13,1),"item_price_fmt: ￥",""),",",""))+0)</f>
        <v>479</v>
      </c>
      <c r="R117" s="835"/>
      <c r="S117" s="836">
        <f t="shared" si="26"/>
        <v>-144</v>
      </c>
      <c r="T117" s="837"/>
      <c r="U117" s="838" cm="1">
        <f t="array" ref="U117">IF(AD117="true","",TRIM(SUBSTITUTE(SUBSTITUTE(INDEX(CY:CY,MATCH("      item_no: "&amp;A117&amp;",",CY:CY,0)+14,1),"item_price_discount_fmt: ￥",""),",",""))+0)</f>
        <v>335</v>
      </c>
      <c r="V117" s="839"/>
      <c r="W117" s="840">
        <f ca="1">INT(SUMIF($Y$10:$AA117,"外税8%",$U$10:$V117)*1.08)+INT(SUMIF($Y$10:$AA117,"外税10%",$U$10:$V117)*1.1)+SUMIF($Y$10:$AA117,"内税10%",$U$10:$V117)+SUMIF($Y$10:$AA117,"非課税",$U$10:$V117)</f>
        <v>51010</v>
      </c>
      <c r="X117" s="841"/>
      <c r="Y117" s="842" t="str" cm="1">
        <f t="array" ref="Y117">TRIM(SUBSTITUTE(SUBSTITUTE(INDEX(CY:CY,MATCH("      item_no: "&amp;A117&amp;",",CY:CY,0)+15,1),"item_tax_fmt: ",""),",",""))</f>
        <v>外税8%</v>
      </c>
      <c r="Z117" s="843"/>
      <c r="AA117" s="843"/>
      <c r="AB117" s="844" t="str" cm="1">
        <f t="array" ref="AB117">TRIM(SUBSTITUTE(SUBSTITUTE(INDEX(CY:CY,MATCH("      item_no: "&amp;A117&amp;",",CY:CY,0)+18,1),"discount_prohibition:",""),",",""))</f>
        <v>0</v>
      </c>
      <c r="AC117" s="844"/>
      <c r="AD117" s="825" t="str" cm="1">
        <f t="array" ref="AD117">TRIM(SUBSTITUTE(SUBSTITUTE(INDEX(CY:CY,MATCH("      item_no: "&amp;A117&amp;",",CY:CY,0)+1,1),"item_cancel_line: ",""),",",""))</f>
        <v>false</v>
      </c>
      <c r="AE117" s="825"/>
      <c r="AF117" s="1093"/>
      <c r="AG117" s="1094"/>
      <c r="AH117" s="826">
        <f t="shared" si="41"/>
        <v>-16.75</v>
      </c>
      <c r="AI117" s="827"/>
      <c r="AJ117" s="828">
        <f t="shared" si="42"/>
        <v>335</v>
      </c>
      <c r="AK117" s="829"/>
      <c r="AL117" s="822">
        <f t="shared" si="29"/>
        <v>46</v>
      </c>
      <c r="AM117" s="823"/>
      <c r="AN117" s="830">
        <f t="shared" si="43"/>
        <v>-16</v>
      </c>
      <c r="AO117" s="831"/>
      <c r="AP117" s="830">
        <f t="shared" si="39"/>
        <v>-1</v>
      </c>
      <c r="AQ117" s="831"/>
      <c r="AR117" s="820"/>
      <c r="AS117" s="821"/>
      <c r="AT117" s="822">
        <f t="shared" si="40"/>
        <v>-17</v>
      </c>
      <c r="AU117" s="823"/>
      <c r="AV117" s="817">
        <f t="shared" si="44"/>
        <v>318</v>
      </c>
      <c r="AW117" s="824"/>
      <c r="AX117" s="816">
        <f t="shared" ca="1" si="45"/>
        <v>25</v>
      </c>
      <c r="AY117" s="817"/>
      <c r="AZ117" s="816">
        <v>1</v>
      </c>
      <c r="BA117" s="817"/>
      <c r="BB117" s="816" t="str">
        <f t="shared" si="46"/>
        <v/>
      </c>
      <c r="BC117" s="817"/>
      <c r="BD117" s="816"/>
      <c r="BE117" s="817"/>
      <c r="BF117" s="816" t="str">
        <f t="shared" si="47"/>
        <v/>
      </c>
      <c r="BG117" s="817"/>
      <c r="BH117" s="816"/>
      <c r="BI117" s="817"/>
      <c r="BJ117" s="816" t="str">
        <f t="shared" si="48"/>
        <v/>
      </c>
      <c r="BK117" s="817"/>
      <c r="BL117" s="816"/>
      <c r="BM117" s="817"/>
      <c r="BN117" s="845">
        <f t="shared" si="49"/>
        <v>343</v>
      </c>
      <c r="BO117" s="846"/>
      <c r="BP117" s="74" t="s">
        <v>80</v>
      </c>
      <c r="BQ117" s="801" t="str">
        <f t="shared" si="50"/>
        <v>外税8%</v>
      </c>
      <c r="BR117" s="801"/>
      <c r="BS117" s="802"/>
      <c r="BT117" s="1072"/>
      <c r="BU117" s="1073"/>
      <c r="BV117" s="1076"/>
      <c r="BW117" s="1078"/>
      <c r="CY117" s="62" t="s">
        <v>327</v>
      </c>
      <c r="DD117" s="62" t="s">
        <v>385</v>
      </c>
      <c r="DE117" s="33" t="s">
        <v>30</v>
      </c>
      <c r="DF117" s="62" t="s">
        <v>386</v>
      </c>
    </row>
    <row r="118" spans="1:110" ht="15" customHeight="1">
      <c r="A118" s="46">
        <f t="shared" si="38"/>
        <v>12</v>
      </c>
      <c r="B118" s="832" t="s">
        <v>110</v>
      </c>
      <c r="C118" s="832"/>
      <c r="D118" s="832"/>
      <c r="E118" s="832"/>
      <c r="F118" s="832" t="str" cm="1">
        <f t="array" ref="F118">TRIM(SUBSTITUTE(SUBSTITUTE(INDEX(CY:CY,MATCH("      item_no: "&amp;A118&amp;",",CY:CY,0)+9,1),"item_name: ",""),",",""))</f>
        <v>ウォーカー　ショートブレッド</v>
      </c>
      <c r="G118" s="832"/>
      <c r="H118" s="832"/>
      <c r="I118" s="832"/>
      <c r="J118" s="832"/>
      <c r="K118" s="832"/>
      <c r="L118" s="833" t="str" cm="1">
        <f t="array" ref="L118">TRIM(SUBSTITUTE(SUBSTITUTE(INDEX(CY:CY,MATCH("      item_no: "&amp;A118&amp;",",CY:CY,0)+3,1),"item_scan_code: ",""),",",""))</f>
        <v>0039047001152230000506</v>
      </c>
      <c r="M118" s="833"/>
      <c r="N118" s="833"/>
      <c r="O118" s="833"/>
      <c r="P118" s="833"/>
      <c r="Q118" s="834" cm="1">
        <f t="array" ref="Q118">IF(AD118="true","",TRIM(SUBSTITUTE(SUBSTITUTE(INDEX(CY:CY,MATCH("      item_no: "&amp;A118&amp;",",CY:CY,0)+13,1),"item_price_fmt: ￥",""),",",""))+0)</f>
        <v>479</v>
      </c>
      <c r="R118" s="835"/>
      <c r="S118" s="836">
        <f t="shared" si="26"/>
        <v>-240</v>
      </c>
      <c r="T118" s="837"/>
      <c r="U118" s="838" cm="1">
        <f t="array" ref="U118">IF(AD118="true","",TRIM(SUBSTITUTE(SUBSTITUTE(INDEX(CY:CY,MATCH("      item_no: "&amp;A118&amp;",",CY:CY,0)+14,1),"item_price_discount_fmt: ￥",""),",",""))+0)</f>
        <v>239</v>
      </c>
      <c r="V118" s="839"/>
      <c r="W118" s="840">
        <f ca="1">INT(SUMIF($Y$10:$AA118,"外税8%",$U$10:$V118)*1.08)+INT(SUMIF($Y$10:$AA118,"外税10%",$U$10:$V118)*1.1)+SUMIF($Y$10:$AA118,"内税10%",$U$10:$V118)+SUMIF($Y$10:$AA118,"非課税",$U$10:$V118)</f>
        <v>51268</v>
      </c>
      <c r="X118" s="841"/>
      <c r="Y118" s="842" t="str" cm="1">
        <f t="array" ref="Y118">TRIM(SUBSTITUTE(SUBSTITUTE(INDEX(CY:CY,MATCH("      item_no: "&amp;A118&amp;",",CY:CY,0)+15,1),"item_tax_fmt: ",""),",",""))</f>
        <v>外税8%</v>
      </c>
      <c r="Z118" s="843"/>
      <c r="AA118" s="843"/>
      <c r="AB118" s="844" t="str" cm="1">
        <f t="array" ref="AB118">TRIM(SUBSTITUTE(SUBSTITUTE(INDEX(CY:CY,MATCH("      item_no: "&amp;A118&amp;",",CY:CY,0)+18,1),"discount_prohibition:",""),",",""))</f>
        <v>0</v>
      </c>
      <c r="AC118" s="844"/>
      <c r="AD118" s="825" t="str" cm="1">
        <f t="array" ref="AD118">TRIM(SUBSTITUTE(SUBSTITUTE(INDEX(CY:CY,MATCH("      item_no: "&amp;A118&amp;",",CY:CY,0)+1,1),"item_cancel_line: ",""),",",""))</f>
        <v>false</v>
      </c>
      <c r="AE118" s="825"/>
      <c r="AF118" s="1093"/>
      <c r="AG118" s="1094"/>
      <c r="AH118" s="826">
        <f t="shared" si="41"/>
        <v>-11.950000000000001</v>
      </c>
      <c r="AI118" s="827"/>
      <c r="AJ118" s="828">
        <f t="shared" si="42"/>
        <v>239</v>
      </c>
      <c r="AK118" s="829"/>
      <c r="AL118" s="822">
        <f t="shared" si="29"/>
        <v>56</v>
      </c>
      <c r="AM118" s="823"/>
      <c r="AN118" s="830">
        <f t="shared" si="43"/>
        <v>-11</v>
      </c>
      <c r="AO118" s="831"/>
      <c r="AP118" s="830">
        <f t="shared" si="39"/>
        <v>-1</v>
      </c>
      <c r="AQ118" s="831"/>
      <c r="AR118" s="820"/>
      <c r="AS118" s="821"/>
      <c r="AT118" s="822">
        <f t="shared" si="40"/>
        <v>-12</v>
      </c>
      <c r="AU118" s="823"/>
      <c r="AV118" s="817">
        <f t="shared" si="44"/>
        <v>227</v>
      </c>
      <c r="AW118" s="824"/>
      <c r="AX118" s="816">
        <f t="shared" ca="1" si="45"/>
        <v>18</v>
      </c>
      <c r="AY118" s="817"/>
      <c r="AZ118" s="816">
        <v>1</v>
      </c>
      <c r="BA118" s="817"/>
      <c r="BB118" s="816" t="str">
        <f t="shared" si="46"/>
        <v/>
      </c>
      <c r="BC118" s="817"/>
      <c r="BD118" s="816"/>
      <c r="BE118" s="817"/>
      <c r="BF118" s="816" t="str">
        <f t="shared" si="47"/>
        <v/>
      </c>
      <c r="BG118" s="817"/>
      <c r="BH118" s="816"/>
      <c r="BI118" s="817"/>
      <c r="BJ118" s="816" t="str">
        <f t="shared" si="48"/>
        <v/>
      </c>
      <c r="BK118" s="817"/>
      <c r="BL118" s="816"/>
      <c r="BM118" s="817"/>
      <c r="BN118" s="845">
        <f t="shared" si="49"/>
        <v>245</v>
      </c>
      <c r="BO118" s="846"/>
      <c r="BP118" s="74" t="s">
        <v>80</v>
      </c>
      <c r="BQ118" s="801" t="str">
        <f t="shared" si="50"/>
        <v>外税8%</v>
      </c>
      <c r="BR118" s="801"/>
      <c r="BS118" s="802"/>
      <c r="BT118" s="1072"/>
      <c r="BU118" s="1073"/>
      <c r="BV118" s="1076"/>
      <c r="BW118" s="1078"/>
      <c r="CY118" s="62" t="s">
        <v>330</v>
      </c>
      <c r="DD118" s="62" t="s">
        <v>387</v>
      </c>
      <c r="DE118" s="33" t="s">
        <v>30</v>
      </c>
      <c r="DF118" s="62" t="s">
        <v>388</v>
      </c>
    </row>
    <row r="119" spans="1:110" ht="15" customHeight="1">
      <c r="A119" s="46">
        <f t="shared" si="38"/>
        <v>11</v>
      </c>
      <c r="B119" s="832" t="s">
        <v>110</v>
      </c>
      <c r="C119" s="832"/>
      <c r="D119" s="832"/>
      <c r="E119" s="832"/>
      <c r="F119" s="832" t="str" cm="1">
        <f t="array" ref="F119">TRIM(SUBSTITUTE(SUBSTITUTE(INDEX(CY:CY,MATCH("      item_no: "&amp;A119&amp;",",CY:CY,0)+9,1),"item_name: ",""),",",""))</f>
        <v>グリコ　ポップキャン</v>
      </c>
      <c r="G119" s="832"/>
      <c r="H119" s="832"/>
      <c r="I119" s="832"/>
      <c r="J119" s="832"/>
      <c r="K119" s="832"/>
      <c r="L119" s="833" t="str" cm="1">
        <f t="array" ref="L119">TRIM(SUBSTITUTE(SUBSTITUTE(INDEX(CY:CY,MATCH("      item_no: "&amp;A119&amp;",",CY:CY,0)+3,1),"item_scan_code: ",""),",",""))</f>
        <v>0000045183553830000205</v>
      </c>
      <c r="M119" s="833"/>
      <c r="N119" s="833"/>
      <c r="O119" s="833"/>
      <c r="P119" s="833"/>
      <c r="Q119" s="834" cm="1">
        <f t="array" ref="Q119">IF(AD119="true","",TRIM(SUBSTITUTE(SUBSTITUTE(INDEX(CY:CY,MATCH("      item_no: "&amp;A119&amp;",",CY:CY,0)+13,1),"item_price_fmt: ￥",""),",",""))+0)</f>
        <v>49</v>
      </c>
      <c r="R119" s="835"/>
      <c r="S119" s="836">
        <f t="shared" si="26"/>
        <v>-10</v>
      </c>
      <c r="T119" s="837"/>
      <c r="U119" s="838" cm="1">
        <f t="array" ref="U119">IF(AD119="true","",TRIM(SUBSTITUTE(SUBSTITUTE(INDEX(CY:CY,MATCH("      item_no: "&amp;A119&amp;",",CY:CY,0)+14,1),"item_price_discount_fmt: ￥",""),",",""))+0)</f>
        <v>39</v>
      </c>
      <c r="V119" s="839"/>
      <c r="W119" s="840">
        <f ca="1">INT(SUMIF($Y$10:$AA119,"外税8%",$U$10:$V119)*1.08)+INT(SUMIF($Y$10:$AA119,"外税10%",$U$10:$V119)*1.1)+SUMIF($Y$10:$AA119,"内税10%",$U$10:$V119)+SUMIF($Y$10:$AA119,"非課税",$U$10:$V119)</f>
        <v>51310</v>
      </c>
      <c r="X119" s="841"/>
      <c r="Y119" s="842" t="str" cm="1">
        <f t="array" ref="Y119">TRIM(SUBSTITUTE(SUBSTITUTE(INDEX(CY:CY,MATCH("      item_no: "&amp;A119&amp;",",CY:CY,0)+15,1),"item_tax_fmt: ",""),",",""))</f>
        <v>外税8%</v>
      </c>
      <c r="Z119" s="843"/>
      <c r="AA119" s="843"/>
      <c r="AB119" s="844" t="str" cm="1">
        <f t="array" ref="AB119">TRIM(SUBSTITUTE(SUBSTITUTE(INDEX(CY:CY,MATCH("      item_no: "&amp;A119&amp;",",CY:CY,0)+18,1),"discount_prohibition:",""),",",""))</f>
        <v>0</v>
      </c>
      <c r="AC119" s="844"/>
      <c r="AD119" s="825" t="str" cm="1">
        <f t="array" ref="AD119">TRIM(SUBSTITUTE(SUBSTITUTE(INDEX(CY:CY,MATCH("      item_no: "&amp;A119&amp;",",CY:CY,0)+1,1),"item_cancel_line: ",""),",",""))</f>
        <v>false</v>
      </c>
      <c r="AE119" s="825"/>
      <c r="AF119" s="1093"/>
      <c r="AG119" s="1094"/>
      <c r="AH119" s="826">
        <f t="shared" si="41"/>
        <v>-1.9500000000000002</v>
      </c>
      <c r="AI119" s="827"/>
      <c r="AJ119" s="838">
        <f t="shared" si="42"/>
        <v>39</v>
      </c>
      <c r="AK119" s="839"/>
      <c r="AL119" s="822">
        <f t="shared" si="29"/>
        <v>79</v>
      </c>
      <c r="AM119" s="823"/>
      <c r="AN119" s="830">
        <f t="shared" si="43"/>
        <v>-1</v>
      </c>
      <c r="AO119" s="831"/>
      <c r="AP119" s="830">
        <f t="shared" si="39"/>
        <v>0</v>
      </c>
      <c r="AQ119" s="831"/>
      <c r="AR119" s="820"/>
      <c r="AS119" s="821"/>
      <c r="AT119" s="822">
        <f t="shared" si="40"/>
        <v>-1</v>
      </c>
      <c r="AU119" s="823"/>
      <c r="AV119" s="817">
        <f t="shared" si="44"/>
        <v>38</v>
      </c>
      <c r="AW119" s="824"/>
      <c r="AX119" s="816">
        <f t="shared" ca="1" si="45"/>
        <v>3</v>
      </c>
      <c r="AY119" s="817"/>
      <c r="AZ119" s="816">
        <v>1</v>
      </c>
      <c r="BA119" s="817"/>
      <c r="BB119" s="816" t="str">
        <f t="shared" si="46"/>
        <v/>
      </c>
      <c r="BC119" s="817"/>
      <c r="BD119" s="816"/>
      <c r="BE119" s="817"/>
      <c r="BF119" s="816" t="str">
        <f t="shared" si="47"/>
        <v/>
      </c>
      <c r="BG119" s="817"/>
      <c r="BH119" s="816"/>
      <c r="BI119" s="817"/>
      <c r="BJ119" s="816" t="str">
        <f t="shared" si="48"/>
        <v/>
      </c>
      <c r="BK119" s="817"/>
      <c r="BL119" s="816"/>
      <c r="BM119" s="817"/>
      <c r="BN119" s="818">
        <f t="shared" si="49"/>
        <v>41</v>
      </c>
      <c r="BO119" s="819"/>
      <c r="BP119" s="74" t="s">
        <v>80</v>
      </c>
      <c r="BQ119" s="801" t="str">
        <f t="shared" si="50"/>
        <v>外税8%</v>
      </c>
      <c r="BR119" s="801"/>
      <c r="BS119" s="802"/>
      <c r="BT119" s="1072"/>
      <c r="BU119" s="1073"/>
      <c r="BV119" s="1076"/>
      <c r="BW119" s="1078"/>
      <c r="CY119" s="62" t="s">
        <v>333</v>
      </c>
      <c r="DD119" s="62" t="s">
        <v>389</v>
      </c>
      <c r="DE119" s="33" t="s">
        <v>30</v>
      </c>
      <c r="DF119" s="62" t="s">
        <v>390</v>
      </c>
    </row>
    <row r="120" spans="1:110" ht="15" customHeight="1">
      <c r="A120" s="46">
        <f t="shared" si="38"/>
        <v>10</v>
      </c>
      <c r="B120" s="832" t="s">
        <v>110</v>
      </c>
      <c r="C120" s="832"/>
      <c r="D120" s="832"/>
      <c r="E120" s="832"/>
      <c r="F120" s="832" t="str" cm="1">
        <f t="array" ref="F120">TRIM(SUBSTITUTE(SUBSTITUTE(INDEX(CY:CY,MATCH("      item_no: "&amp;A120&amp;",",CY:CY,0)+9,1),"item_name: ",""),",",""))</f>
        <v>グリコ　ポップキャン</v>
      </c>
      <c r="G120" s="832"/>
      <c r="H120" s="832"/>
      <c r="I120" s="832"/>
      <c r="J120" s="832"/>
      <c r="K120" s="832"/>
      <c r="L120" s="833" t="str" cm="1">
        <f t="array" ref="L120">TRIM(SUBSTITUTE(SUBSTITUTE(INDEX(CY:CY,MATCH("      item_no: "&amp;A120&amp;",",CY:CY,0)+3,1),"item_scan_code: ",""),",",""))</f>
        <v>0000045183553830000304</v>
      </c>
      <c r="M120" s="833"/>
      <c r="N120" s="833"/>
      <c r="O120" s="833"/>
      <c r="P120" s="833"/>
      <c r="Q120" s="834" cm="1">
        <f t="array" ref="Q120">IF(AD120="true","",TRIM(SUBSTITUTE(SUBSTITUTE(INDEX(CY:CY,MATCH("      item_no: "&amp;A120&amp;",",CY:CY,0)+13,1),"item_price_fmt: ￥",""),",",""))+0)</f>
        <v>49</v>
      </c>
      <c r="R120" s="835"/>
      <c r="S120" s="836">
        <f t="shared" si="26"/>
        <v>-15</v>
      </c>
      <c r="T120" s="837"/>
      <c r="U120" s="838" cm="1">
        <f t="array" ref="U120">IF(AD120="true","",TRIM(SUBSTITUTE(SUBSTITUTE(INDEX(CY:CY,MATCH("      item_no: "&amp;A120&amp;",",CY:CY,0)+14,1),"item_price_discount_fmt: ￥",""),",",""))+0)</f>
        <v>34</v>
      </c>
      <c r="V120" s="839"/>
      <c r="W120" s="840">
        <f ca="1">INT(SUMIF($Y$10:$AA120,"外税8%",$U$10:$V120)*1.08)+INT(SUMIF($Y$10:$AA120,"外税10%",$U$10:$V120)*1.1)+SUMIF($Y$10:$AA120,"内税10%",$U$10:$V120)+SUMIF($Y$10:$AA120,"非課税",$U$10:$V120)</f>
        <v>51347</v>
      </c>
      <c r="X120" s="841"/>
      <c r="Y120" s="842" t="str" cm="1">
        <f t="array" ref="Y120">TRIM(SUBSTITUTE(SUBSTITUTE(INDEX(CY:CY,MATCH("      item_no: "&amp;A120&amp;",",CY:CY,0)+15,1),"item_tax_fmt: ",""),",",""))</f>
        <v>外税8%</v>
      </c>
      <c r="Z120" s="843"/>
      <c r="AA120" s="843"/>
      <c r="AB120" s="844" t="str" cm="1">
        <f t="array" ref="AB120">TRIM(SUBSTITUTE(SUBSTITUTE(INDEX(CY:CY,MATCH("      item_no: "&amp;A120&amp;",",CY:CY,0)+18,1),"discount_prohibition:",""),",",""))</f>
        <v>0</v>
      </c>
      <c r="AC120" s="844"/>
      <c r="AD120" s="825" t="str" cm="1">
        <f t="array" ref="AD120">TRIM(SUBSTITUTE(SUBSTITUTE(INDEX(CY:CY,MATCH("      item_no: "&amp;A120&amp;",",CY:CY,0)+1,1),"item_cancel_line: ",""),",",""))</f>
        <v>false</v>
      </c>
      <c r="AE120" s="825"/>
      <c r="AF120" s="1093"/>
      <c r="AG120" s="1094"/>
      <c r="AH120" s="826">
        <f t="shared" si="41"/>
        <v>-1.7000000000000002</v>
      </c>
      <c r="AI120" s="827"/>
      <c r="AJ120" s="838">
        <f t="shared" si="42"/>
        <v>34</v>
      </c>
      <c r="AK120" s="839"/>
      <c r="AL120" s="822">
        <f t="shared" si="29"/>
        <v>81</v>
      </c>
      <c r="AM120" s="823"/>
      <c r="AN120" s="830">
        <f t="shared" si="43"/>
        <v>-1</v>
      </c>
      <c r="AO120" s="831"/>
      <c r="AP120" s="830">
        <f t="shared" si="39"/>
        <v>0</v>
      </c>
      <c r="AQ120" s="831"/>
      <c r="AR120" s="820"/>
      <c r="AS120" s="821"/>
      <c r="AT120" s="822">
        <f t="shared" si="40"/>
        <v>-1</v>
      </c>
      <c r="AU120" s="823"/>
      <c r="AV120" s="817">
        <f t="shared" si="44"/>
        <v>33</v>
      </c>
      <c r="AW120" s="824"/>
      <c r="AX120" s="816">
        <f t="shared" ca="1" si="45"/>
        <v>2</v>
      </c>
      <c r="AY120" s="817"/>
      <c r="AZ120" s="816">
        <v>1</v>
      </c>
      <c r="BA120" s="817"/>
      <c r="BB120" s="816" t="str">
        <f t="shared" si="46"/>
        <v/>
      </c>
      <c r="BC120" s="817"/>
      <c r="BD120" s="816"/>
      <c r="BE120" s="817"/>
      <c r="BF120" s="816" t="str">
        <f t="shared" si="47"/>
        <v/>
      </c>
      <c r="BG120" s="817"/>
      <c r="BH120" s="816"/>
      <c r="BI120" s="817"/>
      <c r="BJ120" s="816" t="str">
        <f t="shared" si="48"/>
        <v/>
      </c>
      <c r="BK120" s="817"/>
      <c r="BL120" s="816"/>
      <c r="BM120" s="817"/>
      <c r="BN120" s="818">
        <f t="shared" si="49"/>
        <v>35</v>
      </c>
      <c r="BO120" s="819"/>
      <c r="BP120" s="74" t="s">
        <v>80</v>
      </c>
      <c r="BQ120" s="801" t="str">
        <f t="shared" si="50"/>
        <v>外税8%</v>
      </c>
      <c r="BR120" s="801"/>
      <c r="BS120" s="802"/>
      <c r="BT120" s="1072"/>
      <c r="BU120" s="1073"/>
      <c r="BV120" s="1076"/>
      <c r="BW120" s="1078"/>
      <c r="CY120" s="62" t="s">
        <v>336</v>
      </c>
      <c r="DD120" s="62" t="s">
        <v>391</v>
      </c>
      <c r="DE120" s="33" t="s">
        <v>30</v>
      </c>
      <c r="DF120" s="62" t="s">
        <v>392</v>
      </c>
    </row>
    <row r="121" spans="1:110" ht="15" customHeight="1">
      <c r="A121" s="46">
        <f t="shared" si="38"/>
        <v>9</v>
      </c>
      <c r="B121" s="832" t="s">
        <v>110</v>
      </c>
      <c r="C121" s="832"/>
      <c r="D121" s="832"/>
      <c r="E121" s="832"/>
      <c r="F121" s="832" t="str" cm="1">
        <f t="array" ref="F121">TRIM(SUBSTITUTE(SUBSTITUTE(INDEX(CY:CY,MATCH("      item_no: "&amp;A121&amp;",",CY:CY,0)+9,1),"item_name: ",""),",",""))</f>
        <v>グリコ　ポップキャン</v>
      </c>
      <c r="G121" s="832"/>
      <c r="H121" s="832"/>
      <c r="I121" s="832"/>
      <c r="J121" s="832"/>
      <c r="K121" s="832"/>
      <c r="L121" s="833" t="str" cm="1">
        <f t="array" ref="L121">TRIM(SUBSTITUTE(SUBSTITUTE(INDEX(CY:CY,MATCH("      item_no: "&amp;A121&amp;",",CY:CY,0)+3,1),"item_scan_code: ",""),",",""))</f>
        <v>0000045183553830000502</v>
      </c>
      <c r="M121" s="833"/>
      <c r="N121" s="833"/>
      <c r="O121" s="833"/>
      <c r="P121" s="833"/>
      <c r="Q121" s="834" cm="1">
        <f t="array" ref="Q121">IF(AD121="true","",TRIM(SUBSTITUTE(SUBSTITUTE(INDEX(CY:CY,MATCH("      item_no: "&amp;A121&amp;",",CY:CY,0)+13,1),"item_price_fmt: ￥",""),",",""))+0)</f>
        <v>49</v>
      </c>
      <c r="R121" s="835"/>
      <c r="S121" s="836">
        <f t="shared" si="26"/>
        <v>-25</v>
      </c>
      <c r="T121" s="837"/>
      <c r="U121" s="838" cm="1">
        <f t="array" ref="U121">IF(AD121="true","",TRIM(SUBSTITUTE(SUBSTITUTE(INDEX(CY:CY,MATCH("      item_no: "&amp;A121&amp;",",CY:CY,0)+14,1),"item_price_discount_fmt: ￥",""),",",""))+0)</f>
        <v>24</v>
      </c>
      <c r="V121" s="839"/>
      <c r="W121" s="840">
        <f ca="1">INT(SUMIF($Y$10:$AA121,"外税8%",$U$10:$V121)*1.08)+INT(SUMIF($Y$10:$AA121,"外税10%",$U$10:$V121)*1.1)+SUMIF($Y$10:$AA121,"内税10%",$U$10:$V121)+SUMIF($Y$10:$AA121,"非課税",$U$10:$V121)</f>
        <v>51373</v>
      </c>
      <c r="X121" s="841"/>
      <c r="Y121" s="842" t="str" cm="1">
        <f t="array" ref="Y121">TRIM(SUBSTITUTE(SUBSTITUTE(INDEX(CY:CY,MATCH("      item_no: "&amp;A121&amp;",",CY:CY,0)+15,1),"item_tax_fmt: ",""),",",""))</f>
        <v>外税8%</v>
      </c>
      <c r="Z121" s="843"/>
      <c r="AA121" s="843"/>
      <c r="AB121" s="844" t="str" cm="1">
        <f t="array" ref="AB121">TRIM(SUBSTITUTE(SUBSTITUTE(INDEX(CY:CY,MATCH("      item_no: "&amp;A121&amp;",",CY:CY,0)+18,1),"discount_prohibition:",""),",",""))</f>
        <v>0</v>
      </c>
      <c r="AC121" s="844"/>
      <c r="AD121" s="825" t="str" cm="1">
        <f t="array" ref="AD121">TRIM(SUBSTITUTE(SUBSTITUTE(INDEX(CY:CY,MATCH("      item_no: "&amp;A121&amp;",",CY:CY,0)+1,1),"item_cancel_line: ",""),",",""))</f>
        <v>false</v>
      </c>
      <c r="AE121" s="825"/>
      <c r="AF121" s="1093"/>
      <c r="AG121" s="1094"/>
      <c r="AH121" s="826">
        <f t="shared" si="41"/>
        <v>-1.2000000000000002</v>
      </c>
      <c r="AI121" s="827"/>
      <c r="AJ121" s="838">
        <f t="shared" si="42"/>
        <v>24</v>
      </c>
      <c r="AK121" s="839"/>
      <c r="AL121" s="822">
        <f t="shared" si="29"/>
        <v>82</v>
      </c>
      <c r="AM121" s="823"/>
      <c r="AN121" s="830">
        <f t="shared" si="43"/>
        <v>-1</v>
      </c>
      <c r="AO121" s="831"/>
      <c r="AP121" s="830">
        <f t="shared" si="39"/>
        <v>0</v>
      </c>
      <c r="AQ121" s="831"/>
      <c r="AR121" s="820"/>
      <c r="AS121" s="821"/>
      <c r="AT121" s="822">
        <f t="shared" si="40"/>
        <v>-1</v>
      </c>
      <c r="AU121" s="823"/>
      <c r="AV121" s="817">
        <f t="shared" si="44"/>
        <v>23</v>
      </c>
      <c r="AW121" s="824"/>
      <c r="AX121" s="816">
        <f t="shared" ca="1" si="45"/>
        <v>1</v>
      </c>
      <c r="AY121" s="817"/>
      <c r="AZ121" s="816">
        <v>1</v>
      </c>
      <c r="BA121" s="817"/>
      <c r="BB121" s="816" t="str">
        <f t="shared" si="46"/>
        <v/>
      </c>
      <c r="BC121" s="817"/>
      <c r="BD121" s="816"/>
      <c r="BE121" s="817"/>
      <c r="BF121" s="816" t="str">
        <f t="shared" si="47"/>
        <v/>
      </c>
      <c r="BG121" s="817"/>
      <c r="BH121" s="816"/>
      <c r="BI121" s="817"/>
      <c r="BJ121" s="816" t="str">
        <f t="shared" si="48"/>
        <v/>
      </c>
      <c r="BK121" s="817"/>
      <c r="BL121" s="816"/>
      <c r="BM121" s="817"/>
      <c r="BN121" s="818">
        <f t="shared" si="49"/>
        <v>24</v>
      </c>
      <c r="BO121" s="819"/>
      <c r="BP121" s="74" t="s">
        <v>80</v>
      </c>
      <c r="BQ121" s="801" t="str">
        <f t="shared" si="50"/>
        <v>外税8%</v>
      </c>
      <c r="BR121" s="801"/>
      <c r="BS121" s="802"/>
      <c r="BT121" s="1072"/>
      <c r="BU121" s="1073"/>
      <c r="BV121" s="1076"/>
      <c r="BW121" s="1078"/>
      <c r="CY121" s="62" t="s">
        <v>340</v>
      </c>
      <c r="DD121" s="62" t="s">
        <v>393</v>
      </c>
      <c r="DE121" s="33" t="s">
        <v>30</v>
      </c>
      <c r="DF121" s="62" t="s">
        <v>394</v>
      </c>
    </row>
    <row r="122" spans="1:110" ht="15" customHeight="1">
      <c r="A122" s="46">
        <f t="shared" si="38"/>
        <v>8</v>
      </c>
      <c r="B122" s="832" t="s">
        <v>171</v>
      </c>
      <c r="C122" s="832"/>
      <c r="D122" s="832"/>
      <c r="E122" s="832"/>
      <c r="F122" s="832" t="str" cm="1">
        <f t="array" ref="F122">TRIM(SUBSTITUTE(SUBSTITUTE(INDEX(CY:CY,MATCH("      item_no: "&amp;A122&amp;",",CY:CY,0)+9,1),"item_name: ",""),",",""))</f>
        <v>オールドココナッツ</v>
      </c>
      <c r="G122" s="832"/>
      <c r="H122" s="832"/>
      <c r="I122" s="832"/>
      <c r="J122" s="832"/>
      <c r="K122" s="832"/>
      <c r="L122" s="833" t="str" cm="1">
        <f t="array" ref="L122">TRIM(SUBSTITUTE(SUBSTITUTE(INDEX(CY:CY,MATCH("      item_no: "&amp;A122&amp;",",CY:CY,0)+3,1),"item_scan_code: ",""),",",""))</f>
        <v>8938535840032030000207</v>
      </c>
      <c r="M122" s="833"/>
      <c r="N122" s="833"/>
      <c r="O122" s="833"/>
      <c r="P122" s="833"/>
      <c r="Q122" s="834" cm="1">
        <f t="array" ref="Q122">IF(AD122="true","",TRIM(SUBSTITUTE(SUBSTITUTE(INDEX(CY:CY,MATCH("      item_no: "&amp;A122&amp;",",CY:CY,0)+13,1),"item_price_fmt: ￥",""),",",""))+0)</f>
        <v>499</v>
      </c>
      <c r="R122" s="835"/>
      <c r="S122" s="836">
        <f t="shared" si="26"/>
        <v>-100</v>
      </c>
      <c r="T122" s="837"/>
      <c r="U122" s="838" cm="1">
        <f t="array" ref="U122">IF(AD122="true","",TRIM(SUBSTITUTE(SUBSTITUTE(INDEX(CY:CY,MATCH("      item_no: "&amp;A122&amp;",",CY:CY,0)+14,1),"item_price_discount_fmt: ￥",""),",",""))+0)</f>
        <v>399</v>
      </c>
      <c r="V122" s="839"/>
      <c r="W122" s="840">
        <f ca="1">INT(SUMIF($Y$10:$AA122,"外税8%",$U$10:$V122)*1.08)+INT(SUMIF($Y$10:$AA122,"外税10%",$U$10:$V122)*1.1)+SUMIF($Y$10:$AA122,"内税10%",$U$10:$V122)+SUMIF($Y$10:$AA122,"非課税",$U$10:$V122)</f>
        <v>51804</v>
      </c>
      <c r="X122" s="841"/>
      <c r="Y122" s="842" t="str" cm="1">
        <f t="array" ref="Y122">TRIM(SUBSTITUTE(SUBSTITUTE(INDEX(CY:CY,MATCH("      item_no: "&amp;A122&amp;",",CY:CY,0)+15,1),"item_tax_fmt: ",""),",",""))</f>
        <v>外税8%</v>
      </c>
      <c r="Z122" s="843"/>
      <c r="AA122" s="843"/>
      <c r="AB122" s="844" t="str" cm="1">
        <f t="array" ref="AB122">TRIM(SUBSTITUTE(SUBSTITUTE(INDEX(CY:CY,MATCH("      item_no: "&amp;A122&amp;",",CY:CY,0)+18,1),"discount_prohibition:",""),",",""))</f>
        <v>0</v>
      </c>
      <c r="AC122" s="844"/>
      <c r="AD122" s="825" t="str" cm="1">
        <f t="array" ref="AD122">TRIM(SUBSTITUTE(SUBSTITUTE(INDEX(CY:CY,MATCH("      item_no: "&amp;A122&amp;",",CY:CY,0)+1,1),"item_cancel_line: ",""),",",""))</f>
        <v>false</v>
      </c>
      <c r="AE122" s="825"/>
      <c r="AF122" s="1093"/>
      <c r="AG122" s="1094"/>
      <c r="AH122" s="826">
        <f t="shared" si="41"/>
        <v>-19.950000000000003</v>
      </c>
      <c r="AI122" s="827"/>
      <c r="AJ122" s="828">
        <f t="shared" si="42"/>
        <v>399</v>
      </c>
      <c r="AK122" s="829"/>
      <c r="AL122" s="822">
        <f t="shared" si="29"/>
        <v>36</v>
      </c>
      <c r="AM122" s="823"/>
      <c r="AN122" s="830">
        <f t="shared" si="43"/>
        <v>-19</v>
      </c>
      <c r="AO122" s="831"/>
      <c r="AP122" s="830">
        <f t="shared" si="39"/>
        <v>-1</v>
      </c>
      <c r="AQ122" s="831"/>
      <c r="AR122" s="820"/>
      <c r="AS122" s="821"/>
      <c r="AT122" s="822">
        <f t="shared" si="40"/>
        <v>-20</v>
      </c>
      <c r="AU122" s="823"/>
      <c r="AV122" s="817">
        <f t="shared" si="44"/>
        <v>379</v>
      </c>
      <c r="AW122" s="824"/>
      <c r="AX122" s="816">
        <f t="shared" ca="1" si="45"/>
        <v>30</v>
      </c>
      <c r="AY122" s="817"/>
      <c r="AZ122" s="816">
        <v>1</v>
      </c>
      <c r="BA122" s="817"/>
      <c r="BB122" s="816" t="str">
        <f t="shared" si="46"/>
        <v/>
      </c>
      <c r="BC122" s="817"/>
      <c r="BD122" s="816"/>
      <c r="BE122" s="817"/>
      <c r="BF122" s="816" t="str">
        <f t="shared" si="47"/>
        <v/>
      </c>
      <c r="BG122" s="817"/>
      <c r="BH122" s="816"/>
      <c r="BI122" s="817"/>
      <c r="BJ122" s="816" t="str">
        <f t="shared" si="48"/>
        <v/>
      </c>
      <c r="BK122" s="817"/>
      <c r="BL122" s="816"/>
      <c r="BM122" s="817"/>
      <c r="BN122" s="845">
        <f t="shared" si="49"/>
        <v>409</v>
      </c>
      <c r="BO122" s="846"/>
      <c r="BP122" s="74" t="s">
        <v>80</v>
      </c>
      <c r="BQ122" s="801" t="str">
        <f t="shared" si="50"/>
        <v>外税8%</v>
      </c>
      <c r="BR122" s="801"/>
      <c r="BS122" s="802"/>
      <c r="BT122" s="1072"/>
      <c r="BU122" s="1073"/>
      <c r="BV122" s="1076"/>
      <c r="BW122" s="1078"/>
      <c r="CY122" s="62" t="s">
        <v>272</v>
      </c>
      <c r="DD122" s="62" t="s">
        <v>395</v>
      </c>
      <c r="DE122" s="33" t="s">
        <v>30</v>
      </c>
      <c r="DF122" s="62" t="s">
        <v>396</v>
      </c>
    </row>
    <row r="123" spans="1:110" ht="15" customHeight="1">
      <c r="A123" s="46">
        <f t="shared" si="38"/>
        <v>7</v>
      </c>
      <c r="B123" s="832" t="s">
        <v>171</v>
      </c>
      <c r="C123" s="832"/>
      <c r="D123" s="832"/>
      <c r="E123" s="832"/>
      <c r="F123" s="832" t="str" cm="1">
        <f t="array" ref="F123">TRIM(SUBSTITUTE(SUBSTITUTE(INDEX(CY:CY,MATCH("      item_no: "&amp;A123&amp;",",CY:CY,0)+9,1),"item_name: ",""),",",""))</f>
        <v>オールドココナッツ</v>
      </c>
      <c r="G123" s="832"/>
      <c r="H123" s="832"/>
      <c r="I123" s="832"/>
      <c r="J123" s="832"/>
      <c r="K123" s="832"/>
      <c r="L123" s="833" t="str" cm="1">
        <f t="array" ref="L123">TRIM(SUBSTITUTE(SUBSTITUTE(INDEX(CY:CY,MATCH("      item_no: "&amp;A123&amp;",",CY:CY,0)+3,1),"item_scan_code: ",""),",",""))</f>
        <v>8938535840032030000306</v>
      </c>
      <c r="M123" s="833"/>
      <c r="N123" s="833"/>
      <c r="O123" s="833"/>
      <c r="P123" s="833"/>
      <c r="Q123" s="834" cm="1">
        <f t="array" ref="Q123">IF(AD123="true","",TRIM(SUBSTITUTE(SUBSTITUTE(INDEX(CY:CY,MATCH("      item_no: "&amp;A123&amp;",",CY:CY,0)+13,1),"item_price_fmt: ￥",""),",",""))+0)</f>
        <v>499</v>
      </c>
      <c r="R123" s="835"/>
      <c r="S123" s="836">
        <f t="shared" si="26"/>
        <v>-150</v>
      </c>
      <c r="T123" s="837"/>
      <c r="U123" s="838" cm="1">
        <f t="array" ref="U123">IF(AD123="true","",TRIM(SUBSTITUTE(SUBSTITUTE(INDEX(CY:CY,MATCH("      item_no: "&amp;A123&amp;",",CY:CY,0)+14,1),"item_price_discount_fmt: ￥",""),",",""))+0)</f>
        <v>349</v>
      </c>
      <c r="V123" s="839"/>
      <c r="W123" s="840">
        <f ca="1">INT(SUMIF($Y$10:$AA123,"外税8%",$U$10:$V123)*1.08)+INT(SUMIF($Y$10:$AA123,"外税10%",$U$10:$V123)*1.1)+SUMIF($Y$10:$AA123,"内税10%",$U$10:$V123)+SUMIF($Y$10:$AA123,"非課税",$U$10:$V123)</f>
        <v>52180</v>
      </c>
      <c r="X123" s="841"/>
      <c r="Y123" s="842" t="str" cm="1">
        <f t="array" ref="Y123">TRIM(SUBSTITUTE(SUBSTITUTE(INDEX(CY:CY,MATCH("      item_no: "&amp;A123&amp;",",CY:CY,0)+15,1),"item_tax_fmt: ",""),",",""))</f>
        <v>外税8%</v>
      </c>
      <c r="Z123" s="843"/>
      <c r="AA123" s="843"/>
      <c r="AB123" s="844" t="str" cm="1">
        <f t="array" ref="AB123">TRIM(SUBSTITUTE(SUBSTITUTE(INDEX(CY:CY,MATCH("      item_no: "&amp;A123&amp;",",CY:CY,0)+18,1),"discount_prohibition:",""),",",""))</f>
        <v>0</v>
      </c>
      <c r="AC123" s="844"/>
      <c r="AD123" s="825" t="str" cm="1">
        <f t="array" ref="AD123">TRIM(SUBSTITUTE(SUBSTITUTE(INDEX(CY:CY,MATCH("      item_no: "&amp;A123&amp;",",CY:CY,0)+1,1),"item_cancel_line: ",""),",",""))</f>
        <v>false</v>
      </c>
      <c r="AE123" s="825"/>
      <c r="AF123" s="1093"/>
      <c r="AG123" s="1094"/>
      <c r="AH123" s="826">
        <f t="shared" si="41"/>
        <v>-17.45</v>
      </c>
      <c r="AI123" s="827"/>
      <c r="AJ123" s="828">
        <f t="shared" si="42"/>
        <v>349</v>
      </c>
      <c r="AK123" s="829"/>
      <c r="AL123" s="822">
        <f t="shared" si="29"/>
        <v>43</v>
      </c>
      <c r="AM123" s="823"/>
      <c r="AN123" s="830">
        <f t="shared" si="43"/>
        <v>-17</v>
      </c>
      <c r="AO123" s="831"/>
      <c r="AP123" s="830">
        <f t="shared" si="39"/>
        <v>-1</v>
      </c>
      <c r="AQ123" s="831"/>
      <c r="AR123" s="820"/>
      <c r="AS123" s="821"/>
      <c r="AT123" s="822">
        <f t="shared" si="40"/>
        <v>-18</v>
      </c>
      <c r="AU123" s="823"/>
      <c r="AV123" s="817">
        <f t="shared" si="44"/>
        <v>331</v>
      </c>
      <c r="AW123" s="824"/>
      <c r="AX123" s="816">
        <f t="shared" ca="1" si="45"/>
        <v>26</v>
      </c>
      <c r="AY123" s="817"/>
      <c r="AZ123" s="816">
        <v>1</v>
      </c>
      <c r="BA123" s="817"/>
      <c r="BB123" s="816" t="str">
        <f t="shared" si="46"/>
        <v/>
      </c>
      <c r="BC123" s="817"/>
      <c r="BD123" s="816"/>
      <c r="BE123" s="817"/>
      <c r="BF123" s="816" t="str">
        <f t="shared" si="47"/>
        <v/>
      </c>
      <c r="BG123" s="817"/>
      <c r="BH123" s="816"/>
      <c r="BI123" s="817"/>
      <c r="BJ123" s="816" t="str">
        <f t="shared" si="48"/>
        <v/>
      </c>
      <c r="BK123" s="817"/>
      <c r="BL123" s="816"/>
      <c r="BM123" s="817"/>
      <c r="BN123" s="845">
        <f t="shared" si="49"/>
        <v>357</v>
      </c>
      <c r="BO123" s="846"/>
      <c r="BP123" s="74" t="s">
        <v>80</v>
      </c>
      <c r="BQ123" s="801" t="str">
        <f t="shared" si="50"/>
        <v>外税8%</v>
      </c>
      <c r="BR123" s="801"/>
      <c r="BS123" s="802"/>
      <c r="BT123" s="1072"/>
      <c r="BU123" s="1073"/>
      <c r="BV123" s="1076"/>
      <c r="BW123" s="1078"/>
      <c r="CY123" s="62" t="s">
        <v>397</v>
      </c>
      <c r="DD123" s="62" t="s">
        <v>398</v>
      </c>
      <c r="DE123" s="33" t="s">
        <v>30</v>
      </c>
      <c r="DF123" s="62" t="s">
        <v>399</v>
      </c>
    </row>
    <row r="124" spans="1:110" ht="15" customHeight="1">
      <c r="A124" s="46">
        <f t="shared" si="38"/>
        <v>6</v>
      </c>
      <c r="B124" s="832" t="s">
        <v>171</v>
      </c>
      <c r="C124" s="832"/>
      <c r="D124" s="832"/>
      <c r="E124" s="832"/>
      <c r="F124" s="832" t="str" cm="1">
        <f t="array" ref="F124">TRIM(SUBSTITUTE(SUBSTITUTE(INDEX(CY:CY,MATCH("      item_no: "&amp;A124&amp;",",CY:CY,0)+9,1),"item_name: ",""),",",""))</f>
        <v>オールドココナッツ</v>
      </c>
      <c r="G124" s="832"/>
      <c r="H124" s="832"/>
      <c r="I124" s="832"/>
      <c r="J124" s="832"/>
      <c r="K124" s="832"/>
      <c r="L124" s="833" t="str" cm="1">
        <f t="array" ref="L124">TRIM(SUBSTITUTE(SUBSTITUTE(INDEX(CY:CY,MATCH("      item_no: "&amp;A124&amp;",",CY:CY,0)+3,1),"item_scan_code: ",""),",",""))</f>
        <v>8938535840032030000504</v>
      </c>
      <c r="M124" s="833"/>
      <c r="N124" s="833"/>
      <c r="O124" s="833"/>
      <c r="P124" s="833"/>
      <c r="Q124" s="834" cm="1">
        <f t="array" ref="Q124">IF(AD124="true","",TRIM(SUBSTITUTE(SUBSTITUTE(INDEX(CY:CY,MATCH("      item_no: "&amp;A124&amp;",",CY:CY,0)+13,1),"item_price_fmt: ￥",""),",",""))+0)</f>
        <v>499</v>
      </c>
      <c r="R124" s="835"/>
      <c r="S124" s="836">
        <f t="shared" si="26"/>
        <v>-250</v>
      </c>
      <c r="T124" s="837"/>
      <c r="U124" s="838" cm="1">
        <f t="array" ref="U124">IF(AD124="true","",TRIM(SUBSTITUTE(SUBSTITUTE(INDEX(CY:CY,MATCH("      item_no: "&amp;A124&amp;",",CY:CY,0)+14,1),"item_price_discount_fmt: ￥",""),",",""))+0)</f>
        <v>249</v>
      </c>
      <c r="V124" s="839"/>
      <c r="W124" s="840">
        <f ca="1">INT(SUMIF($Y$10:$AA124,"外税8%",$U$10:$V124)*1.08)+INT(SUMIF($Y$10:$AA124,"外税10%",$U$10:$V124)*1.1)+SUMIF($Y$10:$AA124,"内税10%",$U$10:$V124)+SUMIF($Y$10:$AA124,"非課税",$U$10:$V124)</f>
        <v>52449</v>
      </c>
      <c r="X124" s="841"/>
      <c r="Y124" s="842" t="str" cm="1">
        <f t="array" ref="Y124">TRIM(SUBSTITUTE(SUBSTITUTE(INDEX(CY:CY,MATCH("      item_no: "&amp;A124&amp;",",CY:CY,0)+15,1),"item_tax_fmt: ",""),",",""))</f>
        <v>外税8%</v>
      </c>
      <c r="Z124" s="843"/>
      <c r="AA124" s="843"/>
      <c r="AB124" s="844" t="str" cm="1">
        <f t="array" ref="AB124">TRIM(SUBSTITUTE(SUBSTITUTE(INDEX(CY:CY,MATCH("      item_no: "&amp;A124&amp;",",CY:CY,0)+18,1),"discount_prohibition:",""),",",""))</f>
        <v>0</v>
      </c>
      <c r="AC124" s="844"/>
      <c r="AD124" s="825" t="str" cm="1">
        <f t="array" ref="AD124">TRIM(SUBSTITUTE(SUBSTITUTE(INDEX(CY:CY,MATCH("      item_no: "&amp;A124&amp;",",CY:CY,0)+1,1),"item_cancel_line: ",""),",",""))</f>
        <v>false</v>
      </c>
      <c r="AE124" s="825"/>
      <c r="AF124" s="1093"/>
      <c r="AG124" s="1094"/>
      <c r="AH124" s="826">
        <f t="shared" si="41"/>
        <v>-12.450000000000001</v>
      </c>
      <c r="AI124" s="827"/>
      <c r="AJ124" s="828">
        <f t="shared" si="42"/>
        <v>249</v>
      </c>
      <c r="AK124" s="829"/>
      <c r="AL124" s="822">
        <f t="shared" si="29"/>
        <v>53</v>
      </c>
      <c r="AM124" s="823"/>
      <c r="AN124" s="830">
        <f t="shared" si="43"/>
        <v>-12</v>
      </c>
      <c r="AO124" s="831"/>
      <c r="AP124" s="830">
        <f t="shared" si="39"/>
        <v>-1</v>
      </c>
      <c r="AQ124" s="831"/>
      <c r="AR124" s="820"/>
      <c r="AS124" s="821"/>
      <c r="AT124" s="822">
        <f t="shared" si="40"/>
        <v>-13</v>
      </c>
      <c r="AU124" s="823"/>
      <c r="AV124" s="817">
        <f t="shared" si="44"/>
        <v>236</v>
      </c>
      <c r="AW124" s="824"/>
      <c r="AX124" s="816">
        <f t="shared" ca="1" si="45"/>
        <v>18</v>
      </c>
      <c r="AY124" s="817"/>
      <c r="AZ124" s="816">
        <v>1</v>
      </c>
      <c r="BA124" s="817"/>
      <c r="BB124" s="816" t="str">
        <f t="shared" si="46"/>
        <v/>
      </c>
      <c r="BC124" s="817"/>
      <c r="BD124" s="816"/>
      <c r="BE124" s="817"/>
      <c r="BF124" s="816" t="str">
        <f t="shared" si="47"/>
        <v/>
      </c>
      <c r="BG124" s="817"/>
      <c r="BH124" s="816"/>
      <c r="BI124" s="817"/>
      <c r="BJ124" s="816" t="str">
        <f t="shared" si="48"/>
        <v/>
      </c>
      <c r="BK124" s="817"/>
      <c r="BL124" s="816"/>
      <c r="BM124" s="817"/>
      <c r="BN124" s="845">
        <f t="shared" si="49"/>
        <v>254</v>
      </c>
      <c r="BO124" s="846"/>
      <c r="BP124" s="74" t="s">
        <v>80</v>
      </c>
      <c r="BQ124" s="801" t="str">
        <f t="shared" si="50"/>
        <v>外税8%</v>
      </c>
      <c r="BR124" s="801"/>
      <c r="BS124" s="802"/>
      <c r="BT124" s="1072"/>
      <c r="BU124" s="1073"/>
      <c r="BV124" s="1076"/>
      <c r="BW124" s="1078"/>
      <c r="CY124" s="62" t="s">
        <v>279</v>
      </c>
      <c r="DD124" s="62" t="s">
        <v>400</v>
      </c>
      <c r="DE124" s="33" t="s">
        <v>30</v>
      </c>
      <c r="DF124" s="62" t="s">
        <v>401</v>
      </c>
    </row>
    <row r="125" spans="1:110" ht="15" customHeight="1">
      <c r="A125" s="46">
        <f t="shared" si="38"/>
        <v>5</v>
      </c>
      <c r="B125" s="855" t="s">
        <v>181</v>
      </c>
      <c r="C125" s="855"/>
      <c r="D125" s="855"/>
      <c r="E125" s="855"/>
      <c r="F125" s="855" t="str" cm="1">
        <f t="array" ref="F125">TRIM(SUBSTITUTE(SUBSTITUTE(INDEX(CY:CY,MATCH("      item_no: "&amp;A125&amp;",",CY:CY,0)+9,1),"item_name: ",""),",",""))</f>
        <v>本まぐろ赤身スライス刺養解番７６１</v>
      </c>
      <c r="G125" s="855"/>
      <c r="H125" s="855"/>
      <c r="I125" s="855"/>
      <c r="J125" s="855"/>
      <c r="K125" s="855"/>
      <c r="L125" s="856" t="str" cm="1">
        <f t="array" ref="L125">TRIM(SUBSTITUTE(SUBSTITUTE(INDEX(CY:CY,MATCH("      item_no: "&amp;A125&amp;",",CY:CY,0)+3,1),"item_scan_code: ",""),",",""))</f>
        <v>0269406704756030000205</v>
      </c>
      <c r="M125" s="856"/>
      <c r="N125" s="856"/>
      <c r="O125" s="856"/>
      <c r="P125" s="856"/>
      <c r="Q125" s="211" t="s">
        <v>1381</v>
      </c>
      <c r="R125" s="212"/>
      <c r="S125" s="212"/>
      <c r="T125" s="212"/>
      <c r="U125" s="212"/>
      <c r="V125" s="213"/>
      <c r="W125" s="840">
        <f ca="1">INT(SUMIF($Y$10:$AA125,"外税8%",$U$10:$V125)*1.08)+INT(SUMIF($Y$10:$AA125,"外税10%",$U$10:$V125)*1.1)+SUMIF($Y$10:$AA125,"内税10%",$U$10:$V125)+SUMIF($Y$10:$AA125,"非課税",$U$10:$V125)</f>
        <v>52449</v>
      </c>
      <c r="X125" s="841"/>
      <c r="Y125" s="857" t="str" cm="1">
        <f t="array" ref="Y125">TRIM(SUBSTITUTE(SUBSTITUTE(INDEX(CY:CY,MATCH("      item_no: "&amp;A125&amp;",",CY:CY,0)+15,1),"item_tax_fmt: ",""),",",""))</f>
        <v>外税8%</v>
      </c>
      <c r="Z125" s="858"/>
      <c r="AA125" s="858"/>
      <c r="AB125" s="859" t="str" cm="1">
        <f t="array" ref="AB125">TRIM(SUBSTITUTE(SUBSTITUTE(INDEX(CY:CY,MATCH("      item_no: "&amp;A125&amp;",",CY:CY,0)+18,1),"discount_prohibition:",""),",",""))</f>
        <v>0</v>
      </c>
      <c r="AC125" s="859"/>
      <c r="AD125" s="850" t="str" cm="1">
        <f t="array" ref="AD125">TRIM(SUBSTITUTE(SUBSTITUTE(INDEX(CY:CY,MATCH("      item_no: "&amp;A125&amp;",",CY:CY,0)+1,1),"item_cancel_line: ",""),",",""))</f>
        <v>true</v>
      </c>
      <c r="AE125" s="850"/>
      <c r="AF125" s="1093"/>
      <c r="AG125" s="1094"/>
      <c r="AH125" s="851" t="str">
        <f t="shared" si="41"/>
        <v/>
      </c>
      <c r="AI125" s="852"/>
      <c r="AJ125" s="853" t="str">
        <f t="shared" si="42"/>
        <v/>
      </c>
      <c r="AK125" s="854"/>
      <c r="AL125" s="820" t="str">
        <f t="shared" si="29"/>
        <v/>
      </c>
      <c r="AM125" s="821"/>
      <c r="AN125" s="830" t="str">
        <f t="shared" si="43"/>
        <v/>
      </c>
      <c r="AO125" s="831"/>
      <c r="AP125" s="830">
        <f t="shared" si="39"/>
        <v>0</v>
      </c>
      <c r="AQ125" s="831"/>
      <c r="AR125" s="820"/>
      <c r="AS125" s="821"/>
      <c r="AT125" s="820">
        <f t="shared" si="40"/>
        <v>0</v>
      </c>
      <c r="AU125" s="821"/>
      <c r="AV125" s="831" t="str">
        <f t="shared" si="44"/>
        <v/>
      </c>
      <c r="AW125" s="849"/>
      <c r="AX125" s="830" t="str">
        <f t="shared" si="45"/>
        <v/>
      </c>
      <c r="AY125" s="831"/>
      <c r="AZ125" s="830"/>
      <c r="BA125" s="831"/>
      <c r="BB125" s="830" t="str">
        <f t="shared" si="46"/>
        <v/>
      </c>
      <c r="BC125" s="831"/>
      <c r="BD125" s="830"/>
      <c r="BE125" s="831"/>
      <c r="BF125" s="830" t="str">
        <f t="shared" si="47"/>
        <v/>
      </c>
      <c r="BG125" s="831"/>
      <c r="BH125" s="830"/>
      <c r="BI125" s="831"/>
      <c r="BJ125" s="830" t="str">
        <f t="shared" si="48"/>
        <v/>
      </c>
      <c r="BK125" s="831"/>
      <c r="BL125" s="830"/>
      <c r="BM125" s="831"/>
      <c r="BN125" s="847" t="str">
        <f t="shared" si="49"/>
        <v/>
      </c>
      <c r="BO125" s="848"/>
      <c r="BP125" s="74" t="s">
        <v>80</v>
      </c>
      <c r="BQ125" s="801" t="str">
        <f t="shared" si="50"/>
        <v>外税8%</v>
      </c>
      <c r="BR125" s="801"/>
      <c r="BS125" s="802"/>
      <c r="BT125" s="1072"/>
      <c r="BU125" s="1073"/>
      <c r="BV125" s="1076"/>
      <c r="BW125" s="1078"/>
      <c r="CY125" s="62" t="s">
        <v>282</v>
      </c>
      <c r="DE125" s="33" t="s">
        <v>30</v>
      </c>
    </row>
    <row r="126" spans="1:110" ht="15" customHeight="1">
      <c r="A126" s="46">
        <f t="shared" si="38"/>
        <v>4</v>
      </c>
      <c r="B126" s="832" t="s">
        <v>126</v>
      </c>
      <c r="C126" s="832"/>
      <c r="D126" s="832"/>
      <c r="E126" s="832"/>
      <c r="F126" s="832" t="str" cm="1">
        <f t="array" ref="F126">TRIM(SUBSTITUTE(SUBSTITUTE(INDEX(CY:CY,MATCH("      item_no: "&amp;A126&amp;",",CY:CY,0)+9,1),"item_name: ",""),",",""))</f>
        <v>日清　カップヌードル　カレー</v>
      </c>
      <c r="G126" s="832"/>
      <c r="H126" s="832"/>
      <c r="I126" s="832"/>
      <c r="J126" s="832"/>
      <c r="K126" s="832"/>
      <c r="L126" s="833" t="str" cm="1">
        <f t="array" ref="L126">TRIM(SUBSTITUTE(SUBSTITUTE(INDEX(CY:CY,MATCH("      item_no: "&amp;A126&amp;",",CY:CY,0)+3,1),"item_scan_code: ",""),",",""))</f>
        <v>49698145</v>
      </c>
      <c r="M126" s="833"/>
      <c r="N126" s="833"/>
      <c r="O126" s="833"/>
      <c r="P126" s="833"/>
      <c r="Q126" s="834" cm="1">
        <f t="array" ref="Q126">IF(AD126="true","",TRIM(SUBSTITUTE(SUBSTITUTE(INDEX(CY:CY,MATCH("      item_no: "&amp;A126&amp;",",CY:CY,0)+13,1),"item_price_fmt: ￥",""),",",""))+0)</f>
        <v>189</v>
      </c>
      <c r="R126" s="835"/>
      <c r="S126" s="836">
        <f t="shared" ref="S126:S129" si="51">IF(Q126="","",U126-Q126)</f>
        <v>0</v>
      </c>
      <c r="T126" s="837"/>
      <c r="U126" s="838" cm="1">
        <f t="array" ref="U126">IF(AD126="true","",TRIM(SUBSTITUTE(SUBSTITUTE(INDEX(CY:CY,MATCH("      item_no: "&amp;A126&amp;",",CY:CY,0)+14,1),"item_price_discount_fmt: ￥",""),",",""))+0)</f>
        <v>189</v>
      </c>
      <c r="V126" s="839"/>
      <c r="W126" s="840">
        <f ca="1">INT(SUMIF($Y$10:$AA126,"外税8%",$U$10:$V126)*1.08)+INT(SUMIF($Y$10:$AA126,"外税10%",$U$10:$V126)*1.1)+SUMIF($Y$10:$AA126,"内税10%",$U$10:$V126)+SUMIF($Y$10:$AA126,"非課税",$U$10:$V126)</f>
        <v>52653</v>
      </c>
      <c r="X126" s="841"/>
      <c r="Y126" s="842" t="str" cm="1">
        <f t="array" ref="Y126">TRIM(SUBSTITUTE(SUBSTITUTE(INDEX(CY:CY,MATCH("      item_no: "&amp;A126&amp;",",CY:CY,0)+15,1),"item_tax_fmt: ",""),",",""))</f>
        <v>外税8%</v>
      </c>
      <c r="Z126" s="843"/>
      <c r="AA126" s="843"/>
      <c r="AB126" s="844" t="str" cm="1">
        <f t="array" ref="AB126">TRIM(SUBSTITUTE(SUBSTITUTE(INDEX(CY:CY,MATCH("      item_no: "&amp;A126&amp;",",CY:CY,0)+18,1),"discount_prohibition:",""),",",""))</f>
        <v>0</v>
      </c>
      <c r="AC126" s="844"/>
      <c r="AD126" s="825" t="str" cm="1">
        <f t="array" ref="AD126">TRIM(SUBSTITUTE(SUBSTITUTE(INDEX(CY:CY,MATCH("      item_no: "&amp;A126&amp;",",CY:CY,0)+1,1),"item_cancel_line: ",""),",",""))</f>
        <v>false</v>
      </c>
      <c r="AE126" s="825"/>
      <c r="AF126" s="1093"/>
      <c r="AG126" s="1094"/>
      <c r="AH126" s="826">
        <f t="shared" si="41"/>
        <v>-9.4500000000000011</v>
      </c>
      <c r="AI126" s="827"/>
      <c r="AJ126" s="828">
        <f t="shared" si="42"/>
        <v>189</v>
      </c>
      <c r="AK126" s="829"/>
      <c r="AL126" s="822">
        <f t="shared" si="29"/>
        <v>63</v>
      </c>
      <c r="AM126" s="823"/>
      <c r="AN126" s="830">
        <f t="shared" si="43"/>
        <v>-9</v>
      </c>
      <c r="AO126" s="831"/>
      <c r="AP126" s="830">
        <f t="shared" si="39"/>
        <v>0</v>
      </c>
      <c r="AQ126" s="831"/>
      <c r="AR126" s="820"/>
      <c r="AS126" s="821"/>
      <c r="AT126" s="822">
        <f t="shared" si="40"/>
        <v>-9</v>
      </c>
      <c r="AU126" s="823"/>
      <c r="AV126" s="817">
        <f t="shared" si="44"/>
        <v>180</v>
      </c>
      <c r="AW126" s="824"/>
      <c r="AX126" s="816">
        <f t="shared" ca="1" si="45"/>
        <v>14</v>
      </c>
      <c r="AY126" s="817"/>
      <c r="AZ126" s="816">
        <v>1</v>
      </c>
      <c r="BA126" s="817"/>
      <c r="BB126" s="816" t="str">
        <f t="shared" si="46"/>
        <v/>
      </c>
      <c r="BC126" s="817"/>
      <c r="BD126" s="816"/>
      <c r="BE126" s="817"/>
      <c r="BF126" s="816" t="str">
        <f t="shared" si="47"/>
        <v/>
      </c>
      <c r="BG126" s="817"/>
      <c r="BH126" s="816"/>
      <c r="BI126" s="817"/>
      <c r="BJ126" s="816" t="str">
        <f t="shared" si="48"/>
        <v/>
      </c>
      <c r="BK126" s="817"/>
      <c r="BL126" s="816"/>
      <c r="BM126" s="817"/>
      <c r="BN126" s="845">
        <f t="shared" si="49"/>
        <v>194</v>
      </c>
      <c r="BO126" s="846"/>
      <c r="BP126" s="74" t="s">
        <v>80</v>
      </c>
      <c r="BQ126" s="801" t="str">
        <f t="shared" si="50"/>
        <v>外税8%</v>
      </c>
      <c r="BR126" s="801"/>
      <c r="BS126" s="802"/>
      <c r="BT126" s="1072"/>
      <c r="BU126" s="1073"/>
      <c r="BV126" s="1076"/>
      <c r="BW126" s="1078"/>
      <c r="CY126" s="62" t="s">
        <v>402</v>
      </c>
      <c r="DD126" s="62" t="s">
        <v>403</v>
      </c>
      <c r="DE126" s="33" t="s">
        <v>30</v>
      </c>
      <c r="DF126" s="62" t="s">
        <v>404</v>
      </c>
    </row>
    <row r="127" spans="1:110" ht="15" customHeight="1">
      <c r="A127" s="46">
        <f t="shared" si="38"/>
        <v>3</v>
      </c>
      <c r="B127" s="832" t="s">
        <v>126</v>
      </c>
      <c r="C127" s="832"/>
      <c r="D127" s="832"/>
      <c r="E127" s="832"/>
      <c r="F127" s="832" t="str" cm="1">
        <f t="array" ref="F127">TRIM(SUBSTITUTE(SUBSTITUTE(INDEX(CY:CY,MATCH("      item_no: "&amp;A127&amp;",",CY:CY,0)+9,1),"item_name: ",""),",",""))</f>
        <v>日清　カップヌードル</v>
      </c>
      <c r="G127" s="832"/>
      <c r="H127" s="832"/>
      <c r="I127" s="832"/>
      <c r="J127" s="832"/>
      <c r="K127" s="832"/>
      <c r="L127" s="833" t="str" cm="1">
        <f t="array" ref="L127">TRIM(SUBSTITUTE(SUBSTITUTE(INDEX(CY:CY,MATCH("      item_no: "&amp;A127&amp;",",CY:CY,0)+3,1),"item_scan_code: ",""),",",""))</f>
        <v>49698626</v>
      </c>
      <c r="M127" s="833"/>
      <c r="N127" s="833"/>
      <c r="O127" s="833"/>
      <c r="P127" s="833"/>
      <c r="Q127" s="834" cm="1">
        <f t="array" ref="Q127">IF(AD127="true","",TRIM(SUBSTITUTE(SUBSTITUTE(INDEX(CY:CY,MATCH("      item_no: "&amp;A127&amp;",",CY:CY,0)+13,1),"item_price_fmt: ￥",""),",",""))+0)</f>
        <v>189</v>
      </c>
      <c r="R127" s="835"/>
      <c r="S127" s="836">
        <f t="shared" si="51"/>
        <v>0</v>
      </c>
      <c r="T127" s="837"/>
      <c r="U127" s="838" cm="1">
        <f t="array" ref="U127">IF(AD127="true","",TRIM(SUBSTITUTE(SUBSTITUTE(INDEX(CY:CY,MATCH("      item_no: "&amp;A127&amp;",",CY:CY,0)+14,1),"item_price_discount_fmt: ￥",""),",",""))+0)</f>
        <v>189</v>
      </c>
      <c r="V127" s="839"/>
      <c r="W127" s="840">
        <f ca="1">INT(SUMIF($Y$10:$AA127,"外税8%",$U$10:$V127)*1.08)+INT(SUMIF($Y$10:$AA127,"外税10%",$U$10:$V127)*1.1)+SUMIF($Y$10:$AA127,"内税10%",$U$10:$V127)+SUMIF($Y$10:$AA127,"非課税",$U$10:$V127)</f>
        <v>52858</v>
      </c>
      <c r="X127" s="841"/>
      <c r="Y127" s="842" t="str" cm="1">
        <f t="array" ref="Y127">TRIM(SUBSTITUTE(SUBSTITUTE(INDEX(CY:CY,MATCH("      item_no: "&amp;A127&amp;",",CY:CY,0)+15,1),"item_tax_fmt: ",""),",",""))</f>
        <v>外税8%</v>
      </c>
      <c r="Z127" s="843"/>
      <c r="AA127" s="843"/>
      <c r="AB127" s="844" t="str" cm="1">
        <f t="array" ref="AB127">TRIM(SUBSTITUTE(SUBSTITUTE(INDEX(CY:CY,MATCH("      item_no: "&amp;A127&amp;",",CY:CY,0)+18,1),"discount_prohibition:",""),",",""))</f>
        <v>0</v>
      </c>
      <c r="AC127" s="844"/>
      <c r="AD127" s="825" t="str" cm="1">
        <f t="array" ref="AD127">TRIM(SUBSTITUTE(SUBSTITUTE(INDEX(CY:CY,MATCH("      item_no: "&amp;A127&amp;",",CY:CY,0)+1,1),"item_cancel_line: ",""),",",""))</f>
        <v>false</v>
      </c>
      <c r="AE127" s="825"/>
      <c r="AF127" s="1093"/>
      <c r="AG127" s="1094"/>
      <c r="AH127" s="826">
        <f t="shared" si="41"/>
        <v>-9.4500000000000011</v>
      </c>
      <c r="AI127" s="827"/>
      <c r="AJ127" s="828">
        <f t="shared" si="42"/>
        <v>189</v>
      </c>
      <c r="AK127" s="829"/>
      <c r="AL127" s="822">
        <f t="shared" si="29"/>
        <v>63</v>
      </c>
      <c r="AM127" s="823"/>
      <c r="AN127" s="830">
        <f t="shared" si="43"/>
        <v>-9</v>
      </c>
      <c r="AO127" s="831"/>
      <c r="AP127" s="830">
        <f t="shared" si="39"/>
        <v>0</v>
      </c>
      <c r="AQ127" s="831"/>
      <c r="AR127" s="820"/>
      <c r="AS127" s="821"/>
      <c r="AT127" s="822">
        <f t="shared" si="40"/>
        <v>-9</v>
      </c>
      <c r="AU127" s="823"/>
      <c r="AV127" s="817">
        <f t="shared" si="44"/>
        <v>180</v>
      </c>
      <c r="AW127" s="824"/>
      <c r="AX127" s="816">
        <f t="shared" ca="1" si="45"/>
        <v>14</v>
      </c>
      <c r="AY127" s="817"/>
      <c r="AZ127" s="816">
        <v>1</v>
      </c>
      <c r="BA127" s="817"/>
      <c r="BB127" s="816" t="str">
        <f t="shared" si="46"/>
        <v/>
      </c>
      <c r="BC127" s="817"/>
      <c r="BD127" s="816"/>
      <c r="BE127" s="817"/>
      <c r="BF127" s="816" t="str">
        <f t="shared" si="47"/>
        <v/>
      </c>
      <c r="BG127" s="817"/>
      <c r="BH127" s="816"/>
      <c r="BI127" s="817"/>
      <c r="BJ127" s="816" t="str">
        <f t="shared" si="48"/>
        <v/>
      </c>
      <c r="BK127" s="817"/>
      <c r="BL127" s="816"/>
      <c r="BM127" s="817"/>
      <c r="BN127" s="845">
        <f t="shared" si="49"/>
        <v>194</v>
      </c>
      <c r="BO127" s="846"/>
      <c r="BP127" s="74" t="s">
        <v>80</v>
      </c>
      <c r="BQ127" s="801" t="str">
        <f t="shared" si="50"/>
        <v>外税8%</v>
      </c>
      <c r="BR127" s="801"/>
      <c r="BS127" s="802"/>
      <c r="BT127" s="1072"/>
      <c r="BU127" s="1073"/>
      <c r="BV127" s="1076"/>
      <c r="BW127" s="1078"/>
      <c r="CY127" s="62" t="s">
        <v>405</v>
      </c>
      <c r="DD127" s="62" t="s">
        <v>406</v>
      </c>
      <c r="DE127" s="33" t="s">
        <v>30</v>
      </c>
      <c r="DF127" s="62" t="s">
        <v>407</v>
      </c>
    </row>
    <row r="128" spans="1:110" ht="15" customHeight="1">
      <c r="A128" s="46">
        <f t="shared" si="38"/>
        <v>2</v>
      </c>
      <c r="B128" s="832" t="s">
        <v>126</v>
      </c>
      <c r="C128" s="832"/>
      <c r="D128" s="832"/>
      <c r="E128" s="832"/>
      <c r="F128" s="832" t="str" cm="1">
        <f t="array" ref="F128">TRIM(SUBSTITUTE(SUBSTITUTE(INDEX(CY:CY,MATCH("      item_no: "&amp;A128&amp;",",CY:CY,0)+9,1),"item_name: ",""),",",""))</f>
        <v>マルちゃん　赤いきつね</v>
      </c>
      <c r="G128" s="832"/>
      <c r="H128" s="832"/>
      <c r="I128" s="832"/>
      <c r="J128" s="832"/>
      <c r="K128" s="832"/>
      <c r="L128" s="833" t="str" cm="1">
        <f t="array" ref="L128">TRIM(SUBSTITUTE(SUBSTITUTE(INDEX(CY:CY,MATCH("      item_no: "&amp;A128&amp;",",CY:CY,0)+3,1),"item_scan_code: ",""),",",""))</f>
        <v>4901990020503</v>
      </c>
      <c r="M128" s="833"/>
      <c r="N128" s="833"/>
      <c r="O128" s="833"/>
      <c r="P128" s="833"/>
      <c r="Q128" s="834" cm="1">
        <f t="array" ref="Q128">IF(AD128="true","",TRIM(SUBSTITUTE(SUBSTITUTE(INDEX(CY:CY,MATCH("      item_no: "&amp;A128&amp;",",CY:CY,0)+13,1),"item_price_fmt: ￥",""),",",""))+0)</f>
        <v>169</v>
      </c>
      <c r="R128" s="835"/>
      <c r="S128" s="836">
        <f t="shared" si="51"/>
        <v>0</v>
      </c>
      <c r="T128" s="837"/>
      <c r="U128" s="838" cm="1">
        <f t="array" ref="U128">IF(AD128="true","",TRIM(SUBSTITUTE(SUBSTITUTE(INDEX(CY:CY,MATCH("      item_no: "&amp;A128&amp;",",CY:CY,0)+14,1),"item_price_discount_fmt: ￥",""),",",""))+0)</f>
        <v>169</v>
      </c>
      <c r="V128" s="839"/>
      <c r="W128" s="840">
        <f ca="1">INT(SUMIF($Y$10:$AA128,"外税8%",$U$10:$V128)*1.08)+INT(SUMIF($Y$10:$AA128,"外税10%",$U$10:$V128)*1.1)+SUMIF($Y$10:$AA128,"内税10%",$U$10:$V128)+SUMIF($Y$10:$AA128,"非課税",$U$10:$V128)</f>
        <v>53040</v>
      </c>
      <c r="X128" s="841"/>
      <c r="Y128" s="842" t="str" cm="1">
        <f t="array" ref="Y128">TRIM(SUBSTITUTE(SUBSTITUTE(INDEX(CY:CY,MATCH("      item_no: "&amp;A128&amp;",",CY:CY,0)+15,1),"item_tax_fmt: ",""),",",""))</f>
        <v>外税8%</v>
      </c>
      <c r="Z128" s="843"/>
      <c r="AA128" s="843"/>
      <c r="AB128" s="844" t="str" cm="1">
        <f t="array" ref="AB128">TRIM(SUBSTITUTE(SUBSTITUTE(INDEX(CY:CY,MATCH("      item_no: "&amp;A128&amp;",",CY:CY,0)+18,1),"discount_prohibition:",""),",",""))</f>
        <v>0</v>
      </c>
      <c r="AC128" s="844"/>
      <c r="AD128" s="825" t="str" cm="1">
        <f t="array" ref="AD128">TRIM(SUBSTITUTE(SUBSTITUTE(INDEX(CY:CY,MATCH("      item_no: "&amp;A128&amp;",",CY:CY,0)+1,1),"item_cancel_line: ",""),",",""))</f>
        <v>false</v>
      </c>
      <c r="AE128" s="825"/>
      <c r="AF128" s="1093"/>
      <c r="AG128" s="1094"/>
      <c r="AH128" s="826">
        <f t="shared" si="41"/>
        <v>-8.4500000000000011</v>
      </c>
      <c r="AI128" s="827"/>
      <c r="AJ128" s="828">
        <f t="shared" si="42"/>
        <v>169</v>
      </c>
      <c r="AK128" s="829"/>
      <c r="AL128" s="822">
        <f t="shared" si="29"/>
        <v>66</v>
      </c>
      <c r="AM128" s="823"/>
      <c r="AN128" s="830">
        <f t="shared" si="43"/>
        <v>-8</v>
      </c>
      <c r="AO128" s="831"/>
      <c r="AP128" s="830">
        <f t="shared" si="39"/>
        <v>0</v>
      </c>
      <c r="AQ128" s="831"/>
      <c r="AR128" s="820"/>
      <c r="AS128" s="821"/>
      <c r="AT128" s="822">
        <f t="shared" si="40"/>
        <v>-8</v>
      </c>
      <c r="AU128" s="823"/>
      <c r="AV128" s="817">
        <f t="shared" si="44"/>
        <v>161</v>
      </c>
      <c r="AW128" s="824"/>
      <c r="AX128" s="816">
        <f t="shared" ca="1" si="45"/>
        <v>12</v>
      </c>
      <c r="AY128" s="817"/>
      <c r="AZ128" s="816">
        <v>1</v>
      </c>
      <c r="BA128" s="817"/>
      <c r="BB128" s="816" t="str">
        <f t="shared" si="46"/>
        <v/>
      </c>
      <c r="BC128" s="817"/>
      <c r="BD128" s="816"/>
      <c r="BE128" s="817"/>
      <c r="BF128" s="816" t="str">
        <f t="shared" si="47"/>
        <v/>
      </c>
      <c r="BG128" s="817"/>
      <c r="BH128" s="816"/>
      <c r="BI128" s="817"/>
      <c r="BJ128" s="816" t="str">
        <f t="shared" si="48"/>
        <v/>
      </c>
      <c r="BK128" s="817"/>
      <c r="BL128" s="816"/>
      <c r="BM128" s="817"/>
      <c r="BN128" s="818">
        <f t="shared" si="49"/>
        <v>173</v>
      </c>
      <c r="BO128" s="819"/>
      <c r="BP128" s="74" t="s">
        <v>80</v>
      </c>
      <c r="BQ128" s="801" t="str">
        <f t="shared" si="50"/>
        <v>外税8%</v>
      </c>
      <c r="BR128" s="801"/>
      <c r="BS128" s="802"/>
      <c r="BT128" s="1072"/>
      <c r="BU128" s="1073"/>
      <c r="BV128" s="1076"/>
      <c r="BW128" s="1078"/>
      <c r="CY128" s="62" t="s">
        <v>408</v>
      </c>
      <c r="DD128" s="62" t="s">
        <v>409</v>
      </c>
      <c r="DE128" s="33" t="s">
        <v>30</v>
      </c>
      <c r="DF128" s="62" t="s">
        <v>410</v>
      </c>
    </row>
    <row r="129" spans="1:110" ht="15" customHeight="1">
      <c r="A129" s="46">
        <f t="shared" si="38"/>
        <v>1</v>
      </c>
      <c r="B129" s="803" t="s">
        <v>126</v>
      </c>
      <c r="C129" s="803"/>
      <c r="D129" s="803"/>
      <c r="E129" s="803"/>
      <c r="F129" s="803" t="str" cm="1">
        <f t="array" ref="F129">TRIM(SUBSTITUTE(SUBSTITUTE(INDEX(CY:CY,MATCH("      item_no: "&amp;A129&amp;",",CY:CY,0)+9,1),"item_name: ",""),",",""))</f>
        <v>マルちゃん　緑のたぬき</v>
      </c>
      <c r="G129" s="803"/>
      <c r="H129" s="803"/>
      <c r="I129" s="803"/>
      <c r="J129" s="803"/>
      <c r="K129" s="803"/>
      <c r="L129" s="804" t="str" cm="1">
        <f t="array" ref="L129">TRIM(SUBSTITUTE(SUBSTITUTE(INDEX(CY:CY,MATCH("      item_no: "&amp;A129&amp;",",CY:CY,0)+3,1),"item_scan_code: ",""),",",""))</f>
        <v>4901990020534</v>
      </c>
      <c r="M129" s="804"/>
      <c r="N129" s="804"/>
      <c r="O129" s="804"/>
      <c r="P129" s="804"/>
      <c r="Q129" s="805" cm="1">
        <f t="array" ref="Q129">IF(AD129="true","",TRIM(SUBSTITUTE(SUBSTITUTE(INDEX(CY:CY,MATCH("      item_no: "&amp;A129&amp;",",CY:CY,0)+13,1),"item_price_fmt: ￥",""),",",""))+0)</f>
        <v>169</v>
      </c>
      <c r="R129" s="806"/>
      <c r="S129" s="807">
        <f t="shared" si="51"/>
        <v>0</v>
      </c>
      <c r="T129" s="808"/>
      <c r="U129" s="809" cm="1">
        <f t="array" ref="U129">IF(AD129="true","",TRIM(SUBSTITUTE(SUBSTITUTE(INDEX(CY:CY,MATCH("      item_no: "&amp;A129&amp;",",CY:CY,0)+14,1),"item_price_discount_fmt: ￥",""),",",""))+0)</f>
        <v>169</v>
      </c>
      <c r="V129" s="810"/>
      <c r="W129" s="811">
        <f ca="1">INT(SUMIF($Y$10:$AA129,"外税8%",$U$10:$V129)*1.08)+INT(SUMIF($Y$10:$AA129,"外税10%",$U$10:$V129)*1.1)+SUMIF($Y$10:$AA129,"内税10%",$U$10:$V129)+SUMIF($Y$10:$AA129,"非課税",$U$10:$V129)</f>
        <v>53223</v>
      </c>
      <c r="X129" s="812"/>
      <c r="Y129" s="813" t="str" cm="1">
        <f t="array" ref="Y129">TRIM(SUBSTITUTE(SUBSTITUTE(INDEX(CY:CY,MATCH("      item_no: "&amp;A129&amp;",",CY:CY,0)+15,1),"item_tax_fmt: ",""),",",""))</f>
        <v>外税8%</v>
      </c>
      <c r="Z129" s="814"/>
      <c r="AA129" s="814"/>
      <c r="AB129" s="815" t="str" cm="1">
        <f t="array" ref="AB129">TRIM(SUBSTITUTE(SUBSTITUTE(INDEX(CY:CY,MATCH("      item_no: "&amp;A129&amp;",",CY:CY,0)+18,1),"discount_prohibition:",""),",",""))</f>
        <v>0</v>
      </c>
      <c r="AC129" s="815"/>
      <c r="AD129" s="794" t="str" cm="1">
        <f t="array" ref="AD129">TRIM(SUBSTITUTE(SUBSTITUTE(INDEX(CY:CY,MATCH("      item_no: "&amp;A129&amp;",",CY:CY,0)+1,1),"item_cancel_line: ",""),",",""))</f>
        <v>false</v>
      </c>
      <c r="AE129" s="794"/>
      <c r="AF129" s="1095"/>
      <c r="AG129" s="1096"/>
      <c r="AH129" s="795">
        <f t="shared" si="41"/>
        <v>-8.4500000000000011</v>
      </c>
      <c r="AI129" s="796"/>
      <c r="AJ129" s="797">
        <f t="shared" si="42"/>
        <v>169</v>
      </c>
      <c r="AK129" s="798"/>
      <c r="AL129" s="790">
        <f t="shared" si="29"/>
        <v>66</v>
      </c>
      <c r="AM129" s="791"/>
      <c r="AN129" s="799">
        <f t="shared" si="43"/>
        <v>-8</v>
      </c>
      <c r="AO129" s="800"/>
      <c r="AP129" s="799">
        <f t="shared" si="39"/>
        <v>0</v>
      </c>
      <c r="AQ129" s="800"/>
      <c r="AR129" s="788"/>
      <c r="AS129" s="789"/>
      <c r="AT129" s="790">
        <f t="shared" si="40"/>
        <v>-8</v>
      </c>
      <c r="AU129" s="791"/>
      <c r="AV129" s="792">
        <f t="shared" si="44"/>
        <v>161</v>
      </c>
      <c r="AW129" s="793"/>
      <c r="AX129" s="784">
        <f t="shared" ca="1" si="45"/>
        <v>12</v>
      </c>
      <c r="AY129" s="785"/>
      <c r="AZ129" s="784">
        <v>1</v>
      </c>
      <c r="BA129" s="785"/>
      <c r="BB129" s="784" t="str">
        <f t="shared" si="46"/>
        <v/>
      </c>
      <c r="BC129" s="785"/>
      <c r="BD129" s="784"/>
      <c r="BE129" s="785"/>
      <c r="BF129" s="784" t="str">
        <f t="shared" si="47"/>
        <v/>
      </c>
      <c r="BG129" s="785"/>
      <c r="BH129" s="784"/>
      <c r="BI129" s="785"/>
      <c r="BJ129" s="784" t="str">
        <f t="shared" si="48"/>
        <v/>
      </c>
      <c r="BK129" s="785"/>
      <c r="BL129" s="784"/>
      <c r="BM129" s="785"/>
      <c r="BN129" s="786">
        <f t="shared" si="49"/>
        <v>173</v>
      </c>
      <c r="BO129" s="787"/>
      <c r="BP129" s="76" t="s">
        <v>80</v>
      </c>
      <c r="BQ129" s="768" t="str">
        <f t="shared" si="50"/>
        <v>外税8%</v>
      </c>
      <c r="BR129" s="768"/>
      <c r="BS129" s="769"/>
      <c r="BT129" s="1072"/>
      <c r="BU129" s="1073"/>
      <c r="BV129" s="1076"/>
      <c r="BW129" s="1078"/>
      <c r="CY129" s="62" t="s">
        <v>294</v>
      </c>
      <c r="DD129" s="62" t="s">
        <v>411</v>
      </c>
      <c r="DE129" s="33" t="s">
        <v>30</v>
      </c>
      <c r="DF129" s="62" t="s">
        <v>412</v>
      </c>
    </row>
    <row r="130" spans="1:110" ht="15" customHeight="1">
      <c r="B130" s="77" t="s">
        <v>413</v>
      </c>
      <c r="C130" s="63"/>
      <c r="D130" s="63"/>
      <c r="E130" s="63"/>
      <c r="F130" s="78"/>
      <c r="G130" s="63"/>
      <c r="H130" s="63"/>
      <c r="I130" s="63"/>
      <c r="J130" s="63"/>
      <c r="K130" s="63"/>
      <c r="L130" s="770"/>
      <c r="M130" s="770"/>
      <c r="N130" s="770"/>
      <c r="O130" s="770"/>
      <c r="P130" s="771"/>
      <c r="Q130" s="772">
        <f>SUM(Q10:R129)</f>
        <v>56704</v>
      </c>
      <c r="R130" s="773"/>
      <c r="S130" s="774"/>
      <c r="T130" s="775"/>
      <c r="U130" s="773">
        <f>SUM(U10:V129)</f>
        <v>49490</v>
      </c>
      <c r="V130" s="776"/>
      <c r="W130" s="777"/>
      <c r="X130" s="778"/>
      <c r="Y130" s="779" t="s">
        <v>414</v>
      </c>
      <c r="Z130" s="780"/>
      <c r="AA130" s="780"/>
      <c r="AB130" s="781" t="s">
        <v>414</v>
      </c>
      <c r="AC130" s="781"/>
      <c r="AD130" s="781" t="s">
        <v>414</v>
      </c>
      <c r="AE130" s="779"/>
      <c r="AF130" s="782"/>
      <c r="AG130" s="783"/>
      <c r="AH130" s="761">
        <f>SUM(AH10:AI129)</f>
        <v>-1918.1000000000024</v>
      </c>
      <c r="AI130" s="762"/>
      <c r="AJ130" s="763"/>
      <c r="AK130" s="764"/>
      <c r="AL130" s="765"/>
      <c r="AM130" s="764"/>
      <c r="AN130" s="758">
        <f>SUM(AN10:AO129)</f>
        <v>-1862</v>
      </c>
      <c r="AO130" s="766"/>
      <c r="AP130" s="767">
        <f>SUM(AP10:AQ129)</f>
        <v>-57</v>
      </c>
      <c r="AQ130" s="766"/>
      <c r="AR130" s="758">
        <f>SUM(AR10:AS129)</f>
        <v>0</v>
      </c>
      <c r="AS130" s="759"/>
      <c r="AT130" s="758">
        <f>SUM(AT10:AU129)</f>
        <v>-1919</v>
      </c>
      <c r="AU130" s="759"/>
      <c r="AV130" s="751">
        <f>SUM(AV10:AW129)</f>
        <v>47571</v>
      </c>
      <c r="AW130" s="760"/>
      <c r="AX130" s="749">
        <f ca="1">SUM(AX10:AY129)</f>
        <v>2433</v>
      </c>
      <c r="AY130" s="751"/>
      <c r="AZ130" s="752">
        <f>SUM(AZ10:BA129)</f>
        <v>41</v>
      </c>
      <c r="BA130" s="750"/>
      <c r="BB130" s="749">
        <f ca="1">SUM(BB10:BC129)</f>
        <v>1087</v>
      </c>
      <c r="BC130" s="751"/>
      <c r="BD130" s="752">
        <f>SUM(BD10:BE129)</f>
        <v>12</v>
      </c>
      <c r="BE130" s="750"/>
      <c r="BF130" s="749">
        <f>SUM(BF10:BG129)</f>
        <v>0</v>
      </c>
      <c r="BG130" s="751"/>
      <c r="BH130" s="752">
        <f>SUM(BH10:BI129)</f>
        <v>0</v>
      </c>
      <c r="BI130" s="750"/>
      <c r="BJ130" s="749">
        <f>SUM(BJ10:BK129)</f>
        <v>232</v>
      </c>
      <c r="BK130" s="751"/>
      <c r="BL130" s="752">
        <f>SUM(BL10:BM129)</f>
        <v>2</v>
      </c>
      <c r="BM130" s="750"/>
      <c r="BN130" s="753">
        <f>SUM(BN10:BO129)</f>
        <v>51097</v>
      </c>
      <c r="BO130" s="754"/>
      <c r="BP130" s="79" t="s">
        <v>414</v>
      </c>
      <c r="BQ130" s="755" t="s">
        <v>414</v>
      </c>
      <c r="BR130" s="756"/>
      <c r="BS130" s="757"/>
      <c r="BT130" s="744" t="s">
        <v>414</v>
      </c>
      <c r="BU130" s="745"/>
      <c r="BV130" s="745" t="s">
        <v>414</v>
      </c>
      <c r="BW130" s="746"/>
      <c r="BX130" s="54"/>
      <c r="BY130" s="54"/>
      <c r="BZ130" s="54"/>
      <c r="CA130" s="54"/>
      <c r="CB130" s="54"/>
      <c r="CC130" s="57"/>
      <c r="CD130" s="57"/>
      <c r="CE130" s="54"/>
      <c r="CF130" s="54"/>
      <c r="CG130" s="54"/>
      <c r="CH130" s="54"/>
      <c r="CI130" s="54"/>
      <c r="CJ130" s="54"/>
      <c r="CK130" s="54"/>
      <c r="CL130" s="80"/>
      <c r="CN130" s="81"/>
      <c r="CO130" s="54"/>
      <c r="CP130" s="54"/>
      <c r="CQ130" s="54"/>
      <c r="CR130" s="54"/>
      <c r="CS130" s="54"/>
      <c r="CT130" s="54"/>
      <c r="CU130" s="54"/>
      <c r="CV130" s="54"/>
      <c r="CW130" s="54"/>
      <c r="CY130" s="62" t="s">
        <v>297</v>
      </c>
      <c r="DE130" s="33" t="s">
        <v>30</v>
      </c>
    </row>
    <row r="131" spans="1:110" ht="15" customHeight="1">
      <c r="Q131" s="82"/>
      <c r="R131" s="82"/>
      <c r="S131" s="82"/>
      <c r="T131" s="82"/>
      <c r="U131" s="83"/>
      <c r="V131" s="83"/>
      <c r="W131" s="83"/>
      <c r="X131" s="83"/>
      <c r="Y131" s="82"/>
      <c r="AH131" s="84"/>
      <c r="AI131" s="84"/>
      <c r="AJ131" s="85"/>
      <c r="AK131" s="85"/>
      <c r="AL131" s="85"/>
      <c r="AM131" s="85"/>
      <c r="AN131" s="86"/>
      <c r="AO131" s="86"/>
      <c r="AP131" s="747" t="s">
        <v>1382</v>
      </c>
      <c r="AQ131" s="747"/>
      <c r="AR131" s="747"/>
      <c r="AS131" s="748"/>
      <c r="AT131" s="749">
        <f>ROUNDUP(SUMIF($AB$10:$AB$129,"0",U10:V129)*AF10,0)-ROUNDUP(SUMIF($AB$10:$AB$129,"0",U10:V129)*AF10,0)</f>
        <v>0</v>
      </c>
      <c r="AU131" s="750"/>
      <c r="AV131" s="84"/>
      <c r="AW131" s="84"/>
      <c r="AX131" s="84"/>
      <c r="AY131" s="84"/>
      <c r="AZ131" s="749">
        <f ca="1">CE10-AZ130-AX130</f>
        <v>0</v>
      </c>
      <c r="BA131" s="750"/>
      <c r="BB131" s="84"/>
      <c r="BC131" s="84"/>
      <c r="BD131" s="749">
        <f ca="1">CE11-BD130-BB130</f>
        <v>0</v>
      </c>
      <c r="BE131" s="750"/>
      <c r="BF131" s="84"/>
      <c r="BG131" s="84"/>
      <c r="BH131" s="749">
        <f ca="1">CE13-BH130-BF130</f>
        <v>0</v>
      </c>
      <c r="BI131" s="750"/>
      <c r="BJ131" s="84"/>
      <c r="BK131" s="84"/>
      <c r="BL131" s="749">
        <f ca="1">CE14-BL130-BJ130</f>
        <v>0</v>
      </c>
      <c r="BM131" s="750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CY131" s="62" t="s">
        <v>300</v>
      </c>
      <c r="DE131" s="33" t="s">
        <v>30</v>
      </c>
    </row>
    <row r="132" spans="1:110" ht="15" customHeight="1">
      <c r="Y132" s="46"/>
      <c r="Z132" s="46"/>
      <c r="AA132" s="46"/>
      <c r="AJ132" s="61"/>
      <c r="AK132" s="61"/>
      <c r="AL132" s="54"/>
      <c r="AM132" s="54"/>
      <c r="AN132" s="54"/>
      <c r="AO132" s="54"/>
      <c r="AP132" s="54"/>
      <c r="AQ132" s="54"/>
      <c r="AR132" s="87"/>
      <c r="AS132" s="87"/>
      <c r="CY132" s="62" t="s">
        <v>415</v>
      </c>
      <c r="DE132" s="33" t="s">
        <v>30</v>
      </c>
    </row>
    <row r="133" spans="1:110" ht="15" customHeight="1">
      <c r="Q133" s="54"/>
      <c r="R133" s="54"/>
      <c r="S133" s="54"/>
      <c r="T133" s="54"/>
      <c r="U133" s="54"/>
      <c r="V133" s="54"/>
      <c r="W133" s="54"/>
      <c r="X133" s="54"/>
      <c r="Y133" s="46"/>
      <c r="Z133" s="46"/>
      <c r="AA133" s="46"/>
      <c r="CY133" s="62" t="s">
        <v>417</v>
      </c>
      <c r="DE133" s="33" t="s">
        <v>30</v>
      </c>
    </row>
    <row r="134" spans="1:110" ht="15" customHeight="1">
      <c r="Q134" s="54"/>
      <c r="R134" s="54"/>
      <c r="S134" s="54"/>
      <c r="T134" s="54"/>
      <c r="U134" s="54"/>
      <c r="V134" s="54"/>
      <c r="W134" s="54"/>
      <c r="X134" s="54"/>
      <c r="Y134" s="46"/>
      <c r="Z134" s="46"/>
      <c r="AA134" s="46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54"/>
      <c r="BK134" s="54"/>
      <c r="BL134" s="54"/>
      <c r="BM134" s="54"/>
      <c r="BN134" s="58"/>
      <c r="CY134" s="62" t="s">
        <v>420</v>
      </c>
      <c r="DE134" s="33" t="s">
        <v>30</v>
      </c>
    </row>
    <row r="135" spans="1:110" ht="15" customHeight="1">
      <c r="U135" s="53"/>
      <c r="V135" s="46"/>
      <c r="W135" s="46"/>
      <c r="X135" s="46"/>
      <c r="Y135" s="46"/>
      <c r="Z135" s="46"/>
      <c r="AA135" s="46"/>
      <c r="AS135" s="46"/>
      <c r="AT135" s="46"/>
      <c r="AU135" s="46"/>
      <c r="CY135" s="62" t="s">
        <v>312</v>
      </c>
      <c r="DE135" s="33" t="s">
        <v>30</v>
      </c>
    </row>
    <row r="136" spans="1:110" ht="15" customHeight="1">
      <c r="U136" s="88"/>
      <c r="V136" s="88"/>
      <c r="W136" s="88"/>
      <c r="X136" s="88"/>
      <c r="Y136" s="46"/>
      <c r="Z136" s="46"/>
      <c r="AA136" s="46"/>
      <c r="AS136" s="46"/>
      <c r="AT136" s="46"/>
      <c r="AU136" s="46"/>
      <c r="AV136" s="60"/>
      <c r="AW136" s="60"/>
      <c r="AX136" s="60"/>
      <c r="AY136" s="60"/>
      <c r="AZ136" s="60"/>
      <c r="BA136" s="60"/>
      <c r="BB136" s="60"/>
      <c r="BC136" s="60"/>
      <c r="BD136" s="89"/>
      <c r="BE136" s="89"/>
      <c r="BF136" s="89"/>
      <c r="BG136" s="89"/>
      <c r="BH136" s="89"/>
      <c r="BI136" s="89"/>
      <c r="BJ136" s="90"/>
      <c r="BK136" s="90"/>
      <c r="BL136" s="90"/>
      <c r="BM136" s="90"/>
      <c r="BN136" s="91"/>
      <c r="BO136" s="91"/>
      <c r="CY136" s="62" t="s">
        <v>423</v>
      </c>
      <c r="DE136" s="33" t="s">
        <v>30</v>
      </c>
    </row>
    <row r="137" spans="1:110" ht="15" customHeight="1">
      <c r="Y137" s="46"/>
      <c r="Z137" s="46"/>
      <c r="AA137" s="46"/>
      <c r="AS137" s="46"/>
      <c r="AT137" s="46"/>
      <c r="AU137" s="46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90"/>
      <c r="BK137" s="90"/>
      <c r="BL137" s="90"/>
      <c r="BM137" s="90"/>
      <c r="CY137" s="62" t="s">
        <v>425</v>
      </c>
      <c r="DE137" s="33" t="s">
        <v>30</v>
      </c>
    </row>
    <row r="138" spans="1:110" ht="15" customHeight="1">
      <c r="AV138" s="60"/>
      <c r="AW138" s="60"/>
      <c r="AZ138" s="58"/>
      <c r="CY138" s="62" t="s">
        <v>321</v>
      </c>
      <c r="DE138" s="33" t="s">
        <v>30</v>
      </c>
    </row>
    <row r="139" spans="1:110" ht="15" customHeight="1">
      <c r="AS139" s="46"/>
      <c r="AT139" s="46"/>
      <c r="AU139" s="46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90"/>
      <c r="BK139" s="90"/>
      <c r="BL139" s="90"/>
      <c r="BM139" s="90"/>
      <c r="BQ139" s="58"/>
      <c r="CY139" s="62" t="s">
        <v>324</v>
      </c>
      <c r="DE139" s="33" t="s">
        <v>30</v>
      </c>
    </row>
    <row r="140" spans="1:110" ht="15" customHeight="1">
      <c r="AR140" s="46"/>
      <c r="AS140" s="46"/>
      <c r="AT140" s="46"/>
      <c r="AU140" s="46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90"/>
      <c r="BK140" s="90"/>
      <c r="BL140" s="90"/>
      <c r="BM140" s="90"/>
      <c r="BN140" s="58"/>
      <c r="BO140" s="58"/>
      <c r="BR140" s="92"/>
      <c r="CY140" s="62" t="s">
        <v>327</v>
      </c>
      <c r="DE140" s="33" t="s">
        <v>30</v>
      </c>
    </row>
    <row r="141" spans="1:110" ht="15" customHeight="1">
      <c r="AV141" s="53"/>
      <c r="AW141" s="46"/>
      <c r="AX141" s="53"/>
      <c r="AY141" s="46"/>
      <c r="AZ141" s="53"/>
      <c r="BA141" s="53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P141" s="92"/>
      <c r="BQ141" s="92"/>
      <c r="BR141" s="92"/>
      <c r="BS141" s="92"/>
      <c r="CY141" s="62" t="s">
        <v>330</v>
      </c>
      <c r="DE141" s="33" t="s">
        <v>30</v>
      </c>
    </row>
    <row r="142" spans="1:110" ht="15" customHeight="1">
      <c r="BN142" s="92"/>
      <c r="BO142" s="92"/>
      <c r="BP142" s="92"/>
      <c r="BQ142" s="92"/>
      <c r="BR142" s="92"/>
      <c r="BS142" s="92"/>
      <c r="BT142" s="92"/>
      <c r="CY142" s="62" t="s">
        <v>333</v>
      </c>
      <c r="DE142" s="33" t="s">
        <v>30</v>
      </c>
    </row>
    <row r="143" spans="1:110" ht="15" customHeight="1">
      <c r="BN143" s="92"/>
      <c r="BO143" s="92"/>
      <c r="BP143" s="92"/>
      <c r="BQ143" s="92"/>
      <c r="BR143" s="92"/>
      <c r="BS143" s="92"/>
      <c r="BT143" s="92"/>
      <c r="CY143" s="62" t="s">
        <v>336</v>
      </c>
      <c r="DE143" s="33" t="s">
        <v>30</v>
      </c>
    </row>
    <row r="144" spans="1:110" ht="15" customHeight="1">
      <c r="BN144" s="92"/>
      <c r="BO144" s="92"/>
      <c r="BP144" s="92"/>
      <c r="CY144" s="62" t="s">
        <v>340</v>
      </c>
      <c r="DE144" s="33" t="s">
        <v>30</v>
      </c>
    </row>
    <row r="145" spans="103:109" ht="15" customHeight="1">
      <c r="CY145" s="62" t="s">
        <v>272</v>
      </c>
      <c r="DE145" s="33" t="s">
        <v>30</v>
      </c>
    </row>
    <row r="146" spans="103:109" ht="15" customHeight="1">
      <c r="CY146" s="62" t="s">
        <v>426</v>
      </c>
      <c r="DE146" s="33" t="s">
        <v>30</v>
      </c>
    </row>
    <row r="147" spans="103:109" ht="15" customHeight="1">
      <c r="CY147" s="62" t="s">
        <v>279</v>
      </c>
      <c r="DE147" s="33" t="s">
        <v>30</v>
      </c>
    </row>
    <row r="148" spans="103:109" ht="15" customHeight="1">
      <c r="CY148" s="62" t="s">
        <v>282</v>
      </c>
      <c r="DE148" s="33" t="s">
        <v>30</v>
      </c>
    </row>
    <row r="149" spans="103:109" ht="15" customHeight="1">
      <c r="CY149" s="62" t="s">
        <v>427</v>
      </c>
      <c r="DE149" s="33" t="s">
        <v>30</v>
      </c>
    </row>
    <row r="150" spans="103:109" ht="15" customHeight="1">
      <c r="CY150" s="62" t="s">
        <v>428</v>
      </c>
      <c r="DE150" s="33" t="s">
        <v>30</v>
      </c>
    </row>
    <row r="151" spans="103:109" ht="15" customHeight="1">
      <c r="CY151" s="62" t="s">
        <v>429</v>
      </c>
      <c r="DE151" s="33" t="s">
        <v>30</v>
      </c>
    </row>
    <row r="152" spans="103:109" ht="15" customHeight="1">
      <c r="CY152" s="62" t="s">
        <v>294</v>
      </c>
      <c r="DE152" s="33" t="s">
        <v>30</v>
      </c>
    </row>
    <row r="153" spans="103:109" ht="15" customHeight="1">
      <c r="CY153" s="62" t="s">
        <v>297</v>
      </c>
      <c r="DE153" s="33" t="s">
        <v>30</v>
      </c>
    </row>
    <row r="154" spans="103:109" ht="15" customHeight="1">
      <c r="CY154" s="62" t="s">
        <v>300</v>
      </c>
      <c r="DE154" s="33" t="s">
        <v>30</v>
      </c>
    </row>
    <row r="155" spans="103:109" ht="15" customHeight="1">
      <c r="CY155" s="62" t="s">
        <v>430</v>
      </c>
      <c r="DE155" s="33" t="s">
        <v>30</v>
      </c>
    </row>
    <row r="156" spans="103:109" ht="15" customHeight="1">
      <c r="CY156" s="62" t="s">
        <v>431</v>
      </c>
      <c r="DE156" s="33" t="s">
        <v>30</v>
      </c>
    </row>
    <row r="157" spans="103:109" ht="15" customHeight="1">
      <c r="CY157" s="62" t="s">
        <v>420</v>
      </c>
      <c r="DE157" s="33" t="s">
        <v>30</v>
      </c>
    </row>
    <row r="158" spans="103:109" ht="15" customHeight="1">
      <c r="CY158" s="62" t="s">
        <v>312</v>
      </c>
      <c r="DE158" s="33" t="s">
        <v>30</v>
      </c>
    </row>
    <row r="159" spans="103:109" ht="15" customHeight="1">
      <c r="CY159" s="62" t="s">
        <v>423</v>
      </c>
      <c r="DE159" s="33" t="s">
        <v>30</v>
      </c>
    </row>
    <row r="160" spans="103:109" ht="15" customHeight="1">
      <c r="CY160" s="62" t="s">
        <v>425</v>
      </c>
      <c r="DE160" s="33" t="s">
        <v>30</v>
      </c>
    </row>
    <row r="161" spans="103:109" ht="15" customHeight="1">
      <c r="CY161" s="62" t="s">
        <v>321</v>
      </c>
      <c r="DE161" s="33" t="s">
        <v>30</v>
      </c>
    </row>
    <row r="162" spans="103:109" ht="15" customHeight="1">
      <c r="CY162" s="62" t="s">
        <v>324</v>
      </c>
      <c r="DE162" s="33" t="s">
        <v>30</v>
      </c>
    </row>
    <row r="163" spans="103:109" ht="15" customHeight="1">
      <c r="CY163" s="62" t="s">
        <v>327</v>
      </c>
      <c r="DE163" s="33" t="s">
        <v>30</v>
      </c>
    </row>
    <row r="164" spans="103:109" ht="15" customHeight="1">
      <c r="CY164" s="62" t="s">
        <v>330</v>
      </c>
      <c r="DE164" s="33" t="s">
        <v>30</v>
      </c>
    </row>
    <row r="165" spans="103:109" ht="15" customHeight="1">
      <c r="CY165" s="62" t="s">
        <v>333</v>
      </c>
      <c r="DE165" s="33" t="s">
        <v>30</v>
      </c>
    </row>
    <row r="166" spans="103:109" ht="15" customHeight="1">
      <c r="CY166" s="62" t="s">
        <v>336</v>
      </c>
      <c r="DE166" s="33" t="s">
        <v>30</v>
      </c>
    </row>
    <row r="167" spans="103:109" ht="15" customHeight="1">
      <c r="CY167" s="62" t="s">
        <v>340</v>
      </c>
      <c r="DE167" s="33" t="s">
        <v>30</v>
      </c>
    </row>
    <row r="168" spans="103:109" ht="15" customHeight="1">
      <c r="CY168" s="62" t="s">
        <v>272</v>
      </c>
      <c r="DE168" s="33" t="s">
        <v>30</v>
      </c>
    </row>
    <row r="169" spans="103:109" ht="15" customHeight="1">
      <c r="CY169" s="62" t="s">
        <v>432</v>
      </c>
      <c r="DE169" s="33" t="s">
        <v>30</v>
      </c>
    </row>
    <row r="170" spans="103:109" ht="15" customHeight="1">
      <c r="CY170" s="62" t="s">
        <v>433</v>
      </c>
      <c r="DE170" s="33" t="s">
        <v>30</v>
      </c>
    </row>
    <row r="171" spans="103:109" ht="15" customHeight="1">
      <c r="CY171" s="62" t="s">
        <v>282</v>
      </c>
      <c r="DE171" s="33" t="s">
        <v>30</v>
      </c>
    </row>
    <row r="172" spans="103:109" ht="15" customHeight="1">
      <c r="CY172" s="62" t="s">
        <v>434</v>
      </c>
      <c r="DE172" s="33" t="s">
        <v>30</v>
      </c>
    </row>
    <row r="173" spans="103:109" ht="15" customHeight="1">
      <c r="CY173" s="62" t="s">
        <v>435</v>
      </c>
      <c r="DE173" s="33" t="s">
        <v>30</v>
      </c>
    </row>
    <row r="174" spans="103:109" ht="15" customHeight="1">
      <c r="CY174" s="62" t="s">
        <v>436</v>
      </c>
      <c r="DE174" s="33" t="s">
        <v>30</v>
      </c>
    </row>
    <row r="175" spans="103:109" ht="15" customHeight="1">
      <c r="CY175" s="62" t="s">
        <v>437</v>
      </c>
      <c r="DE175" s="33" t="s">
        <v>30</v>
      </c>
    </row>
    <row r="176" spans="103:109" ht="15" customHeight="1">
      <c r="CY176" s="62" t="s">
        <v>438</v>
      </c>
      <c r="DE176" s="33" t="s">
        <v>30</v>
      </c>
    </row>
    <row r="177" spans="103:109" ht="15" customHeight="1">
      <c r="CY177" s="62" t="s">
        <v>439</v>
      </c>
      <c r="DE177" s="33" t="s">
        <v>30</v>
      </c>
    </row>
    <row r="178" spans="103:109" ht="15" customHeight="1">
      <c r="CY178" s="62" t="s">
        <v>440</v>
      </c>
      <c r="DE178" s="33" t="s">
        <v>30</v>
      </c>
    </row>
    <row r="179" spans="103:109" ht="15" customHeight="1">
      <c r="CY179" s="62" t="s">
        <v>441</v>
      </c>
      <c r="DE179" s="33" t="s">
        <v>30</v>
      </c>
    </row>
    <row r="180" spans="103:109" ht="15" customHeight="1">
      <c r="CY180" s="62" t="s">
        <v>442</v>
      </c>
      <c r="DE180" s="33" t="s">
        <v>30</v>
      </c>
    </row>
    <row r="181" spans="103:109" ht="15" customHeight="1">
      <c r="CY181" s="62" t="s">
        <v>312</v>
      </c>
      <c r="DE181" s="33" t="s">
        <v>30</v>
      </c>
    </row>
    <row r="182" spans="103:109" ht="15" customHeight="1">
      <c r="CY182" s="62" t="s">
        <v>443</v>
      </c>
      <c r="DE182" s="33" t="s">
        <v>30</v>
      </c>
    </row>
    <row r="183" spans="103:109" ht="15" customHeight="1">
      <c r="CY183" s="62" t="s">
        <v>425</v>
      </c>
      <c r="DE183" s="33" t="s">
        <v>30</v>
      </c>
    </row>
    <row r="184" spans="103:109" ht="15" customHeight="1">
      <c r="CY184" s="62" t="s">
        <v>321</v>
      </c>
      <c r="DE184" s="33" t="s">
        <v>30</v>
      </c>
    </row>
    <row r="185" spans="103:109" ht="15" customHeight="1">
      <c r="CY185" s="62" t="s">
        <v>324</v>
      </c>
      <c r="DE185" s="33" t="s">
        <v>30</v>
      </c>
    </row>
    <row r="186" spans="103:109" ht="15" customHeight="1">
      <c r="CY186" s="62" t="s">
        <v>327</v>
      </c>
      <c r="DE186" s="33" t="s">
        <v>30</v>
      </c>
    </row>
    <row r="187" spans="103:109" ht="15" customHeight="1">
      <c r="CY187" s="62" t="s">
        <v>330</v>
      </c>
      <c r="DE187" s="33" t="s">
        <v>30</v>
      </c>
    </row>
    <row r="188" spans="103:109" ht="15" customHeight="1">
      <c r="CY188" s="62" t="s">
        <v>333</v>
      </c>
      <c r="DE188" s="33" t="s">
        <v>30</v>
      </c>
    </row>
    <row r="189" spans="103:109" ht="15" customHeight="1">
      <c r="CY189" s="62" t="s">
        <v>444</v>
      </c>
      <c r="DE189" s="33" t="s">
        <v>30</v>
      </c>
    </row>
    <row r="190" spans="103:109" ht="15" customHeight="1">
      <c r="CY190" s="62" t="s">
        <v>445</v>
      </c>
      <c r="DE190" s="33" t="s">
        <v>30</v>
      </c>
    </row>
    <row r="191" spans="103:109" ht="15" customHeight="1">
      <c r="CY191" s="62" t="s">
        <v>446</v>
      </c>
      <c r="DE191" s="33" t="s">
        <v>30</v>
      </c>
    </row>
    <row r="192" spans="103:109" ht="15" customHeight="1">
      <c r="CY192" s="62" t="s">
        <v>447</v>
      </c>
      <c r="DE192" s="33" t="s">
        <v>30</v>
      </c>
    </row>
    <row r="193" spans="103:109" ht="15" customHeight="1">
      <c r="CY193" s="62" t="s">
        <v>448</v>
      </c>
      <c r="DE193" s="33" t="s">
        <v>30</v>
      </c>
    </row>
    <row r="194" spans="103:109" ht="15" customHeight="1">
      <c r="CY194" s="62" t="s">
        <v>449</v>
      </c>
      <c r="DE194" s="33" t="s">
        <v>30</v>
      </c>
    </row>
    <row r="195" spans="103:109" ht="15" customHeight="1">
      <c r="CY195" s="62" t="s">
        <v>450</v>
      </c>
      <c r="DE195" s="33" t="s">
        <v>30</v>
      </c>
    </row>
    <row r="196" spans="103:109" ht="15" customHeight="1">
      <c r="CY196" s="62" t="s">
        <v>451</v>
      </c>
      <c r="DE196" s="33" t="s">
        <v>30</v>
      </c>
    </row>
    <row r="197" spans="103:109" ht="15" customHeight="1">
      <c r="CY197" s="62" t="s">
        <v>452</v>
      </c>
      <c r="DE197" s="33" t="s">
        <v>30</v>
      </c>
    </row>
    <row r="198" spans="103:109" ht="15" customHeight="1">
      <c r="CY198" s="62" t="s">
        <v>445</v>
      </c>
      <c r="DE198" s="33" t="s">
        <v>30</v>
      </c>
    </row>
    <row r="199" spans="103:109" ht="15" customHeight="1">
      <c r="CY199" s="62" t="s">
        <v>446</v>
      </c>
      <c r="DE199" s="33" t="s">
        <v>30</v>
      </c>
    </row>
    <row r="200" spans="103:109" ht="15" customHeight="1">
      <c r="CY200" s="62" t="s">
        <v>453</v>
      </c>
      <c r="DE200" s="33" t="s">
        <v>30</v>
      </c>
    </row>
    <row r="201" spans="103:109" ht="15" customHeight="1">
      <c r="CY201" s="62" t="s">
        <v>448</v>
      </c>
      <c r="DE201" s="33" t="s">
        <v>30</v>
      </c>
    </row>
    <row r="202" spans="103:109" ht="15" customHeight="1">
      <c r="CY202" s="62" t="s">
        <v>449</v>
      </c>
      <c r="DE202" s="33" t="s">
        <v>30</v>
      </c>
    </row>
    <row r="203" spans="103:109" ht="15" customHeight="1">
      <c r="CY203" s="62" t="s">
        <v>454</v>
      </c>
      <c r="DE203" s="33" t="s">
        <v>30</v>
      </c>
    </row>
    <row r="204" spans="103:109" ht="15" customHeight="1">
      <c r="CY204" s="62" t="s">
        <v>455</v>
      </c>
      <c r="DE204" s="33" t="s">
        <v>30</v>
      </c>
    </row>
    <row r="205" spans="103:109" ht="15" customHeight="1">
      <c r="CY205" s="62" t="s">
        <v>456</v>
      </c>
      <c r="DE205" s="33" t="s">
        <v>30</v>
      </c>
    </row>
    <row r="206" spans="103:109" ht="15" customHeight="1">
      <c r="CY206" s="62" t="s">
        <v>457</v>
      </c>
      <c r="DE206" s="33" t="s">
        <v>30</v>
      </c>
    </row>
    <row r="207" spans="103:109" ht="15" customHeight="1">
      <c r="CY207" s="62" t="s">
        <v>340</v>
      </c>
      <c r="DE207" s="33" t="s">
        <v>30</v>
      </c>
    </row>
    <row r="208" spans="103:109" ht="15" customHeight="1">
      <c r="CY208" s="62" t="s">
        <v>272</v>
      </c>
      <c r="DE208" s="33" t="s">
        <v>30</v>
      </c>
    </row>
    <row r="209" spans="103:109" ht="15" customHeight="1">
      <c r="CY209" s="62" t="s">
        <v>458</v>
      </c>
      <c r="DE209" s="33" t="s">
        <v>30</v>
      </c>
    </row>
    <row r="210" spans="103:109" ht="15" customHeight="1">
      <c r="CY210" s="62" t="s">
        <v>279</v>
      </c>
      <c r="DE210" s="33" t="s">
        <v>30</v>
      </c>
    </row>
    <row r="211" spans="103:109" ht="15" customHeight="1">
      <c r="CY211" s="62" t="s">
        <v>282</v>
      </c>
      <c r="DE211" s="33" t="s">
        <v>30</v>
      </c>
    </row>
    <row r="212" spans="103:109" ht="15" customHeight="1">
      <c r="CY212" s="62" t="s">
        <v>459</v>
      </c>
      <c r="DE212" s="33" t="s">
        <v>30</v>
      </c>
    </row>
    <row r="213" spans="103:109" ht="15" customHeight="1">
      <c r="CY213" s="62" t="s">
        <v>460</v>
      </c>
      <c r="DE213" s="33" t="s">
        <v>30</v>
      </c>
    </row>
    <row r="214" spans="103:109" ht="15" customHeight="1">
      <c r="CY214" s="62" t="s">
        <v>461</v>
      </c>
      <c r="DE214" s="33" t="s">
        <v>30</v>
      </c>
    </row>
    <row r="215" spans="103:109" ht="15" customHeight="1">
      <c r="CY215" s="62" t="s">
        <v>462</v>
      </c>
      <c r="DE215" s="33" t="s">
        <v>30</v>
      </c>
    </row>
    <row r="216" spans="103:109" ht="15" customHeight="1">
      <c r="CY216" s="62" t="s">
        <v>463</v>
      </c>
      <c r="DE216" s="33" t="s">
        <v>30</v>
      </c>
    </row>
    <row r="217" spans="103:109" ht="15" customHeight="1">
      <c r="CY217" s="62" t="s">
        <v>464</v>
      </c>
      <c r="DE217" s="33" t="s">
        <v>30</v>
      </c>
    </row>
    <row r="218" spans="103:109" ht="15" customHeight="1">
      <c r="CY218" s="62" t="s">
        <v>465</v>
      </c>
      <c r="DE218" s="33" t="s">
        <v>30</v>
      </c>
    </row>
    <row r="219" spans="103:109" ht="15" customHeight="1">
      <c r="CY219" s="62" t="s">
        <v>466</v>
      </c>
      <c r="DE219" s="33" t="s">
        <v>30</v>
      </c>
    </row>
    <row r="220" spans="103:109" ht="15" customHeight="1">
      <c r="CY220" s="62" t="s">
        <v>467</v>
      </c>
      <c r="DE220" s="33" t="s">
        <v>30</v>
      </c>
    </row>
    <row r="221" spans="103:109" ht="15" customHeight="1">
      <c r="CY221" s="62" t="s">
        <v>312</v>
      </c>
      <c r="DE221" s="33" t="s">
        <v>30</v>
      </c>
    </row>
    <row r="222" spans="103:109" ht="15" customHeight="1">
      <c r="CY222" s="62" t="s">
        <v>468</v>
      </c>
      <c r="DE222" s="33" t="s">
        <v>30</v>
      </c>
    </row>
    <row r="223" spans="103:109" ht="15" customHeight="1">
      <c r="CY223" s="62" t="s">
        <v>469</v>
      </c>
      <c r="DE223" s="33" t="s">
        <v>30</v>
      </c>
    </row>
    <row r="224" spans="103:109" ht="15" customHeight="1">
      <c r="CY224" s="62" t="s">
        <v>321</v>
      </c>
      <c r="DE224" s="33" t="s">
        <v>30</v>
      </c>
    </row>
    <row r="225" spans="103:109" ht="15" customHeight="1">
      <c r="CY225" s="62" t="s">
        <v>324</v>
      </c>
      <c r="DE225" s="33" t="s">
        <v>30</v>
      </c>
    </row>
    <row r="226" spans="103:109" ht="15" customHeight="1">
      <c r="CY226" s="62" t="s">
        <v>327</v>
      </c>
      <c r="DE226" s="33" t="s">
        <v>30</v>
      </c>
    </row>
    <row r="227" spans="103:109" ht="15" customHeight="1">
      <c r="CY227" s="62" t="s">
        <v>330</v>
      </c>
      <c r="DE227" s="33" t="s">
        <v>30</v>
      </c>
    </row>
    <row r="228" spans="103:109" ht="15" customHeight="1">
      <c r="CY228" s="62" t="s">
        <v>333</v>
      </c>
      <c r="DE228" s="33" t="s">
        <v>30</v>
      </c>
    </row>
    <row r="229" spans="103:109" ht="15" customHeight="1">
      <c r="CY229" s="62" t="s">
        <v>444</v>
      </c>
      <c r="DE229" s="33" t="s">
        <v>30</v>
      </c>
    </row>
    <row r="230" spans="103:109" ht="15" customHeight="1">
      <c r="CY230" s="62" t="s">
        <v>445</v>
      </c>
      <c r="DE230" s="33" t="s">
        <v>30</v>
      </c>
    </row>
    <row r="231" spans="103:109" ht="15" customHeight="1">
      <c r="CY231" s="62" t="s">
        <v>446</v>
      </c>
      <c r="DE231" s="33" t="s">
        <v>30</v>
      </c>
    </row>
    <row r="232" spans="103:109" ht="15" customHeight="1">
      <c r="CY232" s="62" t="s">
        <v>447</v>
      </c>
      <c r="DE232" s="33" t="s">
        <v>30</v>
      </c>
    </row>
    <row r="233" spans="103:109" ht="15" customHeight="1">
      <c r="CY233" s="62" t="s">
        <v>448</v>
      </c>
      <c r="DE233" s="33" t="s">
        <v>30</v>
      </c>
    </row>
    <row r="234" spans="103:109" ht="15" customHeight="1">
      <c r="CY234" s="62" t="s">
        <v>449</v>
      </c>
      <c r="DE234" s="33" t="s">
        <v>30</v>
      </c>
    </row>
    <row r="235" spans="103:109" ht="15" customHeight="1">
      <c r="CY235" s="62" t="s">
        <v>454</v>
      </c>
      <c r="DE235" s="33" t="s">
        <v>30</v>
      </c>
    </row>
    <row r="236" spans="103:109" ht="15" customHeight="1">
      <c r="CY236" s="62" t="s">
        <v>470</v>
      </c>
      <c r="DE236" s="33" t="s">
        <v>30</v>
      </c>
    </row>
    <row r="237" spans="103:109" ht="15" customHeight="1">
      <c r="CY237" s="62" t="s">
        <v>456</v>
      </c>
      <c r="DE237" s="33" t="s">
        <v>30</v>
      </c>
    </row>
    <row r="238" spans="103:109" ht="15" customHeight="1">
      <c r="CY238" s="62" t="s">
        <v>457</v>
      </c>
      <c r="DE238" s="33" t="s">
        <v>30</v>
      </c>
    </row>
    <row r="239" spans="103:109" ht="15" customHeight="1">
      <c r="CY239" s="62" t="s">
        <v>340</v>
      </c>
      <c r="DE239" s="33" t="s">
        <v>30</v>
      </c>
    </row>
    <row r="240" spans="103:109" ht="15" customHeight="1">
      <c r="CY240" s="62" t="s">
        <v>272</v>
      </c>
      <c r="DE240" s="33" t="s">
        <v>30</v>
      </c>
    </row>
    <row r="241" spans="103:109" ht="15" customHeight="1">
      <c r="CY241" s="62" t="s">
        <v>471</v>
      </c>
      <c r="DE241" s="33" t="s">
        <v>30</v>
      </c>
    </row>
    <row r="242" spans="103:109" ht="15" customHeight="1">
      <c r="CY242" s="62" t="s">
        <v>279</v>
      </c>
      <c r="DE242" s="33" t="s">
        <v>30</v>
      </c>
    </row>
    <row r="243" spans="103:109" ht="15" customHeight="1">
      <c r="CY243" s="62" t="s">
        <v>282</v>
      </c>
      <c r="DE243" s="33" t="s">
        <v>30</v>
      </c>
    </row>
    <row r="244" spans="103:109" ht="15" customHeight="1">
      <c r="CY244" s="62" t="s">
        <v>472</v>
      </c>
      <c r="DE244" s="33" t="s">
        <v>30</v>
      </c>
    </row>
    <row r="245" spans="103:109" ht="15" customHeight="1">
      <c r="CY245" s="62" t="s">
        <v>460</v>
      </c>
      <c r="DE245" s="33" t="s">
        <v>30</v>
      </c>
    </row>
    <row r="246" spans="103:109" ht="15" customHeight="1">
      <c r="CY246" s="62" t="s">
        <v>461</v>
      </c>
      <c r="DE246" s="33" t="s">
        <v>30</v>
      </c>
    </row>
    <row r="247" spans="103:109" ht="15" customHeight="1">
      <c r="CY247" s="62" t="s">
        <v>462</v>
      </c>
      <c r="DE247" s="33" t="s">
        <v>30</v>
      </c>
    </row>
    <row r="248" spans="103:109" ht="15" customHeight="1">
      <c r="CY248" s="62" t="s">
        <v>463</v>
      </c>
      <c r="DE248" s="33" t="s">
        <v>30</v>
      </c>
    </row>
    <row r="249" spans="103:109" ht="15" customHeight="1">
      <c r="CY249" s="62" t="s">
        <v>464</v>
      </c>
      <c r="DE249" s="33" t="s">
        <v>30</v>
      </c>
    </row>
    <row r="250" spans="103:109" ht="15" customHeight="1">
      <c r="CY250" s="62" t="s">
        <v>465</v>
      </c>
      <c r="DE250" s="33" t="s">
        <v>30</v>
      </c>
    </row>
    <row r="251" spans="103:109" ht="15" customHeight="1">
      <c r="CY251" s="62" t="s">
        <v>466</v>
      </c>
      <c r="DE251" s="33" t="s">
        <v>30</v>
      </c>
    </row>
    <row r="252" spans="103:109" ht="15" customHeight="1">
      <c r="CY252" s="62" t="s">
        <v>467</v>
      </c>
      <c r="DE252" s="33" t="s">
        <v>30</v>
      </c>
    </row>
    <row r="253" spans="103:109" ht="15" customHeight="1">
      <c r="CY253" s="62" t="s">
        <v>312</v>
      </c>
      <c r="DE253" s="33" t="s">
        <v>30</v>
      </c>
    </row>
    <row r="254" spans="103:109" ht="15" customHeight="1">
      <c r="CY254" s="62" t="s">
        <v>468</v>
      </c>
      <c r="DE254" s="33" t="s">
        <v>30</v>
      </c>
    </row>
    <row r="255" spans="103:109" ht="15" customHeight="1">
      <c r="CY255" s="62" t="s">
        <v>473</v>
      </c>
      <c r="DE255" s="33" t="s">
        <v>30</v>
      </c>
    </row>
    <row r="256" spans="103:109" ht="15" customHeight="1">
      <c r="CY256" s="62" t="s">
        <v>321</v>
      </c>
      <c r="DE256" s="33" t="s">
        <v>30</v>
      </c>
    </row>
    <row r="257" spans="103:109" ht="15" customHeight="1">
      <c r="CY257" s="62" t="s">
        <v>324</v>
      </c>
      <c r="DE257" s="33" t="s">
        <v>30</v>
      </c>
    </row>
    <row r="258" spans="103:109" ht="15" customHeight="1">
      <c r="CY258" s="62" t="s">
        <v>327</v>
      </c>
      <c r="DE258" s="33" t="s">
        <v>30</v>
      </c>
    </row>
    <row r="259" spans="103:109" ht="15" customHeight="1">
      <c r="CY259" s="62" t="s">
        <v>330</v>
      </c>
      <c r="DE259" s="33" t="s">
        <v>30</v>
      </c>
    </row>
    <row r="260" spans="103:109" ht="15" customHeight="1">
      <c r="CY260" s="62" t="s">
        <v>333</v>
      </c>
      <c r="DE260" s="33" t="s">
        <v>30</v>
      </c>
    </row>
    <row r="261" spans="103:109" ht="15" customHeight="1">
      <c r="CY261" s="62" t="s">
        <v>444</v>
      </c>
      <c r="DE261" s="33" t="s">
        <v>30</v>
      </c>
    </row>
    <row r="262" spans="103:109" ht="15" customHeight="1">
      <c r="CY262" s="62" t="s">
        <v>445</v>
      </c>
      <c r="DE262" s="33" t="s">
        <v>30</v>
      </c>
    </row>
    <row r="263" spans="103:109" ht="15" customHeight="1">
      <c r="CY263" s="62" t="s">
        <v>446</v>
      </c>
      <c r="DE263" s="33" t="s">
        <v>30</v>
      </c>
    </row>
    <row r="264" spans="103:109" ht="15" customHeight="1">
      <c r="CY264" s="62" t="s">
        <v>447</v>
      </c>
      <c r="DE264" s="33" t="s">
        <v>30</v>
      </c>
    </row>
    <row r="265" spans="103:109" ht="15" customHeight="1">
      <c r="CY265" s="62" t="s">
        <v>448</v>
      </c>
      <c r="DE265" s="33" t="s">
        <v>30</v>
      </c>
    </row>
    <row r="266" spans="103:109" ht="15" customHeight="1">
      <c r="CY266" s="62" t="s">
        <v>449</v>
      </c>
      <c r="DE266" s="33" t="s">
        <v>30</v>
      </c>
    </row>
    <row r="267" spans="103:109" ht="15" customHeight="1">
      <c r="CY267" s="62" t="s">
        <v>474</v>
      </c>
      <c r="DE267" s="33" t="s">
        <v>30</v>
      </c>
    </row>
    <row r="268" spans="103:109" ht="15" customHeight="1">
      <c r="CY268" s="62" t="s">
        <v>475</v>
      </c>
      <c r="DE268" s="33" t="s">
        <v>30</v>
      </c>
    </row>
    <row r="269" spans="103:109" ht="15" customHeight="1">
      <c r="CY269" s="62" t="s">
        <v>456</v>
      </c>
      <c r="DE269" s="33" t="s">
        <v>30</v>
      </c>
    </row>
    <row r="270" spans="103:109" ht="15" customHeight="1">
      <c r="CY270" s="62" t="s">
        <v>457</v>
      </c>
      <c r="DE270" s="33" t="s">
        <v>30</v>
      </c>
    </row>
    <row r="271" spans="103:109" ht="15" customHeight="1">
      <c r="CY271" s="62" t="s">
        <v>340</v>
      </c>
      <c r="DE271" s="33" t="s">
        <v>30</v>
      </c>
    </row>
    <row r="272" spans="103:109" ht="15" customHeight="1">
      <c r="CY272" s="62" t="s">
        <v>272</v>
      </c>
      <c r="DE272" s="33" t="s">
        <v>30</v>
      </c>
    </row>
    <row r="273" spans="103:109" ht="15" customHeight="1">
      <c r="CY273" s="62" t="s">
        <v>476</v>
      </c>
      <c r="DE273" s="33" t="s">
        <v>30</v>
      </c>
    </row>
    <row r="274" spans="103:109" ht="15" customHeight="1">
      <c r="CY274" s="62" t="s">
        <v>279</v>
      </c>
      <c r="DE274" s="33" t="s">
        <v>30</v>
      </c>
    </row>
    <row r="275" spans="103:109" ht="15" customHeight="1">
      <c r="CY275" s="62" t="s">
        <v>282</v>
      </c>
      <c r="DE275" s="33" t="s">
        <v>30</v>
      </c>
    </row>
    <row r="276" spans="103:109" ht="15" customHeight="1">
      <c r="CY276" s="62" t="s">
        <v>477</v>
      </c>
      <c r="DE276" s="33" t="s">
        <v>30</v>
      </c>
    </row>
    <row r="277" spans="103:109" ht="15" customHeight="1">
      <c r="CY277" s="62" t="s">
        <v>460</v>
      </c>
      <c r="DE277" s="33" t="s">
        <v>30</v>
      </c>
    </row>
    <row r="278" spans="103:109" ht="15" customHeight="1">
      <c r="CY278" s="62" t="s">
        <v>461</v>
      </c>
      <c r="DE278" s="33" t="s">
        <v>30</v>
      </c>
    </row>
    <row r="279" spans="103:109" ht="15" customHeight="1">
      <c r="CY279" s="62" t="s">
        <v>462</v>
      </c>
      <c r="DE279" s="33" t="s">
        <v>30</v>
      </c>
    </row>
    <row r="280" spans="103:109" ht="15" customHeight="1">
      <c r="CY280" s="62" t="s">
        <v>463</v>
      </c>
      <c r="DE280" s="33" t="s">
        <v>30</v>
      </c>
    </row>
    <row r="281" spans="103:109" ht="15" customHeight="1">
      <c r="CY281" s="62" t="s">
        <v>464</v>
      </c>
      <c r="DE281" s="33" t="s">
        <v>30</v>
      </c>
    </row>
    <row r="282" spans="103:109" ht="15" customHeight="1">
      <c r="CY282" s="62" t="s">
        <v>465</v>
      </c>
      <c r="DE282" s="33" t="s">
        <v>30</v>
      </c>
    </row>
    <row r="283" spans="103:109" ht="15" customHeight="1">
      <c r="CY283" s="62" t="s">
        <v>466</v>
      </c>
      <c r="DE283" s="33" t="s">
        <v>30</v>
      </c>
    </row>
    <row r="284" spans="103:109" ht="15" customHeight="1">
      <c r="CY284" s="62" t="s">
        <v>467</v>
      </c>
      <c r="DE284" s="33" t="s">
        <v>30</v>
      </c>
    </row>
    <row r="285" spans="103:109" ht="15" customHeight="1">
      <c r="CY285" s="62" t="s">
        <v>312</v>
      </c>
      <c r="DE285" s="33" t="s">
        <v>30</v>
      </c>
    </row>
    <row r="286" spans="103:109" ht="15" customHeight="1">
      <c r="CY286" s="62" t="s">
        <v>468</v>
      </c>
      <c r="DE286" s="33" t="s">
        <v>30</v>
      </c>
    </row>
    <row r="287" spans="103:109" ht="15" customHeight="1">
      <c r="CY287" s="62" t="s">
        <v>478</v>
      </c>
      <c r="DE287" s="33" t="s">
        <v>30</v>
      </c>
    </row>
    <row r="288" spans="103:109" ht="15" customHeight="1">
      <c r="CY288" s="62" t="s">
        <v>321</v>
      </c>
      <c r="DE288" s="33" t="s">
        <v>30</v>
      </c>
    </row>
    <row r="289" spans="103:109" ht="15" customHeight="1">
      <c r="CY289" s="62" t="s">
        <v>324</v>
      </c>
      <c r="DE289" s="33" t="s">
        <v>30</v>
      </c>
    </row>
    <row r="290" spans="103:109" ht="15" customHeight="1">
      <c r="CY290" s="62" t="s">
        <v>327</v>
      </c>
      <c r="DE290" s="33" t="s">
        <v>30</v>
      </c>
    </row>
    <row r="291" spans="103:109" ht="15" customHeight="1">
      <c r="CY291" s="62" t="s">
        <v>330</v>
      </c>
      <c r="DE291" s="33" t="s">
        <v>30</v>
      </c>
    </row>
    <row r="292" spans="103:109" ht="15" customHeight="1">
      <c r="CY292" s="62" t="s">
        <v>333</v>
      </c>
      <c r="DE292" s="33" t="s">
        <v>30</v>
      </c>
    </row>
    <row r="293" spans="103:109" ht="15" customHeight="1">
      <c r="CY293" s="62" t="s">
        <v>444</v>
      </c>
      <c r="DE293" s="33" t="s">
        <v>30</v>
      </c>
    </row>
    <row r="294" spans="103:109" ht="15" customHeight="1">
      <c r="CY294" s="62" t="s">
        <v>445</v>
      </c>
      <c r="DE294" s="33" t="s">
        <v>30</v>
      </c>
    </row>
    <row r="295" spans="103:109" ht="15" customHeight="1">
      <c r="CY295" s="62" t="s">
        <v>446</v>
      </c>
      <c r="DE295" s="33" t="s">
        <v>30</v>
      </c>
    </row>
    <row r="296" spans="103:109" ht="15" customHeight="1">
      <c r="CY296" s="62" t="s">
        <v>447</v>
      </c>
      <c r="DE296" s="33" t="s">
        <v>30</v>
      </c>
    </row>
    <row r="297" spans="103:109" ht="15" customHeight="1">
      <c r="CY297" s="62" t="s">
        <v>448</v>
      </c>
      <c r="DE297" s="33" t="s">
        <v>30</v>
      </c>
    </row>
    <row r="298" spans="103:109" ht="15" customHeight="1">
      <c r="CY298" s="62" t="s">
        <v>449</v>
      </c>
      <c r="DE298" s="33" t="s">
        <v>30</v>
      </c>
    </row>
    <row r="299" spans="103:109" ht="15" customHeight="1">
      <c r="CY299" s="62" t="s">
        <v>450</v>
      </c>
      <c r="DE299" s="33" t="s">
        <v>30</v>
      </c>
    </row>
    <row r="300" spans="103:109" ht="15" customHeight="1">
      <c r="CY300" s="62" t="s">
        <v>479</v>
      </c>
      <c r="DE300" s="33" t="s">
        <v>30</v>
      </c>
    </row>
    <row r="301" spans="103:109" ht="15" customHeight="1">
      <c r="CY301" s="62" t="s">
        <v>456</v>
      </c>
      <c r="DE301" s="33" t="s">
        <v>30</v>
      </c>
    </row>
    <row r="302" spans="103:109" ht="15" customHeight="1">
      <c r="CY302" s="62" t="s">
        <v>457</v>
      </c>
      <c r="DE302" s="33" t="s">
        <v>30</v>
      </c>
    </row>
    <row r="303" spans="103:109" ht="15" customHeight="1">
      <c r="CY303" s="62" t="s">
        <v>340</v>
      </c>
      <c r="DE303" s="33" t="s">
        <v>30</v>
      </c>
    </row>
    <row r="304" spans="103:109" ht="15" customHeight="1">
      <c r="CY304" s="62" t="s">
        <v>272</v>
      </c>
      <c r="DE304" s="33" t="s">
        <v>30</v>
      </c>
    </row>
    <row r="305" spans="103:109" ht="15" customHeight="1">
      <c r="CY305" s="62" t="s">
        <v>480</v>
      </c>
      <c r="DE305" s="33" t="s">
        <v>30</v>
      </c>
    </row>
    <row r="306" spans="103:109" ht="15" customHeight="1">
      <c r="CY306" s="62" t="s">
        <v>279</v>
      </c>
      <c r="DE306" s="33" t="s">
        <v>30</v>
      </c>
    </row>
    <row r="307" spans="103:109" ht="15" customHeight="1">
      <c r="CY307" s="62" t="s">
        <v>282</v>
      </c>
      <c r="DE307" s="33" t="s">
        <v>30</v>
      </c>
    </row>
    <row r="308" spans="103:109" ht="15" customHeight="1">
      <c r="CY308" s="62" t="s">
        <v>481</v>
      </c>
      <c r="DE308" s="33" t="s">
        <v>30</v>
      </c>
    </row>
    <row r="309" spans="103:109" ht="15" customHeight="1">
      <c r="CY309" s="62" t="s">
        <v>482</v>
      </c>
      <c r="DE309" s="33" t="s">
        <v>30</v>
      </c>
    </row>
    <row r="310" spans="103:109" ht="15" customHeight="1">
      <c r="CY310" s="62" t="s">
        <v>483</v>
      </c>
      <c r="DE310" s="33" t="s">
        <v>30</v>
      </c>
    </row>
    <row r="311" spans="103:109" ht="15" customHeight="1">
      <c r="CY311" s="62" t="s">
        <v>484</v>
      </c>
      <c r="DE311" s="33" t="s">
        <v>30</v>
      </c>
    </row>
    <row r="312" spans="103:109" ht="15" customHeight="1">
      <c r="CY312" s="62" t="s">
        <v>485</v>
      </c>
      <c r="DE312" s="33" t="s">
        <v>30</v>
      </c>
    </row>
    <row r="313" spans="103:109" ht="15" customHeight="1">
      <c r="CY313" s="62" t="s">
        <v>486</v>
      </c>
      <c r="DE313" s="33" t="s">
        <v>30</v>
      </c>
    </row>
    <row r="314" spans="103:109" ht="15" customHeight="1">
      <c r="CY314" s="62" t="s">
        <v>487</v>
      </c>
      <c r="DE314" s="33" t="s">
        <v>30</v>
      </c>
    </row>
    <row r="315" spans="103:109" ht="15" customHeight="1">
      <c r="CY315" s="62" t="s">
        <v>488</v>
      </c>
      <c r="DE315" s="33" t="s">
        <v>30</v>
      </c>
    </row>
    <row r="316" spans="103:109" ht="15" customHeight="1">
      <c r="CY316" s="62" t="s">
        <v>489</v>
      </c>
      <c r="DE316" s="33" t="s">
        <v>30</v>
      </c>
    </row>
    <row r="317" spans="103:109" ht="15" customHeight="1">
      <c r="CY317" s="62" t="s">
        <v>312</v>
      </c>
      <c r="DE317" s="33" t="s">
        <v>30</v>
      </c>
    </row>
    <row r="318" spans="103:109" ht="15" customHeight="1">
      <c r="CY318" s="62" t="s">
        <v>490</v>
      </c>
      <c r="DE318" s="33" t="s">
        <v>30</v>
      </c>
    </row>
    <row r="319" spans="103:109" ht="15" customHeight="1">
      <c r="CY319" s="62" t="s">
        <v>491</v>
      </c>
      <c r="DE319" s="33" t="s">
        <v>30</v>
      </c>
    </row>
    <row r="320" spans="103:109" ht="15" customHeight="1">
      <c r="CY320" s="62" t="s">
        <v>321</v>
      </c>
      <c r="DE320" s="33" t="s">
        <v>30</v>
      </c>
    </row>
    <row r="321" spans="103:109" ht="15" customHeight="1">
      <c r="CY321" s="62" t="s">
        <v>324</v>
      </c>
      <c r="DE321" s="33" t="s">
        <v>30</v>
      </c>
    </row>
    <row r="322" spans="103:109" ht="15" customHeight="1">
      <c r="CY322" s="62" t="s">
        <v>327</v>
      </c>
      <c r="DE322" s="33" t="s">
        <v>30</v>
      </c>
    </row>
    <row r="323" spans="103:109" ht="15" customHeight="1">
      <c r="CY323" s="62" t="s">
        <v>330</v>
      </c>
      <c r="DE323" s="33" t="s">
        <v>30</v>
      </c>
    </row>
    <row r="324" spans="103:109" ht="15" customHeight="1">
      <c r="CY324" s="62" t="s">
        <v>333</v>
      </c>
      <c r="DE324" s="33" t="s">
        <v>30</v>
      </c>
    </row>
    <row r="325" spans="103:109" ht="15" customHeight="1">
      <c r="CY325" s="62" t="s">
        <v>444</v>
      </c>
      <c r="DE325" s="33" t="s">
        <v>30</v>
      </c>
    </row>
    <row r="326" spans="103:109" ht="15" customHeight="1">
      <c r="CY326" s="62" t="s">
        <v>445</v>
      </c>
      <c r="DE326" s="33" t="s">
        <v>30</v>
      </c>
    </row>
    <row r="327" spans="103:109" ht="15" customHeight="1">
      <c r="CY327" s="62" t="s">
        <v>446</v>
      </c>
      <c r="DE327" s="33" t="s">
        <v>30</v>
      </c>
    </row>
    <row r="328" spans="103:109" ht="15" customHeight="1">
      <c r="CY328" s="62" t="s">
        <v>447</v>
      </c>
      <c r="DE328" s="33" t="s">
        <v>30</v>
      </c>
    </row>
    <row r="329" spans="103:109" ht="15" customHeight="1">
      <c r="CY329" s="62" t="s">
        <v>448</v>
      </c>
      <c r="DE329" s="33" t="s">
        <v>30</v>
      </c>
    </row>
    <row r="330" spans="103:109" ht="15" customHeight="1">
      <c r="CY330" s="62" t="s">
        <v>449</v>
      </c>
      <c r="DE330" s="33" t="s">
        <v>30</v>
      </c>
    </row>
    <row r="331" spans="103:109" ht="15" customHeight="1">
      <c r="CY331" s="62" t="s">
        <v>454</v>
      </c>
      <c r="DE331" s="33" t="s">
        <v>30</v>
      </c>
    </row>
    <row r="332" spans="103:109" ht="15" customHeight="1">
      <c r="CY332" s="62" t="s">
        <v>492</v>
      </c>
      <c r="DE332" s="33" t="s">
        <v>30</v>
      </c>
    </row>
    <row r="333" spans="103:109" ht="15" customHeight="1">
      <c r="CY333" s="62" t="s">
        <v>456</v>
      </c>
      <c r="DE333" s="33" t="s">
        <v>30</v>
      </c>
    </row>
    <row r="334" spans="103:109" ht="15" customHeight="1">
      <c r="CY334" s="62" t="s">
        <v>457</v>
      </c>
      <c r="DE334" s="33" t="s">
        <v>30</v>
      </c>
    </row>
    <row r="335" spans="103:109" ht="15" customHeight="1">
      <c r="CY335" s="62" t="s">
        <v>340</v>
      </c>
      <c r="DE335" s="33" t="s">
        <v>30</v>
      </c>
    </row>
    <row r="336" spans="103:109" ht="15" customHeight="1">
      <c r="CY336" s="62" t="s">
        <v>272</v>
      </c>
      <c r="DE336" s="33" t="s">
        <v>30</v>
      </c>
    </row>
    <row r="337" spans="103:109" ht="15" customHeight="1">
      <c r="CY337" s="62" t="s">
        <v>493</v>
      </c>
      <c r="DE337" s="33" t="s">
        <v>30</v>
      </c>
    </row>
    <row r="338" spans="103:109" ht="15" customHeight="1">
      <c r="CY338" s="62" t="s">
        <v>279</v>
      </c>
      <c r="DE338" s="33" t="s">
        <v>30</v>
      </c>
    </row>
    <row r="339" spans="103:109" ht="15" customHeight="1">
      <c r="CY339" s="62" t="s">
        <v>282</v>
      </c>
      <c r="DE339" s="33" t="s">
        <v>30</v>
      </c>
    </row>
    <row r="340" spans="103:109" ht="15" customHeight="1">
      <c r="CY340" s="62" t="s">
        <v>494</v>
      </c>
      <c r="DE340" s="33" t="s">
        <v>30</v>
      </c>
    </row>
    <row r="341" spans="103:109" ht="15" customHeight="1">
      <c r="CY341" s="62" t="s">
        <v>482</v>
      </c>
      <c r="DE341" s="33" t="s">
        <v>30</v>
      </c>
    </row>
    <row r="342" spans="103:109" ht="15" customHeight="1">
      <c r="CY342" s="62" t="s">
        <v>483</v>
      </c>
      <c r="DE342" s="33" t="s">
        <v>30</v>
      </c>
    </row>
    <row r="343" spans="103:109" ht="15" customHeight="1">
      <c r="CY343" s="62" t="s">
        <v>484</v>
      </c>
      <c r="DE343" s="33" t="s">
        <v>30</v>
      </c>
    </row>
    <row r="344" spans="103:109" ht="15" customHeight="1">
      <c r="CY344" s="62" t="s">
        <v>485</v>
      </c>
      <c r="DE344" s="33" t="s">
        <v>30</v>
      </c>
    </row>
    <row r="345" spans="103:109" ht="15" customHeight="1">
      <c r="CY345" s="62" t="s">
        <v>486</v>
      </c>
      <c r="DE345" s="33" t="s">
        <v>30</v>
      </c>
    </row>
    <row r="346" spans="103:109" ht="15" customHeight="1">
      <c r="CY346" s="62" t="s">
        <v>487</v>
      </c>
      <c r="DE346" s="33" t="s">
        <v>30</v>
      </c>
    </row>
    <row r="347" spans="103:109" ht="15" customHeight="1">
      <c r="CY347" s="62" t="s">
        <v>488</v>
      </c>
      <c r="DE347" s="33" t="s">
        <v>30</v>
      </c>
    </row>
    <row r="348" spans="103:109" ht="15" customHeight="1">
      <c r="CY348" s="62" t="s">
        <v>489</v>
      </c>
      <c r="DE348" s="33" t="s">
        <v>30</v>
      </c>
    </row>
    <row r="349" spans="103:109" ht="15" customHeight="1">
      <c r="CY349" s="62" t="s">
        <v>312</v>
      </c>
      <c r="DE349" s="33" t="s">
        <v>30</v>
      </c>
    </row>
    <row r="350" spans="103:109" ht="15" customHeight="1">
      <c r="CY350" s="62" t="s">
        <v>490</v>
      </c>
      <c r="DE350" s="33" t="s">
        <v>30</v>
      </c>
    </row>
    <row r="351" spans="103:109" ht="15" customHeight="1">
      <c r="CY351" s="62" t="s">
        <v>495</v>
      </c>
      <c r="DE351" s="33" t="s">
        <v>30</v>
      </c>
    </row>
    <row r="352" spans="103:109" ht="15" customHeight="1">
      <c r="CY352" s="62" t="s">
        <v>321</v>
      </c>
      <c r="DE352" s="33" t="s">
        <v>30</v>
      </c>
    </row>
    <row r="353" spans="103:109" ht="15" customHeight="1">
      <c r="CY353" s="62" t="s">
        <v>324</v>
      </c>
      <c r="DE353" s="33" t="s">
        <v>30</v>
      </c>
    </row>
    <row r="354" spans="103:109" ht="15" customHeight="1">
      <c r="CY354" s="62" t="s">
        <v>327</v>
      </c>
      <c r="DE354" s="33" t="s">
        <v>30</v>
      </c>
    </row>
    <row r="355" spans="103:109" ht="15" customHeight="1">
      <c r="CY355" s="62" t="s">
        <v>330</v>
      </c>
      <c r="DE355" s="33" t="s">
        <v>30</v>
      </c>
    </row>
    <row r="356" spans="103:109" ht="15" customHeight="1">
      <c r="CY356" s="62" t="s">
        <v>333</v>
      </c>
      <c r="DE356" s="33" t="s">
        <v>30</v>
      </c>
    </row>
    <row r="357" spans="103:109" ht="15" customHeight="1">
      <c r="CY357" s="62" t="s">
        <v>444</v>
      </c>
      <c r="DE357" s="33" t="s">
        <v>30</v>
      </c>
    </row>
    <row r="358" spans="103:109" ht="15" customHeight="1">
      <c r="CY358" s="62" t="s">
        <v>445</v>
      </c>
      <c r="DE358" s="33" t="s">
        <v>30</v>
      </c>
    </row>
    <row r="359" spans="103:109" ht="15" customHeight="1">
      <c r="CY359" s="62" t="s">
        <v>446</v>
      </c>
      <c r="DE359" s="33" t="s">
        <v>30</v>
      </c>
    </row>
    <row r="360" spans="103:109" ht="15" customHeight="1">
      <c r="CY360" s="62" t="s">
        <v>447</v>
      </c>
      <c r="DE360" s="33" t="s">
        <v>30</v>
      </c>
    </row>
    <row r="361" spans="103:109" ht="15" customHeight="1">
      <c r="CY361" s="62" t="s">
        <v>448</v>
      </c>
      <c r="DE361" s="33" t="s">
        <v>30</v>
      </c>
    </row>
    <row r="362" spans="103:109" ht="15" customHeight="1">
      <c r="CY362" s="62" t="s">
        <v>449</v>
      </c>
      <c r="DE362" s="33" t="s">
        <v>30</v>
      </c>
    </row>
    <row r="363" spans="103:109" ht="15" customHeight="1">
      <c r="CY363" s="62" t="s">
        <v>474</v>
      </c>
      <c r="DE363" s="33" t="s">
        <v>30</v>
      </c>
    </row>
    <row r="364" spans="103:109" ht="15" customHeight="1">
      <c r="CY364" s="62" t="s">
        <v>496</v>
      </c>
      <c r="DE364" s="33" t="s">
        <v>30</v>
      </c>
    </row>
    <row r="365" spans="103:109" ht="15" customHeight="1">
      <c r="CY365" s="62" t="s">
        <v>456</v>
      </c>
      <c r="DE365" s="33" t="s">
        <v>30</v>
      </c>
    </row>
    <row r="366" spans="103:109" ht="15" customHeight="1">
      <c r="CY366" s="62" t="s">
        <v>457</v>
      </c>
      <c r="DE366" s="33" t="s">
        <v>30</v>
      </c>
    </row>
    <row r="367" spans="103:109" ht="15" customHeight="1">
      <c r="CY367" s="62" t="s">
        <v>340</v>
      </c>
      <c r="DE367" s="33" t="s">
        <v>30</v>
      </c>
    </row>
    <row r="368" spans="103:109" ht="15" customHeight="1">
      <c r="CY368" s="62" t="s">
        <v>272</v>
      </c>
      <c r="DE368" s="33" t="s">
        <v>30</v>
      </c>
    </row>
    <row r="369" spans="103:109" ht="15" customHeight="1">
      <c r="CY369" s="62" t="s">
        <v>497</v>
      </c>
      <c r="DE369" s="33" t="s">
        <v>30</v>
      </c>
    </row>
    <row r="370" spans="103:109" ht="15" customHeight="1">
      <c r="CY370" s="62" t="s">
        <v>279</v>
      </c>
      <c r="DE370" s="33" t="s">
        <v>30</v>
      </c>
    </row>
    <row r="371" spans="103:109" ht="15" customHeight="1">
      <c r="CY371" s="62" t="s">
        <v>282</v>
      </c>
      <c r="DE371" s="33" t="s">
        <v>30</v>
      </c>
    </row>
    <row r="372" spans="103:109" ht="15" customHeight="1">
      <c r="CY372" s="62" t="s">
        <v>498</v>
      </c>
      <c r="DE372" s="33" t="s">
        <v>30</v>
      </c>
    </row>
    <row r="373" spans="103:109" ht="15" customHeight="1">
      <c r="CY373" s="62" t="s">
        <v>482</v>
      </c>
      <c r="DE373" s="33" t="s">
        <v>30</v>
      </c>
    </row>
    <row r="374" spans="103:109" ht="15" customHeight="1">
      <c r="CY374" s="62" t="s">
        <v>483</v>
      </c>
      <c r="DE374" s="33" t="s">
        <v>30</v>
      </c>
    </row>
    <row r="375" spans="103:109" ht="15" customHeight="1">
      <c r="CY375" s="62" t="s">
        <v>484</v>
      </c>
      <c r="DE375" s="33" t="s">
        <v>30</v>
      </c>
    </row>
    <row r="376" spans="103:109" ht="15" customHeight="1">
      <c r="CY376" s="62" t="s">
        <v>485</v>
      </c>
      <c r="DE376" s="33" t="s">
        <v>30</v>
      </c>
    </row>
    <row r="377" spans="103:109" ht="15" customHeight="1">
      <c r="CY377" s="62" t="s">
        <v>486</v>
      </c>
      <c r="DE377" s="33" t="s">
        <v>30</v>
      </c>
    </row>
    <row r="378" spans="103:109" ht="15" customHeight="1">
      <c r="CY378" s="62" t="s">
        <v>487</v>
      </c>
      <c r="DE378" s="33" t="s">
        <v>30</v>
      </c>
    </row>
    <row r="379" spans="103:109" ht="15" customHeight="1">
      <c r="CY379" s="62" t="s">
        <v>488</v>
      </c>
      <c r="DE379" s="33" t="s">
        <v>30</v>
      </c>
    </row>
    <row r="380" spans="103:109" ht="15" customHeight="1">
      <c r="CY380" s="62" t="s">
        <v>489</v>
      </c>
      <c r="DE380" s="33" t="s">
        <v>30</v>
      </c>
    </row>
    <row r="381" spans="103:109" ht="15" customHeight="1">
      <c r="CY381" s="62" t="s">
        <v>312</v>
      </c>
      <c r="DE381" s="33" t="s">
        <v>30</v>
      </c>
    </row>
    <row r="382" spans="103:109" ht="15" customHeight="1">
      <c r="CY382" s="62" t="s">
        <v>490</v>
      </c>
      <c r="DE382" s="33" t="s">
        <v>30</v>
      </c>
    </row>
    <row r="383" spans="103:109" ht="15" customHeight="1">
      <c r="CY383" s="62" t="s">
        <v>499</v>
      </c>
      <c r="DE383" s="33" t="s">
        <v>30</v>
      </c>
    </row>
    <row r="384" spans="103:109" ht="15" customHeight="1">
      <c r="CY384" s="62" t="s">
        <v>321</v>
      </c>
      <c r="DE384" s="33" t="s">
        <v>30</v>
      </c>
    </row>
    <row r="385" spans="103:109" ht="15" customHeight="1">
      <c r="CY385" s="62" t="s">
        <v>324</v>
      </c>
      <c r="DE385" s="33" t="s">
        <v>30</v>
      </c>
    </row>
    <row r="386" spans="103:109" ht="15" customHeight="1">
      <c r="CY386" s="62" t="s">
        <v>327</v>
      </c>
      <c r="DE386" s="33" t="s">
        <v>30</v>
      </c>
    </row>
    <row r="387" spans="103:109" ht="15" customHeight="1">
      <c r="CY387" s="62" t="s">
        <v>330</v>
      </c>
      <c r="DE387" s="33" t="s">
        <v>30</v>
      </c>
    </row>
    <row r="388" spans="103:109" ht="15" customHeight="1">
      <c r="CY388" s="62" t="s">
        <v>333</v>
      </c>
      <c r="DE388" s="33" t="s">
        <v>30</v>
      </c>
    </row>
    <row r="389" spans="103:109" ht="15" customHeight="1">
      <c r="CY389" s="62" t="s">
        <v>444</v>
      </c>
      <c r="DE389" s="33" t="s">
        <v>30</v>
      </c>
    </row>
    <row r="390" spans="103:109" ht="15" customHeight="1">
      <c r="CY390" s="62" t="s">
        <v>445</v>
      </c>
      <c r="DE390" s="33" t="s">
        <v>30</v>
      </c>
    </row>
    <row r="391" spans="103:109" ht="15" customHeight="1">
      <c r="CY391" s="62" t="s">
        <v>446</v>
      </c>
      <c r="DE391" s="33" t="s">
        <v>30</v>
      </c>
    </row>
    <row r="392" spans="103:109" ht="15" customHeight="1">
      <c r="CY392" s="62" t="s">
        <v>447</v>
      </c>
      <c r="DE392" s="33" t="s">
        <v>30</v>
      </c>
    </row>
    <row r="393" spans="103:109" ht="15" customHeight="1">
      <c r="CY393" s="62" t="s">
        <v>448</v>
      </c>
      <c r="DE393" s="33" t="s">
        <v>30</v>
      </c>
    </row>
    <row r="394" spans="103:109" ht="15" customHeight="1">
      <c r="CY394" s="62" t="s">
        <v>449</v>
      </c>
      <c r="DE394" s="33" t="s">
        <v>30</v>
      </c>
    </row>
    <row r="395" spans="103:109" ht="15" customHeight="1">
      <c r="CY395" s="62" t="s">
        <v>450</v>
      </c>
      <c r="DE395" s="33" t="s">
        <v>30</v>
      </c>
    </row>
    <row r="396" spans="103:109" ht="15" customHeight="1">
      <c r="CY396" s="62" t="s">
        <v>500</v>
      </c>
      <c r="DE396" s="33" t="s">
        <v>30</v>
      </c>
    </row>
    <row r="397" spans="103:109" ht="15" customHeight="1">
      <c r="CY397" s="62" t="s">
        <v>456</v>
      </c>
      <c r="DE397" s="33" t="s">
        <v>30</v>
      </c>
    </row>
    <row r="398" spans="103:109" ht="15" customHeight="1">
      <c r="CY398" s="62" t="s">
        <v>457</v>
      </c>
      <c r="DE398" s="33" t="s">
        <v>30</v>
      </c>
    </row>
    <row r="399" spans="103:109" ht="15" customHeight="1">
      <c r="CY399" s="62" t="s">
        <v>340</v>
      </c>
      <c r="DE399" s="33" t="s">
        <v>30</v>
      </c>
    </row>
    <row r="400" spans="103:109" ht="15" customHeight="1">
      <c r="CY400" s="62" t="s">
        <v>272</v>
      </c>
      <c r="DE400" s="33" t="s">
        <v>30</v>
      </c>
    </row>
    <row r="401" spans="103:109" ht="15" customHeight="1">
      <c r="CY401" s="62" t="s">
        <v>501</v>
      </c>
      <c r="DE401" s="33" t="s">
        <v>30</v>
      </c>
    </row>
    <row r="402" spans="103:109" ht="15" customHeight="1">
      <c r="CY402" s="62" t="s">
        <v>279</v>
      </c>
      <c r="DE402" s="33" t="s">
        <v>30</v>
      </c>
    </row>
    <row r="403" spans="103:109" ht="15" customHeight="1">
      <c r="CY403" s="62" t="s">
        <v>282</v>
      </c>
      <c r="DE403" s="33" t="s">
        <v>30</v>
      </c>
    </row>
    <row r="404" spans="103:109" ht="15" customHeight="1">
      <c r="CY404" s="62" t="s">
        <v>502</v>
      </c>
      <c r="DE404" s="33" t="s">
        <v>30</v>
      </c>
    </row>
    <row r="405" spans="103:109" ht="15" customHeight="1">
      <c r="CY405" s="62" t="s">
        <v>503</v>
      </c>
      <c r="DE405" s="33" t="s">
        <v>30</v>
      </c>
    </row>
    <row r="406" spans="103:109" ht="15" customHeight="1">
      <c r="CY406" s="62" t="s">
        <v>504</v>
      </c>
      <c r="DE406" s="33" t="s">
        <v>30</v>
      </c>
    </row>
    <row r="407" spans="103:109" ht="15" customHeight="1">
      <c r="CY407" s="62" t="s">
        <v>484</v>
      </c>
      <c r="DE407" s="33" t="s">
        <v>30</v>
      </c>
    </row>
    <row r="408" spans="103:109" ht="15" customHeight="1">
      <c r="CY408" s="62" t="s">
        <v>485</v>
      </c>
      <c r="DE408" s="33" t="s">
        <v>30</v>
      </c>
    </row>
    <row r="409" spans="103:109" ht="15" customHeight="1">
      <c r="CY409" s="62" t="s">
        <v>486</v>
      </c>
      <c r="DE409" s="33" t="s">
        <v>30</v>
      </c>
    </row>
    <row r="410" spans="103:109" ht="15" customHeight="1">
      <c r="CY410" s="62" t="s">
        <v>505</v>
      </c>
      <c r="DE410" s="33" t="s">
        <v>30</v>
      </c>
    </row>
    <row r="411" spans="103:109" ht="15" customHeight="1">
      <c r="CY411" s="62" t="s">
        <v>506</v>
      </c>
      <c r="DE411" s="33" t="s">
        <v>30</v>
      </c>
    </row>
    <row r="412" spans="103:109" ht="15" customHeight="1">
      <c r="CY412" s="62" t="s">
        <v>507</v>
      </c>
      <c r="DE412" s="33" t="s">
        <v>30</v>
      </c>
    </row>
    <row r="413" spans="103:109" ht="15" customHeight="1">
      <c r="CY413" s="62" t="s">
        <v>312</v>
      </c>
      <c r="DE413" s="33" t="s">
        <v>30</v>
      </c>
    </row>
    <row r="414" spans="103:109" ht="15" customHeight="1">
      <c r="CY414" s="62" t="s">
        <v>508</v>
      </c>
      <c r="DE414" s="33" t="s">
        <v>30</v>
      </c>
    </row>
    <row r="415" spans="103:109" ht="15" customHeight="1">
      <c r="CY415" s="62" t="s">
        <v>509</v>
      </c>
      <c r="DE415" s="33" t="s">
        <v>30</v>
      </c>
    </row>
    <row r="416" spans="103:109" ht="15" customHeight="1">
      <c r="CY416" s="62" t="s">
        <v>321</v>
      </c>
      <c r="DE416" s="33" t="s">
        <v>30</v>
      </c>
    </row>
    <row r="417" spans="103:109" ht="15" customHeight="1">
      <c r="CY417" s="62" t="s">
        <v>324</v>
      </c>
      <c r="DE417" s="33" t="s">
        <v>30</v>
      </c>
    </row>
    <row r="418" spans="103:109" ht="15" customHeight="1">
      <c r="CY418" s="62" t="s">
        <v>327</v>
      </c>
      <c r="DE418" s="33" t="s">
        <v>30</v>
      </c>
    </row>
    <row r="419" spans="103:109" ht="15" customHeight="1">
      <c r="CY419" s="62" t="s">
        <v>330</v>
      </c>
      <c r="DE419" s="33" t="s">
        <v>30</v>
      </c>
    </row>
    <row r="420" spans="103:109" ht="15" customHeight="1">
      <c r="CY420" s="62" t="s">
        <v>333</v>
      </c>
      <c r="DE420" s="33" t="s">
        <v>30</v>
      </c>
    </row>
    <row r="421" spans="103:109" ht="15" customHeight="1">
      <c r="CY421" s="62" t="s">
        <v>444</v>
      </c>
      <c r="DE421" s="33" t="s">
        <v>30</v>
      </c>
    </row>
    <row r="422" spans="103:109" ht="15" customHeight="1">
      <c r="CY422" s="62" t="s">
        <v>445</v>
      </c>
      <c r="DE422" s="33" t="s">
        <v>30</v>
      </c>
    </row>
    <row r="423" spans="103:109" ht="15" customHeight="1">
      <c r="CY423" s="62" t="s">
        <v>446</v>
      </c>
      <c r="DE423" s="33" t="s">
        <v>30</v>
      </c>
    </row>
    <row r="424" spans="103:109" ht="15" customHeight="1">
      <c r="CY424" s="62" t="s">
        <v>447</v>
      </c>
      <c r="DE424" s="33" t="s">
        <v>30</v>
      </c>
    </row>
    <row r="425" spans="103:109" ht="15" customHeight="1">
      <c r="CY425" s="62" t="s">
        <v>448</v>
      </c>
      <c r="DE425" s="33" t="s">
        <v>30</v>
      </c>
    </row>
    <row r="426" spans="103:109" ht="15" customHeight="1">
      <c r="CY426" s="62" t="s">
        <v>449</v>
      </c>
      <c r="DE426" s="33" t="s">
        <v>30</v>
      </c>
    </row>
    <row r="427" spans="103:109" ht="15" customHeight="1">
      <c r="CY427" s="62" t="s">
        <v>454</v>
      </c>
      <c r="DE427" s="33" t="s">
        <v>30</v>
      </c>
    </row>
    <row r="428" spans="103:109" ht="15" customHeight="1">
      <c r="CY428" s="62" t="s">
        <v>510</v>
      </c>
      <c r="DE428" s="33" t="s">
        <v>30</v>
      </c>
    </row>
    <row r="429" spans="103:109" ht="15" customHeight="1">
      <c r="CY429" s="62" t="s">
        <v>456</v>
      </c>
      <c r="DE429" s="33" t="s">
        <v>30</v>
      </c>
    </row>
    <row r="430" spans="103:109" ht="15" customHeight="1">
      <c r="CY430" s="62" t="s">
        <v>457</v>
      </c>
      <c r="DE430" s="33" t="s">
        <v>30</v>
      </c>
    </row>
    <row r="431" spans="103:109" ht="15" customHeight="1">
      <c r="CY431" s="62" t="s">
        <v>340</v>
      </c>
      <c r="DE431" s="33" t="s">
        <v>30</v>
      </c>
    </row>
    <row r="432" spans="103:109" ht="15" customHeight="1">
      <c r="CY432" s="62" t="s">
        <v>272</v>
      </c>
      <c r="DE432" s="33" t="s">
        <v>30</v>
      </c>
    </row>
    <row r="433" spans="103:109" ht="15" customHeight="1">
      <c r="CY433" s="62" t="s">
        <v>511</v>
      </c>
      <c r="DE433" s="33" t="s">
        <v>30</v>
      </c>
    </row>
    <row r="434" spans="103:109" ht="15" customHeight="1">
      <c r="CY434" s="62" t="s">
        <v>279</v>
      </c>
      <c r="DE434" s="33" t="s">
        <v>30</v>
      </c>
    </row>
    <row r="435" spans="103:109" ht="15" customHeight="1">
      <c r="CY435" s="62" t="s">
        <v>282</v>
      </c>
      <c r="DE435" s="33" t="s">
        <v>30</v>
      </c>
    </row>
    <row r="436" spans="103:109" ht="15" customHeight="1">
      <c r="CY436" s="62" t="s">
        <v>512</v>
      </c>
      <c r="DE436" s="33" t="s">
        <v>30</v>
      </c>
    </row>
    <row r="437" spans="103:109" ht="15" customHeight="1">
      <c r="CY437" s="62" t="s">
        <v>503</v>
      </c>
      <c r="DE437" s="33" t="s">
        <v>30</v>
      </c>
    </row>
    <row r="438" spans="103:109" ht="15" customHeight="1">
      <c r="CY438" s="62" t="s">
        <v>504</v>
      </c>
      <c r="DE438" s="33" t="s">
        <v>30</v>
      </c>
    </row>
    <row r="439" spans="103:109" ht="15" customHeight="1">
      <c r="CY439" s="62" t="s">
        <v>484</v>
      </c>
      <c r="DE439" s="33" t="s">
        <v>30</v>
      </c>
    </row>
    <row r="440" spans="103:109" ht="15" customHeight="1">
      <c r="CY440" s="62" t="s">
        <v>485</v>
      </c>
      <c r="DE440" s="33" t="s">
        <v>30</v>
      </c>
    </row>
    <row r="441" spans="103:109" ht="15" customHeight="1">
      <c r="CY441" s="62" t="s">
        <v>486</v>
      </c>
      <c r="DE441" s="33" t="s">
        <v>30</v>
      </c>
    </row>
    <row r="442" spans="103:109" ht="15" customHeight="1">
      <c r="CY442" s="62" t="s">
        <v>505</v>
      </c>
      <c r="DE442" s="33" t="s">
        <v>30</v>
      </c>
    </row>
    <row r="443" spans="103:109" ht="15" customHeight="1">
      <c r="CY443" s="62" t="s">
        <v>506</v>
      </c>
      <c r="DE443" s="33" t="s">
        <v>30</v>
      </c>
    </row>
    <row r="444" spans="103:109" ht="15" customHeight="1">
      <c r="CY444" s="62" t="s">
        <v>507</v>
      </c>
      <c r="DE444" s="33" t="s">
        <v>30</v>
      </c>
    </row>
    <row r="445" spans="103:109" ht="15" customHeight="1">
      <c r="CY445" s="62" t="s">
        <v>312</v>
      </c>
      <c r="DE445" s="33" t="s">
        <v>30</v>
      </c>
    </row>
    <row r="446" spans="103:109" ht="15" customHeight="1">
      <c r="CY446" s="62" t="s">
        <v>508</v>
      </c>
      <c r="DE446" s="33" t="s">
        <v>30</v>
      </c>
    </row>
    <row r="447" spans="103:109" ht="15" customHeight="1">
      <c r="CY447" s="62" t="s">
        <v>513</v>
      </c>
      <c r="DE447" s="33" t="s">
        <v>30</v>
      </c>
    </row>
    <row r="448" spans="103:109" ht="15" customHeight="1">
      <c r="CY448" s="62" t="s">
        <v>321</v>
      </c>
      <c r="DE448" s="33" t="s">
        <v>30</v>
      </c>
    </row>
    <row r="449" spans="103:109" ht="15" customHeight="1">
      <c r="CY449" s="62" t="s">
        <v>324</v>
      </c>
      <c r="DE449" s="33" t="s">
        <v>30</v>
      </c>
    </row>
    <row r="450" spans="103:109" ht="15" customHeight="1">
      <c r="CY450" s="62" t="s">
        <v>327</v>
      </c>
      <c r="DE450" s="33" t="s">
        <v>30</v>
      </c>
    </row>
    <row r="451" spans="103:109" ht="15" customHeight="1">
      <c r="CY451" s="62" t="s">
        <v>330</v>
      </c>
      <c r="DE451" s="33" t="s">
        <v>30</v>
      </c>
    </row>
    <row r="452" spans="103:109" ht="15" customHeight="1">
      <c r="CY452" s="62" t="s">
        <v>333</v>
      </c>
      <c r="DE452" s="33" t="s">
        <v>30</v>
      </c>
    </row>
    <row r="453" spans="103:109" ht="15" customHeight="1">
      <c r="CY453" s="62" t="s">
        <v>444</v>
      </c>
      <c r="DE453" s="33" t="s">
        <v>30</v>
      </c>
    </row>
    <row r="454" spans="103:109" ht="15" customHeight="1">
      <c r="CY454" s="62" t="s">
        <v>445</v>
      </c>
      <c r="DE454" s="33" t="s">
        <v>30</v>
      </c>
    </row>
    <row r="455" spans="103:109" ht="15" customHeight="1">
      <c r="CY455" s="62" t="s">
        <v>446</v>
      </c>
      <c r="DE455" s="33" t="s">
        <v>30</v>
      </c>
    </row>
    <row r="456" spans="103:109" ht="15" customHeight="1">
      <c r="CY456" s="62" t="s">
        <v>447</v>
      </c>
      <c r="DE456" s="33" t="s">
        <v>30</v>
      </c>
    </row>
    <row r="457" spans="103:109" ht="15" customHeight="1">
      <c r="CY457" s="62" t="s">
        <v>448</v>
      </c>
      <c r="DE457" s="33" t="s">
        <v>30</v>
      </c>
    </row>
    <row r="458" spans="103:109" ht="15" customHeight="1">
      <c r="CY458" s="62" t="s">
        <v>449</v>
      </c>
      <c r="DE458" s="33" t="s">
        <v>30</v>
      </c>
    </row>
    <row r="459" spans="103:109" ht="15" customHeight="1">
      <c r="CY459" s="62" t="s">
        <v>474</v>
      </c>
      <c r="DE459" s="33" t="s">
        <v>30</v>
      </c>
    </row>
    <row r="460" spans="103:109" ht="15" customHeight="1">
      <c r="CY460" s="62" t="s">
        <v>514</v>
      </c>
      <c r="DE460" s="33" t="s">
        <v>30</v>
      </c>
    </row>
    <row r="461" spans="103:109" ht="15" customHeight="1">
      <c r="CY461" s="62" t="s">
        <v>456</v>
      </c>
      <c r="DE461" s="33" t="s">
        <v>30</v>
      </c>
    </row>
    <row r="462" spans="103:109" ht="15" customHeight="1">
      <c r="CY462" s="62" t="s">
        <v>457</v>
      </c>
      <c r="DE462" s="33" t="s">
        <v>30</v>
      </c>
    </row>
    <row r="463" spans="103:109" ht="15" customHeight="1">
      <c r="CY463" s="62" t="s">
        <v>340</v>
      </c>
      <c r="DE463" s="33" t="s">
        <v>30</v>
      </c>
    </row>
    <row r="464" spans="103:109" ht="15" customHeight="1">
      <c r="CY464" s="62" t="s">
        <v>272</v>
      </c>
      <c r="DE464" s="33" t="s">
        <v>30</v>
      </c>
    </row>
    <row r="465" spans="103:109" ht="15" customHeight="1">
      <c r="CY465" s="62" t="s">
        <v>515</v>
      </c>
      <c r="DE465" s="33" t="s">
        <v>30</v>
      </c>
    </row>
    <row r="466" spans="103:109" ht="15" customHeight="1">
      <c r="CY466" s="62" t="s">
        <v>279</v>
      </c>
      <c r="DE466" s="33" t="s">
        <v>30</v>
      </c>
    </row>
    <row r="467" spans="103:109" ht="15" customHeight="1">
      <c r="CY467" s="62" t="s">
        <v>282</v>
      </c>
      <c r="DE467" s="33" t="s">
        <v>30</v>
      </c>
    </row>
    <row r="468" spans="103:109" ht="15" customHeight="1">
      <c r="CY468" s="62" t="s">
        <v>516</v>
      </c>
      <c r="DE468" s="33" t="s">
        <v>30</v>
      </c>
    </row>
    <row r="469" spans="103:109" ht="15" customHeight="1">
      <c r="CY469" s="62" t="s">
        <v>503</v>
      </c>
      <c r="DE469" s="33" t="s">
        <v>30</v>
      </c>
    </row>
    <row r="470" spans="103:109" ht="15" customHeight="1">
      <c r="CY470" s="62" t="s">
        <v>504</v>
      </c>
      <c r="DE470" s="33" t="s">
        <v>30</v>
      </c>
    </row>
    <row r="471" spans="103:109" ht="15" customHeight="1">
      <c r="CY471" s="62" t="s">
        <v>484</v>
      </c>
      <c r="DE471" s="33" t="s">
        <v>30</v>
      </c>
    </row>
    <row r="472" spans="103:109" ht="15" customHeight="1">
      <c r="CY472" s="62" t="s">
        <v>485</v>
      </c>
      <c r="DE472" s="33" t="s">
        <v>30</v>
      </c>
    </row>
    <row r="473" spans="103:109" ht="15" customHeight="1">
      <c r="CY473" s="62" t="s">
        <v>486</v>
      </c>
      <c r="DE473" s="33" t="s">
        <v>30</v>
      </c>
    </row>
    <row r="474" spans="103:109" ht="15" customHeight="1">
      <c r="CY474" s="62" t="s">
        <v>505</v>
      </c>
      <c r="DE474" s="33" t="s">
        <v>30</v>
      </c>
    </row>
    <row r="475" spans="103:109" ht="15" customHeight="1">
      <c r="CY475" s="62" t="s">
        <v>506</v>
      </c>
      <c r="DE475" s="33" t="s">
        <v>30</v>
      </c>
    </row>
    <row r="476" spans="103:109" ht="15" customHeight="1">
      <c r="CY476" s="62" t="s">
        <v>507</v>
      </c>
      <c r="DE476" s="33" t="s">
        <v>30</v>
      </c>
    </row>
    <row r="477" spans="103:109" ht="15" customHeight="1">
      <c r="CY477" s="62" t="s">
        <v>312</v>
      </c>
      <c r="DE477" s="33" t="s">
        <v>30</v>
      </c>
    </row>
    <row r="478" spans="103:109" ht="15" customHeight="1">
      <c r="CY478" s="62" t="s">
        <v>508</v>
      </c>
      <c r="DE478" s="33" t="s">
        <v>30</v>
      </c>
    </row>
    <row r="479" spans="103:109" ht="15" customHeight="1">
      <c r="CY479" s="62" t="s">
        <v>517</v>
      </c>
      <c r="DE479" s="33" t="s">
        <v>30</v>
      </c>
    </row>
    <row r="480" spans="103:109" ht="15" customHeight="1">
      <c r="CY480" s="62" t="s">
        <v>321</v>
      </c>
      <c r="DE480" s="33" t="s">
        <v>30</v>
      </c>
    </row>
    <row r="481" spans="103:109" ht="15" customHeight="1">
      <c r="CY481" s="62" t="s">
        <v>324</v>
      </c>
      <c r="DE481" s="33" t="s">
        <v>30</v>
      </c>
    </row>
    <row r="482" spans="103:109" ht="15" customHeight="1">
      <c r="CY482" s="62" t="s">
        <v>327</v>
      </c>
      <c r="DE482" s="33" t="s">
        <v>30</v>
      </c>
    </row>
    <row r="483" spans="103:109" ht="15" customHeight="1">
      <c r="CY483" s="62" t="s">
        <v>330</v>
      </c>
      <c r="DE483" s="33" t="s">
        <v>30</v>
      </c>
    </row>
    <row r="484" spans="103:109" ht="15" customHeight="1">
      <c r="CY484" s="62" t="s">
        <v>333</v>
      </c>
      <c r="DE484" s="33" t="s">
        <v>30</v>
      </c>
    </row>
    <row r="485" spans="103:109" ht="15" customHeight="1">
      <c r="CY485" s="62" t="s">
        <v>444</v>
      </c>
      <c r="DE485" s="33" t="s">
        <v>30</v>
      </c>
    </row>
    <row r="486" spans="103:109" ht="15" customHeight="1">
      <c r="CY486" s="62" t="s">
        <v>445</v>
      </c>
      <c r="DE486" s="33" t="s">
        <v>30</v>
      </c>
    </row>
    <row r="487" spans="103:109" ht="15" customHeight="1">
      <c r="CY487" s="62" t="s">
        <v>446</v>
      </c>
      <c r="DE487" s="33" t="s">
        <v>30</v>
      </c>
    </row>
    <row r="488" spans="103:109" ht="15" customHeight="1">
      <c r="CY488" s="62" t="s">
        <v>447</v>
      </c>
      <c r="DE488" s="33" t="s">
        <v>30</v>
      </c>
    </row>
    <row r="489" spans="103:109" ht="15" customHeight="1">
      <c r="CY489" s="62" t="s">
        <v>448</v>
      </c>
      <c r="DE489" s="33" t="s">
        <v>30</v>
      </c>
    </row>
    <row r="490" spans="103:109" ht="15" customHeight="1">
      <c r="CY490" s="62" t="s">
        <v>449</v>
      </c>
      <c r="DE490" s="33" t="s">
        <v>30</v>
      </c>
    </row>
    <row r="491" spans="103:109" ht="15" customHeight="1">
      <c r="CY491" s="62" t="s">
        <v>450</v>
      </c>
      <c r="DE491" s="33" t="s">
        <v>30</v>
      </c>
    </row>
    <row r="492" spans="103:109" ht="15" customHeight="1">
      <c r="CY492" s="62" t="s">
        <v>518</v>
      </c>
      <c r="DE492" s="33" t="s">
        <v>30</v>
      </c>
    </row>
    <row r="493" spans="103:109" ht="15" customHeight="1">
      <c r="CY493" s="62" t="s">
        <v>456</v>
      </c>
      <c r="DE493" s="33" t="s">
        <v>30</v>
      </c>
    </row>
    <row r="494" spans="103:109" ht="15" customHeight="1">
      <c r="CY494" s="62" t="s">
        <v>457</v>
      </c>
      <c r="DE494" s="33" t="s">
        <v>30</v>
      </c>
    </row>
    <row r="495" spans="103:109" ht="15" customHeight="1">
      <c r="CY495" s="62" t="s">
        <v>340</v>
      </c>
      <c r="DE495" s="33" t="s">
        <v>30</v>
      </c>
    </row>
    <row r="496" spans="103:109" ht="15" customHeight="1">
      <c r="CY496" s="62" t="s">
        <v>272</v>
      </c>
      <c r="DE496" s="33" t="s">
        <v>30</v>
      </c>
    </row>
    <row r="497" spans="103:109" ht="15" customHeight="1">
      <c r="CY497" s="62" t="s">
        <v>519</v>
      </c>
      <c r="DE497" s="33" t="s">
        <v>30</v>
      </c>
    </row>
    <row r="498" spans="103:109" ht="15" customHeight="1">
      <c r="CY498" s="62" t="s">
        <v>279</v>
      </c>
      <c r="DE498" s="33" t="s">
        <v>30</v>
      </c>
    </row>
    <row r="499" spans="103:109" ht="15" customHeight="1">
      <c r="CY499" s="62" t="s">
        <v>282</v>
      </c>
      <c r="DE499" s="33" t="s">
        <v>30</v>
      </c>
    </row>
    <row r="500" spans="103:109" ht="15" customHeight="1">
      <c r="CY500" s="62" t="s">
        <v>520</v>
      </c>
      <c r="DE500" s="33" t="s">
        <v>30</v>
      </c>
    </row>
    <row r="501" spans="103:109" ht="15" customHeight="1">
      <c r="CY501" s="62" t="s">
        <v>521</v>
      </c>
      <c r="DE501" s="33" t="s">
        <v>30</v>
      </c>
    </row>
    <row r="502" spans="103:109" ht="15" customHeight="1">
      <c r="CY502" s="62" t="s">
        <v>522</v>
      </c>
      <c r="DE502" s="33" t="s">
        <v>30</v>
      </c>
    </row>
    <row r="503" spans="103:109" ht="15" customHeight="1">
      <c r="CY503" s="62" t="s">
        <v>462</v>
      </c>
      <c r="DE503" s="33" t="s">
        <v>30</v>
      </c>
    </row>
    <row r="504" spans="103:109" ht="15" customHeight="1">
      <c r="CY504" s="62" t="s">
        <v>523</v>
      </c>
      <c r="DE504" s="33" t="s">
        <v>30</v>
      </c>
    </row>
    <row r="505" spans="103:109" ht="15" customHeight="1">
      <c r="CY505" s="62" t="s">
        <v>524</v>
      </c>
      <c r="DE505" s="33" t="s">
        <v>30</v>
      </c>
    </row>
    <row r="506" spans="103:109" ht="15" customHeight="1">
      <c r="CY506" s="62" t="s">
        <v>525</v>
      </c>
      <c r="DE506" s="33" t="s">
        <v>30</v>
      </c>
    </row>
    <row r="507" spans="103:109" ht="15" customHeight="1">
      <c r="CY507" s="62" t="s">
        <v>526</v>
      </c>
      <c r="DE507" s="33" t="s">
        <v>30</v>
      </c>
    </row>
    <row r="508" spans="103:109" ht="15" customHeight="1">
      <c r="CY508" s="62" t="s">
        <v>527</v>
      </c>
      <c r="DE508" s="33" t="s">
        <v>30</v>
      </c>
    </row>
    <row r="509" spans="103:109" ht="15" customHeight="1">
      <c r="CY509" s="62" t="s">
        <v>312</v>
      </c>
      <c r="DE509" s="33" t="s">
        <v>30</v>
      </c>
    </row>
    <row r="510" spans="103:109" ht="15" customHeight="1">
      <c r="CY510" s="62" t="s">
        <v>528</v>
      </c>
      <c r="DE510" s="33" t="s">
        <v>30</v>
      </c>
    </row>
    <row r="511" spans="103:109" ht="15" customHeight="1">
      <c r="CY511" s="62" t="s">
        <v>529</v>
      </c>
      <c r="DE511" s="33" t="s">
        <v>30</v>
      </c>
    </row>
    <row r="512" spans="103:109" ht="15" customHeight="1">
      <c r="CY512" s="62" t="s">
        <v>321</v>
      </c>
      <c r="DE512" s="33" t="s">
        <v>30</v>
      </c>
    </row>
    <row r="513" spans="103:109" ht="15" customHeight="1">
      <c r="CY513" s="62" t="s">
        <v>324</v>
      </c>
      <c r="DE513" s="33" t="s">
        <v>30</v>
      </c>
    </row>
    <row r="514" spans="103:109" ht="15" customHeight="1">
      <c r="CY514" s="62" t="s">
        <v>327</v>
      </c>
      <c r="DE514" s="33" t="s">
        <v>30</v>
      </c>
    </row>
    <row r="515" spans="103:109" ht="15" customHeight="1">
      <c r="CY515" s="62" t="s">
        <v>330</v>
      </c>
      <c r="DE515" s="33" t="s">
        <v>30</v>
      </c>
    </row>
    <row r="516" spans="103:109" ht="15" customHeight="1">
      <c r="CY516" s="62" t="s">
        <v>333</v>
      </c>
      <c r="DE516" s="33" t="s">
        <v>30</v>
      </c>
    </row>
    <row r="517" spans="103:109" ht="15" customHeight="1">
      <c r="CY517" s="62" t="s">
        <v>444</v>
      </c>
      <c r="DE517" s="33" t="s">
        <v>30</v>
      </c>
    </row>
    <row r="518" spans="103:109" ht="15" customHeight="1">
      <c r="CY518" s="62" t="s">
        <v>445</v>
      </c>
      <c r="DE518" s="33" t="s">
        <v>30</v>
      </c>
    </row>
    <row r="519" spans="103:109" ht="15" customHeight="1">
      <c r="CY519" s="62" t="s">
        <v>446</v>
      </c>
      <c r="DE519" s="33" t="s">
        <v>30</v>
      </c>
    </row>
    <row r="520" spans="103:109" ht="15" customHeight="1">
      <c r="CY520" s="62" t="s">
        <v>447</v>
      </c>
      <c r="DE520" s="33" t="s">
        <v>30</v>
      </c>
    </row>
    <row r="521" spans="103:109" ht="15" customHeight="1">
      <c r="CY521" s="62" t="s">
        <v>448</v>
      </c>
      <c r="DE521" s="33" t="s">
        <v>30</v>
      </c>
    </row>
    <row r="522" spans="103:109" ht="15" customHeight="1">
      <c r="CY522" s="62" t="s">
        <v>449</v>
      </c>
      <c r="DE522" s="33" t="s">
        <v>30</v>
      </c>
    </row>
    <row r="523" spans="103:109" ht="15" customHeight="1">
      <c r="CY523" s="62" t="s">
        <v>454</v>
      </c>
      <c r="DE523" s="33" t="s">
        <v>30</v>
      </c>
    </row>
    <row r="524" spans="103:109" ht="15" customHeight="1">
      <c r="CY524" s="62" t="s">
        <v>530</v>
      </c>
      <c r="DE524" s="33" t="s">
        <v>30</v>
      </c>
    </row>
    <row r="525" spans="103:109" ht="15" customHeight="1">
      <c r="CY525" s="62" t="s">
        <v>456</v>
      </c>
      <c r="DE525" s="33" t="s">
        <v>30</v>
      </c>
    </row>
    <row r="526" spans="103:109" ht="15" customHeight="1">
      <c r="CY526" s="62" t="s">
        <v>457</v>
      </c>
      <c r="DE526" s="33" t="s">
        <v>30</v>
      </c>
    </row>
    <row r="527" spans="103:109" ht="15" customHeight="1">
      <c r="CY527" s="62" t="s">
        <v>340</v>
      </c>
      <c r="DE527" s="33" t="s">
        <v>30</v>
      </c>
    </row>
    <row r="528" spans="103:109" ht="15" customHeight="1">
      <c r="CY528" s="62" t="s">
        <v>272</v>
      </c>
      <c r="DE528" s="33" t="s">
        <v>30</v>
      </c>
    </row>
    <row r="529" spans="103:109" ht="15" customHeight="1">
      <c r="CY529" s="62" t="s">
        <v>531</v>
      </c>
      <c r="DE529" s="33" t="s">
        <v>30</v>
      </c>
    </row>
    <row r="530" spans="103:109" ht="15" customHeight="1">
      <c r="CY530" s="62" t="s">
        <v>279</v>
      </c>
      <c r="DE530" s="33" t="s">
        <v>30</v>
      </c>
    </row>
    <row r="531" spans="103:109" ht="15" customHeight="1">
      <c r="CY531" s="62" t="s">
        <v>282</v>
      </c>
      <c r="DE531" s="33" t="s">
        <v>30</v>
      </c>
    </row>
    <row r="532" spans="103:109" ht="15" customHeight="1">
      <c r="CY532" s="62" t="s">
        <v>532</v>
      </c>
      <c r="DE532" s="33" t="s">
        <v>30</v>
      </c>
    </row>
    <row r="533" spans="103:109" ht="15" customHeight="1">
      <c r="CY533" s="62" t="s">
        <v>521</v>
      </c>
      <c r="DE533" s="33" t="s">
        <v>30</v>
      </c>
    </row>
    <row r="534" spans="103:109" ht="15" customHeight="1">
      <c r="CY534" s="62" t="s">
        <v>522</v>
      </c>
      <c r="DE534" s="33" t="s">
        <v>30</v>
      </c>
    </row>
    <row r="535" spans="103:109" ht="15" customHeight="1">
      <c r="CY535" s="62" t="s">
        <v>462</v>
      </c>
      <c r="DE535" s="33" t="s">
        <v>30</v>
      </c>
    </row>
    <row r="536" spans="103:109" ht="15" customHeight="1">
      <c r="CY536" s="62" t="s">
        <v>523</v>
      </c>
      <c r="DE536" s="33" t="s">
        <v>30</v>
      </c>
    </row>
    <row r="537" spans="103:109" ht="15" customHeight="1">
      <c r="CY537" s="62" t="s">
        <v>524</v>
      </c>
      <c r="DE537" s="33" t="s">
        <v>30</v>
      </c>
    </row>
    <row r="538" spans="103:109" ht="15" customHeight="1">
      <c r="CY538" s="62" t="s">
        <v>525</v>
      </c>
      <c r="DE538" s="33" t="s">
        <v>30</v>
      </c>
    </row>
    <row r="539" spans="103:109" ht="15" customHeight="1">
      <c r="CY539" s="62" t="s">
        <v>526</v>
      </c>
      <c r="DE539" s="33" t="s">
        <v>30</v>
      </c>
    </row>
    <row r="540" spans="103:109" ht="15" customHeight="1">
      <c r="CY540" s="62" t="s">
        <v>527</v>
      </c>
      <c r="DE540" s="33" t="s">
        <v>30</v>
      </c>
    </row>
    <row r="541" spans="103:109" ht="15" customHeight="1">
      <c r="CY541" s="62" t="s">
        <v>312</v>
      </c>
      <c r="DE541" s="33" t="s">
        <v>30</v>
      </c>
    </row>
    <row r="542" spans="103:109" ht="15" customHeight="1">
      <c r="CY542" s="62" t="s">
        <v>528</v>
      </c>
      <c r="DE542" s="33" t="s">
        <v>30</v>
      </c>
    </row>
    <row r="543" spans="103:109" ht="15" customHeight="1">
      <c r="CY543" s="62" t="s">
        <v>533</v>
      </c>
      <c r="DE543" s="33" t="s">
        <v>30</v>
      </c>
    </row>
    <row r="544" spans="103:109" ht="15" customHeight="1">
      <c r="CY544" s="62" t="s">
        <v>321</v>
      </c>
      <c r="DE544" s="33" t="s">
        <v>30</v>
      </c>
    </row>
    <row r="545" spans="103:109" ht="15" customHeight="1">
      <c r="CY545" s="62" t="s">
        <v>324</v>
      </c>
      <c r="DE545" s="33" t="s">
        <v>30</v>
      </c>
    </row>
    <row r="546" spans="103:109" ht="15" customHeight="1">
      <c r="CY546" s="62" t="s">
        <v>327</v>
      </c>
      <c r="DE546" s="33" t="s">
        <v>30</v>
      </c>
    </row>
    <row r="547" spans="103:109" ht="15" customHeight="1">
      <c r="CY547" s="62" t="s">
        <v>330</v>
      </c>
      <c r="DE547" s="33" t="s">
        <v>30</v>
      </c>
    </row>
    <row r="548" spans="103:109" ht="15" customHeight="1">
      <c r="CY548" s="62" t="s">
        <v>333</v>
      </c>
      <c r="DE548" s="33" t="s">
        <v>30</v>
      </c>
    </row>
    <row r="549" spans="103:109" ht="15" customHeight="1">
      <c r="CY549" s="62" t="s">
        <v>444</v>
      </c>
      <c r="DE549" s="33" t="s">
        <v>30</v>
      </c>
    </row>
    <row r="550" spans="103:109" ht="15" customHeight="1">
      <c r="CY550" s="62" t="s">
        <v>445</v>
      </c>
      <c r="DE550" s="33" t="s">
        <v>30</v>
      </c>
    </row>
    <row r="551" spans="103:109" ht="15" customHeight="1">
      <c r="CY551" s="62" t="s">
        <v>446</v>
      </c>
      <c r="DE551" s="33" t="s">
        <v>30</v>
      </c>
    </row>
    <row r="552" spans="103:109" ht="15" customHeight="1">
      <c r="CY552" s="62" t="s">
        <v>447</v>
      </c>
      <c r="DE552" s="33" t="s">
        <v>30</v>
      </c>
    </row>
    <row r="553" spans="103:109" ht="15" customHeight="1">
      <c r="CY553" s="62" t="s">
        <v>448</v>
      </c>
      <c r="DE553" s="33" t="s">
        <v>30</v>
      </c>
    </row>
    <row r="554" spans="103:109" ht="15" customHeight="1">
      <c r="CY554" s="62" t="s">
        <v>449</v>
      </c>
      <c r="DE554" s="33" t="s">
        <v>30</v>
      </c>
    </row>
    <row r="555" spans="103:109" ht="15" customHeight="1">
      <c r="CY555" s="62" t="s">
        <v>450</v>
      </c>
      <c r="DE555" s="33" t="s">
        <v>30</v>
      </c>
    </row>
    <row r="556" spans="103:109" ht="15" customHeight="1">
      <c r="CY556" s="62" t="s">
        <v>534</v>
      </c>
      <c r="DE556" s="33" t="s">
        <v>30</v>
      </c>
    </row>
    <row r="557" spans="103:109" ht="15" customHeight="1">
      <c r="CY557" s="62" t="s">
        <v>456</v>
      </c>
      <c r="DE557" s="33" t="s">
        <v>30</v>
      </c>
    </row>
    <row r="558" spans="103:109" ht="15" customHeight="1">
      <c r="CY558" s="62" t="s">
        <v>457</v>
      </c>
      <c r="DE558" s="33" t="s">
        <v>30</v>
      </c>
    </row>
    <row r="559" spans="103:109" ht="15" customHeight="1">
      <c r="CY559" s="62" t="s">
        <v>340</v>
      </c>
      <c r="DE559" s="33" t="s">
        <v>30</v>
      </c>
    </row>
    <row r="560" spans="103:109" ht="15" customHeight="1">
      <c r="CY560" s="62" t="s">
        <v>272</v>
      </c>
      <c r="DE560" s="33" t="s">
        <v>30</v>
      </c>
    </row>
    <row r="561" spans="103:109" ht="15" customHeight="1">
      <c r="CY561" s="62" t="s">
        <v>535</v>
      </c>
      <c r="DE561" s="33" t="s">
        <v>30</v>
      </c>
    </row>
    <row r="562" spans="103:109" ht="15" customHeight="1">
      <c r="CY562" s="62" t="s">
        <v>279</v>
      </c>
      <c r="DE562" s="33" t="s">
        <v>30</v>
      </c>
    </row>
    <row r="563" spans="103:109" ht="15" customHeight="1">
      <c r="CY563" s="62" t="s">
        <v>282</v>
      </c>
      <c r="DE563" s="33" t="s">
        <v>30</v>
      </c>
    </row>
    <row r="564" spans="103:109" ht="15" customHeight="1">
      <c r="CY564" s="62" t="s">
        <v>536</v>
      </c>
      <c r="DE564" s="33" t="s">
        <v>30</v>
      </c>
    </row>
    <row r="565" spans="103:109" ht="15" customHeight="1">
      <c r="CY565" s="62" t="s">
        <v>521</v>
      </c>
      <c r="DE565" s="33" t="s">
        <v>30</v>
      </c>
    </row>
    <row r="566" spans="103:109" ht="15" customHeight="1">
      <c r="CY566" s="62" t="s">
        <v>522</v>
      </c>
      <c r="DE566" s="33" t="s">
        <v>30</v>
      </c>
    </row>
    <row r="567" spans="103:109" ht="15" customHeight="1">
      <c r="CY567" s="62" t="s">
        <v>462</v>
      </c>
      <c r="DE567" s="33" t="s">
        <v>30</v>
      </c>
    </row>
    <row r="568" spans="103:109" ht="15" customHeight="1">
      <c r="CY568" s="62" t="s">
        <v>523</v>
      </c>
      <c r="DE568" s="33" t="s">
        <v>30</v>
      </c>
    </row>
    <row r="569" spans="103:109" ht="15" customHeight="1">
      <c r="CY569" s="62" t="s">
        <v>524</v>
      </c>
      <c r="DE569" s="33" t="s">
        <v>30</v>
      </c>
    </row>
    <row r="570" spans="103:109" ht="15" customHeight="1">
      <c r="CY570" s="62" t="s">
        <v>525</v>
      </c>
      <c r="DE570" s="33" t="s">
        <v>30</v>
      </c>
    </row>
    <row r="571" spans="103:109" ht="15" customHeight="1">
      <c r="CY571" s="62" t="s">
        <v>526</v>
      </c>
      <c r="DE571" s="33" t="s">
        <v>30</v>
      </c>
    </row>
    <row r="572" spans="103:109" ht="15" customHeight="1">
      <c r="CY572" s="62" t="s">
        <v>527</v>
      </c>
      <c r="DE572" s="33" t="s">
        <v>30</v>
      </c>
    </row>
    <row r="573" spans="103:109" ht="15" customHeight="1">
      <c r="CY573" s="62" t="s">
        <v>312</v>
      </c>
      <c r="DE573" s="33" t="s">
        <v>30</v>
      </c>
    </row>
    <row r="574" spans="103:109" ht="15" customHeight="1">
      <c r="CY574" s="62" t="s">
        <v>528</v>
      </c>
      <c r="DE574" s="33" t="s">
        <v>30</v>
      </c>
    </row>
    <row r="575" spans="103:109" ht="15" customHeight="1">
      <c r="CY575" s="62" t="s">
        <v>537</v>
      </c>
      <c r="DE575" s="33" t="s">
        <v>30</v>
      </c>
    </row>
    <row r="576" spans="103:109" ht="15" customHeight="1">
      <c r="CY576" s="62" t="s">
        <v>321</v>
      </c>
      <c r="DE576" s="33" t="s">
        <v>30</v>
      </c>
    </row>
    <row r="577" spans="103:109" ht="15" customHeight="1">
      <c r="CY577" s="62" t="s">
        <v>324</v>
      </c>
      <c r="DE577" s="33" t="s">
        <v>30</v>
      </c>
    </row>
    <row r="578" spans="103:109" ht="15" customHeight="1">
      <c r="CY578" s="62" t="s">
        <v>327</v>
      </c>
      <c r="DE578" s="33" t="s">
        <v>30</v>
      </c>
    </row>
    <row r="579" spans="103:109" ht="15" customHeight="1">
      <c r="CY579" s="62" t="s">
        <v>330</v>
      </c>
      <c r="DE579" s="33" t="s">
        <v>30</v>
      </c>
    </row>
    <row r="580" spans="103:109" ht="15" customHeight="1">
      <c r="CY580" s="62" t="s">
        <v>333</v>
      </c>
      <c r="DE580" s="33" t="s">
        <v>30</v>
      </c>
    </row>
    <row r="581" spans="103:109" ht="15" customHeight="1">
      <c r="CY581" s="62" t="s">
        <v>444</v>
      </c>
      <c r="DE581" s="33" t="s">
        <v>30</v>
      </c>
    </row>
    <row r="582" spans="103:109" ht="15" customHeight="1">
      <c r="CY582" s="62" t="s">
        <v>445</v>
      </c>
      <c r="DE582" s="33" t="s">
        <v>30</v>
      </c>
    </row>
    <row r="583" spans="103:109" ht="15" customHeight="1">
      <c r="CY583" s="62" t="s">
        <v>446</v>
      </c>
      <c r="DE583" s="33" t="s">
        <v>30</v>
      </c>
    </row>
    <row r="584" spans="103:109" ht="15" customHeight="1">
      <c r="CY584" s="62" t="s">
        <v>447</v>
      </c>
      <c r="DE584" s="33" t="s">
        <v>30</v>
      </c>
    </row>
    <row r="585" spans="103:109" ht="15" customHeight="1">
      <c r="CY585" s="62" t="s">
        <v>448</v>
      </c>
      <c r="DE585" s="33" t="s">
        <v>30</v>
      </c>
    </row>
    <row r="586" spans="103:109" ht="15" customHeight="1">
      <c r="CY586" s="62" t="s">
        <v>449</v>
      </c>
      <c r="DE586" s="33" t="s">
        <v>30</v>
      </c>
    </row>
    <row r="587" spans="103:109" ht="15" customHeight="1">
      <c r="CY587" s="62" t="s">
        <v>538</v>
      </c>
      <c r="DE587" s="33" t="s">
        <v>30</v>
      </c>
    </row>
    <row r="588" spans="103:109" ht="15" customHeight="1">
      <c r="CY588" s="62" t="s">
        <v>539</v>
      </c>
      <c r="DE588" s="33" t="s">
        <v>30</v>
      </c>
    </row>
    <row r="589" spans="103:109" ht="15" customHeight="1">
      <c r="CY589" s="62" t="s">
        <v>456</v>
      </c>
      <c r="DE589" s="33" t="s">
        <v>30</v>
      </c>
    </row>
    <row r="590" spans="103:109" ht="15" customHeight="1">
      <c r="CY590" s="62" t="s">
        <v>457</v>
      </c>
      <c r="DE590" s="33" t="s">
        <v>30</v>
      </c>
    </row>
    <row r="591" spans="103:109" ht="15" customHeight="1">
      <c r="CY591" s="62" t="s">
        <v>340</v>
      </c>
      <c r="DE591" s="33" t="s">
        <v>30</v>
      </c>
    </row>
    <row r="592" spans="103:109" ht="15" customHeight="1">
      <c r="CY592" s="62" t="s">
        <v>272</v>
      </c>
      <c r="DE592" s="33" t="s">
        <v>30</v>
      </c>
    </row>
    <row r="593" spans="103:109" ht="15" customHeight="1">
      <c r="CY593" s="62" t="s">
        <v>540</v>
      </c>
      <c r="DE593" s="33" t="s">
        <v>30</v>
      </c>
    </row>
    <row r="594" spans="103:109" ht="15" customHeight="1">
      <c r="CY594" s="62" t="s">
        <v>279</v>
      </c>
      <c r="DE594" s="33" t="s">
        <v>30</v>
      </c>
    </row>
    <row r="595" spans="103:109" ht="15" customHeight="1">
      <c r="CY595" s="62" t="s">
        <v>282</v>
      </c>
      <c r="DE595" s="33" t="s">
        <v>30</v>
      </c>
    </row>
    <row r="596" spans="103:109" ht="15" customHeight="1">
      <c r="CY596" s="62" t="s">
        <v>541</v>
      </c>
      <c r="DE596" s="33" t="s">
        <v>30</v>
      </c>
    </row>
    <row r="597" spans="103:109" ht="15" customHeight="1">
      <c r="CY597" s="62" t="s">
        <v>542</v>
      </c>
      <c r="DE597" s="33" t="s">
        <v>30</v>
      </c>
    </row>
    <row r="598" spans="103:109" ht="15" customHeight="1">
      <c r="CY598" s="62" t="s">
        <v>543</v>
      </c>
      <c r="DE598" s="33" t="s">
        <v>30</v>
      </c>
    </row>
    <row r="599" spans="103:109" ht="15" customHeight="1">
      <c r="CY599" s="62" t="s">
        <v>544</v>
      </c>
      <c r="DE599" s="33" t="s">
        <v>30</v>
      </c>
    </row>
    <row r="600" spans="103:109" ht="15" customHeight="1">
      <c r="CY600" s="62" t="s">
        <v>545</v>
      </c>
      <c r="DE600" s="33" t="s">
        <v>30</v>
      </c>
    </row>
    <row r="601" spans="103:109" ht="15" customHeight="1">
      <c r="CY601" s="62" t="s">
        <v>546</v>
      </c>
      <c r="DE601" s="33" t="s">
        <v>30</v>
      </c>
    </row>
    <row r="602" spans="103:109" ht="15" customHeight="1">
      <c r="CY602" s="62" t="s">
        <v>547</v>
      </c>
      <c r="DE602" s="33" t="s">
        <v>30</v>
      </c>
    </row>
    <row r="603" spans="103:109" ht="15" customHeight="1">
      <c r="CY603" s="62" t="s">
        <v>548</v>
      </c>
      <c r="DE603" s="33" t="s">
        <v>30</v>
      </c>
    </row>
    <row r="604" spans="103:109" ht="15" customHeight="1">
      <c r="CY604" s="62" t="s">
        <v>549</v>
      </c>
      <c r="DE604" s="33" t="s">
        <v>30</v>
      </c>
    </row>
    <row r="605" spans="103:109" ht="15" customHeight="1">
      <c r="CY605" s="62" t="s">
        <v>312</v>
      </c>
      <c r="DE605" s="33" t="s">
        <v>30</v>
      </c>
    </row>
    <row r="606" spans="103:109" ht="15" customHeight="1">
      <c r="CY606" s="62" t="s">
        <v>550</v>
      </c>
      <c r="DE606" s="33" t="s">
        <v>30</v>
      </c>
    </row>
    <row r="607" spans="103:109" ht="15" customHeight="1">
      <c r="CY607" s="62" t="s">
        <v>551</v>
      </c>
      <c r="DE607" s="33" t="s">
        <v>30</v>
      </c>
    </row>
    <row r="608" spans="103:109" ht="15" customHeight="1">
      <c r="CY608" s="62" t="s">
        <v>552</v>
      </c>
      <c r="DE608" s="33" t="s">
        <v>30</v>
      </c>
    </row>
    <row r="609" spans="103:109" ht="15" customHeight="1">
      <c r="CY609" s="62" t="s">
        <v>324</v>
      </c>
      <c r="DE609" s="33" t="s">
        <v>30</v>
      </c>
    </row>
    <row r="610" spans="103:109" ht="15" customHeight="1">
      <c r="CY610" s="62" t="s">
        <v>553</v>
      </c>
      <c r="DE610" s="33" t="s">
        <v>30</v>
      </c>
    </row>
    <row r="611" spans="103:109" ht="15" customHeight="1">
      <c r="CY611" s="62" t="s">
        <v>554</v>
      </c>
      <c r="DE611" s="33" t="s">
        <v>30</v>
      </c>
    </row>
    <row r="612" spans="103:109" ht="15" customHeight="1">
      <c r="CY612" s="62" t="s">
        <v>333</v>
      </c>
      <c r="DE612" s="33" t="s">
        <v>30</v>
      </c>
    </row>
    <row r="613" spans="103:109" ht="15" customHeight="1">
      <c r="CY613" s="62" t="s">
        <v>444</v>
      </c>
      <c r="DE613" s="33" t="s">
        <v>30</v>
      </c>
    </row>
    <row r="614" spans="103:109" ht="15" customHeight="1">
      <c r="CY614" s="62" t="s">
        <v>445</v>
      </c>
      <c r="DE614" s="33" t="s">
        <v>30</v>
      </c>
    </row>
    <row r="615" spans="103:109" ht="15" customHeight="1">
      <c r="CY615" s="62" t="s">
        <v>446</v>
      </c>
      <c r="DE615" s="33" t="s">
        <v>30</v>
      </c>
    </row>
    <row r="616" spans="103:109" ht="15" customHeight="1">
      <c r="CY616" s="62" t="s">
        <v>447</v>
      </c>
      <c r="DE616" s="33" t="s">
        <v>30</v>
      </c>
    </row>
    <row r="617" spans="103:109" ht="15" customHeight="1">
      <c r="CY617" s="62" t="s">
        <v>448</v>
      </c>
      <c r="DE617" s="33" t="s">
        <v>30</v>
      </c>
    </row>
    <row r="618" spans="103:109" ht="15" customHeight="1">
      <c r="CY618" s="62" t="s">
        <v>449</v>
      </c>
      <c r="DE618" s="33" t="s">
        <v>30</v>
      </c>
    </row>
    <row r="619" spans="103:109" ht="15" customHeight="1">
      <c r="CY619" s="62" t="s">
        <v>454</v>
      </c>
      <c r="DE619" s="33" t="s">
        <v>30</v>
      </c>
    </row>
    <row r="620" spans="103:109" ht="15" customHeight="1">
      <c r="CY620" s="62" t="s">
        <v>555</v>
      </c>
      <c r="DE620" s="33" t="s">
        <v>30</v>
      </c>
    </row>
    <row r="621" spans="103:109" ht="15" customHeight="1">
      <c r="CY621" s="62" t="s">
        <v>456</v>
      </c>
      <c r="DE621" s="33" t="s">
        <v>30</v>
      </c>
    </row>
    <row r="622" spans="103:109" ht="15" customHeight="1">
      <c r="CY622" s="62" t="s">
        <v>457</v>
      </c>
      <c r="DE622" s="33" t="s">
        <v>30</v>
      </c>
    </row>
    <row r="623" spans="103:109" ht="15" customHeight="1">
      <c r="CY623" s="62" t="s">
        <v>340</v>
      </c>
      <c r="DE623" s="33" t="s">
        <v>30</v>
      </c>
    </row>
    <row r="624" spans="103:109" ht="15" customHeight="1">
      <c r="CY624" s="62" t="s">
        <v>272</v>
      </c>
      <c r="DE624" s="33" t="s">
        <v>30</v>
      </c>
    </row>
    <row r="625" spans="103:109" ht="15" customHeight="1">
      <c r="CY625" s="62" t="s">
        <v>556</v>
      </c>
      <c r="DE625" s="33" t="s">
        <v>30</v>
      </c>
    </row>
    <row r="626" spans="103:109" ht="15" customHeight="1">
      <c r="CY626" s="62" t="s">
        <v>279</v>
      </c>
      <c r="DE626" s="33" t="s">
        <v>30</v>
      </c>
    </row>
    <row r="627" spans="103:109" ht="15" customHeight="1">
      <c r="CY627" s="62" t="s">
        <v>282</v>
      </c>
      <c r="DE627" s="33" t="s">
        <v>30</v>
      </c>
    </row>
    <row r="628" spans="103:109" ht="15" customHeight="1">
      <c r="CY628" s="62" t="s">
        <v>557</v>
      </c>
      <c r="DE628" s="33" t="s">
        <v>30</v>
      </c>
    </row>
    <row r="629" spans="103:109" ht="15" customHeight="1">
      <c r="CY629" s="62" t="s">
        <v>542</v>
      </c>
      <c r="DE629" s="33" t="s">
        <v>30</v>
      </c>
    </row>
    <row r="630" spans="103:109" ht="15" customHeight="1">
      <c r="CY630" s="62" t="s">
        <v>543</v>
      </c>
      <c r="DE630" s="33" t="s">
        <v>30</v>
      </c>
    </row>
    <row r="631" spans="103:109" ht="15" customHeight="1">
      <c r="CY631" s="62" t="s">
        <v>544</v>
      </c>
      <c r="DE631" s="33" t="s">
        <v>30</v>
      </c>
    </row>
    <row r="632" spans="103:109" ht="15" customHeight="1">
      <c r="CY632" s="62" t="s">
        <v>545</v>
      </c>
      <c r="DE632" s="33" t="s">
        <v>30</v>
      </c>
    </row>
    <row r="633" spans="103:109" ht="15" customHeight="1">
      <c r="CY633" s="62" t="s">
        <v>546</v>
      </c>
      <c r="DE633" s="33" t="s">
        <v>30</v>
      </c>
    </row>
    <row r="634" spans="103:109" ht="15" customHeight="1">
      <c r="CY634" s="62" t="s">
        <v>547</v>
      </c>
      <c r="DE634" s="33" t="s">
        <v>30</v>
      </c>
    </row>
    <row r="635" spans="103:109" ht="15" customHeight="1">
      <c r="CY635" s="62" t="s">
        <v>548</v>
      </c>
      <c r="DE635" s="33" t="s">
        <v>30</v>
      </c>
    </row>
    <row r="636" spans="103:109" ht="15" customHeight="1">
      <c r="CY636" s="62" t="s">
        <v>549</v>
      </c>
      <c r="DE636" s="33" t="s">
        <v>30</v>
      </c>
    </row>
    <row r="637" spans="103:109" ht="15" customHeight="1">
      <c r="CY637" s="62" t="s">
        <v>312</v>
      </c>
      <c r="DE637" s="33" t="s">
        <v>30</v>
      </c>
    </row>
    <row r="638" spans="103:109" ht="15" customHeight="1">
      <c r="CY638" s="62" t="s">
        <v>550</v>
      </c>
      <c r="DE638" s="33" t="s">
        <v>30</v>
      </c>
    </row>
    <row r="639" spans="103:109" ht="15" customHeight="1">
      <c r="CY639" s="62" t="s">
        <v>558</v>
      </c>
      <c r="DE639" s="33" t="s">
        <v>30</v>
      </c>
    </row>
    <row r="640" spans="103:109" ht="15" customHeight="1">
      <c r="CY640" s="62" t="s">
        <v>552</v>
      </c>
      <c r="DE640" s="33" t="s">
        <v>30</v>
      </c>
    </row>
    <row r="641" spans="103:109" ht="15" customHeight="1">
      <c r="CY641" s="62" t="s">
        <v>324</v>
      </c>
      <c r="DE641" s="33" t="s">
        <v>30</v>
      </c>
    </row>
    <row r="642" spans="103:109" ht="15" customHeight="1">
      <c r="CY642" s="62" t="s">
        <v>553</v>
      </c>
      <c r="DE642" s="33" t="s">
        <v>30</v>
      </c>
    </row>
    <row r="643" spans="103:109" ht="15" customHeight="1">
      <c r="CY643" s="62" t="s">
        <v>554</v>
      </c>
      <c r="DE643" s="33" t="s">
        <v>30</v>
      </c>
    </row>
    <row r="644" spans="103:109" ht="15" customHeight="1">
      <c r="CY644" s="62" t="s">
        <v>333</v>
      </c>
      <c r="DE644" s="33" t="s">
        <v>30</v>
      </c>
    </row>
    <row r="645" spans="103:109" ht="15" customHeight="1">
      <c r="CY645" s="62" t="s">
        <v>444</v>
      </c>
      <c r="DE645" s="33" t="s">
        <v>30</v>
      </c>
    </row>
    <row r="646" spans="103:109" ht="15" customHeight="1">
      <c r="CY646" s="62" t="s">
        <v>445</v>
      </c>
      <c r="DE646" s="33" t="s">
        <v>30</v>
      </c>
    </row>
    <row r="647" spans="103:109" ht="15" customHeight="1">
      <c r="CY647" s="62" t="s">
        <v>446</v>
      </c>
      <c r="DE647" s="33" t="s">
        <v>30</v>
      </c>
    </row>
    <row r="648" spans="103:109" ht="15" customHeight="1">
      <c r="CY648" s="62" t="s">
        <v>447</v>
      </c>
      <c r="DE648" s="33" t="s">
        <v>30</v>
      </c>
    </row>
    <row r="649" spans="103:109" ht="15" customHeight="1">
      <c r="CY649" s="62" t="s">
        <v>448</v>
      </c>
      <c r="DE649" s="33" t="s">
        <v>30</v>
      </c>
    </row>
    <row r="650" spans="103:109" ht="15" customHeight="1">
      <c r="CY650" s="62" t="s">
        <v>449</v>
      </c>
      <c r="DE650" s="33" t="s">
        <v>30</v>
      </c>
    </row>
    <row r="651" spans="103:109" ht="15" customHeight="1">
      <c r="CY651" s="62" t="s">
        <v>474</v>
      </c>
      <c r="DE651" s="33" t="s">
        <v>30</v>
      </c>
    </row>
    <row r="652" spans="103:109" ht="15" customHeight="1">
      <c r="CY652" s="62" t="s">
        <v>559</v>
      </c>
      <c r="DE652" s="33" t="s">
        <v>30</v>
      </c>
    </row>
    <row r="653" spans="103:109" ht="15" customHeight="1">
      <c r="CY653" s="62" t="s">
        <v>456</v>
      </c>
      <c r="DE653" s="33" t="s">
        <v>30</v>
      </c>
    </row>
    <row r="654" spans="103:109" ht="15" customHeight="1">
      <c r="CY654" s="62" t="s">
        <v>457</v>
      </c>
      <c r="DE654" s="33" t="s">
        <v>30</v>
      </c>
    </row>
    <row r="655" spans="103:109" ht="15" customHeight="1">
      <c r="CY655" s="62" t="s">
        <v>340</v>
      </c>
      <c r="DE655" s="33" t="s">
        <v>30</v>
      </c>
    </row>
    <row r="656" spans="103:109" ht="15" customHeight="1">
      <c r="CY656" s="62" t="s">
        <v>272</v>
      </c>
      <c r="DE656" s="33" t="s">
        <v>30</v>
      </c>
    </row>
    <row r="657" spans="103:109" ht="15" customHeight="1">
      <c r="CY657" s="62" t="s">
        <v>560</v>
      </c>
      <c r="DE657" s="33" t="s">
        <v>30</v>
      </c>
    </row>
    <row r="658" spans="103:109" ht="15" customHeight="1">
      <c r="CY658" s="62" t="s">
        <v>279</v>
      </c>
      <c r="DE658" s="33" t="s">
        <v>30</v>
      </c>
    </row>
    <row r="659" spans="103:109" ht="15" customHeight="1">
      <c r="CY659" s="62" t="s">
        <v>282</v>
      </c>
      <c r="DE659" s="33" t="s">
        <v>30</v>
      </c>
    </row>
    <row r="660" spans="103:109" ht="15" customHeight="1">
      <c r="CY660" s="62" t="s">
        <v>561</v>
      </c>
      <c r="DE660" s="33" t="s">
        <v>30</v>
      </c>
    </row>
    <row r="661" spans="103:109" ht="15" customHeight="1">
      <c r="CY661" s="62" t="s">
        <v>542</v>
      </c>
      <c r="DE661" s="33" t="s">
        <v>30</v>
      </c>
    </row>
    <row r="662" spans="103:109" ht="15" customHeight="1">
      <c r="CY662" s="62" t="s">
        <v>543</v>
      </c>
      <c r="DE662" s="33" t="s">
        <v>30</v>
      </c>
    </row>
    <row r="663" spans="103:109" ht="15" customHeight="1">
      <c r="CY663" s="62" t="s">
        <v>544</v>
      </c>
      <c r="DE663" s="33" t="s">
        <v>30</v>
      </c>
    </row>
    <row r="664" spans="103:109" ht="15" customHeight="1">
      <c r="CY664" s="62" t="s">
        <v>545</v>
      </c>
      <c r="DE664" s="33" t="s">
        <v>30</v>
      </c>
    </row>
    <row r="665" spans="103:109" ht="15" customHeight="1">
      <c r="CY665" s="62" t="s">
        <v>546</v>
      </c>
      <c r="DE665" s="33" t="s">
        <v>30</v>
      </c>
    </row>
    <row r="666" spans="103:109" ht="15" customHeight="1">
      <c r="CY666" s="62" t="s">
        <v>547</v>
      </c>
      <c r="DE666" s="33" t="s">
        <v>30</v>
      </c>
    </row>
    <row r="667" spans="103:109" ht="15" customHeight="1">
      <c r="CY667" s="62" t="s">
        <v>548</v>
      </c>
      <c r="DE667" s="33" t="s">
        <v>30</v>
      </c>
    </row>
    <row r="668" spans="103:109" ht="15" customHeight="1">
      <c r="CY668" s="62" t="s">
        <v>549</v>
      </c>
      <c r="DE668" s="33" t="s">
        <v>30</v>
      </c>
    </row>
    <row r="669" spans="103:109" ht="15" customHeight="1">
      <c r="CY669" s="62" t="s">
        <v>312</v>
      </c>
      <c r="DE669" s="33" t="s">
        <v>30</v>
      </c>
    </row>
    <row r="670" spans="103:109" ht="15" customHeight="1">
      <c r="CY670" s="62" t="s">
        <v>550</v>
      </c>
      <c r="DE670" s="33" t="s">
        <v>30</v>
      </c>
    </row>
    <row r="671" spans="103:109" ht="15" customHeight="1">
      <c r="CY671" s="62" t="s">
        <v>562</v>
      </c>
      <c r="DE671" s="33" t="s">
        <v>30</v>
      </c>
    </row>
    <row r="672" spans="103:109" ht="15" customHeight="1">
      <c r="CY672" s="62" t="s">
        <v>552</v>
      </c>
      <c r="DE672" s="33" t="s">
        <v>30</v>
      </c>
    </row>
    <row r="673" spans="103:109" ht="15" customHeight="1">
      <c r="CY673" s="62" t="s">
        <v>324</v>
      </c>
      <c r="DE673" s="33" t="s">
        <v>30</v>
      </c>
    </row>
    <row r="674" spans="103:109" ht="15" customHeight="1">
      <c r="CY674" s="62" t="s">
        <v>553</v>
      </c>
      <c r="DE674" s="33" t="s">
        <v>30</v>
      </c>
    </row>
    <row r="675" spans="103:109" ht="15" customHeight="1">
      <c r="CY675" s="62" t="s">
        <v>554</v>
      </c>
      <c r="DE675" s="33" t="s">
        <v>30</v>
      </c>
    </row>
    <row r="676" spans="103:109" ht="15" customHeight="1">
      <c r="CY676" s="62" t="s">
        <v>333</v>
      </c>
      <c r="DE676" s="33" t="s">
        <v>30</v>
      </c>
    </row>
    <row r="677" spans="103:109" ht="15" customHeight="1">
      <c r="CY677" s="62" t="s">
        <v>444</v>
      </c>
      <c r="DE677" s="33" t="s">
        <v>30</v>
      </c>
    </row>
    <row r="678" spans="103:109" ht="15" customHeight="1">
      <c r="CY678" s="62" t="s">
        <v>445</v>
      </c>
      <c r="DE678" s="33" t="s">
        <v>30</v>
      </c>
    </row>
    <row r="679" spans="103:109" ht="15" customHeight="1">
      <c r="CY679" s="62" t="s">
        <v>446</v>
      </c>
      <c r="DE679" s="33" t="s">
        <v>30</v>
      </c>
    </row>
    <row r="680" spans="103:109" ht="15" customHeight="1">
      <c r="CY680" s="62" t="s">
        <v>447</v>
      </c>
      <c r="DE680" s="33" t="s">
        <v>30</v>
      </c>
    </row>
    <row r="681" spans="103:109" ht="15" customHeight="1">
      <c r="CY681" s="62" t="s">
        <v>448</v>
      </c>
      <c r="DE681" s="33" t="s">
        <v>30</v>
      </c>
    </row>
    <row r="682" spans="103:109" ht="15" customHeight="1">
      <c r="CY682" s="62" t="s">
        <v>449</v>
      </c>
      <c r="DE682" s="33" t="s">
        <v>30</v>
      </c>
    </row>
    <row r="683" spans="103:109" ht="15" customHeight="1">
      <c r="CY683" s="62" t="s">
        <v>450</v>
      </c>
      <c r="DE683" s="33" t="s">
        <v>30</v>
      </c>
    </row>
    <row r="684" spans="103:109" ht="15" customHeight="1">
      <c r="CY684" s="62" t="s">
        <v>563</v>
      </c>
      <c r="DE684" s="33" t="s">
        <v>30</v>
      </c>
    </row>
    <row r="685" spans="103:109" ht="15" customHeight="1">
      <c r="CY685" s="62" t="s">
        <v>456</v>
      </c>
      <c r="DE685" s="33" t="s">
        <v>30</v>
      </c>
    </row>
    <row r="686" spans="103:109" ht="15" customHeight="1">
      <c r="CY686" s="62" t="s">
        <v>457</v>
      </c>
      <c r="DE686" s="33" t="s">
        <v>30</v>
      </c>
    </row>
    <row r="687" spans="103:109" ht="15" customHeight="1">
      <c r="CY687" s="62" t="s">
        <v>340</v>
      </c>
      <c r="DE687" s="33" t="s">
        <v>30</v>
      </c>
    </row>
    <row r="688" spans="103:109" ht="15" customHeight="1">
      <c r="CY688" s="62" t="s">
        <v>272</v>
      </c>
      <c r="DE688" s="33" t="s">
        <v>30</v>
      </c>
    </row>
    <row r="689" spans="103:109" ht="15" customHeight="1">
      <c r="CY689" s="62" t="s">
        <v>564</v>
      </c>
      <c r="DE689" s="33" t="s">
        <v>30</v>
      </c>
    </row>
    <row r="690" spans="103:109" ht="15" customHeight="1">
      <c r="CY690" s="62" t="s">
        <v>279</v>
      </c>
      <c r="DE690" s="33" t="s">
        <v>30</v>
      </c>
    </row>
    <row r="691" spans="103:109" ht="15" customHeight="1">
      <c r="CY691" s="62" t="s">
        <v>282</v>
      </c>
      <c r="DE691" s="33" t="s">
        <v>30</v>
      </c>
    </row>
    <row r="692" spans="103:109" ht="15" customHeight="1">
      <c r="CY692" s="62" t="s">
        <v>565</v>
      </c>
      <c r="DE692" s="33" t="s">
        <v>30</v>
      </c>
    </row>
    <row r="693" spans="103:109" ht="15" customHeight="1">
      <c r="CY693" s="62" t="s">
        <v>566</v>
      </c>
      <c r="DE693" s="33" t="s">
        <v>30</v>
      </c>
    </row>
    <row r="694" spans="103:109" ht="15" customHeight="1">
      <c r="CY694" s="62" t="s">
        <v>567</v>
      </c>
      <c r="DE694" s="33" t="s">
        <v>30</v>
      </c>
    </row>
    <row r="695" spans="103:109" ht="15" customHeight="1">
      <c r="CY695" s="62" t="s">
        <v>568</v>
      </c>
      <c r="DE695" s="33" t="s">
        <v>30</v>
      </c>
    </row>
    <row r="696" spans="103:109" ht="15" customHeight="1">
      <c r="CY696" s="62" t="s">
        <v>569</v>
      </c>
      <c r="DE696" s="33" t="s">
        <v>30</v>
      </c>
    </row>
    <row r="697" spans="103:109" ht="15" customHeight="1">
      <c r="CY697" s="62" t="s">
        <v>570</v>
      </c>
      <c r="DE697" s="33" t="s">
        <v>30</v>
      </c>
    </row>
    <row r="698" spans="103:109" ht="15" customHeight="1">
      <c r="CY698" s="62" t="s">
        <v>571</v>
      </c>
      <c r="DE698" s="33" t="s">
        <v>30</v>
      </c>
    </row>
    <row r="699" spans="103:109" ht="15" customHeight="1">
      <c r="CY699" s="62" t="s">
        <v>572</v>
      </c>
      <c r="DE699" s="33" t="s">
        <v>30</v>
      </c>
    </row>
    <row r="700" spans="103:109" ht="15" customHeight="1">
      <c r="CY700" s="62" t="s">
        <v>573</v>
      </c>
      <c r="DE700" s="33" t="s">
        <v>30</v>
      </c>
    </row>
    <row r="701" spans="103:109" ht="15" customHeight="1">
      <c r="CY701" s="62" t="s">
        <v>312</v>
      </c>
      <c r="DE701" s="33" t="s">
        <v>30</v>
      </c>
    </row>
    <row r="702" spans="103:109" ht="15" customHeight="1">
      <c r="CY702" s="62" t="s">
        <v>574</v>
      </c>
      <c r="DE702" s="33" t="s">
        <v>30</v>
      </c>
    </row>
    <row r="703" spans="103:109" ht="15" customHeight="1">
      <c r="CY703" s="62" t="s">
        <v>469</v>
      </c>
      <c r="DE703" s="33" t="s">
        <v>30</v>
      </c>
    </row>
    <row r="704" spans="103:109" ht="15" customHeight="1">
      <c r="CY704" s="62" t="s">
        <v>321</v>
      </c>
      <c r="DE704" s="33" t="s">
        <v>30</v>
      </c>
    </row>
    <row r="705" spans="103:109" ht="15" customHeight="1">
      <c r="CY705" s="62" t="s">
        <v>324</v>
      </c>
      <c r="DE705" s="33" t="s">
        <v>30</v>
      </c>
    </row>
    <row r="706" spans="103:109" ht="15" customHeight="1">
      <c r="CY706" s="62" t="s">
        <v>327</v>
      </c>
      <c r="DE706" s="33" t="s">
        <v>30</v>
      </c>
    </row>
    <row r="707" spans="103:109" ht="15" customHeight="1">
      <c r="CY707" s="62" t="s">
        <v>330</v>
      </c>
      <c r="DE707" s="33" t="s">
        <v>30</v>
      </c>
    </row>
    <row r="708" spans="103:109" ht="15" customHeight="1">
      <c r="CY708" s="62" t="s">
        <v>333</v>
      </c>
      <c r="DE708" s="33" t="s">
        <v>30</v>
      </c>
    </row>
    <row r="709" spans="103:109" ht="15" customHeight="1">
      <c r="CY709" s="62" t="s">
        <v>444</v>
      </c>
      <c r="DE709" s="33" t="s">
        <v>30</v>
      </c>
    </row>
    <row r="710" spans="103:109" ht="15" customHeight="1">
      <c r="CY710" s="62" t="s">
        <v>445</v>
      </c>
      <c r="DE710" s="33" t="s">
        <v>30</v>
      </c>
    </row>
    <row r="711" spans="103:109" ht="15" customHeight="1">
      <c r="CY711" s="62" t="s">
        <v>446</v>
      </c>
      <c r="DE711" s="33" t="s">
        <v>30</v>
      </c>
    </row>
    <row r="712" spans="103:109" ht="15" customHeight="1">
      <c r="CY712" s="62" t="s">
        <v>447</v>
      </c>
      <c r="DE712" s="33" t="s">
        <v>30</v>
      </c>
    </row>
    <row r="713" spans="103:109" ht="15" customHeight="1">
      <c r="CY713" s="62" t="s">
        <v>448</v>
      </c>
      <c r="DE713" s="33" t="s">
        <v>30</v>
      </c>
    </row>
    <row r="714" spans="103:109" ht="15" customHeight="1">
      <c r="CY714" s="62" t="s">
        <v>449</v>
      </c>
      <c r="DE714" s="33" t="s">
        <v>30</v>
      </c>
    </row>
    <row r="715" spans="103:109" ht="15" customHeight="1">
      <c r="CY715" s="62" t="s">
        <v>454</v>
      </c>
      <c r="DE715" s="33" t="s">
        <v>30</v>
      </c>
    </row>
    <row r="716" spans="103:109" ht="15" customHeight="1">
      <c r="CY716" s="62" t="s">
        <v>575</v>
      </c>
      <c r="DE716" s="33" t="s">
        <v>30</v>
      </c>
    </row>
    <row r="717" spans="103:109" ht="15" customHeight="1">
      <c r="CY717" s="62" t="s">
        <v>456</v>
      </c>
      <c r="DE717" s="33" t="s">
        <v>30</v>
      </c>
    </row>
    <row r="718" spans="103:109" ht="15" customHeight="1">
      <c r="CY718" s="62" t="s">
        <v>457</v>
      </c>
      <c r="DE718" s="33" t="s">
        <v>30</v>
      </c>
    </row>
    <row r="719" spans="103:109" ht="15" customHeight="1">
      <c r="CY719" s="62" t="s">
        <v>340</v>
      </c>
      <c r="DE719" s="33" t="s">
        <v>30</v>
      </c>
    </row>
    <row r="720" spans="103:109" ht="15" customHeight="1">
      <c r="CY720" s="62" t="s">
        <v>272</v>
      </c>
      <c r="DE720" s="33" t="s">
        <v>30</v>
      </c>
    </row>
    <row r="721" spans="103:109" ht="15" customHeight="1">
      <c r="CY721" s="62" t="s">
        <v>576</v>
      </c>
      <c r="DE721" s="33" t="s">
        <v>30</v>
      </c>
    </row>
    <row r="722" spans="103:109" ht="15" customHeight="1">
      <c r="CY722" s="62" t="s">
        <v>279</v>
      </c>
      <c r="DE722" s="33" t="s">
        <v>30</v>
      </c>
    </row>
    <row r="723" spans="103:109" ht="15" customHeight="1">
      <c r="CY723" s="62" t="s">
        <v>282</v>
      </c>
      <c r="DE723" s="33" t="s">
        <v>30</v>
      </c>
    </row>
    <row r="724" spans="103:109" ht="15" customHeight="1">
      <c r="CY724" s="62" t="s">
        <v>577</v>
      </c>
      <c r="DE724" s="33" t="s">
        <v>30</v>
      </c>
    </row>
    <row r="725" spans="103:109" ht="15" customHeight="1">
      <c r="CY725" s="62" t="s">
        <v>566</v>
      </c>
      <c r="DE725" s="33" t="s">
        <v>30</v>
      </c>
    </row>
    <row r="726" spans="103:109" ht="15" customHeight="1">
      <c r="CY726" s="62" t="s">
        <v>567</v>
      </c>
      <c r="DE726" s="33" t="s">
        <v>30</v>
      </c>
    </row>
    <row r="727" spans="103:109" ht="15" customHeight="1">
      <c r="CY727" s="62" t="s">
        <v>568</v>
      </c>
      <c r="DE727" s="33" t="s">
        <v>30</v>
      </c>
    </row>
    <row r="728" spans="103:109" ht="15" customHeight="1">
      <c r="CY728" s="62" t="s">
        <v>569</v>
      </c>
      <c r="DE728" s="33" t="s">
        <v>30</v>
      </c>
    </row>
    <row r="729" spans="103:109" ht="15" customHeight="1">
      <c r="CY729" s="62" t="s">
        <v>570</v>
      </c>
      <c r="DE729" s="33" t="s">
        <v>30</v>
      </c>
    </row>
    <row r="730" spans="103:109" ht="15" customHeight="1">
      <c r="CY730" s="62" t="s">
        <v>571</v>
      </c>
      <c r="DE730" s="33" t="s">
        <v>30</v>
      </c>
    </row>
    <row r="731" spans="103:109" ht="15" customHeight="1">
      <c r="CY731" s="62" t="s">
        <v>572</v>
      </c>
      <c r="DE731" s="33" t="s">
        <v>30</v>
      </c>
    </row>
    <row r="732" spans="103:109" ht="15" customHeight="1">
      <c r="CY732" s="62" t="s">
        <v>573</v>
      </c>
      <c r="DE732" s="33" t="s">
        <v>30</v>
      </c>
    </row>
    <row r="733" spans="103:109" ht="15" customHeight="1">
      <c r="CY733" s="62" t="s">
        <v>312</v>
      </c>
      <c r="DE733" s="33" t="s">
        <v>30</v>
      </c>
    </row>
    <row r="734" spans="103:109" ht="15" customHeight="1">
      <c r="CY734" s="62" t="s">
        <v>574</v>
      </c>
      <c r="DE734" s="33" t="s">
        <v>30</v>
      </c>
    </row>
    <row r="735" spans="103:109" ht="15" customHeight="1">
      <c r="CY735" s="62" t="s">
        <v>578</v>
      </c>
      <c r="DE735" s="33" t="s">
        <v>30</v>
      </c>
    </row>
    <row r="736" spans="103:109" ht="15" customHeight="1">
      <c r="CY736" s="62" t="s">
        <v>321</v>
      </c>
      <c r="DE736" s="33" t="s">
        <v>30</v>
      </c>
    </row>
    <row r="737" spans="103:109" ht="15" customHeight="1">
      <c r="CY737" s="62" t="s">
        <v>324</v>
      </c>
      <c r="DE737" s="33" t="s">
        <v>30</v>
      </c>
    </row>
    <row r="738" spans="103:109" ht="15" customHeight="1">
      <c r="CY738" s="62" t="s">
        <v>327</v>
      </c>
      <c r="DE738" s="33" t="s">
        <v>30</v>
      </c>
    </row>
    <row r="739" spans="103:109" ht="15" customHeight="1">
      <c r="CY739" s="62" t="s">
        <v>330</v>
      </c>
      <c r="DE739" s="33" t="s">
        <v>30</v>
      </c>
    </row>
    <row r="740" spans="103:109" ht="15" customHeight="1">
      <c r="CY740" s="62" t="s">
        <v>333</v>
      </c>
      <c r="DE740" s="33" t="s">
        <v>30</v>
      </c>
    </row>
    <row r="741" spans="103:109" ht="15" customHeight="1">
      <c r="CY741" s="62" t="s">
        <v>444</v>
      </c>
      <c r="DE741" s="33" t="s">
        <v>30</v>
      </c>
    </row>
    <row r="742" spans="103:109" ht="15" customHeight="1">
      <c r="CY742" s="62" t="s">
        <v>445</v>
      </c>
      <c r="DE742" s="33" t="s">
        <v>30</v>
      </c>
    </row>
    <row r="743" spans="103:109" ht="15" customHeight="1">
      <c r="CY743" s="62" t="s">
        <v>446</v>
      </c>
      <c r="DE743" s="33" t="s">
        <v>30</v>
      </c>
    </row>
    <row r="744" spans="103:109" ht="15" customHeight="1">
      <c r="CY744" s="62" t="s">
        <v>447</v>
      </c>
      <c r="DE744" s="33" t="s">
        <v>30</v>
      </c>
    </row>
    <row r="745" spans="103:109" ht="15" customHeight="1">
      <c r="CY745" s="62" t="s">
        <v>448</v>
      </c>
      <c r="DE745" s="33" t="s">
        <v>30</v>
      </c>
    </row>
    <row r="746" spans="103:109" ht="15" customHeight="1">
      <c r="CY746" s="62" t="s">
        <v>449</v>
      </c>
      <c r="DE746" s="33" t="s">
        <v>30</v>
      </c>
    </row>
    <row r="747" spans="103:109" ht="15" customHeight="1">
      <c r="CY747" s="62" t="s">
        <v>474</v>
      </c>
      <c r="DE747" s="33" t="s">
        <v>30</v>
      </c>
    </row>
    <row r="748" spans="103:109" ht="15" customHeight="1">
      <c r="CY748" s="62" t="s">
        <v>475</v>
      </c>
      <c r="DE748" s="33" t="s">
        <v>30</v>
      </c>
    </row>
    <row r="749" spans="103:109" ht="15" customHeight="1">
      <c r="CY749" s="62" t="s">
        <v>456</v>
      </c>
      <c r="DE749" s="33" t="s">
        <v>30</v>
      </c>
    </row>
    <row r="750" spans="103:109" ht="15" customHeight="1">
      <c r="CY750" s="62" t="s">
        <v>457</v>
      </c>
      <c r="DE750" s="33" t="s">
        <v>30</v>
      </c>
    </row>
    <row r="751" spans="103:109" ht="15" customHeight="1">
      <c r="CY751" s="62" t="s">
        <v>340</v>
      </c>
      <c r="DE751" s="33" t="s">
        <v>30</v>
      </c>
    </row>
    <row r="752" spans="103:109" ht="15" customHeight="1">
      <c r="CY752" s="62" t="s">
        <v>272</v>
      </c>
      <c r="DE752" s="33" t="s">
        <v>30</v>
      </c>
    </row>
    <row r="753" spans="103:109" ht="15" customHeight="1">
      <c r="CY753" s="62" t="s">
        <v>579</v>
      </c>
      <c r="DE753" s="33" t="s">
        <v>30</v>
      </c>
    </row>
    <row r="754" spans="103:109" ht="15" customHeight="1">
      <c r="CY754" s="62" t="s">
        <v>279</v>
      </c>
      <c r="DE754" s="33" t="s">
        <v>30</v>
      </c>
    </row>
    <row r="755" spans="103:109" ht="15" customHeight="1">
      <c r="CY755" s="62" t="s">
        <v>282</v>
      </c>
      <c r="DE755" s="33" t="s">
        <v>30</v>
      </c>
    </row>
    <row r="756" spans="103:109" ht="15" customHeight="1">
      <c r="CY756" s="62" t="s">
        <v>580</v>
      </c>
      <c r="DE756" s="33" t="s">
        <v>30</v>
      </c>
    </row>
    <row r="757" spans="103:109" ht="15" customHeight="1">
      <c r="CY757" s="62" t="s">
        <v>566</v>
      </c>
      <c r="DE757" s="33" t="s">
        <v>30</v>
      </c>
    </row>
    <row r="758" spans="103:109" ht="15" customHeight="1">
      <c r="CY758" s="62" t="s">
        <v>567</v>
      </c>
      <c r="DE758" s="33" t="s">
        <v>30</v>
      </c>
    </row>
    <row r="759" spans="103:109" ht="15" customHeight="1">
      <c r="CY759" s="62" t="s">
        <v>568</v>
      </c>
      <c r="DE759" s="33" t="s">
        <v>30</v>
      </c>
    </row>
    <row r="760" spans="103:109" ht="15" customHeight="1">
      <c r="CY760" s="62" t="s">
        <v>569</v>
      </c>
      <c r="DE760" s="33" t="s">
        <v>30</v>
      </c>
    </row>
    <row r="761" spans="103:109" ht="15" customHeight="1">
      <c r="CY761" s="62" t="s">
        <v>570</v>
      </c>
      <c r="DE761" s="33" t="s">
        <v>30</v>
      </c>
    </row>
    <row r="762" spans="103:109" ht="15" customHeight="1">
      <c r="CY762" s="62" t="s">
        <v>571</v>
      </c>
      <c r="DE762" s="33" t="s">
        <v>30</v>
      </c>
    </row>
    <row r="763" spans="103:109" ht="15" customHeight="1">
      <c r="CY763" s="62" t="s">
        <v>572</v>
      </c>
      <c r="DE763" s="33" t="s">
        <v>30</v>
      </c>
    </row>
    <row r="764" spans="103:109" ht="15" customHeight="1">
      <c r="CY764" s="62" t="s">
        <v>573</v>
      </c>
      <c r="DE764" s="33" t="s">
        <v>30</v>
      </c>
    </row>
    <row r="765" spans="103:109" ht="15" customHeight="1">
      <c r="CY765" s="62" t="s">
        <v>312</v>
      </c>
      <c r="DE765" s="33" t="s">
        <v>30</v>
      </c>
    </row>
    <row r="766" spans="103:109" ht="15" customHeight="1">
      <c r="CY766" s="62" t="s">
        <v>574</v>
      </c>
      <c r="DE766" s="33" t="s">
        <v>30</v>
      </c>
    </row>
    <row r="767" spans="103:109" ht="15" customHeight="1">
      <c r="CY767" s="62" t="s">
        <v>581</v>
      </c>
      <c r="DE767" s="33" t="s">
        <v>30</v>
      </c>
    </row>
    <row r="768" spans="103:109" ht="15" customHeight="1">
      <c r="CY768" s="62" t="s">
        <v>321</v>
      </c>
      <c r="DE768" s="33" t="s">
        <v>30</v>
      </c>
    </row>
    <row r="769" spans="103:109" ht="15" customHeight="1">
      <c r="CY769" s="62" t="s">
        <v>324</v>
      </c>
      <c r="DE769" s="33" t="s">
        <v>30</v>
      </c>
    </row>
    <row r="770" spans="103:109" ht="15" customHeight="1">
      <c r="CY770" s="62" t="s">
        <v>327</v>
      </c>
      <c r="DE770" s="33" t="s">
        <v>30</v>
      </c>
    </row>
    <row r="771" spans="103:109" ht="15" customHeight="1">
      <c r="CY771" s="62" t="s">
        <v>330</v>
      </c>
      <c r="DE771" s="33" t="s">
        <v>30</v>
      </c>
    </row>
    <row r="772" spans="103:109" ht="15" customHeight="1">
      <c r="CY772" s="62" t="s">
        <v>333</v>
      </c>
      <c r="DE772" s="33" t="s">
        <v>30</v>
      </c>
    </row>
    <row r="773" spans="103:109" ht="15" customHeight="1">
      <c r="CY773" s="62" t="s">
        <v>444</v>
      </c>
      <c r="DE773" s="33" t="s">
        <v>30</v>
      </c>
    </row>
    <row r="774" spans="103:109" ht="15" customHeight="1">
      <c r="CY774" s="62" t="s">
        <v>445</v>
      </c>
      <c r="DE774" s="33" t="s">
        <v>30</v>
      </c>
    </row>
    <row r="775" spans="103:109" ht="15" customHeight="1">
      <c r="CY775" s="62" t="s">
        <v>446</v>
      </c>
      <c r="DE775" s="33" t="s">
        <v>30</v>
      </c>
    </row>
    <row r="776" spans="103:109" ht="15" customHeight="1">
      <c r="CY776" s="62" t="s">
        <v>447</v>
      </c>
      <c r="DE776" s="33" t="s">
        <v>30</v>
      </c>
    </row>
    <row r="777" spans="103:109" ht="15" customHeight="1">
      <c r="CY777" s="62" t="s">
        <v>448</v>
      </c>
      <c r="DE777" s="33" t="s">
        <v>30</v>
      </c>
    </row>
    <row r="778" spans="103:109" ht="15" customHeight="1">
      <c r="CY778" s="62" t="s">
        <v>449</v>
      </c>
      <c r="DE778" s="33" t="s">
        <v>30</v>
      </c>
    </row>
    <row r="779" spans="103:109" ht="15" customHeight="1">
      <c r="CY779" s="62" t="s">
        <v>450</v>
      </c>
      <c r="DE779" s="33" t="s">
        <v>30</v>
      </c>
    </row>
    <row r="780" spans="103:109" ht="15" customHeight="1">
      <c r="CY780" s="62" t="s">
        <v>479</v>
      </c>
      <c r="DE780" s="33" t="s">
        <v>30</v>
      </c>
    </row>
    <row r="781" spans="103:109" ht="15" customHeight="1">
      <c r="CY781" s="62" t="s">
        <v>456</v>
      </c>
      <c r="DE781" s="33" t="s">
        <v>30</v>
      </c>
    </row>
    <row r="782" spans="103:109" ht="15" customHeight="1">
      <c r="CY782" s="62" t="s">
        <v>457</v>
      </c>
      <c r="DE782" s="33" t="s">
        <v>30</v>
      </c>
    </row>
    <row r="783" spans="103:109" ht="15" customHeight="1">
      <c r="CY783" s="62" t="s">
        <v>340</v>
      </c>
      <c r="DE783" s="33" t="s">
        <v>30</v>
      </c>
    </row>
    <row r="784" spans="103:109" ht="15" customHeight="1">
      <c r="CY784" s="62" t="s">
        <v>272</v>
      </c>
      <c r="DE784" s="33" t="s">
        <v>30</v>
      </c>
    </row>
    <row r="785" spans="103:109" ht="15" customHeight="1">
      <c r="CY785" s="62" t="s">
        <v>582</v>
      </c>
      <c r="DE785" s="33" t="s">
        <v>30</v>
      </c>
    </row>
    <row r="786" spans="103:109" ht="15" customHeight="1">
      <c r="CY786" s="62" t="s">
        <v>279</v>
      </c>
      <c r="DE786" s="33" t="s">
        <v>30</v>
      </c>
    </row>
    <row r="787" spans="103:109" ht="15" customHeight="1">
      <c r="CY787" s="62" t="s">
        <v>282</v>
      </c>
      <c r="DE787" s="33" t="s">
        <v>30</v>
      </c>
    </row>
    <row r="788" spans="103:109" ht="15" customHeight="1">
      <c r="CY788" s="62" t="s">
        <v>583</v>
      </c>
      <c r="DE788" s="33" t="s">
        <v>30</v>
      </c>
    </row>
    <row r="789" spans="103:109" ht="15" customHeight="1">
      <c r="CY789" s="62" t="s">
        <v>435</v>
      </c>
      <c r="DE789" s="33" t="s">
        <v>30</v>
      </c>
    </row>
    <row r="790" spans="103:109" ht="15" customHeight="1">
      <c r="CY790" s="62" t="s">
        <v>436</v>
      </c>
      <c r="DE790" s="33" t="s">
        <v>30</v>
      </c>
    </row>
    <row r="791" spans="103:109" ht="15" customHeight="1">
      <c r="CY791" s="62" t="s">
        <v>437</v>
      </c>
      <c r="DE791" s="33" t="s">
        <v>30</v>
      </c>
    </row>
    <row r="792" spans="103:109" ht="15" customHeight="1">
      <c r="CY792" s="62" t="s">
        <v>438</v>
      </c>
      <c r="DE792" s="33" t="s">
        <v>30</v>
      </c>
    </row>
    <row r="793" spans="103:109" ht="15" customHeight="1">
      <c r="CY793" s="62" t="s">
        <v>439</v>
      </c>
      <c r="DE793" s="33" t="s">
        <v>30</v>
      </c>
    </row>
    <row r="794" spans="103:109" ht="15" customHeight="1">
      <c r="CY794" s="62" t="s">
        <v>440</v>
      </c>
      <c r="DE794" s="33" t="s">
        <v>30</v>
      </c>
    </row>
    <row r="795" spans="103:109" ht="15" customHeight="1">
      <c r="CY795" s="62" t="s">
        <v>441</v>
      </c>
      <c r="DE795" s="33" t="s">
        <v>30</v>
      </c>
    </row>
    <row r="796" spans="103:109" ht="15" customHeight="1">
      <c r="CY796" s="62" t="s">
        <v>442</v>
      </c>
      <c r="DE796" s="33" t="s">
        <v>30</v>
      </c>
    </row>
    <row r="797" spans="103:109" ht="15" customHeight="1">
      <c r="CY797" s="62" t="s">
        <v>312</v>
      </c>
      <c r="DE797" s="33" t="s">
        <v>30</v>
      </c>
    </row>
    <row r="798" spans="103:109" ht="15" customHeight="1">
      <c r="CY798" s="62" t="s">
        <v>443</v>
      </c>
      <c r="DE798" s="33" t="s">
        <v>30</v>
      </c>
    </row>
    <row r="799" spans="103:109" ht="15" customHeight="1">
      <c r="CY799" s="62" t="s">
        <v>584</v>
      </c>
      <c r="DE799" s="33" t="s">
        <v>30</v>
      </c>
    </row>
    <row r="800" spans="103:109" ht="15" customHeight="1">
      <c r="CY800" s="62" t="s">
        <v>321</v>
      </c>
      <c r="DE800" s="33" t="s">
        <v>30</v>
      </c>
    </row>
    <row r="801" spans="103:109" ht="15" customHeight="1">
      <c r="CY801" s="62" t="s">
        <v>324</v>
      </c>
      <c r="DE801" s="33" t="s">
        <v>30</v>
      </c>
    </row>
    <row r="802" spans="103:109" ht="15" customHeight="1">
      <c r="CY802" s="62" t="s">
        <v>327</v>
      </c>
      <c r="DE802" s="33" t="s">
        <v>30</v>
      </c>
    </row>
    <row r="803" spans="103:109" ht="15" customHeight="1">
      <c r="CY803" s="62" t="s">
        <v>330</v>
      </c>
      <c r="DE803" s="33" t="s">
        <v>30</v>
      </c>
    </row>
    <row r="804" spans="103:109" ht="15" customHeight="1">
      <c r="CY804" s="62" t="s">
        <v>333</v>
      </c>
      <c r="DE804" s="33" t="s">
        <v>30</v>
      </c>
    </row>
    <row r="805" spans="103:109" ht="15" customHeight="1">
      <c r="CY805" s="62" t="s">
        <v>444</v>
      </c>
      <c r="DE805" s="33" t="s">
        <v>30</v>
      </c>
    </row>
    <row r="806" spans="103:109" ht="15" customHeight="1">
      <c r="CY806" s="62" t="s">
        <v>445</v>
      </c>
      <c r="DE806" s="33" t="s">
        <v>30</v>
      </c>
    </row>
    <row r="807" spans="103:109" ht="15" customHeight="1">
      <c r="CY807" s="62" t="s">
        <v>446</v>
      </c>
      <c r="DE807" s="33" t="s">
        <v>30</v>
      </c>
    </row>
    <row r="808" spans="103:109" ht="15" customHeight="1">
      <c r="CY808" s="62" t="s">
        <v>447</v>
      </c>
      <c r="DE808" s="33" t="s">
        <v>30</v>
      </c>
    </row>
    <row r="809" spans="103:109" ht="15" customHeight="1">
      <c r="CY809" s="62" t="s">
        <v>448</v>
      </c>
      <c r="DE809" s="33" t="s">
        <v>30</v>
      </c>
    </row>
    <row r="810" spans="103:109" ht="15" customHeight="1">
      <c r="CY810" s="62" t="s">
        <v>449</v>
      </c>
      <c r="DE810" s="33" t="s">
        <v>30</v>
      </c>
    </row>
    <row r="811" spans="103:109" ht="15" customHeight="1">
      <c r="CY811" s="62" t="s">
        <v>454</v>
      </c>
      <c r="DE811" s="33" t="s">
        <v>30</v>
      </c>
    </row>
    <row r="812" spans="103:109" ht="15" customHeight="1">
      <c r="CY812" s="62" t="s">
        <v>585</v>
      </c>
      <c r="DE812" s="33" t="s">
        <v>30</v>
      </c>
    </row>
    <row r="813" spans="103:109" ht="15" customHeight="1">
      <c r="CY813" s="62" t="s">
        <v>452</v>
      </c>
      <c r="DE813" s="33" t="s">
        <v>30</v>
      </c>
    </row>
    <row r="814" spans="103:109" ht="15" customHeight="1">
      <c r="CY814" s="62" t="s">
        <v>445</v>
      </c>
      <c r="DE814" s="33" t="s">
        <v>30</v>
      </c>
    </row>
    <row r="815" spans="103:109" ht="15" customHeight="1">
      <c r="CY815" s="62" t="s">
        <v>446</v>
      </c>
      <c r="DE815" s="33" t="s">
        <v>30</v>
      </c>
    </row>
    <row r="816" spans="103:109" ht="15" customHeight="1">
      <c r="CY816" s="62" t="s">
        <v>453</v>
      </c>
      <c r="DE816" s="33" t="s">
        <v>30</v>
      </c>
    </row>
    <row r="817" spans="103:109" ht="15" customHeight="1">
      <c r="CY817" s="62" t="s">
        <v>448</v>
      </c>
      <c r="DE817" s="33" t="s">
        <v>30</v>
      </c>
    </row>
    <row r="818" spans="103:109" ht="15" customHeight="1">
      <c r="CY818" s="62" t="s">
        <v>449</v>
      </c>
      <c r="DE818" s="33" t="s">
        <v>30</v>
      </c>
    </row>
    <row r="819" spans="103:109" ht="15" customHeight="1">
      <c r="CY819" s="62" t="s">
        <v>454</v>
      </c>
      <c r="DE819" s="33" t="s">
        <v>30</v>
      </c>
    </row>
    <row r="820" spans="103:109" ht="15" customHeight="1">
      <c r="CY820" s="62" t="s">
        <v>455</v>
      </c>
      <c r="DE820" s="33" t="s">
        <v>30</v>
      </c>
    </row>
    <row r="821" spans="103:109" ht="15" customHeight="1">
      <c r="CY821" s="62" t="s">
        <v>456</v>
      </c>
      <c r="DE821" s="33" t="s">
        <v>30</v>
      </c>
    </row>
    <row r="822" spans="103:109" ht="15" customHeight="1">
      <c r="CY822" s="62" t="s">
        <v>457</v>
      </c>
      <c r="DE822" s="33" t="s">
        <v>30</v>
      </c>
    </row>
    <row r="823" spans="103:109" ht="15" customHeight="1">
      <c r="CY823" s="62" t="s">
        <v>340</v>
      </c>
      <c r="DE823" s="33" t="s">
        <v>30</v>
      </c>
    </row>
    <row r="824" spans="103:109" ht="15" customHeight="1">
      <c r="CY824" s="62" t="s">
        <v>272</v>
      </c>
      <c r="DE824" s="33" t="s">
        <v>30</v>
      </c>
    </row>
    <row r="825" spans="103:109" ht="15" customHeight="1">
      <c r="CY825" s="62" t="s">
        <v>586</v>
      </c>
      <c r="DE825" s="33" t="s">
        <v>30</v>
      </c>
    </row>
    <row r="826" spans="103:109" ht="15" customHeight="1">
      <c r="CY826" s="62" t="s">
        <v>279</v>
      </c>
      <c r="DE826" s="33" t="s">
        <v>30</v>
      </c>
    </row>
    <row r="827" spans="103:109" ht="15" customHeight="1">
      <c r="CY827" s="62" t="s">
        <v>282</v>
      </c>
      <c r="DE827" s="33" t="s">
        <v>30</v>
      </c>
    </row>
    <row r="828" spans="103:109" ht="15" customHeight="1">
      <c r="CY828" s="62" t="s">
        <v>587</v>
      </c>
      <c r="DE828" s="33" t="s">
        <v>30</v>
      </c>
    </row>
    <row r="829" spans="103:109" ht="15" customHeight="1">
      <c r="CY829" s="62" t="s">
        <v>435</v>
      </c>
      <c r="DE829" s="33" t="s">
        <v>30</v>
      </c>
    </row>
    <row r="830" spans="103:109" ht="15" customHeight="1">
      <c r="CY830" s="62" t="s">
        <v>436</v>
      </c>
      <c r="DE830" s="33" t="s">
        <v>30</v>
      </c>
    </row>
    <row r="831" spans="103:109" ht="15" customHeight="1">
      <c r="CY831" s="62" t="s">
        <v>437</v>
      </c>
      <c r="DE831" s="33" t="s">
        <v>30</v>
      </c>
    </row>
    <row r="832" spans="103:109" ht="15" customHeight="1">
      <c r="CY832" s="62" t="s">
        <v>438</v>
      </c>
      <c r="DE832" s="33" t="s">
        <v>30</v>
      </c>
    </row>
    <row r="833" spans="103:109" ht="15" customHeight="1">
      <c r="CY833" s="62" t="s">
        <v>439</v>
      </c>
      <c r="DE833" s="33" t="s">
        <v>30</v>
      </c>
    </row>
    <row r="834" spans="103:109" ht="15" customHeight="1">
      <c r="CY834" s="62" t="s">
        <v>440</v>
      </c>
      <c r="DE834" s="33" t="s">
        <v>30</v>
      </c>
    </row>
    <row r="835" spans="103:109" ht="15" customHeight="1">
      <c r="CY835" s="62" t="s">
        <v>441</v>
      </c>
      <c r="DE835" s="33" t="s">
        <v>30</v>
      </c>
    </row>
    <row r="836" spans="103:109" ht="15" customHeight="1">
      <c r="CY836" s="62" t="s">
        <v>442</v>
      </c>
      <c r="DE836" s="33" t="s">
        <v>30</v>
      </c>
    </row>
    <row r="837" spans="103:109" ht="15" customHeight="1">
      <c r="CY837" s="62" t="s">
        <v>312</v>
      </c>
      <c r="DE837" s="33" t="s">
        <v>30</v>
      </c>
    </row>
    <row r="838" spans="103:109" ht="15" customHeight="1">
      <c r="CY838" s="62" t="s">
        <v>443</v>
      </c>
      <c r="DE838" s="33" t="s">
        <v>30</v>
      </c>
    </row>
    <row r="839" spans="103:109" ht="15" customHeight="1">
      <c r="CY839" s="62" t="s">
        <v>588</v>
      </c>
      <c r="DE839" s="33" t="s">
        <v>30</v>
      </c>
    </row>
    <row r="840" spans="103:109" ht="15" customHeight="1">
      <c r="CY840" s="62" t="s">
        <v>321</v>
      </c>
      <c r="DE840" s="33" t="s">
        <v>30</v>
      </c>
    </row>
    <row r="841" spans="103:109" ht="15" customHeight="1">
      <c r="CY841" s="62" t="s">
        <v>324</v>
      </c>
      <c r="DE841" s="33" t="s">
        <v>30</v>
      </c>
    </row>
    <row r="842" spans="103:109" ht="15" customHeight="1">
      <c r="CY842" s="62" t="s">
        <v>327</v>
      </c>
      <c r="DE842" s="33" t="s">
        <v>30</v>
      </c>
    </row>
    <row r="843" spans="103:109" ht="15" customHeight="1">
      <c r="CY843" s="62" t="s">
        <v>330</v>
      </c>
      <c r="DE843" s="33" t="s">
        <v>30</v>
      </c>
    </row>
    <row r="844" spans="103:109" ht="15" customHeight="1">
      <c r="CY844" s="62" t="s">
        <v>333</v>
      </c>
      <c r="DE844" s="33" t="s">
        <v>30</v>
      </c>
    </row>
    <row r="845" spans="103:109" ht="15" customHeight="1">
      <c r="CY845" s="62" t="s">
        <v>444</v>
      </c>
      <c r="DE845" s="33" t="s">
        <v>30</v>
      </c>
    </row>
    <row r="846" spans="103:109" ht="15" customHeight="1">
      <c r="CY846" s="62" t="s">
        <v>445</v>
      </c>
      <c r="DE846" s="33" t="s">
        <v>30</v>
      </c>
    </row>
    <row r="847" spans="103:109" ht="15" customHeight="1">
      <c r="CY847" s="62" t="s">
        <v>446</v>
      </c>
      <c r="DE847" s="33" t="s">
        <v>30</v>
      </c>
    </row>
    <row r="848" spans="103:109" ht="15" customHeight="1">
      <c r="CY848" s="62" t="s">
        <v>447</v>
      </c>
      <c r="DE848" s="33" t="s">
        <v>30</v>
      </c>
    </row>
    <row r="849" spans="103:109" ht="15" customHeight="1">
      <c r="CY849" s="62" t="s">
        <v>448</v>
      </c>
      <c r="DE849" s="33" t="s">
        <v>30</v>
      </c>
    </row>
    <row r="850" spans="103:109" ht="15" customHeight="1">
      <c r="CY850" s="62" t="s">
        <v>449</v>
      </c>
      <c r="DE850" s="33" t="s">
        <v>30</v>
      </c>
    </row>
    <row r="851" spans="103:109" ht="15" customHeight="1">
      <c r="CY851" s="62" t="s">
        <v>474</v>
      </c>
      <c r="DE851" s="33" t="s">
        <v>30</v>
      </c>
    </row>
    <row r="852" spans="103:109" ht="15" customHeight="1">
      <c r="CY852" s="62" t="s">
        <v>589</v>
      </c>
      <c r="DE852" s="33" t="s">
        <v>30</v>
      </c>
    </row>
    <row r="853" spans="103:109" ht="15" customHeight="1">
      <c r="CY853" s="62" t="s">
        <v>452</v>
      </c>
      <c r="DE853" s="33" t="s">
        <v>30</v>
      </c>
    </row>
    <row r="854" spans="103:109" ht="15" customHeight="1">
      <c r="CY854" s="62" t="s">
        <v>445</v>
      </c>
      <c r="DE854" s="33" t="s">
        <v>30</v>
      </c>
    </row>
    <row r="855" spans="103:109" ht="15" customHeight="1">
      <c r="CY855" s="62" t="s">
        <v>446</v>
      </c>
      <c r="DE855" s="33" t="s">
        <v>30</v>
      </c>
    </row>
    <row r="856" spans="103:109" ht="15" customHeight="1">
      <c r="CY856" s="62" t="s">
        <v>453</v>
      </c>
      <c r="DE856" s="33" t="s">
        <v>30</v>
      </c>
    </row>
    <row r="857" spans="103:109" ht="15" customHeight="1">
      <c r="CY857" s="62" t="s">
        <v>448</v>
      </c>
      <c r="DE857" s="33" t="s">
        <v>30</v>
      </c>
    </row>
    <row r="858" spans="103:109" ht="15" customHeight="1">
      <c r="CY858" s="62" t="s">
        <v>449</v>
      </c>
      <c r="DE858" s="33" t="s">
        <v>30</v>
      </c>
    </row>
    <row r="859" spans="103:109" ht="15" customHeight="1">
      <c r="CY859" s="62" t="s">
        <v>454</v>
      </c>
      <c r="DE859" s="33" t="s">
        <v>30</v>
      </c>
    </row>
    <row r="860" spans="103:109" ht="15" customHeight="1">
      <c r="CY860" s="62" t="s">
        <v>455</v>
      </c>
      <c r="DE860" s="33" t="s">
        <v>30</v>
      </c>
    </row>
    <row r="861" spans="103:109" ht="15" customHeight="1">
      <c r="CY861" s="62" t="s">
        <v>456</v>
      </c>
      <c r="DE861" s="33" t="s">
        <v>30</v>
      </c>
    </row>
    <row r="862" spans="103:109" ht="15" customHeight="1">
      <c r="CY862" s="62" t="s">
        <v>457</v>
      </c>
      <c r="DE862" s="33" t="s">
        <v>30</v>
      </c>
    </row>
    <row r="863" spans="103:109" ht="15" customHeight="1">
      <c r="CY863" s="62" t="s">
        <v>340</v>
      </c>
      <c r="DE863" s="33" t="s">
        <v>30</v>
      </c>
    </row>
    <row r="864" spans="103:109" ht="15" customHeight="1">
      <c r="CY864" s="62" t="s">
        <v>272</v>
      </c>
      <c r="DE864" s="33" t="s">
        <v>30</v>
      </c>
    </row>
    <row r="865" spans="103:109" ht="15" customHeight="1">
      <c r="CY865" s="62" t="s">
        <v>590</v>
      </c>
      <c r="DE865" s="33" t="s">
        <v>30</v>
      </c>
    </row>
    <row r="866" spans="103:109" ht="15" customHeight="1">
      <c r="CY866" s="62" t="s">
        <v>279</v>
      </c>
      <c r="DE866" s="33" t="s">
        <v>30</v>
      </c>
    </row>
    <row r="867" spans="103:109" ht="15" customHeight="1">
      <c r="CY867" s="62" t="s">
        <v>282</v>
      </c>
      <c r="DE867" s="33" t="s">
        <v>30</v>
      </c>
    </row>
    <row r="868" spans="103:109" ht="15" customHeight="1">
      <c r="CY868" s="62" t="s">
        <v>434</v>
      </c>
      <c r="DE868" s="33" t="s">
        <v>30</v>
      </c>
    </row>
    <row r="869" spans="103:109" ht="15" customHeight="1">
      <c r="CY869" s="62" t="s">
        <v>435</v>
      </c>
      <c r="DE869" s="33" t="s">
        <v>30</v>
      </c>
    </row>
    <row r="870" spans="103:109" ht="15" customHeight="1">
      <c r="CY870" s="62" t="s">
        <v>436</v>
      </c>
      <c r="DE870" s="33" t="s">
        <v>30</v>
      </c>
    </row>
    <row r="871" spans="103:109" ht="15" customHeight="1">
      <c r="CY871" s="62" t="s">
        <v>437</v>
      </c>
      <c r="DE871" s="33" t="s">
        <v>30</v>
      </c>
    </row>
    <row r="872" spans="103:109" ht="15" customHeight="1">
      <c r="CY872" s="62" t="s">
        <v>438</v>
      </c>
      <c r="DE872" s="33" t="s">
        <v>30</v>
      </c>
    </row>
    <row r="873" spans="103:109" ht="15" customHeight="1">
      <c r="CY873" s="62" t="s">
        <v>439</v>
      </c>
      <c r="DE873" s="33" t="s">
        <v>30</v>
      </c>
    </row>
    <row r="874" spans="103:109" ht="15" customHeight="1">
      <c r="CY874" s="62" t="s">
        <v>440</v>
      </c>
      <c r="DE874" s="33" t="s">
        <v>30</v>
      </c>
    </row>
    <row r="875" spans="103:109" ht="15" customHeight="1">
      <c r="CY875" s="62" t="s">
        <v>441</v>
      </c>
      <c r="DE875" s="33" t="s">
        <v>30</v>
      </c>
    </row>
    <row r="876" spans="103:109" ht="15" customHeight="1">
      <c r="CY876" s="62" t="s">
        <v>442</v>
      </c>
      <c r="DE876" s="33" t="s">
        <v>30</v>
      </c>
    </row>
    <row r="877" spans="103:109" ht="15" customHeight="1">
      <c r="CY877" s="62" t="s">
        <v>312</v>
      </c>
      <c r="DE877" s="33" t="s">
        <v>30</v>
      </c>
    </row>
    <row r="878" spans="103:109" ht="15" customHeight="1">
      <c r="CY878" s="62" t="s">
        <v>443</v>
      </c>
      <c r="DE878" s="33" t="s">
        <v>30</v>
      </c>
    </row>
    <row r="879" spans="103:109" ht="15" customHeight="1">
      <c r="CY879" s="62" t="s">
        <v>425</v>
      </c>
      <c r="DE879" s="33" t="s">
        <v>30</v>
      </c>
    </row>
    <row r="880" spans="103:109" ht="15" customHeight="1">
      <c r="CY880" s="62" t="s">
        <v>321</v>
      </c>
      <c r="DE880" s="33" t="s">
        <v>30</v>
      </c>
    </row>
    <row r="881" spans="103:109" ht="15" customHeight="1">
      <c r="CY881" s="62" t="s">
        <v>324</v>
      </c>
      <c r="DE881" s="33" t="s">
        <v>30</v>
      </c>
    </row>
    <row r="882" spans="103:109" ht="15" customHeight="1">
      <c r="CY882" s="62" t="s">
        <v>327</v>
      </c>
      <c r="DE882" s="33" t="s">
        <v>30</v>
      </c>
    </row>
    <row r="883" spans="103:109" ht="15" customHeight="1">
      <c r="CY883" s="62" t="s">
        <v>330</v>
      </c>
      <c r="DE883" s="33" t="s">
        <v>30</v>
      </c>
    </row>
    <row r="884" spans="103:109" ht="15" customHeight="1">
      <c r="CY884" s="62" t="s">
        <v>333</v>
      </c>
      <c r="DE884" s="33" t="s">
        <v>30</v>
      </c>
    </row>
    <row r="885" spans="103:109" ht="15" customHeight="1">
      <c r="CY885" s="62" t="s">
        <v>444</v>
      </c>
      <c r="DE885" s="33" t="s">
        <v>30</v>
      </c>
    </row>
    <row r="886" spans="103:109" ht="15" customHeight="1">
      <c r="CY886" s="62" t="s">
        <v>445</v>
      </c>
      <c r="DE886" s="33" t="s">
        <v>30</v>
      </c>
    </row>
    <row r="887" spans="103:109" ht="15" customHeight="1">
      <c r="CY887" s="62" t="s">
        <v>446</v>
      </c>
      <c r="DE887" s="33" t="s">
        <v>30</v>
      </c>
    </row>
    <row r="888" spans="103:109" ht="15" customHeight="1">
      <c r="CY888" s="62" t="s">
        <v>447</v>
      </c>
      <c r="DE888" s="33" t="s">
        <v>30</v>
      </c>
    </row>
    <row r="889" spans="103:109" ht="15" customHeight="1">
      <c r="CY889" s="62" t="s">
        <v>448</v>
      </c>
      <c r="DE889" s="33" t="s">
        <v>30</v>
      </c>
    </row>
    <row r="890" spans="103:109" ht="15" customHeight="1">
      <c r="CY890" s="62" t="s">
        <v>449</v>
      </c>
      <c r="DE890" s="33" t="s">
        <v>30</v>
      </c>
    </row>
    <row r="891" spans="103:109" ht="15" customHeight="1">
      <c r="CY891" s="62" t="s">
        <v>450</v>
      </c>
      <c r="DE891" s="33" t="s">
        <v>30</v>
      </c>
    </row>
    <row r="892" spans="103:109" ht="15" customHeight="1">
      <c r="CY892" s="62" t="s">
        <v>451</v>
      </c>
      <c r="DE892" s="33" t="s">
        <v>30</v>
      </c>
    </row>
    <row r="893" spans="103:109" ht="15" customHeight="1">
      <c r="CY893" s="62" t="s">
        <v>452</v>
      </c>
      <c r="DE893" s="33" t="s">
        <v>30</v>
      </c>
    </row>
    <row r="894" spans="103:109" ht="15" customHeight="1">
      <c r="CY894" s="62" t="s">
        <v>445</v>
      </c>
      <c r="DE894" s="33" t="s">
        <v>30</v>
      </c>
    </row>
    <row r="895" spans="103:109" ht="15" customHeight="1">
      <c r="CY895" s="62" t="s">
        <v>446</v>
      </c>
      <c r="DE895" s="33" t="s">
        <v>30</v>
      </c>
    </row>
    <row r="896" spans="103:109" ht="15" customHeight="1">
      <c r="CY896" s="62" t="s">
        <v>453</v>
      </c>
      <c r="DE896" s="33" t="s">
        <v>30</v>
      </c>
    </row>
    <row r="897" spans="103:109" ht="15" customHeight="1">
      <c r="CY897" s="62" t="s">
        <v>448</v>
      </c>
      <c r="DE897" s="33" t="s">
        <v>30</v>
      </c>
    </row>
    <row r="898" spans="103:109" ht="15" customHeight="1">
      <c r="CY898" s="62" t="s">
        <v>449</v>
      </c>
      <c r="DE898" s="33" t="s">
        <v>30</v>
      </c>
    </row>
    <row r="899" spans="103:109" ht="15" customHeight="1">
      <c r="CY899" s="62" t="s">
        <v>454</v>
      </c>
      <c r="DE899" s="33" t="s">
        <v>30</v>
      </c>
    </row>
    <row r="900" spans="103:109" ht="15" customHeight="1">
      <c r="CY900" s="62" t="s">
        <v>455</v>
      </c>
      <c r="DE900" s="33" t="s">
        <v>30</v>
      </c>
    </row>
    <row r="901" spans="103:109" ht="15" customHeight="1">
      <c r="CY901" s="62" t="s">
        <v>456</v>
      </c>
      <c r="DE901" s="33" t="s">
        <v>30</v>
      </c>
    </row>
    <row r="902" spans="103:109" ht="15" customHeight="1">
      <c r="CY902" s="62" t="s">
        <v>457</v>
      </c>
      <c r="DE902" s="33" t="s">
        <v>30</v>
      </c>
    </row>
    <row r="903" spans="103:109" ht="15" customHeight="1">
      <c r="CY903" s="62" t="s">
        <v>340</v>
      </c>
      <c r="DE903" s="33" t="s">
        <v>30</v>
      </c>
    </row>
    <row r="904" spans="103:109" ht="15" customHeight="1">
      <c r="CY904" s="62" t="s">
        <v>272</v>
      </c>
      <c r="DE904" s="33" t="s">
        <v>30</v>
      </c>
    </row>
    <row r="905" spans="103:109" ht="15" customHeight="1">
      <c r="CY905" s="62" t="s">
        <v>591</v>
      </c>
      <c r="DE905" s="33" t="s">
        <v>30</v>
      </c>
    </row>
    <row r="906" spans="103:109" ht="15" customHeight="1">
      <c r="CY906" s="62" t="s">
        <v>279</v>
      </c>
      <c r="DE906" s="33" t="s">
        <v>30</v>
      </c>
    </row>
    <row r="907" spans="103:109" ht="15" customHeight="1">
      <c r="CY907" s="62" t="s">
        <v>282</v>
      </c>
      <c r="DE907" s="33" t="s">
        <v>30</v>
      </c>
    </row>
    <row r="908" spans="103:109" ht="15" customHeight="1">
      <c r="CY908" s="62" t="s">
        <v>592</v>
      </c>
      <c r="DE908" s="33" t="s">
        <v>30</v>
      </c>
    </row>
    <row r="909" spans="103:109" ht="15" customHeight="1">
      <c r="CY909" s="62" t="s">
        <v>593</v>
      </c>
      <c r="DE909" s="33" t="s">
        <v>30</v>
      </c>
    </row>
    <row r="910" spans="103:109" ht="15" customHeight="1">
      <c r="CY910" s="62" t="s">
        <v>594</v>
      </c>
      <c r="DE910" s="33" t="s">
        <v>30</v>
      </c>
    </row>
    <row r="911" spans="103:109" ht="15" customHeight="1">
      <c r="CY911" s="62" t="s">
        <v>595</v>
      </c>
      <c r="DE911" s="33" t="s">
        <v>30</v>
      </c>
    </row>
    <row r="912" spans="103:109" ht="15" customHeight="1">
      <c r="CY912" s="62" t="s">
        <v>596</v>
      </c>
      <c r="DE912" s="33" t="s">
        <v>30</v>
      </c>
    </row>
    <row r="913" spans="103:109" ht="15" customHeight="1">
      <c r="CY913" s="62" t="s">
        <v>597</v>
      </c>
      <c r="DE913" s="33" t="s">
        <v>30</v>
      </c>
    </row>
    <row r="914" spans="103:109" ht="15" customHeight="1">
      <c r="CY914" s="62" t="s">
        <v>598</v>
      </c>
      <c r="DE914" s="33" t="s">
        <v>30</v>
      </c>
    </row>
    <row r="915" spans="103:109" ht="15" customHeight="1">
      <c r="CY915" s="62" t="s">
        <v>599</v>
      </c>
      <c r="DE915" s="33" t="s">
        <v>30</v>
      </c>
    </row>
    <row r="916" spans="103:109" ht="15" customHeight="1">
      <c r="CY916" s="62" t="s">
        <v>600</v>
      </c>
      <c r="DE916" s="33" t="s">
        <v>30</v>
      </c>
    </row>
    <row r="917" spans="103:109" ht="15" customHeight="1">
      <c r="CY917" s="62" t="s">
        <v>312</v>
      </c>
      <c r="DE917" s="33" t="s">
        <v>30</v>
      </c>
    </row>
    <row r="918" spans="103:109" ht="15" customHeight="1">
      <c r="CY918" s="62" t="s">
        <v>601</v>
      </c>
      <c r="DE918" s="33" t="s">
        <v>30</v>
      </c>
    </row>
    <row r="919" spans="103:109" ht="15" customHeight="1">
      <c r="CY919" s="62" t="s">
        <v>602</v>
      </c>
      <c r="DE919" s="33" t="s">
        <v>30</v>
      </c>
    </row>
    <row r="920" spans="103:109" ht="15" customHeight="1">
      <c r="CY920" s="62" t="s">
        <v>321</v>
      </c>
      <c r="DE920" s="33" t="s">
        <v>30</v>
      </c>
    </row>
    <row r="921" spans="103:109" ht="15" customHeight="1">
      <c r="CY921" s="62" t="s">
        <v>324</v>
      </c>
      <c r="DE921" s="33" t="s">
        <v>30</v>
      </c>
    </row>
    <row r="922" spans="103:109" ht="15" customHeight="1">
      <c r="CY922" s="62" t="s">
        <v>327</v>
      </c>
      <c r="DE922" s="33" t="s">
        <v>30</v>
      </c>
    </row>
    <row r="923" spans="103:109" ht="15" customHeight="1">
      <c r="CY923" s="62" t="s">
        <v>330</v>
      </c>
      <c r="DE923" s="33" t="s">
        <v>30</v>
      </c>
    </row>
    <row r="924" spans="103:109" ht="15" customHeight="1">
      <c r="CY924" s="62" t="s">
        <v>333</v>
      </c>
      <c r="DE924" s="33" t="s">
        <v>30</v>
      </c>
    </row>
    <row r="925" spans="103:109" ht="15" customHeight="1">
      <c r="CY925" s="62" t="s">
        <v>444</v>
      </c>
      <c r="DE925" s="33" t="s">
        <v>30</v>
      </c>
    </row>
    <row r="926" spans="103:109" ht="15" customHeight="1">
      <c r="CY926" s="62" t="s">
        <v>445</v>
      </c>
      <c r="DE926" s="33" t="s">
        <v>30</v>
      </c>
    </row>
    <row r="927" spans="103:109" ht="15" customHeight="1">
      <c r="CY927" s="62" t="s">
        <v>446</v>
      </c>
      <c r="DE927" s="33" t="s">
        <v>30</v>
      </c>
    </row>
    <row r="928" spans="103:109" ht="15" customHeight="1">
      <c r="CY928" s="62" t="s">
        <v>447</v>
      </c>
      <c r="DE928" s="33" t="s">
        <v>30</v>
      </c>
    </row>
    <row r="929" spans="103:109" ht="15" customHeight="1">
      <c r="CY929" s="62" t="s">
        <v>448</v>
      </c>
      <c r="DE929" s="33" t="s">
        <v>30</v>
      </c>
    </row>
    <row r="930" spans="103:109" ht="15" customHeight="1">
      <c r="CY930" s="62" t="s">
        <v>449</v>
      </c>
      <c r="DE930" s="33" t="s">
        <v>30</v>
      </c>
    </row>
    <row r="931" spans="103:109" ht="15" customHeight="1">
      <c r="CY931" s="62" t="s">
        <v>454</v>
      </c>
      <c r="DE931" s="33" t="s">
        <v>30</v>
      </c>
    </row>
    <row r="932" spans="103:109" ht="15" customHeight="1">
      <c r="CY932" s="62" t="s">
        <v>603</v>
      </c>
      <c r="DE932" s="33" t="s">
        <v>30</v>
      </c>
    </row>
    <row r="933" spans="103:109" ht="15" customHeight="1">
      <c r="CY933" s="62" t="s">
        <v>456</v>
      </c>
      <c r="DE933" s="33" t="s">
        <v>30</v>
      </c>
    </row>
    <row r="934" spans="103:109" ht="15" customHeight="1">
      <c r="CY934" s="62" t="s">
        <v>457</v>
      </c>
      <c r="DE934" s="33" t="s">
        <v>30</v>
      </c>
    </row>
    <row r="935" spans="103:109" ht="15" customHeight="1">
      <c r="CY935" s="62" t="s">
        <v>340</v>
      </c>
      <c r="DE935" s="33" t="s">
        <v>30</v>
      </c>
    </row>
    <row r="936" spans="103:109" ht="15" customHeight="1">
      <c r="CY936" s="62" t="s">
        <v>272</v>
      </c>
      <c r="DE936" s="33" t="s">
        <v>30</v>
      </c>
    </row>
    <row r="937" spans="103:109" ht="15" customHeight="1">
      <c r="CY937" s="62" t="s">
        <v>604</v>
      </c>
      <c r="DE937" s="33" t="s">
        <v>30</v>
      </c>
    </row>
    <row r="938" spans="103:109" ht="15" customHeight="1">
      <c r="CY938" s="62" t="s">
        <v>279</v>
      </c>
      <c r="DE938" s="33" t="s">
        <v>30</v>
      </c>
    </row>
    <row r="939" spans="103:109" ht="15" customHeight="1">
      <c r="CY939" s="62" t="s">
        <v>282</v>
      </c>
      <c r="DE939" s="33" t="s">
        <v>30</v>
      </c>
    </row>
    <row r="940" spans="103:109" ht="15" customHeight="1">
      <c r="CY940" s="62" t="s">
        <v>605</v>
      </c>
      <c r="DE940" s="33" t="s">
        <v>30</v>
      </c>
    </row>
    <row r="941" spans="103:109" ht="15" customHeight="1">
      <c r="CY941" s="62" t="s">
        <v>593</v>
      </c>
      <c r="DE941" s="33" t="s">
        <v>30</v>
      </c>
    </row>
    <row r="942" spans="103:109" ht="15" customHeight="1">
      <c r="CY942" s="62" t="s">
        <v>594</v>
      </c>
      <c r="DE942" s="33" t="s">
        <v>30</v>
      </c>
    </row>
    <row r="943" spans="103:109" ht="15" customHeight="1">
      <c r="CY943" s="62" t="s">
        <v>595</v>
      </c>
      <c r="DE943" s="33" t="s">
        <v>30</v>
      </c>
    </row>
    <row r="944" spans="103:109" ht="15" customHeight="1">
      <c r="CY944" s="62" t="s">
        <v>596</v>
      </c>
      <c r="DE944" s="33" t="s">
        <v>30</v>
      </c>
    </row>
    <row r="945" spans="103:109" ht="15" customHeight="1">
      <c r="CY945" s="62" t="s">
        <v>597</v>
      </c>
      <c r="DE945" s="33" t="s">
        <v>30</v>
      </c>
    </row>
    <row r="946" spans="103:109" ht="15" customHeight="1">
      <c r="CY946" s="62" t="s">
        <v>598</v>
      </c>
      <c r="DE946" s="33" t="s">
        <v>30</v>
      </c>
    </row>
    <row r="947" spans="103:109" ht="15" customHeight="1">
      <c r="CY947" s="62" t="s">
        <v>599</v>
      </c>
      <c r="DE947" s="33" t="s">
        <v>30</v>
      </c>
    </row>
    <row r="948" spans="103:109" ht="15" customHeight="1">
      <c r="CY948" s="62" t="s">
        <v>600</v>
      </c>
      <c r="DE948" s="33" t="s">
        <v>30</v>
      </c>
    </row>
    <row r="949" spans="103:109" ht="15" customHeight="1">
      <c r="CY949" s="62" t="s">
        <v>312</v>
      </c>
      <c r="DE949" s="33" t="s">
        <v>30</v>
      </c>
    </row>
    <row r="950" spans="103:109" ht="15" customHeight="1">
      <c r="CY950" s="62" t="s">
        <v>601</v>
      </c>
      <c r="DE950" s="33" t="s">
        <v>30</v>
      </c>
    </row>
    <row r="951" spans="103:109" ht="15" customHeight="1">
      <c r="CY951" s="62" t="s">
        <v>606</v>
      </c>
      <c r="DE951" s="33" t="s">
        <v>30</v>
      </c>
    </row>
    <row r="952" spans="103:109" ht="15" customHeight="1">
      <c r="CY952" s="62" t="s">
        <v>321</v>
      </c>
      <c r="DE952" s="33" t="s">
        <v>30</v>
      </c>
    </row>
    <row r="953" spans="103:109" ht="15" customHeight="1">
      <c r="CY953" s="62" t="s">
        <v>324</v>
      </c>
      <c r="DE953" s="33" t="s">
        <v>30</v>
      </c>
    </row>
    <row r="954" spans="103:109" ht="15" customHeight="1">
      <c r="CY954" s="62" t="s">
        <v>327</v>
      </c>
      <c r="DE954" s="33" t="s">
        <v>30</v>
      </c>
    </row>
    <row r="955" spans="103:109" ht="15" customHeight="1">
      <c r="CY955" s="62" t="s">
        <v>330</v>
      </c>
      <c r="DE955" s="33" t="s">
        <v>30</v>
      </c>
    </row>
    <row r="956" spans="103:109" ht="15" customHeight="1">
      <c r="CY956" s="62" t="s">
        <v>333</v>
      </c>
      <c r="DE956" s="33" t="s">
        <v>30</v>
      </c>
    </row>
    <row r="957" spans="103:109" ht="15" customHeight="1">
      <c r="CY957" s="62" t="s">
        <v>444</v>
      </c>
      <c r="DE957" s="33" t="s">
        <v>30</v>
      </c>
    </row>
    <row r="958" spans="103:109" ht="15" customHeight="1">
      <c r="CY958" s="62" t="s">
        <v>445</v>
      </c>
      <c r="DE958" s="33" t="s">
        <v>30</v>
      </c>
    </row>
    <row r="959" spans="103:109" ht="15" customHeight="1">
      <c r="CY959" s="62" t="s">
        <v>446</v>
      </c>
      <c r="DE959" s="33" t="s">
        <v>30</v>
      </c>
    </row>
    <row r="960" spans="103:109" ht="15" customHeight="1">
      <c r="CY960" s="62" t="s">
        <v>447</v>
      </c>
      <c r="DE960" s="33" t="s">
        <v>30</v>
      </c>
    </row>
    <row r="961" spans="103:109" ht="15" customHeight="1">
      <c r="CY961" s="62" t="s">
        <v>448</v>
      </c>
      <c r="DE961" s="33" t="s">
        <v>30</v>
      </c>
    </row>
    <row r="962" spans="103:109" ht="15" customHeight="1">
      <c r="CY962" s="62" t="s">
        <v>449</v>
      </c>
      <c r="DE962" s="33" t="s">
        <v>30</v>
      </c>
    </row>
    <row r="963" spans="103:109" ht="15" customHeight="1">
      <c r="CY963" s="62" t="s">
        <v>474</v>
      </c>
      <c r="DE963" s="33" t="s">
        <v>30</v>
      </c>
    </row>
    <row r="964" spans="103:109" ht="15" customHeight="1">
      <c r="CY964" s="62" t="s">
        <v>607</v>
      </c>
      <c r="DE964" s="33" t="s">
        <v>30</v>
      </c>
    </row>
    <row r="965" spans="103:109" ht="15" customHeight="1">
      <c r="CY965" s="62" t="s">
        <v>456</v>
      </c>
      <c r="DE965" s="33" t="s">
        <v>30</v>
      </c>
    </row>
    <row r="966" spans="103:109" ht="15" customHeight="1">
      <c r="CY966" s="62" t="s">
        <v>457</v>
      </c>
      <c r="DE966" s="33" t="s">
        <v>30</v>
      </c>
    </row>
    <row r="967" spans="103:109" ht="15" customHeight="1">
      <c r="CY967" s="62" t="s">
        <v>340</v>
      </c>
      <c r="DE967" s="33" t="s">
        <v>30</v>
      </c>
    </row>
    <row r="968" spans="103:109" ht="15" customHeight="1">
      <c r="CY968" s="62" t="s">
        <v>272</v>
      </c>
      <c r="DE968" s="33" t="s">
        <v>30</v>
      </c>
    </row>
    <row r="969" spans="103:109" ht="15" customHeight="1">
      <c r="CY969" s="62" t="s">
        <v>608</v>
      </c>
      <c r="DE969" s="33" t="s">
        <v>30</v>
      </c>
    </row>
    <row r="970" spans="103:109" ht="15" customHeight="1">
      <c r="CY970" s="62" t="s">
        <v>279</v>
      </c>
      <c r="DE970" s="33" t="s">
        <v>30</v>
      </c>
    </row>
    <row r="971" spans="103:109" ht="15" customHeight="1">
      <c r="CY971" s="62" t="s">
        <v>282</v>
      </c>
      <c r="DE971" s="33" t="s">
        <v>30</v>
      </c>
    </row>
    <row r="972" spans="103:109" ht="15" customHeight="1">
      <c r="CY972" s="62" t="s">
        <v>609</v>
      </c>
      <c r="DE972" s="33" t="s">
        <v>30</v>
      </c>
    </row>
    <row r="973" spans="103:109" ht="15" customHeight="1">
      <c r="CY973" s="62" t="s">
        <v>593</v>
      </c>
      <c r="DE973" s="33" t="s">
        <v>30</v>
      </c>
    </row>
    <row r="974" spans="103:109" ht="15" customHeight="1">
      <c r="CY974" s="62" t="s">
        <v>594</v>
      </c>
      <c r="DE974" s="33" t="s">
        <v>30</v>
      </c>
    </row>
    <row r="975" spans="103:109" ht="15" customHeight="1">
      <c r="CY975" s="62" t="s">
        <v>595</v>
      </c>
      <c r="DE975" s="33" t="s">
        <v>30</v>
      </c>
    </row>
    <row r="976" spans="103:109" ht="15" customHeight="1">
      <c r="CY976" s="62" t="s">
        <v>596</v>
      </c>
      <c r="DE976" s="33" t="s">
        <v>30</v>
      </c>
    </row>
    <row r="977" spans="103:109" ht="15" customHeight="1">
      <c r="CY977" s="62" t="s">
        <v>597</v>
      </c>
      <c r="DE977" s="33" t="s">
        <v>30</v>
      </c>
    </row>
    <row r="978" spans="103:109" ht="15" customHeight="1">
      <c r="CY978" s="62" t="s">
        <v>598</v>
      </c>
      <c r="DE978" s="33" t="s">
        <v>30</v>
      </c>
    </row>
    <row r="979" spans="103:109" ht="15" customHeight="1">
      <c r="CY979" s="62" t="s">
        <v>599</v>
      </c>
      <c r="DE979" s="33" t="s">
        <v>30</v>
      </c>
    </row>
    <row r="980" spans="103:109" ht="15" customHeight="1">
      <c r="CY980" s="62" t="s">
        <v>600</v>
      </c>
      <c r="DE980" s="33" t="s">
        <v>30</v>
      </c>
    </row>
    <row r="981" spans="103:109" ht="15" customHeight="1">
      <c r="CY981" s="62" t="s">
        <v>312</v>
      </c>
      <c r="DE981" s="33" t="s">
        <v>30</v>
      </c>
    </row>
    <row r="982" spans="103:109" ht="15" customHeight="1">
      <c r="CY982" s="62" t="s">
        <v>601</v>
      </c>
      <c r="DE982" s="33" t="s">
        <v>30</v>
      </c>
    </row>
    <row r="983" spans="103:109" ht="15" customHeight="1">
      <c r="CY983" s="62" t="s">
        <v>610</v>
      </c>
      <c r="DE983" s="33" t="s">
        <v>30</v>
      </c>
    </row>
    <row r="984" spans="103:109" ht="15" customHeight="1">
      <c r="CY984" s="62" t="s">
        <v>321</v>
      </c>
      <c r="DE984" s="33" t="s">
        <v>30</v>
      </c>
    </row>
    <row r="985" spans="103:109" ht="15" customHeight="1">
      <c r="CY985" s="62" t="s">
        <v>324</v>
      </c>
      <c r="DE985" s="33" t="s">
        <v>30</v>
      </c>
    </row>
    <row r="986" spans="103:109" ht="15" customHeight="1">
      <c r="CY986" s="62" t="s">
        <v>327</v>
      </c>
      <c r="DE986" s="33" t="s">
        <v>30</v>
      </c>
    </row>
    <row r="987" spans="103:109" ht="15" customHeight="1">
      <c r="CY987" s="62" t="s">
        <v>330</v>
      </c>
      <c r="DE987" s="33" t="s">
        <v>30</v>
      </c>
    </row>
    <row r="988" spans="103:109" ht="15" customHeight="1">
      <c r="CY988" s="62" t="s">
        <v>333</v>
      </c>
      <c r="DE988" s="33" t="s">
        <v>30</v>
      </c>
    </row>
    <row r="989" spans="103:109" ht="15" customHeight="1">
      <c r="CY989" s="62" t="s">
        <v>444</v>
      </c>
      <c r="DE989" s="33" t="s">
        <v>30</v>
      </c>
    </row>
    <row r="990" spans="103:109" ht="15" customHeight="1">
      <c r="CY990" s="62" t="s">
        <v>445</v>
      </c>
      <c r="DE990" s="33" t="s">
        <v>30</v>
      </c>
    </row>
    <row r="991" spans="103:109" ht="15" customHeight="1">
      <c r="CY991" s="62" t="s">
        <v>446</v>
      </c>
      <c r="DE991" s="33" t="s">
        <v>30</v>
      </c>
    </row>
    <row r="992" spans="103:109" ht="15" customHeight="1">
      <c r="CY992" s="62" t="s">
        <v>447</v>
      </c>
      <c r="DE992" s="33" t="s">
        <v>30</v>
      </c>
    </row>
    <row r="993" spans="103:109" ht="15" customHeight="1">
      <c r="CY993" s="62" t="s">
        <v>448</v>
      </c>
      <c r="DE993" s="33" t="s">
        <v>30</v>
      </c>
    </row>
    <row r="994" spans="103:109" ht="15" customHeight="1">
      <c r="CY994" s="62" t="s">
        <v>449</v>
      </c>
      <c r="DE994" s="33" t="s">
        <v>30</v>
      </c>
    </row>
    <row r="995" spans="103:109" ht="15" customHeight="1">
      <c r="CY995" s="62" t="s">
        <v>450</v>
      </c>
      <c r="DE995" s="33" t="s">
        <v>30</v>
      </c>
    </row>
    <row r="996" spans="103:109" ht="15" customHeight="1">
      <c r="CY996" s="62" t="s">
        <v>611</v>
      </c>
      <c r="DE996" s="33" t="s">
        <v>30</v>
      </c>
    </row>
    <row r="997" spans="103:109" ht="15" customHeight="1">
      <c r="CY997" s="62" t="s">
        <v>456</v>
      </c>
      <c r="DE997" s="33" t="s">
        <v>30</v>
      </c>
    </row>
    <row r="998" spans="103:109" ht="15" customHeight="1">
      <c r="CY998" s="62" t="s">
        <v>457</v>
      </c>
      <c r="DE998" s="33" t="s">
        <v>30</v>
      </c>
    </row>
    <row r="999" spans="103:109" ht="15" customHeight="1">
      <c r="CY999" s="62" t="s">
        <v>340</v>
      </c>
      <c r="DE999" s="33" t="s">
        <v>30</v>
      </c>
    </row>
    <row r="1000" spans="103:109" ht="15" customHeight="1">
      <c r="CY1000" s="62" t="s">
        <v>272</v>
      </c>
      <c r="DE1000" s="33" t="s">
        <v>30</v>
      </c>
    </row>
    <row r="1001" spans="103:109" ht="15" customHeight="1">
      <c r="CY1001" s="62" t="s">
        <v>612</v>
      </c>
      <c r="DE1001" s="33" t="s">
        <v>30</v>
      </c>
    </row>
    <row r="1002" spans="103:109" ht="15" customHeight="1">
      <c r="CY1002" s="62" t="s">
        <v>279</v>
      </c>
      <c r="DE1002" s="33" t="s">
        <v>30</v>
      </c>
    </row>
    <row r="1003" spans="103:109" ht="15" customHeight="1">
      <c r="CY1003" s="62" t="s">
        <v>282</v>
      </c>
      <c r="DE1003" s="33" t="s">
        <v>30</v>
      </c>
    </row>
    <row r="1004" spans="103:109" ht="15" customHeight="1">
      <c r="CY1004" s="62" t="s">
        <v>613</v>
      </c>
      <c r="DE1004" s="33" t="s">
        <v>30</v>
      </c>
    </row>
    <row r="1005" spans="103:109" ht="15" customHeight="1">
      <c r="CY1005" s="62" t="s">
        <v>614</v>
      </c>
      <c r="DE1005" s="33" t="s">
        <v>30</v>
      </c>
    </row>
    <row r="1006" spans="103:109" ht="15" customHeight="1">
      <c r="CY1006" s="62" t="s">
        <v>615</v>
      </c>
      <c r="DE1006" s="33" t="s">
        <v>30</v>
      </c>
    </row>
    <row r="1007" spans="103:109" ht="15" customHeight="1">
      <c r="CY1007" s="62" t="s">
        <v>616</v>
      </c>
      <c r="DE1007" s="33" t="s">
        <v>30</v>
      </c>
    </row>
    <row r="1008" spans="103:109" ht="15" customHeight="1">
      <c r="CY1008" s="62" t="s">
        <v>617</v>
      </c>
      <c r="DE1008" s="33" t="s">
        <v>30</v>
      </c>
    </row>
    <row r="1009" spans="103:109" ht="15" customHeight="1">
      <c r="CY1009" s="62" t="s">
        <v>618</v>
      </c>
      <c r="DE1009" s="33" t="s">
        <v>30</v>
      </c>
    </row>
    <row r="1010" spans="103:109" ht="15" customHeight="1">
      <c r="CY1010" s="62" t="s">
        <v>619</v>
      </c>
      <c r="DE1010" s="33" t="s">
        <v>30</v>
      </c>
    </row>
    <row r="1011" spans="103:109" ht="15" customHeight="1">
      <c r="CY1011" s="62" t="s">
        <v>620</v>
      </c>
      <c r="DE1011" s="33" t="s">
        <v>30</v>
      </c>
    </row>
    <row r="1012" spans="103:109" ht="15" customHeight="1">
      <c r="CY1012" s="62" t="s">
        <v>467</v>
      </c>
      <c r="DE1012" s="33" t="s">
        <v>30</v>
      </c>
    </row>
    <row r="1013" spans="103:109" ht="15" customHeight="1">
      <c r="CY1013" s="62" t="s">
        <v>312</v>
      </c>
      <c r="DE1013" s="33" t="s">
        <v>30</v>
      </c>
    </row>
    <row r="1014" spans="103:109" ht="15" customHeight="1">
      <c r="CY1014" s="62" t="s">
        <v>468</v>
      </c>
      <c r="DE1014" s="33" t="s">
        <v>30</v>
      </c>
    </row>
    <row r="1015" spans="103:109" ht="15" customHeight="1">
      <c r="CY1015" s="62" t="s">
        <v>621</v>
      </c>
      <c r="DE1015" s="33" t="s">
        <v>30</v>
      </c>
    </row>
    <row r="1016" spans="103:109" ht="15" customHeight="1">
      <c r="CY1016" s="62" t="s">
        <v>552</v>
      </c>
      <c r="DE1016" s="33" t="s">
        <v>30</v>
      </c>
    </row>
    <row r="1017" spans="103:109" ht="15" customHeight="1">
      <c r="CY1017" s="62" t="s">
        <v>324</v>
      </c>
      <c r="DE1017" s="33" t="s">
        <v>30</v>
      </c>
    </row>
    <row r="1018" spans="103:109" ht="15" customHeight="1">
      <c r="CY1018" s="62" t="s">
        <v>327</v>
      </c>
      <c r="DE1018" s="33" t="s">
        <v>30</v>
      </c>
    </row>
    <row r="1019" spans="103:109" ht="15" customHeight="1">
      <c r="CY1019" s="62" t="s">
        <v>554</v>
      </c>
      <c r="DE1019" s="33" t="s">
        <v>30</v>
      </c>
    </row>
    <row r="1020" spans="103:109" ht="15" customHeight="1">
      <c r="CY1020" s="62" t="s">
        <v>333</v>
      </c>
      <c r="DE1020" s="33" t="s">
        <v>30</v>
      </c>
    </row>
    <row r="1021" spans="103:109" ht="15" customHeight="1">
      <c r="CY1021" s="62" t="s">
        <v>336</v>
      </c>
      <c r="DE1021" s="33" t="s">
        <v>30</v>
      </c>
    </row>
    <row r="1022" spans="103:109" ht="15" customHeight="1">
      <c r="CY1022" s="62" t="s">
        <v>340</v>
      </c>
      <c r="DE1022" s="33" t="s">
        <v>30</v>
      </c>
    </row>
    <row r="1023" spans="103:109" ht="15" customHeight="1">
      <c r="CY1023" s="62" t="s">
        <v>272</v>
      </c>
      <c r="DE1023" s="33" t="s">
        <v>30</v>
      </c>
    </row>
    <row r="1024" spans="103:109" ht="15" customHeight="1">
      <c r="CY1024" s="62" t="s">
        <v>622</v>
      </c>
      <c r="DE1024" s="33" t="s">
        <v>30</v>
      </c>
    </row>
    <row r="1025" spans="103:109" ht="15" customHeight="1">
      <c r="CY1025" s="62" t="s">
        <v>279</v>
      </c>
      <c r="DE1025" s="33" t="s">
        <v>30</v>
      </c>
    </row>
    <row r="1026" spans="103:109" ht="15" customHeight="1">
      <c r="CY1026" s="62" t="s">
        <v>282</v>
      </c>
      <c r="DE1026" s="33" t="s">
        <v>30</v>
      </c>
    </row>
    <row r="1027" spans="103:109" ht="15" customHeight="1">
      <c r="CY1027" s="62" t="s">
        <v>623</v>
      </c>
      <c r="DE1027" s="33" t="s">
        <v>30</v>
      </c>
    </row>
    <row r="1028" spans="103:109" ht="15" customHeight="1">
      <c r="CY1028" s="62" t="s">
        <v>624</v>
      </c>
      <c r="DE1028" s="33" t="s">
        <v>30</v>
      </c>
    </row>
    <row r="1029" spans="103:109" ht="15" customHeight="1">
      <c r="CY1029" s="62" t="s">
        <v>615</v>
      </c>
      <c r="DE1029" s="33" t="s">
        <v>30</v>
      </c>
    </row>
    <row r="1030" spans="103:109" ht="15" customHeight="1">
      <c r="CY1030" s="62" t="s">
        <v>625</v>
      </c>
      <c r="DE1030" s="33" t="s">
        <v>30</v>
      </c>
    </row>
    <row r="1031" spans="103:109" ht="15" customHeight="1">
      <c r="CY1031" s="62" t="s">
        <v>626</v>
      </c>
      <c r="DE1031" s="33" t="s">
        <v>30</v>
      </c>
    </row>
    <row r="1032" spans="103:109" ht="15" customHeight="1">
      <c r="CY1032" s="62" t="s">
        <v>618</v>
      </c>
      <c r="DE1032" s="33" t="s">
        <v>30</v>
      </c>
    </row>
    <row r="1033" spans="103:109" ht="15" customHeight="1">
      <c r="CY1033" s="62" t="s">
        <v>627</v>
      </c>
      <c r="DE1033" s="33" t="s">
        <v>30</v>
      </c>
    </row>
    <row r="1034" spans="103:109" ht="15" customHeight="1">
      <c r="CY1034" s="62" t="s">
        <v>628</v>
      </c>
      <c r="DE1034" s="33" t="s">
        <v>30</v>
      </c>
    </row>
    <row r="1035" spans="103:109" ht="15" customHeight="1">
      <c r="CY1035" s="62" t="s">
        <v>467</v>
      </c>
      <c r="DE1035" s="33" t="s">
        <v>30</v>
      </c>
    </row>
    <row r="1036" spans="103:109" ht="15" customHeight="1">
      <c r="CY1036" s="62" t="s">
        <v>312</v>
      </c>
      <c r="DE1036" s="33" t="s">
        <v>30</v>
      </c>
    </row>
    <row r="1037" spans="103:109" ht="15" customHeight="1">
      <c r="CY1037" s="62" t="s">
        <v>468</v>
      </c>
      <c r="DE1037" s="33" t="s">
        <v>30</v>
      </c>
    </row>
    <row r="1038" spans="103:109" ht="15" customHeight="1">
      <c r="CY1038" s="62" t="s">
        <v>621</v>
      </c>
      <c r="DE1038" s="33" t="s">
        <v>30</v>
      </c>
    </row>
    <row r="1039" spans="103:109" ht="15" customHeight="1">
      <c r="CY1039" s="62" t="s">
        <v>321</v>
      </c>
      <c r="DE1039" s="33" t="s">
        <v>30</v>
      </c>
    </row>
    <row r="1040" spans="103:109" ht="15" customHeight="1">
      <c r="CY1040" s="62" t="s">
        <v>324</v>
      </c>
      <c r="DE1040" s="33" t="s">
        <v>30</v>
      </c>
    </row>
    <row r="1041" spans="103:109" ht="15" customHeight="1">
      <c r="CY1041" s="62" t="s">
        <v>327</v>
      </c>
      <c r="DE1041" s="33" t="s">
        <v>30</v>
      </c>
    </row>
    <row r="1042" spans="103:109" ht="15" customHeight="1">
      <c r="CY1042" s="62" t="s">
        <v>330</v>
      </c>
      <c r="DE1042" s="33" t="s">
        <v>30</v>
      </c>
    </row>
    <row r="1043" spans="103:109" ht="15" customHeight="1">
      <c r="CY1043" s="62" t="s">
        <v>333</v>
      </c>
      <c r="DE1043" s="33" t="s">
        <v>30</v>
      </c>
    </row>
    <row r="1044" spans="103:109" ht="15" customHeight="1">
      <c r="CY1044" s="62" t="s">
        <v>336</v>
      </c>
      <c r="DE1044" s="33" t="s">
        <v>30</v>
      </c>
    </row>
    <row r="1045" spans="103:109" ht="15" customHeight="1">
      <c r="CY1045" s="62" t="s">
        <v>340</v>
      </c>
      <c r="DE1045" s="33" t="s">
        <v>30</v>
      </c>
    </row>
    <row r="1046" spans="103:109" ht="15" customHeight="1">
      <c r="CY1046" s="62" t="s">
        <v>272</v>
      </c>
      <c r="DE1046" s="33" t="s">
        <v>30</v>
      </c>
    </row>
    <row r="1047" spans="103:109" ht="15" customHeight="1">
      <c r="CY1047" s="62" t="s">
        <v>629</v>
      </c>
      <c r="DE1047" s="33" t="s">
        <v>30</v>
      </c>
    </row>
    <row r="1048" spans="103:109" ht="15" customHeight="1">
      <c r="CY1048" s="62" t="s">
        <v>279</v>
      </c>
      <c r="DE1048" s="33" t="s">
        <v>30</v>
      </c>
    </row>
    <row r="1049" spans="103:109" ht="15" customHeight="1">
      <c r="CY1049" s="62" t="s">
        <v>282</v>
      </c>
      <c r="DE1049" s="33" t="s">
        <v>30</v>
      </c>
    </row>
    <row r="1050" spans="103:109" ht="15" customHeight="1">
      <c r="CY1050" s="62" t="s">
        <v>630</v>
      </c>
      <c r="DE1050" s="33" t="s">
        <v>30</v>
      </c>
    </row>
    <row r="1051" spans="103:109" ht="15" customHeight="1">
      <c r="CY1051" s="62" t="s">
        <v>631</v>
      </c>
      <c r="DE1051" s="33" t="s">
        <v>30</v>
      </c>
    </row>
    <row r="1052" spans="103:109" ht="15" customHeight="1">
      <c r="CY1052" s="62" t="s">
        <v>615</v>
      </c>
      <c r="DE1052" s="33" t="s">
        <v>30</v>
      </c>
    </row>
    <row r="1053" spans="103:109" ht="15" customHeight="1">
      <c r="CY1053" s="62" t="s">
        <v>632</v>
      </c>
      <c r="DE1053" s="33" t="s">
        <v>30</v>
      </c>
    </row>
    <row r="1054" spans="103:109" ht="15" customHeight="1">
      <c r="CY1054" s="62" t="s">
        <v>633</v>
      </c>
      <c r="DE1054" s="33" t="s">
        <v>30</v>
      </c>
    </row>
    <row r="1055" spans="103:109" ht="15" customHeight="1">
      <c r="CY1055" s="62" t="s">
        <v>618</v>
      </c>
      <c r="DE1055" s="33" t="s">
        <v>30</v>
      </c>
    </row>
    <row r="1056" spans="103:109" ht="15" customHeight="1">
      <c r="CY1056" s="62" t="s">
        <v>634</v>
      </c>
      <c r="DE1056" s="33" t="s">
        <v>30</v>
      </c>
    </row>
    <row r="1057" spans="103:109" ht="15" customHeight="1">
      <c r="CY1057" s="62" t="s">
        <v>635</v>
      </c>
      <c r="DE1057" s="33" t="s">
        <v>30</v>
      </c>
    </row>
    <row r="1058" spans="103:109" ht="15" customHeight="1">
      <c r="CY1058" s="62" t="s">
        <v>467</v>
      </c>
      <c r="DE1058" s="33" t="s">
        <v>30</v>
      </c>
    </row>
    <row r="1059" spans="103:109" ht="15" customHeight="1">
      <c r="CY1059" s="62" t="s">
        <v>312</v>
      </c>
      <c r="DE1059" s="33" t="s">
        <v>30</v>
      </c>
    </row>
    <row r="1060" spans="103:109" ht="15" customHeight="1">
      <c r="CY1060" s="62" t="s">
        <v>468</v>
      </c>
      <c r="DE1060" s="33" t="s">
        <v>30</v>
      </c>
    </row>
    <row r="1061" spans="103:109" ht="15" customHeight="1">
      <c r="CY1061" s="62" t="s">
        <v>621</v>
      </c>
      <c r="DE1061" s="33" t="s">
        <v>30</v>
      </c>
    </row>
    <row r="1062" spans="103:109" ht="15" customHeight="1">
      <c r="CY1062" s="62" t="s">
        <v>552</v>
      </c>
      <c r="DE1062" s="33" t="s">
        <v>30</v>
      </c>
    </row>
    <row r="1063" spans="103:109" ht="15" customHeight="1">
      <c r="CY1063" s="62" t="s">
        <v>324</v>
      </c>
      <c r="DE1063" s="33" t="s">
        <v>30</v>
      </c>
    </row>
    <row r="1064" spans="103:109" ht="15" customHeight="1">
      <c r="CY1064" s="62" t="s">
        <v>327</v>
      </c>
      <c r="DE1064" s="33" t="s">
        <v>30</v>
      </c>
    </row>
    <row r="1065" spans="103:109" ht="15" customHeight="1">
      <c r="CY1065" s="62" t="s">
        <v>330</v>
      </c>
      <c r="DE1065" s="33" t="s">
        <v>30</v>
      </c>
    </row>
    <row r="1066" spans="103:109" ht="15" customHeight="1">
      <c r="CY1066" s="62" t="s">
        <v>333</v>
      </c>
      <c r="DE1066" s="33" t="s">
        <v>30</v>
      </c>
    </row>
    <row r="1067" spans="103:109" ht="15" customHeight="1">
      <c r="CY1067" s="62" t="s">
        <v>336</v>
      </c>
      <c r="DE1067" s="33" t="s">
        <v>30</v>
      </c>
    </row>
    <row r="1068" spans="103:109" ht="15" customHeight="1">
      <c r="CY1068" s="62" t="s">
        <v>340</v>
      </c>
      <c r="DE1068" s="33" t="s">
        <v>30</v>
      </c>
    </row>
    <row r="1069" spans="103:109" ht="15" customHeight="1">
      <c r="CY1069" s="62" t="s">
        <v>272</v>
      </c>
      <c r="DE1069" s="33" t="s">
        <v>30</v>
      </c>
    </row>
    <row r="1070" spans="103:109" ht="15" customHeight="1">
      <c r="CY1070" s="62" t="s">
        <v>636</v>
      </c>
      <c r="DE1070" s="33" t="s">
        <v>30</v>
      </c>
    </row>
    <row r="1071" spans="103:109" ht="15" customHeight="1">
      <c r="CY1071" s="62" t="s">
        <v>279</v>
      </c>
      <c r="DE1071" s="33" t="s">
        <v>30</v>
      </c>
    </row>
    <row r="1072" spans="103:109" ht="15" customHeight="1">
      <c r="CY1072" s="62" t="s">
        <v>282</v>
      </c>
      <c r="DE1072" s="33" t="s">
        <v>30</v>
      </c>
    </row>
    <row r="1073" spans="103:109" ht="15" customHeight="1">
      <c r="CY1073" s="62" t="s">
        <v>637</v>
      </c>
      <c r="DE1073" s="33" t="s">
        <v>30</v>
      </c>
    </row>
    <row r="1074" spans="103:109" ht="15" customHeight="1">
      <c r="CY1074" s="62" t="s">
        <v>638</v>
      </c>
      <c r="DE1074" s="33" t="s">
        <v>30</v>
      </c>
    </row>
    <row r="1075" spans="103:109" ht="15" customHeight="1">
      <c r="CY1075" s="62" t="s">
        <v>615</v>
      </c>
      <c r="DE1075" s="33" t="s">
        <v>30</v>
      </c>
    </row>
    <row r="1076" spans="103:109" ht="15" customHeight="1">
      <c r="CY1076" s="62" t="s">
        <v>639</v>
      </c>
      <c r="DE1076" s="33" t="s">
        <v>30</v>
      </c>
    </row>
    <row r="1077" spans="103:109" ht="15" customHeight="1">
      <c r="CY1077" s="62" t="s">
        <v>640</v>
      </c>
      <c r="DE1077" s="33" t="s">
        <v>30</v>
      </c>
    </row>
    <row r="1078" spans="103:109" ht="15" customHeight="1">
      <c r="CY1078" s="62" t="s">
        <v>618</v>
      </c>
      <c r="DE1078" s="33" t="s">
        <v>30</v>
      </c>
    </row>
    <row r="1079" spans="103:109" ht="15" customHeight="1">
      <c r="CY1079" s="62" t="s">
        <v>641</v>
      </c>
      <c r="DE1079" s="33" t="s">
        <v>30</v>
      </c>
    </row>
    <row r="1080" spans="103:109" ht="15" customHeight="1">
      <c r="CY1080" s="62" t="s">
        <v>642</v>
      </c>
      <c r="DE1080" s="33" t="s">
        <v>30</v>
      </c>
    </row>
    <row r="1081" spans="103:109" ht="15" customHeight="1">
      <c r="CY1081" s="62" t="s">
        <v>467</v>
      </c>
      <c r="DE1081" s="33" t="s">
        <v>30</v>
      </c>
    </row>
    <row r="1082" spans="103:109" ht="15" customHeight="1">
      <c r="CY1082" s="62" t="s">
        <v>312</v>
      </c>
      <c r="DE1082" s="33" t="s">
        <v>30</v>
      </c>
    </row>
    <row r="1083" spans="103:109" ht="15" customHeight="1">
      <c r="CY1083" s="62" t="s">
        <v>468</v>
      </c>
      <c r="DE1083" s="33" t="s">
        <v>30</v>
      </c>
    </row>
    <row r="1084" spans="103:109" ht="15" customHeight="1">
      <c r="CY1084" s="62" t="s">
        <v>621</v>
      </c>
      <c r="DE1084" s="33" t="s">
        <v>30</v>
      </c>
    </row>
    <row r="1085" spans="103:109" ht="15" customHeight="1">
      <c r="CY1085" s="62" t="s">
        <v>552</v>
      </c>
      <c r="DE1085" s="33" t="s">
        <v>30</v>
      </c>
    </row>
    <row r="1086" spans="103:109" ht="15" customHeight="1">
      <c r="CY1086" s="62" t="s">
        <v>324</v>
      </c>
      <c r="DE1086" s="33" t="s">
        <v>30</v>
      </c>
    </row>
    <row r="1087" spans="103:109" ht="15" customHeight="1">
      <c r="CY1087" s="62" t="s">
        <v>327</v>
      </c>
      <c r="DE1087" s="33" t="s">
        <v>30</v>
      </c>
    </row>
    <row r="1088" spans="103:109" ht="15" customHeight="1">
      <c r="CY1088" s="62" t="s">
        <v>330</v>
      </c>
      <c r="DE1088" s="33" t="s">
        <v>30</v>
      </c>
    </row>
    <row r="1089" spans="103:109" ht="15" customHeight="1">
      <c r="CY1089" s="62" t="s">
        <v>333</v>
      </c>
      <c r="DE1089" s="33" t="s">
        <v>30</v>
      </c>
    </row>
    <row r="1090" spans="103:109" ht="15" customHeight="1">
      <c r="CY1090" s="62" t="s">
        <v>336</v>
      </c>
      <c r="DE1090" s="33" t="s">
        <v>30</v>
      </c>
    </row>
    <row r="1091" spans="103:109" ht="15" customHeight="1">
      <c r="CY1091" s="62" t="s">
        <v>340</v>
      </c>
      <c r="DE1091" s="33" t="s">
        <v>30</v>
      </c>
    </row>
    <row r="1092" spans="103:109" ht="15" customHeight="1">
      <c r="CY1092" s="62" t="s">
        <v>272</v>
      </c>
      <c r="DE1092" s="33" t="s">
        <v>30</v>
      </c>
    </row>
    <row r="1093" spans="103:109" ht="15" customHeight="1">
      <c r="CY1093" s="62" t="s">
        <v>643</v>
      </c>
      <c r="DE1093" s="33" t="s">
        <v>30</v>
      </c>
    </row>
    <row r="1094" spans="103:109" ht="15" customHeight="1">
      <c r="CY1094" s="62" t="s">
        <v>279</v>
      </c>
      <c r="DE1094" s="33" t="s">
        <v>30</v>
      </c>
    </row>
    <row r="1095" spans="103:109" ht="15" customHeight="1">
      <c r="CY1095" s="62" t="s">
        <v>282</v>
      </c>
      <c r="DE1095" s="33" t="s">
        <v>30</v>
      </c>
    </row>
    <row r="1096" spans="103:109" ht="15" customHeight="1">
      <c r="CY1096" s="62" t="s">
        <v>644</v>
      </c>
      <c r="DE1096" s="33" t="s">
        <v>30</v>
      </c>
    </row>
    <row r="1097" spans="103:109" ht="15" customHeight="1">
      <c r="CY1097" s="62" t="s">
        <v>645</v>
      </c>
      <c r="DE1097" s="33" t="s">
        <v>30</v>
      </c>
    </row>
    <row r="1098" spans="103:109" ht="15" customHeight="1">
      <c r="CY1098" s="62" t="s">
        <v>615</v>
      </c>
      <c r="DE1098" s="33" t="s">
        <v>30</v>
      </c>
    </row>
    <row r="1099" spans="103:109" ht="15" customHeight="1">
      <c r="CY1099" s="62" t="s">
        <v>646</v>
      </c>
      <c r="DE1099" s="33" t="s">
        <v>30</v>
      </c>
    </row>
    <row r="1100" spans="103:109" ht="15" customHeight="1">
      <c r="CY1100" s="62" t="s">
        <v>647</v>
      </c>
      <c r="DE1100" s="33" t="s">
        <v>30</v>
      </c>
    </row>
    <row r="1101" spans="103:109" ht="15" customHeight="1">
      <c r="CY1101" s="62" t="s">
        <v>618</v>
      </c>
      <c r="DE1101" s="33" t="s">
        <v>30</v>
      </c>
    </row>
    <row r="1102" spans="103:109" ht="15" customHeight="1">
      <c r="CY1102" s="62" t="s">
        <v>648</v>
      </c>
      <c r="DE1102" s="33" t="s">
        <v>30</v>
      </c>
    </row>
    <row r="1103" spans="103:109" ht="15" customHeight="1">
      <c r="CY1103" s="62" t="s">
        <v>649</v>
      </c>
      <c r="DE1103" s="33" t="s">
        <v>30</v>
      </c>
    </row>
    <row r="1104" spans="103:109" ht="15" customHeight="1">
      <c r="CY1104" s="62" t="s">
        <v>467</v>
      </c>
      <c r="DE1104" s="33" t="s">
        <v>30</v>
      </c>
    </row>
    <row r="1105" spans="103:109" ht="15" customHeight="1">
      <c r="CY1105" s="62" t="s">
        <v>312</v>
      </c>
      <c r="DE1105" s="33" t="s">
        <v>30</v>
      </c>
    </row>
    <row r="1106" spans="103:109" ht="15" customHeight="1">
      <c r="CY1106" s="62" t="s">
        <v>468</v>
      </c>
      <c r="DE1106" s="33" t="s">
        <v>30</v>
      </c>
    </row>
    <row r="1107" spans="103:109" ht="15" customHeight="1">
      <c r="CY1107" s="62" t="s">
        <v>621</v>
      </c>
      <c r="DE1107" s="33" t="s">
        <v>30</v>
      </c>
    </row>
    <row r="1108" spans="103:109" ht="15" customHeight="1">
      <c r="CY1108" s="62" t="s">
        <v>650</v>
      </c>
      <c r="DE1108" s="33" t="s">
        <v>30</v>
      </c>
    </row>
    <row r="1109" spans="103:109" ht="15" customHeight="1">
      <c r="CY1109" s="62" t="s">
        <v>324</v>
      </c>
      <c r="DE1109" s="33" t="s">
        <v>30</v>
      </c>
    </row>
    <row r="1110" spans="103:109" ht="15" customHeight="1">
      <c r="CY1110" s="62" t="s">
        <v>327</v>
      </c>
      <c r="DE1110" s="33" t="s">
        <v>30</v>
      </c>
    </row>
    <row r="1111" spans="103:109" ht="15" customHeight="1">
      <c r="CY1111" s="62" t="s">
        <v>554</v>
      </c>
      <c r="DE1111" s="33" t="s">
        <v>30</v>
      </c>
    </row>
    <row r="1112" spans="103:109" ht="15" customHeight="1">
      <c r="CY1112" s="62" t="s">
        <v>333</v>
      </c>
      <c r="DE1112" s="33" t="s">
        <v>30</v>
      </c>
    </row>
    <row r="1113" spans="103:109" ht="15" customHeight="1">
      <c r="CY1113" s="62" t="s">
        <v>336</v>
      </c>
      <c r="DE1113" s="33" t="s">
        <v>30</v>
      </c>
    </row>
    <row r="1114" spans="103:109" ht="15" customHeight="1">
      <c r="CY1114" s="62" t="s">
        <v>340</v>
      </c>
      <c r="DE1114" s="33" t="s">
        <v>30</v>
      </c>
    </row>
    <row r="1115" spans="103:109" ht="15" customHeight="1">
      <c r="CY1115" s="62" t="s">
        <v>272</v>
      </c>
      <c r="DE1115" s="33" t="s">
        <v>30</v>
      </c>
    </row>
    <row r="1116" spans="103:109" ht="15" customHeight="1">
      <c r="CY1116" s="62" t="s">
        <v>651</v>
      </c>
      <c r="DE1116" s="33" t="s">
        <v>30</v>
      </c>
    </row>
    <row r="1117" spans="103:109" ht="15" customHeight="1">
      <c r="CY1117" s="62" t="s">
        <v>279</v>
      </c>
      <c r="DE1117" s="33" t="s">
        <v>30</v>
      </c>
    </row>
    <row r="1118" spans="103:109" ht="15" customHeight="1">
      <c r="CY1118" s="62" t="s">
        <v>282</v>
      </c>
      <c r="DE1118" s="33" t="s">
        <v>30</v>
      </c>
    </row>
    <row r="1119" spans="103:109" ht="15" customHeight="1">
      <c r="CY1119" s="62" t="s">
        <v>652</v>
      </c>
      <c r="DE1119" s="33" t="s">
        <v>30</v>
      </c>
    </row>
    <row r="1120" spans="103:109" ht="15" customHeight="1">
      <c r="CY1120" s="62" t="s">
        <v>653</v>
      </c>
      <c r="DE1120" s="33" t="s">
        <v>30</v>
      </c>
    </row>
    <row r="1121" spans="103:109" ht="15" customHeight="1">
      <c r="CY1121" s="62" t="s">
        <v>615</v>
      </c>
      <c r="DE1121" s="33" t="s">
        <v>30</v>
      </c>
    </row>
    <row r="1122" spans="103:109" ht="15" customHeight="1">
      <c r="CY1122" s="62" t="s">
        <v>654</v>
      </c>
      <c r="DE1122" s="33" t="s">
        <v>30</v>
      </c>
    </row>
    <row r="1123" spans="103:109" ht="15" customHeight="1">
      <c r="CY1123" s="62" t="s">
        <v>655</v>
      </c>
      <c r="DE1123" s="33" t="s">
        <v>30</v>
      </c>
    </row>
    <row r="1124" spans="103:109" ht="15" customHeight="1">
      <c r="CY1124" s="62" t="s">
        <v>618</v>
      </c>
      <c r="DE1124" s="33" t="s">
        <v>30</v>
      </c>
    </row>
    <row r="1125" spans="103:109" ht="15" customHeight="1">
      <c r="CY1125" s="62" t="s">
        <v>656</v>
      </c>
      <c r="DE1125" s="33" t="s">
        <v>30</v>
      </c>
    </row>
    <row r="1126" spans="103:109" ht="15" customHeight="1">
      <c r="CY1126" s="62" t="s">
        <v>657</v>
      </c>
      <c r="DE1126" s="33" t="s">
        <v>30</v>
      </c>
    </row>
    <row r="1127" spans="103:109" ht="15" customHeight="1">
      <c r="CY1127" s="62" t="s">
        <v>467</v>
      </c>
      <c r="DE1127" s="33" t="s">
        <v>30</v>
      </c>
    </row>
    <row r="1128" spans="103:109" ht="15" customHeight="1">
      <c r="CY1128" s="62" t="s">
        <v>312</v>
      </c>
      <c r="DE1128" s="33" t="s">
        <v>30</v>
      </c>
    </row>
    <row r="1129" spans="103:109" ht="15" customHeight="1">
      <c r="CY1129" s="62" t="s">
        <v>468</v>
      </c>
      <c r="DE1129" s="33" t="s">
        <v>30</v>
      </c>
    </row>
    <row r="1130" spans="103:109" ht="15" customHeight="1">
      <c r="CY1130" s="62" t="s">
        <v>621</v>
      </c>
      <c r="DE1130" s="33" t="s">
        <v>30</v>
      </c>
    </row>
    <row r="1131" spans="103:109" ht="15" customHeight="1">
      <c r="CY1131" s="62" t="s">
        <v>552</v>
      </c>
      <c r="DE1131" s="33" t="s">
        <v>30</v>
      </c>
    </row>
    <row r="1132" spans="103:109" ht="15" customHeight="1">
      <c r="CY1132" s="62" t="s">
        <v>324</v>
      </c>
      <c r="DE1132" s="33" t="s">
        <v>30</v>
      </c>
    </row>
    <row r="1133" spans="103:109" ht="15" customHeight="1">
      <c r="CY1133" s="62" t="s">
        <v>327</v>
      </c>
      <c r="DE1133" s="33" t="s">
        <v>30</v>
      </c>
    </row>
    <row r="1134" spans="103:109" ht="15" customHeight="1">
      <c r="CY1134" s="62" t="s">
        <v>330</v>
      </c>
      <c r="DE1134" s="33" t="s">
        <v>30</v>
      </c>
    </row>
    <row r="1135" spans="103:109" ht="15" customHeight="1">
      <c r="CY1135" s="62" t="s">
        <v>333</v>
      </c>
      <c r="DE1135" s="33" t="s">
        <v>30</v>
      </c>
    </row>
    <row r="1136" spans="103:109" ht="15" customHeight="1">
      <c r="CY1136" s="62" t="s">
        <v>336</v>
      </c>
      <c r="DE1136" s="33" t="s">
        <v>30</v>
      </c>
    </row>
    <row r="1137" spans="103:109" ht="15" customHeight="1">
      <c r="CY1137" s="62" t="s">
        <v>340</v>
      </c>
      <c r="DE1137" s="33" t="s">
        <v>30</v>
      </c>
    </row>
    <row r="1138" spans="103:109" ht="15" customHeight="1">
      <c r="CY1138" s="62" t="s">
        <v>272</v>
      </c>
      <c r="DE1138" s="33" t="s">
        <v>30</v>
      </c>
    </row>
    <row r="1139" spans="103:109" ht="15" customHeight="1">
      <c r="CY1139" s="62" t="s">
        <v>658</v>
      </c>
      <c r="DE1139" s="33" t="s">
        <v>30</v>
      </c>
    </row>
    <row r="1140" spans="103:109" ht="15" customHeight="1">
      <c r="CY1140" s="62" t="s">
        <v>279</v>
      </c>
      <c r="DE1140" s="33" t="s">
        <v>30</v>
      </c>
    </row>
    <row r="1141" spans="103:109" ht="15" customHeight="1">
      <c r="CY1141" s="62" t="s">
        <v>282</v>
      </c>
      <c r="DE1141" s="33" t="s">
        <v>30</v>
      </c>
    </row>
    <row r="1142" spans="103:109" ht="15" customHeight="1">
      <c r="CY1142" s="62" t="s">
        <v>659</v>
      </c>
      <c r="DE1142" s="33" t="s">
        <v>30</v>
      </c>
    </row>
    <row r="1143" spans="103:109" ht="15" customHeight="1">
      <c r="CY1143" s="62" t="s">
        <v>660</v>
      </c>
      <c r="DE1143" s="33" t="s">
        <v>30</v>
      </c>
    </row>
    <row r="1144" spans="103:109" ht="15" customHeight="1">
      <c r="CY1144" s="62" t="s">
        <v>615</v>
      </c>
      <c r="DE1144" s="33" t="s">
        <v>30</v>
      </c>
    </row>
    <row r="1145" spans="103:109" ht="15" customHeight="1">
      <c r="CY1145" s="62" t="s">
        <v>661</v>
      </c>
      <c r="DE1145" s="33" t="s">
        <v>30</v>
      </c>
    </row>
    <row r="1146" spans="103:109" ht="15" customHeight="1">
      <c r="CY1146" s="62" t="s">
        <v>662</v>
      </c>
      <c r="DE1146" s="33" t="s">
        <v>30</v>
      </c>
    </row>
    <row r="1147" spans="103:109" ht="15" customHeight="1">
      <c r="CY1147" s="62" t="s">
        <v>618</v>
      </c>
      <c r="DE1147" s="33" t="s">
        <v>30</v>
      </c>
    </row>
    <row r="1148" spans="103:109" ht="15" customHeight="1">
      <c r="CY1148" s="62" t="s">
        <v>663</v>
      </c>
      <c r="DE1148" s="33" t="s">
        <v>30</v>
      </c>
    </row>
    <row r="1149" spans="103:109" ht="15" customHeight="1">
      <c r="CY1149" s="62" t="s">
        <v>664</v>
      </c>
      <c r="DE1149" s="33" t="s">
        <v>30</v>
      </c>
    </row>
    <row r="1150" spans="103:109" ht="15" customHeight="1">
      <c r="CY1150" s="62" t="s">
        <v>467</v>
      </c>
      <c r="DE1150" s="33" t="s">
        <v>30</v>
      </c>
    </row>
    <row r="1151" spans="103:109" ht="15" customHeight="1">
      <c r="CY1151" s="62" t="s">
        <v>312</v>
      </c>
      <c r="DE1151" s="33" t="s">
        <v>30</v>
      </c>
    </row>
    <row r="1152" spans="103:109" ht="15" customHeight="1">
      <c r="CY1152" s="62" t="s">
        <v>468</v>
      </c>
      <c r="DE1152" s="33" t="s">
        <v>30</v>
      </c>
    </row>
    <row r="1153" spans="103:109" ht="15" customHeight="1">
      <c r="CY1153" s="62" t="s">
        <v>621</v>
      </c>
      <c r="DE1153" s="33" t="s">
        <v>30</v>
      </c>
    </row>
    <row r="1154" spans="103:109" ht="15" customHeight="1">
      <c r="CY1154" s="62" t="s">
        <v>552</v>
      </c>
      <c r="DE1154" s="33" t="s">
        <v>30</v>
      </c>
    </row>
    <row r="1155" spans="103:109" ht="15" customHeight="1">
      <c r="CY1155" s="62" t="s">
        <v>324</v>
      </c>
      <c r="DE1155" s="33" t="s">
        <v>30</v>
      </c>
    </row>
    <row r="1156" spans="103:109" ht="15" customHeight="1">
      <c r="CY1156" s="62" t="s">
        <v>327</v>
      </c>
      <c r="DE1156" s="33" t="s">
        <v>30</v>
      </c>
    </row>
    <row r="1157" spans="103:109" ht="15" customHeight="1">
      <c r="CY1157" s="62" t="s">
        <v>330</v>
      </c>
      <c r="DE1157" s="33" t="s">
        <v>30</v>
      </c>
    </row>
    <row r="1158" spans="103:109" ht="15" customHeight="1">
      <c r="CY1158" s="62" t="s">
        <v>333</v>
      </c>
      <c r="DE1158" s="33" t="s">
        <v>30</v>
      </c>
    </row>
    <row r="1159" spans="103:109" ht="15" customHeight="1">
      <c r="CY1159" s="62" t="s">
        <v>336</v>
      </c>
      <c r="DE1159" s="33" t="s">
        <v>30</v>
      </c>
    </row>
    <row r="1160" spans="103:109" ht="15" customHeight="1">
      <c r="CY1160" s="62" t="s">
        <v>340</v>
      </c>
      <c r="DE1160" s="33" t="s">
        <v>30</v>
      </c>
    </row>
    <row r="1161" spans="103:109" ht="15" customHeight="1">
      <c r="CY1161" s="62" t="s">
        <v>272</v>
      </c>
      <c r="DE1161" s="33" t="s">
        <v>30</v>
      </c>
    </row>
    <row r="1162" spans="103:109" ht="15" customHeight="1">
      <c r="CY1162" s="62" t="s">
        <v>665</v>
      </c>
      <c r="DE1162" s="33" t="s">
        <v>30</v>
      </c>
    </row>
    <row r="1163" spans="103:109" ht="15" customHeight="1">
      <c r="CY1163" s="62" t="s">
        <v>279</v>
      </c>
      <c r="DE1163" s="33" t="s">
        <v>30</v>
      </c>
    </row>
    <row r="1164" spans="103:109" ht="15" customHeight="1">
      <c r="CY1164" s="62" t="s">
        <v>282</v>
      </c>
      <c r="DE1164" s="33" t="s">
        <v>30</v>
      </c>
    </row>
    <row r="1165" spans="103:109" ht="15" customHeight="1">
      <c r="CY1165" s="62" t="s">
        <v>666</v>
      </c>
      <c r="DE1165" s="33" t="s">
        <v>30</v>
      </c>
    </row>
    <row r="1166" spans="103:109" ht="15" customHeight="1">
      <c r="CY1166" s="62" t="s">
        <v>667</v>
      </c>
      <c r="DE1166" s="33" t="s">
        <v>30</v>
      </c>
    </row>
    <row r="1167" spans="103:109" ht="15" customHeight="1">
      <c r="CY1167" s="62" t="s">
        <v>615</v>
      </c>
      <c r="DE1167" s="33" t="s">
        <v>30</v>
      </c>
    </row>
    <row r="1168" spans="103:109" ht="15" customHeight="1">
      <c r="CY1168" s="62" t="s">
        <v>568</v>
      </c>
      <c r="DE1168" s="33" t="s">
        <v>30</v>
      </c>
    </row>
    <row r="1169" spans="103:109" ht="15" customHeight="1">
      <c r="CY1169" s="62" t="s">
        <v>668</v>
      </c>
      <c r="DE1169" s="33" t="s">
        <v>30</v>
      </c>
    </row>
    <row r="1170" spans="103:109" ht="15" customHeight="1">
      <c r="CY1170" s="62" t="s">
        <v>618</v>
      </c>
      <c r="DE1170" s="33" t="s">
        <v>30</v>
      </c>
    </row>
    <row r="1171" spans="103:109" ht="15" customHeight="1">
      <c r="CY1171" s="62" t="s">
        <v>669</v>
      </c>
      <c r="DE1171" s="33" t="s">
        <v>30</v>
      </c>
    </row>
    <row r="1172" spans="103:109" ht="15" customHeight="1">
      <c r="CY1172" s="62" t="s">
        <v>670</v>
      </c>
      <c r="DE1172" s="33" t="s">
        <v>30</v>
      </c>
    </row>
    <row r="1173" spans="103:109" ht="15" customHeight="1">
      <c r="CY1173" s="62" t="s">
        <v>467</v>
      </c>
      <c r="DE1173" s="33" t="s">
        <v>30</v>
      </c>
    </row>
    <row r="1174" spans="103:109" ht="15" customHeight="1">
      <c r="CY1174" s="62" t="s">
        <v>312</v>
      </c>
      <c r="DE1174" s="33" t="s">
        <v>30</v>
      </c>
    </row>
    <row r="1175" spans="103:109" ht="15" customHeight="1">
      <c r="CY1175" s="62" t="s">
        <v>468</v>
      </c>
      <c r="DE1175" s="33" t="s">
        <v>30</v>
      </c>
    </row>
    <row r="1176" spans="103:109" ht="15" customHeight="1">
      <c r="CY1176" s="62" t="s">
        <v>621</v>
      </c>
      <c r="DE1176" s="33" t="s">
        <v>30</v>
      </c>
    </row>
    <row r="1177" spans="103:109" ht="15" customHeight="1">
      <c r="CY1177" s="62" t="s">
        <v>321</v>
      </c>
      <c r="DE1177" s="33" t="s">
        <v>30</v>
      </c>
    </row>
    <row r="1178" spans="103:109" ht="15" customHeight="1">
      <c r="CY1178" s="62" t="s">
        <v>324</v>
      </c>
      <c r="DE1178" s="33" t="s">
        <v>30</v>
      </c>
    </row>
    <row r="1179" spans="103:109" ht="15" customHeight="1">
      <c r="CY1179" s="62" t="s">
        <v>327</v>
      </c>
      <c r="DE1179" s="33" t="s">
        <v>30</v>
      </c>
    </row>
    <row r="1180" spans="103:109" ht="15" customHeight="1">
      <c r="CY1180" s="62" t="s">
        <v>330</v>
      </c>
      <c r="DE1180" s="33" t="s">
        <v>30</v>
      </c>
    </row>
    <row r="1181" spans="103:109" ht="15" customHeight="1">
      <c r="CY1181" s="62" t="s">
        <v>333</v>
      </c>
      <c r="DE1181" s="33" t="s">
        <v>30</v>
      </c>
    </row>
    <row r="1182" spans="103:109" ht="15" customHeight="1">
      <c r="CY1182" s="62" t="s">
        <v>336</v>
      </c>
      <c r="DE1182" s="33" t="s">
        <v>30</v>
      </c>
    </row>
    <row r="1183" spans="103:109" ht="15" customHeight="1">
      <c r="CY1183" s="62" t="s">
        <v>340</v>
      </c>
      <c r="DE1183" s="33" t="s">
        <v>30</v>
      </c>
    </row>
    <row r="1184" spans="103:109" ht="15" customHeight="1">
      <c r="CY1184" s="62" t="s">
        <v>272</v>
      </c>
      <c r="DE1184" s="33" t="s">
        <v>30</v>
      </c>
    </row>
    <row r="1185" spans="103:109" ht="15" customHeight="1">
      <c r="CY1185" s="62" t="s">
        <v>671</v>
      </c>
      <c r="DE1185" s="33" t="s">
        <v>30</v>
      </c>
    </row>
    <row r="1186" spans="103:109" ht="15" customHeight="1">
      <c r="CY1186" s="62" t="s">
        <v>279</v>
      </c>
      <c r="DE1186" s="33" t="s">
        <v>30</v>
      </c>
    </row>
    <row r="1187" spans="103:109" ht="15" customHeight="1">
      <c r="CY1187" s="62" t="s">
        <v>282</v>
      </c>
      <c r="DE1187" s="33" t="s">
        <v>30</v>
      </c>
    </row>
    <row r="1188" spans="103:109" ht="15" customHeight="1">
      <c r="CY1188" s="62" t="s">
        <v>672</v>
      </c>
      <c r="DE1188" s="33" t="s">
        <v>30</v>
      </c>
    </row>
    <row r="1189" spans="103:109" ht="15" customHeight="1">
      <c r="CY1189" s="62" t="s">
        <v>673</v>
      </c>
      <c r="DE1189" s="33" t="s">
        <v>30</v>
      </c>
    </row>
    <row r="1190" spans="103:109" ht="15" customHeight="1">
      <c r="CY1190" s="62" t="s">
        <v>615</v>
      </c>
      <c r="DE1190" s="33" t="s">
        <v>30</v>
      </c>
    </row>
    <row r="1191" spans="103:109" ht="15" customHeight="1">
      <c r="CY1191" s="62" t="s">
        <v>544</v>
      </c>
      <c r="DE1191" s="33" t="s">
        <v>30</v>
      </c>
    </row>
    <row r="1192" spans="103:109" ht="15" customHeight="1">
      <c r="CY1192" s="62" t="s">
        <v>674</v>
      </c>
      <c r="DE1192" s="33" t="s">
        <v>30</v>
      </c>
    </row>
    <row r="1193" spans="103:109" ht="15" customHeight="1">
      <c r="CY1193" s="62" t="s">
        <v>618</v>
      </c>
      <c r="DE1193" s="33" t="s">
        <v>30</v>
      </c>
    </row>
    <row r="1194" spans="103:109" ht="15" customHeight="1">
      <c r="CY1194" s="62" t="s">
        <v>675</v>
      </c>
      <c r="DE1194" s="33" t="s">
        <v>30</v>
      </c>
    </row>
    <row r="1195" spans="103:109" ht="15" customHeight="1">
      <c r="CY1195" s="62" t="s">
        <v>676</v>
      </c>
      <c r="DE1195" s="33" t="s">
        <v>30</v>
      </c>
    </row>
    <row r="1196" spans="103:109" ht="15" customHeight="1">
      <c r="CY1196" s="62" t="s">
        <v>467</v>
      </c>
      <c r="DE1196" s="33" t="s">
        <v>30</v>
      </c>
    </row>
    <row r="1197" spans="103:109" ht="15" customHeight="1">
      <c r="CY1197" s="62" t="s">
        <v>312</v>
      </c>
      <c r="DE1197" s="33" t="s">
        <v>30</v>
      </c>
    </row>
    <row r="1198" spans="103:109" ht="15" customHeight="1">
      <c r="CY1198" s="62" t="s">
        <v>468</v>
      </c>
      <c r="DE1198" s="33" t="s">
        <v>30</v>
      </c>
    </row>
    <row r="1199" spans="103:109" ht="15" customHeight="1">
      <c r="CY1199" s="62" t="s">
        <v>621</v>
      </c>
      <c r="DE1199" s="33" t="s">
        <v>30</v>
      </c>
    </row>
    <row r="1200" spans="103:109" ht="15" customHeight="1">
      <c r="CY1200" s="62" t="s">
        <v>552</v>
      </c>
      <c r="DE1200" s="33" t="s">
        <v>30</v>
      </c>
    </row>
    <row r="1201" spans="103:109" ht="15" customHeight="1">
      <c r="CY1201" s="62" t="s">
        <v>324</v>
      </c>
      <c r="DE1201" s="33" t="s">
        <v>30</v>
      </c>
    </row>
    <row r="1202" spans="103:109" ht="15" customHeight="1">
      <c r="CY1202" s="62" t="s">
        <v>553</v>
      </c>
      <c r="DE1202" s="33" t="s">
        <v>30</v>
      </c>
    </row>
    <row r="1203" spans="103:109" ht="15" customHeight="1">
      <c r="CY1203" s="62" t="s">
        <v>554</v>
      </c>
      <c r="DE1203" s="33" t="s">
        <v>30</v>
      </c>
    </row>
    <row r="1204" spans="103:109" ht="15" customHeight="1">
      <c r="CY1204" s="62" t="s">
        <v>333</v>
      </c>
      <c r="DE1204" s="33" t="s">
        <v>30</v>
      </c>
    </row>
    <row r="1205" spans="103:109" ht="15" customHeight="1">
      <c r="CY1205" s="62" t="s">
        <v>336</v>
      </c>
      <c r="DE1205" s="33" t="s">
        <v>30</v>
      </c>
    </row>
    <row r="1206" spans="103:109" ht="15" customHeight="1">
      <c r="CY1206" s="62" t="s">
        <v>340</v>
      </c>
      <c r="DE1206" s="33" t="s">
        <v>30</v>
      </c>
    </row>
    <row r="1207" spans="103:109" ht="15" customHeight="1">
      <c r="CY1207" s="62" t="s">
        <v>272</v>
      </c>
      <c r="DE1207" s="33" t="s">
        <v>30</v>
      </c>
    </row>
    <row r="1208" spans="103:109" ht="15" customHeight="1">
      <c r="CY1208" s="62" t="s">
        <v>677</v>
      </c>
      <c r="DE1208" s="33" t="s">
        <v>30</v>
      </c>
    </row>
    <row r="1209" spans="103:109" ht="15" customHeight="1">
      <c r="CY1209" s="62" t="s">
        <v>279</v>
      </c>
      <c r="DE1209" s="33" t="s">
        <v>30</v>
      </c>
    </row>
    <row r="1210" spans="103:109" ht="15" customHeight="1">
      <c r="CY1210" s="62" t="s">
        <v>282</v>
      </c>
      <c r="DE1210" s="33" t="s">
        <v>30</v>
      </c>
    </row>
    <row r="1211" spans="103:109" ht="15" customHeight="1">
      <c r="CY1211" s="62" t="s">
        <v>678</v>
      </c>
      <c r="DE1211" s="33" t="s">
        <v>30</v>
      </c>
    </row>
    <row r="1212" spans="103:109" ht="15" customHeight="1">
      <c r="CY1212" s="62" t="s">
        <v>679</v>
      </c>
      <c r="DE1212" s="33" t="s">
        <v>30</v>
      </c>
    </row>
    <row r="1213" spans="103:109" ht="15" customHeight="1">
      <c r="CY1213" s="62" t="s">
        <v>615</v>
      </c>
      <c r="DE1213" s="33" t="s">
        <v>30</v>
      </c>
    </row>
    <row r="1214" spans="103:109" ht="15" customHeight="1">
      <c r="CY1214" s="62" t="s">
        <v>680</v>
      </c>
      <c r="DE1214" s="33" t="s">
        <v>30</v>
      </c>
    </row>
    <row r="1215" spans="103:109" ht="15" customHeight="1">
      <c r="CY1215" s="62" t="s">
        <v>681</v>
      </c>
      <c r="DE1215" s="33" t="s">
        <v>30</v>
      </c>
    </row>
    <row r="1216" spans="103:109" ht="15" customHeight="1">
      <c r="CY1216" s="62" t="s">
        <v>618</v>
      </c>
      <c r="DE1216" s="33" t="s">
        <v>30</v>
      </c>
    </row>
    <row r="1217" spans="103:109" ht="15" customHeight="1">
      <c r="CY1217" s="62" t="s">
        <v>682</v>
      </c>
      <c r="DE1217" s="33" t="s">
        <v>30</v>
      </c>
    </row>
    <row r="1218" spans="103:109" ht="15" customHeight="1">
      <c r="CY1218" s="62" t="s">
        <v>683</v>
      </c>
      <c r="DE1218" s="33" t="s">
        <v>30</v>
      </c>
    </row>
    <row r="1219" spans="103:109" ht="15" customHeight="1">
      <c r="CY1219" s="62" t="s">
        <v>467</v>
      </c>
      <c r="DE1219" s="33" t="s">
        <v>30</v>
      </c>
    </row>
    <row r="1220" spans="103:109" ht="15" customHeight="1">
      <c r="CY1220" s="62" t="s">
        <v>312</v>
      </c>
      <c r="DE1220" s="33" t="s">
        <v>30</v>
      </c>
    </row>
    <row r="1221" spans="103:109" ht="15" customHeight="1">
      <c r="CY1221" s="62" t="s">
        <v>468</v>
      </c>
      <c r="DE1221" s="33" t="s">
        <v>30</v>
      </c>
    </row>
    <row r="1222" spans="103:109" ht="15" customHeight="1">
      <c r="CY1222" s="62" t="s">
        <v>621</v>
      </c>
      <c r="DE1222" s="33" t="s">
        <v>30</v>
      </c>
    </row>
    <row r="1223" spans="103:109" ht="15" customHeight="1">
      <c r="CY1223" s="62" t="s">
        <v>321</v>
      </c>
      <c r="DE1223" s="33" t="s">
        <v>30</v>
      </c>
    </row>
    <row r="1224" spans="103:109" ht="15" customHeight="1">
      <c r="CY1224" s="62" t="s">
        <v>324</v>
      </c>
      <c r="DE1224" s="33" t="s">
        <v>30</v>
      </c>
    </row>
    <row r="1225" spans="103:109" ht="15" customHeight="1">
      <c r="CY1225" s="62" t="s">
        <v>327</v>
      </c>
      <c r="DE1225" s="33" t="s">
        <v>30</v>
      </c>
    </row>
    <row r="1226" spans="103:109" ht="15" customHeight="1">
      <c r="CY1226" s="62" t="s">
        <v>330</v>
      </c>
      <c r="DE1226" s="33" t="s">
        <v>30</v>
      </c>
    </row>
    <row r="1227" spans="103:109" ht="15" customHeight="1">
      <c r="CY1227" s="62" t="s">
        <v>333</v>
      </c>
      <c r="DE1227" s="33" t="s">
        <v>30</v>
      </c>
    </row>
    <row r="1228" spans="103:109" ht="15" customHeight="1">
      <c r="CY1228" s="62" t="s">
        <v>336</v>
      </c>
      <c r="DE1228" s="33" t="s">
        <v>30</v>
      </c>
    </row>
    <row r="1229" spans="103:109" ht="15" customHeight="1">
      <c r="CY1229" s="62" t="s">
        <v>340</v>
      </c>
      <c r="DE1229" s="33" t="s">
        <v>30</v>
      </c>
    </row>
    <row r="1230" spans="103:109" ht="15" customHeight="1">
      <c r="CY1230" s="62" t="s">
        <v>272</v>
      </c>
      <c r="DE1230" s="33" t="s">
        <v>30</v>
      </c>
    </row>
    <row r="1231" spans="103:109" ht="15" customHeight="1">
      <c r="CY1231" s="62" t="s">
        <v>684</v>
      </c>
      <c r="DE1231" s="33" t="s">
        <v>30</v>
      </c>
    </row>
    <row r="1232" spans="103:109" ht="15" customHeight="1">
      <c r="CY1232" s="62" t="s">
        <v>279</v>
      </c>
      <c r="DE1232" s="33" t="s">
        <v>30</v>
      </c>
    </row>
    <row r="1233" spans="103:109" ht="15" customHeight="1">
      <c r="CY1233" s="62" t="s">
        <v>282</v>
      </c>
      <c r="DE1233" s="33" t="s">
        <v>30</v>
      </c>
    </row>
    <row r="1234" spans="103:109" ht="15" customHeight="1">
      <c r="CY1234" s="62" t="s">
        <v>685</v>
      </c>
      <c r="DE1234" s="33" t="s">
        <v>30</v>
      </c>
    </row>
    <row r="1235" spans="103:109" ht="15" customHeight="1">
      <c r="CY1235" s="62" t="s">
        <v>686</v>
      </c>
      <c r="DE1235" s="33" t="s">
        <v>30</v>
      </c>
    </row>
    <row r="1236" spans="103:109" ht="15" customHeight="1">
      <c r="CY1236" s="62" t="s">
        <v>615</v>
      </c>
      <c r="DE1236" s="33" t="s">
        <v>30</v>
      </c>
    </row>
    <row r="1237" spans="103:109" ht="15" customHeight="1">
      <c r="CY1237" s="62" t="s">
        <v>294</v>
      </c>
      <c r="DE1237" s="33" t="s">
        <v>30</v>
      </c>
    </row>
    <row r="1238" spans="103:109" ht="15" customHeight="1">
      <c r="CY1238" s="62" t="s">
        <v>687</v>
      </c>
      <c r="DE1238" s="33" t="s">
        <v>30</v>
      </c>
    </row>
    <row r="1239" spans="103:109" ht="15" customHeight="1">
      <c r="CY1239" s="62" t="s">
        <v>618</v>
      </c>
      <c r="DE1239" s="33" t="s">
        <v>30</v>
      </c>
    </row>
    <row r="1240" spans="103:109" ht="15" customHeight="1">
      <c r="CY1240" s="62" t="s">
        <v>688</v>
      </c>
      <c r="DE1240" s="33" t="s">
        <v>30</v>
      </c>
    </row>
    <row r="1241" spans="103:109" ht="15" customHeight="1">
      <c r="CY1241" s="62" t="s">
        <v>689</v>
      </c>
      <c r="DE1241" s="33" t="s">
        <v>30</v>
      </c>
    </row>
    <row r="1242" spans="103:109" ht="15" customHeight="1">
      <c r="CY1242" s="62" t="s">
        <v>467</v>
      </c>
      <c r="DE1242" s="33" t="s">
        <v>30</v>
      </c>
    </row>
    <row r="1243" spans="103:109" ht="15" customHeight="1">
      <c r="CY1243" s="62" t="s">
        <v>312</v>
      </c>
      <c r="DE1243" s="33" t="s">
        <v>30</v>
      </c>
    </row>
    <row r="1244" spans="103:109" ht="15" customHeight="1">
      <c r="CY1244" s="62" t="s">
        <v>468</v>
      </c>
      <c r="DE1244" s="33" t="s">
        <v>30</v>
      </c>
    </row>
    <row r="1245" spans="103:109" ht="15" customHeight="1">
      <c r="CY1245" s="62" t="s">
        <v>621</v>
      </c>
      <c r="DE1245" s="33" t="s">
        <v>30</v>
      </c>
    </row>
    <row r="1246" spans="103:109" ht="15" customHeight="1">
      <c r="CY1246" s="62" t="s">
        <v>321</v>
      </c>
      <c r="DE1246" s="33" t="s">
        <v>30</v>
      </c>
    </row>
    <row r="1247" spans="103:109" ht="15" customHeight="1">
      <c r="CY1247" s="62" t="s">
        <v>324</v>
      </c>
      <c r="DE1247" s="33" t="s">
        <v>30</v>
      </c>
    </row>
    <row r="1248" spans="103:109" ht="15" customHeight="1">
      <c r="CY1248" s="62" t="s">
        <v>327</v>
      </c>
      <c r="DE1248" s="33" t="s">
        <v>30</v>
      </c>
    </row>
    <row r="1249" spans="103:109" ht="15" customHeight="1">
      <c r="CY1249" s="62" t="s">
        <v>330</v>
      </c>
      <c r="DE1249" s="33" t="s">
        <v>30</v>
      </c>
    </row>
    <row r="1250" spans="103:109" ht="15" customHeight="1">
      <c r="CY1250" s="62" t="s">
        <v>333</v>
      </c>
      <c r="DE1250" s="33" t="s">
        <v>30</v>
      </c>
    </row>
    <row r="1251" spans="103:109" ht="15" customHeight="1">
      <c r="CY1251" s="62" t="s">
        <v>336</v>
      </c>
      <c r="DE1251" s="33" t="s">
        <v>30</v>
      </c>
    </row>
    <row r="1252" spans="103:109" ht="15" customHeight="1">
      <c r="CY1252" s="62" t="s">
        <v>340</v>
      </c>
      <c r="DE1252" s="33" t="s">
        <v>30</v>
      </c>
    </row>
    <row r="1253" spans="103:109" ht="15" customHeight="1">
      <c r="CY1253" s="62" t="s">
        <v>272</v>
      </c>
      <c r="DE1253" s="33" t="s">
        <v>30</v>
      </c>
    </row>
    <row r="1254" spans="103:109" ht="15" customHeight="1">
      <c r="CY1254" s="62" t="s">
        <v>690</v>
      </c>
      <c r="DE1254" s="33" t="s">
        <v>30</v>
      </c>
    </row>
    <row r="1255" spans="103:109" ht="15" customHeight="1">
      <c r="CY1255" s="62" t="s">
        <v>279</v>
      </c>
      <c r="DE1255" s="33" t="s">
        <v>30</v>
      </c>
    </row>
    <row r="1256" spans="103:109" ht="15" customHeight="1">
      <c r="CY1256" s="62" t="s">
        <v>282</v>
      </c>
      <c r="DE1256" s="33" t="s">
        <v>30</v>
      </c>
    </row>
    <row r="1257" spans="103:109" ht="15" customHeight="1">
      <c r="CY1257" s="62" t="s">
        <v>691</v>
      </c>
      <c r="DE1257" s="33" t="s">
        <v>30</v>
      </c>
    </row>
    <row r="1258" spans="103:109" ht="15" customHeight="1">
      <c r="CY1258" s="62" t="s">
        <v>692</v>
      </c>
      <c r="DE1258" s="33" t="s">
        <v>30</v>
      </c>
    </row>
    <row r="1259" spans="103:109" ht="15" customHeight="1">
      <c r="CY1259" s="62" t="s">
        <v>615</v>
      </c>
      <c r="DE1259" s="33" t="s">
        <v>30</v>
      </c>
    </row>
    <row r="1260" spans="103:109" ht="15" customHeight="1">
      <c r="CY1260" s="62" t="s">
        <v>693</v>
      </c>
      <c r="DE1260" s="33" t="s">
        <v>30</v>
      </c>
    </row>
    <row r="1261" spans="103:109" ht="15" customHeight="1">
      <c r="CY1261" s="62" t="s">
        <v>694</v>
      </c>
      <c r="DE1261" s="33" t="s">
        <v>30</v>
      </c>
    </row>
    <row r="1262" spans="103:109" ht="15" customHeight="1">
      <c r="CY1262" s="62" t="s">
        <v>618</v>
      </c>
      <c r="DE1262" s="33" t="s">
        <v>30</v>
      </c>
    </row>
    <row r="1263" spans="103:109" ht="15" customHeight="1">
      <c r="CY1263" s="62" t="s">
        <v>695</v>
      </c>
      <c r="DE1263" s="33" t="s">
        <v>30</v>
      </c>
    </row>
    <row r="1264" spans="103:109" ht="15" customHeight="1">
      <c r="CY1264" s="62" t="s">
        <v>696</v>
      </c>
      <c r="DE1264" s="33" t="s">
        <v>30</v>
      </c>
    </row>
    <row r="1265" spans="103:109" ht="15" customHeight="1">
      <c r="CY1265" s="62" t="s">
        <v>467</v>
      </c>
      <c r="DE1265" s="33" t="s">
        <v>30</v>
      </c>
    </row>
    <row r="1266" spans="103:109" ht="15" customHeight="1">
      <c r="CY1266" s="62" t="s">
        <v>312</v>
      </c>
      <c r="DE1266" s="33" t="s">
        <v>30</v>
      </c>
    </row>
    <row r="1267" spans="103:109" ht="15" customHeight="1">
      <c r="CY1267" s="62" t="s">
        <v>468</v>
      </c>
      <c r="DE1267" s="33" t="s">
        <v>30</v>
      </c>
    </row>
    <row r="1268" spans="103:109" ht="15" customHeight="1">
      <c r="CY1268" s="62" t="s">
        <v>621</v>
      </c>
      <c r="DE1268" s="33" t="s">
        <v>30</v>
      </c>
    </row>
    <row r="1269" spans="103:109" ht="15" customHeight="1">
      <c r="CY1269" s="62" t="s">
        <v>321</v>
      </c>
      <c r="DE1269" s="33" t="s">
        <v>30</v>
      </c>
    </row>
    <row r="1270" spans="103:109" ht="15" customHeight="1">
      <c r="CY1270" s="62" t="s">
        <v>324</v>
      </c>
      <c r="DE1270" s="33" t="s">
        <v>30</v>
      </c>
    </row>
    <row r="1271" spans="103:109" ht="15" customHeight="1">
      <c r="CY1271" s="62" t="s">
        <v>327</v>
      </c>
      <c r="DE1271" s="33" t="s">
        <v>30</v>
      </c>
    </row>
    <row r="1272" spans="103:109" ht="15" customHeight="1">
      <c r="CY1272" s="62" t="s">
        <v>330</v>
      </c>
      <c r="DE1272" s="33" t="s">
        <v>30</v>
      </c>
    </row>
    <row r="1273" spans="103:109" ht="15" customHeight="1">
      <c r="CY1273" s="62" t="s">
        <v>333</v>
      </c>
      <c r="DE1273" s="33" t="s">
        <v>30</v>
      </c>
    </row>
    <row r="1274" spans="103:109" ht="15" customHeight="1">
      <c r="CY1274" s="62" t="s">
        <v>336</v>
      </c>
      <c r="DE1274" s="33" t="s">
        <v>30</v>
      </c>
    </row>
    <row r="1275" spans="103:109" ht="15" customHeight="1">
      <c r="CY1275" s="62" t="s">
        <v>340</v>
      </c>
      <c r="DE1275" s="33" t="s">
        <v>30</v>
      </c>
    </row>
    <row r="1276" spans="103:109" ht="15" customHeight="1">
      <c r="CY1276" s="62" t="s">
        <v>272</v>
      </c>
      <c r="DE1276" s="33" t="s">
        <v>30</v>
      </c>
    </row>
    <row r="1277" spans="103:109" ht="15" customHeight="1">
      <c r="CY1277" s="62" t="s">
        <v>697</v>
      </c>
      <c r="DE1277" s="33" t="s">
        <v>30</v>
      </c>
    </row>
    <row r="1278" spans="103:109" ht="15" customHeight="1">
      <c r="CY1278" s="62" t="s">
        <v>279</v>
      </c>
      <c r="DE1278" s="33" t="s">
        <v>30</v>
      </c>
    </row>
    <row r="1279" spans="103:109" ht="15" customHeight="1">
      <c r="CY1279" s="62" t="s">
        <v>282</v>
      </c>
      <c r="DE1279" s="33" t="s">
        <v>30</v>
      </c>
    </row>
    <row r="1280" spans="103:109" ht="15" customHeight="1">
      <c r="CY1280" s="62" t="s">
        <v>698</v>
      </c>
      <c r="DE1280" s="33" t="s">
        <v>30</v>
      </c>
    </row>
    <row r="1281" spans="103:109" ht="15" customHeight="1">
      <c r="CY1281" s="62" t="s">
        <v>699</v>
      </c>
      <c r="DE1281" s="33" t="s">
        <v>30</v>
      </c>
    </row>
    <row r="1282" spans="103:109" ht="15" customHeight="1">
      <c r="CY1282" s="62" t="s">
        <v>615</v>
      </c>
      <c r="DE1282" s="33" t="s">
        <v>30</v>
      </c>
    </row>
    <row r="1283" spans="103:109" ht="15" customHeight="1">
      <c r="CY1283" s="62" t="s">
        <v>484</v>
      </c>
      <c r="DE1283" s="33" t="s">
        <v>30</v>
      </c>
    </row>
    <row r="1284" spans="103:109" ht="15" customHeight="1">
      <c r="CY1284" s="62" t="s">
        <v>700</v>
      </c>
      <c r="DE1284" s="33" t="s">
        <v>30</v>
      </c>
    </row>
    <row r="1285" spans="103:109" ht="15" customHeight="1">
      <c r="CY1285" s="62" t="s">
        <v>618</v>
      </c>
      <c r="DE1285" s="33" t="s">
        <v>30</v>
      </c>
    </row>
    <row r="1286" spans="103:109" ht="15" customHeight="1">
      <c r="CY1286" s="62" t="s">
        <v>701</v>
      </c>
      <c r="DE1286" s="33" t="s">
        <v>30</v>
      </c>
    </row>
    <row r="1287" spans="103:109" ht="15" customHeight="1">
      <c r="CY1287" s="62" t="s">
        <v>702</v>
      </c>
      <c r="DE1287" s="33" t="s">
        <v>30</v>
      </c>
    </row>
    <row r="1288" spans="103:109" ht="15" customHeight="1">
      <c r="CY1288" s="62" t="s">
        <v>467</v>
      </c>
      <c r="DE1288" s="33" t="s">
        <v>30</v>
      </c>
    </row>
    <row r="1289" spans="103:109" ht="15" customHeight="1">
      <c r="CY1289" s="62" t="s">
        <v>312</v>
      </c>
      <c r="DE1289" s="33" t="s">
        <v>30</v>
      </c>
    </row>
    <row r="1290" spans="103:109" ht="15" customHeight="1">
      <c r="CY1290" s="62" t="s">
        <v>468</v>
      </c>
      <c r="DE1290" s="33" t="s">
        <v>30</v>
      </c>
    </row>
    <row r="1291" spans="103:109" ht="15" customHeight="1">
      <c r="CY1291" s="62" t="s">
        <v>621</v>
      </c>
      <c r="DE1291" s="33" t="s">
        <v>30</v>
      </c>
    </row>
    <row r="1292" spans="103:109" ht="15" customHeight="1">
      <c r="CY1292" s="62" t="s">
        <v>321</v>
      </c>
      <c r="DE1292" s="33" t="s">
        <v>30</v>
      </c>
    </row>
    <row r="1293" spans="103:109" ht="15" customHeight="1">
      <c r="CY1293" s="62" t="s">
        <v>324</v>
      </c>
      <c r="DE1293" s="33" t="s">
        <v>30</v>
      </c>
    </row>
    <row r="1294" spans="103:109" ht="15" customHeight="1">
      <c r="CY1294" s="62" t="s">
        <v>327</v>
      </c>
      <c r="DE1294" s="33" t="s">
        <v>30</v>
      </c>
    </row>
    <row r="1295" spans="103:109" ht="15" customHeight="1">
      <c r="CY1295" s="62" t="s">
        <v>330</v>
      </c>
      <c r="DE1295" s="33" t="s">
        <v>30</v>
      </c>
    </row>
    <row r="1296" spans="103:109" ht="15" customHeight="1">
      <c r="CY1296" s="62" t="s">
        <v>333</v>
      </c>
      <c r="DE1296" s="33" t="s">
        <v>30</v>
      </c>
    </row>
    <row r="1297" spans="103:109" ht="15" customHeight="1">
      <c r="CY1297" s="62" t="s">
        <v>336</v>
      </c>
      <c r="DE1297" s="33" t="s">
        <v>30</v>
      </c>
    </row>
    <row r="1298" spans="103:109" ht="15" customHeight="1">
      <c r="CY1298" s="62" t="s">
        <v>340</v>
      </c>
      <c r="DE1298" s="33" t="s">
        <v>30</v>
      </c>
    </row>
    <row r="1299" spans="103:109" ht="15" customHeight="1">
      <c r="CY1299" s="62" t="s">
        <v>272</v>
      </c>
      <c r="DE1299" s="33" t="s">
        <v>30</v>
      </c>
    </row>
    <row r="1300" spans="103:109" ht="15" customHeight="1">
      <c r="CY1300" s="62" t="s">
        <v>703</v>
      </c>
      <c r="DE1300" s="33" t="s">
        <v>30</v>
      </c>
    </row>
    <row r="1301" spans="103:109" ht="15" customHeight="1">
      <c r="CY1301" s="62" t="s">
        <v>279</v>
      </c>
      <c r="DE1301" s="33" t="s">
        <v>30</v>
      </c>
    </row>
    <row r="1302" spans="103:109" ht="15" customHeight="1">
      <c r="CY1302" s="62" t="s">
        <v>282</v>
      </c>
      <c r="DE1302" s="33" t="s">
        <v>30</v>
      </c>
    </row>
    <row r="1303" spans="103:109" ht="15" customHeight="1">
      <c r="CY1303" s="62" t="s">
        <v>704</v>
      </c>
      <c r="DE1303" s="33" t="s">
        <v>30</v>
      </c>
    </row>
    <row r="1304" spans="103:109" ht="15" customHeight="1">
      <c r="CY1304" s="62" t="s">
        <v>705</v>
      </c>
      <c r="DE1304" s="33" t="s">
        <v>30</v>
      </c>
    </row>
    <row r="1305" spans="103:109" ht="15" customHeight="1">
      <c r="CY1305" s="62" t="s">
        <v>615</v>
      </c>
      <c r="DE1305" s="33" t="s">
        <v>30</v>
      </c>
    </row>
    <row r="1306" spans="103:109" ht="15" customHeight="1">
      <c r="CY1306" s="62" t="s">
        <v>706</v>
      </c>
      <c r="DE1306" s="33" t="s">
        <v>30</v>
      </c>
    </row>
    <row r="1307" spans="103:109" ht="15" customHeight="1">
      <c r="CY1307" s="62" t="s">
        <v>707</v>
      </c>
      <c r="DE1307" s="33" t="s">
        <v>30</v>
      </c>
    </row>
    <row r="1308" spans="103:109" ht="15" customHeight="1">
      <c r="CY1308" s="62" t="s">
        <v>618</v>
      </c>
      <c r="DE1308" s="33" t="s">
        <v>30</v>
      </c>
    </row>
    <row r="1309" spans="103:109" ht="15" customHeight="1">
      <c r="CY1309" s="62" t="s">
        <v>708</v>
      </c>
      <c r="DE1309" s="33" t="s">
        <v>30</v>
      </c>
    </row>
    <row r="1310" spans="103:109" ht="15" customHeight="1">
      <c r="CY1310" s="62" t="s">
        <v>709</v>
      </c>
      <c r="DE1310" s="33" t="s">
        <v>30</v>
      </c>
    </row>
    <row r="1311" spans="103:109" ht="15" customHeight="1">
      <c r="CY1311" s="62" t="s">
        <v>467</v>
      </c>
      <c r="DE1311" s="33" t="s">
        <v>30</v>
      </c>
    </row>
    <row r="1312" spans="103:109" ht="15" customHeight="1">
      <c r="CY1312" s="62" t="s">
        <v>312</v>
      </c>
      <c r="DE1312" s="33" t="s">
        <v>30</v>
      </c>
    </row>
    <row r="1313" spans="103:109" ht="15" customHeight="1">
      <c r="CY1313" s="62" t="s">
        <v>468</v>
      </c>
      <c r="DE1313" s="33" t="s">
        <v>30</v>
      </c>
    </row>
    <row r="1314" spans="103:109" ht="15" customHeight="1">
      <c r="CY1314" s="62" t="s">
        <v>621</v>
      </c>
      <c r="DE1314" s="33" t="s">
        <v>30</v>
      </c>
    </row>
    <row r="1315" spans="103:109" ht="15" customHeight="1">
      <c r="CY1315" s="62" t="s">
        <v>650</v>
      </c>
      <c r="DE1315" s="33" t="s">
        <v>30</v>
      </c>
    </row>
    <row r="1316" spans="103:109" ht="15" customHeight="1">
      <c r="CY1316" s="62" t="s">
        <v>324</v>
      </c>
      <c r="DE1316" s="33" t="s">
        <v>30</v>
      </c>
    </row>
    <row r="1317" spans="103:109" ht="15" customHeight="1">
      <c r="CY1317" s="62" t="s">
        <v>553</v>
      </c>
      <c r="DE1317" s="33" t="s">
        <v>30</v>
      </c>
    </row>
    <row r="1318" spans="103:109" ht="15" customHeight="1">
      <c r="CY1318" s="62" t="s">
        <v>554</v>
      </c>
      <c r="DE1318" s="33" t="s">
        <v>30</v>
      </c>
    </row>
    <row r="1319" spans="103:109" ht="15" customHeight="1">
      <c r="CY1319" s="62" t="s">
        <v>333</v>
      </c>
      <c r="DE1319" s="33" t="s">
        <v>30</v>
      </c>
    </row>
    <row r="1320" spans="103:109" ht="15" customHeight="1">
      <c r="CY1320" s="62" t="s">
        <v>336</v>
      </c>
      <c r="DE1320" s="33" t="s">
        <v>30</v>
      </c>
    </row>
    <row r="1321" spans="103:109" ht="15" customHeight="1">
      <c r="CY1321" s="62" t="s">
        <v>340</v>
      </c>
      <c r="DE1321" s="33" t="s">
        <v>30</v>
      </c>
    </row>
    <row r="1322" spans="103:109" ht="15" customHeight="1">
      <c r="CY1322" s="62" t="s">
        <v>272</v>
      </c>
      <c r="DE1322" s="33" t="s">
        <v>30</v>
      </c>
    </row>
    <row r="1323" spans="103:109" ht="15" customHeight="1">
      <c r="CY1323" s="62" t="s">
        <v>710</v>
      </c>
      <c r="DE1323" s="33" t="s">
        <v>30</v>
      </c>
    </row>
    <row r="1324" spans="103:109" ht="15" customHeight="1">
      <c r="CY1324" s="62" t="s">
        <v>279</v>
      </c>
      <c r="DE1324" s="33" t="s">
        <v>30</v>
      </c>
    </row>
    <row r="1325" spans="103:109" ht="15" customHeight="1">
      <c r="CY1325" s="62" t="s">
        <v>282</v>
      </c>
      <c r="DE1325" s="33" t="s">
        <v>30</v>
      </c>
    </row>
    <row r="1326" spans="103:109" ht="15" customHeight="1">
      <c r="CY1326" s="62" t="s">
        <v>711</v>
      </c>
      <c r="DE1326" s="33" t="s">
        <v>30</v>
      </c>
    </row>
    <row r="1327" spans="103:109" ht="15" customHeight="1">
      <c r="CY1327" s="62" t="s">
        <v>712</v>
      </c>
      <c r="DE1327" s="33" t="s">
        <v>30</v>
      </c>
    </row>
    <row r="1328" spans="103:109" ht="15" customHeight="1">
      <c r="CY1328" s="62" t="s">
        <v>615</v>
      </c>
      <c r="DE1328" s="33" t="s">
        <v>30</v>
      </c>
    </row>
    <row r="1329" spans="103:109" ht="15" customHeight="1">
      <c r="CY1329" s="62" t="s">
        <v>713</v>
      </c>
      <c r="DE1329" s="33" t="s">
        <v>30</v>
      </c>
    </row>
    <row r="1330" spans="103:109" ht="15" customHeight="1">
      <c r="CY1330" s="62" t="s">
        <v>714</v>
      </c>
      <c r="DE1330" s="33" t="s">
        <v>30</v>
      </c>
    </row>
    <row r="1331" spans="103:109" ht="15" customHeight="1">
      <c r="CY1331" s="62" t="s">
        <v>618</v>
      </c>
      <c r="DE1331" s="33" t="s">
        <v>30</v>
      </c>
    </row>
    <row r="1332" spans="103:109" ht="15" customHeight="1">
      <c r="CY1332" s="62" t="s">
        <v>715</v>
      </c>
      <c r="DE1332" s="33" t="s">
        <v>30</v>
      </c>
    </row>
    <row r="1333" spans="103:109" ht="15" customHeight="1">
      <c r="CY1333" s="62" t="s">
        <v>716</v>
      </c>
      <c r="DE1333" s="33" t="s">
        <v>30</v>
      </c>
    </row>
    <row r="1334" spans="103:109" ht="15" customHeight="1">
      <c r="CY1334" s="62" t="s">
        <v>467</v>
      </c>
      <c r="DE1334" s="33" t="s">
        <v>30</v>
      </c>
    </row>
    <row r="1335" spans="103:109" ht="15" customHeight="1">
      <c r="CY1335" s="62" t="s">
        <v>312</v>
      </c>
      <c r="DE1335" s="33" t="s">
        <v>30</v>
      </c>
    </row>
    <row r="1336" spans="103:109" ht="15" customHeight="1">
      <c r="CY1336" s="62" t="s">
        <v>468</v>
      </c>
      <c r="DE1336" s="33" t="s">
        <v>30</v>
      </c>
    </row>
    <row r="1337" spans="103:109" ht="15" customHeight="1">
      <c r="CY1337" s="62" t="s">
        <v>621</v>
      </c>
      <c r="DE1337" s="33" t="s">
        <v>30</v>
      </c>
    </row>
    <row r="1338" spans="103:109" ht="15" customHeight="1">
      <c r="CY1338" s="62" t="s">
        <v>321</v>
      </c>
      <c r="DE1338" s="33" t="s">
        <v>30</v>
      </c>
    </row>
    <row r="1339" spans="103:109" ht="15" customHeight="1">
      <c r="CY1339" s="62" t="s">
        <v>324</v>
      </c>
      <c r="DE1339" s="33" t="s">
        <v>30</v>
      </c>
    </row>
    <row r="1340" spans="103:109" ht="15" customHeight="1">
      <c r="CY1340" s="62" t="s">
        <v>327</v>
      </c>
      <c r="DE1340" s="33" t="s">
        <v>30</v>
      </c>
    </row>
    <row r="1341" spans="103:109" ht="15" customHeight="1">
      <c r="CY1341" s="62" t="s">
        <v>330</v>
      </c>
      <c r="DE1341" s="33" t="s">
        <v>30</v>
      </c>
    </row>
    <row r="1342" spans="103:109" ht="15" customHeight="1">
      <c r="CY1342" s="62" t="s">
        <v>333</v>
      </c>
      <c r="DE1342" s="33" t="s">
        <v>30</v>
      </c>
    </row>
    <row r="1343" spans="103:109" ht="15" customHeight="1">
      <c r="CY1343" s="62" t="s">
        <v>336</v>
      </c>
      <c r="DE1343" s="33" t="s">
        <v>30</v>
      </c>
    </row>
    <row r="1344" spans="103:109" ht="15" customHeight="1">
      <c r="CY1344" s="62" t="s">
        <v>340</v>
      </c>
      <c r="DE1344" s="33" t="s">
        <v>30</v>
      </c>
    </row>
    <row r="1345" spans="103:109" ht="15" customHeight="1">
      <c r="CY1345" s="62" t="s">
        <v>272</v>
      </c>
      <c r="DE1345" s="33" t="s">
        <v>30</v>
      </c>
    </row>
    <row r="1346" spans="103:109" ht="15" customHeight="1">
      <c r="CY1346" s="62" t="s">
        <v>717</v>
      </c>
      <c r="DE1346" s="33" t="s">
        <v>30</v>
      </c>
    </row>
    <row r="1347" spans="103:109" ht="15" customHeight="1">
      <c r="CY1347" s="62" t="s">
        <v>279</v>
      </c>
      <c r="DE1347" s="33" t="s">
        <v>30</v>
      </c>
    </row>
    <row r="1348" spans="103:109" ht="15" customHeight="1">
      <c r="CY1348" s="62" t="s">
        <v>282</v>
      </c>
      <c r="DE1348" s="33" t="s">
        <v>30</v>
      </c>
    </row>
    <row r="1349" spans="103:109" ht="15" customHeight="1">
      <c r="CY1349" s="62" t="s">
        <v>718</v>
      </c>
      <c r="DE1349" s="33" t="s">
        <v>30</v>
      </c>
    </row>
    <row r="1350" spans="103:109" ht="15" customHeight="1">
      <c r="CY1350" s="62" t="s">
        <v>719</v>
      </c>
      <c r="DE1350" s="33" t="s">
        <v>30</v>
      </c>
    </row>
    <row r="1351" spans="103:109" ht="15" customHeight="1">
      <c r="CY1351" s="62" t="s">
        <v>615</v>
      </c>
      <c r="DE1351" s="33" t="s">
        <v>30</v>
      </c>
    </row>
    <row r="1352" spans="103:109" ht="15" customHeight="1">
      <c r="CY1352" s="62" t="s">
        <v>720</v>
      </c>
      <c r="DE1352" s="33" t="s">
        <v>30</v>
      </c>
    </row>
    <row r="1353" spans="103:109" ht="15" customHeight="1">
      <c r="CY1353" s="62" t="s">
        <v>721</v>
      </c>
      <c r="DE1353" s="33" t="s">
        <v>30</v>
      </c>
    </row>
    <row r="1354" spans="103:109" ht="15" customHeight="1">
      <c r="CY1354" s="62" t="s">
        <v>618</v>
      </c>
      <c r="DE1354" s="33" t="s">
        <v>30</v>
      </c>
    </row>
    <row r="1355" spans="103:109" ht="15" customHeight="1">
      <c r="CY1355" s="62" t="s">
        <v>722</v>
      </c>
      <c r="DE1355" s="33" t="s">
        <v>30</v>
      </c>
    </row>
    <row r="1356" spans="103:109" ht="15" customHeight="1">
      <c r="CY1356" s="62" t="s">
        <v>723</v>
      </c>
      <c r="DE1356" s="33" t="s">
        <v>30</v>
      </c>
    </row>
    <row r="1357" spans="103:109" ht="15" customHeight="1">
      <c r="CY1357" s="62" t="s">
        <v>467</v>
      </c>
      <c r="DE1357" s="33" t="s">
        <v>30</v>
      </c>
    </row>
    <row r="1358" spans="103:109" ht="15" customHeight="1">
      <c r="CY1358" s="62" t="s">
        <v>312</v>
      </c>
      <c r="DE1358" s="33" t="s">
        <v>30</v>
      </c>
    </row>
    <row r="1359" spans="103:109" ht="15" customHeight="1">
      <c r="CY1359" s="62" t="s">
        <v>468</v>
      </c>
      <c r="DE1359" s="33" t="s">
        <v>30</v>
      </c>
    </row>
    <row r="1360" spans="103:109" ht="15" customHeight="1">
      <c r="CY1360" s="62" t="s">
        <v>621</v>
      </c>
      <c r="DE1360" s="33" t="s">
        <v>30</v>
      </c>
    </row>
    <row r="1361" spans="103:109" ht="15" customHeight="1">
      <c r="CY1361" s="62" t="s">
        <v>321</v>
      </c>
      <c r="DE1361" s="33" t="s">
        <v>30</v>
      </c>
    </row>
    <row r="1362" spans="103:109" ht="15" customHeight="1">
      <c r="CY1362" s="62" t="s">
        <v>324</v>
      </c>
      <c r="DE1362" s="33" t="s">
        <v>30</v>
      </c>
    </row>
    <row r="1363" spans="103:109" ht="15" customHeight="1">
      <c r="CY1363" s="62" t="s">
        <v>327</v>
      </c>
      <c r="DE1363" s="33" t="s">
        <v>30</v>
      </c>
    </row>
    <row r="1364" spans="103:109" ht="15" customHeight="1">
      <c r="CY1364" s="62" t="s">
        <v>330</v>
      </c>
      <c r="DE1364" s="33" t="s">
        <v>30</v>
      </c>
    </row>
    <row r="1365" spans="103:109" ht="15" customHeight="1">
      <c r="CY1365" s="62" t="s">
        <v>333</v>
      </c>
      <c r="DE1365" s="33" t="s">
        <v>30</v>
      </c>
    </row>
    <row r="1366" spans="103:109" ht="15" customHeight="1">
      <c r="CY1366" s="62" t="s">
        <v>336</v>
      </c>
      <c r="DE1366" s="33" t="s">
        <v>30</v>
      </c>
    </row>
    <row r="1367" spans="103:109" ht="15" customHeight="1">
      <c r="CY1367" s="62" t="s">
        <v>340</v>
      </c>
      <c r="DE1367" s="33" t="s">
        <v>30</v>
      </c>
    </row>
    <row r="1368" spans="103:109" ht="15" customHeight="1">
      <c r="CY1368" s="62" t="s">
        <v>272</v>
      </c>
      <c r="DE1368" s="33" t="s">
        <v>30</v>
      </c>
    </row>
    <row r="1369" spans="103:109" ht="15" customHeight="1">
      <c r="CY1369" s="62" t="s">
        <v>724</v>
      </c>
      <c r="DE1369" s="33" t="s">
        <v>30</v>
      </c>
    </row>
    <row r="1370" spans="103:109" ht="15" customHeight="1">
      <c r="CY1370" s="62" t="s">
        <v>279</v>
      </c>
      <c r="DE1370" s="33" t="s">
        <v>30</v>
      </c>
    </row>
    <row r="1371" spans="103:109" ht="15" customHeight="1">
      <c r="CY1371" s="62" t="s">
        <v>282</v>
      </c>
      <c r="DE1371" s="33" t="s">
        <v>30</v>
      </c>
    </row>
    <row r="1372" spans="103:109" ht="15" customHeight="1">
      <c r="CY1372" s="62" t="s">
        <v>725</v>
      </c>
      <c r="DE1372" s="33" t="s">
        <v>30</v>
      </c>
    </row>
    <row r="1373" spans="103:109" ht="15" customHeight="1">
      <c r="CY1373" s="62" t="s">
        <v>726</v>
      </c>
      <c r="DE1373" s="33" t="s">
        <v>30</v>
      </c>
    </row>
    <row r="1374" spans="103:109" ht="15" customHeight="1">
      <c r="CY1374" s="62" t="s">
        <v>615</v>
      </c>
      <c r="DE1374" s="33" t="s">
        <v>30</v>
      </c>
    </row>
    <row r="1375" spans="103:109" ht="15" customHeight="1">
      <c r="CY1375" s="62" t="s">
        <v>727</v>
      </c>
      <c r="DE1375" s="33" t="s">
        <v>30</v>
      </c>
    </row>
    <row r="1376" spans="103:109" ht="15" customHeight="1">
      <c r="CY1376" s="62" t="s">
        <v>728</v>
      </c>
      <c r="DE1376" s="33" t="s">
        <v>30</v>
      </c>
    </row>
    <row r="1377" spans="103:109" ht="15" customHeight="1">
      <c r="CY1377" s="62" t="s">
        <v>618</v>
      </c>
      <c r="DE1377" s="33" t="s">
        <v>30</v>
      </c>
    </row>
    <row r="1378" spans="103:109" ht="15" customHeight="1">
      <c r="CY1378" s="62" t="s">
        <v>729</v>
      </c>
      <c r="DE1378" s="33" t="s">
        <v>30</v>
      </c>
    </row>
    <row r="1379" spans="103:109" ht="15" customHeight="1">
      <c r="CY1379" s="62" t="s">
        <v>730</v>
      </c>
      <c r="DE1379" s="33" t="s">
        <v>30</v>
      </c>
    </row>
    <row r="1380" spans="103:109" ht="15" customHeight="1">
      <c r="CY1380" s="62" t="s">
        <v>467</v>
      </c>
      <c r="DE1380" s="33" t="s">
        <v>30</v>
      </c>
    </row>
    <row r="1381" spans="103:109" ht="15" customHeight="1">
      <c r="CY1381" s="62" t="s">
        <v>312</v>
      </c>
      <c r="DE1381" s="33" t="s">
        <v>30</v>
      </c>
    </row>
    <row r="1382" spans="103:109" ht="15" customHeight="1">
      <c r="CY1382" s="62" t="s">
        <v>468</v>
      </c>
      <c r="DE1382" s="33" t="s">
        <v>30</v>
      </c>
    </row>
    <row r="1383" spans="103:109" ht="15" customHeight="1">
      <c r="CY1383" s="62" t="s">
        <v>621</v>
      </c>
      <c r="DE1383" s="33" t="s">
        <v>30</v>
      </c>
    </row>
    <row r="1384" spans="103:109" ht="15" customHeight="1">
      <c r="CY1384" s="62" t="s">
        <v>321</v>
      </c>
      <c r="DE1384" s="33" t="s">
        <v>30</v>
      </c>
    </row>
    <row r="1385" spans="103:109" ht="15" customHeight="1">
      <c r="CY1385" s="62" t="s">
        <v>324</v>
      </c>
      <c r="DE1385" s="33" t="s">
        <v>30</v>
      </c>
    </row>
    <row r="1386" spans="103:109" ht="15" customHeight="1">
      <c r="CY1386" s="62" t="s">
        <v>327</v>
      </c>
      <c r="DE1386" s="33" t="s">
        <v>30</v>
      </c>
    </row>
    <row r="1387" spans="103:109" ht="15" customHeight="1">
      <c r="CY1387" s="62" t="s">
        <v>330</v>
      </c>
      <c r="DE1387" s="33" t="s">
        <v>30</v>
      </c>
    </row>
    <row r="1388" spans="103:109" ht="15" customHeight="1">
      <c r="CY1388" s="62" t="s">
        <v>333</v>
      </c>
      <c r="DE1388" s="33" t="s">
        <v>30</v>
      </c>
    </row>
    <row r="1389" spans="103:109" ht="15" customHeight="1">
      <c r="CY1389" s="62" t="s">
        <v>336</v>
      </c>
      <c r="DE1389" s="33" t="s">
        <v>30</v>
      </c>
    </row>
    <row r="1390" spans="103:109" ht="15" customHeight="1">
      <c r="CY1390" s="62" t="s">
        <v>340</v>
      </c>
      <c r="DE1390" s="33" t="s">
        <v>30</v>
      </c>
    </row>
    <row r="1391" spans="103:109" ht="15" customHeight="1">
      <c r="CY1391" s="62" t="s">
        <v>272</v>
      </c>
      <c r="DE1391" s="33" t="s">
        <v>30</v>
      </c>
    </row>
    <row r="1392" spans="103:109" ht="15" customHeight="1">
      <c r="CY1392" s="62" t="s">
        <v>731</v>
      </c>
      <c r="DE1392" s="33" t="s">
        <v>30</v>
      </c>
    </row>
    <row r="1393" spans="103:109" ht="15" customHeight="1">
      <c r="CY1393" s="62" t="s">
        <v>279</v>
      </c>
      <c r="DE1393" s="33" t="s">
        <v>30</v>
      </c>
    </row>
    <row r="1394" spans="103:109" ht="15" customHeight="1">
      <c r="CY1394" s="62" t="s">
        <v>282</v>
      </c>
      <c r="DE1394" s="33" t="s">
        <v>30</v>
      </c>
    </row>
    <row r="1395" spans="103:109" ht="15" customHeight="1">
      <c r="CY1395" s="62" t="s">
        <v>732</v>
      </c>
      <c r="DE1395" s="33" t="s">
        <v>30</v>
      </c>
    </row>
    <row r="1396" spans="103:109" ht="15" customHeight="1">
      <c r="CY1396" s="62" t="s">
        <v>733</v>
      </c>
      <c r="DE1396" s="33" t="s">
        <v>30</v>
      </c>
    </row>
    <row r="1397" spans="103:109" ht="15" customHeight="1">
      <c r="CY1397" s="62" t="s">
        <v>615</v>
      </c>
      <c r="DE1397" s="33" t="s">
        <v>30</v>
      </c>
    </row>
    <row r="1398" spans="103:109" ht="15" customHeight="1">
      <c r="CY1398" s="62" t="s">
        <v>734</v>
      </c>
      <c r="DE1398" s="33" t="s">
        <v>30</v>
      </c>
    </row>
    <row r="1399" spans="103:109" ht="15" customHeight="1">
      <c r="CY1399" s="62" t="s">
        <v>735</v>
      </c>
      <c r="DE1399" s="33" t="s">
        <v>30</v>
      </c>
    </row>
    <row r="1400" spans="103:109" ht="15" customHeight="1">
      <c r="CY1400" s="62" t="s">
        <v>618</v>
      </c>
      <c r="DE1400" s="33" t="s">
        <v>30</v>
      </c>
    </row>
    <row r="1401" spans="103:109" ht="15" customHeight="1">
      <c r="CY1401" s="62" t="s">
        <v>736</v>
      </c>
      <c r="DE1401" s="33" t="s">
        <v>30</v>
      </c>
    </row>
    <row r="1402" spans="103:109" ht="15" customHeight="1">
      <c r="CY1402" s="62" t="s">
        <v>737</v>
      </c>
      <c r="DE1402" s="33" t="s">
        <v>30</v>
      </c>
    </row>
    <row r="1403" spans="103:109" ht="15" customHeight="1">
      <c r="CY1403" s="62" t="s">
        <v>467</v>
      </c>
      <c r="DE1403" s="33" t="s">
        <v>30</v>
      </c>
    </row>
    <row r="1404" spans="103:109" ht="15" customHeight="1">
      <c r="CY1404" s="62" t="s">
        <v>312</v>
      </c>
      <c r="DE1404" s="33" t="s">
        <v>30</v>
      </c>
    </row>
    <row r="1405" spans="103:109" ht="15" customHeight="1">
      <c r="CY1405" s="62" t="s">
        <v>468</v>
      </c>
      <c r="DE1405" s="33" t="s">
        <v>30</v>
      </c>
    </row>
    <row r="1406" spans="103:109" ht="15" customHeight="1">
      <c r="CY1406" s="62" t="s">
        <v>621</v>
      </c>
      <c r="DE1406" s="33" t="s">
        <v>30</v>
      </c>
    </row>
    <row r="1407" spans="103:109" ht="15" customHeight="1">
      <c r="CY1407" s="62" t="s">
        <v>321</v>
      </c>
      <c r="DE1407" s="33" t="s">
        <v>30</v>
      </c>
    </row>
    <row r="1408" spans="103:109" ht="15" customHeight="1">
      <c r="CY1408" s="62" t="s">
        <v>324</v>
      </c>
      <c r="DE1408" s="33" t="s">
        <v>30</v>
      </c>
    </row>
    <row r="1409" spans="103:109" ht="15" customHeight="1">
      <c r="CY1409" s="62" t="s">
        <v>327</v>
      </c>
      <c r="DE1409" s="33" t="s">
        <v>30</v>
      </c>
    </row>
    <row r="1410" spans="103:109" ht="15" customHeight="1">
      <c r="CY1410" s="62" t="s">
        <v>330</v>
      </c>
      <c r="DE1410" s="33" t="s">
        <v>30</v>
      </c>
    </row>
    <row r="1411" spans="103:109" ht="15" customHeight="1">
      <c r="CY1411" s="62" t="s">
        <v>333</v>
      </c>
      <c r="DE1411" s="33" t="s">
        <v>30</v>
      </c>
    </row>
    <row r="1412" spans="103:109" ht="15" customHeight="1">
      <c r="CY1412" s="62" t="s">
        <v>336</v>
      </c>
      <c r="DE1412" s="33" t="s">
        <v>30</v>
      </c>
    </row>
    <row r="1413" spans="103:109" ht="15" customHeight="1">
      <c r="CY1413" s="62" t="s">
        <v>340</v>
      </c>
      <c r="DE1413" s="33" t="s">
        <v>30</v>
      </c>
    </row>
    <row r="1414" spans="103:109" ht="15" customHeight="1">
      <c r="CY1414" s="62" t="s">
        <v>272</v>
      </c>
      <c r="DE1414" s="33" t="s">
        <v>30</v>
      </c>
    </row>
    <row r="1415" spans="103:109" ht="15" customHeight="1">
      <c r="CY1415" s="62" t="s">
        <v>738</v>
      </c>
      <c r="DE1415" s="33" t="s">
        <v>30</v>
      </c>
    </row>
    <row r="1416" spans="103:109" ht="15" customHeight="1">
      <c r="CY1416" s="62" t="s">
        <v>279</v>
      </c>
      <c r="DE1416" s="33" t="s">
        <v>30</v>
      </c>
    </row>
    <row r="1417" spans="103:109" ht="15" customHeight="1">
      <c r="CY1417" s="62" t="s">
        <v>282</v>
      </c>
      <c r="DE1417" s="33" t="s">
        <v>30</v>
      </c>
    </row>
    <row r="1418" spans="103:109" ht="15" customHeight="1">
      <c r="CY1418" s="62" t="s">
        <v>739</v>
      </c>
      <c r="DE1418" s="33" t="s">
        <v>30</v>
      </c>
    </row>
    <row r="1419" spans="103:109" ht="15" customHeight="1">
      <c r="CY1419" s="62" t="s">
        <v>740</v>
      </c>
      <c r="DE1419" s="33" t="s">
        <v>30</v>
      </c>
    </row>
    <row r="1420" spans="103:109" ht="15" customHeight="1">
      <c r="CY1420" s="62" t="s">
        <v>615</v>
      </c>
      <c r="DE1420" s="33" t="s">
        <v>30</v>
      </c>
    </row>
    <row r="1421" spans="103:109" ht="15" customHeight="1">
      <c r="CY1421" s="62" t="s">
        <v>741</v>
      </c>
      <c r="DE1421" s="33" t="s">
        <v>30</v>
      </c>
    </row>
    <row r="1422" spans="103:109" ht="15" customHeight="1">
      <c r="CY1422" s="62" t="s">
        <v>742</v>
      </c>
      <c r="DE1422" s="33" t="s">
        <v>30</v>
      </c>
    </row>
    <row r="1423" spans="103:109" ht="15" customHeight="1">
      <c r="CY1423" s="62" t="s">
        <v>618</v>
      </c>
      <c r="DE1423" s="33" t="s">
        <v>30</v>
      </c>
    </row>
    <row r="1424" spans="103:109" ht="15" customHeight="1">
      <c r="CY1424" s="62" t="s">
        <v>743</v>
      </c>
      <c r="DE1424" s="33" t="s">
        <v>30</v>
      </c>
    </row>
    <row r="1425" spans="103:109" ht="15" customHeight="1">
      <c r="CY1425" s="62" t="s">
        <v>744</v>
      </c>
      <c r="DE1425" s="33" t="s">
        <v>30</v>
      </c>
    </row>
    <row r="1426" spans="103:109" ht="15" customHeight="1">
      <c r="CY1426" s="62" t="s">
        <v>467</v>
      </c>
      <c r="DE1426" s="33" t="s">
        <v>30</v>
      </c>
    </row>
    <row r="1427" spans="103:109" ht="15" customHeight="1">
      <c r="CY1427" s="62" t="s">
        <v>312</v>
      </c>
      <c r="DE1427" s="33" t="s">
        <v>30</v>
      </c>
    </row>
    <row r="1428" spans="103:109" ht="15" customHeight="1">
      <c r="CY1428" s="62" t="s">
        <v>468</v>
      </c>
      <c r="DE1428" s="33" t="s">
        <v>30</v>
      </c>
    </row>
    <row r="1429" spans="103:109" ht="15" customHeight="1">
      <c r="CY1429" s="62" t="s">
        <v>621</v>
      </c>
      <c r="DE1429" s="33" t="s">
        <v>30</v>
      </c>
    </row>
    <row r="1430" spans="103:109" ht="15" customHeight="1">
      <c r="CY1430" s="62" t="s">
        <v>321</v>
      </c>
      <c r="DE1430" s="33" t="s">
        <v>30</v>
      </c>
    </row>
    <row r="1431" spans="103:109" ht="15" customHeight="1">
      <c r="CY1431" s="62" t="s">
        <v>324</v>
      </c>
      <c r="DE1431" s="33" t="s">
        <v>30</v>
      </c>
    </row>
    <row r="1432" spans="103:109" ht="15" customHeight="1">
      <c r="CY1432" s="62" t="s">
        <v>327</v>
      </c>
      <c r="DE1432" s="33" t="s">
        <v>30</v>
      </c>
    </row>
    <row r="1433" spans="103:109" ht="15" customHeight="1">
      <c r="CY1433" s="62" t="s">
        <v>330</v>
      </c>
      <c r="DE1433" s="33" t="s">
        <v>30</v>
      </c>
    </row>
    <row r="1434" spans="103:109" ht="15" customHeight="1">
      <c r="CY1434" s="62" t="s">
        <v>333</v>
      </c>
      <c r="DE1434" s="33" t="s">
        <v>30</v>
      </c>
    </row>
    <row r="1435" spans="103:109" ht="15" customHeight="1">
      <c r="CY1435" s="62" t="s">
        <v>336</v>
      </c>
      <c r="DE1435" s="33" t="s">
        <v>30</v>
      </c>
    </row>
    <row r="1436" spans="103:109" ht="15" customHeight="1">
      <c r="CY1436" s="62" t="s">
        <v>340</v>
      </c>
      <c r="DE1436" s="33" t="s">
        <v>30</v>
      </c>
    </row>
    <row r="1437" spans="103:109" ht="15" customHeight="1">
      <c r="CY1437" s="62" t="s">
        <v>272</v>
      </c>
      <c r="DE1437" s="33" t="s">
        <v>30</v>
      </c>
    </row>
    <row r="1438" spans="103:109" ht="15" customHeight="1">
      <c r="CY1438" s="62" t="s">
        <v>745</v>
      </c>
      <c r="DE1438" s="33" t="s">
        <v>30</v>
      </c>
    </row>
    <row r="1439" spans="103:109" ht="15" customHeight="1">
      <c r="CY1439" s="62" t="s">
        <v>279</v>
      </c>
      <c r="DE1439" s="33" t="s">
        <v>30</v>
      </c>
    </row>
    <row r="1440" spans="103:109" ht="15" customHeight="1">
      <c r="CY1440" s="62" t="s">
        <v>282</v>
      </c>
      <c r="DE1440" s="33" t="s">
        <v>30</v>
      </c>
    </row>
    <row r="1441" spans="103:109" ht="15" customHeight="1">
      <c r="CY1441" s="62" t="s">
        <v>746</v>
      </c>
      <c r="DE1441" s="33" t="s">
        <v>30</v>
      </c>
    </row>
    <row r="1442" spans="103:109" ht="15" customHeight="1">
      <c r="CY1442" s="62" t="s">
        <v>747</v>
      </c>
      <c r="DE1442" s="33" t="s">
        <v>30</v>
      </c>
    </row>
    <row r="1443" spans="103:109" ht="15" customHeight="1">
      <c r="CY1443" s="62" t="s">
        <v>615</v>
      </c>
      <c r="DE1443" s="33" t="s">
        <v>30</v>
      </c>
    </row>
    <row r="1444" spans="103:109" ht="15" customHeight="1">
      <c r="CY1444" s="62" t="s">
        <v>595</v>
      </c>
      <c r="DE1444" s="33" t="s">
        <v>30</v>
      </c>
    </row>
    <row r="1445" spans="103:109" ht="15" customHeight="1">
      <c r="CY1445" s="62" t="s">
        <v>748</v>
      </c>
      <c r="DE1445" s="33" t="s">
        <v>30</v>
      </c>
    </row>
    <row r="1446" spans="103:109" ht="15" customHeight="1">
      <c r="CY1446" s="62" t="s">
        <v>618</v>
      </c>
      <c r="DE1446" s="33" t="s">
        <v>30</v>
      </c>
    </row>
    <row r="1447" spans="103:109" ht="15" customHeight="1">
      <c r="CY1447" s="62" t="s">
        <v>749</v>
      </c>
      <c r="DE1447" s="33" t="s">
        <v>30</v>
      </c>
    </row>
    <row r="1448" spans="103:109" ht="15" customHeight="1">
      <c r="CY1448" s="62" t="s">
        <v>750</v>
      </c>
      <c r="DE1448" s="33" t="s">
        <v>30</v>
      </c>
    </row>
    <row r="1449" spans="103:109" ht="15" customHeight="1">
      <c r="CY1449" s="62" t="s">
        <v>467</v>
      </c>
      <c r="DE1449" s="33" t="s">
        <v>30</v>
      </c>
    </row>
    <row r="1450" spans="103:109" ht="15" customHeight="1">
      <c r="CY1450" s="62" t="s">
        <v>312</v>
      </c>
      <c r="DE1450" s="33" t="s">
        <v>30</v>
      </c>
    </row>
    <row r="1451" spans="103:109" ht="15" customHeight="1">
      <c r="CY1451" s="62" t="s">
        <v>468</v>
      </c>
      <c r="DE1451" s="33" t="s">
        <v>30</v>
      </c>
    </row>
    <row r="1452" spans="103:109" ht="15" customHeight="1">
      <c r="CY1452" s="62" t="s">
        <v>621</v>
      </c>
      <c r="DE1452" s="33" t="s">
        <v>30</v>
      </c>
    </row>
    <row r="1453" spans="103:109" ht="15" customHeight="1">
      <c r="CY1453" s="62" t="s">
        <v>321</v>
      </c>
      <c r="DE1453" s="33" t="s">
        <v>30</v>
      </c>
    </row>
    <row r="1454" spans="103:109" ht="15" customHeight="1">
      <c r="CY1454" s="62" t="s">
        <v>324</v>
      </c>
      <c r="DE1454" s="33" t="s">
        <v>30</v>
      </c>
    </row>
    <row r="1455" spans="103:109" ht="15" customHeight="1">
      <c r="CY1455" s="62" t="s">
        <v>327</v>
      </c>
      <c r="DE1455" s="33" t="s">
        <v>30</v>
      </c>
    </row>
    <row r="1456" spans="103:109" ht="15" customHeight="1">
      <c r="CY1456" s="62" t="s">
        <v>330</v>
      </c>
      <c r="DE1456" s="33" t="s">
        <v>30</v>
      </c>
    </row>
    <row r="1457" spans="103:109" ht="15" customHeight="1">
      <c r="CY1457" s="62" t="s">
        <v>333</v>
      </c>
      <c r="DE1457" s="33" t="s">
        <v>30</v>
      </c>
    </row>
    <row r="1458" spans="103:109" ht="15" customHeight="1">
      <c r="CY1458" s="62" t="s">
        <v>336</v>
      </c>
      <c r="DE1458" s="33" t="s">
        <v>30</v>
      </c>
    </row>
    <row r="1459" spans="103:109" ht="15" customHeight="1">
      <c r="CY1459" s="62" t="s">
        <v>340</v>
      </c>
      <c r="DE1459" s="33" t="s">
        <v>30</v>
      </c>
    </row>
    <row r="1460" spans="103:109" ht="15" customHeight="1">
      <c r="CY1460" s="62" t="s">
        <v>272</v>
      </c>
      <c r="DE1460" s="33" t="s">
        <v>30</v>
      </c>
    </row>
    <row r="1461" spans="103:109" ht="15" customHeight="1">
      <c r="CY1461" s="62" t="s">
        <v>751</v>
      </c>
      <c r="DE1461" s="33" t="s">
        <v>30</v>
      </c>
    </row>
    <row r="1462" spans="103:109" ht="15" customHeight="1">
      <c r="CY1462" s="62" t="s">
        <v>279</v>
      </c>
      <c r="DE1462" s="33" t="s">
        <v>30</v>
      </c>
    </row>
    <row r="1463" spans="103:109" ht="15" customHeight="1">
      <c r="CY1463" s="62" t="s">
        <v>282</v>
      </c>
      <c r="DE1463" s="33" t="s">
        <v>30</v>
      </c>
    </row>
    <row r="1464" spans="103:109" ht="15" customHeight="1">
      <c r="CY1464" s="62" t="s">
        <v>752</v>
      </c>
      <c r="DE1464" s="33" t="s">
        <v>30</v>
      </c>
    </row>
    <row r="1465" spans="103:109" ht="15" customHeight="1">
      <c r="CY1465" s="62" t="s">
        <v>753</v>
      </c>
      <c r="DE1465" s="33" t="s">
        <v>30</v>
      </c>
    </row>
    <row r="1466" spans="103:109" ht="15" customHeight="1">
      <c r="CY1466" s="62" t="s">
        <v>615</v>
      </c>
      <c r="DE1466" s="33" t="s">
        <v>30</v>
      </c>
    </row>
    <row r="1467" spans="103:109" ht="15" customHeight="1">
      <c r="CY1467" s="62" t="s">
        <v>754</v>
      </c>
      <c r="DE1467" s="33" t="s">
        <v>30</v>
      </c>
    </row>
    <row r="1468" spans="103:109" ht="15" customHeight="1">
      <c r="CY1468" s="62" t="s">
        <v>755</v>
      </c>
      <c r="DE1468" s="33" t="s">
        <v>30</v>
      </c>
    </row>
    <row r="1469" spans="103:109" ht="15" customHeight="1">
      <c r="CY1469" s="62" t="s">
        <v>618</v>
      </c>
      <c r="DE1469" s="33" t="s">
        <v>30</v>
      </c>
    </row>
    <row r="1470" spans="103:109" ht="15" customHeight="1">
      <c r="CY1470" s="62" t="s">
        <v>756</v>
      </c>
      <c r="DE1470" s="33" t="s">
        <v>30</v>
      </c>
    </row>
    <row r="1471" spans="103:109" ht="15" customHeight="1">
      <c r="CY1471" s="62" t="s">
        <v>757</v>
      </c>
      <c r="DE1471" s="33" t="s">
        <v>30</v>
      </c>
    </row>
    <row r="1472" spans="103:109" ht="15" customHeight="1">
      <c r="CY1472" s="62" t="s">
        <v>467</v>
      </c>
      <c r="DE1472" s="33" t="s">
        <v>30</v>
      </c>
    </row>
    <row r="1473" spans="103:109" ht="15" customHeight="1">
      <c r="CY1473" s="62" t="s">
        <v>312</v>
      </c>
      <c r="DE1473" s="33" t="s">
        <v>30</v>
      </c>
    </row>
    <row r="1474" spans="103:109" ht="15" customHeight="1">
      <c r="CY1474" s="62" t="s">
        <v>468</v>
      </c>
      <c r="DE1474" s="33" t="s">
        <v>30</v>
      </c>
    </row>
    <row r="1475" spans="103:109" ht="15" customHeight="1">
      <c r="CY1475" s="62" t="s">
        <v>621</v>
      </c>
      <c r="DE1475" s="33" t="s">
        <v>30</v>
      </c>
    </row>
    <row r="1476" spans="103:109" ht="15" customHeight="1">
      <c r="CY1476" s="62" t="s">
        <v>321</v>
      </c>
      <c r="DE1476" s="33" t="s">
        <v>30</v>
      </c>
    </row>
    <row r="1477" spans="103:109" ht="15" customHeight="1">
      <c r="CY1477" s="62" t="s">
        <v>324</v>
      </c>
      <c r="DE1477" s="33" t="s">
        <v>30</v>
      </c>
    </row>
    <row r="1478" spans="103:109" ht="15" customHeight="1">
      <c r="CY1478" s="62" t="s">
        <v>327</v>
      </c>
      <c r="DE1478" s="33" t="s">
        <v>30</v>
      </c>
    </row>
    <row r="1479" spans="103:109" ht="15" customHeight="1">
      <c r="CY1479" s="62" t="s">
        <v>330</v>
      </c>
      <c r="DE1479" s="33" t="s">
        <v>30</v>
      </c>
    </row>
    <row r="1480" spans="103:109" ht="15" customHeight="1">
      <c r="CY1480" s="62" t="s">
        <v>333</v>
      </c>
      <c r="DE1480" s="33" t="s">
        <v>30</v>
      </c>
    </row>
    <row r="1481" spans="103:109" ht="15" customHeight="1">
      <c r="CY1481" s="62" t="s">
        <v>336</v>
      </c>
      <c r="DE1481" s="33" t="s">
        <v>30</v>
      </c>
    </row>
    <row r="1482" spans="103:109" ht="15" customHeight="1">
      <c r="CY1482" s="62" t="s">
        <v>340</v>
      </c>
      <c r="DE1482" s="33" t="s">
        <v>30</v>
      </c>
    </row>
    <row r="1483" spans="103:109" ht="15" customHeight="1">
      <c r="CY1483" s="62" t="s">
        <v>272</v>
      </c>
      <c r="DE1483" s="33" t="s">
        <v>30</v>
      </c>
    </row>
    <row r="1484" spans="103:109" ht="15" customHeight="1">
      <c r="CY1484" s="62" t="s">
        <v>758</v>
      </c>
      <c r="DE1484" s="33" t="s">
        <v>30</v>
      </c>
    </row>
    <row r="1485" spans="103:109" ht="15" customHeight="1">
      <c r="CY1485" s="62" t="s">
        <v>279</v>
      </c>
      <c r="DE1485" s="33" t="s">
        <v>30</v>
      </c>
    </row>
    <row r="1486" spans="103:109" ht="15" customHeight="1">
      <c r="CY1486" s="62" t="s">
        <v>282</v>
      </c>
      <c r="DE1486" s="33" t="s">
        <v>30</v>
      </c>
    </row>
    <row r="1487" spans="103:109" ht="15" customHeight="1">
      <c r="CY1487" s="62" t="s">
        <v>759</v>
      </c>
      <c r="DE1487" s="33" t="s">
        <v>30</v>
      </c>
    </row>
    <row r="1488" spans="103:109" ht="15" customHeight="1">
      <c r="CY1488" s="62" t="s">
        <v>760</v>
      </c>
      <c r="DE1488" s="33" t="s">
        <v>30</v>
      </c>
    </row>
    <row r="1489" spans="103:109" ht="15" customHeight="1">
      <c r="CY1489" s="62" t="s">
        <v>615</v>
      </c>
      <c r="DE1489" s="33" t="s">
        <v>30</v>
      </c>
    </row>
    <row r="1490" spans="103:109" ht="15" customHeight="1">
      <c r="CY1490" s="62" t="s">
        <v>437</v>
      </c>
      <c r="DE1490" s="33" t="s">
        <v>30</v>
      </c>
    </row>
    <row r="1491" spans="103:109" ht="15" customHeight="1">
      <c r="CY1491" s="62" t="s">
        <v>761</v>
      </c>
      <c r="DE1491" s="33" t="s">
        <v>30</v>
      </c>
    </row>
    <row r="1492" spans="103:109" ht="15" customHeight="1">
      <c r="CY1492" s="62" t="s">
        <v>618</v>
      </c>
      <c r="DE1492" s="33" t="s">
        <v>30</v>
      </c>
    </row>
    <row r="1493" spans="103:109" ht="15" customHeight="1">
      <c r="CY1493" s="62" t="s">
        <v>762</v>
      </c>
      <c r="DE1493" s="33" t="s">
        <v>30</v>
      </c>
    </row>
    <row r="1494" spans="103:109" ht="15" customHeight="1">
      <c r="CY1494" s="62" t="s">
        <v>763</v>
      </c>
      <c r="DE1494" s="33" t="s">
        <v>30</v>
      </c>
    </row>
    <row r="1495" spans="103:109" ht="15" customHeight="1">
      <c r="CY1495" s="62" t="s">
        <v>467</v>
      </c>
      <c r="DE1495" s="33" t="s">
        <v>30</v>
      </c>
    </row>
    <row r="1496" spans="103:109" ht="15" customHeight="1">
      <c r="CY1496" s="62" t="s">
        <v>312</v>
      </c>
      <c r="DE1496" s="33" t="s">
        <v>30</v>
      </c>
    </row>
    <row r="1497" spans="103:109" ht="15" customHeight="1">
      <c r="CY1497" s="62" t="s">
        <v>468</v>
      </c>
      <c r="DE1497" s="33" t="s">
        <v>30</v>
      </c>
    </row>
    <row r="1498" spans="103:109" ht="15" customHeight="1">
      <c r="CY1498" s="62" t="s">
        <v>621</v>
      </c>
      <c r="DE1498" s="33" t="s">
        <v>30</v>
      </c>
    </row>
    <row r="1499" spans="103:109" ht="15" customHeight="1">
      <c r="CY1499" s="62" t="s">
        <v>321</v>
      </c>
      <c r="DE1499" s="33" t="s">
        <v>30</v>
      </c>
    </row>
    <row r="1500" spans="103:109" ht="15" customHeight="1">
      <c r="CY1500" s="62" t="s">
        <v>324</v>
      </c>
      <c r="DE1500" s="33" t="s">
        <v>30</v>
      </c>
    </row>
    <row r="1501" spans="103:109" ht="15" customHeight="1">
      <c r="CY1501" s="62" t="s">
        <v>327</v>
      </c>
      <c r="DE1501" s="33" t="s">
        <v>30</v>
      </c>
    </row>
    <row r="1502" spans="103:109" ht="15" customHeight="1">
      <c r="CY1502" s="62" t="s">
        <v>330</v>
      </c>
      <c r="DE1502" s="33" t="s">
        <v>30</v>
      </c>
    </row>
    <row r="1503" spans="103:109" ht="15" customHeight="1">
      <c r="CY1503" s="62" t="s">
        <v>333</v>
      </c>
      <c r="DE1503" s="33" t="s">
        <v>30</v>
      </c>
    </row>
    <row r="1504" spans="103:109" ht="15" customHeight="1">
      <c r="CY1504" s="62" t="s">
        <v>336</v>
      </c>
      <c r="DE1504" s="33" t="s">
        <v>30</v>
      </c>
    </row>
    <row r="1505" spans="103:109" ht="15" customHeight="1">
      <c r="CY1505" s="62" t="s">
        <v>340</v>
      </c>
      <c r="DE1505" s="33" t="s">
        <v>30</v>
      </c>
    </row>
    <row r="1506" spans="103:109" ht="15" customHeight="1">
      <c r="CY1506" s="62" t="s">
        <v>272</v>
      </c>
      <c r="DE1506" s="33" t="s">
        <v>30</v>
      </c>
    </row>
    <row r="1507" spans="103:109" ht="15" customHeight="1">
      <c r="CY1507" s="62" t="s">
        <v>764</v>
      </c>
      <c r="DE1507" s="33" t="s">
        <v>30</v>
      </c>
    </row>
    <row r="1508" spans="103:109" ht="15" customHeight="1">
      <c r="CY1508" s="62" t="s">
        <v>279</v>
      </c>
      <c r="DE1508" s="33" t="s">
        <v>30</v>
      </c>
    </row>
    <row r="1509" spans="103:109" ht="15" customHeight="1">
      <c r="CY1509" s="62" t="s">
        <v>282</v>
      </c>
      <c r="DE1509" s="33" t="s">
        <v>30</v>
      </c>
    </row>
    <row r="1510" spans="103:109" ht="15" customHeight="1">
      <c r="CY1510" s="62" t="s">
        <v>765</v>
      </c>
      <c r="DE1510" s="33" t="s">
        <v>30</v>
      </c>
    </row>
    <row r="1511" spans="103:109" ht="15" customHeight="1">
      <c r="CY1511" s="62" t="s">
        <v>766</v>
      </c>
      <c r="DE1511" s="33" t="s">
        <v>30</v>
      </c>
    </row>
    <row r="1512" spans="103:109" ht="15" customHeight="1">
      <c r="CY1512" s="62" t="s">
        <v>615</v>
      </c>
      <c r="DE1512" s="33" t="s">
        <v>30</v>
      </c>
    </row>
    <row r="1513" spans="103:109" ht="15" customHeight="1">
      <c r="CY1513" s="62" t="s">
        <v>767</v>
      </c>
      <c r="DE1513" s="33" t="s">
        <v>30</v>
      </c>
    </row>
    <row r="1514" spans="103:109" ht="15" customHeight="1">
      <c r="CY1514" s="62" t="s">
        <v>768</v>
      </c>
      <c r="DE1514" s="33" t="s">
        <v>30</v>
      </c>
    </row>
    <row r="1515" spans="103:109" ht="15" customHeight="1">
      <c r="CY1515" s="62" t="s">
        <v>618</v>
      </c>
      <c r="DE1515" s="33" t="s">
        <v>30</v>
      </c>
    </row>
    <row r="1516" spans="103:109" ht="15" customHeight="1">
      <c r="CY1516" s="62" t="s">
        <v>769</v>
      </c>
      <c r="DE1516" s="33" t="s">
        <v>30</v>
      </c>
    </row>
    <row r="1517" spans="103:109" ht="15" customHeight="1">
      <c r="CY1517" s="62" t="s">
        <v>770</v>
      </c>
      <c r="DE1517" s="33" t="s">
        <v>30</v>
      </c>
    </row>
    <row r="1518" spans="103:109" ht="15" customHeight="1">
      <c r="CY1518" s="62" t="s">
        <v>467</v>
      </c>
      <c r="DE1518" s="33" t="s">
        <v>30</v>
      </c>
    </row>
    <row r="1519" spans="103:109" ht="15" customHeight="1">
      <c r="CY1519" s="62" t="s">
        <v>312</v>
      </c>
      <c r="DE1519" s="33" t="s">
        <v>30</v>
      </c>
    </row>
    <row r="1520" spans="103:109" ht="15" customHeight="1">
      <c r="CY1520" s="62" t="s">
        <v>468</v>
      </c>
      <c r="DE1520" s="33" t="s">
        <v>30</v>
      </c>
    </row>
    <row r="1521" spans="103:109" ht="15" customHeight="1">
      <c r="CY1521" s="62" t="s">
        <v>621</v>
      </c>
      <c r="DE1521" s="33" t="s">
        <v>30</v>
      </c>
    </row>
    <row r="1522" spans="103:109" ht="15" customHeight="1">
      <c r="CY1522" s="62" t="s">
        <v>552</v>
      </c>
      <c r="DE1522" s="33" t="s">
        <v>30</v>
      </c>
    </row>
    <row r="1523" spans="103:109" ht="15" customHeight="1">
      <c r="CY1523" s="62" t="s">
        <v>324</v>
      </c>
      <c r="DE1523" s="33" t="s">
        <v>30</v>
      </c>
    </row>
    <row r="1524" spans="103:109" ht="15" customHeight="1">
      <c r="CY1524" s="62" t="s">
        <v>327</v>
      </c>
      <c r="DE1524" s="33" t="s">
        <v>30</v>
      </c>
    </row>
    <row r="1525" spans="103:109" ht="15" customHeight="1">
      <c r="CY1525" s="62" t="s">
        <v>330</v>
      </c>
      <c r="DE1525" s="33" t="s">
        <v>30</v>
      </c>
    </row>
    <row r="1526" spans="103:109" ht="15" customHeight="1">
      <c r="CY1526" s="62" t="s">
        <v>333</v>
      </c>
      <c r="DE1526" s="33" t="s">
        <v>30</v>
      </c>
    </row>
    <row r="1527" spans="103:109" ht="15" customHeight="1">
      <c r="CY1527" s="62" t="s">
        <v>336</v>
      </c>
      <c r="DE1527" s="33" t="s">
        <v>30</v>
      </c>
    </row>
    <row r="1528" spans="103:109" ht="15" customHeight="1">
      <c r="CY1528" s="62" t="s">
        <v>340</v>
      </c>
      <c r="DE1528" s="33" t="s">
        <v>30</v>
      </c>
    </row>
    <row r="1529" spans="103:109" ht="15" customHeight="1">
      <c r="CY1529" s="62" t="s">
        <v>272</v>
      </c>
      <c r="DE1529" s="33" t="s">
        <v>30</v>
      </c>
    </row>
    <row r="1530" spans="103:109" ht="15" customHeight="1">
      <c r="CY1530" s="62" t="s">
        <v>771</v>
      </c>
      <c r="DE1530" s="33" t="s">
        <v>30</v>
      </c>
    </row>
    <row r="1531" spans="103:109" ht="15" customHeight="1">
      <c r="CY1531" s="62" t="s">
        <v>279</v>
      </c>
      <c r="DE1531" s="33" t="s">
        <v>30</v>
      </c>
    </row>
    <row r="1532" spans="103:109" ht="15" customHeight="1">
      <c r="CY1532" s="62" t="s">
        <v>282</v>
      </c>
      <c r="DE1532" s="33" t="s">
        <v>30</v>
      </c>
    </row>
    <row r="1533" spans="103:109" ht="15" customHeight="1">
      <c r="CY1533" s="62" t="s">
        <v>772</v>
      </c>
      <c r="DE1533" s="33" t="s">
        <v>30</v>
      </c>
    </row>
    <row r="1534" spans="103:109" ht="15" customHeight="1">
      <c r="CY1534" s="62" t="s">
        <v>773</v>
      </c>
      <c r="DE1534" s="33" t="s">
        <v>30</v>
      </c>
    </row>
    <row r="1535" spans="103:109" ht="15" customHeight="1">
      <c r="CY1535" s="62" t="s">
        <v>615</v>
      </c>
      <c r="DE1535" s="33" t="s">
        <v>30</v>
      </c>
    </row>
    <row r="1536" spans="103:109" ht="15" customHeight="1">
      <c r="CY1536" s="62" t="s">
        <v>462</v>
      </c>
      <c r="DE1536" s="33" t="s">
        <v>30</v>
      </c>
    </row>
    <row r="1537" spans="103:109" ht="15" customHeight="1">
      <c r="CY1537" s="62" t="s">
        <v>774</v>
      </c>
      <c r="DE1537" s="33" t="s">
        <v>30</v>
      </c>
    </row>
    <row r="1538" spans="103:109" ht="15" customHeight="1">
      <c r="CY1538" s="62" t="s">
        <v>618</v>
      </c>
      <c r="DE1538" s="33" t="s">
        <v>30</v>
      </c>
    </row>
    <row r="1539" spans="103:109" ht="15" customHeight="1">
      <c r="CY1539" s="62" t="s">
        <v>775</v>
      </c>
      <c r="DE1539" s="33" t="s">
        <v>30</v>
      </c>
    </row>
    <row r="1540" spans="103:109" ht="15" customHeight="1">
      <c r="CY1540" s="62" t="s">
        <v>776</v>
      </c>
      <c r="DE1540" s="33" t="s">
        <v>30</v>
      </c>
    </row>
    <row r="1541" spans="103:109" ht="15" customHeight="1">
      <c r="CY1541" s="62" t="s">
        <v>467</v>
      </c>
      <c r="DE1541" s="33" t="s">
        <v>30</v>
      </c>
    </row>
    <row r="1542" spans="103:109" ht="15" customHeight="1">
      <c r="CY1542" s="62" t="s">
        <v>312</v>
      </c>
      <c r="DE1542" s="33" t="s">
        <v>30</v>
      </c>
    </row>
    <row r="1543" spans="103:109" ht="15" customHeight="1">
      <c r="CY1543" s="62" t="s">
        <v>468</v>
      </c>
      <c r="DE1543" s="33" t="s">
        <v>30</v>
      </c>
    </row>
    <row r="1544" spans="103:109" ht="15" customHeight="1">
      <c r="CY1544" s="62" t="s">
        <v>621</v>
      </c>
      <c r="DE1544" s="33" t="s">
        <v>30</v>
      </c>
    </row>
    <row r="1545" spans="103:109" ht="15" customHeight="1">
      <c r="CY1545" s="62" t="s">
        <v>321</v>
      </c>
      <c r="DE1545" s="33" t="s">
        <v>30</v>
      </c>
    </row>
    <row r="1546" spans="103:109" ht="15" customHeight="1">
      <c r="CY1546" s="62" t="s">
        <v>324</v>
      </c>
      <c r="DE1546" s="33" t="s">
        <v>30</v>
      </c>
    </row>
    <row r="1547" spans="103:109" ht="15" customHeight="1">
      <c r="CY1547" s="62" t="s">
        <v>327</v>
      </c>
      <c r="DE1547" s="33" t="s">
        <v>30</v>
      </c>
    </row>
    <row r="1548" spans="103:109" ht="15" customHeight="1">
      <c r="CY1548" s="62" t="s">
        <v>330</v>
      </c>
      <c r="DE1548" s="33" t="s">
        <v>30</v>
      </c>
    </row>
    <row r="1549" spans="103:109" ht="15" customHeight="1">
      <c r="CY1549" s="62" t="s">
        <v>333</v>
      </c>
      <c r="DE1549" s="33" t="s">
        <v>30</v>
      </c>
    </row>
    <row r="1550" spans="103:109" ht="15" customHeight="1">
      <c r="CY1550" s="62" t="s">
        <v>336</v>
      </c>
      <c r="DE1550" s="33" t="s">
        <v>30</v>
      </c>
    </row>
    <row r="1551" spans="103:109" ht="15" customHeight="1">
      <c r="CY1551" s="62" t="s">
        <v>340</v>
      </c>
      <c r="DE1551" s="33" t="s">
        <v>30</v>
      </c>
    </row>
    <row r="1552" spans="103:109" ht="15" customHeight="1">
      <c r="CY1552" s="62" t="s">
        <v>272</v>
      </c>
      <c r="DE1552" s="33" t="s">
        <v>30</v>
      </c>
    </row>
    <row r="1553" spans="103:109" ht="15" customHeight="1">
      <c r="CY1553" s="62" t="s">
        <v>777</v>
      </c>
      <c r="DE1553" s="33" t="s">
        <v>30</v>
      </c>
    </row>
    <row r="1554" spans="103:109" ht="15" customHeight="1">
      <c r="CY1554" s="62" t="s">
        <v>279</v>
      </c>
      <c r="DE1554" s="33" t="s">
        <v>30</v>
      </c>
    </row>
    <row r="1555" spans="103:109" ht="15" customHeight="1">
      <c r="CY1555" s="62" t="s">
        <v>282</v>
      </c>
      <c r="DE1555" s="33" t="s">
        <v>30</v>
      </c>
    </row>
    <row r="1556" spans="103:109" ht="15" customHeight="1">
      <c r="CY1556" s="62" t="s">
        <v>778</v>
      </c>
      <c r="DE1556" s="33" t="s">
        <v>30</v>
      </c>
    </row>
    <row r="1557" spans="103:109" ht="15" customHeight="1">
      <c r="CY1557" s="62" t="s">
        <v>779</v>
      </c>
      <c r="DE1557" s="33" t="s">
        <v>30</v>
      </c>
    </row>
    <row r="1558" spans="103:109" ht="15" customHeight="1">
      <c r="CY1558" s="62" t="s">
        <v>615</v>
      </c>
      <c r="DE1558" s="33" t="s">
        <v>30</v>
      </c>
    </row>
    <row r="1559" spans="103:109" ht="15" customHeight="1">
      <c r="CY1559" s="62" t="s">
        <v>780</v>
      </c>
      <c r="DE1559" s="33" t="s">
        <v>30</v>
      </c>
    </row>
    <row r="1560" spans="103:109" ht="15" customHeight="1">
      <c r="CY1560" s="62" t="s">
        <v>781</v>
      </c>
      <c r="DE1560" s="33" t="s">
        <v>30</v>
      </c>
    </row>
    <row r="1561" spans="103:109" ht="15" customHeight="1">
      <c r="CY1561" s="62" t="s">
        <v>618</v>
      </c>
      <c r="DE1561" s="33" t="s">
        <v>30</v>
      </c>
    </row>
    <row r="1562" spans="103:109" ht="15" customHeight="1">
      <c r="CY1562" s="62" t="s">
        <v>782</v>
      </c>
      <c r="DE1562" s="33" t="s">
        <v>30</v>
      </c>
    </row>
    <row r="1563" spans="103:109" ht="15" customHeight="1">
      <c r="CY1563" s="62" t="s">
        <v>783</v>
      </c>
      <c r="DE1563" s="33" t="s">
        <v>30</v>
      </c>
    </row>
    <row r="1564" spans="103:109" ht="15" customHeight="1">
      <c r="CY1564" s="62" t="s">
        <v>467</v>
      </c>
      <c r="DE1564" s="33" t="s">
        <v>30</v>
      </c>
    </row>
    <row r="1565" spans="103:109" ht="15" customHeight="1">
      <c r="CY1565" s="62" t="s">
        <v>312</v>
      </c>
      <c r="DE1565" s="33" t="s">
        <v>30</v>
      </c>
    </row>
    <row r="1566" spans="103:109" ht="15" customHeight="1">
      <c r="CY1566" s="62" t="s">
        <v>468</v>
      </c>
      <c r="DE1566" s="33" t="s">
        <v>30</v>
      </c>
    </row>
    <row r="1567" spans="103:109" ht="15" customHeight="1">
      <c r="CY1567" s="62" t="s">
        <v>621</v>
      </c>
      <c r="DE1567" s="33" t="s">
        <v>30</v>
      </c>
    </row>
    <row r="1568" spans="103:109" ht="15" customHeight="1">
      <c r="CY1568" s="62" t="s">
        <v>321</v>
      </c>
      <c r="DE1568" s="33" t="s">
        <v>30</v>
      </c>
    </row>
    <row r="1569" spans="103:109" ht="15" customHeight="1">
      <c r="CY1569" s="62" t="s">
        <v>324</v>
      </c>
      <c r="DE1569" s="33" t="s">
        <v>30</v>
      </c>
    </row>
    <row r="1570" spans="103:109" ht="15" customHeight="1">
      <c r="CY1570" s="62" t="s">
        <v>327</v>
      </c>
      <c r="DE1570" s="33" t="s">
        <v>30</v>
      </c>
    </row>
    <row r="1571" spans="103:109" ht="15" customHeight="1">
      <c r="CY1571" s="62" t="s">
        <v>330</v>
      </c>
      <c r="DE1571" s="33" t="s">
        <v>30</v>
      </c>
    </row>
    <row r="1572" spans="103:109" ht="15" customHeight="1">
      <c r="CY1572" s="62" t="s">
        <v>333</v>
      </c>
      <c r="DE1572" s="33" t="s">
        <v>30</v>
      </c>
    </row>
    <row r="1573" spans="103:109" ht="15" customHeight="1">
      <c r="CY1573" s="62" t="s">
        <v>336</v>
      </c>
      <c r="DE1573" s="33" t="s">
        <v>30</v>
      </c>
    </row>
    <row r="1574" spans="103:109" ht="15" customHeight="1">
      <c r="CY1574" s="62" t="s">
        <v>340</v>
      </c>
      <c r="DE1574" s="33" t="s">
        <v>30</v>
      </c>
    </row>
    <row r="1575" spans="103:109" ht="15" customHeight="1">
      <c r="CY1575" s="62" t="s">
        <v>272</v>
      </c>
      <c r="DE1575" s="33" t="s">
        <v>30</v>
      </c>
    </row>
    <row r="1576" spans="103:109" ht="15" customHeight="1">
      <c r="CY1576" s="62" t="s">
        <v>784</v>
      </c>
      <c r="DE1576" s="33" t="s">
        <v>30</v>
      </c>
    </row>
    <row r="1577" spans="103:109" ht="15" customHeight="1">
      <c r="CY1577" s="62" t="s">
        <v>279</v>
      </c>
      <c r="DE1577" s="33" t="s">
        <v>30</v>
      </c>
    </row>
    <row r="1578" spans="103:109" ht="15" customHeight="1">
      <c r="CY1578" s="62" t="s">
        <v>282</v>
      </c>
      <c r="DE1578" s="33" t="s">
        <v>30</v>
      </c>
    </row>
    <row r="1579" spans="103:109" ht="15" customHeight="1">
      <c r="CY1579" s="62" t="s">
        <v>785</v>
      </c>
      <c r="DE1579" s="33" t="s">
        <v>30</v>
      </c>
    </row>
    <row r="1580" spans="103:109" ht="15" customHeight="1">
      <c r="CY1580" s="62" t="s">
        <v>786</v>
      </c>
      <c r="DE1580" s="33" t="s">
        <v>30</v>
      </c>
    </row>
    <row r="1581" spans="103:109" ht="15" customHeight="1">
      <c r="CY1581" s="62" t="s">
        <v>787</v>
      </c>
      <c r="DE1581" s="33" t="s">
        <v>30</v>
      </c>
    </row>
    <row r="1582" spans="103:109" ht="15" customHeight="1">
      <c r="CY1582" s="62" t="s">
        <v>616</v>
      </c>
      <c r="DE1582" s="33" t="s">
        <v>30</v>
      </c>
    </row>
    <row r="1583" spans="103:109" ht="15" customHeight="1">
      <c r="CY1583" s="62" t="s">
        <v>788</v>
      </c>
      <c r="DE1583" s="33" t="s">
        <v>30</v>
      </c>
    </row>
    <row r="1584" spans="103:109" ht="15" customHeight="1">
      <c r="CY1584" s="62" t="s">
        <v>618</v>
      </c>
      <c r="DE1584" s="33" t="s">
        <v>30</v>
      </c>
    </row>
    <row r="1585" spans="103:109" ht="15" customHeight="1">
      <c r="CY1585" s="62" t="s">
        <v>789</v>
      </c>
      <c r="DE1585" s="33" t="s">
        <v>30</v>
      </c>
    </row>
    <row r="1586" spans="103:109" ht="15" customHeight="1">
      <c r="CY1586" s="62" t="s">
        <v>790</v>
      </c>
      <c r="DE1586" s="33" t="s">
        <v>30</v>
      </c>
    </row>
    <row r="1587" spans="103:109" ht="15" customHeight="1">
      <c r="CY1587" s="62" t="s">
        <v>791</v>
      </c>
      <c r="DE1587" s="33" t="s">
        <v>30</v>
      </c>
    </row>
    <row r="1588" spans="103:109" ht="15" customHeight="1">
      <c r="CY1588" s="62" t="s">
        <v>312</v>
      </c>
      <c r="DE1588" s="33" t="s">
        <v>30</v>
      </c>
    </row>
    <row r="1589" spans="103:109" ht="15" customHeight="1">
      <c r="CY1589" s="62" t="s">
        <v>792</v>
      </c>
      <c r="DE1589" s="33" t="s">
        <v>30</v>
      </c>
    </row>
    <row r="1590" spans="103:109" ht="15" customHeight="1">
      <c r="CY1590" s="62" t="s">
        <v>793</v>
      </c>
      <c r="DE1590" s="33" t="s">
        <v>30</v>
      </c>
    </row>
    <row r="1591" spans="103:109" ht="15" customHeight="1">
      <c r="CY1591" s="62" t="s">
        <v>552</v>
      </c>
      <c r="DE1591" s="33" t="s">
        <v>30</v>
      </c>
    </row>
    <row r="1592" spans="103:109" ht="15" customHeight="1">
      <c r="CY1592" s="62" t="s">
        <v>324</v>
      </c>
      <c r="DE1592" s="33" t="s">
        <v>30</v>
      </c>
    </row>
    <row r="1593" spans="103:109" ht="15" customHeight="1">
      <c r="CY1593" s="62" t="s">
        <v>327</v>
      </c>
      <c r="DE1593" s="33" t="s">
        <v>30</v>
      </c>
    </row>
    <row r="1594" spans="103:109" ht="15" customHeight="1">
      <c r="CY1594" s="62" t="s">
        <v>554</v>
      </c>
      <c r="DE1594" s="33" t="s">
        <v>30</v>
      </c>
    </row>
    <row r="1595" spans="103:109" ht="15" customHeight="1">
      <c r="CY1595" s="62" t="s">
        <v>333</v>
      </c>
      <c r="DE1595" s="33" t="s">
        <v>30</v>
      </c>
    </row>
    <row r="1596" spans="103:109" ht="15" customHeight="1">
      <c r="CY1596" s="62" t="s">
        <v>336</v>
      </c>
      <c r="DE1596" s="33" t="s">
        <v>30</v>
      </c>
    </row>
    <row r="1597" spans="103:109" ht="15" customHeight="1">
      <c r="CY1597" s="62" t="s">
        <v>340</v>
      </c>
      <c r="DE1597" s="33" t="s">
        <v>30</v>
      </c>
    </row>
    <row r="1598" spans="103:109" ht="15" customHeight="1">
      <c r="CY1598" s="62" t="s">
        <v>272</v>
      </c>
      <c r="DE1598" s="33" t="s">
        <v>30</v>
      </c>
    </row>
    <row r="1599" spans="103:109" ht="15" customHeight="1">
      <c r="CY1599" s="62" t="s">
        <v>794</v>
      </c>
      <c r="DE1599" s="33" t="s">
        <v>30</v>
      </c>
    </row>
    <row r="1600" spans="103:109" ht="15" customHeight="1">
      <c r="CY1600" s="62" t="s">
        <v>279</v>
      </c>
      <c r="DE1600" s="33" t="s">
        <v>30</v>
      </c>
    </row>
    <row r="1601" spans="103:109" ht="15" customHeight="1">
      <c r="CY1601" s="62" t="s">
        <v>282</v>
      </c>
      <c r="DE1601" s="33" t="s">
        <v>30</v>
      </c>
    </row>
    <row r="1602" spans="103:109" ht="15" customHeight="1">
      <c r="CY1602" s="62" t="s">
        <v>795</v>
      </c>
      <c r="DE1602" s="33" t="s">
        <v>30</v>
      </c>
    </row>
    <row r="1603" spans="103:109" ht="15" customHeight="1">
      <c r="CY1603" s="62" t="s">
        <v>786</v>
      </c>
      <c r="DE1603" s="33" t="s">
        <v>30</v>
      </c>
    </row>
    <row r="1604" spans="103:109" ht="15" customHeight="1">
      <c r="CY1604" s="62" t="s">
        <v>787</v>
      </c>
      <c r="DE1604" s="33" t="s">
        <v>30</v>
      </c>
    </row>
    <row r="1605" spans="103:109" ht="15" customHeight="1">
      <c r="CY1605" s="62" t="s">
        <v>616</v>
      </c>
      <c r="DE1605" s="33" t="s">
        <v>30</v>
      </c>
    </row>
    <row r="1606" spans="103:109" ht="15" customHeight="1">
      <c r="CY1606" s="62" t="s">
        <v>788</v>
      </c>
      <c r="DE1606" s="33" t="s">
        <v>30</v>
      </c>
    </row>
    <row r="1607" spans="103:109" ht="15" customHeight="1">
      <c r="CY1607" s="62" t="s">
        <v>618</v>
      </c>
      <c r="DE1607" s="33" t="s">
        <v>30</v>
      </c>
    </row>
    <row r="1608" spans="103:109" ht="15" customHeight="1">
      <c r="CY1608" s="62" t="s">
        <v>789</v>
      </c>
      <c r="DE1608" s="33" t="s">
        <v>30</v>
      </c>
    </row>
    <row r="1609" spans="103:109" ht="15" customHeight="1">
      <c r="CY1609" s="62" t="s">
        <v>790</v>
      </c>
      <c r="DE1609" s="33" t="s">
        <v>30</v>
      </c>
    </row>
    <row r="1610" spans="103:109" ht="15" customHeight="1">
      <c r="CY1610" s="62" t="s">
        <v>796</v>
      </c>
      <c r="DE1610" s="33" t="s">
        <v>30</v>
      </c>
    </row>
    <row r="1611" spans="103:109" ht="15" customHeight="1">
      <c r="CY1611" s="62" t="s">
        <v>312</v>
      </c>
      <c r="DE1611" s="33" t="s">
        <v>30</v>
      </c>
    </row>
    <row r="1612" spans="103:109" ht="15" customHeight="1">
      <c r="CY1612" s="62" t="s">
        <v>797</v>
      </c>
      <c r="DE1612" s="33" t="s">
        <v>30</v>
      </c>
    </row>
    <row r="1613" spans="103:109" ht="15" customHeight="1">
      <c r="CY1613" s="62" t="s">
        <v>798</v>
      </c>
      <c r="DE1613" s="33" t="s">
        <v>30</v>
      </c>
    </row>
    <row r="1614" spans="103:109" ht="15" customHeight="1">
      <c r="CY1614" s="62" t="s">
        <v>552</v>
      </c>
      <c r="DE1614" s="33" t="s">
        <v>30</v>
      </c>
    </row>
    <row r="1615" spans="103:109" ht="15" customHeight="1">
      <c r="CY1615" s="62" t="s">
        <v>324</v>
      </c>
      <c r="DE1615" s="33" t="s">
        <v>30</v>
      </c>
    </row>
    <row r="1616" spans="103:109" ht="15" customHeight="1">
      <c r="CY1616" s="62" t="s">
        <v>327</v>
      </c>
      <c r="DE1616" s="33" t="s">
        <v>30</v>
      </c>
    </row>
    <row r="1617" spans="103:109" ht="15" customHeight="1">
      <c r="CY1617" s="62" t="s">
        <v>554</v>
      </c>
      <c r="DE1617" s="33" t="s">
        <v>30</v>
      </c>
    </row>
    <row r="1618" spans="103:109" ht="15" customHeight="1">
      <c r="CY1618" s="62" t="s">
        <v>333</v>
      </c>
      <c r="DE1618" s="33" t="s">
        <v>30</v>
      </c>
    </row>
    <row r="1619" spans="103:109" ht="15" customHeight="1">
      <c r="CY1619" s="62" t="s">
        <v>336</v>
      </c>
      <c r="DE1619" s="33" t="s">
        <v>30</v>
      </c>
    </row>
    <row r="1620" spans="103:109" ht="15" customHeight="1">
      <c r="CY1620" s="62" t="s">
        <v>340</v>
      </c>
      <c r="DE1620" s="33" t="s">
        <v>30</v>
      </c>
    </row>
    <row r="1621" spans="103:109" ht="15" customHeight="1">
      <c r="CY1621" s="62" t="s">
        <v>272</v>
      </c>
      <c r="DE1621" s="33" t="s">
        <v>30</v>
      </c>
    </row>
    <row r="1622" spans="103:109" ht="15" customHeight="1">
      <c r="CY1622" s="62" t="s">
        <v>799</v>
      </c>
      <c r="DE1622" s="33" t="s">
        <v>30</v>
      </c>
    </row>
    <row r="1623" spans="103:109" ht="15" customHeight="1">
      <c r="CY1623" s="62" t="s">
        <v>433</v>
      </c>
      <c r="DE1623" s="33" t="s">
        <v>30</v>
      </c>
    </row>
    <row r="1624" spans="103:109" ht="15" customHeight="1">
      <c r="CY1624" s="62" t="s">
        <v>282</v>
      </c>
      <c r="DE1624" s="33" t="s">
        <v>30</v>
      </c>
    </row>
    <row r="1625" spans="103:109" ht="15" customHeight="1">
      <c r="CY1625" s="62" t="s">
        <v>800</v>
      </c>
      <c r="DE1625" s="33" t="s">
        <v>30</v>
      </c>
    </row>
    <row r="1626" spans="103:109" ht="15" customHeight="1">
      <c r="CY1626" s="62" t="s">
        <v>801</v>
      </c>
      <c r="DE1626" s="33" t="s">
        <v>30</v>
      </c>
    </row>
    <row r="1627" spans="103:109" ht="15" customHeight="1">
      <c r="CY1627" s="62" t="s">
        <v>802</v>
      </c>
      <c r="DE1627" s="33" t="s">
        <v>30</v>
      </c>
    </row>
    <row r="1628" spans="103:109" ht="15" customHeight="1">
      <c r="CY1628" s="62" t="s">
        <v>741</v>
      </c>
      <c r="DE1628" s="33" t="s">
        <v>30</v>
      </c>
    </row>
    <row r="1629" spans="103:109" ht="15" customHeight="1">
      <c r="CY1629" s="62" t="s">
        <v>803</v>
      </c>
      <c r="DE1629" s="33" t="s">
        <v>30</v>
      </c>
    </row>
    <row r="1630" spans="103:109" ht="15" customHeight="1">
      <c r="CY1630" s="62" t="s">
        <v>804</v>
      </c>
      <c r="DE1630" s="33" t="s">
        <v>30</v>
      </c>
    </row>
    <row r="1631" spans="103:109" ht="15" customHeight="1">
      <c r="CY1631" s="62" t="s">
        <v>805</v>
      </c>
      <c r="DE1631" s="33" t="s">
        <v>30</v>
      </c>
    </row>
    <row r="1632" spans="103:109" ht="15" customHeight="1">
      <c r="CY1632" s="62" t="s">
        <v>806</v>
      </c>
      <c r="DE1632" s="33" t="s">
        <v>30</v>
      </c>
    </row>
    <row r="1633" spans="103:109" ht="15" customHeight="1">
      <c r="CY1633" s="62" t="s">
        <v>807</v>
      </c>
      <c r="DE1633" s="33" t="s">
        <v>30</v>
      </c>
    </row>
    <row r="1634" spans="103:109" ht="15" customHeight="1">
      <c r="CY1634" s="62" t="s">
        <v>312</v>
      </c>
      <c r="DE1634" s="33" t="s">
        <v>30</v>
      </c>
    </row>
    <row r="1635" spans="103:109" ht="15" customHeight="1">
      <c r="CY1635" s="62" t="s">
        <v>808</v>
      </c>
      <c r="DE1635" s="33" t="s">
        <v>30</v>
      </c>
    </row>
    <row r="1636" spans="103:109" ht="15" customHeight="1">
      <c r="CY1636" s="62" t="s">
        <v>809</v>
      </c>
      <c r="DE1636" s="33" t="s">
        <v>30</v>
      </c>
    </row>
    <row r="1637" spans="103:109" ht="15" customHeight="1">
      <c r="CY1637" s="62" t="s">
        <v>321</v>
      </c>
      <c r="DE1637" s="33" t="s">
        <v>30</v>
      </c>
    </row>
    <row r="1638" spans="103:109" ht="15" customHeight="1">
      <c r="CY1638" s="62" t="s">
        <v>324</v>
      </c>
      <c r="DE1638" s="33" t="s">
        <v>30</v>
      </c>
    </row>
    <row r="1639" spans="103:109" ht="15" customHeight="1">
      <c r="CY1639" s="62" t="s">
        <v>327</v>
      </c>
      <c r="DE1639" s="33" t="s">
        <v>30</v>
      </c>
    </row>
    <row r="1640" spans="103:109" ht="15" customHeight="1">
      <c r="CY1640" s="62" t="s">
        <v>330</v>
      </c>
      <c r="DE1640" s="33" t="s">
        <v>30</v>
      </c>
    </row>
    <row r="1641" spans="103:109" ht="15" customHeight="1">
      <c r="CY1641" s="62" t="s">
        <v>333</v>
      </c>
      <c r="DE1641" s="33" t="s">
        <v>30</v>
      </c>
    </row>
    <row r="1642" spans="103:109" ht="15" customHeight="1">
      <c r="CY1642" s="62" t="s">
        <v>444</v>
      </c>
      <c r="DE1642" s="33" t="s">
        <v>30</v>
      </c>
    </row>
    <row r="1643" spans="103:109" ht="15" customHeight="1">
      <c r="CY1643" s="62" t="s">
        <v>445</v>
      </c>
      <c r="DE1643" s="33" t="s">
        <v>30</v>
      </c>
    </row>
    <row r="1644" spans="103:109" ht="15" customHeight="1">
      <c r="CY1644" s="62" t="s">
        <v>446</v>
      </c>
      <c r="DE1644" s="33" t="s">
        <v>30</v>
      </c>
    </row>
    <row r="1645" spans="103:109" ht="15" customHeight="1">
      <c r="CY1645" s="62" t="s">
        <v>453</v>
      </c>
      <c r="DE1645" s="33" t="s">
        <v>30</v>
      </c>
    </row>
    <row r="1646" spans="103:109" ht="15" customHeight="1">
      <c r="CY1646" s="62" t="s">
        <v>448</v>
      </c>
      <c r="DE1646" s="33" t="s">
        <v>30</v>
      </c>
    </row>
    <row r="1647" spans="103:109" ht="15" customHeight="1">
      <c r="CY1647" s="62" t="s">
        <v>449</v>
      </c>
      <c r="DE1647" s="33" t="s">
        <v>30</v>
      </c>
    </row>
    <row r="1648" spans="103:109" ht="15" customHeight="1">
      <c r="CY1648" s="62" t="s">
        <v>450</v>
      </c>
      <c r="DE1648" s="33" t="s">
        <v>30</v>
      </c>
    </row>
    <row r="1649" spans="103:109" ht="15" customHeight="1">
      <c r="CY1649" s="62" t="s">
        <v>810</v>
      </c>
      <c r="DE1649" s="33" t="s">
        <v>30</v>
      </c>
    </row>
    <row r="1650" spans="103:109" ht="15" customHeight="1">
      <c r="CY1650" s="62" t="s">
        <v>456</v>
      </c>
      <c r="DE1650" s="33" t="s">
        <v>30</v>
      </c>
    </row>
    <row r="1651" spans="103:109" ht="15" customHeight="1">
      <c r="CY1651" s="62" t="s">
        <v>457</v>
      </c>
      <c r="DE1651" s="33" t="s">
        <v>30</v>
      </c>
    </row>
    <row r="1652" spans="103:109" ht="15" customHeight="1">
      <c r="CY1652" s="62" t="s">
        <v>340</v>
      </c>
      <c r="DE1652" s="33" t="s">
        <v>30</v>
      </c>
    </row>
    <row r="1653" spans="103:109" ht="15" customHeight="1">
      <c r="CY1653" s="62" t="s">
        <v>272</v>
      </c>
      <c r="DE1653" s="33" t="s">
        <v>30</v>
      </c>
    </row>
    <row r="1654" spans="103:109" ht="15" customHeight="1">
      <c r="CY1654" s="62" t="s">
        <v>811</v>
      </c>
      <c r="DE1654" s="33" t="s">
        <v>30</v>
      </c>
    </row>
    <row r="1655" spans="103:109" ht="15" customHeight="1">
      <c r="CY1655" s="62" t="s">
        <v>279</v>
      </c>
      <c r="DE1655" s="33" t="s">
        <v>30</v>
      </c>
    </row>
    <row r="1656" spans="103:109" ht="15" customHeight="1">
      <c r="CY1656" s="62" t="s">
        <v>282</v>
      </c>
      <c r="DE1656" s="33" t="s">
        <v>30</v>
      </c>
    </row>
    <row r="1657" spans="103:109" ht="15" customHeight="1">
      <c r="CY1657" s="62" t="s">
        <v>800</v>
      </c>
      <c r="DE1657" s="33" t="s">
        <v>30</v>
      </c>
    </row>
    <row r="1658" spans="103:109" ht="15" customHeight="1">
      <c r="CY1658" s="62" t="s">
        <v>801</v>
      </c>
      <c r="DE1658" s="33" t="s">
        <v>30</v>
      </c>
    </row>
    <row r="1659" spans="103:109" ht="15" customHeight="1">
      <c r="CY1659" s="62" t="s">
        <v>802</v>
      </c>
      <c r="DE1659" s="33" t="s">
        <v>30</v>
      </c>
    </row>
    <row r="1660" spans="103:109" ht="15" customHeight="1">
      <c r="CY1660" s="62" t="s">
        <v>741</v>
      </c>
      <c r="DE1660" s="33" t="s">
        <v>30</v>
      </c>
    </row>
    <row r="1661" spans="103:109" ht="15" customHeight="1">
      <c r="CY1661" s="62" t="s">
        <v>803</v>
      </c>
      <c r="DE1661" s="33" t="s">
        <v>30</v>
      </c>
    </row>
    <row r="1662" spans="103:109" ht="15" customHeight="1">
      <c r="CY1662" s="62" t="s">
        <v>804</v>
      </c>
      <c r="DE1662" s="33" t="s">
        <v>30</v>
      </c>
    </row>
    <row r="1663" spans="103:109" ht="15" customHeight="1">
      <c r="CY1663" s="62" t="s">
        <v>805</v>
      </c>
      <c r="DE1663" s="33" t="s">
        <v>30</v>
      </c>
    </row>
    <row r="1664" spans="103:109" ht="15" customHeight="1">
      <c r="CY1664" s="62" t="s">
        <v>806</v>
      </c>
      <c r="DE1664" s="33" t="s">
        <v>30</v>
      </c>
    </row>
    <row r="1665" spans="103:109" ht="15" customHeight="1">
      <c r="CY1665" s="62" t="s">
        <v>807</v>
      </c>
      <c r="DE1665" s="33" t="s">
        <v>30</v>
      </c>
    </row>
    <row r="1666" spans="103:109" ht="15" customHeight="1">
      <c r="CY1666" s="62" t="s">
        <v>312</v>
      </c>
      <c r="DE1666" s="33" t="s">
        <v>30</v>
      </c>
    </row>
    <row r="1667" spans="103:109" ht="15" customHeight="1">
      <c r="CY1667" s="62" t="s">
        <v>808</v>
      </c>
      <c r="DE1667" s="33" t="s">
        <v>30</v>
      </c>
    </row>
    <row r="1668" spans="103:109" ht="15" customHeight="1">
      <c r="CY1668" s="62" t="s">
        <v>809</v>
      </c>
      <c r="DE1668" s="33" t="s">
        <v>30</v>
      </c>
    </row>
    <row r="1669" spans="103:109" ht="15" customHeight="1">
      <c r="CY1669" s="62" t="s">
        <v>321</v>
      </c>
      <c r="DE1669" s="33" t="s">
        <v>30</v>
      </c>
    </row>
    <row r="1670" spans="103:109" ht="15" customHeight="1">
      <c r="CY1670" s="62" t="s">
        <v>324</v>
      </c>
      <c r="DE1670" s="33" t="s">
        <v>30</v>
      </c>
    </row>
    <row r="1671" spans="103:109" ht="15" customHeight="1">
      <c r="CY1671" s="62" t="s">
        <v>327</v>
      </c>
      <c r="DE1671" s="33" t="s">
        <v>30</v>
      </c>
    </row>
    <row r="1672" spans="103:109" ht="15" customHeight="1">
      <c r="CY1672" s="62" t="s">
        <v>330</v>
      </c>
      <c r="DE1672" s="33" t="s">
        <v>30</v>
      </c>
    </row>
    <row r="1673" spans="103:109" ht="15" customHeight="1">
      <c r="CY1673" s="62" t="s">
        <v>333</v>
      </c>
      <c r="DE1673" s="33" t="s">
        <v>30</v>
      </c>
    </row>
    <row r="1674" spans="103:109" ht="15" customHeight="1">
      <c r="CY1674" s="62" t="s">
        <v>444</v>
      </c>
      <c r="DE1674" s="33" t="s">
        <v>30</v>
      </c>
    </row>
    <row r="1675" spans="103:109" ht="15" customHeight="1">
      <c r="CY1675" s="62" t="s">
        <v>445</v>
      </c>
      <c r="DE1675" s="33" t="s">
        <v>30</v>
      </c>
    </row>
    <row r="1676" spans="103:109" ht="15" customHeight="1">
      <c r="CY1676" s="62" t="s">
        <v>446</v>
      </c>
      <c r="DE1676" s="33" t="s">
        <v>30</v>
      </c>
    </row>
    <row r="1677" spans="103:109" ht="15" customHeight="1">
      <c r="CY1677" s="62" t="s">
        <v>453</v>
      </c>
      <c r="DE1677" s="33" t="s">
        <v>30</v>
      </c>
    </row>
    <row r="1678" spans="103:109" ht="15" customHeight="1">
      <c r="CY1678" s="62" t="s">
        <v>448</v>
      </c>
      <c r="DE1678" s="33" t="s">
        <v>30</v>
      </c>
    </row>
    <row r="1679" spans="103:109" ht="15" customHeight="1">
      <c r="CY1679" s="62" t="s">
        <v>449</v>
      </c>
      <c r="DE1679" s="33" t="s">
        <v>30</v>
      </c>
    </row>
    <row r="1680" spans="103:109" ht="15" customHeight="1">
      <c r="CY1680" s="62" t="s">
        <v>450</v>
      </c>
      <c r="DE1680" s="33" t="s">
        <v>30</v>
      </c>
    </row>
    <row r="1681" spans="103:109" ht="15" customHeight="1">
      <c r="CY1681" s="62" t="s">
        <v>810</v>
      </c>
      <c r="DE1681" s="33" t="s">
        <v>30</v>
      </c>
    </row>
    <row r="1682" spans="103:109" ht="15" customHeight="1">
      <c r="CY1682" s="62" t="s">
        <v>456</v>
      </c>
      <c r="DE1682" s="33" t="s">
        <v>30</v>
      </c>
    </row>
    <row r="1683" spans="103:109" ht="15" customHeight="1">
      <c r="CY1683" s="62" t="s">
        <v>457</v>
      </c>
      <c r="DE1683" s="33" t="s">
        <v>30</v>
      </c>
    </row>
    <row r="1684" spans="103:109" ht="15" customHeight="1">
      <c r="CY1684" s="62" t="s">
        <v>340</v>
      </c>
      <c r="DE1684" s="33" t="s">
        <v>30</v>
      </c>
    </row>
    <row r="1685" spans="103:109" ht="15" customHeight="1">
      <c r="CY1685" s="62" t="s">
        <v>272</v>
      </c>
      <c r="DE1685" s="33" t="s">
        <v>30</v>
      </c>
    </row>
    <row r="1686" spans="103:109" ht="15" customHeight="1">
      <c r="CY1686" s="62" t="s">
        <v>812</v>
      </c>
      <c r="DE1686" s="33" t="s">
        <v>30</v>
      </c>
    </row>
    <row r="1687" spans="103:109" ht="15" customHeight="1">
      <c r="CY1687" s="62" t="s">
        <v>279</v>
      </c>
      <c r="DE1687" s="33" t="s">
        <v>30</v>
      </c>
    </row>
    <row r="1688" spans="103:109" ht="15" customHeight="1">
      <c r="CY1688" s="62" t="s">
        <v>282</v>
      </c>
      <c r="DE1688" s="33" t="s">
        <v>30</v>
      </c>
    </row>
    <row r="1689" spans="103:109" ht="15" customHeight="1">
      <c r="CY1689" s="62" t="s">
        <v>813</v>
      </c>
      <c r="DE1689" s="33" t="s">
        <v>30</v>
      </c>
    </row>
    <row r="1690" spans="103:109" ht="15" customHeight="1">
      <c r="CY1690" s="62" t="s">
        <v>814</v>
      </c>
      <c r="DE1690" s="33" t="s">
        <v>30</v>
      </c>
    </row>
    <row r="1691" spans="103:109" ht="15" customHeight="1">
      <c r="CY1691" s="62" t="s">
        <v>815</v>
      </c>
      <c r="DE1691" s="33" t="s">
        <v>30</v>
      </c>
    </row>
    <row r="1692" spans="103:109" ht="15" customHeight="1">
      <c r="CY1692" s="62" t="s">
        <v>741</v>
      </c>
      <c r="DE1692" s="33" t="s">
        <v>30</v>
      </c>
    </row>
    <row r="1693" spans="103:109" ht="15" customHeight="1">
      <c r="CY1693" s="62" t="s">
        <v>803</v>
      </c>
      <c r="DE1693" s="33" t="s">
        <v>30</v>
      </c>
    </row>
    <row r="1694" spans="103:109" ht="15" customHeight="1">
      <c r="CY1694" s="62" t="s">
        <v>816</v>
      </c>
      <c r="DE1694" s="33" t="s">
        <v>30</v>
      </c>
    </row>
    <row r="1695" spans="103:109" ht="15" customHeight="1">
      <c r="CY1695" s="62" t="s">
        <v>817</v>
      </c>
      <c r="DE1695" s="33" t="s">
        <v>30</v>
      </c>
    </row>
    <row r="1696" spans="103:109" ht="15" customHeight="1">
      <c r="CY1696" s="62" t="s">
        <v>818</v>
      </c>
      <c r="DE1696" s="33" t="s">
        <v>30</v>
      </c>
    </row>
    <row r="1697" spans="103:109" ht="15" customHeight="1">
      <c r="CY1697" s="62" t="s">
        <v>819</v>
      </c>
      <c r="DE1697" s="33" t="s">
        <v>30</v>
      </c>
    </row>
    <row r="1698" spans="103:109" ht="15" customHeight="1">
      <c r="CY1698" s="62" t="s">
        <v>312</v>
      </c>
      <c r="DE1698" s="33" t="s">
        <v>30</v>
      </c>
    </row>
    <row r="1699" spans="103:109" ht="15" customHeight="1">
      <c r="CY1699" s="62" t="s">
        <v>820</v>
      </c>
      <c r="DE1699" s="33" t="s">
        <v>30</v>
      </c>
    </row>
    <row r="1700" spans="103:109" ht="15" customHeight="1">
      <c r="CY1700" s="62" t="s">
        <v>821</v>
      </c>
      <c r="DE1700" s="33" t="s">
        <v>30</v>
      </c>
    </row>
    <row r="1701" spans="103:109" ht="15" customHeight="1">
      <c r="CY1701" s="62" t="s">
        <v>321</v>
      </c>
      <c r="DE1701" s="33" t="s">
        <v>30</v>
      </c>
    </row>
    <row r="1702" spans="103:109" ht="15" customHeight="1">
      <c r="CY1702" s="62" t="s">
        <v>324</v>
      </c>
      <c r="DE1702" s="33" t="s">
        <v>30</v>
      </c>
    </row>
    <row r="1703" spans="103:109" ht="15" customHeight="1">
      <c r="CY1703" s="62" t="s">
        <v>327</v>
      </c>
      <c r="DE1703" s="33" t="s">
        <v>30</v>
      </c>
    </row>
    <row r="1704" spans="103:109" ht="15" customHeight="1">
      <c r="CY1704" s="62" t="s">
        <v>330</v>
      </c>
      <c r="DE1704" s="33" t="s">
        <v>30</v>
      </c>
    </row>
    <row r="1705" spans="103:109" ht="15" customHeight="1">
      <c r="CY1705" s="62" t="s">
        <v>333</v>
      </c>
      <c r="DE1705" s="33" t="s">
        <v>30</v>
      </c>
    </row>
    <row r="1706" spans="103:109" ht="15" customHeight="1">
      <c r="CY1706" s="62" t="s">
        <v>444</v>
      </c>
      <c r="DE1706" s="33" t="s">
        <v>30</v>
      </c>
    </row>
    <row r="1707" spans="103:109" ht="15" customHeight="1">
      <c r="CY1707" s="62" t="s">
        <v>445</v>
      </c>
      <c r="DE1707" s="33" t="s">
        <v>30</v>
      </c>
    </row>
    <row r="1708" spans="103:109" ht="15" customHeight="1">
      <c r="CY1708" s="62" t="s">
        <v>446</v>
      </c>
      <c r="DE1708" s="33" t="s">
        <v>30</v>
      </c>
    </row>
    <row r="1709" spans="103:109" ht="15" customHeight="1">
      <c r="CY1709" s="62" t="s">
        <v>453</v>
      </c>
      <c r="DE1709" s="33" t="s">
        <v>30</v>
      </c>
    </row>
    <row r="1710" spans="103:109" ht="15" customHeight="1">
      <c r="CY1710" s="62" t="s">
        <v>448</v>
      </c>
      <c r="DE1710" s="33" t="s">
        <v>30</v>
      </c>
    </row>
    <row r="1711" spans="103:109" ht="15" customHeight="1">
      <c r="CY1711" s="62" t="s">
        <v>449</v>
      </c>
      <c r="DE1711" s="33" t="s">
        <v>30</v>
      </c>
    </row>
    <row r="1712" spans="103:109" ht="15" customHeight="1">
      <c r="CY1712" s="62" t="s">
        <v>450</v>
      </c>
      <c r="DE1712" s="33" t="s">
        <v>30</v>
      </c>
    </row>
    <row r="1713" spans="103:109" ht="15" customHeight="1">
      <c r="CY1713" s="62" t="s">
        <v>822</v>
      </c>
      <c r="DE1713" s="33" t="s">
        <v>30</v>
      </c>
    </row>
    <row r="1714" spans="103:109" ht="15" customHeight="1">
      <c r="CY1714" s="62" t="s">
        <v>456</v>
      </c>
      <c r="DE1714" s="33" t="s">
        <v>30</v>
      </c>
    </row>
    <row r="1715" spans="103:109" ht="15" customHeight="1">
      <c r="CY1715" s="62" t="s">
        <v>457</v>
      </c>
      <c r="DE1715" s="33" t="s">
        <v>30</v>
      </c>
    </row>
    <row r="1716" spans="103:109" ht="15" customHeight="1">
      <c r="CY1716" s="62" t="s">
        <v>340</v>
      </c>
      <c r="DE1716" s="33" t="s">
        <v>30</v>
      </c>
    </row>
    <row r="1717" spans="103:109" ht="15" customHeight="1">
      <c r="CY1717" s="62" t="s">
        <v>272</v>
      </c>
      <c r="DE1717" s="33" t="s">
        <v>30</v>
      </c>
    </row>
    <row r="1718" spans="103:109" ht="15" customHeight="1">
      <c r="CY1718" s="62" t="s">
        <v>823</v>
      </c>
      <c r="DE1718" s="33" t="s">
        <v>30</v>
      </c>
    </row>
    <row r="1719" spans="103:109" ht="15" customHeight="1">
      <c r="CY1719" s="62" t="s">
        <v>279</v>
      </c>
      <c r="DE1719" s="33" t="s">
        <v>30</v>
      </c>
    </row>
    <row r="1720" spans="103:109" ht="15" customHeight="1">
      <c r="CY1720" s="62" t="s">
        <v>282</v>
      </c>
      <c r="DE1720" s="33" t="s">
        <v>30</v>
      </c>
    </row>
    <row r="1721" spans="103:109" ht="15" customHeight="1">
      <c r="CY1721" s="62" t="s">
        <v>824</v>
      </c>
      <c r="DE1721" s="33" t="s">
        <v>30</v>
      </c>
    </row>
    <row r="1722" spans="103:109" ht="15" customHeight="1">
      <c r="CY1722" s="62" t="s">
        <v>825</v>
      </c>
      <c r="DE1722" s="33" t="s">
        <v>30</v>
      </c>
    </row>
    <row r="1723" spans="103:109" ht="15" customHeight="1">
      <c r="CY1723" s="62" t="s">
        <v>826</v>
      </c>
      <c r="DE1723" s="33" t="s">
        <v>30</v>
      </c>
    </row>
    <row r="1724" spans="103:109" ht="15" customHeight="1">
      <c r="CY1724" s="62" t="s">
        <v>654</v>
      </c>
      <c r="DE1724" s="33" t="s">
        <v>30</v>
      </c>
    </row>
    <row r="1725" spans="103:109" ht="15" customHeight="1">
      <c r="CY1725" s="62" t="s">
        <v>827</v>
      </c>
      <c r="DE1725" s="33" t="s">
        <v>30</v>
      </c>
    </row>
    <row r="1726" spans="103:109" ht="15" customHeight="1">
      <c r="CY1726" s="62" t="s">
        <v>828</v>
      </c>
      <c r="DE1726" s="33" t="s">
        <v>30</v>
      </c>
    </row>
    <row r="1727" spans="103:109" ht="15" customHeight="1">
      <c r="CY1727" s="62" t="s">
        <v>829</v>
      </c>
      <c r="DE1727" s="33" t="s">
        <v>30</v>
      </c>
    </row>
    <row r="1728" spans="103:109" ht="15" customHeight="1">
      <c r="CY1728" s="62" t="s">
        <v>830</v>
      </c>
      <c r="DE1728" s="33" t="s">
        <v>30</v>
      </c>
    </row>
    <row r="1729" spans="103:109" ht="15" customHeight="1">
      <c r="CY1729" s="62" t="s">
        <v>831</v>
      </c>
      <c r="DE1729" s="33" t="s">
        <v>30</v>
      </c>
    </row>
    <row r="1730" spans="103:109" ht="15" customHeight="1">
      <c r="CY1730" s="62" t="s">
        <v>312</v>
      </c>
      <c r="DE1730" s="33" t="s">
        <v>30</v>
      </c>
    </row>
    <row r="1731" spans="103:109" ht="15" customHeight="1">
      <c r="CY1731" s="62" t="s">
        <v>832</v>
      </c>
      <c r="DE1731" s="33" t="s">
        <v>30</v>
      </c>
    </row>
    <row r="1732" spans="103:109" ht="15" customHeight="1">
      <c r="CY1732" s="62" t="s">
        <v>833</v>
      </c>
      <c r="DE1732" s="33" t="s">
        <v>30</v>
      </c>
    </row>
    <row r="1733" spans="103:109" ht="15" customHeight="1">
      <c r="CY1733" s="62" t="s">
        <v>552</v>
      </c>
      <c r="DE1733" s="33" t="s">
        <v>30</v>
      </c>
    </row>
    <row r="1734" spans="103:109" ht="15" customHeight="1">
      <c r="CY1734" s="62" t="s">
        <v>324</v>
      </c>
      <c r="DE1734" s="33" t="s">
        <v>30</v>
      </c>
    </row>
    <row r="1735" spans="103:109" ht="15" customHeight="1">
      <c r="CY1735" s="62" t="s">
        <v>327</v>
      </c>
      <c r="DE1735" s="33" t="s">
        <v>30</v>
      </c>
    </row>
    <row r="1736" spans="103:109" ht="15" customHeight="1">
      <c r="CY1736" s="62" t="s">
        <v>330</v>
      </c>
      <c r="DE1736" s="33" t="s">
        <v>30</v>
      </c>
    </row>
    <row r="1737" spans="103:109" ht="15" customHeight="1">
      <c r="CY1737" s="62" t="s">
        <v>333</v>
      </c>
      <c r="DE1737" s="33" t="s">
        <v>30</v>
      </c>
    </row>
    <row r="1738" spans="103:109" ht="15" customHeight="1">
      <c r="CY1738" s="62" t="s">
        <v>336</v>
      </c>
      <c r="DE1738" s="33" t="s">
        <v>30</v>
      </c>
    </row>
    <row r="1739" spans="103:109" ht="15" customHeight="1">
      <c r="CY1739" s="62" t="s">
        <v>340</v>
      </c>
      <c r="DE1739" s="33" t="s">
        <v>30</v>
      </c>
    </row>
    <row r="1740" spans="103:109" ht="15" customHeight="1">
      <c r="CY1740" s="62" t="s">
        <v>272</v>
      </c>
      <c r="DE1740" s="33" t="s">
        <v>30</v>
      </c>
    </row>
    <row r="1741" spans="103:109" ht="15" customHeight="1">
      <c r="CY1741" s="62" t="s">
        <v>834</v>
      </c>
      <c r="DE1741" s="33" t="s">
        <v>30</v>
      </c>
    </row>
    <row r="1742" spans="103:109" ht="15" customHeight="1">
      <c r="CY1742" s="62" t="s">
        <v>279</v>
      </c>
      <c r="DE1742" s="33" t="s">
        <v>30</v>
      </c>
    </row>
    <row r="1743" spans="103:109" ht="15" customHeight="1">
      <c r="CY1743" s="62" t="s">
        <v>282</v>
      </c>
      <c r="DE1743" s="33" t="s">
        <v>30</v>
      </c>
    </row>
    <row r="1744" spans="103:109" ht="15" customHeight="1">
      <c r="CY1744" s="62" t="s">
        <v>835</v>
      </c>
      <c r="DE1744" s="33" t="s">
        <v>30</v>
      </c>
    </row>
    <row r="1745" spans="103:109" ht="15" customHeight="1">
      <c r="CY1745" s="62" t="s">
        <v>836</v>
      </c>
      <c r="DE1745" s="33" t="s">
        <v>30</v>
      </c>
    </row>
    <row r="1746" spans="103:109" ht="15" customHeight="1">
      <c r="CY1746" s="62" t="s">
        <v>837</v>
      </c>
      <c r="DE1746" s="33" t="s">
        <v>30</v>
      </c>
    </row>
    <row r="1747" spans="103:109" ht="15" customHeight="1">
      <c r="CY1747" s="62" t="s">
        <v>661</v>
      </c>
      <c r="DE1747" s="33" t="s">
        <v>30</v>
      </c>
    </row>
    <row r="1748" spans="103:109" ht="15" customHeight="1">
      <c r="CY1748" s="62" t="s">
        <v>838</v>
      </c>
      <c r="DE1748" s="33" t="s">
        <v>30</v>
      </c>
    </row>
    <row r="1749" spans="103:109" ht="15" customHeight="1">
      <c r="CY1749" s="62" t="s">
        <v>839</v>
      </c>
      <c r="DE1749" s="33" t="s">
        <v>30</v>
      </c>
    </row>
    <row r="1750" spans="103:109" ht="15" customHeight="1">
      <c r="CY1750" s="62" t="s">
        <v>840</v>
      </c>
      <c r="DE1750" s="33" t="s">
        <v>30</v>
      </c>
    </row>
    <row r="1751" spans="103:109" ht="15" customHeight="1">
      <c r="CY1751" s="62" t="s">
        <v>841</v>
      </c>
      <c r="DE1751" s="33" t="s">
        <v>30</v>
      </c>
    </row>
    <row r="1752" spans="103:109" ht="15" customHeight="1">
      <c r="CY1752" s="62" t="s">
        <v>842</v>
      </c>
      <c r="DE1752" s="33" t="s">
        <v>30</v>
      </c>
    </row>
    <row r="1753" spans="103:109" ht="15" customHeight="1">
      <c r="CY1753" s="62" t="s">
        <v>312</v>
      </c>
      <c r="DE1753" s="33" t="s">
        <v>30</v>
      </c>
    </row>
    <row r="1754" spans="103:109" ht="15" customHeight="1">
      <c r="CY1754" s="62" t="s">
        <v>843</v>
      </c>
      <c r="DE1754" s="33" t="s">
        <v>30</v>
      </c>
    </row>
    <row r="1755" spans="103:109" ht="15" customHeight="1">
      <c r="CY1755" s="62" t="s">
        <v>844</v>
      </c>
      <c r="DE1755" s="33" t="s">
        <v>30</v>
      </c>
    </row>
    <row r="1756" spans="103:109" ht="15" customHeight="1">
      <c r="CY1756" s="62" t="s">
        <v>552</v>
      </c>
      <c r="DE1756" s="33" t="s">
        <v>30</v>
      </c>
    </row>
    <row r="1757" spans="103:109" ht="15" customHeight="1">
      <c r="CY1757" s="62" t="s">
        <v>324</v>
      </c>
      <c r="DE1757" s="33" t="s">
        <v>30</v>
      </c>
    </row>
    <row r="1758" spans="103:109" ht="15" customHeight="1">
      <c r="CY1758" s="62" t="s">
        <v>327</v>
      </c>
      <c r="DE1758" s="33" t="s">
        <v>30</v>
      </c>
    </row>
    <row r="1759" spans="103:109" ht="15" customHeight="1">
      <c r="CY1759" s="62" t="s">
        <v>330</v>
      </c>
      <c r="DE1759" s="33" t="s">
        <v>30</v>
      </c>
    </row>
    <row r="1760" spans="103:109" ht="15" customHeight="1">
      <c r="CY1760" s="62" t="s">
        <v>333</v>
      </c>
      <c r="DE1760" s="33" t="s">
        <v>30</v>
      </c>
    </row>
    <row r="1761" spans="103:109" ht="15" customHeight="1">
      <c r="CY1761" s="62" t="s">
        <v>336</v>
      </c>
      <c r="DE1761" s="33" t="s">
        <v>30</v>
      </c>
    </row>
    <row r="1762" spans="103:109" ht="15" customHeight="1">
      <c r="CY1762" s="62" t="s">
        <v>340</v>
      </c>
      <c r="DE1762" s="33" t="s">
        <v>30</v>
      </c>
    </row>
    <row r="1763" spans="103:109" ht="15" customHeight="1">
      <c r="CY1763" s="62" t="s">
        <v>272</v>
      </c>
      <c r="DE1763" s="33" t="s">
        <v>30</v>
      </c>
    </row>
    <row r="1764" spans="103:109" ht="15" customHeight="1">
      <c r="CY1764" s="62" t="s">
        <v>845</v>
      </c>
      <c r="DE1764" s="33" t="s">
        <v>30</v>
      </c>
    </row>
    <row r="1765" spans="103:109" ht="15" customHeight="1">
      <c r="CY1765" s="62" t="s">
        <v>279</v>
      </c>
      <c r="DE1765" s="33" t="s">
        <v>30</v>
      </c>
    </row>
    <row r="1766" spans="103:109" ht="15" customHeight="1">
      <c r="CY1766" s="62" t="s">
        <v>282</v>
      </c>
      <c r="DE1766" s="33" t="s">
        <v>30</v>
      </c>
    </row>
    <row r="1767" spans="103:109" ht="15" customHeight="1">
      <c r="CY1767" s="62" t="s">
        <v>846</v>
      </c>
      <c r="DE1767" s="33" t="s">
        <v>30</v>
      </c>
    </row>
    <row r="1768" spans="103:109" ht="15" customHeight="1">
      <c r="CY1768" s="62" t="s">
        <v>847</v>
      </c>
      <c r="DE1768" s="33" t="s">
        <v>30</v>
      </c>
    </row>
    <row r="1769" spans="103:109" ht="15" customHeight="1">
      <c r="CY1769" s="62" t="s">
        <v>848</v>
      </c>
      <c r="DE1769" s="33" t="s">
        <v>30</v>
      </c>
    </row>
    <row r="1770" spans="103:109" ht="15" customHeight="1">
      <c r="CY1770" s="62" t="s">
        <v>734</v>
      </c>
      <c r="DE1770" s="33" t="s">
        <v>30</v>
      </c>
    </row>
    <row r="1771" spans="103:109" ht="15" customHeight="1">
      <c r="CY1771" s="62" t="s">
        <v>849</v>
      </c>
      <c r="DE1771" s="33" t="s">
        <v>30</v>
      </c>
    </row>
    <row r="1772" spans="103:109" ht="15" customHeight="1">
      <c r="CY1772" s="62" t="s">
        <v>850</v>
      </c>
      <c r="DE1772" s="33" t="s">
        <v>30</v>
      </c>
    </row>
    <row r="1773" spans="103:109" ht="15" customHeight="1">
      <c r="CY1773" s="62" t="s">
        <v>851</v>
      </c>
      <c r="DE1773" s="33" t="s">
        <v>30</v>
      </c>
    </row>
    <row r="1774" spans="103:109" ht="15" customHeight="1">
      <c r="CY1774" s="62" t="s">
        <v>852</v>
      </c>
      <c r="DE1774" s="33" t="s">
        <v>30</v>
      </c>
    </row>
    <row r="1775" spans="103:109" ht="15" customHeight="1">
      <c r="CY1775" s="62" t="s">
        <v>853</v>
      </c>
      <c r="DE1775" s="33" t="s">
        <v>30</v>
      </c>
    </row>
    <row r="1776" spans="103:109" ht="15" customHeight="1">
      <c r="CY1776" s="62" t="s">
        <v>312</v>
      </c>
      <c r="DE1776" s="33" t="s">
        <v>30</v>
      </c>
    </row>
    <row r="1777" spans="103:109" ht="15" customHeight="1">
      <c r="CY1777" s="62" t="s">
        <v>854</v>
      </c>
      <c r="DE1777" s="33" t="s">
        <v>30</v>
      </c>
    </row>
    <row r="1778" spans="103:109" ht="15" customHeight="1">
      <c r="CY1778" s="62" t="s">
        <v>855</v>
      </c>
      <c r="DE1778" s="33" t="s">
        <v>30</v>
      </c>
    </row>
    <row r="1779" spans="103:109" ht="15" customHeight="1">
      <c r="CY1779" s="62" t="s">
        <v>321</v>
      </c>
      <c r="DE1779" s="33" t="s">
        <v>30</v>
      </c>
    </row>
    <row r="1780" spans="103:109" ht="15" customHeight="1">
      <c r="CY1780" s="62" t="s">
        <v>324</v>
      </c>
      <c r="DE1780" s="33" t="s">
        <v>30</v>
      </c>
    </row>
    <row r="1781" spans="103:109" ht="15" customHeight="1">
      <c r="CY1781" s="62" t="s">
        <v>327</v>
      </c>
      <c r="DE1781" s="33" t="s">
        <v>30</v>
      </c>
    </row>
    <row r="1782" spans="103:109" ht="15" customHeight="1">
      <c r="CY1782" s="62" t="s">
        <v>330</v>
      </c>
      <c r="DE1782" s="33" t="s">
        <v>30</v>
      </c>
    </row>
    <row r="1783" spans="103:109" ht="15" customHeight="1">
      <c r="CY1783" s="62" t="s">
        <v>333</v>
      </c>
      <c r="DE1783" s="33" t="s">
        <v>30</v>
      </c>
    </row>
    <row r="1784" spans="103:109" ht="15" customHeight="1">
      <c r="CY1784" s="62" t="s">
        <v>336</v>
      </c>
      <c r="DE1784" s="33" t="s">
        <v>30</v>
      </c>
    </row>
    <row r="1785" spans="103:109" ht="15" customHeight="1">
      <c r="CY1785" s="62" t="s">
        <v>340</v>
      </c>
      <c r="DE1785" s="33" t="s">
        <v>30</v>
      </c>
    </row>
    <row r="1786" spans="103:109" ht="15" customHeight="1">
      <c r="CY1786" s="62" t="s">
        <v>272</v>
      </c>
      <c r="DE1786" s="33" t="s">
        <v>30</v>
      </c>
    </row>
    <row r="1787" spans="103:109" ht="15" customHeight="1">
      <c r="CY1787" s="62" t="s">
        <v>856</v>
      </c>
      <c r="DE1787" s="33" t="s">
        <v>30</v>
      </c>
    </row>
    <row r="1788" spans="103:109" ht="15" customHeight="1">
      <c r="CY1788" s="62" t="s">
        <v>279</v>
      </c>
      <c r="DE1788" s="33" t="s">
        <v>30</v>
      </c>
    </row>
    <row r="1789" spans="103:109" ht="15" customHeight="1">
      <c r="CY1789" s="62" t="s">
        <v>282</v>
      </c>
      <c r="DE1789" s="33" t="s">
        <v>30</v>
      </c>
    </row>
    <row r="1790" spans="103:109" ht="15" customHeight="1">
      <c r="CY1790" s="62" t="s">
        <v>857</v>
      </c>
      <c r="DE1790" s="33" t="s">
        <v>30</v>
      </c>
    </row>
    <row r="1791" spans="103:109" ht="15" customHeight="1">
      <c r="CY1791" s="62" t="s">
        <v>858</v>
      </c>
      <c r="DE1791" s="33" t="s">
        <v>30</v>
      </c>
    </row>
    <row r="1792" spans="103:109" ht="15" customHeight="1">
      <c r="CY1792" s="62" t="s">
        <v>859</v>
      </c>
      <c r="DE1792" s="33" t="s">
        <v>30</v>
      </c>
    </row>
    <row r="1793" spans="103:109" ht="15" customHeight="1">
      <c r="CY1793" s="62" t="s">
        <v>860</v>
      </c>
      <c r="DE1793" s="33" t="s">
        <v>30</v>
      </c>
    </row>
    <row r="1794" spans="103:109" ht="15" customHeight="1">
      <c r="CY1794" s="62" t="s">
        <v>861</v>
      </c>
      <c r="DE1794" s="33" t="s">
        <v>30</v>
      </c>
    </row>
    <row r="1795" spans="103:109" ht="15" customHeight="1">
      <c r="CY1795" s="62" t="s">
        <v>862</v>
      </c>
      <c r="DE1795" s="33" t="s">
        <v>30</v>
      </c>
    </row>
    <row r="1796" spans="103:109" ht="15" customHeight="1">
      <c r="CY1796" s="62" t="s">
        <v>863</v>
      </c>
      <c r="DE1796" s="33" t="s">
        <v>30</v>
      </c>
    </row>
    <row r="1797" spans="103:109" ht="15" customHeight="1">
      <c r="CY1797" s="62" t="s">
        <v>864</v>
      </c>
      <c r="DE1797" s="33" t="s">
        <v>30</v>
      </c>
    </row>
    <row r="1798" spans="103:109" ht="15" customHeight="1">
      <c r="CY1798" s="62" t="s">
        <v>865</v>
      </c>
      <c r="DE1798" s="33" t="s">
        <v>30</v>
      </c>
    </row>
    <row r="1799" spans="103:109" ht="15" customHeight="1">
      <c r="CY1799" s="62" t="s">
        <v>312</v>
      </c>
      <c r="DE1799" s="33" t="s">
        <v>30</v>
      </c>
    </row>
    <row r="1800" spans="103:109" ht="15" customHeight="1">
      <c r="CY1800" s="62" t="s">
        <v>866</v>
      </c>
      <c r="DE1800" s="33" t="s">
        <v>30</v>
      </c>
    </row>
    <row r="1801" spans="103:109" ht="15" customHeight="1">
      <c r="CY1801" s="62" t="s">
        <v>867</v>
      </c>
      <c r="DE1801" s="33" t="s">
        <v>30</v>
      </c>
    </row>
    <row r="1802" spans="103:109" ht="15" customHeight="1">
      <c r="CY1802" s="62" t="s">
        <v>868</v>
      </c>
      <c r="DE1802" s="33" t="s">
        <v>30</v>
      </c>
    </row>
    <row r="1803" spans="103:109" ht="15" customHeight="1">
      <c r="CY1803" s="62" t="s">
        <v>324</v>
      </c>
      <c r="DE1803" s="33" t="s">
        <v>30</v>
      </c>
    </row>
    <row r="1804" spans="103:109" ht="15" customHeight="1">
      <c r="CY1804" s="62" t="s">
        <v>327</v>
      </c>
      <c r="DE1804" s="33" t="s">
        <v>30</v>
      </c>
    </row>
    <row r="1805" spans="103:109" ht="15" customHeight="1">
      <c r="CY1805" s="62" t="s">
        <v>554</v>
      </c>
      <c r="DE1805" s="33" t="s">
        <v>30</v>
      </c>
    </row>
    <row r="1806" spans="103:109" ht="15" customHeight="1">
      <c r="CY1806" s="62" t="s">
        <v>333</v>
      </c>
      <c r="DE1806" s="33" t="s">
        <v>30</v>
      </c>
    </row>
    <row r="1807" spans="103:109" ht="15" customHeight="1">
      <c r="CY1807" s="62" t="s">
        <v>336</v>
      </c>
      <c r="DE1807" s="33" t="s">
        <v>30</v>
      </c>
    </row>
    <row r="1808" spans="103:109" ht="15" customHeight="1">
      <c r="CY1808" s="62" t="s">
        <v>340</v>
      </c>
      <c r="DE1808" s="33" t="s">
        <v>30</v>
      </c>
    </row>
    <row r="1809" spans="103:109" ht="15" customHeight="1">
      <c r="CY1809" s="62" t="s">
        <v>272</v>
      </c>
      <c r="DE1809" s="33" t="s">
        <v>30</v>
      </c>
    </row>
    <row r="1810" spans="103:109" ht="15" customHeight="1">
      <c r="CY1810" s="62" t="s">
        <v>869</v>
      </c>
      <c r="DE1810" s="33" t="s">
        <v>30</v>
      </c>
    </row>
    <row r="1811" spans="103:109" ht="15" customHeight="1">
      <c r="CY1811" s="62" t="s">
        <v>279</v>
      </c>
      <c r="DE1811" s="33" t="s">
        <v>30</v>
      </c>
    </row>
    <row r="1812" spans="103:109" ht="15" customHeight="1">
      <c r="CY1812" s="62" t="s">
        <v>282</v>
      </c>
      <c r="DE1812" s="33" t="s">
        <v>30</v>
      </c>
    </row>
    <row r="1813" spans="103:109" ht="15" customHeight="1">
      <c r="CY1813" s="62" t="s">
        <v>870</v>
      </c>
      <c r="DE1813" s="33" t="s">
        <v>30</v>
      </c>
    </row>
    <row r="1814" spans="103:109" ht="15" customHeight="1">
      <c r="CY1814" s="62" t="s">
        <v>871</v>
      </c>
      <c r="DE1814" s="33" t="s">
        <v>30</v>
      </c>
    </row>
    <row r="1815" spans="103:109" ht="15" customHeight="1">
      <c r="CY1815" s="62" t="s">
        <v>872</v>
      </c>
      <c r="DE1815" s="33" t="s">
        <v>30</v>
      </c>
    </row>
    <row r="1816" spans="103:109" ht="15" customHeight="1">
      <c r="CY1816" s="62" t="s">
        <v>860</v>
      </c>
      <c r="DE1816" s="33" t="s">
        <v>30</v>
      </c>
    </row>
    <row r="1817" spans="103:109" ht="15" customHeight="1">
      <c r="CY1817" s="62" t="s">
        <v>861</v>
      </c>
      <c r="DE1817" s="33" t="s">
        <v>30</v>
      </c>
    </row>
    <row r="1818" spans="103:109" ht="15" customHeight="1">
      <c r="CY1818" s="62" t="s">
        <v>862</v>
      </c>
      <c r="DE1818" s="33" t="s">
        <v>30</v>
      </c>
    </row>
    <row r="1819" spans="103:109" ht="15" customHeight="1">
      <c r="CY1819" s="62" t="s">
        <v>873</v>
      </c>
      <c r="DE1819" s="33" t="s">
        <v>30</v>
      </c>
    </row>
    <row r="1820" spans="103:109" ht="15" customHeight="1">
      <c r="CY1820" s="62" t="s">
        <v>874</v>
      </c>
      <c r="DE1820" s="33" t="s">
        <v>30</v>
      </c>
    </row>
    <row r="1821" spans="103:109" ht="15" customHeight="1">
      <c r="CY1821" s="62" t="s">
        <v>875</v>
      </c>
      <c r="DE1821" s="33" t="s">
        <v>30</v>
      </c>
    </row>
    <row r="1822" spans="103:109" ht="15" customHeight="1">
      <c r="CY1822" s="62" t="s">
        <v>312</v>
      </c>
      <c r="DE1822" s="33" t="s">
        <v>30</v>
      </c>
    </row>
    <row r="1823" spans="103:109" ht="15" customHeight="1">
      <c r="CY1823" s="62" t="s">
        <v>876</v>
      </c>
      <c r="DE1823" s="33" t="s">
        <v>30</v>
      </c>
    </row>
    <row r="1824" spans="103:109" ht="15" customHeight="1">
      <c r="CY1824" s="62" t="s">
        <v>877</v>
      </c>
      <c r="DE1824" s="33" t="s">
        <v>30</v>
      </c>
    </row>
    <row r="1825" spans="103:109" ht="15" customHeight="1">
      <c r="CY1825" s="62" t="s">
        <v>868</v>
      </c>
      <c r="DE1825" s="33" t="s">
        <v>30</v>
      </c>
    </row>
    <row r="1826" spans="103:109" ht="15" customHeight="1">
      <c r="CY1826" s="62" t="s">
        <v>324</v>
      </c>
      <c r="DE1826" s="33" t="s">
        <v>30</v>
      </c>
    </row>
    <row r="1827" spans="103:109" ht="15" customHeight="1">
      <c r="CY1827" s="62" t="s">
        <v>327</v>
      </c>
      <c r="DE1827" s="33" t="s">
        <v>30</v>
      </c>
    </row>
    <row r="1828" spans="103:109" ht="15" customHeight="1">
      <c r="CY1828" s="62" t="s">
        <v>554</v>
      </c>
      <c r="DE1828" s="33" t="s">
        <v>30</v>
      </c>
    </row>
    <row r="1829" spans="103:109" ht="15" customHeight="1">
      <c r="CY1829" s="62" t="s">
        <v>333</v>
      </c>
      <c r="DE1829" s="33" t="s">
        <v>30</v>
      </c>
    </row>
    <row r="1830" spans="103:109" ht="15" customHeight="1">
      <c r="CY1830" s="62" t="s">
        <v>336</v>
      </c>
      <c r="DE1830" s="33" t="s">
        <v>30</v>
      </c>
    </row>
    <row r="1831" spans="103:109" ht="15" customHeight="1">
      <c r="CY1831" s="62" t="s">
        <v>340</v>
      </c>
      <c r="DE1831" s="33" t="s">
        <v>30</v>
      </c>
    </row>
    <row r="1832" spans="103:109" ht="15" customHeight="1">
      <c r="CY1832" s="62" t="s">
        <v>272</v>
      </c>
      <c r="DE1832" s="33" t="s">
        <v>30</v>
      </c>
    </row>
    <row r="1833" spans="103:109" ht="15" customHeight="1">
      <c r="CY1833" s="62" t="s">
        <v>878</v>
      </c>
      <c r="DE1833" s="33" t="s">
        <v>30</v>
      </c>
    </row>
    <row r="1834" spans="103:109" ht="15" customHeight="1">
      <c r="CY1834" s="62" t="s">
        <v>279</v>
      </c>
      <c r="DE1834" s="33" t="s">
        <v>30</v>
      </c>
    </row>
    <row r="1835" spans="103:109" ht="15" customHeight="1">
      <c r="CY1835" s="62" t="s">
        <v>282</v>
      </c>
      <c r="DE1835" s="33" t="s">
        <v>30</v>
      </c>
    </row>
    <row r="1836" spans="103:109" ht="15" customHeight="1">
      <c r="CY1836" s="62" t="s">
        <v>879</v>
      </c>
      <c r="DE1836" s="33" t="s">
        <v>30</v>
      </c>
    </row>
    <row r="1837" spans="103:109" ht="15" customHeight="1">
      <c r="CY1837" s="62" t="s">
        <v>880</v>
      </c>
      <c r="DE1837" s="33" t="s">
        <v>30</v>
      </c>
    </row>
    <row r="1838" spans="103:109" ht="15" customHeight="1">
      <c r="CY1838" s="62" t="s">
        <v>881</v>
      </c>
      <c r="DE1838" s="33" t="s">
        <v>30</v>
      </c>
    </row>
    <row r="1839" spans="103:109" ht="15" customHeight="1">
      <c r="CY1839" s="62" t="s">
        <v>860</v>
      </c>
      <c r="DE1839" s="33" t="s">
        <v>30</v>
      </c>
    </row>
    <row r="1840" spans="103:109" ht="15" customHeight="1">
      <c r="CY1840" s="62" t="s">
        <v>861</v>
      </c>
      <c r="DE1840" s="33" t="s">
        <v>30</v>
      </c>
    </row>
    <row r="1841" spans="103:109" ht="15" customHeight="1">
      <c r="CY1841" s="62" t="s">
        <v>862</v>
      </c>
      <c r="DE1841" s="33" t="s">
        <v>30</v>
      </c>
    </row>
    <row r="1842" spans="103:109" ht="15" customHeight="1">
      <c r="CY1842" s="62" t="s">
        <v>882</v>
      </c>
      <c r="DE1842" s="33" t="s">
        <v>30</v>
      </c>
    </row>
    <row r="1843" spans="103:109" ht="15" customHeight="1">
      <c r="CY1843" s="62" t="s">
        <v>883</v>
      </c>
      <c r="DE1843" s="33" t="s">
        <v>30</v>
      </c>
    </row>
    <row r="1844" spans="103:109" ht="15" customHeight="1">
      <c r="CY1844" s="62" t="s">
        <v>884</v>
      </c>
      <c r="DE1844" s="33" t="s">
        <v>30</v>
      </c>
    </row>
    <row r="1845" spans="103:109" ht="15" customHeight="1">
      <c r="CY1845" s="62" t="s">
        <v>312</v>
      </c>
      <c r="DE1845" s="33" t="s">
        <v>30</v>
      </c>
    </row>
    <row r="1846" spans="103:109" ht="15" customHeight="1">
      <c r="CY1846" s="62" t="s">
        <v>885</v>
      </c>
      <c r="DE1846" s="33" t="s">
        <v>30</v>
      </c>
    </row>
    <row r="1847" spans="103:109" ht="15" customHeight="1">
      <c r="CY1847" s="62" t="s">
        <v>886</v>
      </c>
      <c r="DE1847" s="33" t="s">
        <v>30</v>
      </c>
    </row>
    <row r="1848" spans="103:109" ht="15" customHeight="1">
      <c r="CY1848" s="62" t="s">
        <v>868</v>
      </c>
      <c r="DE1848" s="33" t="s">
        <v>30</v>
      </c>
    </row>
    <row r="1849" spans="103:109" ht="15" customHeight="1">
      <c r="CY1849" s="62" t="s">
        <v>324</v>
      </c>
      <c r="DE1849" s="33" t="s">
        <v>30</v>
      </c>
    </row>
    <row r="1850" spans="103:109" ht="15" customHeight="1">
      <c r="CY1850" s="62" t="s">
        <v>327</v>
      </c>
      <c r="DE1850" s="33" t="s">
        <v>30</v>
      </c>
    </row>
    <row r="1851" spans="103:109" ht="15" customHeight="1">
      <c r="CY1851" s="62" t="s">
        <v>554</v>
      </c>
      <c r="DE1851" s="33" t="s">
        <v>30</v>
      </c>
    </row>
    <row r="1852" spans="103:109" ht="15" customHeight="1">
      <c r="CY1852" s="62" t="s">
        <v>333</v>
      </c>
      <c r="DE1852" s="33" t="s">
        <v>30</v>
      </c>
    </row>
    <row r="1853" spans="103:109" ht="15" customHeight="1">
      <c r="CY1853" s="62" t="s">
        <v>336</v>
      </c>
      <c r="DE1853" s="33" t="s">
        <v>30</v>
      </c>
    </row>
    <row r="1854" spans="103:109" ht="15" customHeight="1">
      <c r="CY1854" s="62" t="s">
        <v>340</v>
      </c>
      <c r="DE1854" s="33" t="s">
        <v>30</v>
      </c>
    </row>
    <row r="1855" spans="103:109" ht="15" customHeight="1">
      <c r="CY1855" s="62" t="s">
        <v>272</v>
      </c>
      <c r="DE1855" s="33" t="s">
        <v>30</v>
      </c>
    </row>
    <row r="1856" spans="103:109" ht="15" customHeight="1">
      <c r="CY1856" s="62" t="s">
        <v>887</v>
      </c>
      <c r="DE1856" s="33" t="s">
        <v>30</v>
      </c>
    </row>
    <row r="1857" spans="103:109" ht="15" customHeight="1">
      <c r="CY1857" s="62" t="s">
        <v>279</v>
      </c>
      <c r="DE1857" s="33" t="s">
        <v>30</v>
      </c>
    </row>
    <row r="1858" spans="103:109" ht="15" customHeight="1">
      <c r="CY1858" s="62" t="s">
        <v>282</v>
      </c>
      <c r="DE1858" s="33" t="s">
        <v>30</v>
      </c>
    </row>
    <row r="1859" spans="103:109" ht="15" customHeight="1">
      <c r="CY1859" s="62" t="s">
        <v>888</v>
      </c>
      <c r="DE1859" s="33" t="s">
        <v>30</v>
      </c>
    </row>
    <row r="1860" spans="103:109" ht="15" customHeight="1">
      <c r="CY1860" s="62" t="s">
        <v>889</v>
      </c>
      <c r="DE1860" s="33" t="s">
        <v>30</v>
      </c>
    </row>
    <row r="1861" spans="103:109" ht="15" customHeight="1">
      <c r="CY1861" s="62" t="s">
        <v>890</v>
      </c>
      <c r="DE1861" s="33" t="s">
        <v>30</v>
      </c>
    </row>
    <row r="1862" spans="103:109" ht="15" customHeight="1">
      <c r="CY1862" s="62" t="s">
        <v>891</v>
      </c>
      <c r="DE1862" s="33" t="s">
        <v>30</v>
      </c>
    </row>
    <row r="1863" spans="103:109" ht="15" customHeight="1">
      <c r="CY1863" s="62" t="s">
        <v>788</v>
      </c>
      <c r="DE1863" s="33" t="s">
        <v>30</v>
      </c>
    </row>
    <row r="1864" spans="103:109" ht="15" customHeight="1">
      <c r="CY1864" s="62" t="s">
        <v>618</v>
      </c>
      <c r="DE1864" s="33" t="s">
        <v>30</v>
      </c>
    </row>
    <row r="1865" spans="103:109" ht="15" customHeight="1">
      <c r="CY1865" s="62" t="s">
        <v>892</v>
      </c>
      <c r="DE1865" s="33" t="s">
        <v>30</v>
      </c>
    </row>
    <row r="1866" spans="103:109" ht="15" customHeight="1">
      <c r="CY1866" s="62" t="s">
        <v>893</v>
      </c>
      <c r="DE1866" s="33" t="s">
        <v>30</v>
      </c>
    </row>
    <row r="1867" spans="103:109" ht="15" customHeight="1">
      <c r="CY1867" s="62" t="s">
        <v>894</v>
      </c>
      <c r="DE1867" s="33" t="s">
        <v>30</v>
      </c>
    </row>
    <row r="1868" spans="103:109" ht="15" customHeight="1">
      <c r="CY1868" s="62" t="s">
        <v>312</v>
      </c>
      <c r="DE1868" s="33" t="s">
        <v>30</v>
      </c>
    </row>
    <row r="1869" spans="103:109" ht="15" customHeight="1">
      <c r="CY1869" s="62" t="s">
        <v>895</v>
      </c>
      <c r="DE1869" s="33" t="s">
        <v>30</v>
      </c>
    </row>
    <row r="1870" spans="103:109" ht="15" customHeight="1">
      <c r="CY1870" s="62" t="s">
        <v>896</v>
      </c>
      <c r="DE1870" s="33" t="s">
        <v>30</v>
      </c>
    </row>
    <row r="1871" spans="103:109" ht="15" customHeight="1">
      <c r="CY1871" s="62" t="s">
        <v>868</v>
      </c>
      <c r="DE1871" s="33" t="s">
        <v>30</v>
      </c>
    </row>
    <row r="1872" spans="103:109" ht="15" customHeight="1">
      <c r="CY1872" s="62" t="s">
        <v>324</v>
      </c>
      <c r="DE1872" s="33" t="s">
        <v>30</v>
      </c>
    </row>
    <row r="1873" spans="103:109" ht="15" customHeight="1">
      <c r="CY1873" s="62" t="s">
        <v>327</v>
      </c>
      <c r="DE1873" s="33" t="s">
        <v>30</v>
      </c>
    </row>
    <row r="1874" spans="103:109" ht="15" customHeight="1">
      <c r="CY1874" s="62" t="s">
        <v>554</v>
      </c>
      <c r="DE1874" s="33" t="s">
        <v>30</v>
      </c>
    </row>
    <row r="1875" spans="103:109" ht="15" customHeight="1">
      <c r="CY1875" s="62" t="s">
        <v>333</v>
      </c>
      <c r="DE1875" s="33" t="s">
        <v>30</v>
      </c>
    </row>
    <row r="1876" spans="103:109" ht="15" customHeight="1">
      <c r="CY1876" s="62" t="s">
        <v>336</v>
      </c>
      <c r="DE1876" s="33" t="s">
        <v>30</v>
      </c>
    </row>
    <row r="1877" spans="103:109" ht="15" customHeight="1">
      <c r="CY1877" s="62" t="s">
        <v>340</v>
      </c>
      <c r="DE1877" s="33" t="s">
        <v>30</v>
      </c>
    </row>
    <row r="1878" spans="103:109" ht="15" customHeight="1">
      <c r="CY1878" s="62" t="s">
        <v>272</v>
      </c>
      <c r="DE1878" s="33" t="s">
        <v>30</v>
      </c>
    </row>
    <row r="1879" spans="103:109" ht="15" customHeight="1">
      <c r="CY1879" s="62" t="s">
        <v>897</v>
      </c>
      <c r="DE1879" s="33" t="s">
        <v>30</v>
      </c>
    </row>
    <row r="1880" spans="103:109" ht="15" customHeight="1">
      <c r="CY1880" s="62" t="s">
        <v>279</v>
      </c>
      <c r="DE1880" s="33" t="s">
        <v>30</v>
      </c>
    </row>
    <row r="1881" spans="103:109" ht="15" customHeight="1">
      <c r="CY1881" s="62" t="s">
        <v>282</v>
      </c>
      <c r="DE1881" s="33" t="s">
        <v>30</v>
      </c>
    </row>
    <row r="1882" spans="103:109" ht="15" customHeight="1">
      <c r="CY1882" s="62" t="s">
        <v>898</v>
      </c>
      <c r="DE1882" s="33" t="s">
        <v>30</v>
      </c>
    </row>
    <row r="1883" spans="103:109" ht="15" customHeight="1">
      <c r="CY1883" s="62" t="s">
        <v>899</v>
      </c>
      <c r="DE1883" s="33" t="s">
        <v>30</v>
      </c>
    </row>
    <row r="1884" spans="103:109" ht="15" customHeight="1">
      <c r="CY1884" s="62" t="s">
        <v>900</v>
      </c>
      <c r="DE1884" s="33" t="s">
        <v>30</v>
      </c>
    </row>
    <row r="1885" spans="103:109" ht="15" customHeight="1">
      <c r="CY1885" s="62" t="s">
        <v>860</v>
      </c>
      <c r="DE1885" s="33" t="s">
        <v>30</v>
      </c>
    </row>
    <row r="1886" spans="103:109" ht="15" customHeight="1">
      <c r="CY1886" s="62" t="s">
        <v>861</v>
      </c>
      <c r="DE1886" s="33" t="s">
        <v>30</v>
      </c>
    </row>
    <row r="1887" spans="103:109" ht="15" customHeight="1">
      <c r="CY1887" s="62" t="s">
        <v>901</v>
      </c>
      <c r="DE1887" s="33" t="s">
        <v>30</v>
      </c>
    </row>
    <row r="1888" spans="103:109" ht="15" customHeight="1">
      <c r="CY1888" s="62" t="s">
        <v>902</v>
      </c>
      <c r="DE1888" s="33" t="s">
        <v>30</v>
      </c>
    </row>
    <row r="1889" spans="103:109" ht="15" customHeight="1">
      <c r="CY1889" s="62" t="s">
        <v>903</v>
      </c>
      <c r="DE1889" s="33" t="s">
        <v>30</v>
      </c>
    </row>
    <row r="1890" spans="103:109" ht="15" customHeight="1">
      <c r="CY1890" s="62" t="s">
        <v>904</v>
      </c>
      <c r="DE1890" s="33" t="s">
        <v>30</v>
      </c>
    </row>
    <row r="1891" spans="103:109" ht="15" customHeight="1">
      <c r="CY1891" s="62" t="s">
        <v>312</v>
      </c>
      <c r="DE1891" s="33" t="s">
        <v>30</v>
      </c>
    </row>
    <row r="1892" spans="103:109" ht="15" customHeight="1">
      <c r="CY1892" s="62" t="s">
        <v>905</v>
      </c>
      <c r="DE1892" s="33" t="s">
        <v>30</v>
      </c>
    </row>
    <row r="1893" spans="103:109" ht="15" customHeight="1">
      <c r="CY1893" s="62" t="s">
        <v>906</v>
      </c>
      <c r="DE1893" s="33" t="s">
        <v>30</v>
      </c>
    </row>
    <row r="1894" spans="103:109" ht="15" customHeight="1">
      <c r="CY1894" s="62" t="s">
        <v>868</v>
      </c>
      <c r="DE1894" s="33" t="s">
        <v>30</v>
      </c>
    </row>
    <row r="1895" spans="103:109" ht="15" customHeight="1">
      <c r="CY1895" s="62" t="s">
        <v>324</v>
      </c>
      <c r="DE1895" s="33" t="s">
        <v>30</v>
      </c>
    </row>
    <row r="1896" spans="103:109" ht="15" customHeight="1">
      <c r="CY1896" s="62" t="s">
        <v>327</v>
      </c>
      <c r="DE1896" s="33" t="s">
        <v>30</v>
      </c>
    </row>
    <row r="1897" spans="103:109" ht="15" customHeight="1">
      <c r="CY1897" s="62" t="s">
        <v>554</v>
      </c>
      <c r="DE1897" s="33" t="s">
        <v>30</v>
      </c>
    </row>
    <row r="1898" spans="103:109" ht="15" customHeight="1">
      <c r="CY1898" s="62" t="s">
        <v>333</v>
      </c>
      <c r="DE1898" s="33" t="s">
        <v>30</v>
      </c>
    </row>
    <row r="1899" spans="103:109" ht="15" customHeight="1">
      <c r="CY1899" s="62" t="s">
        <v>336</v>
      </c>
      <c r="DE1899" s="33" t="s">
        <v>30</v>
      </c>
    </row>
    <row r="1900" spans="103:109" ht="15" customHeight="1">
      <c r="CY1900" s="62" t="s">
        <v>340</v>
      </c>
      <c r="DE1900" s="33" t="s">
        <v>30</v>
      </c>
    </row>
    <row r="1901" spans="103:109" ht="15" customHeight="1">
      <c r="CY1901" s="62" t="s">
        <v>272</v>
      </c>
      <c r="DE1901" s="33" t="s">
        <v>30</v>
      </c>
    </row>
    <row r="1902" spans="103:109" ht="15" customHeight="1">
      <c r="CY1902" s="62" t="s">
        <v>907</v>
      </c>
      <c r="DE1902" s="33" t="s">
        <v>30</v>
      </c>
    </row>
    <row r="1903" spans="103:109" ht="15" customHeight="1">
      <c r="CY1903" s="62" t="s">
        <v>279</v>
      </c>
      <c r="DE1903" s="33" t="s">
        <v>30</v>
      </c>
    </row>
    <row r="1904" spans="103:109" ht="15" customHeight="1">
      <c r="CY1904" s="62" t="s">
        <v>282</v>
      </c>
      <c r="DE1904" s="33" t="s">
        <v>30</v>
      </c>
    </row>
    <row r="1905" spans="103:109" ht="15" customHeight="1">
      <c r="CY1905" s="62" t="s">
        <v>908</v>
      </c>
      <c r="DE1905" s="33" t="s">
        <v>30</v>
      </c>
    </row>
    <row r="1906" spans="103:109" ht="15" customHeight="1">
      <c r="CY1906" s="62" t="s">
        <v>909</v>
      </c>
      <c r="DE1906" s="33" t="s">
        <v>30</v>
      </c>
    </row>
    <row r="1907" spans="103:109" ht="15" customHeight="1">
      <c r="CY1907" s="62" t="s">
        <v>910</v>
      </c>
      <c r="DE1907" s="33" t="s">
        <v>30</v>
      </c>
    </row>
    <row r="1908" spans="103:109" ht="15" customHeight="1">
      <c r="CY1908" s="62" t="s">
        <v>646</v>
      </c>
      <c r="DE1908" s="33" t="s">
        <v>30</v>
      </c>
    </row>
    <row r="1909" spans="103:109" ht="15" customHeight="1">
      <c r="CY1909" s="62" t="s">
        <v>911</v>
      </c>
      <c r="DE1909" s="33" t="s">
        <v>30</v>
      </c>
    </row>
    <row r="1910" spans="103:109" ht="15" customHeight="1">
      <c r="CY1910" s="62" t="s">
        <v>912</v>
      </c>
      <c r="DE1910" s="33" t="s">
        <v>30</v>
      </c>
    </row>
    <row r="1911" spans="103:109" ht="15" customHeight="1">
      <c r="CY1911" s="62" t="s">
        <v>913</v>
      </c>
      <c r="DE1911" s="33" t="s">
        <v>30</v>
      </c>
    </row>
    <row r="1912" spans="103:109" ht="15" customHeight="1">
      <c r="CY1912" s="62" t="s">
        <v>914</v>
      </c>
      <c r="DE1912" s="33" t="s">
        <v>30</v>
      </c>
    </row>
    <row r="1913" spans="103:109" ht="15" customHeight="1">
      <c r="CY1913" s="62" t="s">
        <v>915</v>
      </c>
      <c r="DE1913" s="33" t="s">
        <v>30</v>
      </c>
    </row>
    <row r="1914" spans="103:109" ht="15" customHeight="1">
      <c r="CY1914" s="62" t="s">
        <v>312</v>
      </c>
      <c r="DE1914" s="33" t="s">
        <v>30</v>
      </c>
    </row>
    <row r="1915" spans="103:109" ht="15" customHeight="1">
      <c r="CY1915" s="62" t="s">
        <v>916</v>
      </c>
      <c r="DE1915" s="33" t="s">
        <v>30</v>
      </c>
    </row>
    <row r="1916" spans="103:109" ht="15" customHeight="1">
      <c r="CY1916" s="62" t="s">
        <v>917</v>
      </c>
      <c r="DE1916" s="33" t="s">
        <v>30</v>
      </c>
    </row>
    <row r="1917" spans="103:109" ht="15" customHeight="1">
      <c r="CY1917" s="62" t="s">
        <v>650</v>
      </c>
      <c r="DE1917" s="33" t="s">
        <v>30</v>
      </c>
    </row>
    <row r="1918" spans="103:109" ht="15" customHeight="1">
      <c r="CY1918" s="62" t="s">
        <v>324</v>
      </c>
      <c r="DE1918" s="33" t="s">
        <v>30</v>
      </c>
    </row>
    <row r="1919" spans="103:109" ht="15" customHeight="1">
      <c r="CY1919" s="62" t="s">
        <v>327</v>
      </c>
      <c r="DE1919" s="33" t="s">
        <v>30</v>
      </c>
    </row>
    <row r="1920" spans="103:109" ht="15" customHeight="1">
      <c r="CY1920" s="62" t="s">
        <v>554</v>
      </c>
      <c r="DE1920" s="33" t="s">
        <v>30</v>
      </c>
    </row>
    <row r="1921" spans="103:109" ht="15" customHeight="1">
      <c r="CY1921" s="62" t="s">
        <v>333</v>
      </c>
      <c r="DE1921" s="33" t="s">
        <v>30</v>
      </c>
    </row>
    <row r="1922" spans="103:109" ht="15" customHeight="1">
      <c r="CY1922" s="62" t="s">
        <v>336</v>
      </c>
      <c r="DE1922" s="33" t="s">
        <v>30</v>
      </c>
    </row>
    <row r="1923" spans="103:109" ht="15" customHeight="1">
      <c r="CY1923" s="62" t="s">
        <v>340</v>
      </c>
      <c r="DE1923" s="33" t="s">
        <v>30</v>
      </c>
    </row>
    <row r="1924" spans="103:109" ht="15" customHeight="1">
      <c r="CY1924" s="62" t="s">
        <v>272</v>
      </c>
      <c r="DE1924" s="33" t="s">
        <v>30</v>
      </c>
    </row>
    <row r="1925" spans="103:109" ht="15" customHeight="1">
      <c r="CY1925" s="62" t="s">
        <v>918</v>
      </c>
      <c r="DE1925" s="33" t="s">
        <v>30</v>
      </c>
    </row>
    <row r="1926" spans="103:109" ht="15" customHeight="1">
      <c r="CY1926" s="62" t="s">
        <v>279</v>
      </c>
      <c r="DE1926" s="33" t="s">
        <v>30</v>
      </c>
    </row>
    <row r="1927" spans="103:109" ht="15" customHeight="1">
      <c r="CY1927" s="62" t="s">
        <v>282</v>
      </c>
      <c r="DE1927" s="33" t="s">
        <v>30</v>
      </c>
    </row>
    <row r="1928" spans="103:109" ht="15" customHeight="1">
      <c r="CY1928" s="62" t="s">
        <v>919</v>
      </c>
      <c r="DE1928" s="33" t="s">
        <v>30</v>
      </c>
    </row>
    <row r="1929" spans="103:109" ht="15" customHeight="1">
      <c r="CY1929" s="62" t="s">
        <v>920</v>
      </c>
      <c r="DE1929" s="33" t="s">
        <v>30</v>
      </c>
    </row>
    <row r="1930" spans="103:109" ht="15" customHeight="1">
      <c r="CY1930" s="62" t="s">
        <v>921</v>
      </c>
      <c r="DE1930" s="33" t="s">
        <v>30</v>
      </c>
    </row>
    <row r="1931" spans="103:109" ht="15" customHeight="1">
      <c r="CY1931" s="62" t="s">
        <v>706</v>
      </c>
      <c r="DE1931" s="33" t="s">
        <v>30</v>
      </c>
    </row>
    <row r="1932" spans="103:109" ht="15" customHeight="1">
      <c r="CY1932" s="62" t="s">
        <v>922</v>
      </c>
      <c r="DE1932" s="33" t="s">
        <v>30</v>
      </c>
    </row>
    <row r="1933" spans="103:109" ht="15" customHeight="1">
      <c r="CY1933" s="62" t="s">
        <v>923</v>
      </c>
      <c r="DE1933" s="33" t="s">
        <v>30</v>
      </c>
    </row>
    <row r="1934" spans="103:109" ht="15" customHeight="1">
      <c r="CY1934" s="62" t="s">
        <v>924</v>
      </c>
      <c r="DE1934" s="33" t="s">
        <v>30</v>
      </c>
    </row>
    <row r="1935" spans="103:109" ht="15" customHeight="1">
      <c r="CY1935" s="62" t="s">
        <v>925</v>
      </c>
      <c r="DE1935" s="33" t="s">
        <v>30</v>
      </c>
    </row>
    <row r="1936" spans="103:109" ht="15" customHeight="1">
      <c r="CY1936" s="62" t="s">
        <v>926</v>
      </c>
      <c r="DE1936" s="33" t="s">
        <v>30</v>
      </c>
    </row>
    <row r="1937" spans="103:109" ht="15" customHeight="1">
      <c r="CY1937" s="62" t="s">
        <v>312</v>
      </c>
      <c r="DE1937" s="33" t="s">
        <v>30</v>
      </c>
    </row>
    <row r="1938" spans="103:109" ht="15" customHeight="1">
      <c r="CY1938" s="62" t="s">
        <v>927</v>
      </c>
      <c r="DE1938" s="33" t="s">
        <v>30</v>
      </c>
    </row>
    <row r="1939" spans="103:109" ht="15" customHeight="1">
      <c r="CY1939" s="62" t="s">
        <v>928</v>
      </c>
      <c r="DE1939" s="33" t="s">
        <v>30</v>
      </c>
    </row>
    <row r="1940" spans="103:109" ht="15" customHeight="1">
      <c r="CY1940" s="62" t="s">
        <v>650</v>
      </c>
      <c r="DE1940" s="33" t="s">
        <v>30</v>
      </c>
    </row>
    <row r="1941" spans="103:109" ht="15" customHeight="1">
      <c r="CY1941" s="62" t="s">
        <v>324</v>
      </c>
      <c r="DE1941" s="33" t="s">
        <v>30</v>
      </c>
    </row>
    <row r="1942" spans="103:109" ht="15" customHeight="1">
      <c r="CY1942" s="62" t="s">
        <v>553</v>
      </c>
      <c r="DE1942" s="33" t="s">
        <v>30</v>
      </c>
    </row>
    <row r="1943" spans="103:109" ht="15" customHeight="1">
      <c r="CY1943" s="62" t="s">
        <v>554</v>
      </c>
      <c r="DE1943" s="33" t="s">
        <v>30</v>
      </c>
    </row>
    <row r="1944" spans="103:109" ht="15" customHeight="1">
      <c r="CY1944" s="62" t="s">
        <v>333</v>
      </c>
      <c r="DE1944" s="33" t="s">
        <v>30</v>
      </c>
    </row>
    <row r="1945" spans="103:109" ht="15" customHeight="1">
      <c r="CY1945" s="62" t="s">
        <v>336</v>
      </c>
      <c r="DE1945" s="33" t="s">
        <v>30</v>
      </c>
    </row>
    <row r="1946" spans="103:109" ht="15" customHeight="1">
      <c r="CY1946" s="62" t="s">
        <v>340</v>
      </c>
      <c r="DE1946" s="33" t="s">
        <v>30</v>
      </c>
    </row>
    <row r="1947" spans="103:109" ht="15" customHeight="1">
      <c r="CY1947" s="62" t="s">
        <v>272</v>
      </c>
      <c r="DE1947" s="33" t="s">
        <v>30</v>
      </c>
    </row>
    <row r="1948" spans="103:109" ht="15" customHeight="1">
      <c r="CY1948" s="62" t="s">
        <v>929</v>
      </c>
      <c r="DE1948" s="33" t="s">
        <v>30</v>
      </c>
    </row>
    <row r="1949" spans="103:109" ht="15" customHeight="1">
      <c r="CY1949" s="62" t="s">
        <v>279</v>
      </c>
      <c r="DE1949" s="33" t="s">
        <v>30</v>
      </c>
    </row>
    <row r="1950" spans="103:109" ht="15" customHeight="1">
      <c r="CY1950" s="62" t="s">
        <v>282</v>
      </c>
      <c r="DE1950" s="33" t="s">
        <v>30</v>
      </c>
    </row>
    <row r="1951" spans="103:109" ht="15" customHeight="1">
      <c r="CY1951" s="62" t="s">
        <v>930</v>
      </c>
      <c r="DE1951" s="33" t="s">
        <v>30</v>
      </c>
    </row>
    <row r="1952" spans="103:109" ht="15" customHeight="1">
      <c r="CY1952" s="62" t="s">
        <v>931</v>
      </c>
      <c r="DE1952" s="33" t="s">
        <v>30</v>
      </c>
    </row>
    <row r="1953" spans="103:109" ht="15" customHeight="1">
      <c r="CY1953" s="62" t="s">
        <v>932</v>
      </c>
      <c r="DE1953" s="33" t="s">
        <v>30</v>
      </c>
    </row>
    <row r="1954" spans="103:109" ht="15" customHeight="1">
      <c r="CY1954" s="62" t="s">
        <v>706</v>
      </c>
      <c r="DE1954" s="33" t="s">
        <v>30</v>
      </c>
    </row>
    <row r="1955" spans="103:109" ht="15" customHeight="1">
      <c r="CY1955" s="62" t="s">
        <v>922</v>
      </c>
      <c r="DE1955" s="33" t="s">
        <v>30</v>
      </c>
    </row>
    <row r="1956" spans="103:109" ht="15" customHeight="1">
      <c r="CY1956" s="62" t="s">
        <v>933</v>
      </c>
      <c r="DE1956" s="33" t="s">
        <v>30</v>
      </c>
    </row>
    <row r="1957" spans="103:109" ht="15" customHeight="1">
      <c r="CY1957" s="62" t="s">
        <v>934</v>
      </c>
      <c r="DE1957" s="33" t="s">
        <v>30</v>
      </c>
    </row>
    <row r="1958" spans="103:109" ht="15" customHeight="1">
      <c r="CY1958" s="62" t="s">
        <v>935</v>
      </c>
      <c r="DE1958" s="33" t="s">
        <v>30</v>
      </c>
    </row>
    <row r="1959" spans="103:109" ht="15" customHeight="1">
      <c r="CY1959" s="62" t="s">
        <v>936</v>
      </c>
      <c r="DE1959" s="33" t="s">
        <v>30</v>
      </c>
    </row>
    <row r="1960" spans="103:109" ht="15" customHeight="1">
      <c r="CY1960" s="62" t="s">
        <v>312</v>
      </c>
      <c r="DE1960" s="33" t="s">
        <v>30</v>
      </c>
    </row>
    <row r="1961" spans="103:109" ht="15" customHeight="1">
      <c r="CY1961" s="62" t="s">
        <v>937</v>
      </c>
      <c r="DE1961" s="33" t="s">
        <v>30</v>
      </c>
    </row>
    <row r="1962" spans="103:109" ht="15" customHeight="1">
      <c r="CY1962" s="62" t="s">
        <v>938</v>
      </c>
      <c r="DE1962" s="33" t="s">
        <v>30</v>
      </c>
    </row>
    <row r="1963" spans="103:109" ht="15" customHeight="1">
      <c r="CY1963" s="62" t="s">
        <v>650</v>
      </c>
      <c r="DE1963" s="33" t="s">
        <v>30</v>
      </c>
    </row>
    <row r="1964" spans="103:109" ht="15" customHeight="1">
      <c r="CY1964" s="62" t="s">
        <v>324</v>
      </c>
      <c r="DE1964" s="33" t="s">
        <v>30</v>
      </c>
    </row>
    <row r="1965" spans="103:109" ht="15" customHeight="1">
      <c r="CY1965" s="62" t="s">
        <v>553</v>
      </c>
      <c r="DE1965" s="33" t="s">
        <v>30</v>
      </c>
    </row>
    <row r="1966" spans="103:109" ht="15" customHeight="1">
      <c r="CY1966" s="62" t="s">
        <v>554</v>
      </c>
      <c r="DE1966" s="33" t="s">
        <v>30</v>
      </c>
    </row>
    <row r="1967" spans="103:109" ht="15" customHeight="1">
      <c r="CY1967" s="62" t="s">
        <v>333</v>
      </c>
      <c r="DE1967" s="33" t="s">
        <v>30</v>
      </c>
    </row>
    <row r="1968" spans="103:109" ht="15" customHeight="1">
      <c r="CY1968" s="62" t="s">
        <v>336</v>
      </c>
      <c r="DE1968" s="33" t="s">
        <v>30</v>
      </c>
    </row>
    <row r="1969" spans="103:109" ht="15" customHeight="1">
      <c r="CY1969" s="62" t="s">
        <v>340</v>
      </c>
      <c r="DE1969" s="33" t="s">
        <v>30</v>
      </c>
    </row>
    <row r="1970" spans="103:109" ht="15" customHeight="1">
      <c r="CY1970" s="62" t="s">
        <v>272</v>
      </c>
      <c r="DE1970" s="33" t="s">
        <v>30</v>
      </c>
    </row>
    <row r="1971" spans="103:109" ht="15" customHeight="1">
      <c r="CY1971" s="62" t="s">
        <v>939</v>
      </c>
      <c r="DE1971" s="33" t="s">
        <v>30</v>
      </c>
    </row>
    <row r="1972" spans="103:109" ht="15" customHeight="1">
      <c r="CY1972" s="62" t="s">
        <v>279</v>
      </c>
      <c r="DE1972" s="33" t="s">
        <v>30</v>
      </c>
    </row>
    <row r="1973" spans="103:109" ht="15" customHeight="1">
      <c r="CY1973" s="62" t="s">
        <v>282</v>
      </c>
      <c r="DE1973" s="33" t="s">
        <v>30</v>
      </c>
    </row>
    <row r="1974" spans="103:109" ht="15" customHeight="1">
      <c r="CY1974" s="62" t="s">
        <v>940</v>
      </c>
      <c r="DE1974" s="33" t="s">
        <v>30</v>
      </c>
    </row>
    <row r="1975" spans="103:109" ht="15" customHeight="1">
      <c r="CY1975" s="62" t="s">
        <v>941</v>
      </c>
      <c r="DE1975" s="33" t="s">
        <v>30</v>
      </c>
    </row>
    <row r="1976" spans="103:109" ht="15" customHeight="1">
      <c r="CY1976" s="62" t="s">
        <v>942</v>
      </c>
      <c r="DE1976" s="33" t="s">
        <v>30</v>
      </c>
    </row>
    <row r="1977" spans="103:109" ht="15" customHeight="1">
      <c r="CY1977" s="62" t="s">
        <v>680</v>
      </c>
      <c r="DE1977" s="33" t="s">
        <v>30</v>
      </c>
    </row>
    <row r="1978" spans="103:109" ht="15" customHeight="1">
      <c r="CY1978" s="62" t="s">
        <v>943</v>
      </c>
      <c r="DE1978" s="33" t="s">
        <v>30</v>
      </c>
    </row>
    <row r="1979" spans="103:109" ht="15" customHeight="1">
      <c r="CY1979" s="62" t="s">
        <v>944</v>
      </c>
      <c r="DE1979" s="33" t="s">
        <v>30</v>
      </c>
    </row>
    <row r="1980" spans="103:109" ht="15" customHeight="1">
      <c r="CY1980" s="62" t="s">
        <v>945</v>
      </c>
      <c r="DE1980" s="33" t="s">
        <v>30</v>
      </c>
    </row>
    <row r="1981" spans="103:109" ht="15" customHeight="1">
      <c r="CY1981" s="62" t="s">
        <v>946</v>
      </c>
      <c r="DE1981" s="33" t="s">
        <v>30</v>
      </c>
    </row>
    <row r="1982" spans="103:109" ht="15" customHeight="1">
      <c r="CY1982" s="62" t="s">
        <v>819</v>
      </c>
      <c r="DE1982" s="33" t="s">
        <v>30</v>
      </c>
    </row>
    <row r="1983" spans="103:109" ht="15" customHeight="1">
      <c r="CY1983" s="62" t="s">
        <v>312</v>
      </c>
      <c r="DE1983" s="33" t="s">
        <v>30</v>
      </c>
    </row>
    <row r="1984" spans="103:109" ht="15" customHeight="1">
      <c r="CY1984" s="62" t="s">
        <v>820</v>
      </c>
      <c r="DE1984" s="33" t="s">
        <v>30</v>
      </c>
    </row>
    <row r="1985" spans="103:109" ht="15" customHeight="1">
      <c r="CY1985" s="62" t="s">
        <v>947</v>
      </c>
      <c r="DE1985" s="33" t="s">
        <v>30</v>
      </c>
    </row>
    <row r="1986" spans="103:109" ht="15" customHeight="1">
      <c r="CY1986" s="62" t="s">
        <v>321</v>
      </c>
      <c r="DE1986" s="33" t="s">
        <v>30</v>
      </c>
    </row>
    <row r="1987" spans="103:109" ht="15" customHeight="1">
      <c r="CY1987" s="62" t="s">
        <v>324</v>
      </c>
      <c r="DE1987" s="33" t="s">
        <v>30</v>
      </c>
    </row>
    <row r="1988" spans="103:109" ht="15" customHeight="1">
      <c r="CY1988" s="62" t="s">
        <v>327</v>
      </c>
      <c r="DE1988" s="33" t="s">
        <v>30</v>
      </c>
    </row>
    <row r="1989" spans="103:109" ht="15" customHeight="1">
      <c r="CY1989" s="62" t="s">
        <v>330</v>
      </c>
      <c r="DE1989" s="33" t="s">
        <v>30</v>
      </c>
    </row>
    <row r="1990" spans="103:109" ht="15" customHeight="1">
      <c r="CY1990" s="62" t="s">
        <v>333</v>
      </c>
      <c r="DE1990" s="33" t="s">
        <v>30</v>
      </c>
    </row>
    <row r="1991" spans="103:109" ht="15" customHeight="1">
      <c r="CY1991" s="62" t="s">
        <v>336</v>
      </c>
      <c r="DE1991" s="33" t="s">
        <v>30</v>
      </c>
    </row>
    <row r="1992" spans="103:109" ht="15" customHeight="1">
      <c r="CY1992" s="62" t="s">
        <v>340</v>
      </c>
      <c r="DE1992" s="33" t="s">
        <v>30</v>
      </c>
    </row>
    <row r="1993" spans="103:109" ht="15" customHeight="1">
      <c r="CY1993" s="62" t="s">
        <v>272</v>
      </c>
      <c r="DE1993" s="33" t="s">
        <v>30</v>
      </c>
    </row>
    <row r="1994" spans="103:109" ht="15" customHeight="1">
      <c r="CY1994" s="62" t="s">
        <v>948</v>
      </c>
      <c r="DE1994" s="33" t="s">
        <v>30</v>
      </c>
    </row>
    <row r="1995" spans="103:109" ht="15" customHeight="1">
      <c r="CY1995" s="62" t="s">
        <v>279</v>
      </c>
      <c r="DE1995" s="33" t="s">
        <v>30</v>
      </c>
    </row>
    <row r="1996" spans="103:109" ht="15" customHeight="1">
      <c r="CY1996" s="62" t="s">
        <v>282</v>
      </c>
      <c r="DE1996" s="33" t="s">
        <v>30</v>
      </c>
    </row>
    <row r="1997" spans="103:109" ht="15" customHeight="1">
      <c r="CY1997" s="62" t="s">
        <v>949</v>
      </c>
      <c r="DE1997" s="33" t="s">
        <v>30</v>
      </c>
    </row>
    <row r="1998" spans="103:109" ht="15" customHeight="1">
      <c r="CY1998" s="62" t="s">
        <v>950</v>
      </c>
      <c r="DE1998" s="33" t="s">
        <v>30</v>
      </c>
    </row>
    <row r="1999" spans="103:109" ht="15" customHeight="1">
      <c r="CY1999" s="62" t="s">
        <v>951</v>
      </c>
      <c r="DE1999" s="33" t="s">
        <v>30</v>
      </c>
    </row>
    <row r="2000" spans="103:109" ht="15" customHeight="1">
      <c r="CY2000" s="62" t="s">
        <v>544</v>
      </c>
      <c r="DE2000" s="33" t="s">
        <v>30</v>
      </c>
    </row>
    <row r="2001" spans="103:109" ht="15" customHeight="1">
      <c r="CY2001" s="62" t="s">
        <v>545</v>
      </c>
      <c r="DE2001" s="33" t="s">
        <v>30</v>
      </c>
    </row>
    <row r="2002" spans="103:109" ht="15" customHeight="1">
      <c r="CY2002" s="62" t="s">
        <v>546</v>
      </c>
      <c r="DE2002" s="33" t="s">
        <v>30</v>
      </c>
    </row>
    <row r="2003" spans="103:109" ht="15" customHeight="1">
      <c r="CY2003" s="62" t="s">
        <v>952</v>
      </c>
      <c r="DE2003" s="33" t="s">
        <v>30</v>
      </c>
    </row>
    <row r="2004" spans="103:109" ht="15" customHeight="1">
      <c r="CY2004" s="62" t="s">
        <v>953</v>
      </c>
      <c r="DE2004" s="33" t="s">
        <v>30</v>
      </c>
    </row>
    <row r="2005" spans="103:109" ht="15" customHeight="1">
      <c r="CY2005" s="62" t="s">
        <v>954</v>
      </c>
      <c r="DE2005" s="33" t="s">
        <v>30</v>
      </c>
    </row>
    <row r="2006" spans="103:109" ht="15" customHeight="1">
      <c r="CY2006" s="62" t="s">
        <v>312</v>
      </c>
      <c r="DE2006" s="33" t="s">
        <v>30</v>
      </c>
    </row>
    <row r="2007" spans="103:109" ht="15" customHeight="1">
      <c r="CY2007" s="62" t="s">
        <v>955</v>
      </c>
      <c r="DE2007" s="33" t="s">
        <v>30</v>
      </c>
    </row>
    <row r="2008" spans="103:109" ht="15" customHeight="1">
      <c r="CY2008" s="62" t="s">
        <v>956</v>
      </c>
      <c r="DE2008" s="33" t="s">
        <v>30</v>
      </c>
    </row>
    <row r="2009" spans="103:109" ht="15" customHeight="1">
      <c r="CY2009" s="62" t="s">
        <v>552</v>
      </c>
      <c r="DE2009" s="33" t="s">
        <v>30</v>
      </c>
    </row>
    <row r="2010" spans="103:109" ht="15" customHeight="1">
      <c r="CY2010" s="62" t="s">
        <v>324</v>
      </c>
      <c r="DE2010" s="33" t="s">
        <v>30</v>
      </c>
    </row>
    <row r="2011" spans="103:109" ht="15" customHeight="1">
      <c r="CY2011" s="62" t="s">
        <v>553</v>
      </c>
      <c r="DE2011" s="33" t="s">
        <v>30</v>
      </c>
    </row>
    <row r="2012" spans="103:109" ht="15" customHeight="1">
      <c r="CY2012" s="62" t="s">
        <v>554</v>
      </c>
      <c r="DE2012" s="33" t="s">
        <v>30</v>
      </c>
    </row>
    <row r="2013" spans="103:109" ht="15" customHeight="1">
      <c r="CY2013" s="62" t="s">
        <v>333</v>
      </c>
      <c r="DE2013" s="33" t="s">
        <v>30</v>
      </c>
    </row>
    <row r="2014" spans="103:109" ht="15" customHeight="1">
      <c r="CY2014" s="62" t="s">
        <v>336</v>
      </c>
      <c r="DE2014" s="33" t="s">
        <v>30</v>
      </c>
    </row>
    <row r="2015" spans="103:109" ht="15" customHeight="1">
      <c r="CY2015" s="62" t="s">
        <v>340</v>
      </c>
      <c r="DE2015" s="33" t="s">
        <v>30</v>
      </c>
    </row>
    <row r="2016" spans="103:109" ht="15" customHeight="1">
      <c r="CY2016" s="62" t="s">
        <v>272</v>
      </c>
      <c r="DE2016" s="33" t="s">
        <v>30</v>
      </c>
    </row>
    <row r="2017" spans="103:109" ht="15" customHeight="1">
      <c r="CY2017" s="62" t="s">
        <v>957</v>
      </c>
      <c r="DE2017" s="33" t="s">
        <v>30</v>
      </c>
    </row>
    <row r="2018" spans="103:109" ht="15" customHeight="1">
      <c r="CY2018" s="62" t="s">
        <v>279</v>
      </c>
      <c r="DE2018" s="33" t="s">
        <v>30</v>
      </c>
    </row>
    <row r="2019" spans="103:109" ht="15" customHeight="1">
      <c r="CY2019" s="62" t="s">
        <v>282</v>
      </c>
      <c r="DE2019" s="33" t="s">
        <v>30</v>
      </c>
    </row>
    <row r="2020" spans="103:109" ht="15" customHeight="1">
      <c r="CY2020" s="62" t="s">
        <v>958</v>
      </c>
      <c r="DE2020" s="33" t="s">
        <v>30</v>
      </c>
    </row>
    <row r="2021" spans="103:109" ht="15" customHeight="1">
      <c r="CY2021" s="62" t="s">
        <v>959</v>
      </c>
      <c r="DE2021" s="33" t="s">
        <v>30</v>
      </c>
    </row>
    <row r="2022" spans="103:109" ht="15" customHeight="1">
      <c r="CY2022" s="62" t="s">
        <v>960</v>
      </c>
      <c r="DE2022" s="33" t="s">
        <v>30</v>
      </c>
    </row>
    <row r="2023" spans="103:109" ht="15" customHeight="1">
      <c r="CY2023" s="62" t="s">
        <v>961</v>
      </c>
      <c r="DE2023" s="33" t="s">
        <v>30</v>
      </c>
    </row>
    <row r="2024" spans="103:109" ht="15" customHeight="1">
      <c r="CY2024" s="62" t="s">
        <v>962</v>
      </c>
      <c r="DE2024" s="33" t="s">
        <v>30</v>
      </c>
    </row>
    <row r="2025" spans="103:109" ht="15" customHeight="1">
      <c r="CY2025" s="62" t="s">
        <v>963</v>
      </c>
      <c r="DE2025" s="33" t="s">
        <v>30</v>
      </c>
    </row>
    <row r="2026" spans="103:109" ht="15" customHeight="1">
      <c r="CY2026" s="62" t="s">
        <v>964</v>
      </c>
      <c r="DE2026" s="33" t="s">
        <v>30</v>
      </c>
    </row>
    <row r="2027" spans="103:109" ht="15" customHeight="1">
      <c r="CY2027" s="62" t="s">
        <v>965</v>
      </c>
      <c r="DE2027" s="33" t="s">
        <v>30</v>
      </c>
    </row>
    <row r="2028" spans="103:109" ht="15" customHeight="1">
      <c r="CY2028" s="62" t="s">
        <v>807</v>
      </c>
      <c r="DE2028" s="33" t="s">
        <v>30</v>
      </c>
    </row>
    <row r="2029" spans="103:109" ht="15" customHeight="1">
      <c r="CY2029" s="62" t="s">
        <v>312</v>
      </c>
      <c r="DE2029" s="33" t="s">
        <v>30</v>
      </c>
    </row>
    <row r="2030" spans="103:109" ht="15" customHeight="1">
      <c r="CY2030" s="62" t="s">
        <v>808</v>
      </c>
      <c r="DE2030" s="33" t="s">
        <v>30</v>
      </c>
    </row>
    <row r="2031" spans="103:109" ht="15" customHeight="1">
      <c r="CY2031" s="62" t="s">
        <v>966</v>
      </c>
      <c r="DE2031" s="33" t="s">
        <v>30</v>
      </c>
    </row>
    <row r="2032" spans="103:109" ht="15" customHeight="1">
      <c r="CY2032" s="62" t="s">
        <v>552</v>
      </c>
      <c r="DE2032" s="33" t="s">
        <v>30</v>
      </c>
    </row>
    <row r="2033" spans="103:109" ht="15" customHeight="1">
      <c r="CY2033" s="62" t="s">
        <v>324</v>
      </c>
      <c r="DE2033" s="33" t="s">
        <v>30</v>
      </c>
    </row>
    <row r="2034" spans="103:109" ht="15" customHeight="1">
      <c r="CY2034" s="62" t="s">
        <v>553</v>
      </c>
      <c r="DE2034" s="33" t="s">
        <v>30</v>
      </c>
    </row>
    <row r="2035" spans="103:109" ht="15" customHeight="1">
      <c r="CY2035" s="62" t="s">
        <v>330</v>
      </c>
      <c r="DE2035" s="33" t="s">
        <v>30</v>
      </c>
    </row>
    <row r="2036" spans="103:109" ht="15" customHeight="1">
      <c r="CY2036" s="62" t="s">
        <v>333</v>
      </c>
      <c r="DE2036" s="33" t="s">
        <v>30</v>
      </c>
    </row>
    <row r="2037" spans="103:109" ht="15" customHeight="1">
      <c r="CY2037" s="62" t="s">
        <v>336</v>
      </c>
      <c r="DE2037" s="33" t="s">
        <v>30</v>
      </c>
    </row>
    <row r="2038" spans="103:109" ht="15" customHeight="1">
      <c r="CY2038" s="62" t="s">
        <v>340</v>
      </c>
      <c r="DE2038" s="33" t="s">
        <v>30</v>
      </c>
    </row>
    <row r="2039" spans="103:109" ht="15" customHeight="1">
      <c r="CY2039" s="62" t="s">
        <v>272</v>
      </c>
      <c r="DE2039" s="33" t="s">
        <v>30</v>
      </c>
    </row>
    <row r="2040" spans="103:109" ht="15" customHeight="1">
      <c r="CY2040" s="62" t="s">
        <v>967</v>
      </c>
      <c r="DE2040" s="33" t="s">
        <v>30</v>
      </c>
    </row>
    <row r="2041" spans="103:109" ht="15" customHeight="1">
      <c r="CY2041" s="62" t="s">
        <v>279</v>
      </c>
      <c r="DE2041" s="33" t="s">
        <v>30</v>
      </c>
    </row>
    <row r="2042" spans="103:109" ht="15" customHeight="1">
      <c r="CY2042" s="62" t="s">
        <v>282</v>
      </c>
      <c r="DE2042" s="33" t="s">
        <v>30</v>
      </c>
    </row>
    <row r="2043" spans="103:109" ht="15" customHeight="1">
      <c r="CY2043" s="62" t="s">
        <v>968</v>
      </c>
      <c r="DE2043" s="33" t="s">
        <v>30</v>
      </c>
    </row>
    <row r="2044" spans="103:109" ht="15" customHeight="1">
      <c r="CY2044" s="62" t="s">
        <v>969</v>
      </c>
      <c r="DE2044" s="33" t="s">
        <v>30</v>
      </c>
    </row>
    <row r="2045" spans="103:109" ht="15" customHeight="1">
      <c r="CY2045" s="62" t="s">
        <v>970</v>
      </c>
      <c r="DE2045" s="33" t="s">
        <v>30</v>
      </c>
    </row>
    <row r="2046" spans="103:109" ht="15" customHeight="1">
      <c r="CY2046" s="62" t="s">
        <v>720</v>
      </c>
      <c r="DE2046" s="33" t="s">
        <v>30</v>
      </c>
    </row>
    <row r="2047" spans="103:109" ht="15" customHeight="1">
      <c r="CY2047" s="62" t="s">
        <v>971</v>
      </c>
      <c r="DE2047" s="33" t="s">
        <v>30</v>
      </c>
    </row>
    <row r="2048" spans="103:109" ht="15" customHeight="1">
      <c r="CY2048" s="62" t="s">
        <v>972</v>
      </c>
      <c r="DE2048" s="33" t="s">
        <v>30</v>
      </c>
    </row>
    <row r="2049" spans="103:109" ht="15" customHeight="1">
      <c r="CY2049" s="62" t="s">
        <v>973</v>
      </c>
      <c r="DE2049" s="33" t="s">
        <v>30</v>
      </c>
    </row>
    <row r="2050" spans="103:109" ht="15" customHeight="1">
      <c r="CY2050" s="62" t="s">
        <v>974</v>
      </c>
      <c r="DE2050" s="33" t="s">
        <v>30</v>
      </c>
    </row>
    <row r="2051" spans="103:109" ht="15" customHeight="1">
      <c r="CY2051" s="62" t="s">
        <v>975</v>
      </c>
      <c r="DE2051" s="33" t="s">
        <v>30</v>
      </c>
    </row>
    <row r="2052" spans="103:109" ht="15" customHeight="1">
      <c r="CY2052" s="62" t="s">
        <v>312</v>
      </c>
      <c r="DE2052" s="33" t="s">
        <v>30</v>
      </c>
    </row>
    <row r="2053" spans="103:109" ht="15" customHeight="1">
      <c r="CY2053" s="62" t="s">
        <v>976</v>
      </c>
      <c r="DE2053" s="33" t="s">
        <v>30</v>
      </c>
    </row>
    <row r="2054" spans="103:109" ht="15" customHeight="1">
      <c r="CY2054" s="62" t="s">
        <v>469</v>
      </c>
      <c r="DE2054" s="33" t="s">
        <v>30</v>
      </c>
    </row>
    <row r="2055" spans="103:109" ht="15" customHeight="1">
      <c r="CY2055" s="62" t="s">
        <v>321</v>
      </c>
      <c r="DE2055" s="33" t="s">
        <v>30</v>
      </c>
    </row>
    <row r="2056" spans="103:109" ht="15" customHeight="1">
      <c r="CY2056" s="62" t="s">
        <v>324</v>
      </c>
      <c r="DE2056" s="33" t="s">
        <v>30</v>
      </c>
    </row>
    <row r="2057" spans="103:109" ht="15" customHeight="1">
      <c r="CY2057" s="62" t="s">
        <v>327</v>
      </c>
      <c r="DE2057" s="33" t="s">
        <v>30</v>
      </c>
    </row>
    <row r="2058" spans="103:109" ht="15" customHeight="1">
      <c r="CY2058" s="62" t="s">
        <v>330</v>
      </c>
      <c r="DE2058" s="33" t="s">
        <v>30</v>
      </c>
    </row>
    <row r="2059" spans="103:109" ht="15" customHeight="1">
      <c r="CY2059" s="62" t="s">
        <v>333</v>
      </c>
      <c r="DE2059" s="33" t="s">
        <v>30</v>
      </c>
    </row>
    <row r="2060" spans="103:109" ht="15" customHeight="1">
      <c r="CY2060" s="62" t="s">
        <v>336</v>
      </c>
      <c r="DE2060" s="33" t="s">
        <v>30</v>
      </c>
    </row>
    <row r="2061" spans="103:109" ht="15" customHeight="1">
      <c r="CY2061" s="62" t="s">
        <v>340</v>
      </c>
      <c r="DE2061" s="33" t="s">
        <v>30</v>
      </c>
    </row>
    <row r="2062" spans="103:109" ht="15" customHeight="1">
      <c r="CY2062" s="62" t="s">
        <v>272</v>
      </c>
      <c r="DE2062" s="33" t="s">
        <v>30</v>
      </c>
    </row>
    <row r="2063" spans="103:109" ht="15" customHeight="1">
      <c r="CY2063" s="62" t="s">
        <v>977</v>
      </c>
      <c r="DE2063" s="33" t="s">
        <v>30</v>
      </c>
    </row>
    <row r="2064" spans="103:109" ht="15" customHeight="1">
      <c r="CY2064" s="62" t="s">
        <v>279</v>
      </c>
      <c r="DE2064" s="33" t="s">
        <v>30</v>
      </c>
    </row>
    <row r="2065" spans="103:109" ht="15" customHeight="1">
      <c r="CY2065" s="62" t="s">
        <v>282</v>
      </c>
      <c r="DE2065" s="33" t="s">
        <v>30</v>
      </c>
    </row>
    <row r="2066" spans="103:109" ht="15" customHeight="1">
      <c r="CY2066" s="62" t="s">
        <v>978</v>
      </c>
      <c r="DE2066" s="33" t="s">
        <v>30</v>
      </c>
    </row>
    <row r="2067" spans="103:109" ht="15" customHeight="1">
      <c r="CY2067" s="62" t="s">
        <v>979</v>
      </c>
      <c r="DE2067" s="33" t="s">
        <v>30</v>
      </c>
    </row>
    <row r="2068" spans="103:109" ht="15" customHeight="1">
      <c r="CY2068" s="62" t="s">
        <v>980</v>
      </c>
      <c r="DE2068" s="33" t="s">
        <v>30</v>
      </c>
    </row>
    <row r="2069" spans="103:109" ht="15" customHeight="1">
      <c r="CY2069" s="62" t="s">
        <v>625</v>
      </c>
      <c r="DE2069" s="33" t="s">
        <v>30</v>
      </c>
    </row>
    <row r="2070" spans="103:109" ht="15" customHeight="1">
      <c r="CY2070" s="62" t="s">
        <v>981</v>
      </c>
      <c r="DE2070" s="33" t="s">
        <v>30</v>
      </c>
    </row>
    <row r="2071" spans="103:109" ht="15" customHeight="1">
      <c r="CY2071" s="62" t="s">
        <v>982</v>
      </c>
      <c r="DE2071" s="33" t="s">
        <v>30</v>
      </c>
    </row>
    <row r="2072" spans="103:109" ht="15" customHeight="1">
      <c r="CY2072" s="62" t="s">
        <v>983</v>
      </c>
      <c r="DE2072" s="33" t="s">
        <v>30</v>
      </c>
    </row>
    <row r="2073" spans="103:109" ht="15" customHeight="1">
      <c r="CY2073" s="62" t="s">
        <v>984</v>
      </c>
      <c r="DE2073" s="33" t="s">
        <v>30</v>
      </c>
    </row>
    <row r="2074" spans="103:109" ht="15" customHeight="1">
      <c r="CY2074" s="62" t="s">
        <v>985</v>
      </c>
      <c r="DE2074" s="33" t="s">
        <v>30</v>
      </c>
    </row>
    <row r="2075" spans="103:109" ht="15" customHeight="1">
      <c r="CY2075" s="62" t="s">
        <v>312</v>
      </c>
      <c r="DE2075" s="33" t="s">
        <v>30</v>
      </c>
    </row>
    <row r="2076" spans="103:109" ht="15" customHeight="1">
      <c r="CY2076" s="62" t="s">
        <v>986</v>
      </c>
      <c r="DE2076" s="33" t="s">
        <v>30</v>
      </c>
    </row>
    <row r="2077" spans="103:109" ht="15" customHeight="1">
      <c r="CY2077" s="62" t="s">
        <v>987</v>
      </c>
      <c r="DE2077" s="33" t="s">
        <v>30</v>
      </c>
    </row>
    <row r="2078" spans="103:109" ht="15" customHeight="1">
      <c r="CY2078" s="62" t="s">
        <v>321</v>
      </c>
      <c r="DE2078" s="33" t="s">
        <v>30</v>
      </c>
    </row>
    <row r="2079" spans="103:109" ht="15" customHeight="1">
      <c r="CY2079" s="62" t="s">
        <v>324</v>
      </c>
      <c r="DE2079" s="33" t="s">
        <v>30</v>
      </c>
    </row>
    <row r="2080" spans="103:109" ht="15" customHeight="1">
      <c r="CY2080" s="62" t="s">
        <v>327</v>
      </c>
      <c r="DE2080" s="33" t="s">
        <v>30</v>
      </c>
    </row>
    <row r="2081" spans="103:109" ht="15" customHeight="1">
      <c r="CY2081" s="62" t="s">
        <v>330</v>
      </c>
      <c r="DE2081" s="33" t="s">
        <v>30</v>
      </c>
    </row>
    <row r="2082" spans="103:109" ht="15" customHeight="1">
      <c r="CY2082" s="62" t="s">
        <v>333</v>
      </c>
      <c r="DE2082" s="33" t="s">
        <v>30</v>
      </c>
    </row>
    <row r="2083" spans="103:109" ht="15" customHeight="1">
      <c r="CY2083" s="62" t="s">
        <v>336</v>
      </c>
      <c r="DE2083" s="33" t="s">
        <v>30</v>
      </c>
    </row>
    <row r="2084" spans="103:109" ht="15" customHeight="1">
      <c r="CY2084" s="62" t="s">
        <v>340</v>
      </c>
      <c r="DE2084" s="33" t="s">
        <v>30</v>
      </c>
    </row>
    <row r="2085" spans="103:109" ht="15" customHeight="1">
      <c r="CY2085" s="62" t="s">
        <v>272</v>
      </c>
      <c r="DE2085" s="33" t="s">
        <v>30</v>
      </c>
    </row>
    <row r="2086" spans="103:109" ht="15" customHeight="1">
      <c r="CY2086" s="62" t="s">
        <v>988</v>
      </c>
      <c r="DE2086" s="33" t="s">
        <v>30</v>
      </c>
    </row>
    <row r="2087" spans="103:109" ht="15" customHeight="1">
      <c r="CY2087" s="62" t="s">
        <v>279</v>
      </c>
      <c r="DE2087" s="33" t="s">
        <v>30</v>
      </c>
    </row>
    <row r="2088" spans="103:109" ht="15" customHeight="1">
      <c r="CY2088" s="62" t="s">
        <v>282</v>
      </c>
      <c r="DE2088" s="33" t="s">
        <v>30</v>
      </c>
    </row>
    <row r="2089" spans="103:109" ht="15" customHeight="1">
      <c r="CY2089" s="62" t="s">
        <v>989</v>
      </c>
      <c r="DE2089" s="33" t="s">
        <v>30</v>
      </c>
    </row>
    <row r="2090" spans="103:109" ht="15" customHeight="1">
      <c r="CY2090" s="62" t="s">
        <v>990</v>
      </c>
      <c r="DE2090" s="33" t="s">
        <v>30</v>
      </c>
    </row>
    <row r="2091" spans="103:109" ht="15" customHeight="1">
      <c r="CY2091" s="62" t="s">
        <v>991</v>
      </c>
      <c r="DE2091" s="33" t="s">
        <v>30</v>
      </c>
    </row>
    <row r="2092" spans="103:109" ht="15" customHeight="1">
      <c r="CY2092" s="62" t="s">
        <v>625</v>
      </c>
      <c r="DE2092" s="33" t="s">
        <v>30</v>
      </c>
    </row>
    <row r="2093" spans="103:109" ht="15" customHeight="1">
      <c r="CY2093" s="62" t="s">
        <v>992</v>
      </c>
      <c r="DE2093" s="33" t="s">
        <v>30</v>
      </c>
    </row>
    <row r="2094" spans="103:109" ht="15" customHeight="1">
      <c r="CY2094" s="62" t="s">
        <v>993</v>
      </c>
      <c r="DE2094" s="33" t="s">
        <v>30</v>
      </c>
    </row>
    <row r="2095" spans="103:109" ht="15" customHeight="1">
      <c r="CY2095" s="62" t="s">
        <v>994</v>
      </c>
      <c r="DE2095" s="33" t="s">
        <v>30</v>
      </c>
    </row>
    <row r="2096" spans="103:109" ht="15" customHeight="1">
      <c r="CY2096" s="62" t="s">
        <v>995</v>
      </c>
      <c r="DE2096" s="33" t="s">
        <v>30</v>
      </c>
    </row>
    <row r="2097" spans="103:109" ht="15" customHeight="1">
      <c r="CY2097" s="62" t="s">
        <v>996</v>
      </c>
      <c r="DE2097" s="33" t="s">
        <v>30</v>
      </c>
    </row>
    <row r="2098" spans="103:109" ht="15" customHeight="1">
      <c r="CY2098" s="62" t="s">
        <v>312</v>
      </c>
      <c r="DE2098" s="33" t="s">
        <v>30</v>
      </c>
    </row>
    <row r="2099" spans="103:109" ht="15" customHeight="1">
      <c r="CY2099" s="62" t="s">
        <v>997</v>
      </c>
      <c r="DE2099" s="33" t="s">
        <v>30</v>
      </c>
    </row>
    <row r="2100" spans="103:109" ht="15" customHeight="1">
      <c r="CY2100" s="62" t="s">
        <v>478</v>
      </c>
      <c r="DE2100" s="33" t="s">
        <v>30</v>
      </c>
    </row>
    <row r="2101" spans="103:109" ht="15" customHeight="1">
      <c r="CY2101" s="62" t="s">
        <v>321</v>
      </c>
      <c r="DE2101" s="33" t="s">
        <v>30</v>
      </c>
    </row>
    <row r="2102" spans="103:109" ht="15" customHeight="1">
      <c r="CY2102" s="62" t="s">
        <v>324</v>
      </c>
      <c r="DE2102" s="33" t="s">
        <v>30</v>
      </c>
    </row>
    <row r="2103" spans="103:109" ht="15" customHeight="1">
      <c r="CY2103" s="62" t="s">
        <v>327</v>
      </c>
      <c r="DE2103" s="33" t="s">
        <v>30</v>
      </c>
    </row>
    <row r="2104" spans="103:109" ht="15" customHeight="1">
      <c r="CY2104" s="62" t="s">
        <v>330</v>
      </c>
      <c r="DE2104" s="33" t="s">
        <v>30</v>
      </c>
    </row>
    <row r="2105" spans="103:109" ht="15" customHeight="1">
      <c r="CY2105" s="62" t="s">
        <v>333</v>
      </c>
      <c r="DE2105" s="33" t="s">
        <v>30</v>
      </c>
    </row>
    <row r="2106" spans="103:109" ht="15" customHeight="1">
      <c r="CY2106" s="62" t="s">
        <v>336</v>
      </c>
      <c r="DE2106" s="33" t="s">
        <v>30</v>
      </c>
    </row>
    <row r="2107" spans="103:109" ht="15" customHeight="1">
      <c r="CY2107" s="62" t="s">
        <v>340</v>
      </c>
      <c r="DE2107" s="33" t="s">
        <v>30</v>
      </c>
    </row>
    <row r="2108" spans="103:109" ht="15" customHeight="1">
      <c r="CY2108" s="62" t="s">
        <v>272</v>
      </c>
      <c r="DE2108" s="33" t="s">
        <v>30</v>
      </c>
    </row>
    <row r="2109" spans="103:109" ht="15" customHeight="1">
      <c r="CY2109" s="62" t="s">
        <v>998</v>
      </c>
      <c r="DE2109" s="33" t="s">
        <v>30</v>
      </c>
    </row>
    <row r="2110" spans="103:109" ht="15" customHeight="1">
      <c r="CY2110" s="62" t="s">
        <v>279</v>
      </c>
      <c r="DE2110" s="33" t="s">
        <v>30</v>
      </c>
    </row>
    <row r="2111" spans="103:109" ht="15" customHeight="1">
      <c r="CY2111" s="62" t="s">
        <v>282</v>
      </c>
      <c r="DE2111" s="33" t="s">
        <v>30</v>
      </c>
    </row>
    <row r="2112" spans="103:109" ht="15" customHeight="1">
      <c r="CY2112" s="62" t="s">
        <v>999</v>
      </c>
      <c r="DE2112" s="33" t="s">
        <v>30</v>
      </c>
    </row>
    <row r="2113" spans="103:109" ht="15" customHeight="1">
      <c r="CY2113" s="62" t="s">
        <v>1000</v>
      </c>
      <c r="DE2113" s="33" t="s">
        <v>30</v>
      </c>
    </row>
    <row r="2114" spans="103:109" ht="15" customHeight="1">
      <c r="CY2114" s="62" t="s">
        <v>1001</v>
      </c>
      <c r="DE2114" s="33" t="s">
        <v>30</v>
      </c>
    </row>
    <row r="2115" spans="103:109" ht="15" customHeight="1">
      <c r="CY2115" s="62" t="s">
        <v>568</v>
      </c>
      <c r="DE2115" s="33" t="s">
        <v>30</v>
      </c>
    </row>
    <row r="2116" spans="103:109" ht="15" customHeight="1">
      <c r="CY2116" s="62" t="s">
        <v>1002</v>
      </c>
      <c r="DE2116" s="33" t="s">
        <v>30</v>
      </c>
    </row>
    <row r="2117" spans="103:109" ht="15" customHeight="1">
      <c r="CY2117" s="62" t="s">
        <v>1003</v>
      </c>
      <c r="DE2117" s="33" t="s">
        <v>30</v>
      </c>
    </row>
    <row r="2118" spans="103:109" ht="15" customHeight="1">
      <c r="CY2118" s="62" t="s">
        <v>1004</v>
      </c>
      <c r="DE2118" s="33" t="s">
        <v>30</v>
      </c>
    </row>
    <row r="2119" spans="103:109" ht="15" customHeight="1">
      <c r="CY2119" s="62" t="s">
        <v>1005</v>
      </c>
      <c r="DE2119" s="33" t="s">
        <v>30</v>
      </c>
    </row>
    <row r="2120" spans="103:109" ht="15" customHeight="1">
      <c r="CY2120" s="62" t="s">
        <v>1006</v>
      </c>
      <c r="DE2120" s="33" t="s">
        <v>30</v>
      </c>
    </row>
    <row r="2121" spans="103:109" ht="15" customHeight="1">
      <c r="CY2121" s="62" t="s">
        <v>312</v>
      </c>
      <c r="DE2121" s="33" t="s">
        <v>30</v>
      </c>
    </row>
    <row r="2122" spans="103:109" ht="15" customHeight="1">
      <c r="CY2122" s="62" t="s">
        <v>1007</v>
      </c>
      <c r="DE2122" s="33" t="s">
        <v>30</v>
      </c>
    </row>
    <row r="2123" spans="103:109" ht="15" customHeight="1">
      <c r="CY2123" s="62" t="s">
        <v>473</v>
      </c>
      <c r="DE2123" s="33" t="s">
        <v>30</v>
      </c>
    </row>
    <row r="2124" spans="103:109" ht="15" customHeight="1">
      <c r="CY2124" s="62" t="s">
        <v>321</v>
      </c>
      <c r="DE2124" s="33" t="s">
        <v>30</v>
      </c>
    </row>
    <row r="2125" spans="103:109" ht="15" customHeight="1">
      <c r="CY2125" s="62" t="s">
        <v>324</v>
      </c>
      <c r="DE2125" s="33" t="s">
        <v>30</v>
      </c>
    </row>
    <row r="2126" spans="103:109" ht="15" customHeight="1">
      <c r="CY2126" s="62" t="s">
        <v>327</v>
      </c>
      <c r="DE2126" s="33" t="s">
        <v>30</v>
      </c>
    </row>
    <row r="2127" spans="103:109" ht="15" customHeight="1">
      <c r="CY2127" s="62" t="s">
        <v>330</v>
      </c>
      <c r="DE2127" s="33" t="s">
        <v>30</v>
      </c>
    </row>
    <row r="2128" spans="103:109" ht="15" customHeight="1">
      <c r="CY2128" s="62" t="s">
        <v>333</v>
      </c>
      <c r="DE2128" s="33" t="s">
        <v>30</v>
      </c>
    </row>
    <row r="2129" spans="103:109" ht="15" customHeight="1">
      <c r="CY2129" s="62" t="s">
        <v>336</v>
      </c>
      <c r="DE2129" s="33" t="s">
        <v>30</v>
      </c>
    </row>
    <row r="2130" spans="103:109" ht="15" customHeight="1">
      <c r="CY2130" s="62" t="s">
        <v>340</v>
      </c>
      <c r="DE2130" s="33" t="s">
        <v>30</v>
      </c>
    </row>
    <row r="2131" spans="103:109" ht="15" customHeight="1">
      <c r="CY2131" s="62" t="s">
        <v>272</v>
      </c>
      <c r="DE2131" s="33" t="s">
        <v>30</v>
      </c>
    </row>
    <row r="2132" spans="103:109" ht="15" customHeight="1">
      <c r="CY2132" s="62" t="s">
        <v>1008</v>
      </c>
      <c r="DE2132" s="33" t="s">
        <v>30</v>
      </c>
    </row>
    <row r="2133" spans="103:109" ht="15" customHeight="1">
      <c r="CY2133" s="62" t="s">
        <v>279</v>
      </c>
      <c r="DE2133" s="33" t="s">
        <v>30</v>
      </c>
    </row>
    <row r="2134" spans="103:109" ht="15" customHeight="1">
      <c r="CY2134" s="62" t="s">
        <v>282</v>
      </c>
      <c r="DE2134" s="33" t="s">
        <v>30</v>
      </c>
    </row>
    <row r="2135" spans="103:109" ht="15" customHeight="1">
      <c r="CY2135" s="62" t="s">
        <v>1009</v>
      </c>
      <c r="DE2135" s="33" t="s">
        <v>30</v>
      </c>
    </row>
    <row r="2136" spans="103:109" ht="15" customHeight="1">
      <c r="CY2136" s="62" t="s">
        <v>1010</v>
      </c>
      <c r="DE2136" s="33" t="s">
        <v>30</v>
      </c>
    </row>
    <row r="2137" spans="103:109" ht="15" customHeight="1">
      <c r="CY2137" s="62" t="s">
        <v>1011</v>
      </c>
      <c r="DE2137" s="33" t="s">
        <v>30</v>
      </c>
    </row>
    <row r="2138" spans="103:109" ht="15" customHeight="1">
      <c r="CY2138" s="62" t="s">
        <v>568</v>
      </c>
      <c r="DE2138" s="33" t="s">
        <v>30</v>
      </c>
    </row>
    <row r="2139" spans="103:109" ht="15" customHeight="1">
      <c r="CY2139" s="62" t="s">
        <v>1012</v>
      </c>
      <c r="DE2139" s="33" t="s">
        <v>30</v>
      </c>
    </row>
    <row r="2140" spans="103:109" ht="15" customHeight="1">
      <c r="CY2140" s="62" t="s">
        <v>1013</v>
      </c>
      <c r="DE2140" s="33" t="s">
        <v>30</v>
      </c>
    </row>
    <row r="2141" spans="103:109" ht="15" customHeight="1">
      <c r="CY2141" s="62" t="s">
        <v>1014</v>
      </c>
      <c r="DE2141" s="33" t="s">
        <v>30</v>
      </c>
    </row>
    <row r="2142" spans="103:109" ht="15" customHeight="1">
      <c r="CY2142" s="62" t="s">
        <v>1015</v>
      </c>
      <c r="DE2142" s="33" t="s">
        <v>30</v>
      </c>
    </row>
    <row r="2143" spans="103:109" ht="15" customHeight="1">
      <c r="CY2143" s="62" t="s">
        <v>1016</v>
      </c>
      <c r="DE2143" s="33" t="s">
        <v>30</v>
      </c>
    </row>
    <row r="2144" spans="103:109" ht="15" customHeight="1">
      <c r="CY2144" s="62" t="s">
        <v>312</v>
      </c>
      <c r="DE2144" s="33" t="s">
        <v>30</v>
      </c>
    </row>
    <row r="2145" spans="103:109" ht="15" customHeight="1">
      <c r="CY2145" s="62" t="s">
        <v>1017</v>
      </c>
      <c r="DE2145" s="33" t="s">
        <v>30</v>
      </c>
    </row>
    <row r="2146" spans="103:109" ht="15" customHeight="1">
      <c r="CY2146" s="62" t="s">
        <v>1018</v>
      </c>
      <c r="DE2146" s="33" t="s">
        <v>30</v>
      </c>
    </row>
    <row r="2147" spans="103:109" ht="15" customHeight="1">
      <c r="CY2147" s="62" t="s">
        <v>321</v>
      </c>
      <c r="DE2147" s="33" t="s">
        <v>30</v>
      </c>
    </row>
    <row r="2148" spans="103:109" ht="15" customHeight="1">
      <c r="CY2148" s="62" t="s">
        <v>324</v>
      </c>
      <c r="DE2148" s="33" t="s">
        <v>30</v>
      </c>
    </row>
    <row r="2149" spans="103:109" ht="15" customHeight="1">
      <c r="CY2149" s="62" t="s">
        <v>327</v>
      </c>
      <c r="DE2149" s="33" t="s">
        <v>30</v>
      </c>
    </row>
    <row r="2150" spans="103:109" ht="15" customHeight="1">
      <c r="CY2150" s="62" t="s">
        <v>330</v>
      </c>
      <c r="DE2150" s="33" t="s">
        <v>30</v>
      </c>
    </row>
    <row r="2151" spans="103:109" ht="15" customHeight="1">
      <c r="CY2151" s="62" t="s">
        <v>333</v>
      </c>
      <c r="DE2151" s="33" t="s">
        <v>30</v>
      </c>
    </row>
    <row r="2152" spans="103:109" ht="15" customHeight="1">
      <c r="CY2152" s="62" t="s">
        <v>336</v>
      </c>
      <c r="DE2152" s="33" t="s">
        <v>30</v>
      </c>
    </row>
    <row r="2153" spans="103:109" ht="15" customHeight="1">
      <c r="CY2153" s="62" t="s">
        <v>340</v>
      </c>
      <c r="DE2153" s="33" t="s">
        <v>30</v>
      </c>
    </row>
    <row r="2154" spans="103:109" ht="15" customHeight="1">
      <c r="CY2154" s="62" t="s">
        <v>272</v>
      </c>
      <c r="DE2154" s="33" t="s">
        <v>30</v>
      </c>
    </row>
    <row r="2155" spans="103:109" ht="15" customHeight="1">
      <c r="CY2155" s="62" t="s">
        <v>1019</v>
      </c>
      <c r="DE2155" s="33" t="s">
        <v>30</v>
      </c>
    </row>
    <row r="2156" spans="103:109" ht="15" customHeight="1">
      <c r="CY2156" s="62" t="s">
        <v>279</v>
      </c>
      <c r="DE2156" s="33" t="s">
        <v>30</v>
      </c>
    </row>
    <row r="2157" spans="103:109" ht="15" customHeight="1">
      <c r="CY2157" s="62" t="s">
        <v>282</v>
      </c>
      <c r="DE2157" s="33" t="s">
        <v>30</v>
      </c>
    </row>
    <row r="2158" spans="103:109" ht="15" customHeight="1">
      <c r="CY2158" s="62" t="s">
        <v>1020</v>
      </c>
      <c r="DE2158" s="33" t="s">
        <v>30</v>
      </c>
    </row>
    <row r="2159" spans="103:109" ht="15" customHeight="1">
      <c r="CY2159" s="62" t="s">
        <v>1021</v>
      </c>
      <c r="DE2159" s="33" t="s">
        <v>30</v>
      </c>
    </row>
    <row r="2160" spans="103:109" ht="15" customHeight="1">
      <c r="CY2160" s="62" t="s">
        <v>1022</v>
      </c>
      <c r="DE2160" s="33" t="s">
        <v>30</v>
      </c>
    </row>
    <row r="2161" spans="103:109" ht="15" customHeight="1">
      <c r="CY2161" s="62" t="s">
        <v>595</v>
      </c>
      <c r="DE2161" s="33" t="s">
        <v>30</v>
      </c>
    </row>
    <row r="2162" spans="103:109" ht="15" customHeight="1">
      <c r="CY2162" s="62" t="s">
        <v>1023</v>
      </c>
      <c r="DE2162" s="33" t="s">
        <v>30</v>
      </c>
    </row>
    <row r="2163" spans="103:109" ht="15" customHeight="1">
      <c r="CY2163" s="62" t="s">
        <v>1024</v>
      </c>
      <c r="DE2163" s="33" t="s">
        <v>30</v>
      </c>
    </row>
    <row r="2164" spans="103:109" ht="15" customHeight="1">
      <c r="CY2164" s="62" t="s">
        <v>1025</v>
      </c>
      <c r="DE2164" s="33" t="s">
        <v>30</v>
      </c>
    </row>
    <row r="2165" spans="103:109" ht="15" customHeight="1">
      <c r="CY2165" s="62" t="s">
        <v>1026</v>
      </c>
      <c r="DE2165" s="33" t="s">
        <v>30</v>
      </c>
    </row>
    <row r="2166" spans="103:109" ht="15" customHeight="1">
      <c r="CY2166" s="62" t="s">
        <v>1027</v>
      </c>
      <c r="DE2166" s="33" t="s">
        <v>30</v>
      </c>
    </row>
    <row r="2167" spans="103:109" ht="15" customHeight="1">
      <c r="CY2167" s="62" t="s">
        <v>312</v>
      </c>
      <c r="DE2167" s="33" t="s">
        <v>30</v>
      </c>
    </row>
    <row r="2168" spans="103:109" ht="15" customHeight="1">
      <c r="CY2168" s="62" t="s">
        <v>1028</v>
      </c>
      <c r="DE2168" s="33" t="s">
        <v>30</v>
      </c>
    </row>
    <row r="2169" spans="103:109" ht="15" customHeight="1">
      <c r="CY2169" s="62" t="s">
        <v>1029</v>
      </c>
      <c r="DE2169" s="33" t="s">
        <v>30</v>
      </c>
    </row>
    <row r="2170" spans="103:109" ht="15" customHeight="1">
      <c r="CY2170" s="62" t="s">
        <v>321</v>
      </c>
      <c r="DE2170" s="33" t="s">
        <v>30</v>
      </c>
    </row>
    <row r="2171" spans="103:109" ht="15" customHeight="1">
      <c r="CY2171" s="62" t="s">
        <v>324</v>
      </c>
      <c r="DE2171" s="33" t="s">
        <v>30</v>
      </c>
    </row>
    <row r="2172" spans="103:109" ht="15" customHeight="1">
      <c r="CY2172" s="62" t="s">
        <v>327</v>
      </c>
      <c r="DE2172" s="33" t="s">
        <v>30</v>
      </c>
    </row>
    <row r="2173" spans="103:109" ht="15" customHeight="1">
      <c r="CY2173" s="62" t="s">
        <v>330</v>
      </c>
      <c r="DE2173" s="33" t="s">
        <v>30</v>
      </c>
    </row>
    <row r="2174" spans="103:109" ht="15" customHeight="1">
      <c r="CY2174" s="62" t="s">
        <v>333</v>
      </c>
      <c r="DE2174" s="33" t="s">
        <v>30</v>
      </c>
    </row>
    <row r="2175" spans="103:109" ht="15" customHeight="1">
      <c r="CY2175" s="62" t="s">
        <v>336</v>
      </c>
      <c r="DE2175" s="33" t="s">
        <v>30</v>
      </c>
    </row>
    <row r="2176" spans="103:109" ht="15" customHeight="1">
      <c r="CY2176" s="62" t="s">
        <v>340</v>
      </c>
      <c r="DE2176" s="33" t="s">
        <v>30</v>
      </c>
    </row>
    <row r="2177" spans="103:109" ht="15" customHeight="1">
      <c r="CY2177" s="62" t="s">
        <v>272</v>
      </c>
      <c r="DE2177" s="33" t="s">
        <v>30</v>
      </c>
    </row>
    <row r="2178" spans="103:109" ht="15" customHeight="1">
      <c r="CY2178" s="62" t="s">
        <v>1030</v>
      </c>
      <c r="DE2178" s="33" t="s">
        <v>30</v>
      </c>
    </row>
    <row r="2179" spans="103:109" ht="15" customHeight="1">
      <c r="CY2179" s="62" t="s">
        <v>279</v>
      </c>
      <c r="DE2179" s="33" t="s">
        <v>30</v>
      </c>
    </row>
    <row r="2180" spans="103:109" ht="15" customHeight="1">
      <c r="CY2180" s="62" t="s">
        <v>282</v>
      </c>
      <c r="DE2180" s="33" t="s">
        <v>30</v>
      </c>
    </row>
    <row r="2181" spans="103:109" ht="15" customHeight="1">
      <c r="CY2181" s="62" t="s">
        <v>1031</v>
      </c>
      <c r="DE2181" s="33" t="s">
        <v>30</v>
      </c>
    </row>
    <row r="2182" spans="103:109" ht="15" customHeight="1">
      <c r="CY2182" s="62" t="s">
        <v>1032</v>
      </c>
      <c r="DE2182" s="33" t="s">
        <v>30</v>
      </c>
    </row>
    <row r="2183" spans="103:109" ht="15" customHeight="1">
      <c r="CY2183" s="62" t="s">
        <v>1033</v>
      </c>
      <c r="DE2183" s="33" t="s">
        <v>30</v>
      </c>
    </row>
    <row r="2184" spans="103:109" ht="15" customHeight="1">
      <c r="CY2184" s="62" t="s">
        <v>595</v>
      </c>
      <c r="DE2184" s="33" t="s">
        <v>30</v>
      </c>
    </row>
    <row r="2185" spans="103:109" ht="15" customHeight="1">
      <c r="CY2185" s="62" t="s">
        <v>1034</v>
      </c>
      <c r="DE2185" s="33" t="s">
        <v>30</v>
      </c>
    </row>
    <row r="2186" spans="103:109" ht="15" customHeight="1">
      <c r="CY2186" s="62" t="s">
        <v>1035</v>
      </c>
      <c r="DE2186" s="33" t="s">
        <v>30</v>
      </c>
    </row>
    <row r="2187" spans="103:109" ht="15" customHeight="1">
      <c r="CY2187" s="62" t="s">
        <v>1036</v>
      </c>
      <c r="DE2187" s="33" t="s">
        <v>30</v>
      </c>
    </row>
    <row r="2188" spans="103:109" ht="15" customHeight="1">
      <c r="CY2188" s="62" t="s">
        <v>1037</v>
      </c>
      <c r="DE2188" s="33" t="s">
        <v>30</v>
      </c>
    </row>
    <row r="2189" spans="103:109" ht="15" customHeight="1">
      <c r="CY2189" s="62" t="s">
        <v>996</v>
      </c>
      <c r="DE2189" s="33" t="s">
        <v>30</v>
      </c>
    </row>
    <row r="2190" spans="103:109" ht="15" customHeight="1">
      <c r="CY2190" s="62" t="s">
        <v>312</v>
      </c>
      <c r="DE2190" s="33" t="s">
        <v>30</v>
      </c>
    </row>
    <row r="2191" spans="103:109" ht="15" customHeight="1">
      <c r="CY2191" s="62" t="s">
        <v>997</v>
      </c>
      <c r="DE2191" s="33" t="s">
        <v>30</v>
      </c>
    </row>
    <row r="2192" spans="103:109" ht="15" customHeight="1">
      <c r="CY2192" s="62" t="s">
        <v>478</v>
      </c>
      <c r="DE2192" s="33" t="s">
        <v>30</v>
      </c>
    </row>
    <row r="2193" spans="103:109" ht="15" customHeight="1">
      <c r="CY2193" s="62" t="s">
        <v>321</v>
      </c>
      <c r="DE2193" s="33" t="s">
        <v>30</v>
      </c>
    </row>
    <row r="2194" spans="103:109" ht="15" customHeight="1">
      <c r="CY2194" s="62" t="s">
        <v>324</v>
      </c>
      <c r="DE2194" s="33" t="s">
        <v>30</v>
      </c>
    </row>
    <row r="2195" spans="103:109" ht="15" customHeight="1">
      <c r="CY2195" s="62" t="s">
        <v>327</v>
      </c>
      <c r="DE2195" s="33" t="s">
        <v>30</v>
      </c>
    </row>
    <row r="2196" spans="103:109" ht="15" customHeight="1">
      <c r="CY2196" s="62" t="s">
        <v>330</v>
      </c>
      <c r="DE2196" s="33" t="s">
        <v>30</v>
      </c>
    </row>
    <row r="2197" spans="103:109" ht="15" customHeight="1">
      <c r="CY2197" s="62" t="s">
        <v>333</v>
      </c>
      <c r="DE2197" s="33" t="s">
        <v>30</v>
      </c>
    </row>
    <row r="2198" spans="103:109" ht="15" customHeight="1">
      <c r="CY2198" s="62" t="s">
        <v>336</v>
      </c>
      <c r="DE2198" s="33" t="s">
        <v>30</v>
      </c>
    </row>
    <row r="2199" spans="103:109" ht="15" customHeight="1">
      <c r="CY2199" s="62" t="s">
        <v>340</v>
      </c>
      <c r="DE2199" s="33" t="s">
        <v>30</v>
      </c>
    </row>
    <row r="2200" spans="103:109" ht="15" customHeight="1">
      <c r="CY2200" s="62" t="s">
        <v>272</v>
      </c>
      <c r="DE2200" s="33" t="s">
        <v>30</v>
      </c>
    </row>
    <row r="2201" spans="103:109" ht="15" customHeight="1">
      <c r="CY2201" s="62" t="s">
        <v>1038</v>
      </c>
      <c r="DE2201" s="33" t="s">
        <v>30</v>
      </c>
    </row>
    <row r="2202" spans="103:109" ht="15" customHeight="1">
      <c r="CY2202" s="62" t="s">
        <v>279</v>
      </c>
      <c r="DE2202" s="33" t="s">
        <v>30</v>
      </c>
    </row>
    <row r="2203" spans="103:109" ht="15" customHeight="1">
      <c r="CY2203" s="62" t="s">
        <v>282</v>
      </c>
      <c r="DE2203" s="33" t="s">
        <v>30</v>
      </c>
    </row>
    <row r="2204" spans="103:109" ht="15" customHeight="1">
      <c r="CY2204" s="62" t="s">
        <v>1039</v>
      </c>
      <c r="DE2204" s="33" t="s">
        <v>30</v>
      </c>
    </row>
    <row r="2205" spans="103:109" ht="15" customHeight="1">
      <c r="CY2205" s="62" t="s">
        <v>1040</v>
      </c>
      <c r="DE2205" s="33" t="s">
        <v>30</v>
      </c>
    </row>
    <row r="2206" spans="103:109" ht="15" customHeight="1">
      <c r="CY2206" s="62" t="s">
        <v>1041</v>
      </c>
      <c r="DE2206" s="33" t="s">
        <v>30</v>
      </c>
    </row>
    <row r="2207" spans="103:109" ht="15" customHeight="1">
      <c r="CY2207" s="62" t="s">
        <v>754</v>
      </c>
      <c r="DE2207" s="33" t="s">
        <v>30</v>
      </c>
    </row>
    <row r="2208" spans="103:109" ht="15" customHeight="1">
      <c r="CY2208" s="62" t="s">
        <v>1042</v>
      </c>
      <c r="DE2208" s="33" t="s">
        <v>30</v>
      </c>
    </row>
    <row r="2209" spans="103:109" ht="15" customHeight="1">
      <c r="CY2209" s="62" t="s">
        <v>1043</v>
      </c>
      <c r="DE2209" s="33" t="s">
        <v>30</v>
      </c>
    </row>
    <row r="2210" spans="103:109" ht="15" customHeight="1">
      <c r="CY2210" s="62" t="s">
        <v>1044</v>
      </c>
      <c r="DE2210" s="33" t="s">
        <v>30</v>
      </c>
    </row>
    <row r="2211" spans="103:109" ht="15" customHeight="1">
      <c r="CY2211" s="62" t="s">
        <v>1045</v>
      </c>
      <c r="DE2211" s="33" t="s">
        <v>30</v>
      </c>
    </row>
    <row r="2212" spans="103:109" ht="15" customHeight="1">
      <c r="CY2212" s="62" t="s">
        <v>807</v>
      </c>
      <c r="DE2212" s="33" t="s">
        <v>30</v>
      </c>
    </row>
    <row r="2213" spans="103:109" ht="15" customHeight="1">
      <c r="CY2213" s="62" t="s">
        <v>312</v>
      </c>
      <c r="DE2213" s="33" t="s">
        <v>30</v>
      </c>
    </row>
    <row r="2214" spans="103:109" ht="15" customHeight="1">
      <c r="CY2214" s="62" t="s">
        <v>808</v>
      </c>
      <c r="DE2214" s="33" t="s">
        <v>30</v>
      </c>
    </row>
    <row r="2215" spans="103:109" ht="15" customHeight="1">
      <c r="CY2215" s="62" t="s">
        <v>966</v>
      </c>
      <c r="DE2215" s="33" t="s">
        <v>30</v>
      </c>
    </row>
    <row r="2216" spans="103:109" ht="15" customHeight="1">
      <c r="CY2216" s="62" t="s">
        <v>321</v>
      </c>
      <c r="DE2216" s="33" t="s">
        <v>30</v>
      </c>
    </row>
    <row r="2217" spans="103:109" ht="15" customHeight="1">
      <c r="CY2217" s="62" t="s">
        <v>324</v>
      </c>
      <c r="DE2217" s="33" t="s">
        <v>30</v>
      </c>
    </row>
    <row r="2218" spans="103:109" ht="15" customHeight="1">
      <c r="CY2218" s="62" t="s">
        <v>327</v>
      </c>
      <c r="DE2218" s="33" t="s">
        <v>30</v>
      </c>
    </row>
    <row r="2219" spans="103:109" ht="15" customHeight="1">
      <c r="CY2219" s="62" t="s">
        <v>330</v>
      </c>
      <c r="DE2219" s="33" t="s">
        <v>30</v>
      </c>
    </row>
    <row r="2220" spans="103:109" ht="15" customHeight="1">
      <c r="CY2220" s="62" t="s">
        <v>333</v>
      </c>
      <c r="DE2220" s="33" t="s">
        <v>30</v>
      </c>
    </row>
    <row r="2221" spans="103:109" ht="15" customHeight="1">
      <c r="CY2221" s="62" t="s">
        <v>336</v>
      </c>
      <c r="DE2221" s="33" t="s">
        <v>30</v>
      </c>
    </row>
    <row r="2222" spans="103:109" ht="15" customHeight="1">
      <c r="CY2222" s="62" t="s">
        <v>340</v>
      </c>
      <c r="DE2222" s="33" t="s">
        <v>30</v>
      </c>
    </row>
    <row r="2223" spans="103:109" ht="15" customHeight="1">
      <c r="CY2223" s="62" t="s">
        <v>272</v>
      </c>
      <c r="DE2223" s="33" t="s">
        <v>30</v>
      </c>
    </row>
    <row r="2224" spans="103:109" ht="15" customHeight="1">
      <c r="CY2224" s="62" t="s">
        <v>1046</v>
      </c>
      <c r="DE2224" s="33" t="s">
        <v>30</v>
      </c>
    </row>
    <row r="2225" spans="103:109" ht="15" customHeight="1">
      <c r="CY2225" s="62" t="s">
        <v>279</v>
      </c>
      <c r="DE2225" s="33" t="s">
        <v>30</v>
      </c>
    </row>
    <row r="2226" spans="103:109" ht="15" customHeight="1">
      <c r="CY2226" s="62" t="s">
        <v>282</v>
      </c>
      <c r="DE2226" s="33" t="s">
        <v>30</v>
      </c>
    </row>
    <row r="2227" spans="103:109" ht="15" customHeight="1">
      <c r="CY2227" s="62" t="s">
        <v>1047</v>
      </c>
      <c r="DE2227" s="33" t="s">
        <v>30</v>
      </c>
    </row>
    <row r="2228" spans="103:109" ht="15" customHeight="1">
      <c r="CY2228" s="62" t="s">
        <v>1048</v>
      </c>
      <c r="DE2228" s="33" t="s">
        <v>30</v>
      </c>
    </row>
    <row r="2229" spans="103:109" ht="15" customHeight="1">
      <c r="CY2229" s="62" t="s">
        <v>1049</v>
      </c>
      <c r="DE2229" s="33" t="s">
        <v>30</v>
      </c>
    </row>
    <row r="2230" spans="103:109" ht="15" customHeight="1">
      <c r="CY2230" s="62" t="s">
        <v>754</v>
      </c>
      <c r="DE2230" s="33" t="s">
        <v>30</v>
      </c>
    </row>
    <row r="2231" spans="103:109" ht="15" customHeight="1">
      <c r="CY2231" s="62" t="s">
        <v>1050</v>
      </c>
      <c r="DE2231" s="33" t="s">
        <v>30</v>
      </c>
    </row>
    <row r="2232" spans="103:109" ht="15" customHeight="1">
      <c r="CY2232" s="62" t="s">
        <v>1051</v>
      </c>
      <c r="DE2232" s="33" t="s">
        <v>30</v>
      </c>
    </row>
    <row r="2233" spans="103:109" ht="15" customHeight="1">
      <c r="CY2233" s="62" t="s">
        <v>1052</v>
      </c>
      <c r="DE2233" s="33" t="s">
        <v>30</v>
      </c>
    </row>
    <row r="2234" spans="103:109" ht="15" customHeight="1">
      <c r="CY2234" s="62" t="s">
        <v>1053</v>
      </c>
      <c r="DE2234" s="33" t="s">
        <v>30</v>
      </c>
    </row>
    <row r="2235" spans="103:109" ht="15" customHeight="1">
      <c r="CY2235" s="62" t="s">
        <v>1054</v>
      </c>
      <c r="DE2235" s="33" t="s">
        <v>30</v>
      </c>
    </row>
    <row r="2236" spans="103:109" ht="15" customHeight="1">
      <c r="CY2236" s="62" t="s">
        <v>312</v>
      </c>
      <c r="DE2236" s="33" t="s">
        <v>30</v>
      </c>
    </row>
    <row r="2237" spans="103:109" ht="15" customHeight="1">
      <c r="CY2237" s="62" t="s">
        <v>1055</v>
      </c>
      <c r="DE2237" s="33" t="s">
        <v>30</v>
      </c>
    </row>
    <row r="2238" spans="103:109" ht="15" customHeight="1">
      <c r="CY2238" s="62" t="s">
        <v>1056</v>
      </c>
      <c r="DE2238" s="33" t="s">
        <v>30</v>
      </c>
    </row>
    <row r="2239" spans="103:109" ht="15" customHeight="1">
      <c r="CY2239" s="62" t="s">
        <v>321</v>
      </c>
      <c r="DE2239" s="33" t="s">
        <v>30</v>
      </c>
    </row>
    <row r="2240" spans="103:109" ht="15" customHeight="1">
      <c r="CY2240" s="62" t="s">
        <v>324</v>
      </c>
      <c r="DE2240" s="33" t="s">
        <v>30</v>
      </c>
    </row>
    <row r="2241" spans="103:109" ht="15" customHeight="1">
      <c r="CY2241" s="62" t="s">
        <v>327</v>
      </c>
      <c r="DE2241" s="33" t="s">
        <v>30</v>
      </c>
    </row>
    <row r="2242" spans="103:109" ht="15" customHeight="1">
      <c r="CY2242" s="62" t="s">
        <v>330</v>
      </c>
      <c r="DE2242" s="33" t="s">
        <v>30</v>
      </c>
    </row>
    <row r="2243" spans="103:109" ht="15" customHeight="1">
      <c r="CY2243" s="62" t="s">
        <v>333</v>
      </c>
      <c r="DE2243" s="33" t="s">
        <v>30</v>
      </c>
    </row>
    <row r="2244" spans="103:109" ht="15" customHeight="1">
      <c r="CY2244" s="62" t="s">
        <v>336</v>
      </c>
      <c r="DE2244" s="33" t="s">
        <v>30</v>
      </c>
    </row>
    <row r="2245" spans="103:109" ht="15" customHeight="1">
      <c r="CY2245" s="62" t="s">
        <v>340</v>
      </c>
      <c r="DE2245" s="33" t="s">
        <v>30</v>
      </c>
    </row>
    <row r="2246" spans="103:109" ht="15" customHeight="1">
      <c r="CY2246" s="62" t="s">
        <v>272</v>
      </c>
      <c r="DE2246" s="33" t="s">
        <v>30</v>
      </c>
    </row>
    <row r="2247" spans="103:109" ht="15" customHeight="1">
      <c r="CY2247" s="62" t="s">
        <v>1057</v>
      </c>
      <c r="DE2247" s="33" t="s">
        <v>30</v>
      </c>
    </row>
    <row r="2248" spans="103:109" ht="15" customHeight="1">
      <c r="CY2248" s="62" t="s">
        <v>279</v>
      </c>
      <c r="DE2248" s="33" t="s">
        <v>30</v>
      </c>
    </row>
    <row r="2249" spans="103:109" ht="15" customHeight="1">
      <c r="CY2249" s="62" t="s">
        <v>282</v>
      </c>
      <c r="DE2249" s="33" t="s">
        <v>30</v>
      </c>
    </row>
    <row r="2250" spans="103:109" ht="15" customHeight="1">
      <c r="CY2250" s="62" t="s">
        <v>1058</v>
      </c>
      <c r="DE2250" s="33" t="s">
        <v>30</v>
      </c>
    </row>
    <row r="2251" spans="103:109" ht="15" customHeight="1">
      <c r="CY2251" s="62" t="s">
        <v>1059</v>
      </c>
      <c r="DE2251" s="33" t="s">
        <v>30</v>
      </c>
    </row>
    <row r="2252" spans="103:109" ht="15" customHeight="1">
      <c r="CY2252" s="62" t="s">
        <v>1060</v>
      </c>
      <c r="DE2252" s="33" t="s">
        <v>30</v>
      </c>
    </row>
    <row r="2253" spans="103:109" ht="15" customHeight="1">
      <c r="CY2253" s="62" t="s">
        <v>437</v>
      </c>
      <c r="DE2253" s="33" t="s">
        <v>30</v>
      </c>
    </row>
    <row r="2254" spans="103:109" ht="15" customHeight="1">
      <c r="CY2254" s="62" t="s">
        <v>438</v>
      </c>
      <c r="DE2254" s="33" t="s">
        <v>30</v>
      </c>
    </row>
    <row r="2255" spans="103:109" ht="15" customHeight="1">
      <c r="CY2255" s="62" t="s">
        <v>1061</v>
      </c>
      <c r="DE2255" s="33" t="s">
        <v>30</v>
      </c>
    </row>
    <row r="2256" spans="103:109" ht="15" customHeight="1">
      <c r="CY2256" s="62" t="s">
        <v>1062</v>
      </c>
      <c r="DE2256" s="33" t="s">
        <v>30</v>
      </c>
    </row>
    <row r="2257" spans="103:109" ht="15" customHeight="1">
      <c r="CY2257" s="62" t="s">
        <v>1063</v>
      </c>
      <c r="DE2257" s="33" t="s">
        <v>30</v>
      </c>
    </row>
    <row r="2258" spans="103:109" ht="15" customHeight="1">
      <c r="CY2258" s="62" t="s">
        <v>926</v>
      </c>
      <c r="DE2258" s="33" t="s">
        <v>30</v>
      </c>
    </row>
    <row r="2259" spans="103:109" ht="15" customHeight="1">
      <c r="CY2259" s="62" t="s">
        <v>312</v>
      </c>
      <c r="DE2259" s="33" t="s">
        <v>30</v>
      </c>
    </row>
    <row r="2260" spans="103:109" ht="15" customHeight="1">
      <c r="CY2260" s="62" t="s">
        <v>927</v>
      </c>
      <c r="DE2260" s="33" t="s">
        <v>30</v>
      </c>
    </row>
    <row r="2261" spans="103:109" ht="15" customHeight="1">
      <c r="CY2261" s="62" t="s">
        <v>1029</v>
      </c>
      <c r="DE2261" s="33" t="s">
        <v>30</v>
      </c>
    </row>
    <row r="2262" spans="103:109" ht="15" customHeight="1">
      <c r="CY2262" s="62" t="s">
        <v>321</v>
      </c>
      <c r="DE2262" s="33" t="s">
        <v>30</v>
      </c>
    </row>
    <row r="2263" spans="103:109" ht="15" customHeight="1">
      <c r="CY2263" s="62" t="s">
        <v>324</v>
      </c>
      <c r="DE2263" s="33" t="s">
        <v>30</v>
      </c>
    </row>
    <row r="2264" spans="103:109" ht="15" customHeight="1">
      <c r="CY2264" s="62" t="s">
        <v>327</v>
      </c>
      <c r="DE2264" s="33" t="s">
        <v>30</v>
      </c>
    </row>
    <row r="2265" spans="103:109" ht="15" customHeight="1">
      <c r="CY2265" s="62" t="s">
        <v>330</v>
      </c>
      <c r="DE2265" s="33" t="s">
        <v>30</v>
      </c>
    </row>
    <row r="2266" spans="103:109" ht="15" customHeight="1">
      <c r="CY2266" s="62" t="s">
        <v>333</v>
      </c>
      <c r="DE2266" s="33" t="s">
        <v>30</v>
      </c>
    </row>
    <row r="2267" spans="103:109" ht="15" customHeight="1">
      <c r="CY2267" s="62" t="s">
        <v>444</v>
      </c>
      <c r="DE2267" s="33" t="s">
        <v>30</v>
      </c>
    </row>
    <row r="2268" spans="103:109" ht="15" customHeight="1">
      <c r="CY2268" s="62" t="s">
        <v>445</v>
      </c>
      <c r="DE2268" s="33" t="s">
        <v>30</v>
      </c>
    </row>
    <row r="2269" spans="103:109" ht="15" customHeight="1">
      <c r="CY2269" s="62" t="s">
        <v>446</v>
      </c>
      <c r="DE2269" s="33" t="s">
        <v>30</v>
      </c>
    </row>
    <row r="2270" spans="103:109" ht="15" customHeight="1">
      <c r="CY2270" s="62" t="s">
        <v>453</v>
      </c>
      <c r="DE2270" s="33" t="s">
        <v>30</v>
      </c>
    </row>
    <row r="2271" spans="103:109" ht="15" customHeight="1">
      <c r="CY2271" s="62" t="s">
        <v>448</v>
      </c>
      <c r="DE2271" s="33" t="s">
        <v>30</v>
      </c>
    </row>
    <row r="2272" spans="103:109" ht="15" customHeight="1">
      <c r="CY2272" s="62" t="s">
        <v>449</v>
      </c>
      <c r="DE2272" s="33" t="s">
        <v>30</v>
      </c>
    </row>
    <row r="2273" spans="103:109" ht="15" customHeight="1">
      <c r="CY2273" s="62" t="s">
        <v>454</v>
      </c>
      <c r="DE2273" s="33" t="s">
        <v>30</v>
      </c>
    </row>
    <row r="2274" spans="103:109" ht="15" customHeight="1">
      <c r="CY2274" s="62" t="s">
        <v>1064</v>
      </c>
      <c r="DE2274" s="33" t="s">
        <v>30</v>
      </c>
    </row>
    <row r="2275" spans="103:109" ht="15" customHeight="1">
      <c r="CY2275" s="62" t="s">
        <v>456</v>
      </c>
      <c r="DE2275" s="33" t="s">
        <v>30</v>
      </c>
    </row>
    <row r="2276" spans="103:109" ht="15" customHeight="1">
      <c r="CY2276" s="62" t="s">
        <v>457</v>
      </c>
      <c r="DE2276" s="33" t="s">
        <v>30</v>
      </c>
    </row>
    <row r="2277" spans="103:109" ht="15" customHeight="1">
      <c r="CY2277" s="62" t="s">
        <v>340</v>
      </c>
      <c r="DE2277" s="33" t="s">
        <v>30</v>
      </c>
    </row>
    <row r="2278" spans="103:109" ht="15" customHeight="1">
      <c r="CY2278" s="62" t="s">
        <v>272</v>
      </c>
      <c r="DE2278" s="33" t="s">
        <v>30</v>
      </c>
    </row>
    <row r="2279" spans="103:109" ht="15" customHeight="1">
      <c r="CY2279" s="62" t="s">
        <v>1065</v>
      </c>
      <c r="DE2279" s="33" t="s">
        <v>30</v>
      </c>
    </row>
    <row r="2280" spans="103:109" ht="15" customHeight="1">
      <c r="CY2280" s="62" t="s">
        <v>279</v>
      </c>
      <c r="DE2280" s="33" t="s">
        <v>30</v>
      </c>
    </row>
    <row r="2281" spans="103:109" ht="15" customHeight="1">
      <c r="CY2281" s="62" t="s">
        <v>282</v>
      </c>
      <c r="DE2281" s="33" t="s">
        <v>30</v>
      </c>
    </row>
    <row r="2282" spans="103:109" ht="15" customHeight="1">
      <c r="CY2282" s="62" t="s">
        <v>1066</v>
      </c>
      <c r="DE2282" s="33" t="s">
        <v>30</v>
      </c>
    </row>
    <row r="2283" spans="103:109" ht="15" customHeight="1">
      <c r="CY2283" s="62" t="s">
        <v>1067</v>
      </c>
      <c r="DE2283" s="33" t="s">
        <v>30</v>
      </c>
    </row>
    <row r="2284" spans="103:109" ht="15" customHeight="1">
      <c r="CY2284" s="62" t="s">
        <v>1068</v>
      </c>
      <c r="DE2284" s="33" t="s">
        <v>30</v>
      </c>
    </row>
    <row r="2285" spans="103:109" ht="15" customHeight="1">
      <c r="CY2285" s="62" t="s">
        <v>437</v>
      </c>
      <c r="DE2285" s="33" t="s">
        <v>30</v>
      </c>
    </row>
    <row r="2286" spans="103:109" ht="15" customHeight="1">
      <c r="CY2286" s="62" t="s">
        <v>1069</v>
      </c>
      <c r="DE2286" s="33" t="s">
        <v>30</v>
      </c>
    </row>
    <row r="2287" spans="103:109" ht="15" customHeight="1">
      <c r="CY2287" s="62" t="s">
        <v>1070</v>
      </c>
      <c r="DE2287" s="33" t="s">
        <v>30</v>
      </c>
    </row>
    <row r="2288" spans="103:109" ht="15" customHeight="1">
      <c r="CY2288" s="62" t="s">
        <v>1071</v>
      </c>
      <c r="DE2288" s="33" t="s">
        <v>30</v>
      </c>
    </row>
    <row r="2289" spans="103:109" ht="15" customHeight="1">
      <c r="CY2289" s="62" t="s">
        <v>1072</v>
      </c>
      <c r="DE2289" s="33" t="s">
        <v>30</v>
      </c>
    </row>
    <row r="2290" spans="103:109" ht="15" customHeight="1">
      <c r="CY2290" s="62" t="s">
        <v>1073</v>
      </c>
      <c r="DE2290" s="33" t="s">
        <v>30</v>
      </c>
    </row>
    <row r="2291" spans="103:109" ht="15" customHeight="1">
      <c r="CY2291" s="62" t="s">
        <v>312</v>
      </c>
      <c r="DE2291" s="33" t="s">
        <v>30</v>
      </c>
    </row>
    <row r="2292" spans="103:109" ht="15" customHeight="1">
      <c r="CY2292" s="62" t="s">
        <v>1074</v>
      </c>
      <c r="DE2292" s="33" t="s">
        <v>30</v>
      </c>
    </row>
    <row r="2293" spans="103:109" ht="15" customHeight="1">
      <c r="CY2293" s="62" t="s">
        <v>1075</v>
      </c>
      <c r="DE2293" s="33" t="s">
        <v>30</v>
      </c>
    </row>
    <row r="2294" spans="103:109" ht="15" customHeight="1">
      <c r="CY2294" s="62" t="s">
        <v>321</v>
      </c>
      <c r="DE2294" s="33" t="s">
        <v>30</v>
      </c>
    </row>
    <row r="2295" spans="103:109" ht="15" customHeight="1">
      <c r="CY2295" s="62" t="s">
        <v>324</v>
      </c>
      <c r="DE2295" s="33" t="s">
        <v>30</v>
      </c>
    </row>
    <row r="2296" spans="103:109" ht="15" customHeight="1">
      <c r="CY2296" s="62" t="s">
        <v>327</v>
      </c>
      <c r="DE2296" s="33" t="s">
        <v>30</v>
      </c>
    </row>
    <row r="2297" spans="103:109" ht="15" customHeight="1">
      <c r="CY2297" s="62" t="s">
        <v>330</v>
      </c>
      <c r="DE2297" s="33" t="s">
        <v>30</v>
      </c>
    </row>
    <row r="2298" spans="103:109" ht="15" customHeight="1">
      <c r="CY2298" s="62" t="s">
        <v>333</v>
      </c>
      <c r="DE2298" s="33" t="s">
        <v>30</v>
      </c>
    </row>
    <row r="2299" spans="103:109" ht="15" customHeight="1">
      <c r="CY2299" s="62" t="s">
        <v>336</v>
      </c>
      <c r="DE2299" s="33" t="s">
        <v>30</v>
      </c>
    </row>
    <row r="2300" spans="103:109" ht="15" customHeight="1">
      <c r="CY2300" s="62" t="s">
        <v>340</v>
      </c>
      <c r="DE2300" s="33" t="s">
        <v>30</v>
      </c>
    </row>
    <row r="2301" spans="103:109" ht="15" customHeight="1">
      <c r="CY2301" s="62" t="s">
        <v>272</v>
      </c>
      <c r="DE2301" s="33" t="s">
        <v>30</v>
      </c>
    </row>
    <row r="2302" spans="103:109" ht="15" customHeight="1">
      <c r="CY2302" s="62" t="s">
        <v>1076</v>
      </c>
      <c r="DE2302" s="33" t="s">
        <v>30</v>
      </c>
    </row>
    <row r="2303" spans="103:109" ht="15" customHeight="1">
      <c r="CY2303" s="62" t="s">
        <v>279</v>
      </c>
      <c r="DE2303" s="33" t="s">
        <v>30</v>
      </c>
    </row>
    <row r="2304" spans="103:109" ht="15" customHeight="1">
      <c r="CY2304" s="62" t="s">
        <v>282</v>
      </c>
      <c r="DE2304" s="33" t="s">
        <v>30</v>
      </c>
    </row>
    <row r="2305" spans="103:109" ht="15" customHeight="1">
      <c r="CY2305" s="62" t="s">
        <v>1077</v>
      </c>
      <c r="DE2305" s="33" t="s">
        <v>30</v>
      </c>
    </row>
    <row r="2306" spans="103:109" ht="15" customHeight="1">
      <c r="CY2306" s="62" t="s">
        <v>1078</v>
      </c>
      <c r="DE2306" s="33" t="s">
        <v>30</v>
      </c>
    </row>
    <row r="2307" spans="103:109" ht="15" customHeight="1">
      <c r="CY2307" s="62" t="s">
        <v>1079</v>
      </c>
      <c r="DE2307" s="33" t="s">
        <v>30</v>
      </c>
    </row>
    <row r="2308" spans="103:109" ht="15" customHeight="1">
      <c r="CY2308" s="62" t="s">
        <v>462</v>
      </c>
      <c r="DE2308" s="33" t="s">
        <v>30</v>
      </c>
    </row>
    <row r="2309" spans="103:109" ht="15" customHeight="1">
      <c r="CY2309" s="62" t="s">
        <v>1080</v>
      </c>
      <c r="DE2309" s="33" t="s">
        <v>30</v>
      </c>
    </row>
    <row r="2310" spans="103:109" ht="15" customHeight="1">
      <c r="CY2310" s="62" t="s">
        <v>1081</v>
      </c>
      <c r="DE2310" s="33" t="s">
        <v>30</v>
      </c>
    </row>
    <row r="2311" spans="103:109" ht="15" customHeight="1">
      <c r="CY2311" s="62" t="s">
        <v>1082</v>
      </c>
      <c r="DE2311" s="33" t="s">
        <v>30</v>
      </c>
    </row>
    <row r="2312" spans="103:109" ht="15" customHeight="1">
      <c r="CY2312" s="62" t="s">
        <v>1083</v>
      </c>
      <c r="DE2312" s="33" t="s">
        <v>30</v>
      </c>
    </row>
    <row r="2313" spans="103:109" ht="15" customHeight="1">
      <c r="CY2313" s="62" t="s">
        <v>1084</v>
      </c>
      <c r="DE2313" s="33" t="s">
        <v>30</v>
      </c>
    </row>
    <row r="2314" spans="103:109" ht="15" customHeight="1">
      <c r="CY2314" s="62" t="s">
        <v>312</v>
      </c>
      <c r="DE2314" s="33" t="s">
        <v>30</v>
      </c>
    </row>
    <row r="2315" spans="103:109" ht="15" customHeight="1">
      <c r="CY2315" s="62" t="s">
        <v>1085</v>
      </c>
      <c r="DE2315" s="33" t="s">
        <v>30</v>
      </c>
    </row>
    <row r="2316" spans="103:109" ht="15" customHeight="1">
      <c r="CY2316" s="62" t="s">
        <v>1086</v>
      </c>
      <c r="DE2316" s="33" t="s">
        <v>30</v>
      </c>
    </row>
    <row r="2317" spans="103:109" ht="15" customHeight="1">
      <c r="CY2317" s="62" t="s">
        <v>321</v>
      </c>
      <c r="DE2317" s="33" t="s">
        <v>30</v>
      </c>
    </row>
    <row r="2318" spans="103:109" ht="15" customHeight="1">
      <c r="CY2318" s="62" t="s">
        <v>324</v>
      </c>
      <c r="DE2318" s="33" t="s">
        <v>30</v>
      </c>
    </row>
    <row r="2319" spans="103:109" ht="15" customHeight="1">
      <c r="CY2319" s="62" t="s">
        <v>327</v>
      </c>
      <c r="DE2319" s="33" t="s">
        <v>30</v>
      </c>
    </row>
    <row r="2320" spans="103:109" ht="15" customHeight="1">
      <c r="CY2320" s="62" t="s">
        <v>330</v>
      </c>
      <c r="DE2320" s="33" t="s">
        <v>30</v>
      </c>
    </row>
    <row r="2321" spans="103:109" ht="15" customHeight="1">
      <c r="CY2321" s="62" t="s">
        <v>333</v>
      </c>
      <c r="DE2321" s="33" t="s">
        <v>30</v>
      </c>
    </row>
    <row r="2322" spans="103:109" ht="15" customHeight="1">
      <c r="CY2322" s="62" t="s">
        <v>336</v>
      </c>
      <c r="DE2322" s="33" t="s">
        <v>30</v>
      </c>
    </row>
    <row r="2323" spans="103:109" ht="15" customHeight="1">
      <c r="CY2323" s="62" t="s">
        <v>340</v>
      </c>
      <c r="DE2323" s="33" t="s">
        <v>30</v>
      </c>
    </row>
    <row r="2324" spans="103:109" ht="15" customHeight="1">
      <c r="CY2324" s="62" t="s">
        <v>272</v>
      </c>
      <c r="DE2324" s="33" t="s">
        <v>30</v>
      </c>
    </row>
    <row r="2325" spans="103:109" ht="15" customHeight="1">
      <c r="CY2325" s="62" t="s">
        <v>1087</v>
      </c>
      <c r="DE2325" s="33" t="s">
        <v>30</v>
      </c>
    </row>
    <row r="2326" spans="103:109" ht="15" customHeight="1">
      <c r="CY2326" s="62" t="s">
        <v>279</v>
      </c>
      <c r="DE2326" s="33" t="s">
        <v>30</v>
      </c>
    </row>
    <row r="2327" spans="103:109" ht="15" customHeight="1">
      <c r="CY2327" s="62" t="s">
        <v>282</v>
      </c>
      <c r="DE2327" s="33" t="s">
        <v>30</v>
      </c>
    </row>
    <row r="2328" spans="103:109" ht="15" customHeight="1">
      <c r="CY2328" s="62" t="s">
        <v>1088</v>
      </c>
      <c r="DE2328" s="33" t="s">
        <v>30</v>
      </c>
    </row>
    <row r="2329" spans="103:109" ht="15" customHeight="1">
      <c r="CY2329" s="62" t="s">
        <v>1089</v>
      </c>
      <c r="DE2329" s="33" t="s">
        <v>30</v>
      </c>
    </row>
    <row r="2330" spans="103:109" ht="15" customHeight="1">
      <c r="CY2330" s="62" t="s">
        <v>1090</v>
      </c>
      <c r="DE2330" s="33" t="s">
        <v>30</v>
      </c>
    </row>
    <row r="2331" spans="103:109" ht="15" customHeight="1">
      <c r="CY2331" s="62" t="s">
        <v>462</v>
      </c>
      <c r="DE2331" s="33" t="s">
        <v>30</v>
      </c>
    </row>
    <row r="2332" spans="103:109" ht="15" customHeight="1">
      <c r="CY2332" s="62" t="s">
        <v>1091</v>
      </c>
      <c r="DE2332" s="33" t="s">
        <v>30</v>
      </c>
    </row>
    <row r="2333" spans="103:109" ht="15" customHeight="1">
      <c r="CY2333" s="62" t="s">
        <v>1092</v>
      </c>
      <c r="DE2333" s="33" t="s">
        <v>30</v>
      </c>
    </row>
    <row r="2334" spans="103:109" ht="15" customHeight="1">
      <c r="CY2334" s="62" t="s">
        <v>1093</v>
      </c>
      <c r="DE2334" s="33" t="s">
        <v>30</v>
      </c>
    </row>
    <row r="2335" spans="103:109" ht="15" customHeight="1">
      <c r="CY2335" s="62" t="s">
        <v>1094</v>
      </c>
      <c r="DE2335" s="33" t="s">
        <v>30</v>
      </c>
    </row>
    <row r="2336" spans="103:109" ht="15" customHeight="1">
      <c r="CY2336" s="62" t="s">
        <v>819</v>
      </c>
      <c r="DE2336" s="33" t="s">
        <v>30</v>
      </c>
    </row>
    <row r="2337" spans="103:109" ht="15" customHeight="1">
      <c r="CY2337" s="62" t="s">
        <v>312</v>
      </c>
      <c r="DE2337" s="33" t="s">
        <v>30</v>
      </c>
    </row>
    <row r="2338" spans="103:109" ht="15" customHeight="1">
      <c r="CY2338" s="62" t="s">
        <v>820</v>
      </c>
      <c r="DE2338" s="33" t="s">
        <v>30</v>
      </c>
    </row>
    <row r="2339" spans="103:109" ht="15" customHeight="1">
      <c r="CY2339" s="62" t="s">
        <v>947</v>
      </c>
      <c r="DE2339" s="33" t="s">
        <v>30</v>
      </c>
    </row>
    <row r="2340" spans="103:109" ht="15" customHeight="1">
      <c r="CY2340" s="62" t="s">
        <v>321</v>
      </c>
      <c r="DE2340" s="33" t="s">
        <v>30</v>
      </c>
    </row>
    <row r="2341" spans="103:109" ht="15" customHeight="1">
      <c r="CY2341" s="62" t="s">
        <v>324</v>
      </c>
      <c r="DE2341" s="33" t="s">
        <v>30</v>
      </c>
    </row>
    <row r="2342" spans="103:109" ht="15" customHeight="1">
      <c r="CY2342" s="62" t="s">
        <v>327</v>
      </c>
      <c r="DE2342" s="33" t="s">
        <v>30</v>
      </c>
    </row>
    <row r="2343" spans="103:109" ht="15" customHeight="1">
      <c r="CY2343" s="62" t="s">
        <v>330</v>
      </c>
      <c r="DE2343" s="33" t="s">
        <v>30</v>
      </c>
    </row>
    <row r="2344" spans="103:109" ht="15" customHeight="1">
      <c r="CY2344" s="62" t="s">
        <v>333</v>
      </c>
      <c r="DE2344" s="33" t="s">
        <v>30</v>
      </c>
    </row>
    <row r="2345" spans="103:109" ht="15" customHeight="1">
      <c r="CY2345" s="62" t="s">
        <v>336</v>
      </c>
      <c r="DE2345" s="33" t="s">
        <v>30</v>
      </c>
    </row>
    <row r="2346" spans="103:109" ht="15" customHeight="1">
      <c r="CY2346" s="62" t="s">
        <v>340</v>
      </c>
      <c r="DE2346" s="33" t="s">
        <v>30</v>
      </c>
    </row>
    <row r="2347" spans="103:109" ht="15" customHeight="1">
      <c r="CY2347" s="62" t="s">
        <v>272</v>
      </c>
      <c r="DE2347" s="33" t="s">
        <v>30</v>
      </c>
    </row>
    <row r="2348" spans="103:109" ht="15" customHeight="1">
      <c r="CY2348" s="62" t="s">
        <v>1095</v>
      </c>
      <c r="DE2348" s="33" t="s">
        <v>30</v>
      </c>
    </row>
    <row r="2349" spans="103:109" ht="15" customHeight="1">
      <c r="CY2349" s="62" t="s">
        <v>279</v>
      </c>
      <c r="DE2349" s="33" t="s">
        <v>30</v>
      </c>
    </row>
    <row r="2350" spans="103:109" ht="15" customHeight="1">
      <c r="CY2350" s="62" t="s">
        <v>282</v>
      </c>
      <c r="DE2350" s="33" t="s">
        <v>30</v>
      </c>
    </row>
    <row r="2351" spans="103:109" ht="15" customHeight="1">
      <c r="CY2351" s="62" t="s">
        <v>1096</v>
      </c>
      <c r="DE2351" s="33" t="s">
        <v>30</v>
      </c>
    </row>
    <row r="2352" spans="103:109" ht="15" customHeight="1">
      <c r="CY2352" s="62" t="s">
        <v>1097</v>
      </c>
      <c r="DE2352" s="33" t="s">
        <v>30</v>
      </c>
    </row>
    <row r="2353" spans="103:109" ht="15" customHeight="1">
      <c r="CY2353" s="62" t="s">
        <v>1098</v>
      </c>
      <c r="DE2353" s="33" t="s">
        <v>30</v>
      </c>
    </row>
    <row r="2354" spans="103:109" ht="15" customHeight="1">
      <c r="CY2354" s="62" t="s">
        <v>462</v>
      </c>
      <c r="DE2354" s="33" t="s">
        <v>30</v>
      </c>
    </row>
    <row r="2355" spans="103:109" ht="15" customHeight="1">
      <c r="CY2355" s="62" t="s">
        <v>1099</v>
      </c>
      <c r="DE2355" s="33" t="s">
        <v>30</v>
      </c>
    </row>
    <row r="2356" spans="103:109" ht="15" customHeight="1">
      <c r="CY2356" s="62" t="s">
        <v>1100</v>
      </c>
      <c r="DE2356" s="33" t="s">
        <v>30</v>
      </c>
    </row>
    <row r="2357" spans="103:109" ht="15" customHeight="1">
      <c r="CY2357" s="62" t="s">
        <v>1101</v>
      </c>
      <c r="DE2357" s="33" t="s">
        <v>30</v>
      </c>
    </row>
    <row r="2358" spans="103:109" ht="15" customHeight="1">
      <c r="CY2358" s="62" t="s">
        <v>1102</v>
      </c>
      <c r="DE2358" s="33" t="s">
        <v>30</v>
      </c>
    </row>
    <row r="2359" spans="103:109" ht="15" customHeight="1">
      <c r="CY2359" s="62" t="s">
        <v>1103</v>
      </c>
      <c r="DE2359" s="33" t="s">
        <v>30</v>
      </c>
    </row>
    <row r="2360" spans="103:109" ht="15" customHeight="1">
      <c r="CY2360" s="62" t="s">
        <v>312</v>
      </c>
      <c r="DE2360" s="33" t="s">
        <v>30</v>
      </c>
    </row>
    <row r="2361" spans="103:109" ht="15" customHeight="1">
      <c r="CY2361" s="62" t="s">
        <v>1104</v>
      </c>
      <c r="DE2361" s="33" t="s">
        <v>30</v>
      </c>
    </row>
    <row r="2362" spans="103:109" ht="15" customHeight="1">
      <c r="CY2362" s="62" t="s">
        <v>1105</v>
      </c>
      <c r="DE2362" s="33" t="s">
        <v>30</v>
      </c>
    </row>
    <row r="2363" spans="103:109" ht="15" customHeight="1">
      <c r="CY2363" s="62" t="s">
        <v>321</v>
      </c>
      <c r="DE2363" s="33" t="s">
        <v>30</v>
      </c>
    </row>
    <row r="2364" spans="103:109" ht="15" customHeight="1">
      <c r="CY2364" s="62" t="s">
        <v>324</v>
      </c>
      <c r="DE2364" s="33" t="s">
        <v>30</v>
      </c>
    </row>
    <row r="2365" spans="103:109" ht="15" customHeight="1">
      <c r="CY2365" s="62" t="s">
        <v>327</v>
      </c>
      <c r="DE2365" s="33" t="s">
        <v>30</v>
      </c>
    </row>
    <row r="2366" spans="103:109" ht="15" customHeight="1">
      <c r="CY2366" s="62" t="s">
        <v>330</v>
      </c>
      <c r="DE2366" s="33" t="s">
        <v>30</v>
      </c>
    </row>
    <row r="2367" spans="103:109" ht="15" customHeight="1">
      <c r="CY2367" s="62" t="s">
        <v>333</v>
      </c>
      <c r="DE2367" s="33" t="s">
        <v>30</v>
      </c>
    </row>
    <row r="2368" spans="103:109" ht="15" customHeight="1">
      <c r="CY2368" s="62" t="s">
        <v>336</v>
      </c>
      <c r="DE2368" s="33" t="s">
        <v>30</v>
      </c>
    </row>
    <row r="2369" spans="103:109" ht="15" customHeight="1">
      <c r="CY2369" s="62" t="s">
        <v>340</v>
      </c>
      <c r="DE2369" s="33" t="s">
        <v>30</v>
      </c>
    </row>
    <row r="2370" spans="103:109" ht="15" customHeight="1">
      <c r="CY2370" s="62" t="s">
        <v>272</v>
      </c>
      <c r="DE2370" s="33" t="s">
        <v>30</v>
      </c>
    </row>
    <row r="2371" spans="103:109" ht="15" customHeight="1">
      <c r="CY2371" s="62" t="s">
        <v>1106</v>
      </c>
      <c r="DE2371" s="33" t="s">
        <v>30</v>
      </c>
    </row>
    <row r="2372" spans="103:109" ht="15" customHeight="1">
      <c r="CY2372" s="62" t="s">
        <v>279</v>
      </c>
      <c r="DE2372" s="33" t="s">
        <v>30</v>
      </c>
    </row>
    <row r="2373" spans="103:109" ht="15" customHeight="1">
      <c r="CY2373" s="62" t="s">
        <v>282</v>
      </c>
      <c r="DE2373" s="33" t="s">
        <v>30</v>
      </c>
    </row>
    <row r="2374" spans="103:109" ht="15" customHeight="1">
      <c r="CY2374" s="62" t="s">
        <v>1107</v>
      </c>
      <c r="DE2374" s="33" t="s">
        <v>30</v>
      </c>
    </row>
    <row r="2375" spans="103:109" ht="15" customHeight="1">
      <c r="CY2375" s="62" t="s">
        <v>1108</v>
      </c>
      <c r="DE2375" s="33" t="s">
        <v>30</v>
      </c>
    </row>
    <row r="2376" spans="103:109" ht="15" customHeight="1">
      <c r="CY2376" s="62" t="s">
        <v>1109</v>
      </c>
      <c r="DE2376" s="33" t="s">
        <v>30</v>
      </c>
    </row>
    <row r="2377" spans="103:109" ht="15" customHeight="1">
      <c r="CY2377" s="62" t="s">
        <v>780</v>
      </c>
      <c r="DE2377" s="33" t="s">
        <v>30</v>
      </c>
    </row>
    <row r="2378" spans="103:109" ht="15" customHeight="1">
      <c r="CY2378" s="62" t="s">
        <v>1110</v>
      </c>
      <c r="DE2378" s="33" t="s">
        <v>30</v>
      </c>
    </row>
    <row r="2379" spans="103:109" ht="15" customHeight="1">
      <c r="CY2379" s="62" t="s">
        <v>1111</v>
      </c>
      <c r="DE2379" s="33" t="s">
        <v>30</v>
      </c>
    </row>
    <row r="2380" spans="103:109" ht="15" customHeight="1">
      <c r="CY2380" s="62" t="s">
        <v>1112</v>
      </c>
      <c r="DE2380" s="33" t="s">
        <v>30</v>
      </c>
    </row>
    <row r="2381" spans="103:109" ht="15" customHeight="1">
      <c r="CY2381" s="62" t="s">
        <v>1113</v>
      </c>
      <c r="DE2381" s="33" t="s">
        <v>30</v>
      </c>
    </row>
    <row r="2382" spans="103:109" ht="15" customHeight="1">
      <c r="CY2382" s="62" t="s">
        <v>1084</v>
      </c>
      <c r="DE2382" s="33" t="s">
        <v>30</v>
      </c>
    </row>
    <row r="2383" spans="103:109" ht="15" customHeight="1">
      <c r="CY2383" s="62" t="s">
        <v>312</v>
      </c>
      <c r="DE2383" s="33" t="s">
        <v>30</v>
      </c>
    </row>
    <row r="2384" spans="103:109" ht="15" customHeight="1">
      <c r="CY2384" s="62" t="s">
        <v>1085</v>
      </c>
      <c r="DE2384" s="33" t="s">
        <v>30</v>
      </c>
    </row>
    <row r="2385" spans="103:109" ht="15" customHeight="1">
      <c r="CY2385" s="62" t="s">
        <v>1086</v>
      </c>
      <c r="DE2385" s="33" t="s">
        <v>30</v>
      </c>
    </row>
    <row r="2386" spans="103:109" ht="15" customHeight="1">
      <c r="CY2386" s="62" t="s">
        <v>321</v>
      </c>
      <c r="DE2386" s="33" t="s">
        <v>30</v>
      </c>
    </row>
    <row r="2387" spans="103:109" ht="15" customHeight="1">
      <c r="CY2387" s="62" t="s">
        <v>324</v>
      </c>
      <c r="DE2387" s="33" t="s">
        <v>30</v>
      </c>
    </row>
    <row r="2388" spans="103:109" ht="15" customHeight="1">
      <c r="CY2388" s="62" t="s">
        <v>327</v>
      </c>
      <c r="DE2388" s="33" t="s">
        <v>30</v>
      </c>
    </row>
    <row r="2389" spans="103:109" ht="15" customHeight="1">
      <c r="CY2389" s="62" t="s">
        <v>330</v>
      </c>
      <c r="DE2389" s="33" t="s">
        <v>30</v>
      </c>
    </row>
    <row r="2390" spans="103:109" ht="15" customHeight="1">
      <c r="CY2390" s="62" t="s">
        <v>333</v>
      </c>
      <c r="DE2390" s="33" t="s">
        <v>30</v>
      </c>
    </row>
    <row r="2391" spans="103:109" ht="15" customHeight="1">
      <c r="CY2391" s="62" t="s">
        <v>336</v>
      </c>
      <c r="DE2391" s="33" t="s">
        <v>30</v>
      </c>
    </row>
    <row r="2392" spans="103:109" ht="15" customHeight="1">
      <c r="CY2392" s="62" t="s">
        <v>340</v>
      </c>
      <c r="DE2392" s="33" t="s">
        <v>30</v>
      </c>
    </row>
    <row r="2393" spans="103:109" ht="15" customHeight="1">
      <c r="CY2393" s="62" t="s">
        <v>272</v>
      </c>
      <c r="DE2393" s="33" t="s">
        <v>30</v>
      </c>
    </row>
    <row r="2394" spans="103:109" ht="15" customHeight="1">
      <c r="CY2394" s="62" t="s">
        <v>1114</v>
      </c>
      <c r="DE2394" s="33" t="s">
        <v>30</v>
      </c>
    </row>
    <row r="2395" spans="103:109" ht="15" customHeight="1">
      <c r="CY2395" s="62" t="s">
        <v>279</v>
      </c>
      <c r="DE2395" s="33" t="s">
        <v>30</v>
      </c>
    </row>
    <row r="2396" spans="103:109" ht="15" customHeight="1">
      <c r="CY2396" s="62" t="s">
        <v>282</v>
      </c>
      <c r="DE2396" s="33" t="s">
        <v>30</v>
      </c>
    </row>
    <row r="2397" spans="103:109" ht="15" customHeight="1">
      <c r="CY2397" s="62" t="s">
        <v>1115</v>
      </c>
      <c r="DE2397" s="33" t="s">
        <v>30</v>
      </c>
    </row>
    <row r="2398" spans="103:109" ht="15" customHeight="1">
      <c r="CY2398" s="62" t="s">
        <v>1116</v>
      </c>
      <c r="DE2398" s="33" t="s">
        <v>30</v>
      </c>
    </row>
    <row r="2399" spans="103:109" ht="15" customHeight="1">
      <c r="CY2399" s="62" t="s">
        <v>1117</v>
      </c>
      <c r="DE2399" s="33" t="s">
        <v>30</v>
      </c>
    </row>
    <row r="2400" spans="103:109" ht="15" customHeight="1">
      <c r="CY2400" s="62" t="s">
        <v>780</v>
      </c>
      <c r="DE2400" s="33" t="s">
        <v>30</v>
      </c>
    </row>
    <row r="2401" spans="103:109" ht="15" customHeight="1">
      <c r="CY2401" s="62" t="s">
        <v>1118</v>
      </c>
      <c r="DE2401" s="33" t="s">
        <v>30</v>
      </c>
    </row>
    <row r="2402" spans="103:109" ht="15" customHeight="1">
      <c r="CY2402" s="62" t="s">
        <v>1119</v>
      </c>
      <c r="DE2402" s="33" t="s">
        <v>30</v>
      </c>
    </row>
    <row r="2403" spans="103:109" ht="15" customHeight="1">
      <c r="CY2403" s="62" t="s">
        <v>1120</v>
      </c>
      <c r="DE2403" s="33" t="s">
        <v>30</v>
      </c>
    </row>
    <row r="2404" spans="103:109" ht="15" customHeight="1">
      <c r="CY2404" s="62" t="s">
        <v>1121</v>
      </c>
      <c r="DE2404" s="33" t="s">
        <v>30</v>
      </c>
    </row>
    <row r="2405" spans="103:109" ht="15" customHeight="1">
      <c r="CY2405" s="62" t="s">
        <v>1122</v>
      </c>
      <c r="DE2405" s="33" t="s">
        <v>30</v>
      </c>
    </row>
    <row r="2406" spans="103:109" ht="15" customHeight="1">
      <c r="CY2406" s="62" t="s">
        <v>312</v>
      </c>
      <c r="DE2406" s="33" t="s">
        <v>30</v>
      </c>
    </row>
    <row r="2407" spans="103:109" ht="15" customHeight="1">
      <c r="CY2407" s="62" t="s">
        <v>1123</v>
      </c>
      <c r="DE2407" s="33" t="s">
        <v>30</v>
      </c>
    </row>
    <row r="2408" spans="103:109" ht="15" customHeight="1">
      <c r="CY2408" s="62" t="s">
        <v>499</v>
      </c>
      <c r="DE2408" s="33" t="s">
        <v>30</v>
      </c>
    </row>
    <row r="2409" spans="103:109" ht="15" customHeight="1">
      <c r="CY2409" s="62" t="s">
        <v>321</v>
      </c>
      <c r="DE2409" s="33" t="s">
        <v>30</v>
      </c>
    </row>
    <row r="2410" spans="103:109" ht="15" customHeight="1">
      <c r="CY2410" s="62" t="s">
        <v>324</v>
      </c>
      <c r="DE2410" s="33" t="s">
        <v>30</v>
      </c>
    </row>
    <row r="2411" spans="103:109" ht="15" customHeight="1">
      <c r="CY2411" s="62" t="s">
        <v>327</v>
      </c>
      <c r="DE2411" s="33" t="s">
        <v>30</v>
      </c>
    </row>
    <row r="2412" spans="103:109" ht="15" customHeight="1">
      <c r="CY2412" s="62" t="s">
        <v>330</v>
      </c>
      <c r="DE2412" s="33" t="s">
        <v>30</v>
      </c>
    </row>
    <row r="2413" spans="103:109" ht="15" customHeight="1">
      <c r="CY2413" s="62" t="s">
        <v>333</v>
      </c>
      <c r="DE2413" s="33" t="s">
        <v>30</v>
      </c>
    </row>
    <row r="2414" spans="103:109" ht="15" customHeight="1">
      <c r="CY2414" s="62" t="s">
        <v>336</v>
      </c>
      <c r="DE2414" s="33" t="s">
        <v>30</v>
      </c>
    </row>
    <row r="2415" spans="103:109" ht="15" customHeight="1">
      <c r="CY2415" s="62" t="s">
        <v>340</v>
      </c>
      <c r="DE2415" s="33" t="s">
        <v>30</v>
      </c>
    </row>
    <row r="2416" spans="103:109" ht="15" customHeight="1">
      <c r="CY2416" s="62" t="s">
        <v>272</v>
      </c>
      <c r="DE2416" s="33" t="s">
        <v>30</v>
      </c>
    </row>
    <row r="2417" spans="103:109" ht="15" customHeight="1">
      <c r="CY2417" s="62" t="s">
        <v>1124</v>
      </c>
      <c r="DE2417" s="33" t="s">
        <v>30</v>
      </c>
    </row>
    <row r="2418" spans="103:109" ht="15" customHeight="1">
      <c r="CY2418" s="62" t="s">
        <v>279</v>
      </c>
      <c r="DE2418" s="33" t="s">
        <v>30</v>
      </c>
    </row>
    <row r="2419" spans="103:109" ht="15" customHeight="1">
      <c r="CY2419" s="62" t="s">
        <v>282</v>
      </c>
      <c r="DE2419" s="33" t="s">
        <v>30</v>
      </c>
    </row>
    <row r="2420" spans="103:109" ht="15" customHeight="1">
      <c r="CY2420" s="62" t="s">
        <v>1125</v>
      </c>
      <c r="DE2420" s="33" t="s">
        <v>30</v>
      </c>
    </row>
    <row r="2421" spans="103:109" ht="15" customHeight="1">
      <c r="CY2421" s="62" t="s">
        <v>1126</v>
      </c>
      <c r="DE2421" s="33" t="s">
        <v>30</v>
      </c>
    </row>
    <row r="2422" spans="103:109" ht="15" customHeight="1">
      <c r="CY2422" s="62" t="s">
        <v>1127</v>
      </c>
      <c r="DE2422" s="33" t="s">
        <v>30</v>
      </c>
    </row>
    <row r="2423" spans="103:109" ht="15" customHeight="1">
      <c r="CY2423" s="62" t="s">
        <v>780</v>
      </c>
      <c r="DE2423" s="33" t="s">
        <v>30</v>
      </c>
    </row>
    <row r="2424" spans="103:109" ht="15" customHeight="1">
      <c r="CY2424" s="62" t="s">
        <v>1110</v>
      </c>
      <c r="DE2424" s="33" t="s">
        <v>30</v>
      </c>
    </row>
    <row r="2425" spans="103:109" ht="15" customHeight="1">
      <c r="CY2425" s="62" t="s">
        <v>1128</v>
      </c>
      <c r="DE2425" s="33" t="s">
        <v>30</v>
      </c>
    </row>
    <row r="2426" spans="103:109" ht="15" customHeight="1">
      <c r="CY2426" s="62" t="s">
        <v>1129</v>
      </c>
      <c r="DE2426" s="33" t="s">
        <v>30</v>
      </c>
    </row>
    <row r="2427" spans="103:109" ht="15" customHeight="1">
      <c r="CY2427" s="62" t="s">
        <v>1130</v>
      </c>
      <c r="DE2427" s="33" t="s">
        <v>30</v>
      </c>
    </row>
    <row r="2428" spans="103:109" ht="15" customHeight="1">
      <c r="CY2428" s="62" t="s">
        <v>1103</v>
      </c>
      <c r="DE2428" s="33" t="s">
        <v>30</v>
      </c>
    </row>
    <row r="2429" spans="103:109" ht="15" customHeight="1">
      <c r="CY2429" s="62" t="s">
        <v>312</v>
      </c>
      <c r="DE2429" s="33" t="s">
        <v>30</v>
      </c>
    </row>
    <row r="2430" spans="103:109" ht="15" customHeight="1">
      <c r="CY2430" s="62" t="s">
        <v>1104</v>
      </c>
      <c r="DE2430" s="33" t="s">
        <v>30</v>
      </c>
    </row>
    <row r="2431" spans="103:109" ht="15" customHeight="1">
      <c r="CY2431" s="62" t="s">
        <v>1105</v>
      </c>
      <c r="DE2431" s="33" t="s">
        <v>30</v>
      </c>
    </row>
    <row r="2432" spans="103:109" ht="15" customHeight="1">
      <c r="CY2432" s="62" t="s">
        <v>321</v>
      </c>
      <c r="DE2432" s="33" t="s">
        <v>30</v>
      </c>
    </row>
    <row r="2433" spans="103:109" ht="15" customHeight="1">
      <c r="CY2433" s="62" t="s">
        <v>324</v>
      </c>
      <c r="DE2433" s="33" t="s">
        <v>30</v>
      </c>
    </row>
    <row r="2434" spans="103:109" ht="15" customHeight="1">
      <c r="CY2434" s="62" t="s">
        <v>327</v>
      </c>
      <c r="DE2434" s="33" t="s">
        <v>30</v>
      </c>
    </row>
    <row r="2435" spans="103:109" ht="15" customHeight="1">
      <c r="CY2435" s="62" t="s">
        <v>330</v>
      </c>
      <c r="DE2435" s="33" t="s">
        <v>30</v>
      </c>
    </row>
    <row r="2436" spans="103:109" ht="15" customHeight="1">
      <c r="CY2436" s="62" t="s">
        <v>333</v>
      </c>
      <c r="DE2436" s="33" t="s">
        <v>30</v>
      </c>
    </row>
    <row r="2437" spans="103:109" ht="15" customHeight="1">
      <c r="CY2437" s="62" t="s">
        <v>336</v>
      </c>
      <c r="DE2437" s="33" t="s">
        <v>30</v>
      </c>
    </row>
    <row r="2438" spans="103:109" ht="15" customHeight="1">
      <c r="CY2438" s="62" t="s">
        <v>340</v>
      </c>
      <c r="DE2438" s="33" t="s">
        <v>30</v>
      </c>
    </row>
    <row r="2439" spans="103:109" ht="15" customHeight="1">
      <c r="CY2439" s="62" t="s">
        <v>272</v>
      </c>
      <c r="DE2439" s="33" t="s">
        <v>30</v>
      </c>
    </row>
    <row r="2440" spans="103:109" ht="15" customHeight="1">
      <c r="CY2440" s="62" t="s">
        <v>1131</v>
      </c>
      <c r="DE2440" s="33" t="s">
        <v>30</v>
      </c>
    </row>
    <row r="2441" spans="103:109" ht="15" customHeight="1">
      <c r="CY2441" s="62" t="s">
        <v>279</v>
      </c>
      <c r="DE2441" s="33" t="s">
        <v>30</v>
      </c>
    </row>
    <row r="2442" spans="103:109" ht="15" customHeight="1">
      <c r="CY2442" s="62" t="s">
        <v>282</v>
      </c>
      <c r="DE2442" s="33" t="s">
        <v>30</v>
      </c>
    </row>
    <row r="2443" spans="103:109" ht="15" customHeight="1">
      <c r="CY2443" s="62" t="s">
        <v>1132</v>
      </c>
      <c r="DE2443" s="33" t="s">
        <v>30</v>
      </c>
    </row>
    <row r="2444" spans="103:109" ht="15" customHeight="1">
      <c r="CY2444" s="62" t="s">
        <v>1133</v>
      </c>
      <c r="DE2444" s="33" t="s">
        <v>30</v>
      </c>
    </row>
    <row r="2445" spans="103:109" ht="15" customHeight="1">
      <c r="CY2445" s="62" t="s">
        <v>1134</v>
      </c>
      <c r="DE2445" s="33" t="s">
        <v>30</v>
      </c>
    </row>
    <row r="2446" spans="103:109" ht="15" customHeight="1">
      <c r="CY2446" s="62" t="s">
        <v>734</v>
      </c>
      <c r="DE2446" s="33" t="s">
        <v>30</v>
      </c>
    </row>
    <row r="2447" spans="103:109" ht="15" customHeight="1">
      <c r="CY2447" s="62" t="s">
        <v>1135</v>
      </c>
      <c r="DE2447" s="33" t="s">
        <v>30</v>
      </c>
    </row>
    <row r="2448" spans="103:109" ht="15" customHeight="1">
      <c r="CY2448" s="62" t="s">
        <v>1136</v>
      </c>
      <c r="DE2448" s="33" t="s">
        <v>30</v>
      </c>
    </row>
    <row r="2449" spans="103:109" ht="15" customHeight="1">
      <c r="CY2449" s="62" t="s">
        <v>1137</v>
      </c>
      <c r="DE2449" s="33" t="s">
        <v>30</v>
      </c>
    </row>
    <row r="2450" spans="103:109" ht="15" customHeight="1">
      <c r="CY2450" s="62" t="s">
        <v>1138</v>
      </c>
      <c r="DE2450" s="33" t="s">
        <v>30</v>
      </c>
    </row>
    <row r="2451" spans="103:109" ht="15" customHeight="1">
      <c r="CY2451" s="62" t="s">
        <v>1139</v>
      </c>
      <c r="DE2451" s="33" t="s">
        <v>30</v>
      </c>
    </row>
    <row r="2452" spans="103:109" ht="15" customHeight="1">
      <c r="CY2452" s="62" t="s">
        <v>312</v>
      </c>
      <c r="DE2452" s="33" t="s">
        <v>30</v>
      </c>
    </row>
    <row r="2453" spans="103:109" ht="15" customHeight="1">
      <c r="CY2453" s="62" t="s">
        <v>1140</v>
      </c>
      <c r="DE2453" s="33" t="s">
        <v>30</v>
      </c>
    </row>
    <row r="2454" spans="103:109" ht="15" customHeight="1">
      <c r="CY2454" s="62" t="s">
        <v>1141</v>
      </c>
      <c r="DE2454" s="33" t="s">
        <v>30</v>
      </c>
    </row>
    <row r="2455" spans="103:109" ht="15" customHeight="1">
      <c r="CY2455" s="62" t="s">
        <v>321</v>
      </c>
      <c r="DE2455" s="33" t="s">
        <v>30</v>
      </c>
    </row>
    <row r="2456" spans="103:109" ht="15" customHeight="1">
      <c r="CY2456" s="62" t="s">
        <v>324</v>
      </c>
      <c r="DE2456" s="33" t="s">
        <v>30</v>
      </c>
    </row>
    <row r="2457" spans="103:109" ht="15" customHeight="1">
      <c r="CY2457" s="62" t="s">
        <v>327</v>
      </c>
      <c r="DE2457" s="33" t="s">
        <v>30</v>
      </c>
    </row>
    <row r="2458" spans="103:109" ht="15" customHeight="1">
      <c r="CY2458" s="62" t="s">
        <v>330</v>
      </c>
      <c r="DE2458" s="33" t="s">
        <v>30</v>
      </c>
    </row>
    <row r="2459" spans="103:109" ht="15" customHeight="1">
      <c r="CY2459" s="62" t="s">
        <v>333</v>
      </c>
      <c r="DE2459" s="33" t="s">
        <v>30</v>
      </c>
    </row>
    <row r="2460" spans="103:109" ht="15" customHeight="1">
      <c r="CY2460" s="62" t="s">
        <v>336</v>
      </c>
      <c r="DE2460" s="33" t="s">
        <v>30</v>
      </c>
    </row>
    <row r="2461" spans="103:109" ht="15" customHeight="1">
      <c r="CY2461" s="62" t="s">
        <v>340</v>
      </c>
      <c r="DE2461" s="33" t="s">
        <v>30</v>
      </c>
    </row>
    <row r="2462" spans="103:109" ht="15" customHeight="1">
      <c r="CY2462" s="62" t="s">
        <v>272</v>
      </c>
      <c r="DE2462" s="33" t="s">
        <v>30</v>
      </c>
    </row>
    <row r="2463" spans="103:109" ht="15" customHeight="1">
      <c r="CY2463" s="62" t="s">
        <v>1142</v>
      </c>
      <c r="DE2463" s="33" t="s">
        <v>30</v>
      </c>
    </row>
    <row r="2464" spans="103:109" ht="15" customHeight="1">
      <c r="CY2464" s="62" t="s">
        <v>279</v>
      </c>
      <c r="DE2464" s="33" t="s">
        <v>30</v>
      </c>
    </row>
    <row r="2465" spans="103:109" ht="15" customHeight="1">
      <c r="CY2465" s="62" t="s">
        <v>282</v>
      </c>
      <c r="DE2465" s="33" t="s">
        <v>30</v>
      </c>
    </row>
    <row r="2466" spans="103:109" ht="15" customHeight="1">
      <c r="CY2466" s="62" t="s">
        <v>1143</v>
      </c>
      <c r="DE2466" s="33" t="s">
        <v>30</v>
      </c>
    </row>
    <row r="2467" spans="103:109" ht="15" customHeight="1">
      <c r="CY2467" s="62" t="s">
        <v>1144</v>
      </c>
      <c r="DE2467" s="33" t="s">
        <v>30</v>
      </c>
    </row>
    <row r="2468" spans="103:109" ht="15" customHeight="1">
      <c r="CY2468" s="62" t="s">
        <v>1145</v>
      </c>
      <c r="DE2468" s="33" t="s">
        <v>30</v>
      </c>
    </row>
    <row r="2469" spans="103:109" ht="15" customHeight="1">
      <c r="CY2469" s="62" t="s">
        <v>727</v>
      </c>
      <c r="DE2469" s="33" t="s">
        <v>30</v>
      </c>
    </row>
    <row r="2470" spans="103:109" ht="15" customHeight="1">
      <c r="CY2470" s="62" t="s">
        <v>1146</v>
      </c>
      <c r="DE2470" s="33" t="s">
        <v>30</v>
      </c>
    </row>
    <row r="2471" spans="103:109" ht="15" customHeight="1">
      <c r="CY2471" s="62" t="s">
        <v>1147</v>
      </c>
      <c r="DE2471" s="33" t="s">
        <v>30</v>
      </c>
    </row>
    <row r="2472" spans="103:109" ht="15" customHeight="1">
      <c r="CY2472" s="62" t="s">
        <v>1148</v>
      </c>
      <c r="DE2472" s="33" t="s">
        <v>30</v>
      </c>
    </row>
    <row r="2473" spans="103:109" ht="15" customHeight="1">
      <c r="CY2473" s="62" t="s">
        <v>1149</v>
      </c>
      <c r="DE2473" s="33" t="s">
        <v>30</v>
      </c>
    </row>
    <row r="2474" spans="103:109" ht="15" customHeight="1">
      <c r="CY2474" s="62" t="s">
        <v>1150</v>
      </c>
      <c r="DE2474" s="33" t="s">
        <v>30</v>
      </c>
    </row>
    <row r="2475" spans="103:109" ht="15" customHeight="1">
      <c r="CY2475" s="62" t="s">
        <v>312</v>
      </c>
      <c r="DE2475" s="33" t="s">
        <v>30</v>
      </c>
    </row>
    <row r="2476" spans="103:109" ht="15" customHeight="1">
      <c r="CY2476" s="62" t="s">
        <v>1151</v>
      </c>
      <c r="DE2476" s="33" t="s">
        <v>30</v>
      </c>
    </row>
    <row r="2477" spans="103:109" ht="15" customHeight="1">
      <c r="CY2477" s="62" t="s">
        <v>529</v>
      </c>
      <c r="DE2477" s="33" t="s">
        <v>30</v>
      </c>
    </row>
    <row r="2478" spans="103:109" ht="15" customHeight="1">
      <c r="CY2478" s="62" t="s">
        <v>321</v>
      </c>
      <c r="DE2478" s="33" t="s">
        <v>30</v>
      </c>
    </row>
    <row r="2479" spans="103:109" ht="15" customHeight="1">
      <c r="CY2479" s="62" t="s">
        <v>324</v>
      </c>
      <c r="DE2479" s="33" t="s">
        <v>30</v>
      </c>
    </row>
    <row r="2480" spans="103:109" ht="15" customHeight="1">
      <c r="CY2480" s="62" t="s">
        <v>327</v>
      </c>
      <c r="DE2480" s="33" t="s">
        <v>30</v>
      </c>
    </row>
    <row r="2481" spans="103:109" ht="15" customHeight="1">
      <c r="CY2481" s="62" t="s">
        <v>330</v>
      </c>
      <c r="DE2481" s="33" t="s">
        <v>30</v>
      </c>
    </row>
    <row r="2482" spans="103:109" ht="15" customHeight="1">
      <c r="CY2482" s="62" t="s">
        <v>333</v>
      </c>
      <c r="DE2482" s="33" t="s">
        <v>30</v>
      </c>
    </row>
    <row r="2483" spans="103:109" ht="15" customHeight="1">
      <c r="CY2483" s="62" t="s">
        <v>336</v>
      </c>
      <c r="DE2483" s="33" t="s">
        <v>30</v>
      </c>
    </row>
    <row r="2484" spans="103:109" ht="15" customHeight="1">
      <c r="CY2484" s="62" t="s">
        <v>340</v>
      </c>
      <c r="DE2484" s="33" t="s">
        <v>30</v>
      </c>
    </row>
    <row r="2485" spans="103:109" ht="15" customHeight="1">
      <c r="CY2485" s="62" t="s">
        <v>272</v>
      </c>
      <c r="DE2485" s="33" t="s">
        <v>30</v>
      </c>
    </row>
    <row r="2486" spans="103:109" ht="15" customHeight="1">
      <c r="CY2486" s="62" t="s">
        <v>1152</v>
      </c>
      <c r="DE2486" s="33" t="s">
        <v>30</v>
      </c>
    </row>
    <row r="2487" spans="103:109" ht="15" customHeight="1">
      <c r="CY2487" s="62" t="s">
        <v>279</v>
      </c>
      <c r="DE2487" s="33" t="s">
        <v>30</v>
      </c>
    </row>
    <row r="2488" spans="103:109" ht="15" customHeight="1">
      <c r="CY2488" s="62" t="s">
        <v>282</v>
      </c>
      <c r="DE2488" s="33" t="s">
        <v>30</v>
      </c>
    </row>
    <row r="2489" spans="103:109" ht="15" customHeight="1">
      <c r="CY2489" s="62" t="s">
        <v>1153</v>
      </c>
      <c r="DE2489" s="33" t="s">
        <v>30</v>
      </c>
    </row>
    <row r="2490" spans="103:109" ht="15" customHeight="1">
      <c r="CY2490" s="62" t="s">
        <v>1154</v>
      </c>
      <c r="DE2490" s="33" t="s">
        <v>30</v>
      </c>
    </row>
    <row r="2491" spans="103:109" ht="15" customHeight="1">
      <c r="CY2491" s="62" t="s">
        <v>1155</v>
      </c>
      <c r="DE2491" s="33" t="s">
        <v>30</v>
      </c>
    </row>
    <row r="2492" spans="103:109" ht="15" customHeight="1">
      <c r="CY2492" s="62" t="s">
        <v>741</v>
      </c>
      <c r="DE2492" s="33" t="s">
        <v>30</v>
      </c>
    </row>
    <row r="2493" spans="103:109" ht="15" customHeight="1">
      <c r="CY2493" s="62" t="s">
        <v>1156</v>
      </c>
      <c r="DE2493" s="33" t="s">
        <v>30</v>
      </c>
    </row>
    <row r="2494" spans="103:109" ht="15" customHeight="1">
      <c r="CY2494" s="62" t="s">
        <v>1157</v>
      </c>
      <c r="DE2494" s="33" t="s">
        <v>30</v>
      </c>
    </row>
    <row r="2495" spans="103:109" ht="15" customHeight="1">
      <c r="CY2495" s="62" t="s">
        <v>1158</v>
      </c>
      <c r="DE2495" s="33" t="s">
        <v>30</v>
      </c>
    </row>
    <row r="2496" spans="103:109" ht="15" customHeight="1">
      <c r="CY2496" s="62" t="s">
        <v>1159</v>
      </c>
      <c r="DE2496" s="33" t="s">
        <v>30</v>
      </c>
    </row>
    <row r="2497" spans="103:109" ht="15" customHeight="1">
      <c r="CY2497" s="62" t="s">
        <v>1160</v>
      </c>
      <c r="DE2497" s="33" t="s">
        <v>30</v>
      </c>
    </row>
    <row r="2498" spans="103:109" ht="15" customHeight="1">
      <c r="CY2498" s="62" t="s">
        <v>312</v>
      </c>
      <c r="DE2498" s="33" t="s">
        <v>30</v>
      </c>
    </row>
    <row r="2499" spans="103:109" ht="15" customHeight="1">
      <c r="CY2499" s="62" t="s">
        <v>1161</v>
      </c>
      <c r="DE2499" s="33" t="s">
        <v>30</v>
      </c>
    </row>
    <row r="2500" spans="103:109" ht="15" customHeight="1">
      <c r="CY2500" s="62" t="s">
        <v>1162</v>
      </c>
      <c r="DE2500" s="33" t="s">
        <v>30</v>
      </c>
    </row>
    <row r="2501" spans="103:109" ht="15" customHeight="1">
      <c r="CY2501" s="62" t="s">
        <v>321</v>
      </c>
      <c r="DE2501" s="33" t="s">
        <v>30</v>
      </c>
    </row>
    <row r="2502" spans="103:109" ht="15" customHeight="1">
      <c r="CY2502" s="62" t="s">
        <v>324</v>
      </c>
      <c r="DE2502" s="33" t="s">
        <v>30</v>
      </c>
    </row>
    <row r="2503" spans="103:109" ht="15" customHeight="1">
      <c r="CY2503" s="62" t="s">
        <v>327</v>
      </c>
      <c r="DE2503" s="33" t="s">
        <v>30</v>
      </c>
    </row>
    <row r="2504" spans="103:109" ht="15" customHeight="1">
      <c r="CY2504" s="62" t="s">
        <v>330</v>
      </c>
      <c r="DE2504" s="33" t="s">
        <v>30</v>
      </c>
    </row>
    <row r="2505" spans="103:109" ht="15" customHeight="1">
      <c r="CY2505" s="62" t="s">
        <v>333</v>
      </c>
      <c r="DE2505" s="33" t="s">
        <v>30</v>
      </c>
    </row>
    <row r="2506" spans="103:109" ht="15" customHeight="1">
      <c r="CY2506" s="62" t="s">
        <v>444</v>
      </c>
      <c r="DE2506" s="33" t="s">
        <v>30</v>
      </c>
    </row>
    <row r="2507" spans="103:109" ht="15" customHeight="1">
      <c r="CY2507" s="62" t="s">
        <v>445</v>
      </c>
      <c r="DE2507" s="33" t="s">
        <v>30</v>
      </c>
    </row>
    <row r="2508" spans="103:109" ht="15" customHeight="1">
      <c r="CY2508" s="62" t="s">
        <v>446</v>
      </c>
      <c r="DE2508" s="33" t="s">
        <v>30</v>
      </c>
    </row>
    <row r="2509" spans="103:109" ht="15" customHeight="1">
      <c r="CY2509" s="62" t="s">
        <v>453</v>
      </c>
      <c r="DE2509" s="33" t="s">
        <v>30</v>
      </c>
    </row>
    <row r="2510" spans="103:109" ht="15" customHeight="1">
      <c r="CY2510" s="62" t="s">
        <v>448</v>
      </c>
      <c r="DE2510" s="33" t="s">
        <v>30</v>
      </c>
    </row>
    <row r="2511" spans="103:109" ht="15" customHeight="1">
      <c r="CY2511" s="62" t="s">
        <v>449</v>
      </c>
      <c r="DE2511" s="33" t="s">
        <v>30</v>
      </c>
    </row>
    <row r="2512" spans="103:109" ht="15" customHeight="1">
      <c r="CY2512" s="62" t="s">
        <v>474</v>
      </c>
      <c r="DE2512" s="33" t="s">
        <v>30</v>
      </c>
    </row>
    <row r="2513" spans="103:109" ht="15" customHeight="1">
      <c r="CY2513" s="62" t="s">
        <v>451</v>
      </c>
      <c r="DE2513" s="33" t="s">
        <v>30</v>
      </c>
    </row>
    <row r="2514" spans="103:109" ht="15" customHeight="1">
      <c r="CY2514" s="62" t="s">
        <v>456</v>
      </c>
      <c r="DE2514" s="33" t="s">
        <v>30</v>
      </c>
    </row>
    <row r="2515" spans="103:109" ht="15" customHeight="1">
      <c r="CY2515" s="62" t="s">
        <v>457</v>
      </c>
      <c r="DE2515" s="33" t="s">
        <v>30</v>
      </c>
    </row>
    <row r="2516" spans="103:109" ht="15" customHeight="1">
      <c r="CY2516" s="62" t="s">
        <v>340</v>
      </c>
      <c r="DE2516" s="33" t="s">
        <v>30</v>
      </c>
    </row>
    <row r="2517" spans="103:109" ht="15" customHeight="1">
      <c r="CY2517" s="62" t="s">
        <v>272</v>
      </c>
      <c r="DE2517" s="33" t="s">
        <v>30</v>
      </c>
    </row>
    <row r="2518" spans="103:109" ht="15" customHeight="1">
      <c r="CY2518" s="62" t="s">
        <v>1163</v>
      </c>
      <c r="DE2518" s="33" t="s">
        <v>30</v>
      </c>
    </row>
    <row r="2519" spans="103:109" ht="15" customHeight="1">
      <c r="CY2519" s="62" t="s">
        <v>279</v>
      </c>
      <c r="DE2519" s="33" t="s">
        <v>30</v>
      </c>
    </row>
    <row r="2520" spans="103:109" ht="15" customHeight="1">
      <c r="CY2520" s="62" t="s">
        <v>282</v>
      </c>
      <c r="DE2520" s="33" t="s">
        <v>30</v>
      </c>
    </row>
    <row r="2521" spans="103:109" ht="15" customHeight="1">
      <c r="CY2521" s="62" t="s">
        <v>1164</v>
      </c>
      <c r="DE2521" s="33" t="s">
        <v>30</v>
      </c>
    </row>
    <row r="2522" spans="103:109" ht="15" customHeight="1">
      <c r="CY2522" s="62" t="s">
        <v>1165</v>
      </c>
      <c r="DE2522" s="33" t="s">
        <v>30</v>
      </c>
    </row>
    <row r="2523" spans="103:109" ht="15" customHeight="1">
      <c r="CY2523" s="62" t="s">
        <v>1166</v>
      </c>
      <c r="DE2523" s="33" t="s">
        <v>30</v>
      </c>
    </row>
    <row r="2524" spans="103:109" ht="15" customHeight="1">
      <c r="CY2524" s="62" t="s">
        <v>639</v>
      </c>
      <c r="DE2524" s="33" t="s">
        <v>30</v>
      </c>
    </row>
    <row r="2525" spans="103:109" ht="15" customHeight="1">
      <c r="CY2525" s="62" t="s">
        <v>1167</v>
      </c>
      <c r="DE2525" s="33" t="s">
        <v>30</v>
      </c>
    </row>
    <row r="2526" spans="103:109" ht="15" customHeight="1">
      <c r="CY2526" s="62" t="s">
        <v>1168</v>
      </c>
      <c r="DE2526" s="33" t="s">
        <v>30</v>
      </c>
    </row>
    <row r="2527" spans="103:109" ht="15" customHeight="1">
      <c r="CY2527" s="62" t="s">
        <v>1169</v>
      </c>
      <c r="DE2527" s="33" t="s">
        <v>30</v>
      </c>
    </row>
    <row r="2528" spans="103:109" ht="15" customHeight="1">
      <c r="CY2528" s="62" t="s">
        <v>1170</v>
      </c>
      <c r="DE2528" s="33" t="s">
        <v>30</v>
      </c>
    </row>
    <row r="2529" spans="103:109" ht="15" customHeight="1">
      <c r="CY2529" s="62" t="s">
        <v>1171</v>
      </c>
      <c r="DE2529" s="33" t="s">
        <v>30</v>
      </c>
    </row>
    <row r="2530" spans="103:109" ht="15" customHeight="1">
      <c r="CY2530" s="62" t="s">
        <v>312</v>
      </c>
      <c r="DE2530" s="33" t="s">
        <v>30</v>
      </c>
    </row>
    <row r="2531" spans="103:109" ht="15" customHeight="1">
      <c r="CY2531" s="62" t="s">
        <v>1172</v>
      </c>
      <c r="DE2531" s="33" t="s">
        <v>30</v>
      </c>
    </row>
    <row r="2532" spans="103:109" ht="15" customHeight="1">
      <c r="CY2532" s="62" t="s">
        <v>1173</v>
      </c>
      <c r="DE2532" s="33" t="s">
        <v>30</v>
      </c>
    </row>
    <row r="2533" spans="103:109" ht="15" customHeight="1">
      <c r="CY2533" s="62" t="s">
        <v>552</v>
      </c>
      <c r="DE2533" s="33" t="s">
        <v>30</v>
      </c>
    </row>
    <row r="2534" spans="103:109" ht="15" customHeight="1">
      <c r="CY2534" s="62" t="s">
        <v>324</v>
      </c>
      <c r="DE2534" s="33" t="s">
        <v>30</v>
      </c>
    </row>
    <row r="2535" spans="103:109" ht="15" customHeight="1">
      <c r="CY2535" s="62" t="s">
        <v>327</v>
      </c>
      <c r="DE2535" s="33" t="s">
        <v>30</v>
      </c>
    </row>
    <row r="2536" spans="103:109" ht="15" customHeight="1">
      <c r="CY2536" s="62" t="s">
        <v>330</v>
      </c>
      <c r="DE2536" s="33" t="s">
        <v>30</v>
      </c>
    </row>
    <row r="2537" spans="103:109" ht="15" customHeight="1">
      <c r="CY2537" s="62" t="s">
        <v>333</v>
      </c>
      <c r="DE2537" s="33" t="s">
        <v>30</v>
      </c>
    </row>
    <row r="2538" spans="103:109" ht="15" customHeight="1">
      <c r="CY2538" s="62" t="s">
        <v>336</v>
      </c>
      <c r="DE2538" s="33" t="s">
        <v>30</v>
      </c>
    </row>
    <row r="2539" spans="103:109" ht="15" customHeight="1">
      <c r="CY2539" s="62" t="s">
        <v>340</v>
      </c>
      <c r="DE2539" s="33" t="s">
        <v>30</v>
      </c>
    </row>
    <row r="2540" spans="103:109" ht="15" customHeight="1">
      <c r="CY2540" s="62" t="s">
        <v>272</v>
      </c>
      <c r="DE2540" s="33" t="s">
        <v>30</v>
      </c>
    </row>
    <row r="2541" spans="103:109" ht="15" customHeight="1">
      <c r="CY2541" s="62" t="s">
        <v>1174</v>
      </c>
      <c r="DE2541" s="33" t="s">
        <v>30</v>
      </c>
    </row>
    <row r="2542" spans="103:109" ht="15" customHeight="1">
      <c r="CY2542" s="62" t="s">
        <v>279</v>
      </c>
      <c r="DE2542" s="33" t="s">
        <v>30</v>
      </c>
    </row>
    <row r="2543" spans="103:109" ht="15" customHeight="1">
      <c r="CY2543" s="62" t="s">
        <v>282</v>
      </c>
      <c r="DE2543" s="33" t="s">
        <v>30</v>
      </c>
    </row>
    <row r="2544" spans="103:109" ht="15" customHeight="1">
      <c r="CY2544" s="62" t="s">
        <v>1175</v>
      </c>
      <c r="DE2544" s="33" t="s">
        <v>30</v>
      </c>
    </row>
    <row r="2545" spans="103:109" ht="15" customHeight="1">
      <c r="CY2545" s="62" t="s">
        <v>1176</v>
      </c>
      <c r="DE2545" s="33" t="s">
        <v>30</v>
      </c>
    </row>
    <row r="2546" spans="103:109" ht="15" customHeight="1">
      <c r="CY2546" s="62" t="s">
        <v>1177</v>
      </c>
      <c r="DE2546" s="33" t="s">
        <v>30</v>
      </c>
    </row>
    <row r="2547" spans="103:109" ht="15" customHeight="1">
      <c r="CY2547" s="62" t="s">
        <v>654</v>
      </c>
      <c r="DE2547" s="33" t="s">
        <v>30</v>
      </c>
    </row>
    <row r="2548" spans="103:109" ht="15" customHeight="1">
      <c r="CY2548" s="62" t="s">
        <v>1178</v>
      </c>
      <c r="DE2548" s="33" t="s">
        <v>30</v>
      </c>
    </row>
    <row r="2549" spans="103:109" ht="15" customHeight="1">
      <c r="CY2549" s="62" t="s">
        <v>1179</v>
      </c>
      <c r="DE2549" s="33" t="s">
        <v>30</v>
      </c>
    </row>
    <row r="2550" spans="103:109" ht="15" customHeight="1">
      <c r="CY2550" s="62" t="s">
        <v>1180</v>
      </c>
      <c r="DE2550" s="33" t="s">
        <v>30</v>
      </c>
    </row>
    <row r="2551" spans="103:109" ht="15" customHeight="1">
      <c r="CY2551" s="62" t="s">
        <v>1181</v>
      </c>
      <c r="DE2551" s="33" t="s">
        <v>30</v>
      </c>
    </row>
    <row r="2552" spans="103:109" ht="15" customHeight="1">
      <c r="CY2552" s="62" t="s">
        <v>1182</v>
      </c>
      <c r="DE2552" s="33" t="s">
        <v>30</v>
      </c>
    </row>
    <row r="2553" spans="103:109" ht="15" customHeight="1">
      <c r="CY2553" s="62" t="s">
        <v>312</v>
      </c>
      <c r="DE2553" s="33" t="s">
        <v>30</v>
      </c>
    </row>
    <row r="2554" spans="103:109" ht="15" customHeight="1">
      <c r="CY2554" s="62" t="s">
        <v>1183</v>
      </c>
      <c r="DE2554" s="33" t="s">
        <v>30</v>
      </c>
    </row>
    <row r="2555" spans="103:109" ht="15" customHeight="1">
      <c r="CY2555" s="62" t="s">
        <v>1184</v>
      </c>
      <c r="DE2555" s="33" t="s">
        <v>30</v>
      </c>
    </row>
    <row r="2556" spans="103:109" ht="15" customHeight="1">
      <c r="CY2556" s="62" t="s">
        <v>552</v>
      </c>
      <c r="DE2556" s="33" t="s">
        <v>30</v>
      </c>
    </row>
    <row r="2557" spans="103:109" ht="15" customHeight="1">
      <c r="CY2557" s="62" t="s">
        <v>324</v>
      </c>
      <c r="DE2557" s="33" t="s">
        <v>30</v>
      </c>
    </row>
    <row r="2558" spans="103:109" ht="15" customHeight="1">
      <c r="CY2558" s="62" t="s">
        <v>327</v>
      </c>
      <c r="DE2558" s="33" t="s">
        <v>30</v>
      </c>
    </row>
    <row r="2559" spans="103:109" ht="15" customHeight="1">
      <c r="CY2559" s="62" t="s">
        <v>330</v>
      </c>
      <c r="DE2559" s="33" t="s">
        <v>30</v>
      </c>
    </row>
    <row r="2560" spans="103:109" ht="15" customHeight="1">
      <c r="CY2560" s="62" t="s">
        <v>333</v>
      </c>
      <c r="DE2560" s="33" t="s">
        <v>30</v>
      </c>
    </row>
    <row r="2561" spans="103:109" ht="15" customHeight="1">
      <c r="CY2561" s="62" t="s">
        <v>336</v>
      </c>
      <c r="DE2561" s="33" t="s">
        <v>30</v>
      </c>
    </row>
    <row r="2562" spans="103:109" ht="15" customHeight="1">
      <c r="CY2562" s="62" t="s">
        <v>340</v>
      </c>
      <c r="DE2562" s="33" t="s">
        <v>30</v>
      </c>
    </row>
    <row r="2563" spans="103:109" ht="15" customHeight="1">
      <c r="CY2563" s="62" t="s">
        <v>272</v>
      </c>
      <c r="DE2563" s="33" t="s">
        <v>30</v>
      </c>
    </row>
    <row r="2564" spans="103:109" ht="15" customHeight="1">
      <c r="CY2564" s="62" t="s">
        <v>1185</v>
      </c>
      <c r="DE2564" s="33" t="s">
        <v>30</v>
      </c>
    </row>
    <row r="2565" spans="103:109" ht="15" customHeight="1">
      <c r="CY2565" s="62" t="s">
        <v>279</v>
      </c>
      <c r="DE2565" s="33" t="s">
        <v>30</v>
      </c>
    </row>
    <row r="2566" spans="103:109" ht="15" customHeight="1">
      <c r="CY2566" s="62" t="s">
        <v>282</v>
      </c>
      <c r="DE2566" s="33" t="s">
        <v>30</v>
      </c>
    </row>
    <row r="2567" spans="103:109" ht="15" customHeight="1">
      <c r="CY2567" s="62" t="s">
        <v>1186</v>
      </c>
      <c r="DE2567" s="33" t="s">
        <v>30</v>
      </c>
    </row>
    <row r="2568" spans="103:109" ht="15" customHeight="1">
      <c r="CY2568" s="62" t="s">
        <v>1187</v>
      </c>
      <c r="DE2568" s="33" t="s">
        <v>30</v>
      </c>
    </row>
    <row r="2569" spans="103:109" ht="15" customHeight="1">
      <c r="CY2569" s="62" t="s">
        <v>1188</v>
      </c>
      <c r="DE2569" s="33" t="s">
        <v>30</v>
      </c>
    </row>
    <row r="2570" spans="103:109" ht="15" customHeight="1">
      <c r="CY2570" s="62" t="s">
        <v>1189</v>
      </c>
      <c r="DE2570" s="33" t="s">
        <v>30</v>
      </c>
    </row>
    <row r="2571" spans="103:109" ht="15" customHeight="1">
      <c r="CY2571" s="62" t="s">
        <v>1190</v>
      </c>
      <c r="DE2571" s="33" t="s">
        <v>30</v>
      </c>
    </row>
    <row r="2572" spans="103:109" ht="15" customHeight="1">
      <c r="CY2572" s="62" t="s">
        <v>1191</v>
      </c>
      <c r="DE2572" s="33" t="s">
        <v>30</v>
      </c>
    </row>
    <row r="2573" spans="103:109" ht="15" customHeight="1">
      <c r="CY2573" s="62" t="s">
        <v>1192</v>
      </c>
      <c r="DE2573" s="33" t="s">
        <v>30</v>
      </c>
    </row>
    <row r="2574" spans="103:109" ht="15" customHeight="1">
      <c r="CY2574" s="62" t="s">
        <v>1193</v>
      </c>
      <c r="DE2574" s="33" t="s">
        <v>30</v>
      </c>
    </row>
    <row r="2575" spans="103:109" ht="15" customHeight="1">
      <c r="CY2575" s="62" t="s">
        <v>985</v>
      </c>
      <c r="DE2575" s="33" t="s">
        <v>30</v>
      </c>
    </row>
    <row r="2576" spans="103:109" ht="15" customHeight="1">
      <c r="CY2576" s="62" t="s">
        <v>312</v>
      </c>
      <c r="DE2576" s="33" t="s">
        <v>30</v>
      </c>
    </row>
    <row r="2577" spans="103:109" ht="15" customHeight="1">
      <c r="CY2577" s="62" t="s">
        <v>986</v>
      </c>
      <c r="DE2577" s="33" t="s">
        <v>30</v>
      </c>
    </row>
    <row r="2578" spans="103:109" ht="15" customHeight="1">
      <c r="CY2578" s="62" t="s">
        <v>987</v>
      </c>
      <c r="DE2578" s="33" t="s">
        <v>30</v>
      </c>
    </row>
    <row r="2579" spans="103:109" ht="15" customHeight="1">
      <c r="CY2579" s="62" t="s">
        <v>321</v>
      </c>
      <c r="DE2579" s="33" t="s">
        <v>30</v>
      </c>
    </row>
    <row r="2580" spans="103:109" ht="15" customHeight="1">
      <c r="CY2580" s="62" t="s">
        <v>324</v>
      </c>
      <c r="DE2580" s="33" t="s">
        <v>30</v>
      </c>
    </row>
    <row r="2581" spans="103:109" ht="15" customHeight="1">
      <c r="CY2581" s="62" t="s">
        <v>327</v>
      </c>
      <c r="DE2581" s="33" t="s">
        <v>30</v>
      </c>
    </row>
    <row r="2582" spans="103:109" ht="15" customHeight="1">
      <c r="CY2582" s="62" t="s">
        <v>330</v>
      </c>
      <c r="DE2582" s="33" t="s">
        <v>30</v>
      </c>
    </row>
    <row r="2583" spans="103:109" ht="15" customHeight="1">
      <c r="CY2583" s="62" t="s">
        <v>333</v>
      </c>
      <c r="DE2583" s="33" t="s">
        <v>30</v>
      </c>
    </row>
    <row r="2584" spans="103:109" ht="15" customHeight="1">
      <c r="CY2584" s="62" t="s">
        <v>336</v>
      </c>
      <c r="DE2584" s="33" t="s">
        <v>30</v>
      </c>
    </row>
    <row r="2585" spans="103:109" ht="15" customHeight="1">
      <c r="CY2585" s="62" t="s">
        <v>340</v>
      </c>
      <c r="DE2585" s="33" t="s">
        <v>30</v>
      </c>
    </row>
    <row r="2586" spans="103:109" ht="15" customHeight="1">
      <c r="CY2586" s="62" t="s">
        <v>272</v>
      </c>
      <c r="DE2586" s="33" t="s">
        <v>30</v>
      </c>
    </row>
    <row r="2587" spans="103:109" ht="15" customHeight="1">
      <c r="CY2587" s="62" t="s">
        <v>1194</v>
      </c>
      <c r="DE2587" s="33" t="s">
        <v>30</v>
      </c>
    </row>
    <row r="2588" spans="103:109" ht="15" customHeight="1">
      <c r="CY2588" s="62" t="s">
        <v>279</v>
      </c>
      <c r="DE2588" s="33" t="s">
        <v>30</v>
      </c>
    </row>
    <row r="2589" spans="103:109" ht="15" customHeight="1">
      <c r="CY2589" s="62" t="s">
        <v>282</v>
      </c>
      <c r="DE2589" s="33" t="s">
        <v>30</v>
      </c>
    </row>
    <row r="2590" spans="103:109" ht="15" customHeight="1">
      <c r="CY2590" s="62" t="s">
        <v>1195</v>
      </c>
      <c r="DE2590" s="33" t="s">
        <v>30</v>
      </c>
    </row>
    <row r="2591" spans="103:109" ht="15" customHeight="1">
      <c r="CY2591" s="62" t="s">
        <v>1196</v>
      </c>
      <c r="DE2591" s="33" t="s">
        <v>30</v>
      </c>
    </row>
    <row r="2592" spans="103:109" ht="15" customHeight="1">
      <c r="CY2592" s="62" t="s">
        <v>1197</v>
      </c>
      <c r="DE2592" s="33" t="s">
        <v>30</v>
      </c>
    </row>
    <row r="2593" spans="103:109" ht="15" customHeight="1">
      <c r="CY2593" s="62" t="s">
        <v>661</v>
      </c>
      <c r="DE2593" s="33" t="s">
        <v>30</v>
      </c>
    </row>
    <row r="2594" spans="103:109" ht="15" customHeight="1">
      <c r="CY2594" s="62" t="s">
        <v>1198</v>
      </c>
      <c r="DE2594" s="33" t="s">
        <v>30</v>
      </c>
    </row>
    <row r="2595" spans="103:109" ht="15" customHeight="1">
      <c r="CY2595" s="62" t="s">
        <v>1199</v>
      </c>
      <c r="DE2595" s="33" t="s">
        <v>30</v>
      </c>
    </row>
    <row r="2596" spans="103:109" ht="15" customHeight="1">
      <c r="CY2596" s="62" t="s">
        <v>1200</v>
      </c>
      <c r="DE2596" s="33" t="s">
        <v>30</v>
      </c>
    </row>
    <row r="2597" spans="103:109" ht="15" customHeight="1">
      <c r="CY2597" s="62" t="s">
        <v>1201</v>
      </c>
      <c r="DE2597" s="33" t="s">
        <v>30</v>
      </c>
    </row>
    <row r="2598" spans="103:109" ht="15" customHeight="1">
      <c r="CY2598" s="62" t="s">
        <v>467</v>
      </c>
      <c r="DE2598" s="33" t="s">
        <v>30</v>
      </c>
    </row>
    <row r="2599" spans="103:109" ht="15" customHeight="1">
      <c r="CY2599" s="62" t="s">
        <v>312</v>
      </c>
      <c r="DE2599" s="33" t="s">
        <v>30</v>
      </c>
    </row>
    <row r="2600" spans="103:109" ht="15" customHeight="1">
      <c r="CY2600" s="62" t="s">
        <v>468</v>
      </c>
      <c r="DE2600" s="33" t="s">
        <v>30</v>
      </c>
    </row>
    <row r="2601" spans="103:109" ht="15" customHeight="1">
      <c r="CY2601" s="62" t="s">
        <v>1202</v>
      </c>
      <c r="DE2601" s="33" t="s">
        <v>30</v>
      </c>
    </row>
    <row r="2602" spans="103:109" ht="15" customHeight="1">
      <c r="CY2602" s="62" t="s">
        <v>552</v>
      </c>
      <c r="DE2602" s="33" t="s">
        <v>30</v>
      </c>
    </row>
    <row r="2603" spans="103:109" ht="15" customHeight="1">
      <c r="CY2603" s="62" t="s">
        <v>324</v>
      </c>
      <c r="DE2603" s="33" t="s">
        <v>30</v>
      </c>
    </row>
    <row r="2604" spans="103:109" ht="15" customHeight="1">
      <c r="CY2604" s="62" t="s">
        <v>327</v>
      </c>
      <c r="DE2604" s="33" t="s">
        <v>30</v>
      </c>
    </row>
    <row r="2605" spans="103:109" ht="15" customHeight="1">
      <c r="CY2605" s="62" t="s">
        <v>330</v>
      </c>
      <c r="DE2605" s="33" t="s">
        <v>30</v>
      </c>
    </row>
    <row r="2606" spans="103:109" ht="15" customHeight="1">
      <c r="CY2606" s="62" t="s">
        <v>333</v>
      </c>
      <c r="DE2606" s="33" t="s">
        <v>30</v>
      </c>
    </row>
    <row r="2607" spans="103:109" ht="15" customHeight="1">
      <c r="CY2607" s="62" t="s">
        <v>444</v>
      </c>
      <c r="DE2607" s="33" t="s">
        <v>30</v>
      </c>
    </row>
    <row r="2608" spans="103:109" ht="15" customHeight="1">
      <c r="CY2608" s="62" t="s">
        <v>445</v>
      </c>
      <c r="DE2608" s="33" t="s">
        <v>30</v>
      </c>
    </row>
    <row r="2609" spans="103:109" ht="15" customHeight="1">
      <c r="CY2609" s="62" t="s">
        <v>1203</v>
      </c>
      <c r="DE2609" s="33" t="s">
        <v>30</v>
      </c>
    </row>
    <row r="2610" spans="103:109" ht="15" customHeight="1">
      <c r="CY2610" s="62" t="s">
        <v>1204</v>
      </c>
      <c r="DE2610" s="33" t="s">
        <v>30</v>
      </c>
    </row>
    <row r="2611" spans="103:109" ht="15" customHeight="1">
      <c r="CY2611" s="62" t="s">
        <v>1205</v>
      </c>
      <c r="DE2611" s="33" t="s">
        <v>30</v>
      </c>
    </row>
    <row r="2612" spans="103:109" ht="15" customHeight="1">
      <c r="CY2612" s="62" t="s">
        <v>1206</v>
      </c>
      <c r="DE2612" s="33" t="s">
        <v>30</v>
      </c>
    </row>
    <row r="2613" spans="103:109" ht="15" customHeight="1">
      <c r="CY2613" s="62" t="s">
        <v>1207</v>
      </c>
      <c r="DE2613" s="33" t="s">
        <v>30</v>
      </c>
    </row>
    <row r="2614" spans="103:109" ht="15" customHeight="1">
      <c r="CY2614" s="62" t="s">
        <v>1208</v>
      </c>
      <c r="DE2614" s="33" t="s">
        <v>30</v>
      </c>
    </row>
    <row r="2615" spans="103:109" ht="15" customHeight="1">
      <c r="CY2615" s="62" t="s">
        <v>456</v>
      </c>
      <c r="DE2615" s="33" t="s">
        <v>30</v>
      </c>
    </row>
    <row r="2616" spans="103:109" ht="15" customHeight="1">
      <c r="CY2616" s="62" t="s">
        <v>457</v>
      </c>
      <c r="DE2616" s="33" t="s">
        <v>30</v>
      </c>
    </row>
    <row r="2617" spans="103:109" ht="15" customHeight="1">
      <c r="CY2617" s="62" t="s">
        <v>340</v>
      </c>
      <c r="DE2617" s="33" t="s">
        <v>30</v>
      </c>
    </row>
    <row r="2618" spans="103:109" ht="15" customHeight="1">
      <c r="CY2618" s="62" t="s">
        <v>272</v>
      </c>
      <c r="DE2618" s="33" t="s">
        <v>30</v>
      </c>
    </row>
    <row r="2619" spans="103:109" ht="15" customHeight="1">
      <c r="CY2619" s="62" t="s">
        <v>1209</v>
      </c>
      <c r="DE2619" s="33" t="s">
        <v>30</v>
      </c>
    </row>
    <row r="2620" spans="103:109" ht="15" customHeight="1">
      <c r="CY2620" s="62" t="s">
        <v>279</v>
      </c>
      <c r="DE2620" s="33" t="s">
        <v>30</v>
      </c>
    </row>
    <row r="2621" spans="103:109" ht="15" customHeight="1">
      <c r="CY2621" s="62" t="s">
        <v>282</v>
      </c>
      <c r="DE2621" s="33" t="s">
        <v>30</v>
      </c>
    </row>
    <row r="2622" spans="103:109" ht="15" customHeight="1">
      <c r="CY2622" s="62" t="s">
        <v>1210</v>
      </c>
      <c r="DE2622" s="33" t="s">
        <v>30</v>
      </c>
    </row>
    <row r="2623" spans="103:109" ht="15" customHeight="1">
      <c r="CY2623" s="62" t="s">
        <v>1211</v>
      </c>
      <c r="DE2623" s="33" t="s">
        <v>30</v>
      </c>
    </row>
    <row r="2624" spans="103:109" ht="15" customHeight="1">
      <c r="CY2624" s="62" t="s">
        <v>1212</v>
      </c>
      <c r="DE2624" s="33" t="s">
        <v>30</v>
      </c>
    </row>
    <row r="2625" spans="103:109" ht="15" customHeight="1">
      <c r="CY2625" s="62" t="s">
        <v>713</v>
      </c>
      <c r="DE2625" s="33" t="s">
        <v>30</v>
      </c>
    </row>
    <row r="2626" spans="103:109" ht="15" customHeight="1">
      <c r="CY2626" s="62" t="s">
        <v>1213</v>
      </c>
      <c r="DE2626" s="33" t="s">
        <v>30</v>
      </c>
    </row>
    <row r="2627" spans="103:109" ht="15" customHeight="1">
      <c r="CY2627" s="62" t="s">
        <v>1214</v>
      </c>
      <c r="DE2627" s="33" t="s">
        <v>30</v>
      </c>
    </row>
    <row r="2628" spans="103:109" ht="15" customHeight="1">
      <c r="CY2628" s="62" t="s">
        <v>1215</v>
      </c>
      <c r="DE2628" s="33" t="s">
        <v>30</v>
      </c>
    </row>
    <row r="2629" spans="103:109" ht="15" customHeight="1">
      <c r="CY2629" s="62" t="s">
        <v>1216</v>
      </c>
      <c r="DE2629" s="33" t="s">
        <v>30</v>
      </c>
    </row>
    <row r="2630" spans="103:109" ht="15" customHeight="1">
      <c r="CY2630" s="62" t="s">
        <v>1217</v>
      </c>
      <c r="DE2630" s="33" t="s">
        <v>30</v>
      </c>
    </row>
    <row r="2631" spans="103:109" ht="15" customHeight="1">
      <c r="CY2631" s="62" t="s">
        <v>312</v>
      </c>
      <c r="DE2631" s="33" t="s">
        <v>30</v>
      </c>
    </row>
    <row r="2632" spans="103:109" ht="15" customHeight="1">
      <c r="CY2632" s="62" t="s">
        <v>1218</v>
      </c>
      <c r="DE2632" s="33" t="s">
        <v>30</v>
      </c>
    </row>
    <row r="2633" spans="103:109" ht="15" customHeight="1">
      <c r="CY2633" s="62" t="s">
        <v>1219</v>
      </c>
      <c r="DE2633" s="33" t="s">
        <v>30</v>
      </c>
    </row>
    <row r="2634" spans="103:109" ht="15" customHeight="1">
      <c r="CY2634" s="62" t="s">
        <v>321</v>
      </c>
      <c r="DE2634" s="33" t="s">
        <v>30</v>
      </c>
    </row>
    <row r="2635" spans="103:109" ht="15" customHeight="1">
      <c r="CY2635" s="62" t="s">
        <v>324</v>
      </c>
      <c r="DE2635" s="33" t="s">
        <v>30</v>
      </c>
    </row>
    <row r="2636" spans="103:109" ht="15" customHeight="1">
      <c r="CY2636" s="62" t="s">
        <v>327</v>
      </c>
      <c r="DE2636" s="33" t="s">
        <v>30</v>
      </c>
    </row>
    <row r="2637" spans="103:109" ht="15" customHeight="1">
      <c r="CY2637" s="62" t="s">
        <v>330</v>
      </c>
      <c r="DE2637" s="33" t="s">
        <v>30</v>
      </c>
    </row>
    <row r="2638" spans="103:109" ht="15" customHeight="1">
      <c r="CY2638" s="62" t="s">
        <v>333</v>
      </c>
      <c r="DE2638" s="33" t="s">
        <v>30</v>
      </c>
    </row>
    <row r="2639" spans="103:109" ht="15" customHeight="1">
      <c r="CY2639" s="62" t="s">
        <v>336</v>
      </c>
      <c r="DE2639" s="33" t="s">
        <v>30</v>
      </c>
    </row>
    <row r="2640" spans="103:109" ht="15" customHeight="1">
      <c r="CY2640" s="62" t="s">
        <v>340</v>
      </c>
      <c r="DE2640" s="33" t="s">
        <v>30</v>
      </c>
    </row>
    <row r="2641" spans="103:109" ht="15" customHeight="1">
      <c r="CY2641" s="62" t="s">
        <v>272</v>
      </c>
      <c r="DE2641" s="33" t="s">
        <v>30</v>
      </c>
    </row>
    <row r="2642" spans="103:109" ht="15" customHeight="1">
      <c r="CY2642" s="62" t="s">
        <v>1220</v>
      </c>
      <c r="DE2642" s="33" t="s">
        <v>30</v>
      </c>
    </row>
    <row r="2643" spans="103:109" ht="15" customHeight="1">
      <c r="CY2643" s="62" t="s">
        <v>279</v>
      </c>
      <c r="DE2643" s="33" t="s">
        <v>30</v>
      </c>
    </row>
    <row r="2644" spans="103:109" ht="15" customHeight="1">
      <c r="CY2644" s="62" t="s">
        <v>282</v>
      </c>
      <c r="DE2644" s="33" t="s">
        <v>30</v>
      </c>
    </row>
    <row r="2645" spans="103:109" ht="15" customHeight="1">
      <c r="CY2645" s="62" t="s">
        <v>1221</v>
      </c>
      <c r="DE2645" s="33" t="s">
        <v>30</v>
      </c>
    </row>
    <row r="2646" spans="103:109" ht="15" customHeight="1">
      <c r="CY2646" s="62" t="s">
        <v>1222</v>
      </c>
      <c r="DE2646" s="33" t="s">
        <v>30</v>
      </c>
    </row>
    <row r="2647" spans="103:109" ht="15" customHeight="1">
      <c r="CY2647" s="62" t="s">
        <v>1223</v>
      </c>
      <c r="DE2647" s="33" t="s">
        <v>30</v>
      </c>
    </row>
    <row r="2648" spans="103:109" ht="15" customHeight="1">
      <c r="CY2648" s="62" t="s">
        <v>294</v>
      </c>
      <c r="DE2648" s="33" t="s">
        <v>30</v>
      </c>
    </row>
    <row r="2649" spans="103:109" ht="15" customHeight="1">
      <c r="CY2649" s="62" t="s">
        <v>297</v>
      </c>
      <c r="DE2649" s="33" t="s">
        <v>30</v>
      </c>
    </row>
    <row r="2650" spans="103:109" ht="15" customHeight="1">
      <c r="CY2650" s="62" t="s">
        <v>1224</v>
      </c>
      <c r="DE2650" s="33" t="s">
        <v>30</v>
      </c>
    </row>
    <row r="2651" spans="103:109" ht="15" customHeight="1">
      <c r="CY2651" s="62" t="s">
        <v>1225</v>
      </c>
      <c r="DE2651" s="33" t="s">
        <v>30</v>
      </c>
    </row>
    <row r="2652" spans="103:109" ht="15" customHeight="1">
      <c r="CY2652" s="62" t="s">
        <v>1226</v>
      </c>
      <c r="DE2652" s="33" t="s">
        <v>30</v>
      </c>
    </row>
    <row r="2653" spans="103:109" ht="15" customHeight="1">
      <c r="CY2653" s="62" t="s">
        <v>467</v>
      </c>
      <c r="DE2653" s="33" t="s">
        <v>30</v>
      </c>
    </row>
    <row r="2654" spans="103:109" ht="15" customHeight="1">
      <c r="CY2654" s="62" t="s">
        <v>312</v>
      </c>
      <c r="DE2654" s="33" t="s">
        <v>30</v>
      </c>
    </row>
    <row r="2655" spans="103:109" ht="15" customHeight="1">
      <c r="CY2655" s="62" t="s">
        <v>468</v>
      </c>
      <c r="DE2655" s="33" t="s">
        <v>30</v>
      </c>
    </row>
    <row r="2656" spans="103:109" ht="15" customHeight="1">
      <c r="CY2656" s="62" t="s">
        <v>621</v>
      </c>
      <c r="DE2656" s="33" t="s">
        <v>30</v>
      </c>
    </row>
    <row r="2657" spans="103:109" ht="15" customHeight="1">
      <c r="CY2657" s="62" t="s">
        <v>321</v>
      </c>
      <c r="DE2657" s="33" t="s">
        <v>30</v>
      </c>
    </row>
    <row r="2658" spans="103:109" ht="15" customHeight="1">
      <c r="CY2658" s="62" t="s">
        <v>324</v>
      </c>
      <c r="DE2658" s="33" t="s">
        <v>30</v>
      </c>
    </row>
    <row r="2659" spans="103:109" ht="15" customHeight="1">
      <c r="CY2659" s="62" t="s">
        <v>327</v>
      </c>
      <c r="DE2659" s="33" t="s">
        <v>30</v>
      </c>
    </row>
    <row r="2660" spans="103:109" ht="15" customHeight="1">
      <c r="CY2660" s="62" t="s">
        <v>330</v>
      </c>
      <c r="DE2660" s="33" t="s">
        <v>30</v>
      </c>
    </row>
    <row r="2661" spans="103:109" ht="15" customHeight="1">
      <c r="CY2661" s="62" t="s">
        <v>333</v>
      </c>
      <c r="DE2661" s="33" t="s">
        <v>30</v>
      </c>
    </row>
    <row r="2662" spans="103:109" ht="15" customHeight="1">
      <c r="CY2662" s="62" t="s">
        <v>336</v>
      </c>
      <c r="DE2662" s="33" t="s">
        <v>30</v>
      </c>
    </row>
    <row r="2663" spans="103:109" ht="15" customHeight="1">
      <c r="CY2663" s="62" t="s">
        <v>340</v>
      </c>
      <c r="DE2663" s="33" t="s">
        <v>30</v>
      </c>
    </row>
    <row r="2664" spans="103:109" ht="15" customHeight="1">
      <c r="CY2664" s="62" t="s">
        <v>272</v>
      </c>
      <c r="DE2664" s="33" t="s">
        <v>30</v>
      </c>
    </row>
    <row r="2665" spans="103:109" ht="15" customHeight="1">
      <c r="CY2665" s="62" t="s">
        <v>1227</v>
      </c>
      <c r="DE2665" s="33" t="s">
        <v>30</v>
      </c>
    </row>
    <row r="2666" spans="103:109" ht="15" customHeight="1">
      <c r="CY2666" s="62" t="s">
        <v>279</v>
      </c>
      <c r="DE2666" s="33" t="s">
        <v>30</v>
      </c>
    </row>
    <row r="2667" spans="103:109" ht="15" customHeight="1">
      <c r="CY2667" s="62" t="s">
        <v>282</v>
      </c>
      <c r="DE2667" s="33" t="s">
        <v>30</v>
      </c>
    </row>
    <row r="2668" spans="103:109" ht="15" customHeight="1">
      <c r="CY2668" s="62" t="s">
        <v>1228</v>
      </c>
      <c r="DE2668" s="33" t="s">
        <v>30</v>
      </c>
    </row>
    <row r="2669" spans="103:109" ht="15" customHeight="1">
      <c r="CY2669" s="62" t="s">
        <v>1229</v>
      </c>
      <c r="DE2669" s="33" t="s">
        <v>30</v>
      </c>
    </row>
    <row r="2670" spans="103:109" ht="15" customHeight="1">
      <c r="CY2670" s="62" t="s">
        <v>1230</v>
      </c>
      <c r="DE2670" s="33" t="s">
        <v>30</v>
      </c>
    </row>
    <row r="2671" spans="103:109" ht="15" customHeight="1">
      <c r="CY2671" s="62" t="s">
        <v>961</v>
      </c>
      <c r="DE2671" s="33" t="s">
        <v>30</v>
      </c>
    </row>
    <row r="2672" spans="103:109" ht="15" customHeight="1">
      <c r="CY2672" s="62" t="s">
        <v>1231</v>
      </c>
      <c r="DE2672" s="33" t="s">
        <v>30</v>
      </c>
    </row>
    <row r="2673" spans="103:109" ht="15" customHeight="1">
      <c r="CY2673" s="62" t="s">
        <v>1232</v>
      </c>
      <c r="DE2673" s="33" t="s">
        <v>30</v>
      </c>
    </row>
    <row r="2674" spans="103:109" ht="15" customHeight="1">
      <c r="CY2674" s="62" t="s">
        <v>1233</v>
      </c>
      <c r="DE2674" s="33" t="s">
        <v>30</v>
      </c>
    </row>
    <row r="2675" spans="103:109" ht="15" customHeight="1">
      <c r="CY2675" s="62" t="s">
        <v>1234</v>
      </c>
      <c r="DE2675" s="33" t="s">
        <v>30</v>
      </c>
    </row>
    <row r="2676" spans="103:109" ht="15" customHeight="1">
      <c r="CY2676" s="62" t="s">
        <v>1150</v>
      </c>
      <c r="DE2676" s="33" t="s">
        <v>30</v>
      </c>
    </row>
    <row r="2677" spans="103:109" ht="15" customHeight="1">
      <c r="CY2677" s="62" t="s">
        <v>312</v>
      </c>
      <c r="DE2677" s="33" t="s">
        <v>30</v>
      </c>
    </row>
    <row r="2678" spans="103:109" ht="15" customHeight="1">
      <c r="CY2678" s="62" t="s">
        <v>1151</v>
      </c>
      <c r="DE2678" s="33" t="s">
        <v>30</v>
      </c>
    </row>
    <row r="2679" spans="103:109" ht="15" customHeight="1">
      <c r="CY2679" s="62" t="s">
        <v>529</v>
      </c>
      <c r="DE2679" s="33" t="s">
        <v>30</v>
      </c>
    </row>
    <row r="2680" spans="103:109" ht="15" customHeight="1">
      <c r="CY2680" s="62" t="s">
        <v>552</v>
      </c>
      <c r="DE2680" s="33" t="s">
        <v>30</v>
      </c>
    </row>
    <row r="2681" spans="103:109" ht="15" customHeight="1">
      <c r="CY2681" s="62" t="s">
        <v>324</v>
      </c>
      <c r="DE2681" s="33" t="s">
        <v>30</v>
      </c>
    </row>
    <row r="2682" spans="103:109" ht="15" customHeight="1">
      <c r="CY2682" s="62" t="s">
        <v>327</v>
      </c>
      <c r="DE2682" s="33" t="s">
        <v>30</v>
      </c>
    </row>
    <row r="2683" spans="103:109" ht="15" customHeight="1">
      <c r="CY2683" s="62" t="s">
        <v>330</v>
      </c>
      <c r="DE2683" s="33" t="s">
        <v>30</v>
      </c>
    </row>
    <row r="2684" spans="103:109" ht="15" customHeight="1">
      <c r="CY2684" s="62" t="s">
        <v>333</v>
      </c>
      <c r="DE2684" s="33" t="s">
        <v>30</v>
      </c>
    </row>
    <row r="2685" spans="103:109" ht="15" customHeight="1">
      <c r="CY2685" s="62" t="s">
        <v>336</v>
      </c>
      <c r="DE2685" s="33" t="s">
        <v>30</v>
      </c>
    </row>
    <row r="2686" spans="103:109" ht="15" customHeight="1">
      <c r="CY2686" s="62" t="s">
        <v>340</v>
      </c>
      <c r="DE2686" s="33" t="s">
        <v>30</v>
      </c>
    </row>
    <row r="2687" spans="103:109" ht="15" customHeight="1">
      <c r="CY2687" s="62" t="s">
        <v>272</v>
      </c>
      <c r="DE2687" s="33" t="s">
        <v>30</v>
      </c>
    </row>
    <row r="2688" spans="103:109" ht="15" customHeight="1">
      <c r="CY2688" s="62" t="s">
        <v>1235</v>
      </c>
      <c r="DE2688" s="33" t="s">
        <v>30</v>
      </c>
    </row>
    <row r="2689" spans="103:109" ht="15" customHeight="1">
      <c r="CY2689" s="62" t="s">
        <v>279</v>
      </c>
      <c r="DE2689" s="33" t="s">
        <v>30</v>
      </c>
    </row>
    <row r="2690" spans="103:109" ht="15" customHeight="1">
      <c r="CY2690" s="62" t="s">
        <v>282</v>
      </c>
      <c r="DE2690" s="33" t="s">
        <v>30</v>
      </c>
    </row>
    <row r="2691" spans="103:109" ht="15" customHeight="1">
      <c r="CY2691" s="62" t="s">
        <v>1236</v>
      </c>
      <c r="DE2691" s="33" t="s">
        <v>30</v>
      </c>
    </row>
    <row r="2692" spans="103:109" ht="15" customHeight="1">
      <c r="CY2692" s="62" t="s">
        <v>1237</v>
      </c>
      <c r="DE2692" s="33" t="s">
        <v>30</v>
      </c>
    </row>
    <row r="2693" spans="103:109" ht="15" customHeight="1">
      <c r="CY2693" s="62" t="s">
        <v>1238</v>
      </c>
      <c r="DE2693" s="33" t="s">
        <v>30</v>
      </c>
    </row>
    <row r="2694" spans="103:109" ht="15" customHeight="1">
      <c r="CY2694" s="62" t="s">
        <v>693</v>
      </c>
      <c r="DE2694" s="33" t="s">
        <v>30</v>
      </c>
    </row>
    <row r="2695" spans="103:109" ht="15" customHeight="1">
      <c r="CY2695" s="62" t="s">
        <v>1239</v>
      </c>
      <c r="DE2695" s="33" t="s">
        <v>30</v>
      </c>
    </row>
    <row r="2696" spans="103:109" ht="15" customHeight="1">
      <c r="CY2696" s="62" t="s">
        <v>1240</v>
      </c>
      <c r="DE2696" s="33" t="s">
        <v>30</v>
      </c>
    </row>
    <row r="2697" spans="103:109" ht="15" customHeight="1">
      <c r="CY2697" s="62" t="s">
        <v>1241</v>
      </c>
      <c r="DE2697" s="33" t="s">
        <v>30</v>
      </c>
    </row>
    <row r="2698" spans="103:109" ht="15" customHeight="1">
      <c r="CY2698" s="62" t="s">
        <v>1242</v>
      </c>
      <c r="DE2698" s="33" t="s">
        <v>30</v>
      </c>
    </row>
    <row r="2699" spans="103:109" ht="15" customHeight="1">
      <c r="CY2699" s="62" t="s">
        <v>1243</v>
      </c>
      <c r="DE2699" s="33" t="s">
        <v>30</v>
      </c>
    </row>
    <row r="2700" spans="103:109" ht="15" customHeight="1">
      <c r="CY2700" s="62" t="s">
        <v>312</v>
      </c>
      <c r="DE2700" s="33" t="s">
        <v>30</v>
      </c>
    </row>
    <row r="2701" spans="103:109" ht="15" customHeight="1">
      <c r="CY2701" s="62" t="s">
        <v>1244</v>
      </c>
      <c r="DE2701" s="33" t="s">
        <v>30</v>
      </c>
    </row>
    <row r="2702" spans="103:109" ht="15" customHeight="1">
      <c r="CY2702" s="62" t="s">
        <v>562</v>
      </c>
      <c r="DE2702" s="33" t="s">
        <v>30</v>
      </c>
    </row>
    <row r="2703" spans="103:109" ht="15" customHeight="1">
      <c r="CY2703" s="62" t="s">
        <v>321</v>
      </c>
      <c r="DE2703" s="33" t="s">
        <v>30</v>
      </c>
    </row>
    <row r="2704" spans="103:109" ht="15" customHeight="1">
      <c r="CY2704" s="62" t="s">
        <v>324</v>
      </c>
      <c r="DE2704" s="33" t="s">
        <v>30</v>
      </c>
    </row>
    <row r="2705" spans="103:109" ht="15" customHeight="1">
      <c r="CY2705" s="62" t="s">
        <v>327</v>
      </c>
      <c r="DE2705" s="33" t="s">
        <v>30</v>
      </c>
    </row>
    <row r="2706" spans="103:109" ht="15" customHeight="1">
      <c r="CY2706" s="62" t="s">
        <v>330</v>
      </c>
      <c r="DE2706" s="33" t="s">
        <v>30</v>
      </c>
    </row>
    <row r="2707" spans="103:109" ht="15" customHeight="1">
      <c r="CY2707" s="62" t="s">
        <v>333</v>
      </c>
      <c r="DE2707" s="33" t="s">
        <v>30</v>
      </c>
    </row>
    <row r="2708" spans="103:109" ht="15" customHeight="1">
      <c r="CY2708" s="62" t="s">
        <v>444</v>
      </c>
      <c r="DE2708" s="33" t="s">
        <v>30</v>
      </c>
    </row>
    <row r="2709" spans="103:109" ht="15" customHeight="1">
      <c r="CY2709" s="62" t="s">
        <v>445</v>
      </c>
      <c r="DE2709" s="33" t="s">
        <v>30</v>
      </c>
    </row>
    <row r="2710" spans="103:109" ht="15" customHeight="1">
      <c r="CY2710" s="62" t="s">
        <v>1203</v>
      </c>
      <c r="DE2710" s="33" t="s">
        <v>30</v>
      </c>
    </row>
    <row r="2711" spans="103:109" ht="15" customHeight="1">
      <c r="CY2711" s="62" t="s">
        <v>1204</v>
      </c>
      <c r="DE2711" s="33" t="s">
        <v>30</v>
      </c>
    </row>
    <row r="2712" spans="103:109" ht="15" customHeight="1">
      <c r="CY2712" s="62" t="s">
        <v>1205</v>
      </c>
      <c r="DE2712" s="33" t="s">
        <v>30</v>
      </c>
    </row>
    <row r="2713" spans="103:109" ht="15" customHeight="1">
      <c r="CY2713" s="62" t="s">
        <v>1206</v>
      </c>
      <c r="DE2713" s="33" t="s">
        <v>30</v>
      </c>
    </row>
    <row r="2714" spans="103:109" ht="15" customHeight="1">
      <c r="CY2714" s="62" t="s">
        <v>1245</v>
      </c>
      <c r="DE2714" s="33" t="s">
        <v>30</v>
      </c>
    </row>
    <row r="2715" spans="103:109" ht="15" customHeight="1">
      <c r="CY2715" s="62" t="s">
        <v>1246</v>
      </c>
      <c r="DE2715" s="33" t="s">
        <v>30</v>
      </c>
    </row>
    <row r="2716" spans="103:109" ht="15" customHeight="1">
      <c r="CY2716" s="62" t="s">
        <v>456</v>
      </c>
      <c r="DE2716" s="33" t="s">
        <v>30</v>
      </c>
    </row>
    <row r="2717" spans="103:109" ht="15" customHeight="1">
      <c r="CY2717" s="62" t="s">
        <v>457</v>
      </c>
      <c r="DE2717" s="33" t="s">
        <v>30</v>
      </c>
    </row>
    <row r="2718" spans="103:109" ht="15" customHeight="1">
      <c r="CY2718" s="62" t="s">
        <v>340</v>
      </c>
      <c r="DE2718" s="33" t="s">
        <v>30</v>
      </c>
    </row>
    <row r="2719" spans="103:109" ht="15" customHeight="1">
      <c r="CY2719" s="62" t="s">
        <v>272</v>
      </c>
      <c r="DE2719" s="33" t="s">
        <v>30</v>
      </c>
    </row>
    <row r="2720" spans="103:109" ht="15" customHeight="1">
      <c r="CY2720" s="62" t="s">
        <v>1247</v>
      </c>
      <c r="DE2720" s="33" t="s">
        <v>30</v>
      </c>
    </row>
    <row r="2721" spans="103:109" ht="15" customHeight="1">
      <c r="CY2721" s="62" t="s">
        <v>279</v>
      </c>
      <c r="DE2721" s="33" t="s">
        <v>30</v>
      </c>
    </row>
    <row r="2722" spans="103:109" ht="15" customHeight="1">
      <c r="CY2722" s="62" t="s">
        <v>282</v>
      </c>
      <c r="DE2722" s="33" t="s">
        <v>30</v>
      </c>
    </row>
    <row r="2723" spans="103:109" ht="15" customHeight="1">
      <c r="CY2723" s="62" t="s">
        <v>1248</v>
      </c>
      <c r="DE2723" s="33" t="s">
        <v>30</v>
      </c>
    </row>
    <row r="2724" spans="103:109" ht="15" customHeight="1">
      <c r="CY2724" s="62" t="s">
        <v>1249</v>
      </c>
      <c r="DE2724" s="33" t="s">
        <v>30</v>
      </c>
    </row>
    <row r="2725" spans="103:109" ht="15" customHeight="1">
      <c r="CY2725" s="62" t="s">
        <v>1250</v>
      </c>
      <c r="DE2725" s="33" t="s">
        <v>30</v>
      </c>
    </row>
    <row r="2726" spans="103:109" ht="15" customHeight="1">
      <c r="CY2726" s="62" t="s">
        <v>1251</v>
      </c>
      <c r="DE2726" s="33" t="s">
        <v>30</v>
      </c>
    </row>
    <row r="2727" spans="103:109" ht="15" customHeight="1">
      <c r="CY2727" s="62" t="s">
        <v>1252</v>
      </c>
      <c r="DE2727" s="33" t="s">
        <v>30</v>
      </c>
    </row>
    <row r="2728" spans="103:109" ht="15" customHeight="1">
      <c r="CY2728" s="62" t="s">
        <v>1253</v>
      </c>
      <c r="DE2728" s="33" t="s">
        <v>30</v>
      </c>
    </row>
    <row r="2729" spans="103:109" ht="15" customHeight="1">
      <c r="CY2729" s="62" t="s">
        <v>1254</v>
      </c>
      <c r="DE2729" s="33" t="s">
        <v>30</v>
      </c>
    </row>
    <row r="2730" spans="103:109" ht="15" customHeight="1">
      <c r="CY2730" s="62" t="s">
        <v>1255</v>
      </c>
      <c r="DE2730" s="33" t="s">
        <v>30</v>
      </c>
    </row>
    <row r="2731" spans="103:109" ht="15" customHeight="1">
      <c r="CY2731" s="62" t="s">
        <v>1256</v>
      </c>
      <c r="DE2731" s="33" t="s">
        <v>30</v>
      </c>
    </row>
    <row r="2732" spans="103:109" ht="15" customHeight="1">
      <c r="CY2732" s="62" t="s">
        <v>312</v>
      </c>
      <c r="DE2732" s="33" t="s">
        <v>30</v>
      </c>
    </row>
    <row r="2733" spans="103:109" ht="15" customHeight="1">
      <c r="CY2733" s="62" t="s">
        <v>1257</v>
      </c>
      <c r="DE2733" s="33" t="s">
        <v>30</v>
      </c>
    </row>
    <row r="2734" spans="103:109" ht="15" customHeight="1">
      <c r="CY2734" s="62" t="s">
        <v>1258</v>
      </c>
      <c r="DE2734" s="33" t="s">
        <v>30</v>
      </c>
    </row>
    <row r="2735" spans="103:109" ht="15" customHeight="1">
      <c r="CY2735" s="62" t="s">
        <v>552</v>
      </c>
      <c r="DE2735" s="33" t="s">
        <v>30</v>
      </c>
    </row>
    <row r="2736" spans="103:109" ht="15" customHeight="1">
      <c r="CY2736" s="62" t="s">
        <v>324</v>
      </c>
      <c r="DE2736" s="33" t="s">
        <v>30</v>
      </c>
    </row>
    <row r="2737" spans="103:109" ht="15" customHeight="1">
      <c r="CY2737" s="62" t="s">
        <v>327</v>
      </c>
      <c r="DE2737" s="33" t="s">
        <v>30</v>
      </c>
    </row>
    <row r="2738" spans="103:109" ht="15" customHeight="1">
      <c r="CY2738" s="62" t="s">
        <v>330</v>
      </c>
      <c r="DE2738" s="33" t="s">
        <v>30</v>
      </c>
    </row>
    <row r="2739" spans="103:109" ht="15" customHeight="1">
      <c r="CY2739" s="62" t="s">
        <v>333</v>
      </c>
      <c r="DE2739" s="33" t="s">
        <v>30</v>
      </c>
    </row>
    <row r="2740" spans="103:109" ht="15" customHeight="1">
      <c r="CY2740" s="62" t="s">
        <v>336</v>
      </c>
      <c r="DE2740" s="33" t="s">
        <v>30</v>
      </c>
    </row>
    <row r="2741" spans="103:109" ht="15" customHeight="1">
      <c r="CY2741" s="62" t="s">
        <v>340</v>
      </c>
      <c r="DE2741" s="33" t="s">
        <v>30</v>
      </c>
    </row>
    <row r="2742" spans="103:109" ht="15" customHeight="1">
      <c r="CY2742" s="62" t="s">
        <v>272</v>
      </c>
      <c r="DE2742" s="33" t="s">
        <v>30</v>
      </c>
    </row>
    <row r="2743" spans="103:109" ht="15" customHeight="1">
      <c r="CY2743" s="62" t="s">
        <v>1259</v>
      </c>
      <c r="DE2743" s="33" t="s">
        <v>30</v>
      </c>
    </row>
    <row r="2744" spans="103:109" ht="15" customHeight="1">
      <c r="CY2744" s="62" t="s">
        <v>279</v>
      </c>
      <c r="DE2744" s="33" t="s">
        <v>30</v>
      </c>
    </row>
    <row r="2745" spans="103:109" ht="15" customHeight="1">
      <c r="CY2745" s="62" t="s">
        <v>282</v>
      </c>
      <c r="DE2745" s="33" t="s">
        <v>30</v>
      </c>
    </row>
    <row r="2746" spans="103:109" ht="15" customHeight="1">
      <c r="CY2746" s="62" t="s">
        <v>1260</v>
      </c>
      <c r="DE2746" s="33" t="s">
        <v>30</v>
      </c>
    </row>
    <row r="2747" spans="103:109" ht="15" customHeight="1">
      <c r="CY2747" s="62" t="s">
        <v>1261</v>
      </c>
      <c r="DE2747" s="33" t="s">
        <v>30</v>
      </c>
    </row>
    <row r="2748" spans="103:109" ht="15" customHeight="1">
      <c r="CY2748" s="62" t="s">
        <v>1262</v>
      </c>
      <c r="DE2748" s="33" t="s">
        <v>30</v>
      </c>
    </row>
    <row r="2749" spans="103:109" ht="15" customHeight="1">
      <c r="CY2749" s="62" t="s">
        <v>484</v>
      </c>
      <c r="DE2749" s="33" t="s">
        <v>30</v>
      </c>
    </row>
    <row r="2750" spans="103:109" ht="15" customHeight="1">
      <c r="CY2750" s="62" t="s">
        <v>1263</v>
      </c>
      <c r="DE2750" s="33" t="s">
        <v>30</v>
      </c>
    </row>
    <row r="2751" spans="103:109" ht="15" customHeight="1">
      <c r="CY2751" s="62" t="s">
        <v>1264</v>
      </c>
      <c r="DE2751" s="33" t="s">
        <v>30</v>
      </c>
    </row>
    <row r="2752" spans="103:109" ht="15" customHeight="1">
      <c r="CY2752" s="62" t="s">
        <v>1265</v>
      </c>
      <c r="DE2752" s="33" t="s">
        <v>30</v>
      </c>
    </row>
    <row r="2753" spans="103:109" ht="15" customHeight="1">
      <c r="CY2753" s="62" t="s">
        <v>1266</v>
      </c>
      <c r="DE2753" s="33" t="s">
        <v>30</v>
      </c>
    </row>
    <row r="2754" spans="103:109" ht="15" customHeight="1">
      <c r="CY2754" s="62" t="s">
        <v>1267</v>
      </c>
      <c r="DE2754" s="33" t="s">
        <v>30</v>
      </c>
    </row>
    <row r="2755" spans="103:109" ht="15" customHeight="1">
      <c r="CY2755" s="62" t="s">
        <v>312</v>
      </c>
      <c r="DE2755" s="33" t="s">
        <v>30</v>
      </c>
    </row>
    <row r="2756" spans="103:109" ht="15" customHeight="1">
      <c r="CY2756" s="62" t="s">
        <v>1268</v>
      </c>
      <c r="DE2756" s="33" t="s">
        <v>30</v>
      </c>
    </row>
    <row r="2757" spans="103:109" ht="15" customHeight="1">
      <c r="CY2757" s="62" t="s">
        <v>1269</v>
      </c>
      <c r="DE2757" s="33" t="s">
        <v>30</v>
      </c>
    </row>
    <row r="2758" spans="103:109" ht="15" customHeight="1">
      <c r="CY2758" s="62" t="s">
        <v>321</v>
      </c>
      <c r="DE2758" s="33" t="s">
        <v>30</v>
      </c>
    </row>
    <row r="2759" spans="103:109" ht="15" customHeight="1">
      <c r="CY2759" s="62" t="s">
        <v>324</v>
      </c>
      <c r="DE2759" s="33" t="s">
        <v>30</v>
      </c>
    </row>
    <row r="2760" spans="103:109" ht="15" customHeight="1">
      <c r="CY2760" s="62" t="s">
        <v>327</v>
      </c>
      <c r="DE2760" s="33" t="s">
        <v>30</v>
      </c>
    </row>
    <row r="2761" spans="103:109" ht="15" customHeight="1">
      <c r="CY2761" s="62" t="s">
        <v>330</v>
      </c>
      <c r="DE2761" s="33" t="s">
        <v>30</v>
      </c>
    </row>
    <row r="2762" spans="103:109" ht="15" customHeight="1">
      <c r="CY2762" s="62" t="s">
        <v>333</v>
      </c>
      <c r="DE2762" s="33" t="s">
        <v>30</v>
      </c>
    </row>
    <row r="2763" spans="103:109" ht="15" customHeight="1">
      <c r="CY2763" s="62" t="s">
        <v>444</v>
      </c>
      <c r="DE2763" s="33" t="s">
        <v>30</v>
      </c>
    </row>
    <row r="2764" spans="103:109" ht="15" customHeight="1">
      <c r="CY2764" s="62" t="s">
        <v>445</v>
      </c>
      <c r="DE2764" s="33" t="s">
        <v>30</v>
      </c>
    </row>
    <row r="2765" spans="103:109" ht="15" customHeight="1">
      <c r="CY2765" s="62" t="s">
        <v>1203</v>
      </c>
      <c r="DE2765" s="33" t="s">
        <v>30</v>
      </c>
    </row>
    <row r="2766" spans="103:109" ht="15" customHeight="1">
      <c r="CY2766" s="62" t="s">
        <v>1204</v>
      </c>
      <c r="DE2766" s="33" t="s">
        <v>30</v>
      </c>
    </row>
    <row r="2767" spans="103:109" ht="15" customHeight="1">
      <c r="CY2767" s="62" t="s">
        <v>1205</v>
      </c>
      <c r="DE2767" s="33" t="s">
        <v>30</v>
      </c>
    </row>
    <row r="2768" spans="103:109" ht="15" customHeight="1">
      <c r="CY2768" s="62" t="s">
        <v>1206</v>
      </c>
      <c r="DE2768" s="33" t="s">
        <v>30</v>
      </c>
    </row>
    <row r="2769" spans="103:109" ht="15" customHeight="1">
      <c r="CY2769" s="62" t="s">
        <v>1270</v>
      </c>
      <c r="DE2769" s="33" t="s">
        <v>30</v>
      </c>
    </row>
    <row r="2770" spans="103:109" ht="15" customHeight="1">
      <c r="CY2770" s="62" t="s">
        <v>1271</v>
      </c>
      <c r="DE2770" s="33" t="s">
        <v>30</v>
      </c>
    </row>
    <row r="2771" spans="103:109" ht="15" customHeight="1">
      <c r="CY2771" s="62" t="s">
        <v>456</v>
      </c>
      <c r="DE2771" s="33" t="s">
        <v>30</v>
      </c>
    </row>
    <row r="2772" spans="103:109" ht="15" customHeight="1">
      <c r="CY2772" s="62" t="s">
        <v>457</v>
      </c>
      <c r="DE2772" s="33" t="s">
        <v>30</v>
      </c>
    </row>
    <row r="2773" spans="103:109" ht="15" customHeight="1">
      <c r="CY2773" s="62" t="s">
        <v>1272</v>
      </c>
      <c r="DE2773" s="33" t="s">
        <v>30</v>
      </c>
    </row>
    <row r="2774" spans="103:109" ht="15" customHeight="1">
      <c r="CY2774" s="62" t="s">
        <v>1273</v>
      </c>
      <c r="DE2774" s="33" t="s">
        <v>30</v>
      </c>
    </row>
    <row r="2775" spans="103:109" ht="15" customHeight="1">
      <c r="CY2775" s="62" t="s">
        <v>1274</v>
      </c>
      <c r="DE2775" s="33" t="s">
        <v>30</v>
      </c>
    </row>
    <row r="2776" spans="103:109" ht="15" customHeight="1">
      <c r="CY2776" s="62" t="s">
        <v>1275</v>
      </c>
      <c r="DE2776" s="33" t="s">
        <v>30</v>
      </c>
    </row>
    <row r="2777" spans="103:109" ht="15" customHeight="1">
      <c r="CY2777" s="62" t="s">
        <v>135</v>
      </c>
      <c r="DE2777" s="33" t="s">
        <v>30</v>
      </c>
    </row>
    <row r="2778" spans="103:109" ht="15" customHeight="1">
      <c r="CY2778" s="62" t="s">
        <v>1276</v>
      </c>
      <c r="DE2778" s="33" t="s">
        <v>30</v>
      </c>
    </row>
    <row r="2779" spans="103:109" ht="15" customHeight="1">
      <c r="CY2779" s="62" t="s">
        <v>1277</v>
      </c>
      <c r="DE2779" s="33" t="s">
        <v>30</v>
      </c>
    </row>
    <row r="2780" spans="103:109" ht="15" customHeight="1">
      <c r="CY2780" s="62" t="s">
        <v>1278</v>
      </c>
      <c r="DE2780" s="33" t="s">
        <v>30</v>
      </c>
    </row>
    <row r="2781" spans="103:109" ht="15" customHeight="1">
      <c r="CY2781" s="62" t="s">
        <v>1279</v>
      </c>
      <c r="DE2781" s="33" t="s">
        <v>30</v>
      </c>
    </row>
    <row r="2782" spans="103:109" ht="15" customHeight="1">
      <c r="CY2782" s="62" t="s">
        <v>163</v>
      </c>
      <c r="DE2782" s="33" t="s">
        <v>30</v>
      </c>
    </row>
    <row r="2783" spans="103:109" ht="15" customHeight="1">
      <c r="CY2783" s="62" t="s">
        <v>135</v>
      </c>
      <c r="DE2783" s="33" t="s">
        <v>30</v>
      </c>
    </row>
    <row r="2784" spans="103:109" ht="15" customHeight="1">
      <c r="CY2784" s="62" t="s">
        <v>1276</v>
      </c>
      <c r="DE2784" s="33" t="s">
        <v>30</v>
      </c>
    </row>
    <row r="2785" spans="103:109" ht="15" customHeight="1">
      <c r="CY2785" s="62" t="s">
        <v>1280</v>
      </c>
      <c r="DE2785" s="33" t="s">
        <v>30</v>
      </c>
    </row>
    <row r="2786" spans="103:109" ht="15" customHeight="1">
      <c r="CY2786" s="62" t="s">
        <v>1281</v>
      </c>
      <c r="DE2786" s="33" t="s">
        <v>30</v>
      </c>
    </row>
    <row r="2787" spans="103:109" ht="15" customHeight="1">
      <c r="CY2787" s="62" t="s">
        <v>1282</v>
      </c>
      <c r="DE2787" s="33" t="s">
        <v>30</v>
      </c>
    </row>
    <row r="2788" spans="103:109" ht="15" customHeight="1">
      <c r="CY2788" s="62" t="s">
        <v>163</v>
      </c>
      <c r="DE2788" s="33" t="s">
        <v>30</v>
      </c>
    </row>
    <row r="2789" spans="103:109" ht="15" customHeight="1">
      <c r="CY2789" s="62" t="s">
        <v>135</v>
      </c>
      <c r="DE2789" s="33" t="s">
        <v>30</v>
      </c>
    </row>
    <row r="2790" spans="103:109" ht="15" customHeight="1">
      <c r="CY2790" s="62" t="s">
        <v>1283</v>
      </c>
      <c r="DE2790" s="33" t="s">
        <v>30</v>
      </c>
    </row>
    <row r="2791" spans="103:109" ht="15" customHeight="1">
      <c r="CY2791" s="62" t="s">
        <v>1280</v>
      </c>
      <c r="DE2791" s="33" t="s">
        <v>30</v>
      </c>
    </row>
    <row r="2792" spans="103:109" ht="15" customHeight="1">
      <c r="CY2792" s="62" t="s">
        <v>1284</v>
      </c>
      <c r="DE2792" s="33" t="s">
        <v>30</v>
      </c>
    </row>
    <row r="2793" spans="103:109" ht="15" customHeight="1">
      <c r="CY2793" s="62" t="s">
        <v>1285</v>
      </c>
      <c r="DE2793" s="33" t="s">
        <v>30</v>
      </c>
    </row>
    <row r="2794" spans="103:109" ht="15" customHeight="1">
      <c r="CY2794" s="62" t="s">
        <v>163</v>
      </c>
      <c r="DE2794" s="33" t="s">
        <v>30</v>
      </c>
    </row>
    <row r="2795" spans="103:109" ht="15" customHeight="1">
      <c r="CY2795" s="62" t="s">
        <v>135</v>
      </c>
      <c r="DE2795" s="33" t="s">
        <v>30</v>
      </c>
    </row>
    <row r="2796" spans="103:109" ht="15" customHeight="1">
      <c r="CY2796" s="62" t="s">
        <v>1286</v>
      </c>
      <c r="DE2796" s="33" t="s">
        <v>30</v>
      </c>
    </row>
    <row r="2797" spans="103:109" ht="15" customHeight="1">
      <c r="CY2797" s="62" t="s">
        <v>1287</v>
      </c>
      <c r="DE2797" s="33" t="s">
        <v>30</v>
      </c>
    </row>
    <row r="2798" spans="103:109" ht="15" customHeight="1">
      <c r="CY2798" s="62" t="s">
        <v>1288</v>
      </c>
      <c r="DE2798" s="33" t="s">
        <v>30</v>
      </c>
    </row>
    <row r="2799" spans="103:109" ht="15" customHeight="1">
      <c r="CY2799" s="62" t="s">
        <v>1289</v>
      </c>
      <c r="DE2799" s="33" t="s">
        <v>30</v>
      </c>
    </row>
    <row r="2800" spans="103:109" ht="15" customHeight="1">
      <c r="CY2800" s="62" t="s">
        <v>262</v>
      </c>
      <c r="DE2800" s="33" t="s">
        <v>30</v>
      </c>
    </row>
    <row r="2801" spans="103:109" ht="15" customHeight="1">
      <c r="CY2801" s="62" t="s">
        <v>265</v>
      </c>
      <c r="DE2801" s="33" t="s">
        <v>30</v>
      </c>
    </row>
    <row r="2802" spans="103:109" ht="15" customHeight="1">
      <c r="CY2802" s="62" t="s">
        <v>109</v>
      </c>
      <c r="DE2802" s="33" t="s">
        <v>30</v>
      </c>
    </row>
    <row r="2803" spans="103:109" ht="15" customHeight="1">
      <c r="CY2803" s="62" t="s">
        <v>1290</v>
      </c>
      <c r="DE2803" s="33" t="s">
        <v>30</v>
      </c>
    </row>
    <row r="2804" spans="103:109" ht="15" customHeight="1">
      <c r="CY2804" s="62" t="s">
        <v>1275</v>
      </c>
      <c r="DE2804" s="33" t="s">
        <v>30</v>
      </c>
    </row>
    <row r="2805" spans="103:109" ht="15" customHeight="1">
      <c r="CY2805" s="62" t="s">
        <v>135</v>
      </c>
      <c r="DE2805" s="33" t="s">
        <v>30</v>
      </c>
    </row>
    <row r="2806" spans="103:109" ht="15" customHeight="1">
      <c r="CY2806" s="62" t="s">
        <v>1277</v>
      </c>
      <c r="DE2806" s="33" t="s">
        <v>30</v>
      </c>
    </row>
    <row r="2807" spans="103:109" ht="15" customHeight="1">
      <c r="CY2807" s="62" t="s">
        <v>1291</v>
      </c>
      <c r="DE2807" s="33" t="s">
        <v>30</v>
      </c>
    </row>
    <row r="2808" spans="103:109" ht="15" customHeight="1">
      <c r="CY2808" s="62" t="s">
        <v>1292</v>
      </c>
      <c r="DE2808" s="33" t="s">
        <v>30</v>
      </c>
    </row>
    <row r="2809" spans="103:109" ht="15" customHeight="1">
      <c r="CY2809" s="62" t="s">
        <v>163</v>
      </c>
      <c r="DE2809" s="33" t="s">
        <v>30</v>
      </c>
    </row>
    <row r="2810" spans="103:109" ht="15" customHeight="1">
      <c r="CY2810" s="62" t="s">
        <v>135</v>
      </c>
      <c r="DE2810" s="33" t="s">
        <v>30</v>
      </c>
    </row>
    <row r="2811" spans="103:109" ht="15" customHeight="1">
      <c r="CY2811" s="62" t="s">
        <v>1280</v>
      </c>
      <c r="DE2811" s="33" t="s">
        <v>30</v>
      </c>
    </row>
    <row r="2812" spans="103:109" ht="15" customHeight="1">
      <c r="CY2812" s="62" t="s">
        <v>1293</v>
      </c>
      <c r="DE2812" s="33" t="s">
        <v>30</v>
      </c>
    </row>
    <row r="2813" spans="103:109" ht="15" customHeight="1">
      <c r="CY2813" s="62" t="s">
        <v>1294</v>
      </c>
      <c r="DE2813" s="33" t="s">
        <v>30</v>
      </c>
    </row>
    <row r="2814" spans="103:109" ht="15" customHeight="1">
      <c r="CY2814" s="62" t="s">
        <v>262</v>
      </c>
      <c r="DE2814" s="33" t="s">
        <v>30</v>
      </c>
    </row>
    <row r="2815" spans="103:109" ht="15" customHeight="1">
      <c r="CY2815" s="62" t="s">
        <v>265</v>
      </c>
      <c r="DE2815" s="33" t="s">
        <v>30</v>
      </c>
    </row>
    <row r="2816" spans="103:109" ht="15" customHeight="1">
      <c r="CY2816" s="62" t="s">
        <v>109</v>
      </c>
      <c r="DE2816" s="33" t="s">
        <v>30</v>
      </c>
    </row>
    <row r="2817" spans="103:109" ht="15" customHeight="1">
      <c r="CY2817" s="62" t="s">
        <v>1295</v>
      </c>
      <c r="DE2817" s="33" t="s">
        <v>30</v>
      </c>
    </row>
    <row r="2818" spans="103:109" ht="15" customHeight="1">
      <c r="CY2818" s="62" t="s">
        <v>1296</v>
      </c>
      <c r="DE2818" s="33" t="s">
        <v>30</v>
      </c>
    </row>
    <row r="2819" spans="103:109" ht="15" customHeight="1">
      <c r="CY2819" s="62" t="s">
        <v>1297</v>
      </c>
      <c r="DE2819" s="33" t="s">
        <v>30</v>
      </c>
    </row>
    <row r="2820" spans="103:109" ht="15" customHeight="1">
      <c r="CY2820" s="62" t="s">
        <v>1298</v>
      </c>
      <c r="DE2820" s="33" t="s">
        <v>30</v>
      </c>
    </row>
    <row r="2821" spans="103:109" ht="15" customHeight="1">
      <c r="CY2821" s="62" t="s">
        <v>1299</v>
      </c>
      <c r="DE2821" s="33" t="s">
        <v>30</v>
      </c>
    </row>
    <row r="2822" spans="103:109" ht="15" customHeight="1">
      <c r="CY2822" s="62" t="s">
        <v>1300</v>
      </c>
      <c r="DE2822" s="33" t="s">
        <v>30</v>
      </c>
    </row>
    <row r="2823" spans="103:109" ht="15" customHeight="1">
      <c r="CY2823" s="62" t="s">
        <v>1301</v>
      </c>
      <c r="DE2823" s="33" t="s">
        <v>30</v>
      </c>
    </row>
    <row r="2824" spans="103:109" ht="15" customHeight="1">
      <c r="CY2824" s="62" t="s">
        <v>1302</v>
      </c>
      <c r="DE2824" s="33" t="s">
        <v>30</v>
      </c>
    </row>
    <row r="2825" spans="103:109" ht="15" customHeight="1">
      <c r="CY2825" s="62" t="s">
        <v>135</v>
      </c>
      <c r="DE2825" s="33" t="s">
        <v>30</v>
      </c>
    </row>
    <row r="2826" spans="103:109" ht="15" customHeight="1">
      <c r="CY2826" s="62" t="s">
        <v>1303</v>
      </c>
      <c r="DE2826" s="33" t="s">
        <v>30</v>
      </c>
    </row>
    <row r="2827" spans="103:109" ht="15" customHeight="1">
      <c r="CY2827" s="62" t="s">
        <v>1304</v>
      </c>
      <c r="DE2827" s="33" t="s">
        <v>30</v>
      </c>
    </row>
    <row r="2828" spans="103:109" ht="15" customHeight="1">
      <c r="CY2828" s="62" t="s">
        <v>1305</v>
      </c>
      <c r="DE2828" s="33" t="s">
        <v>30</v>
      </c>
    </row>
    <row r="2829" spans="103:109" ht="15" customHeight="1">
      <c r="CY2829" s="62" t="s">
        <v>1306</v>
      </c>
      <c r="DE2829" s="33" t="s">
        <v>30</v>
      </c>
    </row>
    <row r="2830" spans="103:109" ht="15" customHeight="1">
      <c r="CY2830" s="62" t="s">
        <v>1307</v>
      </c>
      <c r="DE2830" s="33" t="s">
        <v>30</v>
      </c>
    </row>
    <row r="2831" spans="103:109" ht="15" customHeight="1">
      <c r="CY2831" s="62" t="s">
        <v>1308</v>
      </c>
      <c r="DE2831" s="33" t="s">
        <v>30</v>
      </c>
    </row>
    <row r="2832" spans="103:109" ht="15" customHeight="1">
      <c r="CY2832" s="62" t="s">
        <v>1309</v>
      </c>
      <c r="DE2832" s="33" t="s">
        <v>30</v>
      </c>
    </row>
    <row r="2833" spans="103:109" ht="15" customHeight="1">
      <c r="CY2833" s="62" t="s">
        <v>1310</v>
      </c>
      <c r="DE2833" s="33" t="s">
        <v>30</v>
      </c>
    </row>
    <row r="2834" spans="103:109" ht="15" customHeight="1">
      <c r="CY2834" s="62" t="s">
        <v>1311</v>
      </c>
      <c r="DE2834" s="33" t="s">
        <v>30</v>
      </c>
    </row>
    <row r="2835" spans="103:109" ht="15" customHeight="1">
      <c r="CY2835" s="62" t="s">
        <v>1312</v>
      </c>
      <c r="DE2835" s="33" t="s">
        <v>30</v>
      </c>
    </row>
    <row r="2836" spans="103:109" ht="15" customHeight="1">
      <c r="CY2836" s="62" t="s">
        <v>163</v>
      </c>
      <c r="DE2836" s="33" t="s">
        <v>30</v>
      </c>
    </row>
    <row r="2837" spans="103:109" ht="15" customHeight="1">
      <c r="CY2837" s="62" t="s">
        <v>135</v>
      </c>
      <c r="DE2837" s="33" t="s">
        <v>30</v>
      </c>
    </row>
    <row r="2838" spans="103:109" ht="15" customHeight="1">
      <c r="CY2838" s="62" t="s">
        <v>1313</v>
      </c>
      <c r="DE2838" s="33" t="s">
        <v>30</v>
      </c>
    </row>
    <row r="2839" spans="103:109" ht="15" customHeight="1">
      <c r="CY2839" s="62" t="s">
        <v>1304</v>
      </c>
      <c r="DE2839" s="33" t="s">
        <v>30</v>
      </c>
    </row>
    <row r="2840" spans="103:109" ht="15" customHeight="1">
      <c r="CY2840" s="62" t="s">
        <v>1314</v>
      </c>
      <c r="DE2840" s="33" t="s">
        <v>30</v>
      </c>
    </row>
    <row r="2841" spans="103:109" ht="15" customHeight="1">
      <c r="CY2841" s="62" t="s">
        <v>1315</v>
      </c>
      <c r="DE2841" s="33" t="s">
        <v>30</v>
      </c>
    </row>
    <row r="2842" spans="103:109" ht="15" customHeight="1">
      <c r="CY2842" s="62" t="s">
        <v>1316</v>
      </c>
      <c r="DE2842" s="33" t="s">
        <v>30</v>
      </c>
    </row>
    <row r="2843" spans="103:109" ht="15" customHeight="1">
      <c r="CY2843" s="62" t="s">
        <v>1317</v>
      </c>
      <c r="DE2843" s="33" t="s">
        <v>30</v>
      </c>
    </row>
    <row r="2844" spans="103:109" ht="15" customHeight="1">
      <c r="CY2844" s="62" t="s">
        <v>1309</v>
      </c>
      <c r="DE2844" s="33" t="s">
        <v>30</v>
      </c>
    </row>
    <row r="2845" spans="103:109" ht="15" customHeight="1">
      <c r="CY2845" s="62" t="s">
        <v>1310</v>
      </c>
      <c r="DE2845" s="33" t="s">
        <v>30</v>
      </c>
    </row>
    <row r="2846" spans="103:109" ht="15" customHeight="1">
      <c r="CY2846" s="62" t="s">
        <v>1311</v>
      </c>
      <c r="DE2846" s="33" t="s">
        <v>30</v>
      </c>
    </row>
    <row r="2847" spans="103:109" ht="15" customHeight="1">
      <c r="CY2847" s="62" t="s">
        <v>1312</v>
      </c>
      <c r="DE2847" s="33" t="s">
        <v>30</v>
      </c>
    </row>
    <row r="2848" spans="103:109" ht="15" customHeight="1">
      <c r="CY2848" s="62" t="s">
        <v>163</v>
      </c>
      <c r="DE2848" s="33" t="s">
        <v>30</v>
      </c>
    </row>
    <row r="2849" spans="103:109" ht="15" customHeight="1">
      <c r="CY2849" s="62" t="s">
        <v>135</v>
      </c>
      <c r="DE2849" s="33" t="s">
        <v>30</v>
      </c>
    </row>
    <row r="2850" spans="103:109" ht="15" customHeight="1">
      <c r="CY2850" s="62" t="s">
        <v>1318</v>
      </c>
      <c r="DE2850" s="33" t="s">
        <v>30</v>
      </c>
    </row>
    <row r="2851" spans="103:109" ht="15" customHeight="1">
      <c r="CY2851" s="62" t="s">
        <v>1304</v>
      </c>
      <c r="DE2851" s="33" t="s">
        <v>30</v>
      </c>
    </row>
    <row r="2852" spans="103:109" ht="15" customHeight="1">
      <c r="CY2852" s="62" t="s">
        <v>1314</v>
      </c>
      <c r="DE2852" s="33" t="s">
        <v>30</v>
      </c>
    </row>
    <row r="2853" spans="103:109" ht="15" customHeight="1">
      <c r="CY2853" s="62" t="s">
        <v>1319</v>
      </c>
      <c r="DE2853" s="33" t="s">
        <v>30</v>
      </c>
    </row>
    <row r="2854" spans="103:109" ht="15" customHeight="1">
      <c r="CY2854" s="62" t="s">
        <v>1316</v>
      </c>
      <c r="DE2854" s="33" t="s">
        <v>30</v>
      </c>
    </row>
    <row r="2855" spans="103:109" ht="15" customHeight="1">
      <c r="CY2855" s="62" t="s">
        <v>1320</v>
      </c>
      <c r="DE2855" s="33" t="s">
        <v>30</v>
      </c>
    </row>
    <row r="2856" spans="103:109" ht="15" customHeight="1">
      <c r="CY2856" s="62" t="s">
        <v>1321</v>
      </c>
      <c r="DE2856" s="33" t="s">
        <v>30</v>
      </c>
    </row>
    <row r="2857" spans="103:109" ht="15" customHeight="1">
      <c r="CY2857" s="62" t="s">
        <v>1310</v>
      </c>
      <c r="DE2857" s="33" t="s">
        <v>30</v>
      </c>
    </row>
    <row r="2858" spans="103:109" ht="15" customHeight="1">
      <c r="CY2858" s="62" t="s">
        <v>1311</v>
      </c>
      <c r="DE2858" s="33" t="s">
        <v>30</v>
      </c>
    </row>
    <row r="2859" spans="103:109" ht="15" customHeight="1">
      <c r="CY2859" s="62" t="s">
        <v>1312</v>
      </c>
      <c r="DE2859" s="33" t="s">
        <v>30</v>
      </c>
    </row>
    <row r="2860" spans="103:109" ht="15" customHeight="1">
      <c r="CY2860" s="62" t="s">
        <v>163</v>
      </c>
      <c r="DE2860" s="33" t="s">
        <v>30</v>
      </c>
    </row>
    <row r="2861" spans="103:109" ht="15" customHeight="1">
      <c r="CY2861" s="62" t="s">
        <v>135</v>
      </c>
      <c r="DE2861" s="33" t="s">
        <v>30</v>
      </c>
    </row>
    <row r="2862" spans="103:109" ht="15" customHeight="1">
      <c r="CY2862" s="62" t="s">
        <v>1322</v>
      </c>
      <c r="DE2862" s="33" t="s">
        <v>30</v>
      </c>
    </row>
    <row r="2863" spans="103:109" ht="15" customHeight="1">
      <c r="CY2863" s="62" t="s">
        <v>1304</v>
      </c>
      <c r="DE2863" s="33" t="s">
        <v>30</v>
      </c>
    </row>
    <row r="2864" spans="103:109" ht="15" customHeight="1">
      <c r="CY2864" s="62" t="s">
        <v>1323</v>
      </c>
      <c r="DE2864" s="33" t="s">
        <v>30</v>
      </c>
    </row>
    <row r="2865" spans="103:109" ht="15" customHeight="1">
      <c r="CY2865" s="62" t="s">
        <v>1324</v>
      </c>
      <c r="DE2865" s="33" t="s">
        <v>30</v>
      </c>
    </row>
    <row r="2866" spans="103:109" ht="15" customHeight="1">
      <c r="CY2866" s="62" t="s">
        <v>1307</v>
      </c>
      <c r="DE2866" s="33" t="s">
        <v>30</v>
      </c>
    </row>
    <row r="2867" spans="103:109" ht="15" customHeight="1">
      <c r="CY2867" s="62" t="s">
        <v>1325</v>
      </c>
      <c r="DE2867" s="33" t="s">
        <v>30</v>
      </c>
    </row>
    <row r="2868" spans="103:109" ht="15" customHeight="1">
      <c r="CY2868" s="62" t="s">
        <v>1326</v>
      </c>
      <c r="DE2868" s="33" t="s">
        <v>30</v>
      </c>
    </row>
    <row r="2869" spans="103:109" ht="15" customHeight="1">
      <c r="CY2869" s="62" t="s">
        <v>1310</v>
      </c>
      <c r="DE2869" s="33" t="s">
        <v>30</v>
      </c>
    </row>
    <row r="2870" spans="103:109" ht="15" customHeight="1">
      <c r="CY2870" s="62" t="s">
        <v>1311</v>
      </c>
      <c r="DE2870" s="33" t="s">
        <v>30</v>
      </c>
    </row>
    <row r="2871" spans="103:109" ht="15" customHeight="1">
      <c r="CY2871" s="62" t="s">
        <v>1312</v>
      </c>
      <c r="DE2871" s="33" t="s">
        <v>30</v>
      </c>
    </row>
    <row r="2872" spans="103:109" ht="15" customHeight="1">
      <c r="CY2872" s="62" t="s">
        <v>163</v>
      </c>
      <c r="DE2872" s="33" t="s">
        <v>30</v>
      </c>
    </row>
    <row r="2873" spans="103:109" ht="15" customHeight="1">
      <c r="CY2873" s="62" t="s">
        <v>135</v>
      </c>
      <c r="DE2873" s="33" t="s">
        <v>30</v>
      </c>
    </row>
    <row r="2874" spans="103:109" ht="15" customHeight="1">
      <c r="CY2874" s="62" t="s">
        <v>1327</v>
      </c>
      <c r="DE2874" s="33" t="s">
        <v>30</v>
      </c>
    </row>
    <row r="2875" spans="103:109" ht="15" customHeight="1">
      <c r="CY2875" s="62" t="s">
        <v>1304</v>
      </c>
      <c r="DE2875" s="33" t="s">
        <v>30</v>
      </c>
    </row>
    <row r="2876" spans="103:109" ht="15" customHeight="1">
      <c r="CY2876" s="62" t="s">
        <v>1323</v>
      </c>
      <c r="DE2876" s="33" t="s">
        <v>30</v>
      </c>
    </row>
    <row r="2877" spans="103:109" ht="15" customHeight="1">
      <c r="CY2877" s="62" t="s">
        <v>1328</v>
      </c>
      <c r="DE2877" s="33" t="s">
        <v>30</v>
      </c>
    </row>
    <row r="2878" spans="103:109" ht="15" customHeight="1">
      <c r="CY2878" s="62" t="s">
        <v>1307</v>
      </c>
      <c r="DE2878" s="33" t="s">
        <v>30</v>
      </c>
    </row>
    <row r="2879" spans="103:109" ht="15" customHeight="1">
      <c r="CY2879" s="62" t="s">
        <v>1329</v>
      </c>
      <c r="DE2879" s="33" t="s">
        <v>30</v>
      </c>
    </row>
    <row r="2880" spans="103:109" ht="15" customHeight="1">
      <c r="CY2880" s="62" t="s">
        <v>1330</v>
      </c>
      <c r="DE2880" s="33" t="s">
        <v>30</v>
      </c>
    </row>
    <row r="2881" spans="103:109" ht="15" customHeight="1">
      <c r="CY2881" s="62" t="s">
        <v>1310</v>
      </c>
      <c r="DE2881" s="33" t="s">
        <v>30</v>
      </c>
    </row>
    <row r="2882" spans="103:109" ht="15" customHeight="1">
      <c r="CY2882" s="62" t="s">
        <v>1311</v>
      </c>
      <c r="DE2882" s="33" t="s">
        <v>30</v>
      </c>
    </row>
    <row r="2883" spans="103:109" ht="15" customHeight="1">
      <c r="CY2883" s="62" t="s">
        <v>1312</v>
      </c>
      <c r="DE2883" s="33" t="s">
        <v>30</v>
      </c>
    </row>
    <row r="2884" spans="103:109" ht="15" customHeight="1">
      <c r="CY2884" s="62" t="s">
        <v>163</v>
      </c>
      <c r="DE2884" s="33" t="s">
        <v>30</v>
      </c>
    </row>
    <row r="2885" spans="103:109" ht="15" customHeight="1">
      <c r="CY2885" s="62" t="s">
        <v>135</v>
      </c>
      <c r="DE2885" s="33" t="s">
        <v>30</v>
      </c>
    </row>
    <row r="2886" spans="103:109" ht="15" customHeight="1">
      <c r="CY2886" s="62" t="s">
        <v>1331</v>
      </c>
      <c r="DE2886" s="33" t="s">
        <v>30</v>
      </c>
    </row>
    <row r="2887" spans="103:109" ht="15" customHeight="1">
      <c r="CY2887" s="62" t="s">
        <v>1304</v>
      </c>
      <c r="DE2887" s="33" t="s">
        <v>30</v>
      </c>
    </row>
    <row r="2888" spans="103:109" ht="15" customHeight="1">
      <c r="CY2888" s="62" t="s">
        <v>1332</v>
      </c>
      <c r="DE2888" s="33" t="s">
        <v>30</v>
      </c>
    </row>
    <row r="2889" spans="103:109" ht="15" customHeight="1">
      <c r="CY2889" s="62" t="s">
        <v>1333</v>
      </c>
      <c r="DE2889" s="33" t="s">
        <v>30</v>
      </c>
    </row>
    <row r="2890" spans="103:109" ht="15" customHeight="1">
      <c r="CY2890" s="62" t="s">
        <v>1307</v>
      </c>
      <c r="DE2890" s="33" t="s">
        <v>30</v>
      </c>
    </row>
    <row r="2891" spans="103:109" ht="15" customHeight="1">
      <c r="CY2891" s="62" t="s">
        <v>1334</v>
      </c>
      <c r="DE2891" s="33" t="s">
        <v>30</v>
      </c>
    </row>
    <row r="2892" spans="103:109" ht="15" customHeight="1">
      <c r="CY2892" s="62" t="s">
        <v>1335</v>
      </c>
      <c r="DE2892" s="33" t="s">
        <v>30</v>
      </c>
    </row>
    <row r="2893" spans="103:109" ht="15" customHeight="1">
      <c r="CY2893" s="62" t="s">
        <v>1310</v>
      </c>
      <c r="DE2893" s="33" t="s">
        <v>30</v>
      </c>
    </row>
    <row r="2894" spans="103:109" ht="15" customHeight="1">
      <c r="CY2894" s="62" t="s">
        <v>1311</v>
      </c>
      <c r="DE2894" s="33" t="s">
        <v>30</v>
      </c>
    </row>
    <row r="2895" spans="103:109" ht="15" customHeight="1">
      <c r="CY2895" s="62" t="s">
        <v>1312</v>
      </c>
      <c r="DE2895" s="33" t="s">
        <v>30</v>
      </c>
    </row>
    <row r="2896" spans="103:109" ht="15" customHeight="1">
      <c r="CY2896" s="62" t="s">
        <v>163</v>
      </c>
      <c r="DE2896" s="33" t="s">
        <v>30</v>
      </c>
    </row>
    <row r="2897" spans="103:109" ht="15" customHeight="1">
      <c r="CY2897" s="62" t="s">
        <v>135</v>
      </c>
      <c r="DE2897" s="33" t="s">
        <v>30</v>
      </c>
    </row>
    <row r="2898" spans="103:109" ht="15" customHeight="1">
      <c r="CY2898" s="62" t="s">
        <v>1336</v>
      </c>
      <c r="DE2898" s="33" t="s">
        <v>30</v>
      </c>
    </row>
    <row r="2899" spans="103:109" ht="15" customHeight="1">
      <c r="CY2899" s="62" t="s">
        <v>1304</v>
      </c>
      <c r="DE2899" s="33" t="s">
        <v>30</v>
      </c>
    </row>
    <row r="2900" spans="103:109" ht="15" customHeight="1">
      <c r="CY2900" s="62" t="s">
        <v>1337</v>
      </c>
      <c r="DE2900" s="33" t="s">
        <v>30</v>
      </c>
    </row>
    <row r="2901" spans="103:109" ht="15" customHeight="1">
      <c r="CY2901" s="62" t="s">
        <v>1338</v>
      </c>
      <c r="DE2901" s="33" t="s">
        <v>30</v>
      </c>
    </row>
    <row r="2902" spans="103:109" ht="15" customHeight="1">
      <c r="CY2902" s="62" t="s">
        <v>1339</v>
      </c>
      <c r="DE2902" s="33" t="s">
        <v>30</v>
      </c>
    </row>
    <row r="2903" spans="103:109" ht="15" customHeight="1">
      <c r="CY2903" s="62" t="s">
        <v>1320</v>
      </c>
      <c r="DE2903" s="33" t="s">
        <v>30</v>
      </c>
    </row>
    <row r="2904" spans="103:109" ht="15" customHeight="1">
      <c r="CY2904" s="62" t="s">
        <v>1340</v>
      </c>
      <c r="DE2904" s="33" t="s">
        <v>30</v>
      </c>
    </row>
    <row r="2905" spans="103:109" ht="15" customHeight="1">
      <c r="CY2905" s="62" t="s">
        <v>1310</v>
      </c>
      <c r="DE2905" s="33" t="s">
        <v>30</v>
      </c>
    </row>
    <row r="2906" spans="103:109" ht="15" customHeight="1">
      <c r="CY2906" s="62" t="s">
        <v>1311</v>
      </c>
      <c r="DE2906" s="33" t="s">
        <v>30</v>
      </c>
    </row>
    <row r="2907" spans="103:109" ht="15" customHeight="1">
      <c r="CY2907" s="62" t="s">
        <v>1312</v>
      </c>
      <c r="DE2907" s="33" t="s">
        <v>30</v>
      </c>
    </row>
    <row r="2908" spans="103:109" ht="15" customHeight="1">
      <c r="CY2908" s="62" t="s">
        <v>163</v>
      </c>
      <c r="DE2908" s="33" t="s">
        <v>30</v>
      </c>
    </row>
    <row r="2909" spans="103:109" ht="15" customHeight="1">
      <c r="CY2909" s="62" t="s">
        <v>135</v>
      </c>
      <c r="DE2909" s="33" t="s">
        <v>30</v>
      </c>
    </row>
    <row r="2910" spans="103:109" ht="15" customHeight="1">
      <c r="CY2910" s="62" t="s">
        <v>1341</v>
      </c>
      <c r="DE2910" s="33" t="s">
        <v>30</v>
      </c>
    </row>
    <row r="2911" spans="103:109" ht="15" customHeight="1">
      <c r="CY2911" s="62" t="s">
        <v>1304</v>
      </c>
      <c r="DE2911" s="33" t="s">
        <v>30</v>
      </c>
    </row>
    <row r="2912" spans="103:109" ht="15" customHeight="1">
      <c r="CY2912" s="62" t="s">
        <v>1342</v>
      </c>
      <c r="DE2912" s="33" t="s">
        <v>30</v>
      </c>
    </row>
    <row r="2913" spans="103:109" ht="15" customHeight="1">
      <c r="CY2913" s="62" t="s">
        <v>1343</v>
      </c>
      <c r="DE2913" s="33" t="s">
        <v>30</v>
      </c>
    </row>
    <row r="2914" spans="103:109" ht="15" customHeight="1">
      <c r="CY2914" s="62" t="s">
        <v>1316</v>
      </c>
      <c r="DE2914" s="33" t="s">
        <v>30</v>
      </c>
    </row>
    <row r="2915" spans="103:109" ht="15" customHeight="1">
      <c r="CY2915" s="62" t="s">
        <v>1344</v>
      </c>
      <c r="DE2915" s="33" t="s">
        <v>30</v>
      </c>
    </row>
    <row r="2916" spans="103:109" ht="15" customHeight="1">
      <c r="CY2916" s="62" t="s">
        <v>1345</v>
      </c>
      <c r="DE2916" s="33" t="s">
        <v>30</v>
      </c>
    </row>
    <row r="2917" spans="103:109" ht="15" customHeight="1">
      <c r="CY2917" s="62" t="s">
        <v>1310</v>
      </c>
      <c r="DE2917" s="33" t="s">
        <v>30</v>
      </c>
    </row>
    <row r="2918" spans="103:109" ht="15" customHeight="1">
      <c r="CY2918" s="62" t="s">
        <v>1346</v>
      </c>
      <c r="DE2918" s="33" t="s">
        <v>30</v>
      </c>
    </row>
    <row r="2919" spans="103:109" ht="15" customHeight="1">
      <c r="CY2919" s="62" t="s">
        <v>1312</v>
      </c>
      <c r="DE2919" s="33" t="s">
        <v>30</v>
      </c>
    </row>
    <row r="2920" spans="103:109" ht="15" customHeight="1">
      <c r="CY2920" s="62" t="s">
        <v>163</v>
      </c>
      <c r="DE2920" s="33" t="s">
        <v>30</v>
      </c>
    </row>
    <row r="2921" spans="103:109" ht="15" customHeight="1">
      <c r="CY2921" s="62" t="s">
        <v>135</v>
      </c>
      <c r="DE2921" s="33" t="s">
        <v>30</v>
      </c>
    </row>
    <row r="2922" spans="103:109" ht="15" customHeight="1">
      <c r="CY2922" s="62" t="s">
        <v>1347</v>
      </c>
      <c r="DE2922" s="33" t="s">
        <v>30</v>
      </c>
    </row>
    <row r="2923" spans="103:109" ht="15" customHeight="1">
      <c r="CY2923" s="62" t="s">
        <v>1304</v>
      </c>
      <c r="DE2923" s="33" t="s">
        <v>30</v>
      </c>
    </row>
    <row r="2924" spans="103:109" ht="15" customHeight="1">
      <c r="CY2924" s="62" t="s">
        <v>1342</v>
      </c>
      <c r="DE2924" s="33" t="s">
        <v>30</v>
      </c>
    </row>
    <row r="2925" spans="103:109" ht="15" customHeight="1">
      <c r="CY2925" s="62" t="s">
        <v>1348</v>
      </c>
      <c r="DE2925" s="33" t="s">
        <v>30</v>
      </c>
    </row>
    <row r="2926" spans="103:109" ht="15" customHeight="1">
      <c r="CY2926" s="62" t="s">
        <v>1316</v>
      </c>
      <c r="DE2926" s="33" t="s">
        <v>30</v>
      </c>
    </row>
    <row r="2927" spans="103:109" ht="15" customHeight="1">
      <c r="CY2927" s="62" t="s">
        <v>1349</v>
      </c>
      <c r="DE2927" s="33" t="s">
        <v>30</v>
      </c>
    </row>
    <row r="2928" spans="103:109" ht="15" customHeight="1">
      <c r="CY2928" s="62" t="s">
        <v>1350</v>
      </c>
      <c r="DE2928" s="33" t="s">
        <v>30</v>
      </c>
    </row>
    <row r="2929" spans="103:109" ht="15" customHeight="1">
      <c r="CY2929" s="62" t="s">
        <v>1310</v>
      </c>
      <c r="DE2929" s="33" t="s">
        <v>30</v>
      </c>
    </row>
    <row r="2930" spans="103:109" ht="15" customHeight="1">
      <c r="CY2930" s="62" t="s">
        <v>1346</v>
      </c>
      <c r="DE2930" s="33" t="s">
        <v>30</v>
      </c>
    </row>
    <row r="2931" spans="103:109" ht="15" customHeight="1">
      <c r="CY2931" s="62" t="s">
        <v>1312</v>
      </c>
      <c r="DE2931" s="33" t="s">
        <v>30</v>
      </c>
    </row>
    <row r="2932" spans="103:109" ht="15" customHeight="1">
      <c r="CY2932" s="62" t="s">
        <v>163</v>
      </c>
      <c r="DE2932" s="33" t="s">
        <v>30</v>
      </c>
    </row>
    <row r="2933" spans="103:109" ht="15" customHeight="1">
      <c r="CY2933" s="62" t="s">
        <v>135</v>
      </c>
      <c r="DE2933" s="33" t="s">
        <v>30</v>
      </c>
    </row>
    <row r="2934" spans="103:109" ht="15" customHeight="1">
      <c r="CY2934" s="62" t="s">
        <v>1351</v>
      </c>
      <c r="DE2934" s="33" t="s">
        <v>30</v>
      </c>
    </row>
    <row r="2935" spans="103:109" ht="15" customHeight="1">
      <c r="CY2935" s="62" t="s">
        <v>1352</v>
      </c>
      <c r="DE2935" s="33" t="s">
        <v>30</v>
      </c>
    </row>
    <row r="2936" spans="103:109" ht="15" customHeight="1">
      <c r="CY2936" s="62" t="s">
        <v>1353</v>
      </c>
      <c r="DE2936" s="33" t="s">
        <v>30</v>
      </c>
    </row>
    <row r="2937" spans="103:109" ht="15" customHeight="1">
      <c r="CY2937" s="62" t="s">
        <v>1354</v>
      </c>
      <c r="DE2937" s="33" t="s">
        <v>30</v>
      </c>
    </row>
    <row r="2938" spans="103:109" ht="15" customHeight="1">
      <c r="CY2938" s="62" t="s">
        <v>1316</v>
      </c>
      <c r="DE2938" s="33" t="s">
        <v>30</v>
      </c>
    </row>
    <row r="2939" spans="103:109" ht="15" customHeight="1">
      <c r="CY2939" s="62" t="s">
        <v>1317</v>
      </c>
      <c r="DE2939" s="33" t="s">
        <v>30</v>
      </c>
    </row>
    <row r="2940" spans="103:109" ht="15" customHeight="1">
      <c r="CY2940" s="62" t="s">
        <v>1309</v>
      </c>
      <c r="DE2940" s="33" t="s">
        <v>30</v>
      </c>
    </row>
    <row r="2941" spans="103:109" ht="15" customHeight="1">
      <c r="CY2941" s="62" t="s">
        <v>1310</v>
      </c>
      <c r="DE2941" s="33" t="s">
        <v>30</v>
      </c>
    </row>
    <row r="2942" spans="103:109" ht="15" customHeight="1">
      <c r="CY2942" s="62" t="s">
        <v>1311</v>
      </c>
      <c r="DE2942" s="33" t="s">
        <v>30</v>
      </c>
    </row>
    <row r="2943" spans="103:109" ht="15" customHeight="1">
      <c r="CY2943" s="62" t="s">
        <v>1312</v>
      </c>
      <c r="DE2943" s="33" t="s">
        <v>30</v>
      </c>
    </row>
    <row r="2944" spans="103:109" ht="15" customHeight="1">
      <c r="CY2944" s="62" t="s">
        <v>163</v>
      </c>
      <c r="DE2944" s="33" t="s">
        <v>30</v>
      </c>
    </row>
    <row r="2945" spans="103:109" ht="15" customHeight="1">
      <c r="CY2945" s="62" t="s">
        <v>135</v>
      </c>
      <c r="DE2945" s="33" t="s">
        <v>30</v>
      </c>
    </row>
    <row r="2946" spans="103:109" ht="15" customHeight="1">
      <c r="CY2946" s="62" t="s">
        <v>1355</v>
      </c>
      <c r="DE2946" s="33" t="s">
        <v>30</v>
      </c>
    </row>
    <row r="2947" spans="103:109" ht="15" customHeight="1">
      <c r="CY2947" s="62" t="s">
        <v>1356</v>
      </c>
      <c r="DE2947" s="33" t="s">
        <v>30</v>
      </c>
    </row>
    <row r="2948" spans="103:109" ht="15" customHeight="1">
      <c r="CY2948" s="62" t="s">
        <v>1357</v>
      </c>
      <c r="DE2948" s="33" t="s">
        <v>30</v>
      </c>
    </row>
    <row r="2949" spans="103:109" ht="15" customHeight="1">
      <c r="CY2949" s="62" t="s">
        <v>1354</v>
      </c>
      <c r="DE2949" s="33" t="s">
        <v>30</v>
      </c>
    </row>
    <row r="2950" spans="103:109" ht="15" customHeight="1">
      <c r="CY2950" s="62" t="s">
        <v>1358</v>
      </c>
      <c r="DE2950" s="33" t="s">
        <v>30</v>
      </c>
    </row>
    <row r="2951" spans="103:109" ht="15" customHeight="1">
      <c r="CY2951" s="62" t="s">
        <v>1359</v>
      </c>
      <c r="DE2951" s="33" t="s">
        <v>30</v>
      </c>
    </row>
    <row r="2952" spans="103:109" ht="15" customHeight="1">
      <c r="CY2952" s="62" t="s">
        <v>1360</v>
      </c>
      <c r="DE2952" s="33" t="s">
        <v>30</v>
      </c>
    </row>
    <row r="2953" spans="103:109" ht="15" customHeight="1">
      <c r="CY2953" s="62" t="s">
        <v>1310</v>
      </c>
      <c r="DE2953" s="33" t="s">
        <v>30</v>
      </c>
    </row>
    <row r="2954" spans="103:109" ht="15" customHeight="1">
      <c r="CY2954" s="62" t="s">
        <v>1346</v>
      </c>
      <c r="DE2954" s="33" t="s">
        <v>30</v>
      </c>
    </row>
    <row r="2955" spans="103:109" ht="15" customHeight="1">
      <c r="CY2955" s="62" t="s">
        <v>1312</v>
      </c>
      <c r="DE2955" s="33" t="s">
        <v>30</v>
      </c>
    </row>
    <row r="2956" spans="103:109" ht="15" customHeight="1">
      <c r="CY2956" s="62" t="s">
        <v>262</v>
      </c>
      <c r="DE2956" s="33" t="s">
        <v>30</v>
      </c>
    </row>
    <row r="2957" spans="103:109" ht="15" customHeight="1">
      <c r="CY2957" s="62" t="s">
        <v>265</v>
      </c>
      <c r="DE2957" s="33" t="s">
        <v>30</v>
      </c>
    </row>
    <row r="2958" spans="103:109" ht="15" customHeight="1">
      <c r="CY2958" s="62" t="s">
        <v>109</v>
      </c>
      <c r="DE2958" s="33" t="s">
        <v>30</v>
      </c>
    </row>
    <row r="2959" spans="103:109" ht="15" customHeight="1">
      <c r="CY2959" s="62" t="s">
        <v>1361</v>
      </c>
      <c r="DE2959" s="33" t="s">
        <v>30</v>
      </c>
    </row>
    <row r="2960" spans="103:109" ht="15" customHeight="1">
      <c r="CY2960" s="62" t="s">
        <v>1362</v>
      </c>
      <c r="DE2960" s="33" t="s">
        <v>30</v>
      </c>
    </row>
    <row r="2961" spans="103:109" ht="15" customHeight="1">
      <c r="CY2961" s="62" t="s">
        <v>1363</v>
      </c>
      <c r="DE2961" s="33" t="s">
        <v>30</v>
      </c>
    </row>
    <row r="2962" spans="103:109" ht="15" customHeight="1">
      <c r="CY2962" s="62" t="s">
        <v>109</v>
      </c>
      <c r="DE2962" s="33" t="s">
        <v>30</v>
      </c>
    </row>
    <row r="2963" spans="103:109" ht="15" customHeight="1">
      <c r="CY2963" s="62" t="s">
        <v>1364</v>
      </c>
      <c r="DE2963" s="33" t="s">
        <v>30</v>
      </c>
    </row>
    <row r="2964" spans="103:109" ht="15" customHeight="1">
      <c r="CY2964" s="62" t="s">
        <v>1365</v>
      </c>
      <c r="DE2964" s="33" t="s">
        <v>30</v>
      </c>
    </row>
    <row r="2965" spans="103:109" ht="15" customHeight="1">
      <c r="CY2965" s="62" t="s">
        <v>1366</v>
      </c>
      <c r="DE2965" s="33" t="s">
        <v>30</v>
      </c>
    </row>
    <row r="2966" spans="103:109" ht="15" customHeight="1">
      <c r="CY2966" s="62" t="s">
        <v>1367</v>
      </c>
      <c r="DE2966" s="33" t="s">
        <v>30</v>
      </c>
    </row>
    <row r="2967" spans="103:109" ht="15" customHeight="1">
      <c r="CY2967" s="62" t="s">
        <v>1368</v>
      </c>
      <c r="DE2967" s="33" t="s">
        <v>30</v>
      </c>
    </row>
    <row r="2968" spans="103:109" ht="15" customHeight="1">
      <c r="DE2968" s="33" t="s">
        <v>30</v>
      </c>
    </row>
    <row r="2969" spans="103:109" ht="15" customHeight="1">
      <c r="DE2969" s="33" t="s">
        <v>30</v>
      </c>
    </row>
    <row r="2970" spans="103:109" ht="15" customHeight="1">
      <c r="DE2970" s="33" t="s">
        <v>30</v>
      </c>
    </row>
    <row r="2971" spans="103:109" ht="15" customHeight="1">
      <c r="DE2971" s="33" t="s">
        <v>30</v>
      </c>
    </row>
    <row r="2972" spans="103:109" ht="15" customHeight="1">
      <c r="DE2972" s="33" t="s">
        <v>30</v>
      </c>
    </row>
    <row r="2973" spans="103:109" ht="15" customHeight="1">
      <c r="DE2973" s="33" t="s">
        <v>30</v>
      </c>
    </row>
    <row r="2974" spans="103:109" ht="15" customHeight="1">
      <c r="DE2974" s="33" t="s">
        <v>30</v>
      </c>
    </row>
    <row r="2975" spans="103:109" ht="15" customHeight="1">
      <c r="DE2975" s="33" t="s">
        <v>30</v>
      </c>
    </row>
    <row r="2976" spans="103:109" ht="15" customHeight="1">
      <c r="DE2976" s="33" t="s">
        <v>30</v>
      </c>
    </row>
  </sheetData>
  <mergeCells count="3544">
    <mergeCell ref="CI7:CJ9"/>
    <mergeCell ref="CK7:CL9"/>
    <mergeCell ref="CT7:CW7"/>
    <mergeCell ref="F8:K8"/>
    <mergeCell ref="L8:P8"/>
    <mergeCell ref="Q8:R9"/>
    <mergeCell ref="S8:T9"/>
    <mergeCell ref="U8:V9"/>
    <mergeCell ref="AJ8:AK9"/>
    <mergeCell ref="AL8:AM9"/>
    <mergeCell ref="AN8:AS8"/>
    <mergeCell ref="AT8:AU9"/>
    <mergeCell ref="AV8:AW9"/>
    <mergeCell ref="AX8:BM8"/>
    <mergeCell ref="BD9:BE9"/>
    <mergeCell ref="BF9:BG9"/>
    <mergeCell ref="BH9:BI9"/>
    <mergeCell ref="BJ9:BK9"/>
    <mergeCell ref="W8:X9"/>
    <mergeCell ref="Y8:AA9"/>
    <mergeCell ref="AB8:AC9"/>
    <mergeCell ref="AD8:AE9"/>
    <mergeCell ref="AF8:AG9"/>
    <mergeCell ref="AH8:AI9"/>
    <mergeCell ref="BT7:BW7"/>
    <mergeCell ref="BL9:BM9"/>
    <mergeCell ref="B10:E10"/>
    <mergeCell ref="F10:K10"/>
    <mergeCell ref="L10:P10"/>
    <mergeCell ref="Q10:R10"/>
    <mergeCell ref="S10:T10"/>
    <mergeCell ref="U10:V10"/>
    <mergeCell ref="W10:X10"/>
    <mergeCell ref="Y10:AA10"/>
    <mergeCell ref="AB10:AC10"/>
    <mergeCell ref="CT8:CU9"/>
    <mergeCell ref="CV8:CW9"/>
    <mergeCell ref="F9:K9"/>
    <mergeCell ref="L9:P9"/>
    <mergeCell ref="AN9:AO9"/>
    <mergeCell ref="AP9:AQ9"/>
    <mergeCell ref="AR9:AS9"/>
    <mergeCell ref="AX9:AY9"/>
    <mergeCell ref="AZ9:BA9"/>
    <mergeCell ref="BB9:BC9"/>
    <mergeCell ref="CA8:CB9"/>
    <mergeCell ref="CC8:CD9"/>
    <mergeCell ref="CE8:CF9"/>
    <mergeCell ref="CN8:CO9"/>
    <mergeCell ref="CP8:CQ9"/>
    <mergeCell ref="CR8:CS9"/>
    <mergeCell ref="BN8:BO9"/>
    <mergeCell ref="BP8:BP9"/>
    <mergeCell ref="BQ8:BS9"/>
    <mergeCell ref="BT8:BU9"/>
    <mergeCell ref="BV8:BW9"/>
    <mergeCell ref="BX8:BZ9"/>
    <mergeCell ref="CG7:CH9"/>
    <mergeCell ref="BF10:BG10"/>
    <mergeCell ref="BH10:BI10"/>
    <mergeCell ref="BJ10:BK10"/>
    <mergeCell ref="BL10:BM10"/>
    <mergeCell ref="AP10:AQ10"/>
    <mergeCell ref="AR10:AS10"/>
    <mergeCell ref="AT10:AU10"/>
    <mergeCell ref="AV10:AW10"/>
    <mergeCell ref="AX10:AY10"/>
    <mergeCell ref="AZ10:BA10"/>
    <mergeCell ref="AD10:AE10"/>
    <mergeCell ref="AF10:AG129"/>
    <mergeCell ref="AH10:AI10"/>
    <mergeCell ref="AJ10:AK10"/>
    <mergeCell ref="AL10:AM10"/>
    <mergeCell ref="AN10:AO10"/>
    <mergeCell ref="AL11:AM11"/>
    <mergeCell ref="AN11:AO11"/>
    <mergeCell ref="AL12:AM12"/>
    <mergeCell ref="AN12:AO12"/>
    <mergeCell ref="AT12:AU12"/>
    <mergeCell ref="AV12:AW12"/>
    <mergeCell ref="AX12:AY12"/>
    <mergeCell ref="AZ12:BA12"/>
    <mergeCell ref="AX13:AY13"/>
    <mergeCell ref="AZ13:BA13"/>
    <mergeCell ref="CP10:CQ10"/>
    <mergeCell ref="CR10:CS10"/>
    <mergeCell ref="CT10:CU10"/>
    <mergeCell ref="CV10:CW10"/>
    <mergeCell ref="B11:E11"/>
    <mergeCell ref="F11:K11"/>
    <mergeCell ref="L11:P11"/>
    <mergeCell ref="Q11:R11"/>
    <mergeCell ref="S11:T11"/>
    <mergeCell ref="U11:V11"/>
    <mergeCell ref="CC10:CD10"/>
    <mergeCell ref="CE10:CF10"/>
    <mergeCell ref="CG10:CH22"/>
    <mergeCell ref="CI10:CJ22"/>
    <mergeCell ref="CK10:CL22"/>
    <mergeCell ref="CN10:CO10"/>
    <mergeCell ref="CC11:CD11"/>
    <mergeCell ref="CE11:CF11"/>
    <mergeCell ref="CN11:CO11"/>
    <mergeCell ref="CN13:CU13"/>
    <mergeCell ref="BN10:BO10"/>
    <mergeCell ref="BQ10:BS10"/>
    <mergeCell ref="BT10:BU129"/>
    <mergeCell ref="BV10:BW129"/>
    <mergeCell ref="BX10:BZ10"/>
    <mergeCell ref="CA10:CB10"/>
    <mergeCell ref="BN11:BO11"/>
    <mergeCell ref="BQ11:BS11"/>
    <mergeCell ref="BX11:BZ11"/>
    <mergeCell ref="CA11:CB11"/>
    <mergeCell ref="BB10:BC10"/>
    <mergeCell ref="BD10:BE10"/>
    <mergeCell ref="AB12:AC12"/>
    <mergeCell ref="AD12:AE12"/>
    <mergeCell ref="AH12:AI12"/>
    <mergeCell ref="AJ12:AK12"/>
    <mergeCell ref="CP11:CQ11"/>
    <mergeCell ref="CR11:CS11"/>
    <mergeCell ref="CT11:CU11"/>
    <mergeCell ref="CV11:CW11"/>
    <mergeCell ref="B12:E12"/>
    <mergeCell ref="F12:K12"/>
    <mergeCell ref="L12:P12"/>
    <mergeCell ref="Q12:R12"/>
    <mergeCell ref="S12:T12"/>
    <mergeCell ref="U12:V12"/>
    <mergeCell ref="BB11:BC11"/>
    <mergeCell ref="BD11:BE11"/>
    <mergeCell ref="BF11:BG11"/>
    <mergeCell ref="BH11:BI11"/>
    <mergeCell ref="BJ11:BK11"/>
    <mergeCell ref="BL11:BM11"/>
    <mergeCell ref="AP11:AQ11"/>
    <mergeCell ref="AR11:AS11"/>
    <mergeCell ref="AT11:AU11"/>
    <mergeCell ref="AV11:AW11"/>
    <mergeCell ref="AX11:AY11"/>
    <mergeCell ref="AZ11:BA11"/>
    <mergeCell ref="W11:X11"/>
    <mergeCell ref="Y11:AA11"/>
    <mergeCell ref="AB11:AC11"/>
    <mergeCell ref="AD11:AE11"/>
    <mergeCell ref="AH11:AI11"/>
    <mergeCell ref="AJ11:AK11"/>
    <mergeCell ref="AB13:AC13"/>
    <mergeCell ref="AD13:AE13"/>
    <mergeCell ref="AH13:AI13"/>
    <mergeCell ref="AJ13:AK13"/>
    <mergeCell ref="AL13:AM13"/>
    <mergeCell ref="AN13:AO13"/>
    <mergeCell ref="CT12:CU12"/>
    <mergeCell ref="CV12:CW12"/>
    <mergeCell ref="B13:E13"/>
    <mergeCell ref="F13:K13"/>
    <mergeCell ref="L13:P13"/>
    <mergeCell ref="Q13:R13"/>
    <mergeCell ref="S13:T13"/>
    <mergeCell ref="U13:V13"/>
    <mergeCell ref="W13:X13"/>
    <mergeCell ref="Y13:AA13"/>
    <mergeCell ref="BN12:BO12"/>
    <mergeCell ref="BQ12:BS12"/>
    <mergeCell ref="BX12:BZ12"/>
    <mergeCell ref="CA12:CB12"/>
    <mergeCell ref="CC12:CD12"/>
    <mergeCell ref="CE12:CF12"/>
    <mergeCell ref="BB12:BC12"/>
    <mergeCell ref="BD12:BE12"/>
    <mergeCell ref="BF12:BG12"/>
    <mergeCell ref="BH12:BI12"/>
    <mergeCell ref="BJ12:BK12"/>
    <mergeCell ref="BL12:BM12"/>
    <mergeCell ref="AP12:AQ12"/>
    <mergeCell ref="AR12:AS12"/>
    <mergeCell ref="W12:X12"/>
    <mergeCell ref="Y12:AA12"/>
    <mergeCell ref="AD14:AE14"/>
    <mergeCell ref="AH14:AI14"/>
    <mergeCell ref="AJ14:AK14"/>
    <mergeCell ref="AL14:AM14"/>
    <mergeCell ref="AN14:AO14"/>
    <mergeCell ref="AP14:AQ14"/>
    <mergeCell ref="CV13:CW13"/>
    <mergeCell ref="B14:E14"/>
    <mergeCell ref="F14:K14"/>
    <mergeCell ref="L14:P14"/>
    <mergeCell ref="Q14:R14"/>
    <mergeCell ref="S14:T14"/>
    <mergeCell ref="U14:V14"/>
    <mergeCell ref="W14:X14"/>
    <mergeCell ref="Y14:AA14"/>
    <mergeCell ref="AB14:AC14"/>
    <mergeCell ref="BN13:BO13"/>
    <mergeCell ref="BQ13:BS13"/>
    <mergeCell ref="BX13:BZ13"/>
    <mergeCell ref="CA13:CB13"/>
    <mergeCell ref="CC13:CD13"/>
    <mergeCell ref="CE13:CF13"/>
    <mergeCell ref="BB13:BC13"/>
    <mergeCell ref="BD13:BE13"/>
    <mergeCell ref="BF13:BG13"/>
    <mergeCell ref="BH13:BI13"/>
    <mergeCell ref="BJ13:BK13"/>
    <mergeCell ref="BL13:BM13"/>
    <mergeCell ref="AP13:AQ13"/>
    <mergeCell ref="AR13:AS13"/>
    <mergeCell ref="AT13:AU13"/>
    <mergeCell ref="AV13:AW13"/>
    <mergeCell ref="AJ15:AK15"/>
    <mergeCell ref="AL15:AM15"/>
    <mergeCell ref="AN15:AO15"/>
    <mergeCell ref="AP15:AQ15"/>
    <mergeCell ref="CV14:CW14"/>
    <mergeCell ref="B15:E15"/>
    <mergeCell ref="F15:K15"/>
    <mergeCell ref="L15:P15"/>
    <mergeCell ref="Q15:R15"/>
    <mergeCell ref="S15:T15"/>
    <mergeCell ref="U15:V15"/>
    <mergeCell ref="W15:X15"/>
    <mergeCell ref="Y15:AA15"/>
    <mergeCell ref="AB15:AC15"/>
    <mergeCell ref="BQ14:BS14"/>
    <mergeCell ref="BX14:BZ14"/>
    <mergeCell ref="CA14:CB14"/>
    <mergeCell ref="CC14:CD14"/>
    <mergeCell ref="CE14:CF14"/>
    <mergeCell ref="CN14:CU14"/>
    <mergeCell ref="BD14:BE14"/>
    <mergeCell ref="BF14:BG14"/>
    <mergeCell ref="BH14:BI14"/>
    <mergeCell ref="BJ14:BK14"/>
    <mergeCell ref="BL14:BM14"/>
    <mergeCell ref="BN14:BO14"/>
    <mergeCell ref="AR14:AS14"/>
    <mergeCell ref="AT14:AU14"/>
    <mergeCell ref="AV14:AW14"/>
    <mergeCell ref="AX14:AY14"/>
    <mergeCell ref="AZ14:BA14"/>
    <mergeCell ref="BB14:BC14"/>
    <mergeCell ref="AN16:AO16"/>
    <mergeCell ref="AP16:AQ16"/>
    <mergeCell ref="CV15:CW15"/>
    <mergeCell ref="B16:E16"/>
    <mergeCell ref="F16:K16"/>
    <mergeCell ref="L16:P16"/>
    <mergeCell ref="Q16:R16"/>
    <mergeCell ref="S16:T16"/>
    <mergeCell ref="U16:V16"/>
    <mergeCell ref="W16:X16"/>
    <mergeCell ref="Y16:AA16"/>
    <mergeCell ref="AB16:AC16"/>
    <mergeCell ref="BQ15:BS15"/>
    <mergeCell ref="BX15:BZ15"/>
    <mergeCell ref="CA15:CB15"/>
    <mergeCell ref="CC15:CD15"/>
    <mergeCell ref="CE15:CF15"/>
    <mergeCell ref="CN15:CU15"/>
    <mergeCell ref="BD15:BE15"/>
    <mergeCell ref="BF15:BG15"/>
    <mergeCell ref="BH15:BI15"/>
    <mergeCell ref="BJ15:BK15"/>
    <mergeCell ref="BL15:BM15"/>
    <mergeCell ref="BN15:BO15"/>
    <mergeCell ref="AR15:AS15"/>
    <mergeCell ref="AT15:AU15"/>
    <mergeCell ref="AV15:AW15"/>
    <mergeCell ref="AX15:AY15"/>
    <mergeCell ref="AZ15:BA15"/>
    <mergeCell ref="BB15:BC15"/>
    <mergeCell ref="AD15:AE15"/>
    <mergeCell ref="AH15:AI15"/>
    <mergeCell ref="CV16:CW16"/>
    <mergeCell ref="B17:E17"/>
    <mergeCell ref="F17:K17"/>
    <mergeCell ref="L17:P17"/>
    <mergeCell ref="Q17:R17"/>
    <mergeCell ref="S17:T17"/>
    <mergeCell ref="U17:V17"/>
    <mergeCell ref="W17:X17"/>
    <mergeCell ref="Y17:AA17"/>
    <mergeCell ref="AB17:AC17"/>
    <mergeCell ref="BQ16:BS16"/>
    <mergeCell ref="BX16:BZ16"/>
    <mergeCell ref="CA16:CB16"/>
    <mergeCell ref="CC16:CD16"/>
    <mergeCell ref="CE16:CF16"/>
    <mergeCell ref="CN16:CU16"/>
    <mergeCell ref="BD16:BE16"/>
    <mergeCell ref="BF16:BG16"/>
    <mergeCell ref="BH16:BI16"/>
    <mergeCell ref="BJ16:BK16"/>
    <mergeCell ref="BL16:BM16"/>
    <mergeCell ref="BN16:BO16"/>
    <mergeCell ref="AR16:AS16"/>
    <mergeCell ref="AT16:AU16"/>
    <mergeCell ref="AV16:AW16"/>
    <mergeCell ref="AX16:AY16"/>
    <mergeCell ref="AZ16:BA16"/>
    <mergeCell ref="BB16:BC16"/>
    <mergeCell ref="AD16:AE16"/>
    <mergeCell ref="AH16:AI16"/>
    <mergeCell ref="AJ16:AK16"/>
    <mergeCell ref="AL16:AM16"/>
    <mergeCell ref="AB18:AC18"/>
    <mergeCell ref="AD18:AE18"/>
    <mergeCell ref="AH18:AI18"/>
    <mergeCell ref="AJ18:AK18"/>
    <mergeCell ref="BQ17:BS17"/>
    <mergeCell ref="CA17:CB17"/>
    <mergeCell ref="CC17:CD17"/>
    <mergeCell ref="CE17:CF17"/>
    <mergeCell ref="B18:E18"/>
    <mergeCell ref="F18:K18"/>
    <mergeCell ref="L18:P18"/>
    <mergeCell ref="Q18:R18"/>
    <mergeCell ref="S18:T18"/>
    <mergeCell ref="U18:V18"/>
    <mergeCell ref="BD17:BE17"/>
    <mergeCell ref="BF17:BG17"/>
    <mergeCell ref="BH17:BI17"/>
    <mergeCell ref="BJ17:BK17"/>
    <mergeCell ref="BL17:BM17"/>
    <mergeCell ref="BN17:BO17"/>
    <mergeCell ref="AR17:AS17"/>
    <mergeCell ref="AT17:AU17"/>
    <mergeCell ref="AV17:AW17"/>
    <mergeCell ref="AX17:AY17"/>
    <mergeCell ref="AZ17:BA17"/>
    <mergeCell ref="BB17:BC17"/>
    <mergeCell ref="AD17:AE17"/>
    <mergeCell ref="AH17:AI17"/>
    <mergeCell ref="AJ17:AK17"/>
    <mergeCell ref="AL17:AM17"/>
    <mergeCell ref="AN17:AO17"/>
    <mergeCell ref="AP17:AQ17"/>
    <mergeCell ref="AR19:AS19"/>
    <mergeCell ref="AT19:AU19"/>
    <mergeCell ref="U19:V19"/>
    <mergeCell ref="W19:X19"/>
    <mergeCell ref="Y19:AA19"/>
    <mergeCell ref="AB19:AC19"/>
    <mergeCell ref="AD19:AE19"/>
    <mergeCell ref="AH19:AI19"/>
    <mergeCell ref="BJ18:BK18"/>
    <mergeCell ref="BL18:BM18"/>
    <mergeCell ref="BN18:BO18"/>
    <mergeCell ref="BQ18:BS18"/>
    <mergeCell ref="CR18:CW18"/>
    <mergeCell ref="B19:E19"/>
    <mergeCell ref="F19:K19"/>
    <mergeCell ref="L19:P19"/>
    <mergeCell ref="Q19:R19"/>
    <mergeCell ref="S19:T19"/>
    <mergeCell ref="AX18:AY18"/>
    <mergeCell ref="AZ18:BA18"/>
    <mergeCell ref="BB18:BC18"/>
    <mergeCell ref="BD18:BE18"/>
    <mergeCell ref="BF18:BG18"/>
    <mergeCell ref="BH18:BI18"/>
    <mergeCell ref="AL18:AM18"/>
    <mergeCell ref="AN18:AO18"/>
    <mergeCell ref="AP18:AQ18"/>
    <mergeCell ref="AR18:AS18"/>
    <mergeCell ref="AT18:AU18"/>
    <mergeCell ref="AV18:AW18"/>
    <mergeCell ref="W18:X18"/>
    <mergeCell ref="Y18:AA18"/>
    <mergeCell ref="Y20:AA20"/>
    <mergeCell ref="AB20:AC20"/>
    <mergeCell ref="AD20:AE20"/>
    <mergeCell ref="AH20:AI20"/>
    <mergeCell ref="AJ20:AK20"/>
    <mergeCell ref="AL20:AM20"/>
    <mergeCell ref="CR19:CS19"/>
    <mergeCell ref="CT19:CU19"/>
    <mergeCell ref="CV19:CW19"/>
    <mergeCell ref="B20:E20"/>
    <mergeCell ref="F20:K20"/>
    <mergeCell ref="L20:P20"/>
    <mergeCell ref="Q20:R20"/>
    <mergeCell ref="S20:T20"/>
    <mergeCell ref="U20:V20"/>
    <mergeCell ref="W20:X20"/>
    <mergeCell ref="BH19:BI19"/>
    <mergeCell ref="BJ19:BK19"/>
    <mergeCell ref="BL19:BM19"/>
    <mergeCell ref="BN19:BO19"/>
    <mergeCell ref="BQ19:BS19"/>
    <mergeCell ref="BX19:CF19"/>
    <mergeCell ref="AV19:AW19"/>
    <mergeCell ref="AX19:AY19"/>
    <mergeCell ref="AZ19:BA19"/>
    <mergeCell ref="BB19:BC19"/>
    <mergeCell ref="BD19:BE19"/>
    <mergeCell ref="BF19:BG19"/>
    <mergeCell ref="AJ19:AK19"/>
    <mergeCell ref="AL19:AM19"/>
    <mergeCell ref="AN19:AO19"/>
    <mergeCell ref="AP19:AQ19"/>
    <mergeCell ref="AB21:AC21"/>
    <mergeCell ref="AD21:AE21"/>
    <mergeCell ref="AH21:AI21"/>
    <mergeCell ref="AJ21:AK21"/>
    <mergeCell ref="CE20:CF20"/>
    <mergeCell ref="CR20:CS20"/>
    <mergeCell ref="CT20:CU20"/>
    <mergeCell ref="CV20:CW20"/>
    <mergeCell ref="B21:E21"/>
    <mergeCell ref="F21:K21"/>
    <mergeCell ref="L21:P21"/>
    <mergeCell ref="Q21:R21"/>
    <mergeCell ref="S21:T21"/>
    <mergeCell ref="U21:V21"/>
    <mergeCell ref="BL20:BM20"/>
    <mergeCell ref="BN20:BO20"/>
    <mergeCell ref="BQ20:BS20"/>
    <mergeCell ref="BX20:BZ20"/>
    <mergeCell ref="CA20:CB20"/>
    <mergeCell ref="CC20:CD20"/>
    <mergeCell ref="AZ20:BA20"/>
    <mergeCell ref="BB20:BC20"/>
    <mergeCell ref="BD20:BE20"/>
    <mergeCell ref="BF20:BG20"/>
    <mergeCell ref="BH20:BI20"/>
    <mergeCell ref="BJ20:BK20"/>
    <mergeCell ref="AN20:AO20"/>
    <mergeCell ref="AP20:AQ20"/>
    <mergeCell ref="AR20:AS20"/>
    <mergeCell ref="AT20:AU20"/>
    <mergeCell ref="AV20:AW20"/>
    <mergeCell ref="AX20:AY20"/>
    <mergeCell ref="AH22:AI22"/>
    <mergeCell ref="AJ22:AK22"/>
    <mergeCell ref="CC21:CD21"/>
    <mergeCell ref="CE21:CF21"/>
    <mergeCell ref="CT21:CU21"/>
    <mergeCell ref="CV21:CW21"/>
    <mergeCell ref="B22:E22"/>
    <mergeCell ref="F22:K22"/>
    <mergeCell ref="L22:P22"/>
    <mergeCell ref="Q22:R22"/>
    <mergeCell ref="S22:T22"/>
    <mergeCell ref="U22:V22"/>
    <mergeCell ref="BJ21:BK21"/>
    <mergeCell ref="BL21:BM21"/>
    <mergeCell ref="BN21:BO21"/>
    <mergeCell ref="BQ21:BS21"/>
    <mergeCell ref="BX21:BZ21"/>
    <mergeCell ref="CA21:CB21"/>
    <mergeCell ref="AX21:AY21"/>
    <mergeCell ref="AZ21:BA21"/>
    <mergeCell ref="BB21:BC21"/>
    <mergeCell ref="BD21:BE21"/>
    <mergeCell ref="BF21:BG21"/>
    <mergeCell ref="BH21:BI21"/>
    <mergeCell ref="AL21:AM21"/>
    <mergeCell ref="AN21:AO21"/>
    <mergeCell ref="AP21:AQ21"/>
    <mergeCell ref="AR21:AS21"/>
    <mergeCell ref="AT21:AU21"/>
    <mergeCell ref="AV21:AW21"/>
    <mergeCell ref="W21:X21"/>
    <mergeCell ref="Y21:AA21"/>
    <mergeCell ref="CC22:CD22"/>
    <mergeCell ref="CE22:CF22"/>
    <mergeCell ref="B23:E23"/>
    <mergeCell ref="F23:K23"/>
    <mergeCell ref="L23:P23"/>
    <mergeCell ref="Q23:R23"/>
    <mergeCell ref="S23:T23"/>
    <mergeCell ref="U23:V23"/>
    <mergeCell ref="W23:X23"/>
    <mergeCell ref="Y23:AA23"/>
    <mergeCell ref="BJ22:BK22"/>
    <mergeCell ref="BL22:BM22"/>
    <mergeCell ref="BN22:BO22"/>
    <mergeCell ref="BQ22:BS22"/>
    <mergeCell ref="BX22:BZ22"/>
    <mergeCell ref="CA22:CB22"/>
    <mergeCell ref="AX22:AY22"/>
    <mergeCell ref="AZ22:BA22"/>
    <mergeCell ref="BB22:BC22"/>
    <mergeCell ref="BD22:BE22"/>
    <mergeCell ref="BF22:BG22"/>
    <mergeCell ref="BH22:BI22"/>
    <mergeCell ref="AL22:AM22"/>
    <mergeCell ref="AN22:AO22"/>
    <mergeCell ref="AP22:AQ22"/>
    <mergeCell ref="AR22:AS22"/>
    <mergeCell ref="AT22:AU22"/>
    <mergeCell ref="AV22:AW22"/>
    <mergeCell ref="W22:X22"/>
    <mergeCell ref="Y22:AA22"/>
    <mergeCell ref="AB22:AC22"/>
    <mergeCell ref="AD22:AE22"/>
    <mergeCell ref="AH24:AI24"/>
    <mergeCell ref="AJ24:AK24"/>
    <mergeCell ref="B24:E24"/>
    <mergeCell ref="F24:K24"/>
    <mergeCell ref="L24:P24"/>
    <mergeCell ref="Q24:R24"/>
    <mergeCell ref="S24:T24"/>
    <mergeCell ref="U24:V24"/>
    <mergeCell ref="BN23:BO23"/>
    <mergeCell ref="BQ23:BS23"/>
    <mergeCell ref="BX23:BZ23"/>
    <mergeCell ref="CA23:CB23"/>
    <mergeCell ref="CC23:CD23"/>
    <mergeCell ref="CE23:CF23"/>
    <mergeCell ref="BB23:BC23"/>
    <mergeCell ref="BD23:BE23"/>
    <mergeCell ref="BF23:BG23"/>
    <mergeCell ref="BH23:BI23"/>
    <mergeCell ref="BJ23:BK23"/>
    <mergeCell ref="BL23:BM23"/>
    <mergeCell ref="AP23:AQ23"/>
    <mergeCell ref="AR23:AS23"/>
    <mergeCell ref="AT23:AU23"/>
    <mergeCell ref="AV23:AW23"/>
    <mergeCell ref="AX23:AY23"/>
    <mergeCell ref="AZ23:BA23"/>
    <mergeCell ref="AB23:AC23"/>
    <mergeCell ref="AD23:AE23"/>
    <mergeCell ref="AH23:AI23"/>
    <mergeCell ref="AJ23:AK23"/>
    <mergeCell ref="AL23:AM23"/>
    <mergeCell ref="AN23:AO23"/>
    <mergeCell ref="CC24:CD24"/>
    <mergeCell ref="CE24:CF24"/>
    <mergeCell ref="B25:E25"/>
    <mergeCell ref="F25:K25"/>
    <mergeCell ref="L25:P25"/>
    <mergeCell ref="Q25:R25"/>
    <mergeCell ref="S25:T25"/>
    <mergeCell ref="U25:V25"/>
    <mergeCell ref="W25:X25"/>
    <mergeCell ref="Y25:AA25"/>
    <mergeCell ref="BJ24:BK24"/>
    <mergeCell ref="BL24:BM24"/>
    <mergeCell ref="BN24:BO24"/>
    <mergeCell ref="BQ24:BS24"/>
    <mergeCell ref="BX24:BZ24"/>
    <mergeCell ref="CA24:CB24"/>
    <mergeCell ref="AX24:AY24"/>
    <mergeCell ref="AZ24:BA24"/>
    <mergeCell ref="BB24:BC24"/>
    <mergeCell ref="BD24:BE24"/>
    <mergeCell ref="BF24:BG24"/>
    <mergeCell ref="BH24:BI24"/>
    <mergeCell ref="AL24:AM24"/>
    <mergeCell ref="AN24:AO24"/>
    <mergeCell ref="AP24:AQ24"/>
    <mergeCell ref="AR24:AS24"/>
    <mergeCell ref="AT24:AU24"/>
    <mergeCell ref="AV24:AW24"/>
    <mergeCell ref="W24:X24"/>
    <mergeCell ref="Y24:AA24"/>
    <mergeCell ref="AB24:AC24"/>
    <mergeCell ref="AD24:AE24"/>
    <mergeCell ref="AH26:AI26"/>
    <mergeCell ref="AJ26:AK26"/>
    <mergeCell ref="B26:E26"/>
    <mergeCell ref="F26:K26"/>
    <mergeCell ref="L26:P26"/>
    <mergeCell ref="Q26:R26"/>
    <mergeCell ref="S26:T26"/>
    <mergeCell ref="U26:V26"/>
    <mergeCell ref="BN25:BO25"/>
    <mergeCell ref="BQ25:BS25"/>
    <mergeCell ref="BX25:BZ25"/>
    <mergeCell ref="CA25:CB25"/>
    <mergeCell ref="CC25:CD25"/>
    <mergeCell ref="CE25:CF25"/>
    <mergeCell ref="BB25:BC25"/>
    <mergeCell ref="BD25:BE25"/>
    <mergeCell ref="BF25:BG25"/>
    <mergeCell ref="BH25:BI25"/>
    <mergeCell ref="BJ25:BK25"/>
    <mergeCell ref="BL25:BM25"/>
    <mergeCell ref="AP25:AQ25"/>
    <mergeCell ref="AR25:AS25"/>
    <mergeCell ref="AT25:AU25"/>
    <mergeCell ref="AV25:AW25"/>
    <mergeCell ref="AX25:AY25"/>
    <mergeCell ref="AZ25:BA25"/>
    <mergeCell ref="AB25:AC25"/>
    <mergeCell ref="AD25:AE25"/>
    <mergeCell ref="AH25:AI25"/>
    <mergeCell ref="AJ25:AK25"/>
    <mergeCell ref="AL25:AM25"/>
    <mergeCell ref="AN25:AO25"/>
    <mergeCell ref="CC26:CD26"/>
    <mergeCell ref="CE26:CF26"/>
    <mergeCell ref="B27:E27"/>
    <mergeCell ref="F27:K27"/>
    <mergeCell ref="L27:P27"/>
    <mergeCell ref="Q27:R27"/>
    <mergeCell ref="S27:T27"/>
    <mergeCell ref="U27:V27"/>
    <mergeCell ref="W27:X27"/>
    <mergeCell ref="Y27:AA27"/>
    <mergeCell ref="BJ26:BK26"/>
    <mergeCell ref="BL26:BM26"/>
    <mergeCell ref="BN26:BO26"/>
    <mergeCell ref="BQ26:BS26"/>
    <mergeCell ref="BX26:BZ26"/>
    <mergeCell ref="CA26:CB26"/>
    <mergeCell ref="AX26:AY26"/>
    <mergeCell ref="AZ26:BA26"/>
    <mergeCell ref="BB26:BC26"/>
    <mergeCell ref="BD26:BE26"/>
    <mergeCell ref="BF26:BG26"/>
    <mergeCell ref="BH26:BI26"/>
    <mergeCell ref="AL26:AM26"/>
    <mergeCell ref="AN26:AO26"/>
    <mergeCell ref="AP26:AQ26"/>
    <mergeCell ref="AR26:AS26"/>
    <mergeCell ref="AT26:AU26"/>
    <mergeCell ref="AV26:AW26"/>
    <mergeCell ref="W26:X26"/>
    <mergeCell ref="Y26:AA26"/>
    <mergeCell ref="AB26:AC26"/>
    <mergeCell ref="AD26:AE26"/>
    <mergeCell ref="BN27:BO27"/>
    <mergeCell ref="BQ27:BS27"/>
    <mergeCell ref="CC27:CD27"/>
    <mergeCell ref="CE27:CF27"/>
    <mergeCell ref="CT27:CV27"/>
    <mergeCell ref="B28:E28"/>
    <mergeCell ref="F28:K28"/>
    <mergeCell ref="L28:P28"/>
    <mergeCell ref="Q28:R28"/>
    <mergeCell ref="S28:T28"/>
    <mergeCell ref="BB27:BC27"/>
    <mergeCell ref="BD27:BE27"/>
    <mergeCell ref="BF27:BG27"/>
    <mergeCell ref="BH27:BI27"/>
    <mergeCell ref="BJ27:BK27"/>
    <mergeCell ref="BL27:BM27"/>
    <mergeCell ref="AP27:AQ27"/>
    <mergeCell ref="AR27:AS27"/>
    <mergeCell ref="AT27:AU27"/>
    <mergeCell ref="AV27:AW27"/>
    <mergeCell ref="AX27:AY27"/>
    <mergeCell ref="AZ27:BA27"/>
    <mergeCell ref="AB27:AC27"/>
    <mergeCell ref="AD27:AE27"/>
    <mergeCell ref="AH27:AI27"/>
    <mergeCell ref="AJ27:AK27"/>
    <mergeCell ref="AL27:AM27"/>
    <mergeCell ref="AN27:AO27"/>
    <mergeCell ref="BH28:BI28"/>
    <mergeCell ref="BJ28:BK28"/>
    <mergeCell ref="BL28:BM28"/>
    <mergeCell ref="BN28:BO28"/>
    <mergeCell ref="BQ28:BS28"/>
    <mergeCell ref="B29:E29"/>
    <mergeCell ref="F29:K29"/>
    <mergeCell ref="L29:P29"/>
    <mergeCell ref="Q29:R29"/>
    <mergeCell ref="S29:T29"/>
    <mergeCell ref="AV28:AW28"/>
    <mergeCell ref="AX28:AY28"/>
    <mergeCell ref="AZ28:BA28"/>
    <mergeCell ref="BB28:BC28"/>
    <mergeCell ref="BD28:BE28"/>
    <mergeCell ref="BF28:BG28"/>
    <mergeCell ref="AJ28:AK28"/>
    <mergeCell ref="AL28:AM28"/>
    <mergeCell ref="AN28:AO28"/>
    <mergeCell ref="AP28:AQ28"/>
    <mergeCell ref="AR28:AS28"/>
    <mergeCell ref="AT28:AU28"/>
    <mergeCell ref="U28:V28"/>
    <mergeCell ref="W28:X28"/>
    <mergeCell ref="Y28:AA28"/>
    <mergeCell ref="AB28:AC28"/>
    <mergeCell ref="AD28:AE28"/>
    <mergeCell ref="AH28:AI28"/>
    <mergeCell ref="AD30:AE30"/>
    <mergeCell ref="AH30:AI30"/>
    <mergeCell ref="BH29:BI29"/>
    <mergeCell ref="BJ29:BK29"/>
    <mergeCell ref="BL29:BM29"/>
    <mergeCell ref="BN29:BO29"/>
    <mergeCell ref="BQ29:BS29"/>
    <mergeCell ref="B30:E30"/>
    <mergeCell ref="F30:K30"/>
    <mergeCell ref="L30:P30"/>
    <mergeCell ref="Q30:R30"/>
    <mergeCell ref="S30:T30"/>
    <mergeCell ref="AV29:AW29"/>
    <mergeCell ref="AX29:AY29"/>
    <mergeCell ref="AZ29:BA29"/>
    <mergeCell ref="BB29:BC29"/>
    <mergeCell ref="BD29:BE29"/>
    <mergeCell ref="BF29:BG29"/>
    <mergeCell ref="AJ29:AK29"/>
    <mergeCell ref="AL29:AM29"/>
    <mergeCell ref="AN29:AO29"/>
    <mergeCell ref="AP29:AQ29"/>
    <mergeCell ref="AR29:AS29"/>
    <mergeCell ref="AT29:AU29"/>
    <mergeCell ref="U29:V29"/>
    <mergeCell ref="W29:X29"/>
    <mergeCell ref="Y29:AA29"/>
    <mergeCell ref="AB29:AC29"/>
    <mergeCell ref="AD29:AE29"/>
    <mergeCell ref="AH29:AI29"/>
    <mergeCell ref="CB30:CC30"/>
    <mergeCell ref="B31:E31"/>
    <mergeCell ref="F31:K31"/>
    <mergeCell ref="L31:P31"/>
    <mergeCell ref="Q31:R31"/>
    <mergeCell ref="S31:T31"/>
    <mergeCell ref="U31:V31"/>
    <mergeCell ref="W31:X31"/>
    <mergeCell ref="Y31:AA31"/>
    <mergeCell ref="AB31:AC31"/>
    <mergeCell ref="BH30:BI30"/>
    <mergeCell ref="BJ30:BK30"/>
    <mergeCell ref="BL30:BM30"/>
    <mergeCell ref="BN30:BO30"/>
    <mergeCell ref="BQ30:BS30"/>
    <mergeCell ref="BY30:CA30"/>
    <mergeCell ref="AV30:AW30"/>
    <mergeCell ref="AX30:AY30"/>
    <mergeCell ref="AZ30:BA30"/>
    <mergeCell ref="BB30:BC30"/>
    <mergeCell ref="BD30:BE30"/>
    <mergeCell ref="BF30:BG30"/>
    <mergeCell ref="AJ30:AK30"/>
    <mergeCell ref="AL30:AM30"/>
    <mergeCell ref="AN30:AO30"/>
    <mergeCell ref="AP30:AQ30"/>
    <mergeCell ref="AR30:AS30"/>
    <mergeCell ref="AT30:AU30"/>
    <mergeCell ref="U30:V30"/>
    <mergeCell ref="W30:X30"/>
    <mergeCell ref="Y30:AA30"/>
    <mergeCell ref="AB30:AC30"/>
    <mergeCell ref="BQ31:BS31"/>
    <mergeCell ref="B32:E32"/>
    <mergeCell ref="F32:K32"/>
    <mergeCell ref="L32:P32"/>
    <mergeCell ref="Q32:R32"/>
    <mergeCell ref="S32:T32"/>
    <mergeCell ref="U32:V32"/>
    <mergeCell ref="W32:X32"/>
    <mergeCell ref="Y32:AA32"/>
    <mergeCell ref="AB32:AC32"/>
    <mergeCell ref="BD31:BE31"/>
    <mergeCell ref="BF31:BG31"/>
    <mergeCell ref="BH31:BI31"/>
    <mergeCell ref="BJ31:BK31"/>
    <mergeCell ref="BL31:BM31"/>
    <mergeCell ref="BN31:BO31"/>
    <mergeCell ref="AR31:AS31"/>
    <mergeCell ref="AT31:AU31"/>
    <mergeCell ref="AV31:AW31"/>
    <mergeCell ref="AX31:AY31"/>
    <mergeCell ref="AZ31:BA31"/>
    <mergeCell ref="BB31:BC31"/>
    <mergeCell ref="AD31:AE31"/>
    <mergeCell ref="AH31:AI31"/>
    <mergeCell ref="AJ31:AK31"/>
    <mergeCell ref="AL31:AM31"/>
    <mergeCell ref="AN31:AO31"/>
    <mergeCell ref="AP31:AQ31"/>
    <mergeCell ref="BQ32:BS32"/>
    <mergeCell ref="B33:E33"/>
    <mergeCell ref="F33:K33"/>
    <mergeCell ref="L33:P33"/>
    <mergeCell ref="Q33:R33"/>
    <mergeCell ref="S33:T33"/>
    <mergeCell ref="U33:V33"/>
    <mergeCell ref="W33:X33"/>
    <mergeCell ref="Y33:AA33"/>
    <mergeCell ref="AB33:AC33"/>
    <mergeCell ref="BD32:BE32"/>
    <mergeCell ref="BF32:BG32"/>
    <mergeCell ref="BH32:BI32"/>
    <mergeCell ref="BJ32:BK32"/>
    <mergeCell ref="BL32:BM32"/>
    <mergeCell ref="BN32:BO32"/>
    <mergeCell ref="AR32:AS32"/>
    <mergeCell ref="AT32:AU32"/>
    <mergeCell ref="AV32:AW32"/>
    <mergeCell ref="AX32:AY32"/>
    <mergeCell ref="AZ32:BA32"/>
    <mergeCell ref="BB32:BC32"/>
    <mergeCell ref="AD32:AE32"/>
    <mergeCell ref="AH32:AI32"/>
    <mergeCell ref="AJ32:AK32"/>
    <mergeCell ref="AL32:AM32"/>
    <mergeCell ref="AN32:AO32"/>
    <mergeCell ref="AP32:AQ32"/>
    <mergeCell ref="BQ33:BS33"/>
    <mergeCell ref="BY33:CA33"/>
    <mergeCell ref="CB33:CC33"/>
    <mergeCell ref="B34:E34"/>
    <mergeCell ref="F34:K34"/>
    <mergeCell ref="L34:P34"/>
    <mergeCell ref="Q34:R34"/>
    <mergeCell ref="S34:T34"/>
    <mergeCell ref="U34:V34"/>
    <mergeCell ref="W34:X34"/>
    <mergeCell ref="BD33:BE33"/>
    <mergeCell ref="BF33:BG33"/>
    <mergeCell ref="BH33:BI33"/>
    <mergeCell ref="BJ33:BK33"/>
    <mergeCell ref="BL33:BM33"/>
    <mergeCell ref="BN33:BO33"/>
    <mergeCell ref="AR33:AS33"/>
    <mergeCell ref="AT33:AU33"/>
    <mergeCell ref="AV33:AW33"/>
    <mergeCell ref="AX33:AY33"/>
    <mergeCell ref="AZ33:BA33"/>
    <mergeCell ref="BB33:BC33"/>
    <mergeCell ref="AD33:AE33"/>
    <mergeCell ref="AH33:AI33"/>
    <mergeCell ref="AJ33:AK33"/>
    <mergeCell ref="AL33:AM33"/>
    <mergeCell ref="AN33:AO33"/>
    <mergeCell ref="AP33:AQ33"/>
    <mergeCell ref="BL34:BM34"/>
    <mergeCell ref="BN34:BO34"/>
    <mergeCell ref="BQ34:BS34"/>
    <mergeCell ref="BY34:CA34"/>
    <mergeCell ref="CB34:CC34"/>
    <mergeCell ref="B35:E35"/>
    <mergeCell ref="F35:K35"/>
    <mergeCell ref="L35:P35"/>
    <mergeCell ref="Q35:R35"/>
    <mergeCell ref="S35:T35"/>
    <mergeCell ref="AZ34:BA34"/>
    <mergeCell ref="BB34:BC34"/>
    <mergeCell ref="BD34:BE34"/>
    <mergeCell ref="BF34:BG34"/>
    <mergeCell ref="BH34:BI34"/>
    <mergeCell ref="BJ34:BK34"/>
    <mergeCell ref="AN34:AO34"/>
    <mergeCell ref="AP34:AQ34"/>
    <mergeCell ref="AR34:AS34"/>
    <mergeCell ref="AT34:AU34"/>
    <mergeCell ref="AV34:AW34"/>
    <mergeCell ref="AX34:AY34"/>
    <mergeCell ref="Y34:AA34"/>
    <mergeCell ref="AB34:AC34"/>
    <mergeCell ref="AD34:AE34"/>
    <mergeCell ref="AH34:AI34"/>
    <mergeCell ref="AJ34:AK34"/>
    <mergeCell ref="AL34:AM34"/>
    <mergeCell ref="BH35:BI35"/>
    <mergeCell ref="BJ35:BK35"/>
    <mergeCell ref="BL35:BM35"/>
    <mergeCell ref="BN35:BO35"/>
    <mergeCell ref="BQ35:BS35"/>
    <mergeCell ref="B36:E36"/>
    <mergeCell ref="F36:K36"/>
    <mergeCell ref="L36:P36"/>
    <mergeCell ref="Q36:R36"/>
    <mergeCell ref="S36:T36"/>
    <mergeCell ref="AV35:AW35"/>
    <mergeCell ref="AX35:AY35"/>
    <mergeCell ref="AZ35:BA35"/>
    <mergeCell ref="BB35:BC35"/>
    <mergeCell ref="BD35:BE35"/>
    <mergeCell ref="BF35:BG35"/>
    <mergeCell ref="AJ35:AK35"/>
    <mergeCell ref="AL35:AM35"/>
    <mergeCell ref="AN35:AO35"/>
    <mergeCell ref="AP35:AQ35"/>
    <mergeCell ref="AR35:AS35"/>
    <mergeCell ref="AT35:AU35"/>
    <mergeCell ref="U35:V35"/>
    <mergeCell ref="W35:X35"/>
    <mergeCell ref="Y35:AA35"/>
    <mergeCell ref="AB35:AC35"/>
    <mergeCell ref="AD35:AE35"/>
    <mergeCell ref="AH35:AI35"/>
    <mergeCell ref="BH36:BI36"/>
    <mergeCell ref="BJ36:BK36"/>
    <mergeCell ref="BL36:BM36"/>
    <mergeCell ref="BN36:BO36"/>
    <mergeCell ref="BQ36:BS36"/>
    <mergeCell ref="B37:E37"/>
    <mergeCell ref="F37:K37"/>
    <mergeCell ref="L37:P37"/>
    <mergeCell ref="Q37:R37"/>
    <mergeCell ref="S37:T37"/>
    <mergeCell ref="AV36:AW36"/>
    <mergeCell ref="AX36:AY36"/>
    <mergeCell ref="AZ36:BA36"/>
    <mergeCell ref="BB36:BC36"/>
    <mergeCell ref="BD36:BE36"/>
    <mergeCell ref="BF36:BG36"/>
    <mergeCell ref="AJ36:AK36"/>
    <mergeCell ref="AL36:AM36"/>
    <mergeCell ref="AN36:AO36"/>
    <mergeCell ref="AP36:AQ36"/>
    <mergeCell ref="AR36:AS36"/>
    <mergeCell ref="AT36:AU36"/>
    <mergeCell ref="U36:V36"/>
    <mergeCell ref="W36:X36"/>
    <mergeCell ref="Y36:AA36"/>
    <mergeCell ref="AB36:AC36"/>
    <mergeCell ref="AD36:AE36"/>
    <mergeCell ref="AH36:AI36"/>
    <mergeCell ref="BH37:BI37"/>
    <mergeCell ref="BJ37:BK37"/>
    <mergeCell ref="BL37:BM37"/>
    <mergeCell ref="BN37:BO37"/>
    <mergeCell ref="BQ37:BS37"/>
    <mergeCell ref="B38:E38"/>
    <mergeCell ref="F38:K38"/>
    <mergeCell ref="L38:P38"/>
    <mergeCell ref="Q38:R38"/>
    <mergeCell ref="S38:T38"/>
    <mergeCell ref="AV37:AW37"/>
    <mergeCell ref="AX37:AY37"/>
    <mergeCell ref="AZ37:BA37"/>
    <mergeCell ref="BB37:BC37"/>
    <mergeCell ref="BD37:BE37"/>
    <mergeCell ref="BF37:BG37"/>
    <mergeCell ref="AJ37:AK37"/>
    <mergeCell ref="AL37:AM37"/>
    <mergeCell ref="AN37:AO37"/>
    <mergeCell ref="AP37:AQ37"/>
    <mergeCell ref="AR37:AS37"/>
    <mergeCell ref="AT37:AU37"/>
    <mergeCell ref="U37:V37"/>
    <mergeCell ref="W37:X37"/>
    <mergeCell ref="Y37:AA37"/>
    <mergeCell ref="AB37:AC37"/>
    <mergeCell ref="AD37:AE37"/>
    <mergeCell ref="AH37:AI37"/>
    <mergeCell ref="BH38:BI38"/>
    <mergeCell ref="BJ38:BK38"/>
    <mergeCell ref="BL38:BM38"/>
    <mergeCell ref="BN38:BO38"/>
    <mergeCell ref="BQ38:BS38"/>
    <mergeCell ref="B39:E39"/>
    <mergeCell ref="F39:K39"/>
    <mergeCell ref="L39:P39"/>
    <mergeCell ref="Q39:R39"/>
    <mergeCell ref="S39:T39"/>
    <mergeCell ref="AV38:AW38"/>
    <mergeCell ref="AX38:AY38"/>
    <mergeCell ref="AZ38:BA38"/>
    <mergeCell ref="BB38:BC38"/>
    <mergeCell ref="BD38:BE38"/>
    <mergeCell ref="BF38:BG38"/>
    <mergeCell ref="AJ38:AK38"/>
    <mergeCell ref="AL38:AM38"/>
    <mergeCell ref="AN38:AO38"/>
    <mergeCell ref="AP38:AQ38"/>
    <mergeCell ref="AR38:AS38"/>
    <mergeCell ref="AT38:AU38"/>
    <mergeCell ref="U38:V38"/>
    <mergeCell ref="W38:X38"/>
    <mergeCell ref="Y38:AA38"/>
    <mergeCell ref="AB38:AC38"/>
    <mergeCell ref="AD38:AE38"/>
    <mergeCell ref="AH38:AI38"/>
    <mergeCell ref="BH39:BI39"/>
    <mergeCell ref="BJ39:BK39"/>
    <mergeCell ref="BL39:BM39"/>
    <mergeCell ref="BN39:BO39"/>
    <mergeCell ref="BQ39:BS39"/>
    <mergeCell ref="B40:E40"/>
    <mergeCell ref="F40:K40"/>
    <mergeCell ref="L40:P40"/>
    <mergeCell ref="Q40:R40"/>
    <mergeCell ref="S40:T40"/>
    <mergeCell ref="AV39:AW39"/>
    <mergeCell ref="AX39:AY39"/>
    <mergeCell ref="AZ39:BA39"/>
    <mergeCell ref="BB39:BC39"/>
    <mergeCell ref="BD39:BE39"/>
    <mergeCell ref="BF39:BG39"/>
    <mergeCell ref="AJ39:AK39"/>
    <mergeCell ref="AL39:AM39"/>
    <mergeCell ref="AN39:AO39"/>
    <mergeCell ref="AP39:AQ39"/>
    <mergeCell ref="AR39:AS39"/>
    <mergeCell ref="AT39:AU39"/>
    <mergeCell ref="U39:V39"/>
    <mergeCell ref="W39:X39"/>
    <mergeCell ref="Y39:AA39"/>
    <mergeCell ref="AB39:AC39"/>
    <mergeCell ref="AD39:AE39"/>
    <mergeCell ref="AH39:AI39"/>
    <mergeCell ref="BH40:BI40"/>
    <mergeCell ref="BJ40:BK40"/>
    <mergeCell ref="BL40:BM40"/>
    <mergeCell ref="BN40:BO40"/>
    <mergeCell ref="BQ40:BS40"/>
    <mergeCell ref="B41:E41"/>
    <mergeCell ref="F41:K41"/>
    <mergeCell ref="L41:P41"/>
    <mergeCell ref="Q41:R41"/>
    <mergeCell ref="S41:T41"/>
    <mergeCell ref="AV40:AW40"/>
    <mergeCell ref="AX40:AY40"/>
    <mergeCell ref="AZ40:BA40"/>
    <mergeCell ref="BB40:BC40"/>
    <mergeCell ref="BD40:BE40"/>
    <mergeCell ref="BF40:BG40"/>
    <mergeCell ref="AJ40:AK40"/>
    <mergeCell ref="AL40:AM40"/>
    <mergeCell ref="AN40:AO40"/>
    <mergeCell ref="AP40:AQ40"/>
    <mergeCell ref="AR40:AS40"/>
    <mergeCell ref="AT40:AU40"/>
    <mergeCell ref="U40:V40"/>
    <mergeCell ref="W40:X40"/>
    <mergeCell ref="Y40:AA40"/>
    <mergeCell ref="AB40:AC40"/>
    <mergeCell ref="AD40:AE40"/>
    <mergeCell ref="AH40:AI40"/>
    <mergeCell ref="BH41:BI41"/>
    <mergeCell ref="BJ41:BK41"/>
    <mergeCell ref="BL41:BM41"/>
    <mergeCell ref="BN41:BO41"/>
    <mergeCell ref="BQ41:BS41"/>
    <mergeCell ref="B42:E42"/>
    <mergeCell ref="F42:K42"/>
    <mergeCell ref="L42:P42"/>
    <mergeCell ref="Q42:R42"/>
    <mergeCell ref="S42:T42"/>
    <mergeCell ref="AV41:AW41"/>
    <mergeCell ref="AX41:AY41"/>
    <mergeCell ref="AZ41:BA41"/>
    <mergeCell ref="BB41:BC41"/>
    <mergeCell ref="BD41:BE41"/>
    <mergeCell ref="BF41:BG41"/>
    <mergeCell ref="AJ41:AK41"/>
    <mergeCell ref="AL41:AM41"/>
    <mergeCell ref="AN41:AO41"/>
    <mergeCell ref="AP41:AQ41"/>
    <mergeCell ref="AR41:AS41"/>
    <mergeCell ref="AT41:AU41"/>
    <mergeCell ref="U41:V41"/>
    <mergeCell ref="W41:X41"/>
    <mergeCell ref="Y41:AA41"/>
    <mergeCell ref="AB41:AC41"/>
    <mergeCell ref="AD41:AE41"/>
    <mergeCell ref="AH41:AI41"/>
    <mergeCell ref="BH42:BI42"/>
    <mergeCell ref="BJ42:BK42"/>
    <mergeCell ref="BL42:BM42"/>
    <mergeCell ref="BN42:BO42"/>
    <mergeCell ref="BQ42:BS42"/>
    <mergeCell ref="B43:E43"/>
    <mergeCell ref="F43:K43"/>
    <mergeCell ref="L43:P43"/>
    <mergeCell ref="Q43:R43"/>
    <mergeCell ref="S43:T43"/>
    <mergeCell ref="AV42:AW42"/>
    <mergeCell ref="AX42:AY42"/>
    <mergeCell ref="AZ42:BA42"/>
    <mergeCell ref="BB42:BC42"/>
    <mergeCell ref="BD42:BE42"/>
    <mergeCell ref="BF42:BG42"/>
    <mergeCell ref="AJ42:AK42"/>
    <mergeCell ref="AL42:AM42"/>
    <mergeCell ref="AN42:AO42"/>
    <mergeCell ref="AP42:AQ42"/>
    <mergeCell ref="AR42:AS42"/>
    <mergeCell ref="AT42:AU42"/>
    <mergeCell ref="U42:V42"/>
    <mergeCell ref="W42:X42"/>
    <mergeCell ref="Y42:AA42"/>
    <mergeCell ref="AB42:AC42"/>
    <mergeCell ref="AD42:AE42"/>
    <mergeCell ref="AH42:AI42"/>
    <mergeCell ref="BH43:BI43"/>
    <mergeCell ref="BJ43:BK43"/>
    <mergeCell ref="BL43:BM43"/>
    <mergeCell ref="BN43:BO43"/>
    <mergeCell ref="BQ43:BS43"/>
    <mergeCell ref="B44:E44"/>
    <mergeCell ref="F44:K44"/>
    <mergeCell ref="L44:P44"/>
    <mergeCell ref="Q44:R44"/>
    <mergeCell ref="S44:T44"/>
    <mergeCell ref="AV43:AW43"/>
    <mergeCell ref="AX43:AY43"/>
    <mergeCell ref="AZ43:BA43"/>
    <mergeCell ref="BB43:BC43"/>
    <mergeCell ref="BD43:BE43"/>
    <mergeCell ref="BF43:BG43"/>
    <mergeCell ref="AJ43:AK43"/>
    <mergeCell ref="AL43:AM43"/>
    <mergeCell ref="AN43:AO43"/>
    <mergeCell ref="AP43:AQ43"/>
    <mergeCell ref="AR43:AS43"/>
    <mergeCell ref="AT43:AU43"/>
    <mergeCell ref="U43:V43"/>
    <mergeCell ref="W43:X43"/>
    <mergeCell ref="Y43:AA43"/>
    <mergeCell ref="AB43:AC43"/>
    <mergeCell ref="AD43:AE43"/>
    <mergeCell ref="AH43:AI43"/>
    <mergeCell ref="BH44:BI44"/>
    <mergeCell ref="BJ44:BK44"/>
    <mergeCell ref="BL44:BM44"/>
    <mergeCell ref="BN44:BO44"/>
    <mergeCell ref="BQ44:BS44"/>
    <mergeCell ref="B45:E45"/>
    <mergeCell ref="F45:K45"/>
    <mergeCell ref="L45:P45"/>
    <mergeCell ref="Q45:R45"/>
    <mergeCell ref="S45:T45"/>
    <mergeCell ref="AV44:AW44"/>
    <mergeCell ref="AX44:AY44"/>
    <mergeCell ref="AZ44:BA44"/>
    <mergeCell ref="BB44:BC44"/>
    <mergeCell ref="BD44:BE44"/>
    <mergeCell ref="BF44:BG44"/>
    <mergeCell ref="AJ44:AK44"/>
    <mergeCell ref="AL44:AM44"/>
    <mergeCell ref="AN44:AO44"/>
    <mergeCell ref="AP44:AQ44"/>
    <mergeCell ref="AR44:AS44"/>
    <mergeCell ref="AT44:AU44"/>
    <mergeCell ref="U44:V44"/>
    <mergeCell ref="W44:X44"/>
    <mergeCell ref="Y44:AA44"/>
    <mergeCell ref="AB44:AC44"/>
    <mergeCell ref="AD44:AE44"/>
    <mergeCell ref="AH44:AI44"/>
    <mergeCell ref="BH45:BI45"/>
    <mergeCell ref="BJ45:BK45"/>
    <mergeCell ref="BL45:BM45"/>
    <mergeCell ref="BN45:BO45"/>
    <mergeCell ref="BQ45:BS45"/>
    <mergeCell ref="B46:E46"/>
    <mergeCell ref="F46:K46"/>
    <mergeCell ref="L46:P46"/>
    <mergeCell ref="Q46:R46"/>
    <mergeCell ref="S46:T46"/>
    <mergeCell ref="AV45:AW45"/>
    <mergeCell ref="AX45:AY45"/>
    <mergeCell ref="AZ45:BA45"/>
    <mergeCell ref="BB45:BC45"/>
    <mergeCell ref="BD45:BE45"/>
    <mergeCell ref="BF45:BG45"/>
    <mergeCell ref="AJ45:AK45"/>
    <mergeCell ref="AL45:AM45"/>
    <mergeCell ref="AN45:AO45"/>
    <mergeCell ref="AP45:AQ45"/>
    <mergeCell ref="AR45:AS45"/>
    <mergeCell ref="AT45:AU45"/>
    <mergeCell ref="U45:V45"/>
    <mergeCell ref="W45:X45"/>
    <mergeCell ref="Y45:AA45"/>
    <mergeCell ref="AB45:AC45"/>
    <mergeCell ref="AD45:AE45"/>
    <mergeCell ref="AH45:AI45"/>
    <mergeCell ref="BH46:BI46"/>
    <mergeCell ref="BJ46:BK46"/>
    <mergeCell ref="BL46:BM46"/>
    <mergeCell ref="BN46:BO46"/>
    <mergeCell ref="BQ46:BS46"/>
    <mergeCell ref="B47:E47"/>
    <mergeCell ref="F47:K47"/>
    <mergeCell ref="L47:P47"/>
    <mergeCell ref="Q47:R47"/>
    <mergeCell ref="S47:T47"/>
    <mergeCell ref="AV46:AW46"/>
    <mergeCell ref="AX46:AY46"/>
    <mergeCell ref="AZ46:BA46"/>
    <mergeCell ref="BB46:BC46"/>
    <mergeCell ref="BD46:BE46"/>
    <mergeCell ref="BF46:BG46"/>
    <mergeCell ref="AJ46:AK46"/>
    <mergeCell ref="AL46:AM46"/>
    <mergeCell ref="AN46:AO46"/>
    <mergeCell ref="AP46:AQ46"/>
    <mergeCell ref="AR46:AS46"/>
    <mergeCell ref="AT46:AU46"/>
    <mergeCell ref="U46:V46"/>
    <mergeCell ref="W46:X46"/>
    <mergeCell ref="Y46:AA46"/>
    <mergeCell ref="AB46:AC46"/>
    <mergeCell ref="AD46:AE46"/>
    <mergeCell ref="AH46:AI46"/>
    <mergeCell ref="BH47:BI47"/>
    <mergeCell ref="BJ47:BK47"/>
    <mergeCell ref="BL47:BM47"/>
    <mergeCell ref="BN47:BO47"/>
    <mergeCell ref="BQ47:BS47"/>
    <mergeCell ref="B48:E48"/>
    <mergeCell ref="F48:K48"/>
    <mergeCell ref="L48:P48"/>
    <mergeCell ref="Q48:R48"/>
    <mergeCell ref="S48:T48"/>
    <mergeCell ref="AV47:AW47"/>
    <mergeCell ref="AX47:AY47"/>
    <mergeCell ref="AZ47:BA47"/>
    <mergeCell ref="BB47:BC47"/>
    <mergeCell ref="BD47:BE47"/>
    <mergeCell ref="BF47:BG47"/>
    <mergeCell ref="AJ47:AK47"/>
    <mergeCell ref="AL47:AM47"/>
    <mergeCell ref="AN47:AO47"/>
    <mergeCell ref="AP47:AQ47"/>
    <mergeCell ref="AR47:AS47"/>
    <mergeCell ref="AT47:AU47"/>
    <mergeCell ref="U47:V47"/>
    <mergeCell ref="W47:X47"/>
    <mergeCell ref="Y47:AA47"/>
    <mergeCell ref="AB47:AC47"/>
    <mergeCell ref="AD47:AE47"/>
    <mergeCell ref="AH47:AI47"/>
    <mergeCell ref="BH48:BI48"/>
    <mergeCell ref="BJ48:BK48"/>
    <mergeCell ref="BL48:BM48"/>
    <mergeCell ref="BN48:BO48"/>
    <mergeCell ref="BQ48:BS48"/>
    <mergeCell ref="B49:E49"/>
    <mergeCell ref="F49:K49"/>
    <mergeCell ref="L49:P49"/>
    <mergeCell ref="Q49:R49"/>
    <mergeCell ref="S49:T49"/>
    <mergeCell ref="AV48:AW48"/>
    <mergeCell ref="AX48:AY48"/>
    <mergeCell ref="AZ48:BA48"/>
    <mergeCell ref="BB48:BC48"/>
    <mergeCell ref="BD48:BE48"/>
    <mergeCell ref="BF48:BG48"/>
    <mergeCell ref="AJ48:AK48"/>
    <mergeCell ref="AL48:AM48"/>
    <mergeCell ref="AN48:AO48"/>
    <mergeCell ref="AP48:AQ48"/>
    <mergeCell ref="AR48:AS48"/>
    <mergeCell ref="AT48:AU48"/>
    <mergeCell ref="U48:V48"/>
    <mergeCell ref="W48:X48"/>
    <mergeCell ref="Y48:AA48"/>
    <mergeCell ref="AB48:AC48"/>
    <mergeCell ref="AD48:AE48"/>
    <mergeCell ref="AH48:AI48"/>
    <mergeCell ref="BH49:BI49"/>
    <mergeCell ref="BJ49:BK49"/>
    <mergeCell ref="BL49:BM49"/>
    <mergeCell ref="BN49:BO49"/>
    <mergeCell ref="BQ49:BS49"/>
    <mergeCell ref="B50:E50"/>
    <mergeCell ref="F50:K50"/>
    <mergeCell ref="L50:P50"/>
    <mergeCell ref="Q50:R50"/>
    <mergeCell ref="S50:T50"/>
    <mergeCell ref="AV49:AW49"/>
    <mergeCell ref="AX49:AY49"/>
    <mergeCell ref="AZ49:BA49"/>
    <mergeCell ref="BB49:BC49"/>
    <mergeCell ref="BD49:BE49"/>
    <mergeCell ref="BF49:BG49"/>
    <mergeCell ref="AJ49:AK49"/>
    <mergeCell ref="AL49:AM49"/>
    <mergeCell ref="AN49:AO49"/>
    <mergeCell ref="AP49:AQ49"/>
    <mergeCell ref="AR49:AS49"/>
    <mergeCell ref="AT49:AU49"/>
    <mergeCell ref="U49:V49"/>
    <mergeCell ref="W49:X49"/>
    <mergeCell ref="Y49:AA49"/>
    <mergeCell ref="AB49:AC49"/>
    <mergeCell ref="AD49:AE49"/>
    <mergeCell ref="AH49:AI49"/>
    <mergeCell ref="BH50:BI50"/>
    <mergeCell ref="BJ50:BK50"/>
    <mergeCell ref="BL50:BM50"/>
    <mergeCell ref="BN50:BO50"/>
    <mergeCell ref="BQ50:BS50"/>
    <mergeCell ref="B51:E51"/>
    <mergeCell ref="F51:K51"/>
    <mergeCell ref="L51:P51"/>
    <mergeCell ref="Q51:R51"/>
    <mergeCell ref="S51:T51"/>
    <mergeCell ref="AV50:AW50"/>
    <mergeCell ref="AX50:AY50"/>
    <mergeCell ref="AZ50:BA50"/>
    <mergeCell ref="BB50:BC50"/>
    <mergeCell ref="BD50:BE50"/>
    <mergeCell ref="BF50:BG50"/>
    <mergeCell ref="AJ50:AK50"/>
    <mergeCell ref="AL50:AM50"/>
    <mergeCell ref="AN50:AO50"/>
    <mergeCell ref="AP50:AQ50"/>
    <mergeCell ref="AR50:AS50"/>
    <mergeCell ref="AT50:AU50"/>
    <mergeCell ref="U50:V50"/>
    <mergeCell ref="W50:X50"/>
    <mergeCell ref="Y50:AA50"/>
    <mergeCell ref="AB50:AC50"/>
    <mergeCell ref="AD50:AE50"/>
    <mergeCell ref="AH50:AI50"/>
    <mergeCell ref="BH51:BI51"/>
    <mergeCell ref="BJ51:BK51"/>
    <mergeCell ref="BL51:BM51"/>
    <mergeCell ref="BN51:BO51"/>
    <mergeCell ref="BQ51:BS51"/>
    <mergeCell ref="B52:E52"/>
    <mergeCell ref="F52:K52"/>
    <mergeCell ref="L52:P52"/>
    <mergeCell ref="Q52:R52"/>
    <mergeCell ref="S52:T52"/>
    <mergeCell ref="AV51:AW51"/>
    <mergeCell ref="AX51:AY51"/>
    <mergeCell ref="AZ51:BA51"/>
    <mergeCell ref="BB51:BC51"/>
    <mergeCell ref="BD51:BE51"/>
    <mergeCell ref="BF51:BG51"/>
    <mergeCell ref="AJ51:AK51"/>
    <mergeCell ref="AL51:AM51"/>
    <mergeCell ref="AN51:AO51"/>
    <mergeCell ref="AP51:AQ51"/>
    <mergeCell ref="AR51:AS51"/>
    <mergeCell ref="AT51:AU51"/>
    <mergeCell ref="U51:V51"/>
    <mergeCell ref="W51:X51"/>
    <mergeCell ref="Y51:AA51"/>
    <mergeCell ref="AB51:AC51"/>
    <mergeCell ref="AD51:AE51"/>
    <mergeCell ref="AH51:AI51"/>
    <mergeCell ref="BH52:BI52"/>
    <mergeCell ref="BJ52:BK52"/>
    <mergeCell ref="BL52:BM52"/>
    <mergeCell ref="BN52:BO52"/>
    <mergeCell ref="BQ52:BS52"/>
    <mergeCell ref="B53:E53"/>
    <mergeCell ref="F53:K53"/>
    <mergeCell ref="L53:P53"/>
    <mergeCell ref="Q53:R53"/>
    <mergeCell ref="S53:T53"/>
    <mergeCell ref="AV52:AW52"/>
    <mergeCell ref="AX52:AY52"/>
    <mergeCell ref="AZ52:BA52"/>
    <mergeCell ref="BB52:BC52"/>
    <mergeCell ref="BD52:BE52"/>
    <mergeCell ref="BF52:BG52"/>
    <mergeCell ref="AJ52:AK52"/>
    <mergeCell ref="AL52:AM52"/>
    <mergeCell ref="AN52:AO52"/>
    <mergeCell ref="AP52:AQ52"/>
    <mergeCell ref="AR52:AS52"/>
    <mergeCell ref="AT52:AU52"/>
    <mergeCell ref="U52:V52"/>
    <mergeCell ref="W52:X52"/>
    <mergeCell ref="Y52:AA52"/>
    <mergeCell ref="AB52:AC52"/>
    <mergeCell ref="AD52:AE52"/>
    <mergeCell ref="AH52:AI52"/>
    <mergeCell ref="BH53:BI53"/>
    <mergeCell ref="BJ53:BK53"/>
    <mergeCell ref="BL53:BM53"/>
    <mergeCell ref="BN53:BO53"/>
    <mergeCell ref="BQ53:BS53"/>
    <mergeCell ref="B54:E54"/>
    <mergeCell ref="F54:K54"/>
    <mergeCell ref="L54:P54"/>
    <mergeCell ref="Q54:R54"/>
    <mergeCell ref="S54:T54"/>
    <mergeCell ref="AV53:AW53"/>
    <mergeCell ref="AX53:AY53"/>
    <mergeCell ref="AZ53:BA53"/>
    <mergeCell ref="BB53:BC53"/>
    <mergeCell ref="BD53:BE53"/>
    <mergeCell ref="BF53:BG53"/>
    <mergeCell ref="AJ53:AK53"/>
    <mergeCell ref="AL53:AM53"/>
    <mergeCell ref="AN53:AO53"/>
    <mergeCell ref="AP53:AQ53"/>
    <mergeCell ref="AR53:AS53"/>
    <mergeCell ref="AT53:AU53"/>
    <mergeCell ref="U53:V53"/>
    <mergeCell ref="W53:X53"/>
    <mergeCell ref="Y53:AA53"/>
    <mergeCell ref="AB53:AC53"/>
    <mergeCell ref="AD53:AE53"/>
    <mergeCell ref="AH53:AI53"/>
    <mergeCell ref="BH54:BI54"/>
    <mergeCell ref="BJ54:BK54"/>
    <mergeCell ref="BL54:BM54"/>
    <mergeCell ref="BN54:BO54"/>
    <mergeCell ref="BQ54:BS54"/>
    <mergeCell ref="B55:E55"/>
    <mergeCell ref="F55:K55"/>
    <mergeCell ref="L55:P55"/>
    <mergeCell ref="Q55:R55"/>
    <mergeCell ref="S55:T55"/>
    <mergeCell ref="AV54:AW54"/>
    <mergeCell ref="AX54:AY54"/>
    <mergeCell ref="AZ54:BA54"/>
    <mergeCell ref="BB54:BC54"/>
    <mergeCell ref="BD54:BE54"/>
    <mergeCell ref="BF54:BG54"/>
    <mergeCell ref="AJ54:AK54"/>
    <mergeCell ref="AL54:AM54"/>
    <mergeCell ref="AN54:AO54"/>
    <mergeCell ref="AP54:AQ54"/>
    <mergeCell ref="AR54:AS54"/>
    <mergeCell ref="AT54:AU54"/>
    <mergeCell ref="U54:V54"/>
    <mergeCell ref="W54:X54"/>
    <mergeCell ref="Y54:AA54"/>
    <mergeCell ref="AB54:AC54"/>
    <mergeCell ref="AD54:AE54"/>
    <mergeCell ref="AH54:AI54"/>
    <mergeCell ref="BH55:BI55"/>
    <mergeCell ref="BJ55:BK55"/>
    <mergeCell ref="BL55:BM55"/>
    <mergeCell ref="BN55:BO55"/>
    <mergeCell ref="BQ55:BS55"/>
    <mergeCell ref="B56:E56"/>
    <mergeCell ref="F56:K56"/>
    <mergeCell ref="L56:P56"/>
    <mergeCell ref="Q56:R56"/>
    <mergeCell ref="S56:T56"/>
    <mergeCell ref="AV55:AW55"/>
    <mergeCell ref="AX55:AY55"/>
    <mergeCell ref="AZ55:BA55"/>
    <mergeCell ref="BB55:BC55"/>
    <mergeCell ref="BD55:BE55"/>
    <mergeCell ref="BF55:BG55"/>
    <mergeCell ref="AJ55:AK55"/>
    <mergeCell ref="AL55:AM55"/>
    <mergeCell ref="AN55:AO55"/>
    <mergeCell ref="AP55:AQ55"/>
    <mergeCell ref="AR55:AS55"/>
    <mergeCell ref="AT55:AU55"/>
    <mergeCell ref="U55:V55"/>
    <mergeCell ref="W55:X55"/>
    <mergeCell ref="Y55:AA55"/>
    <mergeCell ref="AB55:AC55"/>
    <mergeCell ref="AD55:AE55"/>
    <mergeCell ref="AH55:AI55"/>
    <mergeCell ref="BH56:BI56"/>
    <mergeCell ref="BJ56:BK56"/>
    <mergeCell ref="BL56:BM56"/>
    <mergeCell ref="BN56:BO56"/>
    <mergeCell ref="BQ56:BS56"/>
    <mergeCell ref="B57:E57"/>
    <mergeCell ref="F57:K57"/>
    <mergeCell ref="L57:P57"/>
    <mergeCell ref="Q57:R57"/>
    <mergeCell ref="S57:T57"/>
    <mergeCell ref="AV56:AW56"/>
    <mergeCell ref="AX56:AY56"/>
    <mergeCell ref="AZ56:BA56"/>
    <mergeCell ref="BB56:BC56"/>
    <mergeCell ref="BD56:BE56"/>
    <mergeCell ref="BF56:BG56"/>
    <mergeCell ref="AJ56:AK56"/>
    <mergeCell ref="AL56:AM56"/>
    <mergeCell ref="AN56:AO56"/>
    <mergeCell ref="AP56:AQ56"/>
    <mergeCell ref="AR56:AS56"/>
    <mergeCell ref="AT56:AU56"/>
    <mergeCell ref="U56:V56"/>
    <mergeCell ref="W56:X56"/>
    <mergeCell ref="Y56:AA56"/>
    <mergeCell ref="AB56:AC56"/>
    <mergeCell ref="AD56:AE56"/>
    <mergeCell ref="AH56:AI56"/>
    <mergeCell ref="BH57:BI57"/>
    <mergeCell ref="BJ57:BK57"/>
    <mergeCell ref="BL57:BM57"/>
    <mergeCell ref="BN57:BO57"/>
    <mergeCell ref="BQ57:BS57"/>
    <mergeCell ref="B58:E58"/>
    <mergeCell ref="F58:K58"/>
    <mergeCell ref="L58:P58"/>
    <mergeCell ref="Q58:R58"/>
    <mergeCell ref="S58:T58"/>
    <mergeCell ref="AV57:AW57"/>
    <mergeCell ref="AX57:AY57"/>
    <mergeCell ref="AZ57:BA57"/>
    <mergeCell ref="BB57:BC57"/>
    <mergeCell ref="BD57:BE57"/>
    <mergeCell ref="BF57:BG57"/>
    <mergeCell ref="AJ57:AK57"/>
    <mergeCell ref="AL57:AM57"/>
    <mergeCell ref="AN57:AO57"/>
    <mergeCell ref="AP57:AQ57"/>
    <mergeCell ref="AR57:AS57"/>
    <mergeCell ref="AT57:AU57"/>
    <mergeCell ref="U57:V57"/>
    <mergeCell ref="W57:X57"/>
    <mergeCell ref="Y57:AA57"/>
    <mergeCell ref="AB57:AC57"/>
    <mergeCell ref="AD57:AE57"/>
    <mergeCell ref="AH57:AI57"/>
    <mergeCell ref="BH58:BI58"/>
    <mergeCell ref="BJ58:BK58"/>
    <mergeCell ref="BL58:BM58"/>
    <mergeCell ref="BN58:BO58"/>
    <mergeCell ref="BQ58:BS58"/>
    <mergeCell ref="B59:E59"/>
    <mergeCell ref="F59:K59"/>
    <mergeCell ref="L59:P59"/>
    <mergeCell ref="Q59:R59"/>
    <mergeCell ref="S59:T59"/>
    <mergeCell ref="AV58:AW58"/>
    <mergeCell ref="AX58:AY58"/>
    <mergeCell ref="AZ58:BA58"/>
    <mergeCell ref="BB58:BC58"/>
    <mergeCell ref="BD58:BE58"/>
    <mergeCell ref="BF58:BG58"/>
    <mergeCell ref="AJ58:AK58"/>
    <mergeCell ref="AL58:AM58"/>
    <mergeCell ref="AN58:AO58"/>
    <mergeCell ref="AP58:AQ58"/>
    <mergeCell ref="AR58:AS58"/>
    <mergeCell ref="AT58:AU58"/>
    <mergeCell ref="U58:V58"/>
    <mergeCell ref="W58:X58"/>
    <mergeCell ref="Y58:AA58"/>
    <mergeCell ref="AB58:AC58"/>
    <mergeCell ref="AD58:AE58"/>
    <mergeCell ref="AH58:AI58"/>
    <mergeCell ref="BH59:BI59"/>
    <mergeCell ref="BJ59:BK59"/>
    <mergeCell ref="BL59:BM59"/>
    <mergeCell ref="BN59:BO59"/>
    <mergeCell ref="BQ59:BS59"/>
    <mergeCell ref="B60:E60"/>
    <mergeCell ref="F60:K60"/>
    <mergeCell ref="L60:P60"/>
    <mergeCell ref="Q60:R60"/>
    <mergeCell ref="S60:T60"/>
    <mergeCell ref="AV59:AW59"/>
    <mergeCell ref="AX59:AY59"/>
    <mergeCell ref="AZ59:BA59"/>
    <mergeCell ref="BB59:BC59"/>
    <mergeCell ref="BD59:BE59"/>
    <mergeCell ref="BF59:BG59"/>
    <mergeCell ref="AJ59:AK59"/>
    <mergeCell ref="AL59:AM59"/>
    <mergeCell ref="AN59:AO59"/>
    <mergeCell ref="AP59:AQ59"/>
    <mergeCell ref="AR59:AS59"/>
    <mergeCell ref="AT59:AU59"/>
    <mergeCell ref="U59:V59"/>
    <mergeCell ref="W59:X59"/>
    <mergeCell ref="Y59:AA59"/>
    <mergeCell ref="AB59:AC59"/>
    <mergeCell ref="AD59:AE59"/>
    <mergeCell ref="AH59:AI59"/>
    <mergeCell ref="BH60:BI60"/>
    <mergeCell ref="BJ60:BK60"/>
    <mergeCell ref="BL60:BM60"/>
    <mergeCell ref="BN60:BO60"/>
    <mergeCell ref="BQ60:BS60"/>
    <mergeCell ref="B61:E61"/>
    <mergeCell ref="F61:K61"/>
    <mergeCell ref="L61:P61"/>
    <mergeCell ref="Q61:R61"/>
    <mergeCell ref="S61:T61"/>
    <mergeCell ref="AV60:AW60"/>
    <mergeCell ref="AX60:AY60"/>
    <mergeCell ref="AZ60:BA60"/>
    <mergeCell ref="BB60:BC60"/>
    <mergeCell ref="BD60:BE60"/>
    <mergeCell ref="BF60:BG60"/>
    <mergeCell ref="AJ60:AK60"/>
    <mergeCell ref="AL60:AM60"/>
    <mergeCell ref="AN60:AO60"/>
    <mergeCell ref="AP60:AQ60"/>
    <mergeCell ref="AR60:AS60"/>
    <mergeCell ref="AT60:AU60"/>
    <mergeCell ref="U60:V60"/>
    <mergeCell ref="W60:X60"/>
    <mergeCell ref="Y60:AA60"/>
    <mergeCell ref="AB60:AC60"/>
    <mergeCell ref="AD60:AE60"/>
    <mergeCell ref="AH60:AI60"/>
    <mergeCell ref="BH61:BI61"/>
    <mergeCell ref="BJ61:BK61"/>
    <mergeCell ref="BL61:BM61"/>
    <mergeCell ref="BN61:BO61"/>
    <mergeCell ref="BQ61:BS61"/>
    <mergeCell ref="B62:E62"/>
    <mergeCell ref="F62:K62"/>
    <mergeCell ref="L62:P62"/>
    <mergeCell ref="Q62:R62"/>
    <mergeCell ref="S62:T62"/>
    <mergeCell ref="AV61:AW61"/>
    <mergeCell ref="AX61:AY61"/>
    <mergeCell ref="AZ61:BA61"/>
    <mergeCell ref="BB61:BC61"/>
    <mergeCell ref="BD61:BE61"/>
    <mergeCell ref="BF61:BG61"/>
    <mergeCell ref="AJ61:AK61"/>
    <mergeCell ref="AL61:AM61"/>
    <mergeCell ref="AN61:AO61"/>
    <mergeCell ref="AP61:AQ61"/>
    <mergeCell ref="AR61:AS61"/>
    <mergeCell ref="AT61:AU61"/>
    <mergeCell ref="U61:V61"/>
    <mergeCell ref="W61:X61"/>
    <mergeCell ref="Y61:AA61"/>
    <mergeCell ref="AB61:AC61"/>
    <mergeCell ref="AD61:AE61"/>
    <mergeCell ref="AH61:AI61"/>
    <mergeCell ref="BH62:BI62"/>
    <mergeCell ref="BJ62:BK62"/>
    <mergeCell ref="BL62:BM62"/>
    <mergeCell ref="BN62:BO62"/>
    <mergeCell ref="BQ62:BS62"/>
    <mergeCell ref="B63:E63"/>
    <mergeCell ref="F63:K63"/>
    <mergeCell ref="L63:P63"/>
    <mergeCell ref="Q63:R63"/>
    <mergeCell ref="S63:T63"/>
    <mergeCell ref="AV62:AW62"/>
    <mergeCell ref="AX62:AY62"/>
    <mergeCell ref="AZ62:BA62"/>
    <mergeCell ref="BB62:BC62"/>
    <mergeCell ref="BD62:BE62"/>
    <mergeCell ref="BF62:BG62"/>
    <mergeCell ref="AJ62:AK62"/>
    <mergeCell ref="AL62:AM62"/>
    <mergeCell ref="AN62:AO62"/>
    <mergeCell ref="AP62:AQ62"/>
    <mergeCell ref="AR62:AS62"/>
    <mergeCell ref="AT62:AU62"/>
    <mergeCell ref="U62:V62"/>
    <mergeCell ref="W62:X62"/>
    <mergeCell ref="Y62:AA62"/>
    <mergeCell ref="AB62:AC62"/>
    <mergeCell ref="AD62:AE62"/>
    <mergeCell ref="AH62:AI62"/>
    <mergeCell ref="BH63:BI63"/>
    <mergeCell ref="BJ63:BK63"/>
    <mergeCell ref="BL63:BM63"/>
    <mergeCell ref="BN63:BO63"/>
    <mergeCell ref="BQ63:BS63"/>
    <mergeCell ref="B64:E64"/>
    <mergeCell ref="F64:K64"/>
    <mergeCell ref="L64:P64"/>
    <mergeCell ref="Q64:R64"/>
    <mergeCell ref="S64:T64"/>
    <mergeCell ref="AV63:AW63"/>
    <mergeCell ref="AX63:AY63"/>
    <mergeCell ref="AZ63:BA63"/>
    <mergeCell ref="BB63:BC63"/>
    <mergeCell ref="BD63:BE63"/>
    <mergeCell ref="BF63:BG63"/>
    <mergeCell ref="AJ63:AK63"/>
    <mergeCell ref="AL63:AM63"/>
    <mergeCell ref="AN63:AO63"/>
    <mergeCell ref="AP63:AQ63"/>
    <mergeCell ref="AR63:AS63"/>
    <mergeCell ref="AT63:AU63"/>
    <mergeCell ref="U63:V63"/>
    <mergeCell ref="W63:X63"/>
    <mergeCell ref="Y63:AA63"/>
    <mergeCell ref="AB63:AC63"/>
    <mergeCell ref="AD63:AE63"/>
    <mergeCell ref="AH63:AI63"/>
    <mergeCell ref="BH64:BI64"/>
    <mergeCell ref="BJ64:BK64"/>
    <mergeCell ref="BL64:BM64"/>
    <mergeCell ref="BN64:BO64"/>
    <mergeCell ref="BQ64:BS64"/>
    <mergeCell ref="B65:E65"/>
    <mergeCell ref="F65:K65"/>
    <mergeCell ref="L65:P65"/>
    <mergeCell ref="Q65:R65"/>
    <mergeCell ref="S65:T65"/>
    <mergeCell ref="AV64:AW64"/>
    <mergeCell ref="AX64:AY64"/>
    <mergeCell ref="AZ64:BA64"/>
    <mergeCell ref="BB64:BC64"/>
    <mergeCell ref="BD64:BE64"/>
    <mergeCell ref="BF64:BG64"/>
    <mergeCell ref="AJ64:AK64"/>
    <mergeCell ref="AL64:AM64"/>
    <mergeCell ref="AN64:AO64"/>
    <mergeCell ref="AP64:AQ64"/>
    <mergeCell ref="AR64:AS64"/>
    <mergeCell ref="AT64:AU64"/>
    <mergeCell ref="U64:V64"/>
    <mergeCell ref="W64:X64"/>
    <mergeCell ref="Y64:AA64"/>
    <mergeCell ref="AB64:AC64"/>
    <mergeCell ref="AD64:AE64"/>
    <mergeCell ref="AH64:AI64"/>
    <mergeCell ref="BH65:BI65"/>
    <mergeCell ref="BJ65:BK65"/>
    <mergeCell ref="BL65:BM65"/>
    <mergeCell ref="BN65:BO65"/>
    <mergeCell ref="BQ65:BS65"/>
    <mergeCell ref="B66:E66"/>
    <mergeCell ref="F66:K66"/>
    <mergeCell ref="L66:P66"/>
    <mergeCell ref="Q66:R66"/>
    <mergeCell ref="S66:T66"/>
    <mergeCell ref="AV65:AW65"/>
    <mergeCell ref="AX65:AY65"/>
    <mergeCell ref="AZ65:BA65"/>
    <mergeCell ref="BB65:BC65"/>
    <mergeCell ref="BD65:BE65"/>
    <mergeCell ref="BF65:BG65"/>
    <mergeCell ref="AJ65:AK65"/>
    <mergeCell ref="AL65:AM65"/>
    <mergeCell ref="AN65:AO65"/>
    <mergeCell ref="AP65:AQ65"/>
    <mergeCell ref="AR65:AS65"/>
    <mergeCell ref="AT65:AU65"/>
    <mergeCell ref="U65:V65"/>
    <mergeCell ref="W65:X65"/>
    <mergeCell ref="Y65:AA65"/>
    <mergeCell ref="AB65:AC65"/>
    <mergeCell ref="AD65:AE65"/>
    <mergeCell ref="AH65:AI65"/>
    <mergeCell ref="BH66:BI66"/>
    <mergeCell ref="BJ66:BK66"/>
    <mergeCell ref="BL66:BM66"/>
    <mergeCell ref="BN66:BO66"/>
    <mergeCell ref="BQ66:BS66"/>
    <mergeCell ref="B67:E67"/>
    <mergeCell ref="F67:K67"/>
    <mergeCell ref="L67:P67"/>
    <mergeCell ref="Q67:R67"/>
    <mergeCell ref="S67:T67"/>
    <mergeCell ref="AV66:AW66"/>
    <mergeCell ref="AX66:AY66"/>
    <mergeCell ref="AZ66:BA66"/>
    <mergeCell ref="BB66:BC66"/>
    <mergeCell ref="BD66:BE66"/>
    <mergeCell ref="BF66:BG66"/>
    <mergeCell ref="AJ66:AK66"/>
    <mergeCell ref="AL66:AM66"/>
    <mergeCell ref="AN66:AO66"/>
    <mergeCell ref="AP66:AQ66"/>
    <mergeCell ref="AR66:AS66"/>
    <mergeCell ref="AT66:AU66"/>
    <mergeCell ref="U66:V66"/>
    <mergeCell ref="W66:X66"/>
    <mergeCell ref="Y66:AA66"/>
    <mergeCell ref="AB66:AC66"/>
    <mergeCell ref="AD66:AE66"/>
    <mergeCell ref="AH66:AI66"/>
    <mergeCell ref="BH67:BI67"/>
    <mergeCell ref="BJ67:BK67"/>
    <mergeCell ref="BL67:BM67"/>
    <mergeCell ref="BN67:BO67"/>
    <mergeCell ref="BQ67:BS67"/>
    <mergeCell ref="B68:E68"/>
    <mergeCell ref="F68:K68"/>
    <mergeCell ref="L68:P68"/>
    <mergeCell ref="Q68:R68"/>
    <mergeCell ref="S68:T68"/>
    <mergeCell ref="AV67:AW67"/>
    <mergeCell ref="AX67:AY67"/>
    <mergeCell ref="AZ67:BA67"/>
    <mergeCell ref="BB67:BC67"/>
    <mergeCell ref="BD67:BE67"/>
    <mergeCell ref="BF67:BG67"/>
    <mergeCell ref="AJ67:AK67"/>
    <mergeCell ref="AL67:AM67"/>
    <mergeCell ref="AN67:AO67"/>
    <mergeCell ref="AP67:AQ67"/>
    <mergeCell ref="AR67:AS67"/>
    <mergeCell ref="AT67:AU67"/>
    <mergeCell ref="U67:V67"/>
    <mergeCell ref="W67:X67"/>
    <mergeCell ref="Y67:AA67"/>
    <mergeCell ref="AB67:AC67"/>
    <mergeCell ref="AD67:AE67"/>
    <mergeCell ref="AH67:AI67"/>
    <mergeCell ref="BH68:BI68"/>
    <mergeCell ref="BJ68:BK68"/>
    <mergeCell ref="BL68:BM68"/>
    <mergeCell ref="BN68:BO68"/>
    <mergeCell ref="BQ68:BS68"/>
    <mergeCell ref="B69:E69"/>
    <mergeCell ref="F69:K69"/>
    <mergeCell ref="L69:P69"/>
    <mergeCell ref="Q69:R69"/>
    <mergeCell ref="S69:T69"/>
    <mergeCell ref="AV68:AW68"/>
    <mergeCell ref="AX68:AY68"/>
    <mergeCell ref="AZ68:BA68"/>
    <mergeCell ref="BB68:BC68"/>
    <mergeCell ref="BD68:BE68"/>
    <mergeCell ref="BF68:BG68"/>
    <mergeCell ref="AJ68:AK68"/>
    <mergeCell ref="AL68:AM68"/>
    <mergeCell ref="AN68:AO68"/>
    <mergeCell ref="AP68:AQ68"/>
    <mergeCell ref="AR68:AS68"/>
    <mergeCell ref="AT68:AU68"/>
    <mergeCell ref="U68:V68"/>
    <mergeCell ref="W68:X68"/>
    <mergeCell ref="Y68:AA68"/>
    <mergeCell ref="AB68:AC68"/>
    <mergeCell ref="AD68:AE68"/>
    <mergeCell ref="AH68:AI68"/>
    <mergeCell ref="BH69:BI69"/>
    <mergeCell ref="BJ69:BK69"/>
    <mergeCell ref="BL69:BM69"/>
    <mergeCell ref="BN69:BO69"/>
    <mergeCell ref="BQ69:BS69"/>
    <mergeCell ref="B70:E70"/>
    <mergeCell ref="F70:K70"/>
    <mergeCell ref="L70:P70"/>
    <mergeCell ref="Q70:R70"/>
    <mergeCell ref="S70:T70"/>
    <mergeCell ref="AV69:AW69"/>
    <mergeCell ref="AX69:AY69"/>
    <mergeCell ref="AZ69:BA69"/>
    <mergeCell ref="BB69:BC69"/>
    <mergeCell ref="BD69:BE69"/>
    <mergeCell ref="BF69:BG69"/>
    <mergeCell ref="AJ69:AK69"/>
    <mergeCell ref="AL69:AM69"/>
    <mergeCell ref="AN69:AO69"/>
    <mergeCell ref="AP69:AQ69"/>
    <mergeCell ref="AR69:AS69"/>
    <mergeCell ref="AT69:AU69"/>
    <mergeCell ref="U69:V69"/>
    <mergeCell ref="W69:X69"/>
    <mergeCell ref="Y69:AA69"/>
    <mergeCell ref="AB69:AC69"/>
    <mergeCell ref="AD69:AE69"/>
    <mergeCell ref="AH69:AI69"/>
    <mergeCell ref="BH70:BI70"/>
    <mergeCell ref="BJ70:BK70"/>
    <mergeCell ref="BL70:BM70"/>
    <mergeCell ref="BN70:BO70"/>
    <mergeCell ref="BQ70:BS70"/>
    <mergeCell ref="B71:E71"/>
    <mergeCell ref="F71:K71"/>
    <mergeCell ref="L71:P71"/>
    <mergeCell ref="Q71:R71"/>
    <mergeCell ref="S71:T71"/>
    <mergeCell ref="AV70:AW70"/>
    <mergeCell ref="AX70:AY70"/>
    <mergeCell ref="AZ70:BA70"/>
    <mergeCell ref="BB70:BC70"/>
    <mergeCell ref="BD70:BE70"/>
    <mergeCell ref="BF70:BG70"/>
    <mergeCell ref="AJ70:AK70"/>
    <mergeCell ref="AL70:AM70"/>
    <mergeCell ref="AN70:AO70"/>
    <mergeCell ref="AP70:AQ70"/>
    <mergeCell ref="AR70:AS70"/>
    <mergeCell ref="AT70:AU70"/>
    <mergeCell ref="U70:V70"/>
    <mergeCell ref="W70:X70"/>
    <mergeCell ref="Y70:AA70"/>
    <mergeCell ref="AB70:AC70"/>
    <mergeCell ref="AD70:AE70"/>
    <mergeCell ref="AH70:AI70"/>
    <mergeCell ref="BH71:BI71"/>
    <mergeCell ref="BJ71:BK71"/>
    <mergeCell ref="BL71:BM71"/>
    <mergeCell ref="BN71:BO71"/>
    <mergeCell ref="BQ71:BS71"/>
    <mergeCell ref="F72:K72"/>
    <mergeCell ref="L72:P72"/>
    <mergeCell ref="Q72:R72"/>
    <mergeCell ref="S72:T72"/>
    <mergeCell ref="AV71:AW71"/>
    <mergeCell ref="AX71:AY71"/>
    <mergeCell ref="AZ71:BA71"/>
    <mergeCell ref="BB71:BC71"/>
    <mergeCell ref="BD71:BE71"/>
    <mergeCell ref="BF71:BG71"/>
    <mergeCell ref="AJ71:AK71"/>
    <mergeCell ref="AL71:AM71"/>
    <mergeCell ref="AN71:AO71"/>
    <mergeCell ref="AP71:AQ71"/>
    <mergeCell ref="AR71:AS71"/>
    <mergeCell ref="AT71:AU71"/>
    <mergeCell ref="U71:V71"/>
    <mergeCell ref="W71:X71"/>
    <mergeCell ref="Y71:AA71"/>
    <mergeCell ref="AB71:AC71"/>
    <mergeCell ref="AD71:AE71"/>
    <mergeCell ref="AH71:AI71"/>
    <mergeCell ref="BH72:BI72"/>
    <mergeCell ref="BJ72:BK72"/>
    <mergeCell ref="BL72:BM72"/>
    <mergeCell ref="BN72:BO72"/>
    <mergeCell ref="BQ72:BS72"/>
    <mergeCell ref="B73:E73"/>
    <mergeCell ref="F73:K73"/>
    <mergeCell ref="L73:P73"/>
    <mergeCell ref="Q73:V73"/>
    <mergeCell ref="W73:X73"/>
    <mergeCell ref="AV72:AW72"/>
    <mergeCell ref="AX72:AY72"/>
    <mergeCell ref="AZ72:BA72"/>
    <mergeCell ref="BB72:BC72"/>
    <mergeCell ref="BD72:BE72"/>
    <mergeCell ref="BF72:BG72"/>
    <mergeCell ref="AJ72:AK72"/>
    <mergeCell ref="AL72:AM72"/>
    <mergeCell ref="AN72:AO72"/>
    <mergeCell ref="AP72:AQ72"/>
    <mergeCell ref="AR72:AS72"/>
    <mergeCell ref="AT72:AU72"/>
    <mergeCell ref="U72:V72"/>
    <mergeCell ref="W72:X72"/>
    <mergeCell ref="Y72:AA72"/>
    <mergeCell ref="AB72:AC72"/>
    <mergeCell ref="AD72:AE72"/>
    <mergeCell ref="AH72:AI72"/>
    <mergeCell ref="BL73:BM73"/>
    <mergeCell ref="BN73:BO73"/>
    <mergeCell ref="BQ73:BS73"/>
    <mergeCell ref="B72:E72"/>
    <mergeCell ref="F74:K74"/>
    <mergeCell ref="L74:P74"/>
    <mergeCell ref="Q74:R74"/>
    <mergeCell ref="S74:T74"/>
    <mergeCell ref="U74:V74"/>
    <mergeCell ref="W74:X74"/>
    <mergeCell ref="AZ73:BA73"/>
    <mergeCell ref="BB73:BC73"/>
    <mergeCell ref="BD73:BE73"/>
    <mergeCell ref="BF73:BG73"/>
    <mergeCell ref="BH73:BI73"/>
    <mergeCell ref="BJ73:BK73"/>
    <mergeCell ref="AN73:AO73"/>
    <mergeCell ref="AP73:AQ73"/>
    <mergeCell ref="AR73:AS73"/>
    <mergeCell ref="AT73:AU73"/>
    <mergeCell ref="AV73:AW73"/>
    <mergeCell ref="AX73:AY73"/>
    <mergeCell ref="Y73:AA73"/>
    <mergeCell ref="AB73:AC73"/>
    <mergeCell ref="AD73:AE73"/>
    <mergeCell ref="AH73:AI73"/>
    <mergeCell ref="AJ73:AK73"/>
    <mergeCell ref="AL73:AM73"/>
    <mergeCell ref="BL74:BM74"/>
    <mergeCell ref="BN74:BO74"/>
    <mergeCell ref="BQ74:BS74"/>
    <mergeCell ref="B75:E75"/>
    <mergeCell ref="F75:K75"/>
    <mergeCell ref="L75:P75"/>
    <mergeCell ref="Q75:R75"/>
    <mergeCell ref="S75:T75"/>
    <mergeCell ref="U75:V75"/>
    <mergeCell ref="W75:X75"/>
    <mergeCell ref="AZ74:BA74"/>
    <mergeCell ref="BB74:BC74"/>
    <mergeCell ref="BD74:BE74"/>
    <mergeCell ref="BF74:BG74"/>
    <mergeCell ref="BH74:BI74"/>
    <mergeCell ref="BJ74:BK74"/>
    <mergeCell ref="AN74:AO74"/>
    <mergeCell ref="AP74:AQ74"/>
    <mergeCell ref="AR74:AS74"/>
    <mergeCell ref="AT74:AU74"/>
    <mergeCell ref="AV74:AW74"/>
    <mergeCell ref="AX74:AY74"/>
    <mergeCell ref="Y74:AA74"/>
    <mergeCell ref="AB74:AC74"/>
    <mergeCell ref="AD74:AE74"/>
    <mergeCell ref="AH74:AI74"/>
    <mergeCell ref="AJ74:AK74"/>
    <mergeCell ref="AL74:AM74"/>
    <mergeCell ref="BL75:BM75"/>
    <mergeCell ref="BN75:BO75"/>
    <mergeCell ref="BQ75:BS75"/>
    <mergeCell ref="B74:E74"/>
    <mergeCell ref="F76:K76"/>
    <mergeCell ref="L76:P76"/>
    <mergeCell ref="Q76:R76"/>
    <mergeCell ref="S76:T76"/>
    <mergeCell ref="U76:V76"/>
    <mergeCell ref="W76:X76"/>
    <mergeCell ref="AZ75:BA75"/>
    <mergeCell ref="BB75:BC75"/>
    <mergeCell ref="BD75:BE75"/>
    <mergeCell ref="BF75:BG75"/>
    <mergeCell ref="BH75:BI75"/>
    <mergeCell ref="BJ75:BK75"/>
    <mergeCell ref="AN75:AO75"/>
    <mergeCell ref="AP75:AQ75"/>
    <mergeCell ref="AR75:AS75"/>
    <mergeCell ref="AT75:AU75"/>
    <mergeCell ref="AV75:AW75"/>
    <mergeCell ref="AX75:AY75"/>
    <mergeCell ref="Y75:AA75"/>
    <mergeCell ref="AB75:AC75"/>
    <mergeCell ref="AD75:AE75"/>
    <mergeCell ref="AH75:AI75"/>
    <mergeCell ref="AJ75:AK75"/>
    <mergeCell ref="AL75:AM75"/>
    <mergeCell ref="BL76:BM76"/>
    <mergeCell ref="BN76:BO76"/>
    <mergeCell ref="BQ76:BS76"/>
    <mergeCell ref="B77:E77"/>
    <mergeCell ref="F77:K77"/>
    <mergeCell ref="L77:P77"/>
    <mergeCell ref="Q77:R77"/>
    <mergeCell ref="S77:T77"/>
    <mergeCell ref="U77:V77"/>
    <mergeCell ref="W77:X77"/>
    <mergeCell ref="AZ76:BA76"/>
    <mergeCell ref="BB76:BC76"/>
    <mergeCell ref="BD76:BE76"/>
    <mergeCell ref="BF76:BG76"/>
    <mergeCell ref="BH76:BI76"/>
    <mergeCell ref="BJ76:BK76"/>
    <mergeCell ref="AN76:AO76"/>
    <mergeCell ref="AP76:AQ76"/>
    <mergeCell ref="AR76:AS76"/>
    <mergeCell ref="AT76:AU76"/>
    <mergeCell ref="AV76:AW76"/>
    <mergeCell ref="AX76:AY76"/>
    <mergeCell ref="Y76:AA76"/>
    <mergeCell ref="AB76:AC76"/>
    <mergeCell ref="AD76:AE76"/>
    <mergeCell ref="AH76:AI76"/>
    <mergeCell ref="AJ76:AK76"/>
    <mergeCell ref="AL76:AM76"/>
    <mergeCell ref="BL77:BM77"/>
    <mergeCell ref="BN77:BO77"/>
    <mergeCell ref="BQ77:BS77"/>
    <mergeCell ref="B76:E76"/>
    <mergeCell ref="F78:K78"/>
    <mergeCell ref="L78:P78"/>
    <mergeCell ref="Q78:R78"/>
    <mergeCell ref="S78:T78"/>
    <mergeCell ref="U78:V78"/>
    <mergeCell ref="W78:X78"/>
    <mergeCell ref="AZ77:BA77"/>
    <mergeCell ref="BB77:BC77"/>
    <mergeCell ref="BD77:BE77"/>
    <mergeCell ref="BF77:BG77"/>
    <mergeCell ref="BH77:BI77"/>
    <mergeCell ref="BJ77:BK77"/>
    <mergeCell ref="AN77:AO77"/>
    <mergeCell ref="AP77:AQ77"/>
    <mergeCell ref="AR77:AS77"/>
    <mergeCell ref="AT77:AU77"/>
    <mergeCell ref="AV77:AW77"/>
    <mergeCell ref="AX77:AY77"/>
    <mergeCell ref="Y77:AA77"/>
    <mergeCell ref="AB77:AC77"/>
    <mergeCell ref="AD77:AE77"/>
    <mergeCell ref="AH77:AI77"/>
    <mergeCell ref="AJ77:AK77"/>
    <mergeCell ref="AL77:AM77"/>
    <mergeCell ref="BL78:BM78"/>
    <mergeCell ref="BN78:BO78"/>
    <mergeCell ref="BQ78:BS78"/>
    <mergeCell ref="B79:E79"/>
    <mergeCell ref="F79:K79"/>
    <mergeCell ref="L79:P79"/>
    <mergeCell ref="Q79:R79"/>
    <mergeCell ref="S79:T79"/>
    <mergeCell ref="U79:V79"/>
    <mergeCell ref="W79:X79"/>
    <mergeCell ref="AZ78:BA78"/>
    <mergeCell ref="BB78:BC78"/>
    <mergeCell ref="BD78:BE78"/>
    <mergeCell ref="BF78:BG78"/>
    <mergeCell ref="BH78:BI78"/>
    <mergeCell ref="BJ78:BK78"/>
    <mergeCell ref="AN78:AO78"/>
    <mergeCell ref="AP78:AQ78"/>
    <mergeCell ref="AR78:AS78"/>
    <mergeCell ref="AT78:AU78"/>
    <mergeCell ref="AV78:AW78"/>
    <mergeCell ref="AX78:AY78"/>
    <mergeCell ref="Y78:AA78"/>
    <mergeCell ref="AB78:AC78"/>
    <mergeCell ref="AD78:AE78"/>
    <mergeCell ref="AH78:AI78"/>
    <mergeCell ref="AJ78:AK78"/>
    <mergeCell ref="AL78:AM78"/>
    <mergeCell ref="BL79:BM79"/>
    <mergeCell ref="BN79:BO79"/>
    <mergeCell ref="BQ79:BS79"/>
    <mergeCell ref="B78:E78"/>
    <mergeCell ref="F80:K80"/>
    <mergeCell ref="L80:P80"/>
    <mergeCell ref="Q80:R80"/>
    <mergeCell ref="S80:T80"/>
    <mergeCell ref="U80:V80"/>
    <mergeCell ref="W80:X80"/>
    <mergeCell ref="AZ79:BA79"/>
    <mergeCell ref="BB79:BC79"/>
    <mergeCell ref="BD79:BE79"/>
    <mergeCell ref="BF79:BG79"/>
    <mergeCell ref="BH79:BI79"/>
    <mergeCell ref="BJ79:BK79"/>
    <mergeCell ref="AN79:AO79"/>
    <mergeCell ref="AP79:AQ79"/>
    <mergeCell ref="AR79:AS79"/>
    <mergeCell ref="AT79:AU79"/>
    <mergeCell ref="AV79:AW79"/>
    <mergeCell ref="AX79:AY79"/>
    <mergeCell ref="Y79:AA79"/>
    <mergeCell ref="AB79:AC79"/>
    <mergeCell ref="AD79:AE79"/>
    <mergeCell ref="AH79:AI79"/>
    <mergeCell ref="AJ79:AK79"/>
    <mergeCell ref="AL79:AM79"/>
    <mergeCell ref="BL80:BM80"/>
    <mergeCell ref="BN80:BO80"/>
    <mergeCell ref="BQ80:BS80"/>
    <mergeCell ref="B81:E81"/>
    <mergeCell ref="F81:K81"/>
    <mergeCell ref="L81:P81"/>
    <mergeCell ref="Q81:R81"/>
    <mergeCell ref="S81:T81"/>
    <mergeCell ref="U81:V81"/>
    <mergeCell ref="W81:X81"/>
    <mergeCell ref="AZ80:BA80"/>
    <mergeCell ref="BB80:BC80"/>
    <mergeCell ref="BD80:BE80"/>
    <mergeCell ref="BF80:BG80"/>
    <mergeCell ref="BH80:BI80"/>
    <mergeCell ref="BJ80:BK80"/>
    <mergeCell ref="AN80:AO80"/>
    <mergeCell ref="AP80:AQ80"/>
    <mergeCell ref="AR80:AS80"/>
    <mergeCell ref="AT80:AU80"/>
    <mergeCell ref="AV80:AW80"/>
    <mergeCell ref="AX80:AY80"/>
    <mergeCell ref="Y80:AA80"/>
    <mergeCell ref="AB80:AC80"/>
    <mergeCell ref="AD80:AE80"/>
    <mergeCell ref="AH80:AI80"/>
    <mergeCell ref="AJ80:AK80"/>
    <mergeCell ref="AL80:AM80"/>
    <mergeCell ref="BL81:BM81"/>
    <mergeCell ref="BN81:BO81"/>
    <mergeCell ref="BQ81:BS81"/>
    <mergeCell ref="B80:E80"/>
    <mergeCell ref="F82:K82"/>
    <mergeCell ref="L82:P82"/>
    <mergeCell ref="Q82:R82"/>
    <mergeCell ref="S82:T82"/>
    <mergeCell ref="U82:V82"/>
    <mergeCell ref="W82:X82"/>
    <mergeCell ref="AZ81:BA81"/>
    <mergeCell ref="BB81:BC81"/>
    <mergeCell ref="BD81:BE81"/>
    <mergeCell ref="BF81:BG81"/>
    <mergeCell ref="BH81:BI81"/>
    <mergeCell ref="BJ81:BK81"/>
    <mergeCell ref="AN81:AO81"/>
    <mergeCell ref="AP81:AQ81"/>
    <mergeCell ref="AR81:AS81"/>
    <mergeCell ref="AT81:AU81"/>
    <mergeCell ref="AV81:AW81"/>
    <mergeCell ref="AX81:AY81"/>
    <mergeCell ref="Y81:AA81"/>
    <mergeCell ref="AB81:AC81"/>
    <mergeCell ref="AD81:AE81"/>
    <mergeCell ref="AH81:AI81"/>
    <mergeCell ref="AJ81:AK81"/>
    <mergeCell ref="AL81:AM81"/>
    <mergeCell ref="BL82:BM82"/>
    <mergeCell ref="BN82:BO82"/>
    <mergeCell ref="BQ82:BS82"/>
    <mergeCell ref="B83:E83"/>
    <mergeCell ref="F83:K83"/>
    <mergeCell ref="L83:P83"/>
    <mergeCell ref="Q83:R83"/>
    <mergeCell ref="S83:T83"/>
    <mergeCell ref="U83:V83"/>
    <mergeCell ref="W83:X83"/>
    <mergeCell ref="AZ82:BA82"/>
    <mergeCell ref="BB82:BC82"/>
    <mergeCell ref="BD82:BE82"/>
    <mergeCell ref="BF82:BG82"/>
    <mergeCell ref="BH82:BI82"/>
    <mergeCell ref="BJ82:BK82"/>
    <mergeCell ref="AN82:AO82"/>
    <mergeCell ref="AP82:AQ82"/>
    <mergeCell ref="AR82:AS82"/>
    <mergeCell ref="AT82:AU82"/>
    <mergeCell ref="AV82:AW82"/>
    <mergeCell ref="AX82:AY82"/>
    <mergeCell ref="Y82:AA82"/>
    <mergeCell ref="AB82:AC82"/>
    <mergeCell ref="AD82:AE82"/>
    <mergeCell ref="AH82:AI82"/>
    <mergeCell ref="AJ82:AK82"/>
    <mergeCell ref="AL82:AM82"/>
    <mergeCell ref="BL83:BM83"/>
    <mergeCell ref="BN83:BO83"/>
    <mergeCell ref="BQ83:BS83"/>
    <mergeCell ref="B82:E82"/>
    <mergeCell ref="F84:K84"/>
    <mergeCell ref="L84:P84"/>
    <mergeCell ref="Q84:R84"/>
    <mergeCell ref="S84:T84"/>
    <mergeCell ref="U84:V84"/>
    <mergeCell ref="W84:X84"/>
    <mergeCell ref="AZ83:BA83"/>
    <mergeCell ref="BB83:BC83"/>
    <mergeCell ref="BD83:BE83"/>
    <mergeCell ref="BF83:BG83"/>
    <mergeCell ref="BH83:BI83"/>
    <mergeCell ref="BJ83:BK83"/>
    <mergeCell ref="AN83:AO83"/>
    <mergeCell ref="AP83:AQ83"/>
    <mergeCell ref="AR83:AS83"/>
    <mergeCell ref="AT83:AU83"/>
    <mergeCell ref="AV83:AW83"/>
    <mergeCell ref="AX83:AY83"/>
    <mergeCell ref="Y83:AA83"/>
    <mergeCell ref="AB83:AC83"/>
    <mergeCell ref="AD83:AE83"/>
    <mergeCell ref="AH83:AI83"/>
    <mergeCell ref="AJ83:AK83"/>
    <mergeCell ref="AL83:AM83"/>
    <mergeCell ref="BL84:BM84"/>
    <mergeCell ref="BN84:BO84"/>
    <mergeCell ref="BQ84:BS84"/>
    <mergeCell ref="B85:E85"/>
    <mergeCell ref="F85:K85"/>
    <mergeCell ref="L85:P85"/>
    <mergeCell ref="Q85:R85"/>
    <mergeCell ref="S85:T85"/>
    <mergeCell ref="U85:V85"/>
    <mergeCell ref="W85:X85"/>
    <mergeCell ref="AZ84:BA84"/>
    <mergeCell ref="BB84:BC84"/>
    <mergeCell ref="BD84:BE84"/>
    <mergeCell ref="BF84:BG84"/>
    <mergeCell ref="BH84:BI84"/>
    <mergeCell ref="BJ84:BK84"/>
    <mergeCell ref="AN84:AO84"/>
    <mergeCell ref="AP84:AQ84"/>
    <mergeCell ref="AR84:AS84"/>
    <mergeCell ref="AT84:AU84"/>
    <mergeCell ref="AV84:AW84"/>
    <mergeCell ref="AX84:AY84"/>
    <mergeCell ref="Y84:AA84"/>
    <mergeCell ref="AB84:AC84"/>
    <mergeCell ref="AD84:AE84"/>
    <mergeCell ref="AH84:AI84"/>
    <mergeCell ref="AJ84:AK84"/>
    <mergeCell ref="AL84:AM84"/>
    <mergeCell ref="BL85:BM85"/>
    <mergeCell ref="BN85:BO85"/>
    <mergeCell ref="BQ85:BS85"/>
    <mergeCell ref="B84:E84"/>
    <mergeCell ref="F86:K86"/>
    <mergeCell ref="L86:P86"/>
    <mergeCell ref="Q86:R86"/>
    <mergeCell ref="S86:T86"/>
    <mergeCell ref="U86:V86"/>
    <mergeCell ref="W86:X86"/>
    <mergeCell ref="AZ85:BA85"/>
    <mergeCell ref="BB85:BC85"/>
    <mergeCell ref="BD85:BE85"/>
    <mergeCell ref="BF85:BG85"/>
    <mergeCell ref="BH85:BI85"/>
    <mergeCell ref="BJ85:BK85"/>
    <mergeCell ref="AN85:AO85"/>
    <mergeCell ref="AP85:AQ85"/>
    <mergeCell ref="AR85:AS85"/>
    <mergeCell ref="AT85:AU85"/>
    <mergeCell ref="AV85:AW85"/>
    <mergeCell ref="AX85:AY85"/>
    <mergeCell ref="Y85:AA85"/>
    <mergeCell ref="AB85:AC85"/>
    <mergeCell ref="AD85:AE85"/>
    <mergeCell ref="AH85:AI85"/>
    <mergeCell ref="AJ85:AK85"/>
    <mergeCell ref="AL85:AM85"/>
    <mergeCell ref="BL86:BM86"/>
    <mergeCell ref="BN86:BO86"/>
    <mergeCell ref="BQ86:BS86"/>
    <mergeCell ref="B87:E87"/>
    <mergeCell ref="F87:K87"/>
    <mergeCell ref="L87:P87"/>
    <mergeCell ref="Q87:R87"/>
    <mergeCell ref="S87:T87"/>
    <mergeCell ref="U87:V87"/>
    <mergeCell ref="W87:X87"/>
    <mergeCell ref="AZ86:BA86"/>
    <mergeCell ref="BB86:BC86"/>
    <mergeCell ref="BD86:BE86"/>
    <mergeCell ref="BF86:BG86"/>
    <mergeCell ref="BH86:BI86"/>
    <mergeCell ref="BJ86:BK86"/>
    <mergeCell ref="AN86:AO86"/>
    <mergeCell ref="AP86:AQ86"/>
    <mergeCell ref="AR86:AS86"/>
    <mergeCell ref="AT86:AU86"/>
    <mergeCell ref="AV86:AW86"/>
    <mergeCell ref="AX86:AY86"/>
    <mergeCell ref="Y86:AA86"/>
    <mergeCell ref="AB86:AC86"/>
    <mergeCell ref="AD86:AE86"/>
    <mergeCell ref="AH86:AI86"/>
    <mergeCell ref="AJ86:AK86"/>
    <mergeCell ref="AL86:AM86"/>
    <mergeCell ref="BL87:BM87"/>
    <mergeCell ref="BN87:BO87"/>
    <mergeCell ref="BQ87:BS87"/>
    <mergeCell ref="B86:E86"/>
    <mergeCell ref="F88:K88"/>
    <mergeCell ref="L88:P88"/>
    <mergeCell ref="Q88:R88"/>
    <mergeCell ref="S88:T88"/>
    <mergeCell ref="U88:V88"/>
    <mergeCell ref="W88:X88"/>
    <mergeCell ref="AZ87:BA87"/>
    <mergeCell ref="BB87:BC87"/>
    <mergeCell ref="BD87:BE87"/>
    <mergeCell ref="BF87:BG87"/>
    <mergeCell ref="BH87:BI87"/>
    <mergeCell ref="BJ87:BK87"/>
    <mergeCell ref="AN87:AO87"/>
    <mergeCell ref="AP87:AQ87"/>
    <mergeCell ref="AR87:AS87"/>
    <mergeCell ref="AT87:AU87"/>
    <mergeCell ref="AV87:AW87"/>
    <mergeCell ref="AX87:AY87"/>
    <mergeCell ref="Y87:AA87"/>
    <mergeCell ref="AB87:AC87"/>
    <mergeCell ref="AD87:AE87"/>
    <mergeCell ref="AH87:AI87"/>
    <mergeCell ref="AJ87:AK87"/>
    <mergeCell ref="AL87:AM87"/>
    <mergeCell ref="BL88:BM88"/>
    <mergeCell ref="BN88:BO88"/>
    <mergeCell ref="BQ88:BS88"/>
    <mergeCell ref="B89:E89"/>
    <mergeCell ref="F89:K89"/>
    <mergeCell ref="L89:P89"/>
    <mergeCell ref="Q89:R89"/>
    <mergeCell ref="S89:T89"/>
    <mergeCell ref="U89:V89"/>
    <mergeCell ref="W89:X89"/>
    <mergeCell ref="AZ88:BA88"/>
    <mergeCell ref="BB88:BC88"/>
    <mergeCell ref="BD88:BE88"/>
    <mergeCell ref="BF88:BG88"/>
    <mergeCell ref="BH88:BI88"/>
    <mergeCell ref="BJ88:BK88"/>
    <mergeCell ref="AN88:AO88"/>
    <mergeCell ref="AP88:AQ88"/>
    <mergeCell ref="AR88:AS88"/>
    <mergeCell ref="AT88:AU88"/>
    <mergeCell ref="AV88:AW88"/>
    <mergeCell ref="AX88:AY88"/>
    <mergeCell ref="Y88:AA88"/>
    <mergeCell ref="AB88:AC88"/>
    <mergeCell ref="AD88:AE88"/>
    <mergeCell ref="AH88:AI88"/>
    <mergeCell ref="AJ88:AK88"/>
    <mergeCell ref="AL88:AM88"/>
    <mergeCell ref="BL89:BM89"/>
    <mergeCell ref="BN89:BO89"/>
    <mergeCell ref="BQ89:BS89"/>
    <mergeCell ref="B88:E88"/>
    <mergeCell ref="F90:K90"/>
    <mergeCell ref="L90:P90"/>
    <mergeCell ref="Q90:R90"/>
    <mergeCell ref="S90:T90"/>
    <mergeCell ref="U90:V90"/>
    <mergeCell ref="W90:X90"/>
    <mergeCell ref="AZ89:BA89"/>
    <mergeCell ref="BB89:BC89"/>
    <mergeCell ref="BD89:BE89"/>
    <mergeCell ref="BF89:BG89"/>
    <mergeCell ref="BH89:BI89"/>
    <mergeCell ref="BJ89:BK89"/>
    <mergeCell ref="AN89:AO89"/>
    <mergeCell ref="AP89:AQ89"/>
    <mergeCell ref="AR89:AS89"/>
    <mergeCell ref="AT89:AU89"/>
    <mergeCell ref="AV89:AW89"/>
    <mergeCell ref="AX89:AY89"/>
    <mergeCell ref="Y89:AA89"/>
    <mergeCell ref="AB89:AC89"/>
    <mergeCell ref="AD89:AE89"/>
    <mergeCell ref="AH89:AI89"/>
    <mergeCell ref="AJ89:AK89"/>
    <mergeCell ref="AL89:AM89"/>
    <mergeCell ref="BL90:BM90"/>
    <mergeCell ref="BN90:BO90"/>
    <mergeCell ref="BQ90:BS90"/>
    <mergeCell ref="B91:E91"/>
    <mergeCell ref="F91:K91"/>
    <mergeCell ref="L91:P91"/>
    <mergeCell ref="Q91:R91"/>
    <mergeCell ref="S91:T91"/>
    <mergeCell ref="U91:V91"/>
    <mergeCell ref="W91:X91"/>
    <mergeCell ref="AZ90:BA90"/>
    <mergeCell ref="BB90:BC90"/>
    <mergeCell ref="BD90:BE90"/>
    <mergeCell ref="BF90:BG90"/>
    <mergeCell ref="BH90:BI90"/>
    <mergeCell ref="BJ90:BK90"/>
    <mergeCell ref="AN90:AO90"/>
    <mergeCell ref="AP90:AQ90"/>
    <mergeCell ref="AR90:AS90"/>
    <mergeCell ref="AT90:AU90"/>
    <mergeCell ref="AV90:AW90"/>
    <mergeCell ref="AX90:AY90"/>
    <mergeCell ref="Y90:AA90"/>
    <mergeCell ref="AB90:AC90"/>
    <mergeCell ref="AD90:AE90"/>
    <mergeCell ref="AH90:AI90"/>
    <mergeCell ref="AJ90:AK90"/>
    <mergeCell ref="AL90:AM90"/>
    <mergeCell ref="BL91:BM91"/>
    <mergeCell ref="BN91:BO91"/>
    <mergeCell ref="BQ91:BS91"/>
    <mergeCell ref="B90:E90"/>
    <mergeCell ref="F92:K92"/>
    <mergeCell ref="L92:P92"/>
    <mergeCell ref="Q92:R92"/>
    <mergeCell ref="S92:T92"/>
    <mergeCell ref="U92:V92"/>
    <mergeCell ref="W92:X92"/>
    <mergeCell ref="AZ91:BA91"/>
    <mergeCell ref="BB91:BC91"/>
    <mergeCell ref="BD91:BE91"/>
    <mergeCell ref="BF91:BG91"/>
    <mergeCell ref="BH91:BI91"/>
    <mergeCell ref="BJ91:BK91"/>
    <mergeCell ref="AN91:AO91"/>
    <mergeCell ref="AP91:AQ91"/>
    <mergeCell ref="AR91:AS91"/>
    <mergeCell ref="AT91:AU91"/>
    <mergeCell ref="AV91:AW91"/>
    <mergeCell ref="AX91:AY91"/>
    <mergeCell ref="Y91:AA91"/>
    <mergeCell ref="AB91:AC91"/>
    <mergeCell ref="AD91:AE91"/>
    <mergeCell ref="AH91:AI91"/>
    <mergeCell ref="AJ91:AK91"/>
    <mergeCell ref="AL91:AM91"/>
    <mergeCell ref="BL92:BM92"/>
    <mergeCell ref="BN92:BO92"/>
    <mergeCell ref="BQ92:BS92"/>
    <mergeCell ref="B93:E93"/>
    <mergeCell ref="F93:K93"/>
    <mergeCell ref="L93:P93"/>
    <mergeCell ref="Q93:R93"/>
    <mergeCell ref="S93:T93"/>
    <mergeCell ref="U93:V93"/>
    <mergeCell ref="W93:X93"/>
    <mergeCell ref="AZ92:BA92"/>
    <mergeCell ref="BB92:BC92"/>
    <mergeCell ref="BD92:BE92"/>
    <mergeCell ref="BF92:BG92"/>
    <mergeCell ref="BH92:BI92"/>
    <mergeCell ref="BJ92:BK92"/>
    <mergeCell ref="AN92:AO92"/>
    <mergeCell ref="AP92:AQ92"/>
    <mergeCell ref="AR92:AS92"/>
    <mergeCell ref="AT92:AU92"/>
    <mergeCell ref="AV92:AW92"/>
    <mergeCell ref="AX92:AY92"/>
    <mergeCell ref="Y92:AA92"/>
    <mergeCell ref="AB92:AC92"/>
    <mergeCell ref="AD92:AE92"/>
    <mergeCell ref="AH92:AI92"/>
    <mergeCell ref="AJ92:AK92"/>
    <mergeCell ref="AL92:AM92"/>
    <mergeCell ref="BL93:BM93"/>
    <mergeCell ref="BN93:BO93"/>
    <mergeCell ref="BQ93:BS93"/>
    <mergeCell ref="B92:E92"/>
    <mergeCell ref="F94:K94"/>
    <mergeCell ref="L94:P94"/>
    <mergeCell ref="Q94:R94"/>
    <mergeCell ref="S94:T94"/>
    <mergeCell ref="U94:V94"/>
    <mergeCell ref="W94:X94"/>
    <mergeCell ref="AZ93:BA93"/>
    <mergeCell ref="BB93:BC93"/>
    <mergeCell ref="BD93:BE93"/>
    <mergeCell ref="BF93:BG93"/>
    <mergeCell ref="BH93:BI93"/>
    <mergeCell ref="BJ93:BK93"/>
    <mergeCell ref="AN93:AO93"/>
    <mergeCell ref="AP93:AQ93"/>
    <mergeCell ref="AR93:AS93"/>
    <mergeCell ref="AT93:AU93"/>
    <mergeCell ref="AV93:AW93"/>
    <mergeCell ref="AX93:AY93"/>
    <mergeCell ref="Y93:AA93"/>
    <mergeCell ref="AB93:AC93"/>
    <mergeCell ref="AD93:AE93"/>
    <mergeCell ref="AH93:AI93"/>
    <mergeCell ref="AJ93:AK93"/>
    <mergeCell ref="AL93:AM93"/>
    <mergeCell ref="BL94:BM94"/>
    <mergeCell ref="BN94:BO94"/>
    <mergeCell ref="BQ94:BS94"/>
    <mergeCell ref="B95:E95"/>
    <mergeCell ref="F95:K95"/>
    <mergeCell ref="L95:P95"/>
    <mergeCell ref="Q95:R95"/>
    <mergeCell ref="S95:T95"/>
    <mergeCell ref="U95:V95"/>
    <mergeCell ref="W95:X95"/>
    <mergeCell ref="AZ94:BA94"/>
    <mergeCell ref="BB94:BC94"/>
    <mergeCell ref="BD94:BE94"/>
    <mergeCell ref="BF94:BG94"/>
    <mergeCell ref="BH94:BI94"/>
    <mergeCell ref="BJ94:BK94"/>
    <mergeCell ref="AN94:AO94"/>
    <mergeCell ref="AP94:AQ94"/>
    <mergeCell ref="AR94:AS94"/>
    <mergeCell ref="AT94:AU94"/>
    <mergeCell ref="AV94:AW94"/>
    <mergeCell ref="AX94:AY94"/>
    <mergeCell ref="Y94:AA94"/>
    <mergeCell ref="AB94:AC94"/>
    <mergeCell ref="AD94:AE94"/>
    <mergeCell ref="AH94:AI94"/>
    <mergeCell ref="AJ94:AK94"/>
    <mergeCell ref="AL94:AM94"/>
    <mergeCell ref="BL95:BM95"/>
    <mergeCell ref="BN95:BO95"/>
    <mergeCell ref="BQ95:BS95"/>
    <mergeCell ref="B94:E94"/>
    <mergeCell ref="F96:K96"/>
    <mergeCell ref="L96:P96"/>
    <mergeCell ref="Q96:R96"/>
    <mergeCell ref="S96:T96"/>
    <mergeCell ref="U96:V96"/>
    <mergeCell ref="W96:X96"/>
    <mergeCell ref="AZ95:BA95"/>
    <mergeCell ref="BB95:BC95"/>
    <mergeCell ref="BD95:BE95"/>
    <mergeCell ref="BF95:BG95"/>
    <mergeCell ref="BH95:BI95"/>
    <mergeCell ref="BJ95:BK95"/>
    <mergeCell ref="AN95:AO95"/>
    <mergeCell ref="AP95:AQ95"/>
    <mergeCell ref="AR95:AS95"/>
    <mergeCell ref="AT95:AU95"/>
    <mergeCell ref="AV95:AW95"/>
    <mergeCell ref="AX95:AY95"/>
    <mergeCell ref="Y95:AA95"/>
    <mergeCell ref="AB95:AC95"/>
    <mergeCell ref="AD95:AE95"/>
    <mergeCell ref="AH95:AI95"/>
    <mergeCell ref="AJ95:AK95"/>
    <mergeCell ref="AL95:AM95"/>
    <mergeCell ref="BL96:BM96"/>
    <mergeCell ref="BN96:BO96"/>
    <mergeCell ref="BQ96:BS96"/>
    <mergeCell ref="B97:E97"/>
    <mergeCell ref="F97:K97"/>
    <mergeCell ref="L97:P97"/>
    <mergeCell ref="Q97:R97"/>
    <mergeCell ref="S97:T97"/>
    <mergeCell ref="U97:V97"/>
    <mergeCell ref="W97:X97"/>
    <mergeCell ref="AZ96:BA96"/>
    <mergeCell ref="BB96:BC96"/>
    <mergeCell ref="BD96:BE96"/>
    <mergeCell ref="BF96:BG96"/>
    <mergeCell ref="BH96:BI96"/>
    <mergeCell ref="BJ96:BK96"/>
    <mergeCell ref="AN96:AO96"/>
    <mergeCell ref="AP96:AQ96"/>
    <mergeCell ref="AR96:AS96"/>
    <mergeCell ref="AT96:AU96"/>
    <mergeCell ref="AV96:AW96"/>
    <mergeCell ref="AX96:AY96"/>
    <mergeCell ref="Y96:AA96"/>
    <mergeCell ref="AB96:AC96"/>
    <mergeCell ref="AD96:AE96"/>
    <mergeCell ref="AH96:AI96"/>
    <mergeCell ref="AJ96:AK96"/>
    <mergeCell ref="AL96:AM96"/>
    <mergeCell ref="BL97:BM97"/>
    <mergeCell ref="BN97:BO97"/>
    <mergeCell ref="BQ97:BS97"/>
    <mergeCell ref="B96:E96"/>
    <mergeCell ref="F98:K98"/>
    <mergeCell ref="L98:P98"/>
    <mergeCell ref="Q98:R98"/>
    <mergeCell ref="S98:T98"/>
    <mergeCell ref="U98:V98"/>
    <mergeCell ref="W98:X98"/>
    <mergeCell ref="AZ97:BA97"/>
    <mergeCell ref="BB97:BC97"/>
    <mergeCell ref="BD97:BE97"/>
    <mergeCell ref="BF97:BG97"/>
    <mergeCell ref="BH97:BI97"/>
    <mergeCell ref="BJ97:BK97"/>
    <mergeCell ref="AN97:AO97"/>
    <mergeCell ref="AP97:AQ97"/>
    <mergeCell ref="AR97:AS97"/>
    <mergeCell ref="AT97:AU97"/>
    <mergeCell ref="AV97:AW97"/>
    <mergeCell ref="AX97:AY97"/>
    <mergeCell ref="Y97:AA97"/>
    <mergeCell ref="AB97:AC97"/>
    <mergeCell ref="AD97:AE97"/>
    <mergeCell ref="AH97:AI97"/>
    <mergeCell ref="AJ97:AK97"/>
    <mergeCell ref="AL97:AM97"/>
    <mergeCell ref="BL98:BM98"/>
    <mergeCell ref="BN98:BO98"/>
    <mergeCell ref="BQ98:BS98"/>
    <mergeCell ref="B99:E99"/>
    <mergeCell ref="F99:K99"/>
    <mergeCell ref="L99:P99"/>
    <mergeCell ref="Q99:R99"/>
    <mergeCell ref="S99:T99"/>
    <mergeCell ref="U99:V99"/>
    <mergeCell ref="W99:X99"/>
    <mergeCell ref="AZ98:BA98"/>
    <mergeCell ref="BB98:BC98"/>
    <mergeCell ref="BD98:BE98"/>
    <mergeCell ref="BF98:BG98"/>
    <mergeCell ref="BH98:BI98"/>
    <mergeCell ref="BJ98:BK98"/>
    <mergeCell ref="AN98:AO98"/>
    <mergeCell ref="AP98:AQ98"/>
    <mergeCell ref="AR98:AS98"/>
    <mergeCell ref="AT98:AU98"/>
    <mergeCell ref="AV98:AW98"/>
    <mergeCell ref="AX98:AY98"/>
    <mergeCell ref="Y98:AA98"/>
    <mergeCell ref="AB98:AC98"/>
    <mergeCell ref="AD98:AE98"/>
    <mergeCell ref="AH98:AI98"/>
    <mergeCell ref="AJ98:AK98"/>
    <mergeCell ref="AL98:AM98"/>
    <mergeCell ref="BL99:BM99"/>
    <mergeCell ref="BN99:BO99"/>
    <mergeCell ref="BQ99:BS99"/>
    <mergeCell ref="B98:E98"/>
    <mergeCell ref="F100:K100"/>
    <mergeCell ref="L100:P100"/>
    <mergeCell ref="Q100:R100"/>
    <mergeCell ref="S100:T100"/>
    <mergeCell ref="U100:V100"/>
    <mergeCell ref="W100:X100"/>
    <mergeCell ref="AZ99:BA99"/>
    <mergeCell ref="BB99:BC99"/>
    <mergeCell ref="BD99:BE99"/>
    <mergeCell ref="BF99:BG99"/>
    <mergeCell ref="BH99:BI99"/>
    <mergeCell ref="BJ99:BK99"/>
    <mergeCell ref="AN99:AO99"/>
    <mergeCell ref="AP99:AQ99"/>
    <mergeCell ref="AR99:AS99"/>
    <mergeCell ref="AT99:AU99"/>
    <mergeCell ref="AV99:AW99"/>
    <mergeCell ref="AX99:AY99"/>
    <mergeCell ref="Y99:AA99"/>
    <mergeCell ref="AB99:AC99"/>
    <mergeCell ref="AD99:AE99"/>
    <mergeCell ref="AH99:AI99"/>
    <mergeCell ref="AJ99:AK99"/>
    <mergeCell ref="AL99:AM99"/>
    <mergeCell ref="BL100:BM100"/>
    <mergeCell ref="BN100:BO100"/>
    <mergeCell ref="BQ100:BS100"/>
    <mergeCell ref="B101:E101"/>
    <mergeCell ref="F101:K101"/>
    <mergeCell ref="L101:P101"/>
    <mergeCell ref="Q101:R101"/>
    <mergeCell ref="S101:T101"/>
    <mergeCell ref="U101:V101"/>
    <mergeCell ref="W101:X101"/>
    <mergeCell ref="AZ100:BA100"/>
    <mergeCell ref="BB100:BC100"/>
    <mergeCell ref="BD100:BE100"/>
    <mergeCell ref="BF100:BG100"/>
    <mergeCell ref="BH100:BI100"/>
    <mergeCell ref="BJ100:BK100"/>
    <mergeCell ref="AN100:AO100"/>
    <mergeCell ref="AP100:AQ100"/>
    <mergeCell ref="AR100:AS100"/>
    <mergeCell ref="AT100:AU100"/>
    <mergeCell ref="AV100:AW100"/>
    <mergeCell ref="AX100:AY100"/>
    <mergeCell ref="Y100:AA100"/>
    <mergeCell ref="AB100:AC100"/>
    <mergeCell ref="AD100:AE100"/>
    <mergeCell ref="AH100:AI100"/>
    <mergeCell ref="AJ100:AK100"/>
    <mergeCell ref="AL100:AM100"/>
    <mergeCell ref="BL101:BM101"/>
    <mergeCell ref="BN101:BO101"/>
    <mergeCell ref="BQ101:BS101"/>
    <mergeCell ref="B100:E100"/>
    <mergeCell ref="F102:K102"/>
    <mergeCell ref="L102:P102"/>
    <mergeCell ref="Q102:R102"/>
    <mergeCell ref="S102:T102"/>
    <mergeCell ref="U102:V102"/>
    <mergeCell ref="W102:X102"/>
    <mergeCell ref="AZ101:BA101"/>
    <mergeCell ref="BB101:BC101"/>
    <mergeCell ref="BD101:BE101"/>
    <mergeCell ref="BF101:BG101"/>
    <mergeCell ref="BH101:BI101"/>
    <mergeCell ref="BJ101:BK101"/>
    <mergeCell ref="AN101:AO101"/>
    <mergeCell ref="AP101:AQ101"/>
    <mergeCell ref="AR101:AS101"/>
    <mergeCell ref="AT101:AU101"/>
    <mergeCell ref="AV101:AW101"/>
    <mergeCell ref="AX101:AY101"/>
    <mergeCell ref="Y101:AA101"/>
    <mergeCell ref="AB101:AC101"/>
    <mergeCell ref="AD101:AE101"/>
    <mergeCell ref="AH101:AI101"/>
    <mergeCell ref="AJ101:AK101"/>
    <mergeCell ref="AL101:AM101"/>
    <mergeCell ref="BL102:BM102"/>
    <mergeCell ref="BN102:BO102"/>
    <mergeCell ref="BQ102:BS102"/>
    <mergeCell ref="B103:E103"/>
    <mergeCell ref="F103:K103"/>
    <mergeCell ref="L103:P103"/>
    <mergeCell ref="Q103:R103"/>
    <mergeCell ref="S103:T103"/>
    <mergeCell ref="U103:V103"/>
    <mergeCell ref="W103:X103"/>
    <mergeCell ref="AZ102:BA102"/>
    <mergeCell ref="BB102:BC102"/>
    <mergeCell ref="BD102:BE102"/>
    <mergeCell ref="BF102:BG102"/>
    <mergeCell ref="BH102:BI102"/>
    <mergeCell ref="BJ102:BK102"/>
    <mergeCell ref="AN102:AO102"/>
    <mergeCell ref="AP102:AQ102"/>
    <mergeCell ref="AR102:AS102"/>
    <mergeCell ref="AT102:AU102"/>
    <mergeCell ref="AV102:AW102"/>
    <mergeCell ref="AX102:AY102"/>
    <mergeCell ref="Y102:AA102"/>
    <mergeCell ref="AB102:AC102"/>
    <mergeCell ref="AD102:AE102"/>
    <mergeCell ref="AH102:AI102"/>
    <mergeCell ref="AJ102:AK102"/>
    <mergeCell ref="AL102:AM102"/>
    <mergeCell ref="BL103:BM103"/>
    <mergeCell ref="BN103:BO103"/>
    <mergeCell ref="BQ103:BS103"/>
    <mergeCell ref="B102:E102"/>
    <mergeCell ref="F104:K104"/>
    <mergeCell ref="L104:P104"/>
    <mergeCell ref="Q104:R104"/>
    <mergeCell ref="S104:T104"/>
    <mergeCell ref="U104:V104"/>
    <mergeCell ref="W104:X104"/>
    <mergeCell ref="AZ103:BA103"/>
    <mergeCell ref="BB103:BC103"/>
    <mergeCell ref="BD103:BE103"/>
    <mergeCell ref="BF103:BG103"/>
    <mergeCell ref="BH103:BI103"/>
    <mergeCell ref="BJ103:BK103"/>
    <mergeCell ref="AN103:AO103"/>
    <mergeCell ref="AP103:AQ103"/>
    <mergeCell ref="AR103:AS103"/>
    <mergeCell ref="AT103:AU103"/>
    <mergeCell ref="AV103:AW103"/>
    <mergeCell ref="AX103:AY103"/>
    <mergeCell ref="Y103:AA103"/>
    <mergeCell ref="AB103:AC103"/>
    <mergeCell ref="AD103:AE103"/>
    <mergeCell ref="AH103:AI103"/>
    <mergeCell ref="AJ103:AK103"/>
    <mergeCell ref="AL103:AM103"/>
    <mergeCell ref="BL104:BM104"/>
    <mergeCell ref="BN104:BO104"/>
    <mergeCell ref="BQ104:BS104"/>
    <mergeCell ref="B105:E105"/>
    <mergeCell ref="F105:K105"/>
    <mergeCell ref="L105:P105"/>
    <mergeCell ref="Q105:R105"/>
    <mergeCell ref="S105:T105"/>
    <mergeCell ref="U105:V105"/>
    <mergeCell ref="W105:X105"/>
    <mergeCell ref="AZ104:BA104"/>
    <mergeCell ref="BB104:BC104"/>
    <mergeCell ref="BD104:BE104"/>
    <mergeCell ref="BF104:BG104"/>
    <mergeCell ref="BH104:BI104"/>
    <mergeCell ref="BJ104:BK104"/>
    <mergeCell ref="AN104:AO104"/>
    <mergeCell ref="AP104:AQ104"/>
    <mergeCell ref="AR104:AS104"/>
    <mergeCell ref="AT104:AU104"/>
    <mergeCell ref="AV104:AW104"/>
    <mergeCell ref="AX104:AY104"/>
    <mergeCell ref="Y104:AA104"/>
    <mergeCell ref="AB104:AC104"/>
    <mergeCell ref="AD104:AE104"/>
    <mergeCell ref="AH104:AI104"/>
    <mergeCell ref="AJ104:AK104"/>
    <mergeCell ref="AL104:AM104"/>
    <mergeCell ref="BL105:BM105"/>
    <mergeCell ref="BN105:BO105"/>
    <mergeCell ref="BQ105:BS105"/>
    <mergeCell ref="B104:E104"/>
    <mergeCell ref="F106:K106"/>
    <mergeCell ref="L106:P106"/>
    <mergeCell ref="Q106:R106"/>
    <mergeCell ref="S106:T106"/>
    <mergeCell ref="U106:V106"/>
    <mergeCell ref="W106:X106"/>
    <mergeCell ref="AZ105:BA105"/>
    <mergeCell ref="BB105:BC105"/>
    <mergeCell ref="BD105:BE105"/>
    <mergeCell ref="BF105:BG105"/>
    <mergeCell ref="BH105:BI105"/>
    <mergeCell ref="BJ105:BK105"/>
    <mergeCell ref="AN105:AO105"/>
    <mergeCell ref="AP105:AQ105"/>
    <mergeCell ref="AR105:AS105"/>
    <mergeCell ref="AT105:AU105"/>
    <mergeCell ref="AV105:AW105"/>
    <mergeCell ref="AX105:AY105"/>
    <mergeCell ref="Y105:AA105"/>
    <mergeCell ref="AB105:AC105"/>
    <mergeCell ref="AD105:AE105"/>
    <mergeCell ref="AH105:AI105"/>
    <mergeCell ref="AJ105:AK105"/>
    <mergeCell ref="AL105:AM105"/>
    <mergeCell ref="BL106:BM106"/>
    <mergeCell ref="BN106:BO106"/>
    <mergeCell ref="BQ106:BS106"/>
    <mergeCell ref="B107:E107"/>
    <mergeCell ref="F107:K107"/>
    <mergeCell ref="L107:P107"/>
    <mergeCell ref="Q107:R107"/>
    <mergeCell ref="S107:T107"/>
    <mergeCell ref="U107:V107"/>
    <mergeCell ref="W107:X107"/>
    <mergeCell ref="AZ106:BA106"/>
    <mergeCell ref="BB106:BC106"/>
    <mergeCell ref="BD106:BE106"/>
    <mergeCell ref="BF106:BG106"/>
    <mergeCell ref="BH106:BI106"/>
    <mergeCell ref="BJ106:BK106"/>
    <mergeCell ref="AN106:AO106"/>
    <mergeCell ref="AP106:AQ106"/>
    <mergeCell ref="AR106:AS106"/>
    <mergeCell ref="AT106:AU106"/>
    <mergeCell ref="AV106:AW106"/>
    <mergeCell ref="AX106:AY106"/>
    <mergeCell ref="Y106:AA106"/>
    <mergeCell ref="AB106:AC106"/>
    <mergeCell ref="AD106:AE106"/>
    <mergeCell ref="AH106:AI106"/>
    <mergeCell ref="AJ106:AK106"/>
    <mergeCell ref="AL106:AM106"/>
    <mergeCell ref="BL107:BM107"/>
    <mergeCell ref="BN107:BO107"/>
    <mergeCell ref="BQ107:BS107"/>
    <mergeCell ref="B106:E106"/>
    <mergeCell ref="F108:K108"/>
    <mergeCell ref="L108:P108"/>
    <mergeCell ref="Q108:R108"/>
    <mergeCell ref="S108:T108"/>
    <mergeCell ref="U108:V108"/>
    <mergeCell ref="W108:X108"/>
    <mergeCell ref="AZ107:BA107"/>
    <mergeCell ref="BB107:BC107"/>
    <mergeCell ref="BD107:BE107"/>
    <mergeCell ref="BF107:BG107"/>
    <mergeCell ref="BH107:BI107"/>
    <mergeCell ref="BJ107:BK107"/>
    <mergeCell ref="AN107:AO107"/>
    <mergeCell ref="AP107:AQ107"/>
    <mergeCell ref="AR107:AS107"/>
    <mergeCell ref="AT107:AU107"/>
    <mergeCell ref="AV107:AW107"/>
    <mergeCell ref="AX107:AY107"/>
    <mergeCell ref="Y107:AA107"/>
    <mergeCell ref="AB107:AC107"/>
    <mergeCell ref="AD107:AE107"/>
    <mergeCell ref="AH107:AI107"/>
    <mergeCell ref="AJ107:AK107"/>
    <mergeCell ref="AL107:AM107"/>
    <mergeCell ref="BL108:BM108"/>
    <mergeCell ref="BN108:BO108"/>
    <mergeCell ref="BQ108:BS108"/>
    <mergeCell ref="B109:E109"/>
    <mergeCell ref="F109:K109"/>
    <mergeCell ref="L109:P109"/>
    <mergeCell ref="Q109:R109"/>
    <mergeCell ref="S109:T109"/>
    <mergeCell ref="U109:V109"/>
    <mergeCell ref="W109:X109"/>
    <mergeCell ref="AZ108:BA108"/>
    <mergeCell ref="BB108:BC108"/>
    <mergeCell ref="BD108:BE108"/>
    <mergeCell ref="BF108:BG108"/>
    <mergeCell ref="BH108:BI108"/>
    <mergeCell ref="BJ108:BK108"/>
    <mergeCell ref="AN108:AO108"/>
    <mergeCell ref="AP108:AQ108"/>
    <mergeCell ref="AR108:AS108"/>
    <mergeCell ref="AT108:AU108"/>
    <mergeCell ref="AV108:AW108"/>
    <mergeCell ref="AX108:AY108"/>
    <mergeCell ref="Y108:AA108"/>
    <mergeCell ref="AB108:AC108"/>
    <mergeCell ref="AD108:AE108"/>
    <mergeCell ref="AH108:AI108"/>
    <mergeCell ref="AJ108:AK108"/>
    <mergeCell ref="AL108:AM108"/>
    <mergeCell ref="BL109:BM109"/>
    <mergeCell ref="BN109:BO109"/>
    <mergeCell ref="BQ109:BS109"/>
    <mergeCell ref="B108:E108"/>
    <mergeCell ref="F110:K110"/>
    <mergeCell ref="L110:P110"/>
    <mergeCell ref="Q110:R110"/>
    <mergeCell ref="S110:T110"/>
    <mergeCell ref="U110:V110"/>
    <mergeCell ref="W110:X110"/>
    <mergeCell ref="AZ109:BA109"/>
    <mergeCell ref="BB109:BC109"/>
    <mergeCell ref="BD109:BE109"/>
    <mergeCell ref="BF109:BG109"/>
    <mergeCell ref="BH109:BI109"/>
    <mergeCell ref="BJ109:BK109"/>
    <mergeCell ref="AN109:AO109"/>
    <mergeCell ref="AP109:AQ109"/>
    <mergeCell ref="AR109:AS109"/>
    <mergeCell ref="AT109:AU109"/>
    <mergeCell ref="AV109:AW109"/>
    <mergeCell ref="AX109:AY109"/>
    <mergeCell ref="Y109:AA109"/>
    <mergeCell ref="AB109:AC109"/>
    <mergeCell ref="AD109:AE109"/>
    <mergeCell ref="AH109:AI109"/>
    <mergeCell ref="AJ109:AK109"/>
    <mergeCell ref="AL109:AM109"/>
    <mergeCell ref="BL110:BM110"/>
    <mergeCell ref="BN110:BO110"/>
    <mergeCell ref="BQ110:BS110"/>
    <mergeCell ref="B111:E111"/>
    <mergeCell ref="F111:K111"/>
    <mergeCell ref="L111:P111"/>
    <mergeCell ref="Q111:R111"/>
    <mergeCell ref="S111:T111"/>
    <mergeCell ref="U111:V111"/>
    <mergeCell ref="W111:X111"/>
    <mergeCell ref="AZ110:BA110"/>
    <mergeCell ref="BB110:BC110"/>
    <mergeCell ref="BD110:BE110"/>
    <mergeCell ref="BF110:BG110"/>
    <mergeCell ref="BH110:BI110"/>
    <mergeCell ref="BJ110:BK110"/>
    <mergeCell ref="AN110:AO110"/>
    <mergeCell ref="AP110:AQ110"/>
    <mergeCell ref="AR110:AS110"/>
    <mergeCell ref="AT110:AU110"/>
    <mergeCell ref="AV110:AW110"/>
    <mergeCell ref="AX110:AY110"/>
    <mergeCell ref="Y110:AA110"/>
    <mergeCell ref="AB110:AC110"/>
    <mergeCell ref="AD110:AE110"/>
    <mergeCell ref="AH110:AI110"/>
    <mergeCell ref="AJ110:AK110"/>
    <mergeCell ref="AL110:AM110"/>
    <mergeCell ref="BL111:BM111"/>
    <mergeCell ref="BN111:BO111"/>
    <mergeCell ref="BQ111:BS111"/>
    <mergeCell ref="B110:E110"/>
    <mergeCell ref="F112:K112"/>
    <mergeCell ref="L112:P112"/>
    <mergeCell ref="Q112:R112"/>
    <mergeCell ref="S112:T112"/>
    <mergeCell ref="U112:V112"/>
    <mergeCell ref="W112:X112"/>
    <mergeCell ref="AZ111:BA111"/>
    <mergeCell ref="BB111:BC111"/>
    <mergeCell ref="BD111:BE111"/>
    <mergeCell ref="BF111:BG111"/>
    <mergeCell ref="BH111:BI111"/>
    <mergeCell ref="BJ111:BK111"/>
    <mergeCell ref="AN111:AO111"/>
    <mergeCell ref="AP111:AQ111"/>
    <mergeCell ref="AR111:AS111"/>
    <mergeCell ref="AT111:AU111"/>
    <mergeCell ref="AV111:AW111"/>
    <mergeCell ref="AX111:AY111"/>
    <mergeCell ref="Y111:AA111"/>
    <mergeCell ref="AB111:AC111"/>
    <mergeCell ref="AD111:AE111"/>
    <mergeCell ref="AH111:AI111"/>
    <mergeCell ref="AJ111:AK111"/>
    <mergeCell ref="AL111:AM111"/>
    <mergeCell ref="BL112:BM112"/>
    <mergeCell ref="BN112:BO112"/>
    <mergeCell ref="BQ112:BS112"/>
    <mergeCell ref="B113:E113"/>
    <mergeCell ref="F113:K113"/>
    <mergeCell ref="L113:P113"/>
    <mergeCell ref="Q113:R113"/>
    <mergeCell ref="S113:T113"/>
    <mergeCell ref="U113:V113"/>
    <mergeCell ref="W113:X113"/>
    <mergeCell ref="AZ112:BA112"/>
    <mergeCell ref="BB112:BC112"/>
    <mergeCell ref="BD112:BE112"/>
    <mergeCell ref="BF112:BG112"/>
    <mergeCell ref="BH112:BI112"/>
    <mergeCell ref="BJ112:BK112"/>
    <mergeCell ref="AN112:AO112"/>
    <mergeCell ref="AP112:AQ112"/>
    <mergeCell ref="AR112:AS112"/>
    <mergeCell ref="AT112:AU112"/>
    <mergeCell ref="AV112:AW112"/>
    <mergeCell ref="AX112:AY112"/>
    <mergeCell ref="Y112:AA112"/>
    <mergeCell ref="AB112:AC112"/>
    <mergeCell ref="AD112:AE112"/>
    <mergeCell ref="AH112:AI112"/>
    <mergeCell ref="AJ112:AK112"/>
    <mergeCell ref="AL112:AM112"/>
    <mergeCell ref="BL113:BM113"/>
    <mergeCell ref="BN113:BO113"/>
    <mergeCell ref="BQ113:BS113"/>
    <mergeCell ref="B112:E112"/>
    <mergeCell ref="F114:K114"/>
    <mergeCell ref="L114:P114"/>
    <mergeCell ref="Q114:R114"/>
    <mergeCell ref="S114:T114"/>
    <mergeCell ref="U114:V114"/>
    <mergeCell ref="W114:X114"/>
    <mergeCell ref="AZ113:BA113"/>
    <mergeCell ref="BB113:BC113"/>
    <mergeCell ref="BD113:BE113"/>
    <mergeCell ref="BF113:BG113"/>
    <mergeCell ref="BH113:BI113"/>
    <mergeCell ref="BJ113:BK113"/>
    <mergeCell ref="AN113:AO113"/>
    <mergeCell ref="AP113:AQ113"/>
    <mergeCell ref="AR113:AS113"/>
    <mergeCell ref="AT113:AU113"/>
    <mergeCell ref="AV113:AW113"/>
    <mergeCell ref="AX113:AY113"/>
    <mergeCell ref="Y113:AA113"/>
    <mergeCell ref="AB113:AC113"/>
    <mergeCell ref="AD113:AE113"/>
    <mergeCell ref="AH113:AI113"/>
    <mergeCell ref="AJ113:AK113"/>
    <mergeCell ref="AL113:AM113"/>
    <mergeCell ref="BL114:BM114"/>
    <mergeCell ref="BN114:BO114"/>
    <mergeCell ref="BQ114:BS114"/>
    <mergeCell ref="B115:E115"/>
    <mergeCell ref="F115:K115"/>
    <mergeCell ref="L115:P115"/>
    <mergeCell ref="Q115:R115"/>
    <mergeCell ref="S115:T115"/>
    <mergeCell ref="U115:V115"/>
    <mergeCell ref="W115:X115"/>
    <mergeCell ref="AZ114:BA114"/>
    <mergeCell ref="BB114:BC114"/>
    <mergeCell ref="BD114:BE114"/>
    <mergeCell ref="BF114:BG114"/>
    <mergeCell ref="BH114:BI114"/>
    <mergeCell ref="BJ114:BK114"/>
    <mergeCell ref="AN114:AO114"/>
    <mergeCell ref="AP114:AQ114"/>
    <mergeCell ref="AR114:AS114"/>
    <mergeCell ref="AT114:AU114"/>
    <mergeCell ref="AV114:AW114"/>
    <mergeCell ref="AX114:AY114"/>
    <mergeCell ref="Y114:AA114"/>
    <mergeCell ref="AB114:AC114"/>
    <mergeCell ref="AD114:AE114"/>
    <mergeCell ref="AH114:AI114"/>
    <mergeCell ref="AJ114:AK114"/>
    <mergeCell ref="AL114:AM114"/>
    <mergeCell ref="BL115:BM115"/>
    <mergeCell ref="BN115:BO115"/>
    <mergeCell ref="BQ115:BS115"/>
    <mergeCell ref="B114:E114"/>
    <mergeCell ref="F116:K116"/>
    <mergeCell ref="L116:P116"/>
    <mergeCell ref="Q116:R116"/>
    <mergeCell ref="S116:T116"/>
    <mergeCell ref="U116:V116"/>
    <mergeCell ref="W116:X116"/>
    <mergeCell ref="AZ115:BA115"/>
    <mergeCell ref="BB115:BC115"/>
    <mergeCell ref="BD115:BE115"/>
    <mergeCell ref="BF115:BG115"/>
    <mergeCell ref="BH115:BI115"/>
    <mergeCell ref="BJ115:BK115"/>
    <mergeCell ref="AN115:AO115"/>
    <mergeCell ref="AP115:AQ115"/>
    <mergeCell ref="AR115:AS115"/>
    <mergeCell ref="AT115:AU115"/>
    <mergeCell ref="AV115:AW115"/>
    <mergeCell ref="AX115:AY115"/>
    <mergeCell ref="Y115:AA115"/>
    <mergeCell ref="AB115:AC115"/>
    <mergeCell ref="AD115:AE115"/>
    <mergeCell ref="AH115:AI115"/>
    <mergeCell ref="AJ115:AK115"/>
    <mergeCell ref="AL115:AM115"/>
    <mergeCell ref="BL116:BM116"/>
    <mergeCell ref="BN116:BO116"/>
    <mergeCell ref="BQ116:BS116"/>
    <mergeCell ref="B117:E117"/>
    <mergeCell ref="F117:K117"/>
    <mergeCell ref="L117:P117"/>
    <mergeCell ref="Q117:R117"/>
    <mergeCell ref="S117:T117"/>
    <mergeCell ref="U117:V117"/>
    <mergeCell ref="W117:X117"/>
    <mergeCell ref="AZ116:BA116"/>
    <mergeCell ref="BB116:BC116"/>
    <mergeCell ref="BD116:BE116"/>
    <mergeCell ref="BF116:BG116"/>
    <mergeCell ref="BH116:BI116"/>
    <mergeCell ref="BJ116:BK116"/>
    <mergeCell ref="AN116:AO116"/>
    <mergeCell ref="AP116:AQ116"/>
    <mergeCell ref="AR116:AS116"/>
    <mergeCell ref="AT116:AU116"/>
    <mergeCell ref="AV116:AW116"/>
    <mergeCell ref="AX116:AY116"/>
    <mergeCell ref="Y116:AA116"/>
    <mergeCell ref="AB116:AC116"/>
    <mergeCell ref="AD116:AE116"/>
    <mergeCell ref="AH116:AI116"/>
    <mergeCell ref="AJ116:AK116"/>
    <mergeCell ref="AL116:AM116"/>
    <mergeCell ref="BL117:BM117"/>
    <mergeCell ref="BN117:BO117"/>
    <mergeCell ref="BQ117:BS117"/>
    <mergeCell ref="B116:E116"/>
    <mergeCell ref="F118:K118"/>
    <mergeCell ref="L118:P118"/>
    <mergeCell ref="Q118:R118"/>
    <mergeCell ref="S118:T118"/>
    <mergeCell ref="U118:V118"/>
    <mergeCell ref="W118:X118"/>
    <mergeCell ref="AZ117:BA117"/>
    <mergeCell ref="BB117:BC117"/>
    <mergeCell ref="BD117:BE117"/>
    <mergeCell ref="BF117:BG117"/>
    <mergeCell ref="BH117:BI117"/>
    <mergeCell ref="BJ117:BK117"/>
    <mergeCell ref="AN117:AO117"/>
    <mergeCell ref="AP117:AQ117"/>
    <mergeCell ref="AR117:AS117"/>
    <mergeCell ref="AT117:AU117"/>
    <mergeCell ref="AV117:AW117"/>
    <mergeCell ref="AX117:AY117"/>
    <mergeCell ref="Y117:AA117"/>
    <mergeCell ref="AB117:AC117"/>
    <mergeCell ref="AD117:AE117"/>
    <mergeCell ref="AH117:AI117"/>
    <mergeCell ref="AJ117:AK117"/>
    <mergeCell ref="AL117:AM117"/>
    <mergeCell ref="BL118:BM118"/>
    <mergeCell ref="BN118:BO118"/>
    <mergeCell ref="BQ118:BS118"/>
    <mergeCell ref="B119:E119"/>
    <mergeCell ref="F119:K119"/>
    <mergeCell ref="L119:P119"/>
    <mergeCell ref="Q119:R119"/>
    <mergeCell ref="S119:T119"/>
    <mergeCell ref="U119:V119"/>
    <mergeCell ref="W119:X119"/>
    <mergeCell ref="AZ118:BA118"/>
    <mergeCell ref="BB118:BC118"/>
    <mergeCell ref="BD118:BE118"/>
    <mergeCell ref="BF118:BG118"/>
    <mergeCell ref="BH118:BI118"/>
    <mergeCell ref="BJ118:BK118"/>
    <mergeCell ref="AN118:AO118"/>
    <mergeCell ref="AP118:AQ118"/>
    <mergeCell ref="AR118:AS118"/>
    <mergeCell ref="AT118:AU118"/>
    <mergeCell ref="AV118:AW118"/>
    <mergeCell ref="AX118:AY118"/>
    <mergeCell ref="Y118:AA118"/>
    <mergeCell ref="AB118:AC118"/>
    <mergeCell ref="AD118:AE118"/>
    <mergeCell ref="AH118:AI118"/>
    <mergeCell ref="AJ118:AK118"/>
    <mergeCell ref="AL118:AM118"/>
    <mergeCell ref="BL119:BM119"/>
    <mergeCell ref="BN119:BO119"/>
    <mergeCell ref="BQ119:BS119"/>
    <mergeCell ref="B118:E118"/>
    <mergeCell ref="F120:K120"/>
    <mergeCell ref="L120:P120"/>
    <mergeCell ref="Q120:R120"/>
    <mergeCell ref="S120:T120"/>
    <mergeCell ref="U120:V120"/>
    <mergeCell ref="W120:X120"/>
    <mergeCell ref="AZ119:BA119"/>
    <mergeCell ref="BB119:BC119"/>
    <mergeCell ref="BD119:BE119"/>
    <mergeCell ref="BF119:BG119"/>
    <mergeCell ref="BH119:BI119"/>
    <mergeCell ref="BJ119:BK119"/>
    <mergeCell ref="AN119:AO119"/>
    <mergeCell ref="AP119:AQ119"/>
    <mergeCell ref="AR119:AS119"/>
    <mergeCell ref="AT119:AU119"/>
    <mergeCell ref="AV119:AW119"/>
    <mergeCell ref="AX119:AY119"/>
    <mergeCell ref="Y119:AA119"/>
    <mergeCell ref="AB119:AC119"/>
    <mergeCell ref="AD119:AE119"/>
    <mergeCell ref="AH119:AI119"/>
    <mergeCell ref="AJ119:AK119"/>
    <mergeCell ref="AL119:AM119"/>
    <mergeCell ref="BL120:BM120"/>
    <mergeCell ref="BN120:BO120"/>
    <mergeCell ref="BQ120:BS120"/>
    <mergeCell ref="B121:E121"/>
    <mergeCell ref="F121:K121"/>
    <mergeCell ref="L121:P121"/>
    <mergeCell ref="Q121:R121"/>
    <mergeCell ref="S121:T121"/>
    <mergeCell ref="U121:V121"/>
    <mergeCell ref="W121:X121"/>
    <mergeCell ref="AZ120:BA120"/>
    <mergeCell ref="BB120:BC120"/>
    <mergeCell ref="BD120:BE120"/>
    <mergeCell ref="BF120:BG120"/>
    <mergeCell ref="BH120:BI120"/>
    <mergeCell ref="BJ120:BK120"/>
    <mergeCell ref="AN120:AO120"/>
    <mergeCell ref="AP120:AQ120"/>
    <mergeCell ref="AR120:AS120"/>
    <mergeCell ref="AT120:AU120"/>
    <mergeCell ref="AV120:AW120"/>
    <mergeCell ref="AX120:AY120"/>
    <mergeCell ref="Y120:AA120"/>
    <mergeCell ref="AB120:AC120"/>
    <mergeCell ref="AD120:AE120"/>
    <mergeCell ref="AH120:AI120"/>
    <mergeCell ref="AJ120:AK120"/>
    <mergeCell ref="AL120:AM120"/>
    <mergeCell ref="BL121:BM121"/>
    <mergeCell ref="BN121:BO121"/>
    <mergeCell ref="BQ121:BS121"/>
    <mergeCell ref="B120:E120"/>
    <mergeCell ref="F122:K122"/>
    <mergeCell ref="L122:P122"/>
    <mergeCell ref="Q122:R122"/>
    <mergeCell ref="S122:T122"/>
    <mergeCell ref="U122:V122"/>
    <mergeCell ref="W122:X122"/>
    <mergeCell ref="AZ121:BA121"/>
    <mergeCell ref="BB121:BC121"/>
    <mergeCell ref="BD121:BE121"/>
    <mergeCell ref="BF121:BG121"/>
    <mergeCell ref="BH121:BI121"/>
    <mergeCell ref="BJ121:BK121"/>
    <mergeCell ref="AN121:AO121"/>
    <mergeCell ref="AP121:AQ121"/>
    <mergeCell ref="AR121:AS121"/>
    <mergeCell ref="AT121:AU121"/>
    <mergeCell ref="AV121:AW121"/>
    <mergeCell ref="AX121:AY121"/>
    <mergeCell ref="Y121:AA121"/>
    <mergeCell ref="AB121:AC121"/>
    <mergeCell ref="AD121:AE121"/>
    <mergeCell ref="AH121:AI121"/>
    <mergeCell ref="AJ121:AK121"/>
    <mergeCell ref="AL121:AM121"/>
    <mergeCell ref="BL122:BM122"/>
    <mergeCell ref="BN122:BO122"/>
    <mergeCell ref="BQ122:BS122"/>
    <mergeCell ref="B123:E123"/>
    <mergeCell ref="F123:K123"/>
    <mergeCell ref="L123:P123"/>
    <mergeCell ref="Q123:R123"/>
    <mergeCell ref="S123:T123"/>
    <mergeCell ref="U123:V123"/>
    <mergeCell ref="W123:X123"/>
    <mergeCell ref="AZ122:BA122"/>
    <mergeCell ref="BB122:BC122"/>
    <mergeCell ref="BD122:BE122"/>
    <mergeCell ref="BF122:BG122"/>
    <mergeCell ref="BH122:BI122"/>
    <mergeCell ref="BJ122:BK122"/>
    <mergeCell ref="AN122:AO122"/>
    <mergeCell ref="AP122:AQ122"/>
    <mergeCell ref="AR122:AS122"/>
    <mergeCell ref="AT122:AU122"/>
    <mergeCell ref="AV122:AW122"/>
    <mergeCell ref="AX122:AY122"/>
    <mergeCell ref="Y122:AA122"/>
    <mergeCell ref="AB122:AC122"/>
    <mergeCell ref="AD122:AE122"/>
    <mergeCell ref="AH122:AI122"/>
    <mergeCell ref="AJ122:AK122"/>
    <mergeCell ref="AL122:AM122"/>
    <mergeCell ref="BL123:BM123"/>
    <mergeCell ref="BN123:BO123"/>
    <mergeCell ref="BQ123:BS123"/>
    <mergeCell ref="B122:E122"/>
    <mergeCell ref="Q124:R124"/>
    <mergeCell ref="S124:T124"/>
    <mergeCell ref="U124:V124"/>
    <mergeCell ref="W124:X124"/>
    <mergeCell ref="AZ123:BA123"/>
    <mergeCell ref="BB123:BC123"/>
    <mergeCell ref="BD123:BE123"/>
    <mergeCell ref="BF123:BG123"/>
    <mergeCell ref="BH123:BI123"/>
    <mergeCell ref="BJ123:BK123"/>
    <mergeCell ref="AN123:AO123"/>
    <mergeCell ref="AP123:AQ123"/>
    <mergeCell ref="AR123:AS123"/>
    <mergeCell ref="AT123:AU123"/>
    <mergeCell ref="AV123:AW123"/>
    <mergeCell ref="AX123:AY123"/>
    <mergeCell ref="Y123:AA123"/>
    <mergeCell ref="AB123:AC123"/>
    <mergeCell ref="AD123:AE123"/>
    <mergeCell ref="AH123:AI123"/>
    <mergeCell ref="AJ123:AK123"/>
    <mergeCell ref="AL123:AM123"/>
    <mergeCell ref="BL124:BM124"/>
    <mergeCell ref="BN124:BO124"/>
    <mergeCell ref="BQ124:BS124"/>
    <mergeCell ref="B125:E125"/>
    <mergeCell ref="F125:K125"/>
    <mergeCell ref="L125:P125"/>
    <mergeCell ref="Q125:V125"/>
    <mergeCell ref="W125:X125"/>
    <mergeCell ref="Y125:AA125"/>
    <mergeCell ref="AB125:AC125"/>
    <mergeCell ref="AZ124:BA124"/>
    <mergeCell ref="BB124:BC124"/>
    <mergeCell ref="BD124:BE124"/>
    <mergeCell ref="BF124:BG124"/>
    <mergeCell ref="BH124:BI124"/>
    <mergeCell ref="BJ124:BK124"/>
    <mergeCell ref="AN124:AO124"/>
    <mergeCell ref="AP124:AQ124"/>
    <mergeCell ref="AR124:AS124"/>
    <mergeCell ref="AT124:AU124"/>
    <mergeCell ref="AV124:AW124"/>
    <mergeCell ref="AX124:AY124"/>
    <mergeCell ref="Y124:AA124"/>
    <mergeCell ref="AB124:AC124"/>
    <mergeCell ref="AD124:AE124"/>
    <mergeCell ref="AH124:AI124"/>
    <mergeCell ref="AJ124:AK124"/>
    <mergeCell ref="AL124:AM124"/>
    <mergeCell ref="BQ125:BS125"/>
    <mergeCell ref="B124:E124"/>
    <mergeCell ref="F124:K124"/>
    <mergeCell ref="L124:P124"/>
    <mergeCell ref="Q126:R126"/>
    <mergeCell ref="S126:T126"/>
    <mergeCell ref="U126:V126"/>
    <mergeCell ref="W126:X126"/>
    <mergeCell ref="Y126:AA126"/>
    <mergeCell ref="AB126:AC126"/>
    <mergeCell ref="BD125:BE125"/>
    <mergeCell ref="BF125:BG125"/>
    <mergeCell ref="BH125:BI125"/>
    <mergeCell ref="BJ125:BK125"/>
    <mergeCell ref="BL125:BM125"/>
    <mergeCell ref="BN125:BO125"/>
    <mergeCell ref="AR125:AS125"/>
    <mergeCell ref="AT125:AU125"/>
    <mergeCell ref="AV125:AW125"/>
    <mergeCell ref="AX125:AY125"/>
    <mergeCell ref="AZ125:BA125"/>
    <mergeCell ref="BB125:BC125"/>
    <mergeCell ref="AD125:AE125"/>
    <mergeCell ref="AH125:AI125"/>
    <mergeCell ref="AJ125:AK125"/>
    <mergeCell ref="AL125:AM125"/>
    <mergeCell ref="AN125:AO125"/>
    <mergeCell ref="AP125:AQ125"/>
    <mergeCell ref="BQ126:BS126"/>
    <mergeCell ref="B127:E127"/>
    <mergeCell ref="F127:K127"/>
    <mergeCell ref="L127:P127"/>
    <mergeCell ref="Q127:R127"/>
    <mergeCell ref="S127:T127"/>
    <mergeCell ref="U127:V127"/>
    <mergeCell ref="W127:X127"/>
    <mergeCell ref="Y127:AA127"/>
    <mergeCell ref="AB127:AC127"/>
    <mergeCell ref="BD126:BE126"/>
    <mergeCell ref="BF126:BG126"/>
    <mergeCell ref="BH126:BI126"/>
    <mergeCell ref="BJ126:BK126"/>
    <mergeCell ref="BL126:BM126"/>
    <mergeCell ref="BN126:BO126"/>
    <mergeCell ref="AR126:AS126"/>
    <mergeCell ref="AT126:AU126"/>
    <mergeCell ref="AV126:AW126"/>
    <mergeCell ref="AX126:AY126"/>
    <mergeCell ref="AZ126:BA126"/>
    <mergeCell ref="BB126:BC126"/>
    <mergeCell ref="AD126:AE126"/>
    <mergeCell ref="AH126:AI126"/>
    <mergeCell ref="AJ126:AK126"/>
    <mergeCell ref="AL126:AM126"/>
    <mergeCell ref="AN126:AO126"/>
    <mergeCell ref="AP126:AQ126"/>
    <mergeCell ref="BQ127:BS127"/>
    <mergeCell ref="B126:E126"/>
    <mergeCell ref="F126:K126"/>
    <mergeCell ref="L126:P126"/>
    <mergeCell ref="L128:P128"/>
    <mergeCell ref="Q128:R128"/>
    <mergeCell ref="S128:T128"/>
    <mergeCell ref="U128:V128"/>
    <mergeCell ref="W128:X128"/>
    <mergeCell ref="Y128:AA128"/>
    <mergeCell ref="AB128:AC128"/>
    <mergeCell ref="BD127:BE127"/>
    <mergeCell ref="BF127:BG127"/>
    <mergeCell ref="BH127:BI127"/>
    <mergeCell ref="BJ127:BK127"/>
    <mergeCell ref="BL127:BM127"/>
    <mergeCell ref="BN127:BO127"/>
    <mergeCell ref="AR127:AS127"/>
    <mergeCell ref="AT127:AU127"/>
    <mergeCell ref="AV127:AW127"/>
    <mergeCell ref="AX127:AY127"/>
    <mergeCell ref="AZ127:BA127"/>
    <mergeCell ref="BB127:BC127"/>
    <mergeCell ref="AD127:AE127"/>
    <mergeCell ref="AH127:AI127"/>
    <mergeCell ref="AJ127:AK127"/>
    <mergeCell ref="AL127:AM127"/>
    <mergeCell ref="AN127:AO127"/>
    <mergeCell ref="AP127:AQ127"/>
    <mergeCell ref="AN129:AO129"/>
    <mergeCell ref="AP129:AQ129"/>
    <mergeCell ref="BQ128:BS128"/>
    <mergeCell ref="B129:E129"/>
    <mergeCell ref="F129:K129"/>
    <mergeCell ref="L129:P129"/>
    <mergeCell ref="Q129:R129"/>
    <mergeCell ref="S129:T129"/>
    <mergeCell ref="U129:V129"/>
    <mergeCell ref="W129:X129"/>
    <mergeCell ref="Y129:AA129"/>
    <mergeCell ref="AB129:AC129"/>
    <mergeCell ref="BD128:BE128"/>
    <mergeCell ref="BF128:BG128"/>
    <mergeCell ref="BH128:BI128"/>
    <mergeCell ref="BJ128:BK128"/>
    <mergeCell ref="BL128:BM128"/>
    <mergeCell ref="BN128:BO128"/>
    <mergeCell ref="AR128:AS128"/>
    <mergeCell ref="AT128:AU128"/>
    <mergeCell ref="AV128:AW128"/>
    <mergeCell ref="AX128:AY128"/>
    <mergeCell ref="AZ128:BA128"/>
    <mergeCell ref="BB128:BC128"/>
    <mergeCell ref="AD128:AE128"/>
    <mergeCell ref="AH128:AI128"/>
    <mergeCell ref="AJ128:AK128"/>
    <mergeCell ref="AL128:AM128"/>
    <mergeCell ref="AN128:AO128"/>
    <mergeCell ref="AP128:AQ128"/>
    <mergeCell ref="B128:E128"/>
    <mergeCell ref="F128:K128"/>
    <mergeCell ref="AH130:AI130"/>
    <mergeCell ref="AJ130:AK130"/>
    <mergeCell ref="AL130:AM130"/>
    <mergeCell ref="AN130:AO130"/>
    <mergeCell ref="AP130:AQ130"/>
    <mergeCell ref="AR130:AS130"/>
    <mergeCell ref="BQ129:BS129"/>
    <mergeCell ref="L130:P130"/>
    <mergeCell ref="Q130:R130"/>
    <mergeCell ref="S130:T130"/>
    <mergeCell ref="U130:V130"/>
    <mergeCell ref="W130:X130"/>
    <mergeCell ref="Y130:AA130"/>
    <mergeCell ref="AB130:AC130"/>
    <mergeCell ref="AD130:AE130"/>
    <mergeCell ref="AF130:AG130"/>
    <mergeCell ref="BD129:BE129"/>
    <mergeCell ref="BF129:BG129"/>
    <mergeCell ref="BH129:BI129"/>
    <mergeCell ref="BJ129:BK129"/>
    <mergeCell ref="BL129:BM129"/>
    <mergeCell ref="BN129:BO129"/>
    <mergeCell ref="AR129:AS129"/>
    <mergeCell ref="AT129:AU129"/>
    <mergeCell ref="AV129:AW129"/>
    <mergeCell ref="AX129:AY129"/>
    <mergeCell ref="AZ129:BA129"/>
    <mergeCell ref="BB129:BC129"/>
    <mergeCell ref="AD129:AE129"/>
    <mergeCell ref="AH129:AI129"/>
    <mergeCell ref="AJ129:AK129"/>
    <mergeCell ref="AL129:AM129"/>
    <mergeCell ref="BT130:BU130"/>
    <mergeCell ref="BV130:BW130"/>
    <mergeCell ref="AP131:AS131"/>
    <mergeCell ref="AT131:AU131"/>
    <mergeCell ref="AZ131:BA131"/>
    <mergeCell ref="BD131:BE131"/>
    <mergeCell ref="BH131:BI131"/>
    <mergeCell ref="BL131:BM131"/>
    <mergeCell ref="BF130:BG130"/>
    <mergeCell ref="BH130:BI130"/>
    <mergeCell ref="BJ130:BK130"/>
    <mergeCell ref="BL130:BM130"/>
    <mergeCell ref="BN130:BO130"/>
    <mergeCell ref="BQ130:BS130"/>
    <mergeCell ref="AT130:AU130"/>
    <mergeCell ref="AV130:AW130"/>
    <mergeCell ref="AX130:AY130"/>
    <mergeCell ref="AZ130:BA130"/>
    <mergeCell ref="BB130:BC130"/>
    <mergeCell ref="BD130:BE130"/>
  </mergeCells>
  <phoneticPr fontId="1"/>
  <conditionalFormatting sqref="AL8:AM130">
    <cfRule type="cellIs" dxfId="0" priority="1" operator="equal">
      <formula>$AP$9+1</formula>
    </cfRule>
  </conditionalFormatting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8D93-DF83-4B05-925E-A0EB373EB4B4}">
  <dimension ref="B2:S29"/>
  <sheetViews>
    <sheetView workbookViewId="0">
      <selection activeCell="C5" sqref="C5"/>
    </sheetView>
  </sheetViews>
  <sheetFormatPr defaultRowHeight="14.25"/>
  <cols>
    <col min="1" max="1" width="9" style="94"/>
    <col min="2" max="2" width="11.75" style="98" bestFit="1" customWidth="1"/>
    <col min="3" max="3" width="9.75" style="94" bestFit="1" customWidth="1"/>
    <col min="4" max="4" width="9.75" style="94" customWidth="1"/>
    <col min="5" max="5" width="9.125" style="94" bestFit="1" customWidth="1"/>
    <col min="6" max="6" width="4.75" style="94" bestFit="1" customWidth="1"/>
    <col min="7" max="8" width="9" style="94"/>
    <col min="9" max="9" width="10.875" style="94" bestFit="1" customWidth="1"/>
    <col min="10" max="10" width="9.75" style="94" bestFit="1" customWidth="1"/>
    <col min="11" max="16384" width="9" style="94"/>
  </cols>
  <sheetData>
    <row r="2" spans="2:19">
      <c r="D2" s="94" t="s">
        <v>1404</v>
      </c>
    </row>
    <row r="3" spans="2:19">
      <c r="C3" s="94" t="s">
        <v>1393</v>
      </c>
      <c r="D3" s="94" t="s">
        <v>1400</v>
      </c>
      <c r="E3" s="94" t="s">
        <v>1394</v>
      </c>
      <c r="F3" s="94" t="s">
        <v>1396</v>
      </c>
      <c r="G3" s="94" t="s">
        <v>1397</v>
      </c>
      <c r="H3" s="94" t="s">
        <v>1398</v>
      </c>
      <c r="I3" s="94" t="s">
        <v>1401</v>
      </c>
      <c r="J3" s="94" t="s">
        <v>1399</v>
      </c>
    </row>
    <row r="4" spans="2:19">
      <c r="B4" s="98" t="s">
        <v>1402</v>
      </c>
      <c r="C4" s="95">
        <v>997</v>
      </c>
      <c r="D4" s="96">
        <f>0-C4*5%</f>
        <v>-49.85</v>
      </c>
      <c r="E4" s="95">
        <f>-INT(C4*5%)</f>
        <v>-49</v>
      </c>
      <c r="F4" s="95"/>
      <c r="G4" s="95">
        <f>E4+F4</f>
        <v>-49</v>
      </c>
      <c r="H4" s="95">
        <f>C4+G4</f>
        <v>948</v>
      </c>
      <c r="I4" s="96">
        <f>H4*1.08</f>
        <v>1023.84</v>
      </c>
      <c r="J4" s="95">
        <f>INT(H4*1.08)</f>
        <v>1023</v>
      </c>
      <c r="K4" s="96"/>
      <c r="L4" s="96"/>
      <c r="M4" s="96"/>
      <c r="N4" s="96"/>
      <c r="O4" s="96"/>
      <c r="P4" s="96"/>
      <c r="Q4" s="96"/>
      <c r="R4" s="96"/>
      <c r="S4" s="96"/>
    </row>
    <row r="5" spans="2:19">
      <c r="B5" s="98" t="s">
        <v>1403</v>
      </c>
      <c r="C5" s="95">
        <v>1001</v>
      </c>
      <c r="D5" s="96">
        <f>0-C5*5%</f>
        <v>-50.050000000000004</v>
      </c>
      <c r="E5" s="95">
        <f>-INT(C5*5%)</f>
        <v>-50</v>
      </c>
      <c r="F5" s="95">
        <v>-1</v>
      </c>
      <c r="G5" s="95">
        <f>E5+F5</f>
        <v>-51</v>
      </c>
      <c r="H5" s="95">
        <f>C5+G5</f>
        <v>950</v>
      </c>
      <c r="I5" s="96">
        <f>H5*1.1</f>
        <v>1045</v>
      </c>
      <c r="J5" s="95">
        <f>INT(H5*1.1)</f>
        <v>1045</v>
      </c>
      <c r="K5" s="96"/>
      <c r="L5" s="96"/>
      <c r="M5" s="96"/>
      <c r="N5" s="96"/>
      <c r="O5" s="96"/>
      <c r="P5" s="96"/>
      <c r="Q5" s="96"/>
      <c r="R5" s="96"/>
      <c r="S5" s="96"/>
    </row>
    <row r="6" spans="2:19">
      <c r="C6" s="95">
        <f>SUM(C4:C5)</f>
        <v>1998</v>
      </c>
      <c r="D6" s="96"/>
      <c r="E6" s="95">
        <f>SUM(E4:E5)</f>
        <v>-99</v>
      </c>
      <c r="F6" s="95"/>
      <c r="G6" s="95">
        <f>SUM(G4:G5)</f>
        <v>-100</v>
      </c>
      <c r="H6" s="95">
        <f>SUM(H4:H5)</f>
        <v>1898</v>
      </c>
      <c r="I6" s="96">
        <f>SUM(I4:I5)</f>
        <v>2068.84</v>
      </c>
      <c r="J6" s="95">
        <f>SUM(J4:J5)</f>
        <v>2068</v>
      </c>
      <c r="K6" s="96"/>
      <c r="L6" s="96"/>
      <c r="M6" s="96"/>
      <c r="N6" s="96"/>
      <c r="O6" s="96"/>
      <c r="P6" s="96"/>
      <c r="Q6" s="96"/>
      <c r="R6" s="96"/>
      <c r="S6" s="96"/>
    </row>
    <row r="7" spans="2:19">
      <c r="C7" s="96" t="s">
        <v>1395</v>
      </c>
      <c r="D7" s="96"/>
      <c r="E7" s="95">
        <f>-ROUNDUP(C6*5%,0)</f>
        <v>-100</v>
      </c>
      <c r="F7" s="95"/>
      <c r="G7" s="95"/>
      <c r="H7" s="95"/>
      <c r="I7" s="96"/>
      <c r="J7" s="95"/>
      <c r="K7" s="96"/>
      <c r="L7" s="96"/>
      <c r="M7" s="96"/>
      <c r="N7" s="96"/>
      <c r="O7" s="96"/>
      <c r="P7" s="96"/>
      <c r="Q7" s="96"/>
      <c r="R7" s="96"/>
      <c r="S7" s="96"/>
    </row>
    <row r="8" spans="2:19">
      <c r="C8" s="96"/>
      <c r="D8" s="96"/>
      <c r="E8" s="95"/>
      <c r="F8" s="95"/>
      <c r="G8" s="95"/>
      <c r="H8" s="95"/>
      <c r="I8" s="96"/>
      <c r="J8" s="95"/>
      <c r="K8" s="96"/>
      <c r="L8" s="96"/>
      <c r="M8" s="96"/>
      <c r="N8" s="96"/>
      <c r="O8" s="96"/>
      <c r="P8" s="96"/>
      <c r="Q8" s="96"/>
      <c r="R8" s="96"/>
      <c r="S8" s="96"/>
    </row>
    <row r="9" spans="2:19">
      <c r="C9" s="96"/>
      <c r="D9" s="96" t="s">
        <v>1405</v>
      </c>
      <c r="E9" s="95"/>
      <c r="F9" s="95"/>
      <c r="G9" s="95"/>
      <c r="H9" s="95"/>
      <c r="I9" s="96"/>
      <c r="J9" s="95"/>
      <c r="K9" s="96"/>
      <c r="L9" s="96"/>
      <c r="M9" s="96"/>
      <c r="N9" s="96"/>
      <c r="O9" s="96"/>
      <c r="P9" s="96"/>
      <c r="Q9" s="96"/>
      <c r="R9" s="96"/>
      <c r="S9" s="96"/>
    </row>
    <row r="10" spans="2:19">
      <c r="D10" s="94" t="s">
        <v>1400</v>
      </c>
      <c r="E10" s="95" t="s">
        <v>1394</v>
      </c>
      <c r="F10" s="95" t="s">
        <v>1396</v>
      </c>
      <c r="G10" s="95" t="s">
        <v>1397</v>
      </c>
      <c r="H10" s="95" t="s">
        <v>1398</v>
      </c>
      <c r="I10" s="94" t="s">
        <v>1399</v>
      </c>
      <c r="J10" s="95" t="s">
        <v>1399</v>
      </c>
      <c r="K10" s="96"/>
      <c r="L10" s="96"/>
      <c r="M10" s="96"/>
      <c r="N10" s="96"/>
      <c r="O10" s="96"/>
      <c r="P10" s="96"/>
      <c r="Q10" s="96"/>
      <c r="R10" s="96"/>
      <c r="S10" s="96"/>
    </row>
    <row r="11" spans="2:19">
      <c r="C11" s="96"/>
      <c r="D11" s="96">
        <f>0-C4*5%</f>
        <v>-49.85</v>
      </c>
      <c r="E11" s="95">
        <f>-ROUNDUP(C4*-D14,0)</f>
        <v>-50</v>
      </c>
      <c r="F11" s="95">
        <v>1</v>
      </c>
      <c r="G11" s="95">
        <f>E11+F11</f>
        <v>-49</v>
      </c>
      <c r="H11" s="95">
        <f>C4+G11</f>
        <v>948</v>
      </c>
      <c r="I11" s="96">
        <f>H11*1.08</f>
        <v>1023.84</v>
      </c>
      <c r="J11" s="95">
        <f>INT(H11*1.08)</f>
        <v>1023</v>
      </c>
      <c r="K11" s="96"/>
      <c r="L11" s="96"/>
      <c r="M11" s="96"/>
      <c r="N11" s="96"/>
      <c r="O11" s="96"/>
      <c r="P11" s="96"/>
      <c r="Q11" s="96"/>
      <c r="R11" s="96"/>
      <c r="S11" s="96"/>
    </row>
    <row r="12" spans="2:19">
      <c r="C12" s="96"/>
      <c r="D12" s="96">
        <f>0-C5*5%</f>
        <v>-50.050000000000004</v>
      </c>
      <c r="E12" s="95">
        <f>-ROUNDUP(C5*-D14,0)</f>
        <v>-51</v>
      </c>
      <c r="F12" s="95"/>
      <c r="G12" s="95">
        <f>E12+F12</f>
        <v>-51</v>
      </c>
      <c r="H12" s="95">
        <f>C5+G12</f>
        <v>950</v>
      </c>
      <c r="I12" s="96">
        <f>H12*1.1</f>
        <v>1045</v>
      </c>
      <c r="J12" s="95">
        <f>INT(H12*1.1)</f>
        <v>1045</v>
      </c>
      <c r="K12" s="96"/>
      <c r="L12" s="96"/>
      <c r="M12" s="96"/>
      <c r="N12" s="96"/>
      <c r="O12" s="96"/>
      <c r="P12" s="96"/>
      <c r="Q12" s="96"/>
      <c r="R12" s="96"/>
      <c r="S12" s="96"/>
    </row>
    <row r="13" spans="2:19">
      <c r="C13" s="96"/>
      <c r="D13" s="96">
        <f>ROUNDUP(SUM(D11:D12),0)</f>
        <v>-100</v>
      </c>
      <c r="E13" s="95">
        <f>SUM(E11:E12)</f>
        <v>-101</v>
      </c>
      <c r="F13" s="95"/>
      <c r="G13" s="95">
        <f>SUM(G11:G12)</f>
        <v>-100</v>
      </c>
      <c r="H13" s="95">
        <f>SUM(H11:H12)</f>
        <v>1898</v>
      </c>
      <c r="I13" s="96">
        <f>SUM(I11:I12)</f>
        <v>2068.84</v>
      </c>
      <c r="J13" s="95">
        <f>SUM(J11:J12)</f>
        <v>2068</v>
      </c>
      <c r="K13" s="96"/>
      <c r="L13" s="96"/>
      <c r="M13" s="96"/>
      <c r="N13" s="96"/>
      <c r="O13" s="96"/>
      <c r="P13" s="96"/>
      <c r="Q13" s="96"/>
      <c r="R13" s="96"/>
      <c r="S13" s="96"/>
    </row>
    <row r="14" spans="2:19">
      <c r="C14" s="96"/>
      <c r="D14" s="96">
        <f>D13/C6</f>
        <v>-5.0050050050050053E-2</v>
      </c>
      <c r="E14" s="95">
        <f>-ROUNDUP(C6*5%,0)</f>
        <v>-100</v>
      </c>
      <c r="F14" s="95"/>
      <c r="G14" s="95"/>
      <c r="H14" s="95"/>
      <c r="I14" s="96"/>
      <c r="J14" s="95"/>
      <c r="K14" s="96"/>
      <c r="L14" s="96"/>
      <c r="M14" s="96"/>
      <c r="N14" s="96"/>
      <c r="O14" s="96"/>
      <c r="P14" s="96"/>
      <c r="Q14" s="96"/>
      <c r="R14" s="96"/>
      <c r="S14" s="96"/>
    </row>
    <row r="15" spans="2:19">
      <c r="C15" s="96"/>
      <c r="D15" s="96"/>
      <c r="E15" s="95"/>
      <c r="F15" s="95"/>
      <c r="G15" s="95"/>
      <c r="H15" s="97">
        <f>H6-H13</f>
        <v>0</v>
      </c>
      <c r="I15" s="96"/>
      <c r="J15" s="97">
        <f>J6-J13</f>
        <v>0</v>
      </c>
      <c r="K15" s="96"/>
      <c r="L15" s="96"/>
      <c r="M15" s="96"/>
      <c r="N15" s="96"/>
      <c r="O15" s="96"/>
      <c r="P15" s="96"/>
      <c r="Q15" s="96"/>
      <c r="R15" s="96"/>
      <c r="S15" s="96"/>
    </row>
    <row r="16" spans="2:19">
      <c r="C16" s="96"/>
      <c r="D16" s="96"/>
      <c r="E16" s="95"/>
      <c r="F16" s="95"/>
      <c r="G16" s="95"/>
      <c r="H16" s="95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</row>
    <row r="17" spans="3:19">
      <c r="C17" s="96"/>
      <c r="D17" s="96"/>
      <c r="E17" s="95"/>
      <c r="F17" s="95"/>
      <c r="G17" s="95"/>
      <c r="H17" s="95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</row>
    <row r="18" spans="3:19"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</row>
    <row r="19" spans="3:19">
      <c r="C19" s="96"/>
      <c r="D19" s="96"/>
      <c r="E19" s="99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</row>
    <row r="20" spans="3:19"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</row>
    <row r="21" spans="3:19"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</row>
    <row r="22" spans="3:19"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</row>
    <row r="23" spans="3:19"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</row>
    <row r="24" spans="3:19"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</row>
    <row r="25" spans="3:19"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</row>
    <row r="26" spans="3:19"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</row>
    <row r="27" spans="3:19"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</row>
    <row r="28" spans="3:19"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</row>
    <row r="29" spans="3:19"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E0BA55-A009-4626-9060-9E3E5A0293A3}">
  <ds:schemaRefs>
    <ds:schemaRef ds:uri="http://schemas.microsoft.com/office/2006/metadata/properties"/>
    <ds:schemaRef ds:uri="http://schemas.microsoft.com/office/infopath/2007/PartnerControls"/>
    <ds:schemaRef ds:uri="12511b1c-3e11-4df6-bc2c-fe16eb27e0dd"/>
    <ds:schemaRef ds:uri="daf89b5b-bbad-4309-9981-305d79e5980c"/>
  </ds:schemaRefs>
</ds:datastoreItem>
</file>

<file path=customXml/itemProps2.xml><?xml version="1.0" encoding="utf-8"?>
<ds:datastoreItem xmlns:ds="http://schemas.openxmlformats.org/officeDocument/2006/customXml" ds:itemID="{5C3871FE-25C5-48CD-A95F-E0FA9C4FE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6AB243-2658-4122-9782-4268550AD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まとめ</vt:lpstr>
      <vt:lpstr>富士通計算式</vt:lpstr>
      <vt:lpstr>SG計算式</vt:lpstr>
      <vt:lpstr>だおうやったらずれる </vt:lpstr>
      <vt:lpstr>まとめ!Print_Area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Thanh Nguyên</cp:lastModifiedBy>
  <cp:revision/>
  <dcterms:created xsi:type="dcterms:W3CDTF">2025-01-31T02:53:44Z</dcterms:created>
  <dcterms:modified xsi:type="dcterms:W3CDTF">2025-02-07T07:37:17Z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