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326" documentId="13_ncr:4000b_{FEB2686B-C058-4B98-BC23-B11F7AE1D5BB}" xr6:coauthVersionLast="44" xr6:coauthVersionMax="44" xr10:uidLastSave="{B3DDE143-BAD6-4B66-84E8-1C2679812740}"/>
  <bookViews>
    <workbookView xWindow="-120" yWindow="-120" windowWidth="20730" windowHeight="11160" xr2:uid="{00000000-000D-0000-FFFF-FFFF00000000}"/>
  </bookViews>
  <sheets>
    <sheet name="値引シール【2 割引】" sheetId="22" r:id="rId1"/>
    <sheet name="値引シール【2 割引】　図" sheetId="20" r:id="rId2"/>
    <sheet name="値引確認" sheetId="17" r:id="rId3"/>
    <sheet name="データ" sheetId="13" r:id="rId4"/>
  </sheets>
  <definedNames>
    <definedName name="_xlnm._FilterDatabase" localSheetId="2" hidden="1">値引確認!$A$1:$Y$57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4" i="20" l="1"/>
  <c r="H121" i="20"/>
  <c r="H75" i="20"/>
  <c r="H98" i="20"/>
  <c r="H52" i="20"/>
  <c r="I29" i="20"/>
  <c r="I6" i="20"/>
  <c r="I121" i="20" l="1"/>
  <c r="I144" i="20"/>
  <c r="I98" i="20"/>
  <c r="I75" i="20"/>
  <c r="I52" i="20"/>
  <c r="H29" i="20"/>
  <c r="H6" i="20"/>
  <c r="A37" i="13" l="1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7" i="13"/>
  <c r="A6" i="13"/>
  <c r="A5" i="13"/>
  <c r="A9" i="13"/>
  <c r="A4" i="13"/>
  <c r="A8" i="13"/>
  <c r="A3" i="13"/>
</calcChain>
</file>

<file path=xl/sharedStrings.xml><?xml version="1.0" encoding="utf-8"?>
<sst xmlns="http://schemas.openxmlformats.org/spreadsheetml/2006/main" count="1811" uniqueCount="305">
  <si>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</si>
  <si>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</si>
  <si>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</si>
  <si>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</si>
  <si>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小計値引</t>
  </si>
  <si>
    <t>売上</t>
  </si>
  <si>
    <t>値下</t>
  </si>
  <si>
    <t>値増</t>
  </si>
  <si>
    <t>同額</t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</si>
  <si>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</si>
  <si>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</si>
  <si>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</si>
  <si>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</si>
  <si>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当日売価</t>
    <rPh sb="0" eb="2">
      <t>トウジツ</t>
    </rPh>
    <rPh sb="2" eb="4">
      <t>バイカ</t>
    </rPh>
    <phoneticPr fontId="2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</si>
  <si>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</si>
  <si>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</si>
  <si>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</si>
  <si>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</si>
  <si>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カテゴリー値引</t>
    <phoneticPr fontId="1"/>
  </si>
  <si>
    <t>カテゴリー割引</t>
    <phoneticPr fontId="1"/>
  </si>
  <si>
    <t>シール</t>
    <phoneticPr fontId="2"/>
  </si>
  <si>
    <t>①通常単価　カテゴリー値引　値引シール【1:値引】</t>
    <phoneticPr fontId="5"/>
  </si>
  <si>
    <t>①通常単価　カテゴリー割引　値引シール【1:値引】</t>
    <rPh sb="11" eb="13">
      <t>ワリビキ</t>
    </rPh>
    <phoneticPr fontId="5"/>
  </si>
  <si>
    <t>①通常単価　カテゴリー値引　値引シール【2:割引】</t>
    <phoneticPr fontId="5"/>
  </si>
  <si>
    <t>①通常単価　カテゴリー割引　値引シール【2:割引】</t>
    <rPh sb="11" eb="13">
      <t>ワリビキ</t>
    </rPh>
    <phoneticPr fontId="5"/>
  </si>
  <si>
    <t>値下</t>
    <rPh sb="0" eb="2">
      <t>ネサゲ</t>
    </rPh>
    <phoneticPr fontId="5"/>
  </si>
  <si>
    <t>①通常単価＞値引シール【3:金額】　カテゴリー値引</t>
    <phoneticPr fontId="5"/>
  </si>
  <si>
    <t>①通常単価＝値引シール【3:金額】　カテゴリー値引</t>
    <phoneticPr fontId="5"/>
  </si>
  <si>
    <t>①値引シール【3:金額】＞通常単価　カテゴリー値引</t>
    <phoneticPr fontId="5"/>
  </si>
  <si>
    <t>①通常単価＞値引シール【3:金額】　カテゴリー割引</t>
    <phoneticPr fontId="5"/>
  </si>
  <si>
    <t>①値引シール【3:金額】＞通常単価　カテゴリー割引</t>
    <phoneticPr fontId="5"/>
  </si>
  <si>
    <t>①通常単価＝値引シール【3:金額】　カテゴリー割引</t>
    <phoneticPr fontId="5"/>
  </si>
  <si>
    <t>①通常単価＞値引シール【1:値引】　小計値引　</t>
    <phoneticPr fontId="5"/>
  </si>
  <si>
    <t>①通常単価＞値引シール【2:割引】　小計値引</t>
    <phoneticPr fontId="5"/>
  </si>
  <si>
    <t>①通常単価＞値引シール【3:金額】　小計値引</t>
    <phoneticPr fontId="5"/>
  </si>
  <si>
    <t>①通常単価＝値引シール【3:金額】　小計値引</t>
    <phoneticPr fontId="5"/>
  </si>
  <si>
    <t>①値引シール【3:金額】＞通常単価　小計値引</t>
    <phoneticPr fontId="5"/>
  </si>
  <si>
    <t>小計割引</t>
  </si>
  <si>
    <t>小計割引</t>
    <rPh sb="2" eb="4">
      <t>ワリビキ</t>
    </rPh>
    <phoneticPr fontId="5"/>
  </si>
  <si>
    <t>①通常単価＞値引シール【1:値引】　小計割引　</t>
  </si>
  <si>
    <t>①通常単価＞値引シール【2:割引】　小計割引</t>
  </si>
  <si>
    <t>①通常単価＞値引シール【3:金額】　小計割引</t>
  </si>
  <si>
    <t>①通常単価＝値引シール【3:金額】　小計割引</t>
  </si>
  <si>
    <t>①値引シール【3:金額】＞通常単価　小計割引</t>
  </si>
  <si>
    <t>朝割</t>
  </si>
  <si>
    <t>朝割</t>
    <phoneticPr fontId="5"/>
  </si>
  <si>
    <t>①通常単価＞値引シール【1:値引】　朝割　</t>
  </si>
  <si>
    <t>①通常単価＞値引シール【2:割引】　朝割</t>
  </si>
  <si>
    <t>①通常単価＞値引シール【3:金額】　朝割</t>
  </si>
  <si>
    <t>①通常単価＝値引シール【3:金額】　朝割</t>
  </si>
  <si>
    <t>①値引シール【3:金額】＞通常単価　朝割</t>
  </si>
  <si>
    <t>メガ割</t>
  </si>
  <si>
    <t>メガ割</t>
    <phoneticPr fontId="5"/>
  </si>
  <si>
    <t>①通常単価＞値引シール【1:値引】　メガ割　</t>
  </si>
  <si>
    <t>①通常単価＞値引シール【2:割引】　メガ割</t>
  </si>
  <si>
    <t>①通常単価＞値引シール【3:金額】　メガ割</t>
  </si>
  <si>
    <t>①通常単価＝値引シール【3:金額】　メガ割</t>
  </si>
  <si>
    <t>①値引シール【3:金額】＞通常単価　メガ割</t>
  </si>
  <si>
    <t>クレジット割</t>
  </si>
  <si>
    <t>クレジット割</t>
    <phoneticPr fontId="5"/>
  </si>
  <si>
    <t>①通常単価＞値引シール【1:値引】　クレジット割　</t>
  </si>
  <si>
    <t>①通常単価＞値引シール【2:割引】　クレジット割</t>
  </si>
  <si>
    <t>①通常単価＞値引シール【3:金額】　クレジット割</t>
  </si>
  <si>
    <t>①通常単価＝値引シール【3:金額】　クレジット割</t>
  </si>
  <si>
    <t>①値引シール【3:金額】＞通常単価　クレジット割</t>
  </si>
  <si>
    <t>小魚折箱（大）　　　　　　　　　　　　　</t>
  </si>
  <si>
    <t>4975152002744</t>
  </si>
  <si>
    <t>たたみいわし３枚　　　　　　　　　　　　</t>
  </si>
  <si>
    <t>4990450003002</t>
  </si>
  <si>
    <t>減塩わかさぎ佃煮　　　　　　　　　　　　</t>
  </si>
  <si>
    <t>4989967095228</t>
  </si>
  <si>
    <t>いか昆布６０ｇ　　　　　　　　　　　　　</t>
  </si>
  <si>
    <t>4962281197434</t>
  </si>
  <si>
    <t>減塩あさりの佃煮　　　　　　　　　　　　</t>
  </si>
  <si>
    <t>4989967095297</t>
  </si>
  <si>
    <t>佃煮２点盛（くるみ・わかさぎ）　　　　　</t>
  </si>
  <si>
    <t>4935758057203</t>
  </si>
  <si>
    <t>生しらすの佃煮（山椒入）６０ｇ　　　　　</t>
  </si>
  <si>
    <t>4989967094597</t>
  </si>
  <si>
    <t>金ごまかつお　９０ｇ　　　　　　　　　　</t>
  </si>
  <si>
    <t>4975152013535</t>
  </si>
  <si>
    <t>あみ佃煮７０ｇ　　　　　　　　　　　　　</t>
  </si>
  <si>
    <t>4975152009576</t>
  </si>
  <si>
    <t>干ほたて貝柱３０ｇ　　　　　　　　　　　</t>
  </si>
  <si>
    <t>4902046571598</t>
  </si>
  <si>
    <t>アーモンドと小魚８６ｇ　　　　　　　　　</t>
  </si>
  <si>
    <t>4971455059478</t>
  </si>
  <si>
    <t>干するめいか６枚　　　　　　　　　　　　</t>
  </si>
  <si>
    <t>4983848406004</t>
  </si>
  <si>
    <t>めかじき切身（真空）２切　　　　　　　　</t>
  </si>
  <si>
    <t>4935552327885</t>
  </si>
  <si>
    <t>（ＦＣ）めかじき切身１切　　　　　　　　</t>
  </si>
  <si>
    <t>4935552328226</t>
  </si>
  <si>
    <t>（ＦＣ）塩銀鮭（甘口）１切　　　　　　　</t>
  </si>
  <si>
    <t>4935552329087</t>
  </si>
  <si>
    <t>骨取り　まんだい角切１５０ｇ（真空）　　</t>
  </si>
  <si>
    <t>4935552328073</t>
  </si>
  <si>
    <t>（ＦＣ）骨取まんだい角切り（小）　　　　</t>
  </si>
  <si>
    <t>4935552329094</t>
  </si>
  <si>
    <t>（ＦＣ）バサ　１切　　　　　　　　　　　</t>
  </si>
  <si>
    <t>4935552329322</t>
  </si>
  <si>
    <t>（ＦＣ）赤魚２枚　　　　　　　　　　　　</t>
  </si>
  <si>
    <t>4935552329353</t>
  </si>
  <si>
    <t>（ＦＣ）塩銀鮭（甘口）２切　　　　　　　</t>
  </si>
  <si>
    <t>4935552328196</t>
  </si>
  <si>
    <t>（ＦＣ）ムール貝むき身（小）　　　　　　</t>
  </si>
  <si>
    <t>4935552329469</t>
  </si>
  <si>
    <t>真鱈切身真空２００Ｇ　　　　　　　　　　</t>
  </si>
  <si>
    <t>4935552328042</t>
  </si>
  <si>
    <t>（ＦＣ）さわら切身１切　　　　　　　　　</t>
  </si>
  <si>
    <t>4935552328240</t>
  </si>
  <si>
    <t>（ＦＣ）たら１切　　　　　　　　　　　　</t>
  </si>
  <si>
    <t>4935552329384</t>
  </si>
  <si>
    <t>（ＦＣ）たら２切　　　　　　　　　　　　</t>
  </si>
  <si>
    <t>4935552329391</t>
  </si>
  <si>
    <t>（ＦＣ）バサ　２切　　　　　　　　　　　</t>
  </si>
  <si>
    <t>4935552329339</t>
  </si>
  <si>
    <t>（ＦＣ）無塩さば１枚　　　　　　　　　　</t>
  </si>
  <si>
    <t>4935552329360</t>
  </si>
  <si>
    <t>（ＦＣ）つぼ抜きいか（小）　　　　　　　</t>
  </si>
  <si>
    <t>4935758056992</t>
  </si>
  <si>
    <t>（ＦＣ）骨取真さば角切り（小）　　　　　</t>
  </si>
  <si>
    <t>4935552329438</t>
  </si>
  <si>
    <t>（ＦＣ）赤魚１枚　　　　　　　　　　　　</t>
  </si>
  <si>
    <t>4935552329346</t>
  </si>
  <si>
    <t>（ＦＣ）骨取あじ角切り（小）　　　　　　</t>
  </si>
  <si>
    <t>4935552329421</t>
  </si>
  <si>
    <t>からすがれい切身（真空）２切　　　　　　</t>
  </si>
  <si>
    <t>4935552327892</t>
  </si>
  <si>
    <t>（ＦＣ）骨取秋鮭角切り（小）　　　　　　</t>
  </si>
  <si>
    <t>4935552329407</t>
  </si>
  <si>
    <t>さわら切身（真空）２切　　　　　　　　　</t>
  </si>
  <si>
    <t>4935552327908</t>
  </si>
  <si>
    <t>（ＦＣ）あさりむき身（小）　　　　　　　</t>
  </si>
  <si>
    <t>4935552329452</t>
  </si>
  <si>
    <t>項番</t>
  </si>
  <si>
    <t>取引内容</t>
  </si>
  <si>
    <t>シール値引値増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</si>
  <si>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</si>
  <si>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</si>
  <si>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</si>
  <si>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</si>
  <si>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</si>
  <si>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</si>
  <si>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</si>
  <si>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シール</t>
  </si>
  <si>
    <t>カテゴリー処理</t>
  </si>
  <si>
    <t>小計割</t>
  </si>
  <si>
    <t>企画</t>
  </si>
  <si>
    <t>値引コード</t>
  </si>
  <si>
    <t>値引種別</t>
  </si>
  <si>
    <t>値引額</t>
  </si>
  <si>
    <t>値引数量</t>
  </si>
  <si>
    <t>値引名称</t>
  </si>
  <si>
    <t>ﾏﾆｭｱﾙ値引</t>
  </si>
  <si>
    <t>純売上額</t>
  </si>
  <si>
    <t>純売上数量</t>
  </si>
  <si>
    <t>値引合計金額</t>
  </si>
  <si>
    <t>値引合計数量</t>
  </si>
  <si>
    <t>カテゴリー値引</t>
  </si>
  <si>
    <t/>
  </si>
  <si>
    <t>500</t>
  </si>
  <si>
    <t>30</t>
  </si>
  <si>
    <t>91324</t>
  </si>
  <si>
    <t>0</t>
  </si>
  <si>
    <t>1</t>
  </si>
  <si>
    <t>部門ﾚﾍﾞﾙ商品階層自動値引</t>
  </si>
  <si>
    <t>－</t>
  </si>
  <si>
    <t>440</t>
  </si>
  <si>
    <t>60</t>
  </si>
  <si>
    <t>91220</t>
  </si>
  <si>
    <t>マニュアル額値引</t>
  </si>
  <si>
    <t>額</t>
  </si>
  <si>
    <t>①通常単価　カテゴリー値引　値引シール【2:割引】</t>
  </si>
  <si>
    <t>10</t>
  </si>
  <si>
    <t>423</t>
  </si>
  <si>
    <t>77</t>
  </si>
  <si>
    <t>2</t>
  </si>
  <si>
    <t>47</t>
  </si>
  <si>
    <t>％</t>
  </si>
  <si>
    <t>①通常単価＞値引シール【3:金額】　カテゴリー値引</t>
  </si>
  <si>
    <t>450</t>
  </si>
  <si>
    <t>50</t>
  </si>
  <si>
    <t>420</t>
  </si>
  <si>
    <t>80</t>
  </si>
  <si>
    <t>①通常単価＝値引シール【3:金額】　カテゴリー値引</t>
  </si>
  <si>
    <t>470</t>
  </si>
  <si>
    <t>①値引シール【3:金額】＞通常単価　カテゴリー値引</t>
  </si>
  <si>
    <t>550</t>
  </si>
  <si>
    <t>520</t>
  </si>
  <si>
    <t>カテゴリー割引</t>
  </si>
  <si>
    <t>①通常単価　カテゴリー割引　値引シール【1:値引】</t>
  </si>
  <si>
    <t>①通常単価　カテゴリー割引　値引シール【2:割引】</t>
  </si>
  <si>
    <t>45</t>
  </si>
  <si>
    <t>405</t>
  </si>
  <si>
    <t>95</t>
  </si>
  <si>
    <t>①通常単価＞値引シール【3:金額】　カテゴリー割引</t>
  </si>
  <si>
    <t>①通常単価＝値引シール【3:金額】　カテゴリー割引</t>
  </si>
  <si>
    <t>①値引シール【3:金額】＞通常単価　カテゴリー割引</t>
  </si>
  <si>
    <t>55</t>
  </si>
  <si>
    <t>495</t>
  </si>
  <si>
    <t>①通常単価＞値引シール【1:値引】　小計値引　</t>
  </si>
  <si>
    <t>91400</t>
  </si>
  <si>
    <t>14</t>
  </si>
  <si>
    <t>マニュアル小計値引</t>
  </si>
  <si>
    <t>①通常単価＞値引シール【2:割引】　小計値引</t>
  </si>
  <si>
    <t>①通常単価＞値引シール【3:金額】　小計値引</t>
  </si>
  <si>
    <t>①通常単価＝値引シール【3:金額】　小計値引</t>
  </si>
  <si>
    <t>①値引シール【3:金額】＞通常単価　小計値引</t>
  </si>
  <si>
    <t>20</t>
  </si>
  <si>
    <t>110</t>
  </si>
  <si>
    <t>24</t>
  </si>
  <si>
    <t>446</t>
  </si>
  <si>
    <t>54</t>
  </si>
  <si>
    <t>22</t>
  </si>
  <si>
    <t>428</t>
  </si>
  <si>
    <t>72</t>
  </si>
  <si>
    <t>25</t>
  </si>
  <si>
    <t>475</t>
  </si>
  <si>
    <t>29</t>
  </si>
  <si>
    <t>521</t>
  </si>
  <si>
    <t>①通常単価　カテゴリー値引　値引シール【1:値引】</t>
    <phoneticPr fontId="6"/>
  </si>
  <si>
    <t>値引シール【1:値引】</t>
  </si>
  <si>
    <t>①通常単価　カテゴリー値引　値引シール【2:割引】</t>
    <phoneticPr fontId="6"/>
  </si>
  <si>
    <t>値引シール【2:割引】</t>
    <phoneticPr fontId="6"/>
  </si>
  <si>
    <t>カテゴリー割引</t>
    <rPh sb="5" eb="7">
      <t>ワリビキ</t>
    </rPh>
    <phoneticPr fontId="6"/>
  </si>
  <si>
    <t>①通常単価＞値引シール【3:金額】　カテゴリー値引</t>
    <phoneticPr fontId="6"/>
  </si>
  <si>
    <t>値引シール【3:金額】</t>
    <phoneticPr fontId="6"/>
  </si>
  <si>
    <t>①通常単価＞値引シール【1:値引】　小計値引　</t>
    <phoneticPr fontId="6"/>
  </si>
  <si>
    <t>①通常単価＞値引シール【2:割引】　小計値引</t>
    <phoneticPr fontId="6"/>
  </si>
  <si>
    <t>小計値引</t>
    <rPh sb="0" eb="2">
      <t>ショウケイ</t>
    </rPh>
    <rPh sb="2" eb="4">
      <t>ネビキ</t>
    </rPh>
    <phoneticPr fontId="6"/>
  </si>
  <si>
    <t>①通常単価＞値引シール【3:金額】　小計値引</t>
    <phoneticPr fontId="6"/>
  </si>
  <si>
    <t>値引シール【3:金額】　</t>
    <phoneticPr fontId="6"/>
  </si>
  <si>
    <t>朝割</t>
    <rPh sb="0" eb="1">
      <t>アサ</t>
    </rPh>
    <rPh sb="1" eb="2">
      <t>ワリ</t>
    </rPh>
    <phoneticPr fontId="6"/>
  </si>
  <si>
    <t>メガ割</t>
    <rPh sb="2" eb="3">
      <t>ワリ</t>
    </rPh>
    <phoneticPr fontId="6"/>
  </si>
  <si>
    <t>①通常単価＞値引シール【1:値引】　クレジット割　</t>
    <phoneticPr fontId="6"/>
  </si>
  <si>
    <t>クレジット割　</t>
    <rPh sb="5" eb="6">
      <t>ワリ</t>
    </rPh>
    <phoneticPr fontId="6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</si>
  <si>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</si>
  <si>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</si>
  <si>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</si>
  <si>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</si>
  <si>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</si>
  <si>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小計値引（マニュアル）</t>
  </si>
  <si>
    <t>値引パターン</t>
    <rPh sb="0" eb="2">
      <t>ネビキ</t>
    </rPh>
    <phoneticPr fontId="1"/>
  </si>
  <si>
    <t>マニュアル単品値引</t>
    <phoneticPr fontId="8"/>
  </si>
  <si>
    <t>マニュアル単品値引</t>
  </si>
  <si>
    <t>小計値引（マニュアル）</t>
    <rPh sb="0" eb="2">
      <t>ショウケイ</t>
    </rPh>
    <rPh sb="2" eb="4">
      <t>ネビキ</t>
    </rPh>
    <phoneticPr fontId="1"/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</si>
  <si>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</si>
  <si>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</si>
  <si>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</si>
  <si>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  <phoneticPr fontId="1"/>
  </si>
  <si>
    <t>クレジット割（自動）</t>
    <phoneticPr fontId="1"/>
  </si>
  <si>
    <t>値引パターン</t>
    <rPh sb="0" eb="2">
      <t>ネビキ</t>
    </rPh>
    <phoneticPr fontId="8"/>
  </si>
  <si>
    <t>カテゴリ値引</t>
    <phoneticPr fontId="8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</si>
  <si>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</si>
  <si>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</si>
  <si>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8"/>
  </si>
  <si>
    <t>カテゴリ値引
250円</t>
    <rPh sb="10" eb="11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</si>
  <si>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</si>
  <si>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8"/>
  </si>
  <si>
    <t>＜値引実績作成＞</t>
    <rPh sb="1" eb="3">
      <t>ネビキ</t>
    </rPh>
    <rPh sb="3" eb="5">
      <t>ジッセキ</t>
    </rPh>
    <rPh sb="5" eb="7">
      <t>サクセイ</t>
    </rPh>
    <phoneticPr fontId="8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</si>
  <si>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</si>
  <si>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8"/>
  </si>
  <si>
    <t>値引名称</t>
    <rPh sb="0" eb="2">
      <t>ネビ</t>
    </rPh>
    <rPh sb="2" eb="4">
      <t>メイショウ</t>
    </rPh>
    <phoneticPr fontId="8"/>
  </si>
  <si>
    <t>カテゴリ値引</t>
  </si>
  <si>
    <t>50
定番売価ーカテゴリ値引</t>
  </si>
  <si>
    <t>カテゴ割引</t>
    <rPh sb="3" eb="4">
      <t>ワリ</t>
    </rPh>
    <phoneticPr fontId="8"/>
  </si>
  <si>
    <t>値引額　30円</t>
    <rPh sb="0" eb="2">
      <t>ネビキ</t>
    </rPh>
    <rPh sb="2" eb="3">
      <t>ガク</t>
    </rPh>
    <rPh sb="6" eb="7">
      <t>エン</t>
    </rPh>
    <phoneticPr fontId="8"/>
  </si>
  <si>
    <t>カテゴリ割引
270円</t>
    <rPh sb="10" eb="11">
      <t>エン</t>
    </rPh>
    <phoneticPr fontId="1"/>
  </si>
  <si>
    <t>販売額
220円</t>
    <rPh sb="0" eb="2">
      <t>ハンバイ</t>
    </rPh>
    <rPh sb="2" eb="3">
      <t>ガク</t>
    </rPh>
    <rPh sb="7" eb="8">
      <t>エン</t>
    </rPh>
    <phoneticPr fontId="1"/>
  </si>
  <si>
    <t>販売額
225円</t>
    <rPh sb="0" eb="2">
      <t>ハンバイ</t>
    </rPh>
    <rPh sb="2" eb="3">
      <t>ガク</t>
    </rPh>
    <rPh sb="7" eb="8">
      <t>エン</t>
    </rPh>
    <phoneticPr fontId="1"/>
  </si>
  <si>
    <t>小計値引（マニュアル）</t>
    <phoneticPr fontId="8"/>
  </si>
  <si>
    <t>50
小計値引（マニュアル）</t>
    <phoneticPr fontId="8"/>
  </si>
  <si>
    <t>30
定番売価×カテゴリ割引率</t>
    <phoneticPr fontId="8"/>
  </si>
  <si>
    <t>小計割引（マニュアル）</t>
  </si>
  <si>
    <t>朝割り（自動）</t>
  </si>
  <si>
    <t>クレジット割（自動）</t>
  </si>
  <si>
    <t>メガ割（自動）</t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</si>
  <si>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</si>
  <si>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</si>
  <si>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</si>
  <si>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値引シール【2:割引】</t>
  </si>
  <si>
    <t>値引シール【2:割引】値引実績計算_図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</si>
  <si>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カテゴリ値引／値引シール【2:割引】</t>
  </si>
  <si>
    <t>値引シール【2:割引】／小計値引（マニュアル）</t>
    <rPh sb="12" eb="14">
      <t>ショウケイ</t>
    </rPh>
    <rPh sb="14" eb="16">
      <t>ネビキ</t>
    </rPh>
    <phoneticPr fontId="8"/>
  </si>
  <si>
    <t>値引シール【2:割引】／小計割引（マニュアル）</t>
  </si>
  <si>
    <t>値引シール【2:割引】／朝割り（自動）</t>
  </si>
  <si>
    <t>値引シール【2:割引】／メガ割（自動）</t>
  </si>
  <si>
    <t>値引シール【2:割引】／クレジット割（自動）</t>
  </si>
  <si>
    <t>値引額 　25円</t>
    <rPh sb="7" eb="8">
      <t>エン</t>
    </rPh>
    <phoneticPr fontId="8"/>
  </si>
  <si>
    <t>値引額 　27円</t>
    <rPh sb="7" eb="8">
      <t>エン</t>
    </rPh>
    <phoneticPr fontId="8"/>
  </si>
  <si>
    <t>販売額
243円</t>
    <rPh sb="0" eb="2">
      <t>ハンバイ</t>
    </rPh>
    <rPh sb="2" eb="3">
      <t>ガク</t>
    </rPh>
    <rPh sb="7" eb="8">
      <t>エン</t>
    </rPh>
    <phoneticPr fontId="1"/>
  </si>
  <si>
    <t>マニュアル単品割引</t>
    <rPh sb="7" eb="8">
      <t>ワリ</t>
    </rPh>
    <phoneticPr fontId="8"/>
  </si>
  <si>
    <t>27
カテゴリ割引後額×値引シール【2:割引】</t>
    <rPh sb="9" eb="10">
      <t>ノチ</t>
    </rPh>
    <rPh sb="10" eb="11">
      <t>ガク</t>
    </rPh>
    <phoneticPr fontId="8"/>
  </si>
  <si>
    <t>50
カテゴリ値引後額×値引シール【2:割引】</t>
    <rPh sb="9" eb="10">
      <t>ゴ</t>
    </rPh>
    <rPh sb="10" eb="11">
      <t>ガク</t>
    </rPh>
    <phoneticPr fontId="8"/>
  </si>
  <si>
    <t>小計
270円</t>
    <rPh sb="0" eb="2">
      <t>ショウケイ</t>
    </rPh>
    <rPh sb="6" eb="7">
      <t>エン</t>
    </rPh>
    <phoneticPr fontId="1"/>
  </si>
  <si>
    <t>値引額　27円</t>
    <rPh sb="0" eb="2">
      <t>ネビキ</t>
    </rPh>
    <rPh sb="2" eb="3">
      <t>ガク</t>
    </rPh>
    <rPh sb="6" eb="7">
      <t>エン</t>
    </rPh>
    <phoneticPr fontId="8"/>
  </si>
  <si>
    <t>27
小計額×小計割引（マニュアル）</t>
    <phoneticPr fontId="8"/>
  </si>
  <si>
    <t>30
定番売価×値引シール【2:割引】</t>
    <rPh sb="3" eb="5">
      <t>テイバン</t>
    </rPh>
    <rPh sb="5" eb="7">
      <t>バイカ</t>
    </rPh>
    <phoneticPr fontId="8"/>
  </si>
  <si>
    <t>27
小計額×朝割り（自動）</t>
    <phoneticPr fontId="8"/>
  </si>
  <si>
    <t>27
小計額×メガ割（自動）</t>
    <phoneticPr fontId="8"/>
  </si>
  <si>
    <t>27
小計額×クレジット割（自動）</t>
    <phoneticPr fontId="8"/>
  </si>
  <si>
    <t>カテゴリ値引後額×値引シール【2:割引】</t>
    <phoneticPr fontId="8"/>
  </si>
  <si>
    <t>カテゴリ割引後額×値引シール【2:割引】</t>
    <phoneticPr fontId="8"/>
  </si>
  <si>
    <t>値引シール【2:割引】値引実績計算（GHPLUDISC出力仕様）</t>
    <rPh sb="0" eb="2">
      <t>ネビキ</t>
    </rPh>
    <rPh sb="8" eb="10">
      <t>ワリビキ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</si>
</sst>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86">
    <xf numFmtId="0" fontId="0" fillId="0" borderId="0" xfId="0">
      <alignment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4" applyBorder="1" applyAlignment="1">
      <alignment vertical="center" wrapText="1"/>
    </xf>
    <xf numFmtId="0" fontId="4" fillId="0" borderId="1" xfId="4" applyBorder="1" applyAlignment="1">
      <alignment horizontal="center" vertical="center" wrapText="1"/>
    </xf>
    <xf numFmtId="0" fontId="4" fillId="0" borderId="1" xfId="1" applyBorder="1" applyAlignment="1">
      <alignment horizontal="right" vertical="center" wrapText="1"/>
    </xf>
    <xf numFmtId="0" fontId="4" fillId="0" borderId="1" xfId="3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4" applyFill="1" applyBorder="1" applyAlignment="1">
      <alignment vertical="center" wrapText="1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4" fillId="0" borderId="1" xfId="1" applyFont="1" applyFill="1" applyBorder="1" applyAlignment="1">
      <alignment wrapText="1"/>
    </xf>
    <xf numFmtId="0" fontId="4" fillId="0" borderId="1" xfId="2" applyFont="1" applyFill="1" applyBorder="1" applyAlignment="1">
      <alignment horizont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6" xfId="2" applyFont="1" applyBorder="1" applyAlignment="1">
      <alignment wrapText="1"/>
    </xf>
    <xf numFmtId="0" fontId="7" fillId="0" borderId="6" xfId="0" applyFont="1" applyBorder="1">
      <alignment vertical="center"/>
    </xf>
    <xf numFmtId="0" fontId="10" fillId="0" borderId="8" xfId="2" applyFont="1" applyBorder="1" applyAlignment="1">
      <alignment wrapText="1"/>
    </xf>
    <xf numFmtId="0" fontId="10" fillId="0" borderId="11" xfId="2" applyFont="1" applyBorder="1" applyAlignment="1">
      <alignment wrapText="1"/>
    </xf>
    <xf numFmtId="0" fontId="7" fillId="0" borderId="11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5" xfId="0" applyFont="1" applyBorder="1">
      <alignment vertical="center"/>
    </xf>
    <xf numFmtId="0" fontId="10" fillId="0" borderId="4" xfId="2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13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>
      <alignment vertical="center"/>
    </xf>
    <xf numFmtId="0" fontId="9" fillId="0" borderId="0" xfId="0" applyFont="1">
      <alignment vertical="center"/>
    </xf>
    <xf numFmtId="0" fontId="7" fillId="0" borderId="28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>
      <alignment vertical="center"/>
    </xf>
    <xf numFmtId="0" fontId="7" fillId="0" borderId="27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0" fontId="0" fillId="0" borderId="13" xfId="0" applyBorder="1">
      <alignment vertical="center"/>
    </xf>
    <xf numFmtId="0" fontId="7" fillId="5" borderId="6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13" xfId="0" applyBorder="1" applyAlignment="1">
      <alignment vertical="center"/>
    </xf>
    <xf numFmtId="0" fontId="7" fillId="2" borderId="21" xfId="0" applyFont="1" applyFill="1" applyBorder="1" applyAlignment="1">
      <alignment horizontal="center" vertical="center" wrapText="1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</cellXfs>
  <cellStyles count="5">
    <cellStyle name="標準" xfId="0" builtinId="0"/>
    <cellStyle name="標準_Sheet1" xfId="1" xr:uid="{00000000-0005-0000-0000-000001000000}"/>
    <cellStyle name="標準_Sheet4" xfId="2" xr:uid="{00000000-0005-0000-0000-000002000000}"/>
    <cellStyle name="標準_データ" xfId="3" xr:uid="{00000000-0005-0000-0000-000003000000}"/>
    <cellStyle name="標準_売上値引実績確認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E5F2-B561-4D26-BD34-1FB10EDB0BC5}">
  <sheetPr>
    <pageSetUpPr fitToPage="1"/>
  </sheetPr>
  <dimension ref="A1:G17"/>
  <sheetViews>
    <sheetView tabSelected="1" topLeftCell="A10" zoomScale="85" zoomScaleNormal="85" workbookViewId="0">
      <selection activeCell="C12" sqref="C12"/>
    </sheetView>
  </sheetViews>
  <sheetFormatPr defaultRowHeight="27.75" customHeight="1" x14ac:dyDescent="0.4"/>
  <cols>
    <col min="1" max="1" width="13.875" style="4" bestFit="1" customWidth="1"/>
    <col min="2" max="2" width="37.75" style="2" bestFit="1" customWidth="1"/>
    <col min="3" max="3" width="51.625" style="2" bestFit="1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81.5" style="2" bestFit="1" customWidth="1"/>
    <col min="8" max="16384" width="9" style="2"/>
  </cols>
  <sheetData>
    <row r="1" spans="1:7" ht="27.75" customHeight="1" x14ac:dyDescent="0.4">
      <c r="A1" s="60" t="s">
        <v>304</v>
      </c>
      <c r="B1" s="61"/>
      <c r="C1" s="61"/>
      <c r="D1" s="61"/>
      <c r="E1" s="61"/>
      <c r="F1" s="61"/>
      <c r="G1" s="62"/>
    </row>
    <row r="2" spans="1:7" ht="27.75" customHeight="1" thickBot="1" x14ac:dyDescent="0.45"/>
    <row r="3" spans="1:7" s="4" customFormat="1" ht="25.5" customHeight="1" thickBot="1" x14ac:dyDescent="0.45">
      <c r="A3" s="22" t="s">
        <v>243</v>
      </c>
      <c r="B3" s="23" t="s">
        <v>237</v>
      </c>
      <c r="C3" s="23" t="s">
        <v>238</v>
      </c>
      <c r="D3" s="35" t="s">
        <v>149</v>
      </c>
      <c r="E3" s="35" t="s">
        <v>150</v>
      </c>
      <c r="F3" s="23" t="s">
        <v>153</v>
      </c>
      <c r="G3" s="24" t="s">
        <v>239</v>
      </c>
    </row>
    <row r="4" spans="1:7" ht="25.5" customHeight="1" x14ac:dyDescent="0.15">
      <c r="A4" s="54">
        <v>1</v>
      </c>
      <c r="B4" s="56" t="s">
        <v>240</v>
      </c>
      <c r="C4" s="36" t="s">
        <v>240</v>
      </c>
      <c r="D4" s="27">
        <v>91324</v>
      </c>
      <c r="E4" s="27">
        <v>0</v>
      </c>
      <c r="F4" s="36" t="s">
        <v>159</v>
      </c>
      <c r="G4" s="31"/>
    </row>
    <row r="5" spans="1:7" ht="25.5" customHeight="1" thickBot="1" x14ac:dyDescent="0.2">
      <c r="A5" s="58"/>
      <c r="B5" s="59"/>
      <c r="C5" s="32" t="s">
        <v>302</v>
      </c>
      <c r="D5" s="28">
        <v>91220</v>
      </c>
      <c r="E5" s="28">
        <v>2</v>
      </c>
      <c r="F5" s="32" t="s">
        <v>244</v>
      </c>
      <c r="G5" s="33"/>
    </row>
    <row r="6" spans="1:7" ht="25.5" customHeight="1" x14ac:dyDescent="0.15">
      <c r="A6" s="63">
        <v>2</v>
      </c>
      <c r="B6" s="64" t="s">
        <v>241</v>
      </c>
      <c r="C6" s="36" t="s">
        <v>240</v>
      </c>
      <c r="D6" s="27">
        <v>91324</v>
      </c>
      <c r="E6" s="27">
        <v>0</v>
      </c>
      <c r="F6" s="36" t="s">
        <v>159</v>
      </c>
      <c r="G6" s="53"/>
    </row>
    <row r="7" spans="1:7" ht="25.5" customHeight="1" thickBot="1" x14ac:dyDescent="0.2">
      <c r="A7" s="55"/>
      <c r="B7" s="57"/>
      <c r="C7" s="32" t="s">
        <v>303</v>
      </c>
      <c r="D7" s="28">
        <v>91220</v>
      </c>
      <c r="E7" s="28">
        <v>2</v>
      </c>
      <c r="F7" s="32" t="s">
        <v>244</v>
      </c>
      <c r="G7" s="34"/>
    </row>
    <row r="8" spans="1:7" ht="25.5" customHeight="1" x14ac:dyDescent="0.15">
      <c r="A8" s="54">
        <v>3</v>
      </c>
      <c r="B8" s="56" t="s">
        <v>246</v>
      </c>
      <c r="C8" s="30" t="s">
        <v>281</v>
      </c>
      <c r="D8" s="27">
        <v>91220</v>
      </c>
      <c r="E8" s="27">
        <v>1</v>
      </c>
      <c r="F8" s="30" t="s">
        <v>245</v>
      </c>
      <c r="G8" s="31"/>
    </row>
    <row r="9" spans="1:7" ht="25.5" customHeight="1" thickBot="1" x14ac:dyDescent="0.2">
      <c r="A9" s="55"/>
      <c r="B9" s="57"/>
      <c r="C9" s="26" t="s">
        <v>246</v>
      </c>
      <c r="D9" s="25">
        <v>91400</v>
      </c>
      <c r="E9" s="25">
        <v>14</v>
      </c>
      <c r="F9" s="26" t="s">
        <v>242</v>
      </c>
      <c r="G9" s="34"/>
    </row>
    <row r="10" spans="1:7" ht="25.5" customHeight="1" x14ac:dyDescent="0.15">
      <c r="A10" s="54">
        <v>4</v>
      </c>
      <c r="B10" s="56" t="s">
        <v>247</v>
      </c>
      <c r="C10" s="30" t="s">
        <v>281</v>
      </c>
      <c r="D10" s="27">
        <v>91220</v>
      </c>
      <c r="E10" s="27">
        <v>1</v>
      </c>
      <c r="F10" s="30" t="s">
        <v>245</v>
      </c>
      <c r="G10" s="31"/>
    </row>
    <row r="11" spans="1:7" ht="25.5" customHeight="1" thickBot="1" x14ac:dyDescent="0.2">
      <c r="A11" s="55"/>
      <c r="B11" s="57"/>
      <c r="C11" s="26" t="s">
        <v>248</v>
      </c>
      <c r="D11" s="25">
        <v>91400</v>
      </c>
      <c r="E11" s="25">
        <v>14</v>
      </c>
      <c r="F11" s="26" t="s">
        <v>242</v>
      </c>
      <c r="G11" s="34"/>
    </row>
    <row r="12" spans="1:7" ht="25.5" customHeight="1" x14ac:dyDescent="0.15">
      <c r="A12" s="54">
        <v>5</v>
      </c>
      <c r="B12" s="56" t="s">
        <v>249</v>
      </c>
      <c r="C12" s="30" t="s">
        <v>281</v>
      </c>
      <c r="D12" s="27">
        <v>91220</v>
      </c>
      <c r="E12" s="27">
        <v>1</v>
      </c>
      <c r="F12" s="30" t="s">
        <v>245</v>
      </c>
      <c r="G12" s="31"/>
    </row>
    <row r="13" spans="1:7" ht="25.5" customHeight="1" thickBot="1" x14ac:dyDescent="0.2">
      <c r="A13" s="55"/>
      <c r="B13" s="57"/>
      <c r="C13" s="26" t="s">
        <v>278</v>
      </c>
      <c r="D13" s="25">
        <v>91400</v>
      </c>
      <c r="E13" s="25">
        <v>14</v>
      </c>
      <c r="F13" s="26" t="s">
        <v>242</v>
      </c>
      <c r="G13" s="34"/>
    </row>
    <row r="14" spans="1:7" ht="25.5" customHeight="1" x14ac:dyDescent="0.15">
      <c r="A14" s="54">
        <v>6</v>
      </c>
      <c r="B14" s="56" t="s">
        <v>250</v>
      </c>
      <c r="C14" s="30" t="s">
        <v>281</v>
      </c>
      <c r="D14" s="27">
        <v>91220</v>
      </c>
      <c r="E14" s="27">
        <v>1</v>
      </c>
      <c r="F14" s="30" t="s">
        <v>245</v>
      </c>
      <c r="G14" s="31"/>
    </row>
    <row r="15" spans="1:7" ht="25.5" customHeight="1" thickBot="1" x14ac:dyDescent="0.2">
      <c r="A15" s="55"/>
      <c r="B15" s="57"/>
      <c r="C15" s="26" t="s">
        <v>279</v>
      </c>
      <c r="D15" s="25">
        <v>91400</v>
      </c>
      <c r="E15" s="25">
        <v>14</v>
      </c>
      <c r="F15" s="26" t="s">
        <v>242</v>
      </c>
      <c r="G15" s="34"/>
    </row>
    <row r="16" spans="1:7" ht="25.5" customHeight="1" x14ac:dyDescent="0.15">
      <c r="A16" s="54">
        <v>7</v>
      </c>
      <c r="B16" s="56" t="s">
        <v>251</v>
      </c>
      <c r="C16" s="30" t="s">
        <v>281</v>
      </c>
      <c r="D16" s="27">
        <v>91220</v>
      </c>
      <c r="E16" s="27">
        <v>1</v>
      </c>
      <c r="F16" s="30" t="s">
        <v>245</v>
      </c>
      <c r="G16" s="31"/>
    </row>
    <row r="17" spans="1:7" ht="25.5" customHeight="1" thickBot="1" x14ac:dyDescent="0.2">
      <c r="A17" s="58"/>
      <c r="B17" s="59"/>
      <c r="C17" s="29" t="s">
        <v>280</v>
      </c>
      <c r="D17" s="28">
        <v>91400</v>
      </c>
      <c r="E17" s="28">
        <v>14</v>
      </c>
      <c r="F17" s="29" t="s">
        <v>242</v>
      </c>
      <c r="G17" s="33"/>
    </row>
  </sheetData>
  <mergeCells count="15">
    <mergeCell ref="A1:G1"/>
    <mergeCell ref="A4:A5"/>
    <mergeCell ref="B4:B5"/>
    <mergeCell ref="A6:A7"/>
    <mergeCell ref="B6:B7"/>
    <mergeCell ref="A8:A9"/>
    <mergeCell ref="B8:B9"/>
    <mergeCell ref="A16:A17"/>
    <mergeCell ref="B16:B17"/>
    <mergeCell ref="A10:A11"/>
    <mergeCell ref="B10:B11"/>
    <mergeCell ref="A12:A13"/>
    <mergeCell ref="B12:B13"/>
    <mergeCell ref="A14:A15"/>
    <mergeCell ref="B14:B15"/>
  </mergeCells>
  <phoneticPr fontId="8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6C92-CAF8-40DD-91D5-40FC15D00686}">
  <dimension ref="A1:J163"/>
  <sheetViews>
    <sheetView topLeftCell="A7" zoomScale="70" zoomScaleNormal="70" workbookViewId="0">
      <selection activeCell="I12" sqref="I12"/>
    </sheetView>
  </sheetViews>
  <sheetFormatPr defaultRowHeight="18.75" x14ac:dyDescent="0.4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45" customWidth="1"/>
  </cols>
  <sheetData>
    <row r="1" spans="1:10" x14ac:dyDescent="0.4">
      <c r="A1" s="52" t="s">
        <v>282</v>
      </c>
    </row>
    <row r="2" spans="1:10" ht="19.5" thickBot="1" x14ac:dyDescent="0.45"/>
    <row r="3" spans="1:10" s="2" customFormat="1" ht="13.5" x14ac:dyDescent="0.4">
      <c r="D3" s="37" t="s">
        <v>252</v>
      </c>
      <c r="E3" s="38"/>
      <c r="F3" s="38"/>
      <c r="G3" s="38"/>
      <c r="H3" s="38"/>
      <c r="I3" s="38"/>
      <c r="J3" s="39"/>
    </row>
    <row r="4" spans="1:10" s="2" customFormat="1" ht="13.5" x14ac:dyDescent="0.4">
      <c r="D4" s="40">
        <v>1</v>
      </c>
      <c r="E4" s="21" t="s">
        <v>253</v>
      </c>
      <c r="F4" s="21"/>
      <c r="G4" s="21"/>
      <c r="H4" s="4"/>
      <c r="I4" s="4"/>
      <c r="J4" s="41"/>
    </row>
    <row r="5" spans="1:10" s="2" customFormat="1" ht="13.5" x14ac:dyDescent="0.4">
      <c r="D5" s="42"/>
      <c r="E5" s="21"/>
      <c r="F5" s="21"/>
      <c r="G5" s="21"/>
      <c r="H5" s="4"/>
      <c r="I5" s="4"/>
      <c r="J5" s="41"/>
    </row>
    <row r="6" spans="1:10" s="4" customFormat="1" ht="13.5" x14ac:dyDescent="0.4">
      <c r="D6" s="43"/>
      <c r="E6" s="4" t="s">
        <v>254</v>
      </c>
      <c r="H6" s="4" t="str">
        <f>H8&amp;"円のカテゴリ値引"</f>
        <v>50円のカテゴリ値引</v>
      </c>
      <c r="I6" s="4" t="str">
        <f>I8&amp;"％の値引シール【2:割引】"</f>
        <v>10％の値引シール【2:割引】</v>
      </c>
      <c r="J6" s="44"/>
    </row>
    <row r="7" spans="1:10" s="2" customFormat="1" ht="13.5" x14ac:dyDescent="0.4">
      <c r="D7" s="43"/>
      <c r="E7" s="45"/>
      <c r="F7" s="45"/>
      <c r="G7" s="21"/>
      <c r="H7" s="4"/>
      <c r="J7" s="41"/>
    </row>
    <row r="8" spans="1:10" s="2" customFormat="1" ht="13.5" x14ac:dyDescent="0.4">
      <c r="D8" s="43"/>
      <c r="E8" s="45" t="s">
        <v>283</v>
      </c>
      <c r="F8" s="45"/>
      <c r="G8" s="4"/>
      <c r="H8" s="4">
        <v>50</v>
      </c>
      <c r="I8" s="4">
        <v>10</v>
      </c>
      <c r="J8" s="41"/>
    </row>
    <row r="9" spans="1:10" s="2" customFormat="1" ht="13.5" x14ac:dyDescent="0.4">
      <c r="D9" s="43"/>
      <c r="E9" s="4"/>
      <c r="F9" s="4"/>
      <c r="G9" s="4"/>
      <c r="H9" s="4"/>
      <c r="I9" s="4"/>
      <c r="J9" s="41"/>
    </row>
    <row r="10" spans="1:10" s="2" customFormat="1" ht="13.5" x14ac:dyDescent="0.4">
      <c r="D10" s="43"/>
      <c r="E10" s="4"/>
      <c r="F10" s="4"/>
      <c r="G10" s="4"/>
      <c r="H10" s="4"/>
      <c r="I10" s="4"/>
      <c r="J10" s="41"/>
    </row>
    <row r="11" spans="1:10" s="2" customFormat="1" ht="13.5" x14ac:dyDescent="0.4">
      <c r="D11" s="43"/>
      <c r="E11" s="4"/>
      <c r="F11" s="4"/>
      <c r="G11" s="67" t="s">
        <v>255</v>
      </c>
      <c r="H11" s="46" t="s">
        <v>256</v>
      </c>
      <c r="I11" s="4"/>
      <c r="J11" s="41"/>
    </row>
    <row r="12" spans="1:10" s="2" customFormat="1" ht="13.5" x14ac:dyDescent="0.4">
      <c r="D12" s="43"/>
      <c r="E12" s="4"/>
      <c r="F12" s="4"/>
      <c r="G12" s="68"/>
      <c r="H12" s="76" t="s">
        <v>257</v>
      </c>
      <c r="I12" s="46" t="s">
        <v>289</v>
      </c>
      <c r="J12" s="41"/>
    </row>
    <row r="13" spans="1:10" s="2" customFormat="1" ht="13.5" x14ac:dyDescent="0.4">
      <c r="D13" s="43"/>
      <c r="E13" s="4"/>
      <c r="F13" s="4"/>
      <c r="G13" s="68"/>
      <c r="H13" s="77"/>
      <c r="I13" s="79" t="s">
        <v>270</v>
      </c>
      <c r="J13" s="41"/>
    </row>
    <row r="14" spans="1:10" s="2" customFormat="1" ht="13.5" x14ac:dyDescent="0.4">
      <c r="D14" s="43"/>
      <c r="E14" s="4"/>
      <c r="F14" s="4"/>
      <c r="G14" s="68"/>
      <c r="H14" s="77"/>
      <c r="I14" s="80"/>
      <c r="J14" s="41"/>
    </row>
    <row r="15" spans="1:10" s="2" customFormat="1" ht="13.5" x14ac:dyDescent="0.4">
      <c r="D15" s="43"/>
      <c r="E15" s="4"/>
      <c r="F15" s="4"/>
      <c r="G15" s="68"/>
      <c r="H15" s="77"/>
      <c r="I15" s="80"/>
      <c r="J15" s="41"/>
    </row>
    <row r="16" spans="1:10" s="2" customFormat="1" ht="13.5" x14ac:dyDescent="0.4">
      <c r="D16" s="43"/>
      <c r="E16" s="4"/>
      <c r="F16" s="4"/>
      <c r="G16" s="69"/>
      <c r="H16" s="78"/>
      <c r="I16" s="80"/>
      <c r="J16" s="41"/>
    </row>
    <row r="17" spans="4:10" s="2" customFormat="1" ht="13.5" x14ac:dyDescent="0.4">
      <c r="D17" s="43"/>
      <c r="E17" s="47" t="s">
        <v>258</v>
      </c>
      <c r="F17" s="47"/>
      <c r="G17" s="47"/>
      <c r="H17" s="17">
        <v>50</v>
      </c>
      <c r="I17" s="17">
        <v>25</v>
      </c>
      <c r="J17" s="41"/>
    </row>
    <row r="18" spans="4:10" s="2" customFormat="1" x14ac:dyDescent="0.4">
      <c r="D18" s="43"/>
      <c r="E18" s="47" t="s">
        <v>259</v>
      </c>
      <c r="F18" s="47"/>
      <c r="G18" s="47"/>
      <c r="H18" s="65">
        <v>200</v>
      </c>
      <c r="I18" s="66"/>
      <c r="J18" s="41"/>
    </row>
    <row r="19" spans="4:10" s="2" customFormat="1" ht="13.5" x14ac:dyDescent="0.4">
      <c r="D19" s="43"/>
      <c r="E19" s="47"/>
      <c r="F19" s="47"/>
      <c r="G19" s="47"/>
      <c r="H19" s="4"/>
      <c r="I19" s="4"/>
      <c r="J19" s="41"/>
    </row>
    <row r="20" spans="4:10" s="2" customFormat="1" ht="13.5" x14ac:dyDescent="0.4">
      <c r="D20" s="43"/>
      <c r="E20" s="47" t="s">
        <v>260</v>
      </c>
      <c r="F20" s="47"/>
      <c r="G20" s="47"/>
      <c r="H20" s="4"/>
      <c r="I20" s="4"/>
      <c r="J20" s="41"/>
    </row>
    <row r="21" spans="4:10" s="2" customFormat="1" ht="13.5" x14ac:dyDescent="0.4">
      <c r="D21" s="43"/>
      <c r="E21" s="48" t="s">
        <v>261</v>
      </c>
      <c r="F21" s="48"/>
      <c r="G21" s="47"/>
      <c r="H21" s="4">
        <v>91324</v>
      </c>
      <c r="I21" s="4">
        <v>91220</v>
      </c>
      <c r="J21" s="41"/>
    </row>
    <row r="22" spans="4:10" s="2" customFormat="1" ht="13.5" x14ac:dyDescent="0.4">
      <c r="D22" s="43"/>
      <c r="E22" s="48" t="s">
        <v>262</v>
      </c>
      <c r="F22" s="48"/>
      <c r="G22" s="47"/>
      <c r="H22" s="4">
        <v>0</v>
      </c>
      <c r="I22" s="4">
        <v>2</v>
      </c>
      <c r="J22" s="41"/>
    </row>
    <row r="23" spans="4:10" s="2" customFormat="1" ht="13.5" x14ac:dyDescent="0.4">
      <c r="D23" s="43"/>
      <c r="E23" s="48" t="s">
        <v>263</v>
      </c>
      <c r="F23" s="48"/>
      <c r="G23" s="47"/>
      <c r="H23" s="47" t="s">
        <v>264</v>
      </c>
      <c r="I23" s="47" t="s">
        <v>292</v>
      </c>
      <c r="J23" s="41"/>
    </row>
    <row r="24" spans="4:10" s="2" customFormat="1" ht="27" x14ac:dyDescent="0.4">
      <c r="D24" s="43"/>
      <c r="E24" s="47" t="s">
        <v>258</v>
      </c>
      <c r="F24" s="47"/>
      <c r="G24" s="47"/>
      <c r="H24" s="47" t="s">
        <v>265</v>
      </c>
      <c r="I24" s="47" t="s">
        <v>294</v>
      </c>
      <c r="J24" s="41"/>
    </row>
    <row r="25" spans="4:10" s="2" customFormat="1" ht="14.25" thickBot="1" x14ac:dyDescent="0.45">
      <c r="D25" s="49"/>
      <c r="E25" s="50"/>
      <c r="F25" s="50"/>
      <c r="G25" s="50"/>
      <c r="H25" s="50"/>
      <c r="I25" s="50"/>
      <c r="J25" s="51"/>
    </row>
    <row r="26" spans="4:10" s="2" customFormat="1" ht="13.5" x14ac:dyDescent="0.4">
      <c r="D26" s="37" t="s">
        <v>252</v>
      </c>
      <c r="E26" s="38"/>
      <c r="F26" s="38"/>
      <c r="G26" s="38"/>
      <c r="H26" s="38"/>
      <c r="I26" s="38"/>
      <c r="J26" s="39"/>
    </row>
    <row r="27" spans="4:10" s="2" customFormat="1" ht="13.5" x14ac:dyDescent="0.4">
      <c r="D27" s="40">
        <v>2</v>
      </c>
      <c r="E27" s="21" t="s">
        <v>266</v>
      </c>
      <c r="F27" s="21"/>
      <c r="G27" s="21"/>
      <c r="H27" s="4"/>
      <c r="I27" s="4"/>
      <c r="J27" s="41"/>
    </row>
    <row r="28" spans="4:10" s="2" customFormat="1" ht="13.5" x14ac:dyDescent="0.4">
      <c r="D28" s="42"/>
      <c r="E28" s="21"/>
      <c r="F28" s="21"/>
      <c r="G28" s="21"/>
      <c r="H28" s="4"/>
      <c r="I28" s="4"/>
      <c r="J28" s="41"/>
    </row>
    <row r="29" spans="4:10" s="4" customFormat="1" ht="13.5" x14ac:dyDescent="0.4">
      <c r="D29" s="43"/>
      <c r="E29" s="4" t="s">
        <v>254</v>
      </c>
      <c r="H29" s="4" t="str">
        <f>H31&amp;"％のカテゴリ割引"</f>
        <v>10％のカテゴリ割引</v>
      </c>
      <c r="I29" s="4" t="str">
        <f>I31&amp;"％の値引シール【2:割引】"</f>
        <v>10％の値引シール【2:割引】</v>
      </c>
      <c r="J29" s="44"/>
    </row>
    <row r="30" spans="4:10" s="2" customFormat="1" ht="13.5" x14ac:dyDescent="0.4">
      <c r="D30" s="43"/>
      <c r="E30" s="45"/>
      <c r="F30" s="45"/>
      <c r="G30" s="21"/>
      <c r="H30" s="4"/>
      <c r="J30" s="41"/>
    </row>
    <row r="31" spans="4:10" s="2" customFormat="1" ht="13.5" x14ac:dyDescent="0.4">
      <c r="D31" s="43"/>
      <c r="E31" s="45" t="s">
        <v>283</v>
      </c>
      <c r="F31" s="45"/>
      <c r="G31" s="4"/>
      <c r="H31" s="4">
        <v>10</v>
      </c>
      <c r="I31" s="4">
        <v>10</v>
      </c>
      <c r="J31" s="41"/>
    </row>
    <row r="32" spans="4:10" s="2" customFormat="1" ht="13.5" x14ac:dyDescent="0.4">
      <c r="D32" s="43"/>
      <c r="E32" s="4"/>
      <c r="F32" s="4"/>
      <c r="G32" s="4"/>
      <c r="H32" s="4"/>
      <c r="I32" s="4"/>
      <c r="J32" s="41"/>
    </row>
    <row r="33" spans="4:10" s="2" customFormat="1" ht="13.5" x14ac:dyDescent="0.4">
      <c r="D33" s="43"/>
      <c r="E33" s="4"/>
      <c r="F33" s="4"/>
      <c r="G33" s="4"/>
      <c r="H33" s="4"/>
      <c r="I33" s="4"/>
      <c r="J33" s="41"/>
    </row>
    <row r="34" spans="4:10" s="2" customFormat="1" ht="13.5" x14ac:dyDescent="0.4">
      <c r="D34" s="43"/>
      <c r="E34" s="4"/>
      <c r="F34" s="4"/>
      <c r="G34" s="67" t="s">
        <v>255</v>
      </c>
      <c r="H34" s="46" t="s">
        <v>267</v>
      </c>
      <c r="I34" s="4"/>
      <c r="J34" s="41"/>
    </row>
    <row r="35" spans="4:10" s="2" customFormat="1" ht="13.5" x14ac:dyDescent="0.4">
      <c r="D35" s="43"/>
      <c r="E35" s="4"/>
      <c r="F35" s="4"/>
      <c r="G35" s="68"/>
      <c r="H35" s="76" t="s">
        <v>268</v>
      </c>
      <c r="I35" s="46" t="s">
        <v>290</v>
      </c>
      <c r="J35" s="41"/>
    </row>
    <row r="36" spans="4:10" s="2" customFormat="1" ht="13.5" x14ac:dyDescent="0.4">
      <c r="D36" s="43"/>
      <c r="E36" s="4"/>
      <c r="F36" s="4"/>
      <c r="G36" s="68"/>
      <c r="H36" s="77"/>
      <c r="I36" s="79" t="s">
        <v>291</v>
      </c>
      <c r="J36" s="41"/>
    </row>
    <row r="37" spans="4:10" s="2" customFormat="1" ht="13.5" x14ac:dyDescent="0.4">
      <c r="D37" s="43"/>
      <c r="E37" s="4"/>
      <c r="F37" s="4"/>
      <c r="G37" s="68"/>
      <c r="H37" s="77"/>
      <c r="I37" s="80"/>
      <c r="J37" s="41"/>
    </row>
    <row r="38" spans="4:10" s="2" customFormat="1" ht="13.5" x14ac:dyDescent="0.4">
      <c r="D38" s="43"/>
      <c r="E38" s="4"/>
      <c r="F38" s="4"/>
      <c r="G38" s="68"/>
      <c r="H38" s="77"/>
      <c r="I38" s="80"/>
      <c r="J38" s="41"/>
    </row>
    <row r="39" spans="4:10" s="2" customFormat="1" ht="13.5" x14ac:dyDescent="0.4">
      <c r="D39" s="43"/>
      <c r="E39" s="4"/>
      <c r="F39" s="4"/>
      <c r="G39" s="69"/>
      <c r="H39" s="78"/>
      <c r="I39" s="80"/>
      <c r="J39" s="41"/>
    </row>
    <row r="40" spans="4:10" s="2" customFormat="1" ht="13.5" x14ac:dyDescent="0.4">
      <c r="D40" s="43"/>
      <c r="E40" s="47" t="s">
        <v>258</v>
      </c>
      <c r="F40" s="47"/>
      <c r="G40" s="47"/>
      <c r="H40" s="17">
        <v>30</v>
      </c>
      <c r="I40" s="17">
        <v>27</v>
      </c>
      <c r="J40" s="41"/>
    </row>
    <row r="41" spans="4:10" s="2" customFormat="1" x14ac:dyDescent="0.4">
      <c r="D41" s="43"/>
      <c r="E41" s="47" t="s">
        <v>259</v>
      </c>
      <c r="F41" s="47"/>
      <c r="G41" s="47"/>
      <c r="H41" s="65">
        <v>243</v>
      </c>
      <c r="I41" s="66"/>
      <c r="J41" s="41"/>
    </row>
    <row r="42" spans="4:10" s="2" customFormat="1" ht="13.5" x14ac:dyDescent="0.4">
      <c r="D42" s="43"/>
      <c r="E42" s="47"/>
      <c r="F42" s="47"/>
      <c r="G42" s="47"/>
      <c r="H42" s="4"/>
      <c r="I42" s="4"/>
      <c r="J42" s="41"/>
    </row>
    <row r="43" spans="4:10" s="2" customFormat="1" ht="13.5" x14ac:dyDescent="0.4">
      <c r="D43" s="43"/>
      <c r="E43" s="47" t="s">
        <v>260</v>
      </c>
      <c r="F43" s="47"/>
      <c r="G43" s="47"/>
      <c r="H43" s="4"/>
      <c r="I43" s="4"/>
      <c r="J43" s="41"/>
    </row>
    <row r="44" spans="4:10" s="2" customFormat="1" ht="13.5" x14ac:dyDescent="0.4">
      <c r="D44" s="43"/>
      <c r="E44" s="48" t="s">
        <v>261</v>
      </c>
      <c r="F44" s="48"/>
      <c r="G44" s="47"/>
      <c r="H44" s="4">
        <v>91324</v>
      </c>
      <c r="I44" s="4">
        <v>91220</v>
      </c>
      <c r="J44" s="41"/>
    </row>
    <row r="45" spans="4:10" s="2" customFormat="1" ht="13.5" x14ac:dyDescent="0.4">
      <c r="D45" s="43"/>
      <c r="E45" s="48" t="s">
        <v>262</v>
      </c>
      <c r="F45" s="48"/>
      <c r="G45" s="47"/>
      <c r="H45" s="4">
        <v>0</v>
      </c>
      <c r="I45" s="4">
        <v>2</v>
      </c>
      <c r="J45" s="41"/>
    </row>
    <row r="46" spans="4:10" s="2" customFormat="1" ht="13.5" x14ac:dyDescent="0.4">
      <c r="D46" s="43"/>
      <c r="E46" s="48" t="s">
        <v>263</v>
      </c>
      <c r="F46" s="48"/>
      <c r="G46" s="47"/>
      <c r="H46" s="47" t="s">
        <v>264</v>
      </c>
      <c r="I46" s="47" t="s">
        <v>292</v>
      </c>
      <c r="J46" s="41"/>
    </row>
    <row r="47" spans="4:10" s="2" customFormat="1" ht="27" x14ac:dyDescent="0.4">
      <c r="D47" s="43"/>
      <c r="E47" s="47" t="s">
        <v>258</v>
      </c>
      <c r="F47" s="47"/>
      <c r="G47" s="47"/>
      <c r="H47" s="47" t="s">
        <v>273</v>
      </c>
      <c r="I47" s="47" t="s">
        <v>293</v>
      </c>
      <c r="J47" s="41"/>
    </row>
    <row r="48" spans="4:10" s="2" customFormat="1" ht="14.25" thickBot="1" x14ac:dyDescent="0.45">
      <c r="D48" s="49"/>
      <c r="E48" s="50"/>
      <c r="F48" s="50"/>
      <c r="G48" s="50"/>
      <c r="H48" s="50"/>
      <c r="I48" s="50"/>
      <c r="J48" s="51"/>
    </row>
    <row r="49" spans="4:10" s="2" customFormat="1" ht="13.5" x14ac:dyDescent="0.4">
      <c r="D49" s="37" t="s">
        <v>252</v>
      </c>
      <c r="E49" s="38"/>
      <c r="F49" s="38"/>
      <c r="G49" s="38"/>
      <c r="H49" s="38"/>
      <c r="I49" s="38"/>
      <c r="J49" s="39"/>
    </row>
    <row r="50" spans="4:10" s="2" customFormat="1" ht="13.5" x14ac:dyDescent="0.4">
      <c r="D50" s="40">
        <v>3</v>
      </c>
      <c r="E50" s="21" t="s">
        <v>242</v>
      </c>
      <c r="F50" s="21"/>
      <c r="G50" s="21"/>
      <c r="H50" s="4"/>
      <c r="I50" s="4"/>
      <c r="J50" s="41"/>
    </row>
    <row r="51" spans="4:10" s="2" customFormat="1" ht="13.5" x14ac:dyDescent="0.4">
      <c r="D51" s="42"/>
      <c r="E51" s="21"/>
      <c r="F51" s="21"/>
      <c r="G51" s="21"/>
      <c r="H51" s="4"/>
      <c r="I51" s="4"/>
      <c r="J51" s="41"/>
    </row>
    <row r="52" spans="4:10" s="4" customFormat="1" ht="13.5" x14ac:dyDescent="0.4">
      <c r="D52" s="43"/>
      <c r="E52" s="4" t="s">
        <v>254</v>
      </c>
      <c r="H52" s="4" t="str">
        <f>H54&amp;"％の値引シール【2:割引】"</f>
        <v>10％の値引シール【2:割引】</v>
      </c>
      <c r="I52" s="4" t="str">
        <f>I54&amp;"円の小計値引（マニュアル）"</f>
        <v>50円の小計値引（マニュアル）</v>
      </c>
      <c r="J52" s="44"/>
    </row>
    <row r="53" spans="4:10" s="2" customFormat="1" ht="13.5" x14ac:dyDescent="0.4">
      <c r="D53" s="43"/>
      <c r="E53" s="45"/>
      <c r="F53" s="45"/>
      <c r="G53" s="21"/>
      <c r="I53" s="4"/>
      <c r="J53" s="41"/>
    </row>
    <row r="54" spans="4:10" s="2" customFormat="1" ht="13.5" x14ac:dyDescent="0.4">
      <c r="D54" s="43"/>
      <c r="E54" s="45" t="s">
        <v>284</v>
      </c>
      <c r="F54" s="45"/>
      <c r="G54" s="4"/>
      <c r="H54" s="4">
        <v>10</v>
      </c>
      <c r="I54" s="4">
        <v>50</v>
      </c>
      <c r="J54" s="41"/>
    </row>
    <row r="55" spans="4:10" s="2" customFormat="1" ht="13.5" x14ac:dyDescent="0.4">
      <c r="D55" s="43"/>
      <c r="E55" s="4"/>
      <c r="F55" s="4"/>
      <c r="G55" s="4"/>
      <c r="H55" s="4"/>
      <c r="I55" s="4"/>
      <c r="J55" s="41"/>
    </row>
    <row r="56" spans="4:10" s="2" customFormat="1" ht="13.5" x14ac:dyDescent="0.4">
      <c r="D56" s="43"/>
      <c r="E56" s="4"/>
      <c r="F56" s="4"/>
      <c r="G56" s="4"/>
      <c r="H56" s="4"/>
      <c r="I56" s="4"/>
      <c r="J56" s="41"/>
    </row>
    <row r="57" spans="4:10" s="2" customFormat="1" ht="13.5" x14ac:dyDescent="0.4">
      <c r="D57" s="43"/>
      <c r="E57" s="4"/>
      <c r="F57" s="4"/>
      <c r="G57" s="67" t="s">
        <v>255</v>
      </c>
      <c r="H57" s="46" t="s">
        <v>267</v>
      </c>
      <c r="J57" s="41"/>
    </row>
    <row r="58" spans="4:10" s="2" customFormat="1" ht="13.5" customHeight="1" x14ac:dyDescent="0.4">
      <c r="D58" s="43"/>
      <c r="E58" s="4"/>
      <c r="F58" s="4"/>
      <c r="G58" s="68"/>
      <c r="H58" s="70" t="s">
        <v>295</v>
      </c>
      <c r="I58" s="46" t="s">
        <v>256</v>
      </c>
      <c r="J58" s="41"/>
    </row>
    <row r="59" spans="4:10" s="2" customFormat="1" ht="13.5" customHeight="1" x14ac:dyDescent="0.4">
      <c r="D59" s="43"/>
      <c r="E59" s="4"/>
      <c r="F59" s="4"/>
      <c r="G59" s="68"/>
      <c r="H59" s="71"/>
      <c r="I59" s="73" t="s">
        <v>269</v>
      </c>
      <c r="J59" s="41"/>
    </row>
    <row r="60" spans="4:10" s="2" customFormat="1" ht="13.5" customHeight="1" x14ac:dyDescent="0.4">
      <c r="D60" s="43"/>
      <c r="E60" s="4"/>
      <c r="F60" s="4"/>
      <c r="G60" s="68"/>
      <c r="H60" s="71"/>
      <c r="I60" s="74"/>
      <c r="J60" s="41"/>
    </row>
    <row r="61" spans="4:10" s="2" customFormat="1" ht="13.5" customHeight="1" x14ac:dyDescent="0.4">
      <c r="D61" s="43"/>
      <c r="E61" s="4"/>
      <c r="F61" s="4"/>
      <c r="G61" s="68"/>
      <c r="H61" s="71"/>
      <c r="I61" s="74"/>
      <c r="J61" s="41"/>
    </row>
    <row r="62" spans="4:10" s="2" customFormat="1" ht="13.5" customHeight="1" x14ac:dyDescent="0.4">
      <c r="D62" s="43"/>
      <c r="E62" s="4"/>
      <c r="F62" s="4"/>
      <c r="G62" s="69"/>
      <c r="H62" s="72"/>
      <c r="I62" s="75"/>
      <c r="J62" s="41"/>
    </row>
    <row r="63" spans="4:10" s="2" customFormat="1" ht="13.5" customHeight="1" x14ac:dyDescent="0.4">
      <c r="D63" s="43"/>
      <c r="E63" s="47" t="s">
        <v>258</v>
      </c>
      <c r="F63" s="47"/>
      <c r="G63" s="47"/>
      <c r="H63" s="17">
        <v>30</v>
      </c>
      <c r="I63" s="17">
        <v>50</v>
      </c>
      <c r="J63" s="41"/>
    </row>
    <row r="64" spans="4:10" s="2" customFormat="1" x14ac:dyDescent="0.4">
      <c r="D64" s="43"/>
      <c r="E64" s="47" t="s">
        <v>259</v>
      </c>
      <c r="F64" s="47"/>
      <c r="G64" s="47"/>
      <c r="H64" s="65">
        <v>220</v>
      </c>
      <c r="I64" s="66"/>
      <c r="J64" s="41"/>
    </row>
    <row r="65" spans="4:10" s="2" customFormat="1" ht="13.5" x14ac:dyDescent="0.4">
      <c r="D65" s="43"/>
      <c r="E65" s="47"/>
      <c r="F65" s="47"/>
      <c r="G65" s="47"/>
      <c r="H65" s="4"/>
      <c r="I65" s="4"/>
      <c r="J65" s="41"/>
    </row>
    <row r="66" spans="4:10" s="2" customFormat="1" ht="13.5" x14ac:dyDescent="0.4">
      <c r="D66" s="43"/>
      <c r="E66" s="47" t="s">
        <v>260</v>
      </c>
      <c r="F66" s="47"/>
      <c r="G66" s="47"/>
      <c r="H66" s="4"/>
      <c r="I66" s="4"/>
      <c r="J66" s="41"/>
    </row>
    <row r="67" spans="4:10" s="2" customFormat="1" ht="13.5" x14ac:dyDescent="0.4">
      <c r="D67" s="43"/>
      <c r="E67" s="48" t="s">
        <v>261</v>
      </c>
      <c r="F67" s="48"/>
      <c r="G67" s="47"/>
      <c r="H67" s="19">
        <v>91220</v>
      </c>
      <c r="I67" s="4">
        <v>91440</v>
      </c>
      <c r="J67" s="41"/>
    </row>
    <row r="68" spans="4:10" s="2" customFormat="1" ht="13.5" x14ac:dyDescent="0.4">
      <c r="D68" s="43"/>
      <c r="E68" s="48" t="s">
        <v>262</v>
      </c>
      <c r="F68" s="48"/>
      <c r="G68" s="47"/>
      <c r="H68" s="19">
        <v>2</v>
      </c>
      <c r="I68" s="4">
        <v>14</v>
      </c>
      <c r="J68" s="41"/>
    </row>
    <row r="69" spans="4:10" s="2" customFormat="1" ht="13.5" x14ac:dyDescent="0.4">
      <c r="D69" s="43"/>
      <c r="E69" s="48" t="s">
        <v>263</v>
      </c>
      <c r="F69" s="48"/>
      <c r="G69" s="47"/>
      <c r="H69" s="47" t="s">
        <v>292</v>
      </c>
      <c r="I69" s="47" t="s">
        <v>271</v>
      </c>
      <c r="J69" s="41"/>
    </row>
    <row r="70" spans="4:10" s="2" customFormat="1" ht="27" x14ac:dyDescent="0.4">
      <c r="D70" s="43"/>
      <c r="E70" s="47" t="s">
        <v>258</v>
      </c>
      <c r="F70" s="47"/>
      <c r="G70" s="47"/>
      <c r="H70" s="47" t="s">
        <v>298</v>
      </c>
      <c r="I70" s="47" t="s">
        <v>272</v>
      </c>
      <c r="J70" s="41"/>
    </row>
    <row r="71" spans="4:10" s="2" customFormat="1" ht="14.25" thickBot="1" x14ac:dyDescent="0.45">
      <c r="D71" s="49"/>
      <c r="E71" s="50"/>
      <c r="F71" s="50"/>
      <c r="G71" s="50"/>
      <c r="H71" s="50"/>
      <c r="I71" s="50"/>
      <c r="J71" s="51"/>
    </row>
    <row r="72" spans="4:10" s="2" customFormat="1" ht="13.5" x14ac:dyDescent="0.4">
      <c r="D72" s="37" t="s">
        <v>252</v>
      </c>
      <c r="E72" s="38"/>
      <c r="F72" s="38"/>
      <c r="G72" s="38"/>
      <c r="H72" s="38"/>
      <c r="I72" s="38"/>
      <c r="J72" s="39"/>
    </row>
    <row r="73" spans="4:10" s="2" customFormat="1" ht="13.5" x14ac:dyDescent="0.4">
      <c r="D73" s="40">
        <v>4</v>
      </c>
      <c r="E73" s="21" t="s">
        <v>274</v>
      </c>
      <c r="F73" s="21"/>
      <c r="G73" s="21"/>
      <c r="H73" s="4"/>
      <c r="I73" s="4"/>
      <c r="J73" s="41"/>
    </row>
    <row r="74" spans="4:10" s="2" customFormat="1" ht="13.5" x14ac:dyDescent="0.4">
      <c r="D74" s="42"/>
      <c r="E74" s="21"/>
      <c r="F74" s="21"/>
      <c r="G74" s="21"/>
      <c r="H74" s="4"/>
      <c r="I74" s="4"/>
      <c r="J74" s="41"/>
    </row>
    <row r="75" spans="4:10" s="4" customFormat="1" ht="13.5" x14ac:dyDescent="0.4">
      <c r="D75" s="43"/>
      <c r="E75" s="4" t="s">
        <v>254</v>
      </c>
      <c r="H75" s="19" t="str">
        <f>H77&amp;"％の値引シール【2:割引】"</f>
        <v>10％の値引シール【2:割引】</v>
      </c>
      <c r="I75" s="4" t="str">
        <f>I77&amp;"％の小計割引（マニュアル）"</f>
        <v>10％の小計割引（マニュアル）</v>
      </c>
      <c r="J75" s="44"/>
    </row>
    <row r="76" spans="4:10" s="2" customFormat="1" ht="13.5" x14ac:dyDescent="0.4">
      <c r="D76" s="43"/>
      <c r="E76" s="45"/>
      <c r="F76" s="45"/>
      <c r="G76" s="21"/>
      <c r="H76" s="20"/>
      <c r="I76" s="4"/>
      <c r="J76" s="41"/>
    </row>
    <row r="77" spans="4:10" s="2" customFormat="1" ht="13.5" x14ac:dyDescent="0.4">
      <c r="D77" s="43"/>
      <c r="E77" s="45" t="s">
        <v>285</v>
      </c>
      <c r="F77" s="45"/>
      <c r="G77" s="4"/>
      <c r="H77" s="19">
        <v>10</v>
      </c>
      <c r="I77" s="4">
        <v>10</v>
      </c>
      <c r="J77" s="41"/>
    </row>
    <row r="78" spans="4:10" s="2" customFormat="1" ht="13.5" x14ac:dyDescent="0.4">
      <c r="D78" s="43"/>
      <c r="E78" s="4"/>
      <c r="F78" s="4"/>
      <c r="G78" s="4"/>
      <c r="H78" s="19"/>
      <c r="I78" s="4"/>
      <c r="J78" s="41"/>
    </row>
    <row r="79" spans="4:10" s="2" customFormat="1" ht="13.5" x14ac:dyDescent="0.4">
      <c r="D79" s="43"/>
      <c r="E79" s="4"/>
      <c r="F79" s="4"/>
      <c r="G79" s="4"/>
      <c r="H79" s="19"/>
      <c r="I79" s="4"/>
      <c r="J79" s="41"/>
    </row>
    <row r="80" spans="4:10" s="2" customFormat="1" ht="13.5" x14ac:dyDescent="0.4">
      <c r="D80" s="43"/>
      <c r="E80" s="4"/>
      <c r="F80" s="4"/>
      <c r="G80" s="67" t="s">
        <v>255</v>
      </c>
      <c r="H80" s="46" t="s">
        <v>267</v>
      </c>
      <c r="J80" s="41"/>
    </row>
    <row r="81" spans="4:10" s="2" customFormat="1" ht="13.5" customHeight="1" x14ac:dyDescent="0.4">
      <c r="D81" s="43"/>
      <c r="E81" s="4"/>
      <c r="F81" s="4"/>
      <c r="G81" s="68"/>
      <c r="H81" s="70" t="s">
        <v>295</v>
      </c>
      <c r="I81" s="46" t="s">
        <v>296</v>
      </c>
      <c r="J81" s="41"/>
    </row>
    <row r="82" spans="4:10" s="2" customFormat="1" ht="13.5" customHeight="1" x14ac:dyDescent="0.4">
      <c r="D82" s="43"/>
      <c r="E82" s="4"/>
      <c r="F82" s="4"/>
      <c r="G82" s="68"/>
      <c r="H82" s="71"/>
      <c r="I82" s="73" t="s">
        <v>291</v>
      </c>
      <c r="J82" s="41"/>
    </row>
    <row r="83" spans="4:10" s="2" customFormat="1" ht="13.5" customHeight="1" x14ac:dyDescent="0.4">
      <c r="D83" s="43"/>
      <c r="E83" s="4"/>
      <c r="F83" s="4"/>
      <c r="G83" s="68"/>
      <c r="H83" s="71"/>
      <c r="I83" s="74"/>
      <c r="J83" s="41"/>
    </row>
    <row r="84" spans="4:10" s="2" customFormat="1" ht="13.5" customHeight="1" x14ac:dyDescent="0.4">
      <c r="D84" s="43"/>
      <c r="E84" s="4"/>
      <c r="F84" s="4"/>
      <c r="G84" s="68"/>
      <c r="H84" s="71"/>
      <c r="I84" s="74"/>
      <c r="J84" s="41"/>
    </row>
    <row r="85" spans="4:10" s="2" customFormat="1" ht="13.5" customHeight="1" x14ac:dyDescent="0.4">
      <c r="D85" s="43"/>
      <c r="E85" s="4"/>
      <c r="F85" s="4"/>
      <c r="G85" s="69"/>
      <c r="H85" s="72"/>
      <c r="I85" s="75"/>
      <c r="J85" s="41"/>
    </row>
    <row r="86" spans="4:10" s="2" customFormat="1" ht="13.5" customHeight="1" x14ac:dyDescent="0.4">
      <c r="D86" s="43"/>
      <c r="E86" s="47" t="s">
        <v>258</v>
      </c>
      <c r="F86" s="47"/>
      <c r="G86" s="47"/>
      <c r="H86" s="18">
        <v>30</v>
      </c>
      <c r="I86" s="17">
        <v>27</v>
      </c>
      <c r="J86" s="41"/>
    </row>
    <row r="87" spans="4:10" s="2" customFormat="1" x14ac:dyDescent="0.4">
      <c r="D87" s="43"/>
      <c r="E87" s="47" t="s">
        <v>259</v>
      </c>
      <c r="F87" s="47"/>
      <c r="G87" s="47"/>
      <c r="H87" s="65">
        <v>243</v>
      </c>
      <c r="I87" s="66"/>
      <c r="J87" s="41"/>
    </row>
    <row r="88" spans="4:10" s="2" customFormat="1" ht="13.5" x14ac:dyDescent="0.4">
      <c r="D88" s="43"/>
      <c r="E88" s="47"/>
      <c r="F88" s="47"/>
      <c r="G88" s="47"/>
      <c r="H88" s="4"/>
      <c r="I88" s="4"/>
      <c r="J88" s="41"/>
    </row>
    <row r="89" spans="4:10" s="2" customFormat="1" ht="13.5" x14ac:dyDescent="0.4">
      <c r="D89" s="43"/>
      <c r="E89" s="47" t="s">
        <v>260</v>
      </c>
      <c r="F89" s="47"/>
      <c r="G89" s="47"/>
      <c r="H89" s="4"/>
      <c r="I89" s="4"/>
      <c r="J89" s="41"/>
    </row>
    <row r="90" spans="4:10" s="2" customFormat="1" ht="13.5" x14ac:dyDescent="0.4">
      <c r="D90" s="43"/>
      <c r="E90" s="48" t="s">
        <v>261</v>
      </c>
      <c r="F90" s="48"/>
      <c r="G90" s="47"/>
      <c r="H90" s="19">
        <v>91220</v>
      </c>
      <c r="I90" s="4">
        <v>91440</v>
      </c>
      <c r="J90" s="41"/>
    </row>
    <row r="91" spans="4:10" s="2" customFormat="1" ht="13.5" x14ac:dyDescent="0.4">
      <c r="D91" s="43"/>
      <c r="E91" s="48" t="s">
        <v>262</v>
      </c>
      <c r="F91" s="48"/>
      <c r="G91" s="47"/>
      <c r="H91" s="19">
        <v>2</v>
      </c>
      <c r="I91" s="4">
        <v>14</v>
      </c>
      <c r="J91" s="41"/>
    </row>
    <row r="92" spans="4:10" s="2" customFormat="1" ht="13.5" x14ac:dyDescent="0.4">
      <c r="D92" s="43"/>
      <c r="E92" s="48" t="s">
        <v>263</v>
      </c>
      <c r="F92" s="48"/>
      <c r="G92" s="47"/>
      <c r="H92" s="47" t="s">
        <v>292</v>
      </c>
      <c r="I92" s="47" t="s">
        <v>271</v>
      </c>
      <c r="J92" s="41"/>
    </row>
    <row r="93" spans="4:10" s="2" customFormat="1" ht="27" x14ac:dyDescent="0.4">
      <c r="D93" s="43"/>
      <c r="E93" s="47" t="s">
        <v>258</v>
      </c>
      <c r="F93" s="47"/>
      <c r="G93" s="47"/>
      <c r="H93" s="47" t="s">
        <v>298</v>
      </c>
      <c r="I93" s="47" t="s">
        <v>297</v>
      </c>
      <c r="J93" s="41"/>
    </row>
    <row r="94" spans="4:10" s="2" customFormat="1" ht="14.25" thickBot="1" x14ac:dyDescent="0.45">
      <c r="D94" s="49"/>
      <c r="E94" s="50"/>
      <c r="F94" s="50"/>
      <c r="G94" s="50"/>
      <c r="H94" s="50"/>
      <c r="I94" s="50"/>
      <c r="J94" s="51"/>
    </row>
    <row r="95" spans="4:10" s="2" customFormat="1" ht="13.5" x14ac:dyDescent="0.4">
      <c r="D95" s="37" t="s">
        <v>252</v>
      </c>
      <c r="E95" s="38"/>
      <c r="F95" s="38"/>
      <c r="G95" s="38"/>
      <c r="H95" s="38"/>
      <c r="I95" s="38"/>
      <c r="J95" s="39"/>
    </row>
    <row r="96" spans="4:10" s="2" customFormat="1" ht="13.5" x14ac:dyDescent="0.4">
      <c r="D96" s="40">
        <v>5</v>
      </c>
      <c r="E96" s="21" t="s">
        <v>275</v>
      </c>
      <c r="F96" s="21"/>
      <c r="G96" s="21"/>
      <c r="H96" s="4"/>
      <c r="I96" s="4"/>
      <c r="J96" s="41"/>
    </row>
    <row r="97" spans="4:10" s="2" customFormat="1" ht="13.5" x14ac:dyDescent="0.4">
      <c r="D97" s="42"/>
      <c r="E97" s="21"/>
      <c r="F97" s="21"/>
      <c r="G97" s="21"/>
      <c r="H97" s="4"/>
      <c r="I97" s="4"/>
      <c r="J97" s="41"/>
    </row>
    <row r="98" spans="4:10" s="4" customFormat="1" ht="13.5" x14ac:dyDescent="0.4">
      <c r="D98" s="43"/>
      <c r="E98" s="4" t="s">
        <v>254</v>
      </c>
      <c r="H98" s="19" t="str">
        <f>H100&amp;"％の値引シール【2:割引】"</f>
        <v>10％の値引シール【2:割引】</v>
      </c>
      <c r="I98" s="4" t="str">
        <f>I100&amp;"％の朝割り（自動）"</f>
        <v>10％の朝割り（自動）</v>
      </c>
      <c r="J98" s="44"/>
    </row>
    <row r="99" spans="4:10" s="2" customFormat="1" ht="13.5" x14ac:dyDescent="0.4">
      <c r="D99" s="43"/>
      <c r="E99" s="45"/>
      <c r="F99" s="45"/>
      <c r="G99" s="21"/>
      <c r="H99" s="20"/>
      <c r="I99" s="4"/>
      <c r="J99" s="41"/>
    </row>
    <row r="100" spans="4:10" s="2" customFormat="1" ht="13.5" x14ac:dyDescent="0.4">
      <c r="D100" s="43"/>
      <c r="E100" s="45" t="s">
        <v>286</v>
      </c>
      <c r="F100" s="45"/>
      <c r="G100" s="4"/>
      <c r="H100" s="19">
        <v>10</v>
      </c>
      <c r="I100" s="4">
        <v>10</v>
      </c>
      <c r="J100" s="41"/>
    </row>
    <row r="101" spans="4:10" s="2" customFormat="1" ht="13.5" x14ac:dyDescent="0.4">
      <c r="D101" s="43"/>
      <c r="E101" s="4"/>
      <c r="F101" s="4"/>
      <c r="G101" s="4"/>
      <c r="H101" s="19"/>
      <c r="I101" s="4"/>
      <c r="J101" s="41"/>
    </row>
    <row r="102" spans="4:10" s="2" customFormat="1" ht="13.5" x14ac:dyDescent="0.4">
      <c r="D102" s="43"/>
      <c r="E102" s="4"/>
      <c r="F102" s="4"/>
      <c r="G102" s="4"/>
      <c r="H102" s="19"/>
      <c r="I102" s="4"/>
      <c r="J102" s="41"/>
    </row>
    <row r="103" spans="4:10" s="2" customFormat="1" ht="13.5" x14ac:dyDescent="0.4">
      <c r="D103" s="43"/>
      <c r="E103" s="4"/>
      <c r="F103" s="4"/>
      <c r="G103" s="67" t="s">
        <v>255</v>
      </c>
      <c r="H103" s="46" t="s">
        <v>267</v>
      </c>
      <c r="J103" s="41"/>
    </row>
    <row r="104" spans="4:10" s="2" customFormat="1" ht="13.5" customHeight="1" x14ac:dyDescent="0.4">
      <c r="D104" s="43"/>
      <c r="E104" s="4"/>
      <c r="F104" s="4"/>
      <c r="G104" s="68"/>
      <c r="H104" s="70" t="s">
        <v>295</v>
      </c>
      <c r="I104" s="46" t="s">
        <v>296</v>
      </c>
      <c r="J104" s="41"/>
    </row>
    <row r="105" spans="4:10" s="2" customFormat="1" ht="13.5" customHeight="1" x14ac:dyDescent="0.4">
      <c r="D105" s="43"/>
      <c r="E105" s="4"/>
      <c r="F105" s="4"/>
      <c r="G105" s="68"/>
      <c r="H105" s="71"/>
      <c r="I105" s="73" t="s">
        <v>291</v>
      </c>
      <c r="J105" s="41"/>
    </row>
    <row r="106" spans="4:10" s="2" customFormat="1" ht="13.5" customHeight="1" x14ac:dyDescent="0.4">
      <c r="D106" s="43"/>
      <c r="E106" s="4"/>
      <c r="F106" s="4"/>
      <c r="G106" s="68"/>
      <c r="H106" s="71"/>
      <c r="I106" s="74"/>
      <c r="J106" s="41"/>
    </row>
    <row r="107" spans="4:10" s="2" customFormat="1" ht="13.5" customHeight="1" x14ac:dyDescent="0.4">
      <c r="D107" s="43"/>
      <c r="E107" s="4"/>
      <c r="F107" s="4"/>
      <c r="G107" s="68"/>
      <c r="H107" s="71"/>
      <c r="I107" s="74"/>
      <c r="J107" s="41"/>
    </row>
    <row r="108" spans="4:10" s="2" customFormat="1" ht="13.5" customHeight="1" x14ac:dyDescent="0.4">
      <c r="D108" s="43"/>
      <c r="E108" s="4"/>
      <c r="F108" s="4"/>
      <c r="G108" s="69"/>
      <c r="H108" s="72"/>
      <c r="I108" s="75"/>
      <c r="J108" s="41"/>
    </row>
    <row r="109" spans="4:10" s="2" customFormat="1" ht="13.5" customHeight="1" x14ac:dyDescent="0.4">
      <c r="D109" s="43"/>
      <c r="E109" s="47" t="s">
        <v>258</v>
      </c>
      <c r="F109" s="47"/>
      <c r="G109" s="47"/>
      <c r="H109" s="18">
        <v>30</v>
      </c>
      <c r="I109" s="18">
        <v>27</v>
      </c>
      <c r="J109" s="41"/>
    </row>
    <row r="110" spans="4:10" s="2" customFormat="1" x14ac:dyDescent="0.4">
      <c r="D110" s="43"/>
      <c r="E110" s="47" t="s">
        <v>259</v>
      </c>
      <c r="F110" s="47"/>
      <c r="G110" s="47"/>
      <c r="H110" s="65">
        <v>243</v>
      </c>
      <c r="I110" s="66"/>
      <c r="J110" s="41"/>
    </row>
    <row r="111" spans="4:10" s="2" customFormat="1" ht="13.5" x14ac:dyDescent="0.4">
      <c r="D111" s="43"/>
      <c r="E111" s="47"/>
      <c r="F111" s="47"/>
      <c r="G111" s="47"/>
      <c r="H111" s="4"/>
      <c r="I111" s="4"/>
      <c r="J111" s="41"/>
    </row>
    <row r="112" spans="4:10" s="2" customFormat="1" ht="13.5" x14ac:dyDescent="0.4">
      <c r="D112" s="43"/>
      <c r="E112" s="47" t="s">
        <v>260</v>
      </c>
      <c r="F112" s="47"/>
      <c r="G112" s="47"/>
      <c r="H112" s="4"/>
      <c r="I112" s="4"/>
      <c r="J112" s="41"/>
    </row>
    <row r="113" spans="4:10" s="2" customFormat="1" ht="13.5" x14ac:dyDescent="0.4">
      <c r="D113" s="43"/>
      <c r="E113" s="48" t="s">
        <v>261</v>
      </c>
      <c r="F113" s="48"/>
      <c r="G113" s="47"/>
      <c r="H113" s="19">
        <v>91220</v>
      </c>
      <c r="I113" s="4">
        <v>91440</v>
      </c>
      <c r="J113" s="41"/>
    </row>
    <row r="114" spans="4:10" s="2" customFormat="1" ht="13.5" x14ac:dyDescent="0.4">
      <c r="D114" s="43"/>
      <c r="E114" s="48" t="s">
        <v>262</v>
      </c>
      <c r="F114" s="48"/>
      <c r="G114" s="47"/>
      <c r="H114" s="19">
        <v>2</v>
      </c>
      <c r="I114" s="4">
        <v>14</v>
      </c>
      <c r="J114" s="41"/>
    </row>
    <row r="115" spans="4:10" s="2" customFormat="1" ht="13.5" x14ac:dyDescent="0.4">
      <c r="D115" s="43"/>
      <c r="E115" s="48" t="s">
        <v>263</v>
      </c>
      <c r="F115" s="48"/>
      <c r="G115" s="47"/>
      <c r="H115" s="47" t="s">
        <v>292</v>
      </c>
      <c r="I115" s="47" t="s">
        <v>271</v>
      </c>
      <c r="J115" s="41"/>
    </row>
    <row r="116" spans="4:10" s="2" customFormat="1" ht="27" x14ac:dyDescent="0.4">
      <c r="D116" s="43"/>
      <c r="E116" s="47" t="s">
        <v>258</v>
      </c>
      <c r="F116" s="47"/>
      <c r="G116" s="47"/>
      <c r="H116" s="47" t="s">
        <v>298</v>
      </c>
      <c r="I116" s="47" t="s">
        <v>299</v>
      </c>
      <c r="J116" s="41"/>
    </row>
    <row r="117" spans="4:10" s="2" customFormat="1" ht="14.25" thickBot="1" x14ac:dyDescent="0.45">
      <c r="D117" s="49"/>
      <c r="E117" s="50"/>
      <c r="F117" s="50"/>
      <c r="G117" s="50"/>
      <c r="H117" s="50"/>
      <c r="I117" s="50"/>
      <c r="J117" s="51"/>
    </row>
    <row r="118" spans="4:10" s="2" customFormat="1" ht="13.5" x14ac:dyDescent="0.4">
      <c r="D118" s="37" t="s">
        <v>252</v>
      </c>
      <c r="E118" s="38"/>
      <c r="F118" s="38"/>
      <c r="G118" s="38"/>
      <c r="H118" s="38"/>
      <c r="I118" s="38"/>
      <c r="J118" s="39"/>
    </row>
    <row r="119" spans="4:10" s="2" customFormat="1" ht="13.5" x14ac:dyDescent="0.4">
      <c r="D119" s="40">
        <v>6</v>
      </c>
      <c r="E119" s="21" t="s">
        <v>277</v>
      </c>
      <c r="F119" s="21"/>
      <c r="G119" s="21"/>
      <c r="H119" s="4"/>
      <c r="I119" s="4"/>
      <c r="J119" s="41"/>
    </row>
    <row r="120" spans="4:10" s="2" customFormat="1" ht="13.5" x14ac:dyDescent="0.4">
      <c r="D120" s="42"/>
      <c r="E120" s="21"/>
      <c r="F120" s="21"/>
      <c r="G120" s="21"/>
      <c r="H120" s="4"/>
      <c r="I120" s="4"/>
      <c r="J120" s="41"/>
    </row>
    <row r="121" spans="4:10" s="4" customFormat="1" ht="13.5" x14ac:dyDescent="0.4">
      <c r="D121" s="43"/>
      <c r="E121" s="4" t="s">
        <v>254</v>
      </c>
      <c r="H121" s="19" t="str">
        <f>H123&amp;"％の値引シール【2:割引】"</f>
        <v>10％の値引シール【2:割引】</v>
      </c>
      <c r="I121" s="4" t="str">
        <f>I123&amp;"％のメガ割（自動）"</f>
        <v>10％のメガ割（自動）</v>
      </c>
      <c r="J121" s="44"/>
    </row>
    <row r="122" spans="4:10" s="2" customFormat="1" ht="13.5" x14ac:dyDescent="0.4">
      <c r="D122" s="43"/>
      <c r="E122" s="45"/>
      <c r="F122" s="45"/>
      <c r="G122" s="21"/>
      <c r="H122" s="20"/>
      <c r="I122" s="4"/>
      <c r="J122" s="41"/>
    </row>
    <row r="123" spans="4:10" s="2" customFormat="1" ht="13.5" x14ac:dyDescent="0.4">
      <c r="D123" s="43"/>
      <c r="E123" s="45" t="s">
        <v>287</v>
      </c>
      <c r="F123" s="45"/>
      <c r="G123" s="4"/>
      <c r="H123" s="19">
        <v>10</v>
      </c>
      <c r="I123" s="4">
        <v>10</v>
      </c>
      <c r="J123" s="41"/>
    </row>
    <row r="124" spans="4:10" s="2" customFormat="1" ht="13.5" x14ac:dyDescent="0.4">
      <c r="D124" s="43"/>
      <c r="E124" s="4"/>
      <c r="F124" s="4"/>
      <c r="G124" s="4"/>
      <c r="H124" s="19"/>
      <c r="I124" s="4"/>
      <c r="J124" s="41"/>
    </row>
    <row r="125" spans="4:10" s="2" customFormat="1" ht="13.5" x14ac:dyDescent="0.4">
      <c r="D125" s="43"/>
      <c r="E125" s="4"/>
      <c r="F125" s="4"/>
      <c r="G125" s="4"/>
      <c r="H125" s="19"/>
      <c r="I125" s="4"/>
      <c r="J125" s="41"/>
    </row>
    <row r="126" spans="4:10" s="2" customFormat="1" ht="13.5" x14ac:dyDescent="0.4">
      <c r="D126" s="43"/>
      <c r="E126" s="4"/>
      <c r="F126" s="4"/>
      <c r="G126" s="67" t="s">
        <v>255</v>
      </c>
      <c r="H126" s="46" t="s">
        <v>267</v>
      </c>
      <c r="J126" s="41"/>
    </row>
    <row r="127" spans="4:10" s="2" customFormat="1" ht="13.5" customHeight="1" x14ac:dyDescent="0.4">
      <c r="D127" s="43"/>
      <c r="E127" s="4"/>
      <c r="F127" s="4"/>
      <c r="G127" s="68"/>
      <c r="H127" s="70" t="s">
        <v>295</v>
      </c>
      <c r="I127" s="46" t="s">
        <v>296</v>
      </c>
      <c r="J127" s="41"/>
    </row>
    <row r="128" spans="4:10" s="2" customFormat="1" ht="13.5" customHeight="1" x14ac:dyDescent="0.4">
      <c r="D128" s="43"/>
      <c r="E128" s="4"/>
      <c r="F128" s="4"/>
      <c r="G128" s="68"/>
      <c r="H128" s="71"/>
      <c r="I128" s="73" t="s">
        <v>291</v>
      </c>
      <c r="J128" s="41"/>
    </row>
    <row r="129" spans="4:10" s="2" customFormat="1" ht="13.5" customHeight="1" x14ac:dyDescent="0.4">
      <c r="D129" s="43"/>
      <c r="E129" s="4"/>
      <c r="F129" s="4"/>
      <c r="G129" s="68"/>
      <c r="H129" s="71"/>
      <c r="I129" s="74"/>
      <c r="J129" s="41"/>
    </row>
    <row r="130" spans="4:10" s="2" customFormat="1" ht="13.5" customHeight="1" x14ac:dyDescent="0.4">
      <c r="D130" s="43"/>
      <c r="E130" s="4"/>
      <c r="F130" s="4"/>
      <c r="G130" s="68"/>
      <c r="H130" s="71"/>
      <c r="I130" s="74"/>
      <c r="J130" s="41"/>
    </row>
    <row r="131" spans="4:10" s="2" customFormat="1" ht="13.5" customHeight="1" x14ac:dyDescent="0.4">
      <c r="D131" s="43"/>
      <c r="E131" s="4"/>
      <c r="F131" s="4"/>
      <c r="G131" s="69"/>
      <c r="H131" s="72"/>
      <c r="I131" s="75"/>
      <c r="J131" s="41"/>
    </row>
    <row r="132" spans="4:10" s="2" customFormat="1" ht="13.5" customHeight="1" x14ac:dyDescent="0.4">
      <c r="D132" s="43"/>
      <c r="E132" s="47" t="s">
        <v>258</v>
      </c>
      <c r="F132" s="47"/>
      <c r="G132" s="47"/>
      <c r="H132" s="18">
        <v>30</v>
      </c>
      <c r="I132" s="18">
        <v>27</v>
      </c>
      <c r="J132" s="41"/>
    </row>
    <row r="133" spans="4:10" s="2" customFormat="1" x14ac:dyDescent="0.4">
      <c r="D133" s="43"/>
      <c r="E133" s="47" t="s">
        <v>259</v>
      </c>
      <c r="F133" s="47"/>
      <c r="G133" s="47"/>
      <c r="H133" s="65">
        <v>243</v>
      </c>
      <c r="I133" s="66"/>
      <c r="J133" s="41"/>
    </row>
    <row r="134" spans="4:10" s="2" customFormat="1" ht="13.5" x14ac:dyDescent="0.4">
      <c r="D134" s="43"/>
      <c r="E134" s="47"/>
      <c r="F134" s="47"/>
      <c r="G134" s="47"/>
      <c r="H134" s="4"/>
      <c r="I134" s="4"/>
      <c r="J134" s="41"/>
    </row>
    <row r="135" spans="4:10" s="2" customFormat="1" ht="13.5" x14ac:dyDescent="0.4">
      <c r="D135" s="43"/>
      <c r="E135" s="47" t="s">
        <v>260</v>
      </c>
      <c r="F135" s="47"/>
      <c r="G135" s="47"/>
      <c r="H135" s="4"/>
      <c r="I135" s="4"/>
      <c r="J135" s="41"/>
    </row>
    <row r="136" spans="4:10" s="2" customFormat="1" ht="13.5" x14ac:dyDescent="0.4">
      <c r="D136" s="43"/>
      <c r="E136" s="48" t="s">
        <v>261</v>
      </c>
      <c r="F136" s="48"/>
      <c r="G136" s="47"/>
      <c r="H136" s="19">
        <v>91220</v>
      </c>
      <c r="I136" s="4">
        <v>91440</v>
      </c>
      <c r="J136" s="41"/>
    </row>
    <row r="137" spans="4:10" s="2" customFormat="1" ht="13.5" x14ac:dyDescent="0.4">
      <c r="D137" s="43"/>
      <c r="E137" s="48" t="s">
        <v>262</v>
      </c>
      <c r="F137" s="48"/>
      <c r="G137" s="47"/>
      <c r="H137" s="19">
        <v>2</v>
      </c>
      <c r="I137" s="4">
        <v>14</v>
      </c>
      <c r="J137" s="41"/>
    </row>
    <row r="138" spans="4:10" s="2" customFormat="1" ht="13.5" x14ac:dyDescent="0.4">
      <c r="D138" s="43"/>
      <c r="E138" s="48" t="s">
        <v>263</v>
      </c>
      <c r="F138" s="48"/>
      <c r="G138" s="47"/>
      <c r="H138" s="47" t="s">
        <v>292</v>
      </c>
      <c r="I138" s="47" t="s">
        <v>271</v>
      </c>
      <c r="J138" s="41"/>
    </row>
    <row r="139" spans="4:10" s="2" customFormat="1" ht="27" x14ac:dyDescent="0.4">
      <c r="D139" s="43"/>
      <c r="E139" s="47" t="s">
        <v>258</v>
      </c>
      <c r="F139" s="47"/>
      <c r="G139" s="47"/>
      <c r="H139" s="47" t="s">
        <v>298</v>
      </c>
      <c r="I139" s="47" t="s">
        <v>300</v>
      </c>
      <c r="J139" s="41"/>
    </row>
    <row r="140" spans="4:10" s="2" customFormat="1" ht="14.25" thickBot="1" x14ac:dyDescent="0.45">
      <c r="D140" s="49"/>
      <c r="E140" s="50"/>
      <c r="F140" s="50"/>
      <c r="G140" s="50"/>
      <c r="H140" s="50"/>
      <c r="I140" s="50"/>
      <c r="J140" s="51"/>
    </row>
    <row r="141" spans="4:10" s="2" customFormat="1" ht="13.5" x14ac:dyDescent="0.4">
      <c r="D141" s="37" t="s">
        <v>252</v>
      </c>
      <c r="E141" s="38"/>
      <c r="F141" s="38"/>
      <c r="G141" s="38"/>
      <c r="H141" s="38"/>
      <c r="I141" s="38"/>
      <c r="J141" s="39"/>
    </row>
    <row r="142" spans="4:10" s="2" customFormat="1" ht="13.5" x14ac:dyDescent="0.4">
      <c r="D142" s="40">
        <v>7</v>
      </c>
      <c r="E142" s="21" t="s">
        <v>276</v>
      </c>
      <c r="F142" s="21"/>
      <c r="G142" s="21"/>
      <c r="H142" s="4"/>
      <c r="I142" s="4"/>
      <c r="J142" s="41"/>
    </row>
    <row r="143" spans="4:10" s="2" customFormat="1" ht="13.5" x14ac:dyDescent="0.4">
      <c r="D143" s="42"/>
      <c r="E143" s="21"/>
      <c r="F143" s="21"/>
      <c r="G143" s="21"/>
      <c r="H143" s="4"/>
      <c r="I143" s="4"/>
      <c r="J143" s="41"/>
    </row>
    <row r="144" spans="4:10" s="4" customFormat="1" ht="13.5" x14ac:dyDescent="0.4">
      <c r="D144" s="43"/>
      <c r="E144" s="4" t="s">
        <v>254</v>
      </c>
      <c r="H144" s="19" t="str">
        <f>H146&amp;"％の値引シール【2:割引】"</f>
        <v>10％の値引シール【2:割引】</v>
      </c>
      <c r="I144" s="4" t="str">
        <f>I146&amp;"％のクレジット割（自動）"</f>
        <v>10％のクレジット割（自動）</v>
      </c>
      <c r="J144" s="44"/>
    </row>
    <row r="145" spans="4:10" s="2" customFormat="1" ht="13.5" x14ac:dyDescent="0.4">
      <c r="D145" s="43"/>
      <c r="E145" s="45"/>
      <c r="F145" s="45"/>
      <c r="G145" s="21"/>
      <c r="H145" s="20"/>
      <c r="I145" s="4"/>
      <c r="J145" s="41"/>
    </row>
    <row r="146" spans="4:10" s="2" customFormat="1" ht="13.5" x14ac:dyDescent="0.4">
      <c r="D146" s="43"/>
      <c r="E146" s="45" t="s">
        <v>288</v>
      </c>
      <c r="F146" s="45"/>
      <c r="G146" s="4"/>
      <c r="H146" s="19">
        <v>10</v>
      </c>
      <c r="I146" s="4">
        <v>10</v>
      </c>
      <c r="J146" s="41"/>
    </row>
    <row r="147" spans="4:10" s="2" customFormat="1" ht="13.5" x14ac:dyDescent="0.4">
      <c r="D147" s="43"/>
      <c r="E147" s="4"/>
      <c r="F147" s="4"/>
      <c r="G147" s="4"/>
      <c r="H147" s="19"/>
      <c r="I147" s="4"/>
      <c r="J147" s="41"/>
    </row>
    <row r="148" spans="4:10" s="2" customFormat="1" ht="13.5" x14ac:dyDescent="0.4">
      <c r="D148" s="43"/>
      <c r="E148" s="4"/>
      <c r="F148" s="4"/>
      <c r="G148" s="4"/>
      <c r="H148" s="19"/>
      <c r="I148" s="4"/>
      <c r="J148" s="41"/>
    </row>
    <row r="149" spans="4:10" s="2" customFormat="1" ht="13.5" x14ac:dyDescent="0.4">
      <c r="D149" s="43"/>
      <c r="E149" s="4"/>
      <c r="F149" s="4"/>
      <c r="G149" s="67" t="s">
        <v>255</v>
      </c>
      <c r="H149" s="46" t="s">
        <v>267</v>
      </c>
      <c r="J149" s="41"/>
    </row>
    <row r="150" spans="4:10" s="2" customFormat="1" ht="13.5" customHeight="1" x14ac:dyDescent="0.4">
      <c r="D150" s="43"/>
      <c r="E150" s="4"/>
      <c r="F150" s="4"/>
      <c r="G150" s="68"/>
      <c r="H150" s="70" t="s">
        <v>295</v>
      </c>
      <c r="I150" s="46" t="s">
        <v>296</v>
      </c>
      <c r="J150" s="41"/>
    </row>
    <row r="151" spans="4:10" s="2" customFormat="1" ht="13.5" customHeight="1" x14ac:dyDescent="0.4">
      <c r="D151" s="43"/>
      <c r="E151" s="4"/>
      <c r="F151" s="4"/>
      <c r="G151" s="68"/>
      <c r="H151" s="71"/>
      <c r="I151" s="73" t="s">
        <v>291</v>
      </c>
      <c r="J151" s="41"/>
    </row>
    <row r="152" spans="4:10" s="2" customFormat="1" ht="13.5" customHeight="1" x14ac:dyDescent="0.4">
      <c r="D152" s="43"/>
      <c r="E152" s="4"/>
      <c r="F152" s="4"/>
      <c r="G152" s="68"/>
      <c r="H152" s="71"/>
      <c r="I152" s="74"/>
      <c r="J152" s="41"/>
    </row>
    <row r="153" spans="4:10" s="2" customFormat="1" ht="13.5" customHeight="1" x14ac:dyDescent="0.4">
      <c r="D153" s="43"/>
      <c r="E153" s="4"/>
      <c r="F153" s="4"/>
      <c r="G153" s="68"/>
      <c r="H153" s="71"/>
      <c r="I153" s="74"/>
      <c r="J153" s="41"/>
    </row>
    <row r="154" spans="4:10" s="2" customFormat="1" ht="13.5" customHeight="1" x14ac:dyDescent="0.4">
      <c r="D154" s="43"/>
      <c r="E154" s="4"/>
      <c r="F154" s="4"/>
      <c r="G154" s="69"/>
      <c r="H154" s="72"/>
      <c r="I154" s="75"/>
      <c r="J154" s="41"/>
    </row>
    <row r="155" spans="4:10" s="2" customFormat="1" ht="13.5" customHeight="1" x14ac:dyDescent="0.4">
      <c r="D155" s="43"/>
      <c r="E155" s="47" t="s">
        <v>258</v>
      </c>
      <c r="F155" s="47"/>
      <c r="G155" s="47"/>
      <c r="H155" s="18">
        <v>30</v>
      </c>
      <c r="I155" s="18">
        <v>27</v>
      </c>
      <c r="J155" s="41"/>
    </row>
    <row r="156" spans="4:10" s="2" customFormat="1" x14ac:dyDescent="0.4">
      <c r="D156" s="43"/>
      <c r="E156" s="47" t="s">
        <v>259</v>
      </c>
      <c r="F156" s="47"/>
      <c r="G156" s="47"/>
      <c r="H156" s="65">
        <v>243</v>
      </c>
      <c r="I156" s="66"/>
      <c r="J156" s="41"/>
    </row>
    <row r="157" spans="4:10" s="2" customFormat="1" ht="13.5" x14ac:dyDescent="0.4">
      <c r="D157" s="43"/>
      <c r="E157" s="47"/>
      <c r="F157" s="47"/>
      <c r="G157" s="47"/>
      <c r="H157" s="4"/>
      <c r="I157" s="4"/>
      <c r="J157" s="41"/>
    </row>
    <row r="158" spans="4:10" s="2" customFormat="1" ht="13.5" x14ac:dyDescent="0.4">
      <c r="D158" s="43"/>
      <c r="E158" s="47" t="s">
        <v>260</v>
      </c>
      <c r="F158" s="47"/>
      <c r="G158" s="47"/>
      <c r="H158" s="4"/>
      <c r="I158" s="4"/>
      <c r="J158" s="41"/>
    </row>
    <row r="159" spans="4:10" s="2" customFormat="1" ht="13.5" x14ac:dyDescent="0.4">
      <c r="D159" s="43"/>
      <c r="E159" s="48" t="s">
        <v>261</v>
      </c>
      <c r="F159" s="48"/>
      <c r="G159" s="47"/>
      <c r="H159" s="19">
        <v>91220</v>
      </c>
      <c r="I159" s="4">
        <v>91440</v>
      </c>
      <c r="J159" s="41"/>
    </row>
    <row r="160" spans="4:10" s="2" customFormat="1" ht="13.5" x14ac:dyDescent="0.4">
      <c r="D160" s="43"/>
      <c r="E160" s="48" t="s">
        <v>262</v>
      </c>
      <c r="F160" s="48"/>
      <c r="G160" s="47"/>
      <c r="H160" s="19">
        <v>2</v>
      </c>
      <c r="I160" s="4">
        <v>14</v>
      </c>
      <c r="J160" s="41"/>
    </row>
    <row r="161" spans="4:10" s="2" customFormat="1" ht="13.5" x14ac:dyDescent="0.4">
      <c r="D161" s="43"/>
      <c r="E161" s="48" t="s">
        <v>263</v>
      </c>
      <c r="F161" s="48"/>
      <c r="G161" s="47"/>
      <c r="H161" s="47" t="s">
        <v>292</v>
      </c>
      <c r="I161" s="47" t="s">
        <v>271</v>
      </c>
      <c r="J161" s="41"/>
    </row>
    <row r="162" spans="4:10" s="2" customFormat="1" ht="27" x14ac:dyDescent="0.4">
      <c r="D162" s="43"/>
      <c r="E162" s="47" t="s">
        <v>258</v>
      </c>
      <c r="F162" s="47"/>
      <c r="G162" s="47"/>
      <c r="H162" s="47" t="s">
        <v>298</v>
      </c>
      <c r="I162" s="47" t="s">
        <v>301</v>
      </c>
      <c r="J162" s="41"/>
    </row>
    <row r="163" spans="4:10" s="2" customFormat="1" ht="14.25" thickBot="1" x14ac:dyDescent="0.45">
      <c r="D163" s="49"/>
      <c r="E163" s="50"/>
      <c r="F163" s="50"/>
      <c r="G163" s="50"/>
      <c r="H163" s="50"/>
      <c r="I163" s="50"/>
      <c r="J163" s="51"/>
    </row>
  </sheetData>
  <mergeCells count="28">
    <mergeCell ref="G11:G16"/>
    <mergeCell ref="H12:H16"/>
    <mergeCell ref="I13:I16"/>
    <mergeCell ref="H18:I18"/>
    <mergeCell ref="G34:G39"/>
    <mergeCell ref="H35:H39"/>
    <mergeCell ref="I36:I39"/>
    <mergeCell ref="H41:I41"/>
    <mergeCell ref="G57:G62"/>
    <mergeCell ref="H64:I64"/>
    <mergeCell ref="H58:H62"/>
    <mergeCell ref="I59:I62"/>
    <mergeCell ref="G80:G85"/>
    <mergeCell ref="H81:H85"/>
    <mergeCell ref="I82:I85"/>
    <mergeCell ref="H87:I87"/>
    <mergeCell ref="G103:G108"/>
    <mergeCell ref="H104:H108"/>
    <mergeCell ref="I105:I108"/>
    <mergeCell ref="H156:I156"/>
    <mergeCell ref="H110:I110"/>
    <mergeCell ref="G126:G131"/>
    <mergeCell ref="H127:H131"/>
    <mergeCell ref="I128:I131"/>
    <mergeCell ref="H133:I133"/>
    <mergeCell ref="G149:G154"/>
    <mergeCell ref="H150:H154"/>
    <mergeCell ref="I151:I154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57"/>
  <sheetViews>
    <sheetView zoomScale="70" zoomScaleNormal="70" workbookViewId="0">
      <pane xSplit="6" ySplit="1" topLeftCell="H2" activePane="bottomRight" state="frozen"/>
      <selection pane="topRight" activeCell="G1" sqref="G1"/>
      <selection pane="bottomLeft" activeCell="A2" sqref="A2"/>
      <selection pane="bottomRight" activeCell="R5" sqref="R5"/>
    </sheetView>
  </sheetViews>
  <sheetFormatPr defaultColWidth="58.125" defaultRowHeight="18.75" outlineLevelCol="1" x14ac:dyDescent="0.4"/>
  <cols>
    <col min="1" max="1" width="21" style="15" customWidth="1"/>
    <col min="2" max="2" width="5.625" style="15" bestFit="1" customWidth="1"/>
    <col min="3" max="3" width="9.25" style="15" hidden="1" customWidth="1" outlineLevel="1"/>
    <col min="4" max="4" width="15" style="15" hidden="1" customWidth="1" outlineLevel="1"/>
    <col min="5" max="5" width="6.5" style="15" hidden="1" customWidth="1" outlineLevel="1"/>
    <col min="6" max="6" width="13.75" style="15" hidden="1" customWidth="1" outlineLevel="1"/>
    <col min="7" max="7" width="10.875" style="15" bestFit="1" customWidth="1" collapsed="1"/>
    <col min="8" max="8" width="45.25" style="15" customWidth="1"/>
    <col min="9" max="9" width="31.25" style="15" hidden="1" customWidth="1" outlineLevel="1"/>
    <col min="10" max="10" width="15" style="15" hidden="1" customWidth="1" outlineLevel="1"/>
    <col min="11" max="11" width="9.25" style="15" hidden="1" customWidth="1" outlineLevel="1"/>
    <col min="12" max="12" width="7.25" style="15" bestFit="1" customWidth="1" collapsed="1"/>
    <col min="13" max="13" width="13.75" style="15" bestFit="1" customWidth="1"/>
    <col min="14" max="14" width="7.5" style="15" bestFit="1" customWidth="1"/>
    <col min="15" max="15" width="5.625" style="15" bestFit="1" customWidth="1"/>
    <col min="16" max="16" width="10.125" style="15" bestFit="1" customWidth="1"/>
    <col min="17" max="17" width="9.25" style="15" bestFit="1" customWidth="1"/>
    <col min="18" max="18" width="7.5" style="15" bestFit="1" customWidth="1"/>
    <col min="19" max="19" width="9.25" style="15" bestFit="1" customWidth="1"/>
    <col min="20" max="20" width="25.625" style="15" bestFit="1" customWidth="1"/>
    <col min="21" max="21" width="11" style="15" bestFit="1" customWidth="1"/>
    <col min="22" max="22" width="9.25" style="15" bestFit="1" customWidth="1"/>
    <col min="23" max="23" width="11" style="15" bestFit="1" customWidth="1"/>
    <col min="24" max="25" width="13" style="15" bestFit="1" customWidth="1"/>
    <col min="26" max="16384" width="58.125" style="15"/>
  </cols>
  <sheetData>
    <row r="1" spans="1:25" x14ac:dyDescent="0.15">
      <c r="B1" s="14" t="s">
        <v>135</v>
      </c>
      <c r="C1" s="14" t="s">
        <v>136</v>
      </c>
      <c r="D1" s="14" t="s">
        <v>137</v>
      </c>
      <c r="E1" s="14" t="s">
        <v>138</v>
      </c>
      <c r="F1" s="14" t="s">
        <v>139</v>
      </c>
      <c r="G1" s="14" t="s">
        <v>140</v>
      </c>
      <c r="H1" s="14" t="s">
        <v>141</v>
      </c>
      <c r="I1" s="14" t="s">
        <v>142</v>
      </c>
      <c r="J1" s="14" t="s">
        <v>143</v>
      </c>
      <c r="K1" s="14" t="s">
        <v>144</v>
      </c>
      <c r="L1" s="14" t="s">
        <v>145</v>
      </c>
      <c r="M1" s="14" t="s">
        <v>146</v>
      </c>
      <c r="N1" s="14" t="s">
        <v>147</v>
      </c>
      <c r="O1" s="14" t="s">
        <v>148</v>
      </c>
      <c r="P1" s="14" t="s">
        <v>149</v>
      </c>
      <c r="Q1" s="14" t="s">
        <v>150</v>
      </c>
      <c r="R1" s="14" t="s">
        <v>151</v>
      </c>
      <c r="S1" s="14" t="s">
        <v>152</v>
      </c>
      <c r="T1" s="14" t="s">
        <v>153</v>
      </c>
      <c r="U1" s="14" t="s">
        <v>154</v>
      </c>
      <c r="V1" s="14" t="s">
        <v>155</v>
      </c>
      <c r="W1" s="14" t="s">
        <v>156</v>
      </c>
      <c r="X1" s="14" t="s">
        <v>157</v>
      </c>
      <c r="Y1" s="14" t="s">
        <v>158</v>
      </c>
    </row>
    <row r="2" spans="1:25" hidden="1" x14ac:dyDescent="0.15">
      <c r="A2" s="16" t="s">
        <v>159</v>
      </c>
      <c r="B2" s="11">
        <v>1</v>
      </c>
      <c r="C2" s="12" t="s">
        <v>6</v>
      </c>
      <c r="D2" s="12" t="s">
        <v>6</v>
      </c>
      <c r="E2" s="12" t="s">
        <v>5</v>
      </c>
      <c r="F2" s="12" t="s">
        <v>159</v>
      </c>
      <c r="G2" s="12" t="s">
        <v>160</v>
      </c>
      <c r="H2" s="12" t="s">
        <v>221</v>
      </c>
      <c r="I2" s="12" t="s">
        <v>65</v>
      </c>
      <c r="J2" s="12" t="s">
        <v>66</v>
      </c>
      <c r="K2" s="12" t="s">
        <v>161</v>
      </c>
      <c r="L2" s="12" t="s">
        <v>162</v>
      </c>
      <c r="M2" s="12" t="s">
        <v>162</v>
      </c>
      <c r="N2" s="12" t="s">
        <v>160</v>
      </c>
      <c r="O2" s="12" t="s">
        <v>160</v>
      </c>
      <c r="P2" s="12" t="s">
        <v>163</v>
      </c>
      <c r="Q2" s="12" t="s">
        <v>164</v>
      </c>
      <c r="R2" s="12" t="s">
        <v>162</v>
      </c>
      <c r="S2" s="12" t="s">
        <v>165</v>
      </c>
      <c r="T2" s="12" t="s">
        <v>166</v>
      </c>
      <c r="U2" s="12" t="s">
        <v>167</v>
      </c>
      <c r="V2" s="12" t="s">
        <v>168</v>
      </c>
      <c r="W2" s="12" t="s">
        <v>165</v>
      </c>
      <c r="X2" s="12" t="s">
        <v>169</v>
      </c>
      <c r="Y2" s="12" t="s">
        <v>165</v>
      </c>
    </row>
    <row r="3" spans="1:25" hidden="1" x14ac:dyDescent="0.15">
      <c r="A3" s="16" t="s">
        <v>222</v>
      </c>
      <c r="B3" s="11">
        <v>1</v>
      </c>
      <c r="C3" s="12" t="s">
        <v>6</v>
      </c>
      <c r="D3" s="12" t="s">
        <v>6</v>
      </c>
      <c r="E3" s="12" t="s">
        <v>5</v>
      </c>
      <c r="F3" s="12" t="s">
        <v>159</v>
      </c>
      <c r="G3" s="12" t="s">
        <v>160</v>
      </c>
      <c r="H3" s="12" t="s">
        <v>221</v>
      </c>
      <c r="I3" s="12" t="s">
        <v>65</v>
      </c>
      <c r="J3" s="12" t="s">
        <v>66</v>
      </c>
      <c r="K3" s="12" t="s">
        <v>161</v>
      </c>
      <c r="L3" s="12" t="s">
        <v>162</v>
      </c>
      <c r="M3" s="12" t="s">
        <v>162</v>
      </c>
      <c r="N3" s="12" t="s">
        <v>160</v>
      </c>
      <c r="O3" s="12" t="s">
        <v>160</v>
      </c>
      <c r="P3" s="12" t="s">
        <v>170</v>
      </c>
      <c r="Q3" s="12" t="s">
        <v>165</v>
      </c>
      <c r="R3" s="12" t="s">
        <v>162</v>
      </c>
      <c r="S3" s="12" t="s">
        <v>165</v>
      </c>
      <c r="T3" s="12" t="s">
        <v>171</v>
      </c>
      <c r="U3" s="12" t="s">
        <v>172</v>
      </c>
      <c r="V3" s="12" t="s">
        <v>168</v>
      </c>
      <c r="W3" s="12" t="s">
        <v>165</v>
      </c>
      <c r="X3" s="12" t="s">
        <v>169</v>
      </c>
      <c r="Y3" s="12" t="s">
        <v>165</v>
      </c>
    </row>
    <row r="4" spans="1:25" x14ac:dyDescent="0.15">
      <c r="A4" s="16" t="s">
        <v>225</v>
      </c>
      <c r="B4" s="11">
        <v>2</v>
      </c>
      <c r="C4" s="12" t="s">
        <v>6</v>
      </c>
      <c r="D4" s="12" t="s">
        <v>6</v>
      </c>
      <c r="E4" s="12" t="s">
        <v>5</v>
      </c>
      <c r="F4" s="12" t="s">
        <v>159</v>
      </c>
      <c r="G4" s="12" t="s">
        <v>160</v>
      </c>
      <c r="H4" s="12" t="s">
        <v>173</v>
      </c>
      <c r="I4" s="12" t="s">
        <v>67</v>
      </c>
      <c r="J4" s="12" t="s">
        <v>68</v>
      </c>
      <c r="K4" s="12" t="s">
        <v>161</v>
      </c>
      <c r="L4" s="12" t="s">
        <v>174</v>
      </c>
      <c r="M4" s="12" t="s">
        <v>162</v>
      </c>
      <c r="N4" s="12" t="s">
        <v>160</v>
      </c>
      <c r="O4" s="12" t="s">
        <v>160</v>
      </c>
      <c r="P4" s="12" t="s">
        <v>163</v>
      </c>
      <c r="Q4" s="12" t="s">
        <v>164</v>
      </c>
      <c r="R4" s="12" t="s">
        <v>162</v>
      </c>
      <c r="S4" s="12" t="s">
        <v>165</v>
      </c>
      <c r="T4" s="12" t="s">
        <v>166</v>
      </c>
      <c r="U4" s="12" t="s">
        <v>167</v>
      </c>
      <c r="V4" s="12" t="s">
        <v>175</v>
      </c>
      <c r="W4" s="12" t="s">
        <v>165</v>
      </c>
      <c r="X4" s="12" t="s">
        <v>176</v>
      </c>
      <c r="Y4" s="12" t="s">
        <v>165</v>
      </c>
    </row>
    <row r="5" spans="1:25" x14ac:dyDescent="0.15">
      <c r="A5" s="16" t="s">
        <v>224</v>
      </c>
      <c r="B5" s="11">
        <v>2</v>
      </c>
      <c r="C5" s="12" t="s">
        <v>6</v>
      </c>
      <c r="D5" s="12" t="s">
        <v>6</v>
      </c>
      <c r="E5" s="12" t="s">
        <v>5</v>
      </c>
      <c r="F5" s="12" t="s">
        <v>159</v>
      </c>
      <c r="G5" s="12" t="s">
        <v>160</v>
      </c>
      <c r="H5" s="12" t="s">
        <v>223</v>
      </c>
      <c r="I5" s="12" t="s">
        <v>67</v>
      </c>
      <c r="J5" s="12" t="s">
        <v>68</v>
      </c>
      <c r="K5" s="12" t="s">
        <v>161</v>
      </c>
      <c r="L5" s="12" t="s">
        <v>174</v>
      </c>
      <c r="M5" s="12" t="s">
        <v>162</v>
      </c>
      <c r="N5" s="12" t="s">
        <v>160</v>
      </c>
      <c r="O5" s="12" t="s">
        <v>160</v>
      </c>
      <c r="P5" s="12" t="s">
        <v>170</v>
      </c>
      <c r="Q5" s="12" t="s">
        <v>177</v>
      </c>
      <c r="R5" s="12" t="s">
        <v>178</v>
      </c>
      <c r="S5" s="12" t="s">
        <v>165</v>
      </c>
      <c r="T5" s="12" t="s">
        <v>171</v>
      </c>
      <c r="U5" s="12" t="s">
        <v>179</v>
      </c>
      <c r="V5" s="12" t="s">
        <v>175</v>
      </c>
      <c r="W5" s="12" t="s">
        <v>165</v>
      </c>
      <c r="X5" s="12" t="s">
        <v>176</v>
      </c>
      <c r="Y5" s="12" t="s">
        <v>165</v>
      </c>
    </row>
    <row r="6" spans="1:25" hidden="1" x14ac:dyDescent="0.15">
      <c r="A6" s="16" t="s">
        <v>227</v>
      </c>
      <c r="B6" s="11">
        <v>3</v>
      </c>
      <c r="C6" s="12" t="s">
        <v>6</v>
      </c>
      <c r="D6" s="12" t="s">
        <v>6</v>
      </c>
      <c r="E6" s="12" t="s">
        <v>5</v>
      </c>
      <c r="F6" s="12" t="s">
        <v>159</v>
      </c>
      <c r="G6" s="12" t="s">
        <v>160</v>
      </c>
      <c r="H6" s="12" t="s">
        <v>226</v>
      </c>
      <c r="I6" s="12" t="s">
        <v>69</v>
      </c>
      <c r="J6" s="12" t="s">
        <v>70</v>
      </c>
      <c r="K6" s="12" t="s">
        <v>161</v>
      </c>
      <c r="L6" s="12" t="s">
        <v>181</v>
      </c>
      <c r="M6" s="12" t="s">
        <v>162</v>
      </c>
      <c r="N6" s="12" t="s">
        <v>160</v>
      </c>
      <c r="O6" s="12" t="s">
        <v>160</v>
      </c>
      <c r="P6" s="12" t="s">
        <v>170</v>
      </c>
      <c r="Q6" s="12" t="s">
        <v>165</v>
      </c>
      <c r="R6" s="12" t="s">
        <v>182</v>
      </c>
      <c r="S6" s="12" t="s">
        <v>165</v>
      </c>
      <c r="T6" s="12" t="s">
        <v>171</v>
      </c>
      <c r="U6" s="12" t="s">
        <v>172</v>
      </c>
      <c r="V6" s="12" t="s">
        <v>183</v>
      </c>
      <c r="W6" s="12" t="s">
        <v>165</v>
      </c>
      <c r="X6" s="12" t="s">
        <v>184</v>
      </c>
      <c r="Y6" s="12" t="s">
        <v>165</v>
      </c>
    </row>
    <row r="7" spans="1:25" hidden="1" x14ac:dyDescent="0.15">
      <c r="A7" s="16" t="s">
        <v>159</v>
      </c>
      <c r="B7" s="11">
        <v>3</v>
      </c>
      <c r="C7" s="12" t="s">
        <v>6</v>
      </c>
      <c r="D7" s="12" t="s">
        <v>6</v>
      </c>
      <c r="E7" s="12" t="s">
        <v>5</v>
      </c>
      <c r="F7" s="12" t="s">
        <v>159</v>
      </c>
      <c r="G7" s="12" t="s">
        <v>160</v>
      </c>
      <c r="H7" s="12" t="s">
        <v>180</v>
      </c>
      <c r="I7" s="12" t="s">
        <v>69</v>
      </c>
      <c r="J7" s="12" t="s">
        <v>70</v>
      </c>
      <c r="K7" s="12" t="s">
        <v>161</v>
      </c>
      <c r="L7" s="12" t="s">
        <v>181</v>
      </c>
      <c r="M7" s="12" t="s">
        <v>162</v>
      </c>
      <c r="N7" s="12" t="s">
        <v>160</v>
      </c>
      <c r="O7" s="12" t="s">
        <v>160</v>
      </c>
      <c r="P7" s="12" t="s">
        <v>163</v>
      </c>
      <c r="Q7" s="12" t="s">
        <v>164</v>
      </c>
      <c r="R7" s="12" t="s">
        <v>162</v>
      </c>
      <c r="S7" s="12" t="s">
        <v>165</v>
      </c>
      <c r="T7" s="12" t="s">
        <v>166</v>
      </c>
      <c r="U7" s="12" t="s">
        <v>167</v>
      </c>
      <c r="V7" s="12" t="s">
        <v>183</v>
      </c>
      <c r="W7" s="12" t="s">
        <v>165</v>
      </c>
      <c r="X7" s="12" t="s">
        <v>184</v>
      </c>
      <c r="Y7" s="12" t="s">
        <v>165</v>
      </c>
    </row>
    <row r="8" spans="1:25" hidden="1" x14ac:dyDescent="0.15">
      <c r="A8" s="16" t="s">
        <v>159</v>
      </c>
      <c r="B8" s="11">
        <v>4</v>
      </c>
      <c r="C8" s="12" t="s">
        <v>8</v>
      </c>
      <c r="D8" s="12" t="s">
        <v>6</v>
      </c>
      <c r="E8" s="12" t="s">
        <v>5</v>
      </c>
      <c r="F8" s="12" t="s">
        <v>159</v>
      </c>
      <c r="G8" s="12" t="s">
        <v>160</v>
      </c>
      <c r="H8" s="12" t="s">
        <v>185</v>
      </c>
      <c r="I8" s="12" t="s">
        <v>71</v>
      </c>
      <c r="J8" s="12" t="s">
        <v>72</v>
      </c>
      <c r="K8" s="12" t="s">
        <v>161</v>
      </c>
      <c r="L8" s="12" t="s">
        <v>161</v>
      </c>
      <c r="M8" s="12" t="s">
        <v>162</v>
      </c>
      <c r="N8" s="12" t="s">
        <v>160</v>
      </c>
      <c r="O8" s="12" t="s">
        <v>160</v>
      </c>
      <c r="P8" s="12" t="s">
        <v>163</v>
      </c>
      <c r="Q8" s="12" t="s">
        <v>164</v>
      </c>
      <c r="R8" s="12" t="s">
        <v>162</v>
      </c>
      <c r="S8" s="12" t="s">
        <v>165</v>
      </c>
      <c r="T8" s="12" t="s">
        <v>166</v>
      </c>
      <c r="U8" s="12" t="s">
        <v>167</v>
      </c>
      <c r="V8" s="12" t="s">
        <v>186</v>
      </c>
      <c r="W8" s="12" t="s">
        <v>165</v>
      </c>
      <c r="X8" s="12" t="s">
        <v>162</v>
      </c>
      <c r="Y8" s="12" t="s">
        <v>165</v>
      </c>
    </row>
    <row r="9" spans="1:25" hidden="1" x14ac:dyDescent="0.15">
      <c r="A9" s="16" t="s">
        <v>159</v>
      </c>
      <c r="B9" s="11">
        <v>5</v>
      </c>
      <c r="C9" s="12" t="s">
        <v>7</v>
      </c>
      <c r="D9" s="12" t="s">
        <v>6</v>
      </c>
      <c r="E9" s="12" t="s">
        <v>5</v>
      </c>
      <c r="F9" s="12" t="s">
        <v>159</v>
      </c>
      <c r="G9" s="12" t="s">
        <v>160</v>
      </c>
      <c r="H9" s="12" t="s">
        <v>187</v>
      </c>
      <c r="I9" s="12" t="s">
        <v>73</v>
      </c>
      <c r="J9" s="12" t="s">
        <v>74</v>
      </c>
      <c r="K9" s="12" t="s">
        <v>161</v>
      </c>
      <c r="L9" s="12" t="s">
        <v>188</v>
      </c>
      <c r="M9" s="12" t="s">
        <v>162</v>
      </c>
      <c r="N9" s="12" t="s">
        <v>160</v>
      </c>
      <c r="O9" s="12" t="s">
        <v>160</v>
      </c>
      <c r="P9" s="12" t="s">
        <v>163</v>
      </c>
      <c r="Q9" s="12" t="s">
        <v>164</v>
      </c>
      <c r="R9" s="12" t="s">
        <v>162</v>
      </c>
      <c r="S9" s="12" t="s">
        <v>165</v>
      </c>
      <c r="T9" s="12" t="s">
        <v>166</v>
      </c>
      <c r="U9" s="12" t="s">
        <v>167</v>
      </c>
      <c r="V9" s="12" t="s">
        <v>189</v>
      </c>
      <c r="W9" s="12" t="s">
        <v>165</v>
      </c>
      <c r="X9" s="12" t="s">
        <v>162</v>
      </c>
      <c r="Y9" s="12" t="s">
        <v>165</v>
      </c>
    </row>
    <row r="10" spans="1:25" hidden="1" x14ac:dyDescent="0.15">
      <c r="A10" s="16" t="s">
        <v>222</v>
      </c>
      <c r="B10" s="11">
        <v>6</v>
      </c>
      <c r="C10" s="12" t="s">
        <v>6</v>
      </c>
      <c r="D10" s="12" t="s">
        <v>6</v>
      </c>
      <c r="E10" s="12" t="s">
        <v>5</v>
      </c>
      <c r="F10" s="12" t="s">
        <v>190</v>
      </c>
      <c r="G10" s="12" t="s">
        <v>160</v>
      </c>
      <c r="H10" s="12" t="s">
        <v>191</v>
      </c>
      <c r="I10" s="12" t="s">
        <v>75</v>
      </c>
      <c r="J10" s="12" t="s">
        <v>76</v>
      </c>
      <c r="K10" s="12" t="s">
        <v>161</v>
      </c>
      <c r="L10" s="12" t="s">
        <v>162</v>
      </c>
      <c r="M10" s="12" t="s">
        <v>174</v>
      </c>
      <c r="N10" s="12" t="s">
        <v>160</v>
      </c>
      <c r="O10" s="12" t="s">
        <v>160</v>
      </c>
      <c r="P10" s="12" t="s">
        <v>170</v>
      </c>
      <c r="Q10" s="12" t="s">
        <v>165</v>
      </c>
      <c r="R10" s="12" t="s">
        <v>162</v>
      </c>
      <c r="S10" s="12" t="s">
        <v>165</v>
      </c>
      <c r="T10" s="12" t="s">
        <v>171</v>
      </c>
      <c r="U10" s="12" t="s">
        <v>172</v>
      </c>
      <c r="V10" s="12" t="s">
        <v>183</v>
      </c>
      <c r="W10" s="12" t="s">
        <v>165</v>
      </c>
      <c r="X10" s="12" t="s">
        <v>184</v>
      </c>
      <c r="Y10" s="12" t="s">
        <v>165</v>
      </c>
    </row>
    <row r="11" spans="1:25" hidden="1" x14ac:dyDescent="0.15">
      <c r="A11" s="16" t="s">
        <v>225</v>
      </c>
      <c r="B11" s="11">
        <v>6</v>
      </c>
      <c r="C11" s="12" t="s">
        <v>6</v>
      </c>
      <c r="D11" s="12" t="s">
        <v>6</v>
      </c>
      <c r="E11" s="12" t="s">
        <v>5</v>
      </c>
      <c r="F11" s="12" t="s">
        <v>190</v>
      </c>
      <c r="G11" s="12" t="s">
        <v>160</v>
      </c>
      <c r="H11" s="12" t="s">
        <v>191</v>
      </c>
      <c r="I11" s="12" t="s">
        <v>75</v>
      </c>
      <c r="J11" s="12" t="s">
        <v>76</v>
      </c>
      <c r="K11" s="12" t="s">
        <v>161</v>
      </c>
      <c r="L11" s="12" t="s">
        <v>162</v>
      </c>
      <c r="M11" s="12" t="s">
        <v>174</v>
      </c>
      <c r="N11" s="12" t="s">
        <v>160</v>
      </c>
      <c r="O11" s="12" t="s">
        <v>160</v>
      </c>
      <c r="P11" s="12" t="s">
        <v>163</v>
      </c>
      <c r="Q11" s="12" t="s">
        <v>164</v>
      </c>
      <c r="R11" s="12" t="s">
        <v>182</v>
      </c>
      <c r="S11" s="12" t="s">
        <v>165</v>
      </c>
      <c r="T11" s="12" t="s">
        <v>166</v>
      </c>
      <c r="U11" s="12" t="s">
        <v>167</v>
      </c>
      <c r="V11" s="12" t="s">
        <v>183</v>
      </c>
      <c r="W11" s="12" t="s">
        <v>165</v>
      </c>
      <c r="X11" s="12" t="s">
        <v>184</v>
      </c>
      <c r="Y11" s="12" t="s">
        <v>165</v>
      </c>
    </row>
    <row r="12" spans="1:25" hidden="1" x14ac:dyDescent="0.15">
      <c r="A12" s="16" t="s">
        <v>224</v>
      </c>
      <c r="B12" s="11">
        <v>7</v>
      </c>
      <c r="C12" s="12" t="s">
        <v>6</v>
      </c>
      <c r="D12" s="12" t="s">
        <v>6</v>
      </c>
      <c r="E12" s="12" t="s">
        <v>5</v>
      </c>
      <c r="F12" s="12" t="s">
        <v>190</v>
      </c>
      <c r="G12" s="12" t="s">
        <v>160</v>
      </c>
      <c r="H12" s="12" t="s">
        <v>192</v>
      </c>
      <c r="I12" s="12" t="s">
        <v>77</v>
      </c>
      <c r="J12" s="12" t="s">
        <v>78</v>
      </c>
      <c r="K12" s="12" t="s">
        <v>161</v>
      </c>
      <c r="L12" s="12" t="s">
        <v>174</v>
      </c>
      <c r="M12" s="12" t="s">
        <v>174</v>
      </c>
      <c r="N12" s="12" t="s">
        <v>160</v>
      </c>
      <c r="O12" s="12" t="s">
        <v>160</v>
      </c>
      <c r="P12" s="12" t="s">
        <v>170</v>
      </c>
      <c r="Q12" s="12" t="s">
        <v>177</v>
      </c>
      <c r="R12" s="12" t="s">
        <v>193</v>
      </c>
      <c r="S12" s="12" t="s">
        <v>165</v>
      </c>
      <c r="T12" s="12" t="s">
        <v>171</v>
      </c>
      <c r="U12" s="12" t="s">
        <v>179</v>
      </c>
      <c r="V12" s="12" t="s">
        <v>194</v>
      </c>
      <c r="W12" s="12" t="s">
        <v>165</v>
      </c>
      <c r="X12" s="12" t="s">
        <v>195</v>
      </c>
      <c r="Y12" s="12" t="s">
        <v>165</v>
      </c>
    </row>
    <row r="13" spans="1:25" hidden="1" x14ac:dyDescent="0.15">
      <c r="A13" s="16" t="s">
        <v>225</v>
      </c>
      <c r="B13" s="11">
        <v>7</v>
      </c>
      <c r="C13" s="12" t="s">
        <v>6</v>
      </c>
      <c r="D13" s="12" t="s">
        <v>6</v>
      </c>
      <c r="E13" s="12" t="s">
        <v>5</v>
      </c>
      <c r="F13" s="12" t="s">
        <v>190</v>
      </c>
      <c r="G13" s="12" t="s">
        <v>160</v>
      </c>
      <c r="H13" s="12" t="s">
        <v>192</v>
      </c>
      <c r="I13" s="12" t="s">
        <v>77</v>
      </c>
      <c r="J13" s="12" t="s">
        <v>78</v>
      </c>
      <c r="K13" s="12" t="s">
        <v>161</v>
      </c>
      <c r="L13" s="12" t="s">
        <v>174</v>
      </c>
      <c r="M13" s="12" t="s">
        <v>174</v>
      </c>
      <c r="N13" s="12" t="s">
        <v>160</v>
      </c>
      <c r="O13" s="12" t="s">
        <v>160</v>
      </c>
      <c r="P13" s="12" t="s">
        <v>163</v>
      </c>
      <c r="Q13" s="12" t="s">
        <v>164</v>
      </c>
      <c r="R13" s="12" t="s">
        <v>182</v>
      </c>
      <c r="S13" s="12" t="s">
        <v>165</v>
      </c>
      <c r="T13" s="12" t="s">
        <v>166</v>
      </c>
      <c r="U13" s="12" t="s">
        <v>167</v>
      </c>
      <c r="V13" s="12" t="s">
        <v>194</v>
      </c>
      <c r="W13" s="12" t="s">
        <v>165</v>
      </c>
      <c r="X13" s="12" t="s">
        <v>195</v>
      </c>
      <c r="Y13" s="12" t="s">
        <v>165</v>
      </c>
    </row>
    <row r="14" spans="1:25" hidden="1" x14ac:dyDescent="0.15">
      <c r="A14" s="16" t="s">
        <v>225</v>
      </c>
      <c r="B14" s="11">
        <v>8</v>
      </c>
      <c r="C14" s="12" t="s">
        <v>6</v>
      </c>
      <c r="D14" s="12" t="s">
        <v>6</v>
      </c>
      <c r="E14" s="12" t="s">
        <v>5</v>
      </c>
      <c r="F14" s="12" t="s">
        <v>159</v>
      </c>
      <c r="G14" s="12" t="s">
        <v>160</v>
      </c>
      <c r="H14" s="12" t="s">
        <v>196</v>
      </c>
      <c r="I14" s="12" t="s">
        <v>79</v>
      </c>
      <c r="J14" s="12" t="s">
        <v>80</v>
      </c>
      <c r="K14" s="12" t="s">
        <v>161</v>
      </c>
      <c r="L14" s="12" t="s">
        <v>181</v>
      </c>
      <c r="M14" s="12" t="s">
        <v>174</v>
      </c>
      <c r="N14" s="12" t="s">
        <v>160</v>
      </c>
      <c r="O14" s="12" t="s">
        <v>160</v>
      </c>
      <c r="P14" s="12" t="s">
        <v>163</v>
      </c>
      <c r="Q14" s="12" t="s">
        <v>164</v>
      </c>
      <c r="R14" s="12" t="s">
        <v>193</v>
      </c>
      <c r="S14" s="12" t="s">
        <v>165</v>
      </c>
      <c r="T14" s="12" t="s">
        <v>166</v>
      </c>
      <c r="U14" s="12" t="s">
        <v>167</v>
      </c>
      <c r="V14" s="12" t="s">
        <v>194</v>
      </c>
      <c r="W14" s="12" t="s">
        <v>165</v>
      </c>
      <c r="X14" s="12" t="s">
        <v>195</v>
      </c>
      <c r="Y14" s="12" t="s">
        <v>165</v>
      </c>
    </row>
    <row r="15" spans="1:25" hidden="1" x14ac:dyDescent="0.15">
      <c r="A15" s="16" t="s">
        <v>227</v>
      </c>
      <c r="B15" s="11">
        <v>8</v>
      </c>
      <c r="C15" s="12" t="s">
        <v>6</v>
      </c>
      <c r="D15" s="12" t="s">
        <v>6</v>
      </c>
      <c r="E15" s="12" t="s">
        <v>5</v>
      </c>
      <c r="F15" s="12" t="s">
        <v>159</v>
      </c>
      <c r="G15" s="12" t="s">
        <v>160</v>
      </c>
      <c r="H15" s="12" t="s">
        <v>196</v>
      </c>
      <c r="I15" s="12" t="s">
        <v>79</v>
      </c>
      <c r="J15" s="12" t="s">
        <v>80</v>
      </c>
      <c r="K15" s="12" t="s">
        <v>161</v>
      </c>
      <c r="L15" s="12" t="s">
        <v>181</v>
      </c>
      <c r="M15" s="12" t="s">
        <v>174</v>
      </c>
      <c r="N15" s="12" t="s">
        <v>160</v>
      </c>
      <c r="O15" s="12" t="s">
        <v>160</v>
      </c>
      <c r="P15" s="12" t="s">
        <v>170</v>
      </c>
      <c r="Q15" s="12" t="s">
        <v>165</v>
      </c>
      <c r="R15" s="12" t="s">
        <v>182</v>
      </c>
      <c r="S15" s="12" t="s">
        <v>165</v>
      </c>
      <c r="T15" s="12" t="s">
        <v>171</v>
      </c>
      <c r="U15" s="12" t="s">
        <v>172</v>
      </c>
      <c r="V15" s="12" t="s">
        <v>194</v>
      </c>
      <c r="W15" s="12" t="s">
        <v>165</v>
      </c>
      <c r="X15" s="12" t="s">
        <v>195</v>
      </c>
      <c r="Y15" s="12" t="s">
        <v>165</v>
      </c>
    </row>
    <row r="16" spans="1:25" hidden="1" x14ac:dyDescent="0.15">
      <c r="A16" s="16" t="s">
        <v>225</v>
      </c>
      <c r="B16" s="11">
        <v>9</v>
      </c>
      <c r="C16" s="12" t="s">
        <v>8</v>
      </c>
      <c r="D16" s="12" t="s">
        <v>6</v>
      </c>
      <c r="E16" s="12" t="s">
        <v>5</v>
      </c>
      <c r="F16" s="12" t="s">
        <v>159</v>
      </c>
      <c r="G16" s="12" t="s">
        <v>160</v>
      </c>
      <c r="H16" s="12" t="s">
        <v>197</v>
      </c>
      <c r="I16" s="12" t="s">
        <v>81</v>
      </c>
      <c r="J16" s="12" t="s">
        <v>82</v>
      </c>
      <c r="K16" s="12" t="s">
        <v>161</v>
      </c>
      <c r="L16" s="12" t="s">
        <v>161</v>
      </c>
      <c r="M16" s="12" t="s">
        <v>174</v>
      </c>
      <c r="N16" s="12" t="s">
        <v>160</v>
      </c>
      <c r="O16" s="12" t="s">
        <v>160</v>
      </c>
      <c r="P16" s="12" t="s">
        <v>163</v>
      </c>
      <c r="Q16" s="12" t="s">
        <v>164</v>
      </c>
      <c r="R16" s="12" t="s">
        <v>182</v>
      </c>
      <c r="S16" s="12" t="s">
        <v>165</v>
      </c>
      <c r="T16" s="12" t="s">
        <v>166</v>
      </c>
      <c r="U16" s="12" t="s">
        <v>167</v>
      </c>
      <c r="V16" s="12" t="s">
        <v>181</v>
      </c>
      <c r="W16" s="12" t="s">
        <v>165</v>
      </c>
      <c r="X16" s="12" t="s">
        <v>182</v>
      </c>
      <c r="Y16" s="12" t="s">
        <v>165</v>
      </c>
    </row>
    <row r="17" spans="1:25" hidden="1" x14ac:dyDescent="0.15">
      <c r="A17" s="16" t="s">
        <v>225</v>
      </c>
      <c r="B17" s="11">
        <v>10</v>
      </c>
      <c r="C17" s="12" t="s">
        <v>7</v>
      </c>
      <c r="D17" s="12" t="s">
        <v>6</v>
      </c>
      <c r="E17" s="12" t="s">
        <v>5</v>
      </c>
      <c r="F17" s="12" t="s">
        <v>159</v>
      </c>
      <c r="G17" s="12" t="s">
        <v>160</v>
      </c>
      <c r="H17" s="12" t="s">
        <v>198</v>
      </c>
      <c r="I17" s="12" t="s">
        <v>83</v>
      </c>
      <c r="J17" s="12" t="s">
        <v>84</v>
      </c>
      <c r="K17" s="12" t="s">
        <v>161</v>
      </c>
      <c r="L17" s="12" t="s">
        <v>188</v>
      </c>
      <c r="M17" s="12" t="s">
        <v>174</v>
      </c>
      <c r="N17" s="12" t="s">
        <v>160</v>
      </c>
      <c r="O17" s="12" t="s">
        <v>160</v>
      </c>
      <c r="P17" s="12" t="s">
        <v>163</v>
      </c>
      <c r="Q17" s="12" t="s">
        <v>164</v>
      </c>
      <c r="R17" s="12" t="s">
        <v>199</v>
      </c>
      <c r="S17" s="12" t="s">
        <v>165</v>
      </c>
      <c r="T17" s="12" t="s">
        <v>166</v>
      </c>
      <c r="U17" s="12" t="s">
        <v>167</v>
      </c>
      <c r="V17" s="12" t="s">
        <v>200</v>
      </c>
      <c r="W17" s="12" t="s">
        <v>165</v>
      </c>
      <c r="X17" s="12" t="s">
        <v>199</v>
      </c>
      <c r="Y17" s="12" t="s">
        <v>165</v>
      </c>
    </row>
    <row r="18" spans="1:25" hidden="1" x14ac:dyDescent="0.15">
      <c r="A18" s="16" t="s">
        <v>222</v>
      </c>
      <c r="B18" s="11">
        <v>11</v>
      </c>
      <c r="C18" s="12" t="s">
        <v>6</v>
      </c>
      <c r="D18" s="12" t="s">
        <v>6</v>
      </c>
      <c r="E18" s="12" t="s">
        <v>5</v>
      </c>
      <c r="F18" s="12" t="s">
        <v>4</v>
      </c>
      <c r="G18" s="12" t="s">
        <v>162</v>
      </c>
      <c r="H18" s="12" t="s">
        <v>228</v>
      </c>
      <c r="I18" s="12" t="s">
        <v>85</v>
      </c>
      <c r="J18" s="12" t="s">
        <v>86</v>
      </c>
      <c r="K18" s="12" t="s">
        <v>161</v>
      </c>
      <c r="L18" s="12" t="s">
        <v>162</v>
      </c>
      <c r="M18" s="12" t="s">
        <v>160</v>
      </c>
      <c r="N18" s="12" t="s">
        <v>160</v>
      </c>
      <c r="O18" s="12" t="s">
        <v>160</v>
      </c>
      <c r="P18" s="12" t="s">
        <v>170</v>
      </c>
      <c r="Q18" s="12" t="s">
        <v>165</v>
      </c>
      <c r="R18" s="12" t="s">
        <v>162</v>
      </c>
      <c r="S18" s="12" t="s">
        <v>165</v>
      </c>
      <c r="T18" s="12" t="s">
        <v>171</v>
      </c>
      <c r="U18" s="12" t="s">
        <v>172</v>
      </c>
      <c r="V18" s="12" t="s">
        <v>168</v>
      </c>
      <c r="W18" s="12" t="s">
        <v>165</v>
      </c>
      <c r="X18" s="12" t="s">
        <v>169</v>
      </c>
      <c r="Y18" s="12" t="s">
        <v>165</v>
      </c>
    </row>
    <row r="19" spans="1:25" hidden="1" x14ac:dyDescent="0.15">
      <c r="A19" s="16" t="s">
        <v>230</v>
      </c>
      <c r="B19" s="11">
        <v>11</v>
      </c>
      <c r="C19" s="12" t="s">
        <v>6</v>
      </c>
      <c r="D19" s="12" t="s">
        <v>6</v>
      </c>
      <c r="E19" s="12" t="s">
        <v>5</v>
      </c>
      <c r="F19" s="12" t="s">
        <v>4</v>
      </c>
      <c r="G19" s="12" t="s">
        <v>162</v>
      </c>
      <c r="H19" s="12" t="s">
        <v>201</v>
      </c>
      <c r="I19" s="12" t="s">
        <v>85</v>
      </c>
      <c r="J19" s="12" t="s">
        <v>86</v>
      </c>
      <c r="K19" s="12" t="s">
        <v>161</v>
      </c>
      <c r="L19" s="12" t="s">
        <v>162</v>
      </c>
      <c r="M19" s="12" t="s">
        <v>160</v>
      </c>
      <c r="N19" s="12" t="s">
        <v>160</v>
      </c>
      <c r="O19" s="12" t="s">
        <v>160</v>
      </c>
      <c r="P19" s="12" t="s">
        <v>202</v>
      </c>
      <c r="Q19" s="12" t="s">
        <v>203</v>
      </c>
      <c r="R19" s="12" t="s">
        <v>162</v>
      </c>
      <c r="S19" s="12" t="s">
        <v>164</v>
      </c>
      <c r="T19" s="12" t="s">
        <v>204</v>
      </c>
      <c r="U19" s="12" t="s">
        <v>179</v>
      </c>
      <c r="V19" s="12" t="s">
        <v>168</v>
      </c>
      <c r="W19" s="12" t="s">
        <v>165</v>
      </c>
      <c r="X19" s="12" t="s">
        <v>169</v>
      </c>
      <c r="Y19" s="12" t="s">
        <v>165</v>
      </c>
    </row>
    <row r="20" spans="1:25" hidden="1" x14ac:dyDescent="0.15">
      <c r="A20" s="16" t="s">
        <v>224</v>
      </c>
      <c r="B20" s="11">
        <v>12</v>
      </c>
      <c r="C20" s="12" t="s">
        <v>6</v>
      </c>
      <c r="D20" s="12" t="s">
        <v>6</v>
      </c>
      <c r="E20" s="12" t="s">
        <v>5</v>
      </c>
      <c r="F20" s="12" t="s">
        <v>4</v>
      </c>
      <c r="G20" s="12" t="s">
        <v>162</v>
      </c>
      <c r="H20" s="12" t="s">
        <v>229</v>
      </c>
      <c r="I20" s="12" t="s">
        <v>87</v>
      </c>
      <c r="J20" s="12" t="s">
        <v>88</v>
      </c>
      <c r="K20" s="12" t="s">
        <v>161</v>
      </c>
      <c r="L20" s="12" t="s">
        <v>174</v>
      </c>
      <c r="M20" s="12" t="s">
        <v>160</v>
      </c>
      <c r="N20" s="12" t="s">
        <v>160</v>
      </c>
      <c r="O20" s="12" t="s">
        <v>160</v>
      </c>
      <c r="P20" s="12" t="s">
        <v>170</v>
      </c>
      <c r="Q20" s="12" t="s">
        <v>177</v>
      </c>
      <c r="R20" s="12" t="s">
        <v>182</v>
      </c>
      <c r="S20" s="12" t="s">
        <v>165</v>
      </c>
      <c r="T20" s="12" t="s">
        <v>171</v>
      </c>
      <c r="U20" s="12" t="s">
        <v>179</v>
      </c>
      <c r="V20" s="12" t="s">
        <v>183</v>
      </c>
      <c r="W20" s="12" t="s">
        <v>165</v>
      </c>
      <c r="X20" s="12" t="s">
        <v>184</v>
      </c>
      <c r="Y20" s="12" t="s">
        <v>165</v>
      </c>
    </row>
    <row r="21" spans="1:25" hidden="1" x14ac:dyDescent="0.15">
      <c r="A21" s="16" t="s">
        <v>230</v>
      </c>
      <c r="B21" s="11">
        <v>12</v>
      </c>
      <c r="C21" s="12" t="s">
        <v>6</v>
      </c>
      <c r="D21" s="12" t="s">
        <v>6</v>
      </c>
      <c r="E21" s="12" t="s">
        <v>5</v>
      </c>
      <c r="F21" s="12" t="s">
        <v>4</v>
      </c>
      <c r="G21" s="12" t="s">
        <v>162</v>
      </c>
      <c r="H21" s="12" t="s">
        <v>205</v>
      </c>
      <c r="I21" s="12" t="s">
        <v>87</v>
      </c>
      <c r="J21" s="12" t="s">
        <v>88</v>
      </c>
      <c r="K21" s="12" t="s">
        <v>161</v>
      </c>
      <c r="L21" s="12" t="s">
        <v>174</v>
      </c>
      <c r="M21" s="12" t="s">
        <v>160</v>
      </c>
      <c r="N21" s="12" t="s">
        <v>160</v>
      </c>
      <c r="O21" s="12" t="s">
        <v>160</v>
      </c>
      <c r="P21" s="12" t="s">
        <v>202</v>
      </c>
      <c r="Q21" s="12" t="s">
        <v>203</v>
      </c>
      <c r="R21" s="12" t="s">
        <v>162</v>
      </c>
      <c r="S21" s="12" t="s">
        <v>164</v>
      </c>
      <c r="T21" s="12" t="s">
        <v>204</v>
      </c>
      <c r="U21" s="12" t="s">
        <v>179</v>
      </c>
      <c r="V21" s="12" t="s">
        <v>183</v>
      </c>
      <c r="W21" s="12" t="s">
        <v>165</v>
      </c>
      <c r="X21" s="12" t="s">
        <v>184</v>
      </c>
      <c r="Y21" s="12" t="s">
        <v>165</v>
      </c>
    </row>
    <row r="22" spans="1:25" hidden="1" x14ac:dyDescent="0.15">
      <c r="A22" s="16" t="s">
        <v>232</v>
      </c>
      <c r="B22" s="11">
        <v>13</v>
      </c>
      <c r="C22" s="12" t="s">
        <v>6</v>
      </c>
      <c r="D22" s="12" t="s">
        <v>6</v>
      </c>
      <c r="E22" s="12" t="s">
        <v>5</v>
      </c>
      <c r="F22" s="12" t="s">
        <v>4</v>
      </c>
      <c r="G22" s="12" t="s">
        <v>162</v>
      </c>
      <c r="H22" s="12" t="s">
        <v>231</v>
      </c>
      <c r="I22" s="12" t="s">
        <v>89</v>
      </c>
      <c r="J22" s="12" t="s">
        <v>90</v>
      </c>
      <c r="K22" s="12" t="s">
        <v>161</v>
      </c>
      <c r="L22" s="12" t="s">
        <v>181</v>
      </c>
      <c r="M22" s="12" t="s">
        <v>160</v>
      </c>
      <c r="N22" s="12" t="s">
        <v>160</v>
      </c>
      <c r="O22" s="12" t="s">
        <v>160</v>
      </c>
      <c r="P22" s="12" t="s">
        <v>170</v>
      </c>
      <c r="Q22" s="12" t="s">
        <v>165</v>
      </c>
      <c r="R22" s="12" t="s">
        <v>182</v>
      </c>
      <c r="S22" s="12" t="s">
        <v>165</v>
      </c>
      <c r="T22" s="12" t="s">
        <v>171</v>
      </c>
      <c r="U22" s="12" t="s">
        <v>172</v>
      </c>
      <c r="V22" s="12" t="s">
        <v>183</v>
      </c>
      <c r="W22" s="12" t="s">
        <v>165</v>
      </c>
      <c r="X22" s="12" t="s">
        <v>184</v>
      </c>
      <c r="Y22" s="12" t="s">
        <v>165</v>
      </c>
    </row>
    <row r="23" spans="1:25" hidden="1" x14ac:dyDescent="0.15">
      <c r="A23" s="16" t="s">
        <v>230</v>
      </c>
      <c r="B23" s="11">
        <v>13</v>
      </c>
      <c r="C23" s="12" t="s">
        <v>6</v>
      </c>
      <c r="D23" s="12" t="s">
        <v>6</v>
      </c>
      <c r="E23" s="12" t="s">
        <v>5</v>
      </c>
      <c r="F23" s="12" t="s">
        <v>4</v>
      </c>
      <c r="G23" s="12" t="s">
        <v>162</v>
      </c>
      <c r="H23" s="12" t="s">
        <v>206</v>
      </c>
      <c r="I23" s="12" t="s">
        <v>89</v>
      </c>
      <c r="J23" s="12" t="s">
        <v>90</v>
      </c>
      <c r="K23" s="12" t="s">
        <v>161</v>
      </c>
      <c r="L23" s="12" t="s">
        <v>181</v>
      </c>
      <c r="M23" s="12" t="s">
        <v>160</v>
      </c>
      <c r="N23" s="12" t="s">
        <v>160</v>
      </c>
      <c r="O23" s="12" t="s">
        <v>160</v>
      </c>
      <c r="P23" s="12" t="s">
        <v>202</v>
      </c>
      <c r="Q23" s="12" t="s">
        <v>203</v>
      </c>
      <c r="R23" s="12" t="s">
        <v>162</v>
      </c>
      <c r="S23" s="12" t="s">
        <v>164</v>
      </c>
      <c r="T23" s="12" t="s">
        <v>204</v>
      </c>
      <c r="U23" s="12" t="s">
        <v>179</v>
      </c>
      <c r="V23" s="12" t="s">
        <v>183</v>
      </c>
      <c r="W23" s="12" t="s">
        <v>165</v>
      </c>
      <c r="X23" s="12" t="s">
        <v>184</v>
      </c>
      <c r="Y23" s="12" t="s">
        <v>165</v>
      </c>
    </row>
    <row r="24" spans="1:25" hidden="1" x14ac:dyDescent="0.15">
      <c r="A24" s="16" t="s">
        <v>230</v>
      </c>
      <c r="B24" s="11">
        <v>14</v>
      </c>
      <c r="C24" s="12" t="s">
        <v>8</v>
      </c>
      <c r="D24" s="12" t="s">
        <v>6</v>
      </c>
      <c r="E24" s="12" t="s">
        <v>5</v>
      </c>
      <c r="F24" s="12" t="s">
        <v>4</v>
      </c>
      <c r="G24" s="12" t="s">
        <v>162</v>
      </c>
      <c r="H24" s="12" t="s">
        <v>207</v>
      </c>
      <c r="I24" s="12" t="s">
        <v>91</v>
      </c>
      <c r="J24" s="12" t="s">
        <v>92</v>
      </c>
      <c r="K24" s="12" t="s">
        <v>161</v>
      </c>
      <c r="L24" s="12" t="s">
        <v>161</v>
      </c>
      <c r="M24" s="12" t="s">
        <v>160</v>
      </c>
      <c r="N24" s="12" t="s">
        <v>160</v>
      </c>
      <c r="O24" s="12" t="s">
        <v>160</v>
      </c>
      <c r="P24" s="12" t="s">
        <v>202</v>
      </c>
      <c r="Q24" s="12" t="s">
        <v>203</v>
      </c>
      <c r="R24" s="12" t="s">
        <v>162</v>
      </c>
      <c r="S24" s="12" t="s">
        <v>164</v>
      </c>
      <c r="T24" s="12" t="s">
        <v>204</v>
      </c>
      <c r="U24" s="12" t="s">
        <v>179</v>
      </c>
      <c r="V24" s="12" t="s">
        <v>186</v>
      </c>
      <c r="W24" s="12" t="s">
        <v>165</v>
      </c>
      <c r="X24" s="12" t="s">
        <v>162</v>
      </c>
      <c r="Y24" s="12" t="s">
        <v>165</v>
      </c>
    </row>
    <row r="25" spans="1:25" hidden="1" x14ac:dyDescent="0.15">
      <c r="A25" s="16" t="s">
        <v>230</v>
      </c>
      <c r="B25" s="11">
        <v>15</v>
      </c>
      <c r="C25" s="12" t="s">
        <v>7</v>
      </c>
      <c r="D25" s="12" t="s">
        <v>6</v>
      </c>
      <c r="E25" s="12" t="s">
        <v>5</v>
      </c>
      <c r="F25" s="12" t="s">
        <v>4</v>
      </c>
      <c r="G25" s="12" t="s">
        <v>184</v>
      </c>
      <c r="H25" s="12" t="s">
        <v>208</v>
      </c>
      <c r="I25" s="12" t="s">
        <v>93</v>
      </c>
      <c r="J25" s="12" t="s">
        <v>94</v>
      </c>
      <c r="K25" s="12" t="s">
        <v>161</v>
      </c>
      <c r="L25" s="12" t="s">
        <v>188</v>
      </c>
      <c r="M25" s="12" t="s">
        <v>160</v>
      </c>
      <c r="N25" s="12" t="s">
        <v>160</v>
      </c>
      <c r="O25" s="12" t="s">
        <v>160</v>
      </c>
      <c r="P25" s="12" t="s">
        <v>202</v>
      </c>
      <c r="Q25" s="12" t="s">
        <v>203</v>
      </c>
      <c r="R25" s="12" t="s">
        <v>184</v>
      </c>
      <c r="S25" s="12" t="s">
        <v>164</v>
      </c>
      <c r="T25" s="12" t="s">
        <v>204</v>
      </c>
      <c r="U25" s="12" t="s">
        <v>179</v>
      </c>
      <c r="V25" s="12" t="s">
        <v>186</v>
      </c>
      <c r="W25" s="12" t="s">
        <v>165</v>
      </c>
      <c r="X25" s="12" t="s">
        <v>184</v>
      </c>
      <c r="Y25" s="12" t="s">
        <v>165</v>
      </c>
    </row>
    <row r="26" spans="1:25" hidden="1" x14ac:dyDescent="0.15">
      <c r="A26" s="16" t="s">
        <v>222</v>
      </c>
      <c r="B26" s="11">
        <v>16</v>
      </c>
      <c r="C26" s="12" t="s">
        <v>6</v>
      </c>
      <c r="D26" s="12" t="s">
        <v>6</v>
      </c>
      <c r="E26" s="12" t="s">
        <v>5</v>
      </c>
      <c r="F26" s="12" t="s">
        <v>37</v>
      </c>
      <c r="G26" s="12" t="s">
        <v>174</v>
      </c>
      <c r="H26" s="12" t="s">
        <v>39</v>
      </c>
      <c r="I26" s="12" t="s">
        <v>95</v>
      </c>
      <c r="J26" s="12" t="s">
        <v>96</v>
      </c>
      <c r="K26" s="12" t="s">
        <v>161</v>
      </c>
      <c r="L26" s="12" t="s">
        <v>162</v>
      </c>
      <c r="M26" s="12" t="s">
        <v>160</v>
      </c>
      <c r="N26" s="12" t="s">
        <v>160</v>
      </c>
      <c r="O26" s="12" t="s">
        <v>160</v>
      </c>
      <c r="P26" s="12" t="s">
        <v>170</v>
      </c>
      <c r="Q26" s="12" t="s">
        <v>165</v>
      </c>
      <c r="R26" s="12" t="s">
        <v>162</v>
      </c>
      <c r="S26" s="12" t="s">
        <v>165</v>
      </c>
      <c r="T26" s="12" t="s">
        <v>171</v>
      </c>
      <c r="U26" s="12" t="s">
        <v>172</v>
      </c>
      <c r="V26" s="12" t="s">
        <v>175</v>
      </c>
      <c r="W26" s="12" t="s">
        <v>165</v>
      </c>
      <c r="X26" s="12" t="s">
        <v>176</v>
      </c>
      <c r="Y26" s="12" t="s">
        <v>165</v>
      </c>
    </row>
    <row r="27" spans="1:25" hidden="1" x14ac:dyDescent="0.15">
      <c r="A27" s="16" t="s">
        <v>230</v>
      </c>
      <c r="B27" s="11">
        <v>16</v>
      </c>
      <c r="C27" s="12" t="s">
        <v>6</v>
      </c>
      <c r="D27" s="12" t="s">
        <v>6</v>
      </c>
      <c r="E27" s="12" t="s">
        <v>5</v>
      </c>
      <c r="F27" s="12" t="s">
        <v>37</v>
      </c>
      <c r="G27" s="12" t="s">
        <v>174</v>
      </c>
      <c r="H27" s="12" t="s">
        <v>39</v>
      </c>
      <c r="I27" s="12" t="s">
        <v>95</v>
      </c>
      <c r="J27" s="12" t="s">
        <v>96</v>
      </c>
      <c r="K27" s="12" t="s">
        <v>161</v>
      </c>
      <c r="L27" s="12" t="s">
        <v>162</v>
      </c>
      <c r="M27" s="12" t="s">
        <v>160</v>
      </c>
      <c r="N27" s="12" t="s">
        <v>160</v>
      </c>
      <c r="O27" s="12" t="s">
        <v>160</v>
      </c>
      <c r="P27" s="12" t="s">
        <v>202</v>
      </c>
      <c r="Q27" s="12" t="s">
        <v>203</v>
      </c>
      <c r="R27" s="12" t="s">
        <v>178</v>
      </c>
      <c r="S27" s="12" t="s">
        <v>164</v>
      </c>
      <c r="T27" s="12" t="s">
        <v>204</v>
      </c>
      <c r="U27" s="12" t="s">
        <v>179</v>
      </c>
      <c r="V27" s="12" t="s">
        <v>175</v>
      </c>
      <c r="W27" s="12" t="s">
        <v>165</v>
      </c>
      <c r="X27" s="12" t="s">
        <v>176</v>
      </c>
      <c r="Y27" s="12" t="s">
        <v>165</v>
      </c>
    </row>
    <row r="28" spans="1:25" hidden="1" x14ac:dyDescent="0.15">
      <c r="A28" s="16" t="s">
        <v>224</v>
      </c>
      <c r="B28" s="11">
        <v>17</v>
      </c>
      <c r="C28" s="12" t="s">
        <v>6</v>
      </c>
      <c r="D28" s="12" t="s">
        <v>6</v>
      </c>
      <c r="E28" s="12" t="s">
        <v>5</v>
      </c>
      <c r="F28" s="12" t="s">
        <v>37</v>
      </c>
      <c r="G28" s="12" t="s">
        <v>174</v>
      </c>
      <c r="H28" s="12" t="s">
        <v>40</v>
      </c>
      <c r="I28" s="12" t="s">
        <v>97</v>
      </c>
      <c r="J28" s="12" t="s">
        <v>98</v>
      </c>
      <c r="K28" s="12" t="s">
        <v>161</v>
      </c>
      <c r="L28" s="12" t="s">
        <v>174</v>
      </c>
      <c r="M28" s="12" t="s">
        <v>160</v>
      </c>
      <c r="N28" s="12" t="s">
        <v>160</v>
      </c>
      <c r="O28" s="12" t="s">
        <v>160</v>
      </c>
      <c r="P28" s="12" t="s">
        <v>170</v>
      </c>
      <c r="Q28" s="12" t="s">
        <v>177</v>
      </c>
      <c r="R28" s="12" t="s">
        <v>182</v>
      </c>
      <c r="S28" s="12" t="s">
        <v>165</v>
      </c>
      <c r="T28" s="12" t="s">
        <v>171</v>
      </c>
      <c r="U28" s="12" t="s">
        <v>179</v>
      </c>
      <c r="V28" s="12" t="s">
        <v>194</v>
      </c>
      <c r="W28" s="12" t="s">
        <v>165</v>
      </c>
      <c r="X28" s="12" t="s">
        <v>195</v>
      </c>
      <c r="Y28" s="12" t="s">
        <v>165</v>
      </c>
    </row>
    <row r="29" spans="1:25" hidden="1" x14ac:dyDescent="0.15">
      <c r="A29" s="16" t="s">
        <v>230</v>
      </c>
      <c r="B29" s="11">
        <v>17</v>
      </c>
      <c r="C29" s="12" t="s">
        <v>6</v>
      </c>
      <c r="D29" s="12" t="s">
        <v>6</v>
      </c>
      <c r="E29" s="12" t="s">
        <v>5</v>
      </c>
      <c r="F29" s="12" t="s">
        <v>37</v>
      </c>
      <c r="G29" s="12" t="s">
        <v>174</v>
      </c>
      <c r="H29" s="12" t="s">
        <v>40</v>
      </c>
      <c r="I29" s="12" t="s">
        <v>97</v>
      </c>
      <c r="J29" s="12" t="s">
        <v>98</v>
      </c>
      <c r="K29" s="12" t="s">
        <v>161</v>
      </c>
      <c r="L29" s="12" t="s">
        <v>174</v>
      </c>
      <c r="M29" s="12" t="s">
        <v>160</v>
      </c>
      <c r="N29" s="12" t="s">
        <v>160</v>
      </c>
      <c r="O29" s="12" t="s">
        <v>160</v>
      </c>
      <c r="P29" s="12" t="s">
        <v>202</v>
      </c>
      <c r="Q29" s="12" t="s">
        <v>203</v>
      </c>
      <c r="R29" s="12" t="s">
        <v>193</v>
      </c>
      <c r="S29" s="12" t="s">
        <v>164</v>
      </c>
      <c r="T29" s="12" t="s">
        <v>204</v>
      </c>
      <c r="U29" s="12" t="s">
        <v>179</v>
      </c>
      <c r="V29" s="12" t="s">
        <v>194</v>
      </c>
      <c r="W29" s="12" t="s">
        <v>165</v>
      </c>
      <c r="X29" s="12" t="s">
        <v>195</v>
      </c>
      <c r="Y29" s="12" t="s">
        <v>165</v>
      </c>
    </row>
    <row r="30" spans="1:25" hidden="1" x14ac:dyDescent="0.15">
      <c r="A30" s="16" t="s">
        <v>230</v>
      </c>
      <c r="B30" s="11">
        <v>18</v>
      </c>
      <c r="C30" s="12" t="s">
        <v>6</v>
      </c>
      <c r="D30" s="12" t="s">
        <v>6</v>
      </c>
      <c r="E30" s="12" t="s">
        <v>5</v>
      </c>
      <c r="F30" s="12" t="s">
        <v>37</v>
      </c>
      <c r="G30" s="12" t="s">
        <v>174</v>
      </c>
      <c r="H30" s="12" t="s">
        <v>41</v>
      </c>
      <c r="I30" s="12" t="s">
        <v>99</v>
      </c>
      <c r="J30" s="12" t="s">
        <v>100</v>
      </c>
      <c r="K30" s="12" t="s">
        <v>161</v>
      </c>
      <c r="L30" s="12" t="s">
        <v>181</v>
      </c>
      <c r="M30" s="12" t="s">
        <v>160</v>
      </c>
      <c r="N30" s="12" t="s">
        <v>160</v>
      </c>
      <c r="O30" s="12" t="s">
        <v>160</v>
      </c>
      <c r="P30" s="12" t="s">
        <v>202</v>
      </c>
      <c r="Q30" s="12" t="s">
        <v>203</v>
      </c>
      <c r="R30" s="12" t="s">
        <v>193</v>
      </c>
      <c r="S30" s="12" t="s">
        <v>164</v>
      </c>
      <c r="T30" s="12" t="s">
        <v>204</v>
      </c>
      <c r="U30" s="12" t="s">
        <v>179</v>
      </c>
      <c r="V30" s="12" t="s">
        <v>194</v>
      </c>
      <c r="W30" s="12" t="s">
        <v>165</v>
      </c>
      <c r="X30" s="12" t="s">
        <v>195</v>
      </c>
      <c r="Y30" s="12" t="s">
        <v>165</v>
      </c>
    </row>
    <row r="31" spans="1:25" hidden="1" x14ac:dyDescent="0.15">
      <c r="A31" s="16" t="s">
        <v>232</v>
      </c>
      <c r="B31" s="11">
        <v>18</v>
      </c>
      <c r="C31" s="12" t="s">
        <v>6</v>
      </c>
      <c r="D31" s="12" t="s">
        <v>6</v>
      </c>
      <c r="E31" s="12" t="s">
        <v>5</v>
      </c>
      <c r="F31" s="12" t="s">
        <v>37</v>
      </c>
      <c r="G31" s="12" t="s">
        <v>174</v>
      </c>
      <c r="H31" s="12" t="s">
        <v>41</v>
      </c>
      <c r="I31" s="12" t="s">
        <v>99</v>
      </c>
      <c r="J31" s="12" t="s">
        <v>100</v>
      </c>
      <c r="K31" s="12" t="s">
        <v>161</v>
      </c>
      <c r="L31" s="12" t="s">
        <v>181</v>
      </c>
      <c r="M31" s="12" t="s">
        <v>160</v>
      </c>
      <c r="N31" s="12" t="s">
        <v>160</v>
      </c>
      <c r="O31" s="12" t="s">
        <v>160</v>
      </c>
      <c r="P31" s="12" t="s">
        <v>170</v>
      </c>
      <c r="Q31" s="12" t="s">
        <v>165</v>
      </c>
      <c r="R31" s="12" t="s">
        <v>182</v>
      </c>
      <c r="S31" s="12" t="s">
        <v>165</v>
      </c>
      <c r="T31" s="12" t="s">
        <v>171</v>
      </c>
      <c r="U31" s="12" t="s">
        <v>172</v>
      </c>
      <c r="V31" s="12" t="s">
        <v>194</v>
      </c>
      <c r="W31" s="12" t="s">
        <v>165</v>
      </c>
      <c r="X31" s="12" t="s">
        <v>195</v>
      </c>
      <c r="Y31" s="12" t="s">
        <v>165</v>
      </c>
    </row>
    <row r="32" spans="1:25" hidden="1" x14ac:dyDescent="0.15">
      <c r="A32" s="16" t="s">
        <v>230</v>
      </c>
      <c r="B32" s="11">
        <v>19</v>
      </c>
      <c r="C32" s="12" t="s">
        <v>8</v>
      </c>
      <c r="D32" s="12" t="s">
        <v>6</v>
      </c>
      <c r="E32" s="12" t="s">
        <v>5</v>
      </c>
      <c r="F32" s="12" t="s">
        <v>37</v>
      </c>
      <c r="G32" s="12" t="s">
        <v>174</v>
      </c>
      <c r="H32" s="12" t="s">
        <v>42</v>
      </c>
      <c r="I32" s="12" t="s">
        <v>101</v>
      </c>
      <c r="J32" s="12" t="s">
        <v>102</v>
      </c>
      <c r="K32" s="12" t="s">
        <v>161</v>
      </c>
      <c r="L32" s="12" t="s">
        <v>161</v>
      </c>
      <c r="M32" s="12" t="s">
        <v>160</v>
      </c>
      <c r="N32" s="12" t="s">
        <v>160</v>
      </c>
      <c r="O32" s="12" t="s">
        <v>160</v>
      </c>
      <c r="P32" s="12" t="s">
        <v>202</v>
      </c>
      <c r="Q32" s="12" t="s">
        <v>203</v>
      </c>
      <c r="R32" s="12" t="s">
        <v>182</v>
      </c>
      <c r="S32" s="12" t="s">
        <v>164</v>
      </c>
      <c r="T32" s="12" t="s">
        <v>204</v>
      </c>
      <c r="U32" s="12" t="s">
        <v>179</v>
      </c>
      <c r="V32" s="12" t="s">
        <v>181</v>
      </c>
      <c r="W32" s="12" t="s">
        <v>165</v>
      </c>
      <c r="X32" s="12" t="s">
        <v>182</v>
      </c>
      <c r="Y32" s="12" t="s">
        <v>165</v>
      </c>
    </row>
    <row r="33" spans="1:25" hidden="1" x14ac:dyDescent="0.15">
      <c r="A33" s="16" t="s">
        <v>230</v>
      </c>
      <c r="B33" s="11">
        <v>20</v>
      </c>
      <c r="C33" s="12" t="s">
        <v>7</v>
      </c>
      <c r="D33" s="12" t="s">
        <v>6</v>
      </c>
      <c r="E33" s="12" t="s">
        <v>5</v>
      </c>
      <c r="F33" s="12" t="s">
        <v>37</v>
      </c>
      <c r="G33" s="12" t="s">
        <v>209</v>
      </c>
      <c r="H33" s="12" t="s">
        <v>43</v>
      </c>
      <c r="I33" s="12" t="s">
        <v>103</v>
      </c>
      <c r="J33" s="12" t="s">
        <v>104</v>
      </c>
      <c r="K33" s="12" t="s">
        <v>161</v>
      </c>
      <c r="L33" s="12" t="s">
        <v>188</v>
      </c>
      <c r="M33" s="12" t="s">
        <v>160</v>
      </c>
      <c r="N33" s="12" t="s">
        <v>160</v>
      </c>
      <c r="O33" s="12" t="s">
        <v>160</v>
      </c>
      <c r="P33" s="12" t="s">
        <v>202</v>
      </c>
      <c r="Q33" s="12" t="s">
        <v>203</v>
      </c>
      <c r="R33" s="12" t="s">
        <v>210</v>
      </c>
      <c r="S33" s="12" t="s">
        <v>164</v>
      </c>
      <c r="T33" s="12" t="s">
        <v>204</v>
      </c>
      <c r="U33" s="12" t="s">
        <v>179</v>
      </c>
      <c r="V33" s="12" t="s">
        <v>168</v>
      </c>
      <c r="W33" s="12" t="s">
        <v>165</v>
      </c>
      <c r="X33" s="12" t="s">
        <v>210</v>
      </c>
      <c r="Y33" s="12" t="s">
        <v>165</v>
      </c>
    </row>
    <row r="34" spans="1:25" hidden="1" x14ac:dyDescent="0.15">
      <c r="A34" s="16" t="s">
        <v>222</v>
      </c>
      <c r="B34" s="11">
        <v>21</v>
      </c>
      <c r="C34" s="12" t="s">
        <v>6</v>
      </c>
      <c r="D34" s="12" t="s">
        <v>6</v>
      </c>
      <c r="E34" s="12" t="s">
        <v>5</v>
      </c>
      <c r="F34" s="12" t="s">
        <v>44</v>
      </c>
      <c r="G34" s="12" t="s">
        <v>160</v>
      </c>
      <c r="H34" s="12" t="s">
        <v>46</v>
      </c>
      <c r="I34" s="12" t="s">
        <v>105</v>
      </c>
      <c r="J34" s="12" t="s">
        <v>106</v>
      </c>
      <c r="K34" s="12" t="s">
        <v>161</v>
      </c>
      <c r="L34" s="12" t="s">
        <v>162</v>
      </c>
      <c r="M34" s="12" t="s">
        <v>160</v>
      </c>
      <c r="N34" s="12" t="s">
        <v>174</v>
      </c>
      <c r="O34" s="12" t="s">
        <v>160</v>
      </c>
      <c r="P34" s="12" t="s">
        <v>170</v>
      </c>
      <c r="Q34" s="12" t="s">
        <v>165</v>
      </c>
      <c r="R34" s="12" t="s">
        <v>162</v>
      </c>
      <c r="S34" s="12" t="s">
        <v>165</v>
      </c>
      <c r="T34" s="12" t="s">
        <v>171</v>
      </c>
      <c r="U34" s="12" t="s">
        <v>172</v>
      </c>
      <c r="V34" s="12" t="s">
        <v>175</v>
      </c>
      <c r="W34" s="12" t="s">
        <v>165</v>
      </c>
      <c r="X34" s="12" t="s">
        <v>176</v>
      </c>
      <c r="Y34" s="12" t="s">
        <v>165</v>
      </c>
    </row>
    <row r="35" spans="1:25" hidden="1" x14ac:dyDescent="0.15">
      <c r="A35" s="16" t="s">
        <v>233</v>
      </c>
      <c r="B35" s="11">
        <v>21</v>
      </c>
      <c r="C35" s="12" t="s">
        <v>6</v>
      </c>
      <c r="D35" s="12" t="s">
        <v>6</v>
      </c>
      <c r="E35" s="12" t="s">
        <v>5</v>
      </c>
      <c r="F35" s="12" t="s">
        <v>44</v>
      </c>
      <c r="G35" s="12" t="s">
        <v>160</v>
      </c>
      <c r="H35" s="12" t="s">
        <v>46</v>
      </c>
      <c r="I35" s="12" t="s">
        <v>105</v>
      </c>
      <c r="J35" s="12" t="s">
        <v>106</v>
      </c>
      <c r="K35" s="12" t="s">
        <v>161</v>
      </c>
      <c r="L35" s="12" t="s">
        <v>162</v>
      </c>
      <c r="M35" s="12" t="s">
        <v>160</v>
      </c>
      <c r="N35" s="12" t="s">
        <v>174</v>
      </c>
      <c r="O35" s="12" t="s">
        <v>160</v>
      </c>
      <c r="P35" s="12" t="s">
        <v>202</v>
      </c>
      <c r="Q35" s="12" t="s">
        <v>203</v>
      </c>
      <c r="R35" s="12" t="s">
        <v>178</v>
      </c>
      <c r="S35" s="12" t="s">
        <v>164</v>
      </c>
      <c r="T35" s="12" t="s">
        <v>204</v>
      </c>
      <c r="U35" s="12" t="s">
        <v>179</v>
      </c>
      <c r="V35" s="12" t="s">
        <v>175</v>
      </c>
      <c r="W35" s="12" t="s">
        <v>165</v>
      </c>
      <c r="X35" s="12" t="s">
        <v>176</v>
      </c>
      <c r="Y35" s="12" t="s">
        <v>165</v>
      </c>
    </row>
    <row r="36" spans="1:25" hidden="1" x14ac:dyDescent="0.15">
      <c r="A36" s="16" t="s">
        <v>233</v>
      </c>
      <c r="B36" s="11">
        <v>22</v>
      </c>
      <c r="C36" s="12" t="s">
        <v>6</v>
      </c>
      <c r="D36" s="12" t="s">
        <v>6</v>
      </c>
      <c r="E36" s="12" t="s">
        <v>5</v>
      </c>
      <c r="F36" s="12" t="s">
        <v>44</v>
      </c>
      <c r="G36" s="12" t="s">
        <v>160</v>
      </c>
      <c r="H36" s="12" t="s">
        <v>47</v>
      </c>
      <c r="I36" s="12" t="s">
        <v>107</v>
      </c>
      <c r="J36" s="12" t="s">
        <v>108</v>
      </c>
      <c r="K36" s="12" t="s">
        <v>161</v>
      </c>
      <c r="L36" s="12" t="s">
        <v>174</v>
      </c>
      <c r="M36" s="12" t="s">
        <v>160</v>
      </c>
      <c r="N36" s="12" t="s">
        <v>174</v>
      </c>
      <c r="O36" s="12" t="s">
        <v>160</v>
      </c>
      <c r="P36" s="12" t="s">
        <v>202</v>
      </c>
      <c r="Q36" s="12" t="s">
        <v>203</v>
      </c>
      <c r="R36" s="12" t="s">
        <v>193</v>
      </c>
      <c r="S36" s="12" t="s">
        <v>164</v>
      </c>
      <c r="T36" s="12" t="s">
        <v>204</v>
      </c>
      <c r="U36" s="12" t="s">
        <v>179</v>
      </c>
      <c r="V36" s="12" t="s">
        <v>194</v>
      </c>
      <c r="W36" s="12" t="s">
        <v>165</v>
      </c>
      <c r="X36" s="12" t="s">
        <v>195</v>
      </c>
      <c r="Y36" s="12" t="s">
        <v>165</v>
      </c>
    </row>
    <row r="37" spans="1:25" hidden="1" x14ac:dyDescent="0.15">
      <c r="A37" s="16" t="s">
        <v>224</v>
      </c>
      <c r="B37" s="11">
        <v>22</v>
      </c>
      <c r="C37" s="12" t="s">
        <v>6</v>
      </c>
      <c r="D37" s="12" t="s">
        <v>6</v>
      </c>
      <c r="E37" s="12" t="s">
        <v>5</v>
      </c>
      <c r="F37" s="12" t="s">
        <v>44</v>
      </c>
      <c r="G37" s="12" t="s">
        <v>160</v>
      </c>
      <c r="H37" s="12" t="s">
        <v>47</v>
      </c>
      <c r="I37" s="12" t="s">
        <v>107</v>
      </c>
      <c r="J37" s="12" t="s">
        <v>108</v>
      </c>
      <c r="K37" s="12" t="s">
        <v>161</v>
      </c>
      <c r="L37" s="12" t="s">
        <v>174</v>
      </c>
      <c r="M37" s="12" t="s">
        <v>160</v>
      </c>
      <c r="N37" s="12" t="s">
        <v>174</v>
      </c>
      <c r="O37" s="12" t="s">
        <v>160</v>
      </c>
      <c r="P37" s="12" t="s">
        <v>170</v>
      </c>
      <c r="Q37" s="12" t="s">
        <v>177</v>
      </c>
      <c r="R37" s="12" t="s">
        <v>182</v>
      </c>
      <c r="S37" s="12" t="s">
        <v>165</v>
      </c>
      <c r="T37" s="12" t="s">
        <v>171</v>
      </c>
      <c r="U37" s="12" t="s">
        <v>179</v>
      </c>
      <c r="V37" s="12" t="s">
        <v>194</v>
      </c>
      <c r="W37" s="12" t="s">
        <v>165</v>
      </c>
      <c r="X37" s="12" t="s">
        <v>195</v>
      </c>
      <c r="Y37" s="12" t="s">
        <v>165</v>
      </c>
    </row>
    <row r="38" spans="1:25" hidden="1" x14ac:dyDescent="0.15">
      <c r="A38" s="16" t="s">
        <v>232</v>
      </c>
      <c r="B38" s="11">
        <v>23</v>
      </c>
      <c r="C38" s="12" t="s">
        <v>6</v>
      </c>
      <c r="D38" s="12" t="s">
        <v>6</v>
      </c>
      <c r="E38" s="12" t="s">
        <v>5</v>
      </c>
      <c r="F38" s="12" t="s">
        <v>44</v>
      </c>
      <c r="G38" s="12" t="s">
        <v>160</v>
      </c>
      <c r="H38" s="12" t="s">
        <v>48</v>
      </c>
      <c r="I38" s="12" t="s">
        <v>109</v>
      </c>
      <c r="J38" s="12" t="s">
        <v>110</v>
      </c>
      <c r="K38" s="12" t="s">
        <v>161</v>
      </c>
      <c r="L38" s="12" t="s">
        <v>181</v>
      </c>
      <c r="M38" s="12" t="s">
        <v>160</v>
      </c>
      <c r="N38" s="12" t="s">
        <v>174</v>
      </c>
      <c r="O38" s="12" t="s">
        <v>160</v>
      </c>
      <c r="P38" s="12" t="s">
        <v>170</v>
      </c>
      <c r="Q38" s="12" t="s">
        <v>165</v>
      </c>
      <c r="R38" s="12" t="s">
        <v>182</v>
      </c>
      <c r="S38" s="12" t="s">
        <v>165</v>
      </c>
      <c r="T38" s="12" t="s">
        <v>171</v>
      </c>
      <c r="U38" s="12" t="s">
        <v>172</v>
      </c>
      <c r="V38" s="12" t="s">
        <v>194</v>
      </c>
      <c r="W38" s="12" t="s">
        <v>165</v>
      </c>
      <c r="X38" s="12" t="s">
        <v>195</v>
      </c>
      <c r="Y38" s="12" t="s">
        <v>165</v>
      </c>
    </row>
    <row r="39" spans="1:25" hidden="1" x14ac:dyDescent="0.15">
      <c r="A39" s="16" t="s">
        <v>233</v>
      </c>
      <c r="B39" s="11">
        <v>23</v>
      </c>
      <c r="C39" s="12" t="s">
        <v>6</v>
      </c>
      <c r="D39" s="12" t="s">
        <v>6</v>
      </c>
      <c r="E39" s="12" t="s">
        <v>5</v>
      </c>
      <c r="F39" s="12" t="s">
        <v>44</v>
      </c>
      <c r="G39" s="12" t="s">
        <v>160</v>
      </c>
      <c r="H39" s="12" t="s">
        <v>48</v>
      </c>
      <c r="I39" s="12" t="s">
        <v>109</v>
      </c>
      <c r="J39" s="12" t="s">
        <v>110</v>
      </c>
      <c r="K39" s="12" t="s">
        <v>161</v>
      </c>
      <c r="L39" s="12" t="s">
        <v>181</v>
      </c>
      <c r="M39" s="12" t="s">
        <v>160</v>
      </c>
      <c r="N39" s="12" t="s">
        <v>174</v>
      </c>
      <c r="O39" s="12" t="s">
        <v>160</v>
      </c>
      <c r="P39" s="12" t="s">
        <v>202</v>
      </c>
      <c r="Q39" s="12" t="s">
        <v>203</v>
      </c>
      <c r="R39" s="12" t="s">
        <v>193</v>
      </c>
      <c r="S39" s="12" t="s">
        <v>164</v>
      </c>
      <c r="T39" s="12" t="s">
        <v>204</v>
      </c>
      <c r="U39" s="12" t="s">
        <v>179</v>
      </c>
      <c r="V39" s="12" t="s">
        <v>194</v>
      </c>
      <c r="W39" s="12" t="s">
        <v>165</v>
      </c>
      <c r="X39" s="12" t="s">
        <v>195</v>
      </c>
      <c r="Y39" s="12" t="s">
        <v>165</v>
      </c>
    </row>
    <row r="40" spans="1:25" hidden="1" x14ac:dyDescent="0.15">
      <c r="A40" s="16" t="s">
        <v>233</v>
      </c>
      <c r="B40" s="11">
        <v>24</v>
      </c>
      <c r="C40" s="12" t="s">
        <v>8</v>
      </c>
      <c r="D40" s="12" t="s">
        <v>6</v>
      </c>
      <c r="E40" s="12" t="s">
        <v>5</v>
      </c>
      <c r="F40" s="12" t="s">
        <v>44</v>
      </c>
      <c r="G40" s="12" t="s">
        <v>160</v>
      </c>
      <c r="H40" s="12" t="s">
        <v>49</v>
      </c>
      <c r="I40" s="12" t="s">
        <v>111</v>
      </c>
      <c r="J40" s="12" t="s">
        <v>112</v>
      </c>
      <c r="K40" s="12" t="s">
        <v>161</v>
      </c>
      <c r="L40" s="12" t="s">
        <v>161</v>
      </c>
      <c r="M40" s="12" t="s">
        <v>160</v>
      </c>
      <c r="N40" s="12" t="s">
        <v>174</v>
      </c>
      <c r="O40" s="12" t="s">
        <v>160</v>
      </c>
      <c r="P40" s="12" t="s">
        <v>202</v>
      </c>
      <c r="Q40" s="12" t="s">
        <v>203</v>
      </c>
      <c r="R40" s="12" t="s">
        <v>182</v>
      </c>
      <c r="S40" s="12" t="s">
        <v>164</v>
      </c>
      <c r="T40" s="12" t="s">
        <v>204</v>
      </c>
      <c r="U40" s="12" t="s">
        <v>179</v>
      </c>
      <c r="V40" s="12" t="s">
        <v>181</v>
      </c>
      <c r="W40" s="12" t="s">
        <v>165</v>
      </c>
      <c r="X40" s="12" t="s">
        <v>182</v>
      </c>
      <c r="Y40" s="12" t="s">
        <v>165</v>
      </c>
    </row>
    <row r="41" spans="1:25" hidden="1" x14ac:dyDescent="0.15">
      <c r="A41" s="16" t="s">
        <v>233</v>
      </c>
      <c r="B41" s="11">
        <v>25</v>
      </c>
      <c r="C41" s="12" t="s">
        <v>7</v>
      </c>
      <c r="D41" s="12" t="s">
        <v>6</v>
      </c>
      <c r="E41" s="12" t="s">
        <v>5</v>
      </c>
      <c r="F41" s="12" t="s">
        <v>44</v>
      </c>
      <c r="G41" s="12" t="s">
        <v>160</v>
      </c>
      <c r="H41" s="12" t="s">
        <v>50</v>
      </c>
      <c r="I41" s="12" t="s">
        <v>113</v>
      </c>
      <c r="J41" s="12" t="s">
        <v>114</v>
      </c>
      <c r="K41" s="12" t="s">
        <v>161</v>
      </c>
      <c r="L41" s="12" t="s">
        <v>188</v>
      </c>
      <c r="M41" s="12" t="s">
        <v>160</v>
      </c>
      <c r="N41" s="12" t="s">
        <v>209</v>
      </c>
      <c r="O41" s="12" t="s">
        <v>160</v>
      </c>
      <c r="P41" s="12" t="s">
        <v>202</v>
      </c>
      <c r="Q41" s="12" t="s">
        <v>203</v>
      </c>
      <c r="R41" s="12" t="s">
        <v>210</v>
      </c>
      <c r="S41" s="12" t="s">
        <v>164</v>
      </c>
      <c r="T41" s="12" t="s">
        <v>204</v>
      </c>
      <c r="U41" s="12" t="s">
        <v>179</v>
      </c>
      <c r="V41" s="12" t="s">
        <v>168</v>
      </c>
      <c r="W41" s="12" t="s">
        <v>165</v>
      </c>
      <c r="X41" s="12" t="s">
        <v>210</v>
      </c>
      <c r="Y41" s="12" t="s">
        <v>165</v>
      </c>
    </row>
    <row r="42" spans="1:25" hidden="1" x14ac:dyDescent="0.15">
      <c r="A42" s="16" t="s">
        <v>222</v>
      </c>
      <c r="B42" s="11">
        <v>26</v>
      </c>
      <c r="C42" s="12" t="s">
        <v>6</v>
      </c>
      <c r="D42" s="12" t="s">
        <v>6</v>
      </c>
      <c r="E42" s="12" t="s">
        <v>5</v>
      </c>
      <c r="F42" s="12" t="s">
        <v>51</v>
      </c>
      <c r="G42" s="12" t="s">
        <v>160</v>
      </c>
      <c r="H42" s="12" t="s">
        <v>53</v>
      </c>
      <c r="I42" s="12" t="s">
        <v>115</v>
      </c>
      <c r="J42" s="12" t="s">
        <v>116</v>
      </c>
      <c r="K42" s="12" t="s">
        <v>161</v>
      </c>
      <c r="L42" s="12" t="s">
        <v>162</v>
      </c>
      <c r="M42" s="12" t="s">
        <v>160</v>
      </c>
      <c r="N42" s="12" t="s">
        <v>174</v>
      </c>
      <c r="O42" s="12" t="s">
        <v>160</v>
      </c>
      <c r="P42" s="12" t="s">
        <v>170</v>
      </c>
      <c r="Q42" s="12" t="s">
        <v>165</v>
      </c>
      <c r="R42" s="12" t="s">
        <v>162</v>
      </c>
      <c r="S42" s="12" t="s">
        <v>165</v>
      </c>
      <c r="T42" s="12" t="s">
        <v>171</v>
      </c>
      <c r="U42" s="12" t="s">
        <v>172</v>
      </c>
      <c r="V42" s="12" t="s">
        <v>175</v>
      </c>
      <c r="W42" s="12" t="s">
        <v>165</v>
      </c>
      <c r="X42" s="12" t="s">
        <v>176</v>
      </c>
      <c r="Y42" s="12" t="s">
        <v>165</v>
      </c>
    </row>
    <row r="43" spans="1:25" hidden="1" x14ac:dyDescent="0.15">
      <c r="A43" s="16" t="s">
        <v>234</v>
      </c>
      <c r="B43" s="11">
        <v>26</v>
      </c>
      <c r="C43" s="12" t="s">
        <v>6</v>
      </c>
      <c r="D43" s="12" t="s">
        <v>6</v>
      </c>
      <c r="E43" s="12" t="s">
        <v>5</v>
      </c>
      <c r="F43" s="12" t="s">
        <v>51</v>
      </c>
      <c r="G43" s="12" t="s">
        <v>160</v>
      </c>
      <c r="H43" s="12" t="s">
        <v>53</v>
      </c>
      <c r="I43" s="12" t="s">
        <v>115</v>
      </c>
      <c r="J43" s="12" t="s">
        <v>116</v>
      </c>
      <c r="K43" s="12" t="s">
        <v>161</v>
      </c>
      <c r="L43" s="12" t="s">
        <v>162</v>
      </c>
      <c r="M43" s="12" t="s">
        <v>160</v>
      </c>
      <c r="N43" s="12" t="s">
        <v>174</v>
      </c>
      <c r="O43" s="12" t="s">
        <v>160</v>
      </c>
      <c r="P43" s="12" t="s">
        <v>202</v>
      </c>
      <c r="Q43" s="12" t="s">
        <v>203</v>
      </c>
      <c r="R43" s="12" t="s">
        <v>178</v>
      </c>
      <c r="S43" s="12" t="s">
        <v>164</v>
      </c>
      <c r="T43" s="12" t="s">
        <v>204</v>
      </c>
      <c r="U43" s="12" t="s">
        <v>179</v>
      </c>
      <c r="V43" s="12" t="s">
        <v>175</v>
      </c>
      <c r="W43" s="12" t="s">
        <v>165</v>
      </c>
      <c r="X43" s="12" t="s">
        <v>176</v>
      </c>
      <c r="Y43" s="12" t="s">
        <v>165</v>
      </c>
    </row>
    <row r="44" spans="1:25" hidden="1" x14ac:dyDescent="0.15">
      <c r="A44" s="16" t="s">
        <v>234</v>
      </c>
      <c r="B44" s="11">
        <v>27</v>
      </c>
      <c r="C44" s="12" t="s">
        <v>6</v>
      </c>
      <c r="D44" s="12" t="s">
        <v>6</v>
      </c>
      <c r="E44" s="12" t="s">
        <v>5</v>
      </c>
      <c r="F44" s="12" t="s">
        <v>51</v>
      </c>
      <c r="G44" s="12" t="s">
        <v>160</v>
      </c>
      <c r="H44" s="12" t="s">
        <v>54</v>
      </c>
      <c r="I44" s="12" t="s">
        <v>117</v>
      </c>
      <c r="J44" s="12" t="s">
        <v>118</v>
      </c>
      <c r="K44" s="12" t="s">
        <v>161</v>
      </c>
      <c r="L44" s="12" t="s">
        <v>174</v>
      </c>
      <c r="M44" s="12" t="s">
        <v>160</v>
      </c>
      <c r="N44" s="12" t="s">
        <v>174</v>
      </c>
      <c r="O44" s="12" t="s">
        <v>160</v>
      </c>
      <c r="P44" s="12" t="s">
        <v>202</v>
      </c>
      <c r="Q44" s="12" t="s">
        <v>203</v>
      </c>
      <c r="R44" s="12" t="s">
        <v>193</v>
      </c>
      <c r="S44" s="12" t="s">
        <v>164</v>
      </c>
      <c r="T44" s="12" t="s">
        <v>204</v>
      </c>
      <c r="U44" s="12" t="s">
        <v>179</v>
      </c>
      <c r="V44" s="12" t="s">
        <v>194</v>
      </c>
      <c r="W44" s="12" t="s">
        <v>165</v>
      </c>
      <c r="X44" s="12" t="s">
        <v>195</v>
      </c>
      <c r="Y44" s="12" t="s">
        <v>165</v>
      </c>
    </row>
    <row r="45" spans="1:25" hidden="1" x14ac:dyDescent="0.15">
      <c r="A45" s="16" t="s">
        <v>224</v>
      </c>
      <c r="B45" s="11">
        <v>27</v>
      </c>
      <c r="C45" s="12" t="s">
        <v>6</v>
      </c>
      <c r="D45" s="12" t="s">
        <v>6</v>
      </c>
      <c r="E45" s="12" t="s">
        <v>5</v>
      </c>
      <c r="F45" s="12" t="s">
        <v>51</v>
      </c>
      <c r="G45" s="12" t="s">
        <v>160</v>
      </c>
      <c r="H45" s="12" t="s">
        <v>54</v>
      </c>
      <c r="I45" s="12" t="s">
        <v>117</v>
      </c>
      <c r="J45" s="12" t="s">
        <v>118</v>
      </c>
      <c r="K45" s="12" t="s">
        <v>161</v>
      </c>
      <c r="L45" s="12" t="s">
        <v>174</v>
      </c>
      <c r="M45" s="12" t="s">
        <v>160</v>
      </c>
      <c r="N45" s="12" t="s">
        <v>174</v>
      </c>
      <c r="O45" s="12" t="s">
        <v>160</v>
      </c>
      <c r="P45" s="12" t="s">
        <v>170</v>
      </c>
      <c r="Q45" s="12" t="s">
        <v>177</v>
      </c>
      <c r="R45" s="12" t="s">
        <v>182</v>
      </c>
      <c r="S45" s="12" t="s">
        <v>165</v>
      </c>
      <c r="T45" s="12" t="s">
        <v>171</v>
      </c>
      <c r="U45" s="12" t="s">
        <v>179</v>
      </c>
      <c r="V45" s="12" t="s">
        <v>194</v>
      </c>
      <c r="W45" s="12" t="s">
        <v>165</v>
      </c>
      <c r="X45" s="12" t="s">
        <v>195</v>
      </c>
      <c r="Y45" s="12" t="s">
        <v>165</v>
      </c>
    </row>
    <row r="46" spans="1:25" hidden="1" x14ac:dyDescent="0.15">
      <c r="A46" s="16" t="s">
        <v>234</v>
      </c>
      <c r="B46" s="11">
        <v>28</v>
      </c>
      <c r="C46" s="12" t="s">
        <v>6</v>
      </c>
      <c r="D46" s="12" t="s">
        <v>6</v>
      </c>
      <c r="E46" s="12" t="s">
        <v>5</v>
      </c>
      <c r="F46" s="12" t="s">
        <v>51</v>
      </c>
      <c r="G46" s="12" t="s">
        <v>160</v>
      </c>
      <c r="H46" s="12" t="s">
        <v>55</v>
      </c>
      <c r="I46" s="12" t="s">
        <v>119</v>
      </c>
      <c r="J46" s="12" t="s">
        <v>120</v>
      </c>
      <c r="K46" s="12" t="s">
        <v>161</v>
      </c>
      <c r="L46" s="12" t="s">
        <v>181</v>
      </c>
      <c r="M46" s="12" t="s">
        <v>160</v>
      </c>
      <c r="N46" s="12" t="s">
        <v>174</v>
      </c>
      <c r="O46" s="12" t="s">
        <v>160</v>
      </c>
      <c r="P46" s="12" t="s">
        <v>202</v>
      </c>
      <c r="Q46" s="12" t="s">
        <v>203</v>
      </c>
      <c r="R46" s="12" t="s">
        <v>193</v>
      </c>
      <c r="S46" s="12" t="s">
        <v>164</v>
      </c>
      <c r="T46" s="12" t="s">
        <v>204</v>
      </c>
      <c r="U46" s="12" t="s">
        <v>179</v>
      </c>
      <c r="V46" s="12" t="s">
        <v>194</v>
      </c>
      <c r="W46" s="12" t="s">
        <v>165</v>
      </c>
      <c r="X46" s="12" t="s">
        <v>195</v>
      </c>
      <c r="Y46" s="12" t="s">
        <v>165</v>
      </c>
    </row>
    <row r="47" spans="1:25" hidden="1" x14ac:dyDescent="0.15">
      <c r="A47" s="16" t="s">
        <v>232</v>
      </c>
      <c r="B47" s="11">
        <v>28</v>
      </c>
      <c r="C47" s="12" t="s">
        <v>6</v>
      </c>
      <c r="D47" s="12" t="s">
        <v>6</v>
      </c>
      <c r="E47" s="12" t="s">
        <v>5</v>
      </c>
      <c r="F47" s="12" t="s">
        <v>51</v>
      </c>
      <c r="G47" s="12" t="s">
        <v>160</v>
      </c>
      <c r="H47" s="12" t="s">
        <v>55</v>
      </c>
      <c r="I47" s="12" t="s">
        <v>119</v>
      </c>
      <c r="J47" s="12" t="s">
        <v>120</v>
      </c>
      <c r="K47" s="12" t="s">
        <v>161</v>
      </c>
      <c r="L47" s="12" t="s">
        <v>181</v>
      </c>
      <c r="M47" s="12" t="s">
        <v>160</v>
      </c>
      <c r="N47" s="12" t="s">
        <v>174</v>
      </c>
      <c r="O47" s="12" t="s">
        <v>160</v>
      </c>
      <c r="P47" s="12" t="s">
        <v>170</v>
      </c>
      <c r="Q47" s="12" t="s">
        <v>165</v>
      </c>
      <c r="R47" s="12" t="s">
        <v>182</v>
      </c>
      <c r="S47" s="12" t="s">
        <v>165</v>
      </c>
      <c r="T47" s="12" t="s">
        <v>171</v>
      </c>
      <c r="U47" s="12" t="s">
        <v>172</v>
      </c>
      <c r="V47" s="12" t="s">
        <v>194</v>
      </c>
      <c r="W47" s="12" t="s">
        <v>165</v>
      </c>
      <c r="X47" s="12" t="s">
        <v>195</v>
      </c>
      <c r="Y47" s="12" t="s">
        <v>165</v>
      </c>
    </row>
    <row r="48" spans="1:25" hidden="1" x14ac:dyDescent="0.15">
      <c r="A48" s="16" t="s">
        <v>234</v>
      </c>
      <c r="B48" s="11">
        <v>29</v>
      </c>
      <c r="C48" s="12" t="s">
        <v>8</v>
      </c>
      <c r="D48" s="12" t="s">
        <v>6</v>
      </c>
      <c r="E48" s="12" t="s">
        <v>5</v>
      </c>
      <c r="F48" s="12" t="s">
        <v>51</v>
      </c>
      <c r="G48" s="12" t="s">
        <v>160</v>
      </c>
      <c r="H48" s="12" t="s">
        <v>56</v>
      </c>
      <c r="I48" s="12" t="s">
        <v>121</v>
      </c>
      <c r="J48" s="12" t="s">
        <v>122</v>
      </c>
      <c r="K48" s="12" t="s">
        <v>161</v>
      </c>
      <c r="L48" s="12" t="s">
        <v>161</v>
      </c>
      <c r="M48" s="12" t="s">
        <v>160</v>
      </c>
      <c r="N48" s="12" t="s">
        <v>174</v>
      </c>
      <c r="O48" s="12" t="s">
        <v>160</v>
      </c>
      <c r="P48" s="12" t="s">
        <v>202</v>
      </c>
      <c r="Q48" s="12" t="s">
        <v>203</v>
      </c>
      <c r="R48" s="12" t="s">
        <v>182</v>
      </c>
      <c r="S48" s="12" t="s">
        <v>164</v>
      </c>
      <c r="T48" s="12" t="s">
        <v>204</v>
      </c>
      <c r="U48" s="12" t="s">
        <v>179</v>
      </c>
      <c r="V48" s="12" t="s">
        <v>181</v>
      </c>
      <c r="W48" s="12" t="s">
        <v>165</v>
      </c>
      <c r="X48" s="12" t="s">
        <v>182</v>
      </c>
      <c r="Y48" s="12" t="s">
        <v>165</v>
      </c>
    </row>
    <row r="49" spans="1:25" hidden="1" x14ac:dyDescent="0.15">
      <c r="A49" s="16" t="s">
        <v>234</v>
      </c>
      <c r="B49" s="11">
        <v>30</v>
      </c>
      <c r="C49" s="12" t="s">
        <v>7</v>
      </c>
      <c r="D49" s="12" t="s">
        <v>6</v>
      </c>
      <c r="E49" s="12" t="s">
        <v>5</v>
      </c>
      <c r="F49" s="12" t="s">
        <v>51</v>
      </c>
      <c r="G49" s="12" t="s">
        <v>160</v>
      </c>
      <c r="H49" s="12" t="s">
        <v>57</v>
      </c>
      <c r="I49" s="12" t="s">
        <v>123</v>
      </c>
      <c r="J49" s="12" t="s">
        <v>124</v>
      </c>
      <c r="K49" s="12" t="s">
        <v>161</v>
      </c>
      <c r="L49" s="12" t="s">
        <v>188</v>
      </c>
      <c r="M49" s="12" t="s">
        <v>160</v>
      </c>
      <c r="N49" s="12" t="s">
        <v>209</v>
      </c>
      <c r="O49" s="12" t="s">
        <v>160</v>
      </c>
      <c r="P49" s="12" t="s">
        <v>202</v>
      </c>
      <c r="Q49" s="12" t="s">
        <v>203</v>
      </c>
      <c r="R49" s="12" t="s">
        <v>210</v>
      </c>
      <c r="S49" s="12" t="s">
        <v>164</v>
      </c>
      <c r="T49" s="12" t="s">
        <v>204</v>
      </c>
      <c r="U49" s="12" t="s">
        <v>179</v>
      </c>
      <c r="V49" s="12" t="s">
        <v>168</v>
      </c>
      <c r="W49" s="12" t="s">
        <v>165</v>
      </c>
      <c r="X49" s="12" t="s">
        <v>210</v>
      </c>
      <c r="Y49" s="12" t="s">
        <v>165</v>
      </c>
    </row>
    <row r="50" spans="1:25" hidden="1" x14ac:dyDescent="0.15">
      <c r="A50" s="16" t="s">
        <v>236</v>
      </c>
      <c r="B50" s="11">
        <v>31</v>
      </c>
      <c r="C50" s="12" t="s">
        <v>6</v>
      </c>
      <c r="D50" s="12" t="s">
        <v>6</v>
      </c>
      <c r="E50" s="12" t="s">
        <v>5</v>
      </c>
      <c r="F50" s="12" t="s">
        <v>58</v>
      </c>
      <c r="G50" s="12" t="s">
        <v>160</v>
      </c>
      <c r="H50" s="12" t="s">
        <v>235</v>
      </c>
      <c r="I50" s="12" t="s">
        <v>125</v>
      </c>
      <c r="J50" s="12" t="s">
        <v>126</v>
      </c>
      <c r="K50" s="12" t="s">
        <v>161</v>
      </c>
      <c r="L50" s="12" t="s">
        <v>162</v>
      </c>
      <c r="M50" s="12" t="s">
        <v>160</v>
      </c>
      <c r="N50" s="12" t="s">
        <v>174</v>
      </c>
      <c r="O50" s="12" t="s">
        <v>160</v>
      </c>
      <c r="P50" s="12" t="s">
        <v>202</v>
      </c>
      <c r="Q50" s="12" t="s">
        <v>203</v>
      </c>
      <c r="R50" s="12" t="s">
        <v>211</v>
      </c>
      <c r="S50" s="12" t="s">
        <v>164</v>
      </c>
      <c r="T50" s="12" t="s">
        <v>204</v>
      </c>
      <c r="U50" s="12" t="s">
        <v>179</v>
      </c>
      <c r="V50" s="12" t="s">
        <v>212</v>
      </c>
      <c r="W50" s="12" t="s">
        <v>165</v>
      </c>
      <c r="X50" s="12" t="s">
        <v>213</v>
      </c>
      <c r="Y50" s="12" t="s">
        <v>165</v>
      </c>
    </row>
    <row r="51" spans="1:25" hidden="1" x14ac:dyDescent="0.15">
      <c r="A51" s="16" t="s">
        <v>222</v>
      </c>
      <c r="B51" s="11">
        <v>31</v>
      </c>
      <c r="C51" s="12" t="s">
        <v>6</v>
      </c>
      <c r="D51" s="12" t="s">
        <v>6</v>
      </c>
      <c r="E51" s="12" t="s">
        <v>5</v>
      </c>
      <c r="F51" s="12" t="s">
        <v>58</v>
      </c>
      <c r="G51" s="12" t="s">
        <v>160</v>
      </c>
      <c r="H51" s="12" t="s">
        <v>60</v>
      </c>
      <c r="I51" s="12" t="s">
        <v>125</v>
      </c>
      <c r="J51" s="12" t="s">
        <v>126</v>
      </c>
      <c r="K51" s="12" t="s">
        <v>161</v>
      </c>
      <c r="L51" s="12" t="s">
        <v>162</v>
      </c>
      <c r="M51" s="12" t="s">
        <v>160</v>
      </c>
      <c r="N51" s="12" t="s">
        <v>174</v>
      </c>
      <c r="O51" s="12" t="s">
        <v>160</v>
      </c>
      <c r="P51" s="12" t="s">
        <v>170</v>
      </c>
      <c r="Q51" s="12" t="s">
        <v>165</v>
      </c>
      <c r="R51" s="12" t="s">
        <v>162</v>
      </c>
      <c r="S51" s="12" t="s">
        <v>165</v>
      </c>
      <c r="T51" s="12" t="s">
        <v>171</v>
      </c>
      <c r="U51" s="12" t="s">
        <v>172</v>
      </c>
      <c r="V51" s="12" t="s">
        <v>212</v>
      </c>
      <c r="W51" s="12" t="s">
        <v>165</v>
      </c>
      <c r="X51" s="12" t="s">
        <v>213</v>
      </c>
      <c r="Y51" s="12" t="s">
        <v>165</v>
      </c>
    </row>
    <row r="52" spans="1:25" hidden="1" x14ac:dyDescent="0.15">
      <c r="A52" s="16" t="s">
        <v>236</v>
      </c>
      <c r="B52" s="11">
        <v>32</v>
      </c>
      <c r="C52" s="12" t="s">
        <v>6</v>
      </c>
      <c r="D52" s="12" t="s">
        <v>6</v>
      </c>
      <c r="E52" s="12" t="s">
        <v>5</v>
      </c>
      <c r="F52" s="12" t="s">
        <v>58</v>
      </c>
      <c r="G52" s="12" t="s">
        <v>160</v>
      </c>
      <c r="H52" s="12" t="s">
        <v>61</v>
      </c>
      <c r="I52" s="12" t="s">
        <v>127</v>
      </c>
      <c r="J52" s="12" t="s">
        <v>128</v>
      </c>
      <c r="K52" s="12" t="s">
        <v>161</v>
      </c>
      <c r="L52" s="12" t="s">
        <v>174</v>
      </c>
      <c r="M52" s="12" t="s">
        <v>160</v>
      </c>
      <c r="N52" s="12" t="s">
        <v>174</v>
      </c>
      <c r="O52" s="12" t="s">
        <v>160</v>
      </c>
      <c r="P52" s="12" t="s">
        <v>202</v>
      </c>
      <c r="Q52" s="12" t="s">
        <v>203</v>
      </c>
      <c r="R52" s="12" t="s">
        <v>214</v>
      </c>
      <c r="S52" s="12" t="s">
        <v>164</v>
      </c>
      <c r="T52" s="12" t="s">
        <v>204</v>
      </c>
      <c r="U52" s="12" t="s">
        <v>179</v>
      </c>
      <c r="V52" s="12" t="s">
        <v>215</v>
      </c>
      <c r="W52" s="12" t="s">
        <v>165</v>
      </c>
      <c r="X52" s="12" t="s">
        <v>216</v>
      </c>
      <c r="Y52" s="12" t="s">
        <v>165</v>
      </c>
    </row>
    <row r="53" spans="1:25" hidden="1" x14ac:dyDescent="0.15">
      <c r="A53" s="16" t="s">
        <v>224</v>
      </c>
      <c r="B53" s="11">
        <v>32</v>
      </c>
      <c r="C53" s="12" t="s">
        <v>6</v>
      </c>
      <c r="D53" s="12" t="s">
        <v>6</v>
      </c>
      <c r="E53" s="12" t="s">
        <v>5</v>
      </c>
      <c r="F53" s="12" t="s">
        <v>58</v>
      </c>
      <c r="G53" s="12" t="s">
        <v>160</v>
      </c>
      <c r="H53" s="12" t="s">
        <v>61</v>
      </c>
      <c r="I53" s="12" t="s">
        <v>127</v>
      </c>
      <c r="J53" s="12" t="s">
        <v>128</v>
      </c>
      <c r="K53" s="12" t="s">
        <v>161</v>
      </c>
      <c r="L53" s="12" t="s">
        <v>174</v>
      </c>
      <c r="M53" s="12" t="s">
        <v>160</v>
      </c>
      <c r="N53" s="12" t="s">
        <v>174</v>
      </c>
      <c r="O53" s="12" t="s">
        <v>160</v>
      </c>
      <c r="P53" s="12" t="s">
        <v>170</v>
      </c>
      <c r="Q53" s="12" t="s">
        <v>177</v>
      </c>
      <c r="R53" s="12" t="s">
        <v>182</v>
      </c>
      <c r="S53" s="12" t="s">
        <v>165</v>
      </c>
      <c r="T53" s="12" t="s">
        <v>171</v>
      </c>
      <c r="U53" s="12" t="s">
        <v>179</v>
      </c>
      <c r="V53" s="12" t="s">
        <v>215</v>
      </c>
      <c r="W53" s="12" t="s">
        <v>165</v>
      </c>
      <c r="X53" s="12" t="s">
        <v>216</v>
      </c>
      <c r="Y53" s="12" t="s">
        <v>165</v>
      </c>
    </row>
    <row r="54" spans="1:25" hidden="1" x14ac:dyDescent="0.15">
      <c r="A54" s="16" t="s">
        <v>236</v>
      </c>
      <c r="B54" s="11">
        <v>33</v>
      </c>
      <c r="C54" s="12" t="s">
        <v>6</v>
      </c>
      <c r="D54" s="12" t="s">
        <v>6</v>
      </c>
      <c r="E54" s="12" t="s">
        <v>5</v>
      </c>
      <c r="F54" s="12" t="s">
        <v>58</v>
      </c>
      <c r="G54" s="12" t="s">
        <v>160</v>
      </c>
      <c r="H54" s="12" t="s">
        <v>62</v>
      </c>
      <c r="I54" s="12" t="s">
        <v>129</v>
      </c>
      <c r="J54" s="12" t="s">
        <v>130</v>
      </c>
      <c r="K54" s="12" t="s">
        <v>161</v>
      </c>
      <c r="L54" s="12" t="s">
        <v>181</v>
      </c>
      <c r="M54" s="12" t="s">
        <v>160</v>
      </c>
      <c r="N54" s="12" t="s">
        <v>174</v>
      </c>
      <c r="O54" s="12" t="s">
        <v>160</v>
      </c>
      <c r="P54" s="12" t="s">
        <v>202</v>
      </c>
      <c r="Q54" s="12" t="s">
        <v>203</v>
      </c>
      <c r="R54" s="12" t="s">
        <v>214</v>
      </c>
      <c r="S54" s="12" t="s">
        <v>164</v>
      </c>
      <c r="T54" s="12" t="s">
        <v>204</v>
      </c>
      <c r="U54" s="12" t="s">
        <v>179</v>
      </c>
      <c r="V54" s="12" t="s">
        <v>215</v>
      </c>
      <c r="W54" s="12" t="s">
        <v>165</v>
      </c>
      <c r="X54" s="12" t="s">
        <v>216</v>
      </c>
      <c r="Y54" s="12" t="s">
        <v>165</v>
      </c>
    </row>
    <row r="55" spans="1:25" hidden="1" x14ac:dyDescent="0.15">
      <c r="A55" s="16" t="s">
        <v>232</v>
      </c>
      <c r="B55" s="11">
        <v>33</v>
      </c>
      <c r="C55" s="12" t="s">
        <v>6</v>
      </c>
      <c r="D55" s="12" t="s">
        <v>6</v>
      </c>
      <c r="E55" s="12" t="s">
        <v>5</v>
      </c>
      <c r="F55" s="12" t="s">
        <v>58</v>
      </c>
      <c r="G55" s="12" t="s">
        <v>160</v>
      </c>
      <c r="H55" s="12" t="s">
        <v>62</v>
      </c>
      <c r="I55" s="12" t="s">
        <v>129</v>
      </c>
      <c r="J55" s="12" t="s">
        <v>130</v>
      </c>
      <c r="K55" s="12" t="s">
        <v>161</v>
      </c>
      <c r="L55" s="12" t="s">
        <v>181</v>
      </c>
      <c r="M55" s="12" t="s">
        <v>160</v>
      </c>
      <c r="N55" s="12" t="s">
        <v>174</v>
      </c>
      <c r="O55" s="12" t="s">
        <v>160</v>
      </c>
      <c r="P55" s="12" t="s">
        <v>170</v>
      </c>
      <c r="Q55" s="12" t="s">
        <v>165</v>
      </c>
      <c r="R55" s="12" t="s">
        <v>182</v>
      </c>
      <c r="S55" s="12" t="s">
        <v>165</v>
      </c>
      <c r="T55" s="12" t="s">
        <v>171</v>
      </c>
      <c r="U55" s="12" t="s">
        <v>172</v>
      </c>
      <c r="V55" s="12" t="s">
        <v>215</v>
      </c>
      <c r="W55" s="12" t="s">
        <v>165</v>
      </c>
      <c r="X55" s="12" t="s">
        <v>216</v>
      </c>
      <c r="Y55" s="12" t="s">
        <v>165</v>
      </c>
    </row>
    <row r="56" spans="1:25" hidden="1" x14ac:dyDescent="0.15">
      <c r="A56" s="16" t="s">
        <v>236</v>
      </c>
      <c r="B56" s="11">
        <v>34</v>
      </c>
      <c r="C56" s="12" t="s">
        <v>8</v>
      </c>
      <c r="D56" s="12" t="s">
        <v>6</v>
      </c>
      <c r="E56" s="12" t="s">
        <v>5</v>
      </c>
      <c r="F56" s="12" t="s">
        <v>58</v>
      </c>
      <c r="G56" s="12" t="s">
        <v>160</v>
      </c>
      <c r="H56" s="12" t="s">
        <v>63</v>
      </c>
      <c r="I56" s="12" t="s">
        <v>131</v>
      </c>
      <c r="J56" s="12" t="s">
        <v>132</v>
      </c>
      <c r="K56" s="12" t="s">
        <v>161</v>
      </c>
      <c r="L56" s="12" t="s">
        <v>161</v>
      </c>
      <c r="M56" s="12" t="s">
        <v>160</v>
      </c>
      <c r="N56" s="12" t="s">
        <v>174</v>
      </c>
      <c r="O56" s="12" t="s">
        <v>160</v>
      </c>
      <c r="P56" s="12" t="s">
        <v>202</v>
      </c>
      <c r="Q56" s="12" t="s">
        <v>203</v>
      </c>
      <c r="R56" s="12" t="s">
        <v>217</v>
      </c>
      <c r="S56" s="12" t="s">
        <v>164</v>
      </c>
      <c r="T56" s="12" t="s">
        <v>204</v>
      </c>
      <c r="U56" s="12" t="s">
        <v>179</v>
      </c>
      <c r="V56" s="12" t="s">
        <v>218</v>
      </c>
      <c r="W56" s="12" t="s">
        <v>165</v>
      </c>
      <c r="X56" s="12" t="s">
        <v>217</v>
      </c>
      <c r="Y56" s="12" t="s">
        <v>165</v>
      </c>
    </row>
    <row r="57" spans="1:25" hidden="1" x14ac:dyDescent="0.15">
      <c r="A57" s="16" t="s">
        <v>236</v>
      </c>
      <c r="B57" s="11">
        <v>35</v>
      </c>
      <c r="C57" s="12" t="s">
        <v>7</v>
      </c>
      <c r="D57" s="12" t="s">
        <v>6</v>
      </c>
      <c r="E57" s="12" t="s">
        <v>5</v>
      </c>
      <c r="F57" s="12" t="s">
        <v>58</v>
      </c>
      <c r="G57" s="12" t="s">
        <v>160</v>
      </c>
      <c r="H57" s="12" t="s">
        <v>64</v>
      </c>
      <c r="I57" s="12" t="s">
        <v>133</v>
      </c>
      <c r="J57" s="12" t="s">
        <v>134</v>
      </c>
      <c r="K57" s="12" t="s">
        <v>161</v>
      </c>
      <c r="L57" s="12" t="s">
        <v>188</v>
      </c>
      <c r="M57" s="12" t="s">
        <v>160</v>
      </c>
      <c r="N57" s="12" t="s">
        <v>209</v>
      </c>
      <c r="O57" s="12" t="s">
        <v>160</v>
      </c>
      <c r="P57" s="12" t="s">
        <v>202</v>
      </c>
      <c r="Q57" s="12" t="s">
        <v>203</v>
      </c>
      <c r="R57" s="12" t="s">
        <v>219</v>
      </c>
      <c r="S57" s="12" t="s">
        <v>164</v>
      </c>
      <c r="T57" s="12" t="s">
        <v>204</v>
      </c>
      <c r="U57" s="12" t="s">
        <v>179</v>
      </c>
      <c r="V57" s="12" t="s">
        <v>220</v>
      </c>
      <c r="W57" s="12" t="s">
        <v>165</v>
      </c>
      <c r="X57" s="12" t="s">
        <v>219</v>
      </c>
      <c r="Y57" s="12" t="s">
        <v>165</v>
      </c>
    </row>
  </sheetData>
  <autoFilter ref="A1:Y57" xr:uid="{2F24461E-91E4-4DB0-846F-0024D96B1FEB}">
    <filterColumn colId="11">
      <filters>
        <filter val="10"/>
      </filters>
    </filterColumn>
    <filterColumn colId="12">
      <filters>
        <filter val="30"/>
      </filters>
    </filterColumn>
  </autoFilter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pane xSplit="9" ySplit="2" topLeftCell="J3" activePane="bottomRight" state="frozen"/>
      <selection activeCell="N3" sqref="N3:N25"/>
      <selection pane="topRight" activeCell="N3" sqref="N3:N25"/>
      <selection pane="bottomLeft" activeCell="N3" sqref="N3:N25"/>
      <selection pane="bottomRight" activeCell="G8" sqref="G8"/>
    </sheetView>
  </sheetViews>
  <sheetFormatPr defaultColWidth="80.25" defaultRowHeight="18.75" outlineLevelCol="1" x14ac:dyDescent="0.4"/>
  <cols>
    <col min="1" max="1" width="5.5" bestFit="1" customWidth="1"/>
    <col min="2" max="2" width="9.5" style="4" customWidth="1" outlineLevel="1"/>
    <col min="3" max="3" width="9.125" style="4" customWidth="1" outlineLevel="1"/>
    <col min="4" max="4" width="6.5" bestFit="1" customWidth="1"/>
    <col min="5" max="5" width="24.25" bestFit="1" customWidth="1"/>
    <col min="6" max="6" width="10.5" style="3" bestFit="1" customWidth="1"/>
    <col min="7" max="7" width="52.875" bestFit="1" customWidth="1"/>
    <col min="8" max="8" width="33.75" customWidth="1" outlineLevel="1"/>
    <col min="9" max="9" width="15" customWidth="1" outlineLevel="1"/>
    <col min="10" max="10" width="9.5" bestFit="1" customWidth="1"/>
    <col min="11" max="11" width="7.5" bestFit="1" customWidth="1"/>
    <col min="12" max="12" width="11.625" bestFit="1" customWidth="1"/>
    <col min="13" max="13" width="13.875" bestFit="1" customWidth="1"/>
    <col min="14" max="14" width="5.5" bestFit="1" customWidth="1"/>
  </cols>
  <sheetData>
    <row r="1" spans="1:14" s="2" customFormat="1" ht="13.5" x14ac:dyDescent="0.4">
      <c r="A1" s="65" t="s">
        <v>0</v>
      </c>
      <c r="B1" s="81" t="s">
        <v>1</v>
      </c>
      <c r="C1" s="81" t="s">
        <v>20</v>
      </c>
      <c r="D1" s="81" t="s">
        <v>9</v>
      </c>
      <c r="E1" s="81" t="s">
        <v>10</v>
      </c>
      <c r="F1" s="81" t="s">
        <v>11</v>
      </c>
      <c r="G1" s="81" t="s">
        <v>12</v>
      </c>
      <c r="H1" s="83" t="s">
        <v>2</v>
      </c>
      <c r="I1" s="84" t="s">
        <v>3</v>
      </c>
      <c r="J1" s="85" t="s">
        <v>13</v>
      </c>
      <c r="K1" s="81" t="s">
        <v>14</v>
      </c>
      <c r="L1" s="65" t="s">
        <v>15</v>
      </c>
      <c r="M1" s="81" t="s">
        <v>16</v>
      </c>
      <c r="N1" s="65" t="s">
        <v>17</v>
      </c>
    </row>
    <row r="2" spans="1:14" s="4" customFormat="1" ht="13.5" x14ac:dyDescent="0.4">
      <c r="A2" s="66"/>
      <c r="B2" s="81"/>
      <c r="C2" s="81"/>
      <c r="D2" s="82"/>
      <c r="E2" s="82"/>
      <c r="F2" s="81"/>
      <c r="G2" s="82"/>
      <c r="H2" s="82"/>
      <c r="I2" s="82"/>
      <c r="J2" s="81"/>
      <c r="K2" s="66"/>
      <c r="L2" s="66"/>
      <c r="M2" s="66"/>
      <c r="N2" s="66"/>
    </row>
    <row r="3" spans="1:14" x14ac:dyDescent="0.15">
      <c r="A3" s="9">
        <f t="shared" ref="A3:A37" si="0">ROW() -2</f>
        <v>1</v>
      </c>
      <c r="B3" s="8" t="s">
        <v>5</v>
      </c>
      <c r="C3" s="6" t="s">
        <v>25</v>
      </c>
      <c r="D3" s="5" t="s">
        <v>6</v>
      </c>
      <c r="E3" s="10" t="s">
        <v>18</v>
      </c>
      <c r="F3" s="8"/>
      <c r="G3" s="5" t="s">
        <v>21</v>
      </c>
      <c r="H3" s="13" t="s">
        <v>65</v>
      </c>
      <c r="I3" s="13" t="s">
        <v>66</v>
      </c>
      <c r="J3" s="7">
        <v>500</v>
      </c>
      <c r="K3" s="1">
        <v>30</v>
      </c>
      <c r="L3" s="1">
        <v>30</v>
      </c>
      <c r="M3" s="1"/>
      <c r="N3" s="1"/>
    </row>
    <row r="4" spans="1:14" x14ac:dyDescent="0.15">
      <c r="A4" s="9">
        <f t="shared" si="0"/>
        <v>2</v>
      </c>
      <c r="B4" s="8" t="s">
        <v>5</v>
      </c>
      <c r="C4" s="6" t="s">
        <v>25</v>
      </c>
      <c r="D4" s="5" t="s">
        <v>6</v>
      </c>
      <c r="E4" s="10" t="s">
        <v>18</v>
      </c>
      <c r="F4" s="8"/>
      <c r="G4" s="5" t="s">
        <v>23</v>
      </c>
      <c r="H4" s="13" t="s">
        <v>67</v>
      </c>
      <c r="I4" s="13" t="s">
        <v>68</v>
      </c>
      <c r="J4" s="7">
        <v>500</v>
      </c>
      <c r="K4" s="1">
        <v>10</v>
      </c>
      <c r="L4" s="1">
        <v>30</v>
      </c>
      <c r="M4" s="1"/>
      <c r="N4" s="1"/>
    </row>
    <row r="5" spans="1:14" x14ac:dyDescent="0.15">
      <c r="A5" s="9">
        <f t="shared" si="0"/>
        <v>3</v>
      </c>
      <c r="B5" s="8" t="s">
        <v>5</v>
      </c>
      <c r="C5" s="6" t="s">
        <v>25</v>
      </c>
      <c r="D5" s="5" t="s">
        <v>6</v>
      </c>
      <c r="E5" s="10" t="s">
        <v>18</v>
      </c>
      <c r="F5" s="8"/>
      <c r="G5" s="5" t="s">
        <v>26</v>
      </c>
      <c r="H5" s="13" t="s">
        <v>69</v>
      </c>
      <c r="I5" s="13" t="s">
        <v>70</v>
      </c>
      <c r="J5" s="7">
        <v>500</v>
      </c>
      <c r="K5" s="1">
        <v>450</v>
      </c>
      <c r="L5" s="1">
        <v>30</v>
      </c>
      <c r="M5" s="1"/>
      <c r="N5" s="1"/>
    </row>
    <row r="6" spans="1:14" x14ac:dyDescent="0.15">
      <c r="A6" s="9">
        <f t="shared" si="0"/>
        <v>4</v>
      </c>
      <c r="B6" s="8" t="s">
        <v>5</v>
      </c>
      <c r="C6" s="8" t="s">
        <v>8</v>
      </c>
      <c r="D6" s="5" t="s">
        <v>6</v>
      </c>
      <c r="E6" s="10" t="s">
        <v>18</v>
      </c>
      <c r="F6" s="8"/>
      <c r="G6" s="5" t="s">
        <v>27</v>
      </c>
      <c r="H6" s="13" t="s">
        <v>71</v>
      </c>
      <c r="I6" s="13" t="s">
        <v>72</v>
      </c>
      <c r="J6" s="7">
        <v>500</v>
      </c>
      <c r="K6" s="1">
        <v>500</v>
      </c>
      <c r="L6" s="1">
        <v>30</v>
      </c>
      <c r="M6" s="1"/>
      <c r="N6" s="1"/>
    </row>
    <row r="7" spans="1:14" x14ac:dyDescent="0.15">
      <c r="A7" s="9">
        <f t="shared" si="0"/>
        <v>5</v>
      </c>
      <c r="B7" s="8" t="s">
        <v>5</v>
      </c>
      <c r="C7" s="8" t="s">
        <v>7</v>
      </c>
      <c r="D7" s="5" t="s">
        <v>6</v>
      </c>
      <c r="E7" s="10" t="s">
        <v>18</v>
      </c>
      <c r="F7" s="8"/>
      <c r="G7" s="5" t="s">
        <v>28</v>
      </c>
      <c r="H7" s="13" t="s">
        <v>73</v>
      </c>
      <c r="I7" s="13" t="s">
        <v>74</v>
      </c>
      <c r="J7" s="7">
        <v>500</v>
      </c>
      <c r="K7" s="1">
        <v>550</v>
      </c>
      <c r="L7" s="1">
        <v>30</v>
      </c>
      <c r="M7" s="1"/>
      <c r="N7" s="1"/>
    </row>
    <row r="8" spans="1:14" x14ac:dyDescent="0.15">
      <c r="A8" s="9">
        <f t="shared" si="0"/>
        <v>6</v>
      </c>
      <c r="B8" s="8" t="s">
        <v>5</v>
      </c>
      <c r="C8" s="6" t="s">
        <v>25</v>
      </c>
      <c r="D8" s="5" t="s">
        <v>6</v>
      </c>
      <c r="E8" s="10" t="s">
        <v>19</v>
      </c>
      <c r="F8" s="8"/>
      <c r="G8" s="5" t="s">
        <v>22</v>
      </c>
      <c r="H8" s="13" t="s">
        <v>75</v>
      </c>
      <c r="I8" s="13" t="s">
        <v>76</v>
      </c>
      <c r="J8" s="7">
        <v>500</v>
      </c>
      <c r="K8" s="1">
        <v>30</v>
      </c>
      <c r="L8" s="1">
        <v>10</v>
      </c>
      <c r="M8" s="1"/>
      <c r="N8" s="1"/>
    </row>
    <row r="9" spans="1:14" x14ac:dyDescent="0.15">
      <c r="A9" s="9">
        <f t="shared" si="0"/>
        <v>7</v>
      </c>
      <c r="B9" s="8" t="s">
        <v>5</v>
      </c>
      <c r="C9" s="6" t="s">
        <v>25</v>
      </c>
      <c r="D9" s="5" t="s">
        <v>6</v>
      </c>
      <c r="E9" s="10" t="s">
        <v>19</v>
      </c>
      <c r="F9" s="8"/>
      <c r="G9" s="5" t="s">
        <v>24</v>
      </c>
      <c r="H9" s="13" t="s">
        <v>77</v>
      </c>
      <c r="I9" s="13" t="s">
        <v>78</v>
      </c>
      <c r="J9" s="7">
        <v>500</v>
      </c>
      <c r="K9" s="1">
        <v>10</v>
      </c>
      <c r="L9" s="1">
        <v>10</v>
      </c>
      <c r="M9" s="1"/>
      <c r="N9" s="1"/>
    </row>
    <row r="10" spans="1:14" x14ac:dyDescent="0.15">
      <c r="A10" s="9">
        <f t="shared" si="0"/>
        <v>8</v>
      </c>
      <c r="B10" s="8" t="s">
        <v>5</v>
      </c>
      <c r="C10" s="6" t="s">
        <v>25</v>
      </c>
      <c r="D10" s="5" t="s">
        <v>6</v>
      </c>
      <c r="E10" s="10" t="s">
        <v>18</v>
      </c>
      <c r="F10" s="8"/>
      <c r="G10" s="5" t="s">
        <v>29</v>
      </c>
      <c r="H10" s="13" t="s">
        <v>79</v>
      </c>
      <c r="I10" s="13" t="s">
        <v>80</v>
      </c>
      <c r="J10" s="7">
        <v>500</v>
      </c>
      <c r="K10" s="1">
        <v>450</v>
      </c>
      <c r="L10" s="1">
        <v>10</v>
      </c>
      <c r="M10" s="1"/>
      <c r="N10" s="1"/>
    </row>
    <row r="11" spans="1:14" x14ac:dyDescent="0.15">
      <c r="A11" s="9">
        <f t="shared" si="0"/>
        <v>9</v>
      </c>
      <c r="B11" s="8" t="s">
        <v>5</v>
      </c>
      <c r="C11" s="8" t="s">
        <v>8</v>
      </c>
      <c r="D11" s="5" t="s">
        <v>6</v>
      </c>
      <c r="E11" s="10" t="s">
        <v>18</v>
      </c>
      <c r="F11" s="8"/>
      <c r="G11" s="5" t="s">
        <v>31</v>
      </c>
      <c r="H11" s="13" t="s">
        <v>81</v>
      </c>
      <c r="I11" s="13" t="s">
        <v>82</v>
      </c>
      <c r="J11" s="7">
        <v>500</v>
      </c>
      <c r="K11" s="1">
        <v>500</v>
      </c>
      <c r="L11" s="1">
        <v>10</v>
      </c>
      <c r="M11" s="1"/>
      <c r="N11" s="1"/>
    </row>
    <row r="12" spans="1:14" x14ac:dyDescent="0.15">
      <c r="A12" s="9">
        <f t="shared" si="0"/>
        <v>10</v>
      </c>
      <c r="B12" s="8" t="s">
        <v>5</v>
      </c>
      <c r="C12" s="8" t="s">
        <v>7</v>
      </c>
      <c r="D12" s="5" t="s">
        <v>6</v>
      </c>
      <c r="E12" s="10" t="s">
        <v>18</v>
      </c>
      <c r="F12" s="8"/>
      <c r="G12" s="5" t="s">
        <v>30</v>
      </c>
      <c r="H12" s="13" t="s">
        <v>83</v>
      </c>
      <c r="I12" s="13" t="s">
        <v>84</v>
      </c>
      <c r="J12" s="7">
        <v>500</v>
      </c>
      <c r="K12" s="1">
        <v>550</v>
      </c>
      <c r="L12" s="1">
        <v>10</v>
      </c>
      <c r="M12" s="1"/>
      <c r="N12" s="1"/>
    </row>
    <row r="13" spans="1:14" x14ac:dyDescent="0.15">
      <c r="A13" s="9">
        <f t="shared" si="0"/>
        <v>11</v>
      </c>
      <c r="B13" s="8" t="s">
        <v>5</v>
      </c>
      <c r="C13" s="6" t="s">
        <v>25</v>
      </c>
      <c r="D13" s="5" t="s">
        <v>6</v>
      </c>
      <c r="E13" s="10" t="s">
        <v>4</v>
      </c>
      <c r="F13" s="8">
        <v>30</v>
      </c>
      <c r="G13" s="5" t="s">
        <v>32</v>
      </c>
      <c r="H13" s="13" t="s">
        <v>85</v>
      </c>
      <c r="I13" s="13" t="s">
        <v>86</v>
      </c>
      <c r="J13" s="7">
        <v>500</v>
      </c>
      <c r="K13" s="1">
        <v>30</v>
      </c>
      <c r="L13" s="1"/>
      <c r="M13" s="1"/>
      <c r="N13" s="1"/>
    </row>
    <row r="14" spans="1:14" x14ac:dyDescent="0.15">
      <c r="A14" s="9">
        <f t="shared" si="0"/>
        <v>12</v>
      </c>
      <c r="B14" s="8" t="s">
        <v>5</v>
      </c>
      <c r="C14" s="6" t="s">
        <v>25</v>
      </c>
      <c r="D14" s="5" t="s">
        <v>6</v>
      </c>
      <c r="E14" s="10" t="s">
        <v>4</v>
      </c>
      <c r="F14" s="8">
        <v>30</v>
      </c>
      <c r="G14" s="5" t="s">
        <v>33</v>
      </c>
      <c r="H14" s="13" t="s">
        <v>87</v>
      </c>
      <c r="I14" s="13" t="s">
        <v>88</v>
      </c>
      <c r="J14" s="7">
        <v>500</v>
      </c>
      <c r="K14" s="1">
        <v>10</v>
      </c>
      <c r="L14" s="1"/>
      <c r="M14" s="1"/>
      <c r="N14" s="1"/>
    </row>
    <row r="15" spans="1:14" x14ac:dyDescent="0.15">
      <c r="A15" s="9">
        <f t="shared" si="0"/>
        <v>13</v>
      </c>
      <c r="B15" s="8" t="s">
        <v>5</v>
      </c>
      <c r="C15" s="6" t="s">
        <v>25</v>
      </c>
      <c r="D15" s="5" t="s">
        <v>6</v>
      </c>
      <c r="E15" s="10" t="s">
        <v>4</v>
      </c>
      <c r="F15" s="8">
        <v>30</v>
      </c>
      <c r="G15" s="5" t="s">
        <v>34</v>
      </c>
      <c r="H15" s="13" t="s">
        <v>89</v>
      </c>
      <c r="I15" s="13" t="s">
        <v>90</v>
      </c>
      <c r="J15" s="7">
        <v>500</v>
      </c>
      <c r="K15" s="1">
        <v>450</v>
      </c>
      <c r="L15" s="1"/>
      <c r="M15" s="1"/>
      <c r="N15" s="1"/>
    </row>
    <row r="16" spans="1:14" x14ac:dyDescent="0.15">
      <c r="A16" s="9">
        <f t="shared" si="0"/>
        <v>14</v>
      </c>
      <c r="B16" s="8" t="s">
        <v>5</v>
      </c>
      <c r="C16" s="8" t="s">
        <v>8</v>
      </c>
      <c r="D16" s="5" t="s">
        <v>6</v>
      </c>
      <c r="E16" s="10" t="s">
        <v>4</v>
      </c>
      <c r="F16" s="8">
        <v>30</v>
      </c>
      <c r="G16" s="5" t="s">
        <v>35</v>
      </c>
      <c r="H16" s="13" t="s">
        <v>91</v>
      </c>
      <c r="I16" s="13" t="s">
        <v>92</v>
      </c>
      <c r="J16" s="7">
        <v>500</v>
      </c>
      <c r="K16" s="1">
        <v>500</v>
      </c>
      <c r="L16" s="1"/>
      <c r="M16" s="1"/>
      <c r="N16" s="1"/>
    </row>
    <row r="17" spans="1:14" x14ac:dyDescent="0.15">
      <c r="A17" s="9">
        <f t="shared" si="0"/>
        <v>15</v>
      </c>
      <c r="B17" s="8" t="s">
        <v>5</v>
      </c>
      <c r="C17" s="8" t="s">
        <v>7</v>
      </c>
      <c r="D17" s="5" t="s">
        <v>6</v>
      </c>
      <c r="E17" s="10" t="s">
        <v>4</v>
      </c>
      <c r="F17" s="8">
        <v>80</v>
      </c>
      <c r="G17" s="5" t="s">
        <v>36</v>
      </c>
      <c r="H17" s="13" t="s">
        <v>93</v>
      </c>
      <c r="I17" s="13" t="s">
        <v>94</v>
      </c>
      <c r="J17" s="7">
        <v>500</v>
      </c>
      <c r="K17" s="1">
        <v>550</v>
      </c>
      <c r="L17" s="1"/>
      <c r="M17" s="1"/>
      <c r="N17" s="1"/>
    </row>
    <row r="18" spans="1:14" x14ac:dyDescent="0.15">
      <c r="A18" s="9">
        <f t="shared" si="0"/>
        <v>16</v>
      </c>
      <c r="B18" s="8" t="s">
        <v>5</v>
      </c>
      <c r="C18" s="6" t="s">
        <v>25</v>
      </c>
      <c r="D18" s="5" t="s">
        <v>6</v>
      </c>
      <c r="E18" s="10" t="s">
        <v>38</v>
      </c>
      <c r="F18" s="8">
        <v>10</v>
      </c>
      <c r="G18" s="5" t="s">
        <v>39</v>
      </c>
      <c r="H18" s="13" t="s">
        <v>95</v>
      </c>
      <c r="I18" s="13" t="s">
        <v>96</v>
      </c>
      <c r="J18" s="7">
        <v>500</v>
      </c>
      <c r="K18" s="1">
        <v>30</v>
      </c>
      <c r="L18" s="1"/>
      <c r="M18" s="1"/>
      <c r="N18" s="1"/>
    </row>
    <row r="19" spans="1:14" x14ac:dyDescent="0.15">
      <c r="A19" s="9">
        <f t="shared" si="0"/>
        <v>17</v>
      </c>
      <c r="B19" s="8" t="s">
        <v>5</v>
      </c>
      <c r="C19" s="6" t="s">
        <v>25</v>
      </c>
      <c r="D19" s="5" t="s">
        <v>6</v>
      </c>
      <c r="E19" s="10" t="s">
        <v>37</v>
      </c>
      <c r="F19" s="8">
        <v>10</v>
      </c>
      <c r="G19" s="5" t="s">
        <v>40</v>
      </c>
      <c r="H19" s="13" t="s">
        <v>97</v>
      </c>
      <c r="I19" s="13" t="s">
        <v>98</v>
      </c>
      <c r="J19" s="7">
        <v>500</v>
      </c>
      <c r="K19" s="1">
        <v>10</v>
      </c>
      <c r="L19" s="1"/>
      <c r="M19" s="1"/>
      <c r="N19" s="1"/>
    </row>
    <row r="20" spans="1:14" x14ac:dyDescent="0.15">
      <c r="A20" s="9">
        <f t="shared" si="0"/>
        <v>18</v>
      </c>
      <c r="B20" s="8" t="s">
        <v>5</v>
      </c>
      <c r="C20" s="6" t="s">
        <v>25</v>
      </c>
      <c r="D20" s="5" t="s">
        <v>6</v>
      </c>
      <c r="E20" s="10" t="s">
        <v>37</v>
      </c>
      <c r="F20" s="8">
        <v>10</v>
      </c>
      <c r="G20" s="5" t="s">
        <v>41</v>
      </c>
      <c r="H20" s="13" t="s">
        <v>99</v>
      </c>
      <c r="I20" s="13" t="s">
        <v>100</v>
      </c>
      <c r="J20" s="7">
        <v>500</v>
      </c>
      <c r="K20" s="1">
        <v>450</v>
      </c>
      <c r="L20" s="1"/>
      <c r="M20" s="1"/>
      <c r="N20" s="1"/>
    </row>
    <row r="21" spans="1:14" x14ac:dyDescent="0.15">
      <c r="A21" s="9">
        <f t="shared" si="0"/>
        <v>19</v>
      </c>
      <c r="B21" s="8" t="s">
        <v>5</v>
      </c>
      <c r="C21" s="8" t="s">
        <v>8</v>
      </c>
      <c r="D21" s="5" t="s">
        <v>6</v>
      </c>
      <c r="E21" s="10" t="s">
        <v>37</v>
      </c>
      <c r="F21" s="8">
        <v>10</v>
      </c>
      <c r="G21" s="5" t="s">
        <v>42</v>
      </c>
      <c r="H21" s="13" t="s">
        <v>101</v>
      </c>
      <c r="I21" s="13" t="s">
        <v>102</v>
      </c>
      <c r="J21" s="7">
        <v>500</v>
      </c>
      <c r="K21" s="1">
        <v>500</v>
      </c>
      <c r="L21" s="1"/>
      <c r="M21" s="1"/>
      <c r="N21" s="1"/>
    </row>
    <row r="22" spans="1:14" x14ac:dyDescent="0.15">
      <c r="A22" s="9">
        <f t="shared" si="0"/>
        <v>20</v>
      </c>
      <c r="B22" s="8" t="s">
        <v>5</v>
      </c>
      <c r="C22" s="8" t="s">
        <v>7</v>
      </c>
      <c r="D22" s="5" t="s">
        <v>6</v>
      </c>
      <c r="E22" s="10" t="s">
        <v>37</v>
      </c>
      <c r="F22" s="8">
        <v>20</v>
      </c>
      <c r="G22" s="5" t="s">
        <v>43</v>
      </c>
      <c r="H22" s="13" t="s">
        <v>103</v>
      </c>
      <c r="I22" s="13" t="s">
        <v>104</v>
      </c>
      <c r="J22" s="7">
        <v>500</v>
      </c>
      <c r="K22" s="1">
        <v>550</v>
      </c>
      <c r="L22" s="1"/>
      <c r="M22" s="1"/>
      <c r="N22" s="1"/>
    </row>
    <row r="23" spans="1:14" x14ac:dyDescent="0.15">
      <c r="A23" s="9">
        <f t="shared" si="0"/>
        <v>21</v>
      </c>
      <c r="B23" s="8" t="s">
        <v>5</v>
      </c>
      <c r="C23" s="6" t="s">
        <v>25</v>
      </c>
      <c r="D23" s="5" t="s">
        <v>6</v>
      </c>
      <c r="E23" s="10" t="s">
        <v>45</v>
      </c>
      <c r="F23" s="8"/>
      <c r="G23" s="5" t="s">
        <v>46</v>
      </c>
      <c r="H23" s="13" t="s">
        <v>105</v>
      </c>
      <c r="I23" s="13" t="s">
        <v>106</v>
      </c>
      <c r="J23" s="7">
        <v>500</v>
      </c>
      <c r="K23" s="1">
        <v>30</v>
      </c>
      <c r="L23" s="1"/>
      <c r="M23" s="8">
        <v>10</v>
      </c>
      <c r="N23" s="1"/>
    </row>
    <row r="24" spans="1:14" x14ac:dyDescent="0.15">
      <c r="A24" s="9">
        <f t="shared" si="0"/>
        <v>22</v>
      </c>
      <c r="B24" s="8" t="s">
        <v>5</v>
      </c>
      <c r="C24" s="6" t="s">
        <v>25</v>
      </c>
      <c r="D24" s="5" t="s">
        <v>6</v>
      </c>
      <c r="E24" s="10" t="s">
        <v>44</v>
      </c>
      <c r="F24" s="8"/>
      <c r="G24" s="5" t="s">
        <v>47</v>
      </c>
      <c r="H24" s="13" t="s">
        <v>107</v>
      </c>
      <c r="I24" s="13" t="s">
        <v>108</v>
      </c>
      <c r="J24" s="7">
        <v>500</v>
      </c>
      <c r="K24" s="1">
        <v>10</v>
      </c>
      <c r="L24" s="1"/>
      <c r="M24" s="8">
        <v>10</v>
      </c>
      <c r="N24" s="1"/>
    </row>
    <row r="25" spans="1:14" x14ac:dyDescent="0.15">
      <c r="A25" s="9">
        <f t="shared" si="0"/>
        <v>23</v>
      </c>
      <c r="B25" s="8" t="s">
        <v>5</v>
      </c>
      <c r="C25" s="6" t="s">
        <v>25</v>
      </c>
      <c r="D25" s="5" t="s">
        <v>6</v>
      </c>
      <c r="E25" s="10" t="s">
        <v>44</v>
      </c>
      <c r="F25" s="8"/>
      <c r="G25" s="5" t="s">
        <v>48</v>
      </c>
      <c r="H25" s="13" t="s">
        <v>109</v>
      </c>
      <c r="I25" s="13" t="s">
        <v>110</v>
      </c>
      <c r="J25" s="7">
        <v>500</v>
      </c>
      <c r="K25" s="1">
        <v>450</v>
      </c>
      <c r="L25" s="1"/>
      <c r="M25" s="8">
        <v>10</v>
      </c>
      <c r="N25" s="1"/>
    </row>
    <row r="26" spans="1:14" x14ac:dyDescent="0.15">
      <c r="A26" s="9">
        <f t="shared" si="0"/>
        <v>24</v>
      </c>
      <c r="B26" s="8" t="s">
        <v>5</v>
      </c>
      <c r="C26" s="8" t="s">
        <v>8</v>
      </c>
      <c r="D26" s="5" t="s">
        <v>6</v>
      </c>
      <c r="E26" s="10" t="s">
        <v>44</v>
      </c>
      <c r="F26" s="8"/>
      <c r="G26" s="5" t="s">
        <v>49</v>
      </c>
      <c r="H26" s="13" t="s">
        <v>111</v>
      </c>
      <c r="I26" s="13" t="s">
        <v>112</v>
      </c>
      <c r="J26" s="7">
        <v>500</v>
      </c>
      <c r="K26" s="1">
        <v>500</v>
      </c>
      <c r="L26" s="1"/>
      <c r="M26" s="8">
        <v>10</v>
      </c>
      <c r="N26" s="1"/>
    </row>
    <row r="27" spans="1:14" x14ac:dyDescent="0.15">
      <c r="A27" s="9">
        <f t="shared" si="0"/>
        <v>25</v>
      </c>
      <c r="B27" s="8" t="s">
        <v>5</v>
      </c>
      <c r="C27" s="8" t="s">
        <v>7</v>
      </c>
      <c r="D27" s="5" t="s">
        <v>6</v>
      </c>
      <c r="E27" s="10" t="s">
        <v>44</v>
      </c>
      <c r="F27" s="8"/>
      <c r="G27" s="5" t="s">
        <v>50</v>
      </c>
      <c r="H27" s="13" t="s">
        <v>113</v>
      </c>
      <c r="I27" s="13" t="s">
        <v>114</v>
      </c>
      <c r="J27" s="7">
        <v>500</v>
      </c>
      <c r="K27" s="1">
        <v>550</v>
      </c>
      <c r="L27" s="1"/>
      <c r="M27" s="8">
        <v>20</v>
      </c>
      <c r="N27" s="1"/>
    </row>
    <row r="28" spans="1:14" x14ac:dyDescent="0.15">
      <c r="A28" s="9">
        <f t="shared" si="0"/>
        <v>26</v>
      </c>
      <c r="B28" s="8" t="s">
        <v>5</v>
      </c>
      <c r="C28" s="6" t="s">
        <v>25</v>
      </c>
      <c r="D28" s="5" t="s">
        <v>6</v>
      </c>
      <c r="E28" s="10" t="s">
        <v>52</v>
      </c>
      <c r="F28" s="8"/>
      <c r="G28" s="5" t="s">
        <v>53</v>
      </c>
      <c r="H28" s="13" t="s">
        <v>115</v>
      </c>
      <c r="I28" s="13" t="s">
        <v>116</v>
      </c>
      <c r="J28" s="7">
        <v>500</v>
      </c>
      <c r="K28" s="1">
        <v>30</v>
      </c>
      <c r="L28" s="1"/>
      <c r="M28" s="8">
        <v>10</v>
      </c>
      <c r="N28" s="1"/>
    </row>
    <row r="29" spans="1:14" x14ac:dyDescent="0.15">
      <c r="A29" s="9">
        <f t="shared" si="0"/>
        <v>27</v>
      </c>
      <c r="B29" s="8" t="s">
        <v>5</v>
      </c>
      <c r="C29" s="6" t="s">
        <v>25</v>
      </c>
      <c r="D29" s="5" t="s">
        <v>6</v>
      </c>
      <c r="E29" s="10" t="s">
        <v>51</v>
      </c>
      <c r="F29" s="8"/>
      <c r="G29" s="5" t="s">
        <v>54</v>
      </c>
      <c r="H29" s="13" t="s">
        <v>117</v>
      </c>
      <c r="I29" s="13" t="s">
        <v>118</v>
      </c>
      <c r="J29" s="7">
        <v>500</v>
      </c>
      <c r="K29" s="1">
        <v>10</v>
      </c>
      <c r="L29" s="1"/>
      <c r="M29" s="8">
        <v>10</v>
      </c>
      <c r="N29" s="1"/>
    </row>
    <row r="30" spans="1:14" x14ac:dyDescent="0.15">
      <c r="A30" s="9">
        <f t="shared" si="0"/>
        <v>28</v>
      </c>
      <c r="B30" s="8" t="s">
        <v>5</v>
      </c>
      <c r="C30" s="6" t="s">
        <v>25</v>
      </c>
      <c r="D30" s="5" t="s">
        <v>6</v>
      </c>
      <c r="E30" s="10" t="s">
        <v>51</v>
      </c>
      <c r="F30" s="8"/>
      <c r="G30" s="5" t="s">
        <v>55</v>
      </c>
      <c r="H30" s="13" t="s">
        <v>119</v>
      </c>
      <c r="I30" s="13" t="s">
        <v>120</v>
      </c>
      <c r="J30" s="7">
        <v>500</v>
      </c>
      <c r="K30" s="1">
        <v>450</v>
      </c>
      <c r="L30" s="1"/>
      <c r="M30" s="8">
        <v>10</v>
      </c>
      <c r="N30" s="1"/>
    </row>
    <row r="31" spans="1:14" x14ac:dyDescent="0.15">
      <c r="A31" s="9">
        <f t="shared" si="0"/>
        <v>29</v>
      </c>
      <c r="B31" s="8" t="s">
        <v>5</v>
      </c>
      <c r="C31" s="8" t="s">
        <v>8</v>
      </c>
      <c r="D31" s="5" t="s">
        <v>6</v>
      </c>
      <c r="E31" s="10" t="s">
        <v>51</v>
      </c>
      <c r="F31" s="8"/>
      <c r="G31" s="5" t="s">
        <v>56</v>
      </c>
      <c r="H31" s="13" t="s">
        <v>121</v>
      </c>
      <c r="I31" s="13" t="s">
        <v>122</v>
      </c>
      <c r="J31" s="7">
        <v>500</v>
      </c>
      <c r="K31" s="1">
        <v>500</v>
      </c>
      <c r="L31" s="1"/>
      <c r="M31" s="8">
        <v>10</v>
      </c>
      <c r="N31" s="1"/>
    </row>
    <row r="32" spans="1:14" x14ac:dyDescent="0.15">
      <c r="A32" s="9">
        <f t="shared" si="0"/>
        <v>30</v>
      </c>
      <c r="B32" s="8" t="s">
        <v>5</v>
      </c>
      <c r="C32" s="8" t="s">
        <v>7</v>
      </c>
      <c r="D32" s="5" t="s">
        <v>6</v>
      </c>
      <c r="E32" s="10" t="s">
        <v>51</v>
      </c>
      <c r="F32" s="8"/>
      <c r="G32" s="5" t="s">
        <v>57</v>
      </c>
      <c r="H32" s="13" t="s">
        <v>123</v>
      </c>
      <c r="I32" s="13" t="s">
        <v>124</v>
      </c>
      <c r="J32" s="7">
        <v>500</v>
      </c>
      <c r="K32" s="1">
        <v>550</v>
      </c>
      <c r="L32" s="1"/>
      <c r="M32" s="8">
        <v>20</v>
      </c>
      <c r="N32" s="1"/>
    </row>
    <row r="33" spans="1:14" x14ac:dyDescent="0.15">
      <c r="A33" s="9">
        <f t="shared" si="0"/>
        <v>31</v>
      </c>
      <c r="B33" s="8" t="s">
        <v>5</v>
      </c>
      <c r="C33" s="6" t="s">
        <v>25</v>
      </c>
      <c r="D33" s="5" t="s">
        <v>6</v>
      </c>
      <c r="E33" s="5" t="s">
        <v>59</v>
      </c>
      <c r="F33" s="8"/>
      <c r="G33" s="5" t="s">
        <v>60</v>
      </c>
      <c r="H33" s="13" t="s">
        <v>125</v>
      </c>
      <c r="I33" s="13" t="s">
        <v>126</v>
      </c>
      <c r="J33" s="7">
        <v>500</v>
      </c>
      <c r="K33" s="1">
        <v>30</v>
      </c>
      <c r="L33" s="1"/>
      <c r="M33" s="8">
        <v>10</v>
      </c>
      <c r="N33" s="1"/>
    </row>
    <row r="34" spans="1:14" x14ac:dyDescent="0.15">
      <c r="A34" s="9">
        <f t="shared" si="0"/>
        <v>32</v>
      </c>
      <c r="B34" s="8" t="s">
        <v>5</v>
      </c>
      <c r="C34" s="6" t="s">
        <v>25</v>
      </c>
      <c r="D34" s="5" t="s">
        <v>6</v>
      </c>
      <c r="E34" s="5" t="s">
        <v>58</v>
      </c>
      <c r="F34" s="8"/>
      <c r="G34" s="5" t="s">
        <v>61</v>
      </c>
      <c r="H34" s="13" t="s">
        <v>127</v>
      </c>
      <c r="I34" s="13" t="s">
        <v>128</v>
      </c>
      <c r="J34" s="7">
        <v>500</v>
      </c>
      <c r="K34" s="1">
        <v>10</v>
      </c>
      <c r="L34" s="1"/>
      <c r="M34" s="8">
        <v>10</v>
      </c>
      <c r="N34" s="1"/>
    </row>
    <row r="35" spans="1:14" x14ac:dyDescent="0.15">
      <c r="A35" s="9">
        <f t="shared" si="0"/>
        <v>33</v>
      </c>
      <c r="B35" s="8" t="s">
        <v>5</v>
      </c>
      <c r="C35" s="6" t="s">
        <v>25</v>
      </c>
      <c r="D35" s="5" t="s">
        <v>6</v>
      </c>
      <c r="E35" s="5" t="s">
        <v>58</v>
      </c>
      <c r="F35" s="8"/>
      <c r="G35" s="5" t="s">
        <v>62</v>
      </c>
      <c r="H35" s="13" t="s">
        <v>129</v>
      </c>
      <c r="I35" s="13" t="s">
        <v>130</v>
      </c>
      <c r="J35" s="7">
        <v>500</v>
      </c>
      <c r="K35" s="1">
        <v>450</v>
      </c>
      <c r="L35" s="1"/>
      <c r="M35" s="8">
        <v>10</v>
      </c>
      <c r="N35" s="1"/>
    </row>
    <row r="36" spans="1:14" x14ac:dyDescent="0.15">
      <c r="A36" s="9">
        <f t="shared" si="0"/>
        <v>34</v>
      </c>
      <c r="B36" s="8" t="s">
        <v>5</v>
      </c>
      <c r="C36" s="8" t="s">
        <v>8</v>
      </c>
      <c r="D36" s="5" t="s">
        <v>6</v>
      </c>
      <c r="E36" s="5" t="s">
        <v>58</v>
      </c>
      <c r="F36" s="8"/>
      <c r="G36" s="5" t="s">
        <v>63</v>
      </c>
      <c r="H36" s="13" t="s">
        <v>131</v>
      </c>
      <c r="I36" s="13" t="s">
        <v>132</v>
      </c>
      <c r="J36" s="7">
        <v>500</v>
      </c>
      <c r="K36" s="1">
        <v>500</v>
      </c>
      <c r="L36" s="1"/>
      <c r="M36" s="8">
        <v>10</v>
      </c>
      <c r="N36" s="1"/>
    </row>
    <row r="37" spans="1:14" x14ac:dyDescent="0.15">
      <c r="A37" s="9">
        <f t="shared" si="0"/>
        <v>35</v>
      </c>
      <c r="B37" s="8" t="s">
        <v>5</v>
      </c>
      <c r="C37" s="8" t="s">
        <v>7</v>
      </c>
      <c r="D37" s="5" t="s">
        <v>6</v>
      </c>
      <c r="E37" s="5" t="s">
        <v>58</v>
      </c>
      <c r="F37" s="8"/>
      <c r="G37" s="5" t="s">
        <v>64</v>
      </c>
      <c r="H37" s="13" t="s">
        <v>133</v>
      </c>
      <c r="I37" s="13" t="s">
        <v>134</v>
      </c>
      <c r="J37" s="7">
        <v>500</v>
      </c>
      <c r="K37" s="1">
        <v>550</v>
      </c>
      <c r="L37" s="1"/>
      <c r="M37" s="8">
        <v>20</v>
      </c>
      <c r="N37" s="1"/>
    </row>
  </sheetData>
  <mergeCells count="14">
    <mergeCell ref="F1:F2"/>
    <mergeCell ref="A1:A2"/>
    <mergeCell ref="B1:B2"/>
    <mergeCell ref="C1:C2"/>
    <mergeCell ref="D1:D2"/>
    <mergeCell ref="E1:E2"/>
    <mergeCell ref="L1:L2"/>
    <mergeCell ref="M1:M2"/>
    <mergeCell ref="N1:N2"/>
    <mergeCell ref="G1:G2"/>
    <mergeCell ref="H1:H2"/>
    <mergeCell ref="I1:I2"/>
    <mergeCell ref="J1:J2"/>
    <mergeCell ref="K1:K2"/>
  </mergeCells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5B7C773-8CD6-4467-97E8-479C15F840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212502-4C5A-49AB-A5B4-0CF4FA738DA5}"/>
</file>

<file path=customXml/itemProps3.xml><?xml version="1.0" encoding="utf-8"?>
<ds:datastoreItem xmlns:ds="http://schemas.openxmlformats.org/officeDocument/2006/customXml" ds:itemID="{E957E131-15B4-41A5-9AEC-5184828810A3}">
  <ds:schemaRefs>
    <ds:schemaRef ds:uri="http://purl.org/dc/elements/1.1/"/>
    <ds:schemaRef ds:uri="http://schemas.microsoft.com/office/2006/metadata/properties"/>
    <ds:schemaRef ds:uri="b4c7ce4d-67a4-4f44-8f88-bfeca3803a63"/>
    <ds:schemaRef ds:uri="8ab8a245-1025-469f-bc0a-26499413059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値引シール【2 割引】</vt:lpstr>
      <vt:lpstr>値引シール【2 割引】　図</vt:lpstr>
      <vt:lpstr>値引確認</vt:lpstr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2020-10-27T05:40:40Z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