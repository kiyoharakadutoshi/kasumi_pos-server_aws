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263" documentId="13_ncr:4000b_{20F443C2-E3A8-4C73-8BD1-0C80D1B3F584}" xr6:coauthVersionLast="47" xr6:coauthVersionMax="47" xr10:uidLastSave="{9042A535-6E8F-44A2-91FF-18F1F471E152}"/>
  <bookViews>
    <workbookView xWindow="-120" yWindow="-120" windowWidth="20730" windowHeight="11160" firstSheet="1" activeTab="1" xr2:uid="{00000000-000D-0000-FFFF-FFFF00000000}"/>
  </bookViews>
  <sheets>
    <sheet name="カテゴリ値引" sheetId="20" r:id="rId1"/>
    <sheet name="カテゴリ値引　図" sheetId="21" r:id="rId2"/>
    <sheet name="テストデータ" sheetId="22" r:id="rId3"/>
    <sheet name="仕様　" sheetId="17" r:id="rId4"/>
    <sheet name="値引確認" sheetId="15" r:id="rId5"/>
    <sheet name="値引確認２" sheetId="19" r:id="rId6"/>
    <sheet name="１" sheetId="18" r:id="rId7"/>
    <sheet name="データ" sheetId="10" r:id="rId8"/>
  </sheets>
  <definedNames>
    <definedName name="_xlnm._FilterDatabase" localSheetId="4" hidden="1">値引確認!$A$1:$W$19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1" l="1"/>
  <c r="H122" i="21" l="1"/>
  <c r="H99" i="21"/>
  <c r="H76" i="21"/>
  <c r="H53" i="21" l="1"/>
  <c r="H30" i="21"/>
  <c r="I30" i="21"/>
  <c r="I122" i="21"/>
  <c r="I99" i="21"/>
  <c r="I76" i="21"/>
  <c r="I53" i="21"/>
  <c r="H6" i="21"/>
  <c r="A17" i="10" l="1"/>
  <c r="A16" i="10"/>
  <c r="A15" i="10"/>
  <c r="A14" i="10"/>
  <c r="A13" i="10"/>
  <c r="A12" i="10"/>
  <c r="A5" i="10"/>
  <c r="A11" i="10"/>
  <c r="A10" i="10"/>
  <c r="A9" i="10"/>
  <c r="A8" i="10"/>
  <c r="A7" i="10"/>
  <c r="A6" i="10"/>
  <c r="A4" i="10"/>
  <c r="A3" i="10"/>
</calcChain>
</file>

<file path=xl/sharedStrings.xml><?xml version="1.0" encoding="utf-8"?>
<sst xmlns="http://schemas.openxmlformats.org/spreadsheetml/2006/main" count="1006" uniqueCount="270">
  <si>
    <t>カテゴリ値引値引実績計算（GHPLUDISC出力仕様）</t>
    <rPh sb="4" eb="6">
      <t>ネビキ</t>
    </rPh>
    <rPh sb="6" eb="8">
      <t>ネビキ</t>
    </rPh>
    <rPh sb="8" eb="10">
      <t>ジッセキ</t>
    </rPh>
    <rPh sb="10" eb="12">
      <t>ケイサン</t>
    </rPh>
    <rPh sb="22" eb="24">
      <t>シュツリョク</t>
    </rPh>
    <rPh sb="24" eb="26">
      <t>シヨウ</t>
    </rPh>
    <phoneticPr fontId="1"/>
  </si>
  <si>
    <t>値引パターン</t>
    <rPh sb="0" eb="2">
      <t>ネビキ</t>
    </rPh>
    <phoneticPr fontId="1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</si>
  <si>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</si>
  <si>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</si>
  <si>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値引コード</t>
  </si>
  <si>
    <t>値引種別</t>
  </si>
  <si>
    <t>値引名称</t>
  </si>
  <si>
    <t>備考</t>
    <rPh sb="0" eb="2">
      <t>ビコウ</t>
    </rPh>
    <phoneticPr fontId="1"/>
  </si>
  <si>
    <t>カテゴリ割引</t>
    <rPh sb="4" eb="6">
      <t>ワリビキ</t>
    </rPh>
    <phoneticPr fontId="1"/>
  </si>
  <si>
    <t>定番売価×カテゴリ割引</t>
    <rPh sb="9" eb="11">
      <t>ワリビキ</t>
    </rPh>
    <phoneticPr fontId="1"/>
  </si>
  <si>
    <t>カテゴリー値引</t>
    <phoneticPr fontId="1"/>
  </si>
  <si>
    <t>カテゴリ割引優先（カテゴリ値引対象外）</t>
    <rPh sb="4" eb="6">
      <t>ワリビキ</t>
    </rPh>
    <rPh sb="6" eb="8">
      <t>ユウセン</t>
    </rPh>
    <rPh sb="13" eb="15">
      <t>ネビキ</t>
    </rPh>
    <rPh sb="15" eb="17">
      <t>タイショウ</t>
    </rPh>
    <rPh sb="17" eb="18">
      <t>ガイ</t>
    </rPh>
    <phoneticPr fontId="11"/>
  </si>
  <si>
    <t>小計値引（マニュアル）</t>
    <rPh sb="0" eb="2">
      <t>ショウケイ</t>
    </rPh>
    <rPh sb="2" eb="4">
      <t>ネビキ</t>
    </rPh>
    <phoneticPr fontId="1"/>
  </si>
  <si>
    <t>カテゴリ値引</t>
    <rPh sb="4" eb="6">
      <t>ネビキ</t>
    </rPh>
    <phoneticPr fontId="1"/>
  </si>
  <si>
    <t>小計値引（マニュアル）</t>
  </si>
  <si>
    <t>小計割引（マニュアル）</t>
    <rPh sb="0" eb="2">
      <t>ショウケイ</t>
    </rPh>
    <rPh sb="2" eb="4">
      <t>ワリビキ</t>
    </rPh>
    <phoneticPr fontId="1"/>
  </si>
  <si>
    <t>小計額×小計割引（マニュアル）</t>
    <rPh sb="0" eb="2">
      <t>ショウケイ</t>
    </rPh>
    <rPh sb="4" eb="6">
      <t>ショウケイ</t>
    </rPh>
    <rPh sb="6" eb="8">
      <t>ワリビキ</t>
    </rPh>
    <phoneticPr fontId="1"/>
  </si>
  <si>
    <t>朝割り（自動）</t>
    <rPh sb="0" eb="1">
      <t>アサ</t>
    </rPh>
    <rPh sb="1" eb="2">
      <t>ワ</t>
    </rPh>
    <rPh sb="4" eb="6">
      <t>ジドウ</t>
    </rPh>
    <phoneticPr fontId="1"/>
  </si>
  <si>
    <t>小計額×朝割り（自動）</t>
    <rPh sb="0" eb="2">
      <t>ショウケイ</t>
    </rPh>
    <rPh sb="4" eb="5">
      <t>アサ</t>
    </rPh>
    <rPh sb="5" eb="6">
      <t>ワ</t>
    </rPh>
    <rPh sb="8" eb="10">
      <t>ジドウ</t>
    </rPh>
    <phoneticPr fontId="1"/>
  </si>
  <si>
    <t>メガ割（自動）</t>
    <phoneticPr fontId="1"/>
  </si>
  <si>
    <t>小計額×メガ割（自動）</t>
    <rPh sb="0" eb="2">
      <t>ショウケイ</t>
    </rPh>
    <rPh sb="6" eb="7">
      <t>ワリ</t>
    </rPh>
    <rPh sb="8" eb="10">
      <t>ジドウ</t>
    </rPh>
    <phoneticPr fontId="1"/>
  </si>
  <si>
    <t>クレジット割（自動）</t>
    <phoneticPr fontId="1"/>
  </si>
  <si>
    <t>小計額×クレジット割（自動）</t>
    <rPh sb="0" eb="2">
      <t>ショウケイ</t>
    </rPh>
    <rPh sb="9" eb="10">
      <t>ワリ</t>
    </rPh>
    <rPh sb="11" eb="13">
      <t>ジドウ</t>
    </rPh>
    <phoneticPr fontId="1"/>
  </si>
  <si>
    <t>カテゴリ値引値引実績計算_図</t>
    <rPh sb="4" eb="6">
      <t>ネビキ</t>
    </rPh>
    <rPh sb="6" eb="8">
      <t>ネビキ</t>
    </rPh>
    <rPh sb="8" eb="10">
      <t>ジッセキ</t>
    </rPh>
    <rPh sb="10" eb="12">
      <t>ケイサン</t>
    </rPh>
    <rPh sb="13" eb="14">
      <t>ズ</t>
    </rPh>
    <phoneticPr fontId="1"/>
  </si>
  <si>
    <t>値引パターン</t>
    <rPh sb="0" eb="2">
      <t>ネビキ</t>
    </rPh>
    <phoneticPr fontId="11"/>
  </si>
  <si>
    <t>カテゴリ割引</t>
    <rPh sb="4" eb="5">
      <t>ワリ</t>
    </rPh>
    <phoneticPr fontId="11"/>
  </si>
  <si>
    <t>定番売価1個300円の商品を</t>
  </si>
  <si>
    <t>カテゴリ値引／カテゴリ割引</t>
    <rPh sb="11" eb="13">
      <t>ワリビキ</t>
    </rPh>
    <phoneticPr fontId="11"/>
  </si>
  <si>
    <t>定番売価
300円</t>
    <rPh sb="0" eb="2">
      <t>テイバン</t>
    </rPh>
    <rPh sb="2" eb="4">
      <t>バイカ</t>
    </rPh>
    <rPh sb="8" eb="9">
      <t>エン</t>
    </rPh>
    <phoneticPr fontId="1"/>
  </si>
  <si>
    <t>カテゴリ値引対象外</t>
    <rPh sb="6" eb="8">
      <t>タイショウ</t>
    </rPh>
    <rPh sb="8" eb="9">
      <t>ガイ</t>
    </rPh>
    <phoneticPr fontId="1"/>
  </si>
  <si>
    <t>値引額 　30円</t>
    <rPh sb="7" eb="8">
      <t>エン</t>
    </rPh>
    <phoneticPr fontId="11"/>
  </si>
  <si>
    <t>販売額
270円</t>
    <rPh sb="0" eb="2">
      <t>ハンバイ</t>
    </rPh>
    <rPh sb="2" eb="3">
      <t>ガク</t>
    </rPh>
    <rPh sb="7" eb="8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</si>
  <si>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</si>
  <si>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11"/>
  </si>
  <si>
    <t>＜値引実績作成＞</t>
    <rPh sb="1" eb="3">
      <t>ネビキ</t>
    </rPh>
    <rPh sb="3" eb="5">
      <t>ジッセキ</t>
    </rPh>
    <rPh sb="5" eb="7">
      <t>サクセイ</t>
    </rPh>
    <phoneticPr fontId="11"/>
  </si>
  <si>
    <t>値引コード</t>
    <rPh sb="0" eb="2">
      <t>ネビキ</t>
    </rPh>
    <phoneticPr fontId="1"/>
  </si>
  <si>
    <t>値引実績作成なし</t>
    <rPh sb="0" eb="2">
      <t>ネビキ</t>
    </rPh>
    <rPh sb="2" eb="4">
      <t>ジッセキ</t>
    </rPh>
    <rPh sb="4" eb="6">
      <t>サクセイ</t>
    </rPh>
    <phoneticPr fontId="11"/>
  </si>
  <si>
    <t>値引種別</t>
    <rPh sb="0" eb="2">
      <t>ネビ</t>
    </rPh>
    <rPh sb="2" eb="4">
      <t>シュベツ</t>
    </rPh>
    <phoneticPr fontId="11"/>
  </si>
  <si>
    <t>値引名称</t>
    <rPh sb="0" eb="2">
      <t>ネビ</t>
    </rPh>
    <rPh sb="2" eb="4">
      <t>メイショウ</t>
    </rPh>
    <phoneticPr fontId="11"/>
  </si>
  <si>
    <t>カテゴリ値引</t>
    <phoneticPr fontId="11"/>
  </si>
  <si>
    <t>30
定番売価×カテゴリ割引</t>
    <phoneticPr fontId="11"/>
  </si>
  <si>
    <t>※ カテゴリ割引優先（カテゴリ値引対象外）</t>
    <phoneticPr fontId="11"/>
  </si>
  <si>
    <t>小計値引（マニュアル）</t>
    <phoneticPr fontId="11"/>
  </si>
  <si>
    <t>カテゴリ値引／小計値引（マニュアル）</t>
    <rPh sb="7" eb="9">
      <t>ショウケイ</t>
    </rPh>
    <rPh sb="9" eb="11">
      <t>ネビキ</t>
    </rPh>
    <phoneticPr fontId="11"/>
  </si>
  <si>
    <t>値引額 　50円</t>
    <rPh sb="7" eb="8">
      <t>エン</t>
    </rPh>
    <phoneticPr fontId="11"/>
  </si>
  <si>
    <t>カテゴリ値引後
250円</t>
    <rPh sb="4" eb="6">
      <t>ネビキ</t>
    </rPh>
    <rPh sb="6" eb="7">
      <t>ゴ</t>
    </rPh>
    <rPh sb="11" eb="12">
      <t>エン</t>
    </rPh>
    <phoneticPr fontId="1"/>
  </si>
  <si>
    <t>値引額　50円</t>
    <rPh sb="0" eb="2">
      <t>ネビキ</t>
    </rPh>
    <rPh sb="2" eb="3">
      <t>ガク</t>
    </rPh>
    <rPh sb="6" eb="7">
      <t>エン</t>
    </rPh>
    <phoneticPr fontId="11"/>
  </si>
  <si>
    <t>販売額
200円</t>
    <rPh sb="0" eb="2">
      <t>ハンバイ</t>
    </rPh>
    <rPh sb="2" eb="3">
      <t>ガク</t>
    </rPh>
    <rPh sb="7" eb="8">
      <t>エン</t>
    </rPh>
    <phoneticPr fontId="1"/>
  </si>
  <si>
    <t>50
カテゴリ値引</t>
    <phoneticPr fontId="11"/>
  </si>
  <si>
    <t>50
小計値引（マニュアル）</t>
    <phoneticPr fontId="11"/>
  </si>
  <si>
    <t>小計割引（マニュアル）</t>
  </si>
  <si>
    <t>カテゴリ値引／小計割引（マニュアル）</t>
    <phoneticPr fontId="11"/>
  </si>
  <si>
    <t>値引額　25円</t>
    <rPh sb="0" eb="2">
      <t>ネビキ</t>
    </rPh>
    <rPh sb="2" eb="3">
      <t>ガク</t>
    </rPh>
    <rPh sb="6" eb="7">
      <t>エン</t>
    </rPh>
    <phoneticPr fontId="11"/>
  </si>
  <si>
    <t>販売額
225円</t>
    <rPh sb="0" eb="2">
      <t>ハンバイ</t>
    </rPh>
    <rPh sb="2" eb="3">
      <t>ガク</t>
    </rPh>
    <rPh sb="7" eb="8">
      <t>エン</t>
    </rPh>
    <phoneticPr fontId="1"/>
  </si>
  <si>
    <t>25
小計額×小計割引（マニュアル）</t>
    <phoneticPr fontId="11"/>
  </si>
  <si>
    <t>朝割り（自動）</t>
  </si>
  <si>
    <t>カテゴリ値引／朝割り（自動）</t>
    <phoneticPr fontId="11"/>
  </si>
  <si>
    <t>25
小計額×朝割り（自動）</t>
  </si>
  <si>
    <t>メガ割（自動）</t>
  </si>
  <si>
    <t>カテゴリ値引／メガ割（自動）</t>
    <phoneticPr fontId="11"/>
  </si>
  <si>
    <t>25
小計額×メガ割（自動）</t>
  </si>
  <si>
    <t>クレジット割（自動）</t>
  </si>
  <si>
    <t>カテゴリ値引／クレジット割（自動）</t>
    <phoneticPr fontId="11"/>
  </si>
  <si>
    <t>25
小計額×クレジット割（自動）</t>
  </si>
  <si>
    <t>項番</t>
  </si>
  <si>
    <t>備考</t>
  </si>
  <si>
    <t>商品名</t>
  </si>
  <si>
    <t>JAN</t>
  </si>
  <si>
    <t>値引額</t>
  </si>
  <si>
    <t>ﾏﾆｭｱﾙ値引</t>
  </si>
  <si>
    <t>純売上額</t>
  </si>
  <si>
    <t>純売上数量</t>
  </si>
  <si>
    <t>値引合計金額</t>
  </si>
  <si>
    <t>値引合計数量</t>
  </si>
  <si>
    <t>カテゴリ割引　１０％</t>
  </si>
  <si>
    <t>若さぎ浮し炊６０ｇ</t>
  </si>
  <si>
    <t>4580189091892</t>
  </si>
  <si>
    <t>91324</t>
  </si>
  <si>
    <t>0</t>
  </si>
  <si>
    <t>75</t>
  </si>
  <si>
    <t>カテゴリ値引</t>
  </si>
  <si>
    <t>－</t>
  </si>
  <si>
    <t>425</t>
  </si>
  <si>
    <t>1</t>
  </si>
  <si>
    <t>小計値引（マニュアル）　３０円</t>
  </si>
  <si>
    <t>海藻ビーズ</t>
  </si>
  <si>
    <t>4573251759028</t>
  </si>
  <si>
    <t>50</t>
  </si>
  <si>
    <t>420</t>
  </si>
  <si>
    <t>80</t>
  </si>
  <si>
    <t>91400</t>
  </si>
  <si>
    <t>14</t>
  </si>
  <si>
    <t>30</t>
  </si>
  <si>
    <t>％</t>
  </si>
  <si>
    <t>小計割引（マニュアル）　１０％</t>
  </si>
  <si>
    <t>浜名湖うなぎの刺身</t>
  </si>
  <si>
    <t>4573386160010</t>
  </si>
  <si>
    <t>450</t>
  </si>
  <si>
    <t>朝割り（自動）　１０％</t>
  </si>
  <si>
    <t>サラダフィッシュハーブ（すけそうだら）</t>
  </si>
  <si>
    <t>4573399340324</t>
  </si>
  <si>
    <t>405</t>
  </si>
  <si>
    <t>95</t>
  </si>
  <si>
    <t>45</t>
  </si>
  <si>
    <t>メガ割（自動）　１０％</t>
  </si>
  <si>
    <t>サラダフィッシュガーリックペッパー</t>
  </si>
  <si>
    <t>4573399340331</t>
  </si>
  <si>
    <t/>
  </si>
  <si>
    <t>ボイルずわいがにシュリンク２Ｋ</t>
  </si>
  <si>
    <t>4573399340645</t>
  </si>
  <si>
    <t>クレジット割（自動）　１０％</t>
  </si>
  <si>
    <t>さば開き１枚　真空</t>
  </si>
  <si>
    <t>4580109011177</t>
  </si>
  <si>
    <t>427</t>
  </si>
  <si>
    <t>73</t>
  </si>
  <si>
    <t>23</t>
  </si>
  <si>
    <t>特売時の値引実績計算</t>
    <rPh sb="0" eb="2">
      <t>トクバイ</t>
    </rPh>
    <phoneticPr fontId="1"/>
  </si>
  <si>
    <t>※特売金額が定番売価と等しいか安い時に特売実績を作成</t>
    <rPh sb="1" eb="3">
      <t>トクバイ</t>
    </rPh>
    <rPh sb="3" eb="5">
      <t>キンガク</t>
    </rPh>
    <rPh sb="6" eb="8">
      <t>テイバン</t>
    </rPh>
    <rPh sb="8" eb="10">
      <t>バイカ</t>
    </rPh>
    <rPh sb="11" eb="12">
      <t>ヒト</t>
    </rPh>
    <rPh sb="15" eb="16">
      <t>ヤス</t>
    </rPh>
    <rPh sb="17" eb="18">
      <t>トキ</t>
    </rPh>
    <rPh sb="19" eb="21">
      <t>トクバイ</t>
    </rPh>
    <rPh sb="21" eb="23">
      <t>ジッセキ</t>
    </rPh>
    <rPh sb="24" eb="26">
      <t>サクセイ</t>
    </rPh>
    <phoneticPr fontId="1"/>
  </si>
  <si>
    <t>カテゴリー値引／カテゴリ―割引の値引実績計算</t>
    <rPh sb="5" eb="7">
      <t>ネビキ</t>
    </rPh>
    <rPh sb="13" eb="15">
      <t>ワリビキ</t>
    </rPh>
    <phoneticPr fontId="1"/>
  </si>
  <si>
    <t>カテゴリ割引実績が作成される。</t>
    <rPh sb="4" eb="6">
      <t>ワリビキ</t>
    </rPh>
    <rPh sb="6" eb="8">
      <t>ジッセキ</t>
    </rPh>
    <phoneticPr fontId="1"/>
  </si>
  <si>
    <t>※ 個別値引実作成</t>
    <rPh sb="2" eb="4">
      <t>コベツ</t>
    </rPh>
    <rPh sb="4" eb="6">
      <t>ネビキ</t>
    </rPh>
    <rPh sb="6" eb="7">
      <t>ジツ</t>
    </rPh>
    <rPh sb="7" eb="9">
      <t>サクセイ</t>
    </rPh>
    <phoneticPr fontId="1"/>
  </si>
  <si>
    <t>カテゴリー値引／小計割引の値引実績計算</t>
    <rPh sb="5" eb="7">
      <t>ネビキ</t>
    </rPh>
    <rPh sb="10" eb="11">
      <t>ワリ</t>
    </rPh>
    <rPh sb="11" eb="12">
      <t>ヒ</t>
    </rPh>
    <phoneticPr fontId="1"/>
  </si>
  <si>
    <t>カテゴリー割引と小計値引の実績が作成される。</t>
    <rPh sb="13" eb="15">
      <t>ジッセキ</t>
    </rPh>
    <phoneticPr fontId="1"/>
  </si>
  <si>
    <t>※小計割引金額：小計金額＊小計割引率</t>
    <rPh sb="1" eb="3">
      <t>ショウケイ</t>
    </rPh>
    <rPh sb="3" eb="5">
      <t>ワリビキ</t>
    </rPh>
    <rPh sb="5" eb="7">
      <t>キンガク</t>
    </rPh>
    <rPh sb="8" eb="10">
      <t>ショウケイ</t>
    </rPh>
    <rPh sb="10" eb="12">
      <t>キンガク</t>
    </rPh>
    <rPh sb="17" eb="18">
      <t>リツ</t>
    </rPh>
    <phoneticPr fontId="1"/>
  </si>
  <si>
    <t>カテゴリー割引／小計値引の値引実績計算</t>
    <phoneticPr fontId="1"/>
  </si>
  <si>
    <t>カテゴリー値引と朝割値引の値引実績計算</t>
  </si>
  <si>
    <t>カテゴリー値引と朝割実績が作成される。</t>
    <rPh sb="8" eb="9">
      <t>アサ</t>
    </rPh>
    <rPh sb="9" eb="10">
      <t>ワリ</t>
    </rPh>
    <phoneticPr fontId="1"/>
  </si>
  <si>
    <t>※朝割引金額：小計金額＊朝割引率</t>
    <rPh sb="1" eb="2">
      <t>アサ</t>
    </rPh>
    <rPh sb="2" eb="4">
      <t>ワリビキ</t>
    </rPh>
    <rPh sb="4" eb="6">
      <t>キンガク</t>
    </rPh>
    <rPh sb="7" eb="9">
      <t>ショウケイ</t>
    </rPh>
    <rPh sb="9" eb="11">
      <t>キンガク</t>
    </rPh>
    <rPh sb="12" eb="13">
      <t>アサ</t>
    </rPh>
    <rPh sb="15" eb="16">
      <t>リツ</t>
    </rPh>
    <phoneticPr fontId="1"/>
  </si>
  <si>
    <t>カテゴリー割引と朝割値引の値引実績計算</t>
  </si>
  <si>
    <t>カテゴリー割引と朝割実績が作成される。</t>
    <rPh sb="8" eb="9">
      <t>アサ</t>
    </rPh>
    <rPh sb="9" eb="10">
      <t>ワリ</t>
    </rPh>
    <phoneticPr fontId="1"/>
  </si>
  <si>
    <t>カテゴリー値引とメガ割値引の値引実績計算</t>
  </si>
  <si>
    <t>カテゴリー値引とメガ割実績が作成される。</t>
    <phoneticPr fontId="1"/>
  </si>
  <si>
    <t>※メガ割引金額：小計金額＊メガ割引率</t>
    <rPh sb="5" eb="7">
      <t>キンガク</t>
    </rPh>
    <rPh sb="8" eb="10">
      <t>ショウケイ</t>
    </rPh>
    <rPh sb="10" eb="12">
      <t>キンガク</t>
    </rPh>
    <rPh sb="17" eb="18">
      <t>リツ</t>
    </rPh>
    <phoneticPr fontId="1"/>
  </si>
  <si>
    <t>カテゴリー割引とメガ割値引の値引実績計算</t>
  </si>
  <si>
    <t>カテゴリー割引とメガ割実績が作成される。</t>
    <phoneticPr fontId="1"/>
  </si>
  <si>
    <t>朝割と小計割引の値引実績計算</t>
    <phoneticPr fontId="11"/>
  </si>
  <si>
    <t>朝割と小計割引実績が作成される。</t>
    <phoneticPr fontId="1"/>
  </si>
  <si>
    <t>※実績は値引コード、値引種別で集計される。</t>
    <rPh sb="1" eb="3">
      <t>ジッセキ</t>
    </rPh>
    <rPh sb="10" eb="12">
      <t>ネビキ</t>
    </rPh>
    <rPh sb="12" eb="14">
      <t>シュベツ</t>
    </rPh>
    <rPh sb="15" eb="17">
      <t>シュウケイ</t>
    </rPh>
    <phoneticPr fontId="1"/>
  </si>
  <si>
    <t>朝割と小計値引の値引実績計算</t>
    <rPh sb="5" eb="7">
      <t>ネビキ</t>
    </rPh>
    <phoneticPr fontId="11"/>
  </si>
  <si>
    <t>朝割と小計値引実績が作成される。</t>
    <rPh sb="5" eb="7">
      <t>ネビキ</t>
    </rPh>
    <phoneticPr fontId="1"/>
  </si>
  <si>
    <t>メガ割と小計割引の値引実績計算</t>
    <phoneticPr fontId="11"/>
  </si>
  <si>
    <t>メガ割と小計割引実績が作成される。</t>
    <phoneticPr fontId="1"/>
  </si>
  <si>
    <t>メガ割と小計値引の値引実績計算</t>
    <rPh sb="6" eb="8">
      <t>ネビキ</t>
    </rPh>
    <phoneticPr fontId="11"/>
  </si>
  <si>
    <t>メガ割と小計値引実績が作成される。</t>
    <rPh sb="6" eb="8">
      <t>ネビキ</t>
    </rPh>
    <phoneticPr fontId="1"/>
  </si>
  <si>
    <t>取引内容</t>
  </si>
  <si>
    <t>設定1</t>
  </si>
  <si>
    <t>処理1</t>
  </si>
  <si>
    <t>POS値引等</t>
  </si>
  <si>
    <t>金額</t>
  </si>
  <si>
    <t>当日売価</t>
  </si>
  <si>
    <t>カテゴリー値引</t>
  </si>
  <si>
    <t>カテゴリー割引</t>
  </si>
  <si>
    <t>小計割</t>
  </si>
  <si>
    <t>値引数量</t>
  </si>
  <si>
    <t>カテゴリ割引</t>
    <rPh sb="4" eb="6">
      <t>ワリビキ</t>
    </rPh>
    <phoneticPr fontId="7"/>
  </si>
  <si>
    <t>値下</t>
  </si>
  <si>
    <t>売上</t>
  </si>
  <si>
    <t>①通常単価＞カテゴリー値引&gt;カテゴリー割引</t>
    <phoneticPr fontId="7"/>
  </si>
  <si>
    <t>ロールいか（真空）２本　　　　　　　　　</t>
  </si>
  <si>
    <t>4935758054097</t>
  </si>
  <si>
    <t>500</t>
  </si>
  <si>
    <t>15</t>
  </si>
  <si>
    <t>部門ﾚﾍﾞﾙ商品階層自動値引</t>
  </si>
  <si>
    <t>小計値引</t>
    <rPh sb="0" eb="2">
      <t>ショウケイ</t>
    </rPh>
    <rPh sb="2" eb="4">
      <t>ネビキ</t>
    </rPh>
    <phoneticPr fontId="7"/>
  </si>
  <si>
    <t>小計割引</t>
    <rPh sb="2" eb="4">
      <t>ワリビキ</t>
    </rPh>
    <phoneticPr fontId="7"/>
  </si>
  <si>
    <t>10</t>
  </si>
  <si>
    <t>①通常単価＞カテゴリー割引　小計値引</t>
    <phoneticPr fontId="7"/>
  </si>
  <si>
    <t>（ＦＣ）ロールいか１本　　　　　　　　　</t>
  </si>
  <si>
    <t>4935758056985</t>
  </si>
  <si>
    <t>マニュアル小計値引</t>
    <phoneticPr fontId="7"/>
  </si>
  <si>
    <t>440</t>
  </si>
  <si>
    <t>60</t>
  </si>
  <si>
    <t>カテゴリ値引</t>
    <phoneticPr fontId="7"/>
  </si>
  <si>
    <t>①通常単価＞カテゴリー割引　小計値引</t>
  </si>
  <si>
    <t>小計値引</t>
  </si>
  <si>
    <t>①通常単価＞カテゴリー値引　小計値引</t>
    <phoneticPr fontId="7"/>
  </si>
  <si>
    <t>開きいか　２枚　　　　　　　　　　　　　</t>
  </si>
  <si>
    <t>4966268870808</t>
  </si>
  <si>
    <t>マニュアル小計値引</t>
  </si>
  <si>
    <t>375</t>
  </si>
  <si>
    <t>125</t>
  </si>
  <si>
    <t>①通常単価＞カテゴリー値引　小計値引</t>
  </si>
  <si>
    <t>朝割</t>
    <rPh sb="0" eb="1">
      <t>アサ</t>
    </rPh>
    <rPh sb="1" eb="2">
      <t>ワリ</t>
    </rPh>
    <phoneticPr fontId="7"/>
  </si>
  <si>
    <t>朝割</t>
  </si>
  <si>
    <t>①通常単価＞カテゴリー値引　朝値引</t>
    <phoneticPr fontId="7"/>
  </si>
  <si>
    <t>きす開き５枚　　　　　　　　　　　　　　</t>
  </si>
  <si>
    <t>4934416100312</t>
  </si>
  <si>
    <t>20</t>
  </si>
  <si>
    <t>90</t>
  </si>
  <si>
    <t>360</t>
  </si>
  <si>
    <t>140</t>
  </si>
  <si>
    <t>①通常単価＞カテゴリー値引　朝値引</t>
  </si>
  <si>
    <t>①通常単価＞カテゴリー割引　朝値引</t>
    <phoneticPr fontId="7"/>
  </si>
  <si>
    <t>海鮮天ぷらセット　　　　　　　　　　　　</t>
  </si>
  <si>
    <t>4934416100251</t>
  </si>
  <si>
    <t>85</t>
  </si>
  <si>
    <t>340</t>
  </si>
  <si>
    <t>160</t>
  </si>
  <si>
    <t>①通常単価＞カテゴリー割引　朝値引</t>
  </si>
  <si>
    <t>メガ割</t>
  </si>
  <si>
    <t>①通常単価＞カテゴリー値引　メガ割</t>
  </si>
  <si>
    <t>ボイルホタテ真空６玉　　　　　　　　　　</t>
  </si>
  <si>
    <t>4935552327564</t>
  </si>
  <si>
    <t>メガ割</t>
    <rPh sb="2" eb="3">
      <t>ワリ</t>
    </rPh>
    <phoneticPr fontId="7"/>
  </si>
  <si>
    <t>①通常単価＞カテゴリー割引　メガ割</t>
  </si>
  <si>
    <t>ボイルあさりむき身（真空）　　　　　　　</t>
  </si>
  <si>
    <t>4935552327540</t>
  </si>
  <si>
    <t>①通常単価＞朝割　小計割引</t>
    <rPh sb="11" eb="13">
      <t>ワリビキ</t>
    </rPh>
    <phoneticPr fontId="7"/>
  </si>
  <si>
    <t>ＢＴエビ特大１０尾　　　　　　　　　　　</t>
  </si>
  <si>
    <t>4969832215173</t>
  </si>
  <si>
    <t>110</t>
  </si>
  <si>
    <t>390</t>
  </si>
  <si>
    <t>①通常単価＞朝割　小計値引</t>
  </si>
  <si>
    <t>ＢＴえび大１０尾（ＦＯ用）　　　　　　　</t>
  </si>
  <si>
    <t>4930553003547</t>
  </si>
  <si>
    <t>150</t>
  </si>
  <si>
    <t>350</t>
  </si>
  <si>
    <t>①通常単価＞メガ割　小計割引</t>
    <rPh sb="12" eb="14">
      <t>ワリビキ</t>
    </rPh>
    <phoneticPr fontId="7"/>
  </si>
  <si>
    <t>ＢＴえび大１０尾　　　　　　　　　　　　</t>
  </si>
  <si>
    <t>4953413375240</t>
  </si>
  <si>
    <t>①通常単価＞メガ割　小計値引</t>
  </si>
  <si>
    <t>天然えび中１８尾　　　　　　　　　　　　</t>
  </si>
  <si>
    <t>4980766121187</t>
  </si>
  <si>
    <t>①通常単価＞カテゴリー割引&gt;カテゴリー値引</t>
  </si>
  <si>
    <t>カマンベールチーズサンド</t>
  </si>
  <si>
    <t>4974819059633</t>
  </si>
  <si>
    <t>100</t>
  </si>
  <si>
    <t>項番</t>
    <rPh sb="0" eb="2">
      <t>コウバン</t>
    </rPh>
    <phoneticPr fontId="2"/>
  </si>
  <si>
    <t>取引内容</t>
    <rPh sb="0" eb="2">
      <t>トリヒキ</t>
    </rPh>
    <rPh sb="2" eb="4">
      <t>ナイヨウ</t>
    </rPh>
    <phoneticPr fontId="2"/>
  </si>
  <si>
    <t>設定1</t>
    <rPh sb="0" eb="2">
      <t>セッテイ</t>
    </rPh>
    <phoneticPr fontId="2"/>
  </si>
  <si>
    <t>処理1</t>
    <phoneticPr fontId="1"/>
  </si>
  <si>
    <t>POS値引等
処理</t>
    <rPh sb="3" eb="5">
      <t>ネビキ</t>
    </rPh>
    <rPh sb="5" eb="6">
      <t>トウ</t>
    </rPh>
    <rPh sb="7" eb="9">
      <t>ショリ</t>
    </rPh>
    <phoneticPr fontId="1"/>
  </si>
  <si>
    <t>金額</t>
    <rPh sb="0" eb="2">
      <t>キンガク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</si>
  <si>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</si>
  <si>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</si>
  <si>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当日売価</t>
    <rPh sb="0" eb="2">
      <t>トウジツ</t>
    </rPh>
    <rPh sb="2" eb="4">
      <t>バイカ</t>
    </rPh>
    <phoneticPr fontId="2"/>
  </si>
  <si>
    <t>カテゴリー値引</t>
    <rPh sb="5" eb="7">
      <t>ネビキ</t>
    </rPh>
    <phoneticPr fontId="1"/>
  </si>
  <si>
    <t>カテゴリー割引</t>
    <rPh sb="5" eb="7">
      <t>ワリビキ</t>
    </rPh>
    <phoneticPr fontId="1"/>
  </si>
  <si>
    <t>朝割
メガ割
クレジット割</t>
    <rPh sb="0" eb="1">
      <t>アサ</t>
    </rPh>
    <rPh sb="1" eb="2">
      <t>ワリ</t>
    </rPh>
    <rPh sb="5" eb="6">
      <t>ワリ</t>
    </rPh>
    <rPh sb="12" eb="13">
      <t>ワリ</t>
    </rPh>
    <phoneticPr fontId="1"/>
  </si>
  <si>
    <t>値下</t>
    <rPh sb="0" eb="2">
      <t>ネサ</t>
    </rPh>
    <phoneticPr fontId="2"/>
  </si>
  <si>
    <t>①通常単価＞カテゴリー値引&gt;カテゴリー割引</t>
    <rPh sb="19" eb="21">
      <t>ワリビキ</t>
    </rPh>
    <phoneticPr fontId="6"/>
  </si>
  <si>
    <t>小計割引</t>
    <rPh sb="2" eb="4">
      <t>ワリビキ</t>
    </rPh>
    <phoneticPr fontId="1"/>
  </si>
  <si>
    <t>①通常単価＞カテゴリー割引　小計値引</t>
    <rPh sb="11" eb="12">
      <t>ワリ</t>
    </rPh>
    <phoneticPr fontId="6"/>
  </si>
  <si>
    <t>小計値引</t>
    <phoneticPr fontId="1"/>
  </si>
  <si>
    <t>①通常単価＞カテゴリー値引　小計値引</t>
    <phoneticPr fontId="6"/>
  </si>
  <si>
    <t>①通常単価＞カテゴリー値引　朝値引</t>
    <rPh sb="14" eb="15">
      <t>アサ</t>
    </rPh>
    <phoneticPr fontId="6"/>
  </si>
  <si>
    <t>①通常単価＞カテゴリー割引　朝値引</t>
    <rPh sb="11" eb="12">
      <t>ワリ</t>
    </rPh>
    <rPh sb="14" eb="15">
      <t>アサ</t>
    </rPh>
    <phoneticPr fontId="6"/>
  </si>
  <si>
    <t>①通常単価＞カテゴリー値引　メガ割</t>
    <rPh sb="16" eb="17">
      <t>ワリ</t>
    </rPh>
    <phoneticPr fontId="6"/>
  </si>
  <si>
    <t>①通常単価＞カテゴリー割引　メガ割</t>
    <rPh sb="11" eb="12">
      <t>ワリ</t>
    </rPh>
    <rPh sb="16" eb="17">
      <t>ワリ</t>
    </rPh>
    <phoneticPr fontId="6"/>
  </si>
  <si>
    <t>クレジット割</t>
  </si>
  <si>
    <t>①通常単価＞カテゴリー値引　クレジット割</t>
    <rPh sb="19" eb="20">
      <t>ワリ</t>
    </rPh>
    <phoneticPr fontId="6"/>
  </si>
  <si>
    <t>ＴＶ　ＡＳＣスモークムール貝　　　　　　</t>
  </si>
  <si>
    <t>4549741672498</t>
  </si>
  <si>
    <t>①通常単価＞カテゴリー割引　クレジット割</t>
    <rPh sb="11" eb="12">
      <t>ワリ</t>
    </rPh>
    <rPh sb="19" eb="20">
      <t>ワリ</t>
    </rPh>
    <phoneticPr fontId="6"/>
  </si>
  <si>
    <t>生あさりむき身２３０ｇ　　　　　　　　　</t>
  </si>
  <si>
    <t>4940785134742</t>
  </si>
  <si>
    <t>朝割</t>
    <rPh sb="0" eb="1">
      <t>アサ</t>
    </rPh>
    <rPh sb="1" eb="2">
      <t>ワリ</t>
    </rPh>
    <phoneticPr fontId="1"/>
  </si>
  <si>
    <t>①通常単価＞朝割　小計値引</t>
    <rPh sb="6" eb="7">
      <t>アサ</t>
    </rPh>
    <rPh sb="7" eb="8">
      <t>ワリ</t>
    </rPh>
    <phoneticPr fontId="6"/>
  </si>
  <si>
    <t>メガ割</t>
    <rPh sb="2" eb="3">
      <t>ワリ</t>
    </rPh>
    <phoneticPr fontId="1"/>
  </si>
  <si>
    <t>①通常単価＞メガ割　小計値引</t>
    <rPh sb="8" eb="9">
      <t>ワリ</t>
    </rPh>
    <phoneticPr fontId="6"/>
  </si>
  <si>
    <t>クレジット割</t>
    <rPh sb="5" eb="6">
      <t>ワリ</t>
    </rPh>
    <phoneticPr fontId="1"/>
  </si>
  <si>
    <t>①通常単価＞クレジット割　小計値引</t>
    <rPh sb="11" eb="12">
      <t>ワリ</t>
    </rPh>
    <phoneticPr fontId="6"/>
  </si>
  <si>
    <t>天然えび大１５尾　　　　　　　　　　　　</t>
  </si>
  <si>
    <t>4969832225530</t>
  </si>
  <si>
    <t>天然オーストタイガー有頭３尾　ＦＯ用　　</t>
  </si>
  <si>
    <t>4934416100671</t>
  </si>
  <si>
    <t>①通常単価＞カテゴリー割引&gt;カテゴリー値引</t>
    <rPh sb="11" eb="13">
      <t>ワリビキ</t>
    </rPh>
    <phoneticPr fontId="6"/>
  </si>
  <si>
    <t>カマンベールチーズサンド</t>
    <phoneticPr fontId="6"/>
  </si>
  <si>
    <t>4974819059633</t>
    <phoneticPr fontId="6"/>
  </si>
  <si>
    <t>未</t>
    <rPh sb="0" eb="1">
      <t>ミ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</si>
</sst>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;[Red]\-#,##0\ "/>
  </numFmts>
  <fonts count="17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">
    <xf numFmtId="0" fontId="0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96">
    <xf numFmtId="0" fontId="0" fillId="0" borderId="0" xfId="0">
      <alignment vertical="center"/>
    </xf>
    <xf numFmtId="0" fontId="10" fillId="0" borderId="0" xfId="0" applyFont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right" vertical="center"/>
    </xf>
    <xf numFmtId="0" fontId="5" fillId="0" borderId="1" xfId="5" applyFont="1" applyBorder="1" applyAlignment="1">
      <alignment wrapText="1"/>
    </xf>
    <xf numFmtId="0" fontId="10" fillId="0" borderId="0" xfId="0" applyFont="1" applyAlignment="1">
      <alignment horizontal="right" vertical="center"/>
    </xf>
    <xf numFmtId="0" fontId="4" fillId="0" borderId="1" xfId="3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4" fillId="0" borderId="1" xfId="4" applyBorder="1" applyAlignment="1">
      <alignment wrapText="1"/>
    </xf>
    <xf numFmtId="49" fontId="4" fillId="0" borderId="1" xfId="3" applyNumberFormat="1" applyBorder="1" applyAlignment="1">
      <alignment wrapText="1"/>
    </xf>
    <xf numFmtId="49" fontId="4" fillId="0" borderId="1" xfId="4" applyNumberFormat="1" applyBorder="1" applyAlignment="1">
      <alignment wrapText="1"/>
    </xf>
    <xf numFmtId="49" fontId="4" fillId="0" borderId="1" xfId="4" quotePrefix="1" applyNumberFormat="1" applyBorder="1" applyAlignment="1">
      <alignment wrapText="1"/>
    </xf>
    <xf numFmtId="0" fontId="4" fillId="2" borderId="1" xfId="2" applyFill="1" applyBorder="1" applyAlignment="1">
      <alignment horizontal="center"/>
    </xf>
    <xf numFmtId="0" fontId="4" fillId="0" borderId="1" xfId="2" applyBorder="1" applyAlignment="1">
      <alignment horizontal="right" wrapText="1"/>
    </xf>
    <xf numFmtId="0" fontId="4" fillId="0" borderId="1" xfId="2" applyBorder="1" applyAlignment="1">
      <alignment wrapText="1"/>
    </xf>
    <xf numFmtId="0" fontId="10" fillId="4" borderId="1" xfId="0" applyFont="1" applyFill="1" applyBorder="1">
      <alignment vertical="center"/>
    </xf>
    <xf numFmtId="0" fontId="10" fillId="4" borderId="0" xfId="0" applyFont="1" applyFill="1">
      <alignment vertical="center"/>
    </xf>
    <xf numFmtId="0" fontId="9" fillId="0" borderId="0" xfId="0" applyFont="1">
      <alignment vertical="center"/>
    </xf>
    <xf numFmtId="0" fontId="0" fillId="4" borderId="0" xfId="0" applyFill="1">
      <alignment vertical="center"/>
    </xf>
    <xf numFmtId="0" fontId="4" fillId="4" borderId="1" xfId="2" applyFill="1" applyBorder="1" applyAlignment="1">
      <alignment horizontal="right" wrapText="1"/>
    </xf>
    <xf numFmtId="0" fontId="4" fillId="4" borderId="1" xfId="2" applyFill="1" applyBorder="1" applyAlignment="1">
      <alignment wrapText="1"/>
    </xf>
    <xf numFmtId="0" fontId="0" fillId="5" borderId="0" xfId="0" applyFill="1">
      <alignment vertical="center"/>
    </xf>
    <xf numFmtId="0" fontId="0" fillId="0" borderId="0" xfId="0" applyAlignment="1"/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5" fillId="0" borderId="3" xfId="6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>
      <alignment vertical="center"/>
    </xf>
    <xf numFmtId="0" fontId="5" fillId="0" borderId="6" xfId="6" applyFont="1" applyBorder="1" applyAlignment="1">
      <alignment wrapText="1"/>
    </xf>
    <xf numFmtId="0" fontId="10" fillId="0" borderId="7" xfId="0" applyFont="1" applyBorder="1">
      <alignment vertical="center"/>
    </xf>
    <xf numFmtId="0" fontId="10" fillId="0" borderId="9" xfId="0" applyFont="1" applyBorder="1">
      <alignment vertical="center"/>
    </xf>
    <xf numFmtId="0" fontId="5" fillId="0" borderId="9" xfId="6" applyFont="1" applyBorder="1" applyAlignment="1">
      <alignment wrapText="1"/>
    </xf>
    <xf numFmtId="0" fontId="10" fillId="0" borderId="10" xfId="0" applyFont="1" applyBorder="1">
      <alignment vertical="center"/>
    </xf>
    <xf numFmtId="0" fontId="10" fillId="0" borderId="12" xfId="0" applyFont="1" applyBorder="1">
      <alignment vertical="center"/>
    </xf>
    <xf numFmtId="0" fontId="5" fillId="0" borderId="12" xfId="6" applyFont="1" applyBorder="1" applyAlignment="1">
      <alignment wrapText="1"/>
    </xf>
    <xf numFmtId="0" fontId="10" fillId="0" borderId="13" xfId="0" applyFont="1" applyBorder="1">
      <alignment vertical="center"/>
    </xf>
    <xf numFmtId="0" fontId="10" fillId="0" borderId="3" xfId="0" applyFont="1" applyBorder="1">
      <alignment vertical="center"/>
    </xf>
    <xf numFmtId="0" fontId="5" fillId="0" borderId="3" xfId="6" applyFont="1" applyBorder="1" applyAlignment="1">
      <alignment wrapText="1"/>
    </xf>
    <xf numFmtId="0" fontId="10" fillId="0" borderId="4" xfId="0" applyFont="1" applyBorder="1">
      <alignment vertical="center"/>
    </xf>
    <xf numFmtId="0" fontId="14" fillId="0" borderId="0" xfId="0" applyFont="1">
      <alignment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>
      <alignment vertical="center"/>
    </xf>
    <xf numFmtId="0" fontId="3" fillId="0" borderId="19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20" xfId="0" applyFont="1" applyBorder="1">
      <alignment vertical="center"/>
    </xf>
    <xf numFmtId="0" fontId="15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>
      <alignment vertical="center"/>
    </xf>
    <xf numFmtId="0" fontId="4" fillId="0" borderId="25" xfId="7" applyBorder="1" applyAlignment="1">
      <alignment horizontal="right" wrapText="1"/>
    </xf>
    <xf numFmtId="0" fontId="4" fillId="0" borderId="25" xfId="7" applyBorder="1" applyAlignment="1">
      <alignment wrapText="1"/>
    </xf>
    <xf numFmtId="0" fontId="4" fillId="0" borderId="24" xfId="7" applyBorder="1" applyAlignment="1">
      <alignment horizontal="center"/>
    </xf>
    <xf numFmtId="0" fontId="4" fillId="2" borderId="24" xfId="8" applyFill="1" applyBorder="1" applyAlignment="1">
      <alignment horizontal="center"/>
    </xf>
    <xf numFmtId="0" fontId="4" fillId="0" borderId="25" xfId="8" applyBorder="1" applyAlignment="1">
      <alignment horizontal="right" wrapText="1"/>
    </xf>
    <xf numFmtId="0" fontId="4" fillId="0" borderId="25" xfId="8" applyBorder="1" applyAlignment="1">
      <alignment wrapText="1"/>
    </xf>
    <xf numFmtId="0" fontId="4" fillId="4" borderId="25" xfId="8" applyFill="1" applyBorder="1" applyAlignment="1">
      <alignment horizontal="right" wrapText="1"/>
    </xf>
    <xf numFmtId="0" fontId="4" fillId="4" borderId="25" xfId="8" applyFill="1" applyBorder="1" applyAlignment="1">
      <alignment wrapText="1"/>
    </xf>
    <xf numFmtId="0" fontId="15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5" borderId="15" xfId="0" applyFill="1" applyBorder="1" applyAlignment="1">
      <alignment vertical="center"/>
    </xf>
    <xf numFmtId="0" fontId="0" fillId="5" borderId="14" xfId="0" applyFill="1" applyBorder="1" applyAlignment="1">
      <alignment vertical="center"/>
    </xf>
  </cellXfs>
  <cellStyles count="9">
    <cellStyle name="40% - アクセント 3" xfId="1" builtinId="39"/>
    <cellStyle name="標準" xfId="0" builtinId="0"/>
    <cellStyle name="標準_Sheet1" xfId="2" xr:uid="{00000000-0005-0000-0000-000002000000}"/>
    <cellStyle name="標準_Sheet2" xfId="3" xr:uid="{00000000-0005-0000-0000-000003000000}"/>
    <cellStyle name="標準_Sheet3" xfId="4" xr:uid="{00000000-0005-0000-0000-000004000000}"/>
    <cellStyle name="標準_Sheet4" xfId="6" xr:uid="{8FB1C788-EC2D-444C-8A7F-944E78F7ADF2}"/>
    <cellStyle name="標準_テストデータ" xfId="8" xr:uid="{F45D2A4E-5449-4425-B7EC-956D3A3A0985}"/>
    <cellStyle name="標準_値引確認２" xfId="7" xr:uid="{3E043C4A-9522-4BE4-AACE-274675C9CBA4}"/>
    <cellStyle name="標準_売上値引実績確認 (2)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5" Type="http://schemas.openxmlformats.org/officeDocument/2006/relationships/image" Target="../media/image5.tmp"/><Relationship Id="rId4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6</xdr:col>
      <xdr:colOff>495752</xdr:colOff>
      <xdr:row>12</xdr:row>
      <xdr:rowOff>19385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852808A-A0C3-4C3C-A51A-AA832A302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476250"/>
          <a:ext cx="3238952" cy="2400635"/>
        </a:xfrm>
        <a:prstGeom prst="rect">
          <a:avLst/>
        </a:prstGeom>
      </xdr:spPr>
    </xdr:pic>
    <xdr:clientData/>
  </xdr:twoCellAnchor>
  <xdr:twoCellAnchor editAs="oneCell">
    <xdr:from>
      <xdr:col>1</xdr:col>
      <xdr:colOff>676275</xdr:colOff>
      <xdr:row>13</xdr:row>
      <xdr:rowOff>9525</xdr:rowOff>
    </xdr:from>
    <xdr:to>
      <xdr:col>6</xdr:col>
      <xdr:colOff>486227</xdr:colOff>
      <xdr:row>23</xdr:row>
      <xdr:rowOff>28910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3E53692-E15B-4A93-B1EC-21E6C8247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3105150"/>
          <a:ext cx="3238952" cy="2400635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666750</xdr:colOff>
      <xdr:row>23</xdr:row>
      <xdr:rowOff>209550</xdr:rowOff>
    </xdr:from>
    <xdr:to>
      <xdr:col>6</xdr:col>
      <xdr:colOff>390965</xdr:colOff>
      <xdr:row>33</xdr:row>
      <xdr:rowOff>200356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A918C85-E956-4A87-96F0-6B0AB4426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5686425"/>
          <a:ext cx="3153215" cy="237205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6</xdr:col>
      <xdr:colOff>324278</xdr:colOff>
      <xdr:row>44</xdr:row>
      <xdr:rowOff>219405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B3EE135-D952-48AC-8DF5-4CFD08FCA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8334375"/>
          <a:ext cx="3067478" cy="23625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6</xdr:col>
      <xdr:colOff>543384</xdr:colOff>
      <xdr:row>56</xdr:row>
      <xdr:rowOff>9859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4057875-BA32-4506-877A-4D7F90ECD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0953750"/>
          <a:ext cx="3286584" cy="23911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6</xdr:col>
      <xdr:colOff>400489</xdr:colOff>
      <xdr:row>67</xdr:row>
      <xdr:rowOff>19385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09F3007-41C8-45F7-8A75-C74C5AE4D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3573125"/>
          <a:ext cx="3143689" cy="2400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19B8-1E32-407A-833C-C9D538F96ECC}">
  <sheetPr>
    <pageSetUpPr fitToPage="1"/>
  </sheetPr>
  <dimension ref="A1:G14"/>
  <sheetViews>
    <sheetView zoomScale="70" zoomScaleNormal="70" workbookViewId="0">
      <selection activeCell="C4" sqref="C4"/>
    </sheetView>
  </sheetViews>
  <sheetFormatPr defaultRowHeight="27.75" customHeight="1"/>
  <cols>
    <col min="1" max="1" width="13.875" style="1" bestFit="1" customWidth="1"/>
    <col min="2" max="2" width="25" style="4" bestFit="1" customWidth="1"/>
    <col min="3" max="3" width="33.875" style="4" bestFit="1" customWidth="1"/>
    <col min="4" max="4" width="11.625" style="4" bestFit="1" customWidth="1"/>
    <col min="5" max="5" width="9.5" style="4" bestFit="1" customWidth="1"/>
    <col min="6" max="6" width="29.375" style="4" bestFit="1" customWidth="1"/>
    <col min="7" max="7" width="42.75" style="4" bestFit="1" customWidth="1"/>
    <col min="8" max="16384" width="9" style="4"/>
  </cols>
  <sheetData>
    <row r="1" spans="1:7" ht="27.75" customHeight="1">
      <c r="A1" s="66" t="s">
        <v>0</v>
      </c>
      <c r="B1" s="67"/>
      <c r="C1" s="67"/>
      <c r="D1" s="67"/>
      <c r="E1" s="67"/>
      <c r="F1" s="67"/>
      <c r="G1" s="87"/>
    </row>
    <row r="2" spans="1:7" ht="27.75" customHeight="1" thickBot="1"/>
    <row r="3" spans="1:7" s="1" customFormat="1" ht="25.5" customHeight="1" thickBot="1">
      <c r="A3" s="25" t="s">
        <v>1</v>
      </c>
      <c r="B3" s="26" t="s">
        <v>2</v>
      </c>
      <c r="C3" s="26" t="s">
        <v>3</v>
      </c>
      <c r="D3" s="27" t="s">
        <v>4</v>
      </c>
      <c r="E3" s="27" t="s">
        <v>5</v>
      </c>
      <c r="F3" s="26" t="s">
        <v>6</v>
      </c>
      <c r="G3" s="28" t="s">
        <v>7</v>
      </c>
    </row>
    <row r="4" spans="1:7" ht="25.5" customHeight="1" thickBot="1">
      <c r="A4" s="25">
        <v>1</v>
      </c>
      <c r="B4" s="38" t="s">
        <v>8</v>
      </c>
      <c r="C4" s="38" t="s">
        <v>9</v>
      </c>
      <c r="D4" s="39">
        <v>91324</v>
      </c>
      <c r="E4" s="39">
        <v>0</v>
      </c>
      <c r="F4" s="38" t="s">
        <v>10</v>
      </c>
      <c r="G4" s="40" t="s">
        <v>11</v>
      </c>
    </row>
    <row r="5" spans="1:7" ht="25.5" customHeight="1">
      <c r="A5" s="68">
        <v>2</v>
      </c>
      <c r="B5" s="88" t="s">
        <v>12</v>
      </c>
      <c r="C5" s="29" t="s">
        <v>13</v>
      </c>
      <c r="D5" s="30">
        <v>91324</v>
      </c>
      <c r="E5" s="30">
        <v>0</v>
      </c>
      <c r="F5" s="29" t="s">
        <v>10</v>
      </c>
      <c r="G5" s="31"/>
    </row>
    <row r="6" spans="1:7" ht="25.5" customHeight="1" thickBot="1">
      <c r="A6" s="69"/>
      <c r="B6" s="89"/>
      <c r="C6" s="32" t="s">
        <v>12</v>
      </c>
      <c r="D6" s="33">
        <v>91400</v>
      </c>
      <c r="E6" s="33">
        <v>14</v>
      </c>
      <c r="F6" s="32" t="s">
        <v>14</v>
      </c>
      <c r="G6" s="34"/>
    </row>
    <row r="7" spans="1:7" ht="25.5" customHeight="1">
      <c r="A7" s="68">
        <v>3</v>
      </c>
      <c r="B7" s="88" t="s">
        <v>15</v>
      </c>
      <c r="C7" s="29" t="s">
        <v>13</v>
      </c>
      <c r="D7" s="30">
        <v>91324</v>
      </c>
      <c r="E7" s="30">
        <v>0</v>
      </c>
      <c r="F7" s="29" t="s">
        <v>10</v>
      </c>
      <c r="G7" s="31"/>
    </row>
    <row r="8" spans="1:7" ht="25.5" customHeight="1" thickBot="1">
      <c r="A8" s="69"/>
      <c r="B8" s="89"/>
      <c r="C8" s="32" t="s">
        <v>16</v>
      </c>
      <c r="D8" s="33">
        <v>91400</v>
      </c>
      <c r="E8" s="33">
        <v>14</v>
      </c>
      <c r="F8" s="32" t="s">
        <v>14</v>
      </c>
      <c r="G8" s="34"/>
    </row>
    <row r="9" spans="1:7" ht="25.5" customHeight="1">
      <c r="A9" s="68">
        <v>4</v>
      </c>
      <c r="B9" s="88" t="s">
        <v>17</v>
      </c>
      <c r="C9" s="29" t="s">
        <v>13</v>
      </c>
      <c r="D9" s="30">
        <v>91324</v>
      </c>
      <c r="E9" s="30">
        <v>0</v>
      </c>
      <c r="F9" s="29" t="s">
        <v>10</v>
      </c>
      <c r="G9" s="31"/>
    </row>
    <row r="10" spans="1:7" ht="25.5" customHeight="1" thickBot="1">
      <c r="A10" s="69"/>
      <c r="B10" s="89"/>
      <c r="C10" s="32" t="s">
        <v>18</v>
      </c>
      <c r="D10" s="33">
        <v>91400</v>
      </c>
      <c r="E10" s="33">
        <v>14</v>
      </c>
      <c r="F10" s="32" t="s">
        <v>14</v>
      </c>
      <c r="G10" s="34"/>
    </row>
    <row r="11" spans="1:7" ht="25.5" customHeight="1">
      <c r="A11" s="68">
        <v>5</v>
      </c>
      <c r="B11" s="88" t="s">
        <v>19</v>
      </c>
      <c r="C11" s="29" t="s">
        <v>13</v>
      </c>
      <c r="D11" s="30">
        <v>91324</v>
      </c>
      <c r="E11" s="30">
        <v>0</v>
      </c>
      <c r="F11" s="29" t="s">
        <v>10</v>
      </c>
      <c r="G11" s="31"/>
    </row>
    <row r="12" spans="1:7" ht="25.5" customHeight="1" thickBot="1">
      <c r="A12" s="69"/>
      <c r="B12" s="89"/>
      <c r="C12" s="32" t="s">
        <v>20</v>
      </c>
      <c r="D12" s="33">
        <v>91400</v>
      </c>
      <c r="E12" s="33">
        <v>14</v>
      </c>
      <c r="F12" s="32" t="s">
        <v>14</v>
      </c>
      <c r="G12" s="34"/>
    </row>
    <row r="13" spans="1:7" ht="25.5" customHeight="1">
      <c r="A13" s="68">
        <v>6</v>
      </c>
      <c r="B13" s="88" t="s">
        <v>21</v>
      </c>
      <c r="C13" s="29" t="s">
        <v>13</v>
      </c>
      <c r="D13" s="30">
        <v>91324</v>
      </c>
      <c r="E13" s="30">
        <v>0</v>
      </c>
      <c r="F13" s="29" t="s">
        <v>10</v>
      </c>
      <c r="G13" s="31"/>
    </row>
    <row r="14" spans="1:7" ht="25.5" customHeight="1" thickBot="1">
      <c r="A14" s="70"/>
      <c r="B14" s="90"/>
      <c r="C14" s="35" t="s">
        <v>22</v>
      </c>
      <c r="D14" s="36">
        <v>91400</v>
      </c>
      <c r="E14" s="36">
        <v>14</v>
      </c>
      <c r="F14" s="35" t="s">
        <v>14</v>
      </c>
      <c r="G14" s="37"/>
    </row>
  </sheetData>
  <mergeCells count="11">
    <mergeCell ref="A1:G1"/>
    <mergeCell ref="A5:A6"/>
    <mergeCell ref="B5:B6"/>
    <mergeCell ref="A13:A14"/>
    <mergeCell ref="B13:B14"/>
    <mergeCell ref="A7:A8"/>
    <mergeCell ref="B7:B8"/>
    <mergeCell ref="A9:A10"/>
    <mergeCell ref="B9:B10"/>
    <mergeCell ref="A11:A12"/>
    <mergeCell ref="B11:B12"/>
  </mergeCells>
  <phoneticPr fontId="11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8E9C-0AF8-4C90-9C7C-8821B28BEE12}">
  <dimension ref="A1:J141"/>
  <sheetViews>
    <sheetView tabSelected="1" topLeftCell="A43" workbookViewId="0">
      <selection activeCell="E32" sqref="E32"/>
    </sheetView>
  </sheetViews>
  <sheetFormatPr defaultRowHeight="18.75"/>
  <cols>
    <col min="1" max="1" width="4.75" customWidth="1"/>
    <col min="2" max="3" width="3.375" customWidth="1"/>
    <col min="4" max="4" width="13.875" bestFit="1" customWidth="1"/>
    <col min="5" max="5" width="46" bestFit="1" customWidth="1"/>
    <col min="6" max="6" width="4" customWidth="1"/>
    <col min="7" max="7" width="9.5" bestFit="1" customWidth="1"/>
    <col min="8" max="8" width="36.125" bestFit="1" customWidth="1"/>
    <col min="9" max="9" width="31.625" bestFit="1" customWidth="1"/>
  </cols>
  <sheetData>
    <row r="1" spans="1:10">
      <c r="A1" s="41" t="s">
        <v>23</v>
      </c>
    </row>
    <row r="2" spans="1:10" ht="19.5" thickBot="1"/>
    <row r="3" spans="1:10" s="4" customFormat="1" ht="13.5">
      <c r="D3" s="42" t="s">
        <v>24</v>
      </c>
      <c r="E3" s="43"/>
      <c r="F3" s="43"/>
      <c r="G3" s="43"/>
      <c r="H3" s="43"/>
      <c r="I3" s="43"/>
      <c r="J3" s="44"/>
    </row>
    <row r="4" spans="1:10" s="4" customFormat="1" ht="13.5">
      <c r="D4" s="45">
        <v>1</v>
      </c>
      <c r="E4" s="46" t="s">
        <v>25</v>
      </c>
      <c r="F4" s="46"/>
      <c r="G4" s="46"/>
      <c r="H4" s="1"/>
      <c r="I4" s="1"/>
      <c r="J4" s="47"/>
    </row>
    <row r="5" spans="1:10" s="4" customFormat="1" ht="13.5">
      <c r="D5" s="48"/>
      <c r="E5" s="46"/>
      <c r="F5" s="46"/>
      <c r="G5" s="46"/>
      <c r="H5" s="1"/>
      <c r="I5" s="1"/>
      <c r="J5" s="47"/>
    </row>
    <row r="6" spans="1:10" s="1" customFormat="1" ht="13.5">
      <c r="D6" s="49"/>
      <c r="E6" s="1" t="s">
        <v>26</v>
      </c>
      <c r="H6" s="1" t="str">
        <f>H8&amp;"円のカテゴリ値引"</f>
        <v>50円のカテゴリ値引</v>
      </c>
      <c r="I6" s="1" t="str">
        <f>I8&amp;"％のカテゴリ割引"</f>
        <v>10％のカテゴリ割引</v>
      </c>
      <c r="J6" s="50"/>
    </row>
    <row r="7" spans="1:10" s="4" customFormat="1" ht="13.5">
      <c r="D7" s="49"/>
      <c r="E7" s="7"/>
      <c r="F7" s="7"/>
      <c r="G7" s="46"/>
      <c r="H7" s="1"/>
      <c r="J7" s="47"/>
    </row>
    <row r="8" spans="1:10" s="4" customFormat="1" ht="13.5">
      <c r="D8" s="49"/>
      <c r="E8" s="7" t="s">
        <v>27</v>
      </c>
      <c r="F8" s="7"/>
      <c r="G8" s="1"/>
      <c r="H8" s="1">
        <v>50</v>
      </c>
      <c r="I8" s="1">
        <v>10</v>
      </c>
      <c r="J8" s="47"/>
    </row>
    <row r="9" spans="1:10" s="4" customFormat="1" ht="13.5">
      <c r="D9" s="49"/>
      <c r="E9" s="1"/>
      <c r="F9" s="1"/>
      <c r="G9" s="1"/>
      <c r="H9" s="1"/>
      <c r="I9" s="1"/>
      <c r="J9" s="47"/>
    </row>
    <row r="10" spans="1:10" s="4" customFormat="1" ht="13.5">
      <c r="D10" s="49"/>
      <c r="E10" s="1"/>
      <c r="F10" s="1"/>
      <c r="G10" s="1"/>
      <c r="H10" s="1"/>
      <c r="I10" s="1"/>
      <c r="J10" s="47"/>
    </row>
    <row r="11" spans="1:10" s="4" customFormat="1" ht="13.5">
      <c r="D11" s="49"/>
      <c r="E11" s="1"/>
      <c r="F11" s="1"/>
      <c r="G11" s="73" t="s">
        <v>28</v>
      </c>
      <c r="H11" s="78" t="s">
        <v>29</v>
      </c>
      <c r="I11" s="51" t="s">
        <v>30</v>
      </c>
      <c r="J11" s="47"/>
    </row>
    <row r="12" spans="1:10" s="4" customFormat="1" ht="13.5">
      <c r="D12" s="49"/>
      <c r="E12" s="1"/>
      <c r="F12" s="1"/>
      <c r="G12" s="74"/>
      <c r="H12" s="91"/>
      <c r="I12" s="77" t="s">
        <v>31</v>
      </c>
      <c r="J12" s="47"/>
    </row>
    <row r="13" spans="1:10" s="4" customFormat="1" ht="13.5">
      <c r="D13" s="49"/>
      <c r="E13" s="1"/>
      <c r="F13" s="1"/>
      <c r="G13" s="74"/>
      <c r="H13" s="91"/>
      <c r="I13" s="92"/>
      <c r="J13" s="47"/>
    </row>
    <row r="14" spans="1:10" s="4" customFormat="1" ht="13.5">
      <c r="D14" s="49"/>
      <c r="E14" s="1"/>
      <c r="F14" s="1"/>
      <c r="G14" s="74"/>
      <c r="H14" s="91"/>
      <c r="I14" s="92"/>
      <c r="J14" s="47"/>
    </row>
    <row r="15" spans="1:10" s="4" customFormat="1" ht="13.5">
      <c r="D15" s="49"/>
      <c r="E15" s="1"/>
      <c r="F15" s="1"/>
      <c r="G15" s="74"/>
      <c r="H15" s="91"/>
      <c r="I15" s="92"/>
      <c r="J15" s="47"/>
    </row>
    <row r="16" spans="1:10" s="4" customFormat="1" ht="13.5">
      <c r="D16" s="49"/>
      <c r="E16" s="1"/>
      <c r="F16" s="1"/>
      <c r="G16" s="75"/>
      <c r="H16" s="91"/>
      <c r="I16" s="93"/>
      <c r="J16" s="47"/>
    </row>
    <row r="17" spans="4:10" s="4" customFormat="1" ht="13.5">
      <c r="D17" s="49"/>
      <c r="E17" s="52" t="s">
        <v>32</v>
      </c>
      <c r="F17" s="52"/>
      <c r="G17" s="52"/>
      <c r="H17" s="9"/>
      <c r="I17" s="9">
        <v>30</v>
      </c>
      <c r="J17" s="47"/>
    </row>
    <row r="18" spans="4:10" s="4" customFormat="1">
      <c r="D18" s="49"/>
      <c r="E18" s="52" t="s">
        <v>33</v>
      </c>
      <c r="F18" s="52"/>
      <c r="G18" s="52"/>
      <c r="H18" s="71">
        <v>270</v>
      </c>
      <c r="I18" s="72"/>
      <c r="J18" s="47"/>
    </row>
    <row r="19" spans="4:10" s="4" customFormat="1" ht="13.5">
      <c r="D19" s="49"/>
      <c r="E19" s="52"/>
      <c r="F19" s="52"/>
      <c r="G19" s="52"/>
      <c r="H19" s="1"/>
      <c r="I19" s="1"/>
      <c r="J19" s="47"/>
    </row>
    <row r="20" spans="4:10" s="4" customFormat="1" ht="13.5">
      <c r="D20" s="49"/>
      <c r="E20" s="52" t="s">
        <v>34</v>
      </c>
      <c r="F20" s="52"/>
      <c r="G20" s="52"/>
      <c r="H20" s="1"/>
      <c r="I20" s="1"/>
      <c r="J20" s="47"/>
    </row>
    <row r="21" spans="4:10" s="4" customFormat="1" ht="13.5">
      <c r="D21" s="49"/>
      <c r="E21" s="53" t="s">
        <v>35</v>
      </c>
      <c r="F21" s="53"/>
      <c r="G21" s="52"/>
      <c r="H21" s="79" t="s">
        <v>36</v>
      </c>
      <c r="I21" s="1">
        <v>91324</v>
      </c>
      <c r="J21" s="47"/>
    </row>
    <row r="22" spans="4:10" s="4" customFormat="1" ht="13.5">
      <c r="D22" s="49"/>
      <c r="E22" s="53" t="s">
        <v>37</v>
      </c>
      <c r="F22" s="53"/>
      <c r="G22" s="52"/>
      <c r="H22" s="80"/>
      <c r="I22" s="1">
        <v>0</v>
      </c>
      <c r="J22" s="47"/>
    </row>
    <row r="23" spans="4:10" s="4" customFormat="1" ht="13.5">
      <c r="D23" s="49"/>
      <c r="E23" s="53" t="s">
        <v>38</v>
      </c>
      <c r="F23" s="53"/>
      <c r="G23" s="52"/>
      <c r="H23" s="80"/>
      <c r="I23" s="52" t="s">
        <v>39</v>
      </c>
      <c r="J23" s="47"/>
    </row>
    <row r="24" spans="4:10" s="4" customFormat="1" ht="27">
      <c r="D24" s="49"/>
      <c r="E24" s="52" t="s">
        <v>32</v>
      </c>
      <c r="F24" s="52"/>
      <c r="G24" s="52"/>
      <c r="H24" s="81"/>
      <c r="I24" s="52" t="s">
        <v>40</v>
      </c>
      <c r="J24" s="47"/>
    </row>
    <row r="25" spans="4:10" s="4" customFormat="1" ht="13.5">
      <c r="D25" s="49"/>
      <c r="E25" s="65" t="s">
        <v>41</v>
      </c>
      <c r="F25" s="52"/>
      <c r="G25" s="52"/>
      <c r="H25" s="1"/>
      <c r="I25" s="52"/>
      <c r="J25" s="47"/>
    </row>
    <row r="26" spans="4:10" s="4" customFormat="1" ht="14.25" thickBot="1">
      <c r="D26" s="54"/>
      <c r="E26" s="55"/>
      <c r="F26" s="55"/>
      <c r="G26" s="55"/>
      <c r="H26" s="55"/>
      <c r="I26" s="55"/>
      <c r="J26" s="56"/>
    </row>
    <row r="27" spans="4:10" s="4" customFormat="1" ht="13.5">
      <c r="D27" s="42" t="s">
        <v>24</v>
      </c>
      <c r="E27" s="43"/>
      <c r="F27" s="43"/>
      <c r="G27" s="43"/>
      <c r="H27" s="43"/>
      <c r="I27" s="43"/>
      <c r="J27" s="44"/>
    </row>
    <row r="28" spans="4:10" s="4" customFormat="1" ht="13.5">
      <c r="D28" s="45">
        <v>2</v>
      </c>
      <c r="E28" s="46" t="s">
        <v>42</v>
      </c>
      <c r="F28" s="46"/>
      <c r="G28" s="46"/>
      <c r="H28" s="1"/>
      <c r="I28" s="1"/>
      <c r="J28" s="47"/>
    </row>
    <row r="29" spans="4:10" s="4" customFormat="1" ht="13.5">
      <c r="D29" s="48"/>
      <c r="E29" s="46"/>
      <c r="F29" s="46"/>
      <c r="G29" s="46"/>
      <c r="H29" s="1"/>
      <c r="I29" s="1"/>
      <c r="J29" s="47"/>
    </row>
    <row r="30" spans="4:10" s="1" customFormat="1" ht="13.5">
      <c r="D30" s="49"/>
      <c r="E30" s="1" t="s">
        <v>26</v>
      </c>
      <c r="H30" s="1" t="str">
        <f>H32&amp;"円のカテゴリ値引"</f>
        <v>50円のカテゴリ値引</v>
      </c>
      <c r="I30" s="1" t="str">
        <f>I32&amp;"円の小計値引（マニュアル）"</f>
        <v>50円の小計値引（マニュアル）</v>
      </c>
      <c r="J30" s="50"/>
    </row>
    <row r="31" spans="4:10" s="4" customFormat="1" ht="13.5">
      <c r="D31" s="49"/>
      <c r="E31" s="7"/>
      <c r="G31" s="46"/>
      <c r="H31" s="1"/>
      <c r="J31" s="47"/>
    </row>
    <row r="32" spans="4:10" s="4" customFormat="1" ht="13.5">
      <c r="D32" s="49"/>
      <c r="E32" s="7" t="s">
        <v>43</v>
      </c>
      <c r="G32" s="1"/>
      <c r="H32" s="1">
        <v>50</v>
      </c>
      <c r="I32" s="1">
        <v>50</v>
      </c>
      <c r="J32" s="47"/>
    </row>
    <row r="33" spans="4:10" s="4" customFormat="1" ht="13.5">
      <c r="D33" s="49"/>
      <c r="E33" s="1"/>
      <c r="G33" s="1"/>
      <c r="H33" s="1"/>
      <c r="I33" s="1"/>
      <c r="J33" s="47"/>
    </row>
    <row r="34" spans="4:10" s="4" customFormat="1" ht="13.5">
      <c r="D34" s="49"/>
      <c r="E34" s="1"/>
      <c r="G34" s="1"/>
      <c r="H34" s="1"/>
      <c r="I34" s="1"/>
      <c r="J34" s="47"/>
    </row>
    <row r="35" spans="4:10" s="4" customFormat="1" ht="13.5">
      <c r="D35" s="49"/>
      <c r="E35" s="1"/>
      <c r="G35" s="73" t="s">
        <v>28</v>
      </c>
      <c r="H35" s="51" t="s">
        <v>44</v>
      </c>
      <c r="J35" s="47"/>
    </row>
    <row r="36" spans="4:10" s="4" customFormat="1" ht="13.5" customHeight="1">
      <c r="D36" s="49"/>
      <c r="E36" s="1"/>
      <c r="G36" s="74"/>
      <c r="H36" s="76" t="s">
        <v>45</v>
      </c>
      <c r="I36" s="51" t="s">
        <v>46</v>
      </c>
      <c r="J36" s="47"/>
    </row>
    <row r="37" spans="4:10" s="4" customFormat="1" ht="13.5" customHeight="1">
      <c r="D37" s="49"/>
      <c r="E37" s="1"/>
      <c r="G37" s="74"/>
      <c r="H37" s="94"/>
      <c r="I37" s="77" t="s">
        <v>47</v>
      </c>
      <c r="J37" s="47"/>
    </row>
    <row r="38" spans="4:10" s="4" customFormat="1" ht="13.5" customHeight="1">
      <c r="D38" s="49"/>
      <c r="E38" s="1"/>
      <c r="G38" s="74"/>
      <c r="H38" s="94"/>
      <c r="I38" s="92"/>
      <c r="J38" s="47"/>
    </row>
    <row r="39" spans="4:10" s="4" customFormat="1" ht="13.5" customHeight="1">
      <c r="D39" s="49"/>
      <c r="E39" s="1"/>
      <c r="G39" s="74"/>
      <c r="H39" s="94"/>
      <c r="I39" s="92"/>
      <c r="J39" s="47"/>
    </row>
    <row r="40" spans="4:10" s="4" customFormat="1" ht="13.5" customHeight="1">
      <c r="D40" s="49"/>
      <c r="E40" s="1"/>
      <c r="G40" s="75"/>
      <c r="H40" s="95"/>
      <c r="I40" s="93"/>
      <c r="J40" s="47"/>
    </row>
    <row r="41" spans="4:10" s="4" customFormat="1" ht="13.5" customHeight="1">
      <c r="D41" s="49"/>
      <c r="E41" s="52" t="s">
        <v>32</v>
      </c>
      <c r="F41" s="52"/>
      <c r="G41" s="52"/>
      <c r="H41" s="9">
        <v>50</v>
      </c>
      <c r="I41" s="9">
        <v>50</v>
      </c>
      <c r="J41" s="47"/>
    </row>
    <row r="42" spans="4:10" s="4" customFormat="1">
      <c r="D42" s="49"/>
      <c r="E42" s="52" t="s">
        <v>33</v>
      </c>
      <c r="F42" s="52"/>
      <c r="G42" s="52"/>
      <c r="H42" s="71">
        <v>200</v>
      </c>
      <c r="I42" s="72"/>
      <c r="J42" s="47"/>
    </row>
    <row r="43" spans="4:10" s="4" customFormat="1" ht="13.5">
      <c r="D43" s="49"/>
      <c r="E43" s="52"/>
      <c r="F43" s="52"/>
      <c r="G43" s="52"/>
      <c r="H43" s="1"/>
      <c r="I43" s="1"/>
      <c r="J43" s="47"/>
    </row>
    <row r="44" spans="4:10" s="4" customFormat="1" ht="13.5">
      <c r="D44" s="49"/>
      <c r="E44" s="52" t="s">
        <v>34</v>
      </c>
      <c r="F44" s="52"/>
      <c r="G44" s="52"/>
      <c r="H44" s="1"/>
      <c r="I44" s="1"/>
      <c r="J44" s="47"/>
    </row>
    <row r="45" spans="4:10" s="4" customFormat="1" ht="13.5">
      <c r="D45" s="49"/>
      <c r="E45" s="53" t="s">
        <v>35</v>
      </c>
      <c r="F45" s="53"/>
      <c r="G45" s="52"/>
      <c r="H45" s="1">
        <v>91324</v>
      </c>
      <c r="I45" s="1">
        <v>91440</v>
      </c>
      <c r="J45" s="47"/>
    </row>
    <row r="46" spans="4:10" s="4" customFormat="1" ht="13.5">
      <c r="D46" s="49"/>
      <c r="E46" s="53" t="s">
        <v>37</v>
      </c>
      <c r="F46" s="53"/>
      <c r="G46" s="52"/>
      <c r="H46" s="1">
        <v>0</v>
      </c>
      <c r="I46" s="1">
        <v>14</v>
      </c>
      <c r="J46" s="47"/>
    </row>
    <row r="47" spans="4:10" s="4" customFormat="1" ht="13.5">
      <c r="D47" s="49"/>
      <c r="E47" s="53" t="s">
        <v>38</v>
      </c>
      <c r="F47" s="53"/>
      <c r="G47" s="52"/>
      <c r="H47" s="52" t="s">
        <v>39</v>
      </c>
      <c r="I47" s="52" t="s">
        <v>42</v>
      </c>
      <c r="J47" s="47"/>
    </row>
    <row r="48" spans="4:10" s="4" customFormat="1" ht="27">
      <c r="D48" s="49"/>
      <c r="E48" s="52" t="s">
        <v>32</v>
      </c>
      <c r="F48" s="52"/>
      <c r="G48" s="52"/>
      <c r="H48" s="52" t="s">
        <v>48</v>
      </c>
      <c r="I48" s="52" t="s">
        <v>49</v>
      </c>
      <c r="J48" s="47"/>
    </row>
    <row r="49" spans="4:10" s="4" customFormat="1" ht="14.25" thickBot="1">
      <c r="D49" s="54"/>
      <c r="E49" s="55"/>
      <c r="F49" s="55"/>
      <c r="G49" s="55"/>
      <c r="H49" s="55"/>
      <c r="I49" s="55"/>
      <c r="J49" s="56"/>
    </row>
    <row r="50" spans="4:10" s="4" customFormat="1" ht="13.5">
      <c r="D50" s="42" t="s">
        <v>24</v>
      </c>
      <c r="E50" s="43"/>
      <c r="F50" s="43"/>
      <c r="G50" s="43"/>
      <c r="H50" s="43"/>
      <c r="I50" s="43"/>
      <c r="J50" s="44"/>
    </row>
    <row r="51" spans="4:10" s="4" customFormat="1" ht="13.5">
      <c r="D51" s="45">
        <v>3</v>
      </c>
      <c r="E51" s="46" t="s">
        <v>50</v>
      </c>
      <c r="F51" s="46"/>
      <c r="G51" s="46"/>
      <c r="H51" s="1"/>
      <c r="I51" s="1"/>
      <c r="J51" s="47"/>
    </row>
    <row r="52" spans="4:10" s="4" customFormat="1" ht="13.5">
      <c r="D52" s="48"/>
      <c r="E52" s="46"/>
      <c r="F52" s="46"/>
      <c r="G52" s="46"/>
      <c r="H52" s="1"/>
      <c r="I52" s="1"/>
      <c r="J52" s="47"/>
    </row>
    <row r="53" spans="4:10" s="1" customFormat="1" ht="13.5">
      <c r="D53" s="49"/>
      <c r="E53" s="1" t="s">
        <v>26</v>
      </c>
      <c r="H53" s="1" t="str">
        <f>H55&amp;"円のカテゴリ値引"</f>
        <v>50円のカテゴリ値引</v>
      </c>
      <c r="I53" s="1" t="str">
        <f>I55&amp;"％の小計割引（マニュアル）"</f>
        <v>10％の小計割引（マニュアル）</v>
      </c>
      <c r="J53" s="50"/>
    </row>
    <row r="54" spans="4:10" s="4" customFormat="1" ht="13.5">
      <c r="D54" s="49"/>
      <c r="E54" s="7"/>
      <c r="F54" s="7"/>
      <c r="G54" s="46"/>
      <c r="H54" s="1"/>
      <c r="I54" s="1"/>
      <c r="J54" s="47"/>
    </row>
    <row r="55" spans="4:10" s="4" customFormat="1" ht="13.5">
      <c r="D55" s="49"/>
      <c r="E55" s="7" t="s">
        <v>51</v>
      </c>
      <c r="F55" s="7"/>
      <c r="G55" s="1"/>
      <c r="H55" s="1">
        <v>50</v>
      </c>
      <c r="I55" s="1">
        <v>10</v>
      </c>
      <c r="J55" s="47"/>
    </row>
    <row r="56" spans="4:10" s="4" customFormat="1" ht="13.5">
      <c r="D56" s="49"/>
      <c r="E56" s="1"/>
      <c r="F56" s="1"/>
      <c r="G56" s="1"/>
      <c r="H56" s="1"/>
      <c r="I56" s="1"/>
      <c r="J56" s="47"/>
    </row>
    <row r="57" spans="4:10" s="4" customFormat="1" ht="13.5">
      <c r="D57" s="49"/>
      <c r="E57" s="1"/>
      <c r="F57" s="1"/>
      <c r="G57" s="1"/>
      <c r="H57" s="1"/>
      <c r="I57" s="1"/>
      <c r="J57" s="47"/>
    </row>
    <row r="58" spans="4:10" s="4" customFormat="1" ht="13.5">
      <c r="D58" s="49"/>
      <c r="E58" s="1"/>
      <c r="F58" s="1"/>
      <c r="G58" s="73" t="s">
        <v>28</v>
      </c>
      <c r="H58" s="51" t="s">
        <v>44</v>
      </c>
      <c r="J58" s="47"/>
    </row>
    <row r="59" spans="4:10" s="4" customFormat="1" ht="13.5" customHeight="1">
      <c r="D59" s="49"/>
      <c r="E59" s="1"/>
      <c r="F59" s="1"/>
      <c r="G59" s="74"/>
      <c r="H59" s="76" t="s">
        <v>45</v>
      </c>
      <c r="I59" s="51" t="s">
        <v>52</v>
      </c>
      <c r="J59" s="47"/>
    </row>
    <row r="60" spans="4:10" s="4" customFormat="1" ht="13.5" customHeight="1">
      <c r="D60" s="49"/>
      <c r="E60" s="1"/>
      <c r="F60" s="1"/>
      <c r="G60" s="74"/>
      <c r="H60" s="94"/>
      <c r="I60" s="77" t="s">
        <v>53</v>
      </c>
      <c r="J60" s="47"/>
    </row>
    <row r="61" spans="4:10" s="4" customFormat="1" ht="13.5" customHeight="1">
      <c r="D61" s="49"/>
      <c r="E61" s="1"/>
      <c r="F61" s="1"/>
      <c r="G61" s="74"/>
      <c r="H61" s="94"/>
      <c r="I61" s="92"/>
      <c r="J61" s="47"/>
    </row>
    <row r="62" spans="4:10" s="4" customFormat="1" ht="13.5" customHeight="1">
      <c r="D62" s="49"/>
      <c r="E62" s="1"/>
      <c r="F62" s="1"/>
      <c r="G62" s="74"/>
      <c r="H62" s="94"/>
      <c r="I62" s="92"/>
      <c r="J62" s="47"/>
    </row>
    <row r="63" spans="4:10" s="4" customFormat="1" ht="13.5" customHeight="1">
      <c r="D63" s="49"/>
      <c r="E63" s="1"/>
      <c r="F63" s="1"/>
      <c r="G63" s="75"/>
      <c r="H63" s="95"/>
      <c r="I63" s="93"/>
      <c r="J63" s="47"/>
    </row>
    <row r="64" spans="4:10" s="4" customFormat="1" ht="13.5" customHeight="1">
      <c r="D64" s="49"/>
      <c r="E64" s="52" t="s">
        <v>32</v>
      </c>
      <c r="F64" s="52"/>
      <c r="G64" s="52"/>
      <c r="H64" s="9">
        <v>50</v>
      </c>
      <c r="I64" s="9">
        <v>25</v>
      </c>
      <c r="J64" s="47"/>
    </row>
    <row r="65" spans="4:10" s="4" customFormat="1">
      <c r="D65" s="49"/>
      <c r="E65" s="52" t="s">
        <v>33</v>
      </c>
      <c r="F65" s="52"/>
      <c r="G65" s="52"/>
      <c r="H65" s="71">
        <v>225</v>
      </c>
      <c r="I65" s="72"/>
      <c r="J65" s="47"/>
    </row>
    <row r="66" spans="4:10" s="4" customFormat="1" ht="13.5">
      <c r="D66" s="49"/>
      <c r="E66" s="52"/>
      <c r="F66" s="52"/>
      <c r="G66" s="52"/>
      <c r="H66" s="1"/>
      <c r="I66" s="1"/>
      <c r="J66" s="47"/>
    </row>
    <row r="67" spans="4:10" s="4" customFormat="1" ht="13.5">
      <c r="D67" s="49"/>
      <c r="E67" s="52" t="s">
        <v>34</v>
      </c>
      <c r="F67" s="52"/>
      <c r="G67" s="52"/>
      <c r="H67" s="1"/>
      <c r="I67" s="1"/>
      <c r="J67" s="47"/>
    </row>
    <row r="68" spans="4:10" s="4" customFormat="1" ht="13.5">
      <c r="D68" s="49"/>
      <c r="E68" s="53" t="s">
        <v>35</v>
      </c>
      <c r="F68" s="53"/>
      <c r="G68" s="52"/>
      <c r="H68" s="1">
        <v>91324</v>
      </c>
      <c r="I68" s="1">
        <v>91440</v>
      </c>
      <c r="J68" s="47"/>
    </row>
    <row r="69" spans="4:10" s="4" customFormat="1" ht="13.5">
      <c r="D69" s="49"/>
      <c r="E69" s="53" t="s">
        <v>37</v>
      </c>
      <c r="F69" s="53"/>
      <c r="G69" s="52"/>
      <c r="H69" s="1">
        <v>0</v>
      </c>
      <c r="I69" s="1">
        <v>14</v>
      </c>
      <c r="J69" s="47"/>
    </row>
    <row r="70" spans="4:10" s="4" customFormat="1" ht="13.5">
      <c r="D70" s="49"/>
      <c r="E70" s="53" t="s">
        <v>38</v>
      </c>
      <c r="F70" s="53"/>
      <c r="G70" s="52"/>
      <c r="H70" s="52" t="s">
        <v>39</v>
      </c>
      <c r="I70" s="52" t="s">
        <v>42</v>
      </c>
      <c r="J70" s="47"/>
    </row>
    <row r="71" spans="4:10" s="4" customFormat="1" ht="27">
      <c r="D71" s="49"/>
      <c r="E71" s="52" t="s">
        <v>32</v>
      </c>
      <c r="F71" s="52"/>
      <c r="G71" s="52"/>
      <c r="H71" s="52" t="s">
        <v>48</v>
      </c>
      <c r="I71" s="52" t="s">
        <v>54</v>
      </c>
      <c r="J71" s="47"/>
    </row>
    <row r="72" spans="4:10" s="4" customFormat="1" ht="14.25" thickBot="1">
      <c r="D72" s="54"/>
      <c r="E72" s="55"/>
      <c r="F72" s="55"/>
      <c r="G72" s="55"/>
      <c r="H72" s="55"/>
      <c r="I72" s="55"/>
      <c r="J72" s="56"/>
    </row>
    <row r="73" spans="4:10" s="4" customFormat="1" ht="13.5">
      <c r="D73" s="42" t="s">
        <v>24</v>
      </c>
      <c r="E73" s="43"/>
      <c r="F73" s="43"/>
      <c r="G73" s="43"/>
      <c r="H73" s="43"/>
      <c r="I73" s="43"/>
      <c r="J73" s="44"/>
    </row>
    <row r="74" spans="4:10" s="4" customFormat="1" ht="13.5">
      <c r="D74" s="45">
        <v>4</v>
      </c>
      <c r="E74" s="46" t="s">
        <v>55</v>
      </c>
      <c r="F74" s="46"/>
      <c r="G74" s="46"/>
      <c r="H74" s="1"/>
      <c r="I74" s="1"/>
      <c r="J74" s="47"/>
    </row>
    <row r="75" spans="4:10" s="4" customFormat="1" ht="13.5">
      <c r="D75" s="48"/>
      <c r="E75" s="46"/>
      <c r="F75" s="46"/>
      <c r="G75" s="46"/>
      <c r="H75" s="1"/>
      <c r="I75" s="1"/>
      <c r="J75" s="47"/>
    </row>
    <row r="76" spans="4:10" s="1" customFormat="1" ht="13.5">
      <c r="D76" s="49"/>
      <c r="E76" s="1" t="s">
        <v>26</v>
      </c>
      <c r="H76" s="1" t="str">
        <f>H78&amp;"円のカテゴリ値引"</f>
        <v>50円のカテゴリ値引</v>
      </c>
      <c r="I76" s="1" t="str">
        <f>I78&amp;"％の朝割り（自動）"</f>
        <v>10％の朝割り（自動）</v>
      </c>
      <c r="J76" s="50"/>
    </row>
    <row r="77" spans="4:10" s="4" customFormat="1" ht="13.5">
      <c r="D77" s="49"/>
      <c r="E77" s="7"/>
      <c r="F77" s="7"/>
      <c r="G77" s="46"/>
      <c r="H77" s="1"/>
      <c r="I77" s="1"/>
      <c r="J77" s="47"/>
    </row>
    <row r="78" spans="4:10" s="4" customFormat="1" ht="13.5">
      <c r="D78" s="49"/>
      <c r="E78" s="7" t="s">
        <v>56</v>
      </c>
      <c r="F78" s="7"/>
      <c r="G78" s="1"/>
      <c r="H78" s="1">
        <v>50</v>
      </c>
      <c r="I78" s="1">
        <v>10</v>
      </c>
      <c r="J78" s="47"/>
    </row>
    <row r="79" spans="4:10" s="4" customFormat="1" ht="13.5">
      <c r="D79" s="49"/>
      <c r="E79" s="1"/>
      <c r="F79" s="1"/>
      <c r="G79" s="1"/>
      <c r="H79" s="1"/>
      <c r="I79" s="1"/>
      <c r="J79" s="47"/>
    </row>
    <row r="80" spans="4:10" s="4" customFormat="1" ht="13.5">
      <c r="D80" s="49"/>
      <c r="E80" s="1"/>
      <c r="F80" s="1"/>
      <c r="G80" s="1"/>
      <c r="H80" s="1"/>
      <c r="I80" s="1"/>
      <c r="J80" s="47"/>
    </row>
    <row r="81" spans="4:10" s="4" customFormat="1" ht="13.5">
      <c r="D81" s="49"/>
      <c r="E81" s="1"/>
      <c r="F81" s="1"/>
      <c r="G81" s="73" t="s">
        <v>28</v>
      </c>
      <c r="H81" s="51" t="s">
        <v>44</v>
      </c>
      <c r="J81" s="47"/>
    </row>
    <row r="82" spans="4:10" s="4" customFormat="1" ht="13.5" customHeight="1">
      <c r="D82" s="49"/>
      <c r="E82" s="1"/>
      <c r="F82" s="1"/>
      <c r="G82" s="74"/>
      <c r="H82" s="76" t="s">
        <v>45</v>
      </c>
      <c r="I82" s="51" t="s">
        <v>52</v>
      </c>
      <c r="J82" s="47"/>
    </row>
    <row r="83" spans="4:10" s="4" customFormat="1" ht="13.5" customHeight="1">
      <c r="D83" s="49"/>
      <c r="E83" s="1"/>
      <c r="F83" s="1"/>
      <c r="G83" s="74"/>
      <c r="H83" s="94"/>
      <c r="I83" s="77" t="s">
        <v>53</v>
      </c>
      <c r="J83" s="47"/>
    </row>
    <row r="84" spans="4:10" s="4" customFormat="1" ht="13.5" customHeight="1">
      <c r="D84" s="49"/>
      <c r="E84" s="1"/>
      <c r="F84" s="1"/>
      <c r="G84" s="74"/>
      <c r="H84" s="94"/>
      <c r="I84" s="92"/>
      <c r="J84" s="47"/>
    </row>
    <row r="85" spans="4:10" s="4" customFormat="1" ht="13.5" customHeight="1">
      <c r="D85" s="49"/>
      <c r="E85" s="1"/>
      <c r="F85" s="1"/>
      <c r="G85" s="74"/>
      <c r="H85" s="94"/>
      <c r="I85" s="92"/>
      <c r="J85" s="47"/>
    </row>
    <row r="86" spans="4:10" s="4" customFormat="1" ht="13.5" customHeight="1">
      <c r="D86" s="49"/>
      <c r="E86" s="1"/>
      <c r="F86" s="1"/>
      <c r="G86" s="75"/>
      <c r="H86" s="95"/>
      <c r="I86" s="93"/>
      <c r="J86" s="47"/>
    </row>
    <row r="87" spans="4:10" s="4" customFormat="1" ht="13.5" customHeight="1">
      <c r="D87" s="49"/>
      <c r="E87" s="52" t="s">
        <v>32</v>
      </c>
      <c r="F87" s="52"/>
      <c r="G87" s="52"/>
      <c r="H87" s="9">
        <v>50</v>
      </c>
      <c r="I87" s="9">
        <v>25</v>
      </c>
      <c r="J87" s="47"/>
    </row>
    <row r="88" spans="4:10" s="4" customFormat="1">
      <c r="D88" s="49"/>
      <c r="E88" s="52" t="s">
        <v>33</v>
      </c>
      <c r="F88" s="52"/>
      <c r="G88" s="52"/>
      <c r="H88" s="71">
        <v>225</v>
      </c>
      <c r="I88" s="72"/>
      <c r="J88" s="47"/>
    </row>
    <row r="89" spans="4:10" s="4" customFormat="1" ht="13.5">
      <c r="D89" s="49"/>
      <c r="E89" s="52"/>
      <c r="F89" s="52"/>
      <c r="G89" s="52"/>
      <c r="H89" s="1"/>
      <c r="I89" s="1"/>
      <c r="J89" s="47"/>
    </row>
    <row r="90" spans="4:10" s="4" customFormat="1" ht="13.5">
      <c r="D90" s="49"/>
      <c r="E90" s="52" t="s">
        <v>34</v>
      </c>
      <c r="F90" s="52"/>
      <c r="G90" s="52"/>
      <c r="H90" s="1"/>
      <c r="I90" s="1"/>
      <c r="J90" s="47"/>
    </row>
    <row r="91" spans="4:10" s="4" customFormat="1" ht="13.5">
      <c r="D91" s="49"/>
      <c r="E91" s="53" t="s">
        <v>35</v>
      </c>
      <c r="F91" s="53"/>
      <c r="G91" s="52"/>
      <c r="H91" s="1">
        <v>91324</v>
      </c>
      <c r="I91" s="1">
        <v>91440</v>
      </c>
      <c r="J91" s="47"/>
    </row>
    <row r="92" spans="4:10" s="4" customFormat="1" ht="13.5">
      <c r="D92" s="49"/>
      <c r="E92" s="53" t="s">
        <v>37</v>
      </c>
      <c r="F92" s="53"/>
      <c r="G92" s="52"/>
      <c r="H92" s="1">
        <v>0</v>
      </c>
      <c r="I92" s="1">
        <v>14</v>
      </c>
      <c r="J92" s="47"/>
    </row>
    <row r="93" spans="4:10" s="4" customFormat="1" ht="13.5">
      <c r="D93" s="49"/>
      <c r="E93" s="53" t="s">
        <v>38</v>
      </c>
      <c r="F93" s="53"/>
      <c r="G93" s="52"/>
      <c r="H93" s="52" t="s">
        <v>39</v>
      </c>
      <c r="I93" s="52" t="s">
        <v>42</v>
      </c>
      <c r="J93" s="47"/>
    </row>
    <row r="94" spans="4:10" s="4" customFormat="1" ht="27">
      <c r="D94" s="49"/>
      <c r="E94" s="52" t="s">
        <v>32</v>
      </c>
      <c r="F94" s="52"/>
      <c r="G94" s="52"/>
      <c r="H94" s="52" t="s">
        <v>48</v>
      </c>
      <c r="I94" s="52" t="s">
        <v>57</v>
      </c>
      <c r="J94" s="47"/>
    </row>
    <row r="95" spans="4:10" s="4" customFormat="1" ht="14.25" thickBot="1">
      <c r="D95" s="54"/>
      <c r="E95" s="55"/>
      <c r="F95" s="55"/>
      <c r="G95" s="55"/>
      <c r="H95" s="55"/>
      <c r="I95" s="55"/>
      <c r="J95" s="56"/>
    </row>
    <row r="96" spans="4:10" s="4" customFormat="1" ht="13.5">
      <c r="D96" s="42" t="s">
        <v>24</v>
      </c>
      <c r="E96" s="43"/>
      <c r="F96" s="43"/>
      <c r="G96" s="43"/>
      <c r="H96" s="43"/>
      <c r="I96" s="43"/>
      <c r="J96" s="44"/>
    </row>
    <row r="97" spans="4:10" s="4" customFormat="1" ht="13.5">
      <c r="D97" s="45">
        <v>6</v>
      </c>
      <c r="E97" s="46" t="s">
        <v>58</v>
      </c>
      <c r="F97" s="46"/>
      <c r="G97" s="46"/>
      <c r="H97" s="1"/>
      <c r="I97" s="1"/>
      <c r="J97" s="47"/>
    </row>
    <row r="98" spans="4:10" s="4" customFormat="1" ht="13.5">
      <c r="D98" s="48"/>
      <c r="E98" s="46"/>
      <c r="F98" s="46"/>
      <c r="G98" s="46"/>
      <c r="H98" s="1"/>
      <c r="I98" s="1"/>
      <c r="J98" s="47"/>
    </row>
    <row r="99" spans="4:10" s="1" customFormat="1" ht="13.5">
      <c r="D99" s="49"/>
      <c r="E99" s="1" t="s">
        <v>26</v>
      </c>
      <c r="H99" s="1" t="str">
        <f>H101&amp;"円のカテゴリ値引"</f>
        <v>50円のカテゴリ値引</v>
      </c>
      <c r="I99" s="1" t="str">
        <f>I101&amp;"％のメガ割（自動）"</f>
        <v>10％のメガ割（自動）</v>
      </c>
      <c r="J99" s="50"/>
    </row>
    <row r="100" spans="4:10" s="4" customFormat="1" ht="13.5">
      <c r="D100" s="49"/>
      <c r="E100" s="7"/>
      <c r="F100" s="7"/>
      <c r="G100" s="46"/>
      <c r="H100" s="1"/>
      <c r="I100" s="1"/>
      <c r="J100" s="47"/>
    </row>
    <row r="101" spans="4:10" s="4" customFormat="1" ht="13.5">
      <c r="D101" s="49"/>
      <c r="E101" s="7" t="s">
        <v>59</v>
      </c>
      <c r="F101" s="7"/>
      <c r="G101" s="1"/>
      <c r="H101" s="1">
        <v>50</v>
      </c>
      <c r="I101" s="1">
        <v>10</v>
      </c>
      <c r="J101" s="47"/>
    </row>
    <row r="102" spans="4:10" s="4" customFormat="1" ht="13.5">
      <c r="D102" s="49"/>
      <c r="E102" s="1"/>
      <c r="F102" s="1"/>
      <c r="G102" s="1"/>
      <c r="H102" s="1"/>
      <c r="I102" s="1"/>
      <c r="J102" s="47"/>
    </row>
    <row r="103" spans="4:10" s="4" customFormat="1" ht="13.5">
      <c r="D103" s="49"/>
      <c r="E103" s="1"/>
      <c r="F103" s="1"/>
      <c r="G103" s="1"/>
      <c r="H103" s="1"/>
      <c r="I103" s="1"/>
      <c r="J103" s="47"/>
    </row>
    <row r="104" spans="4:10" s="4" customFormat="1" ht="13.5">
      <c r="D104" s="49"/>
      <c r="E104" s="1"/>
      <c r="F104" s="1"/>
      <c r="G104" s="73" t="s">
        <v>28</v>
      </c>
      <c r="H104" s="51" t="s">
        <v>44</v>
      </c>
      <c r="J104" s="47"/>
    </row>
    <row r="105" spans="4:10" s="4" customFormat="1" ht="13.5" customHeight="1">
      <c r="D105" s="49"/>
      <c r="E105" s="1"/>
      <c r="F105" s="1"/>
      <c r="G105" s="74"/>
      <c r="H105" s="76" t="s">
        <v>45</v>
      </c>
      <c r="I105" s="51" t="s">
        <v>52</v>
      </c>
      <c r="J105" s="47"/>
    </row>
    <row r="106" spans="4:10" s="4" customFormat="1" ht="13.5" customHeight="1">
      <c r="D106" s="49"/>
      <c r="E106" s="1"/>
      <c r="F106" s="1"/>
      <c r="G106" s="74"/>
      <c r="H106" s="94"/>
      <c r="I106" s="77" t="s">
        <v>53</v>
      </c>
      <c r="J106" s="47"/>
    </row>
    <row r="107" spans="4:10" s="4" customFormat="1" ht="13.5" customHeight="1">
      <c r="D107" s="49"/>
      <c r="E107" s="1"/>
      <c r="F107" s="1"/>
      <c r="G107" s="74"/>
      <c r="H107" s="94"/>
      <c r="I107" s="92"/>
      <c r="J107" s="47"/>
    </row>
    <row r="108" spans="4:10" s="4" customFormat="1" ht="13.5" customHeight="1">
      <c r="D108" s="49"/>
      <c r="E108" s="1"/>
      <c r="F108" s="1"/>
      <c r="G108" s="74"/>
      <c r="H108" s="94"/>
      <c r="I108" s="92"/>
      <c r="J108" s="47"/>
    </row>
    <row r="109" spans="4:10" s="4" customFormat="1" ht="13.5" customHeight="1">
      <c r="D109" s="49"/>
      <c r="E109" s="1"/>
      <c r="F109" s="1"/>
      <c r="G109" s="75"/>
      <c r="H109" s="95"/>
      <c r="I109" s="93"/>
      <c r="J109" s="47"/>
    </row>
    <row r="110" spans="4:10" s="4" customFormat="1" ht="13.5" customHeight="1">
      <c r="D110" s="49"/>
      <c r="E110" s="52" t="s">
        <v>32</v>
      </c>
      <c r="F110" s="52"/>
      <c r="G110" s="52"/>
      <c r="H110" s="9">
        <v>50</v>
      </c>
      <c r="I110" s="9">
        <v>25</v>
      </c>
      <c r="J110" s="47"/>
    </row>
    <row r="111" spans="4:10" s="4" customFormat="1">
      <c r="D111" s="49"/>
      <c r="E111" s="52" t="s">
        <v>33</v>
      </c>
      <c r="F111" s="52"/>
      <c r="G111" s="52"/>
      <c r="H111" s="71">
        <v>225</v>
      </c>
      <c r="I111" s="72"/>
      <c r="J111" s="47"/>
    </row>
    <row r="112" spans="4:10" s="4" customFormat="1" ht="13.5">
      <c r="D112" s="49"/>
      <c r="E112" s="52"/>
      <c r="F112" s="52"/>
      <c r="G112" s="52"/>
      <c r="H112" s="1"/>
      <c r="I112" s="1"/>
      <c r="J112" s="47"/>
    </row>
    <row r="113" spans="4:10" s="4" customFormat="1" ht="13.5">
      <c r="D113" s="49"/>
      <c r="E113" s="52" t="s">
        <v>34</v>
      </c>
      <c r="F113" s="52"/>
      <c r="G113" s="52"/>
      <c r="H113" s="1"/>
      <c r="I113" s="1"/>
      <c r="J113" s="47"/>
    </row>
    <row r="114" spans="4:10" s="4" customFormat="1" ht="13.5">
      <c r="D114" s="49"/>
      <c r="E114" s="53" t="s">
        <v>35</v>
      </c>
      <c r="F114" s="53"/>
      <c r="G114" s="52"/>
      <c r="H114" s="1">
        <v>91324</v>
      </c>
      <c r="I114" s="1">
        <v>91440</v>
      </c>
      <c r="J114" s="47"/>
    </row>
    <row r="115" spans="4:10" s="4" customFormat="1" ht="13.5">
      <c r="D115" s="49"/>
      <c r="E115" s="53" t="s">
        <v>37</v>
      </c>
      <c r="F115" s="53"/>
      <c r="G115" s="52"/>
      <c r="H115" s="1">
        <v>0</v>
      </c>
      <c r="I115" s="1">
        <v>14</v>
      </c>
      <c r="J115" s="47"/>
    </row>
    <row r="116" spans="4:10" s="4" customFormat="1" ht="13.5">
      <c r="D116" s="49"/>
      <c r="E116" s="53" t="s">
        <v>38</v>
      </c>
      <c r="F116" s="53"/>
      <c r="G116" s="52"/>
      <c r="H116" s="52" t="s">
        <v>39</v>
      </c>
      <c r="I116" s="52" t="s">
        <v>42</v>
      </c>
      <c r="J116" s="47"/>
    </row>
    <row r="117" spans="4:10" s="4" customFormat="1" ht="27">
      <c r="D117" s="49"/>
      <c r="E117" s="52" t="s">
        <v>32</v>
      </c>
      <c r="F117" s="52"/>
      <c r="G117" s="52"/>
      <c r="H117" s="52" t="s">
        <v>48</v>
      </c>
      <c r="I117" s="52" t="s">
        <v>60</v>
      </c>
      <c r="J117" s="47"/>
    </row>
    <row r="118" spans="4:10" s="4" customFormat="1" ht="14.25" thickBot="1">
      <c r="D118" s="54"/>
      <c r="E118" s="55"/>
      <c r="F118" s="55"/>
      <c r="G118" s="55"/>
      <c r="H118" s="55"/>
      <c r="I118" s="55"/>
      <c r="J118" s="56"/>
    </row>
    <row r="119" spans="4:10" s="4" customFormat="1" ht="13.5">
      <c r="D119" s="42" t="s">
        <v>24</v>
      </c>
      <c r="E119" s="43"/>
      <c r="F119" s="43"/>
      <c r="G119" s="43"/>
      <c r="H119" s="43"/>
      <c r="I119" s="43"/>
      <c r="J119" s="44"/>
    </row>
    <row r="120" spans="4:10" s="4" customFormat="1" ht="13.5">
      <c r="D120" s="45">
        <v>7</v>
      </c>
      <c r="E120" s="46" t="s">
        <v>61</v>
      </c>
      <c r="F120" s="46"/>
      <c r="G120" s="46"/>
      <c r="H120" s="1"/>
      <c r="I120" s="1"/>
      <c r="J120" s="47"/>
    </row>
    <row r="121" spans="4:10" s="4" customFormat="1" ht="13.5">
      <c r="D121" s="48"/>
      <c r="E121" s="46"/>
      <c r="F121" s="46"/>
      <c r="G121" s="46"/>
      <c r="H121" s="1"/>
      <c r="I121" s="1"/>
      <c r="J121" s="47"/>
    </row>
    <row r="122" spans="4:10" s="1" customFormat="1" ht="13.5">
      <c r="D122" s="49"/>
      <c r="E122" s="1" t="s">
        <v>26</v>
      </c>
      <c r="H122" s="1" t="str">
        <f>H124&amp;"円のカテゴリ値引"</f>
        <v>50円のカテゴリ値引</v>
      </c>
      <c r="I122" s="1" t="str">
        <f>I124&amp;"％のクレジット割（自動）"</f>
        <v>10％のクレジット割（自動）</v>
      </c>
      <c r="J122" s="50"/>
    </row>
    <row r="123" spans="4:10" s="4" customFormat="1" ht="13.5">
      <c r="D123" s="49"/>
      <c r="E123" s="7"/>
      <c r="F123" s="7"/>
      <c r="G123" s="46"/>
      <c r="H123" s="1"/>
      <c r="I123" s="1"/>
      <c r="J123" s="47"/>
    </row>
    <row r="124" spans="4:10" s="4" customFormat="1" ht="13.5">
      <c r="D124" s="49"/>
      <c r="E124" s="7" t="s">
        <v>62</v>
      </c>
      <c r="F124" s="7"/>
      <c r="G124" s="1"/>
      <c r="H124" s="1">
        <v>50</v>
      </c>
      <c r="I124" s="1">
        <v>10</v>
      </c>
      <c r="J124" s="47"/>
    </row>
    <row r="125" spans="4:10" s="4" customFormat="1" ht="13.5">
      <c r="D125" s="49"/>
      <c r="E125" s="1"/>
      <c r="F125" s="1"/>
      <c r="G125" s="1"/>
      <c r="H125" s="1"/>
      <c r="I125" s="1"/>
      <c r="J125" s="47"/>
    </row>
    <row r="126" spans="4:10" s="4" customFormat="1" ht="13.5">
      <c r="D126" s="49"/>
      <c r="E126" s="1"/>
      <c r="F126" s="1"/>
      <c r="G126" s="1"/>
      <c r="H126" s="1"/>
      <c r="I126" s="1"/>
      <c r="J126" s="47"/>
    </row>
    <row r="127" spans="4:10" s="4" customFormat="1" ht="13.5">
      <c r="D127" s="49"/>
      <c r="E127" s="1"/>
      <c r="F127" s="1"/>
      <c r="G127" s="73" t="s">
        <v>28</v>
      </c>
      <c r="H127" s="51" t="s">
        <v>44</v>
      </c>
      <c r="J127" s="47"/>
    </row>
    <row r="128" spans="4:10" s="4" customFormat="1" ht="13.5" customHeight="1">
      <c r="D128" s="49"/>
      <c r="E128" s="1"/>
      <c r="F128" s="1"/>
      <c r="G128" s="74"/>
      <c r="H128" s="76" t="s">
        <v>45</v>
      </c>
      <c r="I128" s="51" t="s">
        <v>52</v>
      </c>
      <c r="J128" s="47"/>
    </row>
    <row r="129" spans="4:10" s="4" customFormat="1" ht="13.5" customHeight="1">
      <c r="D129" s="49"/>
      <c r="E129" s="1"/>
      <c r="F129" s="1"/>
      <c r="G129" s="74"/>
      <c r="H129" s="94"/>
      <c r="I129" s="77" t="s">
        <v>53</v>
      </c>
      <c r="J129" s="47"/>
    </row>
    <row r="130" spans="4:10" s="4" customFormat="1" ht="13.5" customHeight="1">
      <c r="D130" s="49"/>
      <c r="E130" s="1"/>
      <c r="F130" s="1"/>
      <c r="G130" s="74"/>
      <c r="H130" s="94"/>
      <c r="I130" s="92"/>
      <c r="J130" s="47"/>
    </row>
    <row r="131" spans="4:10" s="4" customFormat="1" ht="13.5" customHeight="1">
      <c r="D131" s="49"/>
      <c r="E131" s="1"/>
      <c r="F131" s="1"/>
      <c r="G131" s="74"/>
      <c r="H131" s="94"/>
      <c r="I131" s="92"/>
      <c r="J131" s="47"/>
    </row>
    <row r="132" spans="4:10" s="4" customFormat="1" ht="13.5" customHeight="1">
      <c r="D132" s="49"/>
      <c r="E132" s="1"/>
      <c r="F132" s="1"/>
      <c r="G132" s="75"/>
      <c r="H132" s="95"/>
      <c r="I132" s="93"/>
      <c r="J132" s="47"/>
    </row>
    <row r="133" spans="4:10" s="4" customFormat="1" ht="13.5" customHeight="1">
      <c r="D133" s="49"/>
      <c r="E133" s="52" t="s">
        <v>32</v>
      </c>
      <c r="F133" s="52"/>
      <c r="G133" s="52"/>
      <c r="H133" s="9">
        <v>50</v>
      </c>
      <c r="I133" s="9">
        <v>25</v>
      </c>
      <c r="J133" s="47"/>
    </row>
    <row r="134" spans="4:10" s="4" customFormat="1">
      <c r="D134" s="49"/>
      <c r="E134" s="52" t="s">
        <v>33</v>
      </c>
      <c r="F134" s="52"/>
      <c r="G134" s="52"/>
      <c r="H134" s="71">
        <v>225</v>
      </c>
      <c r="I134" s="72"/>
      <c r="J134" s="47"/>
    </row>
    <row r="135" spans="4:10" s="4" customFormat="1" ht="13.5">
      <c r="D135" s="49"/>
      <c r="E135" s="52"/>
      <c r="F135" s="52"/>
      <c r="G135" s="52"/>
      <c r="H135" s="1"/>
      <c r="I135" s="1"/>
      <c r="J135" s="47"/>
    </row>
    <row r="136" spans="4:10" s="4" customFormat="1" ht="13.5">
      <c r="D136" s="49"/>
      <c r="E136" s="52" t="s">
        <v>34</v>
      </c>
      <c r="F136" s="52"/>
      <c r="G136" s="52"/>
      <c r="H136" s="1"/>
      <c r="I136" s="1"/>
      <c r="J136" s="47"/>
    </row>
    <row r="137" spans="4:10" s="4" customFormat="1" ht="13.5">
      <c r="D137" s="49"/>
      <c r="E137" s="53" t="s">
        <v>35</v>
      </c>
      <c r="F137" s="53"/>
      <c r="G137" s="52"/>
      <c r="H137" s="1">
        <v>91324</v>
      </c>
      <c r="I137" s="1">
        <v>91440</v>
      </c>
      <c r="J137" s="47"/>
    </row>
    <row r="138" spans="4:10" s="4" customFormat="1" ht="13.5">
      <c r="D138" s="49"/>
      <c r="E138" s="53" t="s">
        <v>37</v>
      </c>
      <c r="F138" s="53"/>
      <c r="G138" s="52"/>
      <c r="H138" s="1">
        <v>0</v>
      </c>
      <c r="I138" s="1">
        <v>14</v>
      </c>
      <c r="J138" s="47"/>
    </row>
    <row r="139" spans="4:10" s="4" customFormat="1" ht="13.5">
      <c r="D139" s="49"/>
      <c r="E139" s="53" t="s">
        <v>38</v>
      </c>
      <c r="F139" s="53"/>
      <c r="G139" s="52"/>
      <c r="H139" s="52" t="s">
        <v>39</v>
      </c>
      <c r="I139" s="52" t="s">
        <v>42</v>
      </c>
      <c r="J139" s="47"/>
    </row>
    <row r="140" spans="4:10" s="4" customFormat="1" ht="27">
      <c r="D140" s="49"/>
      <c r="E140" s="52" t="s">
        <v>32</v>
      </c>
      <c r="F140" s="52"/>
      <c r="G140" s="52"/>
      <c r="H140" s="52" t="s">
        <v>48</v>
      </c>
      <c r="I140" s="52" t="s">
        <v>63</v>
      </c>
      <c r="J140" s="47"/>
    </row>
    <row r="141" spans="4:10" s="4" customFormat="1" ht="14.25" thickBot="1">
      <c r="D141" s="54"/>
      <c r="E141" s="55"/>
      <c r="F141" s="55"/>
      <c r="G141" s="55"/>
      <c r="H141" s="55"/>
      <c r="I141" s="55"/>
      <c r="J141" s="56"/>
    </row>
  </sheetData>
  <mergeCells count="25">
    <mergeCell ref="H111:I111"/>
    <mergeCell ref="G127:G132"/>
    <mergeCell ref="H128:H132"/>
    <mergeCell ref="I129:I132"/>
    <mergeCell ref="H134:I134"/>
    <mergeCell ref="G104:G109"/>
    <mergeCell ref="H105:H109"/>
    <mergeCell ref="I106:I109"/>
    <mergeCell ref="H11:H16"/>
    <mergeCell ref="I12:I16"/>
    <mergeCell ref="H21:H24"/>
    <mergeCell ref="I37:I40"/>
    <mergeCell ref="H65:I65"/>
    <mergeCell ref="G58:G63"/>
    <mergeCell ref="H59:H63"/>
    <mergeCell ref="I60:I63"/>
    <mergeCell ref="G81:G86"/>
    <mergeCell ref="H82:H86"/>
    <mergeCell ref="I83:I86"/>
    <mergeCell ref="G11:G16"/>
    <mergeCell ref="H18:I18"/>
    <mergeCell ref="G35:G40"/>
    <mergeCell ref="H36:H40"/>
    <mergeCell ref="H42:I42"/>
    <mergeCell ref="H88:I88"/>
  </mergeCells>
  <phoneticPr fontId="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1246-87AB-4503-A1EC-36A120F6416E}">
  <dimension ref="A1:M12"/>
  <sheetViews>
    <sheetView workbookViewId="0">
      <selection activeCell="D5" sqref="D5"/>
    </sheetView>
  </sheetViews>
  <sheetFormatPr defaultColWidth="43.25" defaultRowHeight="18.75"/>
  <cols>
    <col min="1" max="1" width="5.25" bestFit="1" customWidth="1"/>
    <col min="2" max="2" width="26.625" bestFit="1" customWidth="1"/>
    <col min="3" max="3" width="33" bestFit="1" customWidth="1"/>
    <col min="4" max="4" width="15" bestFit="1" customWidth="1"/>
    <col min="5" max="5" width="9.875" bestFit="1" customWidth="1"/>
    <col min="6" max="6" width="9" bestFit="1" customWidth="1"/>
    <col min="7" max="7" width="7.125" bestFit="1" customWidth="1"/>
    <col min="8" max="8" width="20.375" bestFit="1" customWidth="1"/>
    <col min="9" max="9" width="10.875" bestFit="1" customWidth="1"/>
    <col min="10" max="10" width="9" bestFit="1" customWidth="1"/>
    <col min="11" max="11" width="11" bestFit="1" customWidth="1"/>
    <col min="12" max="13" width="13" bestFit="1" customWidth="1"/>
  </cols>
  <sheetData>
    <row r="1" spans="1:13">
      <c r="A1" s="60" t="s">
        <v>64</v>
      </c>
      <c r="B1" s="60" t="s">
        <v>65</v>
      </c>
      <c r="C1" s="60" t="s">
        <v>66</v>
      </c>
      <c r="D1" s="60" t="s">
        <v>67</v>
      </c>
      <c r="E1" s="60" t="s">
        <v>4</v>
      </c>
      <c r="F1" s="60" t="s">
        <v>5</v>
      </c>
      <c r="G1" s="60" t="s">
        <v>68</v>
      </c>
      <c r="H1" s="60" t="s">
        <v>6</v>
      </c>
      <c r="I1" s="60" t="s">
        <v>69</v>
      </c>
      <c r="J1" s="60" t="s">
        <v>70</v>
      </c>
      <c r="K1" s="60" t="s">
        <v>71</v>
      </c>
      <c r="L1" s="60" t="s">
        <v>72</v>
      </c>
      <c r="M1" s="60" t="s">
        <v>73</v>
      </c>
    </row>
    <row r="2" spans="1:13">
      <c r="A2" s="61">
        <v>1</v>
      </c>
      <c r="B2" s="62" t="s">
        <v>74</v>
      </c>
      <c r="C2" s="62" t="s">
        <v>75</v>
      </c>
      <c r="D2" s="62" t="s">
        <v>76</v>
      </c>
      <c r="E2" s="62" t="s">
        <v>77</v>
      </c>
      <c r="F2" s="62" t="s">
        <v>78</v>
      </c>
      <c r="G2" s="62" t="s">
        <v>79</v>
      </c>
      <c r="H2" s="62" t="s">
        <v>80</v>
      </c>
      <c r="I2" s="62" t="s">
        <v>81</v>
      </c>
      <c r="J2" s="62" t="s">
        <v>82</v>
      </c>
      <c r="K2" s="62" t="s">
        <v>83</v>
      </c>
      <c r="L2" s="62" t="s">
        <v>79</v>
      </c>
      <c r="M2" s="62" t="s">
        <v>83</v>
      </c>
    </row>
    <row r="3" spans="1:13">
      <c r="A3" s="61">
        <v>2</v>
      </c>
      <c r="B3" s="62" t="s">
        <v>84</v>
      </c>
      <c r="C3" s="62" t="s">
        <v>85</v>
      </c>
      <c r="D3" s="62" t="s">
        <v>86</v>
      </c>
      <c r="E3" s="62" t="s">
        <v>77</v>
      </c>
      <c r="F3" s="62" t="s">
        <v>78</v>
      </c>
      <c r="G3" s="62" t="s">
        <v>87</v>
      </c>
      <c r="H3" s="62" t="s">
        <v>80</v>
      </c>
      <c r="I3" s="62" t="s">
        <v>81</v>
      </c>
      <c r="J3" s="62" t="s">
        <v>88</v>
      </c>
      <c r="K3" s="62" t="s">
        <v>83</v>
      </c>
      <c r="L3" s="62" t="s">
        <v>89</v>
      </c>
      <c r="M3" s="62" t="s">
        <v>83</v>
      </c>
    </row>
    <row r="4" spans="1:13">
      <c r="A4" s="61">
        <v>2</v>
      </c>
      <c r="B4" s="62" t="s">
        <v>84</v>
      </c>
      <c r="C4" s="62" t="s">
        <v>85</v>
      </c>
      <c r="D4" s="62" t="s">
        <v>86</v>
      </c>
      <c r="E4" s="62" t="s">
        <v>90</v>
      </c>
      <c r="F4" s="62" t="s">
        <v>91</v>
      </c>
      <c r="G4" s="62" t="s">
        <v>92</v>
      </c>
      <c r="H4" s="62" t="s">
        <v>14</v>
      </c>
      <c r="I4" s="62" t="s">
        <v>93</v>
      </c>
      <c r="J4" s="62" t="s">
        <v>88</v>
      </c>
      <c r="K4" s="62" t="s">
        <v>83</v>
      </c>
      <c r="L4" s="62" t="s">
        <v>89</v>
      </c>
      <c r="M4" s="62" t="s">
        <v>83</v>
      </c>
    </row>
    <row r="5" spans="1:13" s="20" customFormat="1">
      <c r="A5" s="63">
        <v>3</v>
      </c>
      <c r="B5" s="64" t="s">
        <v>94</v>
      </c>
      <c r="C5" s="64" t="s">
        <v>95</v>
      </c>
      <c r="D5" s="64" t="s">
        <v>96</v>
      </c>
      <c r="E5" s="64" t="s">
        <v>90</v>
      </c>
      <c r="F5" s="64" t="s">
        <v>91</v>
      </c>
      <c r="G5" s="64" t="s">
        <v>87</v>
      </c>
      <c r="H5" s="64" t="s">
        <v>14</v>
      </c>
      <c r="I5" s="64" t="s">
        <v>93</v>
      </c>
      <c r="J5" s="64" t="s">
        <v>97</v>
      </c>
      <c r="K5" s="64" t="s">
        <v>83</v>
      </c>
      <c r="L5" s="64" t="s">
        <v>87</v>
      </c>
      <c r="M5" s="64" t="s">
        <v>83</v>
      </c>
    </row>
    <row r="6" spans="1:13">
      <c r="A6" s="61">
        <v>4</v>
      </c>
      <c r="B6" s="62" t="s">
        <v>98</v>
      </c>
      <c r="C6" s="62" t="s">
        <v>99</v>
      </c>
      <c r="D6" s="62" t="s">
        <v>100</v>
      </c>
      <c r="E6" s="62" t="s">
        <v>77</v>
      </c>
      <c r="F6" s="62" t="s">
        <v>78</v>
      </c>
      <c r="G6" s="62" t="s">
        <v>87</v>
      </c>
      <c r="H6" s="62" t="s">
        <v>80</v>
      </c>
      <c r="I6" s="62" t="s">
        <v>81</v>
      </c>
      <c r="J6" s="62" t="s">
        <v>101</v>
      </c>
      <c r="K6" s="62" t="s">
        <v>83</v>
      </c>
      <c r="L6" s="62" t="s">
        <v>102</v>
      </c>
      <c r="M6" s="62" t="s">
        <v>83</v>
      </c>
    </row>
    <row r="7" spans="1:13">
      <c r="A7" s="61">
        <v>4</v>
      </c>
      <c r="B7" s="62" t="s">
        <v>98</v>
      </c>
      <c r="C7" s="62" t="s">
        <v>99</v>
      </c>
      <c r="D7" s="62" t="s">
        <v>100</v>
      </c>
      <c r="E7" s="62" t="s">
        <v>90</v>
      </c>
      <c r="F7" s="62" t="s">
        <v>91</v>
      </c>
      <c r="G7" s="62" t="s">
        <v>103</v>
      </c>
      <c r="H7" s="62" t="s">
        <v>14</v>
      </c>
      <c r="I7" s="62" t="s">
        <v>93</v>
      </c>
      <c r="J7" s="62" t="s">
        <v>101</v>
      </c>
      <c r="K7" s="62" t="s">
        <v>83</v>
      </c>
      <c r="L7" s="62" t="s">
        <v>102</v>
      </c>
      <c r="M7" s="62" t="s">
        <v>83</v>
      </c>
    </row>
    <row r="8" spans="1:13">
      <c r="A8" s="61">
        <v>5</v>
      </c>
      <c r="B8" s="62" t="s">
        <v>104</v>
      </c>
      <c r="C8" s="62" t="s">
        <v>105</v>
      </c>
      <c r="D8" s="62" t="s">
        <v>106</v>
      </c>
      <c r="E8" s="62" t="s">
        <v>107</v>
      </c>
      <c r="F8" s="62" t="s">
        <v>107</v>
      </c>
      <c r="G8" s="62" t="s">
        <v>107</v>
      </c>
      <c r="H8" s="62" t="s">
        <v>107</v>
      </c>
      <c r="I8" s="62" t="s">
        <v>107</v>
      </c>
      <c r="J8" s="62" t="s">
        <v>107</v>
      </c>
      <c r="K8" s="62" t="s">
        <v>107</v>
      </c>
      <c r="L8" s="62" t="s">
        <v>107</v>
      </c>
      <c r="M8" s="62" t="s">
        <v>107</v>
      </c>
    </row>
    <row r="9" spans="1:13">
      <c r="A9" s="61">
        <v>6</v>
      </c>
      <c r="B9" s="62" t="s">
        <v>104</v>
      </c>
      <c r="C9" s="62" t="s">
        <v>108</v>
      </c>
      <c r="D9" s="62" t="s">
        <v>109</v>
      </c>
      <c r="E9" s="62" t="s">
        <v>77</v>
      </c>
      <c r="F9" s="62" t="s">
        <v>78</v>
      </c>
      <c r="G9" s="62" t="s">
        <v>87</v>
      </c>
      <c r="H9" s="62" t="s">
        <v>80</v>
      </c>
      <c r="I9" s="62" t="s">
        <v>81</v>
      </c>
      <c r="J9" s="62" t="s">
        <v>101</v>
      </c>
      <c r="K9" s="62" t="s">
        <v>83</v>
      </c>
      <c r="L9" s="62" t="s">
        <v>102</v>
      </c>
      <c r="M9" s="62" t="s">
        <v>83</v>
      </c>
    </row>
    <row r="10" spans="1:13">
      <c r="A10" s="61">
        <v>6</v>
      </c>
      <c r="B10" s="62" t="s">
        <v>104</v>
      </c>
      <c r="C10" s="62" t="s">
        <v>108</v>
      </c>
      <c r="D10" s="62" t="s">
        <v>109</v>
      </c>
      <c r="E10" s="62" t="s">
        <v>90</v>
      </c>
      <c r="F10" s="62" t="s">
        <v>91</v>
      </c>
      <c r="G10" s="62" t="s">
        <v>103</v>
      </c>
      <c r="H10" s="62" t="s">
        <v>14</v>
      </c>
      <c r="I10" s="62" t="s">
        <v>93</v>
      </c>
      <c r="J10" s="62" t="s">
        <v>101</v>
      </c>
      <c r="K10" s="62" t="s">
        <v>83</v>
      </c>
      <c r="L10" s="62" t="s">
        <v>102</v>
      </c>
      <c r="M10" s="62" t="s">
        <v>83</v>
      </c>
    </row>
    <row r="11" spans="1:13">
      <c r="A11" s="61">
        <v>7</v>
      </c>
      <c r="B11" s="62" t="s">
        <v>110</v>
      </c>
      <c r="C11" s="62" t="s">
        <v>111</v>
      </c>
      <c r="D11" s="62" t="s">
        <v>112</v>
      </c>
      <c r="E11" s="62" t="s">
        <v>77</v>
      </c>
      <c r="F11" s="62" t="s">
        <v>78</v>
      </c>
      <c r="G11" s="62" t="s">
        <v>87</v>
      </c>
      <c r="H11" s="62" t="s">
        <v>80</v>
      </c>
      <c r="I11" s="62" t="s">
        <v>81</v>
      </c>
      <c r="J11" s="62" t="s">
        <v>113</v>
      </c>
      <c r="K11" s="62" t="s">
        <v>83</v>
      </c>
      <c r="L11" s="62" t="s">
        <v>114</v>
      </c>
      <c r="M11" s="62" t="s">
        <v>83</v>
      </c>
    </row>
    <row r="12" spans="1:13">
      <c r="A12" s="61">
        <v>7</v>
      </c>
      <c r="B12" s="62" t="s">
        <v>110</v>
      </c>
      <c r="C12" s="62" t="s">
        <v>111</v>
      </c>
      <c r="D12" s="62" t="s">
        <v>112</v>
      </c>
      <c r="E12" s="62" t="s">
        <v>90</v>
      </c>
      <c r="F12" s="62" t="s">
        <v>91</v>
      </c>
      <c r="G12" s="62" t="s">
        <v>115</v>
      </c>
      <c r="H12" s="62" t="s">
        <v>14</v>
      </c>
      <c r="I12" s="62" t="s">
        <v>93</v>
      </c>
      <c r="J12" s="62" t="s">
        <v>113</v>
      </c>
      <c r="K12" s="62" t="s">
        <v>83</v>
      </c>
      <c r="L12" s="62" t="s">
        <v>114</v>
      </c>
      <c r="M12" s="62" t="s">
        <v>83</v>
      </c>
    </row>
  </sheetData>
  <phoneticPr fontId="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opLeftCell="A7" workbookViewId="0">
      <selection activeCell="D19" sqref="D19"/>
    </sheetView>
  </sheetViews>
  <sheetFormatPr defaultRowHeight="18.75"/>
  <cols>
    <col min="1" max="1" width="3.5" bestFit="1" customWidth="1"/>
    <col min="2" max="2" width="4" customWidth="1"/>
    <col min="3" max="3" width="2.5" bestFit="1" customWidth="1"/>
    <col min="5" max="5" width="58.25" bestFit="1" customWidth="1"/>
    <col min="6" max="6" width="29.375" bestFit="1" customWidth="1"/>
    <col min="7" max="7" width="31.75" bestFit="1" customWidth="1"/>
  </cols>
  <sheetData>
    <row r="1" spans="1:4">
      <c r="B1" s="19" t="s">
        <v>116</v>
      </c>
    </row>
    <row r="2" spans="1:4">
      <c r="D2" t="s">
        <v>117</v>
      </c>
    </row>
    <row r="5" spans="1:4" ht="19.5" customHeight="1">
      <c r="A5">
        <v>1</v>
      </c>
      <c r="B5" s="19" t="s">
        <v>118</v>
      </c>
    </row>
    <row r="7" spans="1:4">
      <c r="D7" t="s">
        <v>119</v>
      </c>
    </row>
    <row r="8" spans="1:4">
      <c r="D8" t="s">
        <v>120</v>
      </c>
    </row>
    <row r="11" spans="1:4" ht="19.5" customHeight="1">
      <c r="A11">
        <v>2</v>
      </c>
      <c r="B11" s="19" t="s">
        <v>121</v>
      </c>
    </row>
    <row r="13" spans="1:4">
      <c r="D13" t="s">
        <v>122</v>
      </c>
    </row>
    <row r="14" spans="1:4">
      <c r="D14" t="s">
        <v>123</v>
      </c>
    </row>
    <row r="17" spans="1:4" ht="19.5" customHeight="1">
      <c r="A17">
        <v>3</v>
      </c>
      <c r="B17" s="19" t="s">
        <v>124</v>
      </c>
    </row>
    <row r="19" spans="1:4">
      <c r="D19" t="s">
        <v>122</v>
      </c>
    </row>
    <row r="20" spans="1:4">
      <c r="D20" t="s">
        <v>120</v>
      </c>
    </row>
    <row r="23" spans="1:4" ht="19.5" customHeight="1">
      <c r="A23">
        <v>4</v>
      </c>
      <c r="B23" s="19" t="s">
        <v>125</v>
      </c>
    </row>
    <row r="25" spans="1:4">
      <c r="D25" t="s">
        <v>126</v>
      </c>
    </row>
    <row r="26" spans="1:4">
      <c r="D26" t="s">
        <v>127</v>
      </c>
    </row>
    <row r="29" spans="1:4" ht="19.5" customHeight="1">
      <c r="A29">
        <v>5</v>
      </c>
      <c r="B29" s="19" t="s">
        <v>128</v>
      </c>
    </row>
    <row r="31" spans="1:4">
      <c r="D31" t="s">
        <v>129</v>
      </c>
    </row>
    <row r="32" spans="1:4">
      <c r="D32" t="s">
        <v>127</v>
      </c>
    </row>
    <row r="35" spans="1:4" ht="19.5" customHeight="1">
      <c r="A35">
        <v>6</v>
      </c>
      <c r="B35" s="19" t="s">
        <v>130</v>
      </c>
    </row>
    <row r="37" spans="1:4">
      <c r="D37" t="s">
        <v>131</v>
      </c>
    </row>
    <row r="38" spans="1:4">
      <c r="D38" t="s">
        <v>132</v>
      </c>
    </row>
    <row r="41" spans="1:4" ht="19.5" customHeight="1">
      <c r="A41">
        <v>7</v>
      </c>
      <c r="B41" s="19" t="s">
        <v>133</v>
      </c>
    </row>
    <row r="43" spans="1:4">
      <c r="D43" t="s">
        <v>134</v>
      </c>
    </row>
    <row r="44" spans="1:4">
      <c r="D44" t="s">
        <v>132</v>
      </c>
    </row>
    <row r="47" spans="1:4" ht="19.5" customHeight="1">
      <c r="A47">
        <v>8</v>
      </c>
      <c r="B47" s="19" t="s">
        <v>135</v>
      </c>
    </row>
    <row r="49" spans="1:4">
      <c r="D49" t="s">
        <v>136</v>
      </c>
    </row>
    <row r="50" spans="1:4">
      <c r="D50" t="s">
        <v>123</v>
      </c>
    </row>
    <row r="51" spans="1:4">
      <c r="D51" t="s">
        <v>137</v>
      </c>
    </row>
    <row r="54" spans="1:4" ht="19.5" customHeight="1">
      <c r="A54">
        <v>9</v>
      </c>
      <c r="B54" s="19" t="s">
        <v>138</v>
      </c>
    </row>
    <row r="56" spans="1:4">
      <c r="D56" t="s">
        <v>139</v>
      </c>
    </row>
    <row r="57" spans="1:4">
      <c r="D57" t="s">
        <v>137</v>
      </c>
    </row>
    <row r="59" spans="1:4" ht="19.5" customHeight="1">
      <c r="A59">
        <v>10</v>
      </c>
      <c r="B59" s="19" t="s">
        <v>140</v>
      </c>
    </row>
    <row r="61" spans="1:4">
      <c r="D61" t="s">
        <v>141</v>
      </c>
    </row>
    <row r="62" spans="1:4">
      <c r="D62" t="s">
        <v>123</v>
      </c>
    </row>
    <row r="63" spans="1:4">
      <c r="D63" t="s">
        <v>137</v>
      </c>
    </row>
    <row r="66" spans="1:4" ht="19.5" customHeight="1">
      <c r="A66">
        <v>11</v>
      </c>
      <c r="B66" s="19" t="s">
        <v>142</v>
      </c>
    </row>
    <row r="68" spans="1:4">
      <c r="D68" t="s">
        <v>143</v>
      </c>
    </row>
    <row r="69" spans="1:4">
      <c r="D69" t="s">
        <v>137</v>
      </c>
    </row>
  </sheetData>
  <phoneticPr fontId="11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W19"/>
  <sheetViews>
    <sheetView zoomScale="85" zoomScaleNormal="85" workbookViewId="0">
      <selection activeCell="L2" sqref="L2"/>
    </sheetView>
  </sheetViews>
  <sheetFormatPr defaultColWidth="32.125" defaultRowHeight="18" customHeight="1" outlineLevelCol="1"/>
  <cols>
    <col min="1" max="1" width="13" bestFit="1" customWidth="1"/>
    <col min="2" max="2" width="5.25" bestFit="1" customWidth="1"/>
    <col min="3" max="3" width="9" bestFit="1" customWidth="1"/>
    <col min="4" max="4" width="6.25" bestFit="1" customWidth="1"/>
    <col min="5" max="5" width="13.5" bestFit="1" customWidth="1"/>
    <col min="6" max="6" width="10.875" bestFit="1" customWidth="1"/>
    <col min="7" max="7" width="38" hidden="1" customWidth="1" outlineLevel="1"/>
    <col min="8" max="8" width="23.5" bestFit="1" customWidth="1" collapsed="1"/>
    <col min="9" max="9" width="15" bestFit="1" customWidth="1"/>
    <col min="10" max="10" width="9" bestFit="1" customWidth="1"/>
    <col min="11" max="12" width="13.5" bestFit="1" customWidth="1"/>
    <col min="13" max="13" width="7.125" bestFit="1" customWidth="1"/>
    <col min="14" max="14" width="9.875" bestFit="1" customWidth="1"/>
    <col min="15" max="15" width="9" bestFit="1" customWidth="1"/>
    <col min="16" max="16" width="7.125" bestFit="1" customWidth="1"/>
    <col min="17" max="17" width="9" bestFit="1" customWidth="1"/>
    <col min="18" max="18" width="65.625" customWidth="1"/>
    <col min="19" max="19" width="10.875" bestFit="1" customWidth="1"/>
    <col min="20" max="20" width="9" bestFit="1" customWidth="1"/>
    <col min="21" max="21" width="11" bestFit="1" customWidth="1"/>
    <col min="22" max="23" width="13" bestFit="1" customWidth="1"/>
  </cols>
  <sheetData>
    <row r="1" spans="1:23" ht="18" customHeight="1">
      <c r="B1" s="14" t="s">
        <v>64</v>
      </c>
      <c r="C1" s="14" t="s">
        <v>144</v>
      </c>
      <c r="D1" s="14" t="s">
        <v>145</v>
      </c>
      <c r="E1" s="14" t="s">
        <v>146</v>
      </c>
      <c r="F1" s="14" t="s">
        <v>147</v>
      </c>
      <c r="G1" s="14" t="s">
        <v>148</v>
      </c>
      <c r="H1" s="14" t="s">
        <v>66</v>
      </c>
      <c r="I1" s="14" t="s">
        <v>67</v>
      </c>
      <c r="J1" s="14" t="s">
        <v>149</v>
      </c>
      <c r="K1" s="14" t="s">
        <v>150</v>
      </c>
      <c r="L1" s="14" t="s">
        <v>151</v>
      </c>
      <c r="M1" s="14" t="s">
        <v>152</v>
      </c>
      <c r="N1" s="14" t="s">
        <v>4</v>
      </c>
      <c r="O1" s="14" t="s">
        <v>5</v>
      </c>
      <c r="P1" s="14" t="s">
        <v>68</v>
      </c>
      <c r="Q1" s="14" t="s">
        <v>153</v>
      </c>
      <c r="R1" s="14" t="s">
        <v>6</v>
      </c>
      <c r="S1" s="14" t="s">
        <v>69</v>
      </c>
      <c r="T1" s="14" t="s">
        <v>70</v>
      </c>
      <c r="U1" s="14" t="s">
        <v>71</v>
      </c>
      <c r="V1" s="14" t="s">
        <v>72</v>
      </c>
      <c r="W1" s="14" t="s">
        <v>73</v>
      </c>
    </row>
    <row r="2" spans="1:23" ht="18" customHeight="1">
      <c r="A2" s="23" t="s">
        <v>154</v>
      </c>
      <c r="B2" s="15">
        <v>1</v>
      </c>
      <c r="C2" s="16" t="s">
        <v>155</v>
      </c>
      <c r="D2" s="16" t="s">
        <v>156</v>
      </c>
      <c r="E2" s="16" t="s">
        <v>151</v>
      </c>
      <c r="F2" s="16" t="s">
        <v>107</v>
      </c>
      <c r="G2" s="16" t="s">
        <v>157</v>
      </c>
      <c r="H2" s="16" t="s">
        <v>158</v>
      </c>
      <c r="I2" s="16" t="s">
        <v>159</v>
      </c>
      <c r="J2" s="16" t="s">
        <v>160</v>
      </c>
      <c r="K2" s="16" t="s">
        <v>87</v>
      </c>
      <c r="L2" s="16" t="s">
        <v>161</v>
      </c>
      <c r="M2" s="16" t="s">
        <v>107</v>
      </c>
      <c r="N2" s="16" t="s">
        <v>77</v>
      </c>
      <c r="O2" s="16" t="s">
        <v>78</v>
      </c>
      <c r="P2" s="16" t="s">
        <v>79</v>
      </c>
      <c r="Q2" s="16" t="s">
        <v>83</v>
      </c>
      <c r="R2" s="16" t="s">
        <v>162</v>
      </c>
      <c r="S2" s="16" t="s">
        <v>81</v>
      </c>
      <c r="T2" s="16" t="s">
        <v>82</v>
      </c>
      <c r="U2" s="16" t="s">
        <v>83</v>
      </c>
      <c r="V2" s="16" t="s">
        <v>79</v>
      </c>
      <c r="W2" s="16" t="s">
        <v>83</v>
      </c>
    </row>
    <row r="3" spans="1:23" s="20" customFormat="1" ht="18" customHeight="1">
      <c r="A3" s="20" t="s">
        <v>163</v>
      </c>
      <c r="B3" s="21">
        <v>2</v>
      </c>
      <c r="C3" s="22" t="s">
        <v>155</v>
      </c>
      <c r="D3" s="22" t="s">
        <v>156</v>
      </c>
      <c r="E3" s="22" t="s">
        <v>164</v>
      </c>
      <c r="F3" s="22" t="s">
        <v>165</v>
      </c>
      <c r="G3" s="22" t="s">
        <v>166</v>
      </c>
      <c r="H3" s="22" t="s">
        <v>167</v>
      </c>
      <c r="I3" s="22" t="s">
        <v>168</v>
      </c>
      <c r="J3" s="22" t="s">
        <v>160</v>
      </c>
      <c r="K3" s="22" t="s">
        <v>87</v>
      </c>
      <c r="L3" s="22" t="s">
        <v>107</v>
      </c>
      <c r="M3" s="22" t="s">
        <v>107</v>
      </c>
      <c r="N3" s="22" t="s">
        <v>90</v>
      </c>
      <c r="O3" s="22" t="s">
        <v>91</v>
      </c>
      <c r="P3" s="22" t="s">
        <v>165</v>
      </c>
      <c r="Q3" s="22" t="s">
        <v>78</v>
      </c>
      <c r="R3" s="22" t="s">
        <v>169</v>
      </c>
      <c r="S3" s="22" t="s">
        <v>93</v>
      </c>
      <c r="T3" s="22" t="s">
        <v>170</v>
      </c>
      <c r="U3" s="22" t="s">
        <v>83</v>
      </c>
      <c r="V3" s="22" t="s">
        <v>171</v>
      </c>
      <c r="W3" s="22" t="s">
        <v>83</v>
      </c>
    </row>
    <row r="4" spans="1:23" s="20" customFormat="1" ht="18" customHeight="1">
      <c r="A4" s="20" t="s">
        <v>172</v>
      </c>
      <c r="B4" s="21">
        <v>2</v>
      </c>
      <c r="C4" s="22" t="s">
        <v>155</v>
      </c>
      <c r="D4" s="22" t="s">
        <v>156</v>
      </c>
      <c r="E4" s="22" t="s">
        <v>164</v>
      </c>
      <c r="F4" s="22" t="s">
        <v>165</v>
      </c>
      <c r="G4" s="22" t="s">
        <v>173</v>
      </c>
      <c r="H4" s="22" t="s">
        <v>167</v>
      </c>
      <c r="I4" s="22" t="s">
        <v>168</v>
      </c>
      <c r="J4" s="22" t="s">
        <v>160</v>
      </c>
      <c r="K4" s="22" t="s">
        <v>87</v>
      </c>
      <c r="L4" s="22" t="s">
        <v>107</v>
      </c>
      <c r="M4" s="22" t="s">
        <v>107</v>
      </c>
      <c r="N4" s="22" t="s">
        <v>77</v>
      </c>
      <c r="O4" s="22" t="s">
        <v>78</v>
      </c>
      <c r="P4" s="22" t="s">
        <v>87</v>
      </c>
      <c r="Q4" s="22" t="s">
        <v>83</v>
      </c>
      <c r="R4" s="22" t="s">
        <v>162</v>
      </c>
      <c r="S4" s="22" t="s">
        <v>81</v>
      </c>
      <c r="T4" s="22" t="s">
        <v>170</v>
      </c>
      <c r="U4" s="22" t="s">
        <v>83</v>
      </c>
      <c r="V4" s="22" t="s">
        <v>171</v>
      </c>
      <c r="W4" s="22" t="s">
        <v>83</v>
      </c>
    </row>
    <row r="5" spans="1:23" s="20" customFormat="1" ht="18" hidden="1" customHeight="1">
      <c r="A5" s="20" t="s">
        <v>163</v>
      </c>
      <c r="B5" s="21">
        <v>3</v>
      </c>
      <c r="C5" s="22" t="s">
        <v>155</v>
      </c>
      <c r="D5" s="22" t="s">
        <v>156</v>
      </c>
      <c r="E5" s="22" t="s">
        <v>174</v>
      </c>
      <c r="F5" s="22" t="s">
        <v>87</v>
      </c>
      <c r="G5" s="22" t="s">
        <v>175</v>
      </c>
      <c r="H5" s="22" t="s">
        <v>176</v>
      </c>
      <c r="I5" s="22" t="s">
        <v>177</v>
      </c>
      <c r="J5" s="22" t="s">
        <v>160</v>
      </c>
      <c r="K5" s="22" t="s">
        <v>107</v>
      </c>
      <c r="L5" s="22" t="s">
        <v>161</v>
      </c>
      <c r="M5" s="22" t="s">
        <v>107</v>
      </c>
      <c r="N5" s="22" t="s">
        <v>90</v>
      </c>
      <c r="O5" s="22" t="s">
        <v>91</v>
      </c>
      <c r="P5" s="22" t="s">
        <v>87</v>
      </c>
      <c r="Q5" s="22" t="s">
        <v>78</v>
      </c>
      <c r="R5" s="22" t="s">
        <v>178</v>
      </c>
      <c r="S5" s="22" t="s">
        <v>93</v>
      </c>
      <c r="T5" s="22" t="s">
        <v>179</v>
      </c>
      <c r="U5" s="22" t="s">
        <v>83</v>
      </c>
      <c r="V5" s="22" t="s">
        <v>180</v>
      </c>
      <c r="W5" s="22" t="s">
        <v>83</v>
      </c>
    </row>
    <row r="6" spans="1:23" s="20" customFormat="1" ht="18" hidden="1" customHeight="1">
      <c r="B6" s="21">
        <v>3</v>
      </c>
      <c r="C6" s="22" t="s">
        <v>155</v>
      </c>
      <c r="D6" s="22" t="s">
        <v>156</v>
      </c>
      <c r="E6" s="22" t="s">
        <v>174</v>
      </c>
      <c r="F6" s="22" t="s">
        <v>87</v>
      </c>
      <c r="G6" s="22" t="s">
        <v>181</v>
      </c>
      <c r="H6" s="22" t="s">
        <v>176</v>
      </c>
      <c r="I6" s="22" t="s">
        <v>177</v>
      </c>
      <c r="J6" s="22" t="s">
        <v>160</v>
      </c>
      <c r="K6" s="22" t="s">
        <v>107</v>
      </c>
      <c r="L6" s="22" t="s">
        <v>161</v>
      </c>
      <c r="M6" s="22" t="s">
        <v>107</v>
      </c>
      <c r="N6" s="22" t="s">
        <v>77</v>
      </c>
      <c r="O6" s="22" t="s">
        <v>78</v>
      </c>
      <c r="P6" s="22" t="s">
        <v>79</v>
      </c>
      <c r="Q6" s="22" t="s">
        <v>83</v>
      </c>
      <c r="R6" s="22" t="s">
        <v>162</v>
      </c>
      <c r="S6" s="22" t="s">
        <v>81</v>
      </c>
      <c r="T6" s="22" t="s">
        <v>179</v>
      </c>
      <c r="U6" s="22" t="s">
        <v>83</v>
      </c>
      <c r="V6" s="22" t="s">
        <v>180</v>
      </c>
      <c r="W6" s="22" t="s">
        <v>83</v>
      </c>
    </row>
    <row r="7" spans="1:23" ht="18" customHeight="1">
      <c r="A7" s="23" t="s">
        <v>182</v>
      </c>
      <c r="B7" s="15">
        <v>4</v>
      </c>
      <c r="C7" s="16" t="s">
        <v>155</v>
      </c>
      <c r="D7" s="16" t="s">
        <v>156</v>
      </c>
      <c r="E7" s="16" t="s">
        <v>183</v>
      </c>
      <c r="F7" s="16" t="s">
        <v>107</v>
      </c>
      <c r="G7" s="16" t="s">
        <v>184</v>
      </c>
      <c r="H7" s="16" t="s">
        <v>185</v>
      </c>
      <c r="I7" s="16" t="s">
        <v>186</v>
      </c>
      <c r="J7" s="16" t="s">
        <v>160</v>
      </c>
      <c r="K7" s="16" t="s">
        <v>87</v>
      </c>
      <c r="L7" s="16" t="s">
        <v>107</v>
      </c>
      <c r="M7" s="16" t="s">
        <v>187</v>
      </c>
      <c r="N7" s="16" t="s">
        <v>90</v>
      </c>
      <c r="O7" s="16" t="s">
        <v>91</v>
      </c>
      <c r="P7" s="16" t="s">
        <v>188</v>
      </c>
      <c r="Q7" s="16" t="s">
        <v>78</v>
      </c>
      <c r="R7" s="16" t="s">
        <v>178</v>
      </c>
      <c r="S7" s="16" t="s">
        <v>93</v>
      </c>
      <c r="T7" s="16" t="s">
        <v>189</v>
      </c>
      <c r="U7" s="16" t="s">
        <v>83</v>
      </c>
      <c r="V7" s="16" t="s">
        <v>190</v>
      </c>
      <c r="W7" s="16" t="s">
        <v>83</v>
      </c>
    </row>
    <row r="8" spans="1:23" ht="18" customHeight="1">
      <c r="A8" s="23" t="s">
        <v>172</v>
      </c>
      <c r="B8" s="15">
        <v>4</v>
      </c>
      <c r="C8" s="16" t="s">
        <v>155</v>
      </c>
      <c r="D8" s="16" t="s">
        <v>156</v>
      </c>
      <c r="E8" s="16" t="s">
        <v>183</v>
      </c>
      <c r="F8" s="16" t="s">
        <v>107</v>
      </c>
      <c r="G8" s="16" t="s">
        <v>191</v>
      </c>
      <c r="H8" s="16" t="s">
        <v>185</v>
      </c>
      <c r="I8" s="16" t="s">
        <v>186</v>
      </c>
      <c r="J8" s="16" t="s">
        <v>160</v>
      </c>
      <c r="K8" s="16" t="s">
        <v>87</v>
      </c>
      <c r="L8" s="16" t="s">
        <v>107</v>
      </c>
      <c r="M8" s="16" t="s">
        <v>187</v>
      </c>
      <c r="N8" s="16" t="s">
        <v>77</v>
      </c>
      <c r="O8" s="16" t="s">
        <v>78</v>
      </c>
      <c r="P8" s="16" t="s">
        <v>87</v>
      </c>
      <c r="Q8" s="16" t="s">
        <v>83</v>
      </c>
      <c r="R8" s="16" t="s">
        <v>162</v>
      </c>
      <c r="S8" s="16" t="s">
        <v>81</v>
      </c>
      <c r="T8" s="16" t="s">
        <v>189</v>
      </c>
      <c r="U8" s="16" t="s">
        <v>83</v>
      </c>
      <c r="V8" s="16" t="s">
        <v>190</v>
      </c>
      <c r="W8" s="16" t="s">
        <v>83</v>
      </c>
    </row>
    <row r="9" spans="1:23" ht="18" hidden="1" customHeight="1">
      <c r="A9" s="23" t="s">
        <v>182</v>
      </c>
      <c r="B9" s="15">
        <v>5</v>
      </c>
      <c r="C9" s="16" t="s">
        <v>155</v>
      </c>
      <c r="D9" s="16" t="s">
        <v>156</v>
      </c>
      <c r="E9" s="16" t="s">
        <v>183</v>
      </c>
      <c r="F9" s="16" t="s">
        <v>107</v>
      </c>
      <c r="G9" s="16" t="s">
        <v>192</v>
      </c>
      <c r="H9" s="16" t="s">
        <v>193</v>
      </c>
      <c r="I9" s="16" t="s">
        <v>194</v>
      </c>
      <c r="J9" s="16" t="s">
        <v>160</v>
      </c>
      <c r="K9" s="16" t="s">
        <v>107</v>
      </c>
      <c r="L9" s="16" t="s">
        <v>161</v>
      </c>
      <c r="M9" s="16" t="s">
        <v>187</v>
      </c>
      <c r="N9" s="16" t="s">
        <v>90</v>
      </c>
      <c r="O9" s="16" t="s">
        <v>91</v>
      </c>
      <c r="P9" s="16" t="s">
        <v>195</v>
      </c>
      <c r="Q9" s="16" t="s">
        <v>78</v>
      </c>
      <c r="R9" s="16" t="s">
        <v>178</v>
      </c>
      <c r="S9" s="16" t="s">
        <v>93</v>
      </c>
      <c r="T9" s="16" t="s">
        <v>196</v>
      </c>
      <c r="U9" s="16" t="s">
        <v>83</v>
      </c>
      <c r="V9" s="16" t="s">
        <v>197</v>
      </c>
      <c r="W9" s="16" t="s">
        <v>83</v>
      </c>
    </row>
    <row r="10" spans="1:23" ht="18" hidden="1" customHeight="1">
      <c r="A10" s="23" t="s">
        <v>154</v>
      </c>
      <c r="B10" s="15">
        <v>5</v>
      </c>
      <c r="C10" s="16" t="s">
        <v>155</v>
      </c>
      <c r="D10" s="16" t="s">
        <v>156</v>
      </c>
      <c r="E10" s="16" t="s">
        <v>183</v>
      </c>
      <c r="F10" s="16" t="s">
        <v>107</v>
      </c>
      <c r="G10" s="16" t="s">
        <v>198</v>
      </c>
      <c r="H10" s="16" t="s">
        <v>193</v>
      </c>
      <c r="I10" s="16" t="s">
        <v>194</v>
      </c>
      <c r="J10" s="16" t="s">
        <v>160</v>
      </c>
      <c r="K10" s="16" t="s">
        <v>107</v>
      </c>
      <c r="L10" s="16" t="s">
        <v>161</v>
      </c>
      <c r="M10" s="16" t="s">
        <v>187</v>
      </c>
      <c r="N10" s="16" t="s">
        <v>77</v>
      </c>
      <c r="O10" s="16" t="s">
        <v>78</v>
      </c>
      <c r="P10" s="16" t="s">
        <v>79</v>
      </c>
      <c r="Q10" s="16" t="s">
        <v>83</v>
      </c>
      <c r="R10" s="16" t="s">
        <v>162</v>
      </c>
      <c r="S10" s="16" t="s">
        <v>81</v>
      </c>
      <c r="T10" s="16" t="s">
        <v>196</v>
      </c>
      <c r="U10" s="16" t="s">
        <v>83</v>
      </c>
      <c r="V10" s="16" t="s">
        <v>197</v>
      </c>
      <c r="W10" s="16" t="s">
        <v>83</v>
      </c>
    </row>
    <row r="11" spans="1:23" ht="18" customHeight="1">
      <c r="A11" s="23" t="s">
        <v>172</v>
      </c>
      <c r="B11" s="15">
        <v>6</v>
      </c>
      <c r="C11" s="16" t="s">
        <v>155</v>
      </c>
      <c r="D11" s="16" t="s">
        <v>156</v>
      </c>
      <c r="E11" s="16" t="s">
        <v>199</v>
      </c>
      <c r="F11" s="16" t="s">
        <v>107</v>
      </c>
      <c r="G11" s="16" t="s">
        <v>200</v>
      </c>
      <c r="H11" s="16" t="s">
        <v>201</v>
      </c>
      <c r="I11" s="16" t="s">
        <v>202</v>
      </c>
      <c r="J11" s="16" t="s">
        <v>160</v>
      </c>
      <c r="K11" s="16" t="s">
        <v>87</v>
      </c>
      <c r="L11" s="16" t="s">
        <v>107</v>
      </c>
      <c r="M11" s="16" t="s">
        <v>187</v>
      </c>
      <c r="N11" s="16" t="s">
        <v>77</v>
      </c>
      <c r="O11" s="16" t="s">
        <v>78</v>
      </c>
      <c r="P11" s="16" t="s">
        <v>87</v>
      </c>
      <c r="Q11" s="16" t="s">
        <v>83</v>
      </c>
      <c r="R11" s="16" t="s">
        <v>162</v>
      </c>
      <c r="S11" s="16" t="s">
        <v>81</v>
      </c>
      <c r="T11" s="16" t="s">
        <v>189</v>
      </c>
      <c r="U11" s="16" t="s">
        <v>83</v>
      </c>
      <c r="V11" s="16" t="s">
        <v>190</v>
      </c>
      <c r="W11" s="16" t="s">
        <v>83</v>
      </c>
    </row>
    <row r="12" spans="1:23" ht="18" customHeight="1">
      <c r="A12" s="23" t="s">
        <v>203</v>
      </c>
      <c r="B12" s="15">
        <v>6</v>
      </c>
      <c r="C12" s="16" t="s">
        <v>155</v>
      </c>
      <c r="D12" s="16" t="s">
        <v>156</v>
      </c>
      <c r="E12" s="16" t="s">
        <v>199</v>
      </c>
      <c r="F12" s="16" t="s">
        <v>107</v>
      </c>
      <c r="G12" s="16" t="s">
        <v>200</v>
      </c>
      <c r="H12" s="16" t="s">
        <v>201</v>
      </c>
      <c r="I12" s="16" t="s">
        <v>202</v>
      </c>
      <c r="J12" s="16" t="s">
        <v>160</v>
      </c>
      <c r="K12" s="16" t="s">
        <v>87</v>
      </c>
      <c r="L12" s="16" t="s">
        <v>107</v>
      </c>
      <c r="M12" s="16" t="s">
        <v>187</v>
      </c>
      <c r="N12" s="16" t="s">
        <v>90</v>
      </c>
      <c r="O12" s="16" t="s">
        <v>91</v>
      </c>
      <c r="P12" s="16" t="s">
        <v>188</v>
      </c>
      <c r="Q12" s="16" t="s">
        <v>78</v>
      </c>
      <c r="R12" s="16" t="s">
        <v>178</v>
      </c>
      <c r="S12" s="16" t="s">
        <v>93</v>
      </c>
      <c r="T12" s="16" t="s">
        <v>189</v>
      </c>
      <c r="U12" s="16" t="s">
        <v>83</v>
      </c>
      <c r="V12" s="16" t="s">
        <v>190</v>
      </c>
      <c r="W12" s="16" t="s">
        <v>83</v>
      </c>
    </row>
    <row r="13" spans="1:23" ht="18" hidden="1" customHeight="1">
      <c r="A13" s="23" t="s">
        <v>203</v>
      </c>
      <c r="B13" s="15">
        <v>7</v>
      </c>
      <c r="C13" s="16" t="s">
        <v>155</v>
      </c>
      <c r="D13" s="16" t="s">
        <v>156</v>
      </c>
      <c r="E13" s="16" t="s">
        <v>199</v>
      </c>
      <c r="F13" s="16" t="s">
        <v>107</v>
      </c>
      <c r="G13" s="16" t="s">
        <v>204</v>
      </c>
      <c r="H13" s="16" t="s">
        <v>205</v>
      </c>
      <c r="I13" s="16" t="s">
        <v>206</v>
      </c>
      <c r="J13" s="16" t="s">
        <v>160</v>
      </c>
      <c r="K13" s="16" t="s">
        <v>107</v>
      </c>
      <c r="L13" s="16" t="s">
        <v>161</v>
      </c>
      <c r="M13" s="16" t="s">
        <v>187</v>
      </c>
      <c r="N13" s="16" t="s">
        <v>90</v>
      </c>
      <c r="O13" s="16" t="s">
        <v>91</v>
      </c>
      <c r="P13" s="16" t="s">
        <v>195</v>
      </c>
      <c r="Q13" s="16" t="s">
        <v>78</v>
      </c>
      <c r="R13" s="16" t="s">
        <v>178</v>
      </c>
      <c r="S13" s="16" t="s">
        <v>93</v>
      </c>
      <c r="T13" s="16" t="s">
        <v>196</v>
      </c>
      <c r="U13" s="16" t="s">
        <v>83</v>
      </c>
      <c r="V13" s="16" t="s">
        <v>197</v>
      </c>
      <c r="W13" s="16" t="s">
        <v>83</v>
      </c>
    </row>
    <row r="14" spans="1:23" ht="18" hidden="1" customHeight="1">
      <c r="A14" s="23" t="s">
        <v>154</v>
      </c>
      <c r="B14" s="15">
        <v>7</v>
      </c>
      <c r="C14" s="16" t="s">
        <v>155</v>
      </c>
      <c r="D14" s="16" t="s">
        <v>156</v>
      </c>
      <c r="E14" s="16" t="s">
        <v>199</v>
      </c>
      <c r="F14" s="16" t="s">
        <v>107</v>
      </c>
      <c r="G14" s="16" t="s">
        <v>204</v>
      </c>
      <c r="H14" s="16" t="s">
        <v>205</v>
      </c>
      <c r="I14" s="16" t="s">
        <v>206</v>
      </c>
      <c r="J14" s="16" t="s">
        <v>160</v>
      </c>
      <c r="K14" s="16" t="s">
        <v>107</v>
      </c>
      <c r="L14" s="16" t="s">
        <v>161</v>
      </c>
      <c r="M14" s="16" t="s">
        <v>187</v>
      </c>
      <c r="N14" s="16" t="s">
        <v>77</v>
      </c>
      <c r="O14" s="16" t="s">
        <v>78</v>
      </c>
      <c r="P14" s="16" t="s">
        <v>79</v>
      </c>
      <c r="Q14" s="16" t="s">
        <v>83</v>
      </c>
      <c r="R14" s="16" t="s">
        <v>162</v>
      </c>
      <c r="S14" s="16" t="s">
        <v>81</v>
      </c>
      <c r="T14" s="16" t="s">
        <v>196</v>
      </c>
      <c r="U14" s="16" t="s">
        <v>83</v>
      </c>
      <c r="V14" s="16" t="s">
        <v>197</v>
      </c>
      <c r="W14" s="16" t="s">
        <v>83</v>
      </c>
    </row>
    <row r="15" spans="1:23" s="20" customFormat="1" ht="18" hidden="1" customHeight="1">
      <c r="A15" s="23" t="s">
        <v>182</v>
      </c>
      <c r="B15" s="21">
        <v>10</v>
      </c>
      <c r="C15" s="22" t="s">
        <v>155</v>
      </c>
      <c r="D15" s="22" t="s">
        <v>156</v>
      </c>
      <c r="E15" s="22" t="s">
        <v>183</v>
      </c>
      <c r="F15" s="22" t="s">
        <v>165</v>
      </c>
      <c r="G15" s="22" t="s">
        <v>207</v>
      </c>
      <c r="H15" s="22" t="s">
        <v>208</v>
      </c>
      <c r="I15" s="22" t="s">
        <v>209</v>
      </c>
      <c r="J15" s="22" t="s">
        <v>160</v>
      </c>
      <c r="K15" s="22" t="s">
        <v>107</v>
      </c>
      <c r="L15" s="22" t="s">
        <v>107</v>
      </c>
      <c r="M15" s="22" t="s">
        <v>187</v>
      </c>
      <c r="N15" s="22" t="s">
        <v>90</v>
      </c>
      <c r="O15" s="22" t="s">
        <v>91</v>
      </c>
      <c r="P15" s="22" t="s">
        <v>210</v>
      </c>
      <c r="Q15" s="22" t="s">
        <v>78</v>
      </c>
      <c r="R15" s="22" t="s">
        <v>178</v>
      </c>
      <c r="S15" s="22" t="s">
        <v>93</v>
      </c>
      <c r="T15" s="22" t="s">
        <v>211</v>
      </c>
      <c r="U15" s="22" t="s">
        <v>83</v>
      </c>
      <c r="V15" s="22" t="s">
        <v>210</v>
      </c>
      <c r="W15" s="22" t="s">
        <v>83</v>
      </c>
    </row>
    <row r="16" spans="1:23" s="20" customFormat="1" ht="18" hidden="1" customHeight="1">
      <c r="B16" s="21">
        <v>11</v>
      </c>
      <c r="C16" s="22" t="s">
        <v>155</v>
      </c>
      <c r="D16" s="22" t="s">
        <v>156</v>
      </c>
      <c r="E16" s="22" t="s">
        <v>183</v>
      </c>
      <c r="F16" s="22" t="s">
        <v>87</v>
      </c>
      <c r="G16" s="22" t="s">
        <v>212</v>
      </c>
      <c r="H16" s="22" t="s">
        <v>213</v>
      </c>
      <c r="I16" s="22" t="s">
        <v>214</v>
      </c>
      <c r="J16" s="22" t="s">
        <v>160</v>
      </c>
      <c r="K16" s="22" t="s">
        <v>107</v>
      </c>
      <c r="L16" s="22" t="s">
        <v>107</v>
      </c>
      <c r="M16" s="22" t="s">
        <v>187</v>
      </c>
      <c r="N16" s="22" t="s">
        <v>90</v>
      </c>
      <c r="O16" s="22" t="s">
        <v>91</v>
      </c>
      <c r="P16" s="22" t="s">
        <v>215</v>
      </c>
      <c r="Q16" s="22" t="s">
        <v>78</v>
      </c>
      <c r="R16" s="22" t="s">
        <v>178</v>
      </c>
      <c r="S16" s="22" t="s">
        <v>93</v>
      </c>
      <c r="T16" s="22" t="s">
        <v>216</v>
      </c>
      <c r="U16" s="22" t="s">
        <v>83</v>
      </c>
      <c r="V16" s="22" t="s">
        <v>215</v>
      </c>
      <c r="W16" s="22" t="s">
        <v>83</v>
      </c>
    </row>
    <row r="17" spans="2:23" s="20" customFormat="1" ht="18" hidden="1" customHeight="1">
      <c r="B17" s="21">
        <v>12</v>
      </c>
      <c r="C17" s="22" t="s">
        <v>155</v>
      </c>
      <c r="D17" s="22" t="s">
        <v>156</v>
      </c>
      <c r="E17" s="22" t="s">
        <v>199</v>
      </c>
      <c r="F17" s="22" t="s">
        <v>165</v>
      </c>
      <c r="G17" s="22" t="s">
        <v>217</v>
      </c>
      <c r="H17" s="22" t="s">
        <v>218</v>
      </c>
      <c r="I17" s="22" t="s">
        <v>219</v>
      </c>
      <c r="J17" s="22" t="s">
        <v>160</v>
      </c>
      <c r="K17" s="22" t="s">
        <v>107</v>
      </c>
      <c r="L17" s="22" t="s">
        <v>107</v>
      </c>
      <c r="M17" s="22" t="s">
        <v>187</v>
      </c>
      <c r="N17" s="22" t="s">
        <v>90</v>
      </c>
      <c r="O17" s="22" t="s">
        <v>91</v>
      </c>
      <c r="P17" s="22" t="s">
        <v>210</v>
      </c>
      <c r="Q17" s="22" t="s">
        <v>78</v>
      </c>
      <c r="R17" s="22" t="s">
        <v>178</v>
      </c>
      <c r="S17" s="22" t="s">
        <v>93</v>
      </c>
      <c r="T17" s="22" t="s">
        <v>211</v>
      </c>
      <c r="U17" s="22" t="s">
        <v>83</v>
      </c>
      <c r="V17" s="22" t="s">
        <v>210</v>
      </c>
      <c r="W17" s="22" t="s">
        <v>83</v>
      </c>
    </row>
    <row r="18" spans="2:23" s="20" customFormat="1" ht="18" hidden="1" customHeight="1">
      <c r="B18" s="21">
        <v>13</v>
      </c>
      <c r="C18" s="22" t="s">
        <v>155</v>
      </c>
      <c r="D18" s="22" t="s">
        <v>156</v>
      </c>
      <c r="E18" s="22" t="s">
        <v>199</v>
      </c>
      <c r="F18" s="22" t="s">
        <v>87</v>
      </c>
      <c r="G18" s="22" t="s">
        <v>220</v>
      </c>
      <c r="H18" s="22" t="s">
        <v>221</v>
      </c>
      <c r="I18" s="22" t="s">
        <v>222</v>
      </c>
      <c r="J18" s="22" t="s">
        <v>160</v>
      </c>
      <c r="K18" s="22" t="s">
        <v>107</v>
      </c>
      <c r="L18" s="22" t="s">
        <v>107</v>
      </c>
      <c r="M18" s="22" t="s">
        <v>187</v>
      </c>
      <c r="N18" s="22" t="s">
        <v>90</v>
      </c>
      <c r="O18" s="22" t="s">
        <v>91</v>
      </c>
      <c r="P18" s="22" t="s">
        <v>215</v>
      </c>
      <c r="Q18" s="22" t="s">
        <v>78</v>
      </c>
      <c r="R18" s="22" t="s">
        <v>178</v>
      </c>
      <c r="S18" s="22" t="s">
        <v>93</v>
      </c>
      <c r="T18" s="22" t="s">
        <v>216</v>
      </c>
      <c r="U18" s="22" t="s">
        <v>83</v>
      </c>
      <c r="V18" s="22" t="s">
        <v>215</v>
      </c>
      <c r="W18" s="22" t="s">
        <v>83</v>
      </c>
    </row>
    <row r="19" spans="2:23" ht="18" customHeight="1">
      <c r="B19" s="15">
        <v>16</v>
      </c>
      <c r="C19" s="16" t="s">
        <v>155</v>
      </c>
      <c r="D19" s="16" t="s">
        <v>156</v>
      </c>
      <c r="E19" s="16" t="s">
        <v>151</v>
      </c>
      <c r="F19" s="16" t="s">
        <v>107</v>
      </c>
      <c r="G19" s="16" t="s">
        <v>223</v>
      </c>
      <c r="H19" s="16" t="s">
        <v>224</v>
      </c>
      <c r="I19" s="16" t="s">
        <v>225</v>
      </c>
      <c r="J19" s="16" t="s">
        <v>160</v>
      </c>
      <c r="K19" s="16" t="s">
        <v>226</v>
      </c>
      <c r="L19" s="16" t="s">
        <v>161</v>
      </c>
      <c r="M19" s="16" t="s">
        <v>107</v>
      </c>
      <c r="N19" s="16" t="s">
        <v>77</v>
      </c>
      <c r="O19" s="16" t="s">
        <v>78</v>
      </c>
      <c r="P19" s="16" t="s">
        <v>79</v>
      </c>
      <c r="Q19" s="16" t="s">
        <v>83</v>
      </c>
      <c r="R19" s="16" t="s">
        <v>162</v>
      </c>
      <c r="S19" s="16" t="s">
        <v>81</v>
      </c>
      <c r="T19" s="16" t="s">
        <v>82</v>
      </c>
      <c r="U19" s="16" t="s">
        <v>83</v>
      </c>
      <c r="V19" s="16" t="s">
        <v>79</v>
      </c>
      <c r="W19" s="16" t="s">
        <v>83</v>
      </c>
    </row>
  </sheetData>
  <autoFilter ref="A1:W19" xr:uid="{790C74D3-2864-4BC7-919D-B188C86DE0E9}">
    <filterColumn colId="10">
      <customFilters>
        <customFilter operator="notEqual" val=" "/>
      </customFilters>
    </filterColumn>
  </autoFilter>
  <phoneticPr fontId="7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6C482-DA6A-4052-92B1-9277BB6612DD}">
  <dimension ref="A1:M12"/>
  <sheetViews>
    <sheetView workbookViewId="0">
      <selection activeCell="A2" sqref="A2:XFD2"/>
    </sheetView>
  </sheetViews>
  <sheetFormatPr defaultColWidth="45.25" defaultRowHeight="18.75" outlineLevelCol="1"/>
  <cols>
    <col min="1" max="1" width="5.25" style="24" bestFit="1" customWidth="1"/>
    <col min="2" max="2" width="26.625" style="24" bestFit="1" customWidth="1"/>
    <col min="3" max="3" width="33" style="24" bestFit="1" customWidth="1"/>
    <col min="4" max="4" width="15" style="24" bestFit="1" customWidth="1"/>
    <col min="5" max="5" width="9.875" style="24" bestFit="1" customWidth="1"/>
    <col min="6" max="6" width="9" style="24" bestFit="1" customWidth="1" outlineLevel="1"/>
    <col min="7" max="7" width="7.125" style="24" bestFit="1" customWidth="1" outlineLevel="1"/>
    <col min="8" max="8" width="20.375" style="24" bestFit="1" customWidth="1" outlineLevel="1"/>
    <col min="9" max="9" width="10.875" style="24" bestFit="1" customWidth="1" outlineLevel="1"/>
    <col min="10" max="10" width="9" style="24" bestFit="1" customWidth="1" outlineLevel="1"/>
    <col min="11" max="11" width="11" style="24" bestFit="1" customWidth="1" outlineLevel="1"/>
    <col min="12" max="13" width="13" style="24" bestFit="1" customWidth="1"/>
    <col min="14" max="16384" width="45.25" style="24"/>
  </cols>
  <sheetData>
    <row r="1" spans="1:13">
      <c r="A1" s="59" t="s">
        <v>64</v>
      </c>
      <c r="B1" s="59" t="s">
        <v>65</v>
      </c>
      <c r="C1" s="59" t="s">
        <v>66</v>
      </c>
      <c r="D1" s="59" t="s">
        <v>67</v>
      </c>
      <c r="E1" s="59" t="s">
        <v>4</v>
      </c>
      <c r="F1" s="59" t="s">
        <v>5</v>
      </c>
      <c r="G1" s="59" t="s">
        <v>68</v>
      </c>
      <c r="H1" s="59" t="s">
        <v>6</v>
      </c>
      <c r="I1" s="59" t="s">
        <v>69</v>
      </c>
      <c r="J1" s="59" t="s">
        <v>70</v>
      </c>
      <c r="K1" s="59" t="s">
        <v>71</v>
      </c>
      <c r="L1" s="59" t="s">
        <v>72</v>
      </c>
      <c r="M1" s="59" t="s">
        <v>73</v>
      </c>
    </row>
    <row r="2" spans="1:13">
      <c r="A2" s="57">
        <v>1</v>
      </c>
      <c r="B2" s="58" t="s">
        <v>74</v>
      </c>
      <c r="C2" s="58" t="s">
        <v>75</v>
      </c>
      <c r="D2" s="58" t="s">
        <v>76</v>
      </c>
      <c r="E2" s="58" t="s">
        <v>77</v>
      </c>
      <c r="F2" s="58" t="s">
        <v>78</v>
      </c>
      <c r="G2" s="58" t="s">
        <v>79</v>
      </c>
      <c r="H2" s="58" t="s">
        <v>80</v>
      </c>
      <c r="I2" s="58" t="s">
        <v>81</v>
      </c>
      <c r="J2" s="58" t="s">
        <v>107</v>
      </c>
      <c r="K2" s="58" t="s">
        <v>107</v>
      </c>
      <c r="L2" s="58" t="s">
        <v>107</v>
      </c>
      <c r="M2" s="58" t="s">
        <v>107</v>
      </c>
    </row>
    <row r="3" spans="1:13">
      <c r="A3" s="57">
        <v>2</v>
      </c>
      <c r="B3" s="58" t="s">
        <v>84</v>
      </c>
      <c r="C3" s="58" t="s">
        <v>85</v>
      </c>
      <c r="D3" s="58" t="s">
        <v>86</v>
      </c>
      <c r="E3" s="58" t="s">
        <v>77</v>
      </c>
      <c r="F3" s="58" t="s">
        <v>78</v>
      </c>
      <c r="G3" s="58" t="s">
        <v>87</v>
      </c>
      <c r="H3" s="58" t="s">
        <v>80</v>
      </c>
      <c r="I3" s="58" t="s">
        <v>81</v>
      </c>
      <c r="J3" s="58" t="s">
        <v>107</v>
      </c>
      <c r="K3" s="58" t="s">
        <v>107</v>
      </c>
      <c r="L3" s="58" t="s">
        <v>107</v>
      </c>
      <c r="M3" s="58" t="s">
        <v>107</v>
      </c>
    </row>
    <row r="4" spans="1:13">
      <c r="A4" s="57">
        <v>2</v>
      </c>
      <c r="B4" s="58" t="s">
        <v>84</v>
      </c>
      <c r="C4" s="58" t="s">
        <v>85</v>
      </c>
      <c r="D4" s="58" t="s">
        <v>86</v>
      </c>
      <c r="E4" s="58" t="s">
        <v>90</v>
      </c>
      <c r="F4" s="58" t="s">
        <v>91</v>
      </c>
      <c r="G4" s="58" t="s">
        <v>92</v>
      </c>
      <c r="H4" s="58" t="s">
        <v>14</v>
      </c>
      <c r="I4" s="58" t="s">
        <v>93</v>
      </c>
      <c r="J4" s="58" t="s">
        <v>107</v>
      </c>
      <c r="K4" s="58" t="s">
        <v>107</v>
      </c>
      <c r="L4" s="58" t="s">
        <v>107</v>
      </c>
      <c r="M4" s="58" t="s">
        <v>107</v>
      </c>
    </row>
    <row r="5" spans="1:13">
      <c r="A5" s="57">
        <v>3</v>
      </c>
      <c r="B5" s="58" t="s">
        <v>94</v>
      </c>
      <c r="C5" s="58" t="s">
        <v>95</v>
      </c>
      <c r="D5" s="58" t="s">
        <v>96</v>
      </c>
      <c r="E5" s="58" t="s">
        <v>90</v>
      </c>
      <c r="F5" s="58" t="s">
        <v>91</v>
      </c>
      <c r="G5" s="58" t="s">
        <v>87</v>
      </c>
      <c r="H5" s="58" t="s">
        <v>14</v>
      </c>
      <c r="I5" s="58" t="s">
        <v>93</v>
      </c>
      <c r="J5" s="58" t="s">
        <v>107</v>
      </c>
      <c r="K5" s="58" t="s">
        <v>107</v>
      </c>
      <c r="L5" s="58" t="s">
        <v>107</v>
      </c>
      <c r="M5" s="58" t="s">
        <v>107</v>
      </c>
    </row>
    <row r="6" spans="1:13">
      <c r="A6" s="57">
        <v>4</v>
      </c>
      <c r="B6" s="58" t="s">
        <v>98</v>
      </c>
      <c r="C6" s="58" t="s">
        <v>99</v>
      </c>
      <c r="D6" s="58" t="s">
        <v>100</v>
      </c>
      <c r="E6" s="58" t="s">
        <v>77</v>
      </c>
      <c r="F6" s="58" t="s">
        <v>78</v>
      </c>
      <c r="G6" s="58" t="s">
        <v>87</v>
      </c>
      <c r="H6" s="58" t="s">
        <v>80</v>
      </c>
      <c r="I6" s="58" t="s">
        <v>81</v>
      </c>
      <c r="J6" s="58" t="s">
        <v>107</v>
      </c>
      <c r="K6" s="58" t="s">
        <v>107</v>
      </c>
      <c r="L6" s="58" t="s">
        <v>107</v>
      </c>
      <c r="M6" s="58" t="s">
        <v>107</v>
      </c>
    </row>
    <row r="7" spans="1:13">
      <c r="A7" s="57">
        <v>4</v>
      </c>
      <c r="B7" s="58" t="s">
        <v>98</v>
      </c>
      <c r="C7" s="58" t="s">
        <v>99</v>
      </c>
      <c r="D7" s="58" t="s">
        <v>100</v>
      </c>
      <c r="E7" s="58" t="s">
        <v>90</v>
      </c>
      <c r="F7" s="58" t="s">
        <v>91</v>
      </c>
      <c r="G7" s="58" t="s">
        <v>103</v>
      </c>
      <c r="H7" s="58" t="s">
        <v>14</v>
      </c>
      <c r="I7" s="58" t="s">
        <v>93</v>
      </c>
      <c r="J7" s="58" t="s">
        <v>107</v>
      </c>
      <c r="K7" s="58" t="s">
        <v>107</v>
      </c>
      <c r="L7" s="58" t="s">
        <v>107</v>
      </c>
      <c r="M7" s="58" t="s">
        <v>107</v>
      </c>
    </row>
    <row r="8" spans="1:13">
      <c r="A8" s="57">
        <v>5</v>
      </c>
      <c r="B8" s="58" t="s">
        <v>104</v>
      </c>
      <c r="C8" s="58" t="s">
        <v>105</v>
      </c>
      <c r="D8" s="58" t="s">
        <v>106</v>
      </c>
      <c r="E8" s="58" t="s">
        <v>107</v>
      </c>
      <c r="F8" s="58" t="s">
        <v>107</v>
      </c>
      <c r="G8" s="58" t="s">
        <v>107</v>
      </c>
      <c r="H8" s="58" t="s">
        <v>107</v>
      </c>
      <c r="I8" s="58" t="s">
        <v>107</v>
      </c>
      <c r="J8" s="58" t="s">
        <v>107</v>
      </c>
      <c r="K8" s="58" t="s">
        <v>107</v>
      </c>
      <c r="L8" s="58" t="s">
        <v>107</v>
      </c>
      <c r="M8" s="58" t="s">
        <v>107</v>
      </c>
    </row>
    <row r="9" spans="1:13">
      <c r="A9" s="57">
        <v>6</v>
      </c>
      <c r="B9" s="58" t="s">
        <v>104</v>
      </c>
      <c r="C9" s="58" t="s">
        <v>108</v>
      </c>
      <c r="D9" s="58" t="s">
        <v>109</v>
      </c>
      <c r="E9" s="58" t="s">
        <v>77</v>
      </c>
      <c r="F9" s="58" t="s">
        <v>78</v>
      </c>
      <c r="G9" s="58" t="s">
        <v>87</v>
      </c>
      <c r="H9" s="58" t="s">
        <v>80</v>
      </c>
      <c r="I9" s="58" t="s">
        <v>81</v>
      </c>
      <c r="J9" s="58" t="s">
        <v>107</v>
      </c>
      <c r="K9" s="58" t="s">
        <v>107</v>
      </c>
      <c r="L9" s="58" t="s">
        <v>107</v>
      </c>
      <c r="M9" s="58" t="s">
        <v>107</v>
      </c>
    </row>
    <row r="10" spans="1:13">
      <c r="A10" s="57">
        <v>6</v>
      </c>
      <c r="B10" s="58" t="s">
        <v>104</v>
      </c>
      <c r="C10" s="58" t="s">
        <v>108</v>
      </c>
      <c r="D10" s="58" t="s">
        <v>109</v>
      </c>
      <c r="E10" s="58" t="s">
        <v>90</v>
      </c>
      <c r="F10" s="58" t="s">
        <v>91</v>
      </c>
      <c r="G10" s="58" t="s">
        <v>103</v>
      </c>
      <c r="H10" s="58" t="s">
        <v>14</v>
      </c>
      <c r="I10" s="58" t="s">
        <v>93</v>
      </c>
      <c r="J10" s="58" t="s">
        <v>107</v>
      </c>
      <c r="K10" s="58" t="s">
        <v>107</v>
      </c>
      <c r="L10" s="58" t="s">
        <v>107</v>
      </c>
      <c r="M10" s="58" t="s">
        <v>107</v>
      </c>
    </row>
    <row r="11" spans="1:13">
      <c r="A11" s="57">
        <v>7</v>
      </c>
      <c r="B11" s="58" t="s">
        <v>110</v>
      </c>
      <c r="C11" s="58" t="s">
        <v>111</v>
      </c>
      <c r="D11" s="58" t="s">
        <v>112</v>
      </c>
      <c r="E11" s="58" t="s">
        <v>77</v>
      </c>
      <c r="F11" s="58" t="s">
        <v>78</v>
      </c>
      <c r="G11" s="58" t="s">
        <v>87</v>
      </c>
      <c r="H11" s="58" t="s">
        <v>80</v>
      </c>
      <c r="I11" s="58" t="s">
        <v>81</v>
      </c>
      <c r="J11" s="58" t="s">
        <v>107</v>
      </c>
      <c r="K11" s="58" t="s">
        <v>107</v>
      </c>
      <c r="L11" s="58" t="s">
        <v>107</v>
      </c>
      <c r="M11" s="58" t="s">
        <v>107</v>
      </c>
    </row>
    <row r="12" spans="1:13">
      <c r="A12" s="57">
        <v>7</v>
      </c>
      <c r="B12" s="58" t="s">
        <v>110</v>
      </c>
      <c r="C12" s="58" t="s">
        <v>111</v>
      </c>
      <c r="D12" s="58" t="s">
        <v>112</v>
      </c>
      <c r="E12" s="58" t="s">
        <v>90</v>
      </c>
      <c r="F12" s="58" t="s">
        <v>91</v>
      </c>
      <c r="G12" s="58" t="s">
        <v>115</v>
      </c>
      <c r="H12" s="58" t="s">
        <v>14</v>
      </c>
      <c r="I12" s="58" t="s">
        <v>93</v>
      </c>
      <c r="J12" s="58" t="s">
        <v>107</v>
      </c>
      <c r="K12" s="58" t="s">
        <v>107</v>
      </c>
      <c r="L12" s="58" t="s">
        <v>107</v>
      </c>
      <c r="M12" s="58" t="s">
        <v>107</v>
      </c>
    </row>
  </sheetData>
  <sortState xmlns:xlrd2="http://schemas.microsoft.com/office/spreadsheetml/2017/richdata2" ref="A2:M9">
    <sortCondition ref="A2:A9"/>
  </sortState>
  <phoneticPr fontId="1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E7D38-B574-455E-868F-D1B9B8D60CE5}">
  <dimension ref="A1"/>
  <sheetViews>
    <sheetView topLeftCell="A48" workbookViewId="0">
      <selection activeCell="H25" sqref="H25"/>
    </sheetView>
  </sheetViews>
  <sheetFormatPr defaultRowHeight="18.75"/>
  <sheetData/>
  <phoneticPr fontId="1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"/>
  <sheetViews>
    <sheetView zoomScale="70" zoomScaleNormal="70" workbookViewId="0">
      <pane xSplit="5" ySplit="2" topLeftCell="F3" activePane="bottomRight" state="frozen"/>
      <selection pane="bottomRight" activeCell="F8" sqref="F8"/>
      <selection pane="bottomLeft" activeCell="A3" sqref="A3"/>
      <selection pane="topRight" activeCell="G1" sqref="G1"/>
    </sheetView>
  </sheetViews>
  <sheetFormatPr defaultColWidth="80.25" defaultRowHeight="13.5" outlineLevelCol="1"/>
  <cols>
    <col min="1" max="1" width="5.625" style="4" customWidth="1"/>
    <col min="2" max="2" width="9.5" style="4" bestFit="1" customWidth="1"/>
    <col min="3" max="3" width="6.5" style="4" bestFit="1" customWidth="1"/>
    <col min="4" max="4" width="16.125" style="4" bestFit="1" customWidth="1"/>
    <col min="5" max="5" width="10.5" style="1" bestFit="1" customWidth="1"/>
    <col min="6" max="6" width="47.125" style="4" bestFit="1" customWidth="1" outlineLevel="1"/>
    <col min="7" max="7" width="33" style="4" bestFit="1" customWidth="1" outlineLevel="1"/>
    <col min="8" max="8" width="19.5" style="4" customWidth="1" outlineLevel="1"/>
    <col min="9" max="9" width="9.5" style="7" bestFit="1" customWidth="1"/>
    <col min="10" max="11" width="16.125" style="4" bestFit="1" customWidth="1"/>
    <col min="12" max="12" width="13.875" style="4" bestFit="1" customWidth="1"/>
    <col min="13" max="13" width="54.125" style="4" customWidth="1"/>
    <col min="14" max="14" width="80.25" style="4" customWidth="1"/>
    <col min="15" max="15" width="3.875" style="4" bestFit="1" customWidth="1"/>
    <col min="16" max="16" width="3" style="1" bestFit="1" customWidth="1"/>
    <col min="17" max="17" width="16.125" style="4" bestFit="1" customWidth="1"/>
    <col min="18" max="18" width="3" style="1" bestFit="1" customWidth="1"/>
    <col min="19" max="19" width="28.25" style="4" bestFit="1" customWidth="1"/>
    <col min="20" max="20" width="4.75" style="1" bestFit="1" customWidth="1"/>
    <col min="21" max="16384" width="80.25" style="4"/>
  </cols>
  <sheetData>
    <row r="1" spans="1:20">
      <c r="A1" s="71" t="s">
        <v>227</v>
      </c>
      <c r="B1" s="82" t="s">
        <v>228</v>
      </c>
      <c r="C1" s="82" t="s">
        <v>229</v>
      </c>
      <c r="D1" s="82" t="s">
        <v>230</v>
      </c>
      <c r="E1" s="82" t="s">
        <v>231</v>
      </c>
      <c r="F1" s="82" t="s">
        <v>232</v>
      </c>
      <c r="G1" s="83" t="s">
        <v>233</v>
      </c>
      <c r="H1" s="84" t="s">
        <v>234</v>
      </c>
      <c r="I1" s="85" t="s">
        <v>235</v>
      </c>
      <c r="J1" s="71" t="s">
        <v>236</v>
      </c>
      <c r="K1" s="71" t="s">
        <v>237</v>
      </c>
      <c r="L1" s="82" t="s">
        <v>238</v>
      </c>
      <c r="P1" s="4"/>
      <c r="R1" s="4"/>
      <c r="T1" s="4"/>
    </row>
    <row r="2" spans="1:20" s="1" customFormat="1">
      <c r="A2" s="71"/>
      <c r="B2" s="82"/>
      <c r="C2" s="82"/>
      <c r="D2" s="82"/>
      <c r="E2" s="82"/>
      <c r="F2" s="82"/>
      <c r="G2" s="82"/>
      <c r="H2" s="82"/>
      <c r="I2" s="86"/>
      <c r="J2" s="71"/>
      <c r="K2" s="71"/>
      <c r="L2" s="71"/>
    </row>
    <row r="3" spans="1:20">
      <c r="A3" s="9">
        <f t="shared" ref="A3:A17" si="0">ROW() -2</f>
        <v>1</v>
      </c>
      <c r="B3" s="9" t="s">
        <v>156</v>
      </c>
      <c r="C3" s="2" t="s">
        <v>239</v>
      </c>
      <c r="D3" s="3" t="s">
        <v>237</v>
      </c>
      <c r="E3" s="9"/>
      <c r="F3" s="6" t="s">
        <v>240</v>
      </c>
      <c r="G3" s="8" t="s">
        <v>158</v>
      </c>
      <c r="H3" s="11" t="s">
        <v>159</v>
      </c>
      <c r="I3" s="5">
        <v>500</v>
      </c>
      <c r="J3" s="3">
        <v>50</v>
      </c>
      <c r="K3" s="3">
        <v>15</v>
      </c>
      <c r="L3" s="3"/>
    </row>
    <row r="4" spans="1:20">
      <c r="A4" s="9">
        <f t="shared" si="0"/>
        <v>2</v>
      </c>
      <c r="B4" s="9" t="s">
        <v>156</v>
      </c>
      <c r="C4" s="2" t="s">
        <v>239</v>
      </c>
      <c r="D4" s="3" t="s">
        <v>241</v>
      </c>
      <c r="E4" s="9">
        <v>10</v>
      </c>
      <c r="F4" s="6" t="s">
        <v>242</v>
      </c>
      <c r="G4" s="8" t="s">
        <v>167</v>
      </c>
      <c r="H4" s="11" t="s">
        <v>168</v>
      </c>
      <c r="I4" s="5">
        <v>500</v>
      </c>
      <c r="J4" s="3">
        <v>50</v>
      </c>
      <c r="K4" s="3"/>
      <c r="L4" s="3"/>
    </row>
    <row r="5" spans="1:20">
      <c r="A5" s="9">
        <f t="shared" si="0"/>
        <v>3</v>
      </c>
      <c r="B5" s="9" t="s">
        <v>156</v>
      </c>
      <c r="C5" s="2" t="s">
        <v>239</v>
      </c>
      <c r="D5" s="3" t="s">
        <v>243</v>
      </c>
      <c r="E5" s="9">
        <v>50</v>
      </c>
      <c r="F5" s="6" t="s">
        <v>244</v>
      </c>
      <c r="G5" s="8" t="s">
        <v>176</v>
      </c>
      <c r="H5" s="11" t="s">
        <v>177</v>
      </c>
      <c r="I5" s="5">
        <v>500</v>
      </c>
      <c r="J5" s="3"/>
      <c r="K5" s="3">
        <v>15</v>
      </c>
      <c r="L5" s="3"/>
    </row>
    <row r="6" spans="1:20">
      <c r="A6" s="9">
        <f t="shared" si="0"/>
        <v>4</v>
      </c>
      <c r="B6" s="9" t="s">
        <v>156</v>
      </c>
      <c r="C6" s="2" t="s">
        <v>239</v>
      </c>
      <c r="D6" s="3" t="s">
        <v>183</v>
      </c>
      <c r="E6" s="9"/>
      <c r="F6" s="6" t="s">
        <v>245</v>
      </c>
      <c r="G6" s="8" t="s">
        <v>185</v>
      </c>
      <c r="H6" s="11" t="s">
        <v>186</v>
      </c>
      <c r="I6" s="5">
        <v>500</v>
      </c>
      <c r="J6" s="3">
        <v>50</v>
      </c>
      <c r="K6" s="3"/>
      <c r="L6" s="3">
        <v>20</v>
      </c>
    </row>
    <row r="7" spans="1:20">
      <c r="A7" s="9">
        <f t="shared" si="0"/>
        <v>5</v>
      </c>
      <c r="B7" s="9" t="s">
        <v>156</v>
      </c>
      <c r="C7" s="2" t="s">
        <v>239</v>
      </c>
      <c r="D7" s="3" t="s">
        <v>183</v>
      </c>
      <c r="E7" s="9"/>
      <c r="F7" s="6" t="s">
        <v>246</v>
      </c>
      <c r="G7" s="8" t="s">
        <v>193</v>
      </c>
      <c r="H7" s="11" t="s">
        <v>194</v>
      </c>
      <c r="I7" s="5">
        <v>500</v>
      </c>
      <c r="J7" s="3"/>
      <c r="K7" s="3">
        <v>15</v>
      </c>
      <c r="L7" s="3">
        <v>20</v>
      </c>
    </row>
    <row r="8" spans="1:20">
      <c r="A8" s="9">
        <f t="shared" si="0"/>
        <v>6</v>
      </c>
      <c r="B8" s="9" t="s">
        <v>156</v>
      </c>
      <c r="C8" s="2" t="s">
        <v>239</v>
      </c>
      <c r="D8" s="3" t="s">
        <v>199</v>
      </c>
      <c r="E8" s="9"/>
      <c r="F8" s="6" t="s">
        <v>247</v>
      </c>
      <c r="G8" s="8" t="s">
        <v>201</v>
      </c>
      <c r="H8" s="11" t="s">
        <v>202</v>
      </c>
      <c r="I8" s="5">
        <v>500</v>
      </c>
      <c r="J8" s="3">
        <v>50</v>
      </c>
      <c r="K8" s="3"/>
      <c r="L8" s="3">
        <v>20</v>
      </c>
    </row>
    <row r="9" spans="1:20">
      <c r="A9" s="9">
        <f t="shared" si="0"/>
        <v>7</v>
      </c>
      <c r="B9" s="9" t="s">
        <v>156</v>
      </c>
      <c r="C9" s="2" t="s">
        <v>239</v>
      </c>
      <c r="D9" s="3" t="s">
        <v>199</v>
      </c>
      <c r="E9" s="9"/>
      <c r="F9" s="6" t="s">
        <v>248</v>
      </c>
      <c r="G9" s="8" t="s">
        <v>205</v>
      </c>
      <c r="H9" s="11" t="s">
        <v>206</v>
      </c>
      <c r="I9" s="5">
        <v>500</v>
      </c>
      <c r="J9" s="3"/>
      <c r="K9" s="3">
        <v>15</v>
      </c>
      <c r="L9" s="3">
        <v>20</v>
      </c>
    </row>
    <row r="10" spans="1:20">
      <c r="A10" s="9">
        <f t="shared" si="0"/>
        <v>8</v>
      </c>
      <c r="B10" s="9" t="s">
        <v>156</v>
      </c>
      <c r="C10" s="2" t="s">
        <v>239</v>
      </c>
      <c r="D10" s="17" t="s">
        <v>249</v>
      </c>
      <c r="E10" s="9"/>
      <c r="F10" s="6" t="s">
        <v>250</v>
      </c>
      <c r="G10" s="8" t="s">
        <v>251</v>
      </c>
      <c r="H10" s="11" t="s">
        <v>252</v>
      </c>
      <c r="I10" s="5">
        <v>500</v>
      </c>
      <c r="J10" s="3">
        <v>50</v>
      </c>
      <c r="K10" s="3"/>
      <c r="L10" s="3">
        <v>5</v>
      </c>
    </row>
    <row r="11" spans="1:20">
      <c r="A11" s="9">
        <f t="shared" si="0"/>
        <v>9</v>
      </c>
      <c r="B11" s="9" t="s">
        <v>156</v>
      </c>
      <c r="C11" s="2" t="s">
        <v>239</v>
      </c>
      <c r="D11" s="17" t="s">
        <v>249</v>
      </c>
      <c r="E11" s="9"/>
      <c r="F11" s="6" t="s">
        <v>253</v>
      </c>
      <c r="G11" s="8" t="s">
        <v>254</v>
      </c>
      <c r="H11" s="11" t="s">
        <v>255</v>
      </c>
      <c r="I11" s="5">
        <v>500</v>
      </c>
      <c r="J11" s="3"/>
      <c r="K11" s="3">
        <v>15</v>
      </c>
      <c r="L11" s="3">
        <v>5</v>
      </c>
    </row>
    <row r="12" spans="1:20">
      <c r="A12" s="9">
        <f t="shared" si="0"/>
        <v>10</v>
      </c>
      <c r="B12" s="9" t="s">
        <v>156</v>
      </c>
      <c r="C12" s="2" t="s">
        <v>239</v>
      </c>
      <c r="D12" s="3" t="s">
        <v>256</v>
      </c>
      <c r="E12" s="9">
        <v>10</v>
      </c>
      <c r="F12" s="6" t="s">
        <v>257</v>
      </c>
      <c r="G12" s="10" t="s">
        <v>208</v>
      </c>
      <c r="H12" s="12" t="s">
        <v>209</v>
      </c>
      <c r="I12" s="5">
        <v>500</v>
      </c>
      <c r="J12" s="3"/>
      <c r="K12" s="3"/>
      <c r="L12" s="3">
        <v>20</v>
      </c>
    </row>
    <row r="13" spans="1:20">
      <c r="A13" s="9">
        <f t="shared" si="0"/>
        <v>11</v>
      </c>
      <c r="B13" s="9" t="s">
        <v>156</v>
      </c>
      <c r="C13" s="2" t="s">
        <v>239</v>
      </c>
      <c r="D13" s="3" t="s">
        <v>256</v>
      </c>
      <c r="E13" s="9">
        <v>50</v>
      </c>
      <c r="F13" s="6" t="s">
        <v>257</v>
      </c>
      <c r="G13" s="10" t="s">
        <v>213</v>
      </c>
      <c r="H13" s="12" t="s">
        <v>214</v>
      </c>
      <c r="I13" s="5">
        <v>500</v>
      </c>
      <c r="J13" s="3"/>
      <c r="K13" s="3"/>
      <c r="L13" s="3">
        <v>20</v>
      </c>
    </row>
    <row r="14" spans="1:20">
      <c r="A14" s="9">
        <f t="shared" si="0"/>
        <v>12</v>
      </c>
      <c r="B14" s="9" t="s">
        <v>156</v>
      </c>
      <c r="C14" s="2" t="s">
        <v>239</v>
      </c>
      <c r="D14" s="3" t="s">
        <v>258</v>
      </c>
      <c r="E14" s="9">
        <v>10</v>
      </c>
      <c r="F14" s="6" t="s">
        <v>259</v>
      </c>
      <c r="G14" s="10" t="s">
        <v>218</v>
      </c>
      <c r="H14" s="12" t="s">
        <v>219</v>
      </c>
      <c r="I14" s="5">
        <v>500</v>
      </c>
      <c r="J14" s="3"/>
      <c r="K14" s="3"/>
      <c r="L14" s="3">
        <v>20</v>
      </c>
    </row>
    <row r="15" spans="1:20">
      <c r="A15" s="9">
        <f t="shared" si="0"/>
        <v>13</v>
      </c>
      <c r="B15" s="9" t="s">
        <v>156</v>
      </c>
      <c r="C15" s="2" t="s">
        <v>239</v>
      </c>
      <c r="D15" s="3" t="s">
        <v>258</v>
      </c>
      <c r="E15" s="9">
        <v>50</v>
      </c>
      <c r="F15" s="6" t="s">
        <v>259</v>
      </c>
      <c r="G15" s="10" t="s">
        <v>221</v>
      </c>
      <c r="H15" s="12" t="s">
        <v>222</v>
      </c>
      <c r="I15" s="5">
        <v>500</v>
      </c>
      <c r="J15" s="3"/>
      <c r="K15" s="3"/>
      <c r="L15" s="3">
        <v>20</v>
      </c>
    </row>
    <row r="16" spans="1:20">
      <c r="A16" s="9">
        <f t="shared" si="0"/>
        <v>14</v>
      </c>
      <c r="B16" s="9" t="s">
        <v>156</v>
      </c>
      <c r="C16" s="2" t="s">
        <v>239</v>
      </c>
      <c r="D16" s="17" t="s">
        <v>260</v>
      </c>
      <c r="E16" s="9">
        <v>10</v>
      </c>
      <c r="F16" s="6" t="s">
        <v>261</v>
      </c>
      <c r="G16" s="10" t="s">
        <v>262</v>
      </c>
      <c r="H16" s="12" t="s">
        <v>263</v>
      </c>
      <c r="I16" s="5">
        <v>500</v>
      </c>
      <c r="J16" s="3"/>
      <c r="K16" s="3"/>
      <c r="L16" s="3">
        <v>5</v>
      </c>
    </row>
    <row r="17" spans="1:12">
      <c r="A17" s="9">
        <f t="shared" si="0"/>
        <v>15</v>
      </c>
      <c r="B17" s="9" t="s">
        <v>156</v>
      </c>
      <c r="C17" s="2" t="s">
        <v>239</v>
      </c>
      <c r="D17" s="17" t="s">
        <v>260</v>
      </c>
      <c r="E17" s="9">
        <v>50</v>
      </c>
      <c r="F17" s="6" t="s">
        <v>261</v>
      </c>
      <c r="G17" s="10" t="s">
        <v>264</v>
      </c>
      <c r="H17" s="12" t="s">
        <v>265</v>
      </c>
      <c r="I17" s="5">
        <v>500</v>
      </c>
      <c r="J17" s="3"/>
      <c r="K17" s="3"/>
      <c r="L17" s="3">
        <v>5</v>
      </c>
    </row>
    <row r="18" spans="1:12">
      <c r="A18" s="9">
        <v>16</v>
      </c>
      <c r="B18" s="9" t="s">
        <v>156</v>
      </c>
      <c r="C18" s="2" t="s">
        <v>239</v>
      </c>
      <c r="D18" s="3" t="s">
        <v>237</v>
      </c>
      <c r="E18" s="9"/>
      <c r="F18" s="6" t="s">
        <v>266</v>
      </c>
      <c r="G18" s="10" t="s">
        <v>267</v>
      </c>
      <c r="H18" s="13" t="s">
        <v>268</v>
      </c>
      <c r="I18" s="5">
        <v>500</v>
      </c>
      <c r="J18" s="3">
        <v>100</v>
      </c>
      <c r="K18" s="3">
        <v>15</v>
      </c>
      <c r="L18" s="3"/>
    </row>
    <row r="20" spans="1:12">
      <c r="D20" s="18" t="s">
        <v>269</v>
      </c>
    </row>
  </sheetData>
  <mergeCells count="12">
    <mergeCell ref="J1:J2"/>
    <mergeCell ref="L1:L2"/>
    <mergeCell ref="K1:K2"/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phoneticPr fontId="6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AF87E4B3-20DC-4826-8FC5-E63A00318EDB}"/>
</file>

<file path=customXml/itemProps2.xml><?xml version="1.0" encoding="utf-8"?>
<ds:datastoreItem xmlns:ds="http://schemas.openxmlformats.org/officeDocument/2006/customXml" ds:itemID="{2AA89798-568A-4241-96A3-865D269D5BBE}"/>
</file>

<file path=customXml/itemProps3.xml><?xml version="1.0" encoding="utf-8"?>
<ds:datastoreItem xmlns:ds="http://schemas.openxmlformats.org/officeDocument/2006/customXml" ds:itemID="{ED5AD5B6-946D-4277-8BD2-2128C4B198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2020-05-01T02:17:13Z</dcterms:created>
  <dcterms:modified xsi:type="dcterms:W3CDTF">2025-04-08T09:07:17Z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