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9"/>
  <workbookPr defaultThemeVersion="166925"/>
  <mc:AlternateContent xmlns:mc="http://schemas.openxmlformats.org/markup-compatibility/2006">
    <mc:Choice Requires="x15">
      <x15ac:absPath xmlns:x15ac="http://schemas.microsoft.com/office/spreadsheetml/2010/11/ac" url="https://kasumie-my.sharepoint.com/personal/daisuke_sasaki_kasumi_co_jp/Documents/代表ストコン/31.寺岡POS実績テスト/●値引売上関連テスト/値引仕様/"/>
    </mc:Choice>
  </mc:AlternateContent>
  <xr:revisionPtr revIDLastSave="860" documentId="13_ncr:4000b_{B8DE9AB6-DBC9-4C7F-BCDA-3A18A10ABE51}" xr6:coauthVersionLast="47" xr6:coauthVersionMax="47" xr10:uidLastSave="{4358E584-6BA7-46A2-AF5C-4A7474492BB8}"/>
  <bookViews>
    <workbookView xWindow="-120" yWindow="-120" windowWidth="20730" windowHeight="11160" firstSheet="1" activeTab="1" xr2:uid="{00000000-000D-0000-FFFF-FFFF00000000}"/>
  </bookViews>
  <sheets>
    <sheet name="ミックスマッチ仕様" sheetId="15" r:id="rId1"/>
    <sheet name="Sheet1" sheetId="19" r:id="rId2"/>
    <sheet name="ミックスマッチ仕様図" sheetId="17" r:id="rId3"/>
    <sheet name="値引確認 追加" sheetId="18" r:id="rId4"/>
    <sheet name="仕様　値引シール【３ 金額】図" sheetId="16" r:id="rId5"/>
    <sheet name="値引確認" sheetId="11" r:id="rId6"/>
    <sheet name="仕様　他" sheetId="14" r:id="rId7"/>
    <sheet name="データ" sheetId="8" r:id="rId8"/>
  </sheets>
  <definedNames>
    <definedName name="_xlnm._FilterDatabase" localSheetId="7" hidden="1">データ!$A$2:$P$2</definedName>
    <definedName name="_xlnm._FilterDatabase" localSheetId="5" hidden="1">値引確認!$A$1:$Y$1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9" l="1"/>
  <c r="D9" i="19" s="1"/>
  <c r="D10" i="19" s="1"/>
  <c r="D4" i="19"/>
  <c r="B4" i="19"/>
  <c r="B5" i="19" s="1"/>
  <c r="B9" i="19" s="1"/>
  <c r="B10" i="19" s="1"/>
  <c r="C4" i="19"/>
  <c r="C5" i="19" s="1"/>
  <c r="C9" i="19" s="1"/>
  <c r="C10" i="19" s="1"/>
  <c r="Q280" i="17"/>
  <c r="M280" i="17"/>
  <c r="I280" i="17"/>
  <c r="P280" i="17"/>
  <c r="L280" i="17"/>
  <c r="H280" i="17"/>
  <c r="Q255" i="17"/>
  <c r="M255" i="17"/>
  <c r="I255" i="17"/>
  <c r="P255" i="17"/>
  <c r="L255" i="17"/>
  <c r="H255" i="17"/>
  <c r="Q230" i="17"/>
  <c r="M230" i="17"/>
  <c r="I230" i="17"/>
  <c r="P230" i="17"/>
  <c r="L230" i="17"/>
  <c r="H230" i="17"/>
  <c r="Q205" i="17"/>
  <c r="M205" i="17"/>
  <c r="I205" i="17"/>
  <c r="P205" i="17"/>
  <c r="L205" i="17"/>
  <c r="H205" i="17"/>
  <c r="Q180" i="17"/>
  <c r="M180" i="17"/>
  <c r="I180" i="17"/>
  <c r="P180" i="17"/>
  <c r="L180" i="17"/>
  <c r="H180" i="17"/>
  <c r="P155" i="17"/>
  <c r="Q155" i="17"/>
  <c r="M155" i="17"/>
  <c r="I155" i="17"/>
  <c r="L155" i="17"/>
  <c r="H155" i="17"/>
  <c r="P130" i="17"/>
  <c r="M130" i="17"/>
  <c r="L130" i="17"/>
  <c r="H130" i="17"/>
  <c r="Q130" i="17"/>
  <c r="I130" i="17"/>
  <c r="I105" i="17"/>
  <c r="D7" i="19" l="1"/>
  <c r="C7" i="19"/>
  <c r="B7" i="19"/>
  <c r="U55" i="17"/>
  <c r="T55" i="17"/>
  <c r="U105" i="17"/>
  <c r="T105" i="17"/>
  <c r="P105" i="17"/>
  <c r="M105" i="17"/>
  <c r="L105" i="17"/>
  <c r="I55" i="17"/>
  <c r="Q105" i="17"/>
  <c r="H105" i="17"/>
  <c r="L80" i="17"/>
  <c r="Q80" i="17"/>
  <c r="P80" i="17"/>
  <c r="M80" i="17"/>
  <c r="I80" i="17"/>
  <c r="H80" i="17"/>
  <c r="H55" i="17"/>
  <c r="Q55" i="17"/>
  <c r="P55" i="17"/>
  <c r="M55" i="17"/>
  <c r="L55" i="17"/>
  <c r="M30" i="17"/>
  <c r="Q30" i="17"/>
  <c r="I30" i="17"/>
  <c r="P30" i="17"/>
  <c r="L30" i="17"/>
  <c r="H30" i="17"/>
  <c r="Q6" i="17"/>
  <c r="P6" i="17"/>
  <c r="M6" i="17"/>
  <c r="L6" i="17"/>
  <c r="I6" i="17"/>
  <c r="H6" i="17"/>
  <c r="A46" i="8" l="1"/>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5" i="8"/>
  <c r="A4" i="8"/>
  <c r="A3" i="8"/>
</calcChain>
</file>

<file path=xl/sharedStrings.xml><?xml version="1.0" encoding="utf-8"?>
<sst xmlns="http://schemas.openxmlformats.org/spreadsheetml/2006/main" count="2652" uniqueCount="515">
  <si>
    <t>ミックスマッチ値引実績計算</t>
    <rPh sb="7" eb="9">
      <t>ネビキ</t>
    </rPh>
    <rPh sb="9" eb="11">
      <t>ジッセキ</t>
    </rPh>
    <rPh sb="11" eb="13">
      <t>ケイサン</t>
    </rPh>
    <phoneticPr fontId="1"/>
  </si>
  <si>
    <t>値引パタ―ン</t>
    <rPh sb="0" eb="2">
      <t>ネビキ</t>
    </rPh>
    <phoneticPr fontId="1"/>
  </si>
  <si>
    <t>値引内容</t>
    <rPh sb="0" eb="2">
      <t>ネビキ</t>
    </rPh>
    <rPh sb="2" eb="4">
      <t>ナイヨウ</t>
    </rPh>
    <phoneticPr fontId="1"/>
  </si>
  <si>
    <t>計算内容</t>
    <rPh sb="0" eb="2">
      <t>ケイサン</t>
    </rPh>
    <rPh sb="2" eb="4">
      <t>ナイヨウ</t>
    </rPh>
    <phoneticPr fontId="1"/>
  </si>
  <si>
    <t>値引コ―ド</t>
  </si>
  <si>
    <t>値引種別</t>
  </si>
  <si>
    <t>値引名称</t>
  </si>
  <si>
    <t>備考</t>
    <rPh sb="0" eb="2">
      <t>ビコウ</t>
    </rPh>
    <phoneticPr fontId="1"/>
  </si>
  <si>
    <t>値引シール【1:値引】</t>
    <phoneticPr fontId="12"/>
  </si>
  <si>
    <t>定番売価―ミックスマッチ額</t>
    <phoneticPr fontId="1"/>
  </si>
  <si>
    <t>ミックス</t>
    <phoneticPr fontId="1"/>
  </si>
  <si>
    <t>定番売価―ミックスマッチ額の計算結果が０、マイナスは実績出力しない。</t>
  </si>
  <si>
    <t>値引シール【1:値引】</t>
    <phoneticPr fontId="1"/>
  </si>
  <si>
    <t>マニュアル単品値引</t>
    <phoneticPr fontId="12"/>
  </si>
  <si>
    <t>値引シール【2:割引】</t>
    <phoneticPr fontId="12"/>
  </si>
  <si>
    <t>定番売価―ミックスマッチ額の計算結果が０、マイナスは実績出力しない。</t>
    <phoneticPr fontId="12"/>
  </si>
  <si>
    <t>マニュアル単品割引</t>
    <rPh sb="7" eb="9">
      <t>ワリビキ</t>
    </rPh>
    <phoneticPr fontId="12"/>
  </si>
  <si>
    <t>値引シール【３：金額】
定番売価＞ミックスマッチ額</t>
    <phoneticPr fontId="12"/>
  </si>
  <si>
    <t>定番売価―値引シール【３：金額】</t>
  </si>
  <si>
    <t>定番売価―値引シール【３：金額】の計算結果が０、マイナスは実績出力しない。</t>
    <phoneticPr fontId="12"/>
  </si>
  <si>
    <t>値引シール【３：金額】
定番売価＝ミックスマッチ額</t>
    <phoneticPr fontId="12"/>
  </si>
  <si>
    <t>値引シール【３：金額】ーミックスマッチ</t>
    <phoneticPr fontId="1"/>
  </si>
  <si>
    <t>値引シール【３：金額】ーミックスマッチ額の計算結果が０、マイナスは実績出力しない。</t>
    <phoneticPr fontId="12"/>
  </si>
  <si>
    <t>定番売価―値引シール【３：金額】</t>
    <phoneticPr fontId="1"/>
  </si>
  <si>
    <t>マニュアル単品値引</t>
    <phoneticPr fontId="1"/>
  </si>
  <si>
    <t>値引シール【３：金額】
定番売価＜ミックスマッチ額</t>
    <phoneticPr fontId="12"/>
  </si>
  <si>
    <t>定番売価ー値引シール【３：金額】の計算結果が０、マイナスは実績出力しない。</t>
    <phoneticPr fontId="12"/>
  </si>
  <si>
    <t>カテゴリ値引</t>
    <rPh sb="4" eb="6">
      <t>ネビキ</t>
    </rPh>
    <phoneticPr fontId="1"/>
  </si>
  <si>
    <t>カテゴリ値引</t>
  </si>
  <si>
    <t>カテゴリ割引</t>
    <rPh sb="4" eb="6">
      <t>ワリビキ</t>
    </rPh>
    <phoneticPr fontId="1"/>
  </si>
  <si>
    <t>定番売価×カテゴリ割引</t>
    <rPh sb="0" eb="2">
      <t>テイバン</t>
    </rPh>
    <rPh sb="2" eb="4">
      <t>バイカ</t>
    </rPh>
    <rPh sb="9" eb="11">
      <t>ワリビキ</t>
    </rPh>
    <phoneticPr fontId="1"/>
  </si>
  <si>
    <t>小計値引（マニュアル）</t>
    <rPh sb="0" eb="2">
      <t>ショウケイ</t>
    </rPh>
    <rPh sb="2" eb="4">
      <t>ネビキ</t>
    </rPh>
    <phoneticPr fontId="1"/>
  </si>
  <si>
    <t>小計値引（マニュアル）</t>
    <phoneticPr fontId="12"/>
  </si>
  <si>
    <t>小計割引（マニュアル）</t>
    <rPh sb="0" eb="2">
      <t>ショウケイ</t>
    </rPh>
    <rPh sb="2" eb="4">
      <t>ワリビキ</t>
    </rPh>
    <phoneticPr fontId="1"/>
  </si>
  <si>
    <t>小計額×小計割引（マニュアル）</t>
    <rPh sb="0" eb="2">
      <t>ショウケイ</t>
    </rPh>
    <rPh sb="2" eb="3">
      <t>ガク</t>
    </rPh>
    <rPh sb="4" eb="6">
      <t>ショウケイ</t>
    </rPh>
    <rPh sb="6" eb="8">
      <t>ワリビキ</t>
    </rPh>
    <phoneticPr fontId="1"/>
  </si>
  <si>
    <t>小計値引（マニュアル）</t>
  </si>
  <si>
    <t>朝割り（自動）</t>
    <rPh sb="0" eb="1">
      <t>アサ</t>
    </rPh>
    <rPh sb="1" eb="2">
      <t>ワ</t>
    </rPh>
    <rPh sb="4" eb="6">
      <t>ジドウ</t>
    </rPh>
    <phoneticPr fontId="1"/>
  </si>
  <si>
    <t>小計額×朝割り</t>
    <rPh sb="0" eb="2">
      <t>ショウケイ</t>
    </rPh>
    <rPh sb="4" eb="5">
      <t>チョウ</t>
    </rPh>
    <rPh sb="5" eb="6">
      <t>ワ</t>
    </rPh>
    <phoneticPr fontId="1"/>
  </si>
  <si>
    <t>メガ割（自動）</t>
    <phoneticPr fontId="1"/>
  </si>
  <si>
    <t>小計額×メガ割</t>
    <rPh sb="0" eb="2">
      <t>ショウケイ</t>
    </rPh>
    <rPh sb="6" eb="7">
      <t>ワリ</t>
    </rPh>
    <phoneticPr fontId="1"/>
  </si>
  <si>
    <t>クレジット割（自動）</t>
    <phoneticPr fontId="1"/>
  </si>
  <si>
    <t>小計額×クレジット割</t>
    <rPh sb="0" eb="2">
      <t>ショウケイ</t>
    </rPh>
    <rPh sb="9" eb="10">
      <t>ワリ</t>
    </rPh>
    <phoneticPr fontId="1"/>
  </si>
  <si>
    <t>定番金額</t>
    <rPh sb="0" eb="2">
      <t>テイバン</t>
    </rPh>
    <rPh sb="2" eb="4">
      <t>キンガク</t>
    </rPh>
    <phoneticPr fontId="12"/>
  </si>
  <si>
    <t>定番合計金額</t>
    <rPh sb="0" eb="2">
      <t>テイバン</t>
    </rPh>
    <rPh sb="2" eb="4">
      <t>ゴウケイ</t>
    </rPh>
    <rPh sb="4" eb="6">
      <t>キンガク</t>
    </rPh>
    <phoneticPr fontId="12"/>
  </si>
  <si>
    <t>ミックスマッチ金額</t>
    <rPh sb="7" eb="9">
      <t>キンガク</t>
    </rPh>
    <phoneticPr fontId="12"/>
  </si>
  <si>
    <t>ミックマッチ値引後金額</t>
    <rPh sb="6" eb="8">
      <t>ネビキ</t>
    </rPh>
    <rPh sb="8" eb="9">
      <t>ノチ</t>
    </rPh>
    <rPh sb="9" eb="11">
      <t>キンガク</t>
    </rPh>
    <phoneticPr fontId="12"/>
  </si>
  <si>
    <t>カテゴリ割引％</t>
    <rPh sb="4" eb="6">
      <t>ワリビキ</t>
    </rPh>
    <phoneticPr fontId="12"/>
  </si>
  <si>
    <t>カテゴリ割引額</t>
    <rPh sb="4" eb="6">
      <t>ワリビキ</t>
    </rPh>
    <rPh sb="6" eb="7">
      <t>ガク</t>
    </rPh>
    <phoneticPr fontId="12"/>
  </si>
  <si>
    <t>販売額</t>
    <rPh sb="0" eb="2">
      <t>ハンバイ</t>
    </rPh>
    <rPh sb="2" eb="3">
      <t>ガク</t>
    </rPh>
    <phoneticPr fontId="12"/>
  </si>
  <si>
    <t>特売値引実績計算_図</t>
    <rPh sb="0" eb="2">
      <t>トクバイ</t>
    </rPh>
    <phoneticPr fontId="12"/>
  </si>
  <si>
    <t>値引パターン</t>
    <rPh sb="0" eb="2">
      <t>ネビキ</t>
    </rPh>
    <phoneticPr fontId="12"/>
  </si>
  <si>
    <t>定番売価1個300円の商品を2個販売</t>
    <rPh sb="0" eb="2">
      <t>テイバン</t>
    </rPh>
    <rPh sb="2" eb="4">
      <t>バイカ</t>
    </rPh>
    <rPh sb="5" eb="6">
      <t>コ</t>
    </rPh>
    <rPh sb="9" eb="10">
      <t>エン</t>
    </rPh>
    <rPh sb="11" eb="13">
      <t>ショウヒン</t>
    </rPh>
    <rPh sb="15" eb="16">
      <t>コ</t>
    </rPh>
    <rPh sb="16" eb="18">
      <t>ハンバイ</t>
    </rPh>
    <phoneticPr fontId="12"/>
  </si>
  <si>
    <t>ミックスマッチ1個当たり／値引シール【1:値引】1個当たり</t>
    <rPh sb="13" eb="15">
      <t>ネビキ</t>
    </rPh>
    <rPh sb="21" eb="23">
      <t>ネビキ</t>
    </rPh>
    <rPh sb="25" eb="26">
      <t>コ</t>
    </rPh>
    <rPh sb="26" eb="27">
      <t>ア</t>
    </rPh>
    <phoneticPr fontId="12"/>
  </si>
  <si>
    <t>ミックスマッチ2個当たり／値引シール【1:値引】2個当たり</t>
    <rPh sb="13" eb="15">
      <t>ネビキ</t>
    </rPh>
    <rPh sb="21" eb="23">
      <t>ネビキ</t>
    </rPh>
    <rPh sb="25" eb="26">
      <t>コ</t>
    </rPh>
    <rPh sb="26" eb="27">
      <t>ア</t>
    </rPh>
    <phoneticPr fontId="12"/>
  </si>
  <si>
    <t>ミックスマッチ対象外</t>
    <phoneticPr fontId="1"/>
  </si>
  <si>
    <t>定番売価
600円
（2個）</t>
    <rPh sb="0" eb="2">
      <t>テイバン</t>
    </rPh>
    <rPh sb="2" eb="4">
      <t>バイカ</t>
    </rPh>
    <rPh sb="8" eb="9">
      <t>エン</t>
    </rPh>
    <phoneticPr fontId="1"/>
  </si>
  <si>
    <t>値引額 100円</t>
    <rPh sb="0" eb="2">
      <t>ネビキ</t>
    </rPh>
    <rPh sb="2" eb="3">
      <t>ガク</t>
    </rPh>
    <rPh sb="7" eb="8">
      <t>エン</t>
    </rPh>
    <phoneticPr fontId="12"/>
  </si>
  <si>
    <t>ミックスマッチ額
500円（2個販売額）</t>
    <phoneticPr fontId="1"/>
  </si>
  <si>
    <t>販売額
500円</t>
    <rPh sb="0" eb="2">
      <t>ハンバイ</t>
    </rPh>
    <rPh sb="2" eb="3">
      <t>ガク</t>
    </rPh>
    <rPh sb="7" eb="8">
      <t>エン</t>
    </rPh>
    <phoneticPr fontId="1"/>
  </si>
  <si>
    <t>販売額
400円</t>
    <rPh sb="0" eb="2">
      <t>ハンバイ</t>
    </rPh>
    <rPh sb="2" eb="3">
      <t>ガク</t>
    </rPh>
    <rPh sb="7" eb="8">
      <t>エン</t>
    </rPh>
    <phoneticPr fontId="1"/>
  </si>
  <si>
    <t>値引額</t>
    <rPh sb="0" eb="2">
      <t>ネビキ</t>
    </rPh>
    <rPh sb="2" eb="3">
      <t>ガク</t>
    </rPh>
    <phoneticPr fontId="1"/>
  </si>
  <si>
    <t>＜値引実績作成＞</t>
    <rPh sb="1" eb="3">
      <t>ネビキ</t>
    </rPh>
    <rPh sb="3" eb="5">
      <t>ジッセキ</t>
    </rPh>
    <rPh sb="5" eb="7">
      <t>サクセイ</t>
    </rPh>
    <phoneticPr fontId="12"/>
  </si>
  <si>
    <t>値引コード</t>
    <rPh sb="0" eb="2">
      <t>ネビキ</t>
    </rPh>
    <phoneticPr fontId="1"/>
  </si>
  <si>
    <t>値引実績作成なし</t>
    <rPh sb="0" eb="2">
      <t>ネビキ</t>
    </rPh>
    <rPh sb="2" eb="4">
      <t>ジッセキ</t>
    </rPh>
    <rPh sb="4" eb="6">
      <t>サクセイ</t>
    </rPh>
    <phoneticPr fontId="12"/>
  </si>
  <si>
    <t>値引種別</t>
    <rPh sb="0" eb="2">
      <t>ネビ</t>
    </rPh>
    <rPh sb="2" eb="4">
      <t>シュベツ</t>
    </rPh>
    <phoneticPr fontId="12"/>
  </si>
  <si>
    <t>値引名称</t>
    <rPh sb="0" eb="2">
      <t>ネビ</t>
    </rPh>
    <rPh sb="2" eb="4">
      <t>メイショウ</t>
    </rPh>
    <phoneticPr fontId="12"/>
  </si>
  <si>
    <t>ミックスマッチ</t>
    <phoneticPr fontId="1"/>
  </si>
  <si>
    <t>マニュアル単品値引</t>
  </si>
  <si>
    <t>100
定番売価ーミックスマッチ</t>
    <phoneticPr fontId="12"/>
  </si>
  <si>
    <t>100
マニュアル単品値引</t>
    <phoneticPr fontId="12"/>
  </si>
  <si>
    <t>ミックスマッチ1個当たり／値引シール【2:割引】1個当たり</t>
    <rPh sb="25" eb="26">
      <t>コ</t>
    </rPh>
    <rPh sb="26" eb="27">
      <t>ア</t>
    </rPh>
    <phoneticPr fontId="12"/>
  </si>
  <si>
    <t>ミックスマッチ2個当たり／値引シール【2:割引】2個当たり</t>
    <rPh sb="25" eb="26">
      <t>コ</t>
    </rPh>
    <rPh sb="26" eb="27">
      <t>ア</t>
    </rPh>
    <phoneticPr fontId="12"/>
  </si>
  <si>
    <t>値引額 60円</t>
    <rPh sb="0" eb="2">
      <t>ネビキ</t>
    </rPh>
    <rPh sb="2" eb="3">
      <t>ガク</t>
    </rPh>
    <rPh sb="6" eb="7">
      <t>エン</t>
    </rPh>
    <phoneticPr fontId="12"/>
  </si>
  <si>
    <t>販売額
540円</t>
    <rPh sb="0" eb="2">
      <t>ハンバイ</t>
    </rPh>
    <rPh sb="2" eb="3">
      <t>ガク</t>
    </rPh>
    <rPh sb="7" eb="8">
      <t>エン</t>
    </rPh>
    <phoneticPr fontId="1"/>
  </si>
  <si>
    <t>販売額
440円</t>
    <rPh sb="0" eb="2">
      <t>ハンバイ</t>
    </rPh>
    <rPh sb="2" eb="3">
      <t>ガク</t>
    </rPh>
    <rPh sb="7" eb="8">
      <t>エン</t>
    </rPh>
    <phoneticPr fontId="1"/>
  </si>
  <si>
    <t>マニュアル単品割引</t>
  </si>
  <si>
    <t>60
定番売価×マニュアル単品割引</t>
    <rPh sb="15" eb="17">
      <t>ワリビキ</t>
    </rPh>
    <phoneticPr fontId="12"/>
  </si>
  <si>
    <t>定番売価額＞ミックスマッチ額</t>
    <phoneticPr fontId="12"/>
  </si>
  <si>
    <t>ミックスマッチ1個当たり／値引シール【３：金額】1個当たり</t>
    <rPh sb="25" eb="26">
      <t>コ</t>
    </rPh>
    <rPh sb="26" eb="27">
      <t>ア</t>
    </rPh>
    <phoneticPr fontId="12"/>
  </si>
  <si>
    <t>ミックスマッチ2個当たり／値引シール【３：金額】2個当たり</t>
    <rPh sb="25" eb="26">
      <t>コ</t>
    </rPh>
    <rPh sb="26" eb="27">
      <t>ア</t>
    </rPh>
    <phoneticPr fontId="12"/>
  </si>
  <si>
    <t>値引額 200円</t>
    <rPh sb="0" eb="2">
      <t>ネビキ</t>
    </rPh>
    <rPh sb="2" eb="3">
      <t>ガク</t>
    </rPh>
    <rPh sb="7" eb="8">
      <t>エン</t>
    </rPh>
    <phoneticPr fontId="12"/>
  </si>
  <si>
    <t>値引シール【３：金額】
700円</t>
    <rPh sb="0" eb="2">
      <t>ネビキ</t>
    </rPh>
    <rPh sb="8" eb="10">
      <t>キンガク</t>
    </rPh>
    <rPh sb="15" eb="16">
      <t>エン</t>
    </rPh>
    <phoneticPr fontId="1"/>
  </si>
  <si>
    <t>値引シール【３：金額】
600円</t>
    <rPh sb="0" eb="2">
      <t>ネビキ</t>
    </rPh>
    <rPh sb="8" eb="10">
      <t>キンガク</t>
    </rPh>
    <rPh sb="15" eb="16">
      <t>エン</t>
    </rPh>
    <phoneticPr fontId="1"/>
  </si>
  <si>
    <t>値引額　200円</t>
    <rPh sb="0" eb="2">
      <t>ネビキ</t>
    </rPh>
    <rPh sb="2" eb="3">
      <t>ガク</t>
    </rPh>
    <rPh sb="7" eb="8">
      <t>エン</t>
    </rPh>
    <phoneticPr fontId="12"/>
  </si>
  <si>
    <t>販売額
300円</t>
    <rPh sb="0" eb="2">
      <t>ハンバイ</t>
    </rPh>
    <rPh sb="2" eb="3">
      <t>ガク</t>
    </rPh>
    <rPh sb="7" eb="8">
      <t>エン</t>
    </rPh>
    <phoneticPr fontId="1"/>
  </si>
  <si>
    <t>200
定番売価ー値引シール【３：金額】</t>
    <phoneticPr fontId="12"/>
  </si>
  <si>
    <t>100
定番売価ー値引シール【３：金額】</t>
    <phoneticPr fontId="12"/>
  </si>
  <si>
    <t>200
値引シール【３：金額】ーミックスマッチ</t>
    <phoneticPr fontId="12"/>
  </si>
  <si>
    <t>定番売価額＝ミックスマッチ額</t>
    <phoneticPr fontId="12"/>
  </si>
  <si>
    <t>値引額　100円</t>
    <rPh sb="0" eb="2">
      <t>ネビキ</t>
    </rPh>
    <rPh sb="2" eb="3">
      <t>ガク</t>
    </rPh>
    <rPh sb="7" eb="8">
      <t>エン</t>
    </rPh>
    <phoneticPr fontId="12"/>
  </si>
  <si>
    <t>ミックスマッチ額
600円（2個販売額）</t>
    <phoneticPr fontId="1"/>
  </si>
  <si>
    <t>100
値引シール【３：金額】ーミックスマッチ</t>
    <phoneticPr fontId="12"/>
  </si>
  <si>
    <t>定番売価額＜ミックスマッチ額</t>
    <phoneticPr fontId="12"/>
  </si>
  <si>
    <t>値引シール【３：金額】
800円</t>
    <rPh sb="0" eb="2">
      <t>ネビキ</t>
    </rPh>
    <rPh sb="1" eb="2">
      <t>イン</t>
    </rPh>
    <rPh sb="8" eb="10">
      <t>キンガク</t>
    </rPh>
    <rPh sb="15" eb="16">
      <t>エン</t>
    </rPh>
    <phoneticPr fontId="1"/>
  </si>
  <si>
    <t>ミックスマッチ額
700円（2個販売額）</t>
    <phoneticPr fontId="1"/>
  </si>
  <si>
    <t>値引シール【３：金額】
500円</t>
    <rPh sb="0" eb="2">
      <t>ネビキ</t>
    </rPh>
    <rPh sb="8" eb="10">
      <t>キンガク</t>
    </rPh>
    <rPh sb="15" eb="16">
      <t>エン</t>
    </rPh>
    <phoneticPr fontId="1"/>
  </si>
  <si>
    <t>カテゴリ値引</t>
    <rPh sb="4" eb="6">
      <t>ネビキ</t>
    </rPh>
    <phoneticPr fontId="12"/>
  </si>
  <si>
    <t>ミックスマッチ1個当たり／カテゴリ値引1個当たり</t>
    <rPh sb="20" eb="21">
      <t>コ</t>
    </rPh>
    <rPh sb="21" eb="22">
      <t>ア</t>
    </rPh>
    <phoneticPr fontId="12"/>
  </si>
  <si>
    <t>ミックスマッチ2個当たり／カテゴリ値引2個当たり</t>
    <rPh sb="20" eb="21">
      <t>コ</t>
    </rPh>
    <rPh sb="21" eb="22">
      <t>ア</t>
    </rPh>
    <phoneticPr fontId="12"/>
  </si>
  <si>
    <t>定番売価
300円</t>
    <rPh sb="0" eb="2">
      <t>テイバン</t>
    </rPh>
    <rPh sb="2" eb="4">
      <t>バイカ</t>
    </rPh>
    <rPh sb="8" eb="9">
      <t>エン</t>
    </rPh>
    <phoneticPr fontId="1"/>
  </si>
  <si>
    <t>100
カテゴリ値引</t>
    <phoneticPr fontId="12"/>
  </si>
  <si>
    <t>カテゴリ割引</t>
    <rPh sb="4" eb="6">
      <t>ワリビキ</t>
    </rPh>
    <phoneticPr fontId="12"/>
  </si>
  <si>
    <t>ミックスマッチ1個当たり／カテゴリ割引1個当たり</t>
    <rPh sb="20" eb="21">
      <t>コ</t>
    </rPh>
    <rPh sb="21" eb="22">
      <t>ア</t>
    </rPh>
    <phoneticPr fontId="12"/>
  </si>
  <si>
    <t>ミックスマッチ2個当たり／カテゴリ割引2個当たり</t>
    <rPh sb="20" eb="21">
      <t>コ</t>
    </rPh>
    <rPh sb="21" eb="22">
      <t>ア</t>
    </rPh>
    <phoneticPr fontId="12"/>
  </si>
  <si>
    <t>値引額　660円</t>
    <rPh sb="0" eb="2">
      <t>ネビキ</t>
    </rPh>
    <rPh sb="2" eb="3">
      <t>ガク</t>
    </rPh>
    <rPh sb="7" eb="8">
      <t>エン</t>
    </rPh>
    <phoneticPr fontId="12"/>
  </si>
  <si>
    <t>値引額　60円</t>
    <rPh sb="0" eb="2">
      <t>ネビキ</t>
    </rPh>
    <rPh sb="2" eb="3">
      <t>ガク</t>
    </rPh>
    <rPh sb="6" eb="7">
      <t>エン</t>
    </rPh>
    <phoneticPr fontId="12"/>
  </si>
  <si>
    <t>60
定番売価×カテゴリ割引</t>
    <phoneticPr fontId="12"/>
  </si>
  <si>
    <t>ミックスマッチ1個当たり／小計値引（マニュアル）1個当たり</t>
    <rPh sb="25" eb="26">
      <t>コ</t>
    </rPh>
    <rPh sb="26" eb="27">
      <t>ア</t>
    </rPh>
    <phoneticPr fontId="12"/>
  </si>
  <si>
    <t>ミックスマッチ2個当たり／小計値引（マニュアル）2個当たり</t>
    <rPh sb="25" eb="26">
      <t>コ</t>
    </rPh>
    <rPh sb="26" eb="27">
      <t>ア</t>
    </rPh>
    <phoneticPr fontId="12"/>
  </si>
  <si>
    <t>100
小計値引（マニュアル）</t>
  </si>
  <si>
    <t>小計割引（マニュアル）</t>
    <phoneticPr fontId="12"/>
  </si>
  <si>
    <t>ミックスマッチ1個当たり／小計割引（マニュアル）1個当たり</t>
    <rPh sb="25" eb="26">
      <t>コ</t>
    </rPh>
    <rPh sb="26" eb="27">
      <t>ア</t>
    </rPh>
    <phoneticPr fontId="12"/>
  </si>
  <si>
    <t>ミックスマッチ2個当たり／小計割引（マニュアル）2個当たり</t>
    <rPh sb="25" eb="26">
      <t>コ</t>
    </rPh>
    <rPh sb="26" eb="27">
      <t>ア</t>
    </rPh>
    <phoneticPr fontId="12"/>
  </si>
  <si>
    <t>値引額　50円</t>
    <rPh sb="0" eb="2">
      <t>ネビキ</t>
    </rPh>
    <rPh sb="2" eb="3">
      <t>ガク</t>
    </rPh>
    <rPh sb="6" eb="7">
      <t>エン</t>
    </rPh>
    <phoneticPr fontId="12"/>
  </si>
  <si>
    <t>販売額
450円</t>
    <rPh sb="0" eb="2">
      <t>ハンバイ</t>
    </rPh>
    <rPh sb="2" eb="3">
      <t>ガク</t>
    </rPh>
    <rPh sb="7" eb="8">
      <t>エン</t>
    </rPh>
    <phoneticPr fontId="1"/>
  </si>
  <si>
    <t>60
小計額×小計割引（マニュアル）</t>
    <phoneticPr fontId="12"/>
  </si>
  <si>
    <t>50
小計額×小計割引（マニュアル）</t>
    <phoneticPr fontId="12"/>
  </si>
  <si>
    <t>朝割り（自動）</t>
  </si>
  <si>
    <t>ミックスマッチ1個当たり／朝割り（自動）1個当たり</t>
    <rPh sb="21" eb="22">
      <t>コ</t>
    </rPh>
    <rPh sb="22" eb="23">
      <t>ア</t>
    </rPh>
    <phoneticPr fontId="12"/>
  </si>
  <si>
    <t>ミックスマッチ2個当たり／朝割り（自動）2個当たり</t>
    <rPh sb="21" eb="22">
      <t>コ</t>
    </rPh>
    <rPh sb="22" eb="23">
      <t>ア</t>
    </rPh>
    <phoneticPr fontId="12"/>
  </si>
  <si>
    <t>60
小計額×朝割り（自動）</t>
  </si>
  <si>
    <t>50
小計額×朝割り（自動）</t>
  </si>
  <si>
    <t>メガ割（自動）</t>
  </si>
  <si>
    <t>ミックスマッチ1個当たり／メガ割（自動）1個当たり</t>
    <rPh sb="21" eb="22">
      <t>コ</t>
    </rPh>
    <rPh sb="22" eb="23">
      <t>ア</t>
    </rPh>
    <phoneticPr fontId="12"/>
  </si>
  <si>
    <t>ミックスマッチ2個当たり／メガ割（自動）2個当たり</t>
    <rPh sb="21" eb="22">
      <t>コ</t>
    </rPh>
    <rPh sb="22" eb="23">
      <t>ア</t>
    </rPh>
    <phoneticPr fontId="12"/>
  </si>
  <si>
    <t>60
小計額×メガ割（自動）</t>
  </si>
  <si>
    <t>50
小計額×メガ割（自動）</t>
  </si>
  <si>
    <t>クレジット割（自動）</t>
  </si>
  <si>
    <t>ミックスマッチ1個当たり／クレジット割（自動）1個当たり</t>
    <rPh sb="24" eb="25">
      <t>コ</t>
    </rPh>
    <rPh sb="25" eb="26">
      <t>ア</t>
    </rPh>
    <phoneticPr fontId="12"/>
  </si>
  <si>
    <t>ミックスマッチ2個当たり／クレジット割（自動）2個当たり</t>
    <rPh sb="24" eb="25">
      <t>コ</t>
    </rPh>
    <rPh sb="25" eb="26">
      <t>ア</t>
    </rPh>
    <phoneticPr fontId="12"/>
  </si>
  <si>
    <t>60
小計額×クレジット割（自動）</t>
  </si>
  <si>
    <t>50
小計額×クレジット割（自動）</t>
  </si>
  <si>
    <t>項番</t>
  </si>
  <si>
    <t>ミックスマッチ</t>
    <phoneticPr fontId="12"/>
  </si>
  <si>
    <t>商品名</t>
  </si>
  <si>
    <t>JAN</t>
  </si>
  <si>
    <t>シール区分</t>
  </si>
  <si>
    <t>金額</t>
  </si>
  <si>
    <t>企画コード</t>
  </si>
  <si>
    <t>値引コード</t>
  </si>
  <si>
    <t>値引額</t>
  </si>
  <si>
    <t>ﾏﾆｭｱﾙ値引</t>
  </si>
  <si>
    <t>純売上額</t>
  </si>
  <si>
    <t>純売上数量</t>
  </si>
  <si>
    <t>値引合計金額</t>
  </si>
  <si>
    <t>値引合計数量</t>
  </si>
  <si>
    <t>250</t>
  </si>
  <si>
    <t>塩たら（甘口）フィーレ</t>
  </si>
  <si>
    <t>4536538504131</t>
  </si>
  <si>
    <t>1</t>
  </si>
  <si>
    <t>50</t>
  </si>
  <si>
    <t>9711</t>
  </si>
  <si>
    <t>91316</t>
  </si>
  <si>
    <t>0</t>
  </si>
  <si>
    <t>100</t>
  </si>
  <si>
    <t>ミックス</t>
  </si>
  <si>
    <t>－</t>
  </si>
  <si>
    <t>400</t>
  </si>
  <si>
    <t>2</t>
  </si>
  <si>
    <t/>
  </si>
  <si>
    <t>91220</t>
  </si>
  <si>
    <t>額</t>
  </si>
  <si>
    <t>300</t>
  </si>
  <si>
    <t>真アジ開き２枚</t>
  </si>
  <si>
    <t>4540263120085</t>
  </si>
  <si>
    <t>500</t>
  </si>
  <si>
    <t>350</t>
  </si>
  <si>
    <t>天日干し白魚６０Ｇ</t>
  </si>
  <si>
    <t>4539550500532</t>
  </si>
  <si>
    <t>釜揚げえび８０Ｇ</t>
  </si>
  <si>
    <t>4539550401631</t>
  </si>
  <si>
    <t>10</t>
  </si>
  <si>
    <t>60</t>
  </si>
  <si>
    <t>％</t>
  </si>
  <si>
    <t>440</t>
  </si>
  <si>
    <t>いわし明太　香味漬</t>
  </si>
  <si>
    <t>4539306000859</t>
  </si>
  <si>
    <t>540</t>
  </si>
  <si>
    <t>さんま塩焼き２尾</t>
  </si>
  <si>
    <t>4538099100036</t>
  </si>
  <si>
    <t>北海道産しめさば大</t>
  </si>
  <si>
    <t>4537985110227</t>
  </si>
  <si>
    <t>3</t>
  </si>
  <si>
    <t>200</t>
  </si>
  <si>
    <t>サーモンハラスと野菜ソテー（香味バター）</t>
  </si>
  <si>
    <t>4525372000930</t>
  </si>
  <si>
    <t>活〆真鯛刺身用（養殖）</t>
  </si>
  <si>
    <t>4524208080078</t>
  </si>
  <si>
    <t>天然焼鯛１尾</t>
  </si>
  <si>
    <t>4536403000157</t>
  </si>
  <si>
    <t>かつお生利</t>
  </si>
  <si>
    <t>4532155000827</t>
  </si>
  <si>
    <t>まぐろとろろ</t>
  </si>
  <si>
    <t>4532155000773</t>
  </si>
  <si>
    <t>600</t>
  </si>
  <si>
    <t>いわし胡麻漬１５０Ｇ</t>
  </si>
  <si>
    <t>4532057400589</t>
  </si>
  <si>
    <t>9712</t>
  </si>
  <si>
    <t>わかちゃんのぽんずたれ</t>
  </si>
  <si>
    <t>4531690801005</t>
  </si>
  <si>
    <t>800</t>
  </si>
  <si>
    <t>さば文化干し　２枚</t>
  </si>
  <si>
    <t>4526785116027</t>
  </si>
  <si>
    <t>700</t>
  </si>
  <si>
    <t>さば文化干し１枚</t>
  </si>
  <si>
    <t>4526785116010</t>
  </si>
  <si>
    <t>天然祝鯛（焼鯛）</t>
  </si>
  <si>
    <t>4536857003131</t>
  </si>
  <si>
    <t>値引シール【３：金額】とミックスマッチ混在時の実績計算_図</t>
    <rPh sb="19" eb="21">
      <t>コンザイ</t>
    </rPh>
    <rPh sb="21" eb="22">
      <t>ジ</t>
    </rPh>
    <rPh sb="23" eb="25">
      <t>ジッセキ</t>
    </rPh>
    <rPh sb="25" eb="27">
      <t>ケイサン</t>
    </rPh>
    <rPh sb="28" eb="29">
      <t>ズ</t>
    </rPh>
    <phoneticPr fontId="1"/>
  </si>
  <si>
    <t>前提条件：</t>
    <rPh sb="0" eb="2">
      <t>ゼンテイ</t>
    </rPh>
    <rPh sb="2" eb="4">
      <t>ジョウケン</t>
    </rPh>
    <phoneticPr fontId="1"/>
  </si>
  <si>
    <t>定番売価額300円で２個販売</t>
    <rPh sb="11" eb="12">
      <t>コ</t>
    </rPh>
    <phoneticPr fontId="1"/>
  </si>
  <si>
    <t>１</t>
    <phoneticPr fontId="1"/>
  </si>
  <si>
    <t>定番売価額＞ミックスマッチ額</t>
  </si>
  <si>
    <t>定番売価額＞値引シール【３：金額】</t>
  </si>
  <si>
    <t>設定金額</t>
    <rPh sb="0" eb="2">
      <t>セッテイ</t>
    </rPh>
    <rPh sb="2" eb="4">
      <t>キンガク</t>
    </rPh>
    <phoneticPr fontId="1"/>
  </si>
  <si>
    <t>ミックス
マッチ額</t>
    <phoneticPr fontId="1"/>
  </si>
  <si>
    <t>値引シール
【３：金額】</t>
    <rPh sb="0" eb="2">
      <t>ネビキ</t>
    </rPh>
    <rPh sb="9" eb="11">
      <t>キンガク</t>
    </rPh>
    <phoneticPr fontId="1"/>
  </si>
  <si>
    <t>＜作成実績＞</t>
    <rPh sb="1" eb="3">
      <t>サクセイ</t>
    </rPh>
    <rPh sb="3" eb="5">
      <t>ジッセキ</t>
    </rPh>
    <phoneticPr fontId="12"/>
  </si>
  <si>
    <t>①</t>
    <phoneticPr fontId="12"/>
  </si>
  <si>
    <t>定番売価額―ミックスマッチ額</t>
    <phoneticPr fontId="1"/>
  </si>
  <si>
    <t>：ミックス</t>
    <phoneticPr fontId="12"/>
  </si>
  <si>
    <t>②</t>
    <phoneticPr fontId="12"/>
  </si>
  <si>
    <t>定番売価額―値引シール【３：金額】</t>
  </si>
  <si>
    <t>：マニュアル額値引　額</t>
    <phoneticPr fontId="12"/>
  </si>
  <si>
    <t>２</t>
    <phoneticPr fontId="1"/>
  </si>
  <si>
    <t>定番売価額＝値引シール【３：金額】</t>
  </si>
  <si>
    <t>３</t>
    <phoneticPr fontId="1"/>
  </si>
  <si>
    <t>定番売価額＜値引シール【３：金額】</t>
  </si>
  <si>
    <t>値引シール【３：金額】―ミックスマッチ額</t>
  </si>
  <si>
    <t>4</t>
    <phoneticPr fontId="1"/>
  </si>
  <si>
    <t>定番売価額＝＜ミックスマッチ額</t>
  </si>
  <si>
    <t>5</t>
    <phoneticPr fontId="1"/>
  </si>
  <si>
    <t>実績作成しない</t>
  </si>
  <si>
    <t>6</t>
    <phoneticPr fontId="1"/>
  </si>
  <si>
    <t>ミックスマッチ額＜値引シール【３：金額】</t>
  </si>
  <si>
    <t>値引シール【３：金額】―ミックスマッチ額</t>
    <phoneticPr fontId="12"/>
  </si>
  <si>
    <t>7</t>
    <phoneticPr fontId="1"/>
  </si>
  <si>
    <t>ミックスマッチ額＝＞値引シール【３：金額】</t>
    <phoneticPr fontId="12"/>
  </si>
  <si>
    <t>※ 値引額：値引実績</t>
    <phoneticPr fontId="1"/>
  </si>
  <si>
    <t>取引内容</t>
  </si>
  <si>
    <t>ミックスマッチ値引値増</t>
  </si>
  <si>
    <t>設定1</t>
  </si>
  <si>
    <t>処理1</t>
  </si>
  <si>
    <t>POS値引等</t>
  </si>
  <si>
    <t>当日売価</t>
  </si>
  <si>
    <t>ミックマッチ</t>
  </si>
  <si>
    <t>シール</t>
  </si>
  <si>
    <t>カテゴリー処理</t>
  </si>
  <si>
    <t>小計割</t>
  </si>
  <si>
    <t>値引数量</t>
  </si>
  <si>
    <t>値引回数</t>
  </si>
  <si>
    <t>マニュアル額値引</t>
  </si>
  <si>
    <t>値下</t>
  </si>
  <si>
    <t>売上</t>
  </si>
  <si>
    <t>値引シール【1:値引】値引後金額</t>
  </si>
  <si>
    <t>①通常単価＞ミックスマッチ後金額＞値引シール【1:値引】値引後金額</t>
    <phoneticPr fontId="7"/>
  </si>
  <si>
    <t>白す３０Ｇ　ＦＯ用　　　　　　　　　　　</t>
  </si>
  <si>
    <t>4935758001008</t>
  </si>
  <si>
    <t>450</t>
  </si>
  <si>
    <t>ミックスマッチ・個別</t>
    <rPh sb="8" eb="10">
      <t>コベツ</t>
    </rPh>
    <phoneticPr fontId="1"/>
  </si>
  <si>
    <t>①通常単価＞ミックスマッチ後金額＞値引シール【1:値引】値引後金額</t>
  </si>
  <si>
    <t>同額</t>
  </si>
  <si>
    <t>①通常単価＝ミックスマッチ後金額＞値引シール【1:値引】値引後金額</t>
  </si>
  <si>
    <t>上白す　　　　　　　　　　　　　　　　　</t>
  </si>
  <si>
    <t>4935758006621</t>
  </si>
  <si>
    <t>900</t>
  </si>
  <si>
    <t>値増</t>
  </si>
  <si>
    <t>①ミックスマッチ後金額＞通常単価＞値引シール【1:値引】値引後金額</t>
  </si>
  <si>
    <t>白す６０ｇ　　　　　　　　　　　　　　　</t>
  </si>
  <si>
    <t>4935758051836</t>
  </si>
  <si>
    <t>550</t>
  </si>
  <si>
    <t>①ミックスマッチ後金額＞通常単価＝値引シール【1:値引】値引後金額</t>
  </si>
  <si>
    <t>減塩だし味しらす２０ｇ×２　　　　　　　</t>
  </si>
  <si>
    <t>4989967095075</t>
  </si>
  <si>
    <t>①ミックスマッチ後金額＞値引シール【1:値引】値引後金額＞通常単価</t>
  </si>
  <si>
    <t>白す　　　　　　　　　　　　　　　　　　</t>
  </si>
  <si>
    <t>4935758001237</t>
  </si>
  <si>
    <t>値引シール【2:割引】割引後金額</t>
  </si>
  <si>
    <t>①通常単価＞ミックスマッチ後金額＞値引シール【2:割引】割引後金額</t>
  </si>
  <si>
    <t>しらす干しＦＯ用１０入　　　　　　　　　</t>
  </si>
  <si>
    <t>4992527515623</t>
  </si>
  <si>
    <t>①通常単価＝ミックスマッチ後金額＞値引シール【2:割引】割引後金額</t>
  </si>
  <si>
    <t>減塩しらす　　　　　　　　　　　　　　　</t>
  </si>
  <si>
    <t>4989967095129</t>
  </si>
  <si>
    <t>①ミックスマッチ後金額＞通常単価＞値引シール【2:割引】割引後金額</t>
  </si>
  <si>
    <t>しらす６０Ｇ　ＦＯ用　　　　　　　　　　</t>
  </si>
  <si>
    <t>4965628021102</t>
  </si>
  <si>
    <t>20</t>
  </si>
  <si>
    <t>①ミックスマッチ後金額＞通常単価＝値引シール【2:割引】割引後金額</t>
  </si>
  <si>
    <t>しらす（ＳＰ）　　　　　　　　　　　　　</t>
  </si>
  <si>
    <t>4935758009660</t>
  </si>
  <si>
    <t>①ミックスマッチ後金額＞値引シール【2:割引】割引後金額＞通常単価</t>
  </si>
  <si>
    <t>しらす　４０ｇ　　　　　　　　　　　　　</t>
  </si>
  <si>
    <t>4935758056657</t>
  </si>
  <si>
    <t>ミックスマッチ1</t>
    <phoneticPr fontId="1"/>
  </si>
  <si>
    <t>値引シール【3:金額】</t>
  </si>
  <si>
    <t>①通常単価＞ミックスマッチ後金額＞値引シール【３：金額】</t>
    <phoneticPr fontId="7"/>
  </si>
  <si>
    <t>釜揚げしらす　４０ｇ　　　　　　　　　　</t>
  </si>
  <si>
    <t>4935758057173</t>
  </si>
  <si>
    <t>①通常単価＞ミックスマッチ後金額＞値引シール【３：金額】</t>
  </si>
  <si>
    <t>②通常単価＞ミックスマッチ後金額＝値引シール【３：金額】</t>
  </si>
  <si>
    <t>白す（チルド）７５Ｇ　　　　　　　　　　</t>
  </si>
  <si>
    <t>4935758000988</t>
  </si>
  <si>
    <t>マニュアル額値引</t>
    <phoneticPr fontId="7"/>
  </si>
  <si>
    <t>③通常単価＞値引シール【３：金額】＞ミックスマッチ後金額</t>
  </si>
  <si>
    <t>（ＦＣ）しらす　２０ｇ　　　　　　　　　</t>
  </si>
  <si>
    <t>4935758056664</t>
  </si>
  <si>
    <t>ミックスマッチ2</t>
    <phoneticPr fontId="1"/>
  </si>
  <si>
    <t>①通常単価＝値引シール【３：金額】＞ミックスマッチ後金額</t>
  </si>
  <si>
    <t>釜揚白す５０Ｇ　　　　　　　　　　　　　</t>
    <phoneticPr fontId="7"/>
  </si>
  <si>
    <t>4935758000193</t>
  </si>
  <si>
    <t>値引シール【３：金額】＞通常単価＞ミックスマッチ後金額</t>
  </si>
  <si>
    <t>味付コラーゲンしらす３３ｇ　　　　　　　</t>
    <phoneticPr fontId="7"/>
  </si>
  <si>
    <t>4935758056503</t>
  </si>
  <si>
    <t>ミックスマッチ4</t>
    <phoneticPr fontId="1"/>
  </si>
  <si>
    <t>①通常単価＝ミックスマッチ後金額＞値引シール【３：金額】</t>
  </si>
  <si>
    <t>小女子２７Ｇ　　　　　　　　　　　　　　</t>
  </si>
  <si>
    <t>4935758000995</t>
  </si>
  <si>
    <t>ミックスマッチ5</t>
    <phoneticPr fontId="7"/>
  </si>
  <si>
    <t>①通常単価＝値引シール【３：金額】＝ミックスマッチ後金額</t>
  </si>
  <si>
    <t>小女子３０Ｇ　　　　　　　　　　　　　　</t>
  </si>
  <si>
    <t>4935758000025</t>
  </si>
  <si>
    <t>1000</t>
  </si>
  <si>
    <t>ミックスマッチ6</t>
    <phoneticPr fontId="1"/>
  </si>
  <si>
    <t>値引シール【３：金額】＞通常単価＝ミックスマッチ後金額</t>
  </si>
  <si>
    <t>ＴＶ減塩ちりめん　　　　　　　　　　　　</t>
  </si>
  <si>
    <t>4549741551458</t>
  </si>
  <si>
    <t>ミックスマッチ後金額＞通常単価＞値引シール【３：金額】</t>
  </si>
  <si>
    <t>減塩ちりめん　　　　　　　　　　　　　　</t>
  </si>
  <si>
    <t>4989967095136</t>
  </si>
  <si>
    <t>ミックスマッチ後金額＞通常単価＝値引シール【３：金額】</t>
  </si>
  <si>
    <t>ごはんにかけて食べるちりめん（旨辛）　　</t>
  </si>
  <si>
    <t>4989967093798</t>
  </si>
  <si>
    <t>ミックスマッチ8</t>
    <phoneticPr fontId="1"/>
  </si>
  <si>
    <t>ミックスマッチ後金額＞値引シール【３：金額】＞通常単価</t>
  </si>
  <si>
    <t>ＦＯ用野沢菜ちりめん　　　　　　　　　　</t>
  </si>
  <si>
    <t>4992527621010</t>
  </si>
  <si>
    <t>1100</t>
  </si>
  <si>
    <t>ミックスマッチ後金額＝値引シール【３：金額＞通常単価】</t>
  </si>
  <si>
    <t>ＦＯ用さけわかめちりめん　　　　　　　　</t>
  </si>
  <si>
    <t>4992527621034</t>
  </si>
  <si>
    <t>値引シール【３：金額】＞ミックスマッチ後金額＞通常単価</t>
  </si>
  <si>
    <t>（ＦＣ）野沢菜ちりめん　２０ｇ　　　　　</t>
  </si>
  <si>
    <t>4935758056695</t>
  </si>
  <si>
    <t>カテゴリ値引</t>
    <rPh sb="4" eb="6">
      <t>ネビキ</t>
    </rPh>
    <phoneticPr fontId="7"/>
  </si>
  <si>
    <t>カテゴリー値引後</t>
  </si>
  <si>
    <t>①通常単価＞ミックスマッチ後金額＞カテゴリー値引後金額</t>
  </si>
  <si>
    <t>（ＦＣ）鮭ちりめん　２０ｇ　　　　　　　</t>
  </si>
  <si>
    <t>4935758056671</t>
  </si>
  <si>
    <t>部門ﾚﾍﾞﾙ商品階層自動値引</t>
  </si>
  <si>
    <t>①通常単価＝ミックスマッチ後金額＞カテゴリー値引後金額</t>
  </si>
  <si>
    <t>野沢菜ちりめん　　　　　　　　　　　　　</t>
  </si>
  <si>
    <t>4935758001404</t>
  </si>
  <si>
    <t>①ミックスマッチ後金額＞通常単価＝カテゴリー値引後金額</t>
  </si>
  <si>
    <t>梅ちりめん　　　　　　　　　　　　　　　</t>
  </si>
  <si>
    <t>4935758000964</t>
  </si>
  <si>
    <t>カテゴリー割引後</t>
  </si>
  <si>
    <t>①通常単価＞ミックスマッチ後金額＞カテゴリー割引後金額</t>
  </si>
  <si>
    <t>ちりめん昆布　　　　　　　　　　　　　　</t>
  </si>
  <si>
    <t>4975152010121</t>
  </si>
  <si>
    <t>①通常単価＝ミックスマッチ後金額＞カテゴリー割引後金額</t>
  </si>
  <si>
    <t>（ＦＣ）梅ちりめん　２０ｇ　　　　　　　</t>
  </si>
  <si>
    <t>4935758056688</t>
  </si>
  <si>
    <t>①ミックスマッチ後金額＞通常単価＝カテゴリー割引後金額</t>
  </si>
  <si>
    <t>梅ちりめん３５Ｇ　　　　　　　　　　　　</t>
  </si>
  <si>
    <t>4935758006645</t>
  </si>
  <si>
    <t>マニュアル小計値引</t>
  </si>
  <si>
    <t>小計値引</t>
  </si>
  <si>
    <t>①通常単価＞ミックスマッチ後金額＞小計値引後金額</t>
  </si>
  <si>
    <t>野沢菜ちりめん３５Ｇ　　　　　　　　　　</t>
  </si>
  <si>
    <t>4935758006652</t>
  </si>
  <si>
    <t>850</t>
  </si>
  <si>
    <t>14</t>
  </si>
  <si>
    <t>マニュアル小計値引</t>
    <phoneticPr fontId="7"/>
  </si>
  <si>
    <t>①通常単価＝ミックスマッチ後金額＞小計値引後金額</t>
  </si>
  <si>
    <t>鮭ちりめん３５Ｇ　　　　　　　　　　　　</t>
  </si>
  <si>
    <t>4935758006638</t>
  </si>
  <si>
    <t>950</t>
  </si>
  <si>
    <t>①ミックスマッチ後金額＞通常単価＞小計値引後金額</t>
  </si>
  <si>
    <t>わかさぎ佃煮１００Ｇ　　　　　　　　　　</t>
  </si>
  <si>
    <t>4975152010251</t>
  </si>
  <si>
    <t>小計割引</t>
  </si>
  <si>
    <t>①通常単価＞ミックスマッチ後金額＞小計割引後金額</t>
  </si>
  <si>
    <t>白魚６０ｇ　　　　　　　　　　　　　　　</t>
  </si>
  <si>
    <t>4935758055933</t>
  </si>
  <si>
    <t>810</t>
  </si>
  <si>
    <t>90</t>
  </si>
  <si>
    <t>①通常単価＝ミックスマッチ後金額＞小計割引後金額</t>
  </si>
  <si>
    <t>白魚３５ｇ　　　　　　　　　　　　　　　</t>
  </si>
  <si>
    <t>4935758055711</t>
  </si>
  <si>
    <t>①ミックスマッチ後金額＞通常単価＞小計割引後金額</t>
  </si>
  <si>
    <t>白魚まじり　８０Ｇ　　　　　　　　　　　</t>
  </si>
  <si>
    <t>4975152004939</t>
  </si>
  <si>
    <t>朝割</t>
    <rPh sb="0" eb="1">
      <t>アサ</t>
    </rPh>
    <rPh sb="1" eb="2">
      <t>ワリ</t>
    </rPh>
    <phoneticPr fontId="7"/>
  </si>
  <si>
    <t>朝割</t>
  </si>
  <si>
    <t>①通常単価＞ミックスマッチ後金額＞朝割割引後金額</t>
  </si>
  <si>
    <t>白魚煮干８０Ｇ　　　　　　　　　　　　　</t>
  </si>
  <si>
    <t>4975152006384</t>
  </si>
  <si>
    <t>①通常単価＝ミックスマッチ後金額＞朝割割引後金額</t>
  </si>
  <si>
    <t>かつお生ふりかけ　　　　　　　　　　　　</t>
  </si>
  <si>
    <t>4975152012965</t>
  </si>
  <si>
    <t>①ミックスマッチ後金額＞通常単価＞朝割割引後金額</t>
  </si>
  <si>
    <t>減塩くるみ小女子　　　　　　　　　　　　</t>
  </si>
  <si>
    <t>4989967095211</t>
  </si>
  <si>
    <t>メガ割</t>
  </si>
  <si>
    <t>①通常単価＞ミックスマッチ後金額＞メガ割後金額</t>
  </si>
  <si>
    <t>減塩山椒ちりめん　　　　　　　　　　　　</t>
  </si>
  <si>
    <t>4989967095280</t>
  </si>
  <si>
    <t>①通常単価＞ミックスマッチ後金額＞メガ割後金額</t>
    <phoneticPr fontId="7"/>
  </si>
  <si>
    <t>①通常単価＝ミックスマッチ後金額＞メガ割後金額</t>
  </si>
  <si>
    <t>小魚折箱（小）　　　　　　　　　　　　　</t>
  </si>
  <si>
    <t>4975152002737</t>
  </si>
  <si>
    <t>①ミックスマッチ後金額＞通常単価＞メガ割後金額</t>
  </si>
  <si>
    <t>生小女子のくぎ煮５０ｇ　　　　　　　　　</t>
  </si>
  <si>
    <t>4989967094719</t>
  </si>
  <si>
    <t>クレジット割</t>
  </si>
  <si>
    <t>①通常単価＞ミックスマッチ後金額＞クレジット割後金額</t>
    <phoneticPr fontId="7"/>
  </si>
  <si>
    <t>小魚カツオ君８０ｇ　　　　　　　　　　　</t>
  </si>
  <si>
    <t>4975152010114</t>
  </si>
  <si>
    <t>5</t>
  </si>
  <si>
    <t>855</t>
  </si>
  <si>
    <t>45</t>
  </si>
  <si>
    <t>①通常単価＞ミックスマッチ後金額＞クレジット割後金額</t>
  </si>
  <si>
    <t>①通常単価＝ミックスマッチ後金額＞クレジット割後金額</t>
  </si>
  <si>
    <t>そのまま食べる煮干し　　　　　　　　　　</t>
  </si>
  <si>
    <t>4989967093842</t>
  </si>
  <si>
    <t>①ミックスマッチ後金額＞通常単価＞クレジット割後金額</t>
  </si>
  <si>
    <t>生しらすの佃煮６０ｇ　　　　　　　　　　</t>
  </si>
  <si>
    <t>4989967094580</t>
  </si>
  <si>
    <t>ミックスマッチ時の値引実績計算</t>
    <phoneticPr fontId="1"/>
  </si>
  <si>
    <t>※ミックスマッチ金額が定番売価より安い時にミックスマッチ実績を作成</t>
    <rPh sb="11" eb="13">
      <t>テイバン</t>
    </rPh>
    <rPh sb="13" eb="15">
      <t>バイカ</t>
    </rPh>
    <rPh sb="17" eb="18">
      <t>ヤス</t>
    </rPh>
    <rPh sb="19" eb="20">
      <t>トキ</t>
    </rPh>
    <rPh sb="28" eb="30">
      <t>ジッセキ</t>
    </rPh>
    <rPh sb="31" eb="33">
      <t>サクセイ</t>
    </rPh>
    <phoneticPr fontId="1"/>
  </si>
  <si>
    <t>値引シール【1:値引】／ミックスマッチの値引実績計算</t>
    <rPh sb="0" eb="2">
      <t>ネビキ</t>
    </rPh>
    <rPh sb="8" eb="10">
      <t>ネビキ</t>
    </rPh>
    <phoneticPr fontId="1"/>
  </si>
  <si>
    <t>値引シール【1:値引】実績とミックスマッチ実績が作成される。</t>
    <rPh sb="0" eb="2">
      <t>ネビキ</t>
    </rPh>
    <rPh sb="8" eb="10">
      <t>ネビキ</t>
    </rPh>
    <rPh sb="11" eb="13">
      <t>ジッセキ</t>
    </rPh>
    <phoneticPr fontId="1"/>
  </si>
  <si>
    <t>※ 個別値引実作成</t>
    <rPh sb="2" eb="4">
      <t>コベツ</t>
    </rPh>
    <rPh sb="4" eb="6">
      <t>ネビキ</t>
    </rPh>
    <rPh sb="6" eb="7">
      <t>ジツ</t>
    </rPh>
    <rPh sb="7" eb="9">
      <t>サクセイ</t>
    </rPh>
    <phoneticPr fontId="1"/>
  </si>
  <si>
    <t>値引シール【2:割引】／ミックスマッチの値引実績計算</t>
  </si>
  <si>
    <t>値引シール【2:割引】実績とミックスマッチ実績が作成される。</t>
  </si>
  <si>
    <t>※定番売価より割引</t>
    <rPh sb="1" eb="3">
      <t>テイバン</t>
    </rPh>
    <rPh sb="3" eb="5">
      <t>バイカ</t>
    </rPh>
    <rPh sb="7" eb="9">
      <t>ワリビキ</t>
    </rPh>
    <phoneticPr fontId="1"/>
  </si>
  <si>
    <t>カテゴリー値引／ミックスマッチの値引実績計算</t>
  </si>
  <si>
    <t>カテゴリー値引ととミックスマッチ実績が作成される。</t>
  </si>
  <si>
    <t>カテゴリー割引／ミックスマッチの値引実績計算</t>
    <rPh sb="5" eb="7">
      <t>ワリビキ</t>
    </rPh>
    <phoneticPr fontId="1"/>
  </si>
  <si>
    <t>カテゴリー割引とミックスマッチ実績が作成される。</t>
  </si>
  <si>
    <t>※ カテゴリー割引金額：定番売価金額＊カテゴリー割引率</t>
    <rPh sb="7" eb="9">
      <t>ワリビキ</t>
    </rPh>
    <rPh sb="9" eb="11">
      <t>キンガク</t>
    </rPh>
    <rPh sb="12" eb="14">
      <t>テイバン</t>
    </rPh>
    <rPh sb="14" eb="16">
      <t>バイカ</t>
    </rPh>
    <rPh sb="16" eb="18">
      <t>キンガク</t>
    </rPh>
    <rPh sb="26" eb="27">
      <t>リツ</t>
    </rPh>
    <phoneticPr fontId="1"/>
  </si>
  <si>
    <t>小計値引／ミックスマッチの値引実績計算</t>
    <rPh sb="0" eb="2">
      <t>ショウケイ</t>
    </rPh>
    <rPh sb="2" eb="4">
      <t>ネビキ</t>
    </rPh>
    <phoneticPr fontId="1"/>
  </si>
  <si>
    <t>小計値引とミックスマッチ実績が作成される。</t>
  </si>
  <si>
    <t>小計割引／ミックスマッチの値引実績計算</t>
    <rPh sb="0" eb="2">
      <t>ショウケイ</t>
    </rPh>
    <rPh sb="2" eb="4">
      <t>ワリビキ</t>
    </rPh>
    <phoneticPr fontId="1"/>
  </si>
  <si>
    <t>小計割引とミックスマッチ実績が作成される。</t>
    <rPh sb="15" eb="17">
      <t>サクセイ</t>
    </rPh>
    <phoneticPr fontId="1"/>
  </si>
  <si>
    <t>※小計割引金額：小計金額＊小計割引率</t>
    <rPh sb="1" eb="3">
      <t>ショウケイ</t>
    </rPh>
    <rPh sb="3" eb="5">
      <t>ワリビキ</t>
    </rPh>
    <rPh sb="5" eb="7">
      <t>キンガク</t>
    </rPh>
    <rPh sb="8" eb="10">
      <t>ショウケイ</t>
    </rPh>
    <rPh sb="10" eb="12">
      <t>キンガク</t>
    </rPh>
    <rPh sb="17" eb="18">
      <t>リツ</t>
    </rPh>
    <phoneticPr fontId="1"/>
  </si>
  <si>
    <t>朝割り／ミックスマッチの値引実績計算</t>
    <rPh sb="0" eb="1">
      <t>アサ</t>
    </rPh>
    <rPh sb="1" eb="2">
      <t>ワ</t>
    </rPh>
    <phoneticPr fontId="1"/>
  </si>
  <si>
    <t>朝割りとミックスマッチ実績が作成される。</t>
    <phoneticPr fontId="1"/>
  </si>
  <si>
    <t>※ 朝割り割引金額：小計金額＊朝割引率</t>
    <rPh sb="2" eb="3">
      <t>チョウ</t>
    </rPh>
    <rPh sb="3" eb="4">
      <t>ワ</t>
    </rPh>
    <rPh sb="5" eb="7">
      <t>ワリビキ</t>
    </rPh>
    <rPh sb="7" eb="9">
      <t>キンガク</t>
    </rPh>
    <rPh sb="10" eb="12">
      <t>ショウケイ</t>
    </rPh>
    <rPh sb="12" eb="14">
      <t>キンガク</t>
    </rPh>
    <rPh sb="18" eb="19">
      <t>リツ</t>
    </rPh>
    <phoneticPr fontId="1"/>
  </si>
  <si>
    <t>メガ割／ミックスマッチの値引実績計算</t>
  </si>
  <si>
    <t>メガ割とミックスマッチ実績が作成される。</t>
    <phoneticPr fontId="1"/>
  </si>
  <si>
    <t>※ メガ割引金額：小計金額＊メガ割引率</t>
    <rPh sb="4" eb="6">
      <t>ワリビキ</t>
    </rPh>
    <rPh sb="6" eb="8">
      <t>キンガク</t>
    </rPh>
    <rPh sb="9" eb="11">
      <t>ショウケイ</t>
    </rPh>
    <rPh sb="11" eb="13">
      <t>キンガク</t>
    </rPh>
    <rPh sb="18" eb="19">
      <t>リツ</t>
    </rPh>
    <phoneticPr fontId="1"/>
  </si>
  <si>
    <t>クレジット割／ミックスマッチの値引実績計算</t>
    <rPh sb="5" eb="6">
      <t>ワリ</t>
    </rPh>
    <phoneticPr fontId="1"/>
  </si>
  <si>
    <t>クレジット割とミックスマッチ実績が作成される。</t>
    <phoneticPr fontId="1"/>
  </si>
  <si>
    <t>※ クレジット割引金額：小計金額＊クレジット割引率</t>
    <rPh sb="7" eb="9">
      <t>ワリビキ</t>
    </rPh>
    <rPh sb="9" eb="11">
      <t>キンガク</t>
    </rPh>
    <rPh sb="12" eb="14">
      <t>ショウケイ</t>
    </rPh>
    <rPh sb="14" eb="16">
      <t>キンガク</t>
    </rPh>
    <rPh sb="24" eb="25">
      <t>リツ</t>
    </rPh>
    <phoneticPr fontId="1"/>
  </si>
  <si>
    <t>項番</t>
    <rPh sb="0" eb="2">
      <t>コウバン</t>
    </rPh>
    <phoneticPr fontId="2"/>
  </si>
  <si>
    <t>取引内容</t>
    <rPh sb="0" eb="2">
      <t>トリヒキ</t>
    </rPh>
    <rPh sb="2" eb="4">
      <t>ナイヨウ</t>
    </rPh>
    <phoneticPr fontId="2"/>
  </si>
  <si>
    <t>ミックスマッチ</t>
    <phoneticPr fontId="2"/>
  </si>
  <si>
    <t>設定1</t>
    <rPh sb="0" eb="2">
      <t>セッテイ</t>
    </rPh>
    <phoneticPr fontId="2"/>
  </si>
  <si>
    <t>処理1</t>
    <phoneticPr fontId="1"/>
  </si>
  <si>
    <t>POS値引等
処理</t>
    <rPh sb="3" eb="5">
      <t>ネビキ</t>
    </rPh>
    <rPh sb="5" eb="6">
      <t>トウ</t>
    </rPh>
    <rPh sb="7" eb="9">
      <t>ショリ</t>
    </rPh>
    <phoneticPr fontId="1"/>
  </si>
  <si>
    <t>金額</t>
    <rPh sb="0" eb="2">
      <t>キンガク</t>
    </rPh>
    <phoneticPr fontId="2"/>
  </si>
  <si>
    <t>商品名</t>
    <rPh sb="0" eb="2">
      <t>ショウヒン</t>
    </rPh>
    <rPh sb="2" eb="3">
      <t>メイ</t>
    </rPh>
    <phoneticPr fontId="2"/>
  </si>
  <si>
    <t>バーコード</t>
    <phoneticPr fontId="2"/>
  </si>
  <si>
    <t>当日売価</t>
    <rPh sb="0" eb="2">
      <t>トウジツ</t>
    </rPh>
    <rPh sb="2" eb="4">
      <t>バイカ</t>
    </rPh>
    <phoneticPr fontId="2"/>
  </si>
  <si>
    <t>ミックス
マッチ</t>
    <phoneticPr fontId="1"/>
  </si>
  <si>
    <t>値引
シール</t>
    <rPh sb="0" eb="2">
      <t>ネビキ</t>
    </rPh>
    <phoneticPr fontId="1"/>
  </si>
  <si>
    <t>カテゴリー</t>
    <phoneticPr fontId="1"/>
  </si>
  <si>
    <t>朝割
メガ割
クレジット割</t>
    <rPh sb="0" eb="1">
      <t>アサ</t>
    </rPh>
    <rPh sb="1" eb="2">
      <t>ワリ</t>
    </rPh>
    <rPh sb="5" eb="6">
      <t>ワリ</t>
    </rPh>
    <rPh sb="12" eb="13">
      <t>ワリ</t>
    </rPh>
    <phoneticPr fontId="1"/>
  </si>
  <si>
    <t>企画</t>
    <rPh sb="0" eb="2">
      <t>キカク</t>
    </rPh>
    <phoneticPr fontId="1"/>
  </si>
  <si>
    <t>値下</t>
    <rPh sb="0" eb="2">
      <t>ネサゲ</t>
    </rPh>
    <phoneticPr fontId="6"/>
  </si>
  <si>
    <t>値引シール【1:値引】値引後金額</t>
    <phoneticPr fontId="6"/>
  </si>
  <si>
    <t>①通常単価＞ミックスマッチ後金額＞値引シール【1:値引】値引後金額</t>
    <phoneticPr fontId="6"/>
  </si>
  <si>
    <t>①ミックスマッチ後金額＞通常単価＞値引シール【1:値引】値引後金額</t>
    <phoneticPr fontId="6"/>
  </si>
  <si>
    <t>①ミックスマッチ後金額＞通常単価＝値引シール【1:値引】値引後金額</t>
    <phoneticPr fontId="6"/>
  </si>
  <si>
    <t>①ミックスマッチ後金額＞値引シール【1:値引】値引後金額＞通常単価</t>
    <phoneticPr fontId="6"/>
  </si>
  <si>
    <t>値引シール【2:割引】割引後金額</t>
    <rPh sb="8" eb="9">
      <t>ワリ</t>
    </rPh>
    <rPh sb="11" eb="12">
      <t>ワリ</t>
    </rPh>
    <phoneticPr fontId="6"/>
  </si>
  <si>
    <t>①通常単価＞ミックスマッチ後金額＞値引シール【2:割引】割引後金額</t>
    <phoneticPr fontId="6"/>
  </si>
  <si>
    <t>①通常単価＝ミックスマッチ後金額＞値引シール【2:割引】割引後金額</t>
    <phoneticPr fontId="6"/>
  </si>
  <si>
    <t>①ミックスマッチ後金額＞通常単価＞値引シール【2:割引】割引後金額</t>
    <phoneticPr fontId="6"/>
  </si>
  <si>
    <t>①ミックスマッチ後金額＞通常単価＝値引シール【2:割引】割引後金額</t>
    <phoneticPr fontId="6"/>
  </si>
  <si>
    <t>①ミックスマッチ後金額＞値引シール【2:割引】割引後金額＞通常単価</t>
    <phoneticPr fontId="6"/>
  </si>
  <si>
    <t>値下</t>
    <rPh sb="0" eb="2">
      <t>ネサ</t>
    </rPh>
    <phoneticPr fontId="2"/>
  </si>
  <si>
    <t>値引シール【3:金額】</t>
    <phoneticPr fontId="6"/>
  </si>
  <si>
    <t>①通常単価＞ミックスマッチ後金額＞値引シール【３：金額】</t>
    <phoneticPr fontId="6"/>
  </si>
  <si>
    <t>同額</t>
    <rPh sb="0" eb="2">
      <t>ドウガク</t>
    </rPh>
    <phoneticPr fontId="2"/>
  </si>
  <si>
    <t>②通常単価＞ミックスマッチ後金額＝値引シール【３：金額】</t>
    <phoneticPr fontId="6"/>
  </si>
  <si>
    <t>値増</t>
    <rPh sb="0" eb="2">
      <t>アタイゾウ</t>
    </rPh>
    <phoneticPr fontId="2"/>
  </si>
  <si>
    <t>釜揚白す５０Ｇ　　　　　　　　　　　　　</t>
  </si>
  <si>
    <t>値引シール【３：金額】＞通常単価＞ミックスマッチ後金額</t>
    <phoneticPr fontId="6"/>
  </si>
  <si>
    <t>味付コラーゲンしらす３３ｇ　　　　　　　</t>
  </si>
  <si>
    <t>①通常単価＝ミックスマッチ後金額＞値引シール【３：金額】</t>
    <phoneticPr fontId="2"/>
  </si>
  <si>
    <t>①通常単価＝値引シール【３：金額】＝ミックスマッチ後金額</t>
    <phoneticPr fontId="2"/>
  </si>
  <si>
    <t>値引シール【３：金額】＞通常単価＝ミックスマッチ後金額</t>
    <phoneticPr fontId="2"/>
  </si>
  <si>
    <t>ミックスマッチ後金額＞通常単価＞値引シール【３：金額】</t>
    <phoneticPr fontId="2"/>
  </si>
  <si>
    <t>ミックスマッチ後金額＞通常単価＝値引シール【３：金額】</t>
    <phoneticPr fontId="2"/>
  </si>
  <si>
    <t>ミックスマッチ後金額＞値引シール【３：金額】＞通常単価</t>
    <phoneticPr fontId="2"/>
  </si>
  <si>
    <t>ミックスマッチ後金額＝値引シール【３：金額＞通常単価】</t>
    <phoneticPr fontId="2"/>
  </si>
  <si>
    <t>値引シール【３：金額】＞ミックスマッチ後金額＞通常単価</t>
    <phoneticPr fontId="2"/>
  </si>
  <si>
    <t>値増</t>
    <rPh sb="0" eb="2">
      <t>ネマ</t>
    </rPh>
    <phoneticPr fontId="2"/>
  </si>
  <si>
    <t>小計値引</t>
    <phoneticPr fontId="6"/>
  </si>
  <si>
    <t>①ミックスマッチ後金額＞通常単価＞小計値引後金額</t>
    <phoneticPr fontId="6"/>
  </si>
  <si>
    <t>小計割引</t>
    <phoneticPr fontId="6"/>
  </si>
  <si>
    <t>①ミックスマッチ後金額＞通常単価＞小計割引後金額</t>
    <phoneticPr fontId="6"/>
  </si>
  <si>
    <t>①通常単価＞ミックスマッチ後金額＞朝割割引後金額</t>
    <rPh sb="17" eb="19">
      <t>アサワリ</t>
    </rPh>
    <phoneticPr fontId="6"/>
  </si>
  <si>
    <t>①通常単価＝ミックスマッチ後金額＞朝割割引後金額</t>
    <phoneticPr fontId="6"/>
  </si>
  <si>
    <t>①ミックスマッチ後金額＞通常単価＞朝割割引後金額</t>
    <phoneticPr fontId="6"/>
  </si>
  <si>
    <t>メガ割</t>
    <phoneticPr fontId="6"/>
  </si>
  <si>
    <t>①通常単価＞ミックスマッチ後金額＞メガ割後金額</t>
    <phoneticPr fontId="6"/>
  </si>
  <si>
    <t>①通常単価＝ミックスマッチ後金額＞メガ割後金額</t>
    <phoneticPr fontId="6"/>
  </si>
  <si>
    <t>①ミックスマッチ後金額＞通常単価＞メガ割後金額</t>
    <phoneticPr fontId="6"/>
  </si>
  <si>
    <t>①通常単価＞ミックスマッチ後金額＞クレジット割後金額</t>
    <phoneticPr fontId="6"/>
  </si>
  <si>
    <t>①通常単価＝ミックスマッチ後金額＞クレジット割後金額</t>
    <phoneticPr fontId="6"/>
  </si>
  <si>
    <t>①ミックスマッチ後金額＞通常単価＞クレジット割後金額</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</si>
</sst>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0_ ;[Red]\-#,##0\ "/>
  </numFmts>
  <fonts count="17">
    <font>
      <sz val="11"/>
      <color theme="1"/>
      <name val="游ゴシック"/>
      <family val="3"/>
      <charset val="128"/>
      <scheme val="minor"/>
    </font>
    <font>
      <sz val="6"/>
      <name val="游ゴシック"/>
      <family val="3"/>
      <charset val="128"/>
    </font>
    <font>
      <sz val="6"/>
      <name val="メイリオ"/>
      <family val="3"/>
      <charset val="128"/>
    </font>
    <font>
      <sz val="11"/>
      <name val="ＭＳ ゴシック"/>
      <family val="3"/>
      <charset val="128"/>
    </font>
    <font>
      <sz val="11"/>
      <color indexed="8"/>
      <name val="ＭＳ Ｐゴシック"/>
      <family val="3"/>
      <charset val="128"/>
    </font>
    <font>
      <sz val="11"/>
      <color indexed="8"/>
      <name val="ＭＳ ゴシック"/>
      <family val="3"/>
      <charset val="128"/>
    </font>
    <font>
      <sz val="6"/>
      <name val="游ゴシック"/>
      <family val="3"/>
      <charset val="128"/>
    </font>
    <font>
      <sz val="6"/>
      <name val="游ゴシック"/>
      <family val="3"/>
      <charset val="128"/>
    </font>
    <font>
      <sz val="11"/>
      <color theme="1"/>
      <name val="游ゴシック"/>
      <family val="3"/>
      <charset val="128"/>
      <scheme val="minor"/>
    </font>
    <font>
      <sz val="11"/>
      <color rgb="FFFF0000"/>
      <name val="游ゴシック"/>
      <family val="3"/>
      <charset val="128"/>
      <scheme val="minor"/>
    </font>
    <font>
      <b/>
      <sz val="11"/>
      <color theme="1"/>
      <name val="游ゴシック"/>
      <family val="3"/>
      <charset val="128"/>
      <scheme val="minor"/>
    </font>
    <font>
      <sz val="11"/>
      <color theme="1"/>
      <name val="ＭＳ ゴシック"/>
      <family val="3"/>
      <charset val="128"/>
    </font>
    <font>
      <sz val="6"/>
      <name val="游ゴシック"/>
      <family val="3"/>
      <charset val="128"/>
      <scheme val="minor"/>
    </font>
    <font>
      <b/>
      <sz val="14"/>
      <color theme="1"/>
      <name val="ＭＳ ゴシック"/>
      <family val="3"/>
      <charset val="128"/>
    </font>
    <font>
      <sz val="14"/>
      <color theme="1"/>
      <name val="游ゴシック"/>
      <family val="3"/>
      <charset val="128"/>
      <scheme val="minor"/>
    </font>
    <font>
      <sz val="11"/>
      <color rgb="FFFF0000"/>
      <name val="ＭＳ ゴシック"/>
      <family val="3"/>
      <charset val="128"/>
    </font>
    <font>
      <sz val="11"/>
      <name val="游ゴシック"/>
      <family val="3"/>
      <charset val="128"/>
      <scheme val="minor"/>
    </font>
  </fonts>
  <fills count="10">
    <fill>
      <patternFill patternType="none"/>
    </fill>
    <fill>
      <patternFill patternType="gray125"/>
    </fill>
    <fill>
      <patternFill patternType="solid">
        <fgColor theme="6" tint="0.59999389629810485"/>
        <bgColor indexed="65"/>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rgb="FFFFC000"/>
        <bgColor indexed="64"/>
      </patternFill>
    </fill>
    <fill>
      <patternFill patternType="solid">
        <fgColor theme="9" tint="0.59999389629810485"/>
        <bgColor indexed="64"/>
      </patternFill>
    </fill>
    <fill>
      <patternFill patternType="solid">
        <fgColor indexed="22"/>
        <bgColor indexed="0"/>
      </patternFill>
    </fill>
    <fill>
      <patternFill patternType="solid">
        <fgColor rgb="FF92D050"/>
        <bgColor indexed="64"/>
      </patternFill>
    </fill>
  </fills>
  <borders count="39">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7">
    <xf numFmtId="0" fontId="0" fillId="0" borderId="0">
      <alignment vertical="center"/>
    </xf>
    <xf numFmtId="0" fontId="8" fillId="2" borderId="0" applyNumberFormat="0" applyBorder="0" applyAlignment="0" applyProtection="0">
      <alignment vertical="center"/>
    </xf>
    <xf numFmtId="0" fontId="4" fillId="0" borderId="0"/>
    <xf numFmtId="0" fontId="4" fillId="0" borderId="0"/>
    <xf numFmtId="0" fontId="4" fillId="0" borderId="0"/>
    <xf numFmtId="0" fontId="4" fillId="0" borderId="0"/>
    <xf numFmtId="0" fontId="4" fillId="0" borderId="0"/>
  </cellStyleXfs>
  <cellXfs count="158">
    <xf numFmtId="0" fontId="0" fillId="0" borderId="0" xfId="0">
      <alignment vertical="center"/>
    </xf>
    <xf numFmtId="0" fontId="3" fillId="0" borderId="2" xfId="1" applyFont="1" applyFill="1" applyBorder="1" applyAlignment="1">
      <alignment horizontal="center" vertical="center" wrapText="1"/>
    </xf>
    <xf numFmtId="0" fontId="11" fillId="0" borderId="2" xfId="0" applyFont="1" applyBorder="1">
      <alignment vertical="center"/>
    </xf>
    <xf numFmtId="0" fontId="11" fillId="0" borderId="0" xfId="0" applyFont="1">
      <alignment vertical="center"/>
    </xf>
    <xf numFmtId="0" fontId="4" fillId="0" borderId="1" xfId="2" applyBorder="1" applyAlignment="1">
      <alignment wrapText="1"/>
    </xf>
    <xf numFmtId="0" fontId="11" fillId="0" borderId="0" xfId="0" applyFont="1" applyAlignment="1">
      <alignment horizontal="center" vertical="center"/>
    </xf>
    <xf numFmtId="0" fontId="11" fillId="0" borderId="2" xfId="0" applyFont="1" applyBorder="1" applyAlignment="1">
      <alignment horizontal="right" vertical="center"/>
    </xf>
    <xf numFmtId="0" fontId="11" fillId="0" borderId="2" xfId="0" applyFont="1" applyBorder="1" applyAlignment="1">
      <alignment horizontal="left" vertical="center" wrapText="1"/>
    </xf>
    <xf numFmtId="0" fontId="11" fillId="0" borderId="0" xfId="0" applyFont="1" applyAlignment="1">
      <alignment horizontal="right" vertical="center"/>
    </xf>
    <xf numFmtId="0" fontId="5" fillId="0" borderId="3" xfId="4" applyFont="1" applyBorder="1" applyAlignment="1">
      <alignment wrapText="1"/>
    </xf>
    <xf numFmtId="0" fontId="5" fillId="0" borderId="2" xfId="4" applyFont="1" applyBorder="1" applyAlignment="1">
      <alignment wrapText="1"/>
    </xf>
    <xf numFmtId="0" fontId="5" fillId="0" borderId="2" xfId="4" applyFont="1" applyBorder="1" applyAlignment="1">
      <alignment horizontal="center" wrapText="1"/>
    </xf>
    <xf numFmtId="0" fontId="5" fillId="0" borderId="2" xfId="5" applyFont="1" applyBorder="1" applyAlignment="1">
      <alignment wrapText="1"/>
    </xf>
    <xf numFmtId="0" fontId="10" fillId="0" borderId="0" xfId="0" applyFont="1">
      <alignment vertical="center"/>
    </xf>
    <xf numFmtId="0" fontId="11" fillId="0" borderId="5" xfId="0" applyFont="1" applyBorder="1" applyAlignment="1">
      <alignment horizontal="left" vertical="center" indent="1"/>
    </xf>
    <xf numFmtId="0" fontId="11" fillId="0" borderId="6" xfId="0" applyFont="1" applyBorder="1" applyAlignment="1">
      <alignment horizontal="left" vertical="center" indent="1"/>
    </xf>
    <xf numFmtId="0" fontId="5" fillId="0" borderId="6" xfId="6" applyFont="1" applyBorder="1" applyAlignment="1">
      <alignment horizontal="left" vertical="center"/>
    </xf>
    <xf numFmtId="0" fontId="11" fillId="0" borderId="6" xfId="0" applyFont="1" applyBorder="1" applyAlignment="1">
      <alignment horizontal="left" vertical="center"/>
    </xf>
    <xf numFmtId="0" fontId="11" fillId="0" borderId="7" xfId="0" applyFont="1" applyBorder="1" applyAlignment="1">
      <alignment horizontal="left" vertical="center"/>
    </xf>
    <xf numFmtId="0" fontId="5" fillId="0" borderId="9" xfId="6" applyFont="1" applyBorder="1" applyAlignment="1">
      <alignment vertical="center" wrapText="1"/>
    </xf>
    <xf numFmtId="0" fontId="5" fillId="0" borderId="9" xfId="6" applyFont="1" applyBorder="1" applyAlignment="1">
      <alignment horizontal="right" vertical="center" wrapText="1"/>
    </xf>
    <xf numFmtId="0" fontId="11" fillId="0" borderId="9" xfId="0" applyFont="1" applyBorder="1" applyAlignment="1">
      <alignment horizontal="left" vertical="center"/>
    </xf>
    <xf numFmtId="0" fontId="11" fillId="0" borderId="10" xfId="0" applyFont="1" applyBorder="1" applyAlignment="1">
      <alignment horizontal="left" vertical="center"/>
    </xf>
    <xf numFmtId="0" fontId="11" fillId="0" borderId="13" xfId="0" applyFont="1" applyBorder="1">
      <alignment vertical="center"/>
    </xf>
    <xf numFmtId="0" fontId="11" fillId="0" borderId="14" xfId="0" applyFont="1" applyBorder="1" applyAlignment="1">
      <alignment horizontal="left" vertical="center"/>
    </xf>
    <xf numFmtId="0" fontId="5" fillId="0" borderId="4" xfId="3" applyFont="1" applyBorder="1" applyAlignment="1">
      <alignment horizontal="center"/>
    </xf>
    <xf numFmtId="0" fontId="5" fillId="0" borderId="1" xfId="3" applyFont="1" applyBorder="1" applyAlignment="1">
      <alignment wrapText="1"/>
    </xf>
    <xf numFmtId="0" fontId="5" fillId="0" borderId="1" xfId="3" applyFont="1" applyBorder="1" applyAlignment="1">
      <alignment horizontal="right" wrapText="1"/>
    </xf>
    <xf numFmtId="0" fontId="0" fillId="0" borderId="0" xfId="0"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lignment vertical="center"/>
    </xf>
    <xf numFmtId="49" fontId="0" fillId="0" borderId="18" xfId="0" applyNumberFormat="1" applyBorder="1" applyAlignment="1">
      <alignment horizontal="center" vertical="center"/>
    </xf>
    <xf numFmtId="0" fontId="11" fillId="0" borderId="0" xfId="0" applyFont="1" applyAlignment="1">
      <alignment horizontal="left" vertical="center"/>
    </xf>
    <xf numFmtId="0" fontId="0" fillId="0" borderId="19" xfId="0" applyBorder="1">
      <alignment vertical="center"/>
    </xf>
    <xf numFmtId="0" fontId="0" fillId="0" borderId="18" xfId="0" applyBorder="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alignment vertical="center"/>
    </xf>
    <xf numFmtId="0" fontId="0" fillId="0" borderId="24" xfId="0" applyBorder="1" applyAlignment="1">
      <alignment horizontal="left" vertical="center"/>
    </xf>
    <xf numFmtId="0" fontId="9" fillId="0" borderId="0" xfId="0" applyFont="1" applyAlignment="1">
      <alignment horizontal="left" vertical="center"/>
    </xf>
    <xf numFmtId="0" fontId="11" fillId="0" borderId="9" xfId="0" applyFont="1" applyBorder="1" applyAlignment="1">
      <alignment horizontal="left" vertical="center" wrapText="1"/>
    </xf>
    <xf numFmtId="0" fontId="11" fillId="0" borderId="13" xfId="0" applyFont="1" applyBorder="1" applyAlignment="1">
      <alignment horizontal="left" vertical="center"/>
    </xf>
    <xf numFmtId="0" fontId="11" fillId="0" borderId="2" xfId="0" applyFont="1" applyBorder="1" applyAlignment="1">
      <alignment horizontal="center" vertical="center"/>
    </xf>
    <xf numFmtId="0" fontId="0" fillId="0" borderId="0" xfId="0" applyAlignment="1">
      <alignment horizontal="right" vertical="center" wrapText="1"/>
    </xf>
    <xf numFmtId="0" fontId="11" fillId="0" borderId="6" xfId="0" applyFont="1" applyBorder="1" applyAlignment="1">
      <alignment horizontal="left" vertical="center" wrapText="1"/>
    </xf>
    <xf numFmtId="0" fontId="11" fillId="0" borderId="15" xfId="0" applyFont="1" applyBorder="1" applyAlignment="1">
      <alignment horizontal="center" vertical="center"/>
    </xf>
    <xf numFmtId="0" fontId="11" fillId="0" borderId="16" xfId="0" applyFont="1" applyBorder="1" applyAlignment="1">
      <alignment horizontal="center" vertical="center"/>
    </xf>
    <xf numFmtId="0" fontId="11" fillId="0" borderId="16" xfId="0" applyFont="1" applyBorder="1">
      <alignment vertical="center"/>
    </xf>
    <xf numFmtId="0" fontId="11" fillId="0" borderId="17" xfId="0" applyFont="1" applyBorder="1">
      <alignment vertical="center"/>
    </xf>
    <xf numFmtId="0" fontId="11" fillId="0" borderId="18" xfId="0" applyFont="1" applyBorder="1" applyAlignment="1">
      <alignment horizontal="center" vertical="center"/>
    </xf>
    <xf numFmtId="0" fontId="11" fillId="0" borderId="19" xfId="0" applyFont="1" applyBorder="1">
      <alignment vertical="center"/>
    </xf>
    <xf numFmtId="0" fontId="11" fillId="0" borderId="19" xfId="0" applyFont="1" applyBorder="1" applyAlignment="1">
      <alignment horizontal="center" vertical="center"/>
    </xf>
    <xf numFmtId="0" fontId="11" fillId="6" borderId="2" xfId="0" applyFont="1" applyFill="1" applyBorder="1" applyAlignment="1">
      <alignment horizontal="center" vertical="center"/>
    </xf>
    <xf numFmtId="0" fontId="11" fillId="0" borderId="0" xfId="0" applyFont="1" applyAlignment="1">
      <alignment horizontal="center" vertical="center" wrapText="1"/>
    </xf>
    <xf numFmtId="0" fontId="15" fillId="0" borderId="2" xfId="0" applyFont="1" applyBorder="1" applyAlignment="1">
      <alignment horizontal="center" vertical="center"/>
    </xf>
    <xf numFmtId="0" fontId="3" fillId="0" borderId="0" xfId="0" applyFont="1" applyAlignment="1">
      <alignment horizontal="center" vertical="center" wrapText="1"/>
    </xf>
    <xf numFmtId="0" fontId="11" fillId="0" borderId="23" xfId="0" applyFont="1" applyBorder="1" applyAlignment="1">
      <alignment horizontal="center" vertical="center"/>
    </xf>
    <xf numFmtId="0" fontId="11" fillId="0" borderId="24" xfId="0" applyFont="1" applyBorder="1" applyAlignment="1">
      <alignment horizontal="center" vertical="center"/>
    </xf>
    <xf numFmtId="0" fontId="11" fillId="0" borderId="24" xfId="0" applyFont="1" applyBorder="1" applyAlignment="1">
      <alignment horizontal="left" vertical="center"/>
    </xf>
    <xf numFmtId="0" fontId="11" fillId="0" borderId="24" xfId="0" applyFont="1" applyBorder="1">
      <alignment vertical="center"/>
    </xf>
    <xf numFmtId="0" fontId="11" fillId="0" borderId="25" xfId="0" applyFont="1" applyBorder="1">
      <alignment vertical="center"/>
    </xf>
    <xf numFmtId="0" fontId="11" fillId="0" borderId="27" xfId="0" applyFont="1" applyBorder="1" applyAlignment="1">
      <alignment horizontal="center" vertical="center"/>
    </xf>
    <xf numFmtId="0" fontId="5" fillId="0" borderId="13" xfId="6" applyFont="1" applyBorder="1" applyAlignment="1">
      <alignment horizontal="right" vertical="center"/>
    </xf>
    <xf numFmtId="0" fontId="11" fillId="6" borderId="20" xfId="0" applyFont="1" applyFill="1" applyBorder="1" applyAlignment="1">
      <alignment horizontal="center" vertical="center"/>
    </xf>
    <xf numFmtId="0" fontId="11" fillId="6" borderId="28" xfId="0" applyFont="1" applyFill="1" applyBorder="1" applyAlignment="1">
      <alignment horizontal="center" vertical="center"/>
    </xf>
    <xf numFmtId="0" fontId="11" fillId="0" borderId="20" xfId="0" applyFont="1" applyBorder="1">
      <alignment vertical="center"/>
    </xf>
    <xf numFmtId="0" fontId="5" fillId="0" borderId="20" xfId="6" applyFont="1" applyBorder="1" applyAlignment="1">
      <alignment wrapText="1"/>
    </xf>
    <xf numFmtId="0" fontId="11" fillId="0" borderId="32" xfId="0" applyFont="1" applyBorder="1">
      <alignment vertical="center"/>
    </xf>
    <xf numFmtId="0" fontId="11" fillId="0" borderId="20" xfId="0" applyFont="1" applyBorder="1" applyAlignment="1">
      <alignment vertical="center" wrapText="1"/>
    </xf>
    <xf numFmtId="0" fontId="5" fillId="0" borderId="13" xfId="6" applyFont="1" applyBorder="1" applyAlignment="1">
      <alignment wrapText="1"/>
    </xf>
    <xf numFmtId="0" fontId="11" fillId="0" borderId="14" xfId="0" applyFont="1" applyBorder="1">
      <alignment vertical="center"/>
    </xf>
    <xf numFmtId="0" fontId="3" fillId="0" borderId="2" xfId="0" applyFont="1" applyBorder="1" applyAlignment="1">
      <alignment horizontal="center" vertical="center"/>
    </xf>
    <xf numFmtId="0" fontId="4" fillId="8" borderId="4" xfId="2" applyFill="1" applyBorder="1" applyAlignment="1">
      <alignment horizontal="center"/>
    </xf>
    <xf numFmtId="0" fontId="4" fillId="0" borderId="1" xfId="2" applyBorder="1" applyAlignment="1">
      <alignment horizontal="right" wrapText="1"/>
    </xf>
    <xf numFmtId="0" fontId="5" fillId="0" borderId="6" xfId="6" applyFont="1" applyBorder="1" applyAlignment="1">
      <alignment vertical="center" wrapText="1"/>
    </xf>
    <xf numFmtId="0" fontId="5" fillId="0" borderId="6" xfId="6" applyFont="1" applyBorder="1" applyAlignment="1">
      <alignment horizontal="right" vertical="center" wrapText="1"/>
    </xf>
    <xf numFmtId="0" fontId="11" fillId="0" borderId="22" xfId="0" applyFont="1" applyBorder="1" applyAlignment="1">
      <alignment horizontal="left" vertical="center" wrapText="1"/>
    </xf>
    <xf numFmtId="0" fontId="5" fillId="0" borderId="22" xfId="6" applyFont="1" applyBorder="1" applyAlignment="1">
      <alignment vertical="center" wrapText="1"/>
    </xf>
    <xf numFmtId="0" fontId="5" fillId="0" borderId="22" xfId="6" applyFont="1" applyBorder="1" applyAlignment="1">
      <alignment horizontal="right" vertical="center" wrapText="1"/>
    </xf>
    <xf numFmtId="0" fontId="11" fillId="0" borderId="22" xfId="0" applyFont="1" applyBorder="1" applyAlignment="1">
      <alignment horizontal="left" vertical="center"/>
    </xf>
    <xf numFmtId="0" fontId="11" fillId="0" borderId="35" xfId="0" applyFont="1" applyBorder="1" applyAlignment="1">
      <alignment horizontal="left" vertical="center"/>
    </xf>
    <xf numFmtId="0" fontId="11" fillId="0" borderId="36" xfId="0" applyFont="1" applyBorder="1" applyAlignment="1">
      <alignment horizontal="center" vertical="center"/>
    </xf>
    <xf numFmtId="0" fontId="11" fillId="0" borderId="37" xfId="0" applyFont="1" applyBorder="1" applyAlignment="1">
      <alignment horizontal="left" vertical="center" wrapText="1"/>
    </xf>
    <xf numFmtId="0" fontId="11" fillId="0" borderId="37" xfId="0" applyFont="1" applyBorder="1" applyAlignment="1">
      <alignment horizontal="left" vertical="center"/>
    </xf>
    <xf numFmtId="0" fontId="5" fillId="0" borderId="37" xfId="6" applyFont="1" applyBorder="1" applyAlignment="1">
      <alignment horizontal="right" vertical="center"/>
    </xf>
    <xf numFmtId="0" fontId="11" fillId="0" borderId="38" xfId="0" applyFont="1" applyBorder="1" applyAlignment="1">
      <alignment horizontal="left" vertical="center"/>
    </xf>
    <xf numFmtId="0" fontId="0" fillId="9" borderId="0" xfId="0" applyFill="1">
      <alignment vertical="center"/>
    </xf>
    <xf numFmtId="0" fontId="0" fillId="0" borderId="0" xfId="0" applyProtection="1">
      <alignment vertical="center"/>
      <protection locked="0"/>
    </xf>
    <xf numFmtId="0" fontId="11" fillId="0" borderId="8" xfId="0" applyFont="1" applyBorder="1" applyAlignment="1">
      <alignment horizontal="center" vertical="center"/>
    </xf>
    <xf numFmtId="0" fontId="11" fillId="0" borderId="31" xfId="0" applyFont="1" applyBorder="1" applyAlignment="1">
      <alignment horizontal="center" vertical="center"/>
    </xf>
    <xf numFmtId="0" fontId="11" fillId="0" borderId="11" xfId="0" applyFont="1" applyBorder="1" applyAlignment="1">
      <alignment horizontal="center" vertical="center"/>
    </xf>
    <xf numFmtId="0" fontId="11" fillId="0" borderId="9" xfId="0" applyFont="1" applyBorder="1" applyAlignment="1">
      <alignment vertical="center" wrapText="1"/>
    </xf>
    <xf numFmtId="0" fontId="11" fillId="0" borderId="34" xfId="0" applyFont="1" applyBorder="1" applyAlignment="1">
      <alignment horizontal="center" vertical="center"/>
    </xf>
    <xf numFmtId="0" fontId="11" fillId="0" borderId="22" xfId="0" applyFont="1" applyBorder="1" applyAlignment="1">
      <alignment vertical="center" wrapText="1"/>
    </xf>
    <xf numFmtId="0" fontId="13" fillId="0" borderId="0" xfId="0" applyFont="1" applyAlignment="1">
      <alignment horizontal="center" vertical="center"/>
    </xf>
    <xf numFmtId="0" fontId="14" fillId="0" borderId="0" xfId="0" applyFont="1" applyAlignment="1">
      <alignment horizontal="center" vertical="center"/>
    </xf>
    <xf numFmtId="0" fontId="11" fillId="0" borderId="6" xfId="0" applyFont="1" applyBorder="1" applyAlignment="1">
      <alignment horizontal="left" vertical="center" wrapText="1"/>
    </xf>
    <xf numFmtId="0" fontId="0" fillId="0" borderId="12" xfId="0" applyBorder="1" applyAlignment="1">
      <alignment horizontal="left" vertical="center"/>
    </xf>
    <xf numFmtId="0" fontId="0" fillId="0" borderId="11" xfId="0" applyBorder="1" applyAlignment="1">
      <alignment horizontal="center" vertical="center"/>
    </xf>
    <xf numFmtId="0" fontId="11" fillId="0" borderId="9" xfId="0" applyFont="1" applyBorder="1" applyAlignment="1">
      <alignment horizontal="left" vertical="center"/>
    </xf>
    <xf numFmtId="0" fontId="0" fillId="0" borderId="13" xfId="0" applyBorder="1" applyAlignment="1">
      <alignment horizontal="left" vertical="center"/>
    </xf>
    <xf numFmtId="0" fontId="11" fillId="0" borderId="5" xfId="0" applyFont="1" applyBorder="1" applyAlignment="1">
      <alignment horizontal="center" vertical="center"/>
    </xf>
    <xf numFmtId="0" fontId="0" fillId="0" borderId="33" xfId="0" applyBorder="1" applyAlignment="1">
      <alignment horizontal="center" vertical="center"/>
    </xf>
    <xf numFmtId="0" fontId="0" fillId="0" borderId="21" xfId="0" applyBorder="1" applyAlignment="1">
      <alignment horizontal="left" vertical="center" wrapText="1"/>
    </xf>
    <xf numFmtId="0" fontId="3" fillId="4" borderId="20"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11" fillId="0" borderId="2" xfId="0" applyFont="1" applyBorder="1" applyAlignment="1">
      <alignment horizontal="center" vertical="center"/>
    </xf>
    <xf numFmtId="0" fontId="11" fillId="0" borderId="20" xfId="0" applyFont="1" applyBorder="1" applyAlignment="1">
      <alignment horizontal="center" vertical="center"/>
    </xf>
    <xf numFmtId="0" fontId="11" fillId="0" borderId="21" xfId="0" applyFont="1" applyBorder="1" applyAlignment="1">
      <alignment horizontal="center" vertical="center"/>
    </xf>
    <xf numFmtId="0" fontId="11" fillId="0" borderId="22" xfId="0" applyFont="1" applyBorder="1" applyAlignment="1">
      <alignment horizontal="center" vertical="center"/>
    </xf>
    <xf numFmtId="0" fontId="15" fillId="4" borderId="2" xfId="0" applyFont="1" applyFill="1" applyBorder="1" applyAlignment="1">
      <alignment horizontal="center" vertical="center" wrapText="1"/>
    </xf>
    <xf numFmtId="0" fontId="11" fillId="5" borderId="28" xfId="0" applyFont="1" applyFill="1" applyBorder="1" applyAlignment="1">
      <alignment horizontal="center" vertical="center" wrapText="1"/>
    </xf>
    <xf numFmtId="0" fontId="11" fillId="5" borderId="29" xfId="0" applyFont="1" applyFill="1" applyBorder="1" applyAlignment="1">
      <alignment horizontal="center" vertical="center" wrapText="1"/>
    </xf>
    <xf numFmtId="0" fontId="11" fillId="5" borderId="30" xfId="0" applyFont="1" applyFill="1" applyBorder="1" applyAlignment="1">
      <alignment horizontal="center" vertical="center" wrapText="1"/>
    </xf>
    <xf numFmtId="0" fontId="15" fillId="4" borderId="20" xfId="0" applyFont="1" applyFill="1" applyBorder="1" applyAlignment="1">
      <alignment horizontal="center" vertical="center" wrapText="1"/>
    </xf>
    <xf numFmtId="0" fontId="11" fillId="5" borderId="20" xfId="0" applyFont="1" applyFill="1" applyBorder="1" applyAlignment="1">
      <alignment horizontal="center" vertical="center" wrapText="1"/>
    </xf>
    <xf numFmtId="0" fontId="11" fillId="5" borderId="21" xfId="0" applyFont="1" applyFill="1" applyBorder="1" applyAlignment="1">
      <alignment horizontal="center" vertical="center" wrapText="1"/>
    </xf>
    <xf numFmtId="0" fontId="11" fillId="5" borderId="22" xfId="0" applyFont="1" applyFill="1" applyBorder="1" applyAlignment="1">
      <alignment horizontal="center" vertical="center" wrapText="1"/>
    </xf>
    <xf numFmtId="0" fontId="3" fillId="7" borderId="28"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1" fillId="3" borderId="20" xfId="0" applyFont="1" applyFill="1" applyBorder="1" applyAlignment="1">
      <alignment horizontal="center" vertical="center" wrapText="1"/>
    </xf>
    <xf numFmtId="0" fontId="9" fillId="0" borderId="21" xfId="0" applyFont="1" applyBorder="1" applyAlignment="1">
      <alignment horizontal="center" vertical="center"/>
    </xf>
    <xf numFmtId="0" fontId="9" fillId="0" borderId="22" xfId="0" applyFont="1" applyBorder="1" applyAlignment="1">
      <alignment horizontal="center" vertical="center"/>
    </xf>
    <xf numFmtId="0" fontId="11" fillId="6" borderId="2" xfId="0" applyFont="1" applyFill="1" applyBorder="1" applyAlignment="1">
      <alignment horizontal="center" vertical="center"/>
    </xf>
    <xf numFmtId="0" fontId="11" fillId="6" borderId="20" xfId="0" applyFont="1" applyFill="1" applyBorder="1" applyAlignment="1">
      <alignment horizontal="center" vertical="center"/>
    </xf>
    <xf numFmtId="0" fontId="0" fillId="0" borderId="22" xfId="0" applyBorder="1" applyAlignment="1">
      <alignment horizontal="center" vertical="center"/>
    </xf>
    <xf numFmtId="0" fontId="11" fillId="4" borderId="20" xfId="0" applyFont="1" applyFill="1" applyBorder="1" applyAlignment="1">
      <alignment horizontal="center" vertical="center" wrapText="1"/>
    </xf>
    <xf numFmtId="0" fontId="0" fillId="0" borderId="21" xfId="0" applyBorder="1" applyAlignment="1">
      <alignment horizontal="center" vertical="center"/>
    </xf>
    <xf numFmtId="0" fontId="0" fillId="4" borderId="20" xfId="0" applyFill="1" applyBorder="1" applyAlignment="1">
      <alignment horizontal="center" vertical="center" wrapText="1"/>
    </xf>
    <xf numFmtId="0" fontId="0" fillId="3" borderId="20" xfId="0" applyFill="1" applyBorder="1" applyAlignment="1">
      <alignment horizontal="center" vertical="center" wrapText="1"/>
    </xf>
    <xf numFmtId="0" fontId="0" fillId="4" borderId="2" xfId="0" applyFill="1" applyBorder="1" applyAlignment="1">
      <alignment horizontal="center" vertical="center" wrapText="1"/>
    </xf>
    <xf numFmtId="0" fontId="0" fillId="3" borderId="26" xfId="0" applyFill="1" applyBorder="1" applyAlignment="1">
      <alignment horizontal="center" vertical="center" wrapText="1"/>
    </xf>
    <xf numFmtId="0" fontId="0" fillId="3" borderId="2" xfId="0" applyFill="1" applyBorder="1" applyAlignment="1">
      <alignment horizontal="center" vertical="center" wrapText="1"/>
    </xf>
    <xf numFmtId="0" fontId="0" fillId="3" borderId="2" xfId="0" applyFill="1" applyBorder="1" applyAlignment="1">
      <alignment horizontal="center" vertical="center"/>
    </xf>
    <xf numFmtId="0" fontId="11" fillId="0" borderId="2" xfId="0" applyFont="1" applyBorder="1" applyAlignment="1">
      <alignment horizontal="center" vertical="center" wrapText="1"/>
    </xf>
    <xf numFmtId="0" fontId="3" fillId="0" borderId="2" xfId="0" applyFont="1" applyBorder="1" applyAlignment="1">
      <alignment horizontal="center" vertical="center" wrapText="1"/>
    </xf>
    <xf numFmtId="176" fontId="3" fillId="0" borderId="2" xfId="0" applyNumberFormat="1" applyFont="1" applyBorder="1" applyAlignment="1">
      <alignment horizontal="center" vertical="center" wrapText="1"/>
    </xf>
    <xf numFmtId="177" fontId="3" fillId="0" borderId="2" xfId="0" applyNumberFormat="1" applyFont="1" applyBorder="1" applyAlignment="1">
      <alignment horizontal="right" vertical="center" wrapText="1"/>
    </xf>
    <xf numFmtId="0" fontId="11" fillId="0" borderId="2" xfId="0" applyFont="1" applyBorder="1" applyAlignment="1">
      <alignment horizontal="right" vertical="center" wrapText="1"/>
    </xf>
    <xf numFmtId="0" fontId="0" fillId="0" borderId="0" xfId="0" applyAlignment="1">
      <alignment vertical="center"/>
    </xf>
    <xf numFmtId="0" fontId="11" fillId="0" borderId="20" xfId="0" applyFont="1" applyBorder="1" applyAlignment="1">
      <alignment vertical="center"/>
    </xf>
    <xf numFmtId="0" fontId="11" fillId="0" borderId="9" xfId="0" applyFont="1" applyBorder="1" applyAlignment="1">
      <alignment vertical="center"/>
    </xf>
    <xf numFmtId="0" fontId="11" fillId="0" borderId="13" xfId="0" applyFont="1"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 xfId="0" applyBorder="1" applyAlignment="1">
      <alignment vertical="center"/>
    </xf>
    <xf numFmtId="0" fontId="9" fillId="0" borderId="2" xfId="0" applyFont="1" applyBorder="1" applyAlignment="1">
      <alignment vertical="center"/>
    </xf>
    <xf numFmtId="0" fontId="9" fillId="0" borderId="21" xfId="0" applyFont="1" applyBorder="1" applyAlignment="1">
      <alignment vertical="center"/>
    </xf>
    <xf numFmtId="0" fontId="0" fillId="0" borderId="29" xfId="0" applyBorder="1" applyAlignment="1">
      <alignment vertical="center"/>
    </xf>
    <xf numFmtId="0" fontId="0" fillId="0" borderId="30" xfId="0" applyBorder="1" applyAlignment="1">
      <alignment vertical="center"/>
    </xf>
    <xf numFmtId="0" fontId="9" fillId="0" borderId="22" xfId="0" applyFont="1" applyBorder="1" applyAlignment="1">
      <alignment vertical="center"/>
    </xf>
    <xf numFmtId="0" fontId="16" fillId="0" borderId="21" xfId="0" applyFont="1" applyBorder="1" applyAlignment="1">
      <alignment vertical="center"/>
    </xf>
    <xf numFmtId="0" fontId="16" fillId="0" borderId="22" xfId="0" applyFont="1" applyBorder="1" applyAlignment="1">
      <alignment vertical="center"/>
    </xf>
    <xf numFmtId="0" fontId="0" fillId="0" borderId="26" xfId="0" applyBorder="1" applyAlignment="1">
      <alignment vertical="center"/>
    </xf>
  </cellXfs>
  <cellStyles count="7">
    <cellStyle name="40% - アクセント 3" xfId="1" builtinId="39"/>
    <cellStyle name="標準" xfId="0" builtinId="0"/>
    <cellStyle name="標準_Sheet1" xfId="2" xr:uid="{00000000-0005-0000-0000-000002000000}"/>
    <cellStyle name="標準_Sheet3" xfId="3" xr:uid="{00000000-0005-0000-0000-000003000000}"/>
    <cellStyle name="標準_Sheet4" xfId="6" xr:uid="{00000000-0005-0000-0000-000004000000}"/>
    <cellStyle name="標準_売上値引実績確認" xfId="4" xr:uid="{00000000-0005-0000-0000-000005000000}"/>
    <cellStyle name="標準_売上値引実績確認 (2)" xfId="5"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zoomScale="70" zoomScaleNormal="70" workbookViewId="0">
      <selection activeCell="B13" sqref="B13:B14"/>
    </sheetView>
  </sheetViews>
  <sheetFormatPr defaultRowHeight="13.5"/>
  <cols>
    <col min="1" max="1" width="13.875" style="5" bestFit="1" customWidth="1"/>
    <col min="2" max="2" width="40.125" style="5" bestFit="1" customWidth="1"/>
    <col min="3" max="3" width="53.875" style="3" bestFit="1" customWidth="1"/>
    <col min="4" max="4" width="11.625" style="3" bestFit="1" customWidth="1"/>
    <col min="5" max="5" width="9.5" style="3" bestFit="1" customWidth="1"/>
    <col min="6" max="6" width="27.25" style="3" bestFit="1" customWidth="1"/>
    <col min="7" max="7" width="78.25" style="3" bestFit="1" customWidth="1"/>
    <col min="8" max="16384" width="9" style="3"/>
  </cols>
  <sheetData>
    <row r="1" spans="1:8" ht="27.75" customHeight="1">
      <c r="A1" s="97" t="s">
        <v>0</v>
      </c>
      <c r="B1" s="97"/>
      <c r="C1" s="98"/>
      <c r="D1" s="98"/>
      <c r="E1" s="98"/>
      <c r="F1" s="98"/>
      <c r="G1" s="98"/>
      <c r="H1" s="143"/>
    </row>
    <row r="2" spans="1:8" ht="27.75" customHeight="1" thickBot="1"/>
    <row r="3" spans="1:8" s="5" customFormat="1" ht="25.5" customHeight="1" thickBot="1">
      <c r="A3" s="14" t="s">
        <v>1</v>
      </c>
      <c r="B3" s="64" t="s">
        <v>2</v>
      </c>
      <c r="C3" s="15" t="s">
        <v>3</v>
      </c>
      <c r="D3" s="16" t="s">
        <v>4</v>
      </c>
      <c r="E3" s="16" t="s">
        <v>5</v>
      </c>
      <c r="F3" s="17" t="s">
        <v>6</v>
      </c>
      <c r="G3" s="18" t="s">
        <v>7</v>
      </c>
    </row>
    <row r="4" spans="1:8" s="5" customFormat="1" ht="25.5" customHeight="1">
      <c r="A4" s="91">
        <v>1</v>
      </c>
      <c r="B4" s="102" t="s">
        <v>8</v>
      </c>
      <c r="C4" s="43" t="s">
        <v>9</v>
      </c>
      <c r="D4" s="19">
        <v>91316</v>
      </c>
      <c r="E4" s="20">
        <v>0</v>
      </c>
      <c r="F4" s="21" t="s">
        <v>10</v>
      </c>
      <c r="G4" s="22" t="s">
        <v>11</v>
      </c>
    </row>
    <row r="5" spans="1:8" s="5" customFormat="1" ht="25.5" customHeight="1" thickBot="1">
      <c r="A5" s="101"/>
      <c r="B5" s="103"/>
      <c r="C5" s="44" t="s">
        <v>12</v>
      </c>
      <c r="D5" s="65">
        <v>91220</v>
      </c>
      <c r="E5" s="65">
        <v>1</v>
      </c>
      <c r="F5" s="44" t="s">
        <v>13</v>
      </c>
      <c r="G5" s="24"/>
    </row>
    <row r="6" spans="1:8" s="5" customFormat="1" ht="25.5" customHeight="1">
      <c r="A6" s="91">
        <v>2</v>
      </c>
      <c r="B6" s="102" t="s">
        <v>14</v>
      </c>
      <c r="C6" s="43" t="s">
        <v>9</v>
      </c>
      <c r="D6" s="19">
        <v>91316</v>
      </c>
      <c r="E6" s="20">
        <v>0</v>
      </c>
      <c r="F6" s="21" t="s">
        <v>10</v>
      </c>
      <c r="G6" s="22" t="s">
        <v>15</v>
      </c>
    </row>
    <row r="7" spans="1:8" s="5" customFormat="1" ht="25.5" customHeight="1" thickBot="1">
      <c r="A7" s="101"/>
      <c r="B7" s="103"/>
      <c r="C7" s="44" t="s">
        <v>12</v>
      </c>
      <c r="D7" s="65">
        <v>91220</v>
      </c>
      <c r="E7" s="65">
        <v>2</v>
      </c>
      <c r="F7" s="44" t="s">
        <v>16</v>
      </c>
      <c r="G7" s="24"/>
    </row>
    <row r="8" spans="1:8" ht="25.5" customHeight="1">
      <c r="A8" s="91">
        <v>3</v>
      </c>
      <c r="B8" s="99" t="s">
        <v>17</v>
      </c>
      <c r="C8" s="43" t="s">
        <v>9</v>
      </c>
      <c r="D8" s="19">
        <v>91316</v>
      </c>
      <c r="E8" s="20">
        <v>0</v>
      </c>
      <c r="F8" s="21" t="s">
        <v>10</v>
      </c>
      <c r="G8" s="22"/>
    </row>
    <row r="9" spans="1:8" ht="25.5" customHeight="1" thickBot="1">
      <c r="A9" s="93"/>
      <c r="B9" s="100"/>
      <c r="C9" s="44" t="s">
        <v>18</v>
      </c>
      <c r="D9" s="65">
        <v>91220</v>
      </c>
      <c r="E9" s="65">
        <v>1</v>
      </c>
      <c r="F9" s="44" t="s">
        <v>13</v>
      </c>
      <c r="G9" s="24" t="s">
        <v>19</v>
      </c>
    </row>
    <row r="10" spans="1:8" ht="39.75" customHeight="1" thickBot="1">
      <c r="A10" s="104">
        <v>4</v>
      </c>
      <c r="B10" s="99" t="s">
        <v>20</v>
      </c>
      <c r="C10" s="43" t="s">
        <v>21</v>
      </c>
      <c r="D10" s="19">
        <v>91316</v>
      </c>
      <c r="E10" s="20">
        <v>0</v>
      </c>
      <c r="F10" s="21" t="s">
        <v>10</v>
      </c>
      <c r="G10" s="22" t="s">
        <v>22</v>
      </c>
    </row>
    <row r="11" spans="1:8" ht="39.75" customHeight="1" thickBot="1">
      <c r="A11" s="105"/>
      <c r="B11" s="106"/>
      <c r="C11" s="47" t="s">
        <v>23</v>
      </c>
      <c r="D11" s="77">
        <v>92220</v>
      </c>
      <c r="E11" s="78">
        <v>1</v>
      </c>
      <c r="F11" s="17" t="s">
        <v>24</v>
      </c>
      <c r="G11" s="18" t="s">
        <v>19</v>
      </c>
    </row>
    <row r="12" spans="1:8" ht="25.5" customHeight="1" thickBot="1">
      <c r="A12" s="84">
        <v>5</v>
      </c>
      <c r="B12" s="85" t="s">
        <v>25</v>
      </c>
      <c r="C12" s="86" t="s">
        <v>18</v>
      </c>
      <c r="D12" s="87">
        <v>91220</v>
      </c>
      <c r="E12" s="87">
        <v>1</v>
      </c>
      <c r="F12" s="86" t="s">
        <v>13</v>
      </c>
      <c r="G12" s="88" t="s">
        <v>26</v>
      </c>
    </row>
    <row r="13" spans="1:8" ht="29.25" customHeight="1">
      <c r="A13" s="95">
        <v>6</v>
      </c>
      <c r="B13" s="96" t="s">
        <v>27</v>
      </c>
      <c r="C13" s="79" t="s">
        <v>9</v>
      </c>
      <c r="D13" s="80">
        <v>91316</v>
      </c>
      <c r="E13" s="81">
        <v>0</v>
      </c>
      <c r="F13" s="82" t="s">
        <v>10</v>
      </c>
      <c r="G13" s="83" t="s">
        <v>11</v>
      </c>
    </row>
    <row r="14" spans="1:8" ht="29.25" customHeight="1" thickBot="1">
      <c r="A14" s="92"/>
      <c r="B14" s="144"/>
      <c r="C14" s="68" t="s">
        <v>27</v>
      </c>
      <c r="D14" s="69">
        <v>91324</v>
      </c>
      <c r="E14" s="69">
        <v>0</v>
      </c>
      <c r="F14" s="68" t="s">
        <v>28</v>
      </c>
      <c r="G14" s="70"/>
    </row>
    <row r="15" spans="1:8" ht="29.25" customHeight="1">
      <c r="A15" s="91">
        <v>7</v>
      </c>
      <c r="B15" s="94" t="s">
        <v>29</v>
      </c>
      <c r="C15" s="43" t="s">
        <v>9</v>
      </c>
      <c r="D15" s="19">
        <v>91316</v>
      </c>
      <c r="E15" s="20">
        <v>0</v>
      </c>
      <c r="F15" s="21" t="s">
        <v>10</v>
      </c>
      <c r="G15" s="22" t="s">
        <v>11</v>
      </c>
    </row>
    <row r="16" spans="1:8" ht="29.25" customHeight="1" thickBot="1">
      <c r="A16" s="92"/>
      <c r="B16" s="144"/>
      <c r="C16" s="71" t="s">
        <v>30</v>
      </c>
      <c r="D16" s="69">
        <v>91324</v>
      </c>
      <c r="E16" s="69">
        <v>0</v>
      </c>
      <c r="F16" s="68" t="s">
        <v>28</v>
      </c>
      <c r="G16" s="70"/>
    </row>
    <row r="17" spans="1:7" ht="29.25" customHeight="1">
      <c r="A17" s="91">
        <v>8</v>
      </c>
      <c r="B17" s="94" t="s">
        <v>31</v>
      </c>
      <c r="C17" s="43" t="s">
        <v>9</v>
      </c>
      <c r="D17" s="19">
        <v>91316</v>
      </c>
      <c r="E17" s="20">
        <v>0</v>
      </c>
      <c r="F17" s="21" t="s">
        <v>10</v>
      </c>
      <c r="G17" s="22" t="s">
        <v>11</v>
      </c>
    </row>
    <row r="18" spans="1:7" ht="29.25" customHeight="1" thickBot="1">
      <c r="A18" s="92"/>
      <c r="B18" s="144"/>
      <c r="C18" s="68" t="s">
        <v>31</v>
      </c>
      <c r="D18" s="69">
        <v>91400</v>
      </c>
      <c r="E18" s="69">
        <v>14</v>
      </c>
      <c r="F18" s="68" t="s">
        <v>32</v>
      </c>
      <c r="G18" s="70"/>
    </row>
    <row r="19" spans="1:7" ht="29.25" customHeight="1">
      <c r="A19" s="91">
        <v>9</v>
      </c>
      <c r="B19" s="94" t="s">
        <v>33</v>
      </c>
      <c r="C19" s="43" t="s">
        <v>9</v>
      </c>
      <c r="D19" s="19">
        <v>91316</v>
      </c>
      <c r="E19" s="20">
        <v>0</v>
      </c>
      <c r="F19" s="21" t="s">
        <v>10</v>
      </c>
      <c r="G19" s="22" t="s">
        <v>11</v>
      </c>
    </row>
    <row r="20" spans="1:7" ht="29.25" customHeight="1" thickBot="1">
      <c r="A20" s="92"/>
      <c r="B20" s="144"/>
      <c r="C20" s="71" t="s">
        <v>34</v>
      </c>
      <c r="D20" s="69">
        <v>91400</v>
      </c>
      <c r="E20" s="69">
        <v>14</v>
      </c>
      <c r="F20" s="68" t="s">
        <v>35</v>
      </c>
      <c r="G20" s="70"/>
    </row>
    <row r="21" spans="1:7" ht="29.25" customHeight="1">
      <c r="A21" s="91">
        <v>10</v>
      </c>
      <c r="B21" s="145" t="s">
        <v>36</v>
      </c>
      <c r="C21" s="43" t="s">
        <v>9</v>
      </c>
      <c r="D21" s="19">
        <v>91316</v>
      </c>
      <c r="E21" s="20">
        <v>0</v>
      </c>
      <c r="F21" s="21" t="s">
        <v>10</v>
      </c>
      <c r="G21" s="22" t="s">
        <v>11</v>
      </c>
    </row>
    <row r="22" spans="1:7" ht="29.25" customHeight="1" thickBot="1">
      <c r="A22" s="92"/>
      <c r="B22" s="144"/>
      <c r="C22" s="68" t="s">
        <v>37</v>
      </c>
      <c r="D22" s="69">
        <v>91400</v>
      </c>
      <c r="E22" s="69">
        <v>14</v>
      </c>
      <c r="F22" s="68" t="s">
        <v>35</v>
      </c>
      <c r="G22" s="70"/>
    </row>
    <row r="23" spans="1:7" ht="29.25" customHeight="1">
      <c r="A23" s="91">
        <v>11</v>
      </c>
      <c r="B23" s="145" t="s">
        <v>38</v>
      </c>
      <c r="C23" s="43" t="s">
        <v>9</v>
      </c>
      <c r="D23" s="19">
        <v>91316</v>
      </c>
      <c r="E23" s="20">
        <v>0</v>
      </c>
      <c r="F23" s="21" t="s">
        <v>10</v>
      </c>
      <c r="G23" s="22" t="s">
        <v>11</v>
      </c>
    </row>
    <row r="24" spans="1:7" ht="29.25" customHeight="1" thickBot="1">
      <c r="A24" s="92"/>
      <c r="B24" s="144"/>
      <c r="C24" s="68" t="s">
        <v>39</v>
      </c>
      <c r="D24" s="69">
        <v>91400</v>
      </c>
      <c r="E24" s="69">
        <v>14</v>
      </c>
      <c r="F24" s="68" t="s">
        <v>35</v>
      </c>
      <c r="G24" s="70"/>
    </row>
    <row r="25" spans="1:7" ht="29.25" customHeight="1">
      <c r="A25" s="91">
        <v>12</v>
      </c>
      <c r="B25" s="145" t="s">
        <v>40</v>
      </c>
      <c r="C25" s="43" t="s">
        <v>9</v>
      </c>
      <c r="D25" s="19">
        <v>91316</v>
      </c>
      <c r="E25" s="20">
        <v>0</v>
      </c>
      <c r="F25" s="21" t="s">
        <v>10</v>
      </c>
      <c r="G25" s="22" t="s">
        <v>11</v>
      </c>
    </row>
    <row r="26" spans="1:7" ht="29.25" customHeight="1" thickBot="1">
      <c r="A26" s="93"/>
      <c r="B26" s="146"/>
      <c r="C26" s="23" t="s">
        <v>41</v>
      </c>
      <c r="D26" s="72">
        <v>91400</v>
      </c>
      <c r="E26" s="72">
        <v>14</v>
      </c>
      <c r="F26" s="23" t="s">
        <v>35</v>
      </c>
      <c r="G26" s="73"/>
    </row>
  </sheetData>
  <mergeCells count="23">
    <mergeCell ref="A13:A14"/>
    <mergeCell ref="B13:B14"/>
    <mergeCell ref="A1:H1"/>
    <mergeCell ref="A8:A9"/>
    <mergeCell ref="B8:B9"/>
    <mergeCell ref="A4:A5"/>
    <mergeCell ref="B4:B5"/>
    <mergeCell ref="A6:A7"/>
    <mergeCell ref="B6:B7"/>
    <mergeCell ref="A10:A11"/>
    <mergeCell ref="B10:B11"/>
    <mergeCell ref="A15:A16"/>
    <mergeCell ref="B15:B16"/>
    <mergeCell ref="A17:A18"/>
    <mergeCell ref="B17:B18"/>
    <mergeCell ref="A19:A20"/>
    <mergeCell ref="B19:B20"/>
    <mergeCell ref="A21:A22"/>
    <mergeCell ref="B21:B22"/>
    <mergeCell ref="A23:A24"/>
    <mergeCell ref="B23:B24"/>
    <mergeCell ref="A25:A26"/>
    <mergeCell ref="B25:B26"/>
  </mergeCells>
  <phoneticPr fontId="1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EF651-D4B4-4489-B720-74C1F9254BF2}">
  <dimension ref="A3:D10"/>
  <sheetViews>
    <sheetView tabSelected="1" workbookViewId="0">
      <selection activeCell="D10" sqref="D10"/>
    </sheetView>
  </sheetViews>
  <sheetFormatPr defaultRowHeight="18.75"/>
  <cols>
    <col min="1" max="1" width="23.5" bestFit="1" customWidth="1"/>
  </cols>
  <sheetData>
    <row r="3" spans="1:4">
      <c r="A3" t="s">
        <v>42</v>
      </c>
      <c r="B3" s="89">
        <v>98</v>
      </c>
      <c r="C3" s="89">
        <v>2280</v>
      </c>
      <c r="D3" s="89">
        <v>98</v>
      </c>
    </row>
    <row r="4" spans="1:4">
      <c r="A4" t="s">
        <v>42</v>
      </c>
      <c r="B4">
        <f>B3</f>
        <v>98</v>
      </c>
      <c r="C4" s="90">
        <f>C3</f>
        <v>2280</v>
      </c>
      <c r="D4">
        <f>D3</f>
        <v>98</v>
      </c>
    </row>
    <row r="5" spans="1:4">
      <c r="A5" t="s">
        <v>43</v>
      </c>
      <c r="B5">
        <f>SUM(B3:B4)</f>
        <v>196</v>
      </c>
      <c r="C5" s="90">
        <f>SUM(C3:C4)</f>
        <v>4560</v>
      </c>
      <c r="D5">
        <f>SUM(D3:D4)</f>
        <v>196</v>
      </c>
    </row>
    <row r="6" spans="1:4">
      <c r="A6" t="s">
        <v>44</v>
      </c>
      <c r="B6" s="89">
        <v>150</v>
      </c>
      <c r="C6" s="89">
        <v>3000</v>
      </c>
      <c r="D6" s="89">
        <v>150</v>
      </c>
    </row>
    <row r="7" spans="1:4">
      <c r="A7" t="s">
        <v>45</v>
      </c>
      <c r="B7">
        <f>B5-B6</f>
        <v>46</v>
      </c>
      <c r="C7" s="90">
        <f>C5-C6</f>
        <v>1560</v>
      </c>
      <c r="D7">
        <f>D5-D6</f>
        <v>46</v>
      </c>
    </row>
    <row r="8" spans="1:4">
      <c r="A8" t="s">
        <v>46</v>
      </c>
      <c r="B8" s="89">
        <v>50</v>
      </c>
      <c r="C8" s="89">
        <v>50</v>
      </c>
      <c r="D8" s="89">
        <v>80</v>
      </c>
    </row>
    <row r="9" spans="1:4">
      <c r="A9" t="s">
        <v>47</v>
      </c>
      <c r="B9">
        <f>B5/100*B8</f>
        <v>98</v>
      </c>
      <c r="C9" s="90">
        <f>C5/100*C8</f>
        <v>2280</v>
      </c>
      <c r="D9">
        <f>D5/100*D8</f>
        <v>156.80000000000001</v>
      </c>
    </row>
    <row r="10" spans="1:4">
      <c r="A10" t="s">
        <v>48</v>
      </c>
      <c r="B10">
        <f>B6-B9</f>
        <v>52</v>
      </c>
      <c r="C10" s="90">
        <f>C6-C9</f>
        <v>720</v>
      </c>
      <c r="D10">
        <f>D6-D9</f>
        <v>-6.8000000000000114</v>
      </c>
    </row>
  </sheetData>
  <phoneticPr fontId="1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EC9BF-576C-4B8C-A640-4EA6F887C921}">
  <dimension ref="A1:V301"/>
  <sheetViews>
    <sheetView topLeftCell="D155" zoomScale="10" zoomScaleNormal="10" workbookViewId="0">
      <selection activeCell="H172" sqref="H172:H175"/>
    </sheetView>
  </sheetViews>
  <sheetFormatPr defaultRowHeight="18.75"/>
  <cols>
    <col min="1" max="1" width="3.625" customWidth="1"/>
    <col min="2" max="3" width="3.75" customWidth="1"/>
    <col min="4" max="4" width="13.875" bestFit="1" customWidth="1"/>
    <col min="5" max="5" width="67.125" bestFit="1" customWidth="1"/>
    <col min="6" max="6" width="3.875" customWidth="1"/>
    <col min="7" max="7" width="8.5" bestFit="1" customWidth="1"/>
    <col min="8" max="8" width="31.625" bestFit="1" customWidth="1"/>
    <col min="9" max="9" width="36.125" bestFit="1" customWidth="1"/>
    <col min="10" max="10" width="3.5" customWidth="1"/>
    <col min="11" max="11" width="8.5" bestFit="1" customWidth="1"/>
    <col min="12" max="12" width="31.625" bestFit="1" customWidth="1"/>
    <col min="13" max="13" width="36.125" bestFit="1" customWidth="1"/>
    <col min="15" max="15" width="8.5" bestFit="1" customWidth="1"/>
    <col min="16" max="16" width="42.75" bestFit="1" customWidth="1"/>
    <col min="17" max="17" width="31.625" bestFit="1" customWidth="1"/>
    <col min="19" max="19" width="8.5" bestFit="1" customWidth="1"/>
    <col min="20" max="20" width="42.75" bestFit="1" customWidth="1"/>
    <col min="21" max="21" width="32.75" bestFit="1" customWidth="1"/>
  </cols>
  <sheetData>
    <row r="1" spans="1:22">
      <c r="A1" t="s">
        <v>49</v>
      </c>
    </row>
    <row r="2" spans="1:22" ht="19.5" thickBot="1"/>
    <row r="3" spans="1:22" s="3" customFormat="1" ht="13.5">
      <c r="D3" s="48" t="s">
        <v>50</v>
      </c>
      <c r="E3" s="49"/>
      <c r="F3" s="49"/>
      <c r="G3" s="49"/>
      <c r="H3" s="49"/>
      <c r="I3" s="49"/>
      <c r="J3" s="50"/>
      <c r="K3" s="50"/>
      <c r="L3" s="50"/>
      <c r="M3" s="50"/>
      <c r="N3" s="50"/>
      <c r="O3" s="50"/>
      <c r="P3" s="50"/>
      <c r="Q3" s="50"/>
      <c r="R3" s="50"/>
      <c r="S3" s="50"/>
      <c r="T3" s="50"/>
      <c r="U3" s="50"/>
      <c r="V3" s="51"/>
    </row>
    <row r="4" spans="1:22" s="3" customFormat="1" ht="13.5">
      <c r="D4" s="52">
        <v>1</v>
      </c>
      <c r="E4" s="33" t="s">
        <v>8</v>
      </c>
      <c r="F4" s="33"/>
      <c r="G4" s="33"/>
      <c r="H4" s="5"/>
      <c r="I4" s="5"/>
      <c r="V4" s="53"/>
    </row>
    <row r="5" spans="1:22" s="3" customFormat="1" ht="13.5">
      <c r="D5" s="52"/>
      <c r="E5" s="33"/>
      <c r="F5" s="33"/>
      <c r="G5" s="33"/>
      <c r="H5" s="5"/>
      <c r="I5" s="5"/>
      <c r="V5" s="53"/>
    </row>
    <row r="6" spans="1:22" s="5" customFormat="1" ht="13.5">
      <c r="D6" s="52"/>
      <c r="E6" s="5" t="s">
        <v>51</v>
      </c>
      <c r="H6" s="5" t="str">
        <f>"2個"&amp;H9&amp;"円にミックスマッチ設定"</f>
        <v>2個500円にミックスマッチ設定</v>
      </c>
      <c r="I6" s="5" t="str">
        <f>I8&amp;"円の値引シール【1:値引】"</f>
        <v>50円の値引シール【1:値引】</v>
      </c>
      <c r="L6" s="5" t="str">
        <f>"2個"&amp;L9&amp;"円にミックスマッチ設定"</f>
        <v>2個600円にミックスマッチ設定</v>
      </c>
      <c r="M6" s="5" t="str">
        <f>M8&amp;"円の値引シール【1:値引】"</f>
        <v>50円の値引シール【1:値引】</v>
      </c>
      <c r="P6" s="5" t="str">
        <f>"2個"&amp;P9&amp;"円にミックスマッチ設定"</f>
        <v>2個700円にミックスマッチ設定</v>
      </c>
      <c r="Q6" s="5" t="str">
        <f>Q8&amp;"円の値引シール【1:値引】"</f>
        <v>50円の値引シール【1:値引】</v>
      </c>
      <c r="V6" s="54"/>
    </row>
    <row r="7" spans="1:22" s="3" customFormat="1" ht="13.5">
      <c r="D7" s="52"/>
      <c r="E7" s="33"/>
      <c r="G7" s="33"/>
      <c r="H7" s="5"/>
      <c r="I7" s="5"/>
      <c r="K7" s="33"/>
      <c r="L7" s="5"/>
      <c r="M7" s="5"/>
      <c r="O7" s="5"/>
      <c r="P7" s="5"/>
      <c r="Q7" s="5"/>
      <c r="R7" s="5"/>
      <c r="S7" s="5"/>
      <c r="T7" s="5"/>
      <c r="U7" s="5"/>
      <c r="V7" s="53"/>
    </row>
    <row r="8" spans="1:22" s="3" customFormat="1" ht="13.5">
      <c r="D8" s="52"/>
      <c r="E8" s="8" t="s">
        <v>52</v>
      </c>
      <c r="F8" s="5"/>
      <c r="G8" s="5"/>
      <c r="H8" s="5">
        <v>250</v>
      </c>
      <c r="I8" s="5">
        <v>50</v>
      </c>
      <c r="K8" s="5"/>
      <c r="L8" s="5">
        <v>300</v>
      </c>
      <c r="M8" s="5">
        <v>50</v>
      </c>
      <c r="O8" s="5"/>
      <c r="P8" s="5">
        <v>350</v>
      </c>
      <c r="Q8" s="5">
        <v>50</v>
      </c>
      <c r="R8" s="5"/>
      <c r="S8" s="5"/>
      <c r="T8" s="5"/>
      <c r="U8" s="5"/>
      <c r="V8" s="53"/>
    </row>
    <row r="9" spans="1:22" s="3" customFormat="1" ht="13.5">
      <c r="D9" s="52"/>
      <c r="E9" s="8" t="s">
        <v>53</v>
      </c>
      <c r="F9" s="5"/>
      <c r="G9" s="5"/>
      <c r="H9" s="5">
        <v>500</v>
      </c>
      <c r="I9" s="5">
        <v>100</v>
      </c>
      <c r="K9" s="5"/>
      <c r="L9" s="5">
        <v>600</v>
      </c>
      <c r="M9" s="5">
        <v>100</v>
      </c>
      <c r="O9" s="5"/>
      <c r="P9" s="5">
        <v>700</v>
      </c>
      <c r="Q9" s="5">
        <v>100</v>
      </c>
      <c r="R9" s="5"/>
      <c r="S9" s="5"/>
      <c r="T9" s="5"/>
      <c r="U9" s="5"/>
      <c r="V9" s="53"/>
    </row>
    <row r="10" spans="1:22" s="3" customFormat="1" ht="13.5" customHeight="1">
      <c r="D10" s="52"/>
      <c r="E10" s="5"/>
      <c r="F10" s="5"/>
      <c r="G10" s="5"/>
      <c r="H10" s="5"/>
      <c r="K10" s="5"/>
      <c r="L10" s="5"/>
      <c r="O10" s="5"/>
      <c r="P10" s="5"/>
      <c r="R10" s="5"/>
      <c r="S10" s="5"/>
      <c r="T10" s="5"/>
      <c r="U10" s="5"/>
      <c r="V10" s="53"/>
    </row>
    <row r="11" spans="1:22" s="3" customFormat="1" ht="13.5" customHeight="1">
      <c r="D11" s="52"/>
      <c r="E11" s="5"/>
      <c r="F11" s="5"/>
      <c r="G11" s="5"/>
      <c r="K11" s="5"/>
      <c r="O11" s="5"/>
      <c r="P11" s="117" t="s">
        <v>54</v>
      </c>
      <c r="R11" s="5"/>
      <c r="S11" s="5"/>
      <c r="T11" s="5"/>
      <c r="U11" s="5"/>
      <c r="V11" s="53"/>
    </row>
    <row r="12" spans="1:22" s="3" customFormat="1" ht="13.5" customHeight="1">
      <c r="D12" s="52"/>
      <c r="E12" s="5"/>
      <c r="F12" s="5"/>
      <c r="G12" s="118" t="s">
        <v>55</v>
      </c>
      <c r="H12" s="55" t="s">
        <v>56</v>
      </c>
      <c r="K12" s="118" t="s">
        <v>55</v>
      </c>
      <c r="L12" s="117" t="s">
        <v>54</v>
      </c>
      <c r="M12" s="55" t="s">
        <v>56</v>
      </c>
      <c r="O12" s="118" t="s">
        <v>55</v>
      </c>
      <c r="P12" s="125"/>
      <c r="Q12" s="55" t="s">
        <v>56</v>
      </c>
      <c r="R12" s="5"/>
      <c r="S12" s="5"/>
      <c r="T12" s="5"/>
      <c r="U12" s="5"/>
      <c r="V12" s="53"/>
    </row>
    <row r="13" spans="1:22" s="3" customFormat="1" ht="13.5" customHeight="1">
      <c r="D13" s="52"/>
      <c r="E13" s="5"/>
      <c r="F13" s="5"/>
      <c r="G13" s="119"/>
      <c r="H13" s="130" t="s">
        <v>57</v>
      </c>
      <c r="I13" s="55" t="s">
        <v>56</v>
      </c>
      <c r="K13" s="119"/>
      <c r="L13" s="125"/>
      <c r="M13" s="124" t="s">
        <v>58</v>
      </c>
      <c r="O13" s="119"/>
      <c r="P13" s="125"/>
      <c r="Q13" s="124" t="s">
        <v>58</v>
      </c>
      <c r="R13" s="5"/>
      <c r="S13" s="5"/>
      <c r="T13" s="5"/>
      <c r="U13" s="5"/>
      <c r="V13" s="53"/>
    </row>
    <row r="14" spans="1:22" s="3" customFormat="1" ht="13.5" customHeight="1">
      <c r="D14" s="52"/>
      <c r="E14" s="5"/>
      <c r="F14" s="5"/>
      <c r="G14" s="119"/>
      <c r="H14" s="131"/>
      <c r="I14" s="124" t="s">
        <v>59</v>
      </c>
      <c r="K14" s="119"/>
      <c r="L14" s="125"/>
      <c r="M14" s="147"/>
      <c r="O14" s="119"/>
      <c r="P14" s="125"/>
      <c r="Q14" s="147"/>
      <c r="R14" s="5"/>
      <c r="S14" s="5"/>
      <c r="T14" s="5"/>
      <c r="U14" s="5"/>
      <c r="V14" s="53"/>
    </row>
    <row r="15" spans="1:22" s="3" customFormat="1" ht="13.5" customHeight="1">
      <c r="D15" s="52"/>
      <c r="E15" s="5"/>
      <c r="F15" s="5"/>
      <c r="G15" s="119"/>
      <c r="H15" s="131"/>
      <c r="I15" s="147"/>
      <c r="K15" s="119"/>
      <c r="L15" s="125"/>
      <c r="M15" s="147"/>
      <c r="O15" s="119"/>
      <c r="P15" s="125"/>
      <c r="Q15" s="147"/>
      <c r="R15" s="5"/>
      <c r="S15" s="5"/>
      <c r="T15" s="5"/>
      <c r="U15" s="5"/>
      <c r="V15" s="53"/>
    </row>
    <row r="16" spans="1:22" s="3" customFormat="1" ht="13.5" customHeight="1">
      <c r="D16" s="52"/>
      <c r="E16" s="5"/>
      <c r="F16" s="5"/>
      <c r="G16" s="119"/>
      <c r="H16" s="131"/>
      <c r="I16" s="147"/>
      <c r="K16" s="119"/>
      <c r="L16" s="125"/>
      <c r="M16" s="147"/>
      <c r="O16" s="119"/>
      <c r="P16" s="125"/>
      <c r="Q16" s="147"/>
      <c r="R16" s="5"/>
      <c r="S16" s="5"/>
      <c r="T16" s="5"/>
      <c r="U16" s="5"/>
      <c r="V16" s="53"/>
    </row>
    <row r="17" spans="4:22" s="3" customFormat="1" ht="13.5" customHeight="1">
      <c r="D17" s="52"/>
      <c r="E17" s="5"/>
      <c r="F17" s="5"/>
      <c r="G17" s="120"/>
      <c r="H17" s="129"/>
      <c r="I17" s="148"/>
      <c r="K17" s="120"/>
      <c r="L17" s="126"/>
      <c r="M17" s="148"/>
      <c r="O17" s="120"/>
      <c r="P17" s="126"/>
      <c r="Q17" s="148"/>
      <c r="R17" s="5"/>
      <c r="S17" s="5"/>
      <c r="T17" s="5"/>
      <c r="U17" s="5"/>
      <c r="V17" s="53"/>
    </row>
    <row r="18" spans="4:22" s="3" customFormat="1" ht="13.5">
      <c r="D18" s="52"/>
      <c r="E18" s="56" t="s">
        <v>60</v>
      </c>
      <c r="F18" s="56"/>
      <c r="G18" s="56"/>
      <c r="H18" s="45">
        <v>100</v>
      </c>
      <c r="I18" s="45">
        <v>100</v>
      </c>
      <c r="K18" s="56"/>
      <c r="L18" s="45"/>
      <c r="M18" s="45">
        <v>100</v>
      </c>
      <c r="O18" s="56"/>
      <c r="P18" s="45"/>
      <c r="Q18" s="45">
        <v>100</v>
      </c>
      <c r="R18" s="5"/>
      <c r="S18" s="5"/>
      <c r="T18" s="5"/>
      <c r="U18" s="5"/>
      <c r="V18" s="53"/>
    </row>
    <row r="19" spans="4:22" s="3" customFormat="1" ht="13.5">
      <c r="D19" s="52"/>
      <c r="E19" s="56" t="s">
        <v>48</v>
      </c>
      <c r="F19" s="56"/>
      <c r="G19" s="56"/>
      <c r="H19" s="109">
        <v>400</v>
      </c>
      <c r="I19" s="109"/>
      <c r="K19" s="56"/>
      <c r="L19" s="109">
        <v>500</v>
      </c>
      <c r="M19" s="109"/>
      <c r="O19" s="56"/>
      <c r="P19" s="109">
        <v>600</v>
      </c>
      <c r="Q19" s="109"/>
      <c r="R19" s="5"/>
      <c r="S19" s="5"/>
      <c r="T19" s="5"/>
      <c r="U19" s="5"/>
      <c r="V19" s="53"/>
    </row>
    <row r="20" spans="4:22" s="3" customFormat="1" ht="13.5">
      <c r="D20" s="52"/>
      <c r="E20" s="56"/>
      <c r="F20" s="56"/>
      <c r="G20" s="56"/>
      <c r="H20" s="5"/>
      <c r="K20" s="56"/>
      <c r="L20" s="5"/>
      <c r="O20" s="56"/>
      <c r="P20" s="5"/>
      <c r="R20" s="5"/>
      <c r="S20" s="5"/>
      <c r="T20" s="5"/>
      <c r="U20" s="5"/>
      <c r="V20" s="53"/>
    </row>
    <row r="21" spans="4:22" s="3" customFormat="1" ht="13.5">
      <c r="D21" s="52"/>
      <c r="E21" s="56" t="s">
        <v>61</v>
      </c>
      <c r="F21" s="56"/>
      <c r="G21" s="56"/>
      <c r="H21" s="5"/>
      <c r="I21" s="5"/>
      <c r="K21" s="56"/>
      <c r="L21" s="5"/>
      <c r="M21" s="5"/>
      <c r="O21" s="56"/>
      <c r="P21" s="5"/>
      <c r="Q21" s="5"/>
      <c r="R21" s="5"/>
      <c r="S21" s="5"/>
      <c r="T21" s="5"/>
      <c r="U21" s="5"/>
      <c r="V21" s="53"/>
    </row>
    <row r="22" spans="4:22" s="3" customFormat="1" ht="13.5" customHeight="1">
      <c r="D22" s="52"/>
      <c r="E22" s="58" t="s">
        <v>62</v>
      </c>
      <c r="F22" s="58"/>
      <c r="G22" s="56"/>
      <c r="H22" s="5">
        <v>91316</v>
      </c>
      <c r="I22" s="5">
        <v>91220</v>
      </c>
      <c r="K22" s="56"/>
      <c r="L22" s="110" t="s">
        <v>63</v>
      </c>
      <c r="M22" s="5">
        <v>91220</v>
      </c>
      <c r="O22" s="56"/>
      <c r="P22" s="110" t="s">
        <v>63</v>
      </c>
      <c r="Q22" s="5">
        <v>91220</v>
      </c>
      <c r="R22" s="5"/>
      <c r="S22" s="5"/>
      <c r="T22" s="5"/>
      <c r="U22" s="5"/>
      <c r="V22" s="53"/>
    </row>
    <row r="23" spans="4:22" s="3" customFormat="1" ht="13.5" customHeight="1">
      <c r="D23" s="52"/>
      <c r="E23" s="58" t="s">
        <v>64</v>
      </c>
      <c r="F23" s="58"/>
      <c r="G23" s="56"/>
      <c r="H23" s="5">
        <v>0</v>
      </c>
      <c r="I23" s="5">
        <v>1</v>
      </c>
      <c r="K23" s="56"/>
      <c r="L23" s="111"/>
      <c r="M23" s="5">
        <v>1</v>
      </c>
      <c r="O23" s="56"/>
      <c r="P23" s="111"/>
      <c r="Q23" s="5">
        <v>1</v>
      </c>
      <c r="R23" s="5"/>
      <c r="S23" s="5"/>
      <c r="T23" s="5"/>
      <c r="U23" s="5"/>
      <c r="V23" s="53"/>
    </row>
    <row r="24" spans="4:22" s="3" customFormat="1" ht="13.5">
      <c r="D24" s="52"/>
      <c r="E24" s="58" t="s">
        <v>65</v>
      </c>
      <c r="F24" s="58"/>
      <c r="G24" s="56"/>
      <c r="H24" s="56" t="s">
        <v>66</v>
      </c>
      <c r="I24" s="56" t="s">
        <v>13</v>
      </c>
      <c r="K24" s="56"/>
      <c r="L24" s="111"/>
      <c r="M24" s="56" t="s">
        <v>67</v>
      </c>
      <c r="O24" s="56"/>
      <c r="P24" s="111"/>
      <c r="Q24" s="56" t="s">
        <v>67</v>
      </c>
      <c r="R24" s="5"/>
      <c r="S24" s="5"/>
      <c r="T24" s="5"/>
      <c r="U24" s="5"/>
      <c r="V24" s="53"/>
    </row>
    <row r="25" spans="4:22" s="3" customFormat="1" ht="27">
      <c r="D25" s="52"/>
      <c r="E25" s="56" t="s">
        <v>60</v>
      </c>
      <c r="F25" s="56"/>
      <c r="G25" s="56"/>
      <c r="H25" s="56" t="s">
        <v>68</v>
      </c>
      <c r="I25" s="56" t="s">
        <v>69</v>
      </c>
      <c r="K25" s="56"/>
      <c r="L25" s="112"/>
      <c r="M25" s="56" t="s">
        <v>69</v>
      </c>
      <c r="O25" s="56"/>
      <c r="P25" s="112"/>
      <c r="Q25" s="56" t="s">
        <v>69</v>
      </c>
      <c r="R25" s="5"/>
      <c r="S25" s="5"/>
      <c r="T25" s="5"/>
      <c r="U25" s="5"/>
      <c r="V25" s="53"/>
    </row>
    <row r="26" spans="4:22" s="3" customFormat="1" ht="14.25" thickBot="1">
      <c r="D26" s="59"/>
      <c r="E26" s="60"/>
      <c r="F26" s="60"/>
      <c r="G26" s="60"/>
      <c r="H26" s="60"/>
      <c r="I26" s="61"/>
      <c r="J26" s="62"/>
      <c r="K26" s="62"/>
      <c r="L26" s="62"/>
      <c r="M26" s="62"/>
      <c r="N26" s="62"/>
      <c r="O26" s="62"/>
      <c r="P26" s="62"/>
      <c r="Q26" s="62"/>
      <c r="R26" s="62"/>
      <c r="S26" s="62"/>
      <c r="T26" s="62"/>
      <c r="U26" s="62"/>
      <c r="V26" s="63"/>
    </row>
    <row r="27" spans="4:22" s="3" customFormat="1" ht="13.5">
      <c r="D27" s="48" t="s">
        <v>50</v>
      </c>
      <c r="E27" s="49"/>
      <c r="F27" s="49"/>
      <c r="G27" s="49"/>
      <c r="H27" s="49"/>
      <c r="I27" s="49"/>
      <c r="J27" s="50"/>
      <c r="K27" s="50"/>
      <c r="L27" s="50"/>
      <c r="M27" s="50"/>
      <c r="N27" s="50"/>
      <c r="O27" s="50"/>
      <c r="P27" s="50"/>
      <c r="Q27" s="50"/>
      <c r="R27" s="50"/>
      <c r="S27" s="50"/>
      <c r="T27" s="50"/>
      <c r="U27" s="50"/>
      <c r="V27" s="51"/>
    </row>
    <row r="28" spans="4:22" s="3" customFormat="1" ht="13.5">
      <c r="D28" s="52">
        <v>2</v>
      </c>
      <c r="E28" s="33" t="s">
        <v>14</v>
      </c>
      <c r="F28" s="33"/>
      <c r="G28" s="33"/>
      <c r="H28" s="5"/>
      <c r="I28" s="5"/>
      <c r="V28" s="53"/>
    </row>
    <row r="29" spans="4:22" s="3" customFormat="1" ht="13.5">
      <c r="D29" s="52"/>
      <c r="E29" s="33"/>
      <c r="F29" s="33"/>
      <c r="G29" s="33"/>
      <c r="H29" s="5"/>
      <c r="I29" s="5"/>
      <c r="V29" s="53"/>
    </row>
    <row r="30" spans="4:22" s="5" customFormat="1" ht="13.5">
      <c r="D30" s="52"/>
      <c r="E30" s="5" t="s">
        <v>51</v>
      </c>
      <c r="H30" s="5" t="str">
        <f>"2個"&amp;H33&amp;"円にミックスマッチ設定"</f>
        <v>2個500円にミックスマッチ設定</v>
      </c>
      <c r="I30" s="5" t="str">
        <f>I32&amp;"%の値引シール【2:割引】"</f>
        <v>10%の値引シール【2:割引】</v>
      </c>
      <c r="L30" s="5" t="str">
        <f>"2個"&amp;L33&amp;"円にミックスマッチ設定"</f>
        <v>2個600円にミックスマッチ設定</v>
      </c>
      <c r="M30" s="5" t="str">
        <f>M32&amp;"%の値引シール【2:割引】"</f>
        <v>10%の値引シール【2:割引】</v>
      </c>
      <c r="P30" s="5" t="str">
        <f>"2個"&amp;P33&amp;"円にミックスマッチ設定"</f>
        <v>2個500円にミックスマッチ設定</v>
      </c>
      <c r="Q30" s="5" t="str">
        <f>Q32&amp;"%の値引シール【2:割引】"</f>
        <v>10%の値引シール【2:割引】</v>
      </c>
      <c r="V30" s="54"/>
    </row>
    <row r="31" spans="4:22" s="3" customFormat="1" ht="13.5">
      <c r="D31" s="52"/>
      <c r="E31" s="33"/>
      <c r="G31" s="33"/>
      <c r="H31" s="5"/>
      <c r="I31" s="5"/>
      <c r="K31" s="33"/>
      <c r="L31" s="5"/>
      <c r="M31" s="5"/>
      <c r="O31" s="5"/>
      <c r="P31" s="5"/>
      <c r="Q31" s="5"/>
      <c r="R31" s="5"/>
      <c r="S31" s="5"/>
      <c r="T31" s="5"/>
      <c r="U31" s="5"/>
      <c r="V31" s="53"/>
    </row>
    <row r="32" spans="4:22" s="3" customFormat="1" ht="13.5">
      <c r="D32" s="52"/>
      <c r="E32" s="8" t="s">
        <v>70</v>
      </c>
      <c r="F32" s="5"/>
      <c r="G32" s="5"/>
      <c r="H32" s="5">
        <v>250</v>
      </c>
      <c r="I32" s="5">
        <v>10</v>
      </c>
      <c r="K32" s="5"/>
      <c r="L32" s="5">
        <v>300</v>
      </c>
      <c r="M32" s="5">
        <v>10</v>
      </c>
      <c r="O32" s="5"/>
      <c r="P32" s="5">
        <v>250</v>
      </c>
      <c r="Q32" s="5">
        <v>10</v>
      </c>
      <c r="R32" s="5"/>
      <c r="S32" s="5"/>
      <c r="T32" s="5"/>
      <c r="U32" s="5"/>
      <c r="V32" s="53"/>
    </row>
    <row r="33" spans="4:22" s="3" customFormat="1" ht="13.5">
      <c r="D33" s="52"/>
      <c r="E33" s="8" t="s">
        <v>71</v>
      </c>
      <c r="F33" s="5"/>
      <c r="G33" s="5"/>
      <c r="H33" s="5">
        <v>500</v>
      </c>
      <c r="I33" s="5">
        <v>10</v>
      </c>
      <c r="K33" s="5"/>
      <c r="L33" s="5">
        <v>600</v>
      </c>
      <c r="M33" s="5">
        <v>10</v>
      </c>
      <c r="O33" s="5"/>
      <c r="P33" s="5">
        <v>500</v>
      </c>
      <c r="Q33" s="5">
        <v>10</v>
      </c>
      <c r="R33" s="5"/>
      <c r="S33" s="5"/>
      <c r="T33" s="5"/>
      <c r="U33" s="5"/>
      <c r="V33" s="53"/>
    </row>
    <row r="34" spans="4:22" s="3" customFormat="1" ht="13.5" customHeight="1">
      <c r="D34" s="52"/>
      <c r="E34" s="5"/>
      <c r="F34" s="5"/>
      <c r="G34" s="5"/>
      <c r="H34" s="5"/>
      <c r="K34" s="5"/>
      <c r="L34" s="5"/>
      <c r="O34" s="5"/>
      <c r="P34" s="5"/>
      <c r="R34" s="5"/>
      <c r="S34" s="5"/>
      <c r="T34" s="5"/>
      <c r="U34" s="5"/>
      <c r="V34" s="53"/>
    </row>
    <row r="35" spans="4:22" s="3" customFormat="1" ht="13.5" customHeight="1">
      <c r="D35" s="52"/>
      <c r="E35" s="5"/>
      <c r="F35" s="5"/>
      <c r="G35" s="5"/>
      <c r="K35" s="5"/>
      <c r="O35" s="5"/>
      <c r="P35" s="117" t="s">
        <v>54</v>
      </c>
      <c r="R35" s="5"/>
      <c r="S35" s="5"/>
      <c r="T35" s="5"/>
      <c r="U35" s="5"/>
      <c r="V35" s="53"/>
    </row>
    <row r="36" spans="4:22" s="3" customFormat="1" ht="13.5" customHeight="1">
      <c r="D36" s="52"/>
      <c r="E36" s="5"/>
      <c r="F36" s="5"/>
      <c r="G36" s="118" t="s">
        <v>55</v>
      </c>
      <c r="H36" s="55" t="s">
        <v>56</v>
      </c>
      <c r="K36" s="118" t="s">
        <v>55</v>
      </c>
      <c r="L36" s="117" t="s">
        <v>54</v>
      </c>
      <c r="M36" s="55" t="s">
        <v>72</v>
      </c>
      <c r="O36" s="118" t="s">
        <v>55</v>
      </c>
      <c r="P36" s="125"/>
      <c r="Q36" s="55" t="s">
        <v>72</v>
      </c>
      <c r="R36" s="5"/>
      <c r="S36" s="5"/>
      <c r="T36" s="5"/>
      <c r="U36" s="5"/>
      <c r="V36" s="53"/>
    </row>
    <row r="37" spans="4:22" s="3" customFormat="1" ht="13.5" customHeight="1">
      <c r="D37" s="52"/>
      <c r="E37" s="5"/>
      <c r="F37" s="5"/>
      <c r="G37" s="119"/>
      <c r="H37" s="130" t="s">
        <v>57</v>
      </c>
      <c r="I37" s="55" t="s">
        <v>72</v>
      </c>
      <c r="K37" s="119"/>
      <c r="L37" s="125"/>
      <c r="M37" s="124" t="s">
        <v>73</v>
      </c>
      <c r="O37" s="119"/>
      <c r="P37" s="125"/>
      <c r="Q37" s="124" t="s">
        <v>73</v>
      </c>
      <c r="R37" s="5"/>
      <c r="S37" s="5"/>
      <c r="T37" s="5"/>
      <c r="U37" s="5"/>
      <c r="V37" s="53"/>
    </row>
    <row r="38" spans="4:22" s="3" customFormat="1" ht="13.5" customHeight="1">
      <c r="D38" s="52"/>
      <c r="E38" s="5"/>
      <c r="F38" s="5"/>
      <c r="G38" s="119"/>
      <c r="H38" s="131"/>
      <c r="I38" s="124" t="s">
        <v>74</v>
      </c>
      <c r="K38" s="119"/>
      <c r="L38" s="125"/>
      <c r="M38" s="147"/>
      <c r="O38" s="119"/>
      <c r="P38" s="125"/>
      <c r="Q38" s="147"/>
      <c r="R38" s="5"/>
      <c r="S38" s="5"/>
      <c r="T38" s="5"/>
      <c r="U38" s="5"/>
      <c r="V38" s="53"/>
    </row>
    <row r="39" spans="4:22" s="3" customFormat="1" ht="13.5" customHeight="1">
      <c r="D39" s="52"/>
      <c r="E39" s="5"/>
      <c r="F39" s="5"/>
      <c r="G39" s="119"/>
      <c r="H39" s="131"/>
      <c r="I39" s="147"/>
      <c r="K39" s="119"/>
      <c r="L39" s="125"/>
      <c r="M39" s="147"/>
      <c r="O39" s="119"/>
      <c r="P39" s="125"/>
      <c r="Q39" s="147"/>
      <c r="R39" s="5"/>
      <c r="S39" s="5"/>
      <c r="T39" s="5"/>
      <c r="U39" s="5"/>
      <c r="V39" s="53"/>
    </row>
    <row r="40" spans="4:22" s="3" customFormat="1" ht="13.5" customHeight="1">
      <c r="D40" s="52"/>
      <c r="E40" s="5"/>
      <c r="F40" s="5"/>
      <c r="G40" s="119"/>
      <c r="H40" s="131"/>
      <c r="I40" s="147"/>
      <c r="K40" s="119"/>
      <c r="L40" s="125"/>
      <c r="M40" s="147"/>
      <c r="O40" s="119"/>
      <c r="P40" s="125"/>
      <c r="Q40" s="147"/>
      <c r="R40" s="5"/>
      <c r="S40" s="5"/>
      <c r="T40" s="5"/>
      <c r="U40" s="5"/>
      <c r="V40" s="53"/>
    </row>
    <row r="41" spans="4:22" s="3" customFormat="1" ht="13.5" customHeight="1">
      <c r="D41" s="52"/>
      <c r="E41" s="5"/>
      <c r="F41" s="5"/>
      <c r="G41" s="120"/>
      <c r="H41" s="129"/>
      <c r="I41" s="148"/>
      <c r="K41" s="120"/>
      <c r="L41" s="126"/>
      <c r="M41" s="148"/>
      <c r="O41" s="120"/>
      <c r="P41" s="126"/>
      <c r="Q41" s="148"/>
      <c r="R41" s="5"/>
      <c r="S41" s="5"/>
      <c r="T41" s="5"/>
      <c r="U41" s="5"/>
      <c r="V41" s="53"/>
    </row>
    <row r="42" spans="4:22" s="3" customFormat="1" ht="13.5">
      <c r="D42" s="52"/>
      <c r="E42" s="56" t="s">
        <v>60</v>
      </c>
      <c r="F42" s="56"/>
      <c r="G42" s="56"/>
      <c r="H42" s="45">
        <v>100</v>
      </c>
      <c r="I42" s="45">
        <v>100</v>
      </c>
      <c r="K42" s="56"/>
      <c r="L42" s="45"/>
      <c r="M42" s="45">
        <v>60</v>
      </c>
      <c r="O42" s="56"/>
      <c r="P42" s="45"/>
      <c r="Q42" s="45">
        <v>60</v>
      </c>
      <c r="R42" s="5"/>
      <c r="S42" s="5"/>
      <c r="T42" s="5"/>
      <c r="U42" s="5"/>
      <c r="V42" s="53"/>
    </row>
    <row r="43" spans="4:22" s="3" customFormat="1" ht="13.5">
      <c r="D43" s="52"/>
      <c r="E43" s="56" t="s">
        <v>48</v>
      </c>
      <c r="F43" s="56"/>
      <c r="G43" s="56"/>
      <c r="H43" s="109">
        <v>440</v>
      </c>
      <c r="I43" s="109"/>
      <c r="K43" s="56"/>
      <c r="L43" s="109">
        <v>540</v>
      </c>
      <c r="M43" s="109"/>
      <c r="O43" s="56"/>
      <c r="P43" s="109">
        <v>540</v>
      </c>
      <c r="Q43" s="109"/>
      <c r="R43" s="5"/>
      <c r="S43" s="5"/>
      <c r="T43" s="5"/>
      <c r="U43" s="5"/>
      <c r="V43" s="53"/>
    </row>
    <row r="44" spans="4:22" s="3" customFormat="1" ht="13.5">
      <c r="D44" s="52"/>
      <c r="E44" s="56"/>
      <c r="F44" s="56"/>
      <c r="G44" s="56"/>
      <c r="H44" s="5"/>
      <c r="K44" s="56"/>
      <c r="L44" s="5"/>
      <c r="O44" s="56"/>
      <c r="P44" s="5"/>
      <c r="R44" s="5"/>
      <c r="S44" s="5"/>
      <c r="T44" s="5"/>
      <c r="U44" s="5"/>
      <c r="V44" s="53"/>
    </row>
    <row r="45" spans="4:22" s="3" customFormat="1" ht="13.5">
      <c r="D45" s="52"/>
      <c r="E45" s="56" t="s">
        <v>61</v>
      </c>
      <c r="F45" s="56"/>
      <c r="G45" s="56"/>
      <c r="H45" s="5"/>
      <c r="I45" s="5"/>
      <c r="K45" s="56"/>
      <c r="L45" s="5"/>
      <c r="M45" s="5"/>
      <c r="O45" s="56"/>
      <c r="P45" s="5"/>
      <c r="Q45" s="5"/>
      <c r="R45" s="5"/>
      <c r="S45" s="5"/>
      <c r="T45" s="5"/>
      <c r="U45" s="5"/>
      <c r="V45" s="53"/>
    </row>
    <row r="46" spans="4:22" s="3" customFormat="1" ht="13.5" customHeight="1">
      <c r="D46" s="52"/>
      <c r="E46" s="58" t="s">
        <v>62</v>
      </c>
      <c r="F46" s="58"/>
      <c r="G46" s="56"/>
      <c r="H46" s="5">
        <v>91316</v>
      </c>
      <c r="I46" s="5">
        <v>91220</v>
      </c>
      <c r="K46" s="56"/>
      <c r="L46" s="110" t="s">
        <v>63</v>
      </c>
      <c r="M46" s="5">
        <v>91220</v>
      </c>
      <c r="O46" s="56"/>
      <c r="P46" s="110" t="s">
        <v>63</v>
      </c>
      <c r="Q46" s="5">
        <v>91220</v>
      </c>
      <c r="R46" s="5"/>
      <c r="S46" s="5"/>
      <c r="T46" s="5"/>
      <c r="U46" s="5"/>
      <c r="V46" s="53"/>
    </row>
    <row r="47" spans="4:22" s="3" customFormat="1" ht="13.5" customHeight="1">
      <c r="D47" s="52"/>
      <c r="E47" s="58" t="s">
        <v>64</v>
      </c>
      <c r="F47" s="58"/>
      <c r="G47" s="56"/>
      <c r="H47" s="5">
        <v>0</v>
      </c>
      <c r="I47" s="5">
        <v>2</v>
      </c>
      <c r="K47" s="56"/>
      <c r="L47" s="111"/>
      <c r="M47" s="5">
        <v>2</v>
      </c>
      <c r="O47" s="56"/>
      <c r="P47" s="111"/>
      <c r="Q47" s="5">
        <v>2</v>
      </c>
      <c r="R47" s="5"/>
      <c r="S47" s="5"/>
      <c r="T47" s="5"/>
      <c r="U47" s="5"/>
      <c r="V47" s="53"/>
    </row>
    <row r="48" spans="4:22" s="3" customFormat="1" ht="13.5">
      <c r="D48" s="52"/>
      <c r="E48" s="58" t="s">
        <v>65</v>
      </c>
      <c r="F48" s="58"/>
      <c r="G48" s="56"/>
      <c r="H48" s="56" t="s">
        <v>66</v>
      </c>
      <c r="I48" s="56" t="s">
        <v>75</v>
      </c>
      <c r="K48" s="56"/>
      <c r="L48" s="111"/>
      <c r="M48" s="56" t="s">
        <v>75</v>
      </c>
      <c r="O48" s="56"/>
      <c r="P48" s="111"/>
      <c r="Q48" s="56" t="s">
        <v>75</v>
      </c>
      <c r="R48" s="5"/>
      <c r="S48" s="5"/>
      <c r="T48" s="5"/>
      <c r="U48" s="5"/>
      <c r="V48" s="53"/>
    </row>
    <row r="49" spans="4:22" s="3" customFormat="1" ht="27">
      <c r="D49" s="52"/>
      <c r="E49" s="56" t="s">
        <v>60</v>
      </c>
      <c r="F49" s="56"/>
      <c r="G49" s="56"/>
      <c r="H49" s="56" t="s">
        <v>68</v>
      </c>
      <c r="I49" s="56" t="s">
        <v>76</v>
      </c>
      <c r="K49" s="56"/>
      <c r="L49" s="112"/>
      <c r="M49" s="56" t="s">
        <v>76</v>
      </c>
      <c r="O49" s="56"/>
      <c r="P49" s="112"/>
      <c r="Q49" s="56" t="s">
        <v>76</v>
      </c>
      <c r="R49" s="5"/>
      <c r="S49" s="5"/>
      <c r="T49" s="5"/>
      <c r="U49" s="5"/>
      <c r="V49" s="53"/>
    </row>
    <row r="50" spans="4:22" s="3" customFormat="1" ht="14.25" thickBot="1">
      <c r="D50" s="59"/>
      <c r="E50" s="60"/>
      <c r="F50" s="60"/>
      <c r="G50" s="60"/>
      <c r="H50" s="60"/>
      <c r="I50" s="61"/>
      <c r="J50" s="62"/>
      <c r="K50" s="62"/>
      <c r="L50" s="62"/>
      <c r="M50" s="62"/>
      <c r="N50" s="62"/>
      <c r="O50" s="62"/>
      <c r="P50" s="62"/>
      <c r="Q50" s="62"/>
      <c r="R50" s="62"/>
      <c r="S50" s="62"/>
      <c r="T50" s="62"/>
      <c r="U50" s="62"/>
      <c r="V50" s="63"/>
    </row>
    <row r="51" spans="4:22" s="3" customFormat="1" ht="13.5">
      <c r="D51" s="48" t="s">
        <v>50</v>
      </c>
      <c r="E51" s="49"/>
      <c r="F51" s="49"/>
      <c r="G51" s="49"/>
      <c r="H51" s="49"/>
      <c r="I51" s="49"/>
      <c r="J51" s="50"/>
      <c r="K51" s="50"/>
      <c r="L51" s="50"/>
      <c r="M51" s="50"/>
      <c r="N51" s="50"/>
      <c r="O51" s="50"/>
      <c r="P51" s="50"/>
      <c r="Q51" s="50"/>
      <c r="R51" s="50"/>
      <c r="S51" s="50"/>
      <c r="T51" s="50"/>
      <c r="U51" s="50"/>
      <c r="V51" s="51"/>
    </row>
    <row r="52" spans="4:22" s="3" customFormat="1" ht="13.5">
      <c r="D52" s="52">
        <v>3</v>
      </c>
      <c r="E52" s="33" t="s">
        <v>77</v>
      </c>
      <c r="F52" s="33"/>
      <c r="G52" s="33"/>
      <c r="H52" s="5"/>
      <c r="I52" s="5"/>
      <c r="V52" s="53"/>
    </row>
    <row r="53" spans="4:22" s="3" customFormat="1" ht="13.5">
      <c r="D53" s="52"/>
      <c r="E53" s="33"/>
      <c r="F53" s="33"/>
      <c r="G53" s="33"/>
      <c r="H53" s="5"/>
      <c r="I53" s="5"/>
      <c r="V53" s="53"/>
    </row>
    <row r="54" spans="4:22" s="3" customFormat="1" ht="13.5">
      <c r="D54" s="52"/>
      <c r="E54" s="33"/>
      <c r="F54" s="33"/>
      <c r="G54" s="33"/>
      <c r="H54" s="5"/>
      <c r="I54" s="5"/>
      <c r="V54" s="53"/>
    </row>
    <row r="55" spans="4:22" s="5" customFormat="1" ht="13.5">
      <c r="D55" s="52"/>
      <c r="E55" s="5" t="s">
        <v>51</v>
      </c>
      <c r="H55" s="5" t="str">
        <f>"2個"&amp;H58&amp;"円にミックスマッチ設定"</f>
        <v>2個500円にミックスマッチ設定</v>
      </c>
      <c r="I55" s="5" t="str">
        <f>I57&amp;"円の値引シール【３：金額】"</f>
        <v>200円の値引シール【３：金額】</v>
      </c>
      <c r="L55" s="5" t="str">
        <f>"2個"&amp;L58&amp;"円にミックスマッチ設定"</f>
        <v>2個500円にミックスマッチ設定</v>
      </c>
      <c r="M55" s="5" t="str">
        <f>M57&amp;"円の値引シール【３：金額】"</f>
        <v>250円の値引シール【３：金額】</v>
      </c>
      <c r="P55" s="5" t="str">
        <f>"2個"&amp;P58&amp;"円にミックスマッチ設定"</f>
        <v>2個500円にミックスマッチ設定</v>
      </c>
      <c r="Q55" s="5" t="str">
        <f>Q57&amp;"円の値引シール【３：金額】"</f>
        <v>300円の値引シール【３：金額】</v>
      </c>
      <c r="T55" s="5" t="str">
        <f>"2個"&amp;T58&amp;"円にミックスマッチ設定"</f>
        <v>2個500円にミックスマッチ設定</v>
      </c>
      <c r="U55" s="5" t="str">
        <f>U57&amp;"円の値引シール【３：金額】"</f>
        <v>350円の値引シール【３：金額】</v>
      </c>
      <c r="V55" s="54"/>
    </row>
    <row r="56" spans="4:22" s="3" customFormat="1" ht="13.5">
      <c r="D56" s="52"/>
      <c r="E56" s="33"/>
      <c r="G56" s="33"/>
      <c r="H56" s="5"/>
      <c r="I56" s="5"/>
      <c r="K56" s="33"/>
      <c r="L56" s="5"/>
      <c r="M56" s="5"/>
      <c r="O56" s="5"/>
      <c r="P56" s="5"/>
      <c r="Q56" s="5"/>
      <c r="R56" s="5"/>
      <c r="S56" s="5"/>
      <c r="T56" s="5"/>
      <c r="U56" s="5"/>
      <c r="V56" s="53"/>
    </row>
    <row r="57" spans="4:22" s="3" customFormat="1" ht="13.5">
      <c r="D57" s="52"/>
      <c r="E57" s="8" t="s">
        <v>78</v>
      </c>
      <c r="F57" s="5"/>
      <c r="G57" s="5"/>
      <c r="H57" s="5">
        <v>250</v>
      </c>
      <c r="I57" s="5">
        <v>200</v>
      </c>
      <c r="K57" s="5"/>
      <c r="L57" s="5">
        <v>250</v>
      </c>
      <c r="M57" s="5">
        <v>250</v>
      </c>
      <c r="O57" s="5"/>
      <c r="P57" s="5">
        <v>250</v>
      </c>
      <c r="Q57" s="5">
        <v>300</v>
      </c>
      <c r="R57" s="5"/>
      <c r="S57" s="5"/>
      <c r="T57" s="5">
        <v>250</v>
      </c>
      <c r="U57" s="5">
        <v>350</v>
      </c>
      <c r="V57" s="53"/>
    </row>
    <row r="58" spans="4:22" s="3" customFormat="1" ht="13.5">
      <c r="D58" s="52"/>
      <c r="E58" s="8" t="s">
        <v>79</v>
      </c>
      <c r="F58" s="5"/>
      <c r="G58" s="5"/>
      <c r="H58" s="5">
        <v>500</v>
      </c>
      <c r="I58" s="5">
        <v>400</v>
      </c>
      <c r="K58" s="5"/>
      <c r="L58" s="5">
        <v>500</v>
      </c>
      <c r="M58" s="5">
        <v>500</v>
      </c>
      <c r="O58" s="5"/>
      <c r="P58" s="5">
        <v>500</v>
      </c>
      <c r="Q58" s="5">
        <v>600</v>
      </c>
      <c r="R58" s="5"/>
      <c r="S58" s="5"/>
      <c r="T58" s="5">
        <v>500</v>
      </c>
      <c r="U58" s="5">
        <v>700</v>
      </c>
      <c r="V58" s="53"/>
    </row>
    <row r="59" spans="4:22" s="3" customFormat="1" ht="13.5" customHeight="1">
      <c r="D59" s="52"/>
      <c r="E59" s="5"/>
      <c r="F59" s="5"/>
      <c r="G59" s="5"/>
      <c r="H59" s="5"/>
      <c r="K59" s="5"/>
      <c r="L59" s="5"/>
      <c r="O59" s="5"/>
      <c r="P59" s="5"/>
      <c r="R59" s="5"/>
      <c r="S59" s="5"/>
      <c r="T59" s="5"/>
      <c r="V59" s="53"/>
    </row>
    <row r="60" spans="4:22" s="3" customFormat="1" ht="13.5" customHeight="1">
      <c r="D60" s="52"/>
      <c r="E60" s="5"/>
      <c r="F60" s="5"/>
      <c r="G60" s="5"/>
      <c r="K60" s="5"/>
      <c r="O60" s="5"/>
      <c r="R60" s="5"/>
      <c r="S60" s="5"/>
      <c r="T60" s="128" t="s">
        <v>80</v>
      </c>
      <c r="U60" s="123" t="s">
        <v>81</v>
      </c>
      <c r="V60" s="53"/>
    </row>
    <row r="61" spans="4:22" s="3" customFormat="1" ht="13.5" customHeight="1">
      <c r="D61" s="52"/>
      <c r="E61" s="5"/>
      <c r="F61" s="5"/>
      <c r="G61" s="118" t="s">
        <v>55</v>
      </c>
      <c r="H61" s="66" t="s">
        <v>56</v>
      </c>
      <c r="K61" s="118" t="s">
        <v>55</v>
      </c>
      <c r="L61" s="66" t="s">
        <v>56</v>
      </c>
      <c r="M61" s="66" t="s">
        <v>56</v>
      </c>
      <c r="O61" s="118" t="s">
        <v>55</v>
      </c>
      <c r="P61" s="66" t="s">
        <v>56</v>
      </c>
      <c r="Q61" s="123" t="s">
        <v>82</v>
      </c>
      <c r="R61" s="5"/>
      <c r="S61" s="118" t="s">
        <v>55</v>
      </c>
      <c r="T61" s="129"/>
      <c r="U61" s="149"/>
      <c r="V61" s="53"/>
    </row>
    <row r="62" spans="4:22" s="3" customFormat="1" ht="13.5" customHeight="1">
      <c r="D62" s="52"/>
      <c r="E62" s="5"/>
      <c r="F62" s="5"/>
      <c r="G62" s="119"/>
      <c r="H62" s="122" t="s">
        <v>57</v>
      </c>
      <c r="I62" s="127" t="s">
        <v>83</v>
      </c>
      <c r="K62" s="119"/>
      <c r="L62" s="122" t="s">
        <v>57</v>
      </c>
      <c r="M62" s="123" t="s">
        <v>59</v>
      </c>
      <c r="O62" s="119"/>
      <c r="P62" s="122" t="s">
        <v>57</v>
      </c>
      <c r="Q62" s="149"/>
      <c r="R62" s="5"/>
      <c r="S62" s="119"/>
      <c r="T62" s="122" t="s">
        <v>57</v>
      </c>
      <c r="U62" s="149"/>
      <c r="V62" s="53"/>
    </row>
    <row r="63" spans="4:22" s="3" customFormat="1" ht="13.5" customHeight="1">
      <c r="D63" s="52"/>
      <c r="E63" s="5"/>
      <c r="F63" s="5"/>
      <c r="G63" s="119"/>
      <c r="H63" s="149"/>
      <c r="I63" s="149"/>
      <c r="K63" s="119"/>
      <c r="L63" s="149"/>
      <c r="M63" s="149"/>
      <c r="O63" s="119"/>
      <c r="P63" s="149"/>
      <c r="Q63" s="149"/>
      <c r="R63" s="5"/>
      <c r="S63" s="119"/>
      <c r="T63" s="149"/>
      <c r="U63" s="149"/>
      <c r="V63" s="53"/>
    </row>
    <row r="64" spans="4:22" s="3" customFormat="1" ht="13.5" customHeight="1">
      <c r="D64" s="52"/>
      <c r="E64" s="5"/>
      <c r="F64" s="5"/>
      <c r="G64" s="119"/>
      <c r="H64" s="149"/>
      <c r="I64" s="123" t="s">
        <v>84</v>
      </c>
      <c r="K64" s="119"/>
      <c r="L64" s="149"/>
      <c r="M64" s="149"/>
      <c r="O64" s="119"/>
      <c r="P64" s="149"/>
      <c r="Q64" s="149"/>
      <c r="R64" s="5"/>
      <c r="S64" s="119"/>
      <c r="T64" s="149"/>
      <c r="U64" s="149"/>
      <c r="V64" s="53"/>
    </row>
    <row r="65" spans="4:22" s="3" customFormat="1" ht="13.5" customHeight="1">
      <c r="D65" s="52"/>
      <c r="E65" s="5"/>
      <c r="F65" s="5"/>
      <c r="G65" s="119"/>
      <c r="H65" s="149"/>
      <c r="I65" s="149"/>
      <c r="K65" s="119"/>
      <c r="L65" s="149"/>
      <c r="M65" s="149"/>
      <c r="O65" s="119"/>
      <c r="P65" s="149"/>
      <c r="Q65" s="149"/>
      <c r="R65" s="5"/>
      <c r="S65" s="119"/>
      <c r="T65" s="149"/>
      <c r="U65" s="149"/>
      <c r="V65" s="53"/>
    </row>
    <row r="66" spans="4:22" s="3" customFormat="1" ht="13.5" customHeight="1">
      <c r="D66" s="52"/>
      <c r="E66" s="5"/>
      <c r="F66" s="5"/>
      <c r="G66" s="120"/>
      <c r="H66" s="149"/>
      <c r="I66" s="149"/>
      <c r="K66" s="120"/>
      <c r="L66" s="149"/>
      <c r="M66" s="149"/>
      <c r="O66" s="120"/>
      <c r="P66" s="149"/>
      <c r="Q66" s="149"/>
      <c r="R66" s="5"/>
      <c r="S66" s="120"/>
      <c r="T66" s="149"/>
      <c r="U66" s="149"/>
      <c r="V66" s="53"/>
    </row>
    <row r="67" spans="4:22" s="3" customFormat="1" ht="13.5">
      <c r="D67" s="52"/>
      <c r="E67" s="56" t="s">
        <v>60</v>
      </c>
      <c r="F67" s="56"/>
      <c r="G67" s="56"/>
      <c r="H67" s="45">
        <v>100</v>
      </c>
      <c r="I67" s="45">
        <v>200</v>
      </c>
      <c r="K67" s="56"/>
      <c r="L67" s="45">
        <v>100</v>
      </c>
      <c r="M67" s="45">
        <v>100</v>
      </c>
      <c r="O67" s="56"/>
      <c r="P67" s="45">
        <v>100</v>
      </c>
      <c r="Q67" s="45"/>
      <c r="R67" s="5"/>
      <c r="S67" s="56"/>
      <c r="T67" s="45">
        <v>200</v>
      </c>
      <c r="U67" s="45"/>
      <c r="V67" s="53"/>
    </row>
    <row r="68" spans="4:22" s="3" customFormat="1" ht="13.5">
      <c r="D68" s="52"/>
      <c r="E68" s="56" t="s">
        <v>48</v>
      </c>
      <c r="F68" s="56"/>
      <c r="G68" s="56"/>
      <c r="H68" s="109">
        <v>300</v>
      </c>
      <c r="I68" s="109"/>
      <c r="K68" s="56"/>
      <c r="L68" s="109">
        <v>400</v>
      </c>
      <c r="M68" s="109"/>
      <c r="O68" s="56"/>
      <c r="P68" s="109">
        <v>500</v>
      </c>
      <c r="Q68" s="109"/>
      <c r="R68" s="5"/>
      <c r="S68" s="56"/>
      <c r="T68" s="109">
        <v>500</v>
      </c>
      <c r="U68" s="109"/>
      <c r="V68" s="53"/>
    </row>
    <row r="69" spans="4:22" s="3" customFormat="1" ht="13.5">
      <c r="D69" s="52"/>
      <c r="E69" s="56"/>
      <c r="F69" s="56"/>
      <c r="G69" s="56"/>
      <c r="H69" s="5"/>
      <c r="K69" s="56"/>
      <c r="L69" s="5"/>
      <c r="O69" s="56"/>
      <c r="P69" s="5"/>
      <c r="R69" s="5"/>
      <c r="S69" s="56"/>
      <c r="T69" s="5"/>
      <c r="V69" s="53"/>
    </row>
    <row r="70" spans="4:22" s="3" customFormat="1" ht="13.5">
      <c r="D70" s="52"/>
      <c r="E70" s="56" t="s">
        <v>61</v>
      </c>
      <c r="F70" s="56"/>
      <c r="G70" s="56"/>
      <c r="H70" s="5"/>
      <c r="I70" s="5"/>
      <c r="K70" s="56"/>
      <c r="L70" s="5"/>
      <c r="M70" s="5"/>
      <c r="O70" s="56"/>
      <c r="P70" s="5"/>
      <c r="Q70" s="5"/>
      <c r="R70" s="5"/>
      <c r="S70" s="56"/>
      <c r="T70" s="5"/>
      <c r="U70" s="5"/>
      <c r="V70" s="53"/>
    </row>
    <row r="71" spans="4:22" s="3" customFormat="1" ht="13.5" customHeight="1">
      <c r="D71" s="52"/>
      <c r="E71" s="58" t="s">
        <v>62</v>
      </c>
      <c r="F71" s="58"/>
      <c r="G71" s="56"/>
      <c r="H71" s="5">
        <v>91316</v>
      </c>
      <c r="I71" s="5">
        <v>91220</v>
      </c>
      <c r="K71" s="56"/>
      <c r="L71" s="5">
        <v>91316</v>
      </c>
      <c r="M71" s="5">
        <v>91220</v>
      </c>
      <c r="O71" s="56"/>
      <c r="P71" s="5">
        <v>91316</v>
      </c>
      <c r="Q71" s="110" t="s">
        <v>63</v>
      </c>
      <c r="R71" s="5"/>
      <c r="S71" s="56"/>
      <c r="T71" s="5">
        <v>91316</v>
      </c>
      <c r="U71" s="110" t="s">
        <v>63</v>
      </c>
      <c r="V71" s="53"/>
    </row>
    <row r="72" spans="4:22" s="3" customFormat="1" ht="13.5" customHeight="1">
      <c r="D72" s="52"/>
      <c r="E72" s="58" t="s">
        <v>64</v>
      </c>
      <c r="F72" s="58"/>
      <c r="G72" s="56"/>
      <c r="H72" s="5">
        <v>0</v>
      </c>
      <c r="I72" s="5">
        <v>1</v>
      </c>
      <c r="K72" s="56"/>
      <c r="L72" s="5">
        <v>0</v>
      </c>
      <c r="M72" s="5">
        <v>1</v>
      </c>
      <c r="O72" s="56"/>
      <c r="P72" s="5">
        <v>0</v>
      </c>
      <c r="Q72" s="111"/>
      <c r="R72" s="5"/>
      <c r="S72" s="56"/>
      <c r="T72" s="5">
        <v>0</v>
      </c>
      <c r="U72" s="111"/>
      <c r="V72" s="53"/>
    </row>
    <row r="73" spans="4:22" s="3" customFormat="1" ht="13.5">
      <c r="D73" s="52"/>
      <c r="E73" s="58" t="s">
        <v>65</v>
      </c>
      <c r="F73" s="58"/>
      <c r="G73" s="56"/>
      <c r="H73" s="56" t="s">
        <v>66</v>
      </c>
      <c r="I73" s="56" t="s">
        <v>67</v>
      </c>
      <c r="K73" s="56"/>
      <c r="L73" s="56" t="s">
        <v>66</v>
      </c>
      <c r="M73" s="56" t="s">
        <v>67</v>
      </c>
      <c r="O73" s="56"/>
      <c r="P73" s="56" t="s">
        <v>66</v>
      </c>
      <c r="Q73" s="111"/>
      <c r="R73" s="5"/>
      <c r="S73" s="56"/>
      <c r="T73" s="56" t="s">
        <v>66</v>
      </c>
      <c r="U73" s="111"/>
      <c r="V73" s="53"/>
    </row>
    <row r="74" spans="4:22" s="3" customFormat="1" ht="27">
      <c r="D74" s="52"/>
      <c r="E74" s="56" t="s">
        <v>60</v>
      </c>
      <c r="F74" s="56"/>
      <c r="G74" s="56"/>
      <c r="H74" s="56" t="s">
        <v>68</v>
      </c>
      <c r="I74" s="56" t="s">
        <v>85</v>
      </c>
      <c r="K74" s="56"/>
      <c r="L74" s="56" t="s">
        <v>68</v>
      </c>
      <c r="M74" s="56" t="s">
        <v>86</v>
      </c>
      <c r="O74" s="56"/>
      <c r="P74" s="56" t="s">
        <v>68</v>
      </c>
      <c r="Q74" s="112"/>
      <c r="R74" s="5"/>
      <c r="S74" s="56"/>
      <c r="T74" s="56" t="s">
        <v>87</v>
      </c>
      <c r="U74" s="112"/>
      <c r="V74" s="53"/>
    </row>
    <row r="75" spans="4:22" s="3" customFormat="1" ht="14.25" thickBot="1">
      <c r="D75" s="59"/>
      <c r="E75" s="60"/>
      <c r="F75" s="60"/>
      <c r="G75" s="60"/>
      <c r="H75" s="60"/>
      <c r="I75" s="61"/>
      <c r="J75" s="62"/>
      <c r="K75" s="62"/>
      <c r="L75" s="62"/>
      <c r="M75" s="62"/>
      <c r="N75" s="62"/>
      <c r="O75" s="62"/>
      <c r="P75" s="62"/>
      <c r="Q75" s="62"/>
      <c r="R75" s="62"/>
      <c r="S75" s="62"/>
      <c r="T75" s="62"/>
      <c r="U75" s="62"/>
      <c r="V75" s="63"/>
    </row>
    <row r="76" spans="4:22" s="3" customFormat="1" ht="13.5">
      <c r="D76" s="48" t="s">
        <v>50</v>
      </c>
      <c r="E76" s="49"/>
      <c r="F76" s="49"/>
      <c r="G76" s="49"/>
      <c r="H76" s="49"/>
      <c r="I76" s="49"/>
      <c r="J76" s="50"/>
      <c r="K76" s="50"/>
      <c r="L76" s="50"/>
      <c r="M76" s="50"/>
      <c r="N76" s="50"/>
      <c r="O76" s="50"/>
      <c r="P76" s="50"/>
      <c r="Q76" s="50"/>
      <c r="R76" s="50"/>
      <c r="S76" s="50"/>
      <c r="T76" s="50"/>
      <c r="U76" s="50"/>
      <c r="V76" s="51"/>
    </row>
    <row r="77" spans="4:22" s="3" customFormat="1" ht="13.5">
      <c r="D77" s="52">
        <v>4</v>
      </c>
      <c r="E77" s="33" t="s">
        <v>88</v>
      </c>
      <c r="F77" s="33"/>
      <c r="G77" s="33"/>
      <c r="H77" s="5"/>
      <c r="I77" s="5"/>
      <c r="V77" s="53"/>
    </row>
    <row r="78" spans="4:22" s="3" customFormat="1" ht="13.5">
      <c r="D78" s="52"/>
      <c r="E78" s="33"/>
      <c r="F78" s="33"/>
      <c r="G78" s="33"/>
      <c r="H78" s="5"/>
      <c r="I78" s="5"/>
      <c r="V78" s="53"/>
    </row>
    <row r="79" spans="4:22" s="3" customFormat="1" ht="13.5">
      <c r="D79" s="52"/>
      <c r="E79" s="33"/>
      <c r="F79" s="33"/>
      <c r="G79" s="33"/>
      <c r="H79" s="5"/>
      <c r="I79" s="5"/>
      <c r="V79" s="53"/>
    </row>
    <row r="80" spans="4:22" s="5" customFormat="1" ht="13.5">
      <c r="D80" s="52"/>
      <c r="E80" s="5" t="s">
        <v>51</v>
      </c>
      <c r="H80" s="5" t="str">
        <f>"2個"&amp;H83&amp;"円にミックスマッチ設定"</f>
        <v>2個600円にミックスマッチ設定</v>
      </c>
      <c r="I80" s="5" t="str">
        <f>I82&amp;"円の値引シール【３：金額】"</f>
        <v>250円の値引シール【３：金額】</v>
      </c>
      <c r="L80" s="5" t="str">
        <f>"2個"&amp;L83&amp;"円にミックスマッチ設定"</f>
        <v>2個600円にミックスマッチ設定</v>
      </c>
      <c r="M80" s="5" t="str">
        <f>M82&amp;"円の値引シール【３：金額】"</f>
        <v>300円の値引シール【３：金額】</v>
      </c>
      <c r="P80" s="5" t="str">
        <f>"2個"&amp;P83&amp;"円にミックスマッチ設定"</f>
        <v>2個600円にミックスマッチ設定</v>
      </c>
      <c r="Q80" s="5" t="str">
        <f>Q82&amp;"円の値引シール【３：金額】"</f>
        <v>350円の値引シール【３：金額】</v>
      </c>
      <c r="V80" s="54"/>
    </row>
    <row r="81" spans="4:22" s="3" customFormat="1" ht="13.5">
      <c r="D81" s="52"/>
      <c r="E81" s="33"/>
      <c r="G81" s="33"/>
      <c r="H81" s="5"/>
      <c r="I81" s="5"/>
      <c r="K81" s="33"/>
      <c r="L81" s="5"/>
      <c r="M81" s="5"/>
      <c r="O81" s="5"/>
      <c r="P81" s="5"/>
      <c r="Q81" s="5"/>
      <c r="R81" s="5"/>
      <c r="S81" s="5"/>
      <c r="T81" s="5"/>
      <c r="U81" s="5"/>
      <c r="V81" s="53"/>
    </row>
    <row r="82" spans="4:22" s="3" customFormat="1" ht="13.5">
      <c r="D82" s="52"/>
      <c r="E82" s="8" t="s">
        <v>78</v>
      </c>
      <c r="F82" s="5"/>
      <c r="G82" s="5"/>
      <c r="H82" s="5">
        <v>300</v>
      </c>
      <c r="I82" s="5">
        <v>250</v>
      </c>
      <c r="K82" s="5"/>
      <c r="L82" s="5">
        <v>300</v>
      </c>
      <c r="M82" s="5">
        <v>300</v>
      </c>
      <c r="O82" s="5"/>
      <c r="P82" s="5">
        <v>300</v>
      </c>
      <c r="Q82" s="5">
        <v>350</v>
      </c>
      <c r="R82" s="5"/>
      <c r="S82" s="5"/>
      <c r="T82" s="5"/>
      <c r="U82" s="5"/>
      <c r="V82" s="53"/>
    </row>
    <row r="83" spans="4:22" s="3" customFormat="1" ht="13.5">
      <c r="D83" s="52"/>
      <c r="E83" s="8" t="s">
        <v>79</v>
      </c>
      <c r="F83" s="5"/>
      <c r="G83" s="5"/>
      <c r="H83" s="5">
        <v>600</v>
      </c>
      <c r="I83" s="5">
        <v>500</v>
      </c>
      <c r="K83" s="5"/>
      <c r="L83" s="5">
        <v>600</v>
      </c>
      <c r="M83" s="5">
        <v>600</v>
      </c>
      <c r="O83" s="5"/>
      <c r="P83" s="5">
        <v>600</v>
      </c>
      <c r="Q83" s="5">
        <v>700</v>
      </c>
      <c r="R83" s="5"/>
      <c r="S83" s="5"/>
      <c r="T83" s="5"/>
      <c r="U83" s="5"/>
      <c r="V83" s="53"/>
    </row>
    <row r="84" spans="4:22" s="3" customFormat="1" ht="13.5" customHeight="1">
      <c r="D84" s="52"/>
      <c r="E84" s="5"/>
      <c r="F84" s="5"/>
      <c r="G84" s="5"/>
      <c r="H84" s="5"/>
      <c r="K84" s="5"/>
      <c r="L84" s="5"/>
      <c r="O84" s="5"/>
      <c r="P84" s="5"/>
      <c r="R84" s="5"/>
      <c r="S84" s="5"/>
      <c r="T84" s="5"/>
      <c r="U84" s="5"/>
      <c r="V84" s="53"/>
    </row>
    <row r="85" spans="4:22" s="3" customFormat="1" ht="13.5" customHeight="1">
      <c r="D85" s="52"/>
      <c r="E85" s="5"/>
      <c r="F85" s="5"/>
      <c r="G85" s="5"/>
      <c r="K85" s="5"/>
      <c r="O85" s="5"/>
      <c r="P85" s="55" t="s">
        <v>56</v>
      </c>
      <c r="Q85" s="123" t="s">
        <v>81</v>
      </c>
      <c r="R85" s="5"/>
      <c r="S85" s="5"/>
      <c r="T85" s="5"/>
      <c r="U85" s="5"/>
      <c r="V85" s="53"/>
    </row>
    <row r="86" spans="4:22" s="3" customFormat="1" ht="13.5" customHeight="1">
      <c r="D86" s="52"/>
      <c r="E86" s="5"/>
      <c r="F86" s="5"/>
      <c r="G86" s="118" t="s">
        <v>55</v>
      </c>
      <c r="H86" s="117" t="s">
        <v>54</v>
      </c>
      <c r="I86" s="67" t="s">
        <v>89</v>
      </c>
      <c r="K86" s="118" t="s">
        <v>55</v>
      </c>
      <c r="L86" s="117" t="s">
        <v>54</v>
      </c>
      <c r="M86" s="123" t="s">
        <v>82</v>
      </c>
      <c r="O86" s="118" t="s">
        <v>55</v>
      </c>
      <c r="P86" s="122" t="s">
        <v>90</v>
      </c>
      <c r="Q86" s="149"/>
      <c r="R86" s="5"/>
      <c r="S86" s="5"/>
      <c r="T86" s="5"/>
      <c r="U86" s="5"/>
      <c r="V86" s="53"/>
    </row>
    <row r="87" spans="4:22" s="3" customFormat="1" ht="13.5" customHeight="1">
      <c r="D87" s="52"/>
      <c r="E87" s="5"/>
      <c r="F87" s="5"/>
      <c r="G87" s="119"/>
      <c r="H87" s="125"/>
      <c r="I87" s="123" t="s">
        <v>58</v>
      </c>
      <c r="K87" s="119"/>
      <c r="L87" s="125"/>
      <c r="M87" s="149"/>
      <c r="O87" s="119"/>
      <c r="P87" s="149"/>
      <c r="Q87" s="149"/>
      <c r="R87" s="5"/>
      <c r="S87" s="5"/>
      <c r="T87" s="5"/>
      <c r="U87" s="5"/>
      <c r="V87" s="53"/>
    </row>
    <row r="88" spans="4:22" s="3" customFormat="1" ht="13.5" customHeight="1">
      <c r="D88" s="52"/>
      <c r="E88" s="5"/>
      <c r="F88" s="5"/>
      <c r="G88" s="119"/>
      <c r="H88" s="125"/>
      <c r="I88" s="149"/>
      <c r="K88" s="119"/>
      <c r="L88" s="125"/>
      <c r="M88" s="149"/>
      <c r="O88" s="119"/>
      <c r="P88" s="149"/>
      <c r="Q88" s="149"/>
      <c r="R88" s="5"/>
      <c r="S88" s="5"/>
      <c r="T88" s="5"/>
      <c r="U88" s="5"/>
      <c r="V88" s="53"/>
    </row>
    <row r="89" spans="4:22" s="3" customFormat="1" ht="13.5" customHeight="1">
      <c r="D89" s="52"/>
      <c r="E89" s="5"/>
      <c r="F89" s="5"/>
      <c r="G89" s="119"/>
      <c r="H89" s="125"/>
      <c r="I89" s="149"/>
      <c r="K89" s="119"/>
      <c r="L89" s="125"/>
      <c r="M89" s="149"/>
      <c r="O89" s="119"/>
      <c r="P89" s="149"/>
      <c r="Q89" s="149"/>
      <c r="R89" s="5"/>
      <c r="S89" s="5"/>
      <c r="T89" s="5"/>
      <c r="U89" s="5"/>
      <c r="V89" s="53"/>
    </row>
    <row r="90" spans="4:22" s="3" customFormat="1" ht="13.5" customHeight="1">
      <c r="D90" s="52"/>
      <c r="E90" s="5"/>
      <c r="F90" s="5"/>
      <c r="G90" s="119"/>
      <c r="H90" s="125"/>
      <c r="I90" s="149"/>
      <c r="K90" s="119"/>
      <c r="L90" s="125"/>
      <c r="M90" s="149"/>
      <c r="O90" s="119"/>
      <c r="P90" s="149"/>
      <c r="Q90" s="149"/>
      <c r="R90" s="5"/>
      <c r="S90" s="5"/>
      <c r="T90" s="5"/>
      <c r="U90" s="5"/>
      <c r="V90" s="53"/>
    </row>
    <row r="91" spans="4:22" s="3" customFormat="1" ht="13.5" customHeight="1">
      <c r="D91" s="52"/>
      <c r="E91" s="5"/>
      <c r="F91" s="5"/>
      <c r="G91" s="120"/>
      <c r="H91" s="126"/>
      <c r="I91" s="149"/>
      <c r="K91" s="120"/>
      <c r="L91" s="126"/>
      <c r="M91" s="149"/>
      <c r="O91" s="120"/>
      <c r="P91" s="149"/>
      <c r="Q91" s="149"/>
      <c r="R91" s="5"/>
      <c r="S91" s="5"/>
      <c r="T91" s="5"/>
      <c r="U91" s="5"/>
      <c r="V91" s="53"/>
    </row>
    <row r="92" spans="4:22" s="3" customFormat="1" ht="13.5">
      <c r="D92" s="52"/>
      <c r="E92" s="56" t="s">
        <v>60</v>
      </c>
      <c r="F92" s="56"/>
      <c r="G92" s="56"/>
      <c r="H92" s="45"/>
      <c r="I92" s="45">
        <v>100</v>
      </c>
      <c r="K92" s="56"/>
      <c r="L92" s="45"/>
      <c r="M92" s="45"/>
      <c r="O92" s="56"/>
      <c r="P92" s="45">
        <v>100</v>
      </c>
      <c r="Q92" s="45"/>
      <c r="R92" s="5"/>
      <c r="S92" s="5"/>
      <c r="T92" s="5"/>
      <c r="U92" s="5"/>
      <c r="V92" s="53"/>
    </row>
    <row r="93" spans="4:22" s="3" customFormat="1" ht="13.5">
      <c r="D93" s="52"/>
      <c r="E93" s="56" t="s">
        <v>48</v>
      </c>
      <c r="F93" s="56"/>
      <c r="G93" s="56"/>
      <c r="H93" s="109">
        <v>500</v>
      </c>
      <c r="I93" s="109"/>
      <c r="K93" s="56"/>
      <c r="L93" s="109">
        <v>400</v>
      </c>
      <c r="M93" s="109"/>
      <c r="O93" s="56"/>
      <c r="P93" s="109">
        <v>600</v>
      </c>
      <c r="Q93" s="109"/>
      <c r="R93" s="5"/>
      <c r="S93" s="5"/>
      <c r="T93" s="5"/>
      <c r="U93" s="5"/>
      <c r="V93" s="53"/>
    </row>
    <row r="94" spans="4:22" s="3" customFormat="1" ht="13.5">
      <c r="D94" s="52"/>
      <c r="E94" s="56"/>
      <c r="F94" s="56"/>
      <c r="G94" s="56"/>
      <c r="H94" s="5"/>
      <c r="K94" s="56"/>
      <c r="L94" s="5"/>
      <c r="O94" s="56"/>
      <c r="P94" s="5"/>
      <c r="R94" s="5"/>
      <c r="S94" s="5"/>
      <c r="T94" s="5"/>
      <c r="U94" s="5"/>
      <c r="V94" s="53"/>
    </row>
    <row r="95" spans="4:22" s="3" customFormat="1" ht="13.5">
      <c r="D95" s="52"/>
      <c r="E95" s="56" t="s">
        <v>61</v>
      </c>
      <c r="F95" s="56"/>
      <c r="G95" s="56"/>
      <c r="H95" s="5"/>
      <c r="I95" s="5"/>
      <c r="K95" s="56"/>
      <c r="L95" s="5"/>
      <c r="M95" s="5"/>
      <c r="O95" s="56"/>
      <c r="P95" s="5"/>
      <c r="Q95" s="5"/>
      <c r="R95" s="5"/>
      <c r="S95" s="5"/>
      <c r="T95" s="5"/>
      <c r="U95" s="5"/>
      <c r="V95" s="53"/>
    </row>
    <row r="96" spans="4:22" s="3" customFormat="1" ht="13.5" customHeight="1">
      <c r="D96" s="52"/>
      <c r="E96" s="58" t="s">
        <v>62</v>
      </c>
      <c r="F96" s="58"/>
      <c r="G96" s="56"/>
      <c r="H96" s="110" t="s">
        <v>63</v>
      </c>
      <c r="I96" s="5">
        <v>91220</v>
      </c>
      <c r="K96" s="56"/>
      <c r="L96" s="110" t="s">
        <v>63</v>
      </c>
      <c r="M96" s="110" t="s">
        <v>63</v>
      </c>
      <c r="O96" s="56"/>
      <c r="P96" s="5">
        <v>91316</v>
      </c>
      <c r="Q96" s="110" t="s">
        <v>63</v>
      </c>
      <c r="R96" s="5"/>
      <c r="S96" s="5"/>
      <c r="T96" s="5"/>
      <c r="U96" s="5"/>
      <c r="V96" s="53"/>
    </row>
    <row r="97" spans="4:22" s="3" customFormat="1" ht="13.5">
      <c r="D97" s="52"/>
      <c r="E97" s="58" t="s">
        <v>64</v>
      </c>
      <c r="F97" s="58"/>
      <c r="G97" s="56"/>
      <c r="H97" s="111"/>
      <c r="I97" s="5">
        <v>1</v>
      </c>
      <c r="K97" s="56"/>
      <c r="L97" s="111"/>
      <c r="M97" s="111"/>
      <c r="O97" s="56"/>
      <c r="P97" s="5">
        <v>0</v>
      </c>
      <c r="Q97" s="111"/>
      <c r="R97" s="5"/>
      <c r="S97" s="5"/>
      <c r="T97" s="5"/>
      <c r="U97" s="5"/>
      <c r="V97" s="53"/>
    </row>
    <row r="98" spans="4:22" s="3" customFormat="1" ht="13.5">
      <c r="D98" s="52"/>
      <c r="E98" s="58" t="s">
        <v>65</v>
      </c>
      <c r="F98" s="58"/>
      <c r="G98" s="56"/>
      <c r="H98" s="111"/>
      <c r="I98" s="56" t="s">
        <v>67</v>
      </c>
      <c r="K98" s="56"/>
      <c r="L98" s="111"/>
      <c r="M98" s="111"/>
      <c r="O98" s="56"/>
      <c r="P98" s="56" t="s">
        <v>66</v>
      </c>
      <c r="Q98" s="111"/>
      <c r="R98" s="5"/>
      <c r="S98" s="5"/>
      <c r="T98" s="5"/>
      <c r="U98" s="5"/>
      <c r="V98" s="53"/>
    </row>
    <row r="99" spans="4:22" s="3" customFormat="1" ht="27">
      <c r="D99" s="52"/>
      <c r="E99" s="56" t="s">
        <v>60</v>
      </c>
      <c r="F99" s="56"/>
      <c r="G99" s="56"/>
      <c r="H99" s="112"/>
      <c r="I99" s="56" t="s">
        <v>86</v>
      </c>
      <c r="K99" s="56"/>
      <c r="L99" s="112"/>
      <c r="M99" s="112"/>
      <c r="O99" s="56"/>
      <c r="P99" s="56" t="s">
        <v>91</v>
      </c>
      <c r="Q99" s="112"/>
      <c r="R99" s="5"/>
      <c r="S99" s="5"/>
      <c r="T99" s="5"/>
      <c r="U99" s="5"/>
      <c r="V99" s="53"/>
    </row>
    <row r="100" spans="4:22" s="3" customFormat="1" ht="14.25" thickBot="1">
      <c r="D100" s="59"/>
      <c r="E100" s="60"/>
      <c r="F100" s="60"/>
      <c r="G100" s="60"/>
      <c r="H100" s="60"/>
      <c r="I100" s="61"/>
      <c r="J100" s="62"/>
      <c r="K100" s="62"/>
      <c r="L100" s="62"/>
      <c r="M100" s="62"/>
      <c r="N100" s="62"/>
      <c r="O100" s="62"/>
      <c r="P100" s="62"/>
      <c r="Q100" s="62"/>
      <c r="R100" s="62"/>
      <c r="S100" s="62"/>
      <c r="T100" s="62"/>
      <c r="U100" s="62"/>
      <c r="V100" s="63"/>
    </row>
    <row r="101" spans="4:22" s="3" customFormat="1" ht="13.5">
      <c r="D101" s="48" t="s">
        <v>50</v>
      </c>
      <c r="E101" s="49"/>
      <c r="F101" s="49"/>
      <c r="G101" s="49"/>
      <c r="H101" s="49"/>
      <c r="I101" s="49"/>
      <c r="J101" s="50"/>
      <c r="K101" s="50"/>
      <c r="L101" s="50"/>
      <c r="M101" s="50"/>
      <c r="N101" s="50"/>
      <c r="O101" s="50"/>
      <c r="P101" s="50"/>
      <c r="Q101" s="50"/>
      <c r="R101" s="50"/>
      <c r="S101" s="50"/>
      <c r="T101" s="50"/>
      <c r="U101" s="50"/>
      <c r="V101" s="51"/>
    </row>
    <row r="102" spans="4:22" s="3" customFormat="1" ht="13.5">
      <c r="D102" s="52">
        <v>5</v>
      </c>
      <c r="E102" s="33" t="s">
        <v>92</v>
      </c>
      <c r="F102" s="33"/>
      <c r="G102" s="33"/>
      <c r="H102" s="5"/>
      <c r="I102" s="5"/>
      <c r="V102" s="53"/>
    </row>
    <row r="103" spans="4:22" s="3" customFormat="1" ht="13.5">
      <c r="D103" s="52"/>
      <c r="E103" s="33"/>
      <c r="F103" s="33"/>
      <c r="G103" s="33"/>
      <c r="H103" s="5"/>
      <c r="I103" s="5"/>
      <c r="V103" s="53"/>
    </row>
    <row r="104" spans="4:22" s="3" customFormat="1" ht="13.5">
      <c r="D104" s="52"/>
      <c r="E104" s="33"/>
      <c r="F104" s="33"/>
      <c r="G104" s="33"/>
      <c r="H104" s="5"/>
      <c r="I104" s="5"/>
      <c r="V104" s="53"/>
    </row>
    <row r="105" spans="4:22" s="5" customFormat="1" ht="13.5">
      <c r="D105" s="52"/>
      <c r="E105" s="5" t="s">
        <v>51</v>
      </c>
      <c r="H105" s="5" t="str">
        <f>"2個"&amp;H108&amp;"円にミックスマッチ設定"</f>
        <v>2個700円にミックスマッチ設定</v>
      </c>
      <c r="I105" s="5" t="str">
        <f>I107&amp;"円の値引シール【３：金額】"</f>
        <v>400円の値引シール【３：金額】</v>
      </c>
      <c r="L105" s="5" t="str">
        <f>"2個"&amp;L108&amp;"円にミックスマッチ設定"</f>
        <v>2個700円にミックスマッチ設定</v>
      </c>
      <c r="M105" s="5" t="str">
        <f>M107&amp;"円の値引シール【３：金額】"</f>
        <v>350円の値引シール【３：金額】</v>
      </c>
      <c r="P105" s="5" t="str">
        <f>"2個"&amp;P108&amp;"円にミックスマッチ設定"</f>
        <v>2個700円にミックスマッチ設定</v>
      </c>
      <c r="Q105" s="5" t="str">
        <f>Q107&amp;"円の値引シール【３：金額】"</f>
        <v>300円の値引シール【３：金額】</v>
      </c>
      <c r="T105" s="5" t="str">
        <f>"2個"&amp;T108&amp;"円にミックスマッチ設定"</f>
        <v>2個700円にミックスマッチ設定</v>
      </c>
      <c r="U105" s="5" t="str">
        <f>U107&amp;"円の値引シール【３：金額】"</f>
        <v>250円の値引シール【３：金額】</v>
      </c>
      <c r="V105" s="54"/>
    </row>
    <row r="106" spans="4:22" s="3" customFormat="1" ht="13.5">
      <c r="D106" s="52"/>
      <c r="E106" s="33"/>
      <c r="G106" s="33"/>
      <c r="H106" s="5"/>
      <c r="I106" s="5"/>
      <c r="K106" s="33"/>
      <c r="L106" s="5"/>
      <c r="M106" s="5"/>
      <c r="O106" s="5"/>
      <c r="P106" s="5"/>
      <c r="Q106" s="5"/>
      <c r="R106" s="5"/>
      <c r="S106" s="5"/>
      <c r="T106" s="5"/>
      <c r="U106" s="5"/>
      <c r="V106" s="53"/>
    </row>
    <row r="107" spans="4:22" s="3" customFormat="1" ht="13.5">
      <c r="D107" s="52"/>
      <c r="E107" s="8" t="s">
        <v>78</v>
      </c>
      <c r="F107" s="5"/>
      <c r="G107" s="5"/>
      <c r="H107" s="5">
        <v>350</v>
      </c>
      <c r="I107" s="5">
        <v>400</v>
      </c>
      <c r="K107" s="5"/>
      <c r="L107" s="5">
        <v>350</v>
      </c>
      <c r="M107" s="5">
        <v>350</v>
      </c>
      <c r="O107" s="5"/>
      <c r="P107" s="5">
        <v>350</v>
      </c>
      <c r="Q107" s="5">
        <v>300</v>
      </c>
      <c r="R107" s="5"/>
      <c r="S107" s="5"/>
      <c r="T107" s="5">
        <v>350</v>
      </c>
      <c r="U107" s="5">
        <v>250</v>
      </c>
      <c r="V107" s="53"/>
    </row>
    <row r="108" spans="4:22" s="3" customFormat="1" ht="13.5">
      <c r="D108" s="52"/>
      <c r="E108" s="8" t="s">
        <v>79</v>
      </c>
      <c r="F108" s="5"/>
      <c r="G108" s="5"/>
      <c r="H108" s="5">
        <v>700</v>
      </c>
      <c r="I108" s="5">
        <v>800</v>
      </c>
      <c r="K108" s="5"/>
      <c r="L108" s="5">
        <v>700</v>
      </c>
      <c r="M108" s="5">
        <v>700</v>
      </c>
      <c r="O108" s="5"/>
      <c r="P108" s="5">
        <v>700</v>
      </c>
      <c r="Q108" s="5">
        <v>600</v>
      </c>
      <c r="R108" s="5"/>
      <c r="S108" s="5"/>
      <c r="T108" s="5">
        <v>700</v>
      </c>
      <c r="U108" s="5">
        <v>500</v>
      </c>
      <c r="V108" s="53"/>
    </row>
    <row r="109" spans="4:22" s="3" customFormat="1" ht="13.5">
      <c r="D109" s="52"/>
      <c r="E109" s="8"/>
      <c r="F109" s="5"/>
      <c r="G109" s="5"/>
      <c r="H109" s="5"/>
      <c r="K109" s="5"/>
      <c r="L109" s="5"/>
      <c r="O109" s="5"/>
      <c r="P109" s="5"/>
      <c r="Q109" s="5"/>
      <c r="R109" s="5"/>
      <c r="S109" s="5"/>
      <c r="T109" s="5"/>
      <c r="U109" s="5"/>
      <c r="V109" s="53"/>
    </row>
    <row r="110" spans="4:22" s="3" customFormat="1" ht="13.5" customHeight="1">
      <c r="D110" s="52"/>
      <c r="E110" s="5"/>
      <c r="F110" s="5"/>
      <c r="G110" s="5"/>
      <c r="H110" s="5"/>
      <c r="I110" s="123" t="s">
        <v>93</v>
      </c>
      <c r="K110" s="5"/>
      <c r="O110" s="5"/>
      <c r="R110" s="5"/>
      <c r="S110" s="5"/>
      <c r="V110" s="53"/>
    </row>
    <row r="111" spans="4:22" s="3" customFormat="1" ht="13.5" customHeight="1">
      <c r="D111" s="52"/>
      <c r="E111" s="5"/>
      <c r="F111" s="5"/>
      <c r="G111" s="5"/>
      <c r="H111" s="122" t="s">
        <v>94</v>
      </c>
      <c r="I111" s="149"/>
      <c r="K111" s="5"/>
      <c r="L111" s="122" t="s">
        <v>94</v>
      </c>
      <c r="M111" s="123" t="s">
        <v>81</v>
      </c>
      <c r="O111" s="5"/>
      <c r="P111" s="122" t="s">
        <v>94</v>
      </c>
      <c r="R111" s="5"/>
      <c r="S111" s="5"/>
      <c r="T111" s="122" t="s">
        <v>94</v>
      </c>
      <c r="V111" s="53"/>
    </row>
    <row r="112" spans="4:22" s="3" customFormat="1" ht="13.5" customHeight="1">
      <c r="D112" s="52"/>
      <c r="E112" s="5"/>
      <c r="F112" s="5"/>
      <c r="G112" s="114" t="s">
        <v>55</v>
      </c>
      <c r="H112" s="149"/>
      <c r="I112" s="149"/>
      <c r="K112" s="118" t="s">
        <v>55</v>
      </c>
      <c r="L112" s="149"/>
      <c r="M112" s="149"/>
      <c r="O112" s="118" t="s">
        <v>55</v>
      </c>
      <c r="P112" s="149"/>
      <c r="Q112" s="124" t="s">
        <v>82</v>
      </c>
      <c r="R112" s="5"/>
      <c r="S112" s="118" t="s">
        <v>55</v>
      </c>
      <c r="T112" s="149"/>
      <c r="U112" s="55" t="s">
        <v>89</v>
      </c>
      <c r="V112" s="53"/>
    </row>
    <row r="113" spans="4:22" s="3" customFormat="1" ht="13.5" customHeight="1">
      <c r="D113" s="52"/>
      <c r="E113" s="5"/>
      <c r="F113" s="5"/>
      <c r="G113" s="115"/>
      <c r="H113" s="149"/>
      <c r="I113" s="149"/>
      <c r="K113" s="119"/>
      <c r="L113" s="149"/>
      <c r="M113" s="149"/>
      <c r="O113" s="119"/>
      <c r="P113" s="149"/>
      <c r="Q113" s="147"/>
      <c r="R113" s="5"/>
      <c r="S113" s="119"/>
      <c r="T113" s="149"/>
      <c r="U113" s="124" t="s">
        <v>95</v>
      </c>
      <c r="V113" s="53"/>
    </row>
    <row r="114" spans="4:22" s="3" customFormat="1" ht="13.5" customHeight="1">
      <c r="D114" s="52"/>
      <c r="E114" s="5"/>
      <c r="F114" s="5"/>
      <c r="G114" s="115"/>
      <c r="H114" s="149"/>
      <c r="I114" s="149"/>
      <c r="K114" s="119"/>
      <c r="L114" s="149"/>
      <c r="M114" s="149"/>
      <c r="O114" s="119"/>
      <c r="P114" s="149"/>
      <c r="Q114" s="147"/>
      <c r="R114" s="5"/>
      <c r="S114" s="119"/>
      <c r="T114" s="149"/>
      <c r="U114" s="147"/>
      <c r="V114" s="53"/>
    </row>
    <row r="115" spans="4:22" s="3" customFormat="1" ht="13.5" customHeight="1">
      <c r="D115" s="52"/>
      <c r="E115" s="5"/>
      <c r="F115" s="5"/>
      <c r="G115" s="115"/>
      <c r="H115" s="149"/>
      <c r="I115" s="149"/>
      <c r="K115" s="119"/>
      <c r="L115" s="149"/>
      <c r="M115" s="149"/>
      <c r="O115" s="119"/>
      <c r="P115" s="149"/>
      <c r="Q115" s="147"/>
      <c r="R115" s="5"/>
      <c r="S115" s="119"/>
      <c r="T115" s="149"/>
      <c r="U115" s="147"/>
      <c r="V115" s="53"/>
    </row>
    <row r="116" spans="4:22" s="3" customFormat="1" ht="13.5" customHeight="1">
      <c r="D116" s="52"/>
      <c r="E116" s="5"/>
      <c r="F116" s="5"/>
      <c r="G116" s="115"/>
      <c r="H116" s="149"/>
      <c r="I116" s="149"/>
      <c r="K116" s="119"/>
      <c r="L116" s="149"/>
      <c r="M116" s="149"/>
      <c r="O116" s="119"/>
      <c r="P116" s="149"/>
      <c r="Q116" s="147"/>
      <c r="R116" s="5"/>
      <c r="S116" s="119"/>
      <c r="T116" s="149"/>
      <c r="U116" s="147"/>
      <c r="V116" s="53"/>
    </row>
    <row r="117" spans="4:22" s="3" customFormat="1" ht="13.5" customHeight="1">
      <c r="D117" s="52"/>
      <c r="E117" s="5"/>
      <c r="F117" s="5"/>
      <c r="G117" s="116"/>
      <c r="H117" s="149"/>
      <c r="I117" s="149"/>
      <c r="K117" s="120"/>
      <c r="L117" s="149"/>
      <c r="M117" s="149"/>
      <c r="O117" s="120"/>
      <c r="P117" s="149"/>
      <c r="Q117" s="148"/>
      <c r="R117" s="5"/>
      <c r="S117" s="120"/>
      <c r="T117" s="149"/>
      <c r="U117" s="148"/>
      <c r="V117" s="53"/>
    </row>
    <row r="118" spans="4:22" s="3" customFormat="1" ht="13.5">
      <c r="D118" s="52"/>
      <c r="E118" s="56" t="s">
        <v>60</v>
      </c>
      <c r="F118" s="56"/>
      <c r="G118" s="56"/>
      <c r="H118" s="45"/>
      <c r="I118" s="45"/>
      <c r="K118" s="56"/>
      <c r="L118" s="45"/>
      <c r="M118" s="45"/>
      <c r="O118" s="56"/>
      <c r="P118" s="45"/>
      <c r="Q118" s="45"/>
      <c r="R118" s="5"/>
      <c r="S118" s="56"/>
      <c r="T118" s="45"/>
      <c r="U118" s="45">
        <v>100</v>
      </c>
      <c r="V118" s="53"/>
    </row>
    <row r="119" spans="4:22" s="3" customFormat="1" ht="13.5">
      <c r="D119" s="52"/>
      <c r="E119" s="56" t="s">
        <v>48</v>
      </c>
      <c r="F119" s="56"/>
      <c r="G119" s="56"/>
      <c r="H119" s="109">
        <v>800</v>
      </c>
      <c r="I119" s="109"/>
      <c r="K119" s="56"/>
      <c r="L119" s="109">
        <v>700</v>
      </c>
      <c r="M119" s="109"/>
      <c r="O119" s="56"/>
      <c r="P119" s="109">
        <v>600</v>
      </c>
      <c r="Q119" s="109"/>
      <c r="R119" s="5"/>
      <c r="S119" s="56"/>
      <c r="T119" s="109">
        <v>500</v>
      </c>
      <c r="U119" s="109"/>
      <c r="V119" s="53"/>
    </row>
    <row r="120" spans="4:22" s="3" customFormat="1" ht="13.5">
      <c r="D120" s="52"/>
      <c r="E120" s="56"/>
      <c r="F120" s="56"/>
      <c r="G120" s="56"/>
      <c r="H120" s="5"/>
      <c r="K120" s="56"/>
      <c r="L120" s="5"/>
      <c r="O120" s="56"/>
      <c r="P120" s="5"/>
      <c r="R120" s="5"/>
      <c r="S120" s="56"/>
      <c r="T120" s="5"/>
      <c r="V120" s="53"/>
    </row>
    <row r="121" spans="4:22" s="3" customFormat="1" ht="13.5">
      <c r="D121" s="52"/>
      <c r="E121" s="56" t="s">
        <v>61</v>
      </c>
      <c r="F121" s="56"/>
      <c r="G121" s="56"/>
      <c r="H121" s="5"/>
      <c r="I121" s="5"/>
      <c r="K121" s="56"/>
      <c r="L121" s="5"/>
      <c r="M121" s="5"/>
      <c r="O121" s="56"/>
      <c r="P121" s="5"/>
      <c r="Q121" s="5"/>
      <c r="R121" s="5"/>
      <c r="S121" s="56"/>
      <c r="T121" s="5"/>
      <c r="U121" s="5"/>
      <c r="V121" s="53"/>
    </row>
    <row r="122" spans="4:22" s="3" customFormat="1" ht="13.5" customHeight="1">
      <c r="D122" s="52"/>
      <c r="E122" s="58" t="s">
        <v>62</v>
      </c>
      <c r="F122" s="58"/>
      <c r="G122" s="56"/>
      <c r="H122" s="110" t="s">
        <v>63</v>
      </c>
      <c r="I122" s="110" t="s">
        <v>63</v>
      </c>
      <c r="K122" s="56"/>
      <c r="L122" s="110" t="s">
        <v>63</v>
      </c>
      <c r="M122" s="110" t="s">
        <v>63</v>
      </c>
      <c r="O122" s="56"/>
      <c r="P122" s="110" t="s">
        <v>63</v>
      </c>
      <c r="Q122" s="110" t="s">
        <v>63</v>
      </c>
      <c r="R122" s="5"/>
      <c r="S122" s="56"/>
      <c r="T122" s="110" t="s">
        <v>63</v>
      </c>
      <c r="U122" s="5">
        <v>91220</v>
      </c>
      <c r="V122" s="53"/>
    </row>
    <row r="123" spans="4:22" s="3" customFormat="1" ht="13.5">
      <c r="D123" s="52"/>
      <c r="E123" s="58" t="s">
        <v>64</v>
      </c>
      <c r="F123" s="58"/>
      <c r="G123" s="56"/>
      <c r="H123" s="111"/>
      <c r="I123" s="111"/>
      <c r="K123" s="56"/>
      <c r="L123" s="111"/>
      <c r="M123" s="111"/>
      <c r="O123" s="56"/>
      <c r="P123" s="111"/>
      <c r="Q123" s="111"/>
      <c r="R123" s="5"/>
      <c r="S123" s="56"/>
      <c r="T123" s="111"/>
      <c r="U123" s="5">
        <v>1</v>
      </c>
      <c r="V123" s="53"/>
    </row>
    <row r="124" spans="4:22" s="3" customFormat="1" ht="13.5">
      <c r="D124" s="52"/>
      <c r="E124" s="58" t="s">
        <v>65</v>
      </c>
      <c r="F124" s="58"/>
      <c r="G124" s="56"/>
      <c r="H124" s="111"/>
      <c r="I124" s="111"/>
      <c r="K124" s="56"/>
      <c r="L124" s="111"/>
      <c r="M124" s="111"/>
      <c r="O124" s="56"/>
      <c r="P124" s="111"/>
      <c r="Q124" s="111"/>
      <c r="R124" s="5"/>
      <c r="S124" s="56"/>
      <c r="T124" s="111"/>
      <c r="U124" s="56" t="s">
        <v>67</v>
      </c>
      <c r="V124" s="53"/>
    </row>
    <row r="125" spans="4:22" s="3" customFormat="1" ht="27">
      <c r="D125" s="52"/>
      <c r="E125" s="56" t="s">
        <v>60</v>
      </c>
      <c r="F125" s="56"/>
      <c r="G125" s="56"/>
      <c r="H125" s="112"/>
      <c r="I125" s="112"/>
      <c r="K125" s="56"/>
      <c r="L125" s="112"/>
      <c r="M125" s="112"/>
      <c r="O125" s="56"/>
      <c r="P125" s="112"/>
      <c r="Q125" s="112"/>
      <c r="R125" s="5"/>
      <c r="S125" s="56"/>
      <c r="T125" s="112"/>
      <c r="U125" s="56" t="s">
        <v>86</v>
      </c>
      <c r="V125" s="53"/>
    </row>
    <row r="126" spans="4:22" s="3" customFormat="1" ht="14.25" thickBot="1">
      <c r="D126" s="59"/>
      <c r="E126" s="60"/>
      <c r="F126" s="60"/>
      <c r="G126" s="60"/>
      <c r="H126" s="60"/>
      <c r="I126" s="61"/>
      <c r="J126" s="62"/>
      <c r="K126" s="62"/>
      <c r="L126" s="62"/>
      <c r="M126" s="62"/>
      <c r="N126" s="62"/>
      <c r="O126" s="62"/>
      <c r="P126" s="62"/>
      <c r="Q126" s="62"/>
      <c r="R126" s="62"/>
      <c r="S126" s="62"/>
      <c r="T126" s="62"/>
      <c r="U126" s="62"/>
      <c r="V126" s="63"/>
    </row>
    <row r="127" spans="4:22" s="3" customFormat="1" ht="13.5">
      <c r="D127" s="48" t="s">
        <v>50</v>
      </c>
      <c r="E127" s="49"/>
      <c r="F127" s="49"/>
      <c r="G127" s="49"/>
      <c r="H127" s="49"/>
      <c r="I127" s="49"/>
      <c r="J127" s="50"/>
      <c r="K127" s="50"/>
      <c r="L127" s="50"/>
      <c r="M127" s="50"/>
      <c r="N127" s="50"/>
      <c r="O127" s="50"/>
      <c r="P127" s="50"/>
      <c r="Q127" s="50"/>
      <c r="R127" s="50"/>
      <c r="S127" s="50"/>
      <c r="T127" s="50"/>
      <c r="U127" s="50"/>
      <c r="V127" s="51"/>
    </row>
    <row r="128" spans="4:22" s="3" customFormat="1" ht="13.5">
      <c r="D128" s="52">
        <v>6</v>
      </c>
      <c r="E128" s="33" t="s">
        <v>96</v>
      </c>
      <c r="F128" s="33"/>
      <c r="G128" s="33"/>
      <c r="H128" s="5"/>
      <c r="I128" s="5"/>
      <c r="V128" s="53"/>
    </row>
    <row r="129" spans="4:22" s="3" customFormat="1" ht="13.5">
      <c r="D129" s="52"/>
      <c r="E129" s="33"/>
      <c r="F129" s="33"/>
      <c r="G129" s="33"/>
      <c r="H129" s="5"/>
      <c r="I129" s="5"/>
      <c r="V129" s="53"/>
    </row>
    <row r="130" spans="4:22" s="5" customFormat="1" ht="13.5">
      <c r="D130" s="52"/>
      <c r="E130" s="5" t="s">
        <v>51</v>
      </c>
      <c r="H130" s="5" t="str">
        <f>"2個"&amp;H133&amp;"円にミックスマッチ設定"</f>
        <v>2個700円にミックスマッチ設定</v>
      </c>
      <c r="I130" s="5" t="str">
        <f>I132&amp;"円のカテゴリ値引"</f>
        <v>50円のカテゴリ値引</v>
      </c>
      <c r="L130" s="5" t="str">
        <f>"2個"&amp;L133&amp;"円にミックスマッチ設定"</f>
        <v>2個600円にミックスマッチ設定</v>
      </c>
      <c r="M130" s="5" t="str">
        <f>M132&amp;"円のカテゴリ値引"</f>
        <v>50円のカテゴリ値引</v>
      </c>
      <c r="P130" s="5" t="str">
        <f>"2個"&amp;P133&amp;"円にミックスマッチ設定"</f>
        <v>2個500円にミックスマッチ設定</v>
      </c>
      <c r="Q130" s="5" t="str">
        <f>Q132&amp;"円のカテゴリ値引"</f>
        <v>50円のカテゴリ値引</v>
      </c>
      <c r="R130" s="3"/>
      <c r="S130" s="3"/>
      <c r="T130" s="3"/>
      <c r="U130" s="3"/>
      <c r="V130" s="54"/>
    </row>
    <row r="131" spans="4:22" s="3" customFormat="1" ht="13.5">
      <c r="D131" s="52"/>
      <c r="E131" s="33"/>
      <c r="G131" s="33"/>
      <c r="H131" s="5"/>
      <c r="I131" s="5"/>
      <c r="K131" s="33"/>
      <c r="L131" s="5"/>
      <c r="M131" s="5"/>
      <c r="N131" s="5"/>
      <c r="O131" s="33"/>
      <c r="P131" s="5"/>
      <c r="Q131" s="5"/>
      <c r="V131" s="53"/>
    </row>
    <row r="132" spans="4:22" s="3" customFormat="1" ht="13.5">
      <c r="D132" s="52"/>
      <c r="E132" s="8" t="s">
        <v>97</v>
      </c>
      <c r="F132" s="5"/>
      <c r="G132" s="5"/>
      <c r="H132" s="5">
        <v>350</v>
      </c>
      <c r="I132" s="5">
        <v>50</v>
      </c>
      <c r="K132" s="5"/>
      <c r="L132" s="5">
        <v>300</v>
      </c>
      <c r="M132" s="5">
        <v>50</v>
      </c>
      <c r="N132" s="5"/>
      <c r="O132" s="5"/>
      <c r="P132" s="5">
        <v>250</v>
      </c>
      <c r="Q132" s="5">
        <v>50</v>
      </c>
      <c r="V132" s="53"/>
    </row>
    <row r="133" spans="4:22" s="3" customFormat="1" ht="13.5">
      <c r="D133" s="52"/>
      <c r="E133" s="8" t="s">
        <v>98</v>
      </c>
      <c r="F133" s="5"/>
      <c r="G133" s="5"/>
      <c r="H133" s="5">
        <v>700</v>
      </c>
      <c r="I133" s="5">
        <v>100</v>
      </c>
      <c r="K133" s="5"/>
      <c r="L133" s="5">
        <v>600</v>
      </c>
      <c r="M133" s="5">
        <v>100</v>
      </c>
      <c r="N133" s="5"/>
      <c r="O133" s="5"/>
      <c r="P133" s="5">
        <v>500</v>
      </c>
      <c r="Q133" s="5">
        <v>50</v>
      </c>
      <c r="V133" s="53"/>
    </row>
    <row r="134" spans="4:22" s="3" customFormat="1" ht="13.5">
      <c r="D134" s="52"/>
      <c r="E134" s="5"/>
      <c r="F134" s="5"/>
      <c r="G134" s="5"/>
      <c r="I134" s="5"/>
      <c r="K134" s="5"/>
      <c r="M134" s="5"/>
      <c r="N134" s="5"/>
      <c r="O134" s="5"/>
      <c r="Q134" s="5"/>
      <c r="V134" s="53"/>
    </row>
    <row r="135" spans="4:22" s="3" customFormat="1" ht="13.5" customHeight="1">
      <c r="D135" s="52"/>
      <c r="E135" s="5"/>
      <c r="F135" s="5"/>
      <c r="G135" s="5"/>
      <c r="H135" s="5"/>
      <c r="K135" s="5"/>
      <c r="L135" s="5"/>
      <c r="N135" s="5"/>
      <c r="O135" s="5"/>
      <c r="P135" s="5"/>
      <c r="V135" s="53"/>
    </row>
    <row r="136" spans="4:22" s="3" customFormat="1" ht="13.5" customHeight="1">
      <c r="D136" s="52"/>
      <c r="E136" s="5"/>
      <c r="F136" s="5"/>
      <c r="G136" s="5"/>
      <c r="H136" s="113" t="s">
        <v>54</v>
      </c>
      <c r="K136" s="5"/>
      <c r="N136" s="5"/>
      <c r="O136" s="5"/>
      <c r="V136" s="53"/>
    </row>
    <row r="137" spans="4:22" s="3" customFormat="1" ht="13.5" customHeight="1">
      <c r="D137" s="52"/>
      <c r="E137" s="5"/>
      <c r="F137" s="5"/>
      <c r="G137" s="114" t="s">
        <v>55</v>
      </c>
      <c r="H137" s="150"/>
      <c r="I137" s="55" t="s">
        <v>89</v>
      </c>
      <c r="K137" s="114" t="s">
        <v>55</v>
      </c>
      <c r="L137" s="117" t="s">
        <v>54</v>
      </c>
      <c r="M137" s="55" t="s">
        <v>89</v>
      </c>
      <c r="N137" s="5"/>
      <c r="O137" s="118" t="s">
        <v>99</v>
      </c>
      <c r="P137" s="55" t="s">
        <v>89</v>
      </c>
      <c r="V137" s="53"/>
    </row>
    <row r="138" spans="4:22" s="3" customFormat="1" ht="13.5" customHeight="1">
      <c r="D138" s="52"/>
      <c r="E138" s="5"/>
      <c r="F138" s="5"/>
      <c r="G138" s="115"/>
      <c r="H138" s="150"/>
      <c r="I138" s="121" t="s">
        <v>58</v>
      </c>
      <c r="K138" s="115"/>
      <c r="L138" s="151"/>
      <c r="M138" s="121" t="s">
        <v>58</v>
      </c>
      <c r="N138" s="5"/>
      <c r="O138" s="119"/>
      <c r="P138" s="117" t="s">
        <v>57</v>
      </c>
      <c r="Q138" s="55" t="s">
        <v>89</v>
      </c>
      <c r="V138" s="53"/>
    </row>
    <row r="139" spans="4:22" s="3" customFormat="1" ht="13.5" customHeight="1">
      <c r="D139" s="52"/>
      <c r="E139" s="5"/>
      <c r="F139" s="5"/>
      <c r="G139" s="115"/>
      <c r="H139" s="150"/>
      <c r="I139" s="152"/>
      <c r="K139" s="115"/>
      <c r="L139" s="151"/>
      <c r="M139" s="152"/>
      <c r="N139" s="5"/>
      <c r="O139" s="119"/>
      <c r="P139" s="147"/>
      <c r="Q139" s="108" t="s">
        <v>59</v>
      </c>
      <c r="V139" s="53"/>
    </row>
    <row r="140" spans="4:22" s="3" customFormat="1" ht="13.5" customHeight="1">
      <c r="D140" s="52"/>
      <c r="E140" s="5"/>
      <c r="F140" s="5"/>
      <c r="G140" s="115"/>
      <c r="H140" s="150"/>
      <c r="I140" s="152"/>
      <c r="K140" s="115"/>
      <c r="L140" s="151"/>
      <c r="M140" s="152"/>
      <c r="N140" s="5"/>
      <c r="O140" s="119"/>
      <c r="P140" s="147"/>
      <c r="Q140" s="149"/>
      <c r="V140" s="53"/>
    </row>
    <row r="141" spans="4:22" s="3" customFormat="1" ht="13.5" customHeight="1">
      <c r="D141" s="52"/>
      <c r="E141" s="5"/>
      <c r="F141" s="5"/>
      <c r="G141" s="115"/>
      <c r="H141" s="150"/>
      <c r="I141" s="152"/>
      <c r="K141" s="115"/>
      <c r="L141" s="151"/>
      <c r="M141" s="152"/>
      <c r="N141" s="5"/>
      <c r="O141" s="119"/>
      <c r="P141" s="147"/>
      <c r="Q141" s="149"/>
      <c r="V141" s="53"/>
    </row>
    <row r="142" spans="4:22" s="3" customFormat="1" ht="13.5" customHeight="1">
      <c r="D142" s="52"/>
      <c r="E142" s="5"/>
      <c r="F142" s="5"/>
      <c r="G142" s="116"/>
      <c r="H142" s="150"/>
      <c r="I142" s="153"/>
      <c r="K142" s="116"/>
      <c r="L142" s="154"/>
      <c r="M142" s="153"/>
      <c r="N142" s="5"/>
      <c r="O142" s="120"/>
      <c r="P142" s="148"/>
      <c r="Q142" s="149"/>
      <c r="V142" s="53"/>
    </row>
    <row r="143" spans="4:22" s="3" customFormat="1" ht="13.5">
      <c r="D143" s="52"/>
      <c r="E143" s="56" t="s">
        <v>60</v>
      </c>
      <c r="F143" s="56"/>
      <c r="G143" s="56"/>
      <c r="H143" s="57"/>
      <c r="I143" s="45">
        <v>100</v>
      </c>
      <c r="K143" s="56"/>
      <c r="L143" s="57"/>
      <c r="M143" s="45">
        <v>100</v>
      </c>
      <c r="N143" s="5"/>
      <c r="O143" s="56"/>
      <c r="P143" s="74">
        <v>100</v>
      </c>
      <c r="Q143" s="45">
        <v>50</v>
      </c>
      <c r="V143" s="53"/>
    </row>
    <row r="144" spans="4:22" s="3" customFormat="1" ht="13.5">
      <c r="D144" s="52"/>
      <c r="E144" s="56" t="s">
        <v>48</v>
      </c>
      <c r="F144" s="56"/>
      <c r="G144" s="56"/>
      <c r="H144" s="109">
        <v>500</v>
      </c>
      <c r="I144" s="109"/>
      <c r="K144" s="56"/>
      <c r="L144" s="109">
        <v>500</v>
      </c>
      <c r="M144" s="109"/>
      <c r="N144" s="5"/>
      <c r="O144" s="56"/>
      <c r="P144" s="109">
        <v>400</v>
      </c>
      <c r="Q144" s="109"/>
      <c r="V144" s="53"/>
    </row>
    <row r="145" spans="4:22" s="3" customFormat="1" ht="13.5">
      <c r="D145" s="52"/>
      <c r="E145" s="56"/>
      <c r="F145" s="56"/>
      <c r="G145" s="56"/>
      <c r="H145" s="5"/>
      <c r="K145" s="56"/>
      <c r="L145" s="5"/>
      <c r="N145" s="5"/>
      <c r="O145" s="56"/>
      <c r="P145" s="5"/>
      <c r="V145" s="53"/>
    </row>
    <row r="146" spans="4:22" s="3" customFormat="1" ht="13.5">
      <c r="D146" s="52"/>
      <c r="E146" s="56" t="s">
        <v>61</v>
      </c>
      <c r="F146" s="56"/>
      <c r="G146" s="56"/>
      <c r="H146" s="5"/>
      <c r="I146" s="5"/>
      <c r="K146" s="56"/>
      <c r="L146" s="5"/>
      <c r="M146" s="5"/>
      <c r="N146" s="5"/>
      <c r="O146" s="56"/>
      <c r="P146" s="5"/>
      <c r="Q146" s="5"/>
      <c r="V146" s="53"/>
    </row>
    <row r="147" spans="4:22" s="3" customFormat="1" ht="13.5" customHeight="1">
      <c r="D147" s="52"/>
      <c r="E147" s="58" t="s">
        <v>62</v>
      </c>
      <c r="F147" s="58"/>
      <c r="G147" s="56"/>
      <c r="H147" s="110" t="s">
        <v>63</v>
      </c>
      <c r="I147" s="5">
        <v>91324</v>
      </c>
      <c r="K147" s="56"/>
      <c r="L147" s="110" t="s">
        <v>63</v>
      </c>
      <c r="M147" s="5">
        <v>91324</v>
      </c>
      <c r="N147" s="5"/>
      <c r="O147" s="56"/>
      <c r="P147" s="5">
        <v>91316</v>
      </c>
      <c r="Q147" s="5">
        <v>91324</v>
      </c>
      <c r="V147" s="53"/>
    </row>
    <row r="148" spans="4:22" s="3" customFormat="1" ht="13.5" customHeight="1">
      <c r="D148" s="52"/>
      <c r="E148" s="58" t="s">
        <v>64</v>
      </c>
      <c r="F148" s="58"/>
      <c r="G148" s="56"/>
      <c r="H148" s="111"/>
      <c r="I148" s="5">
        <v>0</v>
      </c>
      <c r="K148" s="56"/>
      <c r="L148" s="111"/>
      <c r="M148" s="5">
        <v>0</v>
      </c>
      <c r="N148" s="5"/>
      <c r="O148" s="56"/>
      <c r="P148" s="5">
        <v>0</v>
      </c>
      <c r="Q148" s="5">
        <v>0</v>
      </c>
      <c r="V148" s="53"/>
    </row>
    <row r="149" spans="4:22" s="3" customFormat="1" ht="13.5">
      <c r="D149" s="52"/>
      <c r="E149" s="58" t="s">
        <v>65</v>
      </c>
      <c r="F149" s="58"/>
      <c r="G149" s="56"/>
      <c r="H149" s="111"/>
      <c r="I149" s="56" t="s">
        <v>28</v>
      </c>
      <c r="K149" s="56"/>
      <c r="L149" s="111"/>
      <c r="M149" s="56" t="s">
        <v>28</v>
      </c>
      <c r="N149" s="5"/>
      <c r="O149" s="56"/>
      <c r="P149" s="56" t="s">
        <v>66</v>
      </c>
      <c r="Q149" s="56" t="s">
        <v>28</v>
      </c>
      <c r="V149" s="53"/>
    </row>
    <row r="150" spans="4:22" s="3" customFormat="1" ht="27">
      <c r="D150" s="52"/>
      <c r="E150" s="56" t="s">
        <v>60</v>
      </c>
      <c r="F150" s="56"/>
      <c r="G150" s="56"/>
      <c r="H150" s="112"/>
      <c r="I150" s="56" t="s">
        <v>100</v>
      </c>
      <c r="K150" s="56"/>
      <c r="L150" s="112"/>
      <c r="M150" s="56" t="s">
        <v>100</v>
      </c>
      <c r="N150" s="5"/>
      <c r="O150" s="56"/>
      <c r="P150" s="56" t="s">
        <v>68</v>
      </c>
      <c r="Q150" s="56" t="s">
        <v>100</v>
      </c>
      <c r="V150" s="53"/>
    </row>
    <row r="151" spans="4:22" s="3" customFormat="1" ht="14.25" thickBot="1">
      <c r="D151" s="59"/>
      <c r="E151" s="60"/>
      <c r="F151" s="60"/>
      <c r="G151" s="60"/>
      <c r="H151" s="60"/>
      <c r="I151" s="61"/>
      <c r="J151" s="62"/>
      <c r="K151" s="62"/>
      <c r="L151" s="62"/>
      <c r="M151" s="62"/>
      <c r="N151" s="62"/>
      <c r="O151" s="62"/>
      <c r="P151" s="62"/>
      <c r="Q151" s="62"/>
      <c r="R151" s="62"/>
      <c r="S151" s="62"/>
      <c r="T151" s="62"/>
      <c r="U151" s="62"/>
      <c r="V151" s="63"/>
    </row>
    <row r="152" spans="4:22" s="3" customFormat="1" ht="13.5">
      <c r="D152" s="48" t="s">
        <v>50</v>
      </c>
      <c r="E152" s="49"/>
      <c r="F152" s="49"/>
      <c r="G152" s="49"/>
      <c r="H152" s="49"/>
      <c r="I152" s="49"/>
      <c r="J152" s="50"/>
      <c r="K152" s="50"/>
      <c r="L152" s="50"/>
      <c r="M152" s="50"/>
      <c r="N152" s="50"/>
      <c r="O152" s="50"/>
      <c r="P152" s="50"/>
      <c r="Q152" s="50"/>
      <c r="R152" s="50"/>
      <c r="S152" s="50"/>
      <c r="T152" s="50"/>
      <c r="U152" s="50"/>
      <c r="V152" s="51"/>
    </row>
    <row r="153" spans="4:22" s="3" customFormat="1" ht="13.5">
      <c r="D153" s="52">
        <v>7</v>
      </c>
      <c r="E153" s="33" t="s">
        <v>101</v>
      </c>
      <c r="F153" s="33"/>
      <c r="G153" s="33"/>
      <c r="H153" s="5"/>
      <c r="I153" s="5"/>
      <c r="V153" s="53"/>
    </row>
    <row r="154" spans="4:22" s="3" customFormat="1" ht="13.5">
      <c r="D154" s="52"/>
      <c r="E154" s="33"/>
      <c r="F154" s="33"/>
      <c r="G154" s="33"/>
      <c r="H154" s="5"/>
      <c r="I154" s="5"/>
      <c r="V154" s="53"/>
    </row>
    <row r="155" spans="4:22" s="5" customFormat="1" ht="13.5">
      <c r="D155" s="52"/>
      <c r="E155" s="5" t="s">
        <v>51</v>
      </c>
      <c r="H155" s="5" t="str">
        <f>"2個"&amp;H158&amp;"円にミックスマッチ設定"</f>
        <v>2個700円にミックスマッチ設定</v>
      </c>
      <c r="I155" s="5" t="str">
        <f>I157&amp;"％のカテゴリ割引"</f>
        <v>10％のカテゴリ割引</v>
      </c>
      <c r="L155" s="5" t="str">
        <f>"2個"&amp;L158&amp;"円にミックスマッチ設定"</f>
        <v>2個600円にミックスマッチ設定</v>
      </c>
      <c r="M155" s="5" t="str">
        <f>M157&amp;"％のカテゴリ割引"</f>
        <v>10％のカテゴリ割引</v>
      </c>
      <c r="P155" s="5" t="str">
        <f>"2個"&amp;P158&amp;"円にミックスマッチ設定"</f>
        <v>2個500円にミックスマッチ設定</v>
      </c>
      <c r="Q155" s="5" t="str">
        <f>Q157&amp;"％のカテゴリ割引"</f>
        <v>10％のカテゴリ割引</v>
      </c>
      <c r="R155" s="3"/>
      <c r="S155" s="3"/>
      <c r="T155" s="3"/>
      <c r="U155" s="3"/>
      <c r="V155" s="54"/>
    </row>
    <row r="156" spans="4:22" s="3" customFormat="1" ht="13.5">
      <c r="D156" s="52"/>
      <c r="E156" s="33"/>
      <c r="G156" s="33"/>
      <c r="H156" s="5"/>
      <c r="I156" s="5"/>
      <c r="K156" s="33"/>
      <c r="L156" s="5"/>
      <c r="M156" s="5"/>
      <c r="N156" s="5"/>
      <c r="O156" s="33"/>
      <c r="P156" s="5"/>
      <c r="Q156" s="5"/>
      <c r="V156" s="53"/>
    </row>
    <row r="157" spans="4:22" s="3" customFormat="1" ht="13.5">
      <c r="D157" s="52"/>
      <c r="E157" s="8" t="s">
        <v>102</v>
      </c>
      <c r="F157" s="5"/>
      <c r="G157" s="5"/>
      <c r="H157" s="5">
        <v>350</v>
      </c>
      <c r="I157" s="5">
        <v>10</v>
      </c>
      <c r="K157" s="5"/>
      <c r="L157" s="5">
        <v>300</v>
      </c>
      <c r="M157" s="5">
        <v>10</v>
      </c>
      <c r="N157" s="5"/>
      <c r="O157" s="5"/>
      <c r="P157" s="5">
        <v>250</v>
      </c>
      <c r="Q157" s="5">
        <v>10</v>
      </c>
      <c r="V157" s="53"/>
    </row>
    <row r="158" spans="4:22" s="3" customFormat="1" ht="13.5">
      <c r="D158" s="52"/>
      <c r="E158" s="8" t="s">
        <v>103</v>
      </c>
      <c r="F158" s="5"/>
      <c r="G158" s="5"/>
      <c r="H158" s="5">
        <v>700</v>
      </c>
      <c r="I158" s="5">
        <v>10</v>
      </c>
      <c r="K158" s="5"/>
      <c r="L158" s="5">
        <v>600</v>
      </c>
      <c r="M158" s="5">
        <v>10</v>
      </c>
      <c r="N158" s="5"/>
      <c r="O158" s="5"/>
      <c r="P158" s="5">
        <v>500</v>
      </c>
      <c r="Q158" s="5">
        <v>10</v>
      </c>
      <c r="V158" s="53"/>
    </row>
    <row r="159" spans="4:22" s="3" customFormat="1" ht="13.5">
      <c r="D159" s="52"/>
      <c r="E159" s="5"/>
      <c r="F159" s="5"/>
      <c r="G159" s="5"/>
      <c r="I159" s="5"/>
      <c r="K159" s="5"/>
      <c r="M159" s="5"/>
      <c r="N159" s="5"/>
      <c r="O159" s="5"/>
      <c r="Q159" s="5"/>
      <c r="V159" s="53"/>
    </row>
    <row r="160" spans="4:22" s="3" customFormat="1" ht="13.5" customHeight="1">
      <c r="D160" s="52"/>
      <c r="E160" s="5"/>
      <c r="F160" s="5"/>
      <c r="G160" s="5"/>
      <c r="H160" s="5"/>
      <c r="K160" s="5"/>
      <c r="L160" s="5"/>
      <c r="N160" s="5"/>
      <c r="O160" s="5"/>
      <c r="P160" s="5"/>
      <c r="V160" s="53"/>
    </row>
    <row r="161" spans="4:22" s="3" customFormat="1" ht="13.5" customHeight="1">
      <c r="D161" s="52"/>
      <c r="E161" s="5"/>
      <c r="F161" s="5"/>
      <c r="G161" s="5"/>
      <c r="H161" s="113" t="s">
        <v>54</v>
      </c>
      <c r="K161" s="5"/>
      <c r="N161" s="5"/>
      <c r="O161" s="5"/>
      <c r="V161" s="53"/>
    </row>
    <row r="162" spans="4:22" s="3" customFormat="1" ht="13.5" customHeight="1">
      <c r="D162" s="52"/>
      <c r="E162" s="5"/>
      <c r="F162" s="5"/>
      <c r="G162" s="114" t="s">
        <v>55</v>
      </c>
      <c r="H162" s="150"/>
      <c r="I162" s="55" t="s">
        <v>104</v>
      </c>
      <c r="K162" s="114" t="s">
        <v>55</v>
      </c>
      <c r="L162" s="117" t="s">
        <v>54</v>
      </c>
      <c r="M162" s="55" t="s">
        <v>105</v>
      </c>
      <c r="N162" s="5"/>
      <c r="O162" s="118" t="s">
        <v>99</v>
      </c>
      <c r="P162" s="55" t="s">
        <v>89</v>
      </c>
      <c r="V162" s="53"/>
    </row>
    <row r="163" spans="4:22" s="3" customFormat="1" ht="13.5" customHeight="1">
      <c r="D163" s="52"/>
      <c r="E163" s="5"/>
      <c r="F163" s="5"/>
      <c r="G163" s="115"/>
      <c r="H163" s="150"/>
      <c r="I163" s="121" t="s">
        <v>73</v>
      </c>
      <c r="K163" s="115"/>
      <c r="L163" s="151"/>
      <c r="M163" s="121" t="s">
        <v>73</v>
      </c>
      <c r="N163" s="5"/>
      <c r="O163" s="119"/>
      <c r="P163" s="107" t="s">
        <v>57</v>
      </c>
      <c r="Q163" s="55" t="s">
        <v>105</v>
      </c>
      <c r="V163" s="53"/>
    </row>
    <row r="164" spans="4:22" s="3" customFormat="1" ht="13.5" customHeight="1">
      <c r="D164" s="52"/>
      <c r="E164" s="5"/>
      <c r="F164" s="5"/>
      <c r="G164" s="115"/>
      <c r="H164" s="150"/>
      <c r="I164" s="152"/>
      <c r="K164" s="115"/>
      <c r="L164" s="151"/>
      <c r="M164" s="152"/>
      <c r="N164" s="5"/>
      <c r="O164" s="119"/>
      <c r="P164" s="155"/>
      <c r="Q164" s="108" t="s">
        <v>74</v>
      </c>
      <c r="V164" s="53"/>
    </row>
    <row r="165" spans="4:22" s="3" customFormat="1" ht="13.5" customHeight="1">
      <c r="D165" s="52"/>
      <c r="E165" s="5"/>
      <c r="F165" s="5"/>
      <c r="G165" s="115"/>
      <c r="H165" s="150"/>
      <c r="I165" s="152"/>
      <c r="K165" s="115"/>
      <c r="L165" s="151"/>
      <c r="M165" s="152"/>
      <c r="N165" s="5"/>
      <c r="O165" s="119"/>
      <c r="P165" s="155"/>
      <c r="Q165" s="149"/>
      <c r="V165" s="53"/>
    </row>
    <row r="166" spans="4:22" s="3" customFormat="1" ht="13.5" customHeight="1">
      <c r="D166" s="52"/>
      <c r="E166" s="5"/>
      <c r="F166" s="5"/>
      <c r="G166" s="115"/>
      <c r="H166" s="150"/>
      <c r="I166" s="152"/>
      <c r="K166" s="115"/>
      <c r="L166" s="151"/>
      <c r="M166" s="152"/>
      <c r="N166" s="5"/>
      <c r="O166" s="119"/>
      <c r="P166" s="155"/>
      <c r="Q166" s="149"/>
      <c r="V166" s="53"/>
    </row>
    <row r="167" spans="4:22" s="3" customFormat="1" ht="13.5" customHeight="1">
      <c r="D167" s="52"/>
      <c r="E167" s="5"/>
      <c r="F167" s="5"/>
      <c r="G167" s="116"/>
      <c r="H167" s="150"/>
      <c r="I167" s="153"/>
      <c r="K167" s="116"/>
      <c r="L167" s="154"/>
      <c r="M167" s="153"/>
      <c r="N167" s="5"/>
      <c r="O167" s="120"/>
      <c r="P167" s="156"/>
      <c r="Q167" s="149"/>
      <c r="V167" s="53"/>
    </row>
    <row r="168" spans="4:22" s="3" customFormat="1" ht="13.5">
      <c r="D168" s="52"/>
      <c r="E168" s="56" t="s">
        <v>60</v>
      </c>
      <c r="F168" s="56"/>
      <c r="G168" s="56"/>
      <c r="H168" s="57"/>
      <c r="I168" s="45">
        <v>60</v>
      </c>
      <c r="K168" s="56"/>
      <c r="L168" s="57"/>
      <c r="M168" s="45">
        <v>60</v>
      </c>
      <c r="N168" s="5"/>
      <c r="O168" s="56"/>
      <c r="P168" s="74">
        <v>100</v>
      </c>
      <c r="Q168" s="45">
        <v>60</v>
      </c>
      <c r="V168" s="53"/>
    </row>
    <row r="169" spans="4:22" s="3" customFormat="1" ht="13.5">
      <c r="D169" s="52"/>
      <c r="E169" s="56" t="s">
        <v>48</v>
      </c>
      <c r="F169" s="56"/>
      <c r="G169" s="56"/>
      <c r="H169" s="109">
        <v>540</v>
      </c>
      <c r="I169" s="109"/>
      <c r="K169" s="56"/>
      <c r="L169" s="109">
        <v>540</v>
      </c>
      <c r="M169" s="109"/>
      <c r="N169" s="5"/>
      <c r="O169" s="56"/>
      <c r="P169" s="109">
        <v>440</v>
      </c>
      <c r="Q169" s="109"/>
      <c r="V169" s="53"/>
    </row>
    <row r="170" spans="4:22" s="3" customFormat="1" ht="13.5">
      <c r="D170" s="52"/>
      <c r="E170" s="56"/>
      <c r="F170" s="56"/>
      <c r="G170" s="56"/>
      <c r="H170" s="5"/>
      <c r="K170" s="56"/>
      <c r="L170" s="5"/>
      <c r="N170" s="5"/>
      <c r="O170" s="56"/>
      <c r="P170" s="5"/>
      <c r="V170" s="53"/>
    </row>
    <row r="171" spans="4:22" s="3" customFormat="1" ht="13.5">
      <c r="D171" s="52"/>
      <c r="E171" s="56" t="s">
        <v>61</v>
      </c>
      <c r="F171" s="56"/>
      <c r="G171" s="56"/>
      <c r="H171" s="5"/>
      <c r="I171" s="5"/>
      <c r="K171" s="56"/>
      <c r="L171" s="5"/>
      <c r="M171" s="5"/>
      <c r="N171" s="5"/>
      <c r="O171" s="56"/>
      <c r="P171" s="5"/>
      <c r="Q171" s="5"/>
      <c r="V171" s="53"/>
    </row>
    <row r="172" spans="4:22" s="3" customFormat="1" ht="13.5" customHeight="1">
      <c r="D172" s="52"/>
      <c r="E172" s="58" t="s">
        <v>62</v>
      </c>
      <c r="F172" s="58"/>
      <c r="G172" s="56"/>
      <c r="H172" s="110" t="s">
        <v>63</v>
      </c>
      <c r="I172" s="5">
        <v>91324</v>
      </c>
      <c r="K172" s="56"/>
      <c r="L172" s="110" t="s">
        <v>63</v>
      </c>
      <c r="M172" s="5">
        <v>91324</v>
      </c>
      <c r="N172" s="5"/>
      <c r="O172" s="56"/>
      <c r="P172" s="5">
        <v>91316</v>
      </c>
      <c r="Q172" s="5">
        <v>91324</v>
      </c>
      <c r="V172" s="53"/>
    </row>
    <row r="173" spans="4:22" s="3" customFormat="1" ht="13.5" customHeight="1">
      <c r="D173" s="52"/>
      <c r="E173" s="58" t="s">
        <v>64</v>
      </c>
      <c r="F173" s="58"/>
      <c r="G173" s="56"/>
      <c r="H173" s="111"/>
      <c r="I173" s="5">
        <v>0</v>
      </c>
      <c r="K173" s="56"/>
      <c r="L173" s="111"/>
      <c r="M173" s="5">
        <v>0</v>
      </c>
      <c r="N173" s="5"/>
      <c r="O173" s="56"/>
      <c r="P173" s="5">
        <v>0</v>
      </c>
      <c r="Q173" s="5">
        <v>0</v>
      </c>
      <c r="V173" s="53"/>
    </row>
    <row r="174" spans="4:22" s="3" customFormat="1" ht="13.5">
      <c r="D174" s="52"/>
      <c r="E174" s="58" t="s">
        <v>65</v>
      </c>
      <c r="F174" s="58"/>
      <c r="G174" s="56"/>
      <c r="H174" s="111"/>
      <c r="I174" s="56" t="s">
        <v>28</v>
      </c>
      <c r="K174" s="56"/>
      <c r="L174" s="111"/>
      <c r="M174" s="56" t="s">
        <v>28</v>
      </c>
      <c r="N174" s="5"/>
      <c r="O174" s="56"/>
      <c r="P174" s="56" t="s">
        <v>66</v>
      </c>
      <c r="Q174" s="56" t="s">
        <v>28</v>
      </c>
      <c r="V174" s="53"/>
    </row>
    <row r="175" spans="4:22" s="3" customFormat="1" ht="27">
      <c r="D175" s="52"/>
      <c r="E175" s="56" t="s">
        <v>60</v>
      </c>
      <c r="F175" s="56"/>
      <c r="G175" s="56"/>
      <c r="H175" s="112"/>
      <c r="I175" s="56" t="s">
        <v>106</v>
      </c>
      <c r="K175" s="56"/>
      <c r="L175" s="112"/>
      <c r="M175" s="56" t="s">
        <v>106</v>
      </c>
      <c r="N175" s="5"/>
      <c r="O175" s="56"/>
      <c r="P175" s="56" t="s">
        <v>68</v>
      </c>
      <c r="Q175" s="56" t="s">
        <v>106</v>
      </c>
      <c r="V175" s="53"/>
    </row>
    <row r="176" spans="4:22" s="3" customFormat="1" ht="14.25" thickBot="1">
      <c r="D176" s="59"/>
      <c r="E176" s="60"/>
      <c r="F176" s="60"/>
      <c r="G176" s="60"/>
      <c r="H176" s="60"/>
      <c r="I176" s="61"/>
      <c r="J176" s="62"/>
      <c r="K176" s="62"/>
      <c r="L176" s="62"/>
      <c r="M176" s="62"/>
      <c r="N176" s="62"/>
      <c r="O176" s="62"/>
      <c r="P176" s="62"/>
      <c r="Q176" s="62"/>
      <c r="R176" s="62"/>
      <c r="S176" s="62"/>
      <c r="T176" s="62"/>
      <c r="U176" s="62"/>
      <c r="V176" s="63"/>
    </row>
    <row r="177" spans="4:22" s="3" customFormat="1" ht="13.5">
      <c r="D177" s="48" t="s">
        <v>50</v>
      </c>
      <c r="E177" s="49"/>
      <c r="F177" s="49"/>
      <c r="G177" s="49"/>
      <c r="H177" s="49"/>
      <c r="I177" s="49"/>
      <c r="J177" s="50"/>
      <c r="K177" s="50"/>
      <c r="L177" s="50"/>
      <c r="M177" s="50"/>
      <c r="N177" s="50"/>
      <c r="O177" s="50"/>
      <c r="P177" s="50"/>
      <c r="Q177" s="50"/>
      <c r="R177" s="50"/>
      <c r="S177" s="50"/>
      <c r="T177" s="50"/>
      <c r="U177" s="50"/>
      <c r="V177" s="51"/>
    </row>
    <row r="178" spans="4:22" s="3" customFormat="1" ht="13.5">
      <c r="D178" s="52">
        <v>8</v>
      </c>
      <c r="E178" s="33" t="s">
        <v>32</v>
      </c>
      <c r="F178" s="33"/>
      <c r="G178" s="33"/>
      <c r="H178" s="5"/>
      <c r="I178" s="5"/>
      <c r="V178" s="53"/>
    </row>
    <row r="179" spans="4:22" s="3" customFormat="1" ht="13.5">
      <c r="D179" s="52"/>
      <c r="E179" s="33"/>
      <c r="F179" s="33"/>
      <c r="G179" s="33"/>
      <c r="H179" s="5"/>
      <c r="I179" s="5"/>
      <c r="V179" s="53"/>
    </row>
    <row r="180" spans="4:22" s="5" customFormat="1" ht="13.5">
      <c r="D180" s="52"/>
      <c r="E180" s="5" t="s">
        <v>51</v>
      </c>
      <c r="H180" s="5" t="str">
        <f>"2個"&amp;H183&amp;"円にミックスマッチ設定"</f>
        <v>2個700円にミックスマッチ設定</v>
      </c>
      <c r="I180" s="5" t="str">
        <f>I182&amp;"円の小計値引（マニュアル）"</f>
        <v>50円の小計値引（マニュアル）</v>
      </c>
      <c r="L180" s="5" t="str">
        <f>"2個"&amp;L183&amp;"円にミックスマッチ設定"</f>
        <v>2個600円にミックスマッチ設定</v>
      </c>
      <c r="M180" s="5" t="str">
        <f>M182&amp;"円の小計値引（マニュアル）"</f>
        <v>50円の小計値引（マニュアル）</v>
      </c>
      <c r="P180" s="5" t="str">
        <f>"2個"&amp;P183&amp;"円にミックスマッチ設定"</f>
        <v>2個500円にミックスマッチ設定</v>
      </c>
      <c r="Q180" s="5" t="str">
        <f>Q182&amp;"円の小計値引（マニュアル）"</f>
        <v>50円の小計値引（マニュアル）</v>
      </c>
      <c r="R180" s="3"/>
      <c r="S180" s="3"/>
      <c r="T180" s="3"/>
      <c r="U180" s="3"/>
      <c r="V180" s="54"/>
    </row>
    <row r="181" spans="4:22" s="3" customFormat="1" ht="13.5">
      <c r="D181" s="52"/>
      <c r="E181" s="33"/>
      <c r="G181" s="33"/>
      <c r="H181" s="5"/>
      <c r="I181" s="5"/>
      <c r="K181" s="33"/>
      <c r="L181" s="5"/>
      <c r="M181" s="5"/>
      <c r="N181" s="5"/>
      <c r="O181" s="33"/>
      <c r="P181" s="5"/>
      <c r="Q181" s="5"/>
      <c r="V181" s="53"/>
    </row>
    <row r="182" spans="4:22" s="3" customFormat="1" ht="13.5">
      <c r="D182" s="52"/>
      <c r="E182" s="8" t="s">
        <v>107</v>
      </c>
      <c r="F182" s="5"/>
      <c r="G182" s="5"/>
      <c r="H182" s="5">
        <v>350</v>
      </c>
      <c r="I182" s="5">
        <v>50</v>
      </c>
      <c r="K182" s="5"/>
      <c r="L182" s="5">
        <v>300</v>
      </c>
      <c r="M182" s="5">
        <v>50</v>
      </c>
      <c r="N182" s="5"/>
      <c r="O182" s="5"/>
      <c r="P182" s="5">
        <v>250</v>
      </c>
      <c r="Q182" s="5">
        <v>50</v>
      </c>
      <c r="V182" s="53"/>
    </row>
    <row r="183" spans="4:22" s="3" customFormat="1" ht="13.5">
      <c r="D183" s="52"/>
      <c r="E183" s="8" t="s">
        <v>108</v>
      </c>
      <c r="F183" s="5"/>
      <c r="G183" s="5"/>
      <c r="H183" s="5">
        <v>700</v>
      </c>
      <c r="I183" s="5">
        <v>100</v>
      </c>
      <c r="K183" s="5"/>
      <c r="L183" s="5">
        <v>600</v>
      </c>
      <c r="M183" s="5">
        <v>100</v>
      </c>
      <c r="N183" s="5"/>
      <c r="O183" s="5"/>
      <c r="P183" s="5">
        <v>500</v>
      </c>
      <c r="Q183" s="5">
        <v>50</v>
      </c>
      <c r="V183" s="53"/>
    </row>
    <row r="184" spans="4:22" s="3" customFormat="1" ht="13.5">
      <c r="D184" s="52"/>
      <c r="E184" s="5"/>
      <c r="F184" s="5"/>
      <c r="G184" s="5"/>
      <c r="I184" s="5"/>
      <c r="K184" s="5"/>
      <c r="M184" s="5"/>
      <c r="N184" s="5"/>
      <c r="O184" s="5"/>
      <c r="Q184" s="5"/>
      <c r="V184" s="53"/>
    </row>
    <row r="185" spans="4:22" s="3" customFormat="1" ht="13.5" customHeight="1">
      <c r="D185" s="52"/>
      <c r="E185" s="5"/>
      <c r="F185" s="5"/>
      <c r="G185" s="5"/>
      <c r="H185" s="5"/>
      <c r="K185" s="5"/>
      <c r="L185" s="5"/>
      <c r="N185" s="5"/>
      <c r="O185" s="5"/>
      <c r="P185" s="5"/>
      <c r="V185" s="53"/>
    </row>
    <row r="186" spans="4:22" s="3" customFormat="1" ht="13.5" customHeight="1">
      <c r="D186" s="52"/>
      <c r="E186" s="5"/>
      <c r="F186" s="5"/>
      <c r="G186" s="5"/>
      <c r="H186" s="113" t="s">
        <v>54</v>
      </c>
      <c r="K186" s="5"/>
      <c r="N186" s="5"/>
      <c r="O186" s="5"/>
      <c r="V186" s="53"/>
    </row>
    <row r="187" spans="4:22" s="3" customFormat="1" ht="13.5" customHeight="1">
      <c r="D187" s="52"/>
      <c r="E187" s="5"/>
      <c r="F187" s="5"/>
      <c r="G187" s="114" t="s">
        <v>55</v>
      </c>
      <c r="H187" s="150"/>
      <c r="I187" s="55" t="s">
        <v>89</v>
      </c>
      <c r="K187" s="114" t="s">
        <v>55</v>
      </c>
      <c r="L187" s="117" t="s">
        <v>54</v>
      </c>
      <c r="M187" s="55" t="s">
        <v>89</v>
      </c>
      <c r="N187" s="5"/>
      <c r="O187" s="118" t="s">
        <v>99</v>
      </c>
      <c r="P187" s="55" t="s">
        <v>89</v>
      </c>
      <c r="V187" s="53"/>
    </row>
    <row r="188" spans="4:22" s="3" customFormat="1" ht="13.5" customHeight="1">
      <c r="D188" s="52"/>
      <c r="E188" s="5"/>
      <c r="F188" s="5"/>
      <c r="G188" s="115"/>
      <c r="H188" s="150"/>
      <c r="I188" s="108" t="s">
        <v>58</v>
      </c>
      <c r="K188" s="115"/>
      <c r="L188" s="151"/>
      <c r="M188" s="108" t="s">
        <v>58</v>
      </c>
      <c r="N188" s="5"/>
      <c r="O188" s="119"/>
      <c r="P188" s="117" t="s">
        <v>57</v>
      </c>
      <c r="Q188" s="55" t="s">
        <v>89</v>
      </c>
      <c r="V188" s="53"/>
    </row>
    <row r="189" spans="4:22" s="3" customFormat="1" ht="13.5" customHeight="1">
      <c r="D189" s="52"/>
      <c r="E189" s="5"/>
      <c r="F189" s="5"/>
      <c r="G189" s="115"/>
      <c r="H189" s="150"/>
      <c r="I189" s="149"/>
      <c r="K189" s="115"/>
      <c r="L189" s="151"/>
      <c r="M189" s="149"/>
      <c r="N189" s="5"/>
      <c r="O189" s="119"/>
      <c r="P189" s="147"/>
      <c r="Q189" s="108" t="s">
        <v>59</v>
      </c>
      <c r="V189" s="53"/>
    </row>
    <row r="190" spans="4:22" s="3" customFormat="1" ht="13.5" customHeight="1">
      <c r="D190" s="52"/>
      <c r="E190" s="5"/>
      <c r="F190" s="5"/>
      <c r="G190" s="115"/>
      <c r="H190" s="150"/>
      <c r="I190" s="149"/>
      <c r="K190" s="115"/>
      <c r="L190" s="151"/>
      <c r="M190" s="149"/>
      <c r="N190" s="5"/>
      <c r="O190" s="119"/>
      <c r="P190" s="147"/>
      <c r="Q190" s="149"/>
      <c r="V190" s="53"/>
    </row>
    <row r="191" spans="4:22" s="3" customFormat="1" ht="13.5" customHeight="1">
      <c r="D191" s="52"/>
      <c r="E191" s="5"/>
      <c r="F191" s="5"/>
      <c r="G191" s="115"/>
      <c r="H191" s="150"/>
      <c r="I191" s="149"/>
      <c r="K191" s="115"/>
      <c r="L191" s="151"/>
      <c r="M191" s="149"/>
      <c r="N191" s="5"/>
      <c r="O191" s="119"/>
      <c r="P191" s="147"/>
      <c r="Q191" s="149"/>
      <c r="V191" s="53"/>
    </row>
    <row r="192" spans="4:22" s="3" customFormat="1" ht="13.5" customHeight="1">
      <c r="D192" s="52"/>
      <c r="E192" s="5"/>
      <c r="F192" s="5"/>
      <c r="G192" s="116"/>
      <c r="H192" s="150"/>
      <c r="I192" s="149"/>
      <c r="K192" s="116"/>
      <c r="L192" s="154"/>
      <c r="M192" s="149"/>
      <c r="N192" s="5"/>
      <c r="O192" s="120"/>
      <c r="P192" s="148"/>
      <c r="Q192" s="149"/>
      <c r="V192" s="53"/>
    </row>
    <row r="193" spans="4:22" s="3" customFormat="1" ht="13.5">
      <c r="D193" s="52"/>
      <c r="E193" s="56" t="s">
        <v>60</v>
      </c>
      <c r="F193" s="56"/>
      <c r="G193" s="56"/>
      <c r="H193" s="57"/>
      <c r="I193" s="45">
        <v>100</v>
      </c>
      <c r="K193" s="56"/>
      <c r="L193" s="57"/>
      <c r="M193" s="45">
        <v>100</v>
      </c>
      <c r="N193" s="5"/>
      <c r="O193" s="56"/>
      <c r="P193" s="74">
        <v>100</v>
      </c>
      <c r="Q193" s="45">
        <v>50</v>
      </c>
      <c r="V193" s="53"/>
    </row>
    <row r="194" spans="4:22" s="3" customFormat="1" ht="13.5">
      <c r="D194" s="52"/>
      <c r="E194" s="56" t="s">
        <v>48</v>
      </c>
      <c r="F194" s="56"/>
      <c r="G194" s="56"/>
      <c r="H194" s="109">
        <v>500</v>
      </c>
      <c r="I194" s="109"/>
      <c r="K194" s="56"/>
      <c r="L194" s="109">
        <v>500</v>
      </c>
      <c r="M194" s="109"/>
      <c r="N194" s="5"/>
      <c r="O194" s="56"/>
      <c r="P194" s="109">
        <v>400</v>
      </c>
      <c r="Q194" s="109"/>
      <c r="V194" s="53"/>
    </row>
    <row r="195" spans="4:22" s="3" customFormat="1" ht="13.5">
      <c r="D195" s="52"/>
      <c r="E195" s="56"/>
      <c r="F195" s="56"/>
      <c r="G195" s="56"/>
      <c r="H195" s="5"/>
      <c r="K195" s="56"/>
      <c r="L195" s="5"/>
      <c r="N195" s="5"/>
      <c r="O195" s="56"/>
      <c r="P195" s="5"/>
      <c r="V195" s="53"/>
    </row>
    <row r="196" spans="4:22" s="3" customFormat="1" ht="13.5">
      <c r="D196" s="52"/>
      <c r="E196" s="56" t="s">
        <v>61</v>
      </c>
      <c r="F196" s="56"/>
      <c r="G196" s="56"/>
      <c r="H196" s="5"/>
      <c r="I196" s="5"/>
      <c r="K196" s="56"/>
      <c r="L196" s="5"/>
      <c r="M196" s="5"/>
      <c r="N196" s="5"/>
      <c r="O196" s="56"/>
      <c r="P196" s="5"/>
      <c r="Q196" s="5"/>
      <c r="V196" s="53"/>
    </row>
    <row r="197" spans="4:22" s="3" customFormat="1" ht="13.5" customHeight="1">
      <c r="D197" s="52"/>
      <c r="E197" s="58" t="s">
        <v>62</v>
      </c>
      <c r="F197" s="58"/>
      <c r="G197" s="56"/>
      <c r="H197" s="110" t="s">
        <v>63</v>
      </c>
      <c r="I197" s="5">
        <v>91400</v>
      </c>
      <c r="K197" s="56"/>
      <c r="L197" s="110" t="s">
        <v>63</v>
      </c>
      <c r="M197" s="5">
        <v>91400</v>
      </c>
      <c r="N197" s="5"/>
      <c r="O197" s="56"/>
      <c r="P197" s="5">
        <v>91316</v>
      </c>
      <c r="Q197" s="5">
        <v>91400</v>
      </c>
      <c r="V197" s="53"/>
    </row>
    <row r="198" spans="4:22" s="3" customFormat="1" ht="13.5" customHeight="1">
      <c r="D198" s="52"/>
      <c r="E198" s="58" t="s">
        <v>64</v>
      </c>
      <c r="F198" s="58"/>
      <c r="G198" s="56"/>
      <c r="H198" s="111"/>
      <c r="I198" s="5">
        <v>14</v>
      </c>
      <c r="K198" s="56"/>
      <c r="L198" s="111"/>
      <c r="M198" s="5">
        <v>14</v>
      </c>
      <c r="N198" s="5"/>
      <c r="O198" s="56"/>
      <c r="P198" s="5">
        <v>0</v>
      </c>
      <c r="Q198" s="5">
        <v>14</v>
      </c>
      <c r="V198" s="53"/>
    </row>
    <row r="199" spans="4:22" s="3" customFormat="1" ht="13.5">
      <c r="D199" s="52"/>
      <c r="E199" s="58" t="s">
        <v>65</v>
      </c>
      <c r="F199" s="58"/>
      <c r="G199" s="56"/>
      <c r="H199" s="111"/>
      <c r="I199" s="56" t="s">
        <v>35</v>
      </c>
      <c r="K199" s="56"/>
      <c r="L199" s="111"/>
      <c r="M199" s="56" t="s">
        <v>35</v>
      </c>
      <c r="N199" s="5"/>
      <c r="O199" s="56"/>
      <c r="P199" s="56" t="s">
        <v>66</v>
      </c>
      <c r="Q199" s="56" t="s">
        <v>35</v>
      </c>
      <c r="V199" s="53"/>
    </row>
    <row r="200" spans="4:22" s="3" customFormat="1" ht="27">
      <c r="D200" s="52"/>
      <c r="E200" s="56" t="s">
        <v>60</v>
      </c>
      <c r="F200" s="56"/>
      <c r="G200" s="56"/>
      <c r="H200" s="112"/>
      <c r="I200" s="56" t="s">
        <v>109</v>
      </c>
      <c r="K200" s="56"/>
      <c r="L200" s="112"/>
      <c r="M200" s="56" t="s">
        <v>109</v>
      </c>
      <c r="N200" s="5"/>
      <c r="O200" s="56"/>
      <c r="P200" s="56" t="s">
        <v>68</v>
      </c>
      <c r="Q200" s="56" t="s">
        <v>109</v>
      </c>
      <c r="V200" s="53"/>
    </row>
    <row r="201" spans="4:22" s="3" customFormat="1" ht="14.25" thickBot="1">
      <c r="D201" s="59"/>
      <c r="E201" s="60"/>
      <c r="F201" s="60"/>
      <c r="G201" s="60"/>
      <c r="H201" s="60"/>
      <c r="I201" s="61"/>
      <c r="J201" s="62"/>
      <c r="K201" s="62"/>
      <c r="L201" s="62"/>
      <c r="M201" s="62"/>
      <c r="N201" s="62"/>
      <c r="O201" s="62"/>
      <c r="P201" s="62"/>
      <c r="Q201" s="62"/>
      <c r="R201" s="62"/>
      <c r="S201" s="62"/>
      <c r="T201" s="62"/>
      <c r="U201" s="62"/>
      <c r="V201" s="63"/>
    </row>
    <row r="202" spans="4:22" s="3" customFormat="1" ht="13.5">
      <c r="D202" s="48" t="s">
        <v>50</v>
      </c>
      <c r="E202" s="49"/>
      <c r="F202" s="49"/>
      <c r="G202" s="49"/>
      <c r="H202" s="49"/>
      <c r="I202" s="49"/>
      <c r="J202" s="50"/>
      <c r="K202" s="50"/>
      <c r="L202" s="50"/>
      <c r="M202" s="50"/>
      <c r="N202" s="50"/>
      <c r="O202" s="50"/>
      <c r="P202" s="50"/>
      <c r="Q202" s="50"/>
      <c r="R202" s="50"/>
      <c r="S202" s="50"/>
      <c r="T202" s="50"/>
      <c r="U202" s="50"/>
      <c r="V202" s="51"/>
    </row>
    <row r="203" spans="4:22" s="3" customFormat="1" ht="13.5">
      <c r="D203" s="52">
        <v>9</v>
      </c>
      <c r="E203" s="33" t="s">
        <v>110</v>
      </c>
      <c r="F203" s="33"/>
      <c r="G203" s="33"/>
      <c r="H203" s="5"/>
      <c r="I203" s="5"/>
      <c r="V203" s="53"/>
    </row>
    <row r="204" spans="4:22" s="3" customFormat="1" ht="13.5">
      <c r="D204" s="52"/>
      <c r="E204" s="33"/>
      <c r="F204" s="33"/>
      <c r="G204" s="33"/>
      <c r="H204" s="5"/>
      <c r="I204" s="5"/>
      <c r="V204" s="53"/>
    </row>
    <row r="205" spans="4:22" s="5" customFormat="1" ht="13.5">
      <c r="D205" s="52"/>
      <c r="E205" s="5" t="s">
        <v>51</v>
      </c>
      <c r="H205" s="5" t="str">
        <f>"2個"&amp;H208&amp;"円にミックスマッチ設定"</f>
        <v>2個700円にミックスマッチ設定</v>
      </c>
      <c r="I205" s="5" t="str">
        <f>I207&amp;"％の小計割引（マニュアル）"</f>
        <v>10％の小計割引（マニュアル）</v>
      </c>
      <c r="L205" s="5" t="str">
        <f>"2個"&amp;L208&amp;"円にミックスマッチ設定"</f>
        <v>2個600円にミックスマッチ設定</v>
      </c>
      <c r="M205" s="5" t="str">
        <f>M207&amp;"％の小計割引（マニュアル）"</f>
        <v>10％の小計割引（マニュアル）</v>
      </c>
      <c r="P205" s="5" t="str">
        <f>"2個"&amp;P208&amp;"円にミックスマッチ設定"</f>
        <v>2個500円にミックスマッチ設定</v>
      </c>
      <c r="Q205" s="5" t="str">
        <f>Q207&amp;"％の小計割引（マニュアル）"</f>
        <v>10％の小計割引（マニュアル）</v>
      </c>
      <c r="R205" s="3"/>
      <c r="S205" s="3"/>
      <c r="T205" s="3"/>
      <c r="U205" s="3"/>
      <c r="V205" s="54"/>
    </row>
    <row r="206" spans="4:22" s="3" customFormat="1" ht="13.5">
      <c r="D206" s="52"/>
      <c r="E206" s="33"/>
      <c r="G206" s="33"/>
      <c r="H206" s="5"/>
      <c r="I206" s="5"/>
      <c r="K206" s="33"/>
      <c r="L206" s="5"/>
      <c r="M206" s="5"/>
      <c r="N206" s="5"/>
      <c r="O206" s="33"/>
      <c r="P206" s="5"/>
      <c r="Q206" s="5"/>
      <c r="V206" s="53"/>
    </row>
    <row r="207" spans="4:22" s="3" customFormat="1" ht="13.5">
      <c r="D207" s="52"/>
      <c r="E207" s="8" t="s">
        <v>111</v>
      </c>
      <c r="F207" s="5"/>
      <c r="G207" s="5"/>
      <c r="H207" s="5">
        <v>350</v>
      </c>
      <c r="I207" s="5">
        <v>10</v>
      </c>
      <c r="K207" s="5"/>
      <c r="L207" s="5">
        <v>300</v>
      </c>
      <c r="M207" s="5">
        <v>10</v>
      </c>
      <c r="N207" s="5"/>
      <c r="O207" s="5"/>
      <c r="P207" s="5">
        <v>250</v>
      </c>
      <c r="Q207" s="5">
        <v>10</v>
      </c>
      <c r="V207" s="53"/>
    </row>
    <row r="208" spans="4:22" s="3" customFormat="1" ht="13.5">
      <c r="D208" s="52"/>
      <c r="E208" s="8" t="s">
        <v>112</v>
      </c>
      <c r="F208" s="5"/>
      <c r="G208" s="5"/>
      <c r="H208" s="5">
        <v>700</v>
      </c>
      <c r="I208" s="5">
        <v>10</v>
      </c>
      <c r="K208" s="5"/>
      <c r="L208" s="5">
        <v>600</v>
      </c>
      <c r="M208" s="5">
        <v>10</v>
      </c>
      <c r="N208" s="5"/>
      <c r="O208" s="5"/>
      <c r="P208" s="5">
        <v>500</v>
      </c>
      <c r="Q208" s="5">
        <v>10</v>
      </c>
      <c r="V208" s="53"/>
    </row>
    <row r="209" spans="4:22" s="3" customFormat="1" ht="13.5">
      <c r="D209" s="52"/>
      <c r="E209" s="5"/>
      <c r="F209" s="5"/>
      <c r="G209" s="5"/>
      <c r="I209" s="5"/>
      <c r="K209" s="5"/>
      <c r="M209" s="5"/>
      <c r="N209" s="5"/>
      <c r="O209" s="5"/>
      <c r="Q209" s="5"/>
      <c r="V209" s="53"/>
    </row>
    <row r="210" spans="4:22" s="3" customFormat="1" ht="13.5" customHeight="1">
      <c r="D210" s="52"/>
      <c r="E210" s="5"/>
      <c r="F210" s="5"/>
      <c r="G210" s="5"/>
      <c r="H210" s="5"/>
      <c r="K210" s="5"/>
      <c r="L210" s="5"/>
      <c r="N210" s="5"/>
      <c r="O210" s="5"/>
      <c r="P210" s="5"/>
      <c r="V210" s="53"/>
    </row>
    <row r="211" spans="4:22" s="3" customFormat="1" ht="13.5" customHeight="1">
      <c r="D211" s="52"/>
      <c r="E211" s="5"/>
      <c r="F211" s="5"/>
      <c r="G211" s="5"/>
      <c r="H211" s="113" t="s">
        <v>54</v>
      </c>
      <c r="K211" s="5"/>
      <c r="N211" s="5"/>
      <c r="O211" s="5"/>
      <c r="V211" s="53"/>
    </row>
    <row r="212" spans="4:22" s="3" customFormat="1" ht="13.5" customHeight="1">
      <c r="D212" s="52"/>
      <c r="E212" s="5"/>
      <c r="F212" s="5"/>
      <c r="G212" s="114" t="s">
        <v>55</v>
      </c>
      <c r="H212" s="150"/>
      <c r="I212" s="55" t="s">
        <v>105</v>
      </c>
      <c r="K212" s="114" t="s">
        <v>55</v>
      </c>
      <c r="L212" s="117" t="s">
        <v>54</v>
      </c>
      <c r="M212" s="55" t="s">
        <v>105</v>
      </c>
      <c r="N212" s="5"/>
      <c r="O212" s="118" t="s">
        <v>99</v>
      </c>
      <c r="P212" s="55" t="s">
        <v>89</v>
      </c>
      <c r="V212" s="53"/>
    </row>
    <row r="213" spans="4:22" s="3" customFormat="1" ht="13.5" customHeight="1">
      <c r="D213" s="52"/>
      <c r="E213" s="5"/>
      <c r="F213" s="5"/>
      <c r="G213" s="115"/>
      <c r="H213" s="150"/>
      <c r="I213" s="121" t="s">
        <v>73</v>
      </c>
      <c r="K213" s="115"/>
      <c r="L213" s="151"/>
      <c r="M213" s="121" t="s">
        <v>73</v>
      </c>
      <c r="N213" s="5"/>
      <c r="O213" s="119"/>
      <c r="P213" s="107" t="s">
        <v>57</v>
      </c>
      <c r="Q213" s="55" t="s">
        <v>113</v>
      </c>
      <c r="V213" s="53"/>
    </row>
    <row r="214" spans="4:22" s="3" customFormat="1" ht="13.5" customHeight="1">
      <c r="D214" s="52"/>
      <c r="E214" s="5"/>
      <c r="F214" s="5"/>
      <c r="G214" s="115"/>
      <c r="H214" s="150"/>
      <c r="I214" s="152"/>
      <c r="K214" s="115"/>
      <c r="L214" s="151"/>
      <c r="M214" s="152"/>
      <c r="N214" s="5"/>
      <c r="O214" s="119"/>
      <c r="P214" s="155"/>
      <c r="Q214" s="108" t="s">
        <v>114</v>
      </c>
      <c r="V214" s="53"/>
    </row>
    <row r="215" spans="4:22" s="3" customFormat="1" ht="13.5" customHeight="1">
      <c r="D215" s="52"/>
      <c r="E215" s="5"/>
      <c r="F215" s="5"/>
      <c r="G215" s="115"/>
      <c r="H215" s="150"/>
      <c r="I215" s="152"/>
      <c r="K215" s="115"/>
      <c r="L215" s="151"/>
      <c r="M215" s="152"/>
      <c r="N215" s="5"/>
      <c r="O215" s="119"/>
      <c r="P215" s="155"/>
      <c r="Q215" s="149"/>
      <c r="V215" s="53"/>
    </row>
    <row r="216" spans="4:22" s="3" customFormat="1" ht="13.5" customHeight="1">
      <c r="D216" s="52"/>
      <c r="E216" s="5"/>
      <c r="F216" s="5"/>
      <c r="G216" s="115"/>
      <c r="H216" s="150"/>
      <c r="I216" s="152"/>
      <c r="K216" s="115"/>
      <c r="L216" s="151"/>
      <c r="M216" s="152"/>
      <c r="N216" s="5"/>
      <c r="O216" s="119"/>
      <c r="P216" s="155"/>
      <c r="Q216" s="149"/>
      <c r="V216" s="53"/>
    </row>
    <row r="217" spans="4:22" s="3" customFormat="1" ht="13.5" customHeight="1">
      <c r="D217" s="52"/>
      <c r="E217" s="5"/>
      <c r="F217" s="5"/>
      <c r="G217" s="116"/>
      <c r="H217" s="150"/>
      <c r="I217" s="153"/>
      <c r="K217" s="116"/>
      <c r="L217" s="154"/>
      <c r="M217" s="153"/>
      <c r="N217" s="5"/>
      <c r="O217" s="120"/>
      <c r="P217" s="156"/>
      <c r="Q217" s="149"/>
      <c r="V217" s="53"/>
    </row>
    <row r="218" spans="4:22" s="3" customFormat="1" ht="13.5">
      <c r="D218" s="52"/>
      <c r="E218" s="56" t="s">
        <v>60</v>
      </c>
      <c r="F218" s="56"/>
      <c r="G218" s="56"/>
      <c r="H218" s="57"/>
      <c r="I218" s="45">
        <v>60</v>
      </c>
      <c r="K218" s="56"/>
      <c r="L218" s="57"/>
      <c r="M218" s="45">
        <v>60</v>
      </c>
      <c r="N218" s="5"/>
      <c r="O218" s="56"/>
      <c r="P218" s="74">
        <v>100</v>
      </c>
      <c r="Q218" s="45">
        <v>50</v>
      </c>
      <c r="V218" s="53"/>
    </row>
    <row r="219" spans="4:22" s="3" customFormat="1" ht="13.5">
      <c r="D219" s="52"/>
      <c r="E219" s="56" t="s">
        <v>48</v>
      </c>
      <c r="F219" s="56"/>
      <c r="G219" s="56"/>
      <c r="H219" s="109">
        <v>540</v>
      </c>
      <c r="I219" s="109"/>
      <c r="K219" s="56"/>
      <c r="L219" s="109">
        <v>540</v>
      </c>
      <c r="M219" s="109"/>
      <c r="N219" s="5"/>
      <c r="O219" s="56"/>
      <c r="P219" s="109">
        <v>450</v>
      </c>
      <c r="Q219" s="109"/>
      <c r="V219" s="53"/>
    </row>
    <row r="220" spans="4:22" s="3" customFormat="1" ht="13.5">
      <c r="D220" s="52"/>
      <c r="E220" s="56"/>
      <c r="F220" s="56"/>
      <c r="G220" s="56"/>
      <c r="H220" s="5"/>
      <c r="K220" s="56"/>
      <c r="L220" s="5"/>
      <c r="N220" s="5"/>
      <c r="O220" s="56"/>
      <c r="P220" s="5"/>
      <c r="V220" s="53"/>
    </row>
    <row r="221" spans="4:22" s="3" customFormat="1" ht="13.5">
      <c r="D221" s="52"/>
      <c r="E221" s="56" t="s">
        <v>61</v>
      </c>
      <c r="F221" s="56"/>
      <c r="G221" s="56"/>
      <c r="H221" s="5"/>
      <c r="I221" s="5"/>
      <c r="K221" s="56"/>
      <c r="L221" s="5"/>
      <c r="M221" s="5"/>
      <c r="N221" s="5"/>
      <c r="O221" s="56"/>
      <c r="P221" s="5"/>
      <c r="Q221" s="5"/>
      <c r="V221" s="53"/>
    </row>
    <row r="222" spans="4:22" s="3" customFormat="1" ht="13.5" customHeight="1">
      <c r="D222" s="52"/>
      <c r="E222" s="58" t="s">
        <v>62</v>
      </c>
      <c r="F222" s="58"/>
      <c r="G222" s="56"/>
      <c r="H222" s="110" t="s">
        <v>63</v>
      </c>
      <c r="I222" s="5">
        <v>91400</v>
      </c>
      <c r="K222" s="56"/>
      <c r="L222" s="110" t="s">
        <v>63</v>
      </c>
      <c r="M222" s="5">
        <v>91400</v>
      </c>
      <c r="N222" s="5"/>
      <c r="O222" s="56"/>
      <c r="P222" s="5">
        <v>91316</v>
      </c>
      <c r="Q222" s="5">
        <v>91400</v>
      </c>
      <c r="V222" s="53"/>
    </row>
    <row r="223" spans="4:22" s="3" customFormat="1" ht="13.5" customHeight="1">
      <c r="D223" s="52"/>
      <c r="E223" s="58" t="s">
        <v>64</v>
      </c>
      <c r="F223" s="58"/>
      <c r="G223" s="56"/>
      <c r="H223" s="111"/>
      <c r="I223" s="5">
        <v>14</v>
      </c>
      <c r="K223" s="56"/>
      <c r="L223" s="111"/>
      <c r="M223" s="5">
        <v>14</v>
      </c>
      <c r="N223" s="5"/>
      <c r="O223" s="56"/>
      <c r="P223" s="5">
        <v>0</v>
      </c>
      <c r="Q223" s="5">
        <v>14</v>
      </c>
      <c r="V223" s="53"/>
    </row>
    <row r="224" spans="4:22" s="3" customFormat="1" ht="13.5">
      <c r="D224" s="52"/>
      <c r="E224" s="58" t="s">
        <v>65</v>
      </c>
      <c r="F224" s="58"/>
      <c r="G224" s="56"/>
      <c r="H224" s="111"/>
      <c r="I224" s="56" t="s">
        <v>35</v>
      </c>
      <c r="K224" s="56"/>
      <c r="L224" s="111"/>
      <c r="M224" s="56" t="s">
        <v>28</v>
      </c>
      <c r="N224" s="5"/>
      <c r="O224" s="56"/>
      <c r="P224" s="56" t="s">
        <v>66</v>
      </c>
      <c r="Q224" s="56" t="s">
        <v>28</v>
      </c>
      <c r="V224" s="53"/>
    </row>
    <row r="225" spans="4:22" s="3" customFormat="1" ht="27">
      <c r="D225" s="52"/>
      <c r="E225" s="56" t="s">
        <v>60</v>
      </c>
      <c r="F225" s="56"/>
      <c r="G225" s="56"/>
      <c r="H225" s="112"/>
      <c r="I225" s="56" t="s">
        <v>115</v>
      </c>
      <c r="K225" s="56"/>
      <c r="L225" s="112"/>
      <c r="M225" s="56" t="s">
        <v>115</v>
      </c>
      <c r="N225" s="5"/>
      <c r="O225" s="56"/>
      <c r="P225" s="56" t="s">
        <v>68</v>
      </c>
      <c r="Q225" s="56" t="s">
        <v>116</v>
      </c>
      <c r="V225" s="53"/>
    </row>
    <row r="226" spans="4:22" s="3" customFormat="1" ht="14.25" thickBot="1">
      <c r="D226" s="59"/>
      <c r="E226" s="60"/>
      <c r="F226" s="60"/>
      <c r="G226" s="60"/>
      <c r="H226" s="60"/>
      <c r="I226" s="61"/>
      <c r="J226" s="62"/>
      <c r="K226" s="62"/>
      <c r="L226" s="62"/>
      <c r="M226" s="62"/>
      <c r="N226" s="62"/>
      <c r="O226" s="62"/>
      <c r="P226" s="62"/>
      <c r="Q226" s="62"/>
      <c r="R226" s="62"/>
      <c r="S226" s="62"/>
      <c r="T226" s="62"/>
      <c r="U226" s="62"/>
      <c r="V226" s="63"/>
    </row>
    <row r="227" spans="4:22" s="3" customFormat="1" ht="13.5">
      <c r="D227" s="48" t="s">
        <v>50</v>
      </c>
      <c r="E227" s="49"/>
      <c r="F227" s="49"/>
      <c r="G227" s="49"/>
      <c r="H227" s="49"/>
      <c r="I227" s="49"/>
      <c r="J227" s="50"/>
      <c r="K227" s="50"/>
      <c r="L227" s="50"/>
      <c r="M227" s="50"/>
      <c r="N227" s="50"/>
      <c r="O227" s="50"/>
      <c r="P227" s="50"/>
      <c r="Q227" s="50"/>
      <c r="R227" s="50"/>
      <c r="S227" s="50"/>
      <c r="T227" s="50"/>
      <c r="U227" s="50"/>
      <c r="V227" s="51"/>
    </row>
    <row r="228" spans="4:22" s="3" customFormat="1" ht="13.5">
      <c r="D228" s="52">
        <v>10</v>
      </c>
      <c r="E228" s="33" t="s">
        <v>117</v>
      </c>
      <c r="F228" s="33"/>
      <c r="G228" s="33"/>
      <c r="H228" s="5"/>
      <c r="I228" s="5"/>
      <c r="V228" s="53"/>
    </row>
    <row r="229" spans="4:22" s="3" customFormat="1" ht="13.5">
      <c r="D229" s="52"/>
      <c r="E229" s="33"/>
      <c r="F229" s="33"/>
      <c r="G229" s="33"/>
      <c r="H229" s="5"/>
      <c r="I229" s="5"/>
      <c r="V229" s="53"/>
    </row>
    <row r="230" spans="4:22" s="5" customFormat="1" ht="13.5">
      <c r="D230" s="52"/>
      <c r="E230" s="5" t="s">
        <v>51</v>
      </c>
      <c r="H230" s="5" t="str">
        <f>"2個"&amp;H233&amp;"円にミックスマッチ設定"</f>
        <v>2個700円にミックスマッチ設定</v>
      </c>
      <c r="I230" s="5" t="str">
        <f>I232&amp;"％の朝割り（自動）"</f>
        <v>10％の朝割り（自動）</v>
      </c>
      <c r="L230" s="5" t="str">
        <f>"2個"&amp;L233&amp;"円にミックスマッチ設定"</f>
        <v>2個600円にミックスマッチ設定</v>
      </c>
      <c r="M230" s="5" t="str">
        <f>M232&amp;"％の朝割り（自動）"</f>
        <v>10％の朝割り（自動）</v>
      </c>
      <c r="P230" s="5" t="str">
        <f>"2個"&amp;P233&amp;"円にミックスマッチ設定"</f>
        <v>2個500円にミックスマッチ設定</v>
      </c>
      <c r="Q230" s="5" t="str">
        <f>Q232&amp;"％の朝割り（自動）"</f>
        <v>10％の朝割り（自動）</v>
      </c>
      <c r="R230" s="3"/>
      <c r="S230" s="3"/>
      <c r="T230" s="3"/>
      <c r="U230" s="3"/>
      <c r="V230" s="54"/>
    </row>
    <row r="231" spans="4:22" s="3" customFormat="1" ht="13.5">
      <c r="D231" s="52"/>
      <c r="E231" s="33"/>
      <c r="G231" s="33"/>
      <c r="H231" s="5"/>
      <c r="I231" s="5"/>
      <c r="K231" s="33"/>
      <c r="L231" s="5"/>
      <c r="M231" s="5"/>
      <c r="N231" s="5"/>
      <c r="O231" s="33"/>
      <c r="P231" s="5"/>
      <c r="Q231" s="5"/>
      <c r="V231" s="53"/>
    </row>
    <row r="232" spans="4:22" s="3" customFormat="1" ht="13.5">
      <c r="D232" s="52"/>
      <c r="E232" s="8" t="s">
        <v>118</v>
      </c>
      <c r="F232" s="5"/>
      <c r="G232" s="5"/>
      <c r="H232" s="5">
        <v>350</v>
      </c>
      <c r="I232" s="5">
        <v>10</v>
      </c>
      <c r="K232" s="5"/>
      <c r="L232" s="5">
        <v>300</v>
      </c>
      <c r="M232" s="5">
        <v>10</v>
      </c>
      <c r="N232" s="5"/>
      <c r="O232" s="5"/>
      <c r="P232" s="5">
        <v>250</v>
      </c>
      <c r="Q232" s="5">
        <v>10</v>
      </c>
      <c r="V232" s="53"/>
    </row>
    <row r="233" spans="4:22" s="3" customFormat="1" ht="13.5">
      <c r="D233" s="52"/>
      <c r="E233" s="8" t="s">
        <v>119</v>
      </c>
      <c r="F233" s="5"/>
      <c r="G233" s="5"/>
      <c r="H233" s="5">
        <v>700</v>
      </c>
      <c r="I233" s="5">
        <v>10</v>
      </c>
      <c r="K233" s="5"/>
      <c r="L233" s="5">
        <v>600</v>
      </c>
      <c r="M233" s="5">
        <v>10</v>
      </c>
      <c r="N233" s="5"/>
      <c r="O233" s="5"/>
      <c r="P233" s="5">
        <v>500</v>
      </c>
      <c r="Q233" s="5">
        <v>10</v>
      </c>
      <c r="V233" s="53"/>
    </row>
    <row r="234" spans="4:22" s="3" customFormat="1" ht="13.5">
      <c r="D234" s="52"/>
      <c r="E234" s="5"/>
      <c r="F234" s="5"/>
      <c r="G234" s="5"/>
      <c r="I234" s="5"/>
      <c r="K234" s="5"/>
      <c r="M234" s="5"/>
      <c r="N234" s="5"/>
      <c r="O234" s="5"/>
      <c r="Q234" s="5"/>
      <c r="V234" s="53"/>
    </row>
    <row r="235" spans="4:22" s="3" customFormat="1" ht="13.5" customHeight="1">
      <c r="D235" s="52"/>
      <c r="E235" s="5"/>
      <c r="F235" s="5"/>
      <c r="G235" s="5"/>
      <c r="H235" s="5"/>
      <c r="K235" s="5"/>
      <c r="L235" s="5"/>
      <c r="N235" s="5"/>
      <c r="O235" s="5"/>
      <c r="P235" s="5"/>
      <c r="V235" s="53"/>
    </row>
    <row r="236" spans="4:22" s="3" customFormat="1" ht="13.5" customHeight="1">
      <c r="D236" s="52"/>
      <c r="E236" s="5"/>
      <c r="F236" s="5"/>
      <c r="G236" s="5"/>
      <c r="H236" s="113" t="s">
        <v>54</v>
      </c>
      <c r="K236" s="5"/>
      <c r="N236" s="5"/>
      <c r="O236" s="5"/>
      <c r="V236" s="53"/>
    </row>
    <row r="237" spans="4:22" s="3" customFormat="1" ht="13.5" customHeight="1">
      <c r="D237" s="52"/>
      <c r="E237" s="5"/>
      <c r="F237" s="5"/>
      <c r="G237" s="114" t="s">
        <v>55</v>
      </c>
      <c r="H237" s="150"/>
      <c r="I237" s="55" t="s">
        <v>105</v>
      </c>
      <c r="K237" s="114" t="s">
        <v>55</v>
      </c>
      <c r="L237" s="117" t="s">
        <v>54</v>
      </c>
      <c r="M237" s="55" t="s">
        <v>105</v>
      </c>
      <c r="N237" s="5"/>
      <c r="O237" s="118" t="s">
        <v>99</v>
      </c>
      <c r="P237" s="55" t="s">
        <v>89</v>
      </c>
      <c r="V237" s="53"/>
    </row>
    <row r="238" spans="4:22" s="3" customFormat="1" ht="13.5" customHeight="1">
      <c r="D238" s="52"/>
      <c r="E238" s="5"/>
      <c r="F238" s="5"/>
      <c r="G238" s="115"/>
      <c r="H238" s="150"/>
      <c r="I238" s="121" t="s">
        <v>73</v>
      </c>
      <c r="K238" s="115"/>
      <c r="L238" s="151"/>
      <c r="M238" s="121" t="s">
        <v>73</v>
      </c>
      <c r="N238" s="5"/>
      <c r="O238" s="119"/>
      <c r="P238" s="107" t="s">
        <v>57</v>
      </c>
      <c r="Q238" s="55" t="s">
        <v>113</v>
      </c>
      <c r="V238" s="53"/>
    </row>
    <row r="239" spans="4:22" s="3" customFormat="1" ht="13.5" customHeight="1">
      <c r="D239" s="52"/>
      <c r="E239" s="5"/>
      <c r="F239" s="5"/>
      <c r="G239" s="115"/>
      <c r="H239" s="150"/>
      <c r="I239" s="152"/>
      <c r="K239" s="115"/>
      <c r="L239" s="151"/>
      <c r="M239" s="152"/>
      <c r="N239" s="5"/>
      <c r="O239" s="119"/>
      <c r="P239" s="155"/>
      <c r="Q239" s="108" t="s">
        <v>114</v>
      </c>
      <c r="V239" s="53"/>
    </row>
    <row r="240" spans="4:22" s="3" customFormat="1" ht="13.5" customHeight="1">
      <c r="D240" s="52"/>
      <c r="E240" s="5"/>
      <c r="F240" s="5"/>
      <c r="G240" s="115"/>
      <c r="H240" s="150"/>
      <c r="I240" s="152"/>
      <c r="K240" s="115"/>
      <c r="L240" s="151"/>
      <c r="M240" s="152"/>
      <c r="N240" s="5"/>
      <c r="O240" s="119"/>
      <c r="P240" s="155"/>
      <c r="Q240" s="149"/>
      <c r="V240" s="53"/>
    </row>
    <row r="241" spans="4:22" s="3" customFormat="1" ht="13.5" customHeight="1">
      <c r="D241" s="52"/>
      <c r="E241" s="5"/>
      <c r="F241" s="5"/>
      <c r="G241" s="115"/>
      <c r="H241" s="150"/>
      <c r="I241" s="152"/>
      <c r="K241" s="115"/>
      <c r="L241" s="151"/>
      <c r="M241" s="152"/>
      <c r="N241" s="5"/>
      <c r="O241" s="119"/>
      <c r="P241" s="155"/>
      <c r="Q241" s="149"/>
      <c r="V241" s="53"/>
    </row>
    <row r="242" spans="4:22" s="3" customFormat="1" ht="13.5" customHeight="1">
      <c r="D242" s="52"/>
      <c r="E242" s="5"/>
      <c r="F242" s="5"/>
      <c r="G242" s="116"/>
      <c r="H242" s="150"/>
      <c r="I242" s="153"/>
      <c r="K242" s="116"/>
      <c r="L242" s="154"/>
      <c r="M242" s="153"/>
      <c r="N242" s="5"/>
      <c r="O242" s="120"/>
      <c r="P242" s="156"/>
      <c r="Q242" s="149"/>
      <c r="V242" s="53"/>
    </row>
    <row r="243" spans="4:22" s="3" customFormat="1" ht="13.5">
      <c r="D243" s="52"/>
      <c r="E243" s="56" t="s">
        <v>60</v>
      </c>
      <c r="F243" s="56"/>
      <c r="G243" s="56"/>
      <c r="H243" s="57"/>
      <c r="I243" s="45">
        <v>60</v>
      </c>
      <c r="K243" s="56"/>
      <c r="L243" s="57"/>
      <c r="M243" s="45">
        <v>60</v>
      </c>
      <c r="N243" s="5"/>
      <c r="O243" s="56"/>
      <c r="P243" s="74">
        <v>100</v>
      </c>
      <c r="Q243" s="45">
        <v>50</v>
      </c>
      <c r="V243" s="53"/>
    </row>
    <row r="244" spans="4:22" s="3" customFormat="1" ht="13.5">
      <c r="D244" s="52"/>
      <c r="E244" s="56" t="s">
        <v>48</v>
      </c>
      <c r="F244" s="56"/>
      <c r="G244" s="56"/>
      <c r="H244" s="109">
        <v>540</v>
      </c>
      <c r="I244" s="109"/>
      <c r="K244" s="56"/>
      <c r="L244" s="109">
        <v>540</v>
      </c>
      <c r="M244" s="109"/>
      <c r="N244" s="5"/>
      <c r="O244" s="56"/>
      <c r="P244" s="109">
        <v>450</v>
      </c>
      <c r="Q244" s="109"/>
      <c r="V244" s="53"/>
    </row>
    <row r="245" spans="4:22" s="3" customFormat="1" ht="13.5">
      <c r="D245" s="52"/>
      <c r="E245" s="56"/>
      <c r="F245" s="56"/>
      <c r="G245" s="56"/>
      <c r="H245" s="5"/>
      <c r="K245" s="56"/>
      <c r="L245" s="5"/>
      <c r="N245" s="5"/>
      <c r="O245" s="56"/>
      <c r="P245" s="5"/>
      <c r="V245" s="53"/>
    </row>
    <row r="246" spans="4:22" s="3" customFormat="1" ht="13.5">
      <c r="D246" s="52"/>
      <c r="E246" s="56" t="s">
        <v>61</v>
      </c>
      <c r="F246" s="56"/>
      <c r="G246" s="56"/>
      <c r="H246" s="5"/>
      <c r="I246" s="5"/>
      <c r="K246" s="56"/>
      <c r="L246" s="5"/>
      <c r="M246" s="5"/>
      <c r="N246" s="5"/>
      <c r="O246" s="56"/>
      <c r="P246" s="5"/>
      <c r="Q246" s="5"/>
      <c r="V246" s="53"/>
    </row>
    <row r="247" spans="4:22" s="3" customFormat="1" ht="13.5" customHeight="1">
      <c r="D247" s="52"/>
      <c r="E247" s="58" t="s">
        <v>62</v>
      </c>
      <c r="F247" s="58"/>
      <c r="G247" s="56"/>
      <c r="H247" s="110" t="s">
        <v>63</v>
      </c>
      <c r="I247" s="5">
        <v>91400</v>
      </c>
      <c r="K247" s="56"/>
      <c r="L247" s="110" t="s">
        <v>63</v>
      </c>
      <c r="M247" s="5">
        <v>91400</v>
      </c>
      <c r="N247" s="5"/>
      <c r="O247" s="56"/>
      <c r="P247" s="5">
        <v>91316</v>
      </c>
      <c r="Q247" s="5">
        <v>91400</v>
      </c>
      <c r="V247" s="53"/>
    </row>
    <row r="248" spans="4:22" s="3" customFormat="1" ht="13.5" customHeight="1">
      <c r="D248" s="52"/>
      <c r="E248" s="58" t="s">
        <v>64</v>
      </c>
      <c r="F248" s="58"/>
      <c r="G248" s="56"/>
      <c r="H248" s="111"/>
      <c r="I248" s="5">
        <v>14</v>
      </c>
      <c r="K248" s="56"/>
      <c r="L248" s="111"/>
      <c r="M248" s="5">
        <v>14</v>
      </c>
      <c r="N248" s="5"/>
      <c r="O248" s="56"/>
      <c r="P248" s="5">
        <v>0</v>
      </c>
      <c r="Q248" s="5">
        <v>14</v>
      </c>
      <c r="V248" s="53"/>
    </row>
    <row r="249" spans="4:22" s="3" customFormat="1" ht="13.5">
      <c r="D249" s="52"/>
      <c r="E249" s="58" t="s">
        <v>65</v>
      </c>
      <c r="F249" s="58"/>
      <c r="G249" s="56"/>
      <c r="H249" s="111"/>
      <c r="I249" s="56" t="s">
        <v>35</v>
      </c>
      <c r="K249" s="56"/>
      <c r="L249" s="111"/>
      <c r="M249" s="56" t="s">
        <v>28</v>
      </c>
      <c r="N249" s="5"/>
      <c r="O249" s="56"/>
      <c r="P249" s="56" t="s">
        <v>66</v>
      </c>
      <c r="Q249" s="56" t="s">
        <v>28</v>
      </c>
      <c r="V249" s="53"/>
    </row>
    <row r="250" spans="4:22" s="3" customFormat="1" ht="27">
      <c r="D250" s="52"/>
      <c r="E250" s="56" t="s">
        <v>60</v>
      </c>
      <c r="F250" s="56"/>
      <c r="G250" s="56"/>
      <c r="H250" s="112"/>
      <c r="I250" s="56" t="s">
        <v>120</v>
      </c>
      <c r="K250" s="56"/>
      <c r="L250" s="112"/>
      <c r="M250" s="56" t="s">
        <v>120</v>
      </c>
      <c r="N250" s="5"/>
      <c r="O250" s="56"/>
      <c r="P250" s="56" t="s">
        <v>68</v>
      </c>
      <c r="Q250" s="56" t="s">
        <v>121</v>
      </c>
      <c r="V250" s="53"/>
    </row>
    <row r="251" spans="4:22" s="3" customFormat="1" ht="14.25" thickBot="1">
      <c r="D251" s="59"/>
      <c r="E251" s="60"/>
      <c r="F251" s="60"/>
      <c r="G251" s="60"/>
      <c r="H251" s="60"/>
      <c r="I251" s="61"/>
      <c r="J251" s="62"/>
      <c r="K251" s="62"/>
      <c r="L251" s="62"/>
      <c r="M251" s="62"/>
      <c r="N251" s="62"/>
      <c r="O251" s="62"/>
      <c r="P251" s="62"/>
      <c r="Q251" s="62"/>
      <c r="R251" s="62"/>
      <c r="S251" s="62"/>
      <c r="T251" s="62"/>
      <c r="U251" s="62"/>
      <c r="V251" s="63"/>
    </row>
    <row r="252" spans="4:22" s="3" customFormat="1" ht="13.5">
      <c r="D252" s="48" t="s">
        <v>50</v>
      </c>
      <c r="E252" s="49"/>
      <c r="F252" s="49"/>
      <c r="G252" s="49"/>
      <c r="H252" s="49"/>
      <c r="I252" s="49"/>
      <c r="J252" s="50"/>
      <c r="K252" s="50"/>
      <c r="L252" s="50"/>
      <c r="M252" s="50"/>
      <c r="N252" s="50"/>
      <c r="O252" s="50"/>
      <c r="P252" s="50"/>
      <c r="Q252" s="50"/>
      <c r="R252" s="50"/>
      <c r="S252" s="50"/>
      <c r="T252" s="50"/>
      <c r="U252" s="50"/>
      <c r="V252" s="51"/>
    </row>
    <row r="253" spans="4:22" s="3" customFormat="1" ht="13.5">
      <c r="D253" s="52">
        <v>11</v>
      </c>
      <c r="E253" s="33" t="s">
        <v>122</v>
      </c>
      <c r="F253" s="33"/>
      <c r="G253" s="33"/>
      <c r="H253" s="5"/>
      <c r="I253" s="5"/>
      <c r="V253" s="53"/>
    </row>
    <row r="254" spans="4:22" s="3" customFormat="1" ht="13.5">
      <c r="D254" s="52"/>
      <c r="E254" s="33"/>
      <c r="F254" s="33"/>
      <c r="G254" s="33"/>
      <c r="H254" s="5"/>
      <c r="I254" s="5"/>
      <c r="V254" s="53"/>
    </row>
    <row r="255" spans="4:22" s="5" customFormat="1" ht="13.5">
      <c r="D255" s="52"/>
      <c r="E255" s="5" t="s">
        <v>51</v>
      </c>
      <c r="H255" s="5" t="str">
        <f>"2個"&amp;H258&amp;"円にミックスマッチ設定"</f>
        <v>2個700円にミックスマッチ設定</v>
      </c>
      <c r="I255" s="5" t="str">
        <f>I257&amp;"％のメガ割（自動）"</f>
        <v>10％のメガ割（自動）</v>
      </c>
      <c r="L255" s="5" t="str">
        <f>"2個"&amp;L258&amp;"円にミックスマッチ設定"</f>
        <v>2個600円にミックスマッチ設定</v>
      </c>
      <c r="M255" s="5" t="str">
        <f>M257&amp;"％のメガ割（自動）"</f>
        <v>10％のメガ割（自動）</v>
      </c>
      <c r="P255" s="5" t="str">
        <f>"2個"&amp;P258&amp;"円にミックスマッチ設定"</f>
        <v>2個500円にミックスマッチ設定</v>
      </c>
      <c r="Q255" s="5" t="str">
        <f>Q257&amp;"％のメガ割（自動）"</f>
        <v>10％のメガ割（自動）</v>
      </c>
      <c r="R255" s="3"/>
      <c r="S255" s="3"/>
      <c r="T255" s="3"/>
      <c r="U255" s="3"/>
      <c r="V255" s="54"/>
    </row>
    <row r="256" spans="4:22" s="3" customFormat="1" ht="13.5">
      <c r="D256" s="52"/>
      <c r="E256" s="33"/>
      <c r="G256" s="33"/>
      <c r="H256" s="5"/>
      <c r="I256" s="5"/>
      <c r="K256" s="33"/>
      <c r="L256" s="5"/>
      <c r="M256" s="5"/>
      <c r="N256" s="5"/>
      <c r="O256" s="33"/>
      <c r="P256" s="5"/>
      <c r="Q256" s="5"/>
      <c r="V256" s="53"/>
    </row>
    <row r="257" spans="4:22" s="3" customFormat="1" ht="13.5">
      <c r="D257" s="52"/>
      <c r="E257" s="8" t="s">
        <v>123</v>
      </c>
      <c r="F257" s="5"/>
      <c r="G257" s="5"/>
      <c r="H257" s="5">
        <v>350</v>
      </c>
      <c r="I257" s="5">
        <v>10</v>
      </c>
      <c r="K257" s="5"/>
      <c r="L257" s="5">
        <v>300</v>
      </c>
      <c r="M257" s="5">
        <v>10</v>
      </c>
      <c r="N257" s="5"/>
      <c r="O257" s="5"/>
      <c r="P257" s="5">
        <v>250</v>
      </c>
      <c r="Q257" s="5">
        <v>10</v>
      </c>
      <c r="V257" s="53"/>
    </row>
    <row r="258" spans="4:22" s="3" customFormat="1" ht="13.5">
      <c r="D258" s="52"/>
      <c r="E258" s="8" t="s">
        <v>124</v>
      </c>
      <c r="F258" s="5"/>
      <c r="G258" s="5"/>
      <c r="H258" s="5">
        <v>700</v>
      </c>
      <c r="I258" s="5">
        <v>10</v>
      </c>
      <c r="K258" s="5"/>
      <c r="L258" s="5">
        <v>600</v>
      </c>
      <c r="M258" s="5">
        <v>10</v>
      </c>
      <c r="N258" s="5"/>
      <c r="O258" s="5"/>
      <c r="P258" s="5">
        <v>500</v>
      </c>
      <c r="Q258" s="5">
        <v>10</v>
      </c>
      <c r="V258" s="53"/>
    </row>
    <row r="259" spans="4:22" s="3" customFormat="1" ht="13.5">
      <c r="D259" s="52"/>
      <c r="E259" s="5"/>
      <c r="F259" s="5"/>
      <c r="G259" s="5"/>
      <c r="I259" s="5"/>
      <c r="K259" s="5"/>
      <c r="M259" s="5"/>
      <c r="N259" s="5"/>
      <c r="O259" s="5"/>
      <c r="Q259" s="5"/>
      <c r="V259" s="53"/>
    </row>
    <row r="260" spans="4:22" s="3" customFormat="1" ht="13.5" customHeight="1">
      <c r="D260" s="52"/>
      <c r="E260" s="5"/>
      <c r="F260" s="5"/>
      <c r="G260" s="5"/>
      <c r="H260" s="5"/>
      <c r="K260" s="5"/>
      <c r="L260" s="5"/>
      <c r="N260" s="5"/>
      <c r="O260" s="5"/>
      <c r="P260" s="5"/>
      <c r="V260" s="53"/>
    </row>
    <row r="261" spans="4:22" s="3" customFormat="1" ht="13.5" customHeight="1">
      <c r="D261" s="52"/>
      <c r="E261" s="5"/>
      <c r="F261" s="5"/>
      <c r="G261" s="5"/>
      <c r="H261" s="113" t="s">
        <v>54</v>
      </c>
      <c r="K261" s="5"/>
      <c r="N261" s="5"/>
      <c r="O261" s="5"/>
      <c r="V261" s="53"/>
    </row>
    <row r="262" spans="4:22" s="3" customFormat="1" ht="13.5" customHeight="1">
      <c r="D262" s="52"/>
      <c r="E262" s="5"/>
      <c r="F262" s="5"/>
      <c r="G262" s="114" t="s">
        <v>55</v>
      </c>
      <c r="H262" s="150"/>
      <c r="I262" s="55" t="s">
        <v>105</v>
      </c>
      <c r="K262" s="114" t="s">
        <v>55</v>
      </c>
      <c r="L262" s="117" t="s">
        <v>54</v>
      </c>
      <c r="M262" s="55" t="s">
        <v>105</v>
      </c>
      <c r="N262" s="5"/>
      <c r="O262" s="118" t="s">
        <v>99</v>
      </c>
      <c r="P262" s="55" t="s">
        <v>89</v>
      </c>
      <c r="V262" s="53"/>
    </row>
    <row r="263" spans="4:22" s="3" customFormat="1" ht="13.5" customHeight="1">
      <c r="D263" s="52"/>
      <c r="E263" s="5"/>
      <c r="F263" s="5"/>
      <c r="G263" s="115"/>
      <c r="H263" s="150"/>
      <c r="I263" s="121" t="s">
        <v>73</v>
      </c>
      <c r="K263" s="115"/>
      <c r="L263" s="151"/>
      <c r="M263" s="121" t="s">
        <v>73</v>
      </c>
      <c r="N263" s="5"/>
      <c r="O263" s="119"/>
      <c r="P263" s="107" t="s">
        <v>57</v>
      </c>
      <c r="Q263" s="55" t="s">
        <v>113</v>
      </c>
      <c r="V263" s="53"/>
    </row>
    <row r="264" spans="4:22" s="3" customFormat="1" ht="13.5" customHeight="1">
      <c r="D264" s="52"/>
      <c r="E264" s="5"/>
      <c r="F264" s="5"/>
      <c r="G264" s="115"/>
      <c r="H264" s="150"/>
      <c r="I264" s="152"/>
      <c r="K264" s="115"/>
      <c r="L264" s="151"/>
      <c r="M264" s="152"/>
      <c r="N264" s="5"/>
      <c r="O264" s="119"/>
      <c r="P264" s="155"/>
      <c r="Q264" s="108" t="s">
        <v>114</v>
      </c>
      <c r="V264" s="53"/>
    </row>
    <row r="265" spans="4:22" s="3" customFormat="1" ht="13.5" customHeight="1">
      <c r="D265" s="52"/>
      <c r="E265" s="5"/>
      <c r="F265" s="5"/>
      <c r="G265" s="115"/>
      <c r="H265" s="150"/>
      <c r="I265" s="152"/>
      <c r="K265" s="115"/>
      <c r="L265" s="151"/>
      <c r="M265" s="152"/>
      <c r="N265" s="5"/>
      <c r="O265" s="119"/>
      <c r="P265" s="155"/>
      <c r="Q265" s="149"/>
      <c r="V265" s="53"/>
    </row>
    <row r="266" spans="4:22" s="3" customFormat="1" ht="13.5" customHeight="1">
      <c r="D266" s="52"/>
      <c r="E266" s="5"/>
      <c r="F266" s="5"/>
      <c r="G266" s="115"/>
      <c r="H266" s="150"/>
      <c r="I266" s="152"/>
      <c r="K266" s="115"/>
      <c r="L266" s="151"/>
      <c r="M266" s="152"/>
      <c r="N266" s="5"/>
      <c r="O266" s="119"/>
      <c r="P266" s="155"/>
      <c r="Q266" s="149"/>
      <c r="V266" s="53"/>
    </row>
    <row r="267" spans="4:22" s="3" customFormat="1" ht="13.5" customHeight="1">
      <c r="D267" s="52"/>
      <c r="E267" s="5"/>
      <c r="F267" s="5"/>
      <c r="G267" s="116"/>
      <c r="H267" s="150"/>
      <c r="I267" s="153"/>
      <c r="K267" s="116"/>
      <c r="L267" s="154"/>
      <c r="M267" s="153"/>
      <c r="N267" s="5"/>
      <c r="O267" s="120"/>
      <c r="P267" s="156"/>
      <c r="Q267" s="149"/>
      <c r="V267" s="53"/>
    </row>
    <row r="268" spans="4:22" s="3" customFormat="1" ht="13.5">
      <c r="D268" s="52"/>
      <c r="E268" s="56" t="s">
        <v>60</v>
      </c>
      <c r="F268" s="56"/>
      <c r="G268" s="56"/>
      <c r="H268" s="57"/>
      <c r="I268" s="45">
        <v>60</v>
      </c>
      <c r="K268" s="56"/>
      <c r="L268" s="57"/>
      <c r="M268" s="45">
        <v>60</v>
      </c>
      <c r="N268" s="5"/>
      <c r="O268" s="56"/>
      <c r="P268" s="74">
        <v>100</v>
      </c>
      <c r="Q268" s="45">
        <v>50</v>
      </c>
      <c r="V268" s="53"/>
    </row>
    <row r="269" spans="4:22" s="3" customFormat="1" ht="13.5">
      <c r="D269" s="52"/>
      <c r="E269" s="56" t="s">
        <v>48</v>
      </c>
      <c r="F269" s="56"/>
      <c r="G269" s="56"/>
      <c r="H269" s="109">
        <v>540</v>
      </c>
      <c r="I269" s="109"/>
      <c r="K269" s="56"/>
      <c r="L269" s="109">
        <v>540</v>
      </c>
      <c r="M269" s="109"/>
      <c r="N269" s="5"/>
      <c r="O269" s="56"/>
      <c r="P269" s="109">
        <v>450</v>
      </c>
      <c r="Q269" s="109"/>
      <c r="V269" s="53"/>
    </row>
    <row r="270" spans="4:22" s="3" customFormat="1" ht="13.5">
      <c r="D270" s="52"/>
      <c r="E270" s="56"/>
      <c r="F270" s="56"/>
      <c r="G270" s="56"/>
      <c r="H270" s="5"/>
      <c r="K270" s="56"/>
      <c r="L270" s="5"/>
      <c r="N270" s="5"/>
      <c r="O270" s="56"/>
      <c r="P270" s="5"/>
      <c r="V270" s="53"/>
    </row>
    <row r="271" spans="4:22" s="3" customFormat="1" ht="13.5">
      <c r="D271" s="52"/>
      <c r="E271" s="56" t="s">
        <v>61</v>
      </c>
      <c r="F271" s="56"/>
      <c r="G271" s="56"/>
      <c r="H271" s="5"/>
      <c r="I271" s="5"/>
      <c r="K271" s="56"/>
      <c r="L271" s="5"/>
      <c r="M271" s="5"/>
      <c r="N271" s="5"/>
      <c r="O271" s="56"/>
      <c r="P271" s="5"/>
      <c r="Q271" s="5"/>
      <c r="V271" s="53"/>
    </row>
    <row r="272" spans="4:22" s="3" customFormat="1" ht="13.5" customHeight="1">
      <c r="D272" s="52"/>
      <c r="E272" s="58" t="s">
        <v>62</v>
      </c>
      <c r="F272" s="58"/>
      <c r="G272" s="56"/>
      <c r="H272" s="110" t="s">
        <v>63</v>
      </c>
      <c r="I272" s="5">
        <v>91400</v>
      </c>
      <c r="K272" s="56"/>
      <c r="L272" s="110" t="s">
        <v>63</v>
      </c>
      <c r="M272" s="5">
        <v>91400</v>
      </c>
      <c r="N272" s="5"/>
      <c r="O272" s="56"/>
      <c r="P272" s="5">
        <v>91316</v>
      </c>
      <c r="Q272" s="5">
        <v>91400</v>
      </c>
      <c r="V272" s="53"/>
    </row>
    <row r="273" spans="4:22" s="3" customFormat="1" ht="13.5" customHeight="1">
      <c r="D273" s="52"/>
      <c r="E273" s="58" t="s">
        <v>64</v>
      </c>
      <c r="F273" s="58"/>
      <c r="G273" s="56"/>
      <c r="H273" s="111"/>
      <c r="I273" s="5">
        <v>14</v>
      </c>
      <c r="K273" s="56"/>
      <c r="L273" s="111"/>
      <c r="M273" s="5">
        <v>14</v>
      </c>
      <c r="N273" s="5"/>
      <c r="O273" s="56"/>
      <c r="P273" s="5">
        <v>0</v>
      </c>
      <c r="Q273" s="5">
        <v>14</v>
      </c>
      <c r="V273" s="53"/>
    </row>
    <row r="274" spans="4:22" s="3" customFormat="1" ht="13.5">
      <c r="D274" s="52"/>
      <c r="E274" s="58" t="s">
        <v>65</v>
      </c>
      <c r="F274" s="58"/>
      <c r="G274" s="56"/>
      <c r="H274" s="111"/>
      <c r="I274" s="56" t="s">
        <v>35</v>
      </c>
      <c r="K274" s="56"/>
      <c r="L274" s="111"/>
      <c r="M274" s="56" t="s">
        <v>28</v>
      </c>
      <c r="N274" s="5"/>
      <c r="O274" s="56"/>
      <c r="P274" s="56" t="s">
        <v>66</v>
      </c>
      <c r="Q274" s="56" t="s">
        <v>28</v>
      </c>
      <c r="V274" s="53"/>
    </row>
    <row r="275" spans="4:22" s="3" customFormat="1" ht="27">
      <c r="D275" s="52"/>
      <c r="E275" s="56" t="s">
        <v>60</v>
      </c>
      <c r="F275" s="56"/>
      <c r="G275" s="56"/>
      <c r="H275" s="112"/>
      <c r="I275" s="56" t="s">
        <v>125</v>
      </c>
      <c r="K275" s="56"/>
      <c r="L275" s="112"/>
      <c r="M275" s="56" t="s">
        <v>125</v>
      </c>
      <c r="N275" s="5"/>
      <c r="O275" s="56"/>
      <c r="P275" s="56" t="s">
        <v>68</v>
      </c>
      <c r="Q275" s="56" t="s">
        <v>126</v>
      </c>
      <c r="V275" s="53"/>
    </row>
    <row r="276" spans="4:22" s="3" customFormat="1" ht="14.25" thickBot="1">
      <c r="D276" s="59"/>
      <c r="E276" s="60"/>
      <c r="F276" s="60"/>
      <c r="G276" s="60"/>
      <c r="H276" s="60"/>
      <c r="I276" s="61"/>
      <c r="J276" s="62"/>
      <c r="K276" s="62"/>
      <c r="L276" s="62"/>
      <c r="M276" s="62"/>
      <c r="N276" s="62"/>
      <c r="O276" s="62"/>
      <c r="P276" s="62"/>
      <c r="Q276" s="62"/>
      <c r="R276" s="62"/>
      <c r="S276" s="62"/>
      <c r="T276" s="62"/>
      <c r="U276" s="62"/>
      <c r="V276" s="63"/>
    </row>
    <row r="277" spans="4:22" s="3" customFormat="1" ht="13.5">
      <c r="D277" s="48" t="s">
        <v>50</v>
      </c>
      <c r="E277" s="49"/>
      <c r="F277" s="49"/>
      <c r="G277" s="49"/>
      <c r="H277" s="49"/>
      <c r="I277" s="49"/>
      <c r="J277" s="50"/>
      <c r="K277" s="50"/>
      <c r="L277" s="50"/>
      <c r="M277" s="50"/>
      <c r="N277" s="50"/>
      <c r="O277" s="50"/>
      <c r="P277" s="50"/>
      <c r="Q277" s="50"/>
      <c r="R277" s="50"/>
      <c r="S277" s="50"/>
      <c r="T277" s="50"/>
      <c r="U277" s="50"/>
      <c r="V277" s="51"/>
    </row>
    <row r="278" spans="4:22" s="3" customFormat="1" ht="13.5">
      <c r="D278" s="52">
        <v>12</v>
      </c>
      <c r="E278" s="33" t="s">
        <v>127</v>
      </c>
      <c r="F278" s="33"/>
      <c r="G278" s="33"/>
      <c r="H278" s="5"/>
      <c r="I278" s="5"/>
      <c r="V278" s="53"/>
    </row>
    <row r="279" spans="4:22" s="3" customFormat="1" ht="13.5">
      <c r="D279" s="52"/>
      <c r="E279" s="33"/>
      <c r="F279" s="33"/>
      <c r="G279" s="33"/>
      <c r="H279" s="5"/>
      <c r="I279" s="5"/>
      <c r="V279" s="53"/>
    </row>
    <row r="280" spans="4:22" s="5" customFormat="1" ht="13.5">
      <c r="D280" s="52"/>
      <c r="E280" s="5" t="s">
        <v>51</v>
      </c>
      <c r="H280" s="5" t="str">
        <f>"2個"&amp;H283&amp;"円にミックスマッチ設定"</f>
        <v>2個700円にミックスマッチ設定</v>
      </c>
      <c r="I280" s="5" t="str">
        <f>I282&amp;"％のクレジット割（自動）"</f>
        <v>10％のクレジット割（自動）</v>
      </c>
      <c r="L280" s="5" t="str">
        <f>"2個"&amp;L283&amp;"円にミックスマッチ設定"</f>
        <v>2個600円にミックスマッチ設定</v>
      </c>
      <c r="M280" s="5" t="str">
        <f>M282&amp;"％のクレジット割（自動）"</f>
        <v>10％のクレジット割（自動）</v>
      </c>
      <c r="P280" s="5" t="str">
        <f>"2個"&amp;P283&amp;"円にミックスマッチ設定"</f>
        <v>2個500円にミックスマッチ設定</v>
      </c>
      <c r="Q280" s="5" t="str">
        <f>Q282&amp;"％のクレジット割（自動）"</f>
        <v>10％のクレジット割（自動）</v>
      </c>
      <c r="R280" s="3"/>
      <c r="S280" s="3"/>
      <c r="T280" s="3"/>
      <c r="U280" s="3"/>
      <c r="V280" s="54"/>
    </row>
    <row r="281" spans="4:22" s="3" customFormat="1" ht="13.5">
      <c r="D281" s="52"/>
      <c r="E281" s="33"/>
      <c r="G281" s="33"/>
      <c r="H281" s="5"/>
      <c r="I281" s="5"/>
      <c r="K281" s="33"/>
      <c r="L281" s="5"/>
      <c r="M281" s="5"/>
      <c r="N281" s="5"/>
      <c r="O281" s="33"/>
      <c r="P281" s="5"/>
      <c r="Q281" s="5"/>
      <c r="V281" s="53"/>
    </row>
    <row r="282" spans="4:22" s="3" customFormat="1" ht="13.5">
      <c r="D282" s="52"/>
      <c r="E282" s="8" t="s">
        <v>128</v>
      </c>
      <c r="F282" s="5"/>
      <c r="G282" s="5"/>
      <c r="H282" s="5">
        <v>350</v>
      </c>
      <c r="I282" s="5">
        <v>10</v>
      </c>
      <c r="K282" s="5"/>
      <c r="L282" s="5">
        <v>300</v>
      </c>
      <c r="M282" s="5">
        <v>10</v>
      </c>
      <c r="N282" s="5"/>
      <c r="O282" s="5"/>
      <c r="P282" s="5">
        <v>250</v>
      </c>
      <c r="Q282" s="5">
        <v>10</v>
      </c>
      <c r="V282" s="53"/>
    </row>
    <row r="283" spans="4:22" s="3" customFormat="1" ht="13.5">
      <c r="D283" s="52"/>
      <c r="E283" s="8" t="s">
        <v>129</v>
      </c>
      <c r="F283" s="5"/>
      <c r="G283" s="5"/>
      <c r="H283" s="5">
        <v>700</v>
      </c>
      <c r="I283" s="5">
        <v>10</v>
      </c>
      <c r="K283" s="5"/>
      <c r="L283" s="5">
        <v>600</v>
      </c>
      <c r="M283" s="5">
        <v>10</v>
      </c>
      <c r="N283" s="5"/>
      <c r="O283" s="5"/>
      <c r="P283" s="5">
        <v>500</v>
      </c>
      <c r="Q283" s="5">
        <v>10</v>
      </c>
      <c r="V283" s="53"/>
    </row>
    <row r="284" spans="4:22" s="3" customFormat="1" ht="13.5">
      <c r="D284" s="52"/>
      <c r="E284" s="5"/>
      <c r="F284" s="5"/>
      <c r="G284" s="5"/>
      <c r="I284" s="5"/>
      <c r="K284" s="5"/>
      <c r="M284" s="5"/>
      <c r="N284" s="5"/>
      <c r="O284" s="5"/>
      <c r="Q284" s="5"/>
      <c r="V284" s="53"/>
    </row>
    <row r="285" spans="4:22" s="3" customFormat="1" ht="13.5" customHeight="1">
      <c r="D285" s="52"/>
      <c r="E285" s="5"/>
      <c r="F285" s="5"/>
      <c r="G285" s="5"/>
      <c r="H285" s="5"/>
      <c r="K285" s="5"/>
      <c r="L285" s="5"/>
      <c r="N285" s="5"/>
      <c r="O285" s="5"/>
      <c r="P285" s="5"/>
      <c r="V285" s="53"/>
    </row>
    <row r="286" spans="4:22" s="3" customFormat="1" ht="13.5" customHeight="1">
      <c r="D286" s="52"/>
      <c r="E286" s="5"/>
      <c r="F286" s="5"/>
      <c r="G286" s="5"/>
      <c r="H286" s="113" t="s">
        <v>54</v>
      </c>
      <c r="K286" s="5"/>
      <c r="N286" s="5"/>
      <c r="O286" s="5"/>
      <c r="V286" s="53"/>
    </row>
    <row r="287" spans="4:22" s="3" customFormat="1" ht="13.5" customHeight="1">
      <c r="D287" s="52"/>
      <c r="E287" s="5"/>
      <c r="F287" s="5"/>
      <c r="G287" s="114" t="s">
        <v>55</v>
      </c>
      <c r="H287" s="150"/>
      <c r="I287" s="55" t="s">
        <v>105</v>
      </c>
      <c r="K287" s="114" t="s">
        <v>55</v>
      </c>
      <c r="L287" s="117" t="s">
        <v>54</v>
      </c>
      <c r="M287" s="55" t="s">
        <v>105</v>
      </c>
      <c r="N287" s="5"/>
      <c r="O287" s="118" t="s">
        <v>99</v>
      </c>
      <c r="P287" s="55" t="s">
        <v>89</v>
      </c>
      <c r="V287" s="53"/>
    </row>
    <row r="288" spans="4:22" s="3" customFormat="1" ht="13.5" customHeight="1">
      <c r="D288" s="52"/>
      <c r="E288" s="5"/>
      <c r="F288" s="5"/>
      <c r="G288" s="115"/>
      <c r="H288" s="150"/>
      <c r="I288" s="121" t="s">
        <v>73</v>
      </c>
      <c r="K288" s="115"/>
      <c r="L288" s="151"/>
      <c r="M288" s="121" t="s">
        <v>73</v>
      </c>
      <c r="N288" s="5"/>
      <c r="O288" s="119"/>
      <c r="P288" s="107" t="s">
        <v>57</v>
      </c>
      <c r="Q288" s="55" t="s">
        <v>113</v>
      </c>
      <c r="V288" s="53"/>
    </row>
    <row r="289" spans="4:22" s="3" customFormat="1" ht="13.5" customHeight="1">
      <c r="D289" s="52"/>
      <c r="E289" s="5"/>
      <c r="F289" s="5"/>
      <c r="G289" s="115"/>
      <c r="H289" s="150"/>
      <c r="I289" s="152"/>
      <c r="K289" s="115"/>
      <c r="L289" s="151"/>
      <c r="M289" s="152"/>
      <c r="N289" s="5"/>
      <c r="O289" s="119"/>
      <c r="P289" s="155"/>
      <c r="Q289" s="108" t="s">
        <v>114</v>
      </c>
      <c r="V289" s="53"/>
    </row>
    <row r="290" spans="4:22" s="3" customFormat="1" ht="13.5" customHeight="1">
      <c r="D290" s="52"/>
      <c r="E290" s="5"/>
      <c r="F290" s="5"/>
      <c r="G290" s="115"/>
      <c r="H290" s="150"/>
      <c r="I290" s="152"/>
      <c r="K290" s="115"/>
      <c r="L290" s="151"/>
      <c r="M290" s="152"/>
      <c r="N290" s="5"/>
      <c r="O290" s="119"/>
      <c r="P290" s="155"/>
      <c r="Q290" s="149"/>
      <c r="V290" s="53"/>
    </row>
    <row r="291" spans="4:22" s="3" customFormat="1" ht="13.5" customHeight="1">
      <c r="D291" s="52"/>
      <c r="E291" s="5"/>
      <c r="F291" s="5"/>
      <c r="G291" s="115"/>
      <c r="H291" s="150"/>
      <c r="I291" s="152"/>
      <c r="K291" s="115"/>
      <c r="L291" s="151"/>
      <c r="M291" s="152"/>
      <c r="N291" s="5"/>
      <c r="O291" s="119"/>
      <c r="P291" s="155"/>
      <c r="Q291" s="149"/>
      <c r="V291" s="53"/>
    </row>
    <row r="292" spans="4:22" s="3" customFormat="1" ht="13.5" customHeight="1">
      <c r="D292" s="52"/>
      <c r="E292" s="5"/>
      <c r="F292" s="5"/>
      <c r="G292" s="116"/>
      <c r="H292" s="150"/>
      <c r="I292" s="153"/>
      <c r="K292" s="116"/>
      <c r="L292" s="154"/>
      <c r="M292" s="153"/>
      <c r="N292" s="5"/>
      <c r="O292" s="120"/>
      <c r="P292" s="156"/>
      <c r="Q292" s="149"/>
      <c r="V292" s="53"/>
    </row>
    <row r="293" spans="4:22" s="3" customFormat="1" ht="13.5">
      <c r="D293" s="52"/>
      <c r="E293" s="56" t="s">
        <v>60</v>
      </c>
      <c r="F293" s="56"/>
      <c r="G293" s="56"/>
      <c r="H293" s="57"/>
      <c r="I293" s="45">
        <v>60</v>
      </c>
      <c r="K293" s="56"/>
      <c r="L293" s="57"/>
      <c r="M293" s="45">
        <v>60</v>
      </c>
      <c r="N293" s="5"/>
      <c r="O293" s="56"/>
      <c r="P293" s="74">
        <v>100</v>
      </c>
      <c r="Q293" s="45">
        <v>50</v>
      </c>
      <c r="V293" s="53"/>
    </row>
    <row r="294" spans="4:22" s="3" customFormat="1" ht="13.5">
      <c r="D294" s="52"/>
      <c r="E294" s="56" t="s">
        <v>48</v>
      </c>
      <c r="F294" s="56"/>
      <c r="G294" s="56"/>
      <c r="H294" s="109">
        <v>540</v>
      </c>
      <c r="I294" s="109"/>
      <c r="K294" s="56"/>
      <c r="L294" s="109">
        <v>540</v>
      </c>
      <c r="M294" s="109"/>
      <c r="N294" s="5"/>
      <c r="O294" s="56"/>
      <c r="P294" s="109">
        <v>450</v>
      </c>
      <c r="Q294" s="109"/>
      <c r="V294" s="53"/>
    </row>
    <row r="295" spans="4:22" s="3" customFormat="1" ht="13.5">
      <c r="D295" s="52"/>
      <c r="E295" s="56"/>
      <c r="F295" s="56"/>
      <c r="G295" s="56"/>
      <c r="H295" s="5"/>
      <c r="K295" s="56"/>
      <c r="L295" s="5"/>
      <c r="N295" s="5"/>
      <c r="O295" s="56"/>
      <c r="P295" s="5"/>
      <c r="V295" s="53"/>
    </row>
    <row r="296" spans="4:22" s="3" customFormat="1" ht="13.5">
      <c r="D296" s="52"/>
      <c r="E296" s="56" t="s">
        <v>61</v>
      </c>
      <c r="F296" s="56"/>
      <c r="G296" s="56"/>
      <c r="H296" s="5"/>
      <c r="I296" s="5"/>
      <c r="K296" s="56"/>
      <c r="L296" s="5"/>
      <c r="M296" s="5"/>
      <c r="N296" s="5"/>
      <c r="O296" s="56"/>
      <c r="P296" s="5"/>
      <c r="Q296" s="5"/>
      <c r="V296" s="53"/>
    </row>
    <row r="297" spans="4:22" s="3" customFormat="1" ht="13.5" customHeight="1">
      <c r="D297" s="52"/>
      <c r="E297" s="58" t="s">
        <v>62</v>
      </c>
      <c r="F297" s="58"/>
      <c r="G297" s="56"/>
      <c r="H297" s="110" t="s">
        <v>63</v>
      </c>
      <c r="I297" s="5">
        <v>91400</v>
      </c>
      <c r="K297" s="56"/>
      <c r="L297" s="110" t="s">
        <v>63</v>
      </c>
      <c r="M297" s="5">
        <v>91400</v>
      </c>
      <c r="N297" s="5"/>
      <c r="O297" s="56"/>
      <c r="P297" s="5">
        <v>91316</v>
      </c>
      <c r="Q297" s="5">
        <v>91400</v>
      </c>
      <c r="V297" s="53"/>
    </row>
    <row r="298" spans="4:22" s="3" customFormat="1" ht="13.5" customHeight="1">
      <c r="D298" s="52"/>
      <c r="E298" s="58" t="s">
        <v>64</v>
      </c>
      <c r="F298" s="58"/>
      <c r="G298" s="56"/>
      <c r="H298" s="111"/>
      <c r="I298" s="5">
        <v>14</v>
      </c>
      <c r="K298" s="56"/>
      <c r="L298" s="111"/>
      <c r="M298" s="5">
        <v>14</v>
      </c>
      <c r="N298" s="5"/>
      <c r="O298" s="56"/>
      <c r="P298" s="5">
        <v>0</v>
      </c>
      <c r="Q298" s="5">
        <v>14</v>
      </c>
      <c r="V298" s="53"/>
    </row>
    <row r="299" spans="4:22" s="3" customFormat="1" ht="13.5">
      <c r="D299" s="52"/>
      <c r="E299" s="58" t="s">
        <v>65</v>
      </c>
      <c r="F299" s="58"/>
      <c r="G299" s="56"/>
      <c r="H299" s="111"/>
      <c r="I299" s="56" t="s">
        <v>35</v>
      </c>
      <c r="K299" s="56"/>
      <c r="L299" s="111"/>
      <c r="M299" s="56" t="s">
        <v>28</v>
      </c>
      <c r="N299" s="5"/>
      <c r="O299" s="56"/>
      <c r="P299" s="56" t="s">
        <v>66</v>
      </c>
      <c r="Q299" s="56" t="s">
        <v>28</v>
      </c>
      <c r="V299" s="53"/>
    </row>
    <row r="300" spans="4:22" s="3" customFormat="1" ht="27">
      <c r="D300" s="52"/>
      <c r="E300" s="56" t="s">
        <v>60</v>
      </c>
      <c r="F300" s="56"/>
      <c r="G300" s="56"/>
      <c r="H300" s="112"/>
      <c r="I300" s="56" t="s">
        <v>130</v>
      </c>
      <c r="K300" s="56"/>
      <c r="L300" s="112"/>
      <c r="M300" s="56" t="s">
        <v>130</v>
      </c>
      <c r="N300" s="5"/>
      <c r="O300" s="56"/>
      <c r="P300" s="56" t="s">
        <v>68</v>
      </c>
      <c r="Q300" s="56" t="s">
        <v>131</v>
      </c>
      <c r="V300" s="53"/>
    </row>
    <row r="301" spans="4:22" s="3" customFormat="1" ht="14.25" thickBot="1">
      <c r="D301" s="59"/>
      <c r="E301" s="60"/>
      <c r="F301" s="60"/>
      <c r="G301" s="60"/>
      <c r="H301" s="60"/>
      <c r="I301" s="61"/>
      <c r="J301" s="62"/>
      <c r="K301" s="62"/>
      <c r="L301" s="62"/>
      <c r="M301" s="62"/>
      <c r="N301" s="62"/>
      <c r="O301" s="62"/>
      <c r="P301" s="62"/>
      <c r="Q301" s="62"/>
      <c r="R301" s="62"/>
      <c r="S301" s="62"/>
      <c r="T301" s="62"/>
      <c r="U301" s="62"/>
      <c r="V301" s="63"/>
    </row>
  </sheetData>
  <mergeCells count="185">
    <mergeCell ref="Q13:Q17"/>
    <mergeCell ref="T60:T61"/>
    <mergeCell ref="H122:H125"/>
    <mergeCell ref="I14:I17"/>
    <mergeCell ref="M13:M17"/>
    <mergeCell ref="L22:L25"/>
    <mergeCell ref="P11:P17"/>
    <mergeCell ref="G12:G17"/>
    <mergeCell ref="K12:K17"/>
    <mergeCell ref="L12:L17"/>
    <mergeCell ref="O12:O17"/>
    <mergeCell ref="H13:H17"/>
    <mergeCell ref="G36:G41"/>
    <mergeCell ref="K36:K41"/>
    <mergeCell ref="L36:L41"/>
    <mergeCell ref="O36:O41"/>
    <mergeCell ref="H37:H41"/>
    <mergeCell ref="M37:M41"/>
    <mergeCell ref="H19:I19"/>
    <mergeCell ref="L19:M19"/>
    <mergeCell ref="P19:Q19"/>
    <mergeCell ref="Q37:Q41"/>
    <mergeCell ref="I38:I41"/>
    <mergeCell ref="H43:I43"/>
    <mergeCell ref="L43:M43"/>
    <mergeCell ref="P43:Q43"/>
    <mergeCell ref="L46:L49"/>
    <mergeCell ref="P46:P49"/>
    <mergeCell ref="P22:P25"/>
    <mergeCell ref="P35:P41"/>
    <mergeCell ref="I62:I63"/>
    <mergeCell ref="G86:G91"/>
    <mergeCell ref="K86:K91"/>
    <mergeCell ref="O86:O91"/>
    <mergeCell ref="L62:L66"/>
    <mergeCell ref="P62:P66"/>
    <mergeCell ref="Q61:Q66"/>
    <mergeCell ref="H68:I68"/>
    <mergeCell ref="L68:M68"/>
    <mergeCell ref="P68:Q68"/>
    <mergeCell ref="G61:G66"/>
    <mergeCell ref="K61:K66"/>
    <mergeCell ref="O61:O66"/>
    <mergeCell ref="H62:H66"/>
    <mergeCell ref="M62:M66"/>
    <mergeCell ref="I64:I66"/>
    <mergeCell ref="G112:G117"/>
    <mergeCell ref="K112:K117"/>
    <mergeCell ref="O112:O117"/>
    <mergeCell ref="Q85:Q91"/>
    <mergeCell ref="L96:L99"/>
    <mergeCell ref="M96:M99"/>
    <mergeCell ref="H96:H99"/>
    <mergeCell ref="P86:P91"/>
    <mergeCell ref="H93:I93"/>
    <mergeCell ref="L93:M93"/>
    <mergeCell ref="P93:Q93"/>
    <mergeCell ref="Q96:Q99"/>
    <mergeCell ref="H86:H91"/>
    <mergeCell ref="I87:I91"/>
    <mergeCell ref="L86:L91"/>
    <mergeCell ref="M86:M91"/>
    <mergeCell ref="H111:H117"/>
    <mergeCell ref="I110:I117"/>
    <mergeCell ref="I122:I125"/>
    <mergeCell ref="L111:L117"/>
    <mergeCell ref="M111:M117"/>
    <mergeCell ref="H119:I119"/>
    <mergeCell ref="L119:M119"/>
    <mergeCell ref="P119:Q119"/>
    <mergeCell ref="L122:L125"/>
    <mergeCell ref="M122:M125"/>
    <mergeCell ref="Q122:Q125"/>
    <mergeCell ref="S61:S66"/>
    <mergeCell ref="T62:T66"/>
    <mergeCell ref="T68:U68"/>
    <mergeCell ref="U71:U74"/>
    <mergeCell ref="U60:U66"/>
    <mergeCell ref="P111:P117"/>
    <mergeCell ref="Q112:Q117"/>
    <mergeCell ref="P122:P125"/>
    <mergeCell ref="T111:T117"/>
    <mergeCell ref="S112:S117"/>
    <mergeCell ref="T119:U119"/>
    <mergeCell ref="T122:T125"/>
    <mergeCell ref="U113:U117"/>
    <mergeCell ref="Q71:Q74"/>
    <mergeCell ref="P138:P142"/>
    <mergeCell ref="Q139:Q142"/>
    <mergeCell ref="H144:I144"/>
    <mergeCell ref="L144:M144"/>
    <mergeCell ref="P144:Q144"/>
    <mergeCell ref="H147:H150"/>
    <mergeCell ref="H136:H142"/>
    <mergeCell ref="L147:L150"/>
    <mergeCell ref="G137:G142"/>
    <mergeCell ref="K137:K142"/>
    <mergeCell ref="L137:L142"/>
    <mergeCell ref="O137:O142"/>
    <mergeCell ref="I138:I142"/>
    <mergeCell ref="M138:M142"/>
    <mergeCell ref="P163:P167"/>
    <mergeCell ref="Q164:Q167"/>
    <mergeCell ref="H169:I169"/>
    <mergeCell ref="L169:M169"/>
    <mergeCell ref="P169:Q169"/>
    <mergeCell ref="H172:H175"/>
    <mergeCell ref="L172:L175"/>
    <mergeCell ref="H161:H167"/>
    <mergeCell ref="G162:G167"/>
    <mergeCell ref="K162:K167"/>
    <mergeCell ref="L162:L167"/>
    <mergeCell ref="O162:O167"/>
    <mergeCell ref="I163:I167"/>
    <mergeCell ref="M163:M167"/>
    <mergeCell ref="P188:P192"/>
    <mergeCell ref="Q189:Q192"/>
    <mergeCell ref="H194:I194"/>
    <mergeCell ref="L194:M194"/>
    <mergeCell ref="P194:Q194"/>
    <mergeCell ref="H197:H200"/>
    <mergeCell ref="L197:L200"/>
    <mergeCell ref="H186:H192"/>
    <mergeCell ref="G187:G192"/>
    <mergeCell ref="K187:K192"/>
    <mergeCell ref="L187:L192"/>
    <mergeCell ref="O187:O192"/>
    <mergeCell ref="I188:I192"/>
    <mergeCell ref="M188:M192"/>
    <mergeCell ref="P213:P217"/>
    <mergeCell ref="Q214:Q217"/>
    <mergeCell ref="H219:I219"/>
    <mergeCell ref="L219:M219"/>
    <mergeCell ref="P219:Q219"/>
    <mergeCell ref="H222:H225"/>
    <mergeCell ref="L222:L225"/>
    <mergeCell ref="H211:H217"/>
    <mergeCell ref="G212:G217"/>
    <mergeCell ref="K212:K217"/>
    <mergeCell ref="L212:L217"/>
    <mergeCell ref="O212:O217"/>
    <mergeCell ref="I213:I217"/>
    <mergeCell ref="M213:M217"/>
    <mergeCell ref="P238:P242"/>
    <mergeCell ref="Q239:Q242"/>
    <mergeCell ref="H244:I244"/>
    <mergeCell ref="L244:M244"/>
    <mergeCell ref="P244:Q244"/>
    <mergeCell ref="H247:H250"/>
    <mergeCell ref="L247:L250"/>
    <mergeCell ref="H236:H242"/>
    <mergeCell ref="G237:G242"/>
    <mergeCell ref="K237:K242"/>
    <mergeCell ref="L237:L242"/>
    <mergeCell ref="O237:O242"/>
    <mergeCell ref="I238:I242"/>
    <mergeCell ref="M238:M242"/>
    <mergeCell ref="P263:P267"/>
    <mergeCell ref="Q264:Q267"/>
    <mergeCell ref="H269:I269"/>
    <mergeCell ref="L269:M269"/>
    <mergeCell ref="P269:Q269"/>
    <mergeCell ref="H272:H275"/>
    <mergeCell ref="L272:L275"/>
    <mergeCell ref="H261:H267"/>
    <mergeCell ref="G262:G267"/>
    <mergeCell ref="K262:K267"/>
    <mergeCell ref="L262:L267"/>
    <mergeCell ref="O262:O267"/>
    <mergeCell ref="I263:I267"/>
    <mergeCell ref="M263:M267"/>
    <mergeCell ref="P288:P292"/>
    <mergeCell ref="Q289:Q292"/>
    <mergeCell ref="H294:I294"/>
    <mergeCell ref="L294:M294"/>
    <mergeCell ref="P294:Q294"/>
    <mergeCell ref="H297:H300"/>
    <mergeCell ref="L297:L300"/>
    <mergeCell ref="H286:H292"/>
    <mergeCell ref="G287:G292"/>
    <mergeCell ref="K287:K292"/>
    <mergeCell ref="L287:L292"/>
    <mergeCell ref="O287:O292"/>
    <mergeCell ref="I288:I292"/>
    <mergeCell ref="M288:M292"/>
  </mergeCells>
  <phoneticPr fontId="1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584E4-6635-47B5-AF3E-641D156F376B}">
  <dimension ref="A1:P22"/>
  <sheetViews>
    <sheetView workbookViewId="0">
      <pane xSplit="2" ySplit="1" topLeftCell="C2" activePane="bottomRight" state="frozen"/>
      <selection pane="bottomRight" activeCell="D2" sqref="D2"/>
      <selection pane="bottomLeft" activeCell="A2" sqref="A2"/>
      <selection pane="topRight" activeCell="C1" sqref="C1"/>
    </sheetView>
  </sheetViews>
  <sheetFormatPr defaultColWidth="32.875" defaultRowHeight="18.75"/>
  <cols>
    <col min="1" max="1" width="5.25" bestFit="1" customWidth="1"/>
    <col min="2" max="2" width="12.375" bestFit="1" customWidth="1"/>
    <col min="3" max="3" width="32.125" bestFit="1" customWidth="1"/>
    <col min="4" max="4" width="15" bestFit="1" customWidth="1"/>
    <col min="5" max="5" width="10.5" bestFit="1" customWidth="1"/>
    <col min="6" max="6" width="5.25" bestFit="1" customWidth="1"/>
    <col min="7" max="8" width="9.875" bestFit="1" customWidth="1"/>
    <col min="9" max="9" width="9" bestFit="1" customWidth="1"/>
    <col min="10" max="10" width="7.125" bestFit="1" customWidth="1"/>
    <col min="11" max="11" width="18.125" bestFit="1" customWidth="1"/>
    <col min="12" max="12" width="10.625" bestFit="1" customWidth="1"/>
    <col min="13" max="13" width="9" bestFit="1" customWidth="1"/>
    <col min="14" max="14" width="11" bestFit="1" customWidth="1"/>
    <col min="15" max="16" width="13" bestFit="1" customWidth="1"/>
  </cols>
  <sheetData>
    <row r="1" spans="1:16">
      <c r="A1" s="75" t="s">
        <v>132</v>
      </c>
      <c r="B1" s="75" t="s">
        <v>133</v>
      </c>
      <c r="C1" s="75" t="s">
        <v>134</v>
      </c>
      <c r="D1" s="75" t="s">
        <v>135</v>
      </c>
      <c r="E1" s="75" t="s">
        <v>136</v>
      </c>
      <c r="F1" s="75" t="s">
        <v>137</v>
      </c>
      <c r="G1" s="75" t="s">
        <v>138</v>
      </c>
      <c r="H1" s="75" t="s">
        <v>139</v>
      </c>
      <c r="I1" s="75" t="s">
        <v>5</v>
      </c>
      <c r="J1" s="75" t="s">
        <v>140</v>
      </c>
      <c r="K1" s="75" t="s">
        <v>6</v>
      </c>
      <c r="L1" s="75" t="s">
        <v>141</v>
      </c>
      <c r="M1" s="75" t="s">
        <v>142</v>
      </c>
      <c r="N1" s="75" t="s">
        <v>143</v>
      </c>
      <c r="O1" s="75" t="s">
        <v>144</v>
      </c>
      <c r="P1" s="75" t="s">
        <v>145</v>
      </c>
    </row>
    <row r="2" spans="1:16">
      <c r="A2" s="76">
        <v>1</v>
      </c>
      <c r="B2" s="4" t="s">
        <v>146</v>
      </c>
      <c r="C2" s="4" t="s">
        <v>147</v>
      </c>
      <c r="D2" s="4" t="s">
        <v>148</v>
      </c>
      <c r="E2" s="4" t="s">
        <v>149</v>
      </c>
      <c r="F2" s="4" t="s">
        <v>150</v>
      </c>
      <c r="G2" s="4" t="s">
        <v>151</v>
      </c>
      <c r="H2" s="4" t="s">
        <v>152</v>
      </c>
      <c r="I2" s="4" t="s">
        <v>153</v>
      </c>
      <c r="J2" s="4" t="s">
        <v>154</v>
      </c>
      <c r="K2" s="4" t="s">
        <v>155</v>
      </c>
      <c r="L2" s="4" t="s">
        <v>156</v>
      </c>
      <c r="M2" s="4" t="s">
        <v>157</v>
      </c>
      <c r="N2" s="4" t="s">
        <v>158</v>
      </c>
      <c r="O2" s="4" t="s">
        <v>154</v>
      </c>
      <c r="P2" s="4" t="s">
        <v>158</v>
      </c>
    </row>
    <row r="3" spans="1:16">
      <c r="A3" s="76">
        <v>1</v>
      </c>
      <c r="B3" s="4" t="s">
        <v>146</v>
      </c>
      <c r="C3" s="4" t="s">
        <v>147</v>
      </c>
      <c r="D3" s="4" t="s">
        <v>148</v>
      </c>
      <c r="E3" s="4" t="s">
        <v>149</v>
      </c>
      <c r="F3" s="4" t="s">
        <v>150</v>
      </c>
      <c r="G3" s="4" t="s">
        <v>159</v>
      </c>
      <c r="H3" s="4" t="s">
        <v>160</v>
      </c>
      <c r="I3" s="4" t="s">
        <v>149</v>
      </c>
      <c r="J3" s="4" t="s">
        <v>154</v>
      </c>
      <c r="K3" s="4" t="s">
        <v>67</v>
      </c>
      <c r="L3" s="4" t="s">
        <v>161</v>
      </c>
      <c r="M3" s="4" t="s">
        <v>157</v>
      </c>
      <c r="N3" s="4" t="s">
        <v>158</v>
      </c>
      <c r="O3" s="4" t="s">
        <v>154</v>
      </c>
      <c r="P3" s="4" t="s">
        <v>158</v>
      </c>
    </row>
    <row r="4" spans="1:16">
      <c r="A4" s="76">
        <v>2</v>
      </c>
      <c r="B4" s="4" t="s">
        <v>162</v>
      </c>
      <c r="C4" s="4" t="s">
        <v>163</v>
      </c>
      <c r="D4" s="4" t="s">
        <v>164</v>
      </c>
      <c r="E4" s="4" t="s">
        <v>149</v>
      </c>
      <c r="F4" s="4" t="s">
        <v>150</v>
      </c>
      <c r="G4" s="4" t="s">
        <v>159</v>
      </c>
      <c r="H4" s="4" t="s">
        <v>160</v>
      </c>
      <c r="I4" s="4" t="s">
        <v>149</v>
      </c>
      <c r="J4" s="4" t="s">
        <v>154</v>
      </c>
      <c r="K4" s="4" t="s">
        <v>67</v>
      </c>
      <c r="L4" s="4" t="s">
        <v>161</v>
      </c>
      <c r="M4" s="4" t="s">
        <v>165</v>
      </c>
      <c r="N4" s="4" t="s">
        <v>158</v>
      </c>
      <c r="O4" s="4" t="s">
        <v>154</v>
      </c>
      <c r="P4" s="4" t="s">
        <v>158</v>
      </c>
    </row>
    <row r="5" spans="1:16">
      <c r="A5" s="76">
        <v>3</v>
      </c>
      <c r="B5" s="4" t="s">
        <v>166</v>
      </c>
      <c r="C5" s="4" t="s">
        <v>167</v>
      </c>
      <c r="D5" s="4" t="s">
        <v>168</v>
      </c>
      <c r="E5" s="4" t="s">
        <v>149</v>
      </c>
      <c r="F5" s="4" t="s">
        <v>150</v>
      </c>
      <c r="G5" s="4" t="s">
        <v>159</v>
      </c>
      <c r="H5" s="4" t="s">
        <v>160</v>
      </c>
      <c r="I5" s="4" t="s">
        <v>149</v>
      </c>
      <c r="J5" s="4" t="s">
        <v>154</v>
      </c>
      <c r="K5" s="4" t="s">
        <v>67</v>
      </c>
      <c r="L5" s="4" t="s">
        <v>161</v>
      </c>
      <c r="M5" s="4" t="s">
        <v>165</v>
      </c>
      <c r="N5" s="4" t="s">
        <v>158</v>
      </c>
      <c r="O5" s="4" t="s">
        <v>154</v>
      </c>
      <c r="P5" s="4" t="s">
        <v>158</v>
      </c>
    </row>
    <row r="6" spans="1:16">
      <c r="A6" s="76">
        <v>4</v>
      </c>
      <c r="B6" s="4" t="s">
        <v>146</v>
      </c>
      <c r="C6" s="4" t="s">
        <v>169</v>
      </c>
      <c r="D6" s="4" t="s">
        <v>170</v>
      </c>
      <c r="E6" s="4" t="s">
        <v>158</v>
      </c>
      <c r="F6" s="4" t="s">
        <v>171</v>
      </c>
      <c r="G6" s="4" t="s">
        <v>159</v>
      </c>
      <c r="H6" s="4" t="s">
        <v>160</v>
      </c>
      <c r="I6" s="4" t="s">
        <v>158</v>
      </c>
      <c r="J6" s="4" t="s">
        <v>172</v>
      </c>
      <c r="K6" s="4" t="s">
        <v>75</v>
      </c>
      <c r="L6" s="4" t="s">
        <v>173</v>
      </c>
      <c r="M6" s="4" t="s">
        <v>174</v>
      </c>
      <c r="N6" s="4" t="s">
        <v>158</v>
      </c>
      <c r="O6" s="4" t="s">
        <v>172</v>
      </c>
      <c r="P6" s="4" t="s">
        <v>158</v>
      </c>
    </row>
    <row r="7" spans="1:16">
      <c r="A7" s="76">
        <v>4</v>
      </c>
      <c r="B7" s="4" t="s">
        <v>146</v>
      </c>
      <c r="C7" s="4" t="s">
        <v>169</v>
      </c>
      <c r="D7" s="4" t="s">
        <v>170</v>
      </c>
      <c r="E7" s="4" t="s">
        <v>158</v>
      </c>
      <c r="F7" s="4" t="s">
        <v>171</v>
      </c>
      <c r="G7" s="4" t="s">
        <v>151</v>
      </c>
      <c r="H7" s="4" t="s">
        <v>152</v>
      </c>
      <c r="I7" s="4" t="s">
        <v>153</v>
      </c>
      <c r="J7" s="4" t="s">
        <v>154</v>
      </c>
      <c r="K7" s="4" t="s">
        <v>155</v>
      </c>
      <c r="L7" s="4" t="s">
        <v>156</v>
      </c>
      <c r="M7" s="4" t="s">
        <v>174</v>
      </c>
      <c r="N7" s="4" t="s">
        <v>158</v>
      </c>
      <c r="O7" s="4" t="s">
        <v>172</v>
      </c>
      <c r="P7" s="4" t="s">
        <v>158</v>
      </c>
    </row>
    <row r="8" spans="1:16">
      <c r="A8" s="76">
        <v>5</v>
      </c>
      <c r="B8" s="4" t="s">
        <v>162</v>
      </c>
      <c r="C8" s="4" t="s">
        <v>175</v>
      </c>
      <c r="D8" s="4" t="s">
        <v>176</v>
      </c>
      <c r="E8" s="4" t="s">
        <v>158</v>
      </c>
      <c r="F8" s="4" t="s">
        <v>171</v>
      </c>
      <c r="G8" s="4" t="s">
        <v>159</v>
      </c>
      <c r="H8" s="4" t="s">
        <v>160</v>
      </c>
      <c r="I8" s="4" t="s">
        <v>158</v>
      </c>
      <c r="J8" s="4" t="s">
        <v>172</v>
      </c>
      <c r="K8" s="4" t="s">
        <v>75</v>
      </c>
      <c r="L8" s="4" t="s">
        <v>173</v>
      </c>
      <c r="M8" s="4" t="s">
        <v>177</v>
      </c>
      <c r="N8" s="4" t="s">
        <v>158</v>
      </c>
      <c r="O8" s="4" t="s">
        <v>172</v>
      </c>
      <c r="P8" s="4" t="s">
        <v>158</v>
      </c>
    </row>
    <row r="9" spans="1:16">
      <c r="A9" s="76">
        <v>6</v>
      </c>
      <c r="B9" s="4" t="s">
        <v>166</v>
      </c>
      <c r="C9" s="4" t="s">
        <v>178</v>
      </c>
      <c r="D9" s="4" t="s">
        <v>179</v>
      </c>
      <c r="E9" s="4" t="s">
        <v>158</v>
      </c>
      <c r="F9" s="4" t="s">
        <v>171</v>
      </c>
      <c r="G9" s="4" t="s">
        <v>159</v>
      </c>
      <c r="H9" s="4" t="s">
        <v>160</v>
      </c>
      <c r="I9" s="4" t="s">
        <v>158</v>
      </c>
      <c r="J9" s="4" t="s">
        <v>172</v>
      </c>
      <c r="K9" s="4" t="s">
        <v>75</v>
      </c>
      <c r="L9" s="4" t="s">
        <v>173</v>
      </c>
      <c r="M9" s="4" t="s">
        <v>177</v>
      </c>
      <c r="N9" s="4" t="s">
        <v>158</v>
      </c>
      <c r="O9" s="4" t="s">
        <v>172</v>
      </c>
      <c r="P9" s="4" t="s">
        <v>158</v>
      </c>
    </row>
    <row r="10" spans="1:16">
      <c r="A10" s="76">
        <v>7</v>
      </c>
      <c r="B10" s="4" t="s">
        <v>146</v>
      </c>
      <c r="C10" s="4" t="s">
        <v>180</v>
      </c>
      <c r="D10" s="4" t="s">
        <v>181</v>
      </c>
      <c r="E10" s="4" t="s">
        <v>182</v>
      </c>
      <c r="F10" s="4" t="s">
        <v>183</v>
      </c>
      <c r="G10" s="4" t="s">
        <v>159</v>
      </c>
      <c r="H10" s="4" t="s">
        <v>160</v>
      </c>
      <c r="I10" s="4" t="s">
        <v>149</v>
      </c>
      <c r="J10" s="4" t="s">
        <v>183</v>
      </c>
      <c r="K10" s="4" t="s">
        <v>67</v>
      </c>
      <c r="L10" s="4" t="s">
        <v>161</v>
      </c>
      <c r="M10" s="4" t="s">
        <v>162</v>
      </c>
      <c r="N10" s="4" t="s">
        <v>158</v>
      </c>
      <c r="O10" s="4" t="s">
        <v>183</v>
      </c>
      <c r="P10" s="4" t="s">
        <v>158</v>
      </c>
    </row>
    <row r="11" spans="1:16">
      <c r="A11" s="76">
        <v>7</v>
      </c>
      <c r="B11" s="4" t="s">
        <v>146</v>
      </c>
      <c r="C11" s="4" t="s">
        <v>180</v>
      </c>
      <c r="D11" s="4" t="s">
        <v>181</v>
      </c>
      <c r="E11" s="4" t="s">
        <v>182</v>
      </c>
      <c r="F11" s="4" t="s">
        <v>183</v>
      </c>
      <c r="G11" s="4" t="s">
        <v>151</v>
      </c>
      <c r="H11" s="4" t="s">
        <v>152</v>
      </c>
      <c r="I11" s="4" t="s">
        <v>153</v>
      </c>
      <c r="J11" s="4" t="s">
        <v>154</v>
      </c>
      <c r="K11" s="4" t="s">
        <v>155</v>
      </c>
      <c r="L11" s="4" t="s">
        <v>156</v>
      </c>
      <c r="M11" s="4" t="s">
        <v>162</v>
      </c>
      <c r="N11" s="4" t="s">
        <v>158</v>
      </c>
      <c r="O11" s="4" t="s">
        <v>183</v>
      </c>
      <c r="P11" s="4" t="s">
        <v>158</v>
      </c>
    </row>
    <row r="12" spans="1:16" ht="27">
      <c r="A12" s="76">
        <v>8</v>
      </c>
      <c r="B12" s="4" t="s">
        <v>146</v>
      </c>
      <c r="C12" s="4" t="s">
        <v>184</v>
      </c>
      <c r="D12" s="4" t="s">
        <v>185</v>
      </c>
      <c r="E12" s="4" t="s">
        <v>182</v>
      </c>
      <c r="F12" s="4" t="s">
        <v>146</v>
      </c>
      <c r="G12" s="4" t="s">
        <v>159</v>
      </c>
      <c r="H12" s="4" t="s">
        <v>160</v>
      </c>
      <c r="I12" s="4" t="s">
        <v>149</v>
      </c>
      <c r="J12" s="4" t="s">
        <v>154</v>
      </c>
      <c r="K12" s="4" t="s">
        <v>67</v>
      </c>
      <c r="L12" s="4" t="s">
        <v>161</v>
      </c>
      <c r="M12" s="4" t="s">
        <v>157</v>
      </c>
      <c r="N12" s="4" t="s">
        <v>158</v>
      </c>
      <c r="O12" s="4" t="s">
        <v>154</v>
      </c>
      <c r="P12" s="4" t="s">
        <v>158</v>
      </c>
    </row>
    <row r="13" spans="1:16" ht="27">
      <c r="A13" s="76">
        <v>8</v>
      </c>
      <c r="B13" s="4" t="s">
        <v>146</v>
      </c>
      <c r="C13" s="4" t="s">
        <v>184</v>
      </c>
      <c r="D13" s="4" t="s">
        <v>185</v>
      </c>
      <c r="E13" s="4" t="s">
        <v>182</v>
      </c>
      <c r="F13" s="4" t="s">
        <v>146</v>
      </c>
      <c r="G13" s="4" t="s">
        <v>151</v>
      </c>
      <c r="H13" s="4" t="s">
        <v>152</v>
      </c>
      <c r="I13" s="4" t="s">
        <v>153</v>
      </c>
      <c r="J13" s="4" t="s">
        <v>154</v>
      </c>
      <c r="K13" s="4" t="s">
        <v>155</v>
      </c>
      <c r="L13" s="4" t="s">
        <v>156</v>
      </c>
      <c r="M13" s="4" t="s">
        <v>157</v>
      </c>
      <c r="N13" s="4" t="s">
        <v>158</v>
      </c>
      <c r="O13" s="4" t="s">
        <v>154</v>
      </c>
      <c r="P13" s="4" t="s">
        <v>158</v>
      </c>
    </row>
    <row r="14" spans="1:16">
      <c r="A14" s="76">
        <v>9</v>
      </c>
      <c r="B14" s="4" t="s">
        <v>146</v>
      </c>
      <c r="C14" s="4" t="s">
        <v>186</v>
      </c>
      <c r="D14" s="4" t="s">
        <v>187</v>
      </c>
      <c r="E14" s="4" t="s">
        <v>182</v>
      </c>
      <c r="F14" s="4" t="s">
        <v>162</v>
      </c>
      <c r="G14" s="4" t="s">
        <v>151</v>
      </c>
      <c r="H14" s="4" t="s">
        <v>152</v>
      </c>
      <c r="I14" s="4" t="s">
        <v>153</v>
      </c>
      <c r="J14" s="4" t="s">
        <v>154</v>
      </c>
      <c r="K14" s="4" t="s">
        <v>155</v>
      </c>
      <c r="L14" s="4" t="s">
        <v>156</v>
      </c>
      <c r="M14" s="4" t="s">
        <v>165</v>
      </c>
      <c r="N14" s="4" t="s">
        <v>158</v>
      </c>
      <c r="O14" s="4" t="s">
        <v>153</v>
      </c>
      <c r="P14" s="4" t="s">
        <v>153</v>
      </c>
    </row>
    <row r="15" spans="1:16">
      <c r="A15" s="76">
        <v>10</v>
      </c>
      <c r="B15" s="4" t="s">
        <v>146</v>
      </c>
      <c r="C15" s="4" t="s">
        <v>188</v>
      </c>
      <c r="D15" s="4" t="s">
        <v>189</v>
      </c>
      <c r="E15" s="4" t="s">
        <v>182</v>
      </c>
      <c r="F15" s="4" t="s">
        <v>166</v>
      </c>
      <c r="G15" s="4" t="s">
        <v>151</v>
      </c>
      <c r="H15" s="4" t="s">
        <v>152</v>
      </c>
      <c r="I15" s="4" t="s">
        <v>153</v>
      </c>
      <c r="J15" s="4" t="s">
        <v>183</v>
      </c>
      <c r="K15" s="4" t="s">
        <v>155</v>
      </c>
      <c r="L15" s="4" t="s">
        <v>156</v>
      </c>
      <c r="M15" s="4" t="s">
        <v>165</v>
      </c>
      <c r="N15" s="4" t="s">
        <v>158</v>
      </c>
      <c r="O15" s="4" t="s">
        <v>153</v>
      </c>
      <c r="P15" s="4" t="s">
        <v>153</v>
      </c>
    </row>
    <row r="16" spans="1:16">
      <c r="A16" s="76">
        <v>11</v>
      </c>
      <c r="B16" s="4" t="s">
        <v>162</v>
      </c>
      <c r="C16" s="4" t="s">
        <v>190</v>
      </c>
      <c r="D16" s="4" t="s">
        <v>191</v>
      </c>
      <c r="E16" s="4" t="s">
        <v>182</v>
      </c>
      <c r="F16" s="4" t="s">
        <v>146</v>
      </c>
      <c r="G16" s="4" t="s">
        <v>159</v>
      </c>
      <c r="H16" s="4" t="s">
        <v>160</v>
      </c>
      <c r="I16" s="4" t="s">
        <v>149</v>
      </c>
      <c r="J16" s="4" t="s">
        <v>154</v>
      </c>
      <c r="K16" s="4" t="s">
        <v>67</v>
      </c>
      <c r="L16" s="4" t="s">
        <v>161</v>
      </c>
      <c r="M16" s="4" t="s">
        <v>165</v>
      </c>
      <c r="N16" s="4" t="s">
        <v>158</v>
      </c>
      <c r="O16" s="4" t="s">
        <v>154</v>
      </c>
      <c r="P16" s="4" t="s">
        <v>158</v>
      </c>
    </row>
    <row r="17" spans="1:16">
      <c r="A17" s="76">
        <v>12</v>
      </c>
      <c r="B17" s="4" t="s">
        <v>162</v>
      </c>
      <c r="C17" s="4" t="s">
        <v>192</v>
      </c>
      <c r="D17" s="4" t="s">
        <v>193</v>
      </c>
      <c r="E17" s="4" t="s">
        <v>182</v>
      </c>
      <c r="F17" s="4" t="s">
        <v>162</v>
      </c>
      <c r="G17" s="4" t="s">
        <v>159</v>
      </c>
      <c r="H17" s="4" t="s">
        <v>159</v>
      </c>
      <c r="I17" s="4" t="s">
        <v>159</v>
      </c>
      <c r="J17" s="4" t="s">
        <v>159</v>
      </c>
      <c r="K17" s="4" t="s">
        <v>159</v>
      </c>
      <c r="L17" s="4" t="s">
        <v>159</v>
      </c>
      <c r="M17" s="4" t="s">
        <v>194</v>
      </c>
      <c r="N17" s="4" t="s">
        <v>158</v>
      </c>
      <c r="O17" s="4" t="s">
        <v>153</v>
      </c>
      <c r="P17" s="4" t="s">
        <v>153</v>
      </c>
    </row>
    <row r="18" spans="1:16">
      <c r="A18" s="76">
        <v>13</v>
      </c>
      <c r="B18" s="4" t="s">
        <v>162</v>
      </c>
      <c r="C18" s="4" t="s">
        <v>195</v>
      </c>
      <c r="D18" s="4" t="s">
        <v>196</v>
      </c>
      <c r="E18" s="4" t="s">
        <v>182</v>
      </c>
      <c r="F18" s="4" t="s">
        <v>166</v>
      </c>
      <c r="G18" s="4" t="s">
        <v>197</v>
      </c>
      <c r="H18" s="4" t="s">
        <v>152</v>
      </c>
      <c r="I18" s="4" t="s">
        <v>153</v>
      </c>
      <c r="J18" s="4" t="s">
        <v>154</v>
      </c>
      <c r="K18" s="4" t="s">
        <v>155</v>
      </c>
      <c r="L18" s="4" t="s">
        <v>156</v>
      </c>
      <c r="M18" s="4" t="s">
        <v>194</v>
      </c>
      <c r="N18" s="4" t="s">
        <v>158</v>
      </c>
      <c r="O18" s="4" t="s">
        <v>153</v>
      </c>
      <c r="P18" s="4" t="s">
        <v>153</v>
      </c>
    </row>
    <row r="19" spans="1:16">
      <c r="A19" s="76">
        <v>14</v>
      </c>
      <c r="B19" s="4" t="s">
        <v>166</v>
      </c>
      <c r="C19" s="4" t="s">
        <v>198</v>
      </c>
      <c r="D19" s="4" t="s">
        <v>199</v>
      </c>
      <c r="E19" s="4" t="s">
        <v>182</v>
      </c>
      <c r="F19" s="4" t="s">
        <v>157</v>
      </c>
      <c r="G19" s="4" t="s">
        <v>159</v>
      </c>
      <c r="H19" s="4" t="s">
        <v>159</v>
      </c>
      <c r="I19" s="4" t="s">
        <v>159</v>
      </c>
      <c r="J19" s="4" t="s">
        <v>159</v>
      </c>
      <c r="K19" s="4" t="s">
        <v>159</v>
      </c>
      <c r="L19" s="4" t="s">
        <v>159</v>
      </c>
      <c r="M19" s="4" t="s">
        <v>200</v>
      </c>
      <c r="N19" s="4" t="s">
        <v>158</v>
      </c>
      <c r="O19" s="4" t="s">
        <v>153</v>
      </c>
      <c r="P19" s="4" t="s">
        <v>153</v>
      </c>
    </row>
    <row r="20" spans="1:16">
      <c r="A20" s="76">
        <v>15</v>
      </c>
      <c r="B20" s="4" t="s">
        <v>166</v>
      </c>
      <c r="C20" s="4" t="s">
        <v>201</v>
      </c>
      <c r="D20" s="4" t="s">
        <v>202</v>
      </c>
      <c r="E20" s="4" t="s">
        <v>182</v>
      </c>
      <c r="F20" s="4" t="s">
        <v>166</v>
      </c>
      <c r="G20" s="4" t="s">
        <v>159</v>
      </c>
      <c r="H20" s="4" t="s">
        <v>159</v>
      </c>
      <c r="I20" s="4" t="s">
        <v>159</v>
      </c>
      <c r="J20" s="4" t="s">
        <v>159</v>
      </c>
      <c r="K20" s="4" t="s">
        <v>159</v>
      </c>
      <c r="L20" s="4" t="s">
        <v>159</v>
      </c>
      <c r="M20" s="4" t="s">
        <v>203</v>
      </c>
      <c r="N20" s="4" t="s">
        <v>158</v>
      </c>
      <c r="O20" s="4" t="s">
        <v>153</v>
      </c>
      <c r="P20" s="4" t="s">
        <v>153</v>
      </c>
    </row>
    <row r="21" spans="1:16">
      <c r="A21" s="76">
        <v>16</v>
      </c>
      <c r="B21" s="4" t="s">
        <v>166</v>
      </c>
      <c r="C21" s="4" t="s">
        <v>204</v>
      </c>
      <c r="D21" s="4" t="s">
        <v>205</v>
      </c>
      <c r="E21" s="4" t="s">
        <v>182</v>
      </c>
      <c r="F21" s="4" t="s">
        <v>162</v>
      </c>
      <c r="G21" s="4" t="s">
        <v>159</v>
      </c>
      <c r="H21" s="4" t="s">
        <v>159</v>
      </c>
      <c r="I21" s="4" t="s">
        <v>159</v>
      </c>
      <c r="J21" s="4" t="s">
        <v>159</v>
      </c>
      <c r="K21" s="4" t="s">
        <v>159</v>
      </c>
      <c r="L21" s="4" t="s">
        <v>159</v>
      </c>
      <c r="M21" s="4" t="s">
        <v>194</v>
      </c>
      <c r="N21" s="4" t="s">
        <v>158</v>
      </c>
      <c r="O21" s="4" t="s">
        <v>153</v>
      </c>
      <c r="P21" s="4" t="s">
        <v>153</v>
      </c>
    </row>
    <row r="22" spans="1:16">
      <c r="A22" s="76">
        <v>17</v>
      </c>
      <c r="B22" s="4" t="s">
        <v>166</v>
      </c>
      <c r="C22" s="4" t="s">
        <v>206</v>
      </c>
      <c r="D22" s="4" t="s">
        <v>207</v>
      </c>
      <c r="E22" s="4" t="s">
        <v>182</v>
      </c>
      <c r="F22" s="4" t="s">
        <v>146</v>
      </c>
      <c r="G22" s="4" t="s">
        <v>159</v>
      </c>
      <c r="H22" s="4" t="s">
        <v>160</v>
      </c>
      <c r="I22" s="4" t="s">
        <v>149</v>
      </c>
      <c r="J22" s="4" t="s">
        <v>154</v>
      </c>
      <c r="K22" s="4" t="s">
        <v>67</v>
      </c>
      <c r="L22" s="4" t="s">
        <v>161</v>
      </c>
      <c r="M22" s="4" t="s">
        <v>165</v>
      </c>
      <c r="N22" s="4" t="s">
        <v>158</v>
      </c>
      <c r="O22" s="4" t="s">
        <v>154</v>
      </c>
      <c r="P22" s="4" t="s">
        <v>158</v>
      </c>
    </row>
  </sheetData>
  <phoneticPr fontId="1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8"/>
  <sheetViews>
    <sheetView workbookViewId="0">
      <selection activeCell="H7" sqref="H7"/>
    </sheetView>
  </sheetViews>
  <sheetFormatPr defaultRowHeight="18.75"/>
  <cols>
    <col min="1" max="3" width="3.75" customWidth="1"/>
    <col min="4" max="4" width="3.5" style="28" bestFit="1" customWidth="1"/>
    <col min="5" max="7" width="12.125" style="28" customWidth="1"/>
    <col min="8" max="8" width="17" style="28" customWidth="1"/>
    <col min="9" max="10" width="12.125" style="28" customWidth="1"/>
    <col min="11" max="11" width="3" customWidth="1"/>
    <col min="12" max="12" width="3.75" customWidth="1"/>
  </cols>
  <sheetData>
    <row r="1" spans="1:11">
      <c r="A1" s="13" t="s">
        <v>208</v>
      </c>
    </row>
    <row r="2" spans="1:11">
      <c r="A2" s="13"/>
    </row>
    <row r="3" spans="1:11">
      <c r="B3" t="s">
        <v>209</v>
      </c>
    </row>
    <row r="4" spans="1:11">
      <c r="C4" t="s">
        <v>210</v>
      </c>
    </row>
    <row r="5" spans="1:11" ht="19.5" thickBot="1"/>
    <row r="6" spans="1:11">
      <c r="D6" s="29"/>
      <c r="E6" s="30"/>
      <c r="F6" s="30"/>
      <c r="G6" s="30"/>
      <c r="H6" s="30"/>
      <c r="I6" s="30"/>
      <c r="J6" s="30"/>
      <c r="K6" s="31"/>
    </row>
    <row r="7" spans="1:11">
      <c r="D7" s="32" t="s">
        <v>211</v>
      </c>
      <c r="E7" s="33" t="s">
        <v>212</v>
      </c>
      <c r="K7" s="34"/>
    </row>
    <row r="8" spans="1:11">
      <c r="D8" s="35"/>
      <c r="E8" s="33" t="s">
        <v>213</v>
      </c>
      <c r="K8" s="34"/>
    </row>
    <row r="9" spans="1:11" ht="18.75" customHeight="1">
      <c r="D9" s="35"/>
      <c r="E9" s="28" t="s">
        <v>214</v>
      </c>
      <c r="F9" s="28">
        <v>250</v>
      </c>
      <c r="G9" s="28">
        <v>250</v>
      </c>
      <c r="I9" s="28">
        <v>250</v>
      </c>
      <c r="J9" s="28">
        <v>200</v>
      </c>
      <c r="K9" s="34"/>
    </row>
    <row r="10" spans="1:11" ht="18.75" customHeight="1">
      <c r="D10" s="35"/>
      <c r="K10" s="34"/>
    </row>
    <row r="11" spans="1:11">
      <c r="D11" s="35"/>
      <c r="F11" s="136" t="s">
        <v>215</v>
      </c>
      <c r="G11" s="132" t="s">
        <v>216</v>
      </c>
      <c r="I11" s="136" t="s">
        <v>215</v>
      </c>
      <c r="K11" s="34"/>
    </row>
    <row r="12" spans="1:11">
      <c r="D12" s="35"/>
      <c r="F12" s="137"/>
      <c r="G12" s="131"/>
      <c r="I12" s="137"/>
      <c r="J12" s="132" t="s">
        <v>216</v>
      </c>
      <c r="K12" s="34"/>
    </row>
    <row r="13" spans="1:11">
      <c r="D13" s="35"/>
      <c r="F13" s="137"/>
      <c r="G13" s="131"/>
      <c r="I13" s="137"/>
      <c r="J13" s="131"/>
      <c r="K13" s="34"/>
    </row>
    <row r="14" spans="1:11">
      <c r="D14" s="35"/>
      <c r="F14" s="137"/>
      <c r="G14" s="131"/>
      <c r="I14" s="137"/>
      <c r="J14" s="131"/>
      <c r="K14" s="34"/>
    </row>
    <row r="15" spans="1:11">
      <c r="D15" s="35"/>
      <c r="F15" s="137"/>
      <c r="G15" s="129"/>
      <c r="I15" s="137"/>
      <c r="J15" s="129"/>
      <c r="K15" s="34"/>
    </row>
    <row r="16" spans="1:11">
      <c r="D16" s="35"/>
      <c r="E16" s="36" t="s">
        <v>60</v>
      </c>
      <c r="F16" s="28">
        <v>50</v>
      </c>
      <c r="G16" s="28">
        <v>50</v>
      </c>
      <c r="I16" s="28">
        <v>50</v>
      </c>
      <c r="J16" s="28">
        <v>100</v>
      </c>
      <c r="K16" s="34"/>
    </row>
    <row r="17" spans="4:11">
      <c r="D17" s="35"/>
      <c r="E17" s="36" t="s">
        <v>217</v>
      </c>
      <c r="K17" s="34"/>
    </row>
    <row r="18" spans="4:11">
      <c r="D18" s="35"/>
      <c r="E18" s="46" t="s">
        <v>218</v>
      </c>
      <c r="F18" s="37" t="s">
        <v>219</v>
      </c>
      <c r="G18" s="37"/>
      <c r="I18" s="37" t="s">
        <v>220</v>
      </c>
      <c r="K18" s="34"/>
    </row>
    <row r="19" spans="4:11">
      <c r="D19" s="35"/>
      <c r="E19" s="46" t="s">
        <v>221</v>
      </c>
      <c r="F19" s="37" t="s">
        <v>222</v>
      </c>
      <c r="I19" s="37" t="s">
        <v>223</v>
      </c>
      <c r="K19" s="34"/>
    </row>
    <row r="20" spans="4:11" ht="19.5" thickBot="1">
      <c r="D20" s="38"/>
      <c r="E20" s="39"/>
      <c r="F20" s="39"/>
      <c r="G20" s="39"/>
      <c r="H20" s="39"/>
      <c r="I20" s="39"/>
      <c r="J20" s="39"/>
      <c r="K20" s="40"/>
    </row>
    <row r="21" spans="4:11">
      <c r="D21" s="29"/>
      <c r="E21" s="30"/>
      <c r="F21" s="30"/>
      <c r="G21" s="30"/>
      <c r="H21" s="30"/>
      <c r="I21" s="30"/>
      <c r="J21" s="30"/>
      <c r="K21" s="31"/>
    </row>
    <row r="22" spans="4:11">
      <c r="D22" s="32" t="s">
        <v>224</v>
      </c>
      <c r="E22" s="33" t="s">
        <v>212</v>
      </c>
      <c r="K22" s="34"/>
    </row>
    <row r="23" spans="4:11">
      <c r="D23" s="35"/>
      <c r="E23" s="33" t="s">
        <v>225</v>
      </c>
      <c r="K23" s="34"/>
    </row>
    <row r="24" spans="4:11" ht="18.75" customHeight="1">
      <c r="D24" s="35"/>
      <c r="E24" s="28" t="s">
        <v>214</v>
      </c>
      <c r="F24" s="28">
        <v>250</v>
      </c>
      <c r="G24" s="28">
        <v>300</v>
      </c>
      <c r="K24" s="34"/>
    </row>
    <row r="25" spans="4:11" ht="18.75" customHeight="1">
      <c r="D25" s="35"/>
      <c r="G25" s="132" t="s">
        <v>216</v>
      </c>
      <c r="K25" s="34"/>
    </row>
    <row r="26" spans="4:11" ht="18.75" customHeight="1">
      <c r="D26" s="35"/>
      <c r="F26" s="136" t="s">
        <v>215</v>
      </c>
      <c r="G26" s="131"/>
      <c r="K26" s="34"/>
    </row>
    <row r="27" spans="4:11">
      <c r="D27" s="35"/>
      <c r="F27" s="137"/>
      <c r="G27" s="131"/>
      <c r="K27" s="34"/>
    </row>
    <row r="28" spans="4:11">
      <c r="D28" s="35"/>
      <c r="F28" s="137"/>
      <c r="G28" s="131"/>
      <c r="K28" s="34"/>
    </row>
    <row r="29" spans="4:11">
      <c r="D29" s="35"/>
      <c r="F29" s="137"/>
      <c r="G29" s="131"/>
      <c r="K29" s="34"/>
    </row>
    <row r="30" spans="4:11">
      <c r="D30" s="35"/>
      <c r="F30" s="137"/>
      <c r="G30" s="129"/>
      <c r="K30" s="34"/>
    </row>
    <row r="31" spans="4:11">
      <c r="D31" s="35"/>
      <c r="E31" s="36" t="s">
        <v>60</v>
      </c>
      <c r="F31" s="28">
        <v>50</v>
      </c>
      <c r="G31" s="28">
        <v>0</v>
      </c>
      <c r="K31" s="34"/>
    </row>
    <row r="32" spans="4:11">
      <c r="D32" s="35"/>
      <c r="E32" s="36" t="s">
        <v>217</v>
      </c>
      <c r="K32" s="34"/>
    </row>
    <row r="33" spans="4:11">
      <c r="D33" s="35"/>
      <c r="E33" s="46" t="s">
        <v>218</v>
      </c>
      <c r="F33" s="37" t="s">
        <v>219</v>
      </c>
      <c r="I33" s="37" t="s">
        <v>220</v>
      </c>
      <c r="K33" s="34"/>
    </row>
    <row r="34" spans="4:11" ht="19.5" thickBot="1">
      <c r="D34" s="38"/>
      <c r="E34" s="39"/>
      <c r="F34" s="39"/>
      <c r="G34" s="39"/>
      <c r="H34" s="39"/>
      <c r="I34" s="39"/>
      <c r="J34" s="39"/>
      <c r="K34" s="40"/>
    </row>
    <row r="35" spans="4:11">
      <c r="D35" s="29"/>
      <c r="E35" s="30"/>
      <c r="F35" s="30"/>
      <c r="G35" s="30"/>
      <c r="H35" s="30"/>
      <c r="I35" s="30"/>
      <c r="J35" s="30"/>
      <c r="K35" s="31"/>
    </row>
    <row r="36" spans="4:11">
      <c r="D36" s="32" t="s">
        <v>226</v>
      </c>
      <c r="E36" s="33" t="s">
        <v>212</v>
      </c>
      <c r="K36" s="34"/>
    </row>
    <row r="37" spans="4:11">
      <c r="D37" s="35"/>
      <c r="E37" s="33" t="s">
        <v>227</v>
      </c>
      <c r="K37" s="34"/>
    </row>
    <row r="38" spans="4:11" ht="18.75" customHeight="1">
      <c r="D38" s="35"/>
      <c r="E38" s="28" t="s">
        <v>214</v>
      </c>
      <c r="F38" s="28">
        <v>250</v>
      </c>
      <c r="G38" s="28">
        <v>350</v>
      </c>
      <c r="K38" s="34"/>
    </row>
    <row r="39" spans="4:11" ht="18.75" customHeight="1">
      <c r="D39" s="35"/>
      <c r="K39" s="34"/>
    </row>
    <row r="40" spans="4:11" ht="18.75" customHeight="1">
      <c r="D40" s="35"/>
      <c r="G40" s="132" t="s">
        <v>216</v>
      </c>
      <c r="K40" s="34"/>
    </row>
    <row r="41" spans="4:11" ht="18.75" customHeight="1">
      <c r="D41" s="35"/>
      <c r="G41" s="131"/>
      <c r="K41" s="34"/>
    </row>
    <row r="42" spans="4:11" ht="18.75" customHeight="1">
      <c r="D42" s="35"/>
      <c r="F42" s="136" t="s">
        <v>215</v>
      </c>
      <c r="G42" s="131"/>
      <c r="K42" s="34"/>
    </row>
    <row r="43" spans="4:11" ht="18.75" customHeight="1">
      <c r="D43" s="35"/>
      <c r="F43" s="137"/>
      <c r="G43" s="131"/>
      <c r="K43" s="34"/>
    </row>
    <row r="44" spans="4:11">
      <c r="D44" s="35"/>
      <c r="F44" s="137"/>
      <c r="G44" s="131"/>
      <c r="K44" s="34"/>
    </row>
    <row r="45" spans="4:11">
      <c r="D45" s="35"/>
      <c r="F45" s="137"/>
      <c r="G45" s="131"/>
      <c r="K45" s="34"/>
    </row>
    <row r="46" spans="4:11">
      <c r="D46" s="35"/>
      <c r="F46" s="137"/>
      <c r="G46" s="129"/>
      <c r="K46" s="34"/>
    </row>
    <row r="47" spans="4:11">
      <c r="D47" s="35"/>
      <c r="E47" s="36" t="s">
        <v>60</v>
      </c>
      <c r="F47" s="28">
        <v>100</v>
      </c>
      <c r="K47" s="34"/>
    </row>
    <row r="48" spans="4:11">
      <c r="D48" s="35"/>
      <c r="E48" s="36" t="s">
        <v>217</v>
      </c>
      <c r="K48" s="34"/>
    </row>
    <row r="49" spans="4:11">
      <c r="D49" s="35"/>
      <c r="E49" s="46" t="s">
        <v>218</v>
      </c>
      <c r="F49" s="37" t="s">
        <v>228</v>
      </c>
      <c r="G49" s="37"/>
      <c r="I49" s="37" t="s">
        <v>220</v>
      </c>
      <c r="K49" s="34"/>
    </row>
    <row r="50" spans="4:11" ht="19.5" thickBot="1">
      <c r="D50" s="38"/>
      <c r="E50" s="39"/>
      <c r="F50" s="39"/>
      <c r="G50" s="41"/>
      <c r="H50" s="39"/>
      <c r="I50" s="39"/>
      <c r="J50" s="39"/>
      <c r="K50" s="40"/>
    </row>
    <row r="51" spans="4:11">
      <c r="D51" s="29"/>
      <c r="E51" s="30"/>
      <c r="F51" s="30"/>
      <c r="G51" s="30"/>
      <c r="H51" s="30"/>
      <c r="I51" s="30"/>
      <c r="J51" s="30"/>
      <c r="K51" s="31"/>
    </row>
    <row r="52" spans="4:11">
      <c r="D52" s="32" t="s">
        <v>229</v>
      </c>
      <c r="E52" s="33" t="s">
        <v>230</v>
      </c>
      <c r="K52" s="34"/>
    </row>
    <row r="53" spans="4:11">
      <c r="D53" s="35"/>
      <c r="E53" s="33" t="s">
        <v>213</v>
      </c>
      <c r="K53" s="34"/>
    </row>
    <row r="54" spans="4:11" ht="18.75" customHeight="1">
      <c r="D54" s="35"/>
      <c r="E54" s="28" t="s">
        <v>214</v>
      </c>
      <c r="F54" s="28">
        <v>300</v>
      </c>
      <c r="G54" s="28">
        <v>250</v>
      </c>
      <c r="K54" s="34"/>
    </row>
    <row r="55" spans="4:11" ht="18.75" customHeight="1">
      <c r="D55" s="35"/>
      <c r="F55"/>
      <c r="G55"/>
      <c r="K55" s="34"/>
    </row>
    <row r="56" spans="4:11" ht="18.75" customHeight="1">
      <c r="D56" s="35"/>
      <c r="F56" s="133" t="s">
        <v>215</v>
      </c>
      <c r="G56"/>
      <c r="K56" s="34"/>
    </row>
    <row r="57" spans="4:11" ht="18.75" customHeight="1">
      <c r="D57" s="35"/>
      <c r="F57" s="147"/>
      <c r="G57" s="132" t="s">
        <v>216</v>
      </c>
      <c r="K57" s="34"/>
    </row>
    <row r="58" spans="4:11">
      <c r="D58" s="35"/>
      <c r="F58" s="147"/>
      <c r="G58" s="131"/>
      <c r="K58" s="34"/>
    </row>
    <row r="59" spans="4:11">
      <c r="D59" s="35"/>
      <c r="F59" s="147"/>
      <c r="G59" s="131"/>
      <c r="K59" s="34"/>
    </row>
    <row r="60" spans="4:11">
      <c r="D60" s="35"/>
      <c r="F60" s="147"/>
      <c r="G60" s="131"/>
      <c r="K60" s="34"/>
    </row>
    <row r="61" spans="4:11">
      <c r="D61" s="35"/>
      <c r="F61" s="148"/>
      <c r="G61" s="129"/>
      <c r="K61" s="34"/>
    </row>
    <row r="62" spans="4:11">
      <c r="D62" s="35"/>
      <c r="E62" s="36" t="s">
        <v>60</v>
      </c>
      <c r="F62" s="28">
        <v>0</v>
      </c>
      <c r="G62" s="28">
        <v>50</v>
      </c>
      <c r="K62" s="34"/>
    </row>
    <row r="63" spans="4:11">
      <c r="D63" s="35"/>
      <c r="E63" s="36" t="s">
        <v>217</v>
      </c>
      <c r="K63" s="34"/>
    </row>
    <row r="64" spans="4:11">
      <c r="D64" s="35"/>
      <c r="E64" s="46" t="s">
        <v>218</v>
      </c>
      <c r="F64" s="37" t="s">
        <v>222</v>
      </c>
      <c r="I64" s="37" t="s">
        <v>223</v>
      </c>
      <c r="K64" s="34"/>
    </row>
    <row r="65" spans="4:11" ht="19.5" thickBot="1">
      <c r="D65" s="38"/>
      <c r="E65" s="39"/>
      <c r="F65" s="39"/>
      <c r="G65" s="39"/>
      <c r="H65" s="39"/>
      <c r="I65" s="39"/>
      <c r="J65" s="39"/>
      <c r="K65" s="40"/>
    </row>
    <row r="66" spans="4:11">
      <c r="D66" s="29"/>
      <c r="E66" s="30"/>
      <c r="F66" s="30"/>
      <c r="G66" s="30"/>
      <c r="H66" s="30"/>
      <c r="I66" s="30"/>
      <c r="J66" s="30"/>
      <c r="K66" s="31"/>
    </row>
    <row r="67" spans="4:11">
      <c r="D67" s="32" t="s">
        <v>231</v>
      </c>
      <c r="E67" s="33" t="s">
        <v>230</v>
      </c>
      <c r="K67" s="34"/>
    </row>
    <row r="68" spans="4:11">
      <c r="D68" s="35"/>
      <c r="E68" s="33" t="s">
        <v>225</v>
      </c>
      <c r="K68" s="34"/>
    </row>
    <row r="69" spans="4:11" ht="18.75" customHeight="1">
      <c r="D69" s="35"/>
      <c r="E69" s="28" t="s">
        <v>214</v>
      </c>
      <c r="F69" s="28">
        <v>300</v>
      </c>
      <c r="G69" s="28">
        <v>300</v>
      </c>
      <c r="I69" s="28">
        <v>350</v>
      </c>
      <c r="J69" s="28">
        <v>300</v>
      </c>
      <c r="K69" s="34"/>
    </row>
    <row r="70" spans="4:11" ht="18.75" customHeight="1">
      <c r="D70" s="35"/>
      <c r="K70" s="34"/>
    </row>
    <row r="71" spans="4:11" ht="18.75" customHeight="1">
      <c r="D71" s="35"/>
      <c r="F71"/>
      <c r="G71"/>
      <c r="I71" s="133" t="s">
        <v>215</v>
      </c>
      <c r="J71"/>
      <c r="K71" s="34"/>
    </row>
    <row r="72" spans="4:11">
      <c r="D72" s="35"/>
      <c r="F72" s="133" t="s">
        <v>215</v>
      </c>
      <c r="G72" s="132" t="s">
        <v>216</v>
      </c>
      <c r="I72" s="147"/>
      <c r="J72" s="132" t="s">
        <v>216</v>
      </c>
      <c r="K72" s="34"/>
    </row>
    <row r="73" spans="4:11">
      <c r="D73" s="35"/>
      <c r="F73" s="147"/>
      <c r="G73" s="131"/>
      <c r="I73" s="147"/>
      <c r="J73" s="131"/>
      <c r="K73" s="34"/>
    </row>
    <row r="74" spans="4:11">
      <c r="D74" s="35"/>
      <c r="F74" s="147"/>
      <c r="G74" s="131"/>
      <c r="I74" s="147"/>
      <c r="J74" s="131"/>
      <c r="K74" s="34"/>
    </row>
    <row r="75" spans="4:11">
      <c r="D75" s="35"/>
      <c r="F75" s="147"/>
      <c r="G75" s="131"/>
      <c r="I75" s="147"/>
      <c r="J75" s="131"/>
      <c r="K75" s="34"/>
    </row>
    <row r="76" spans="4:11">
      <c r="D76" s="35"/>
      <c r="F76" s="147"/>
      <c r="G76" s="131"/>
      <c r="I76" s="147"/>
      <c r="J76" s="131"/>
      <c r="K76" s="34"/>
    </row>
    <row r="77" spans="4:11">
      <c r="D77" s="35"/>
      <c r="F77" s="148"/>
      <c r="G77" s="129"/>
      <c r="I77" s="148"/>
      <c r="J77" s="129"/>
      <c r="K77" s="34"/>
    </row>
    <row r="78" spans="4:11">
      <c r="D78" s="35"/>
      <c r="E78" s="36" t="s">
        <v>60</v>
      </c>
      <c r="K78" s="34"/>
    </row>
    <row r="79" spans="4:11">
      <c r="D79" s="35"/>
      <c r="E79" s="36" t="s">
        <v>217</v>
      </c>
      <c r="K79" s="34"/>
    </row>
    <row r="80" spans="4:11">
      <c r="D80" s="35"/>
      <c r="E80" s="36"/>
      <c r="F80" s="37" t="s">
        <v>232</v>
      </c>
      <c r="K80" s="34"/>
    </row>
    <row r="81" spans="4:11" ht="19.5" thickBot="1">
      <c r="D81" s="38"/>
      <c r="E81" s="39"/>
      <c r="F81" s="39"/>
      <c r="G81" s="39"/>
      <c r="H81" s="39"/>
      <c r="I81" s="39"/>
      <c r="J81" s="39"/>
      <c r="K81" s="40"/>
    </row>
    <row r="82" spans="4:11">
      <c r="D82" s="29"/>
      <c r="E82" s="30"/>
      <c r="F82" s="30"/>
      <c r="G82" s="30"/>
      <c r="H82" s="30"/>
      <c r="I82" s="30"/>
      <c r="J82" s="30"/>
      <c r="K82" s="31"/>
    </row>
    <row r="83" spans="4:11">
      <c r="D83" s="32" t="s">
        <v>233</v>
      </c>
      <c r="E83" s="33" t="s">
        <v>230</v>
      </c>
      <c r="K83" s="34"/>
    </row>
    <row r="84" spans="4:11">
      <c r="D84" s="35"/>
      <c r="E84" s="33" t="s">
        <v>227</v>
      </c>
      <c r="K84" s="34"/>
    </row>
    <row r="85" spans="4:11">
      <c r="D85" s="35"/>
      <c r="E85" s="33" t="s">
        <v>234</v>
      </c>
      <c r="K85" s="34"/>
    </row>
    <row r="86" spans="4:11" ht="18.75" customHeight="1">
      <c r="D86" s="35"/>
      <c r="E86" s="28" t="s">
        <v>214</v>
      </c>
      <c r="F86" s="28">
        <v>300</v>
      </c>
      <c r="G86" s="28">
        <v>350</v>
      </c>
      <c r="I86" s="28">
        <v>350</v>
      </c>
      <c r="J86" s="28">
        <v>400</v>
      </c>
      <c r="K86" s="34"/>
    </row>
    <row r="87" spans="4:11" ht="18.75" customHeight="1">
      <c r="D87" s="35"/>
      <c r="F87"/>
      <c r="I87"/>
      <c r="K87" s="34"/>
    </row>
    <row r="88" spans="4:11" ht="18.75" customHeight="1">
      <c r="D88" s="35"/>
      <c r="F88"/>
      <c r="G88"/>
      <c r="I88"/>
      <c r="J88" s="134" t="s">
        <v>216</v>
      </c>
      <c r="K88" s="34"/>
    </row>
    <row r="89" spans="4:11">
      <c r="D89" s="35"/>
      <c r="G89" s="132" t="s">
        <v>216</v>
      </c>
      <c r="I89" s="135" t="s">
        <v>215</v>
      </c>
      <c r="J89" s="149"/>
      <c r="K89" s="34"/>
    </row>
    <row r="90" spans="4:11">
      <c r="D90" s="35"/>
      <c r="F90" s="133" t="s">
        <v>215</v>
      </c>
      <c r="G90" s="147"/>
      <c r="I90" s="157"/>
      <c r="J90" s="149"/>
      <c r="K90" s="34"/>
    </row>
    <row r="91" spans="4:11">
      <c r="D91" s="35"/>
      <c r="F91" s="147"/>
      <c r="G91" s="147"/>
      <c r="I91" s="157"/>
      <c r="J91" s="149"/>
      <c r="K91" s="34"/>
    </row>
    <row r="92" spans="4:11">
      <c r="D92" s="35"/>
      <c r="F92" s="147"/>
      <c r="G92" s="147"/>
      <c r="I92" s="157"/>
      <c r="J92" s="149"/>
      <c r="K92" s="34"/>
    </row>
    <row r="93" spans="4:11">
      <c r="D93" s="35"/>
      <c r="F93" s="147"/>
      <c r="G93" s="147"/>
      <c r="I93" s="157"/>
      <c r="J93" s="149"/>
      <c r="K93" s="34"/>
    </row>
    <row r="94" spans="4:11">
      <c r="D94" s="35"/>
      <c r="F94" s="147"/>
      <c r="G94" s="147"/>
      <c r="I94" s="157"/>
      <c r="J94" s="149"/>
      <c r="K94" s="34"/>
    </row>
    <row r="95" spans="4:11">
      <c r="D95" s="35"/>
      <c r="F95" s="148"/>
      <c r="G95" s="148"/>
      <c r="I95" s="157"/>
      <c r="J95" s="149"/>
      <c r="K95" s="34"/>
    </row>
    <row r="96" spans="4:11">
      <c r="D96" s="35"/>
      <c r="E96" s="36" t="s">
        <v>60</v>
      </c>
      <c r="F96" s="28">
        <v>50</v>
      </c>
      <c r="I96" s="28">
        <v>50</v>
      </c>
      <c r="K96" s="34"/>
    </row>
    <row r="97" spans="4:11">
      <c r="D97" s="35"/>
      <c r="E97" s="36" t="s">
        <v>217</v>
      </c>
      <c r="K97" s="34"/>
    </row>
    <row r="98" spans="4:11">
      <c r="D98" s="35"/>
      <c r="E98" s="46" t="s">
        <v>218</v>
      </c>
      <c r="F98" s="37" t="s">
        <v>235</v>
      </c>
      <c r="I98" s="37" t="s">
        <v>220</v>
      </c>
      <c r="K98" s="34"/>
    </row>
    <row r="99" spans="4:11" ht="19.5" thickBot="1">
      <c r="D99" s="38"/>
      <c r="E99" s="39"/>
      <c r="F99" s="39"/>
      <c r="G99" s="41"/>
      <c r="H99" s="39"/>
      <c r="I99" s="39"/>
      <c r="J99" s="39"/>
      <c r="K99" s="40"/>
    </row>
    <row r="100" spans="4:11">
      <c r="D100" s="29"/>
      <c r="E100" s="30"/>
      <c r="F100" s="30"/>
      <c r="G100" s="30"/>
      <c r="H100" s="30"/>
      <c r="I100" s="30"/>
      <c r="J100" s="30"/>
      <c r="K100" s="31"/>
    </row>
    <row r="101" spans="4:11">
      <c r="D101" s="32" t="s">
        <v>236</v>
      </c>
      <c r="E101" s="33" t="s">
        <v>230</v>
      </c>
      <c r="K101" s="34"/>
    </row>
    <row r="102" spans="4:11">
      <c r="D102" s="35"/>
      <c r="E102" s="33" t="s">
        <v>227</v>
      </c>
      <c r="K102" s="34"/>
    </row>
    <row r="103" spans="4:11">
      <c r="D103" s="35"/>
      <c r="E103" s="33" t="s">
        <v>237</v>
      </c>
      <c r="K103" s="34"/>
    </row>
    <row r="104" spans="4:11" ht="18.75" customHeight="1">
      <c r="D104" s="35"/>
      <c r="E104" s="28" t="s">
        <v>214</v>
      </c>
      <c r="F104" s="28">
        <v>400</v>
      </c>
      <c r="G104" s="28">
        <v>350</v>
      </c>
      <c r="I104" s="28">
        <v>350</v>
      </c>
      <c r="J104" s="28">
        <v>350</v>
      </c>
      <c r="K104" s="34"/>
    </row>
    <row r="105" spans="4:11" ht="18.75" customHeight="1">
      <c r="D105" s="35"/>
      <c r="F105"/>
      <c r="K105" s="34"/>
    </row>
    <row r="106" spans="4:11" ht="18.75" customHeight="1">
      <c r="D106" s="35"/>
      <c r="F106" s="133" t="s">
        <v>215</v>
      </c>
      <c r="I106"/>
      <c r="K106" s="34"/>
    </row>
    <row r="107" spans="4:11">
      <c r="D107" s="35"/>
      <c r="F107" s="147"/>
      <c r="G107" s="132" t="s">
        <v>216</v>
      </c>
      <c r="I107" s="133" t="s">
        <v>215</v>
      </c>
      <c r="J107" s="132" t="s">
        <v>216</v>
      </c>
      <c r="K107" s="34"/>
    </row>
    <row r="108" spans="4:11">
      <c r="D108" s="35"/>
      <c r="F108" s="147"/>
      <c r="G108" s="147"/>
      <c r="I108" s="147"/>
      <c r="J108" s="147"/>
      <c r="K108" s="34"/>
    </row>
    <row r="109" spans="4:11">
      <c r="D109" s="35"/>
      <c r="F109" s="147"/>
      <c r="G109" s="147"/>
      <c r="I109" s="147"/>
      <c r="J109" s="147"/>
      <c r="K109" s="34"/>
    </row>
    <row r="110" spans="4:11">
      <c r="D110" s="35"/>
      <c r="F110" s="147"/>
      <c r="G110" s="147"/>
      <c r="I110" s="147"/>
      <c r="J110" s="147"/>
      <c r="K110" s="34"/>
    </row>
    <row r="111" spans="4:11">
      <c r="D111" s="35"/>
      <c r="F111" s="147"/>
      <c r="G111" s="147"/>
      <c r="I111" s="147"/>
      <c r="J111" s="147"/>
      <c r="K111" s="34"/>
    </row>
    <row r="112" spans="4:11">
      <c r="D112" s="35"/>
      <c r="F112" s="147"/>
      <c r="G112" s="147"/>
      <c r="I112" s="147"/>
      <c r="J112" s="147"/>
      <c r="K112" s="34"/>
    </row>
    <row r="113" spans="4:11">
      <c r="D113" s="35"/>
      <c r="F113" s="148"/>
      <c r="G113" s="148"/>
      <c r="I113" s="148"/>
      <c r="J113" s="148"/>
      <c r="K113" s="34"/>
    </row>
    <row r="114" spans="4:11">
      <c r="D114" s="35"/>
      <c r="E114" s="36" t="s">
        <v>60</v>
      </c>
      <c r="F114" s="28">
        <v>0</v>
      </c>
      <c r="G114" s="28">
        <v>0</v>
      </c>
      <c r="I114" s="28">
        <v>0</v>
      </c>
      <c r="J114" s="28">
        <v>0</v>
      </c>
      <c r="K114" s="34"/>
    </row>
    <row r="115" spans="4:11">
      <c r="D115" s="35"/>
      <c r="E115" s="36" t="s">
        <v>217</v>
      </c>
      <c r="K115" s="34"/>
    </row>
    <row r="116" spans="4:11">
      <c r="D116" s="35"/>
      <c r="E116" s="36"/>
      <c r="F116" s="37" t="s">
        <v>232</v>
      </c>
      <c r="G116" s="42"/>
      <c r="K116" s="34"/>
    </row>
    <row r="117" spans="4:11" ht="19.5" thickBot="1">
      <c r="D117" s="38"/>
      <c r="E117" s="39"/>
      <c r="F117" s="39"/>
      <c r="G117" s="41"/>
      <c r="H117" s="39"/>
      <c r="I117" s="39"/>
      <c r="J117" s="39"/>
      <c r="K117" s="40"/>
    </row>
    <row r="118" spans="4:11">
      <c r="D118" s="37" t="s">
        <v>238</v>
      </c>
    </row>
  </sheetData>
  <mergeCells count="22">
    <mergeCell ref="F11:F15"/>
    <mergeCell ref="G11:G15"/>
    <mergeCell ref="I11:I15"/>
    <mergeCell ref="J12:J15"/>
    <mergeCell ref="G25:G30"/>
    <mergeCell ref="F26:F30"/>
    <mergeCell ref="F106:F113"/>
    <mergeCell ref="G40:G46"/>
    <mergeCell ref="F42:F46"/>
    <mergeCell ref="F56:F61"/>
    <mergeCell ref="G57:G61"/>
    <mergeCell ref="F72:F77"/>
    <mergeCell ref="G72:G77"/>
    <mergeCell ref="F90:F95"/>
    <mergeCell ref="J72:J77"/>
    <mergeCell ref="I71:I77"/>
    <mergeCell ref="I107:I113"/>
    <mergeCell ref="J107:J113"/>
    <mergeCell ref="G107:G113"/>
    <mergeCell ref="J88:J95"/>
    <mergeCell ref="G89:G95"/>
    <mergeCell ref="I89:I95"/>
  </mergeCells>
  <phoneticPr fontId="1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57"/>
  <sheetViews>
    <sheetView zoomScale="70" zoomScaleNormal="70" workbookViewId="0">
      <pane xSplit="2" ySplit="1" topLeftCell="J2" activePane="bottomRight" state="frozen"/>
      <selection pane="bottomRight" activeCell="L1" sqref="L1:L1048576"/>
      <selection pane="bottomLeft" activeCell="A2" sqref="A2"/>
      <selection pane="topRight" activeCell="B1" sqref="B1"/>
    </sheetView>
  </sheetViews>
  <sheetFormatPr defaultColWidth="86.625" defaultRowHeight="20.25" customHeight="1" outlineLevelCol="2"/>
  <cols>
    <col min="1" max="1" width="21.375" style="3" bestFit="1" customWidth="1"/>
    <col min="2" max="2" width="5.25" style="3" bestFit="1" customWidth="1"/>
    <col min="3" max="3" width="9" style="3" hidden="1" customWidth="1" outlineLevel="2"/>
    <col min="4" max="4" width="20.625" style="3" hidden="1" customWidth="1" outlineLevel="2"/>
    <col min="5" max="5" width="6.25" style="3" hidden="1" customWidth="1" outlineLevel="2"/>
    <col min="6" max="6" width="28.875" style="3" hidden="1" customWidth="1" outlineLevel="2"/>
    <col min="7" max="7" width="10.875" style="3" hidden="1" customWidth="1" outlineLevel="1" collapsed="1"/>
    <col min="8" max="8" width="61.5" style="3" bestFit="1" customWidth="1" collapsed="1"/>
    <col min="9" max="9" width="33.875" style="3" hidden="1" customWidth="1" outlineLevel="1"/>
    <col min="10" max="10" width="15" style="3" bestFit="1" customWidth="1" collapsed="1"/>
    <col min="11" max="11" width="3.25" style="3" customWidth="1"/>
    <col min="12" max="12" width="18.75" style="3" bestFit="1" customWidth="1"/>
    <col min="13" max="13" width="2.625" style="3" customWidth="1"/>
    <col min="14" max="14" width="20.875" style="3" bestFit="1" customWidth="1"/>
    <col min="15" max="15" width="13.125" style="3" bestFit="1" customWidth="1"/>
    <col min="16" max="16" width="15" style="3" bestFit="1" customWidth="1"/>
    <col min="17" max="17" width="11" style="3" bestFit="1" customWidth="1"/>
    <col min="18" max="19" width="13" style="3" bestFit="1" customWidth="1"/>
    <col min="20" max="20" width="9" style="3" bestFit="1" customWidth="1"/>
    <col min="21" max="21" width="7.125" style="3" bestFit="1" customWidth="1"/>
    <col min="22" max="23" width="9" style="3" bestFit="1" customWidth="1"/>
    <col min="24" max="24" width="25.625" style="3" bestFit="1" customWidth="1"/>
    <col min="25" max="25" width="10.875" style="3" bestFit="1" customWidth="1"/>
    <col min="26" max="16384" width="86.625" style="3"/>
  </cols>
  <sheetData>
    <row r="1" spans="1:25" ht="20.25" customHeight="1">
      <c r="B1" s="25" t="s">
        <v>132</v>
      </c>
      <c r="C1" s="25" t="s">
        <v>239</v>
      </c>
      <c r="D1" s="25" t="s">
        <v>240</v>
      </c>
      <c r="E1" s="25" t="s">
        <v>241</v>
      </c>
      <c r="F1" s="25" t="s">
        <v>242</v>
      </c>
      <c r="G1" s="25" t="s">
        <v>243</v>
      </c>
      <c r="H1" s="25" t="s">
        <v>137</v>
      </c>
      <c r="I1" s="25" t="s">
        <v>134</v>
      </c>
      <c r="J1" s="25" t="s">
        <v>135</v>
      </c>
      <c r="K1" s="25" t="s">
        <v>244</v>
      </c>
      <c r="L1" s="25" t="s">
        <v>245</v>
      </c>
      <c r="M1" s="25" t="s">
        <v>246</v>
      </c>
      <c r="N1" s="25" t="s">
        <v>247</v>
      </c>
      <c r="O1" s="25" t="s">
        <v>248</v>
      </c>
      <c r="P1" s="25" t="s">
        <v>142</v>
      </c>
      <c r="Q1" s="25" t="s">
        <v>143</v>
      </c>
      <c r="R1" s="25" t="s">
        <v>144</v>
      </c>
      <c r="S1" s="25" t="s">
        <v>145</v>
      </c>
      <c r="T1" s="25" t="s">
        <v>5</v>
      </c>
      <c r="U1" s="25" t="s">
        <v>140</v>
      </c>
      <c r="V1" s="25" t="s">
        <v>249</v>
      </c>
      <c r="W1" s="25" t="s">
        <v>250</v>
      </c>
      <c r="X1" s="25" t="s">
        <v>6</v>
      </c>
      <c r="Y1" s="25" t="s">
        <v>141</v>
      </c>
    </row>
    <row r="2" spans="1:25" ht="20.25" customHeight="1">
      <c r="A2" s="26" t="s">
        <v>251</v>
      </c>
      <c r="B2" s="27">
        <v>1</v>
      </c>
      <c r="C2" s="26" t="s">
        <v>252</v>
      </c>
      <c r="D2" s="26" t="s">
        <v>252</v>
      </c>
      <c r="E2" s="26" t="s">
        <v>253</v>
      </c>
      <c r="F2" s="26" t="s">
        <v>254</v>
      </c>
      <c r="G2" s="26" t="s">
        <v>159</v>
      </c>
      <c r="H2" s="26" t="s">
        <v>255</v>
      </c>
      <c r="I2" s="26" t="s">
        <v>256</v>
      </c>
      <c r="J2" s="26" t="s">
        <v>257</v>
      </c>
      <c r="K2" s="26" t="s">
        <v>165</v>
      </c>
      <c r="L2" s="26" t="s">
        <v>258</v>
      </c>
      <c r="M2" s="26" t="s">
        <v>150</v>
      </c>
      <c r="N2" s="26" t="s">
        <v>159</v>
      </c>
      <c r="O2" s="26" t="s">
        <v>159</v>
      </c>
      <c r="P2" s="26" t="s">
        <v>200</v>
      </c>
      <c r="Q2" s="26" t="s">
        <v>158</v>
      </c>
      <c r="R2" s="26" t="s">
        <v>154</v>
      </c>
      <c r="S2" s="26" t="s">
        <v>158</v>
      </c>
      <c r="T2" s="26" t="s">
        <v>149</v>
      </c>
      <c r="U2" s="26" t="s">
        <v>154</v>
      </c>
      <c r="V2" s="26" t="s">
        <v>158</v>
      </c>
      <c r="W2" s="26" t="s">
        <v>153</v>
      </c>
      <c r="X2" s="26" t="s">
        <v>251</v>
      </c>
      <c r="Y2" s="26" t="s">
        <v>161</v>
      </c>
    </row>
    <row r="3" spans="1:25" ht="20.25" customHeight="1">
      <c r="A3" s="3" t="s">
        <v>259</v>
      </c>
      <c r="B3" s="27">
        <v>1</v>
      </c>
      <c r="C3" s="26" t="s">
        <v>252</v>
      </c>
      <c r="D3" s="26" t="s">
        <v>252</v>
      </c>
      <c r="E3" s="26" t="s">
        <v>253</v>
      </c>
      <c r="F3" s="26" t="s">
        <v>254</v>
      </c>
      <c r="G3" s="26" t="s">
        <v>159</v>
      </c>
      <c r="H3" s="26" t="s">
        <v>260</v>
      </c>
      <c r="I3" s="26" t="s">
        <v>256</v>
      </c>
      <c r="J3" s="26" t="s">
        <v>257</v>
      </c>
      <c r="K3" s="26" t="s">
        <v>165</v>
      </c>
      <c r="L3" s="26" t="s">
        <v>258</v>
      </c>
      <c r="M3" s="26" t="s">
        <v>150</v>
      </c>
      <c r="N3" s="26" t="s">
        <v>159</v>
      </c>
      <c r="O3" s="26" t="s">
        <v>159</v>
      </c>
      <c r="P3" s="26" t="s">
        <v>200</v>
      </c>
      <c r="Q3" s="26" t="s">
        <v>158</v>
      </c>
      <c r="R3" s="26" t="s">
        <v>154</v>
      </c>
      <c r="S3" s="26" t="s">
        <v>158</v>
      </c>
      <c r="T3" s="26" t="s">
        <v>153</v>
      </c>
      <c r="U3" s="26" t="s">
        <v>154</v>
      </c>
      <c r="V3" s="26" t="s">
        <v>158</v>
      </c>
      <c r="W3" s="26" t="s">
        <v>153</v>
      </c>
      <c r="X3" s="26" t="s">
        <v>155</v>
      </c>
      <c r="Y3" s="26" t="s">
        <v>156</v>
      </c>
    </row>
    <row r="4" spans="1:25" ht="20.25" customHeight="1">
      <c r="A4" s="26" t="s">
        <v>251</v>
      </c>
      <c r="B4" s="27">
        <v>2</v>
      </c>
      <c r="C4" s="26" t="s">
        <v>261</v>
      </c>
      <c r="D4" s="26" t="s">
        <v>252</v>
      </c>
      <c r="E4" s="26" t="s">
        <v>253</v>
      </c>
      <c r="F4" s="26" t="s">
        <v>254</v>
      </c>
      <c r="G4" s="26" t="s">
        <v>159</v>
      </c>
      <c r="H4" s="26" t="s">
        <v>262</v>
      </c>
      <c r="I4" s="26" t="s">
        <v>263</v>
      </c>
      <c r="J4" s="26" t="s">
        <v>264</v>
      </c>
      <c r="K4" s="26" t="s">
        <v>165</v>
      </c>
      <c r="L4" s="26" t="s">
        <v>165</v>
      </c>
      <c r="M4" s="26" t="s">
        <v>150</v>
      </c>
      <c r="N4" s="26" t="s">
        <v>159</v>
      </c>
      <c r="O4" s="26" t="s">
        <v>159</v>
      </c>
      <c r="P4" s="26" t="s">
        <v>265</v>
      </c>
      <c r="Q4" s="26" t="s">
        <v>158</v>
      </c>
      <c r="R4" s="26" t="s">
        <v>154</v>
      </c>
      <c r="S4" s="26" t="s">
        <v>158</v>
      </c>
      <c r="T4" s="26" t="s">
        <v>149</v>
      </c>
      <c r="U4" s="26" t="s">
        <v>154</v>
      </c>
      <c r="V4" s="26" t="s">
        <v>158</v>
      </c>
      <c r="W4" s="26" t="s">
        <v>153</v>
      </c>
      <c r="X4" s="26" t="s">
        <v>251</v>
      </c>
      <c r="Y4" s="26" t="s">
        <v>161</v>
      </c>
    </row>
    <row r="5" spans="1:25" ht="20.25" customHeight="1">
      <c r="A5" s="26" t="s">
        <v>251</v>
      </c>
      <c r="B5" s="27">
        <v>3</v>
      </c>
      <c r="C5" s="26" t="s">
        <v>266</v>
      </c>
      <c r="D5" s="26" t="s">
        <v>252</v>
      </c>
      <c r="E5" s="26" t="s">
        <v>253</v>
      </c>
      <c r="F5" s="26" t="s">
        <v>254</v>
      </c>
      <c r="G5" s="26" t="s">
        <v>159</v>
      </c>
      <c r="H5" s="26" t="s">
        <v>267</v>
      </c>
      <c r="I5" s="26" t="s">
        <v>268</v>
      </c>
      <c r="J5" s="26" t="s">
        <v>269</v>
      </c>
      <c r="K5" s="26" t="s">
        <v>165</v>
      </c>
      <c r="L5" s="26" t="s">
        <v>270</v>
      </c>
      <c r="M5" s="26" t="s">
        <v>154</v>
      </c>
      <c r="N5" s="26" t="s">
        <v>159</v>
      </c>
      <c r="O5" s="26" t="s">
        <v>159</v>
      </c>
      <c r="P5" s="26" t="s">
        <v>200</v>
      </c>
      <c r="Q5" s="26" t="s">
        <v>158</v>
      </c>
      <c r="R5" s="26" t="s">
        <v>183</v>
      </c>
      <c r="S5" s="26" t="s">
        <v>158</v>
      </c>
      <c r="T5" s="26" t="s">
        <v>149</v>
      </c>
      <c r="U5" s="26" t="s">
        <v>183</v>
      </c>
      <c r="V5" s="26" t="s">
        <v>158</v>
      </c>
      <c r="W5" s="26" t="s">
        <v>153</v>
      </c>
      <c r="X5" s="26" t="s">
        <v>251</v>
      </c>
      <c r="Y5" s="26" t="s">
        <v>161</v>
      </c>
    </row>
    <row r="6" spans="1:25" ht="20.25" customHeight="1">
      <c r="A6" s="26" t="s">
        <v>251</v>
      </c>
      <c r="B6" s="27">
        <v>4</v>
      </c>
      <c r="C6" s="26" t="s">
        <v>266</v>
      </c>
      <c r="D6" s="26" t="s">
        <v>252</v>
      </c>
      <c r="E6" s="26" t="s">
        <v>253</v>
      </c>
      <c r="F6" s="26" t="s">
        <v>254</v>
      </c>
      <c r="G6" s="26" t="s">
        <v>159</v>
      </c>
      <c r="H6" s="26" t="s">
        <v>271</v>
      </c>
      <c r="I6" s="26" t="s">
        <v>272</v>
      </c>
      <c r="J6" s="26" t="s">
        <v>273</v>
      </c>
      <c r="K6" s="26" t="s">
        <v>165</v>
      </c>
      <c r="L6" s="26" t="s">
        <v>270</v>
      </c>
      <c r="M6" s="26" t="s">
        <v>150</v>
      </c>
      <c r="N6" s="26" t="s">
        <v>159</v>
      </c>
      <c r="O6" s="26" t="s">
        <v>159</v>
      </c>
      <c r="P6" s="26" t="s">
        <v>265</v>
      </c>
      <c r="Q6" s="26" t="s">
        <v>158</v>
      </c>
      <c r="R6" s="26" t="s">
        <v>154</v>
      </c>
      <c r="S6" s="26" t="s">
        <v>158</v>
      </c>
      <c r="T6" s="26" t="s">
        <v>149</v>
      </c>
      <c r="U6" s="26" t="s">
        <v>154</v>
      </c>
      <c r="V6" s="26" t="s">
        <v>158</v>
      </c>
      <c r="W6" s="26" t="s">
        <v>153</v>
      </c>
      <c r="X6" s="26" t="s">
        <v>251</v>
      </c>
      <c r="Y6" s="26" t="s">
        <v>161</v>
      </c>
    </row>
    <row r="7" spans="1:25" ht="20.25" customHeight="1">
      <c r="A7" s="26" t="s">
        <v>251</v>
      </c>
      <c r="B7" s="27">
        <v>5</v>
      </c>
      <c r="C7" s="26" t="s">
        <v>266</v>
      </c>
      <c r="D7" s="26" t="s">
        <v>252</v>
      </c>
      <c r="E7" s="26" t="s">
        <v>253</v>
      </c>
      <c r="F7" s="26" t="s">
        <v>254</v>
      </c>
      <c r="G7" s="26" t="s">
        <v>159</v>
      </c>
      <c r="H7" s="26" t="s">
        <v>274</v>
      </c>
      <c r="I7" s="26" t="s">
        <v>275</v>
      </c>
      <c r="J7" s="26" t="s">
        <v>276</v>
      </c>
      <c r="K7" s="26" t="s">
        <v>165</v>
      </c>
      <c r="L7" s="26" t="s">
        <v>270</v>
      </c>
      <c r="M7" s="26" t="s">
        <v>150</v>
      </c>
      <c r="N7" s="26" t="s">
        <v>159</v>
      </c>
      <c r="O7" s="26" t="s">
        <v>159</v>
      </c>
      <c r="P7" s="26" t="s">
        <v>265</v>
      </c>
      <c r="Q7" s="26" t="s">
        <v>158</v>
      </c>
      <c r="R7" s="26" t="s">
        <v>154</v>
      </c>
      <c r="S7" s="26" t="s">
        <v>158</v>
      </c>
      <c r="T7" s="26" t="s">
        <v>149</v>
      </c>
      <c r="U7" s="26" t="s">
        <v>154</v>
      </c>
      <c r="V7" s="26" t="s">
        <v>158</v>
      </c>
      <c r="W7" s="26" t="s">
        <v>153</v>
      </c>
      <c r="X7" s="26" t="s">
        <v>251</v>
      </c>
      <c r="Y7" s="26" t="s">
        <v>161</v>
      </c>
    </row>
    <row r="8" spans="1:25" ht="20.25" customHeight="1">
      <c r="A8" s="26" t="s">
        <v>251</v>
      </c>
      <c r="B8" s="27">
        <v>6</v>
      </c>
      <c r="C8" s="26" t="s">
        <v>252</v>
      </c>
      <c r="D8" s="26" t="s">
        <v>252</v>
      </c>
      <c r="E8" s="26" t="s">
        <v>253</v>
      </c>
      <c r="F8" s="26" t="s">
        <v>277</v>
      </c>
      <c r="G8" s="26" t="s">
        <v>159</v>
      </c>
      <c r="H8" s="26" t="s">
        <v>278</v>
      </c>
      <c r="I8" s="26" t="s">
        <v>279</v>
      </c>
      <c r="J8" s="26" t="s">
        <v>280</v>
      </c>
      <c r="K8" s="26" t="s">
        <v>165</v>
      </c>
      <c r="L8" s="26" t="s">
        <v>258</v>
      </c>
      <c r="M8" s="26" t="s">
        <v>171</v>
      </c>
      <c r="N8" s="26" t="s">
        <v>159</v>
      </c>
      <c r="O8" s="26" t="s">
        <v>159</v>
      </c>
      <c r="P8" s="26" t="s">
        <v>200</v>
      </c>
      <c r="Q8" s="26" t="s">
        <v>158</v>
      </c>
      <c r="R8" s="26" t="s">
        <v>154</v>
      </c>
      <c r="S8" s="26" t="s">
        <v>158</v>
      </c>
      <c r="T8" s="26" t="s">
        <v>158</v>
      </c>
      <c r="U8" s="26" t="s">
        <v>154</v>
      </c>
      <c r="V8" s="26" t="s">
        <v>158</v>
      </c>
      <c r="W8" s="26" t="s">
        <v>153</v>
      </c>
      <c r="X8" s="26" t="s">
        <v>251</v>
      </c>
      <c r="Y8" s="26" t="s">
        <v>173</v>
      </c>
    </row>
    <row r="9" spans="1:25" ht="20.25" customHeight="1">
      <c r="A9" s="3" t="s">
        <v>259</v>
      </c>
      <c r="B9" s="27">
        <v>6</v>
      </c>
      <c r="C9" s="26" t="s">
        <v>252</v>
      </c>
      <c r="D9" s="26" t="s">
        <v>252</v>
      </c>
      <c r="E9" s="26" t="s">
        <v>253</v>
      </c>
      <c r="F9" s="26" t="s">
        <v>277</v>
      </c>
      <c r="G9" s="26" t="s">
        <v>159</v>
      </c>
      <c r="H9" s="26" t="s">
        <v>278</v>
      </c>
      <c r="I9" s="26" t="s">
        <v>279</v>
      </c>
      <c r="J9" s="26" t="s">
        <v>280</v>
      </c>
      <c r="K9" s="26" t="s">
        <v>165</v>
      </c>
      <c r="L9" s="26" t="s">
        <v>258</v>
      </c>
      <c r="M9" s="26" t="s">
        <v>171</v>
      </c>
      <c r="N9" s="26" t="s">
        <v>159</v>
      </c>
      <c r="O9" s="26" t="s">
        <v>159</v>
      </c>
      <c r="P9" s="26" t="s">
        <v>200</v>
      </c>
      <c r="Q9" s="26" t="s">
        <v>158</v>
      </c>
      <c r="R9" s="26" t="s">
        <v>154</v>
      </c>
      <c r="S9" s="26" t="s">
        <v>158</v>
      </c>
      <c r="T9" s="26" t="s">
        <v>153</v>
      </c>
      <c r="U9" s="26" t="s">
        <v>154</v>
      </c>
      <c r="V9" s="26" t="s">
        <v>158</v>
      </c>
      <c r="W9" s="26" t="s">
        <v>153</v>
      </c>
      <c r="X9" s="26" t="s">
        <v>155</v>
      </c>
      <c r="Y9" s="26" t="s">
        <v>156</v>
      </c>
    </row>
    <row r="10" spans="1:25" ht="20.25" customHeight="1">
      <c r="A10" s="26" t="s">
        <v>251</v>
      </c>
      <c r="B10" s="27">
        <v>7</v>
      </c>
      <c r="C10" s="26" t="s">
        <v>261</v>
      </c>
      <c r="D10" s="26" t="s">
        <v>252</v>
      </c>
      <c r="E10" s="26" t="s">
        <v>253</v>
      </c>
      <c r="F10" s="26" t="s">
        <v>277</v>
      </c>
      <c r="G10" s="26" t="s">
        <v>159</v>
      </c>
      <c r="H10" s="26" t="s">
        <v>281</v>
      </c>
      <c r="I10" s="26" t="s">
        <v>282</v>
      </c>
      <c r="J10" s="26" t="s">
        <v>283</v>
      </c>
      <c r="K10" s="26" t="s">
        <v>165</v>
      </c>
      <c r="L10" s="26" t="s">
        <v>165</v>
      </c>
      <c r="M10" s="26" t="s">
        <v>171</v>
      </c>
      <c r="N10" s="26" t="s">
        <v>159</v>
      </c>
      <c r="O10" s="26" t="s">
        <v>159</v>
      </c>
      <c r="P10" s="26" t="s">
        <v>265</v>
      </c>
      <c r="Q10" s="26" t="s">
        <v>158</v>
      </c>
      <c r="R10" s="26" t="s">
        <v>154</v>
      </c>
      <c r="S10" s="26" t="s">
        <v>158</v>
      </c>
      <c r="T10" s="26" t="s">
        <v>158</v>
      </c>
      <c r="U10" s="26" t="s">
        <v>154</v>
      </c>
      <c r="V10" s="26" t="s">
        <v>158</v>
      </c>
      <c r="W10" s="26" t="s">
        <v>153</v>
      </c>
      <c r="X10" s="26" t="s">
        <v>251</v>
      </c>
      <c r="Y10" s="26" t="s">
        <v>173</v>
      </c>
    </row>
    <row r="11" spans="1:25" ht="20.25" customHeight="1">
      <c r="A11" s="26" t="s">
        <v>251</v>
      </c>
      <c r="B11" s="27">
        <v>8</v>
      </c>
      <c r="C11" s="26" t="s">
        <v>266</v>
      </c>
      <c r="D11" s="26" t="s">
        <v>252</v>
      </c>
      <c r="E11" s="26" t="s">
        <v>253</v>
      </c>
      <c r="F11" s="26" t="s">
        <v>277</v>
      </c>
      <c r="G11" s="26" t="s">
        <v>159</v>
      </c>
      <c r="H11" s="26" t="s">
        <v>284</v>
      </c>
      <c r="I11" s="26" t="s">
        <v>285</v>
      </c>
      <c r="J11" s="26" t="s">
        <v>286</v>
      </c>
      <c r="K11" s="26" t="s">
        <v>165</v>
      </c>
      <c r="L11" s="26" t="s">
        <v>270</v>
      </c>
      <c r="M11" s="26" t="s">
        <v>287</v>
      </c>
      <c r="N11" s="26" t="s">
        <v>159</v>
      </c>
      <c r="O11" s="26" t="s">
        <v>159</v>
      </c>
      <c r="P11" s="26" t="s">
        <v>200</v>
      </c>
      <c r="Q11" s="26" t="s">
        <v>158</v>
      </c>
      <c r="R11" s="26" t="s">
        <v>183</v>
      </c>
      <c r="S11" s="26" t="s">
        <v>158</v>
      </c>
      <c r="T11" s="26" t="s">
        <v>158</v>
      </c>
      <c r="U11" s="26" t="s">
        <v>183</v>
      </c>
      <c r="V11" s="26" t="s">
        <v>158</v>
      </c>
      <c r="W11" s="26" t="s">
        <v>153</v>
      </c>
      <c r="X11" s="26" t="s">
        <v>251</v>
      </c>
      <c r="Y11" s="26" t="s">
        <v>173</v>
      </c>
    </row>
    <row r="12" spans="1:25" ht="20.25" customHeight="1">
      <c r="A12" s="26" t="s">
        <v>251</v>
      </c>
      <c r="B12" s="27">
        <v>9</v>
      </c>
      <c r="C12" s="26" t="s">
        <v>266</v>
      </c>
      <c r="D12" s="26" t="s">
        <v>252</v>
      </c>
      <c r="E12" s="26" t="s">
        <v>253</v>
      </c>
      <c r="F12" s="26" t="s">
        <v>277</v>
      </c>
      <c r="G12" s="26" t="s">
        <v>159</v>
      </c>
      <c r="H12" s="26" t="s">
        <v>288</v>
      </c>
      <c r="I12" s="26" t="s">
        <v>289</v>
      </c>
      <c r="J12" s="26" t="s">
        <v>290</v>
      </c>
      <c r="K12" s="26" t="s">
        <v>165</v>
      </c>
      <c r="L12" s="26" t="s">
        <v>270</v>
      </c>
      <c r="M12" s="26" t="s">
        <v>171</v>
      </c>
      <c r="N12" s="26" t="s">
        <v>159</v>
      </c>
      <c r="O12" s="26" t="s">
        <v>159</v>
      </c>
      <c r="P12" s="26" t="s">
        <v>265</v>
      </c>
      <c r="Q12" s="26" t="s">
        <v>158</v>
      </c>
      <c r="R12" s="26" t="s">
        <v>154</v>
      </c>
      <c r="S12" s="26" t="s">
        <v>158</v>
      </c>
      <c r="T12" s="26" t="s">
        <v>158</v>
      </c>
      <c r="U12" s="26" t="s">
        <v>154</v>
      </c>
      <c r="V12" s="26" t="s">
        <v>158</v>
      </c>
      <c r="W12" s="26" t="s">
        <v>153</v>
      </c>
      <c r="X12" s="26" t="s">
        <v>251</v>
      </c>
      <c r="Y12" s="26" t="s">
        <v>173</v>
      </c>
    </row>
    <row r="13" spans="1:25" ht="20.25" customHeight="1">
      <c r="A13" s="26" t="s">
        <v>251</v>
      </c>
      <c r="B13" s="27">
        <v>10</v>
      </c>
      <c r="C13" s="26" t="s">
        <v>266</v>
      </c>
      <c r="D13" s="26" t="s">
        <v>252</v>
      </c>
      <c r="E13" s="26" t="s">
        <v>253</v>
      </c>
      <c r="F13" s="26" t="s">
        <v>277</v>
      </c>
      <c r="G13" s="26" t="s">
        <v>159</v>
      </c>
      <c r="H13" s="26" t="s">
        <v>291</v>
      </c>
      <c r="I13" s="26" t="s">
        <v>292</v>
      </c>
      <c r="J13" s="26" t="s">
        <v>293</v>
      </c>
      <c r="K13" s="26" t="s">
        <v>165</v>
      </c>
      <c r="L13" s="26" t="s">
        <v>270</v>
      </c>
      <c r="M13" s="26" t="s">
        <v>171</v>
      </c>
      <c r="N13" s="26" t="s">
        <v>159</v>
      </c>
      <c r="O13" s="26" t="s">
        <v>159</v>
      </c>
      <c r="P13" s="26" t="s">
        <v>265</v>
      </c>
      <c r="Q13" s="26" t="s">
        <v>158</v>
      </c>
      <c r="R13" s="26" t="s">
        <v>154</v>
      </c>
      <c r="S13" s="26" t="s">
        <v>158</v>
      </c>
      <c r="T13" s="26" t="s">
        <v>158</v>
      </c>
      <c r="U13" s="26" t="s">
        <v>154</v>
      </c>
      <c r="V13" s="26" t="s">
        <v>158</v>
      </c>
      <c r="W13" s="26" t="s">
        <v>153</v>
      </c>
      <c r="X13" s="26" t="s">
        <v>251</v>
      </c>
      <c r="Y13" s="26" t="s">
        <v>173</v>
      </c>
    </row>
    <row r="14" spans="1:25" ht="20.25" customHeight="1">
      <c r="A14" s="3" t="s">
        <v>294</v>
      </c>
      <c r="B14" s="27">
        <v>11</v>
      </c>
      <c r="C14" s="26" t="s">
        <v>252</v>
      </c>
      <c r="D14" s="26" t="s">
        <v>252</v>
      </c>
      <c r="E14" s="26" t="s">
        <v>253</v>
      </c>
      <c r="F14" s="26" t="s">
        <v>295</v>
      </c>
      <c r="G14" s="26" t="s">
        <v>159</v>
      </c>
      <c r="H14" s="26" t="s">
        <v>296</v>
      </c>
      <c r="I14" s="26" t="s">
        <v>297</v>
      </c>
      <c r="J14" s="26" t="s">
        <v>298</v>
      </c>
      <c r="K14" s="26" t="s">
        <v>165</v>
      </c>
      <c r="L14" s="26" t="s">
        <v>258</v>
      </c>
      <c r="M14" s="26" t="s">
        <v>157</v>
      </c>
      <c r="N14" s="26" t="s">
        <v>159</v>
      </c>
      <c r="O14" s="26" t="s">
        <v>159</v>
      </c>
      <c r="P14" s="26" t="s">
        <v>203</v>
      </c>
      <c r="Q14" s="26" t="s">
        <v>158</v>
      </c>
      <c r="R14" s="26" t="s">
        <v>183</v>
      </c>
      <c r="S14" s="26" t="s">
        <v>158</v>
      </c>
      <c r="T14" s="26" t="s">
        <v>149</v>
      </c>
      <c r="U14" s="26" t="s">
        <v>183</v>
      </c>
      <c r="V14" s="26" t="s">
        <v>158</v>
      </c>
      <c r="W14" s="26" t="s">
        <v>153</v>
      </c>
      <c r="X14" s="26" t="s">
        <v>251</v>
      </c>
      <c r="Y14" s="26" t="s">
        <v>161</v>
      </c>
    </row>
    <row r="15" spans="1:25" ht="20.25" customHeight="1">
      <c r="A15" s="3" t="s">
        <v>294</v>
      </c>
      <c r="B15" s="27">
        <v>11</v>
      </c>
      <c r="C15" s="26" t="s">
        <v>252</v>
      </c>
      <c r="D15" s="26" t="s">
        <v>252</v>
      </c>
      <c r="E15" s="26" t="s">
        <v>253</v>
      </c>
      <c r="F15" s="26" t="s">
        <v>295</v>
      </c>
      <c r="G15" s="26" t="s">
        <v>159</v>
      </c>
      <c r="H15" s="26" t="s">
        <v>299</v>
      </c>
      <c r="I15" s="26" t="s">
        <v>297</v>
      </c>
      <c r="J15" s="26" t="s">
        <v>298</v>
      </c>
      <c r="K15" s="26" t="s">
        <v>165</v>
      </c>
      <c r="L15" s="26" t="s">
        <v>258</v>
      </c>
      <c r="M15" s="26" t="s">
        <v>157</v>
      </c>
      <c r="N15" s="26" t="s">
        <v>159</v>
      </c>
      <c r="O15" s="26" t="s">
        <v>159</v>
      </c>
      <c r="P15" s="26" t="s">
        <v>203</v>
      </c>
      <c r="Q15" s="26" t="s">
        <v>158</v>
      </c>
      <c r="R15" s="26" t="s">
        <v>183</v>
      </c>
      <c r="S15" s="26" t="s">
        <v>158</v>
      </c>
      <c r="T15" s="26" t="s">
        <v>153</v>
      </c>
      <c r="U15" s="26" t="s">
        <v>154</v>
      </c>
      <c r="V15" s="26" t="s">
        <v>158</v>
      </c>
      <c r="W15" s="26" t="s">
        <v>153</v>
      </c>
      <c r="X15" s="26" t="s">
        <v>155</v>
      </c>
      <c r="Y15" s="26" t="s">
        <v>156</v>
      </c>
    </row>
    <row r="16" spans="1:25" ht="20.25" customHeight="1">
      <c r="A16" s="3" t="s">
        <v>294</v>
      </c>
      <c r="B16" s="27">
        <v>12</v>
      </c>
      <c r="C16" s="26" t="s">
        <v>252</v>
      </c>
      <c r="D16" s="26" t="s">
        <v>261</v>
      </c>
      <c r="E16" s="26" t="s">
        <v>253</v>
      </c>
      <c r="F16" s="26" t="s">
        <v>295</v>
      </c>
      <c r="G16" s="26" t="s">
        <v>159</v>
      </c>
      <c r="H16" s="26" t="s">
        <v>300</v>
      </c>
      <c r="I16" s="26" t="s">
        <v>301</v>
      </c>
      <c r="J16" s="26" t="s">
        <v>302</v>
      </c>
      <c r="K16" s="26" t="s">
        <v>165</v>
      </c>
      <c r="L16" s="26" t="s">
        <v>258</v>
      </c>
      <c r="M16" s="26" t="s">
        <v>258</v>
      </c>
      <c r="N16" s="26" t="s">
        <v>159</v>
      </c>
      <c r="O16" s="26" t="s">
        <v>159</v>
      </c>
      <c r="P16" s="26" t="s">
        <v>200</v>
      </c>
      <c r="Q16" s="26" t="s">
        <v>158</v>
      </c>
      <c r="R16" s="26" t="s">
        <v>154</v>
      </c>
      <c r="S16" s="26" t="s">
        <v>158</v>
      </c>
      <c r="T16" s="26" t="s">
        <v>149</v>
      </c>
      <c r="U16" s="26" t="s">
        <v>154</v>
      </c>
      <c r="V16" s="26" t="s">
        <v>158</v>
      </c>
      <c r="W16" s="26" t="s">
        <v>153</v>
      </c>
      <c r="X16" s="26" t="s">
        <v>303</v>
      </c>
      <c r="Y16" s="26" t="s">
        <v>161</v>
      </c>
    </row>
    <row r="17" spans="1:25" ht="20.25" customHeight="1">
      <c r="A17" s="3" t="s">
        <v>294</v>
      </c>
      <c r="B17" s="27">
        <v>12</v>
      </c>
      <c r="C17" s="26" t="s">
        <v>252</v>
      </c>
      <c r="D17" s="26" t="s">
        <v>261</v>
      </c>
      <c r="E17" s="26" t="s">
        <v>253</v>
      </c>
      <c r="F17" s="26" t="s">
        <v>295</v>
      </c>
      <c r="G17" s="26" t="s">
        <v>159</v>
      </c>
      <c r="H17" s="26" t="s">
        <v>300</v>
      </c>
      <c r="I17" s="26" t="s">
        <v>301</v>
      </c>
      <c r="J17" s="26" t="s">
        <v>302</v>
      </c>
      <c r="K17" s="26" t="s">
        <v>165</v>
      </c>
      <c r="L17" s="26" t="s">
        <v>258</v>
      </c>
      <c r="M17" s="26" t="s">
        <v>258</v>
      </c>
      <c r="N17" s="26" t="s">
        <v>159</v>
      </c>
      <c r="O17" s="26" t="s">
        <v>159</v>
      </c>
      <c r="P17" s="26" t="s">
        <v>200</v>
      </c>
      <c r="Q17" s="26" t="s">
        <v>158</v>
      </c>
      <c r="R17" s="26" t="s">
        <v>154</v>
      </c>
      <c r="S17" s="26" t="s">
        <v>158</v>
      </c>
      <c r="T17" s="26" t="s">
        <v>153</v>
      </c>
      <c r="U17" s="26" t="s">
        <v>154</v>
      </c>
      <c r="V17" s="26" t="s">
        <v>158</v>
      </c>
      <c r="W17" s="26" t="s">
        <v>153</v>
      </c>
      <c r="X17" s="26" t="s">
        <v>155</v>
      </c>
      <c r="Y17" s="26" t="s">
        <v>156</v>
      </c>
    </row>
    <row r="18" spans="1:25" ht="20.25" customHeight="1">
      <c r="A18" s="3" t="s">
        <v>294</v>
      </c>
      <c r="B18" s="27">
        <v>13</v>
      </c>
      <c r="C18" s="26" t="s">
        <v>252</v>
      </c>
      <c r="D18" s="26" t="s">
        <v>266</v>
      </c>
      <c r="E18" s="26" t="s">
        <v>253</v>
      </c>
      <c r="F18" s="26" t="s">
        <v>295</v>
      </c>
      <c r="G18" s="26" t="s">
        <v>159</v>
      </c>
      <c r="H18" s="26" t="s">
        <v>304</v>
      </c>
      <c r="I18" s="26" t="s">
        <v>305</v>
      </c>
      <c r="J18" s="26" t="s">
        <v>306</v>
      </c>
      <c r="K18" s="26" t="s">
        <v>165</v>
      </c>
      <c r="L18" s="26" t="s">
        <v>157</v>
      </c>
      <c r="M18" s="26" t="s">
        <v>258</v>
      </c>
      <c r="N18" s="26" t="s">
        <v>159</v>
      </c>
      <c r="O18" s="26" t="s">
        <v>159</v>
      </c>
      <c r="P18" s="26" t="s">
        <v>203</v>
      </c>
      <c r="Q18" s="26" t="s">
        <v>158</v>
      </c>
      <c r="R18" s="26" t="s">
        <v>154</v>
      </c>
      <c r="S18" s="26" t="s">
        <v>158</v>
      </c>
      <c r="T18" s="26" t="s">
        <v>153</v>
      </c>
      <c r="U18" s="26" t="s">
        <v>183</v>
      </c>
      <c r="V18" s="26" t="s">
        <v>158</v>
      </c>
      <c r="W18" s="26" t="s">
        <v>153</v>
      </c>
      <c r="X18" s="26" t="s">
        <v>155</v>
      </c>
      <c r="Y18" s="26" t="s">
        <v>156</v>
      </c>
    </row>
    <row r="19" spans="1:25" ht="20.25" customHeight="1">
      <c r="A19" s="3" t="s">
        <v>294</v>
      </c>
      <c r="B19" s="27">
        <v>13</v>
      </c>
      <c r="C19" s="26" t="s">
        <v>252</v>
      </c>
      <c r="D19" s="26" t="s">
        <v>266</v>
      </c>
      <c r="E19" s="26" t="s">
        <v>253</v>
      </c>
      <c r="F19" s="26" t="s">
        <v>295</v>
      </c>
      <c r="G19" s="26" t="s">
        <v>159</v>
      </c>
      <c r="H19" s="26" t="s">
        <v>304</v>
      </c>
      <c r="I19" s="26" t="s">
        <v>305</v>
      </c>
      <c r="J19" s="26" t="s">
        <v>306</v>
      </c>
      <c r="K19" s="26" t="s">
        <v>165</v>
      </c>
      <c r="L19" s="26" t="s">
        <v>157</v>
      </c>
      <c r="M19" s="26" t="s">
        <v>258</v>
      </c>
      <c r="N19" s="26" t="s">
        <v>159</v>
      </c>
      <c r="O19" s="26" t="s">
        <v>159</v>
      </c>
      <c r="P19" s="26" t="s">
        <v>203</v>
      </c>
      <c r="Q19" s="26" t="s">
        <v>158</v>
      </c>
      <c r="R19" s="26" t="s">
        <v>154</v>
      </c>
      <c r="S19" s="26" t="s">
        <v>158</v>
      </c>
      <c r="T19" s="26" t="s">
        <v>149</v>
      </c>
      <c r="U19" s="26" t="s">
        <v>154</v>
      </c>
      <c r="V19" s="26" t="s">
        <v>158</v>
      </c>
      <c r="W19" s="26" t="s">
        <v>153</v>
      </c>
      <c r="X19" s="26" t="s">
        <v>251</v>
      </c>
      <c r="Y19" s="26" t="s">
        <v>161</v>
      </c>
    </row>
    <row r="20" spans="1:25" ht="20.25" customHeight="1">
      <c r="A20" s="3" t="s">
        <v>307</v>
      </c>
      <c r="B20" s="27">
        <v>14</v>
      </c>
      <c r="C20" s="26" t="s">
        <v>252</v>
      </c>
      <c r="D20" s="26" t="s">
        <v>266</v>
      </c>
      <c r="E20" s="26" t="s">
        <v>253</v>
      </c>
      <c r="F20" s="26" t="s">
        <v>295</v>
      </c>
      <c r="G20" s="26" t="s">
        <v>159</v>
      </c>
      <c r="H20" s="26" t="s">
        <v>308</v>
      </c>
      <c r="I20" s="26" t="s">
        <v>309</v>
      </c>
      <c r="J20" s="26" t="s">
        <v>310</v>
      </c>
      <c r="K20" s="26" t="s">
        <v>165</v>
      </c>
      <c r="L20" s="26" t="s">
        <v>258</v>
      </c>
      <c r="M20" s="26" t="s">
        <v>165</v>
      </c>
      <c r="N20" s="26" t="s">
        <v>159</v>
      </c>
      <c r="O20" s="26" t="s">
        <v>159</v>
      </c>
      <c r="P20" s="26" t="s">
        <v>265</v>
      </c>
      <c r="Q20" s="26" t="s">
        <v>158</v>
      </c>
      <c r="R20" s="26" t="s">
        <v>153</v>
      </c>
      <c r="S20" s="26" t="s">
        <v>153</v>
      </c>
      <c r="T20" s="26" t="s">
        <v>153</v>
      </c>
      <c r="U20" s="26" t="s">
        <v>154</v>
      </c>
      <c r="V20" s="26" t="s">
        <v>158</v>
      </c>
      <c r="W20" s="26" t="s">
        <v>153</v>
      </c>
      <c r="X20" s="26" t="s">
        <v>155</v>
      </c>
      <c r="Y20" s="26" t="s">
        <v>156</v>
      </c>
    </row>
    <row r="21" spans="1:25" ht="20.25" customHeight="1">
      <c r="A21" s="3" t="s">
        <v>307</v>
      </c>
      <c r="B21" s="27">
        <v>15</v>
      </c>
      <c r="C21" s="26" t="s">
        <v>252</v>
      </c>
      <c r="D21" s="26" t="s">
        <v>266</v>
      </c>
      <c r="E21" s="26" t="s">
        <v>253</v>
      </c>
      <c r="F21" s="26" t="s">
        <v>295</v>
      </c>
      <c r="G21" s="26" t="s">
        <v>159</v>
      </c>
      <c r="H21" s="26" t="s">
        <v>311</v>
      </c>
      <c r="I21" s="26" t="s">
        <v>312</v>
      </c>
      <c r="J21" s="26" t="s">
        <v>313</v>
      </c>
      <c r="K21" s="26" t="s">
        <v>165</v>
      </c>
      <c r="L21" s="26" t="s">
        <v>258</v>
      </c>
      <c r="M21" s="26" t="s">
        <v>165</v>
      </c>
      <c r="N21" s="26" t="s">
        <v>159</v>
      </c>
      <c r="O21" s="26" t="s">
        <v>159</v>
      </c>
      <c r="P21" s="26" t="s">
        <v>265</v>
      </c>
      <c r="Q21" s="26" t="s">
        <v>158</v>
      </c>
      <c r="R21" s="26" t="s">
        <v>153</v>
      </c>
      <c r="S21" s="26" t="s">
        <v>153</v>
      </c>
      <c r="T21" s="26" t="s">
        <v>153</v>
      </c>
      <c r="U21" s="26" t="s">
        <v>154</v>
      </c>
      <c r="V21" s="26" t="s">
        <v>158</v>
      </c>
      <c r="W21" s="26" t="s">
        <v>153</v>
      </c>
      <c r="X21" s="26" t="s">
        <v>155</v>
      </c>
      <c r="Y21" s="26" t="s">
        <v>156</v>
      </c>
    </row>
    <row r="22" spans="1:25" ht="20.25" customHeight="1">
      <c r="A22" s="3" t="s">
        <v>314</v>
      </c>
      <c r="B22" s="27">
        <v>16</v>
      </c>
      <c r="C22" s="26" t="s">
        <v>261</v>
      </c>
      <c r="D22" s="26" t="s">
        <v>252</v>
      </c>
      <c r="E22" s="26" t="s">
        <v>253</v>
      </c>
      <c r="F22" s="26" t="s">
        <v>295</v>
      </c>
      <c r="G22" s="26" t="s">
        <v>159</v>
      </c>
      <c r="H22" s="26" t="s">
        <v>315</v>
      </c>
      <c r="I22" s="26" t="s">
        <v>316</v>
      </c>
      <c r="J22" s="26" t="s">
        <v>317</v>
      </c>
      <c r="K22" s="26" t="s">
        <v>165</v>
      </c>
      <c r="L22" s="26" t="s">
        <v>165</v>
      </c>
      <c r="M22" s="26" t="s">
        <v>258</v>
      </c>
      <c r="N22" s="26" t="s">
        <v>159</v>
      </c>
      <c r="O22" s="26" t="s">
        <v>159</v>
      </c>
      <c r="P22" s="26" t="s">
        <v>265</v>
      </c>
      <c r="Q22" s="26" t="s">
        <v>158</v>
      </c>
      <c r="R22" s="26" t="s">
        <v>154</v>
      </c>
      <c r="S22" s="26" t="s">
        <v>158</v>
      </c>
      <c r="T22" s="26" t="s">
        <v>149</v>
      </c>
      <c r="U22" s="26" t="s">
        <v>154</v>
      </c>
      <c r="V22" s="26" t="s">
        <v>158</v>
      </c>
      <c r="W22" s="26" t="s">
        <v>153</v>
      </c>
      <c r="X22" s="26" t="s">
        <v>251</v>
      </c>
      <c r="Y22" s="26" t="s">
        <v>161</v>
      </c>
    </row>
    <row r="23" spans="1:25" ht="20.25" customHeight="1">
      <c r="A23" s="3" t="s">
        <v>318</v>
      </c>
      <c r="B23" s="27">
        <v>17</v>
      </c>
      <c r="C23" s="26" t="s">
        <v>261</v>
      </c>
      <c r="D23" s="26" t="s">
        <v>261</v>
      </c>
      <c r="E23" s="26" t="s">
        <v>253</v>
      </c>
      <c r="F23" s="26" t="s">
        <v>295</v>
      </c>
      <c r="G23" s="26" t="s">
        <v>159</v>
      </c>
      <c r="H23" s="26" t="s">
        <v>319</v>
      </c>
      <c r="I23" s="26" t="s">
        <v>320</v>
      </c>
      <c r="J23" s="26" t="s">
        <v>321</v>
      </c>
      <c r="K23" s="26" t="s">
        <v>165</v>
      </c>
      <c r="L23" s="26" t="s">
        <v>165</v>
      </c>
      <c r="M23" s="26" t="s">
        <v>165</v>
      </c>
      <c r="N23" s="26" t="s">
        <v>159</v>
      </c>
      <c r="O23" s="26" t="s">
        <v>159</v>
      </c>
      <c r="P23" s="26" t="s">
        <v>322</v>
      </c>
      <c r="Q23" s="26" t="s">
        <v>158</v>
      </c>
      <c r="R23" s="26" t="s">
        <v>153</v>
      </c>
      <c r="S23" s="26" t="s">
        <v>153</v>
      </c>
      <c r="T23" s="26" t="s">
        <v>159</v>
      </c>
      <c r="U23" s="26" t="s">
        <v>159</v>
      </c>
      <c r="V23" s="26" t="s">
        <v>159</v>
      </c>
      <c r="W23" s="26" t="s">
        <v>159</v>
      </c>
      <c r="X23" s="26" t="s">
        <v>159</v>
      </c>
      <c r="Y23" s="26" t="s">
        <v>159</v>
      </c>
    </row>
    <row r="24" spans="1:25" ht="20.25" customHeight="1">
      <c r="A24" s="3" t="s">
        <v>323</v>
      </c>
      <c r="B24" s="27">
        <v>18</v>
      </c>
      <c r="C24" s="26" t="s">
        <v>261</v>
      </c>
      <c r="D24" s="26" t="s">
        <v>266</v>
      </c>
      <c r="E24" s="26" t="s">
        <v>253</v>
      </c>
      <c r="F24" s="26" t="s">
        <v>295</v>
      </c>
      <c r="G24" s="26" t="s">
        <v>159</v>
      </c>
      <c r="H24" s="26" t="s">
        <v>324</v>
      </c>
      <c r="I24" s="26" t="s">
        <v>325</v>
      </c>
      <c r="J24" s="26" t="s">
        <v>326</v>
      </c>
      <c r="K24" s="26" t="s">
        <v>165</v>
      </c>
      <c r="L24" s="26" t="s">
        <v>165</v>
      </c>
      <c r="M24" s="26" t="s">
        <v>270</v>
      </c>
      <c r="N24" s="26" t="s">
        <v>159</v>
      </c>
      <c r="O24" s="26" t="s">
        <v>159</v>
      </c>
      <c r="P24" s="26" t="s">
        <v>322</v>
      </c>
      <c r="Q24" s="26" t="s">
        <v>158</v>
      </c>
      <c r="R24" s="26" t="s">
        <v>153</v>
      </c>
      <c r="S24" s="26" t="s">
        <v>153</v>
      </c>
      <c r="T24" s="26" t="s">
        <v>153</v>
      </c>
      <c r="U24" s="26" t="s">
        <v>154</v>
      </c>
      <c r="V24" s="26" t="s">
        <v>158</v>
      </c>
      <c r="W24" s="26" t="s">
        <v>153</v>
      </c>
      <c r="X24" s="26" t="s">
        <v>155</v>
      </c>
      <c r="Y24" s="26" t="s">
        <v>156</v>
      </c>
    </row>
    <row r="25" spans="1:25" ht="20.25" customHeight="1">
      <c r="A25" s="3" t="s">
        <v>314</v>
      </c>
      <c r="B25" s="27">
        <v>19</v>
      </c>
      <c r="C25" s="26" t="s">
        <v>266</v>
      </c>
      <c r="D25" s="26" t="s">
        <v>252</v>
      </c>
      <c r="E25" s="26" t="s">
        <v>253</v>
      </c>
      <c r="F25" s="26" t="s">
        <v>295</v>
      </c>
      <c r="G25" s="26" t="s">
        <v>159</v>
      </c>
      <c r="H25" s="26" t="s">
        <v>327</v>
      </c>
      <c r="I25" s="26" t="s">
        <v>328</v>
      </c>
      <c r="J25" s="26" t="s">
        <v>329</v>
      </c>
      <c r="K25" s="26" t="s">
        <v>165</v>
      </c>
      <c r="L25" s="26" t="s">
        <v>270</v>
      </c>
      <c r="M25" s="26" t="s">
        <v>258</v>
      </c>
      <c r="N25" s="26" t="s">
        <v>159</v>
      </c>
      <c r="O25" s="26" t="s">
        <v>159</v>
      </c>
      <c r="P25" s="26" t="s">
        <v>265</v>
      </c>
      <c r="Q25" s="26" t="s">
        <v>158</v>
      </c>
      <c r="R25" s="26" t="s">
        <v>154</v>
      </c>
      <c r="S25" s="26" t="s">
        <v>158</v>
      </c>
      <c r="T25" s="26" t="s">
        <v>149</v>
      </c>
      <c r="U25" s="26" t="s">
        <v>154</v>
      </c>
      <c r="V25" s="26" t="s">
        <v>158</v>
      </c>
      <c r="W25" s="26" t="s">
        <v>153</v>
      </c>
      <c r="X25" s="26" t="s">
        <v>251</v>
      </c>
      <c r="Y25" s="26" t="s">
        <v>161</v>
      </c>
    </row>
    <row r="26" spans="1:25" ht="20.25" customHeight="1">
      <c r="A26" s="3" t="s">
        <v>318</v>
      </c>
      <c r="B26" s="27">
        <v>20</v>
      </c>
      <c r="C26" s="26" t="s">
        <v>266</v>
      </c>
      <c r="D26" s="26" t="s">
        <v>252</v>
      </c>
      <c r="E26" s="26" t="s">
        <v>253</v>
      </c>
      <c r="F26" s="26" t="s">
        <v>295</v>
      </c>
      <c r="G26" s="26" t="s">
        <v>159</v>
      </c>
      <c r="H26" s="26" t="s">
        <v>330</v>
      </c>
      <c r="I26" s="26" t="s">
        <v>331</v>
      </c>
      <c r="J26" s="26" t="s">
        <v>332</v>
      </c>
      <c r="K26" s="26" t="s">
        <v>165</v>
      </c>
      <c r="L26" s="26" t="s">
        <v>270</v>
      </c>
      <c r="M26" s="26" t="s">
        <v>165</v>
      </c>
      <c r="N26" s="26" t="s">
        <v>159</v>
      </c>
      <c r="O26" s="26" t="s">
        <v>159</v>
      </c>
      <c r="P26" s="26" t="s">
        <v>322</v>
      </c>
      <c r="Q26" s="26" t="s">
        <v>158</v>
      </c>
      <c r="R26" s="26" t="s">
        <v>153</v>
      </c>
      <c r="S26" s="26" t="s">
        <v>153</v>
      </c>
      <c r="T26" s="26" t="s">
        <v>159</v>
      </c>
      <c r="U26" s="26" t="s">
        <v>159</v>
      </c>
      <c r="V26" s="26" t="s">
        <v>159</v>
      </c>
      <c r="W26" s="26" t="s">
        <v>159</v>
      </c>
      <c r="X26" s="26" t="s">
        <v>159</v>
      </c>
      <c r="Y26" s="26" t="s">
        <v>159</v>
      </c>
    </row>
    <row r="27" spans="1:25" ht="20.25" customHeight="1">
      <c r="A27" s="3" t="s">
        <v>333</v>
      </c>
      <c r="B27" s="27">
        <v>21</v>
      </c>
      <c r="C27" s="26" t="s">
        <v>266</v>
      </c>
      <c r="D27" s="26" t="s">
        <v>252</v>
      </c>
      <c r="E27" s="26" t="s">
        <v>253</v>
      </c>
      <c r="F27" s="26" t="s">
        <v>295</v>
      </c>
      <c r="G27" s="26" t="s">
        <v>159</v>
      </c>
      <c r="H27" s="26" t="s">
        <v>334</v>
      </c>
      <c r="I27" s="26" t="s">
        <v>335</v>
      </c>
      <c r="J27" s="26" t="s">
        <v>336</v>
      </c>
      <c r="K27" s="26" t="s">
        <v>165</v>
      </c>
      <c r="L27" s="26" t="s">
        <v>194</v>
      </c>
      <c r="M27" s="26" t="s">
        <v>270</v>
      </c>
      <c r="N27" s="26" t="s">
        <v>159</v>
      </c>
      <c r="O27" s="26" t="s">
        <v>159</v>
      </c>
      <c r="P27" s="26" t="s">
        <v>337</v>
      </c>
      <c r="Q27" s="26" t="s">
        <v>158</v>
      </c>
      <c r="R27" s="26" t="s">
        <v>153</v>
      </c>
      <c r="S27" s="26" t="s">
        <v>153</v>
      </c>
      <c r="T27" s="26" t="s">
        <v>159</v>
      </c>
      <c r="U27" s="26" t="s">
        <v>159</v>
      </c>
      <c r="V27" s="26" t="s">
        <v>159</v>
      </c>
      <c r="W27" s="26" t="s">
        <v>159</v>
      </c>
      <c r="X27" s="26" t="s">
        <v>159</v>
      </c>
      <c r="Y27" s="26" t="s">
        <v>159</v>
      </c>
    </row>
    <row r="28" spans="1:25" ht="20.25" customHeight="1">
      <c r="A28" s="3" t="s">
        <v>333</v>
      </c>
      <c r="B28" s="27">
        <v>22</v>
      </c>
      <c r="C28" s="26" t="s">
        <v>266</v>
      </c>
      <c r="D28" s="26" t="s">
        <v>261</v>
      </c>
      <c r="E28" s="26" t="s">
        <v>253</v>
      </c>
      <c r="F28" s="26" t="s">
        <v>295</v>
      </c>
      <c r="G28" s="26" t="s">
        <v>159</v>
      </c>
      <c r="H28" s="26" t="s">
        <v>338</v>
      </c>
      <c r="I28" s="26" t="s">
        <v>339</v>
      </c>
      <c r="J28" s="26" t="s">
        <v>340</v>
      </c>
      <c r="K28" s="26" t="s">
        <v>165</v>
      </c>
      <c r="L28" s="26" t="s">
        <v>270</v>
      </c>
      <c r="M28" s="26" t="s">
        <v>270</v>
      </c>
      <c r="N28" s="26" t="s">
        <v>159</v>
      </c>
      <c r="O28" s="26" t="s">
        <v>159</v>
      </c>
      <c r="P28" s="26" t="s">
        <v>337</v>
      </c>
      <c r="Q28" s="26" t="s">
        <v>158</v>
      </c>
      <c r="R28" s="26" t="s">
        <v>153</v>
      </c>
      <c r="S28" s="26" t="s">
        <v>153</v>
      </c>
      <c r="T28" s="26" t="s">
        <v>159</v>
      </c>
      <c r="U28" s="26" t="s">
        <v>159</v>
      </c>
      <c r="V28" s="26" t="s">
        <v>159</v>
      </c>
      <c r="W28" s="26" t="s">
        <v>159</v>
      </c>
      <c r="X28" s="26" t="s">
        <v>159</v>
      </c>
      <c r="Y28" s="26" t="s">
        <v>159</v>
      </c>
    </row>
    <row r="29" spans="1:25" ht="20.25" customHeight="1">
      <c r="A29" s="3" t="s">
        <v>323</v>
      </c>
      <c r="B29" s="27">
        <v>23</v>
      </c>
      <c r="C29" s="26" t="s">
        <v>266</v>
      </c>
      <c r="D29" s="26" t="s">
        <v>266</v>
      </c>
      <c r="E29" s="26" t="s">
        <v>253</v>
      </c>
      <c r="F29" s="26" t="s">
        <v>295</v>
      </c>
      <c r="G29" s="26" t="s">
        <v>159</v>
      </c>
      <c r="H29" s="26" t="s">
        <v>341</v>
      </c>
      <c r="I29" s="26" t="s">
        <v>342</v>
      </c>
      <c r="J29" s="26" t="s">
        <v>343</v>
      </c>
      <c r="K29" s="26" t="s">
        <v>165</v>
      </c>
      <c r="L29" s="26" t="s">
        <v>270</v>
      </c>
      <c r="M29" s="26" t="s">
        <v>194</v>
      </c>
      <c r="N29" s="26" t="s">
        <v>159</v>
      </c>
      <c r="O29" s="26" t="s">
        <v>159</v>
      </c>
      <c r="P29" s="26" t="s">
        <v>337</v>
      </c>
      <c r="Q29" s="26" t="s">
        <v>158</v>
      </c>
      <c r="R29" s="26" t="s">
        <v>153</v>
      </c>
      <c r="S29" s="26" t="s">
        <v>153</v>
      </c>
      <c r="T29" s="26" t="s">
        <v>153</v>
      </c>
      <c r="U29" s="26" t="s">
        <v>154</v>
      </c>
      <c r="V29" s="26" t="s">
        <v>158</v>
      </c>
      <c r="W29" s="26" t="s">
        <v>153</v>
      </c>
      <c r="X29" s="26" t="s">
        <v>155</v>
      </c>
      <c r="Y29" s="26" t="s">
        <v>156</v>
      </c>
    </row>
    <row r="30" spans="1:25" ht="20.25" customHeight="1">
      <c r="A30" s="3" t="s">
        <v>344</v>
      </c>
      <c r="B30" s="27">
        <v>24</v>
      </c>
      <c r="C30" s="26" t="s">
        <v>252</v>
      </c>
      <c r="D30" s="26" t="s">
        <v>252</v>
      </c>
      <c r="E30" s="26" t="s">
        <v>253</v>
      </c>
      <c r="F30" s="26" t="s">
        <v>345</v>
      </c>
      <c r="G30" s="26" t="s">
        <v>159</v>
      </c>
      <c r="H30" s="26" t="s">
        <v>346</v>
      </c>
      <c r="I30" s="26" t="s">
        <v>347</v>
      </c>
      <c r="J30" s="26" t="s">
        <v>348</v>
      </c>
      <c r="K30" s="26" t="s">
        <v>165</v>
      </c>
      <c r="L30" s="26" t="s">
        <v>258</v>
      </c>
      <c r="M30" s="26" t="s">
        <v>159</v>
      </c>
      <c r="N30" s="26" t="s">
        <v>150</v>
      </c>
      <c r="O30" s="26" t="s">
        <v>159</v>
      </c>
      <c r="P30" s="26" t="s">
        <v>200</v>
      </c>
      <c r="Q30" s="26" t="s">
        <v>158</v>
      </c>
      <c r="R30" s="26" t="s">
        <v>154</v>
      </c>
      <c r="S30" s="26" t="s">
        <v>158</v>
      </c>
      <c r="T30" s="26" t="s">
        <v>153</v>
      </c>
      <c r="U30" s="26" t="s">
        <v>154</v>
      </c>
      <c r="V30" s="26" t="s">
        <v>158</v>
      </c>
      <c r="W30" s="26" t="s">
        <v>153</v>
      </c>
      <c r="X30" s="26" t="s">
        <v>349</v>
      </c>
      <c r="Y30" s="26" t="s">
        <v>156</v>
      </c>
    </row>
    <row r="31" spans="1:25" ht="20.25" customHeight="1">
      <c r="A31" s="3" t="s">
        <v>259</v>
      </c>
      <c r="B31" s="27">
        <v>24</v>
      </c>
      <c r="C31" s="26" t="s">
        <v>252</v>
      </c>
      <c r="D31" s="26" t="s">
        <v>252</v>
      </c>
      <c r="E31" s="26" t="s">
        <v>253</v>
      </c>
      <c r="F31" s="26" t="s">
        <v>345</v>
      </c>
      <c r="G31" s="26" t="s">
        <v>159</v>
      </c>
      <c r="H31" s="26" t="s">
        <v>346</v>
      </c>
      <c r="I31" s="26" t="s">
        <v>347</v>
      </c>
      <c r="J31" s="26" t="s">
        <v>348</v>
      </c>
      <c r="K31" s="26" t="s">
        <v>165</v>
      </c>
      <c r="L31" s="26" t="s">
        <v>258</v>
      </c>
      <c r="M31" s="26" t="s">
        <v>159</v>
      </c>
      <c r="N31" s="26" t="s">
        <v>150</v>
      </c>
      <c r="O31" s="26" t="s">
        <v>159</v>
      </c>
      <c r="P31" s="26" t="s">
        <v>200</v>
      </c>
      <c r="Q31" s="26" t="s">
        <v>158</v>
      </c>
      <c r="R31" s="26" t="s">
        <v>154</v>
      </c>
      <c r="S31" s="26" t="s">
        <v>158</v>
      </c>
      <c r="T31" s="26" t="s">
        <v>153</v>
      </c>
      <c r="U31" s="26" t="s">
        <v>154</v>
      </c>
      <c r="V31" s="26" t="s">
        <v>158</v>
      </c>
      <c r="W31" s="26" t="s">
        <v>153</v>
      </c>
      <c r="X31" s="26" t="s">
        <v>155</v>
      </c>
      <c r="Y31" s="26" t="s">
        <v>156</v>
      </c>
    </row>
    <row r="32" spans="1:25" ht="20.25" customHeight="1">
      <c r="A32" s="3" t="s">
        <v>344</v>
      </c>
      <c r="B32" s="27">
        <v>25</v>
      </c>
      <c r="C32" s="26" t="s">
        <v>261</v>
      </c>
      <c r="D32" s="26" t="s">
        <v>252</v>
      </c>
      <c r="E32" s="26" t="s">
        <v>253</v>
      </c>
      <c r="F32" s="26" t="s">
        <v>345</v>
      </c>
      <c r="G32" s="26" t="s">
        <v>159</v>
      </c>
      <c r="H32" s="26" t="s">
        <v>350</v>
      </c>
      <c r="I32" s="26" t="s">
        <v>351</v>
      </c>
      <c r="J32" s="26" t="s">
        <v>352</v>
      </c>
      <c r="K32" s="26" t="s">
        <v>165</v>
      </c>
      <c r="L32" s="26" t="s">
        <v>165</v>
      </c>
      <c r="M32" s="26" t="s">
        <v>159</v>
      </c>
      <c r="N32" s="26" t="s">
        <v>150</v>
      </c>
      <c r="O32" s="26" t="s">
        <v>159</v>
      </c>
      <c r="P32" s="26" t="s">
        <v>265</v>
      </c>
      <c r="Q32" s="26" t="s">
        <v>158</v>
      </c>
      <c r="R32" s="26" t="s">
        <v>154</v>
      </c>
      <c r="S32" s="26" t="s">
        <v>158</v>
      </c>
      <c r="T32" s="26" t="s">
        <v>153</v>
      </c>
      <c r="U32" s="26" t="s">
        <v>154</v>
      </c>
      <c r="V32" s="26" t="s">
        <v>158</v>
      </c>
      <c r="W32" s="26" t="s">
        <v>153</v>
      </c>
      <c r="X32" s="26" t="s">
        <v>349</v>
      </c>
      <c r="Y32" s="26" t="s">
        <v>156</v>
      </c>
    </row>
    <row r="33" spans="1:25" ht="20.25" customHeight="1">
      <c r="A33" s="3" t="s">
        <v>344</v>
      </c>
      <c r="B33" s="27">
        <v>26</v>
      </c>
      <c r="C33" s="26" t="s">
        <v>266</v>
      </c>
      <c r="D33" s="26" t="s">
        <v>252</v>
      </c>
      <c r="E33" s="26" t="s">
        <v>253</v>
      </c>
      <c r="F33" s="26" t="s">
        <v>345</v>
      </c>
      <c r="G33" s="26" t="s">
        <v>159</v>
      </c>
      <c r="H33" s="26" t="s">
        <v>353</v>
      </c>
      <c r="I33" s="26" t="s">
        <v>354</v>
      </c>
      <c r="J33" s="26" t="s">
        <v>355</v>
      </c>
      <c r="K33" s="26" t="s">
        <v>165</v>
      </c>
      <c r="L33" s="26" t="s">
        <v>270</v>
      </c>
      <c r="M33" s="26" t="s">
        <v>159</v>
      </c>
      <c r="N33" s="26" t="s">
        <v>150</v>
      </c>
      <c r="O33" s="26" t="s">
        <v>159</v>
      </c>
      <c r="P33" s="26" t="s">
        <v>265</v>
      </c>
      <c r="Q33" s="26" t="s">
        <v>158</v>
      </c>
      <c r="R33" s="26" t="s">
        <v>154</v>
      </c>
      <c r="S33" s="26" t="s">
        <v>158</v>
      </c>
      <c r="T33" s="26" t="s">
        <v>153</v>
      </c>
      <c r="U33" s="26" t="s">
        <v>154</v>
      </c>
      <c r="V33" s="26" t="s">
        <v>158</v>
      </c>
      <c r="W33" s="26" t="s">
        <v>153</v>
      </c>
      <c r="X33" s="26" t="s">
        <v>349</v>
      </c>
      <c r="Y33" s="26" t="s">
        <v>156</v>
      </c>
    </row>
    <row r="34" spans="1:25" ht="20.25" customHeight="1">
      <c r="A34" s="3" t="s">
        <v>259</v>
      </c>
      <c r="B34" s="27">
        <v>27</v>
      </c>
      <c r="C34" s="26" t="s">
        <v>252</v>
      </c>
      <c r="D34" s="26" t="s">
        <v>252</v>
      </c>
      <c r="E34" s="26" t="s">
        <v>253</v>
      </c>
      <c r="F34" s="26" t="s">
        <v>356</v>
      </c>
      <c r="G34" s="26" t="s">
        <v>159</v>
      </c>
      <c r="H34" s="26" t="s">
        <v>357</v>
      </c>
      <c r="I34" s="26" t="s">
        <v>358</v>
      </c>
      <c r="J34" s="26" t="s">
        <v>359</v>
      </c>
      <c r="K34" s="26" t="s">
        <v>165</v>
      </c>
      <c r="L34" s="26" t="s">
        <v>258</v>
      </c>
      <c r="M34" s="26" t="s">
        <v>159</v>
      </c>
      <c r="N34" s="26" t="s">
        <v>171</v>
      </c>
      <c r="O34" s="26" t="s">
        <v>159</v>
      </c>
      <c r="P34" s="26" t="s">
        <v>200</v>
      </c>
      <c r="Q34" s="26" t="s">
        <v>158</v>
      </c>
      <c r="R34" s="26" t="s">
        <v>154</v>
      </c>
      <c r="S34" s="26" t="s">
        <v>158</v>
      </c>
      <c r="T34" s="26" t="s">
        <v>153</v>
      </c>
      <c r="U34" s="26" t="s">
        <v>154</v>
      </c>
      <c r="V34" s="26" t="s">
        <v>158</v>
      </c>
      <c r="W34" s="26" t="s">
        <v>153</v>
      </c>
      <c r="X34" s="26" t="s">
        <v>155</v>
      </c>
      <c r="Y34" s="26" t="s">
        <v>156</v>
      </c>
    </row>
    <row r="35" spans="1:25" ht="20.25" customHeight="1">
      <c r="A35" s="3" t="s">
        <v>344</v>
      </c>
      <c r="B35" s="27">
        <v>27</v>
      </c>
      <c r="C35" s="26" t="s">
        <v>252</v>
      </c>
      <c r="D35" s="26" t="s">
        <v>252</v>
      </c>
      <c r="E35" s="26" t="s">
        <v>253</v>
      </c>
      <c r="F35" s="26" t="s">
        <v>356</v>
      </c>
      <c r="G35" s="26" t="s">
        <v>159</v>
      </c>
      <c r="H35" s="26" t="s">
        <v>357</v>
      </c>
      <c r="I35" s="26" t="s">
        <v>358</v>
      </c>
      <c r="J35" s="26" t="s">
        <v>359</v>
      </c>
      <c r="K35" s="26" t="s">
        <v>165</v>
      </c>
      <c r="L35" s="26" t="s">
        <v>258</v>
      </c>
      <c r="M35" s="26" t="s">
        <v>159</v>
      </c>
      <c r="N35" s="26" t="s">
        <v>171</v>
      </c>
      <c r="O35" s="26" t="s">
        <v>159</v>
      </c>
      <c r="P35" s="26" t="s">
        <v>200</v>
      </c>
      <c r="Q35" s="26" t="s">
        <v>158</v>
      </c>
      <c r="R35" s="26" t="s">
        <v>154</v>
      </c>
      <c r="S35" s="26" t="s">
        <v>158</v>
      </c>
      <c r="T35" s="26" t="s">
        <v>153</v>
      </c>
      <c r="U35" s="26" t="s">
        <v>154</v>
      </c>
      <c r="V35" s="26" t="s">
        <v>158</v>
      </c>
      <c r="W35" s="26" t="s">
        <v>153</v>
      </c>
      <c r="X35" s="26" t="s">
        <v>349</v>
      </c>
      <c r="Y35" s="26" t="s">
        <v>156</v>
      </c>
    </row>
    <row r="36" spans="1:25" ht="20.25" customHeight="1">
      <c r="A36" s="3" t="s">
        <v>344</v>
      </c>
      <c r="B36" s="27">
        <v>28</v>
      </c>
      <c r="C36" s="26" t="s">
        <v>261</v>
      </c>
      <c r="D36" s="26" t="s">
        <v>252</v>
      </c>
      <c r="E36" s="26" t="s">
        <v>253</v>
      </c>
      <c r="F36" s="26" t="s">
        <v>356</v>
      </c>
      <c r="G36" s="26" t="s">
        <v>159</v>
      </c>
      <c r="H36" s="26" t="s">
        <v>360</v>
      </c>
      <c r="I36" s="26" t="s">
        <v>361</v>
      </c>
      <c r="J36" s="26" t="s">
        <v>362</v>
      </c>
      <c r="K36" s="26" t="s">
        <v>165</v>
      </c>
      <c r="L36" s="26" t="s">
        <v>165</v>
      </c>
      <c r="M36" s="26" t="s">
        <v>159</v>
      </c>
      <c r="N36" s="26" t="s">
        <v>171</v>
      </c>
      <c r="O36" s="26" t="s">
        <v>159</v>
      </c>
      <c r="P36" s="26" t="s">
        <v>265</v>
      </c>
      <c r="Q36" s="26" t="s">
        <v>158</v>
      </c>
      <c r="R36" s="26" t="s">
        <v>154</v>
      </c>
      <c r="S36" s="26" t="s">
        <v>158</v>
      </c>
      <c r="T36" s="26" t="s">
        <v>153</v>
      </c>
      <c r="U36" s="26" t="s">
        <v>154</v>
      </c>
      <c r="V36" s="26" t="s">
        <v>158</v>
      </c>
      <c r="W36" s="26" t="s">
        <v>153</v>
      </c>
      <c r="X36" s="26" t="s">
        <v>349</v>
      </c>
      <c r="Y36" s="26" t="s">
        <v>156</v>
      </c>
    </row>
    <row r="37" spans="1:25" ht="20.25" customHeight="1">
      <c r="A37" s="3" t="s">
        <v>344</v>
      </c>
      <c r="B37" s="27">
        <v>29</v>
      </c>
      <c r="C37" s="26" t="s">
        <v>266</v>
      </c>
      <c r="D37" s="26" t="s">
        <v>252</v>
      </c>
      <c r="E37" s="26" t="s">
        <v>253</v>
      </c>
      <c r="F37" s="26" t="s">
        <v>356</v>
      </c>
      <c r="G37" s="26" t="s">
        <v>159</v>
      </c>
      <c r="H37" s="26" t="s">
        <v>363</v>
      </c>
      <c r="I37" s="26" t="s">
        <v>364</v>
      </c>
      <c r="J37" s="26" t="s">
        <v>365</v>
      </c>
      <c r="K37" s="26" t="s">
        <v>165</v>
      </c>
      <c r="L37" s="26" t="s">
        <v>270</v>
      </c>
      <c r="M37" s="26" t="s">
        <v>159</v>
      </c>
      <c r="N37" s="26" t="s">
        <v>171</v>
      </c>
      <c r="O37" s="26" t="s">
        <v>159</v>
      </c>
      <c r="P37" s="26" t="s">
        <v>265</v>
      </c>
      <c r="Q37" s="26" t="s">
        <v>158</v>
      </c>
      <c r="R37" s="26" t="s">
        <v>154</v>
      </c>
      <c r="S37" s="26" t="s">
        <v>158</v>
      </c>
      <c r="T37" s="26" t="s">
        <v>153</v>
      </c>
      <c r="U37" s="26" t="s">
        <v>154</v>
      </c>
      <c r="V37" s="26" t="s">
        <v>158</v>
      </c>
      <c r="W37" s="26" t="s">
        <v>153</v>
      </c>
      <c r="X37" s="26" t="s">
        <v>349</v>
      </c>
      <c r="Y37" s="26" t="s">
        <v>156</v>
      </c>
    </row>
    <row r="38" spans="1:25" ht="20.25" customHeight="1">
      <c r="A38" s="3" t="s">
        <v>366</v>
      </c>
      <c r="B38" s="27">
        <v>30</v>
      </c>
      <c r="C38" s="26" t="s">
        <v>252</v>
      </c>
      <c r="D38" s="26" t="s">
        <v>252</v>
      </c>
      <c r="E38" s="26" t="s">
        <v>253</v>
      </c>
      <c r="F38" s="26" t="s">
        <v>367</v>
      </c>
      <c r="G38" s="26" t="s">
        <v>150</v>
      </c>
      <c r="H38" s="26" t="s">
        <v>368</v>
      </c>
      <c r="I38" s="26" t="s">
        <v>369</v>
      </c>
      <c r="J38" s="26" t="s">
        <v>370</v>
      </c>
      <c r="K38" s="26" t="s">
        <v>165</v>
      </c>
      <c r="L38" s="26" t="s">
        <v>258</v>
      </c>
      <c r="M38" s="26" t="s">
        <v>159</v>
      </c>
      <c r="N38" s="26" t="s">
        <v>159</v>
      </c>
      <c r="O38" s="26" t="s">
        <v>159</v>
      </c>
      <c r="P38" s="26" t="s">
        <v>371</v>
      </c>
      <c r="Q38" s="26" t="s">
        <v>158</v>
      </c>
      <c r="R38" s="26" t="s">
        <v>150</v>
      </c>
      <c r="S38" s="26" t="s">
        <v>158</v>
      </c>
      <c r="T38" s="26" t="s">
        <v>372</v>
      </c>
      <c r="U38" s="26" t="s">
        <v>150</v>
      </c>
      <c r="V38" s="26" t="s">
        <v>153</v>
      </c>
      <c r="W38" s="26" t="s">
        <v>153</v>
      </c>
      <c r="X38" s="26" t="s">
        <v>373</v>
      </c>
      <c r="Y38" s="26" t="s">
        <v>173</v>
      </c>
    </row>
    <row r="39" spans="1:25" ht="20.25" customHeight="1">
      <c r="A39" s="3" t="s">
        <v>259</v>
      </c>
      <c r="B39" s="27">
        <v>30</v>
      </c>
      <c r="C39" s="26" t="s">
        <v>252</v>
      </c>
      <c r="D39" s="26" t="s">
        <v>252</v>
      </c>
      <c r="E39" s="26" t="s">
        <v>253</v>
      </c>
      <c r="F39" s="26" t="s">
        <v>367</v>
      </c>
      <c r="G39" s="26" t="s">
        <v>150</v>
      </c>
      <c r="H39" s="26" t="s">
        <v>368</v>
      </c>
      <c r="I39" s="26" t="s">
        <v>369</v>
      </c>
      <c r="J39" s="26" t="s">
        <v>370</v>
      </c>
      <c r="K39" s="26" t="s">
        <v>165</v>
      </c>
      <c r="L39" s="26" t="s">
        <v>258</v>
      </c>
      <c r="M39" s="26" t="s">
        <v>159</v>
      </c>
      <c r="N39" s="26" t="s">
        <v>159</v>
      </c>
      <c r="O39" s="26" t="s">
        <v>159</v>
      </c>
      <c r="P39" s="26" t="s">
        <v>371</v>
      </c>
      <c r="Q39" s="26" t="s">
        <v>158</v>
      </c>
      <c r="R39" s="26" t="s">
        <v>150</v>
      </c>
      <c r="S39" s="26" t="s">
        <v>158</v>
      </c>
      <c r="T39" s="26" t="s">
        <v>153</v>
      </c>
      <c r="U39" s="26" t="s">
        <v>154</v>
      </c>
      <c r="V39" s="26" t="s">
        <v>158</v>
      </c>
      <c r="W39" s="26" t="s">
        <v>153</v>
      </c>
      <c r="X39" s="26" t="s">
        <v>155</v>
      </c>
      <c r="Y39" s="26" t="s">
        <v>156</v>
      </c>
    </row>
    <row r="40" spans="1:25" ht="20.25" customHeight="1">
      <c r="A40" s="3" t="s">
        <v>366</v>
      </c>
      <c r="B40" s="27">
        <v>31</v>
      </c>
      <c r="C40" s="26" t="s">
        <v>261</v>
      </c>
      <c r="D40" s="26" t="s">
        <v>252</v>
      </c>
      <c r="E40" s="26" t="s">
        <v>253</v>
      </c>
      <c r="F40" s="26" t="s">
        <v>367</v>
      </c>
      <c r="G40" s="26" t="s">
        <v>150</v>
      </c>
      <c r="H40" s="26" t="s">
        <v>374</v>
      </c>
      <c r="I40" s="26" t="s">
        <v>375</v>
      </c>
      <c r="J40" s="26" t="s">
        <v>376</v>
      </c>
      <c r="K40" s="26" t="s">
        <v>165</v>
      </c>
      <c r="L40" s="26" t="s">
        <v>165</v>
      </c>
      <c r="M40" s="26" t="s">
        <v>159</v>
      </c>
      <c r="N40" s="26" t="s">
        <v>159</v>
      </c>
      <c r="O40" s="26" t="s">
        <v>159</v>
      </c>
      <c r="P40" s="26" t="s">
        <v>377</v>
      </c>
      <c r="Q40" s="26" t="s">
        <v>158</v>
      </c>
      <c r="R40" s="26" t="s">
        <v>150</v>
      </c>
      <c r="S40" s="26" t="s">
        <v>158</v>
      </c>
      <c r="T40" s="26" t="s">
        <v>372</v>
      </c>
      <c r="U40" s="26" t="s">
        <v>150</v>
      </c>
      <c r="V40" s="26" t="s">
        <v>153</v>
      </c>
      <c r="W40" s="26" t="s">
        <v>153</v>
      </c>
      <c r="X40" s="26" t="s">
        <v>366</v>
      </c>
      <c r="Y40" s="26" t="s">
        <v>173</v>
      </c>
    </row>
    <row r="41" spans="1:25" ht="20.25" customHeight="1">
      <c r="A41" s="3" t="s">
        <v>366</v>
      </c>
      <c r="B41" s="27">
        <v>32</v>
      </c>
      <c r="C41" s="26" t="s">
        <v>266</v>
      </c>
      <c r="D41" s="26" t="s">
        <v>252</v>
      </c>
      <c r="E41" s="26" t="s">
        <v>253</v>
      </c>
      <c r="F41" s="26" t="s">
        <v>367</v>
      </c>
      <c r="G41" s="26" t="s">
        <v>150</v>
      </c>
      <c r="H41" s="26" t="s">
        <v>378</v>
      </c>
      <c r="I41" s="26" t="s">
        <v>379</v>
      </c>
      <c r="J41" s="26" t="s">
        <v>380</v>
      </c>
      <c r="K41" s="26" t="s">
        <v>165</v>
      </c>
      <c r="L41" s="26" t="s">
        <v>270</v>
      </c>
      <c r="M41" s="26" t="s">
        <v>159</v>
      </c>
      <c r="N41" s="26" t="s">
        <v>159</v>
      </c>
      <c r="O41" s="26" t="s">
        <v>159</v>
      </c>
      <c r="P41" s="26" t="s">
        <v>377</v>
      </c>
      <c r="Q41" s="26" t="s">
        <v>158</v>
      </c>
      <c r="R41" s="26" t="s">
        <v>150</v>
      </c>
      <c r="S41" s="26" t="s">
        <v>158</v>
      </c>
      <c r="T41" s="26" t="s">
        <v>372</v>
      </c>
      <c r="U41" s="26" t="s">
        <v>150</v>
      </c>
      <c r="V41" s="26" t="s">
        <v>153</v>
      </c>
      <c r="W41" s="26" t="s">
        <v>153</v>
      </c>
      <c r="X41" s="26" t="s">
        <v>366</v>
      </c>
      <c r="Y41" s="26" t="s">
        <v>173</v>
      </c>
    </row>
    <row r="42" spans="1:25" ht="20.25" customHeight="1">
      <c r="A42" s="3" t="s">
        <v>366</v>
      </c>
      <c r="B42" s="27">
        <v>33</v>
      </c>
      <c r="C42" s="26" t="s">
        <v>252</v>
      </c>
      <c r="D42" s="26" t="s">
        <v>252</v>
      </c>
      <c r="E42" s="26" t="s">
        <v>253</v>
      </c>
      <c r="F42" s="26" t="s">
        <v>381</v>
      </c>
      <c r="G42" s="26" t="s">
        <v>171</v>
      </c>
      <c r="H42" s="26" t="s">
        <v>382</v>
      </c>
      <c r="I42" s="26" t="s">
        <v>383</v>
      </c>
      <c r="J42" s="26" t="s">
        <v>384</v>
      </c>
      <c r="K42" s="26" t="s">
        <v>165</v>
      </c>
      <c r="L42" s="26" t="s">
        <v>258</v>
      </c>
      <c r="M42" s="26" t="s">
        <v>159</v>
      </c>
      <c r="N42" s="26" t="s">
        <v>159</v>
      </c>
      <c r="O42" s="26" t="s">
        <v>159</v>
      </c>
      <c r="P42" s="26" t="s">
        <v>385</v>
      </c>
      <c r="Q42" s="26" t="s">
        <v>158</v>
      </c>
      <c r="R42" s="26" t="s">
        <v>386</v>
      </c>
      <c r="S42" s="26" t="s">
        <v>158</v>
      </c>
      <c r="T42" s="26" t="s">
        <v>372</v>
      </c>
      <c r="U42" s="26" t="s">
        <v>386</v>
      </c>
      <c r="V42" s="26" t="s">
        <v>153</v>
      </c>
      <c r="W42" s="26" t="s">
        <v>153</v>
      </c>
      <c r="X42" s="26" t="s">
        <v>366</v>
      </c>
      <c r="Y42" s="26" t="s">
        <v>173</v>
      </c>
    </row>
    <row r="43" spans="1:25" ht="20.25" customHeight="1">
      <c r="A43" s="3" t="s">
        <v>259</v>
      </c>
      <c r="B43" s="27">
        <v>33</v>
      </c>
      <c r="C43" s="26" t="s">
        <v>252</v>
      </c>
      <c r="D43" s="26" t="s">
        <v>252</v>
      </c>
      <c r="E43" s="26" t="s">
        <v>253</v>
      </c>
      <c r="F43" s="26" t="s">
        <v>381</v>
      </c>
      <c r="G43" s="26" t="s">
        <v>171</v>
      </c>
      <c r="H43" s="26" t="s">
        <v>382</v>
      </c>
      <c r="I43" s="26" t="s">
        <v>383</v>
      </c>
      <c r="J43" s="26" t="s">
        <v>384</v>
      </c>
      <c r="K43" s="26" t="s">
        <v>165</v>
      </c>
      <c r="L43" s="26" t="s">
        <v>258</v>
      </c>
      <c r="M43" s="26" t="s">
        <v>159</v>
      </c>
      <c r="N43" s="26" t="s">
        <v>159</v>
      </c>
      <c r="O43" s="26" t="s">
        <v>159</v>
      </c>
      <c r="P43" s="26" t="s">
        <v>385</v>
      </c>
      <c r="Q43" s="26" t="s">
        <v>158</v>
      </c>
      <c r="R43" s="26" t="s">
        <v>386</v>
      </c>
      <c r="S43" s="26" t="s">
        <v>158</v>
      </c>
      <c r="T43" s="26" t="s">
        <v>153</v>
      </c>
      <c r="U43" s="26" t="s">
        <v>154</v>
      </c>
      <c r="V43" s="26" t="s">
        <v>158</v>
      </c>
      <c r="W43" s="26" t="s">
        <v>153</v>
      </c>
      <c r="X43" s="26" t="s">
        <v>155</v>
      </c>
      <c r="Y43" s="26" t="s">
        <v>156</v>
      </c>
    </row>
    <row r="44" spans="1:25" ht="20.25" customHeight="1">
      <c r="A44" s="3" t="s">
        <v>366</v>
      </c>
      <c r="B44" s="27">
        <v>34</v>
      </c>
      <c r="C44" s="26" t="s">
        <v>261</v>
      </c>
      <c r="D44" s="26" t="s">
        <v>252</v>
      </c>
      <c r="E44" s="26" t="s">
        <v>253</v>
      </c>
      <c r="F44" s="26" t="s">
        <v>381</v>
      </c>
      <c r="G44" s="26" t="s">
        <v>171</v>
      </c>
      <c r="H44" s="26" t="s">
        <v>387</v>
      </c>
      <c r="I44" s="26" t="s">
        <v>388</v>
      </c>
      <c r="J44" s="26" t="s">
        <v>389</v>
      </c>
      <c r="K44" s="26" t="s">
        <v>165</v>
      </c>
      <c r="L44" s="26" t="s">
        <v>165</v>
      </c>
      <c r="M44" s="26" t="s">
        <v>159</v>
      </c>
      <c r="N44" s="26" t="s">
        <v>159</v>
      </c>
      <c r="O44" s="26" t="s">
        <v>159</v>
      </c>
      <c r="P44" s="26" t="s">
        <v>265</v>
      </c>
      <c r="Q44" s="26" t="s">
        <v>158</v>
      </c>
      <c r="R44" s="26" t="s">
        <v>154</v>
      </c>
      <c r="S44" s="26" t="s">
        <v>158</v>
      </c>
      <c r="T44" s="26" t="s">
        <v>372</v>
      </c>
      <c r="U44" s="26" t="s">
        <v>154</v>
      </c>
      <c r="V44" s="26" t="s">
        <v>153</v>
      </c>
      <c r="W44" s="26" t="s">
        <v>153</v>
      </c>
      <c r="X44" s="26" t="s">
        <v>366</v>
      </c>
      <c r="Y44" s="26" t="s">
        <v>173</v>
      </c>
    </row>
    <row r="45" spans="1:25" ht="20.25" customHeight="1">
      <c r="A45" s="3" t="s">
        <v>366</v>
      </c>
      <c r="B45" s="27">
        <v>35</v>
      </c>
      <c r="C45" s="26" t="s">
        <v>266</v>
      </c>
      <c r="D45" s="26" t="s">
        <v>252</v>
      </c>
      <c r="E45" s="26" t="s">
        <v>253</v>
      </c>
      <c r="F45" s="26" t="s">
        <v>381</v>
      </c>
      <c r="G45" s="26" t="s">
        <v>171</v>
      </c>
      <c r="H45" s="26" t="s">
        <v>390</v>
      </c>
      <c r="I45" s="26" t="s">
        <v>391</v>
      </c>
      <c r="J45" s="26" t="s">
        <v>392</v>
      </c>
      <c r="K45" s="26" t="s">
        <v>165</v>
      </c>
      <c r="L45" s="26" t="s">
        <v>270</v>
      </c>
      <c r="M45" s="26" t="s">
        <v>159</v>
      </c>
      <c r="N45" s="26" t="s">
        <v>159</v>
      </c>
      <c r="O45" s="26" t="s">
        <v>159</v>
      </c>
      <c r="P45" s="26" t="s">
        <v>265</v>
      </c>
      <c r="Q45" s="26" t="s">
        <v>158</v>
      </c>
      <c r="R45" s="26" t="s">
        <v>154</v>
      </c>
      <c r="S45" s="26" t="s">
        <v>158</v>
      </c>
      <c r="T45" s="26" t="s">
        <v>372</v>
      </c>
      <c r="U45" s="26" t="s">
        <v>154</v>
      </c>
      <c r="V45" s="26" t="s">
        <v>153</v>
      </c>
      <c r="W45" s="26" t="s">
        <v>153</v>
      </c>
      <c r="X45" s="26" t="s">
        <v>366</v>
      </c>
      <c r="Y45" s="26" t="s">
        <v>173</v>
      </c>
    </row>
    <row r="46" spans="1:25" ht="20.25" customHeight="1">
      <c r="A46" s="3" t="s">
        <v>393</v>
      </c>
      <c r="B46" s="27">
        <v>36</v>
      </c>
      <c r="C46" s="26" t="s">
        <v>252</v>
      </c>
      <c r="D46" s="26" t="s">
        <v>252</v>
      </c>
      <c r="E46" s="26" t="s">
        <v>253</v>
      </c>
      <c r="F46" s="26" t="s">
        <v>394</v>
      </c>
      <c r="G46" s="26" t="s">
        <v>159</v>
      </c>
      <c r="H46" s="26" t="s">
        <v>395</v>
      </c>
      <c r="I46" s="26" t="s">
        <v>396</v>
      </c>
      <c r="J46" s="26" t="s">
        <v>397</v>
      </c>
      <c r="K46" s="26" t="s">
        <v>165</v>
      </c>
      <c r="L46" s="26" t="s">
        <v>258</v>
      </c>
      <c r="M46" s="26" t="s">
        <v>159</v>
      </c>
      <c r="N46" s="26" t="s">
        <v>159</v>
      </c>
      <c r="O46" s="26" t="s">
        <v>171</v>
      </c>
      <c r="P46" s="26" t="s">
        <v>385</v>
      </c>
      <c r="Q46" s="26" t="s">
        <v>158</v>
      </c>
      <c r="R46" s="26" t="s">
        <v>386</v>
      </c>
      <c r="S46" s="26" t="s">
        <v>158</v>
      </c>
      <c r="T46" s="26" t="s">
        <v>372</v>
      </c>
      <c r="U46" s="26" t="s">
        <v>386</v>
      </c>
      <c r="V46" s="26" t="s">
        <v>153</v>
      </c>
      <c r="W46" s="26" t="s">
        <v>153</v>
      </c>
      <c r="X46" s="26" t="s">
        <v>366</v>
      </c>
      <c r="Y46" s="26" t="s">
        <v>173</v>
      </c>
    </row>
    <row r="47" spans="1:25" ht="20.25" customHeight="1">
      <c r="A47" s="3" t="s">
        <v>259</v>
      </c>
      <c r="B47" s="27">
        <v>36</v>
      </c>
      <c r="C47" s="26" t="s">
        <v>252</v>
      </c>
      <c r="D47" s="26" t="s">
        <v>252</v>
      </c>
      <c r="E47" s="26" t="s">
        <v>253</v>
      </c>
      <c r="F47" s="26" t="s">
        <v>394</v>
      </c>
      <c r="G47" s="26" t="s">
        <v>159</v>
      </c>
      <c r="H47" s="26" t="s">
        <v>395</v>
      </c>
      <c r="I47" s="26" t="s">
        <v>396</v>
      </c>
      <c r="J47" s="26" t="s">
        <v>397</v>
      </c>
      <c r="K47" s="26" t="s">
        <v>165</v>
      </c>
      <c r="L47" s="26" t="s">
        <v>258</v>
      </c>
      <c r="M47" s="26" t="s">
        <v>159</v>
      </c>
      <c r="N47" s="26" t="s">
        <v>159</v>
      </c>
      <c r="O47" s="26" t="s">
        <v>171</v>
      </c>
      <c r="P47" s="26" t="s">
        <v>385</v>
      </c>
      <c r="Q47" s="26" t="s">
        <v>158</v>
      </c>
      <c r="R47" s="26" t="s">
        <v>386</v>
      </c>
      <c r="S47" s="26" t="s">
        <v>158</v>
      </c>
      <c r="T47" s="26" t="s">
        <v>153</v>
      </c>
      <c r="U47" s="26" t="s">
        <v>154</v>
      </c>
      <c r="V47" s="26" t="s">
        <v>158</v>
      </c>
      <c r="W47" s="26" t="s">
        <v>153</v>
      </c>
      <c r="X47" s="26" t="s">
        <v>155</v>
      </c>
      <c r="Y47" s="26" t="s">
        <v>156</v>
      </c>
    </row>
    <row r="48" spans="1:25" ht="20.25" customHeight="1">
      <c r="A48" s="3" t="s">
        <v>393</v>
      </c>
      <c r="B48" s="27">
        <v>37</v>
      </c>
      <c r="C48" s="26" t="s">
        <v>261</v>
      </c>
      <c r="D48" s="26" t="s">
        <v>252</v>
      </c>
      <c r="E48" s="26" t="s">
        <v>253</v>
      </c>
      <c r="F48" s="26" t="s">
        <v>394</v>
      </c>
      <c r="G48" s="26" t="s">
        <v>159</v>
      </c>
      <c r="H48" s="26" t="s">
        <v>398</v>
      </c>
      <c r="I48" s="26" t="s">
        <v>399</v>
      </c>
      <c r="J48" s="26" t="s">
        <v>400</v>
      </c>
      <c r="K48" s="26" t="s">
        <v>165</v>
      </c>
      <c r="L48" s="26" t="s">
        <v>165</v>
      </c>
      <c r="M48" s="26" t="s">
        <v>159</v>
      </c>
      <c r="N48" s="26" t="s">
        <v>159</v>
      </c>
      <c r="O48" s="26" t="s">
        <v>171</v>
      </c>
      <c r="P48" s="26" t="s">
        <v>265</v>
      </c>
      <c r="Q48" s="26" t="s">
        <v>158</v>
      </c>
      <c r="R48" s="26" t="s">
        <v>154</v>
      </c>
      <c r="S48" s="26" t="s">
        <v>158</v>
      </c>
      <c r="T48" s="26" t="s">
        <v>372</v>
      </c>
      <c r="U48" s="26" t="s">
        <v>154</v>
      </c>
      <c r="V48" s="26" t="s">
        <v>153</v>
      </c>
      <c r="W48" s="26" t="s">
        <v>153</v>
      </c>
      <c r="X48" s="26" t="s">
        <v>366</v>
      </c>
      <c r="Y48" s="26" t="s">
        <v>173</v>
      </c>
    </row>
    <row r="49" spans="1:25" ht="20.25" customHeight="1">
      <c r="A49" s="3" t="s">
        <v>393</v>
      </c>
      <c r="B49" s="27">
        <v>38</v>
      </c>
      <c r="C49" s="26" t="s">
        <v>266</v>
      </c>
      <c r="D49" s="26" t="s">
        <v>252</v>
      </c>
      <c r="E49" s="26" t="s">
        <v>253</v>
      </c>
      <c r="F49" s="26" t="s">
        <v>394</v>
      </c>
      <c r="G49" s="26" t="s">
        <v>159</v>
      </c>
      <c r="H49" s="26" t="s">
        <v>401</v>
      </c>
      <c r="I49" s="26" t="s">
        <v>402</v>
      </c>
      <c r="J49" s="26" t="s">
        <v>403</v>
      </c>
      <c r="K49" s="26" t="s">
        <v>165</v>
      </c>
      <c r="L49" s="26" t="s">
        <v>270</v>
      </c>
      <c r="M49" s="26" t="s">
        <v>159</v>
      </c>
      <c r="N49" s="26" t="s">
        <v>159</v>
      </c>
      <c r="O49" s="26" t="s">
        <v>171</v>
      </c>
      <c r="P49" s="26" t="s">
        <v>265</v>
      </c>
      <c r="Q49" s="26" t="s">
        <v>158</v>
      </c>
      <c r="R49" s="26" t="s">
        <v>154</v>
      </c>
      <c r="S49" s="26" t="s">
        <v>158</v>
      </c>
      <c r="T49" s="26" t="s">
        <v>372</v>
      </c>
      <c r="U49" s="26" t="s">
        <v>154</v>
      </c>
      <c r="V49" s="26" t="s">
        <v>153</v>
      </c>
      <c r="W49" s="26" t="s">
        <v>153</v>
      </c>
      <c r="X49" s="26" t="s">
        <v>366</v>
      </c>
      <c r="Y49" s="26" t="s">
        <v>173</v>
      </c>
    </row>
    <row r="50" spans="1:25" ht="20.25" customHeight="1">
      <c r="A50" s="3" t="s">
        <v>259</v>
      </c>
      <c r="B50" s="27">
        <v>39</v>
      </c>
      <c r="C50" s="26" t="s">
        <v>252</v>
      </c>
      <c r="D50" s="26" t="s">
        <v>252</v>
      </c>
      <c r="E50" s="26" t="s">
        <v>253</v>
      </c>
      <c r="F50" s="26" t="s">
        <v>404</v>
      </c>
      <c r="G50" s="26" t="s">
        <v>159</v>
      </c>
      <c r="H50" s="26" t="s">
        <v>405</v>
      </c>
      <c r="I50" s="26" t="s">
        <v>406</v>
      </c>
      <c r="J50" s="26" t="s">
        <v>407</v>
      </c>
      <c r="K50" s="26" t="s">
        <v>165</v>
      </c>
      <c r="L50" s="26" t="s">
        <v>258</v>
      </c>
      <c r="M50" s="26" t="s">
        <v>159</v>
      </c>
      <c r="N50" s="26" t="s">
        <v>159</v>
      </c>
      <c r="O50" s="26" t="s">
        <v>171</v>
      </c>
      <c r="P50" s="26" t="s">
        <v>385</v>
      </c>
      <c r="Q50" s="26" t="s">
        <v>158</v>
      </c>
      <c r="R50" s="26" t="s">
        <v>386</v>
      </c>
      <c r="S50" s="26" t="s">
        <v>158</v>
      </c>
      <c r="T50" s="26" t="s">
        <v>153</v>
      </c>
      <c r="U50" s="26" t="s">
        <v>154</v>
      </c>
      <c r="V50" s="26" t="s">
        <v>158</v>
      </c>
      <c r="W50" s="26" t="s">
        <v>153</v>
      </c>
      <c r="X50" s="26" t="s">
        <v>155</v>
      </c>
      <c r="Y50" s="26" t="s">
        <v>156</v>
      </c>
    </row>
    <row r="51" spans="1:25" ht="20.25" customHeight="1">
      <c r="A51" s="3" t="s">
        <v>404</v>
      </c>
      <c r="B51" s="27">
        <v>39</v>
      </c>
      <c r="C51" s="26" t="s">
        <v>252</v>
      </c>
      <c r="D51" s="26" t="s">
        <v>252</v>
      </c>
      <c r="E51" s="26" t="s">
        <v>253</v>
      </c>
      <c r="F51" s="26" t="s">
        <v>404</v>
      </c>
      <c r="G51" s="26" t="s">
        <v>159</v>
      </c>
      <c r="H51" s="26" t="s">
        <v>408</v>
      </c>
      <c r="I51" s="26" t="s">
        <v>406</v>
      </c>
      <c r="J51" s="26" t="s">
        <v>407</v>
      </c>
      <c r="K51" s="26" t="s">
        <v>165</v>
      </c>
      <c r="L51" s="26" t="s">
        <v>258</v>
      </c>
      <c r="M51" s="26" t="s">
        <v>159</v>
      </c>
      <c r="N51" s="26" t="s">
        <v>159</v>
      </c>
      <c r="O51" s="26" t="s">
        <v>171</v>
      </c>
      <c r="P51" s="26" t="s">
        <v>385</v>
      </c>
      <c r="Q51" s="26" t="s">
        <v>158</v>
      </c>
      <c r="R51" s="26" t="s">
        <v>386</v>
      </c>
      <c r="S51" s="26" t="s">
        <v>158</v>
      </c>
      <c r="T51" s="26" t="s">
        <v>372</v>
      </c>
      <c r="U51" s="26" t="s">
        <v>386</v>
      </c>
      <c r="V51" s="26" t="s">
        <v>153</v>
      </c>
      <c r="W51" s="26" t="s">
        <v>153</v>
      </c>
      <c r="X51" s="26" t="s">
        <v>366</v>
      </c>
      <c r="Y51" s="26" t="s">
        <v>173</v>
      </c>
    </row>
    <row r="52" spans="1:25" ht="20.25" customHeight="1">
      <c r="A52" s="3" t="s">
        <v>404</v>
      </c>
      <c r="B52" s="27">
        <v>40</v>
      </c>
      <c r="C52" s="26" t="s">
        <v>261</v>
      </c>
      <c r="D52" s="26" t="s">
        <v>252</v>
      </c>
      <c r="E52" s="26" t="s">
        <v>253</v>
      </c>
      <c r="F52" s="26" t="s">
        <v>404</v>
      </c>
      <c r="G52" s="26" t="s">
        <v>159</v>
      </c>
      <c r="H52" s="26" t="s">
        <v>409</v>
      </c>
      <c r="I52" s="26" t="s">
        <v>410</v>
      </c>
      <c r="J52" s="26" t="s">
        <v>411</v>
      </c>
      <c r="K52" s="26" t="s">
        <v>165</v>
      </c>
      <c r="L52" s="26" t="s">
        <v>165</v>
      </c>
      <c r="M52" s="26" t="s">
        <v>159</v>
      </c>
      <c r="N52" s="26" t="s">
        <v>159</v>
      </c>
      <c r="O52" s="26" t="s">
        <v>171</v>
      </c>
      <c r="P52" s="26" t="s">
        <v>265</v>
      </c>
      <c r="Q52" s="26" t="s">
        <v>158</v>
      </c>
      <c r="R52" s="26" t="s">
        <v>154</v>
      </c>
      <c r="S52" s="26" t="s">
        <v>158</v>
      </c>
      <c r="T52" s="26" t="s">
        <v>372</v>
      </c>
      <c r="U52" s="26" t="s">
        <v>154</v>
      </c>
      <c r="V52" s="26" t="s">
        <v>153</v>
      </c>
      <c r="W52" s="26" t="s">
        <v>153</v>
      </c>
      <c r="X52" s="26" t="s">
        <v>366</v>
      </c>
      <c r="Y52" s="26" t="s">
        <v>173</v>
      </c>
    </row>
    <row r="53" spans="1:25" ht="20.25" customHeight="1">
      <c r="A53" s="3" t="s">
        <v>404</v>
      </c>
      <c r="B53" s="27">
        <v>41</v>
      </c>
      <c r="C53" s="26" t="s">
        <v>266</v>
      </c>
      <c r="D53" s="26" t="s">
        <v>252</v>
      </c>
      <c r="E53" s="26" t="s">
        <v>253</v>
      </c>
      <c r="F53" s="26" t="s">
        <v>404</v>
      </c>
      <c r="G53" s="26" t="s">
        <v>159</v>
      </c>
      <c r="H53" s="26" t="s">
        <v>412</v>
      </c>
      <c r="I53" s="26" t="s">
        <v>413</v>
      </c>
      <c r="J53" s="26" t="s">
        <v>414</v>
      </c>
      <c r="K53" s="26" t="s">
        <v>165</v>
      </c>
      <c r="L53" s="26" t="s">
        <v>270</v>
      </c>
      <c r="M53" s="26" t="s">
        <v>159</v>
      </c>
      <c r="N53" s="26" t="s">
        <v>159</v>
      </c>
      <c r="O53" s="26" t="s">
        <v>171</v>
      </c>
      <c r="P53" s="26" t="s">
        <v>265</v>
      </c>
      <c r="Q53" s="26" t="s">
        <v>158</v>
      </c>
      <c r="R53" s="26" t="s">
        <v>154</v>
      </c>
      <c r="S53" s="26" t="s">
        <v>158</v>
      </c>
      <c r="T53" s="26" t="s">
        <v>372</v>
      </c>
      <c r="U53" s="26" t="s">
        <v>154</v>
      </c>
      <c r="V53" s="26" t="s">
        <v>153</v>
      </c>
      <c r="W53" s="26" t="s">
        <v>153</v>
      </c>
      <c r="X53" s="26" t="s">
        <v>366</v>
      </c>
      <c r="Y53" s="26" t="s">
        <v>173</v>
      </c>
    </row>
    <row r="54" spans="1:25" ht="20.25" customHeight="1">
      <c r="A54" s="3" t="s">
        <v>415</v>
      </c>
      <c r="B54" s="27">
        <v>42</v>
      </c>
      <c r="C54" s="26" t="s">
        <v>252</v>
      </c>
      <c r="D54" s="26" t="s">
        <v>252</v>
      </c>
      <c r="E54" s="26" t="s">
        <v>253</v>
      </c>
      <c r="F54" s="26" t="s">
        <v>415</v>
      </c>
      <c r="G54" s="26" t="s">
        <v>159</v>
      </c>
      <c r="H54" s="26" t="s">
        <v>416</v>
      </c>
      <c r="I54" s="26" t="s">
        <v>417</v>
      </c>
      <c r="J54" s="26" t="s">
        <v>418</v>
      </c>
      <c r="K54" s="26" t="s">
        <v>165</v>
      </c>
      <c r="L54" s="26" t="s">
        <v>258</v>
      </c>
      <c r="M54" s="26" t="s">
        <v>159</v>
      </c>
      <c r="N54" s="26" t="s">
        <v>159</v>
      </c>
      <c r="O54" s="26" t="s">
        <v>419</v>
      </c>
      <c r="P54" s="26" t="s">
        <v>420</v>
      </c>
      <c r="Q54" s="26" t="s">
        <v>158</v>
      </c>
      <c r="R54" s="26" t="s">
        <v>421</v>
      </c>
      <c r="S54" s="26" t="s">
        <v>158</v>
      </c>
      <c r="T54" s="26" t="s">
        <v>372</v>
      </c>
      <c r="U54" s="26" t="s">
        <v>421</v>
      </c>
      <c r="V54" s="26" t="s">
        <v>153</v>
      </c>
      <c r="W54" s="26" t="s">
        <v>153</v>
      </c>
      <c r="X54" s="26" t="s">
        <v>366</v>
      </c>
      <c r="Y54" s="26" t="s">
        <v>173</v>
      </c>
    </row>
    <row r="55" spans="1:25" ht="20.25" customHeight="1">
      <c r="A55" s="3" t="s">
        <v>259</v>
      </c>
      <c r="B55" s="27">
        <v>42</v>
      </c>
      <c r="C55" s="26" t="s">
        <v>252</v>
      </c>
      <c r="D55" s="26" t="s">
        <v>252</v>
      </c>
      <c r="E55" s="26" t="s">
        <v>253</v>
      </c>
      <c r="F55" s="26" t="s">
        <v>415</v>
      </c>
      <c r="G55" s="26" t="s">
        <v>159</v>
      </c>
      <c r="H55" s="26" t="s">
        <v>422</v>
      </c>
      <c r="I55" s="26" t="s">
        <v>417</v>
      </c>
      <c r="J55" s="26" t="s">
        <v>418</v>
      </c>
      <c r="K55" s="26" t="s">
        <v>165</v>
      </c>
      <c r="L55" s="26" t="s">
        <v>258</v>
      </c>
      <c r="M55" s="26" t="s">
        <v>159</v>
      </c>
      <c r="N55" s="26" t="s">
        <v>159</v>
      </c>
      <c r="O55" s="26" t="s">
        <v>419</v>
      </c>
      <c r="P55" s="26" t="s">
        <v>420</v>
      </c>
      <c r="Q55" s="26" t="s">
        <v>158</v>
      </c>
      <c r="R55" s="26" t="s">
        <v>421</v>
      </c>
      <c r="S55" s="26" t="s">
        <v>158</v>
      </c>
      <c r="T55" s="26" t="s">
        <v>153</v>
      </c>
      <c r="U55" s="26" t="s">
        <v>154</v>
      </c>
      <c r="V55" s="26" t="s">
        <v>158</v>
      </c>
      <c r="W55" s="26" t="s">
        <v>153</v>
      </c>
      <c r="X55" s="26" t="s">
        <v>155</v>
      </c>
      <c r="Y55" s="26" t="s">
        <v>156</v>
      </c>
    </row>
    <row r="56" spans="1:25" ht="20.25" customHeight="1">
      <c r="A56" s="3" t="s">
        <v>415</v>
      </c>
      <c r="B56" s="27">
        <v>43</v>
      </c>
      <c r="C56" s="26" t="s">
        <v>261</v>
      </c>
      <c r="D56" s="26" t="s">
        <v>252</v>
      </c>
      <c r="E56" s="26" t="s">
        <v>253</v>
      </c>
      <c r="F56" s="26" t="s">
        <v>415</v>
      </c>
      <c r="G56" s="26" t="s">
        <v>159</v>
      </c>
      <c r="H56" s="26" t="s">
        <v>423</v>
      </c>
      <c r="I56" s="26" t="s">
        <v>424</v>
      </c>
      <c r="J56" s="26" t="s">
        <v>425</v>
      </c>
      <c r="K56" s="26" t="s">
        <v>165</v>
      </c>
      <c r="L56" s="26" t="s">
        <v>165</v>
      </c>
      <c r="M56" s="26" t="s">
        <v>159</v>
      </c>
      <c r="N56" s="26" t="s">
        <v>159</v>
      </c>
      <c r="O56" s="26" t="s">
        <v>419</v>
      </c>
      <c r="P56" s="26" t="s">
        <v>377</v>
      </c>
      <c r="Q56" s="26" t="s">
        <v>158</v>
      </c>
      <c r="R56" s="26" t="s">
        <v>150</v>
      </c>
      <c r="S56" s="26" t="s">
        <v>158</v>
      </c>
      <c r="T56" s="26" t="s">
        <v>372</v>
      </c>
      <c r="U56" s="26" t="s">
        <v>150</v>
      </c>
      <c r="V56" s="26" t="s">
        <v>153</v>
      </c>
      <c r="W56" s="26" t="s">
        <v>153</v>
      </c>
      <c r="X56" s="26" t="s">
        <v>366</v>
      </c>
      <c r="Y56" s="26" t="s">
        <v>173</v>
      </c>
    </row>
    <row r="57" spans="1:25" ht="20.25" customHeight="1">
      <c r="A57" s="3" t="s">
        <v>415</v>
      </c>
      <c r="B57" s="27">
        <v>44</v>
      </c>
      <c r="C57" s="26" t="s">
        <v>266</v>
      </c>
      <c r="D57" s="26" t="s">
        <v>252</v>
      </c>
      <c r="E57" s="26" t="s">
        <v>253</v>
      </c>
      <c r="F57" s="26" t="s">
        <v>415</v>
      </c>
      <c r="G57" s="26" t="s">
        <v>159</v>
      </c>
      <c r="H57" s="26" t="s">
        <v>426</v>
      </c>
      <c r="I57" s="26" t="s">
        <v>427</v>
      </c>
      <c r="J57" s="26" t="s">
        <v>428</v>
      </c>
      <c r="K57" s="26" t="s">
        <v>165</v>
      </c>
      <c r="L57" s="26" t="s">
        <v>270</v>
      </c>
      <c r="M57" s="26" t="s">
        <v>159</v>
      </c>
      <c r="N57" s="26" t="s">
        <v>159</v>
      </c>
      <c r="O57" s="26" t="s">
        <v>419</v>
      </c>
      <c r="P57" s="26" t="s">
        <v>377</v>
      </c>
      <c r="Q57" s="26" t="s">
        <v>158</v>
      </c>
      <c r="R57" s="26" t="s">
        <v>150</v>
      </c>
      <c r="S57" s="26" t="s">
        <v>158</v>
      </c>
      <c r="T57" s="26" t="s">
        <v>372</v>
      </c>
      <c r="U57" s="26" t="s">
        <v>150</v>
      </c>
      <c r="V57" s="26" t="s">
        <v>153</v>
      </c>
      <c r="W57" s="26" t="s">
        <v>153</v>
      </c>
      <c r="X57" s="26" t="s">
        <v>366</v>
      </c>
      <c r="Y57" s="26" t="s">
        <v>173</v>
      </c>
    </row>
  </sheetData>
  <autoFilter ref="A1:Y1" xr:uid="{AD2392EE-8EB4-449B-9BDF-0FA3E5111FE4}"/>
  <phoneticPr fontId="7"/>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5"/>
  <sheetViews>
    <sheetView topLeftCell="A10" workbookViewId="0">
      <selection activeCell="C7" sqref="C7"/>
    </sheetView>
  </sheetViews>
  <sheetFormatPr defaultRowHeight="18.75"/>
  <cols>
    <col min="1" max="1" width="4" customWidth="1"/>
    <col min="2" max="2" width="2.5" bestFit="1" customWidth="1"/>
    <col min="4" max="4" width="58.25" bestFit="1" customWidth="1"/>
    <col min="5" max="5" width="29.375" bestFit="1" customWidth="1"/>
    <col min="6" max="6" width="31.75" bestFit="1" customWidth="1"/>
  </cols>
  <sheetData>
    <row r="1" spans="1:3">
      <c r="A1" s="13" t="s">
        <v>429</v>
      </c>
    </row>
    <row r="2" spans="1:3">
      <c r="C2" t="s">
        <v>430</v>
      </c>
    </row>
    <row r="5" spans="1:3" ht="19.5" customHeight="1">
      <c r="A5" s="13" t="s">
        <v>431</v>
      </c>
    </row>
    <row r="7" spans="1:3">
      <c r="C7" t="s">
        <v>432</v>
      </c>
    </row>
    <row r="8" spans="1:3">
      <c r="C8" t="s">
        <v>433</v>
      </c>
    </row>
    <row r="11" spans="1:3" ht="19.5" customHeight="1">
      <c r="A11" s="13" t="s">
        <v>434</v>
      </c>
    </row>
    <row r="13" spans="1:3">
      <c r="C13" t="s">
        <v>435</v>
      </c>
    </row>
    <row r="14" spans="1:3">
      <c r="C14" t="s">
        <v>436</v>
      </c>
    </row>
    <row r="15" spans="1:3">
      <c r="C15" t="s">
        <v>433</v>
      </c>
    </row>
    <row r="18" spans="1:3" ht="19.5" customHeight="1">
      <c r="A18" s="13" t="s">
        <v>437</v>
      </c>
    </row>
    <row r="20" spans="1:3">
      <c r="C20" t="s">
        <v>438</v>
      </c>
    </row>
    <row r="23" spans="1:3" ht="19.5" customHeight="1">
      <c r="A23" s="13" t="s">
        <v>439</v>
      </c>
    </row>
    <row r="25" spans="1:3">
      <c r="C25" t="s">
        <v>440</v>
      </c>
    </row>
    <row r="26" spans="1:3">
      <c r="C26" t="s">
        <v>441</v>
      </c>
    </row>
    <row r="29" spans="1:3" ht="19.5" customHeight="1">
      <c r="A29" s="13" t="s">
        <v>442</v>
      </c>
    </row>
    <row r="31" spans="1:3">
      <c r="C31" t="s">
        <v>443</v>
      </c>
    </row>
    <row r="34" spans="1:3" ht="19.5" customHeight="1">
      <c r="A34" s="13" t="s">
        <v>444</v>
      </c>
    </row>
    <row r="36" spans="1:3">
      <c r="C36" t="s">
        <v>445</v>
      </c>
    </row>
    <row r="37" spans="1:3">
      <c r="C37" t="s">
        <v>446</v>
      </c>
    </row>
    <row r="40" spans="1:3" ht="19.5" customHeight="1">
      <c r="A40" s="13" t="s">
        <v>447</v>
      </c>
    </row>
    <row r="42" spans="1:3">
      <c r="C42" t="s">
        <v>448</v>
      </c>
    </row>
    <row r="43" spans="1:3">
      <c r="C43" t="s">
        <v>449</v>
      </c>
    </row>
    <row r="46" spans="1:3" ht="19.5" customHeight="1">
      <c r="A46" s="13" t="s">
        <v>450</v>
      </c>
    </row>
    <row r="48" spans="1:3">
      <c r="C48" t="s">
        <v>451</v>
      </c>
    </row>
    <row r="49" spans="1:3">
      <c r="C49" t="s">
        <v>452</v>
      </c>
    </row>
    <row r="52" spans="1:3" ht="19.5" customHeight="1">
      <c r="A52" s="13" t="s">
        <v>453</v>
      </c>
    </row>
    <row r="54" spans="1:3">
      <c r="C54" t="s">
        <v>454</v>
      </c>
    </row>
    <row r="55" spans="1:3">
      <c r="C55" t="s">
        <v>455</v>
      </c>
    </row>
  </sheetData>
  <phoneticPr fontId="1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46"/>
  <sheetViews>
    <sheetView zoomScale="85" zoomScaleNormal="85" workbookViewId="0">
      <pane xSplit="6" ySplit="2" topLeftCell="H28" activePane="bottomRight" state="frozen"/>
      <selection pane="bottomRight" activeCell="H28" sqref="H28"/>
      <selection pane="bottomLeft" activeCell="A3" sqref="A3"/>
      <selection pane="topRight" activeCell="G1" sqref="G1"/>
    </sheetView>
  </sheetViews>
  <sheetFormatPr defaultColWidth="80.25" defaultRowHeight="13.5" outlineLevelCol="1"/>
  <cols>
    <col min="1" max="1" width="5.625" style="3" bestFit="1" customWidth="1"/>
    <col min="2" max="2" width="9.5" style="3" customWidth="1" outlineLevel="1"/>
    <col min="3" max="3" width="16.125" style="5" customWidth="1" outlineLevel="1"/>
    <col min="4" max="4" width="6.5" style="3" customWidth="1" outlineLevel="1"/>
    <col min="5" max="5" width="33.875" style="3" customWidth="1" outlineLevel="1"/>
    <col min="6" max="6" width="10.5" style="3" bestFit="1" customWidth="1"/>
    <col min="7" max="7" width="71.625" style="3" customWidth="1" outlineLevel="1"/>
    <col min="8" max="8" width="33.875" style="3" customWidth="1" outlineLevel="1"/>
    <col min="9" max="9" width="15" style="3" customWidth="1" outlineLevel="1"/>
    <col min="10" max="10" width="9.5" style="8" bestFit="1" customWidth="1"/>
    <col min="11" max="11" width="9.5" style="3" customWidth="1" outlineLevel="1"/>
    <col min="12" max="12" width="7.5" style="3" bestFit="1" customWidth="1"/>
    <col min="13" max="13" width="11.625" style="3" bestFit="1" customWidth="1"/>
    <col min="14" max="14" width="13.875" style="3" bestFit="1" customWidth="1"/>
    <col min="15" max="15" width="7.5" style="3" bestFit="1" customWidth="1"/>
    <col min="16" max="16" width="80.25" style="3" customWidth="1"/>
    <col min="17" max="16384" width="80.25" style="3"/>
  </cols>
  <sheetData>
    <row r="1" spans="1:16">
      <c r="A1" s="109" t="s">
        <v>456</v>
      </c>
      <c r="B1" s="138" t="s">
        <v>457</v>
      </c>
      <c r="C1" s="138" t="s">
        <v>458</v>
      </c>
      <c r="D1" s="138" t="s">
        <v>459</v>
      </c>
      <c r="E1" s="138" t="s">
        <v>460</v>
      </c>
      <c r="F1" s="138" t="s">
        <v>461</v>
      </c>
      <c r="G1" s="138" t="s">
        <v>462</v>
      </c>
      <c r="H1" s="139" t="s">
        <v>463</v>
      </c>
      <c r="I1" s="140" t="s">
        <v>464</v>
      </c>
      <c r="J1" s="141" t="s">
        <v>465</v>
      </c>
      <c r="K1" s="141" t="s">
        <v>466</v>
      </c>
      <c r="L1" s="138" t="s">
        <v>467</v>
      </c>
      <c r="M1" s="109" t="s">
        <v>468</v>
      </c>
      <c r="N1" s="138" t="s">
        <v>469</v>
      </c>
      <c r="O1" s="109" t="s">
        <v>470</v>
      </c>
    </row>
    <row r="2" spans="1:16" s="5" customFormat="1">
      <c r="A2" s="109"/>
      <c r="B2" s="138"/>
      <c r="C2" s="138"/>
      <c r="D2" s="138"/>
      <c r="E2" s="138"/>
      <c r="F2" s="138"/>
      <c r="G2" s="138"/>
      <c r="H2" s="138"/>
      <c r="I2" s="138"/>
      <c r="J2" s="142"/>
      <c r="K2" s="142"/>
      <c r="L2" s="109"/>
      <c r="M2" s="109"/>
      <c r="N2" s="109"/>
      <c r="O2" s="109"/>
    </row>
    <row r="3" spans="1:16">
      <c r="A3" s="45">
        <f t="shared" ref="A3:A46" si="0">ROW() -2</f>
        <v>1</v>
      </c>
      <c r="B3" s="45" t="s">
        <v>253</v>
      </c>
      <c r="C3" s="45" t="s">
        <v>471</v>
      </c>
      <c r="D3" s="10" t="s">
        <v>252</v>
      </c>
      <c r="E3" s="10" t="s">
        <v>472</v>
      </c>
      <c r="F3" s="2"/>
      <c r="G3" s="10" t="s">
        <v>473</v>
      </c>
      <c r="H3" s="4" t="s">
        <v>256</v>
      </c>
      <c r="I3" s="4" t="s">
        <v>257</v>
      </c>
      <c r="J3" s="10">
        <v>500</v>
      </c>
      <c r="K3" s="10">
        <v>450</v>
      </c>
      <c r="L3" s="10">
        <v>50</v>
      </c>
      <c r="M3" s="10"/>
      <c r="N3" s="10"/>
      <c r="O3" s="2">
        <v>908101</v>
      </c>
      <c r="P3" s="9"/>
    </row>
    <row r="4" spans="1:16">
      <c r="A4" s="45">
        <f t="shared" si="0"/>
        <v>2</v>
      </c>
      <c r="B4" s="45" t="s">
        <v>253</v>
      </c>
      <c r="C4" s="11" t="s">
        <v>261</v>
      </c>
      <c r="D4" s="10" t="s">
        <v>252</v>
      </c>
      <c r="E4" s="10" t="s">
        <v>472</v>
      </c>
      <c r="F4" s="2"/>
      <c r="G4" s="10" t="s">
        <v>262</v>
      </c>
      <c r="H4" s="4" t="s">
        <v>263</v>
      </c>
      <c r="I4" s="4" t="s">
        <v>264</v>
      </c>
      <c r="J4" s="10">
        <v>500</v>
      </c>
      <c r="K4" s="10">
        <v>500</v>
      </c>
      <c r="L4" s="10">
        <v>50</v>
      </c>
      <c r="M4" s="10"/>
      <c r="N4" s="10"/>
      <c r="O4" s="2">
        <v>908102</v>
      </c>
      <c r="P4" s="9"/>
    </row>
    <row r="5" spans="1:16">
      <c r="A5" s="45">
        <f t="shared" si="0"/>
        <v>3</v>
      </c>
      <c r="B5" s="45" t="s">
        <v>253</v>
      </c>
      <c r="C5" s="11" t="s">
        <v>266</v>
      </c>
      <c r="D5" s="10" t="s">
        <v>252</v>
      </c>
      <c r="E5" s="10" t="s">
        <v>472</v>
      </c>
      <c r="F5" s="2"/>
      <c r="G5" s="10" t="s">
        <v>474</v>
      </c>
      <c r="H5" s="4" t="s">
        <v>268</v>
      </c>
      <c r="I5" s="4" t="s">
        <v>269</v>
      </c>
      <c r="J5" s="10">
        <v>500</v>
      </c>
      <c r="K5" s="10">
        <v>550</v>
      </c>
      <c r="L5" s="10">
        <v>100</v>
      </c>
      <c r="M5" s="10"/>
      <c r="N5" s="10"/>
      <c r="O5" s="2">
        <v>908103</v>
      </c>
      <c r="P5" s="9"/>
    </row>
    <row r="6" spans="1:16">
      <c r="A6" s="45">
        <f t="shared" si="0"/>
        <v>4</v>
      </c>
      <c r="B6" s="45" t="s">
        <v>253</v>
      </c>
      <c r="C6" s="11" t="s">
        <v>266</v>
      </c>
      <c r="D6" s="10" t="s">
        <v>252</v>
      </c>
      <c r="E6" s="10" t="s">
        <v>472</v>
      </c>
      <c r="F6" s="2"/>
      <c r="G6" s="10" t="s">
        <v>475</v>
      </c>
      <c r="H6" s="4" t="s">
        <v>272</v>
      </c>
      <c r="I6" s="4" t="s">
        <v>273</v>
      </c>
      <c r="J6" s="10">
        <v>500</v>
      </c>
      <c r="K6" s="10">
        <v>550</v>
      </c>
      <c r="L6" s="10">
        <v>50</v>
      </c>
      <c r="M6" s="10"/>
      <c r="N6" s="10"/>
      <c r="O6" s="2">
        <v>908103</v>
      </c>
      <c r="P6" s="9"/>
    </row>
    <row r="7" spans="1:16">
      <c r="A7" s="45">
        <f t="shared" si="0"/>
        <v>5</v>
      </c>
      <c r="B7" s="45" t="s">
        <v>253</v>
      </c>
      <c r="C7" s="11" t="s">
        <v>266</v>
      </c>
      <c r="D7" s="10" t="s">
        <v>252</v>
      </c>
      <c r="E7" s="10" t="s">
        <v>472</v>
      </c>
      <c r="F7" s="2"/>
      <c r="G7" s="10" t="s">
        <v>476</v>
      </c>
      <c r="H7" s="4" t="s">
        <v>275</v>
      </c>
      <c r="I7" s="4" t="s">
        <v>276</v>
      </c>
      <c r="J7" s="10">
        <v>500</v>
      </c>
      <c r="K7" s="10">
        <v>550</v>
      </c>
      <c r="L7" s="10">
        <v>50</v>
      </c>
      <c r="M7" s="10"/>
      <c r="N7" s="10"/>
      <c r="O7" s="2">
        <v>908103</v>
      </c>
      <c r="P7" s="9"/>
    </row>
    <row r="8" spans="1:16">
      <c r="A8" s="45">
        <f t="shared" si="0"/>
        <v>6</v>
      </c>
      <c r="B8" s="45" t="s">
        <v>253</v>
      </c>
      <c r="C8" s="45" t="s">
        <v>471</v>
      </c>
      <c r="D8" s="10" t="s">
        <v>252</v>
      </c>
      <c r="E8" s="10" t="s">
        <v>477</v>
      </c>
      <c r="F8" s="2"/>
      <c r="G8" s="10" t="s">
        <v>478</v>
      </c>
      <c r="H8" s="4" t="s">
        <v>279</v>
      </c>
      <c r="I8" s="4" t="s">
        <v>280</v>
      </c>
      <c r="J8" s="10">
        <v>500</v>
      </c>
      <c r="K8" s="10">
        <v>450</v>
      </c>
      <c r="L8" s="10">
        <v>10</v>
      </c>
      <c r="M8" s="10"/>
      <c r="N8" s="10"/>
      <c r="O8" s="2">
        <v>908101</v>
      </c>
      <c r="P8" s="9"/>
    </row>
    <row r="9" spans="1:16">
      <c r="A9" s="45">
        <f t="shared" si="0"/>
        <v>7</v>
      </c>
      <c r="B9" s="45" t="s">
        <v>253</v>
      </c>
      <c r="C9" s="11" t="s">
        <v>261</v>
      </c>
      <c r="D9" s="10" t="s">
        <v>252</v>
      </c>
      <c r="E9" s="10" t="s">
        <v>477</v>
      </c>
      <c r="F9" s="2"/>
      <c r="G9" s="10" t="s">
        <v>479</v>
      </c>
      <c r="H9" s="4" t="s">
        <v>282</v>
      </c>
      <c r="I9" s="4" t="s">
        <v>283</v>
      </c>
      <c r="J9" s="10">
        <v>500</v>
      </c>
      <c r="K9" s="10">
        <v>500</v>
      </c>
      <c r="L9" s="10">
        <v>10</v>
      </c>
      <c r="M9" s="10"/>
      <c r="N9" s="10"/>
      <c r="O9" s="2">
        <v>908102</v>
      </c>
      <c r="P9" s="9"/>
    </row>
    <row r="10" spans="1:16">
      <c r="A10" s="45">
        <f t="shared" si="0"/>
        <v>8</v>
      </c>
      <c r="B10" s="45" t="s">
        <v>253</v>
      </c>
      <c r="C10" s="11" t="s">
        <v>266</v>
      </c>
      <c r="D10" s="10" t="s">
        <v>252</v>
      </c>
      <c r="E10" s="10" t="s">
        <v>477</v>
      </c>
      <c r="F10" s="2"/>
      <c r="G10" s="10" t="s">
        <v>480</v>
      </c>
      <c r="H10" s="4" t="s">
        <v>285</v>
      </c>
      <c r="I10" s="4" t="s">
        <v>286</v>
      </c>
      <c r="J10" s="10">
        <v>500</v>
      </c>
      <c r="K10" s="10">
        <v>550</v>
      </c>
      <c r="L10" s="10">
        <v>20</v>
      </c>
      <c r="M10" s="10"/>
      <c r="N10" s="10"/>
      <c r="O10" s="2">
        <v>908103</v>
      </c>
      <c r="P10" s="9"/>
    </row>
    <row r="11" spans="1:16">
      <c r="A11" s="45">
        <f t="shared" si="0"/>
        <v>9</v>
      </c>
      <c r="B11" s="45" t="s">
        <v>253</v>
      </c>
      <c r="C11" s="11" t="s">
        <v>266</v>
      </c>
      <c r="D11" s="10" t="s">
        <v>252</v>
      </c>
      <c r="E11" s="10" t="s">
        <v>477</v>
      </c>
      <c r="F11" s="2"/>
      <c r="G11" s="10" t="s">
        <v>481</v>
      </c>
      <c r="H11" s="4" t="s">
        <v>289</v>
      </c>
      <c r="I11" s="4" t="s">
        <v>290</v>
      </c>
      <c r="J11" s="10">
        <v>500</v>
      </c>
      <c r="K11" s="10">
        <v>550</v>
      </c>
      <c r="L11" s="10">
        <v>10</v>
      </c>
      <c r="M11" s="10"/>
      <c r="N11" s="10"/>
      <c r="O11" s="2">
        <v>908103</v>
      </c>
      <c r="P11" s="9"/>
    </row>
    <row r="12" spans="1:16">
      <c r="A12" s="45">
        <f t="shared" si="0"/>
        <v>10</v>
      </c>
      <c r="B12" s="45" t="s">
        <v>253</v>
      </c>
      <c r="C12" s="11" t="s">
        <v>266</v>
      </c>
      <c r="D12" s="10" t="s">
        <v>252</v>
      </c>
      <c r="E12" s="10" t="s">
        <v>477</v>
      </c>
      <c r="F12" s="2"/>
      <c r="G12" s="10" t="s">
        <v>482</v>
      </c>
      <c r="H12" s="4" t="s">
        <v>292</v>
      </c>
      <c r="I12" s="4" t="s">
        <v>293</v>
      </c>
      <c r="J12" s="10">
        <v>500</v>
      </c>
      <c r="K12" s="10">
        <v>550</v>
      </c>
      <c r="L12" s="10">
        <v>10</v>
      </c>
      <c r="M12" s="10"/>
      <c r="N12" s="10"/>
      <c r="O12" s="2">
        <v>908103</v>
      </c>
      <c r="P12" s="9"/>
    </row>
    <row r="13" spans="1:16">
      <c r="A13" s="45">
        <f t="shared" si="0"/>
        <v>11</v>
      </c>
      <c r="B13" s="45" t="s">
        <v>253</v>
      </c>
      <c r="C13" s="1" t="s">
        <v>483</v>
      </c>
      <c r="D13" s="1" t="s">
        <v>483</v>
      </c>
      <c r="E13" s="10" t="s">
        <v>484</v>
      </c>
      <c r="F13" s="2"/>
      <c r="G13" s="7" t="s">
        <v>485</v>
      </c>
      <c r="H13" s="4" t="s">
        <v>297</v>
      </c>
      <c r="I13" s="4" t="s">
        <v>298</v>
      </c>
      <c r="J13" s="6">
        <v>500</v>
      </c>
      <c r="K13" s="10">
        <v>450</v>
      </c>
      <c r="L13" s="10">
        <v>400</v>
      </c>
      <c r="M13" s="2"/>
      <c r="N13" s="2"/>
      <c r="O13" s="2">
        <v>908101</v>
      </c>
    </row>
    <row r="14" spans="1:16">
      <c r="A14" s="45">
        <f t="shared" si="0"/>
        <v>12</v>
      </c>
      <c r="B14" s="45" t="s">
        <v>253</v>
      </c>
      <c r="C14" s="1" t="s">
        <v>483</v>
      </c>
      <c r="D14" s="1" t="s">
        <v>486</v>
      </c>
      <c r="E14" s="10" t="s">
        <v>484</v>
      </c>
      <c r="F14" s="2"/>
      <c r="G14" s="7" t="s">
        <v>487</v>
      </c>
      <c r="H14" s="4" t="s">
        <v>301</v>
      </c>
      <c r="I14" s="4" t="s">
        <v>302</v>
      </c>
      <c r="J14" s="6">
        <v>500</v>
      </c>
      <c r="K14" s="10">
        <v>450</v>
      </c>
      <c r="L14" s="10">
        <v>450</v>
      </c>
      <c r="M14" s="2"/>
      <c r="N14" s="2"/>
      <c r="O14" s="2">
        <v>908101</v>
      </c>
    </row>
    <row r="15" spans="1:16">
      <c r="A15" s="45">
        <f t="shared" si="0"/>
        <v>13</v>
      </c>
      <c r="B15" s="45" t="s">
        <v>253</v>
      </c>
      <c r="C15" s="1" t="s">
        <v>483</v>
      </c>
      <c r="D15" s="1" t="s">
        <v>488</v>
      </c>
      <c r="E15" s="10" t="s">
        <v>484</v>
      </c>
      <c r="F15" s="2"/>
      <c r="G15" s="7" t="s">
        <v>304</v>
      </c>
      <c r="H15" s="4" t="s">
        <v>305</v>
      </c>
      <c r="I15" s="4" t="s">
        <v>306</v>
      </c>
      <c r="J15" s="6">
        <v>500</v>
      </c>
      <c r="K15" s="10">
        <v>400</v>
      </c>
      <c r="L15" s="10">
        <v>450</v>
      </c>
      <c r="M15" s="2"/>
      <c r="N15" s="2"/>
      <c r="O15" s="2">
        <v>908100</v>
      </c>
    </row>
    <row r="16" spans="1:16">
      <c r="A16" s="45">
        <f t="shared" si="0"/>
        <v>14</v>
      </c>
      <c r="B16" s="45" t="s">
        <v>253</v>
      </c>
      <c r="C16" s="1" t="s">
        <v>483</v>
      </c>
      <c r="D16" s="1" t="s">
        <v>488</v>
      </c>
      <c r="E16" s="10" t="s">
        <v>484</v>
      </c>
      <c r="F16" s="2"/>
      <c r="G16" s="7" t="s">
        <v>308</v>
      </c>
      <c r="H16" s="4" t="s">
        <v>489</v>
      </c>
      <c r="I16" s="4" t="s">
        <v>310</v>
      </c>
      <c r="J16" s="6">
        <v>500</v>
      </c>
      <c r="K16" s="10">
        <v>450</v>
      </c>
      <c r="L16" s="10">
        <v>500</v>
      </c>
      <c r="M16" s="2"/>
      <c r="N16" s="2"/>
      <c r="O16" s="2">
        <v>908101</v>
      </c>
    </row>
    <row r="17" spans="1:15">
      <c r="A17" s="45">
        <f t="shared" si="0"/>
        <v>15</v>
      </c>
      <c r="B17" s="45" t="s">
        <v>253</v>
      </c>
      <c r="C17" s="1" t="s">
        <v>483</v>
      </c>
      <c r="D17" s="1" t="s">
        <v>488</v>
      </c>
      <c r="E17" s="10" t="s">
        <v>484</v>
      </c>
      <c r="F17" s="2"/>
      <c r="G17" s="7" t="s">
        <v>490</v>
      </c>
      <c r="H17" s="4" t="s">
        <v>491</v>
      </c>
      <c r="I17" s="4" t="s">
        <v>313</v>
      </c>
      <c r="J17" s="6">
        <v>500</v>
      </c>
      <c r="K17" s="10">
        <v>450</v>
      </c>
      <c r="L17" s="10">
        <v>500</v>
      </c>
      <c r="M17" s="2"/>
      <c r="N17" s="2"/>
      <c r="O17" s="2">
        <v>908101</v>
      </c>
    </row>
    <row r="18" spans="1:15">
      <c r="A18" s="45">
        <f t="shared" si="0"/>
        <v>16</v>
      </c>
      <c r="B18" s="45" t="s">
        <v>253</v>
      </c>
      <c r="C18" s="1" t="s">
        <v>486</v>
      </c>
      <c r="D18" s="1" t="s">
        <v>483</v>
      </c>
      <c r="E18" s="10" t="s">
        <v>484</v>
      </c>
      <c r="F18" s="2"/>
      <c r="G18" s="7" t="s">
        <v>492</v>
      </c>
      <c r="H18" s="4" t="s">
        <v>316</v>
      </c>
      <c r="I18" s="4" t="s">
        <v>317</v>
      </c>
      <c r="J18" s="6">
        <v>500</v>
      </c>
      <c r="K18" s="10">
        <v>500</v>
      </c>
      <c r="L18" s="10">
        <v>450</v>
      </c>
      <c r="M18" s="2"/>
      <c r="N18" s="2"/>
      <c r="O18" s="2">
        <v>908102</v>
      </c>
    </row>
    <row r="19" spans="1:15">
      <c r="A19" s="45">
        <f t="shared" si="0"/>
        <v>17</v>
      </c>
      <c r="B19" s="45" t="s">
        <v>253</v>
      </c>
      <c r="C19" s="1" t="s">
        <v>486</v>
      </c>
      <c r="D19" s="1" t="s">
        <v>486</v>
      </c>
      <c r="E19" s="10" t="s">
        <v>484</v>
      </c>
      <c r="F19" s="2"/>
      <c r="G19" s="7" t="s">
        <v>493</v>
      </c>
      <c r="H19" s="4" t="s">
        <v>320</v>
      </c>
      <c r="I19" s="4" t="s">
        <v>321</v>
      </c>
      <c r="J19" s="6">
        <v>500</v>
      </c>
      <c r="K19" s="10">
        <v>500</v>
      </c>
      <c r="L19" s="10">
        <v>500</v>
      </c>
      <c r="M19" s="2"/>
      <c r="N19" s="2"/>
      <c r="O19" s="2">
        <v>908102</v>
      </c>
    </row>
    <row r="20" spans="1:15">
      <c r="A20" s="45">
        <f t="shared" si="0"/>
        <v>18</v>
      </c>
      <c r="B20" s="45" t="s">
        <v>253</v>
      </c>
      <c r="C20" s="1" t="s">
        <v>486</v>
      </c>
      <c r="D20" s="1" t="s">
        <v>488</v>
      </c>
      <c r="E20" s="10" t="s">
        <v>484</v>
      </c>
      <c r="F20" s="2"/>
      <c r="G20" s="7" t="s">
        <v>494</v>
      </c>
      <c r="H20" s="4" t="s">
        <v>325</v>
      </c>
      <c r="I20" s="4" t="s">
        <v>326</v>
      </c>
      <c r="J20" s="6">
        <v>500</v>
      </c>
      <c r="K20" s="10">
        <v>500</v>
      </c>
      <c r="L20" s="10">
        <v>550</v>
      </c>
      <c r="M20" s="2"/>
      <c r="N20" s="2"/>
      <c r="O20" s="2">
        <v>908102</v>
      </c>
    </row>
    <row r="21" spans="1:15">
      <c r="A21" s="45">
        <f t="shared" si="0"/>
        <v>19</v>
      </c>
      <c r="B21" s="45" t="s">
        <v>253</v>
      </c>
      <c r="C21" s="1" t="s">
        <v>488</v>
      </c>
      <c r="D21" s="1" t="s">
        <v>483</v>
      </c>
      <c r="E21" s="10" t="s">
        <v>484</v>
      </c>
      <c r="F21" s="2"/>
      <c r="G21" s="7" t="s">
        <v>495</v>
      </c>
      <c r="H21" s="4" t="s">
        <v>328</v>
      </c>
      <c r="I21" s="4" t="s">
        <v>329</v>
      </c>
      <c r="J21" s="6">
        <v>500</v>
      </c>
      <c r="K21" s="10">
        <v>550</v>
      </c>
      <c r="L21" s="10">
        <v>450</v>
      </c>
      <c r="M21" s="2"/>
      <c r="N21" s="2"/>
      <c r="O21" s="2">
        <v>908103</v>
      </c>
    </row>
    <row r="22" spans="1:15">
      <c r="A22" s="45">
        <f t="shared" si="0"/>
        <v>20</v>
      </c>
      <c r="B22" s="45" t="s">
        <v>253</v>
      </c>
      <c r="C22" s="1" t="s">
        <v>488</v>
      </c>
      <c r="D22" s="1" t="s">
        <v>483</v>
      </c>
      <c r="E22" s="10" t="s">
        <v>484</v>
      </c>
      <c r="F22" s="2"/>
      <c r="G22" s="7" t="s">
        <v>496</v>
      </c>
      <c r="H22" s="4" t="s">
        <v>331</v>
      </c>
      <c r="I22" s="4" t="s">
        <v>332</v>
      </c>
      <c r="J22" s="6">
        <v>500</v>
      </c>
      <c r="K22" s="10">
        <v>550</v>
      </c>
      <c r="L22" s="10">
        <v>500</v>
      </c>
      <c r="M22" s="2"/>
      <c r="N22" s="2"/>
      <c r="O22" s="2">
        <v>908103</v>
      </c>
    </row>
    <row r="23" spans="1:15">
      <c r="A23" s="45">
        <f t="shared" si="0"/>
        <v>21</v>
      </c>
      <c r="B23" s="45" t="s">
        <v>253</v>
      </c>
      <c r="C23" s="1" t="s">
        <v>488</v>
      </c>
      <c r="D23" s="1" t="s">
        <v>483</v>
      </c>
      <c r="E23" s="10" t="s">
        <v>484</v>
      </c>
      <c r="F23" s="2"/>
      <c r="G23" s="7" t="s">
        <v>497</v>
      </c>
      <c r="H23" s="4" t="s">
        <v>335</v>
      </c>
      <c r="I23" s="4" t="s">
        <v>336</v>
      </c>
      <c r="J23" s="6">
        <v>500</v>
      </c>
      <c r="K23" s="10">
        <v>600</v>
      </c>
      <c r="L23" s="10">
        <v>550</v>
      </c>
      <c r="M23" s="2"/>
      <c r="N23" s="2"/>
      <c r="O23" s="2">
        <v>908104</v>
      </c>
    </row>
    <row r="24" spans="1:15">
      <c r="A24" s="45">
        <f t="shared" si="0"/>
        <v>22</v>
      </c>
      <c r="B24" s="45" t="s">
        <v>253</v>
      </c>
      <c r="C24" s="1" t="s">
        <v>488</v>
      </c>
      <c r="D24" s="1" t="s">
        <v>486</v>
      </c>
      <c r="E24" s="10" t="s">
        <v>484</v>
      </c>
      <c r="F24" s="2"/>
      <c r="G24" s="7" t="s">
        <v>498</v>
      </c>
      <c r="H24" s="4" t="s">
        <v>339</v>
      </c>
      <c r="I24" s="4" t="s">
        <v>340</v>
      </c>
      <c r="J24" s="6">
        <v>500</v>
      </c>
      <c r="K24" s="10">
        <v>550</v>
      </c>
      <c r="L24" s="10">
        <v>550</v>
      </c>
      <c r="M24" s="2"/>
      <c r="N24" s="2"/>
      <c r="O24" s="2">
        <v>908103</v>
      </c>
    </row>
    <row r="25" spans="1:15">
      <c r="A25" s="45">
        <f t="shared" si="0"/>
        <v>23</v>
      </c>
      <c r="B25" s="45" t="s">
        <v>253</v>
      </c>
      <c r="C25" s="1" t="s">
        <v>488</v>
      </c>
      <c r="D25" s="1" t="s">
        <v>488</v>
      </c>
      <c r="E25" s="10" t="s">
        <v>484</v>
      </c>
      <c r="F25" s="2"/>
      <c r="G25" s="7" t="s">
        <v>499</v>
      </c>
      <c r="H25" s="4" t="s">
        <v>342</v>
      </c>
      <c r="I25" s="4" t="s">
        <v>343</v>
      </c>
      <c r="J25" s="6">
        <v>500</v>
      </c>
      <c r="K25" s="10">
        <v>550</v>
      </c>
      <c r="L25" s="10">
        <v>600</v>
      </c>
      <c r="M25" s="2"/>
      <c r="N25" s="2"/>
      <c r="O25" s="2">
        <v>908103</v>
      </c>
    </row>
    <row r="26" spans="1:15">
      <c r="A26" s="45">
        <f t="shared" si="0"/>
        <v>24</v>
      </c>
      <c r="B26" s="45" t="s">
        <v>253</v>
      </c>
      <c r="C26" s="1" t="s">
        <v>483</v>
      </c>
      <c r="D26" s="1" t="s">
        <v>483</v>
      </c>
      <c r="E26" s="2" t="s">
        <v>345</v>
      </c>
      <c r="F26" s="2"/>
      <c r="G26" s="12" t="s">
        <v>346</v>
      </c>
      <c r="H26" s="4" t="s">
        <v>347</v>
      </c>
      <c r="I26" s="4" t="s">
        <v>348</v>
      </c>
      <c r="J26" s="6">
        <v>500</v>
      </c>
      <c r="K26" s="2">
        <v>450</v>
      </c>
      <c r="L26" s="2"/>
      <c r="M26" s="2">
        <v>50</v>
      </c>
      <c r="N26" s="2"/>
      <c r="O26" s="2">
        <v>908101</v>
      </c>
    </row>
    <row r="27" spans="1:15">
      <c r="A27" s="45">
        <f t="shared" si="0"/>
        <v>25</v>
      </c>
      <c r="B27" s="45" t="s">
        <v>253</v>
      </c>
      <c r="C27" s="1" t="s">
        <v>486</v>
      </c>
      <c r="D27" s="1" t="s">
        <v>483</v>
      </c>
      <c r="E27" s="2" t="s">
        <v>345</v>
      </c>
      <c r="F27" s="2"/>
      <c r="G27" s="12" t="s">
        <v>350</v>
      </c>
      <c r="H27" s="4" t="s">
        <v>351</v>
      </c>
      <c r="I27" s="4" t="s">
        <v>352</v>
      </c>
      <c r="J27" s="6">
        <v>500</v>
      </c>
      <c r="K27" s="2">
        <v>500</v>
      </c>
      <c r="L27" s="2"/>
      <c r="M27" s="2">
        <v>50</v>
      </c>
      <c r="N27" s="2"/>
      <c r="O27" s="2">
        <v>908102</v>
      </c>
    </row>
    <row r="28" spans="1:15">
      <c r="A28" s="45">
        <f t="shared" si="0"/>
        <v>26</v>
      </c>
      <c r="B28" s="45" t="s">
        <v>253</v>
      </c>
      <c r="C28" s="1" t="s">
        <v>500</v>
      </c>
      <c r="D28" s="1" t="s">
        <v>483</v>
      </c>
      <c r="E28" s="2" t="s">
        <v>345</v>
      </c>
      <c r="F28" s="2"/>
      <c r="G28" s="12" t="s">
        <v>353</v>
      </c>
      <c r="H28" s="4" t="s">
        <v>354</v>
      </c>
      <c r="I28" s="4" t="s">
        <v>355</v>
      </c>
      <c r="J28" s="6">
        <v>500</v>
      </c>
      <c r="K28" s="2">
        <v>550</v>
      </c>
      <c r="L28" s="2"/>
      <c r="M28" s="2">
        <v>50</v>
      </c>
      <c r="N28" s="2"/>
      <c r="O28" s="2">
        <v>908103</v>
      </c>
    </row>
    <row r="29" spans="1:15">
      <c r="A29" s="45">
        <f t="shared" si="0"/>
        <v>27</v>
      </c>
      <c r="B29" s="45" t="s">
        <v>253</v>
      </c>
      <c r="C29" s="1" t="s">
        <v>483</v>
      </c>
      <c r="D29" s="1" t="s">
        <v>483</v>
      </c>
      <c r="E29" s="2" t="s">
        <v>356</v>
      </c>
      <c r="F29" s="2"/>
      <c r="G29" s="12" t="s">
        <v>357</v>
      </c>
      <c r="H29" s="4" t="s">
        <v>358</v>
      </c>
      <c r="I29" s="4" t="s">
        <v>359</v>
      </c>
      <c r="J29" s="6">
        <v>500</v>
      </c>
      <c r="K29" s="2">
        <v>450</v>
      </c>
      <c r="L29" s="2"/>
      <c r="M29" s="2">
        <v>10</v>
      </c>
      <c r="N29" s="2"/>
      <c r="O29" s="2">
        <v>908101</v>
      </c>
    </row>
    <row r="30" spans="1:15">
      <c r="A30" s="45">
        <f t="shared" si="0"/>
        <v>28</v>
      </c>
      <c r="B30" s="45" t="s">
        <v>253</v>
      </c>
      <c r="C30" s="1" t="s">
        <v>486</v>
      </c>
      <c r="D30" s="1" t="s">
        <v>483</v>
      </c>
      <c r="E30" s="2" t="s">
        <v>356</v>
      </c>
      <c r="F30" s="2"/>
      <c r="G30" s="12" t="s">
        <v>360</v>
      </c>
      <c r="H30" s="4" t="s">
        <v>361</v>
      </c>
      <c r="I30" s="4" t="s">
        <v>362</v>
      </c>
      <c r="J30" s="6">
        <v>500</v>
      </c>
      <c r="K30" s="2">
        <v>500</v>
      </c>
      <c r="L30" s="2"/>
      <c r="M30" s="2">
        <v>10</v>
      </c>
      <c r="N30" s="2"/>
      <c r="O30" s="2">
        <v>908102</v>
      </c>
    </row>
    <row r="31" spans="1:15">
      <c r="A31" s="45">
        <f t="shared" si="0"/>
        <v>29</v>
      </c>
      <c r="B31" s="45" t="s">
        <v>253</v>
      </c>
      <c r="C31" s="1" t="s">
        <v>500</v>
      </c>
      <c r="D31" s="1" t="s">
        <v>483</v>
      </c>
      <c r="E31" s="2" t="s">
        <v>356</v>
      </c>
      <c r="F31" s="2"/>
      <c r="G31" s="12" t="s">
        <v>363</v>
      </c>
      <c r="H31" s="4" t="s">
        <v>364</v>
      </c>
      <c r="I31" s="4" t="s">
        <v>365</v>
      </c>
      <c r="J31" s="6">
        <v>500</v>
      </c>
      <c r="K31" s="2">
        <v>550</v>
      </c>
      <c r="L31" s="2"/>
      <c r="M31" s="2">
        <v>10</v>
      </c>
      <c r="N31" s="2"/>
      <c r="O31" s="2">
        <v>908103</v>
      </c>
    </row>
    <row r="32" spans="1:15">
      <c r="A32" s="45">
        <f t="shared" si="0"/>
        <v>30</v>
      </c>
      <c r="B32" s="45" t="s">
        <v>253</v>
      </c>
      <c r="C32" s="1" t="s">
        <v>483</v>
      </c>
      <c r="D32" s="1" t="s">
        <v>483</v>
      </c>
      <c r="E32" s="2" t="s">
        <v>501</v>
      </c>
      <c r="F32" s="2">
        <v>50</v>
      </c>
      <c r="G32" s="12" t="s">
        <v>368</v>
      </c>
      <c r="H32" s="4" t="s">
        <v>369</v>
      </c>
      <c r="I32" s="4" t="s">
        <v>370</v>
      </c>
      <c r="J32" s="6">
        <v>500</v>
      </c>
      <c r="K32" s="2">
        <v>450</v>
      </c>
      <c r="L32" s="2"/>
      <c r="M32" s="2"/>
      <c r="N32" s="2"/>
      <c r="O32" s="2">
        <v>908101</v>
      </c>
    </row>
    <row r="33" spans="1:15">
      <c r="A33" s="45">
        <f t="shared" si="0"/>
        <v>31</v>
      </c>
      <c r="B33" s="45" t="s">
        <v>253</v>
      </c>
      <c r="C33" s="1" t="s">
        <v>486</v>
      </c>
      <c r="D33" s="1" t="s">
        <v>483</v>
      </c>
      <c r="E33" s="2" t="s">
        <v>501</v>
      </c>
      <c r="F33" s="2">
        <v>50</v>
      </c>
      <c r="G33" s="12" t="s">
        <v>374</v>
      </c>
      <c r="H33" s="4" t="s">
        <v>375</v>
      </c>
      <c r="I33" s="4" t="s">
        <v>376</v>
      </c>
      <c r="J33" s="6">
        <v>500</v>
      </c>
      <c r="K33" s="2">
        <v>500</v>
      </c>
      <c r="L33" s="2"/>
      <c r="M33" s="2"/>
      <c r="N33" s="2"/>
      <c r="O33" s="2">
        <v>908102</v>
      </c>
    </row>
    <row r="34" spans="1:15">
      <c r="A34" s="45">
        <f t="shared" si="0"/>
        <v>32</v>
      </c>
      <c r="B34" s="45" t="s">
        <v>253</v>
      </c>
      <c r="C34" s="1" t="s">
        <v>500</v>
      </c>
      <c r="D34" s="1" t="s">
        <v>483</v>
      </c>
      <c r="E34" s="2" t="s">
        <v>501</v>
      </c>
      <c r="F34" s="2">
        <v>50</v>
      </c>
      <c r="G34" s="12" t="s">
        <v>502</v>
      </c>
      <c r="H34" s="4" t="s">
        <v>379</v>
      </c>
      <c r="I34" s="4" t="s">
        <v>380</v>
      </c>
      <c r="J34" s="6">
        <v>500</v>
      </c>
      <c r="K34" s="2">
        <v>550</v>
      </c>
      <c r="L34" s="2"/>
      <c r="M34" s="2"/>
      <c r="N34" s="2"/>
      <c r="O34" s="2">
        <v>908103</v>
      </c>
    </row>
    <row r="35" spans="1:15">
      <c r="A35" s="45">
        <f t="shared" si="0"/>
        <v>33</v>
      </c>
      <c r="B35" s="45" t="s">
        <v>253</v>
      </c>
      <c r="C35" s="1" t="s">
        <v>483</v>
      </c>
      <c r="D35" s="1" t="s">
        <v>483</v>
      </c>
      <c r="E35" s="2" t="s">
        <v>503</v>
      </c>
      <c r="F35" s="2">
        <v>10</v>
      </c>
      <c r="G35" s="12" t="s">
        <v>382</v>
      </c>
      <c r="H35" s="4" t="s">
        <v>383</v>
      </c>
      <c r="I35" s="4" t="s">
        <v>384</v>
      </c>
      <c r="J35" s="6">
        <v>500</v>
      </c>
      <c r="K35" s="2">
        <v>450</v>
      </c>
      <c r="L35" s="2"/>
      <c r="M35" s="2"/>
      <c r="N35" s="2"/>
      <c r="O35" s="2">
        <v>908101</v>
      </c>
    </row>
    <row r="36" spans="1:15">
      <c r="A36" s="45">
        <f t="shared" si="0"/>
        <v>34</v>
      </c>
      <c r="B36" s="45" t="s">
        <v>253</v>
      </c>
      <c r="C36" s="1" t="s">
        <v>486</v>
      </c>
      <c r="D36" s="1" t="s">
        <v>483</v>
      </c>
      <c r="E36" s="2" t="s">
        <v>503</v>
      </c>
      <c r="F36" s="2">
        <v>10</v>
      </c>
      <c r="G36" s="12" t="s">
        <v>387</v>
      </c>
      <c r="H36" s="4" t="s">
        <v>388</v>
      </c>
      <c r="I36" s="4" t="s">
        <v>389</v>
      </c>
      <c r="J36" s="6">
        <v>500</v>
      </c>
      <c r="K36" s="2">
        <v>500</v>
      </c>
      <c r="L36" s="2"/>
      <c r="M36" s="2"/>
      <c r="N36" s="2"/>
      <c r="O36" s="2">
        <v>908102</v>
      </c>
    </row>
    <row r="37" spans="1:15">
      <c r="A37" s="45">
        <f t="shared" si="0"/>
        <v>35</v>
      </c>
      <c r="B37" s="45" t="s">
        <v>253</v>
      </c>
      <c r="C37" s="1" t="s">
        <v>500</v>
      </c>
      <c r="D37" s="1" t="s">
        <v>483</v>
      </c>
      <c r="E37" s="2" t="s">
        <v>503</v>
      </c>
      <c r="F37" s="2">
        <v>10</v>
      </c>
      <c r="G37" s="12" t="s">
        <v>504</v>
      </c>
      <c r="H37" s="4" t="s">
        <v>391</v>
      </c>
      <c r="I37" s="4" t="s">
        <v>392</v>
      </c>
      <c r="J37" s="6">
        <v>500</v>
      </c>
      <c r="K37" s="2">
        <v>550</v>
      </c>
      <c r="L37" s="2"/>
      <c r="M37" s="2"/>
      <c r="N37" s="2"/>
      <c r="O37" s="2">
        <v>908103</v>
      </c>
    </row>
    <row r="38" spans="1:15">
      <c r="A38" s="45">
        <f t="shared" si="0"/>
        <v>36</v>
      </c>
      <c r="B38" s="45" t="s">
        <v>253</v>
      </c>
      <c r="C38" s="1" t="s">
        <v>483</v>
      </c>
      <c r="D38" s="1" t="s">
        <v>483</v>
      </c>
      <c r="E38" s="2" t="s">
        <v>394</v>
      </c>
      <c r="F38" s="2"/>
      <c r="G38" s="12" t="s">
        <v>505</v>
      </c>
      <c r="H38" s="4" t="s">
        <v>396</v>
      </c>
      <c r="I38" s="4" t="s">
        <v>397</v>
      </c>
      <c r="J38" s="6">
        <v>500</v>
      </c>
      <c r="K38" s="2">
        <v>450</v>
      </c>
      <c r="L38" s="2"/>
      <c r="M38" s="2"/>
      <c r="N38" s="2">
        <v>10</v>
      </c>
      <c r="O38" s="2">
        <v>908101</v>
      </c>
    </row>
    <row r="39" spans="1:15">
      <c r="A39" s="45">
        <f t="shared" si="0"/>
        <v>37</v>
      </c>
      <c r="B39" s="45" t="s">
        <v>253</v>
      </c>
      <c r="C39" s="1" t="s">
        <v>486</v>
      </c>
      <c r="D39" s="1" t="s">
        <v>483</v>
      </c>
      <c r="E39" s="2" t="s">
        <v>394</v>
      </c>
      <c r="F39" s="2"/>
      <c r="G39" s="12" t="s">
        <v>506</v>
      </c>
      <c r="H39" s="4" t="s">
        <v>399</v>
      </c>
      <c r="I39" s="4" t="s">
        <v>400</v>
      </c>
      <c r="J39" s="6">
        <v>500</v>
      </c>
      <c r="K39" s="2">
        <v>500</v>
      </c>
      <c r="L39" s="2"/>
      <c r="M39" s="2"/>
      <c r="N39" s="2">
        <v>10</v>
      </c>
      <c r="O39" s="2">
        <v>908102</v>
      </c>
    </row>
    <row r="40" spans="1:15">
      <c r="A40" s="45">
        <f t="shared" si="0"/>
        <v>38</v>
      </c>
      <c r="B40" s="45" t="s">
        <v>253</v>
      </c>
      <c r="C40" s="1" t="s">
        <v>500</v>
      </c>
      <c r="D40" s="1" t="s">
        <v>483</v>
      </c>
      <c r="E40" s="2" t="s">
        <v>394</v>
      </c>
      <c r="F40" s="2"/>
      <c r="G40" s="12" t="s">
        <v>507</v>
      </c>
      <c r="H40" s="4" t="s">
        <v>402</v>
      </c>
      <c r="I40" s="4" t="s">
        <v>403</v>
      </c>
      <c r="J40" s="6">
        <v>500</v>
      </c>
      <c r="K40" s="2">
        <v>550</v>
      </c>
      <c r="L40" s="2"/>
      <c r="M40" s="2"/>
      <c r="N40" s="2">
        <v>10</v>
      </c>
      <c r="O40" s="2">
        <v>908103</v>
      </c>
    </row>
    <row r="41" spans="1:15">
      <c r="A41" s="45">
        <f t="shared" si="0"/>
        <v>39</v>
      </c>
      <c r="B41" s="45" t="s">
        <v>253</v>
      </c>
      <c r="C41" s="1" t="s">
        <v>483</v>
      </c>
      <c r="D41" s="1" t="s">
        <v>483</v>
      </c>
      <c r="E41" s="2" t="s">
        <v>508</v>
      </c>
      <c r="F41" s="2"/>
      <c r="G41" s="12" t="s">
        <v>509</v>
      </c>
      <c r="H41" s="4" t="s">
        <v>406</v>
      </c>
      <c r="I41" s="4" t="s">
        <v>407</v>
      </c>
      <c r="J41" s="6">
        <v>500</v>
      </c>
      <c r="K41" s="2">
        <v>450</v>
      </c>
      <c r="L41" s="2"/>
      <c r="M41" s="2"/>
      <c r="N41" s="2">
        <v>10</v>
      </c>
      <c r="O41" s="2">
        <v>908101</v>
      </c>
    </row>
    <row r="42" spans="1:15">
      <c r="A42" s="45">
        <f t="shared" si="0"/>
        <v>40</v>
      </c>
      <c r="B42" s="45" t="s">
        <v>253</v>
      </c>
      <c r="C42" s="1" t="s">
        <v>486</v>
      </c>
      <c r="D42" s="1" t="s">
        <v>483</v>
      </c>
      <c r="E42" s="2" t="s">
        <v>404</v>
      </c>
      <c r="F42" s="2"/>
      <c r="G42" s="12" t="s">
        <v>510</v>
      </c>
      <c r="H42" s="4" t="s">
        <v>410</v>
      </c>
      <c r="I42" s="4" t="s">
        <v>411</v>
      </c>
      <c r="J42" s="6">
        <v>500</v>
      </c>
      <c r="K42" s="2">
        <v>500</v>
      </c>
      <c r="L42" s="2"/>
      <c r="M42" s="2"/>
      <c r="N42" s="2">
        <v>10</v>
      </c>
      <c r="O42" s="2">
        <v>908102</v>
      </c>
    </row>
    <row r="43" spans="1:15">
      <c r="A43" s="45">
        <f t="shared" si="0"/>
        <v>41</v>
      </c>
      <c r="B43" s="45" t="s">
        <v>253</v>
      </c>
      <c r="C43" s="1" t="s">
        <v>500</v>
      </c>
      <c r="D43" s="1" t="s">
        <v>483</v>
      </c>
      <c r="E43" s="2" t="s">
        <v>404</v>
      </c>
      <c r="F43" s="2"/>
      <c r="G43" s="12" t="s">
        <v>511</v>
      </c>
      <c r="H43" s="4" t="s">
        <v>413</v>
      </c>
      <c r="I43" s="4" t="s">
        <v>414</v>
      </c>
      <c r="J43" s="6">
        <v>500</v>
      </c>
      <c r="K43" s="2">
        <v>550</v>
      </c>
      <c r="L43" s="2"/>
      <c r="M43" s="2"/>
      <c r="N43" s="2">
        <v>10</v>
      </c>
      <c r="O43" s="2">
        <v>908103</v>
      </c>
    </row>
    <row r="44" spans="1:15">
      <c r="A44" s="45">
        <f t="shared" si="0"/>
        <v>42</v>
      </c>
      <c r="B44" s="45" t="s">
        <v>253</v>
      </c>
      <c r="C44" s="1" t="s">
        <v>483</v>
      </c>
      <c r="D44" s="1" t="s">
        <v>483</v>
      </c>
      <c r="E44" s="2" t="s">
        <v>415</v>
      </c>
      <c r="F44" s="2"/>
      <c r="G44" s="12" t="s">
        <v>512</v>
      </c>
      <c r="H44" s="4" t="s">
        <v>417</v>
      </c>
      <c r="I44" s="4" t="s">
        <v>418</v>
      </c>
      <c r="J44" s="6">
        <v>500</v>
      </c>
      <c r="K44" s="2">
        <v>450</v>
      </c>
      <c r="L44" s="2"/>
      <c r="M44" s="2"/>
      <c r="N44" s="2">
        <v>5</v>
      </c>
      <c r="O44" s="2">
        <v>908101</v>
      </c>
    </row>
    <row r="45" spans="1:15">
      <c r="A45" s="45">
        <f t="shared" si="0"/>
        <v>43</v>
      </c>
      <c r="B45" s="45" t="s">
        <v>253</v>
      </c>
      <c r="C45" s="1" t="s">
        <v>486</v>
      </c>
      <c r="D45" s="1" t="s">
        <v>483</v>
      </c>
      <c r="E45" s="2" t="s">
        <v>415</v>
      </c>
      <c r="F45" s="2"/>
      <c r="G45" s="12" t="s">
        <v>513</v>
      </c>
      <c r="H45" s="4" t="s">
        <v>424</v>
      </c>
      <c r="I45" s="4" t="s">
        <v>425</v>
      </c>
      <c r="J45" s="6">
        <v>500</v>
      </c>
      <c r="K45" s="2">
        <v>500</v>
      </c>
      <c r="L45" s="2"/>
      <c r="M45" s="2"/>
      <c r="N45" s="2">
        <v>5</v>
      </c>
      <c r="O45" s="2">
        <v>908102</v>
      </c>
    </row>
    <row r="46" spans="1:15">
      <c r="A46" s="45">
        <f t="shared" si="0"/>
        <v>44</v>
      </c>
      <c r="B46" s="45" t="s">
        <v>253</v>
      </c>
      <c r="C46" s="1" t="s">
        <v>500</v>
      </c>
      <c r="D46" s="1" t="s">
        <v>483</v>
      </c>
      <c r="E46" s="2" t="s">
        <v>415</v>
      </c>
      <c r="F46" s="2"/>
      <c r="G46" s="12" t="s">
        <v>514</v>
      </c>
      <c r="H46" s="4" t="s">
        <v>427</v>
      </c>
      <c r="I46" s="4" t="s">
        <v>428</v>
      </c>
      <c r="J46" s="6">
        <v>500</v>
      </c>
      <c r="K46" s="2">
        <v>550</v>
      </c>
      <c r="L46" s="2"/>
      <c r="M46" s="2"/>
      <c r="N46" s="2">
        <v>5</v>
      </c>
      <c r="O46" s="2">
        <v>908103</v>
      </c>
    </row>
  </sheetData>
  <autoFilter ref="A2:P2" xr:uid="{00000000-0009-0000-0000-000004000000}"/>
  <mergeCells count="15">
    <mergeCell ref="L1:L2"/>
    <mergeCell ref="M1:M2"/>
    <mergeCell ref="N1:N2"/>
    <mergeCell ref="D1:D2"/>
    <mergeCell ref="O1:O2"/>
    <mergeCell ref="G1:G2"/>
    <mergeCell ref="H1:H2"/>
    <mergeCell ref="I1:I2"/>
    <mergeCell ref="J1:J2"/>
    <mergeCell ref="K1:K2"/>
    <mergeCell ref="A1:A2"/>
    <mergeCell ref="B1:B2"/>
    <mergeCell ref="C1:C2"/>
    <mergeCell ref="E1:E2"/>
    <mergeCell ref="F1:F2"/>
  </mergeCells>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Props1.xml><?xml version="1.0" encoding="utf-8"?>
<ds:datastoreItem xmlns:ds="http://schemas.openxmlformats.org/officeDocument/2006/customXml" ds:itemID="{256DEDD9-7FD5-4869-ACAA-F13167F95E8E}"/>
</file>

<file path=customXml/itemProps2.xml><?xml version="1.0" encoding="utf-8"?>
<ds:datastoreItem xmlns:ds="http://schemas.openxmlformats.org/officeDocument/2006/customXml" ds:itemID="{1455F404-1855-4F5E-907F-DAC40DA5E057}"/>
</file>

<file path=customXml/itemProps3.xml><?xml version="1.0" encoding="utf-8"?>
<ds:datastoreItem xmlns:ds="http://schemas.openxmlformats.org/officeDocument/2006/customXml" ds:itemID="{A5F0A9E3-18EE-4704-A02C-06BF5C86F60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KTC</dc:creator>
  <cp:keywords/>
  <dc:description/>
  <cp:lastModifiedBy>内田  文子</cp:lastModifiedBy>
  <cp:revision/>
  <dcterms:created xsi:type="dcterms:W3CDTF">2020-05-01T02:17:13Z</dcterms:created>
  <dcterms:modified xsi:type="dcterms:W3CDTF">2023-11-24T08:46:49Z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