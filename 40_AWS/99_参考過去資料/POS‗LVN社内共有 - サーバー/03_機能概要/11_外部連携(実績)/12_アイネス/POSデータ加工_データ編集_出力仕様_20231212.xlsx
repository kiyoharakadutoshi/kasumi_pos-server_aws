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00\産業事一般\project\カスミ\商談中\99999999_POSデータ加工システム最新資料\20250205_POSデータ加工_次期ストコン対応\02.打合せ、提示資料\20250205_toカスミ\"/>
    </mc:Choice>
  </mc:AlternateContent>
  <xr:revisionPtr revIDLastSave="35" documentId="13_ncr:1_{93F15A0C-5FDA-44EE-AA48-6CC7D116386C}" xr6:coauthVersionLast="47" xr6:coauthVersionMax="47" xr10:uidLastSave="{F1FCA20B-A9E5-4114-B476-498E88E93E57}"/>
  <bookViews>
    <workbookView xWindow="-120" yWindow="-120" windowWidth="29040" windowHeight="15840" xr2:uid="{00000000-000D-0000-FFFF-FFFF00000000}"/>
  </bookViews>
  <sheets>
    <sheet name="マッピング仕様" sheetId="1" r:id="rId1"/>
    <sheet name="分析用出力項目(イグニカ用)" sheetId="4" r:id="rId2"/>
    <sheet name="分析用出力項目(既存用)" sheetId="2" r:id="rId3"/>
  </sheets>
  <definedNames>
    <definedName name="_xlnm.Print_Titles" localSheetId="0">マッピング仕様!$1:$4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4" l="1"/>
  <c r="D52" i="4"/>
  <c r="D51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3" i="4"/>
  <c r="D21" i="4"/>
  <c r="D19" i="4"/>
  <c r="D17" i="4"/>
  <c r="D16" i="4"/>
  <c r="D15" i="4"/>
  <c r="D13" i="4"/>
  <c r="D11" i="4"/>
  <c r="D7" i="4"/>
  <c r="D4" i="4"/>
  <c r="D3" i="4"/>
  <c r="D60" i="2"/>
  <c r="D52" i="2"/>
  <c r="D51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3" i="2"/>
  <c r="D21" i="2"/>
  <c r="D19" i="2"/>
  <c r="D17" i="2"/>
  <c r="D16" i="2"/>
  <c r="D15" i="2"/>
  <c r="D13" i="2"/>
  <c r="D11" i="2"/>
  <c r="D7" i="2"/>
  <c r="D4" i="2"/>
  <c r="D3" i="2"/>
</calcChain>
</file>

<file path=xl/sharedStrings.xml><?xml version="1.0" encoding="utf-8"?>
<sst xmlns="http://schemas.openxmlformats.org/spreadsheetml/2006/main" count="964" uniqueCount="315">
  <si>
    <t>POSデータ加工システムの項目マッピング</t>
    <rPh sb="6" eb="8">
      <t>カコウ</t>
    </rPh>
    <rPh sb="13" eb="15">
      <t>コウモク</t>
    </rPh>
    <phoneticPr fontId="2"/>
  </si>
  <si>
    <t>2023/12/12 INES</t>
    <phoneticPr fontId="2"/>
  </si>
  <si>
    <t>POSデータ加工システム</t>
    <rPh sb="6" eb="8">
      <t>カコウ</t>
    </rPh>
    <phoneticPr fontId="2"/>
  </si>
  <si>
    <t>POSジャーナルデータ</t>
    <phoneticPr fontId="2"/>
  </si>
  <si>
    <t>その他</t>
    <rPh sb="2" eb="3">
      <t>タ</t>
    </rPh>
    <phoneticPr fontId="2"/>
  </si>
  <si>
    <t>No.</t>
    <phoneticPr fontId="2"/>
  </si>
  <si>
    <t>協賛金
用</t>
    <rPh sb="0" eb="3">
      <t>キョウサンキン</t>
    </rPh>
    <rPh sb="4" eb="5">
      <t>ヨウ</t>
    </rPh>
    <phoneticPr fontId="2"/>
  </si>
  <si>
    <t>分析
既存用</t>
    <rPh sb="0" eb="2">
      <t>ブンセキ</t>
    </rPh>
    <rPh sb="3" eb="5">
      <t>キゾン</t>
    </rPh>
    <rPh sb="5" eb="6">
      <t>ヨウ</t>
    </rPh>
    <phoneticPr fontId="2"/>
  </si>
  <si>
    <t>分析
ｲｸﾞﾆｶ用</t>
    <rPh sb="0" eb="2">
      <t>ブンセキ</t>
    </rPh>
    <rPh sb="8" eb="9">
      <t>ヨウ</t>
    </rPh>
    <phoneticPr fontId="2"/>
  </si>
  <si>
    <t>論理名　</t>
    <rPh sb="0" eb="2">
      <t>ロンリ</t>
    </rPh>
    <rPh sb="2" eb="3">
      <t>メイ</t>
    </rPh>
    <phoneticPr fontId="2"/>
  </si>
  <si>
    <t>物理名</t>
    <rPh sb="0" eb="2">
      <t>ブツリ</t>
    </rPh>
    <rPh sb="2" eb="3">
      <t>メイ</t>
    </rPh>
    <phoneticPr fontId="2"/>
  </si>
  <si>
    <t>ttllog</t>
    <phoneticPr fontId="2"/>
  </si>
  <si>
    <t>itemlog</t>
  </si>
  <si>
    <t>crdtact</t>
  </si>
  <si>
    <t>○</t>
    <phoneticPr fontId="2"/>
  </si>
  <si>
    <t>店舗No</t>
    <rPh sb="0" eb="2">
      <t>テンポ</t>
    </rPh>
    <phoneticPr fontId="1"/>
  </si>
  <si>
    <t>stre_cd</t>
  </si>
  <si>
    <t>○</t>
  </si>
  <si>
    <t>レジNo</t>
  </si>
  <si>
    <t>mac_no</t>
  </si>
  <si>
    <t>○
(※1)</t>
    <phoneticPr fontId="2"/>
  </si>
  <si>
    <t>取引レシートNo</t>
    <rPh sb="0" eb="2">
      <t>トリヒキ</t>
    </rPh>
    <phoneticPr fontId="1"/>
  </si>
  <si>
    <t>receipt_no</t>
    <phoneticPr fontId="2"/>
  </si>
  <si>
    <t>receipt_no</t>
  </si>
  <si>
    <t>ジャーナルNo</t>
    <phoneticPr fontId="2"/>
  </si>
  <si>
    <t>print_no</t>
  </si>
  <si>
    <t>print_no</t>
    <phoneticPr fontId="2"/>
  </si>
  <si>
    <t>シーケンスNo</t>
  </si>
  <si>
    <t>seq_no</t>
  </si>
  <si>
    <t>営業日</t>
  </si>
  <si>
    <t>sale_date</t>
  </si>
  <si>
    <t>DATE(sale_date),</t>
    <phoneticPr fontId="2"/>
  </si>
  <si>
    <t>取引日付</t>
  </si>
  <si>
    <t>now_sale_date</t>
  </si>
  <si>
    <t>DATE(now_sale_datetime)</t>
    <phoneticPr fontId="2"/>
  </si>
  <si>
    <t>○
(※2）</t>
    <phoneticPr fontId="2"/>
  </si>
  <si>
    <t>○
(※2)</t>
    <phoneticPr fontId="2"/>
  </si>
  <si>
    <t>取引時刻</t>
  </si>
  <si>
    <t>now_sale_time</t>
  </si>
  <si>
    <t>DATE_FORMAT(now_sale_datetime, '%T')</t>
    <phoneticPr fontId="2"/>
  </si>
  <si>
    <t>取引曜日</t>
  </si>
  <si>
    <t>now_sale_day</t>
  </si>
  <si>
    <t xml:space="preserve">CASE WHEN DATE_FORMAT(sale_date, '%w') = '0'
     THEN 7
     ELSE DATE_FORMAT(sale_date, '%w')
</t>
    <phoneticPr fontId="2"/>
  </si>
  <si>
    <t>チェッカー</t>
  </si>
  <si>
    <t>chkr_no</t>
  </si>
  <si>
    <t>チェッカー名</t>
  </si>
  <si>
    <t>chkr_name</t>
  </si>
  <si>
    <t>Scan&amp;Goカードの会員番号の設定あり→ Scan＆GoアカウントID</t>
  </si>
  <si>
    <t>2023/07/11 Scan&amp;Goカード対応にて追記</t>
    <rPh sb="21" eb="23">
      <t>タイオウ</t>
    </rPh>
    <rPh sb="25" eb="27">
      <t>ツイキ</t>
    </rPh>
    <phoneticPr fontId="2"/>
  </si>
  <si>
    <t>キャッシャー</t>
  </si>
  <si>
    <t>cshr_no</t>
  </si>
  <si>
    <t>キャッシャー名</t>
  </si>
  <si>
    <t>cshr_name</t>
  </si>
  <si>
    <t>部門コード</t>
  </si>
  <si>
    <t>lrgcls_cd</t>
  </si>
  <si>
    <t>LPAD(lrgcls_cd, 2, '00')</t>
    <phoneticPr fontId="2"/>
  </si>
  <si>
    <t>品群コード</t>
    <rPh sb="0" eb="1">
      <t>ヒン</t>
    </rPh>
    <rPh sb="1" eb="2">
      <t>グン</t>
    </rPh>
    <phoneticPr fontId="1"/>
  </si>
  <si>
    <t>mdlcls_cd</t>
  </si>
  <si>
    <t>SUBSTRING(mdlcls_cd, -3)</t>
    <phoneticPr fontId="2"/>
  </si>
  <si>
    <t>品群名</t>
    <rPh sb="0" eb="1">
      <t>ヒン</t>
    </rPh>
    <rPh sb="1" eb="2">
      <t>グン</t>
    </rPh>
    <rPh sb="2" eb="3">
      <t>メイ</t>
    </rPh>
    <phoneticPr fontId="1"/>
  </si>
  <si>
    <t>mdlcls_name</t>
  </si>
  <si>
    <t xml:space="preserve">OC公開DBの品群マスタ
（MDBUNRUI2.bunrui2_mj）
</t>
    <rPh sb="2" eb="4">
      <t>コウカイ</t>
    </rPh>
    <rPh sb="7" eb="8">
      <t>ヒン</t>
    </rPh>
    <rPh sb="8" eb="9">
      <t>グン</t>
    </rPh>
    <phoneticPr fontId="2"/>
  </si>
  <si>
    <t>品種コード</t>
    <rPh sb="0" eb="2">
      <t>ヒンシュ</t>
    </rPh>
    <phoneticPr fontId="1"/>
  </si>
  <si>
    <t>smlcls_cd</t>
  </si>
  <si>
    <t>SUBSTRING(smlcls_cd, -3)</t>
    <phoneticPr fontId="2"/>
  </si>
  <si>
    <t>品種名</t>
    <rPh sb="0" eb="2">
      <t>ヒンシュ</t>
    </rPh>
    <rPh sb="2" eb="3">
      <t>メイ</t>
    </rPh>
    <phoneticPr fontId="1"/>
  </si>
  <si>
    <t>smlcls_name</t>
  </si>
  <si>
    <t xml:space="preserve">OC公開DBの品種マスタ
（MDBUNRUI3.bunrui3_mj）
</t>
    <rPh sb="2" eb="4">
      <t>コウカイ</t>
    </rPh>
    <rPh sb="7" eb="9">
      <t>ヒンシュ</t>
    </rPh>
    <phoneticPr fontId="2"/>
  </si>
  <si>
    <t>分類コード</t>
    <rPh sb="0" eb="2">
      <t>ブンルイ</t>
    </rPh>
    <phoneticPr fontId="1"/>
  </si>
  <si>
    <t>tnycls_cd</t>
  </si>
  <si>
    <t>SUBSTRING(tnycls_cd, -3)</t>
    <phoneticPr fontId="2"/>
  </si>
  <si>
    <t>分類名</t>
    <rPh sb="0" eb="2">
      <t>ブンルイ</t>
    </rPh>
    <rPh sb="2" eb="3">
      <t>メイ</t>
    </rPh>
    <phoneticPr fontId="1"/>
  </si>
  <si>
    <t>tnycls_name</t>
  </si>
  <si>
    <t xml:space="preserve">OC公開DBの分類マスタ
（MDBUNRUI4.bunrui4_mj）
</t>
    <rPh sb="2" eb="4">
      <t>コウカイ</t>
    </rPh>
    <rPh sb="7" eb="9">
      <t>ブンルイ</t>
    </rPh>
    <phoneticPr fontId="2"/>
  </si>
  <si>
    <t>PLUコード</t>
  </si>
  <si>
    <t>plu_cd</t>
  </si>
  <si>
    <t xml:space="preserve">CASE WHEN sku_cd &lt;&gt; '' THEN sku_cd
                       ELSE plu_cd1_2
</t>
    <phoneticPr fontId="2"/>
  </si>
  <si>
    <t>商品コード</t>
  </si>
  <si>
    <t>sku_cd</t>
  </si>
  <si>
    <t xml:space="preserve">OC公開DBのスキャンマスタ
（SASCAN_INFO.sku_code）
</t>
    <rPh sb="2" eb="4">
      <t>コウカイ</t>
    </rPh>
    <phoneticPr fontId="2"/>
  </si>
  <si>
    <t>商品名</t>
  </si>
  <si>
    <t>pos_name</t>
  </si>
  <si>
    <t xml:space="preserve">CASE WHEN rec_mthd_flg = '5' THEN '小計値引'
     WHEN rec_mthd_flg = '6' THEN '小計割引'
     WHEN IS NULL THEN 'USMHポイント'
     ELSE pos_name
</t>
    <phoneticPr fontId="2"/>
  </si>
  <si>
    <t xml:space="preserve">OC公開DBの商品マスタ
（SAITEM_INFO.item_mj）
に存在するときのみ置換
</t>
    <rPh sb="2" eb="4">
      <t>コウカイ</t>
    </rPh>
    <rPh sb="7" eb="9">
      <t>ショウヒン</t>
    </rPh>
    <rPh sb="36" eb="38">
      <t>ソンザイ</t>
    </rPh>
    <rPh sb="44" eb="45">
      <t>オ</t>
    </rPh>
    <rPh sb="45" eb="46">
      <t>カ</t>
    </rPh>
    <phoneticPr fontId="2"/>
  </si>
  <si>
    <t>レコード区分</t>
    <rPh sb="4" eb="6">
      <t>クブン</t>
    </rPh>
    <phoneticPr fontId="1"/>
  </si>
  <si>
    <t>rec_mthd_flg</t>
  </si>
  <si>
    <t>売価区分</t>
    <rPh sb="0" eb="2">
      <t>バイカ</t>
    </rPh>
    <rPh sb="2" eb="4">
      <t>クブン</t>
    </rPh>
    <phoneticPr fontId="1"/>
  </si>
  <si>
    <t>uuse_prc_flg</t>
  </si>
  <si>
    <t>金額内税</t>
    <rPh sb="2" eb="3">
      <t>ウチ</t>
    </rPh>
    <rPh sb="3" eb="4">
      <t>ゼイ</t>
    </rPh>
    <phoneticPr fontId="1"/>
  </si>
  <si>
    <t>act_nomi_in_prc</t>
  </si>
  <si>
    <r>
      <rPr>
        <sz val="10"/>
        <color rgb="FFFF0000"/>
        <rFont val="ＭＳ 明朝"/>
        <family val="1"/>
        <charset val="128"/>
      </rPr>
      <t>CASE WHEN rec_mthd_flg = '60' THEN 0
     ELSE</t>
    </r>
    <r>
      <rPr>
        <sz val="10"/>
        <color theme="1"/>
        <rFont val="ＭＳ 明朝"/>
        <family val="1"/>
        <charset val="128"/>
      </rPr>
      <t xml:space="preserve">
       CASE WHEN tax_typ = '0'
            THEN act_nomi_prc + ex_in_tax_amt
            ELSE act_nomi_in_prc
</t>
    </r>
    <phoneticPr fontId="2"/>
  </si>
  <si>
    <t>2023/12/12修正</t>
    <rPh sb="10" eb="12">
      <t>シュウセイ</t>
    </rPh>
    <phoneticPr fontId="2"/>
  </si>
  <si>
    <t>金額外税</t>
    <rPh sb="2" eb="3">
      <t>ソト</t>
    </rPh>
    <rPh sb="3" eb="4">
      <t>ゼイ</t>
    </rPh>
    <phoneticPr fontId="1"/>
  </si>
  <si>
    <t>act_nomi_prc</t>
  </si>
  <si>
    <r>
      <rPr>
        <sz val="10"/>
        <color rgb="FFFF0000"/>
        <rFont val="ＭＳ 明朝"/>
        <family val="1"/>
        <charset val="128"/>
      </rPr>
      <t>CASE WHEN rec_mthd_flg = '60' THEN 0
     ELSE</t>
    </r>
    <r>
      <rPr>
        <sz val="10"/>
        <color theme="1"/>
        <rFont val="ＭＳ 明朝"/>
        <family val="1"/>
        <charset val="128"/>
      </rPr>
      <t xml:space="preserve"> 
       act_nomi_prc
</t>
    </r>
    <phoneticPr fontId="2"/>
  </si>
  <si>
    <t>税区分</t>
    <rPh sb="0" eb="3">
      <t>ゼイクブン</t>
    </rPh>
    <phoneticPr fontId="1"/>
  </si>
  <si>
    <t>tax_typ</t>
  </si>
  <si>
    <t>tax_typ</t>
    <phoneticPr fontId="2"/>
  </si>
  <si>
    <t>数量</t>
    <rPh sb="0" eb="2">
      <t>スウリョウ</t>
    </rPh>
    <phoneticPr fontId="1"/>
  </si>
  <si>
    <t>item_ttl_qty</t>
  </si>
  <si>
    <t>単価値引前</t>
    <rPh sb="0" eb="2">
      <t>タンカ</t>
    </rPh>
    <rPh sb="2" eb="4">
      <t>ネビ</t>
    </rPh>
    <rPh sb="4" eb="5">
      <t>マエ</t>
    </rPh>
    <phoneticPr fontId="1"/>
  </si>
  <si>
    <t>uuse_prc</t>
  </si>
  <si>
    <t>単価値引後</t>
    <rPh sb="0" eb="2">
      <t>タンカ</t>
    </rPh>
    <rPh sb="2" eb="4">
      <t>ネビ</t>
    </rPh>
    <rPh sb="4" eb="5">
      <t>アト</t>
    </rPh>
    <phoneticPr fontId="1"/>
  </si>
  <si>
    <t>uuse_prc_aft</t>
  </si>
  <si>
    <t>uuse_prc - item_uprc_chg_prc</t>
    <phoneticPr fontId="2"/>
  </si>
  <si>
    <t>特売値引</t>
    <rPh sb="0" eb="2">
      <t>トクバイ</t>
    </rPh>
    <rPh sb="2" eb="4">
      <t>ネビ</t>
    </rPh>
    <phoneticPr fontId="1"/>
  </si>
  <si>
    <t>brgn_dsc_amt</t>
  </si>
  <si>
    <t>MM値引額</t>
    <rPh sb="2" eb="4">
      <t>ネビ</t>
    </rPh>
    <rPh sb="4" eb="5">
      <t>ガク</t>
    </rPh>
    <phoneticPr fontId="1"/>
  </si>
  <si>
    <t>bdl_dsc_amt</t>
  </si>
  <si>
    <t>小計値引額</t>
    <rPh sb="2" eb="4">
      <t>ネビ</t>
    </rPh>
    <phoneticPr fontId="1"/>
  </si>
  <si>
    <t>stldsc_amt</t>
  </si>
  <si>
    <t xml:space="preserve">CASE WHEN ttllog.stldsc_per = '0' 
      AND ttllog.nm_stlpdsc_per = '0'
      AND ttllog.stlcrdtdsc_per = '0'
     THEN itemlog.stldsc_amt 
     ELSE '0'
</t>
    <phoneticPr fontId="2"/>
  </si>
  <si>
    <t>小計割引率</t>
  </si>
  <si>
    <t>stldsc_per</t>
  </si>
  <si>
    <t>一般小計割引率</t>
    <rPh sb="0" eb="2">
      <t>イッパン</t>
    </rPh>
    <rPh sb="2" eb="4">
      <t>ショウケイ</t>
    </rPh>
    <rPh sb="4" eb="6">
      <t>ワリビキ</t>
    </rPh>
    <rPh sb="6" eb="7">
      <t>リツ</t>
    </rPh>
    <phoneticPr fontId="1"/>
  </si>
  <si>
    <t>nm_stlpdsc_per</t>
  </si>
  <si>
    <t>クレジット小計割引率</t>
  </si>
  <si>
    <t>stlcrdtdsc_per</t>
  </si>
  <si>
    <t>小計割引額</t>
  </si>
  <si>
    <t>stlpdsc_amt</t>
  </si>
  <si>
    <t xml:space="preserve">CASE WHEN ttllog.stldsc_per &lt;&gt; '0' 
       OR ttllog.nm_stlpdsc_per &lt;&gt; '0' 
       OR ttllog.stlcrdtdsc_per &lt;&gt; '0'
     THEN itemlog.stldsc_amt
     ELSE '0'
</t>
    <phoneticPr fontId="2"/>
  </si>
  <si>
    <t>一括割引率</t>
    <rPh sb="0" eb="2">
      <t>イッカツ</t>
    </rPh>
    <rPh sb="2" eb="4">
      <t>ワリビキ</t>
    </rPh>
    <rPh sb="4" eb="5">
      <t>リツ</t>
    </rPh>
    <phoneticPr fontId="1"/>
  </si>
  <si>
    <t>ucls_prg_pdsc_per</t>
  </si>
  <si>
    <t>一括割引額</t>
    <rPh sb="0" eb="2">
      <t>イッカツ</t>
    </rPh>
    <rPh sb="2" eb="5">
      <t>ワリビキガク</t>
    </rPh>
    <phoneticPr fontId="1"/>
  </si>
  <si>
    <t>cls_pdsc_amt</t>
  </si>
  <si>
    <t>金額値引</t>
    <rPh sb="0" eb="2">
      <t>キンガク</t>
    </rPh>
    <rPh sb="2" eb="4">
      <t>ネビ</t>
    </rPh>
    <phoneticPr fontId="1"/>
  </si>
  <si>
    <t>item_prc_chg_amt</t>
  </si>
  <si>
    <t>item_uprc_chg_prc * item_ttl_qty</t>
    <phoneticPr fontId="2"/>
  </si>
  <si>
    <t>単品値引額</t>
    <rPh sb="0" eb="2">
      <t>タンピン</t>
    </rPh>
    <rPh sb="2" eb="4">
      <t>ネビ</t>
    </rPh>
    <rPh sb="4" eb="5">
      <t>ガク</t>
    </rPh>
    <phoneticPr fontId="1"/>
  </si>
  <si>
    <t>item_dsc_amt</t>
  </si>
  <si>
    <t>単品割引率</t>
    <rPh sb="0" eb="2">
      <t>タンピン</t>
    </rPh>
    <rPh sb="2" eb="4">
      <t>ワリビキ</t>
    </rPh>
    <rPh sb="4" eb="5">
      <t>リツ</t>
    </rPh>
    <phoneticPr fontId="1"/>
  </si>
  <si>
    <t>item_dsc_per</t>
  </si>
  <si>
    <t>単品割引額</t>
    <rPh sb="0" eb="2">
      <t>タンピン</t>
    </rPh>
    <rPh sb="2" eb="5">
      <t>ワリビキガク</t>
    </rPh>
    <phoneticPr fontId="1"/>
  </si>
  <si>
    <t>item_pdsc_amt</t>
  </si>
  <si>
    <t>item_pdsc_amt</t>
    <phoneticPr fontId="2"/>
  </si>
  <si>
    <t>クーポン値引金額</t>
    <rPh sb="4" eb="6">
      <t>ネビ</t>
    </rPh>
    <rPh sb="6" eb="8">
      <t>キンガク</t>
    </rPh>
    <phoneticPr fontId="1"/>
  </si>
  <si>
    <t>couprn_amt</t>
  </si>
  <si>
    <t xml:space="preserve">CASE WHEN CAST(rec_mthd_flg as signed) BETWEEN 12 AND 36
          THEN couprn_amt
     WHEN CAST(rec_mthd_flg as signed) BETWEEN 5  AND 6
          THEN (stldsc1_amt + stldsc2_amt + stldsc3_amt 
　　　　　　　　　　　　　　+ stldsc4_amt + stldsc5_amt + 
                stl_pdsc1_amt + stl_pdsc2_amt + stl_pdsc3_amt
　　　　　　　　　　　　　　  + stl_pdsc4_amt + stl_pdsc5_amt) * -1
     WHEN CAST(rec_mthd_flg as signed) BETWEEN 40 AND 43
          THEN (stldsc1_amt + stldsc2_amt + stldsc3_amt
                            + stldsc4_amt + stldsc5_amt +
                stl_pdsc1_amt + stl_pdsc2_amt + stl_pdsc3_amt
                              + stl_pdsc4_amt + stl_pdsc5_amt) * -1
     WHEN rec_mthd_flg IS NULL 
          THEN couprn_amt * -1
     ELSE '0'
</t>
    <phoneticPr fontId="2"/>
  </si>
  <si>
    <t>特売区分</t>
    <rPh sb="0" eb="2">
      <t>トクバイ</t>
    </rPh>
    <rPh sb="2" eb="4">
      <t>クブン</t>
    </rPh>
    <phoneticPr fontId="1"/>
  </si>
  <si>
    <t>brgn_typ</t>
  </si>
  <si>
    <t>プロモーションNo</t>
  </si>
  <si>
    <t>brgn_plan_cd</t>
  </si>
  <si>
    <t>MMコード</t>
  </si>
  <si>
    <t>bdl_cd</t>
  </si>
  <si>
    <t>会員番号</t>
    <rPh sb="0" eb="2">
      <t>カイイン</t>
    </rPh>
    <rPh sb="2" eb="4">
      <t>バンゴウ</t>
    </rPh>
    <phoneticPr fontId="1"/>
  </si>
  <si>
    <t>mbr_cd</t>
  </si>
  <si>
    <t>会員フラグ</t>
    <rPh sb="0" eb="2">
      <t>カイイン</t>
    </rPh>
    <phoneticPr fontId="1"/>
  </si>
  <si>
    <t>mbr_flg</t>
  </si>
  <si>
    <t>mbr_typ</t>
    <phoneticPr fontId="2"/>
  </si>
  <si>
    <t>0：設定なし
1：カスミカード会員
（kasumicardテーブルの番号と一致する場合のみ）
2：子育て
3：シニア
4：子育て＋シニア</t>
    <rPh sb="0" eb="2">
      <t>セッテイ</t>
    </rPh>
    <rPh sb="13" eb="15">
      <t>カイイン</t>
    </rPh>
    <rPh sb="32" eb="34">
      <t>バンゴウ</t>
    </rPh>
    <rPh sb="35" eb="37">
      <t>イッチ</t>
    </rPh>
    <rPh sb="39" eb="41">
      <t>バアイ</t>
    </rPh>
    <rPh sb="47" eb="49">
      <t>コソダ</t>
    </rPh>
    <rPh sb="59" eb="61">
      <t>コソダ</t>
    </rPh>
    <phoneticPr fontId="2"/>
  </si>
  <si>
    <t>カード種別</t>
    <rPh sb="3" eb="5">
      <t>シュベツ</t>
    </rPh>
    <phoneticPr fontId="1"/>
  </si>
  <si>
    <t>sell_kind</t>
  </si>
  <si>
    <t>クレジット会社コード</t>
  </si>
  <si>
    <t>card_comp_cd</t>
  </si>
  <si>
    <t>重量</t>
    <rPh sb="0" eb="2">
      <t>ジュウリョウ</t>
    </rPh>
    <phoneticPr fontId="1"/>
  </si>
  <si>
    <t>wgt</t>
  </si>
  <si>
    <t>実販売単価</t>
    <rPh sb="0" eb="1">
      <t>ジツ</t>
    </rPh>
    <rPh sb="1" eb="3">
      <t>ハンバイ</t>
    </rPh>
    <rPh sb="3" eb="5">
      <t>タンカ</t>
    </rPh>
    <phoneticPr fontId="1"/>
  </si>
  <si>
    <t>act_prc</t>
  </si>
  <si>
    <t xml:space="preserve">CASE WHEN wgt &lt;&gt; 0 
     THEN ROUND(act_nomi_prc * 100 / wgt ,0) 
     ELSE 0
</t>
    <phoneticPr fontId="2"/>
  </si>
  <si>
    <t>顧客ID</t>
    <rPh sb="0" eb="2">
      <t>コキャク</t>
    </rPh>
    <phoneticPr fontId="1"/>
  </si>
  <si>
    <t>cust_id</t>
  </si>
  <si>
    <t>'2'
＜参考＞
会社を識別するコードを
固定値で設定する。
マルエツ：'1'
カスミ：'2'
MV関東：'3'</t>
    <rPh sb="5" eb="7">
      <t>サンコウ</t>
    </rPh>
    <phoneticPr fontId="2"/>
  </si>
  <si>
    <t>WAON番号</t>
    <rPh sb="4" eb="6">
      <t>バンゴウ</t>
    </rPh>
    <phoneticPr fontId="1"/>
  </si>
  <si>
    <t>waon_no</t>
  </si>
  <si>
    <t>crdt_no</t>
  </si>
  <si>
    <t>WAONカード種別</t>
    <rPh sb="7" eb="9">
      <t>シュベツ</t>
    </rPh>
    <phoneticPr fontId="1"/>
  </si>
  <si>
    <t>waon_card_kind</t>
  </si>
  <si>
    <t>''</t>
    <phoneticPr fontId="2"/>
  </si>
  <si>
    <t>客数フラグ</t>
    <rPh sb="0" eb="2">
      <t>キャクスウ</t>
    </rPh>
    <phoneticPr fontId="1"/>
  </si>
  <si>
    <t>cust_flg</t>
  </si>
  <si>
    <t xml:space="preserve">CASE WHEN ope_mode_flg = '1' 
     THEN '1'
     ELSE '-1'
</t>
    <phoneticPr fontId="2"/>
  </si>
  <si>
    <t>標準本日ポイント</t>
    <rPh sb="0" eb="2">
      <t>ヒョウジュン</t>
    </rPh>
    <rPh sb="2" eb="4">
      <t>ホンジツ</t>
    </rPh>
    <phoneticPr fontId="1"/>
  </si>
  <si>
    <t>dpnt_ttlsrv</t>
  </si>
  <si>
    <t>標準累計へそくり額</t>
    <rPh sb="0" eb="2">
      <t>ヒョウジュン</t>
    </rPh>
    <rPh sb="2" eb="4">
      <t>ルイケイ</t>
    </rPh>
    <rPh sb="8" eb="9">
      <t>ガク</t>
    </rPh>
    <phoneticPr fontId="1"/>
  </si>
  <si>
    <t>total_hesoamt</t>
  </si>
  <si>
    <t>標準前回累計へそくり額</t>
    <rPh sb="0" eb="2">
      <t>ヒョウジュン</t>
    </rPh>
    <rPh sb="2" eb="4">
      <t>ゼンカイ</t>
    </rPh>
    <phoneticPr fontId="1"/>
  </si>
  <si>
    <t>last_hesoamt</t>
  </si>
  <si>
    <t>商品加算ポイント(ttllog)</t>
    <rPh sb="0" eb="2">
      <t>ショウヒン</t>
    </rPh>
    <rPh sb="2" eb="4">
      <t>カサン</t>
    </rPh>
    <phoneticPr fontId="1"/>
  </si>
  <si>
    <t>plu_point_ttl</t>
  </si>
  <si>
    <t>商品加算ポイント(itemlog)</t>
    <rPh sb="0" eb="2">
      <t>ショウヒン</t>
    </rPh>
    <rPh sb="2" eb="4">
      <t>カサン</t>
    </rPh>
    <phoneticPr fontId="1"/>
  </si>
  <si>
    <t>plu_point_item</t>
  </si>
  <si>
    <t>カード番号</t>
  </si>
  <si>
    <t>mag_mbr_cd</t>
  </si>
  <si>
    <t>mag_mbr_cd</t>
    <phoneticPr fontId="2"/>
  </si>
  <si>
    <t>Scan&amp;GoカードのVDID</t>
    <phoneticPr fontId="2"/>
  </si>
  <si>
    <t>2023/11/16追加</t>
    <rPh sb="10" eb="12">
      <t>ツイカ</t>
    </rPh>
    <phoneticPr fontId="2"/>
  </si>
  <si>
    <t>取引ヘッダーTB</t>
  </si>
  <si>
    <t>SGカード使用フラグ</t>
  </si>
  <si>
    <t>anv_4_prn</t>
  </si>
  <si>
    <t>anv_4_prn</t>
    <phoneticPr fontId="2"/>
  </si>
  <si>
    <t>取引ヘッダーTM</t>
  </si>
  <si>
    <t>オフラインフラグ</t>
  </si>
  <si>
    <t>anv_5_prn</t>
    <phoneticPr fontId="2"/>
  </si>
  <si>
    <t>取引ヘッダーTN</t>
  </si>
  <si>
    <t>今回付与ポイント数</t>
  </si>
  <si>
    <t>tpnt_ttlsrv</t>
    <phoneticPr fontId="2"/>
  </si>
  <si>
    <t xml:space="preserve">CASE WHEN itemlog.rec_mthd_flg = '60' THEN ttllog.tpnt_ttlsrv
     ELSE 0
</t>
    <phoneticPr fontId="2"/>
  </si>
  <si>
    <t>同一取引No（取引レシートNo＋ジャーナルNo）でレコード区分＝'60'が複数ある場合は、「支払種別」が最小値の行にのみ「今回付与ポイント数」を出力し、その他の行はゼロとする。</t>
    <phoneticPr fontId="2"/>
  </si>
  <si>
    <t>2023/11/16追加、2023/12/12修正</t>
    <rPh sb="10" eb="12">
      <t>ツイカ</t>
    </rPh>
    <phoneticPr fontId="2"/>
  </si>
  <si>
    <t>取引ヘッダーVG</t>
  </si>
  <si>
    <t>レジ種別</t>
  </si>
  <si>
    <t>prom_dsc_cd1</t>
  </si>
  <si>
    <t>prom_dsc_cd1</t>
    <phoneticPr fontId="2"/>
  </si>
  <si>
    <t>支払種別</t>
  </si>
  <si>
    <t>cpn_bar_cd</t>
  </si>
  <si>
    <t>cpn_bar_cd</t>
    <phoneticPr fontId="2"/>
  </si>
  <si>
    <t>アイテムKP</t>
  </si>
  <si>
    <t>支払サブコード</t>
  </si>
  <si>
    <t>cond_plu_cd</t>
  </si>
  <si>
    <t>cond_plu_cd</t>
    <phoneticPr fontId="2"/>
  </si>
  <si>
    <t>アイテムMW</t>
  </si>
  <si>
    <t>支払名称</t>
  </si>
  <si>
    <t>pos_name_ignica</t>
  </si>
  <si>
    <t xml:space="preserve">CASE WHEN rec_mthd_flg = '60' THEN pos_name
     ELSE ''
</t>
  </si>
  <si>
    <t>編集元はNo.23に同じ</t>
    <rPh sb="0" eb="2">
      <t>ヘンシュウ</t>
    </rPh>
    <rPh sb="2" eb="3">
      <t>モト</t>
    </rPh>
    <rPh sb="10" eb="11">
      <t>オナ</t>
    </rPh>
    <phoneticPr fontId="2"/>
  </si>
  <si>
    <t>アイテムBB列</t>
  </si>
  <si>
    <t>支払金額</t>
  </si>
  <si>
    <t>act_nomi_prc_ignica</t>
  </si>
  <si>
    <t xml:space="preserve">CASE WHEN rec_mthd_flg = '60' THEN act_nomi_prc
     ELSE 0
</t>
    <phoneticPr fontId="2"/>
  </si>
  <si>
    <t>編集元はNo.27に同じ</t>
    <rPh sb="0" eb="2">
      <t>ヘンシュウ</t>
    </rPh>
    <rPh sb="2" eb="3">
      <t>モト</t>
    </rPh>
    <rPh sb="10" eb="11">
      <t>オナ</t>
    </rPh>
    <phoneticPr fontId="2"/>
  </si>
  <si>
    <t>アイテムDO列</t>
  </si>
  <si>
    <t>抽出条件</t>
    <rPh sb="0" eb="2">
      <t>チュウシュツ</t>
    </rPh>
    <rPh sb="2" eb="4">
      <t>ジョウケン</t>
    </rPh>
    <phoneticPr fontId="2"/>
  </si>
  <si>
    <t>ttllog.ope_mode_flg in ('1', '3')　AND itemlog.scrvoid_flg = '0'</t>
    <phoneticPr fontId="2"/>
  </si>
  <si>
    <t xml:space="preserve">   </t>
    <phoneticPr fontId="2"/>
  </si>
  <si>
    <t>連結項目</t>
    <rPh sb="0" eb="2">
      <t>レンケツ</t>
    </rPh>
    <rPh sb="2" eb="4">
      <t>コウモク</t>
    </rPh>
    <phoneticPr fontId="2"/>
  </si>
  <si>
    <t>stre_cd</t>
    <phoneticPr fontId="2"/>
  </si>
  <si>
    <t>now_sale_datetime</t>
  </si>
  <si>
    <t>No</t>
    <phoneticPr fontId="2"/>
  </si>
  <si>
    <t>分析用ファイル</t>
    <rPh sb="0" eb="3">
      <t>ブンセキヨウ</t>
    </rPh>
    <phoneticPr fontId="2"/>
  </si>
  <si>
    <t>POSデータ加工システム（DB）</t>
    <rPh sb="6" eb="8">
      <t>カコウ</t>
    </rPh>
    <phoneticPr fontId="2"/>
  </si>
  <si>
    <t>列名</t>
    <rPh sb="0" eb="1">
      <t>レツ</t>
    </rPh>
    <rPh sb="1" eb="2">
      <t>メイ</t>
    </rPh>
    <phoneticPr fontId="2"/>
  </si>
  <si>
    <t>型</t>
    <rPh sb="0" eb="1">
      <t>カタ</t>
    </rPh>
    <phoneticPr fontId="2"/>
  </si>
  <si>
    <t>編集内容</t>
    <rPh sb="0" eb="2">
      <t>ヘンシュウ</t>
    </rPh>
    <rPh sb="2" eb="4">
      <t>ナイヨウ</t>
    </rPh>
    <phoneticPr fontId="2"/>
  </si>
  <si>
    <t>2023/11/16ファイル追加（No.56までは既存と同じ）</t>
  </si>
  <si>
    <t>店舗No</t>
    <rPh sb="0" eb="2">
      <t>テンポ</t>
    </rPh>
    <phoneticPr fontId="5"/>
  </si>
  <si>
    <t>数値</t>
    <rPh sb="0" eb="2">
      <t>スウチ</t>
    </rPh>
    <phoneticPr fontId="2"/>
  </si>
  <si>
    <t>レジNo</t>
    <phoneticPr fontId="5"/>
  </si>
  <si>
    <t>取引No</t>
    <rPh sb="0" eb="2">
      <t>トリヒキ</t>
    </rPh>
    <phoneticPr fontId="5"/>
  </si>
  <si>
    <t>文字列</t>
    <rPh sb="0" eb="3">
      <t>モジレツ</t>
    </rPh>
    <phoneticPr fontId="2"/>
  </si>
  <si>
    <t xml:space="preserve">CONCAT( LPAD(receipt_no, 4, '0') 
      , LPAD(print_no,   4, '0') ) </t>
    <phoneticPr fontId="2"/>
  </si>
  <si>
    <t>ジャーナルNo</t>
  </si>
  <si>
    <t>シーケンスNo</t>
    <phoneticPr fontId="5"/>
  </si>
  <si>
    <t>営業日</t>
    <phoneticPr fontId="5"/>
  </si>
  <si>
    <t>DATE_FORMAT(sale_date, '%Y%m%d')</t>
    <phoneticPr fontId="2"/>
  </si>
  <si>
    <t>CASE WHEN sale_date &lt;&gt; now_sale_date 
  THEN CONCAT( SUBSTRING(now_sale_time, 1, 2) + 24 
             , SUBSTRING(now_sale_time, 3, 6) )
  ELSE now_sale_time
END</t>
    <phoneticPr fontId="2"/>
  </si>
  <si>
    <t>取引曜日</t>
    <phoneticPr fontId="5"/>
  </si>
  <si>
    <t>CASE WHEN chkr_no &lt;&gt; '0' THEN chkr_no ELSE '' END</t>
    <phoneticPr fontId="2"/>
  </si>
  <si>
    <t>CASE WHEN cshr_no &lt;&gt; '0' THEN cshr_no ELSE '' END</t>
    <phoneticPr fontId="2"/>
  </si>
  <si>
    <t>品群コード</t>
    <rPh sb="0" eb="1">
      <t>ヒン</t>
    </rPh>
    <rPh sb="1" eb="2">
      <t>グン</t>
    </rPh>
    <phoneticPr fontId="5"/>
  </si>
  <si>
    <t>品群名</t>
    <rPh sb="0" eb="1">
      <t>ヒン</t>
    </rPh>
    <rPh sb="1" eb="2">
      <t>グン</t>
    </rPh>
    <rPh sb="2" eb="3">
      <t>メイ</t>
    </rPh>
    <phoneticPr fontId="5"/>
  </si>
  <si>
    <t>COALESCE(mdlcls_name, '')</t>
    <phoneticPr fontId="2"/>
  </si>
  <si>
    <t>品種コード</t>
    <rPh sb="0" eb="2">
      <t>ヒンシュ</t>
    </rPh>
    <phoneticPr fontId="5"/>
  </si>
  <si>
    <t>品種名</t>
    <rPh sb="0" eb="2">
      <t>ヒンシュ</t>
    </rPh>
    <rPh sb="2" eb="3">
      <t>メイ</t>
    </rPh>
    <phoneticPr fontId="5"/>
  </si>
  <si>
    <t>COALESCE(smlcls_name, '')</t>
    <phoneticPr fontId="2"/>
  </si>
  <si>
    <t>分類コード</t>
    <rPh sb="0" eb="2">
      <t>ブンルイ</t>
    </rPh>
    <phoneticPr fontId="5"/>
  </si>
  <si>
    <t>分類名</t>
    <rPh sb="0" eb="2">
      <t>ブンルイ</t>
    </rPh>
    <rPh sb="2" eb="3">
      <t>メイ</t>
    </rPh>
    <phoneticPr fontId="5"/>
  </si>
  <si>
    <t>COALESCE(tnycls_name, '')</t>
    <phoneticPr fontId="2"/>
  </si>
  <si>
    <t>PLUコード</t>
    <phoneticPr fontId="5"/>
  </si>
  <si>
    <t>COALESCE(sku_cd, '')</t>
    <phoneticPr fontId="2"/>
  </si>
  <si>
    <t>TRIM(TRAILING '　' FROM RTRIM(pos_name))</t>
    <phoneticPr fontId="2"/>
  </si>
  <si>
    <t>レコード区分</t>
    <rPh sb="4" eb="6">
      <t>クブン</t>
    </rPh>
    <phoneticPr fontId="5"/>
  </si>
  <si>
    <t>売価区分</t>
    <rPh sb="0" eb="2">
      <t>バイカ</t>
    </rPh>
    <rPh sb="2" eb="4">
      <t>クブン</t>
    </rPh>
    <phoneticPr fontId="5"/>
  </si>
  <si>
    <t>金額内税</t>
    <rPh sb="2" eb="3">
      <t>ウチ</t>
    </rPh>
    <rPh sb="3" eb="4">
      <t>ゼイ</t>
    </rPh>
    <phoneticPr fontId="5"/>
  </si>
  <si>
    <t>金額外税</t>
    <rPh sb="2" eb="3">
      <t>ソト</t>
    </rPh>
    <rPh sb="3" eb="4">
      <t>ゼイ</t>
    </rPh>
    <phoneticPr fontId="5"/>
  </si>
  <si>
    <t>税区分</t>
    <rPh sb="0" eb="3">
      <t>ゼイクブン</t>
    </rPh>
    <phoneticPr fontId="5"/>
  </si>
  <si>
    <t>数量</t>
    <rPh sb="0" eb="2">
      <t>スウリョウ</t>
    </rPh>
    <phoneticPr fontId="5"/>
  </si>
  <si>
    <t>単価値引前</t>
    <rPh sb="0" eb="2">
      <t>タンカ</t>
    </rPh>
    <rPh sb="2" eb="4">
      <t>ネビ</t>
    </rPh>
    <rPh sb="4" eb="5">
      <t>マエ</t>
    </rPh>
    <phoneticPr fontId="5"/>
  </si>
  <si>
    <t>単価値引後</t>
    <rPh sb="0" eb="2">
      <t>タンカ</t>
    </rPh>
    <rPh sb="2" eb="4">
      <t>ネビ</t>
    </rPh>
    <rPh sb="4" eb="5">
      <t>アト</t>
    </rPh>
    <phoneticPr fontId="5"/>
  </si>
  <si>
    <t>特売値引</t>
    <rPh sb="0" eb="2">
      <t>トクバイ</t>
    </rPh>
    <rPh sb="2" eb="4">
      <t>ネビ</t>
    </rPh>
    <phoneticPr fontId="5"/>
  </si>
  <si>
    <t>MM値引額</t>
    <rPh sb="2" eb="4">
      <t>ネビ</t>
    </rPh>
    <rPh sb="4" eb="5">
      <t>ガク</t>
    </rPh>
    <phoneticPr fontId="5"/>
  </si>
  <si>
    <t>小計値引額</t>
    <rPh sb="2" eb="4">
      <t>ネビ</t>
    </rPh>
    <phoneticPr fontId="5"/>
  </si>
  <si>
    <t>小計割引率</t>
    <phoneticPr fontId="5"/>
  </si>
  <si>
    <t>一般小計割引率</t>
    <rPh sb="0" eb="2">
      <t>イッパン</t>
    </rPh>
    <rPh sb="2" eb="4">
      <t>ショウケイ</t>
    </rPh>
    <rPh sb="4" eb="6">
      <t>ワリビキ</t>
    </rPh>
    <rPh sb="6" eb="7">
      <t>リツ</t>
    </rPh>
    <phoneticPr fontId="5"/>
  </si>
  <si>
    <t>クレジット小計割引率</t>
    <phoneticPr fontId="5"/>
  </si>
  <si>
    <t>一括割引率</t>
    <rPh sb="0" eb="2">
      <t>イッカツ</t>
    </rPh>
    <rPh sb="2" eb="4">
      <t>ワリビキ</t>
    </rPh>
    <rPh sb="4" eb="5">
      <t>リツ</t>
    </rPh>
    <phoneticPr fontId="5"/>
  </si>
  <si>
    <t>一括割引額</t>
    <rPh sb="0" eb="2">
      <t>イッカツ</t>
    </rPh>
    <rPh sb="2" eb="5">
      <t>ワリビキガク</t>
    </rPh>
    <phoneticPr fontId="5"/>
  </si>
  <si>
    <t>金額値引</t>
    <rPh sb="0" eb="2">
      <t>キンガク</t>
    </rPh>
    <rPh sb="2" eb="4">
      <t>ネビ</t>
    </rPh>
    <phoneticPr fontId="5"/>
  </si>
  <si>
    <t>単品値引額</t>
    <rPh sb="0" eb="2">
      <t>タンピン</t>
    </rPh>
    <rPh sb="2" eb="4">
      <t>ネビ</t>
    </rPh>
    <rPh sb="4" eb="5">
      <t>ガク</t>
    </rPh>
    <phoneticPr fontId="5"/>
  </si>
  <si>
    <t>単品割引率</t>
    <rPh sb="0" eb="2">
      <t>タンピン</t>
    </rPh>
    <rPh sb="2" eb="4">
      <t>ワリビキ</t>
    </rPh>
    <rPh sb="4" eb="5">
      <t>リツ</t>
    </rPh>
    <phoneticPr fontId="5"/>
  </si>
  <si>
    <t>単品割引額</t>
    <rPh sb="0" eb="2">
      <t>タンピン</t>
    </rPh>
    <rPh sb="2" eb="5">
      <t>ワリビキガク</t>
    </rPh>
    <phoneticPr fontId="5"/>
  </si>
  <si>
    <t>クーポン・値引金額</t>
    <rPh sb="5" eb="7">
      <t>ネビ</t>
    </rPh>
    <rPh sb="7" eb="9">
      <t>キンガク</t>
    </rPh>
    <phoneticPr fontId="5"/>
  </si>
  <si>
    <t>特売区分</t>
    <rPh sb="0" eb="2">
      <t>トクバイ</t>
    </rPh>
    <rPh sb="2" eb="4">
      <t>クブン</t>
    </rPh>
    <phoneticPr fontId="5"/>
  </si>
  <si>
    <t>プロモーションNo</t>
    <phoneticPr fontId="5"/>
  </si>
  <si>
    <t>CASE WHEN brgn_plan_cd &lt;&gt; '0' THEN brgn_plan_cd ELSE '' END</t>
    <phoneticPr fontId="2"/>
  </si>
  <si>
    <t>MMコード</t>
    <phoneticPr fontId="5"/>
  </si>
  <si>
    <t>CASE WHEN bdl_cd &lt;&gt; '0' THEN bdl_cd ELSE '' END</t>
    <phoneticPr fontId="2"/>
  </si>
  <si>
    <t>会員番号</t>
    <rPh sb="0" eb="2">
      <t>カイイン</t>
    </rPh>
    <rPh sb="2" eb="4">
      <t>バンゴウ</t>
    </rPh>
    <phoneticPr fontId="5"/>
  </si>
  <si>
    <t>会員フラグ</t>
    <rPh sb="0" eb="2">
      <t>カイイン</t>
    </rPh>
    <phoneticPr fontId="5"/>
  </si>
  <si>
    <t>カード種別</t>
    <rPh sb="3" eb="5">
      <t>シュベツ</t>
    </rPh>
    <phoneticPr fontId="5"/>
  </si>
  <si>
    <t>COALESCE(sell_kind, '')</t>
    <phoneticPr fontId="2"/>
  </si>
  <si>
    <t>クレジット会社コード</t>
    <phoneticPr fontId="5"/>
  </si>
  <si>
    <t>COALESCE(card_comp_cd, '')</t>
    <phoneticPr fontId="2"/>
  </si>
  <si>
    <t>重量</t>
    <rPh sb="0" eb="2">
      <t>ジュウリョウ</t>
    </rPh>
    <phoneticPr fontId="5"/>
  </si>
  <si>
    <t>COALESCE(wgt, '')</t>
    <phoneticPr fontId="2"/>
  </si>
  <si>
    <t>実販売単価</t>
    <rPh sb="0" eb="1">
      <t>ジツ</t>
    </rPh>
    <rPh sb="1" eb="3">
      <t>ハンバイ</t>
    </rPh>
    <rPh sb="3" eb="5">
      <t>タンカ</t>
    </rPh>
    <phoneticPr fontId="5"/>
  </si>
  <si>
    <t>COALESCE(act_prc, '')</t>
    <phoneticPr fontId="2"/>
  </si>
  <si>
    <t>顧客ID</t>
    <rPh sb="0" eb="2">
      <t>コキャク</t>
    </rPh>
    <phoneticPr fontId="5"/>
  </si>
  <si>
    <t>COALESCE(cust_id, '')</t>
    <phoneticPr fontId="2"/>
  </si>
  <si>
    <t>WAON番号</t>
    <rPh sb="4" eb="6">
      <t>バンゴウ</t>
    </rPh>
    <phoneticPr fontId="5"/>
  </si>
  <si>
    <t>COALESCE(waon_no, '')</t>
    <phoneticPr fontId="2"/>
  </si>
  <si>
    <t>WAONカード種別</t>
    <rPh sb="7" eb="9">
      <t>シュベツ</t>
    </rPh>
    <phoneticPr fontId="5"/>
  </si>
  <si>
    <t>COALESCE(waon_card_kind, '')</t>
    <phoneticPr fontId="2"/>
  </si>
  <si>
    <t>客数フラグ</t>
    <rPh sb="0" eb="2">
      <t>キャクスウ</t>
    </rPh>
    <phoneticPr fontId="5"/>
  </si>
  <si>
    <t>COALESCE(mag_mbr_cd, '')</t>
    <phoneticPr fontId="2"/>
  </si>
  <si>
    <t>COALESCE(anv_4_prn, '')</t>
    <phoneticPr fontId="2"/>
  </si>
  <si>
    <t>COALESCE(anv_5_prn, '')</t>
    <phoneticPr fontId="2"/>
  </si>
  <si>
    <t>COALESCE(tpnt_ttlsrv, 0)</t>
    <phoneticPr fontId="2"/>
  </si>
  <si>
    <t>COALESCE(prom_dsc_cd1, '')</t>
    <phoneticPr fontId="2"/>
  </si>
  <si>
    <t>COALESCE(cpn_bar_cd, '')</t>
    <phoneticPr fontId="2"/>
  </si>
  <si>
    <t>COALESCE(cond_plu_cd, '')</t>
    <phoneticPr fontId="2"/>
  </si>
  <si>
    <t>TRIM(TRAILING '　' FROM RTRIM(pos_name_ignica))</t>
    <phoneticPr fontId="2"/>
  </si>
  <si>
    <t>pos_name_ignica</t>
    <phoneticPr fontId="2"/>
  </si>
  <si>
    <t>COALESCE(act_nomi_prc_ignica, 0)</t>
    <phoneticPr fontId="2"/>
  </si>
  <si>
    <t>act_nomi_prc_ignica</t>
    <phoneticPr fontId="2"/>
  </si>
  <si>
    <t>文字列の項目は、"（ダブルクォート）でくくる。</t>
    <rPh sb="0" eb="3">
      <t>モジレツ</t>
    </rPh>
    <rPh sb="4" eb="6">
      <t>コウモク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</si>
</sst>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9"/>
      <color rgb="FFFF0000"/>
      <name val="ＭＳ 明朝"/>
      <family val="1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9B5E8"/>
        <bgColor indexed="64"/>
      </patternFill>
    </fill>
    <fill>
      <patternFill patternType="solid">
        <fgColor rgb="FF9EEA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3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14" xfId="0" applyFont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19" xfId="0" applyFont="1" applyBorder="1" applyAlignment="1">
      <alignment vertical="center" wrapText="1"/>
    </xf>
    <xf numFmtId="0" fontId="3" fillId="0" borderId="19" xfId="0" quotePrefix="1" applyFont="1" applyBorder="1">
      <alignment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5" xfId="0" applyFont="1" applyBorder="1" applyAlignment="1">
      <alignment vertical="center" wrapText="1"/>
    </xf>
    <xf numFmtId="0" fontId="6" fillId="0" borderId="29" xfId="0" applyFont="1" applyBorder="1">
      <alignment vertical="center"/>
    </xf>
    <xf numFmtId="0" fontId="3" fillId="3" borderId="29" xfId="0" applyFont="1" applyFill="1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3" fillId="0" borderId="34" xfId="0" applyFont="1" applyBorder="1">
      <alignment vertical="center"/>
    </xf>
    <xf numFmtId="0" fontId="3" fillId="0" borderId="36" xfId="0" applyFont="1" applyBorder="1">
      <alignment vertical="center"/>
    </xf>
    <xf numFmtId="0" fontId="6" fillId="0" borderId="0" xfId="0" applyFont="1">
      <alignment vertical="center"/>
    </xf>
    <xf numFmtId="0" fontId="6" fillId="0" borderId="11" xfId="0" applyFont="1" applyBorder="1">
      <alignment vertical="center"/>
    </xf>
    <xf numFmtId="0" fontId="3" fillId="0" borderId="35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37" xfId="0" applyFont="1" applyBorder="1">
      <alignment vertical="center"/>
    </xf>
    <xf numFmtId="0" fontId="3" fillId="0" borderId="38" xfId="0" applyFont="1" applyBorder="1">
      <alignment vertical="center"/>
    </xf>
    <xf numFmtId="0" fontId="3" fillId="0" borderId="39" xfId="0" applyFont="1" applyBorder="1">
      <alignment vertical="center"/>
    </xf>
    <xf numFmtId="0" fontId="3" fillId="3" borderId="40" xfId="0" applyFont="1" applyFill="1" applyBorder="1">
      <alignment vertical="center"/>
    </xf>
    <xf numFmtId="0" fontId="3" fillId="3" borderId="6" xfId="0" applyFont="1" applyFill="1" applyBorder="1">
      <alignment vertical="center"/>
    </xf>
    <xf numFmtId="0" fontId="4" fillId="0" borderId="26" xfId="0" applyFont="1" applyBorder="1">
      <alignment vertical="center"/>
    </xf>
    <xf numFmtId="0" fontId="6" fillId="4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0" borderId="17" xfId="0" applyFont="1" applyBorder="1">
      <alignment vertical="center"/>
    </xf>
    <xf numFmtId="0" fontId="6" fillId="0" borderId="25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26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6" fillId="0" borderId="19" xfId="0" applyFont="1" applyBorder="1">
      <alignment vertical="center"/>
    </xf>
    <xf numFmtId="0" fontId="6" fillId="0" borderId="11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19" xfId="0" applyFont="1" applyBorder="1" applyAlignment="1">
      <alignment vertical="center" wrapText="1"/>
    </xf>
    <xf numFmtId="0" fontId="6" fillId="0" borderId="38" xfId="0" applyFont="1" applyBorder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3" xfId="0" applyFont="1" applyBorder="1">
      <alignment vertical="center"/>
    </xf>
    <xf numFmtId="0" fontId="3" fillId="0" borderId="44" xfId="0" applyFont="1" applyBorder="1">
      <alignment vertical="center"/>
    </xf>
    <xf numFmtId="0" fontId="3" fillId="0" borderId="45" xfId="0" applyFont="1" applyBorder="1">
      <alignment vertical="center"/>
    </xf>
    <xf numFmtId="0" fontId="3" fillId="0" borderId="46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42" xfId="0" applyFont="1" applyBorder="1">
      <alignment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25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9" xfId="0" applyFont="1" applyBorder="1">
      <alignment vertical="center"/>
    </xf>
    <xf numFmtId="0" fontId="4" fillId="0" borderId="11" xfId="0" applyFont="1" applyBorder="1" applyAlignment="1">
      <alignment vertical="center" wrapText="1"/>
    </xf>
    <xf numFmtId="0" fontId="4" fillId="7" borderId="13" xfId="0" applyFont="1" applyFill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4" fillId="0" borderId="47" xfId="0" applyFont="1" applyBorder="1">
      <alignment vertical="center"/>
    </xf>
    <xf numFmtId="0" fontId="4" fillId="0" borderId="48" xfId="0" applyFont="1" applyBorder="1">
      <alignment vertical="center"/>
    </xf>
    <xf numFmtId="0" fontId="4" fillId="0" borderId="42" xfId="0" applyFont="1" applyBorder="1" applyAlignment="1">
      <alignment vertical="center" wrapText="1"/>
    </xf>
    <xf numFmtId="0" fontId="4" fillId="0" borderId="49" xfId="0" applyFont="1" applyBorder="1">
      <alignment vertical="center"/>
    </xf>
    <xf numFmtId="0" fontId="4" fillId="0" borderId="50" xfId="0" applyFont="1" applyBorder="1">
      <alignment vertical="center"/>
    </xf>
    <xf numFmtId="0" fontId="6" fillId="0" borderId="19" xfId="0" quotePrefix="1" applyFont="1" applyBorder="1" applyAlignment="1">
      <alignment vertical="center" wrapText="1"/>
    </xf>
    <xf numFmtId="0" fontId="6" fillId="0" borderId="41" xfId="0" applyFont="1" applyBorder="1">
      <alignment vertical="center"/>
    </xf>
    <xf numFmtId="0" fontId="3" fillId="7" borderId="29" xfId="0" applyFont="1" applyFill="1" applyBorder="1">
      <alignment vertical="center"/>
    </xf>
    <xf numFmtId="0" fontId="3" fillId="7" borderId="40" xfId="0" applyFont="1" applyFill="1" applyBorder="1">
      <alignment vertical="center"/>
    </xf>
    <xf numFmtId="0" fontId="3" fillId="7" borderId="6" xfId="0" applyFont="1" applyFill="1" applyBorder="1">
      <alignment vertical="center"/>
    </xf>
    <xf numFmtId="0" fontId="3" fillId="0" borderId="51" xfId="0" applyFont="1" applyBorder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0" borderId="34" xfId="0" applyFont="1" applyBorder="1">
      <alignment vertical="center"/>
    </xf>
    <xf numFmtId="0" fontId="4" fillId="0" borderId="35" xfId="0" applyFont="1" applyBorder="1">
      <alignment vertical="center"/>
    </xf>
    <xf numFmtId="0" fontId="4" fillId="0" borderId="38" xfId="0" applyFont="1" applyBorder="1">
      <alignment vertical="center"/>
    </xf>
    <xf numFmtId="0" fontId="4" fillId="0" borderId="52" xfId="0" applyFont="1" applyBorder="1">
      <alignment vertical="center"/>
    </xf>
    <xf numFmtId="0" fontId="4" fillId="0" borderId="39" xfId="0" applyFont="1" applyBorder="1">
      <alignment vertical="center"/>
    </xf>
    <xf numFmtId="0" fontId="7" fillId="0" borderId="19" xfId="0" applyFont="1" applyBorder="1" applyAlignment="1">
      <alignment vertical="center" wrapText="1"/>
    </xf>
    <xf numFmtId="0" fontId="4" fillId="8" borderId="17" xfId="0" applyFont="1" applyFill="1" applyBorder="1">
      <alignment vertical="center"/>
    </xf>
    <xf numFmtId="0" fontId="6" fillId="4" borderId="27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/>
    </xf>
    <xf numFmtId="0" fontId="6" fillId="7" borderId="27" xfId="0" applyFont="1" applyFill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/>
    </xf>
    <xf numFmtId="0" fontId="4" fillId="0" borderId="25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19" xfId="0" applyFont="1" applyBorder="1" applyAlignment="1">
      <alignment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0" borderId="34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19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9B5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78</xdr:row>
      <xdr:rowOff>0</xdr:rowOff>
    </xdr:from>
    <xdr:to>
      <xdr:col>4</xdr:col>
      <xdr:colOff>1419225</xdr:colOff>
      <xdr:row>81</xdr:row>
      <xdr:rowOff>104775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7E465C8-4CA8-4AC1-9C2E-05A7B6CC1511}"/>
            </a:ext>
          </a:extLst>
        </xdr:cNvPr>
        <xdr:cNvSpPr txBox="1"/>
      </xdr:nvSpPr>
      <xdr:spPr>
        <a:xfrm>
          <a:off x="323850" y="19640550"/>
          <a:ext cx="2438400" cy="6191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※1</a:t>
          </a:r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、</a:t>
          </a:r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※2</a:t>
          </a:r>
        </a:p>
        <a:p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別シート「分析用出力項目」を参照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6"/>
  <sheetViews>
    <sheetView tabSelected="1" workbookViewId="0">
      <pane ySplit="4" topLeftCell="A13" activePane="bottomLeft" state="frozen"/>
      <selection pane="bottomLeft" activeCell="J15" sqref="J15"/>
    </sheetView>
  </sheetViews>
  <sheetFormatPr defaultColWidth="9" defaultRowHeight="13.5" customHeight="1"/>
  <cols>
    <col min="1" max="1" width="4.140625" style="1" bestFit="1" customWidth="1"/>
    <col min="2" max="2" width="6.7109375" style="1" bestFit="1" customWidth="1"/>
    <col min="3" max="4" width="7.5703125" style="1" customWidth="1"/>
    <col min="5" max="5" width="24.85546875" style="1" bestFit="1" customWidth="1"/>
    <col min="6" max="6" width="19" style="1" bestFit="1" customWidth="1"/>
    <col min="7" max="7" width="41.28515625" style="1" customWidth="1"/>
    <col min="8" max="8" width="57.85546875" style="1" customWidth="1"/>
    <col min="9" max="9" width="12.28515625" style="1" bestFit="1" customWidth="1"/>
    <col min="10" max="10" width="23.85546875" style="1" bestFit="1" customWidth="1"/>
    <col min="11" max="11" width="3.140625" style="1" customWidth="1"/>
    <col min="12" max="16384" width="9" style="1"/>
  </cols>
  <sheetData>
    <row r="1" spans="1:12" ht="13.5" customHeight="1">
      <c r="A1" s="1" t="s">
        <v>0</v>
      </c>
      <c r="J1" s="1" t="s">
        <v>1</v>
      </c>
    </row>
    <row r="3" spans="1:12" ht="18" customHeight="1">
      <c r="E3" s="125" t="s">
        <v>2</v>
      </c>
      <c r="F3" s="126"/>
      <c r="G3" s="120" t="s">
        <v>3</v>
      </c>
      <c r="H3" s="121"/>
      <c r="I3" s="122"/>
      <c r="J3" s="123" t="s">
        <v>4</v>
      </c>
    </row>
    <row r="4" spans="1:12" s="2" customFormat="1" ht="27" customHeight="1">
      <c r="A4" s="16" t="s">
        <v>5</v>
      </c>
      <c r="B4" s="22" t="s">
        <v>6</v>
      </c>
      <c r="C4" s="22" t="s">
        <v>7</v>
      </c>
      <c r="D4" s="101" t="s">
        <v>8</v>
      </c>
      <c r="E4" s="16" t="s">
        <v>9</v>
      </c>
      <c r="F4" s="24" t="s">
        <v>10</v>
      </c>
      <c r="G4" s="31" t="s">
        <v>11</v>
      </c>
      <c r="H4" s="23" t="s">
        <v>12</v>
      </c>
      <c r="I4" s="32" t="s">
        <v>13</v>
      </c>
      <c r="J4" s="124"/>
    </row>
    <row r="5" spans="1:12" ht="13.5" customHeight="1">
      <c r="A5" s="15">
        <v>1</v>
      </c>
      <c r="B5" s="17" t="s">
        <v>14</v>
      </c>
      <c r="C5" s="18" t="s">
        <v>14</v>
      </c>
      <c r="D5" s="77" t="s">
        <v>14</v>
      </c>
      <c r="E5" s="15" t="s">
        <v>15</v>
      </c>
      <c r="F5" s="25" t="s">
        <v>16</v>
      </c>
      <c r="G5" s="33" t="s">
        <v>16</v>
      </c>
      <c r="H5" s="15"/>
      <c r="I5" s="34"/>
      <c r="J5" s="27"/>
    </row>
    <row r="6" spans="1:12" ht="13.5" customHeight="1">
      <c r="A6" s="8">
        <v>2</v>
      </c>
      <c r="B6" s="19" t="s">
        <v>17</v>
      </c>
      <c r="C6" s="20" t="s">
        <v>17</v>
      </c>
      <c r="D6" s="78" t="s">
        <v>17</v>
      </c>
      <c r="E6" s="8" t="s">
        <v>18</v>
      </c>
      <c r="F6" s="26" t="s">
        <v>19</v>
      </c>
      <c r="G6" s="35" t="s">
        <v>19</v>
      </c>
      <c r="H6" s="8"/>
      <c r="I6" s="36"/>
      <c r="J6" s="28"/>
    </row>
    <row r="7" spans="1:12" s="43" customFormat="1" ht="13.5" customHeight="1">
      <c r="A7" s="44">
        <v>3</v>
      </c>
      <c r="B7" s="109" t="s">
        <v>20</v>
      </c>
      <c r="C7" s="115" t="s">
        <v>20</v>
      </c>
      <c r="D7" s="111" t="s">
        <v>20</v>
      </c>
      <c r="E7" s="44" t="s">
        <v>21</v>
      </c>
      <c r="F7" s="55" t="s">
        <v>22</v>
      </c>
      <c r="G7" s="56" t="s">
        <v>23</v>
      </c>
      <c r="H7" s="44"/>
      <c r="I7" s="58"/>
      <c r="J7" s="61"/>
    </row>
    <row r="8" spans="1:12" s="43" customFormat="1" ht="13.5" customHeight="1">
      <c r="A8" s="44">
        <v>4</v>
      </c>
      <c r="B8" s="110"/>
      <c r="C8" s="116"/>
      <c r="D8" s="112"/>
      <c r="E8" s="44" t="s">
        <v>24</v>
      </c>
      <c r="F8" s="55" t="s">
        <v>25</v>
      </c>
      <c r="G8" s="56" t="s">
        <v>26</v>
      </c>
      <c r="H8" s="44"/>
      <c r="I8" s="58"/>
      <c r="J8" s="61"/>
    </row>
    <row r="9" spans="1:12" s="43" customFormat="1" ht="13.5" customHeight="1">
      <c r="A9" s="44">
        <v>5</v>
      </c>
      <c r="B9" s="53" t="s">
        <v>17</v>
      </c>
      <c r="C9" s="54" t="s">
        <v>17</v>
      </c>
      <c r="D9" s="79" t="s">
        <v>17</v>
      </c>
      <c r="E9" s="44" t="s">
        <v>27</v>
      </c>
      <c r="F9" s="55" t="s">
        <v>28</v>
      </c>
      <c r="G9" s="56"/>
      <c r="H9" s="44" t="s">
        <v>28</v>
      </c>
      <c r="I9" s="58"/>
      <c r="J9" s="61"/>
    </row>
    <row r="10" spans="1:12" s="43" customFormat="1" ht="13.5" customHeight="1">
      <c r="A10" s="44">
        <v>6</v>
      </c>
      <c r="B10" s="53" t="s">
        <v>17</v>
      </c>
      <c r="C10" s="54" t="s">
        <v>17</v>
      </c>
      <c r="D10" s="79" t="s">
        <v>17</v>
      </c>
      <c r="E10" s="44" t="s">
        <v>29</v>
      </c>
      <c r="F10" s="55" t="s">
        <v>30</v>
      </c>
      <c r="G10" s="56" t="s">
        <v>31</v>
      </c>
      <c r="H10" s="44"/>
      <c r="I10" s="58"/>
      <c r="J10" s="61"/>
    </row>
    <row r="11" spans="1:12" s="43" customFormat="1" ht="13.5" customHeight="1">
      <c r="A11" s="44">
        <v>7</v>
      </c>
      <c r="B11" s="59"/>
      <c r="C11" s="59"/>
      <c r="D11" s="59"/>
      <c r="E11" s="44" t="s">
        <v>32</v>
      </c>
      <c r="F11" s="55" t="s">
        <v>33</v>
      </c>
      <c r="G11" s="56" t="s">
        <v>34</v>
      </c>
      <c r="H11" s="44"/>
      <c r="I11" s="58"/>
      <c r="J11" s="61"/>
    </row>
    <row r="12" spans="1:12" s="43" customFormat="1" ht="24">
      <c r="A12" s="44">
        <v>8</v>
      </c>
      <c r="B12" s="64" t="s">
        <v>35</v>
      </c>
      <c r="C12" s="65" t="s">
        <v>36</v>
      </c>
      <c r="D12" s="80" t="s">
        <v>36</v>
      </c>
      <c r="E12" s="44" t="s">
        <v>37</v>
      </c>
      <c r="F12" s="55" t="s">
        <v>38</v>
      </c>
      <c r="G12" s="56" t="s">
        <v>39</v>
      </c>
      <c r="H12" s="44"/>
      <c r="I12" s="58"/>
      <c r="J12" s="61"/>
    </row>
    <row r="13" spans="1:12" ht="48">
      <c r="A13" s="8">
        <v>9</v>
      </c>
      <c r="B13" s="21"/>
      <c r="C13" s="20" t="s">
        <v>17</v>
      </c>
      <c r="D13" s="78" t="s">
        <v>17</v>
      </c>
      <c r="E13" s="8" t="s">
        <v>40</v>
      </c>
      <c r="F13" s="26" t="s">
        <v>41</v>
      </c>
      <c r="G13" s="37" t="s">
        <v>42</v>
      </c>
      <c r="H13" s="8"/>
      <c r="I13" s="36"/>
      <c r="J13" s="28"/>
    </row>
    <row r="14" spans="1:12" ht="13.5" customHeight="1">
      <c r="A14" s="8">
        <v>10</v>
      </c>
      <c r="B14" s="21"/>
      <c r="C14" s="20" t="s">
        <v>17</v>
      </c>
      <c r="D14" s="78" t="s">
        <v>17</v>
      </c>
      <c r="E14" s="8" t="s">
        <v>43</v>
      </c>
      <c r="F14" s="26" t="s">
        <v>44</v>
      </c>
      <c r="G14" s="35" t="s">
        <v>44</v>
      </c>
      <c r="H14" s="8"/>
      <c r="I14" s="36"/>
      <c r="J14" s="28"/>
    </row>
    <row r="15" spans="1:12" ht="45" customHeight="1">
      <c r="A15" s="8">
        <v>11</v>
      </c>
      <c r="B15" s="21"/>
      <c r="C15" s="20" t="s">
        <v>17</v>
      </c>
      <c r="D15" s="78" t="s">
        <v>17</v>
      </c>
      <c r="E15" s="8" t="s">
        <v>45</v>
      </c>
      <c r="F15" s="26" t="s">
        <v>46</v>
      </c>
      <c r="G15" s="35" t="s">
        <v>46</v>
      </c>
      <c r="H15" s="8"/>
      <c r="I15" s="36"/>
      <c r="J15" s="63" t="s">
        <v>47</v>
      </c>
      <c r="K15" s="43"/>
      <c r="L15" s="43" t="s">
        <v>48</v>
      </c>
    </row>
    <row r="16" spans="1:12" ht="13.5" customHeight="1">
      <c r="A16" s="8">
        <v>12</v>
      </c>
      <c r="B16" s="21"/>
      <c r="C16" s="20" t="s">
        <v>17</v>
      </c>
      <c r="D16" s="78" t="s">
        <v>17</v>
      </c>
      <c r="E16" s="8" t="s">
        <v>49</v>
      </c>
      <c r="F16" s="26" t="s">
        <v>50</v>
      </c>
      <c r="G16" s="35" t="s">
        <v>50</v>
      </c>
      <c r="H16" s="8"/>
      <c r="I16" s="36"/>
      <c r="J16" s="28"/>
    </row>
    <row r="17" spans="1:12" ht="13.5" customHeight="1">
      <c r="A17" s="8">
        <v>13</v>
      </c>
      <c r="B17" s="21"/>
      <c r="C17" s="20" t="s">
        <v>17</v>
      </c>
      <c r="D17" s="78" t="s">
        <v>17</v>
      </c>
      <c r="E17" s="8" t="s">
        <v>51</v>
      </c>
      <c r="F17" s="26" t="s">
        <v>52</v>
      </c>
      <c r="G17" s="35" t="s">
        <v>52</v>
      </c>
      <c r="H17" s="8"/>
      <c r="I17" s="36"/>
      <c r="J17" s="28"/>
    </row>
    <row r="18" spans="1:12" ht="13.5" customHeight="1">
      <c r="A18" s="8">
        <v>14</v>
      </c>
      <c r="B18" s="19" t="s">
        <v>17</v>
      </c>
      <c r="C18" s="20" t="s">
        <v>17</v>
      </c>
      <c r="D18" s="78" t="s">
        <v>17</v>
      </c>
      <c r="E18" s="8" t="s">
        <v>53</v>
      </c>
      <c r="F18" s="26" t="s">
        <v>54</v>
      </c>
      <c r="G18" s="35"/>
      <c r="H18" s="8" t="s">
        <v>55</v>
      </c>
      <c r="I18" s="36"/>
      <c r="J18" s="28"/>
    </row>
    <row r="19" spans="1:12" ht="13.5" customHeight="1">
      <c r="A19" s="8">
        <v>15</v>
      </c>
      <c r="B19" s="21"/>
      <c r="C19" s="20" t="s">
        <v>17</v>
      </c>
      <c r="D19" s="78" t="s">
        <v>17</v>
      </c>
      <c r="E19" s="8" t="s">
        <v>56</v>
      </c>
      <c r="F19" s="26" t="s">
        <v>57</v>
      </c>
      <c r="G19" s="35"/>
      <c r="H19" s="8" t="s">
        <v>58</v>
      </c>
      <c r="I19" s="36"/>
      <c r="J19" s="28"/>
    </row>
    <row r="20" spans="1:12" ht="36">
      <c r="A20" s="8">
        <v>16</v>
      </c>
      <c r="B20" s="21"/>
      <c r="C20" s="20" t="s">
        <v>17</v>
      </c>
      <c r="D20" s="78" t="s">
        <v>17</v>
      </c>
      <c r="E20" s="8" t="s">
        <v>59</v>
      </c>
      <c r="F20" s="26" t="s">
        <v>60</v>
      </c>
      <c r="G20" s="35"/>
      <c r="H20" s="8"/>
      <c r="I20" s="36"/>
      <c r="J20" s="29" t="s">
        <v>61</v>
      </c>
    </row>
    <row r="21" spans="1:12" ht="13.5" customHeight="1">
      <c r="A21" s="8">
        <v>17</v>
      </c>
      <c r="B21" s="21"/>
      <c r="C21" s="20" t="s">
        <v>17</v>
      </c>
      <c r="D21" s="78" t="s">
        <v>17</v>
      </c>
      <c r="E21" s="8" t="s">
        <v>62</v>
      </c>
      <c r="F21" s="26" t="s">
        <v>63</v>
      </c>
      <c r="G21" s="35"/>
      <c r="H21" s="8" t="s">
        <v>64</v>
      </c>
      <c r="I21" s="36"/>
      <c r="J21" s="28"/>
    </row>
    <row r="22" spans="1:12" ht="36">
      <c r="A22" s="8">
        <v>18</v>
      </c>
      <c r="B22" s="21"/>
      <c r="C22" s="20" t="s">
        <v>17</v>
      </c>
      <c r="D22" s="78" t="s">
        <v>17</v>
      </c>
      <c r="E22" s="8" t="s">
        <v>65</v>
      </c>
      <c r="F22" s="26" t="s">
        <v>66</v>
      </c>
      <c r="G22" s="35"/>
      <c r="H22" s="8"/>
      <c r="I22" s="36"/>
      <c r="J22" s="29" t="s">
        <v>67</v>
      </c>
    </row>
    <row r="23" spans="1:12" ht="13.5" customHeight="1">
      <c r="A23" s="8">
        <v>19</v>
      </c>
      <c r="B23" s="21"/>
      <c r="C23" s="20" t="s">
        <v>17</v>
      </c>
      <c r="D23" s="78" t="s">
        <v>17</v>
      </c>
      <c r="E23" s="8" t="s">
        <v>68</v>
      </c>
      <c r="F23" s="26" t="s">
        <v>69</v>
      </c>
      <c r="G23" s="35"/>
      <c r="H23" s="8" t="s">
        <v>70</v>
      </c>
      <c r="I23" s="36"/>
      <c r="J23" s="28"/>
    </row>
    <row r="24" spans="1:12" ht="36">
      <c r="A24" s="8">
        <v>20</v>
      </c>
      <c r="B24" s="21"/>
      <c r="C24" s="20" t="s">
        <v>17</v>
      </c>
      <c r="D24" s="78" t="s">
        <v>17</v>
      </c>
      <c r="E24" s="8" t="s">
        <v>71</v>
      </c>
      <c r="F24" s="26" t="s">
        <v>72</v>
      </c>
      <c r="G24" s="35"/>
      <c r="H24" s="8"/>
      <c r="I24" s="36"/>
      <c r="J24" s="29" t="s">
        <v>73</v>
      </c>
    </row>
    <row r="25" spans="1:12" ht="36">
      <c r="A25" s="8">
        <v>21</v>
      </c>
      <c r="B25" s="19" t="s">
        <v>17</v>
      </c>
      <c r="C25" s="20" t="s">
        <v>17</v>
      </c>
      <c r="D25" s="78" t="s">
        <v>17</v>
      </c>
      <c r="E25" s="8" t="s">
        <v>74</v>
      </c>
      <c r="F25" s="26" t="s">
        <v>75</v>
      </c>
      <c r="G25" s="35"/>
      <c r="H25" s="11" t="s">
        <v>76</v>
      </c>
      <c r="I25" s="36"/>
      <c r="J25" s="28"/>
    </row>
    <row r="26" spans="1:12" ht="36">
      <c r="A26" s="8">
        <v>22</v>
      </c>
      <c r="B26" s="19" t="s">
        <v>17</v>
      </c>
      <c r="C26" s="20" t="s">
        <v>17</v>
      </c>
      <c r="D26" s="78" t="s">
        <v>17</v>
      </c>
      <c r="E26" s="8" t="s">
        <v>77</v>
      </c>
      <c r="F26" s="26" t="s">
        <v>78</v>
      </c>
      <c r="G26" s="35"/>
      <c r="H26" s="8"/>
      <c r="I26" s="36"/>
      <c r="J26" s="29" t="s">
        <v>79</v>
      </c>
    </row>
    <row r="27" spans="1:12" s="43" customFormat="1" ht="60">
      <c r="A27" s="44">
        <v>23</v>
      </c>
      <c r="B27" s="53" t="s">
        <v>17</v>
      </c>
      <c r="C27" s="54" t="s">
        <v>17</v>
      </c>
      <c r="D27" s="79" t="s">
        <v>17</v>
      </c>
      <c r="E27" s="44" t="s">
        <v>80</v>
      </c>
      <c r="F27" s="55" t="s">
        <v>81</v>
      </c>
      <c r="G27" s="56"/>
      <c r="H27" s="62" t="s">
        <v>82</v>
      </c>
      <c r="I27" s="58"/>
      <c r="J27" s="63" t="s">
        <v>83</v>
      </c>
    </row>
    <row r="28" spans="1:12" ht="13.5" customHeight="1">
      <c r="A28" s="8">
        <v>24</v>
      </c>
      <c r="B28" s="21"/>
      <c r="C28" s="20" t="s">
        <v>17</v>
      </c>
      <c r="D28" s="78" t="s">
        <v>17</v>
      </c>
      <c r="E28" s="8" t="s">
        <v>84</v>
      </c>
      <c r="F28" s="26" t="s">
        <v>85</v>
      </c>
      <c r="G28" s="35"/>
      <c r="H28" s="8" t="s">
        <v>85</v>
      </c>
      <c r="I28" s="36"/>
      <c r="J28" s="28"/>
    </row>
    <row r="29" spans="1:12" ht="13.5" customHeight="1">
      <c r="A29" s="8">
        <v>25</v>
      </c>
      <c r="B29" s="21"/>
      <c r="C29" s="20" t="s">
        <v>17</v>
      </c>
      <c r="D29" s="78" t="s">
        <v>17</v>
      </c>
      <c r="E29" s="8" t="s">
        <v>86</v>
      </c>
      <c r="F29" s="26" t="s">
        <v>87</v>
      </c>
      <c r="G29" s="35"/>
      <c r="H29" s="8" t="s">
        <v>87</v>
      </c>
      <c r="I29" s="36"/>
      <c r="J29" s="28"/>
    </row>
    <row r="30" spans="1:12" ht="72">
      <c r="A30" s="8">
        <v>26</v>
      </c>
      <c r="B30" s="21"/>
      <c r="C30" s="20" t="s">
        <v>17</v>
      </c>
      <c r="D30" s="78" t="s">
        <v>17</v>
      </c>
      <c r="E30" s="82" t="s">
        <v>88</v>
      </c>
      <c r="F30" s="83" t="s">
        <v>89</v>
      </c>
      <c r="G30" s="35"/>
      <c r="H30" s="11" t="s">
        <v>90</v>
      </c>
      <c r="I30" s="36"/>
      <c r="J30" s="28"/>
      <c r="L30" s="66" t="s">
        <v>91</v>
      </c>
    </row>
    <row r="31" spans="1:12" ht="48">
      <c r="A31" s="8">
        <v>27</v>
      </c>
      <c r="B31" s="21"/>
      <c r="C31" s="20" t="s">
        <v>17</v>
      </c>
      <c r="D31" s="78" t="s">
        <v>17</v>
      </c>
      <c r="E31" s="82" t="s">
        <v>92</v>
      </c>
      <c r="F31" s="83" t="s">
        <v>93</v>
      </c>
      <c r="G31" s="35"/>
      <c r="H31" s="11" t="s">
        <v>94</v>
      </c>
      <c r="I31" s="36"/>
      <c r="J31" s="28"/>
      <c r="L31" s="66" t="s">
        <v>91</v>
      </c>
    </row>
    <row r="32" spans="1:12" ht="13.5" customHeight="1">
      <c r="A32" s="8">
        <v>28</v>
      </c>
      <c r="B32" s="21"/>
      <c r="C32" s="20" t="s">
        <v>17</v>
      </c>
      <c r="D32" s="78" t="s">
        <v>17</v>
      </c>
      <c r="E32" s="8" t="s">
        <v>95</v>
      </c>
      <c r="F32" s="26" t="s">
        <v>96</v>
      </c>
      <c r="G32" s="35"/>
      <c r="H32" s="8" t="s">
        <v>97</v>
      </c>
      <c r="I32" s="36"/>
      <c r="J32" s="28"/>
    </row>
    <row r="33" spans="1:10" ht="13.5" customHeight="1">
      <c r="A33" s="8">
        <v>29</v>
      </c>
      <c r="B33" s="19" t="s">
        <v>17</v>
      </c>
      <c r="C33" s="20" t="s">
        <v>17</v>
      </c>
      <c r="D33" s="78" t="s">
        <v>17</v>
      </c>
      <c r="E33" s="8" t="s">
        <v>98</v>
      </c>
      <c r="F33" s="26" t="s">
        <v>99</v>
      </c>
      <c r="G33" s="35"/>
      <c r="H33" s="8" t="s">
        <v>99</v>
      </c>
      <c r="I33" s="36"/>
      <c r="J33" s="28"/>
    </row>
    <row r="34" spans="1:10" ht="13.5" customHeight="1">
      <c r="A34" s="8">
        <v>30</v>
      </c>
      <c r="B34" s="21"/>
      <c r="C34" s="20" t="s">
        <v>17</v>
      </c>
      <c r="D34" s="78" t="s">
        <v>17</v>
      </c>
      <c r="E34" s="8" t="s">
        <v>100</v>
      </c>
      <c r="F34" s="26" t="s">
        <v>101</v>
      </c>
      <c r="G34" s="35"/>
      <c r="H34" s="8" t="s">
        <v>101</v>
      </c>
      <c r="I34" s="36"/>
      <c r="J34" s="28"/>
    </row>
    <row r="35" spans="1:10" ht="13.5" customHeight="1">
      <c r="A35" s="8">
        <v>31</v>
      </c>
      <c r="B35" s="21"/>
      <c r="C35" s="20" t="s">
        <v>17</v>
      </c>
      <c r="D35" s="78" t="s">
        <v>17</v>
      </c>
      <c r="E35" s="8" t="s">
        <v>102</v>
      </c>
      <c r="F35" s="26" t="s">
        <v>103</v>
      </c>
      <c r="G35" s="35"/>
      <c r="H35" s="8" t="s">
        <v>104</v>
      </c>
      <c r="I35" s="36"/>
      <c r="J35" s="28"/>
    </row>
    <row r="36" spans="1:10" ht="13.5" customHeight="1">
      <c r="A36" s="8">
        <v>32</v>
      </c>
      <c r="B36" s="21"/>
      <c r="C36" s="20" t="s">
        <v>17</v>
      </c>
      <c r="D36" s="78" t="s">
        <v>17</v>
      </c>
      <c r="E36" s="8" t="s">
        <v>105</v>
      </c>
      <c r="F36" s="26" t="s">
        <v>106</v>
      </c>
      <c r="G36" s="35"/>
      <c r="H36" s="8" t="s">
        <v>106</v>
      </c>
      <c r="I36" s="36"/>
      <c r="J36" s="28"/>
    </row>
    <row r="37" spans="1:10" ht="13.5" customHeight="1">
      <c r="A37" s="8">
        <v>33</v>
      </c>
      <c r="B37" s="21"/>
      <c r="C37" s="20" t="s">
        <v>17</v>
      </c>
      <c r="D37" s="78" t="s">
        <v>17</v>
      </c>
      <c r="E37" s="8" t="s">
        <v>107</v>
      </c>
      <c r="F37" s="26" t="s">
        <v>108</v>
      </c>
      <c r="G37" s="35"/>
      <c r="H37" s="8" t="s">
        <v>108</v>
      </c>
      <c r="I37" s="36"/>
      <c r="J37" s="28"/>
    </row>
    <row r="38" spans="1:10" ht="74.25" customHeight="1">
      <c r="A38" s="8">
        <v>34</v>
      </c>
      <c r="B38" s="21"/>
      <c r="C38" s="20" t="s">
        <v>17</v>
      </c>
      <c r="D38" s="78" t="s">
        <v>17</v>
      </c>
      <c r="E38" s="8" t="s">
        <v>109</v>
      </c>
      <c r="F38" s="26" t="s">
        <v>110</v>
      </c>
      <c r="G38" s="113" t="s">
        <v>111</v>
      </c>
      <c r="H38" s="114"/>
      <c r="I38" s="36"/>
      <c r="J38" s="28"/>
    </row>
    <row r="39" spans="1:10" ht="13.5" customHeight="1">
      <c r="A39" s="8">
        <v>35</v>
      </c>
      <c r="B39" s="21"/>
      <c r="C39" s="20" t="s">
        <v>17</v>
      </c>
      <c r="D39" s="78" t="s">
        <v>17</v>
      </c>
      <c r="E39" s="8" t="s">
        <v>112</v>
      </c>
      <c r="F39" s="26" t="s">
        <v>113</v>
      </c>
      <c r="G39" s="35" t="s">
        <v>113</v>
      </c>
      <c r="H39" s="9"/>
      <c r="I39" s="36"/>
      <c r="J39" s="28"/>
    </row>
    <row r="40" spans="1:10" ht="13.5" customHeight="1">
      <c r="A40" s="8">
        <v>36</v>
      </c>
      <c r="B40" s="21"/>
      <c r="C40" s="20" t="s">
        <v>17</v>
      </c>
      <c r="D40" s="78" t="s">
        <v>17</v>
      </c>
      <c r="E40" s="8" t="s">
        <v>114</v>
      </c>
      <c r="F40" s="26" t="s">
        <v>115</v>
      </c>
      <c r="G40" s="35" t="s">
        <v>115</v>
      </c>
      <c r="H40" s="9"/>
      <c r="I40" s="36"/>
      <c r="J40" s="28"/>
    </row>
    <row r="41" spans="1:10" ht="13.5" customHeight="1">
      <c r="A41" s="8">
        <v>37</v>
      </c>
      <c r="B41" s="21"/>
      <c r="C41" s="20" t="s">
        <v>17</v>
      </c>
      <c r="D41" s="78" t="s">
        <v>17</v>
      </c>
      <c r="E41" s="8" t="s">
        <v>116</v>
      </c>
      <c r="F41" s="26" t="s">
        <v>117</v>
      </c>
      <c r="G41" s="35" t="s">
        <v>117</v>
      </c>
      <c r="H41" s="9"/>
      <c r="I41" s="36"/>
      <c r="J41" s="28"/>
    </row>
    <row r="42" spans="1:10" ht="74.25" customHeight="1">
      <c r="A42" s="8">
        <v>38</v>
      </c>
      <c r="B42" s="21"/>
      <c r="C42" s="20" t="s">
        <v>17</v>
      </c>
      <c r="D42" s="78" t="s">
        <v>17</v>
      </c>
      <c r="E42" s="8" t="s">
        <v>118</v>
      </c>
      <c r="F42" s="26" t="s">
        <v>119</v>
      </c>
      <c r="G42" s="113" t="s">
        <v>120</v>
      </c>
      <c r="H42" s="119"/>
      <c r="I42" s="36"/>
      <c r="J42" s="28"/>
    </row>
    <row r="43" spans="1:10" ht="13.5" customHeight="1">
      <c r="A43" s="8">
        <v>39</v>
      </c>
      <c r="B43" s="21"/>
      <c r="C43" s="20" t="s">
        <v>17</v>
      </c>
      <c r="D43" s="78" t="s">
        <v>17</v>
      </c>
      <c r="E43" s="8" t="s">
        <v>121</v>
      </c>
      <c r="F43" s="26" t="s">
        <v>122</v>
      </c>
      <c r="G43" s="35"/>
      <c r="H43" s="9" t="s">
        <v>122</v>
      </c>
      <c r="I43" s="36"/>
      <c r="J43" s="28"/>
    </row>
    <row r="44" spans="1:10" ht="13.5" customHeight="1">
      <c r="A44" s="8">
        <v>40</v>
      </c>
      <c r="B44" s="21"/>
      <c r="C44" s="20" t="s">
        <v>17</v>
      </c>
      <c r="D44" s="78" t="s">
        <v>17</v>
      </c>
      <c r="E44" s="8" t="s">
        <v>123</v>
      </c>
      <c r="F44" s="26" t="s">
        <v>124</v>
      </c>
      <c r="G44" s="35"/>
      <c r="H44" s="9" t="s">
        <v>124</v>
      </c>
      <c r="I44" s="36"/>
      <c r="J44" s="28"/>
    </row>
    <row r="45" spans="1:10" ht="13.5" customHeight="1">
      <c r="A45" s="8">
        <v>41</v>
      </c>
      <c r="B45" s="21"/>
      <c r="C45" s="20" t="s">
        <v>17</v>
      </c>
      <c r="D45" s="78" t="s">
        <v>17</v>
      </c>
      <c r="E45" s="8" t="s">
        <v>125</v>
      </c>
      <c r="F45" s="26" t="s">
        <v>126</v>
      </c>
      <c r="G45" s="35"/>
      <c r="H45" s="9" t="s">
        <v>127</v>
      </c>
      <c r="I45" s="36"/>
      <c r="J45" s="28"/>
    </row>
    <row r="46" spans="1:10" ht="13.5" customHeight="1">
      <c r="A46" s="8">
        <v>42</v>
      </c>
      <c r="B46" s="21"/>
      <c r="C46" s="20" t="s">
        <v>17</v>
      </c>
      <c r="D46" s="78" t="s">
        <v>17</v>
      </c>
      <c r="E46" s="8" t="s">
        <v>128</v>
      </c>
      <c r="F46" s="26" t="s">
        <v>129</v>
      </c>
      <c r="G46" s="35"/>
      <c r="H46" s="9" t="s">
        <v>129</v>
      </c>
      <c r="I46" s="36"/>
      <c r="J46" s="28"/>
    </row>
    <row r="47" spans="1:10" ht="13.5" customHeight="1">
      <c r="A47" s="8">
        <v>43</v>
      </c>
      <c r="B47" s="21"/>
      <c r="C47" s="20" t="s">
        <v>17</v>
      </c>
      <c r="D47" s="78" t="s">
        <v>17</v>
      </c>
      <c r="E47" s="8" t="s">
        <v>130</v>
      </c>
      <c r="F47" s="26" t="s">
        <v>131</v>
      </c>
      <c r="G47" s="35"/>
      <c r="H47" s="9" t="s">
        <v>131</v>
      </c>
      <c r="I47" s="36"/>
      <c r="J47" s="28"/>
    </row>
    <row r="48" spans="1:10" ht="13.5" customHeight="1">
      <c r="A48" s="8">
        <v>44</v>
      </c>
      <c r="B48" s="21"/>
      <c r="C48" s="20" t="s">
        <v>17</v>
      </c>
      <c r="D48" s="78" t="s">
        <v>17</v>
      </c>
      <c r="E48" s="8" t="s">
        <v>132</v>
      </c>
      <c r="F48" s="26" t="s">
        <v>133</v>
      </c>
      <c r="G48" s="35"/>
      <c r="H48" s="9" t="s">
        <v>134</v>
      </c>
      <c r="I48" s="36"/>
      <c r="J48" s="28"/>
    </row>
    <row r="49" spans="1:13" s="43" customFormat="1" ht="192">
      <c r="A49" s="44">
        <v>45</v>
      </c>
      <c r="B49" s="59"/>
      <c r="C49" s="54" t="s">
        <v>17</v>
      </c>
      <c r="D49" s="79" t="s">
        <v>17</v>
      </c>
      <c r="E49" s="44" t="s">
        <v>135</v>
      </c>
      <c r="F49" s="55" t="s">
        <v>136</v>
      </c>
      <c r="G49" s="56"/>
      <c r="H49" s="60" t="s">
        <v>137</v>
      </c>
      <c r="I49" s="58"/>
      <c r="J49" s="61"/>
    </row>
    <row r="50" spans="1:13" ht="13.5" customHeight="1">
      <c r="A50" s="8">
        <v>46</v>
      </c>
      <c r="B50" s="21"/>
      <c r="C50" s="20" t="s">
        <v>17</v>
      </c>
      <c r="D50" s="78" t="s">
        <v>17</v>
      </c>
      <c r="E50" s="8" t="s">
        <v>138</v>
      </c>
      <c r="F50" s="26" t="s">
        <v>139</v>
      </c>
      <c r="G50" s="35"/>
      <c r="H50" s="9" t="s">
        <v>139</v>
      </c>
      <c r="I50" s="36"/>
      <c r="J50" s="28"/>
    </row>
    <row r="51" spans="1:13" ht="13.5" customHeight="1">
      <c r="A51" s="8">
        <v>47</v>
      </c>
      <c r="B51" s="21"/>
      <c r="C51" s="20" t="s">
        <v>17</v>
      </c>
      <c r="D51" s="78" t="s">
        <v>17</v>
      </c>
      <c r="E51" s="8" t="s">
        <v>140</v>
      </c>
      <c r="F51" s="26" t="s">
        <v>141</v>
      </c>
      <c r="G51" s="35"/>
      <c r="H51" s="9" t="s">
        <v>141</v>
      </c>
      <c r="I51" s="36"/>
      <c r="J51" s="28"/>
    </row>
    <row r="52" spans="1:13" ht="13.5" customHeight="1">
      <c r="A52" s="8">
        <v>48</v>
      </c>
      <c r="B52" s="21"/>
      <c r="C52" s="20" t="s">
        <v>17</v>
      </c>
      <c r="D52" s="78" t="s">
        <v>17</v>
      </c>
      <c r="E52" s="8" t="s">
        <v>142</v>
      </c>
      <c r="F52" s="26" t="s">
        <v>143</v>
      </c>
      <c r="G52" s="35"/>
      <c r="H52" s="9" t="s">
        <v>143</v>
      </c>
      <c r="I52" s="36"/>
      <c r="J52" s="28"/>
    </row>
    <row r="53" spans="1:13" ht="27" customHeight="1">
      <c r="A53" s="8">
        <v>49</v>
      </c>
      <c r="B53" s="21"/>
      <c r="C53" s="20" t="s">
        <v>17</v>
      </c>
      <c r="D53" s="78" t="s">
        <v>17</v>
      </c>
      <c r="E53" s="8" t="s">
        <v>144</v>
      </c>
      <c r="F53" s="26" t="s">
        <v>145</v>
      </c>
      <c r="G53" s="35"/>
      <c r="H53" s="9"/>
      <c r="I53" s="36" t="s">
        <v>145</v>
      </c>
      <c r="J53" s="67"/>
      <c r="L53" s="66"/>
    </row>
    <row r="54" spans="1:13" ht="94.5" customHeight="1">
      <c r="A54" s="8">
        <v>50</v>
      </c>
      <c r="B54" s="21"/>
      <c r="C54" s="20" t="s">
        <v>17</v>
      </c>
      <c r="D54" s="78" t="s">
        <v>17</v>
      </c>
      <c r="E54" s="8" t="s">
        <v>146</v>
      </c>
      <c r="F54" s="26" t="s">
        <v>147</v>
      </c>
      <c r="G54" s="96" t="s">
        <v>148</v>
      </c>
      <c r="H54" s="28"/>
      <c r="I54" s="52"/>
      <c r="J54" s="95" t="s">
        <v>149</v>
      </c>
      <c r="K54" s="43"/>
      <c r="L54" s="43"/>
      <c r="M54" s="43"/>
    </row>
    <row r="55" spans="1:13" ht="13.5" customHeight="1">
      <c r="A55" s="8">
        <v>51</v>
      </c>
      <c r="B55" s="21"/>
      <c r="C55" s="20" t="s">
        <v>17</v>
      </c>
      <c r="D55" s="78" t="s">
        <v>17</v>
      </c>
      <c r="E55" s="8" t="s">
        <v>150</v>
      </c>
      <c r="F55" s="26" t="s">
        <v>151</v>
      </c>
      <c r="G55" s="35"/>
      <c r="H55" s="9"/>
      <c r="I55" s="36" t="s">
        <v>151</v>
      </c>
      <c r="J55" s="28"/>
    </row>
    <row r="56" spans="1:13" ht="13.5" customHeight="1">
      <c r="A56" s="8">
        <v>52</v>
      </c>
      <c r="B56" s="21"/>
      <c r="C56" s="20" t="s">
        <v>17</v>
      </c>
      <c r="D56" s="78" t="s">
        <v>17</v>
      </c>
      <c r="E56" s="8" t="s">
        <v>152</v>
      </c>
      <c r="F56" s="26" t="s">
        <v>153</v>
      </c>
      <c r="G56" s="35"/>
      <c r="H56" s="9"/>
      <c r="I56" s="36" t="s">
        <v>153</v>
      </c>
      <c r="J56" s="28"/>
    </row>
    <row r="57" spans="1:13" ht="13.5" customHeight="1">
      <c r="A57" s="8">
        <v>53</v>
      </c>
      <c r="B57" s="21"/>
      <c r="C57" s="20" t="s">
        <v>17</v>
      </c>
      <c r="D57" s="78" t="s">
        <v>17</v>
      </c>
      <c r="E57" s="8" t="s">
        <v>154</v>
      </c>
      <c r="F57" s="26" t="s">
        <v>155</v>
      </c>
      <c r="G57" s="35"/>
      <c r="H57" s="9" t="s">
        <v>155</v>
      </c>
      <c r="I57" s="36"/>
      <c r="J57" s="28"/>
    </row>
    <row r="58" spans="1:13" ht="48">
      <c r="A58" s="8">
        <v>54</v>
      </c>
      <c r="B58" s="21"/>
      <c r="C58" s="20" t="s">
        <v>17</v>
      </c>
      <c r="D58" s="78" t="s">
        <v>17</v>
      </c>
      <c r="E58" s="8" t="s">
        <v>156</v>
      </c>
      <c r="F58" s="26" t="s">
        <v>157</v>
      </c>
      <c r="G58" s="35"/>
      <c r="H58" s="10" t="s">
        <v>158</v>
      </c>
      <c r="I58" s="36"/>
      <c r="J58" s="28"/>
    </row>
    <row r="59" spans="1:13" s="43" customFormat="1" ht="96" customHeight="1">
      <c r="A59" s="44">
        <v>55</v>
      </c>
      <c r="B59" s="53" t="s">
        <v>17</v>
      </c>
      <c r="C59" s="54" t="s">
        <v>17</v>
      </c>
      <c r="D59" s="79" t="s">
        <v>17</v>
      </c>
      <c r="E59" s="44" t="s">
        <v>159</v>
      </c>
      <c r="F59" s="55" t="s">
        <v>160</v>
      </c>
      <c r="G59" s="56"/>
      <c r="H59" s="57"/>
      <c r="I59" s="58"/>
      <c r="J59" s="95" t="s">
        <v>161</v>
      </c>
    </row>
    <row r="60" spans="1:13" ht="13.5" customHeight="1">
      <c r="A60" s="8">
        <v>56</v>
      </c>
      <c r="B60" s="19" t="s">
        <v>17</v>
      </c>
      <c r="C60" s="20" t="s">
        <v>17</v>
      </c>
      <c r="D60" s="78" t="s">
        <v>17</v>
      </c>
      <c r="E60" s="8" t="s">
        <v>162</v>
      </c>
      <c r="F60" s="26" t="s">
        <v>163</v>
      </c>
      <c r="G60" s="35" t="s">
        <v>164</v>
      </c>
      <c r="H60" s="9"/>
      <c r="I60" s="36"/>
      <c r="J60" s="28"/>
    </row>
    <row r="61" spans="1:13" ht="13.5" customHeight="1">
      <c r="A61" s="8">
        <v>57</v>
      </c>
      <c r="B61" s="19" t="s">
        <v>17</v>
      </c>
      <c r="C61" s="20" t="s">
        <v>17</v>
      </c>
      <c r="D61" s="78" t="s">
        <v>17</v>
      </c>
      <c r="E61" s="8" t="s">
        <v>165</v>
      </c>
      <c r="F61" s="26" t="s">
        <v>166</v>
      </c>
      <c r="G61" s="35"/>
      <c r="H61" s="9"/>
      <c r="I61" s="36"/>
      <c r="J61" s="30" t="s">
        <v>167</v>
      </c>
    </row>
    <row r="62" spans="1:13" ht="48">
      <c r="A62" s="8">
        <v>58</v>
      </c>
      <c r="B62" s="21"/>
      <c r="C62" s="20" t="s">
        <v>17</v>
      </c>
      <c r="D62" s="78" t="s">
        <v>17</v>
      </c>
      <c r="E62" s="8" t="s">
        <v>168</v>
      </c>
      <c r="F62" s="26" t="s">
        <v>169</v>
      </c>
      <c r="G62" s="37" t="s">
        <v>170</v>
      </c>
      <c r="H62" s="9"/>
      <c r="I62" s="36"/>
      <c r="J62" s="28"/>
    </row>
    <row r="63" spans="1:13" ht="13.5" customHeight="1">
      <c r="A63" s="8">
        <v>59</v>
      </c>
      <c r="B63" s="19" t="s">
        <v>17</v>
      </c>
      <c r="C63" s="21"/>
      <c r="D63" s="21"/>
      <c r="E63" s="8" t="s">
        <v>171</v>
      </c>
      <c r="F63" s="26" t="s">
        <v>172</v>
      </c>
      <c r="G63" s="35" t="s">
        <v>172</v>
      </c>
      <c r="H63" s="9"/>
      <c r="I63" s="36"/>
      <c r="J63" s="28"/>
    </row>
    <row r="64" spans="1:13" ht="13.5" customHeight="1">
      <c r="A64" s="8">
        <v>60</v>
      </c>
      <c r="B64" s="19" t="s">
        <v>17</v>
      </c>
      <c r="C64" s="21"/>
      <c r="D64" s="21"/>
      <c r="E64" s="8" t="s">
        <v>173</v>
      </c>
      <c r="F64" s="26" t="s">
        <v>174</v>
      </c>
      <c r="G64" s="35" t="s">
        <v>174</v>
      </c>
      <c r="H64" s="9"/>
      <c r="I64" s="36"/>
      <c r="J64" s="28"/>
    </row>
    <row r="65" spans="1:14" ht="13.5" customHeight="1">
      <c r="A65" s="8">
        <v>61</v>
      </c>
      <c r="B65" s="19" t="s">
        <v>17</v>
      </c>
      <c r="C65" s="21"/>
      <c r="D65" s="21"/>
      <c r="E65" s="8" t="s">
        <v>175</v>
      </c>
      <c r="F65" s="26" t="s">
        <v>176</v>
      </c>
      <c r="G65" s="35" t="s">
        <v>176</v>
      </c>
      <c r="H65" s="9"/>
      <c r="I65" s="36"/>
      <c r="J65" s="28"/>
    </row>
    <row r="66" spans="1:14" ht="13.5" customHeight="1">
      <c r="A66" s="8">
        <v>62</v>
      </c>
      <c r="B66" s="19" t="s">
        <v>17</v>
      </c>
      <c r="C66" s="21"/>
      <c r="D66" s="21"/>
      <c r="E66" s="8" t="s">
        <v>177</v>
      </c>
      <c r="F66" s="26" t="s">
        <v>178</v>
      </c>
      <c r="G66" s="35" t="s">
        <v>178</v>
      </c>
      <c r="H66" s="9"/>
      <c r="I66" s="36"/>
      <c r="J66" s="28"/>
    </row>
    <row r="67" spans="1:14" ht="13.5" customHeight="1">
      <c r="A67" s="8">
        <v>63</v>
      </c>
      <c r="B67" s="69" t="s">
        <v>17</v>
      </c>
      <c r="C67" s="70"/>
      <c r="D67" s="70"/>
      <c r="E67" s="71" t="s">
        <v>179</v>
      </c>
      <c r="F67" s="72" t="s">
        <v>180</v>
      </c>
      <c r="G67" s="73"/>
      <c r="H67" s="41" t="s">
        <v>178</v>
      </c>
      <c r="I67" s="74"/>
      <c r="J67" s="4"/>
    </row>
    <row r="68" spans="1:14" ht="13.5" customHeight="1">
      <c r="A68" s="8">
        <v>64</v>
      </c>
      <c r="B68" s="21"/>
      <c r="C68" s="21"/>
      <c r="D68" s="81" t="s">
        <v>17</v>
      </c>
      <c r="E68" s="82" t="s">
        <v>181</v>
      </c>
      <c r="F68" s="108" t="s">
        <v>182</v>
      </c>
      <c r="G68" s="84" t="s">
        <v>183</v>
      </c>
      <c r="H68" s="85"/>
      <c r="I68" s="52"/>
      <c r="J68" s="67" t="s">
        <v>184</v>
      </c>
      <c r="L68" s="66" t="s">
        <v>185</v>
      </c>
      <c r="N68" s="1" t="s">
        <v>186</v>
      </c>
    </row>
    <row r="69" spans="1:14" ht="13.5" customHeight="1">
      <c r="A69" s="8">
        <v>65</v>
      </c>
      <c r="B69" s="21"/>
      <c r="C69" s="21"/>
      <c r="D69" s="81" t="s">
        <v>17</v>
      </c>
      <c r="E69" s="82" t="s">
        <v>187</v>
      </c>
      <c r="F69" s="83" t="s">
        <v>188</v>
      </c>
      <c r="G69" s="84" t="s">
        <v>189</v>
      </c>
      <c r="H69" s="85"/>
      <c r="I69" s="52"/>
      <c r="J69" s="86"/>
      <c r="L69" s="66" t="s">
        <v>185</v>
      </c>
      <c r="N69" s="1" t="s">
        <v>190</v>
      </c>
    </row>
    <row r="70" spans="1:14" ht="13.5" customHeight="1">
      <c r="A70" s="8">
        <v>66</v>
      </c>
      <c r="B70" s="21"/>
      <c r="C70" s="21"/>
      <c r="D70" s="81" t="s">
        <v>17</v>
      </c>
      <c r="E70" s="82" t="s">
        <v>191</v>
      </c>
      <c r="F70" s="83" t="s">
        <v>192</v>
      </c>
      <c r="G70" s="84" t="s">
        <v>192</v>
      </c>
      <c r="H70" s="85"/>
      <c r="I70" s="52"/>
      <c r="J70" s="86"/>
      <c r="L70" s="66" t="s">
        <v>185</v>
      </c>
      <c r="N70" s="1" t="s">
        <v>193</v>
      </c>
    </row>
    <row r="71" spans="1:14" ht="79.5" customHeight="1">
      <c r="A71" s="8">
        <v>67</v>
      </c>
      <c r="B71" s="21"/>
      <c r="C71" s="21"/>
      <c r="D71" s="81" t="s">
        <v>17</v>
      </c>
      <c r="E71" s="82" t="s">
        <v>194</v>
      </c>
      <c r="F71" s="108" t="s">
        <v>195</v>
      </c>
      <c r="G71" s="117" t="s">
        <v>196</v>
      </c>
      <c r="H71" s="118"/>
      <c r="I71" s="52"/>
      <c r="J71" s="107" t="s">
        <v>197</v>
      </c>
      <c r="L71" s="66" t="s">
        <v>198</v>
      </c>
      <c r="N71" s="1" t="s">
        <v>199</v>
      </c>
    </row>
    <row r="72" spans="1:14" ht="13.5" customHeight="1">
      <c r="A72" s="8">
        <v>68</v>
      </c>
      <c r="B72" s="21"/>
      <c r="C72" s="21"/>
      <c r="D72" s="81" t="s">
        <v>17</v>
      </c>
      <c r="E72" s="82" t="s">
        <v>200</v>
      </c>
      <c r="F72" s="108" t="s">
        <v>201</v>
      </c>
      <c r="G72" s="84" t="s">
        <v>202</v>
      </c>
      <c r="H72" s="85"/>
      <c r="I72" s="52"/>
      <c r="J72" s="86"/>
      <c r="L72" s="66" t="s">
        <v>185</v>
      </c>
    </row>
    <row r="73" spans="1:14" ht="13.5" customHeight="1">
      <c r="A73" s="8">
        <v>69</v>
      </c>
      <c r="B73" s="21"/>
      <c r="C73" s="21"/>
      <c r="D73" s="81" t="s">
        <v>17</v>
      </c>
      <c r="E73" s="82" t="s">
        <v>203</v>
      </c>
      <c r="F73" s="108" t="s">
        <v>204</v>
      </c>
      <c r="G73" s="84"/>
      <c r="H73" s="85" t="s">
        <v>205</v>
      </c>
      <c r="I73" s="52"/>
      <c r="J73" s="86"/>
      <c r="L73" s="66" t="s">
        <v>185</v>
      </c>
      <c r="N73" s="1" t="s">
        <v>206</v>
      </c>
    </row>
    <row r="74" spans="1:14" ht="13.5" customHeight="1">
      <c r="A74" s="8">
        <v>70</v>
      </c>
      <c r="B74" s="21"/>
      <c r="C74" s="21"/>
      <c r="D74" s="81" t="s">
        <v>17</v>
      </c>
      <c r="E74" s="82" t="s">
        <v>207</v>
      </c>
      <c r="F74" s="108" t="s">
        <v>208</v>
      </c>
      <c r="G74" s="84"/>
      <c r="H74" s="85" t="s">
        <v>209</v>
      </c>
      <c r="I74" s="52"/>
      <c r="J74" s="86"/>
      <c r="L74" s="66" t="s">
        <v>185</v>
      </c>
      <c r="N74" s="1" t="s">
        <v>210</v>
      </c>
    </row>
    <row r="75" spans="1:14" ht="36">
      <c r="A75" s="8">
        <v>71</v>
      </c>
      <c r="B75" s="21"/>
      <c r="C75" s="21"/>
      <c r="D75" s="81" t="s">
        <v>17</v>
      </c>
      <c r="E75" s="82" t="s">
        <v>211</v>
      </c>
      <c r="F75" s="83" t="s">
        <v>212</v>
      </c>
      <c r="G75" s="84"/>
      <c r="H75" s="87" t="s">
        <v>213</v>
      </c>
      <c r="I75" s="52"/>
      <c r="J75" s="86" t="s">
        <v>214</v>
      </c>
      <c r="L75" s="66" t="s">
        <v>185</v>
      </c>
      <c r="N75" s="1" t="s">
        <v>215</v>
      </c>
    </row>
    <row r="76" spans="1:14" ht="36">
      <c r="A76" s="76">
        <v>72</v>
      </c>
      <c r="B76" s="75"/>
      <c r="C76" s="75"/>
      <c r="D76" s="88" t="s">
        <v>17</v>
      </c>
      <c r="E76" s="89" t="s">
        <v>216</v>
      </c>
      <c r="F76" s="90" t="s">
        <v>217</v>
      </c>
      <c r="G76" s="91"/>
      <c r="H76" s="92" t="s">
        <v>218</v>
      </c>
      <c r="I76" s="93"/>
      <c r="J76" s="94" t="s">
        <v>219</v>
      </c>
      <c r="L76" s="66" t="s">
        <v>185</v>
      </c>
      <c r="N76" s="1" t="s">
        <v>220</v>
      </c>
    </row>
    <row r="79" spans="1:14" ht="13.5" customHeight="1">
      <c r="F79" s="13" t="s">
        <v>221</v>
      </c>
      <c r="G79" s="13" t="s">
        <v>222</v>
      </c>
      <c r="H79" s="14"/>
    </row>
    <row r="80" spans="1:14" ht="13.5" customHeight="1">
      <c r="F80" s="5"/>
      <c r="G80" s="5" t="s">
        <v>223</v>
      </c>
      <c r="H80" s="6"/>
    </row>
    <row r="81" spans="6:8" ht="13.5" customHeight="1">
      <c r="F81" s="13" t="s">
        <v>224</v>
      </c>
      <c r="G81" s="13" t="s">
        <v>225</v>
      </c>
      <c r="H81" s="14"/>
    </row>
    <row r="82" spans="6:8" ht="13.5" customHeight="1">
      <c r="F82" s="3"/>
      <c r="G82" s="3" t="s">
        <v>19</v>
      </c>
      <c r="H82" s="4"/>
    </row>
    <row r="83" spans="6:8" ht="13.5" customHeight="1">
      <c r="F83" s="3"/>
      <c r="G83" s="3" t="s">
        <v>23</v>
      </c>
      <c r="H83" s="4"/>
    </row>
    <row r="84" spans="6:8" ht="13.5" customHeight="1">
      <c r="F84" s="3"/>
      <c r="G84" s="3" t="s">
        <v>26</v>
      </c>
      <c r="H84" s="4"/>
    </row>
    <row r="85" spans="6:8" ht="13.5" customHeight="1">
      <c r="F85" s="3"/>
      <c r="G85" s="3" t="s">
        <v>226</v>
      </c>
      <c r="H85" s="4"/>
    </row>
    <row r="86" spans="6:8" ht="13.5" customHeight="1">
      <c r="F86" s="5"/>
      <c r="G86" s="5"/>
      <c r="H86" s="6"/>
    </row>
  </sheetData>
  <mergeCells count="9">
    <mergeCell ref="G3:I3"/>
    <mergeCell ref="J3:J4"/>
    <mergeCell ref="E3:F3"/>
    <mergeCell ref="B7:B8"/>
    <mergeCell ref="D7:D8"/>
    <mergeCell ref="G38:H38"/>
    <mergeCell ref="C7:C8"/>
    <mergeCell ref="G71:H71"/>
    <mergeCell ref="G42:H42"/>
  </mergeCells>
  <phoneticPr fontId="2"/>
  <pageMargins left="0.19685039370078741" right="0.19685039370078741" top="0.59055118110236227" bottom="0.59055118110236227" header="0.31496062992125984" footer="0.31496062992125984"/>
  <pageSetup paperSize="8" scale="7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364B-E688-4E00-B259-9EF93BC3939D}">
  <dimension ref="A1:H71"/>
  <sheetViews>
    <sheetView workbookViewId="0">
      <pane ySplit="2" topLeftCell="A49" activePane="bottomLeft" state="frozen"/>
      <selection pane="bottomLeft" activeCell="G2" sqref="G2"/>
    </sheetView>
  </sheetViews>
  <sheetFormatPr defaultRowHeight="13.5"/>
  <cols>
    <col min="1" max="1" width="3.7109375" style="1" bestFit="1" customWidth="1"/>
    <col min="2" max="2" width="20" style="1" bestFit="1" customWidth="1"/>
    <col min="3" max="3" width="7.85546875" style="1" customWidth="1"/>
    <col min="4" max="4" width="57.85546875" style="1" bestFit="1" customWidth="1"/>
    <col min="5" max="5" width="24.85546875" style="1" bestFit="1" customWidth="1"/>
    <col min="6" max="6" width="19" style="1" bestFit="1" customWidth="1"/>
    <col min="7" max="7" width="7.7109375" customWidth="1"/>
  </cols>
  <sheetData>
    <row r="1" spans="1:8">
      <c r="A1" s="128" t="s">
        <v>227</v>
      </c>
      <c r="B1" s="130" t="s">
        <v>228</v>
      </c>
      <c r="C1" s="131"/>
      <c r="D1" s="132"/>
      <c r="E1" s="125" t="s">
        <v>229</v>
      </c>
      <c r="F1" s="133"/>
    </row>
    <row r="2" spans="1:8">
      <c r="A2" s="129"/>
      <c r="B2" s="97" t="s">
        <v>230</v>
      </c>
      <c r="C2" s="98" t="s">
        <v>231</v>
      </c>
      <c r="D2" s="99" t="s">
        <v>232</v>
      </c>
      <c r="E2" s="16" t="s">
        <v>9</v>
      </c>
      <c r="F2" s="40" t="s">
        <v>10</v>
      </c>
      <c r="H2" s="66" t="s">
        <v>233</v>
      </c>
    </row>
    <row r="3" spans="1:8">
      <c r="A3" s="41">
        <v>1</v>
      </c>
      <c r="B3" s="43" t="s">
        <v>234</v>
      </c>
      <c r="C3" s="42" t="s">
        <v>235</v>
      </c>
      <c r="D3" s="4" t="str">
        <f>F3</f>
        <v>stre_cd</v>
      </c>
      <c r="E3" s="15" t="s">
        <v>15</v>
      </c>
      <c r="F3" s="47" t="s">
        <v>16</v>
      </c>
    </row>
    <row r="4" spans="1:8">
      <c r="A4" s="41">
        <v>2</v>
      </c>
      <c r="B4" s="44" t="s">
        <v>236</v>
      </c>
      <c r="C4" s="45" t="s">
        <v>235</v>
      </c>
      <c r="D4" s="28" t="str">
        <f>F4</f>
        <v>mac_no</v>
      </c>
      <c r="E4" s="8" t="s">
        <v>18</v>
      </c>
      <c r="F4" s="48" t="s">
        <v>19</v>
      </c>
    </row>
    <row r="5" spans="1:8">
      <c r="A5" s="137">
        <v>3</v>
      </c>
      <c r="B5" s="138" t="s">
        <v>237</v>
      </c>
      <c r="C5" s="139" t="s">
        <v>238</v>
      </c>
      <c r="D5" s="127" t="s">
        <v>239</v>
      </c>
      <c r="E5" s="8" t="s">
        <v>21</v>
      </c>
      <c r="F5" s="48" t="s">
        <v>22</v>
      </c>
    </row>
    <row r="6" spans="1:8">
      <c r="A6" s="137"/>
      <c r="B6" s="138"/>
      <c r="C6" s="139"/>
      <c r="D6" s="140"/>
      <c r="E6" s="8" t="s">
        <v>240</v>
      </c>
      <c r="F6" s="48" t="s">
        <v>25</v>
      </c>
    </row>
    <row r="7" spans="1:8" ht="13.5" customHeight="1">
      <c r="A7" s="41">
        <v>4</v>
      </c>
      <c r="B7" s="44" t="s">
        <v>241</v>
      </c>
      <c r="C7" s="45" t="s">
        <v>235</v>
      </c>
      <c r="D7" s="28" t="str">
        <f>F7</f>
        <v>seq_no</v>
      </c>
      <c r="E7" s="8" t="s">
        <v>27</v>
      </c>
      <c r="F7" s="48" t="s">
        <v>28</v>
      </c>
    </row>
    <row r="8" spans="1:8">
      <c r="A8" s="41">
        <v>5</v>
      </c>
      <c r="B8" s="44" t="s">
        <v>242</v>
      </c>
      <c r="C8" s="45" t="s">
        <v>238</v>
      </c>
      <c r="D8" s="28" t="s">
        <v>243</v>
      </c>
      <c r="E8" s="8" t="s">
        <v>29</v>
      </c>
      <c r="F8" s="48" t="s">
        <v>30</v>
      </c>
    </row>
    <row r="9" spans="1:8" ht="35.25" customHeight="1">
      <c r="A9" s="137">
        <v>6</v>
      </c>
      <c r="B9" s="138" t="s">
        <v>37</v>
      </c>
      <c r="C9" s="139" t="s">
        <v>238</v>
      </c>
      <c r="D9" s="127" t="s">
        <v>244</v>
      </c>
      <c r="E9" s="8" t="s">
        <v>32</v>
      </c>
      <c r="F9" s="48" t="s">
        <v>33</v>
      </c>
    </row>
    <row r="10" spans="1:8" ht="35.25" customHeight="1">
      <c r="A10" s="137"/>
      <c r="B10" s="138"/>
      <c r="C10" s="139"/>
      <c r="D10" s="127"/>
      <c r="E10" s="8" t="s">
        <v>37</v>
      </c>
      <c r="F10" s="48" t="s">
        <v>38</v>
      </c>
    </row>
    <row r="11" spans="1:8">
      <c r="A11" s="41">
        <v>7</v>
      </c>
      <c r="B11" s="44" t="s">
        <v>245</v>
      </c>
      <c r="C11" s="45" t="s">
        <v>235</v>
      </c>
      <c r="D11" s="28" t="str">
        <f>F11</f>
        <v>now_sale_day</v>
      </c>
      <c r="E11" s="8" t="s">
        <v>40</v>
      </c>
      <c r="F11" s="48" t="s">
        <v>41</v>
      </c>
    </row>
    <row r="12" spans="1:8">
      <c r="A12" s="41">
        <v>8</v>
      </c>
      <c r="B12" s="44" t="s">
        <v>43</v>
      </c>
      <c r="C12" s="45" t="s">
        <v>235</v>
      </c>
      <c r="D12" s="28" t="s">
        <v>246</v>
      </c>
      <c r="E12" s="8" t="s">
        <v>43</v>
      </c>
      <c r="F12" s="48" t="s">
        <v>44</v>
      </c>
    </row>
    <row r="13" spans="1:8">
      <c r="A13" s="41">
        <v>9</v>
      </c>
      <c r="B13" s="44" t="s">
        <v>45</v>
      </c>
      <c r="C13" s="45" t="s">
        <v>238</v>
      </c>
      <c r="D13" s="28" t="str">
        <f>F13</f>
        <v>chkr_name</v>
      </c>
      <c r="E13" s="8" t="s">
        <v>45</v>
      </c>
      <c r="F13" s="48" t="s">
        <v>46</v>
      </c>
    </row>
    <row r="14" spans="1:8">
      <c r="A14" s="41">
        <v>10</v>
      </c>
      <c r="B14" s="44" t="s">
        <v>49</v>
      </c>
      <c r="C14" s="45" t="s">
        <v>235</v>
      </c>
      <c r="D14" s="28" t="s">
        <v>247</v>
      </c>
      <c r="E14" s="8" t="s">
        <v>49</v>
      </c>
      <c r="F14" s="48" t="s">
        <v>50</v>
      </c>
    </row>
    <row r="15" spans="1:8">
      <c r="A15" s="41">
        <v>11</v>
      </c>
      <c r="B15" s="44" t="s">
        <v>51</v>
      </c>
      <c r="C15" s="45" t="s">
        <v>238</v>
      </c>
      <c r="D15" s="28" t="str">
        <f>F15</f>
        <v>cshr_name</v>
      </c>
      <c r="E15" s="8" t="s">
        <v>51</v>
      </c>
      <c r="F15" s="48" t="s">
        <v>52</v>
      </c>
    </row>
    <row r="16" spans="1:8">
      <c r="A16" s="41">
        <v>12</v>
      </c>
      <c r="B16" s="44" t="s">
        <v>53</v>
      </c>
      <c r="C16" s="45" t="s">
        <v>235</v>
      </c>
      <c r="D16" s="28" t="str">
        <f>F16</f>
        <v>lrgcls_cd</v>
      </c>
      <c r="E16" s="8" t="s">
        <v>53</v>
      </c>
      <c r="F16" s="48" t="s">
        <v>54</v>
      </c>
    </row>
    <row r="17" spans="1:6">
      <c r="A17" s="41">
        <v>13</v>
      </c>
      <c r="B17" s="44" t="s">
        <v>248</v>
      </c>
      <c r="C17" s="45" t="s">
        <v>235</v>
      </c>
      <c r="D17" s="28" t="str">
        <f>F17</f>
        <v>mdlcls_cd</v>
      </c>
      <c r="E17" s="8" t="s">
        <v>56</v>
      </c>
      <c r="F17" s="48" t="s">
        <v>57</v>
      </c>
    </row>
    <row r="18" spans="1:6">
      <c r="A18" s="41">
        <v>14</v>
      </c>
      <c r="B18" s="44" t="s">
        <v>249</v>
      </c>
      <c r="C18" s="45" t="s">
        <v>238</v>
      </c>
      <c r="D18" s="28" t="s">
        <v>250</v>
      </c>
      <c r="E18" s="8" t="s">
        <v>59</v>
      </c>
      <c r="F18" s="48" t="s">
        <v>60</v>
      </c>
    </row>
    <row r="19" spans="1:6">
      <c r="A19" s="41">
        <v>15</v>
      </c>
      <c r="B19" s="44" t="s">
        <v>251</v>
      </c>
      <c r="C19" s="45" t="s">
        <v>235</v>
      </c>
      <c r="D19" s="28" t="str">
        <f>F19</f>
        <v>smlcls_cd</v>
      </c>
      <c r="E19" s="8" t="s">
        <v>62</v>
      </c>
      <c r="F19" s="48" t="s">
        <v>63</v>
      </c>
    </row>
    <row r="20" spans="1:6">
      <c r="A20" s="41">
        <v>16</v>
      </c>
      <c r="B20" s="44" t="s">
        <v>252</v>
      </c>
      <c r="C20" s="45" t="s">
        <v>238</v>
      </c>
      <c r="D20" s="28" t="s">
        <v>253</v>
      </c>
      <c r="E20" s="8" t="s">
        <v>65</v>
      </c>
      <c r="F20" s="48" t="s">
        <v>66</v>
      </c>
    </row>
    <row r="21" spans="1:6">
      <c r="A21" s="41">
        <v>17</v>
      </c>
      <c r="B21" s="44" t="s">
        <v>254</v>
      </c>
      <c r="C21" s="45" t="s">
        <v>235</v>
      </c>
      <c r="D21" s="28" t="str">
        <f>F21</f>
        <v>tnycls_cd</v>
      </c>
      <c r="E21" s="8" t="s">
        <v>68</v>
      </c>
      <c r="F21" s="48" t="s">
        <v>69</v>
      </c>
    </row>
    <row r="22" spans="1:6">
      <c r="A22" s="41">
        <v>18</v>
      </c>
      <c r="B22" s="44" t="s">
        <v>255</v>
      </c>
      <c r="C22" s="45" t="s">
        <v>238</v>
      </c>
      <c r="D22" s="28" t="s">
        <v>256</v>
      </c>
      <c r="E22" s="8" t="s">
        <v>71</v>
      </c>
      <c r="F22" s="48" t="s">
        <v>72</v>
      </c>
    </row>
    <row r="23" spans="1:6">
      <c r="A23" s="41">
        <v>19</v>
      </c>
      <c r="B23" s="44" t="s">
        <v>257</v>
      </c>
      <c r="C23" s="45" t="s">
        <v>238</v>
      </c>
      <c r="D23" s="28" t="str">
        <f>F23</f>
        <v>plu_cd</v>
      </c>
      <c r="E23" s="8" t="s">
        <v>74</v>
      </c>
      <c r="F23" s="48" t="s">
        <v>75</v>
      </c>
    </row>
    <row r="24" spans="1:6">
      <c r="A24" s="41">
        <v>20</v>
      </c>
      <c r="B24" s="44" t="s">
        <v>77</v>
      </c>
      <c r="C24" s="45" t="s">
        <v>238</v>
      </c>
      <c r="D24" s="28" t="s">
        <v>258</v>
      </c>
      <c r="E24" s="8" t="s">
        <v>77</v>
      </c>
      <c r="F24" s="48" t="s">
        <v>78</v>
      </c>
    </row>
    <row r="25" spans="1:6">
      <c r="A25" s="41">
        <v>21</v>
      </c>
      <c r="B25" s="44" t="s">
        <v>80</v>
      </c>
      <c r="C25" s="45" t="s">
        <v>238</v>
      </c>
      <c r="D25" s="28" t="s">
        <v>259</v>
      </c>
      <c r="E25" s="44" t="s">
        <v>80</v>
      </c>
      <c r="F25" s="68" t="s">
        <v>81</v>
      </c>
    </row>
    <row r="26" spans="1:6">
      <c r="A26" s="41">
        <v>22</v>
      </c>
      <c r="B26" s="44" t="s">
        <v>260</v>
      </c>
      <c r="C26" s="45" t="s">
        <v>235</v>
      </c>
      <c r="D26" s="28" t="str">
        <f>F26</f>
        <v>rec_mthd_flg</v>
      </c>
      <c r="E26" s="8" t="s">
        <v>84</v>
      </c>
      <c r="F26" s="48" t="s">
        <v>85</v>
      </c>
    </row>
    <row r="27" spans="1:6">
      <c r="A27" s="41">
        <v>23</v>
      </c>
      <c r="B27" s="44" t="s">
        <v>261</v>
      </c>
      <c r="C27" s="45" t="s">
        <v>235</v>
      </c>
      <c r="D27" s="28" t="str">
        <f t="shared" ref="D27:D60" si="0">F27</f>
        <v>uuse_prc_flg</v>
      </c>
      <c r="E27" s="8" t="s">
        <v>86</v>
      </c>
      <c r="F27" s="48" t="s">
        <v>87</v>
      </c>
    </row>
    <row r="28" spans="1:6">
      <c r="A28" s="41">
        <v>24</v>
      </c>
      <c r="B28" s="44" t="s">
        <v>262</v>
      </c>
      <c r="C28" s="45" t="s">
        <v>235</v>
      </c>
      <c r="D28" s="28" t="str">
        <f t="shared" si="0"/>
        <v>act_nomi_in_prc</v>
      </c>
      <c r="E28" s="8" t="s">
        <v>88</v>
      </c>
      <c r="F28" s="48" t="s">
        <v>89</v>
      </c>
    </row>
    <row r="29" spans="1:6">
      <c r="A29" s="41">
        <v>25</v>
      </c>
      <c r="B29" s="44" t="s">
        <v>263</v>
      </c>
      <c r="C29" s="45" t="s">
        <v>235</v>
      </c>
      <c r="D29" s="28" t="str">
        <f t="shared" si="0"/>
        <v>act_nomi_prc</v>
      </c>
      <c r="E29" s="8" t="s">
        <v>92</v>
      </c>
      <c r="F29" s="48" t="s">
        <v>93</v>
      </c>
    </row>
    <row r="30" spans="1:6">
      <c r="A30" s="41">
        <v>26</v>
      </c>
      <c r="B30" s="44" t="s">
        <v>264</v>
      </c>
      <c r="C30" s="45" t="s">
        <v>235</v>
      </c>
      <c r="D30" s="28" t="str">
        <f t="shared" si="0"/>
        <v>tax_typ</v>
      </c>
      <c r="E30" s="8" t="s">
        <v>95</v>
      </c>
      <c r="F30" s="48" t="s">
        <v>96</v>
      </c>
    </row>
    <row r="31" spans="1:6">
      <c r="A31" s="41">
        <v>27</v>
      </c>
      <c r="B31" s="44" t="s">
        <v>265</v>
      </c>
      <c r="C31" s="45" t="s">
        <v>235</v>
      </c>
      <c r="D31" s="28" t="str">
        <f t="shared" si="0"/>
        <v>item_ttl_qty</v>
      </c>
      <c r="E31" s="8" t="s">
        <v>98</v>
      </c>
      <c r="F31" s="48" t="s">
        <v>99</v>
      </c>
    </row>
    <row r="32" spans="1:6">
      <c r="A32" s="41">
        <v>28</v>
      </c>
      <c r="B32" s="44" t="s">
        <v>266</v>
      </c>
      <c r="C32" s="45" t="s">
        <v>235</v>
      </c>
      <c r="D32" s="28" t="str">
        <f t="shared" si="0"/>
        <v>uuse_prc</v>
      </c>
      <c r="E32" s="8" t="s">
        <v>100</v>
      </c>
      <c r="F32" s="48" t="s">
        <v>101</v>
      </c>
    </row>
    <row r="33" spans="1:6">
      <c r="A33" s="41">
        <v>29</v>
      </c>
      <c r="B33" s="44" t="s">
        <v>267</v>
      </c>
      <c r="C33" s="45" t="s">
        <v>235</v>
      </c>
      <c r="D33" s="28" t="str">
        <f t="shared" si="0"/>
        <v>uuse_prc_aft</v>
      </c>
      <c r="E33" s="8" t="s">
        <v>102</v>
      </c>
      <c r="F33" s="48" t="s">
        <v>103</v>
      </c>
    </row>
    <row r="34" spans="1:6">
      <c r="A34" s="41">
        <v>30</v>
      </c>
      <c r="B34" s="44" t="s">
        <v>268</v>
      </c>
      <c r="C34" s="45" t="s">
        <v>235</v>
      </c>
      <c r="D34" s="28" t="str">
        <f t="shared" si="0"/>
        <v>brgn_dsc_amt</v>
      </c>
      <c r="E34" s="8" t="s">
        <v>105</v>
      </c>
      <c r="F34" s="48" t="s">
        <v>106</v>
      </c>
    </row>
    <row r="35" spans="1:6">
      <c r="A35" s="41">
        <v>31</v>
      </c>
      <c r="B35" s="44" t="s">
        <v>269</v>
      </c>
      <c r="C35" s="45" t="s">
        <v>235</v>
      </c>
      <c r="D35" s="28" t="str">
        <f t="shared" si="0"/>
        <v>bdl_dsc_amt</v>
      </c>
      <c r="E35" s="8" t="s">
        <v>107</v>
      </c>
      <c r="F35" s="48" t="s">
        <v>108</v>
      </c>
    </row>
    <row r="36" spans="1:6">
      <c r="A36" s="41">
        <v>32</v>
      </c>
      <c r="B36" s="44" t="s">
        <v>270</v>
      </c>
      <c r="C36" s="45" t="s">
        <v>235</v>
      </c>
      <c r="D36" s="28" t="str">
        <f t="shared" si="0"/>
        <v>stldsc_amt</v>
      </c>
      <c r="E36" s="8" t="s">
        <v>109</v>
      </c>
      <c r="F36" s="48" t="s">
        <v>110</v>
      </c>
    </row>
    <row r="37" spans="1:6">
      <c r="A37" s="41">
        <v>33</v>
      </c>
      <c r="B37" s="44" t="s">
        <v>271</v>
      </c>
      <c r="C37" s="45" t="s">
        <v>235</v>
      </c>
      <c r="D37" s="28" t="str">
        <f t="shared" si="0"/>
        <v>stldsc_per</v>
      </c>
      <c r="E37" s="8" t="s">
        <v>112</v>
      </c>
      <c r="F37" s="48" t="s">
        <v>113</v>
      </c>
    </row>
    <row r="38" spans="1:6">
      <c r="A38" s="41">
        <v>34</v>
      </c>
      <c r="B38" s="44" t="s">
        <v>272</v>
      </c>
      <c r="C38" s="45" t="s">
        <v>235</v>
      </c>
      <c r="D38" s="28" t="str">
        <f t="shared" si="0"/>
        <v>nm_stlpdsc_per</v>
      </c>
      <c r="E38" s="8" t="s">
        <v>114</v>
      </c>
      <c r="F38" s="48" t="s">
        <v>115</v>
      </c>
    </row>
    <row r="39" spans="1:6">
      <c r="A39" s="41">
        <v>35</v>
      </c>
      <c r="B39" s="44" t="s">
        <v>273</v>
      </c>
      <c r="C39" s="45" t="s">
        <v>235</v>
      </c>
      <c r="D39" s="28" t="str">
        <f t="shared" si="0"/>
        <v>stlcrdtdsc_per</v>
      </c>
      <c r="E39" s="8" t="s">
        <v>116</v>
      </c>
      <c r="F39" s="48" t="s">
        <v>117</v>
      </c>
    </row>
    <row r="40" spans="1:6">
      <c r="A40" s="41">
        <v>36</v>
      </c>
      <c r="B40" s="44" t="s">
        <v>118</v>
      </c>
      <c r="C40" s="45" t="s">
        <v>235</v>
      </c>
      <c r="D40" s="28" t="str">
        <f t="shared" si="0"/>
        <v>stlpdsc_amt</v>
      </c>
      <c r="E40" s="8" t="s">
        <v>118</v>
      </c>
      <c r="F40" s="48" t="s">
        <v>119</v>
      </c>
    </row>
    <row r="41" spans="1:6">
      <c r="A41" s="41">
        <v>37</v>
      </c>
      <c r="B41" s="44" t="s">
        <v>274</v>
      </c>
      <c r="C41" s="45" t="s">
        <v>235</v>
      </c>
      <c r="D41" s="28" t="str">
        <f t="shared" si="0"/>
        <v>ucls_prg_pdsc_per</v>
      </c>
      <c r="E41" s="8" t="s">
        <v>121</v>
      </c>
      <c r="F41" s="48" t="s">
        <v>122</v>
      </c>
    </row>
    <row r="42" spans="1:6">
      <c r="A42" s="41">
        <v>38</v>
      </c>
      <c r="B42" s="44" t="s">
        <v>275</v>
      </c>
      <c r="C42" s="45" t="s">
        <v>235</v>
      </c>
      <c r="D42" s="28" t="str">
        <f t="shared" si="0"/>
        <v>cls_pdsc_amt</v>
      </c>
      <c r="E42" s="8" t="s">
        <v>123</v>
      </c>
      <c r="F42" s="48" t="s">
        <v>124</v>
      </c>
    </row>
    <row r="43" spans="1:6">
      <c r="A43" s="41">
        <v>39</v>
      </c>
      <c r="B43" s="44" t="s">
        <v>276</v>
      </c>
      <c r="C43" s="45" t="s">
        <v>235</v>
      </c>
      <c r="D43" s="28" t="str">
        <f t="shared" si="0"/>
        <v>item_prc_chg_amt</v>
      </c>
      <c r="E43" s="8" t="s">
        <v>125</v>
      </c>
      <c r="F43" s="48" t="s">
        <v>126</v>
      </c>
    </row>
    <row r="44" spans="1:6">
      <c r="A44" s="41">
        <v>40</v>
      </c>
      <c r="B44" s="44" t="s">
        <v>277</v>
      </c>
      <c r="C44" s="45" t="s">
        <v>235</v>
      </c>
      <c r="D44" s="28" t="str">
        <f t="shared" si="0"/>
        <v>item_dsc_amt</v>
      </c>
      <c r="E44" s="8" t="s">
        <v>128</v>
      </c>
      <c r="F44" s="48" t="s">
        <v>129</v>
      </c>
    </row>
    <row r="45" spans="1:6">
      <c r="A45" s="41">
        <v>41</v>
      </c>
      <c r="B45" s="44" t="s">
        <v>278</v>
      </c>
      <c r="C45" s="45" t="s">
        <v>235</v>
      </c>
      <c r="D45" s="28" t="str">
        <f t="shared" si="0"/>
        <v>item_dsc_per</v>
      </c>
      <c r="E45" s="8" t="s">
        <v>130</v>
      </c>
      <c r="F45" s="48" t="s">
        <v>131</v>
      </c>
    </row>
    <row r="46" spans="1:6">
      <c r="A46" s="41">
        <v>42</v>
      </c>
      <c r="B46" s="44" t="s">
        <v>279</v>
      </c>
      <c r="C46" s="45" t="s">
        <v>235</v>
      </c>
      <c r="D46" s="28" t="str">
        <f t="shared" si="0"/>
        <v>item_pdsc_amt</v>
      </c>
      <c r="E46" s="8" t="s">
        <v>132</v>
      </c>
      <c r="F46" s="48" t="s">
        <v>133</v>
      </c>
    </row>
    <row r="47" spans="1:6">
      <c r="A47" s="41">
        <v>43</v>
      </c>
      <c r="B47" s="44" t="s">
        <v>280</v>
      </c>
      <c r="C47" s="45" t="s">
        <v>235</v>
      </c>
      <c r="D47" s="28" t="str">
        <f t="shared" si="0"/>
        <v>couprn_amt</v>
      </c>
      <c r="E47" s="44" t="s">
        <v>135</v>
      </c>
      <c r="F47" s="68" t="s">
        <v>136</v>
      </c>
    </row>
    <row r="48" spans="1:6">
      <c r="A48" s="41">
        <v>44</v>
      </c>
      <c r="B48" s="44" t="s">
        <v>281</v>
      </c>
      <c r="C48" s="45" t="s">
        <v>235</v>
      </c>
      <c r="D48" s="28" t="str">
        <f t="shared" si="0"/>
        <v>brgn_typ</v>
      </c>
      <c r="E48" s="8" t="s">
        <v>138</v>
      </c>
      <c r="F48" s="48" t="s">
        <v>139</v>
      </c>
    </row>
    <row r="49" spans="1:8">
      <c r="A49" s="41">
        <v>45</v>
      </c>
      <c r="B49" s="44" t="s">
        <v>282</v>
      </c>
      <c r="C49" s="45" t="s">
        <v>238</v>
      </c>
      <c r="D49" s="28" t="s">
        <v>283</v>
      </c>
      <c r="E49" s="8" t="s">
        <v>140</v>
      </c>
      <c r="F49" s="48" t="s">
        <v>141</v>
      </c>
    </row>
    <row r="50" spans="1:8">
      <c r="A50" s="41">
        <v>46</v>
      </c>
      <c r="B50" s="44" t="s">
        <v>284</v>
      </c>
      <c r="C50" s="45" t="s">
        <v>238</v>
      </c>
      <c r="D50" s="28" t="s">
        <v>285</v>
      </c>
      <c r="E50" s="8" t="s">
        <v>142</v>
      </c>
      <c r="F50" s="48" t="s">
        <v>143</v>
      </c>
    </row>
    <row r="51" spans="1:8">
      <c r="A51" s="41">
        <v>47</v>
      </c>
      <c r="B51" s="44" t="s">
        <v>286</v>
      </c>
      <c r="C51" s="45" t="s">
        <v>238</v>
      </c>
      <c r="D51" s="28" t="str">
        <f t="shared" si="0"/>
        <v>mbr_cd</v>
      </c>
      <c r="E51" s="8" t="s">
        <v>144</v>
      </c>
      <c r="F51" s="48" t="s">
        <v>145</v>
      </c>
    </row>
    <row r="52" spans="1:8">
      <c r="A52" s="41">
        <v>48</v>
      </c>
      <c r="B52" s="44" t="s">
        <v>287</v>
      </c>
      <c r="C52" s="45" t="s">
        <v>235</v>
      </c>
      <c r="D52" s="28" t="str">
        <f t="shared" si="0"/>
        <v>mbr_flg</v>
      </c>
      <c r="E52" s="8" t="s">
        <v>146</v>
      </c>
      <c r="F52" s="48" t="s">
        <v>147</v>
      </c>
    </row>
    <row r="53" spans="1:8">
      <c r="A53" s="41">
        <v>49</v>
      </c>
      <c r="B53" s="44" t="s">
        <v>288</v>
      </c>
      <c r="C53" s="45" t="s">
        <v>235</v>
      </c>
      <c r="D53" s="28" t="s">
        <v>289</v>
      </c>
      <c r="E53" s="8" t="s">
        <v>150</v>
      </c>
      <c r="F53" s="48" t="s">
        <v>151</v>
      </c>
    </row>
    <row r="54" spans="1:8">
      <c r="A54" s="41">
        <v>50</v>
      </c>
      <c r="B54" s="44" t="s">
        <v>290</v>
      </c>
      <c r="C54" s="45" t="s">
        <v>235</v>
      </c>
      <c r="D54" s="28" t="s">
        <v>291</v>
      </c>
      <c r="E54" s="8" t="s">
        <v>152</v>
      </c>
      <c r="F54" s="48" t="s">
        <v>153</v>
      </c>
    </row>
    <row r="55" spans="1:8">
      <c r="A55" s="41">
        <v>51</v>
      </c>
      <c r="B55" s="44" t="s">
        <v>292</v>
      </c>
      <c r="C55" s="45" t="s">
        <v>235</v>
      </c>
      <c r="D55" s="28" t="s">
        <v>293</v>
      </c>
      <c r="E55" s="8" t="s">
        <v>154</v>
      </c>
      <c r="F55" s="48" t="s">
        <v>155</v>
      </c>
    </row>
    <row r="56" spans="1:8">
      <c r="A56" s="41">
        <v>52</v>
      </c>
      <c r="B56" s="44" t="s">
        <v>294</v>
      </c>
      <c r="C56" s="45" t="s">
        <v>235</v>
      </c>
      <c r="D56" s="28" t="s">
        <v>295</v>
      </c>
      <c r="E56" s="8" t="s">
        <v>156</v>
      </c>
      <c r="F56" s="48" t="s">
        <v>157</v>
      </c>
    </row>
    <row r="57" spans="1:8">
      <c r="A57" s="41">
        <v>53</v>
      </c>
      <c r="B57" s="44" t="s">
        <v>296</v>
      </c>
      <c r="C57" s="45" t="s">
        <v>238</v>
      </c>
      <c r="D57" s="28" t="s">
        <v>297</v>
      </c>
      <c r="E57" s="44" t="s">
        <v>159</v>
      </c>
      <c r="F57" s="68" t="s">
        <v>160</v>
      </c>
    </row>
    <row r="58" spans="1:8">
      <c r="A58" s="41">
        <v>54</v>
      </c>
      <c r="B58" s="44" t="s">
        <v>298</v>
      </c>
      <c r="C58" s="45" t="s">
        <v>238</v>
      </c>
      <c r="D58" s="28" t="s">
        <v>299</v>
      </c>
      <c r="E58" s="8" t="s">
        <v>162</v>
      </c>
      <c r="F58" s="48" t="s">
        <v>163</v>
      </c>
    </row>
    <row r="59" spans="1:8">
      <c r="A59" s="41">
        <v>55</v>
      </c>
      <c r="B59" s="44" t="s">
        <v>300</v>
      </c>
      <c r="C59" s="45" t="s">
        <v>235</v>
      </c>
      <c r="D59" s="28" t="s">
        <v>301</v>
      </c>
      <c r="E59" s="8" t="s">
        <v>165</v>
      </c>
      <c r="F59" s="48" t="s">
        <v>166</v>
      </c>
    </row>
    <row r="60" spans="1:8">
      <c r="A60" s="41">
        <v>56</v>
      </c>
      <c r="B60" s="43" t="s">
        <v>302</v>
      </c>
      <c r="C60" s="42" t="s">
        <v>235</v>
      </c>
      <c r="D60" s="4" t="str">
        <f t="shared" si="0"/>
        <v>cust_flg</v>
      </c>
      <c r="E60" s="71" t="s">
        <v>168</v>
      </c>
      <c r="F60" s="100" t="s">
        <v>169</v>
      </c>
    </row>
    <row r="61" spans="1:8">
      <c r="A61" s="102">
        <v>57</v>
      </c>
      <c r="B61" s="82" t="s">
        <v>181</v>
      </c>
      <c r="C61" s="103" t="s">
        <v>238</v>
      </c>
      <c r="D61" s="86" t="s">
        <v>303</v>
      </c>
      <c r="E61" s="82" t="s">
        <v>181</v>
      </c>
      <c r="F61" s="104" t="s">
        <v>182</v>
      </c>
      <c r="H61" s="66"/>
    </row>
    <row r="62" spans="1:8">
      <c r="A62" s="102">
        <v>58</v>
      </c>
      <c r="B62" s="82" t="s">
        <v>187</v>
      </c>
      <c r="C62" s="103" t="s">
        <v>238</v>
      </c>
      <c r="D62" s="86" t="s">
        <v>304</v>
      </c>
      <c r="E62" s="82" t="s">
        <v>187</v>
      </c>
      <c r="F62" s="104" t="s">
        <v>189</v>
      </c>
      <c r="H62" s="66"/>
    </row>
    <row r="63" spans="1:8">
      <c r="A63" s="102">
        <v>59</v>
      </c>
      <c r="B63" s="82" t="s">
        <v>191</v>
      </c>
      <c r="C63" s="103" t="s">
        <v>238</v>
      </c>
      <c r="D63" s="86" t="s">
        <v>305</v>
      </c>
      <c r="E63" s="82" t="s">
        <v>191</v>
      </c>
      <c r="F63" s="104" t="s">
        <v>192</v>
      </c>
      <c r="H63" s="66"/>
    </row>
    <row r="64" spans="1:8">
      <c r="A64" s="102">
        <v>60</v>
      </c>
      <c r="B64" s="82" t="s">
        <v>194</v>
      </c>
      <c r="C64" s="103" t="s">
        <v>235</v>
      </c>
      <c r="D64" s="86" t="s">
        <v>306</v>
      </c>
      <c r="E64" s="82" t="s">
        <v>194</v>
      </c>
      <c r="F64" s="104" t="s">
        <v>195</v>
      </c>
      <c r="H64" s="66"/>
    </row>
    <row r="65" spans="1:8">
      <c r="A65" s="102">
        <v>61</v>
      </c>
      <c r="B65" s="82" t="s">
        <v>200</v>
      </c>
      <c r="C65" s="103" t="s">
        <v>238</v>
      </c>
      <c r="D65" s="86" t="s">
        <v>307</v>
      </c>
      <c r="E65" s="82" t="s">
        <v>200</v>
      </c>
      <c r="F65" s="104" t="s">
        <v>202</v>
      </c>
      <c r="H65" s="66"/>
    </row>
    <row r="66" spans="1:8">
      <c r="A66" s="102">
        <v>62</v>
      </c>
      <c r="B66" s="82" t="s">
        <v>203</v>
      </c>
      <c r="C66" s="103" t="s">
        <v>238</v>
      </c>
      <c r="D66" s="86" t="s">
        <v>308</v>
      </c>
      <c r="E66" s="82" t="s">
        <v>203</v>
      </c>
      <c r="F66" s="104" t="s">
        <v>205</v>
      </c>
      <c r="H66" s="66"/>
    </row>
    <row r="67" spans="1:8">
      <c r="A67" s="102">
        <v>63</v>
      </c>
      <c r="B67" s="82" t="s">
        <v>207</v>
      </c>
      <c r="C67" s="103" t="s">
        <v>238</v>
      </c>
      <c r="D67" s="86" t="s">
        <v>309</v>
      </c>
      <c r="E67" s="82" t="s">
        <v>207</v>
      </c>
      <c r="F67" s="104" t="s">
        <v>209</v>
      </c>
      <c r="H67" s="66"/>
    </row>
    <row r="68" spans="1:8">
      <c r="A68" s="102">
        <v>64</v>
      </c>
      <c r="B68" s="82" t="s">
        <v>211</v>
      </c>
      <c r="C68" s="103" t="s">
        <v>238</v>
      </c>
      <c r="D68" s="86" t="s">
        <v>310</v>
      </c>
      <c r="E68" s="82" t="s">
        <v>211</v>
      </c>
      <c r="F68" s="104" t="s">
        <v>311</v>
      </c>
      <c r="H68" s="66"/>
    </row>
    <row r="69" spans="1:8">
      <c r="A69" s="102">
        <v>65</v>
      </c>
      <c r="B69" s="89" t="s">
        <v>216</v>
      </c>
      <c r="C69" s="105" t="s">
        <v>235</v>
      </c>
      <c r="D69" s="106" t="s">
        <v>312</v>
      </c>
      <c r="E69" s="89" t="s">
        <v>216</v>
      </c>
      <c r="F69" s="106" t="s">
        <v>313</v>
      </c>
      <c r="H69" s="66"/>
    </row>
    <row r="71" spans="1:8">
      <c r="B71" s="1" t="s">
        <v>314</v>
      </c>
    </row>
  </sheetData>
  <mergeCells count="11">
    <mergeCell ref="E1:F1"/>
    <mergeCell ref="A5:A6"/>
    <mergeCell ref="B5:B6"/>
    <mergeCell ref="C5:C6"/>
    <mergeCell ref="D5:D6"/>
    <mergeCell ref="A9:A10"/>
    <mergeCell ref="B9:B10"/>
    <mergeCell ref="C9:C10"/>
    <mergeCell ref="D9:D10"/>
    <mergeCell ref="A1:A2"/>
    <mergeCell ref="B1:D1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"/>
  <sheetViews>
    <sheetView topLeftCell="A47" workbookViewId="0">
      <selection activeCell="A3" sqref="A3"/>
    </sheetView>
  </sheetViews>
  <sheetFormatPr defaultRowHeight="13.5"/>
  <cols>
    <col min="1" max="1" width="3.7109375" style="1" bestFit="1" customWidth="1"/>
    <col min="2" max="2" width="20" style="1" bestFit="1" customWidth="1"/>
    <col min="3" max="3" width="7.85546875" style="1" customWidth="1"/>
    <col min="4" max="4" width="57.85546875" style="1" bestFit="1" customWidth="1"/>
    <col min="5" max="5" width="24.85546875" style="1" bestFit="1" customWidth="1"/>
    <col min="6" max="6" width="17.140625" style="1" bestFit="1" customWidth="1"/>
  </cols>
  <sheetData>
    <row r="1" spans="1:6">
      <c r="A1" s="128" t="s">
        <v>227</v>
      </c>
      <c r="B1" s="134" t="s">
        <v>228</v>
      </c>
      <c r="C1" s="135"/>
      <c r="D1" s="136"/>
      <c r="E1" s="125" t="s">
        <v>229</v>
      </c>
      <c r="F1" s="133"/>
    </row>
    <row r="2" spans="1:6">
      <c r="A2" s="129"/>
      <c r="B2" s="39" t="s">
        <v>230</v>
      </c>
      <c r="C2" s="50" t="s">
        <v>231</v>
      </c>
      <c r="D2" s="51" t="s">
        <v>232</v>
      </c>
      <c r="E2" s="16" t="s">
        <v>9</v>
      </c>
      <c r="F2" s="40" t="s">
        <v>10</v>
      </c>
    </row>
    <row r="3" spans="1:6">
      <c r="A3" s="41">
        <v>1</v>
      </c>
      <c r="B3" s="43" t="s">
        <v>234</v>
      </c>
      <c r="C3" s="42" t="s">
        <v>235</v>
      </c>
      <c r="D3" s="4" t="str">
        <f>F3</f>
        <v>stre_cd</v>
      </c>
      <c r="E3" s="15" t="s">
        <v>15</v>
      </c>
      <c r="F3" s="47" t="s">
        <v>16</v>
      </c>
    </row>
    <row r="4" spans="1:6">
      <c r="A4" s="41">
        <v>2</v>
      </c>
      <c r="B4" s="44" t="s">
        <v>236</v>
      </c>
      <c r="C4" s="45" t="s">
        <v>235</v>
      </c>
      <c r="D4" s="28" t="str">
        <f>F4</f>
        <v>mac_no</v>
      </c>
      <c r="E4" s="8" t="s">
        <v>18</v>
      </c>
      <c r="F4" s="48" t="s">
        <v>19</v>
      </c>
    </row>
    <row r="5" spans="1:6">
      <c r="A5" s="137">
        <v>3</v>
      </c>
      <c r="B5" s="138" t="s">
        <v>237</v>
      </c>
      <c r="C5" s="139" t="s">
        <v>238</v>
      </c>
      <c r="D5" s="127" t="s">
        <v>239</v>
      </c>
      <c r="E5" s="8" t="s">
        <v>21</v>
      </c>
      <c r="F5" s="48" t="s">
        <v>22</v>
      </c>
    </row>
    <row r="6" spans="1:6">
      <c r="A6" s="137"/>
      <c r="B6" s="138"/>
      <c r="C6" s="139"/>
      <c r="D6" s="140"/>
      <c r="E6" s="8" t="s">
        <v>240</v>
      </c>
      <c r="F6" s="48" t="s">
        <v>25</v>
      </c>
    </row>
    <row r="7" spans="1:6" ht="13.5" customHeight="1">
      <c r="A7" s="41">
        <v>4</v>
      </c>
      <c r="B7" s="44" t="s">
        <v>241</v>
      </c>
      <c r="C7" s="45" t="s">
        <v>235</v>
      </c>
      <c r="D7" s="28" t="str">
        <f>F7</f>
        <v>seq_no</v>
      </c>
      <c r="E7" s="8" t="s">
        <v>27</v>
      </c>
      <c r="F7" s="48" t="s">
        <v>28</v>
      </c>
    </row>
    <row r="8" spans="1:6">
      <c r="A8" s="41">
        <v>5</v>
      </c>
      <c r="B8" s="44" t="s">
        <v>242</v>
      </c>
      <c r="C8" s="45" t="s">
        <v>238</v>
      </c>
      <c r="D8" s="28" t="s">
        <v>243</v>
      </c>
      <c r="E8" s="8" t="s">
        <v>29</v>
      </c>
      <c r="F8" s="48" t="s">
        <v>30</v>
      </c>
    </row>
    <row r="9" spans="1:6" ht="35.25" customHeight="1">
      <c r="A9" s="137">
        <v>6</v>
      </c>
      <c r="B9" s="138" t="s">
        <v>37</v>
      </c>
      <c r="C9" s="139" t="s">
        <v>238</v>
      </c>
      <c r="D9" s="127" t="s">
        <v>244</v>
      </c>
      <c r="E9" s="8" t="s">
        <v>32</v>
      </c>
      <c r="F9" s="48" t="s">
        <v>33</v>
      </c>
    </row>
    <row r="10" spans="1:6" ht="35.25" customHeight="1">
      <c r="A10" s="137"/>
      <c r="B10" s="138"/>
      <c r="C10" s="139"/>
      <c r="D10" s="127"/>
      <c r="E10" s="8" t="s">
        <v>37</v>
      </c>
      <c r="F10" s="48" t="s">
        <v>38</v>
      </c>
    </row>
    <row r="11" spans="1:6">
      <c r="A11" s="41">
        <v>7</v>
      </c>
      <c r="B11" s="44" t="s">
        <v>245</v>
      </c>
      <c r="C11" s="45" t="s">
        <v>235</v>
      </c>
      <c r="D11" s="28" t="str">
        <f>F11</f>
        <v>now_sale_day</v>
      </c>
      <c r="E11" s="8" t="s">
        <v>40</v>
      </c>
      <c r="F11" s="48" t="s">
        <v>41</v>
      </c>
    </row>
    <row r="12" spans="1:6">
      <c r="A12" s="41">
        <v>8</v>
      </c>
      <c r="B12" s="44" t="s">
        <v>43</v>
      </c>
      <c r="C12" s="45" t="s">
        <v>235</v>
      </c>
      <c r="D12" s="28" t="s">
        <v>246</v>
      </c>
      <c r="E12" s="8" t="s">
        <v>43</v>
      </c>
      <c r="F12" s="48" t="s">
        <v>44</v>
      </c>
    </row>
    <row r="13" spans="1:6">
      <c r="A13" s="41">
        <v>9</v>
      </c>
      <c r="B13" s="44" t="s">
        <v>45</v>
      </c>
      <c r="C13" s="45" t="s">
        <v>238</v>
      </c>
      <c r="D13" s="28" t="str">
        <f>F13</f>
        <v>chkr_name</v>
      </c>
      <c r="E13" s="8" t="s">
        <v>45</v>
      </c>
      <c r="F13" s="48" t="s">
        <v>46</v>
      </c>
    </row>
    <row r="14" spans="1:6">
      <c r="A14" s="41">
        <v>10</v>
      </c>
      <c r="B14" s="44" t="s">
        <v>49</v>
      </c>
      <c r="C14" s="45" t="s">
        <v>235</v>
      </c>
      <c r="D14" s="28" t="s">
        <v>247</v>
      </c>
      <c r="E14" s="8" t="s">
        <v>49</v>
      </c>
      <c r="F14" s="48" t="s">
        <v>50</v>
      </c>
    </row>
    <row r="15" spans="1:6">
      <c r="A15" s="41">
        <v>11</v>
      </c>
      <c r="B15" s="44" t="s">
        <v>51</v>
      </c>
      <c r="C15" s="45" t="s">
        <v>238</v>
      </c>
      <c r="D15" s="28" t="str">
        <f>F15</f>
        <v>cshr_name</v>
      </c>
      <c r="E15" s="8" t="s">
        <v>51</v>
      </c>
      <c r="F15" s="48" t="s">
        <v>52</v>
      </c>
    </row>
    <row r="16" spans="1:6">
      <c r="A16" s="41">
        <v>12</v>
      </c>
      <c r="B16" s="44" t="s">
        <v>53</v>
      </c>
      <c r="C16" s="45" t="s">
        <v>235</v>
      </c>
      <c r="D16" s="28" t="str">
        <f>F16</f>
        <v>lrgcls_cd</v>
      </c>
      <c r="E16" s="8" t="s">
        <v>53</v>
      </c>
      <c r="F16" s="48" t="s">
        <v>54</v>
      </c>
    </row>
    <row r="17" spans="1:6">
      <c r="A17" s="41">
        <v>13</v>
      </c>
      <c r="B17" s="44" t="s">
        <v>248</v>
      </c>
      <c r="C17" s="45" t="s">
        <v>235</v>
      </c>
      <c r="D17" s="28" t="str">
        <f>F17</f>
        <v>mdlcls_cd</v>
      </c>
      <c r="E17" s="8" t="s">
        <v>56</v>
      </c>
      <c r="F17" s="48" t="s">
        <v>57</v>
      </c>
    </row>
    <row r="18" spans="1:6">
      <c r="A18" s="41">
        <v>14</v>
      </c>
      <c r="B18" s="44" t="s">
        <v>249</v>
      </c>
      <c r="C18" s="45" t="s">
        <v>238</v>
      </c>
      <c r="D18" s="28" t="s">
        <v>250</v>
      </c>
      <c r="E18" s="8" t="s">
        <v>59</v>
      </c>
      <c r="F18" s="48" t="s">
        <v>60</v>
      </c>
    </row>
    <row r="19" spans="1:6">
      <c r="A19" s="41">
        <v>15</v>
      </c>
      <c r="B19" s="44" t="s">
        <v>251</v>
      </c>
      <c r="C19" s="45" t="s">
        <v>235</v>
      </c>
      <c r="D19" s="28" t="str">
        <f>F19</f>
        <v>smlcls_cd</v>
      </c>
      <c r="E19" s="8" t="s">
        <v>62</v>
      </c>
      <c r="F19" s="48" t="s">
        <v>63</v>
      </c>
    </row>
    <row r="20" spans="1:6">
      <c r="A20" s="41">
        <v>16</v>
      </c>
      <c r="B20" s="44" t="s">
        <v>252</v>
      </c>
      <c r="C20" s="45" t="s">
        <v>238</v>
      </c>
      <c r="D20" s="28" t="s">
        <v>253</v>
      </c>
      <c r="E20" s="8" t="s">
        <v>65</v>
      </c>
      <c r="F20" s="48" t="s">
        <v>66</v>
      </c>
    </row>
    <row r="21" spans="1:6">
      <c r="A21" s="41">
        <v>17</v>
      </c>
      <c r="B21" s="44" t="s">
        <v>254</v>
      </c>
      <c r="C21" s="45" t="s">
        <v>235</v>
      </c>
      <c r="D21" s="28" t="str">
        <f>F21</f>
        <v>tnycls_cd</v>
      </c>
      <c r="E21" s="8" t="s">
        <v>68</v>
      </c>
      <c r="F21" s="48" t="s">
        <v>69</v>
      </c>
    </row>
    <row r="22" spans="1:6">
      <c r="A22" s="41">
        <v>18</v>
      </c>
      <c r="B22" s="44" t="s">
        <v>255</v>
      </c>
      <c r="C22" s="45" t="s">
        <v>238</v>
      </c>
      <c r="D22" s="28" t="s">
        <v>256</v>
      </c>
      <c r="E22" s="8" t="s">
        <v>71</v>
      </c>
      <c r="F22" s="48" t="s">
        <v>72</v>
      </c>
    </row>
    <row r="23" spans="1:6">
      <c r="A23" s="41">
        <v>19</v>
      </c>
      <c r="B23" s="44" t="s">
        <v>257</v>
      </c>
      <c r="C23" s="45" t="s">
        <v>238</v>
      </c>
      <c r="D23" s="28" t="str">
        <f>F23</f>
        <v>plu_cd</v>
      </c>
      <c r="E23" s="8" t="s">
        <v>74</v>
      </c>
      <c r="F23" s="48" t="s">
        <v>75</v>
      </c>
    </row>
    <row r="24" spans="1:6">
      <c r="A24" s="41">
        <v>20</v>
      </c>
      <c r="B24" s="44" t="s">
        <v>77</v>
      </c>
      <c r="C24" s="45" t="s">
        <v>238</v>
      </c>
      <c r="D24" s="28" t="s">
        <v>258</v>
      </c>
      <c r="E24" s="8" t="s">
        <v>77</v>
      </c>
      <c r="F24" s="48" t="s">
        <v>78</v>
      </c>
    </row>
    <row r="25" spans="1:6">
      <c r="A25" s="41">
        <v>21</v>
      </c>
      <c r="B25" s="44" t="s">
        <v>80</v>
      </c>
      <c r="C25" s="45" t="s">
        <v>238</v>
      </c>
      <c r="D25" s="28" t="s">
        <v>259</v>
      </c>
      <c r="E25" s="44" t="s">
        <v>80</v>
      </c>
      <c r="F25" s="68" t="s">
        <v>81</v>
      </c>
    </row>
    <row r="26" spans="1:6">
      <c r="A26" s="41">
        <v>22</v>
      </c>
      <c r="B26" s="44" t="s">
        <v>260</v>
      </c>
      <c r="C26" s="45" t="s">
        <v>235</v>
      </c>
      <c r="D26" s="28" t="str">
        <f>F26</f>
        <v>rec_mthd_flg</v>
      </c>
      <c r="E26" s="8" t="s">
        <v>84</v>
      </c>
      <c r="F26" s="48" t="s">
        <v>85</v>
      </c>
    </row>
    <row r="27" spans="1:6">
      <c r="A27" s="41">
        <v>23</v>
      </c>
      <c r="B27" s="44" t="s">
        <v>261</v>
      </c>
      <c r="C27" s="45" t="s">
        <v>235</v>
      </c>
      <c r="D27" s="28" t="str">
        <f t="shared" ref="D27:D60" si="0">F27</f>
        <v>uuse_prc_flg</v>
      </c>
      <c r="E27" s="8" t="s">
        <v>86</v>
      </c>
      <c r="F27" s="48" t="s">
        <v>87</v>
      </c>
    </row>
    <row r="28" spans="1:6">
      <c r="A28" s="41">
        <v>24</v>
      </c>
      <c r="B28" s="44" t="s">
        <v>262</v>
      </c>
      <c r="C28" s="45" t="s">
        <v>235</v>
      </c>
      <c r="D28" s="28" t="str">
        <f t="shared" si="0"/>
        <v>act_nomi_in_prc</v>
      </c>
      <c r="E28" s="8" t="s">
        <v>88</v>
      </c>
      <c r="F28" s="48" t="s">
        <v>89</v>
      </c>
    </row>
    <row r="29" spans="1:6">
      <c r="A29" s="41">
        <v>25</v>
      </c>
      <c r="B29" s="44" t="s">
        <v>263</v>
      </c>
      <c r="C29" s="45" t="s">
        <v>235</v>
      </c>
      <c r="D29" s="28" t="str">
        <f t="shared" si="0"/>
        <v>act_nomi_prc</v>
      </c>
      <c r="E29" s="8" t="s">
        <v>92</v>
      </c>
      <c r="F29" s="48" t="s">
        <v>93</v>
      </c>
    </row>
    <row r="30" spans="1:6">
      <c r="A30" s="41">
        <v>26</v>
      </c>
      <c r="B30" s="44" t="s">
        <v>264</v>
      </c>
      <c r="C30" s="45" t="s">
        <v>235</v>
      </c>
      <c r="D30" s="28" t="str">
        <f t="shared" si="0"/>
        <v>tax_typ</v>
      </c>
      <c r="E30" s="8" t="s">
        <v>95</v>
      </c>
      <c r="F30" s="48" t="s">
        <v>96</v>
      </c>
    </row>
    <row r="31" spans="1:6">
      <c r="A31" s="41">
        <v>27</v>
      </c>
      <c r="B31" s="44" t="s">
        <v>265</v>
      </c>
      <c r="C31" s="45" t="s">
        <v>235</v>
      </c>
      <c r="D31" s="28" t="str">
        <f t="shared" si="0"/>
        <v>item_ttl_qty</v>
      </c>
      <c r="E31" s="8" t="s">
        <v>98</v>
      </c>
      <c r="F31" s="48" t="s">
        <v>99</v>
      </c>
    </row>
    <row r="32" spans="1:6">
      <c r="A32" s="41">
        <v>28</v>
      </c>
      <c r="B32" s="44" t="s">
        <v>266</v>
      </c>
      <c r="C32" s="45" t="s">
        <v>235</v>
      </c>
      <c r="D32" s="28" t="str">
        <f t="shared" si="0"/>
        <v>uuse_prc</v>
      </c>
      <c r="E32" s="8" t="s">
        <v>100</v>
      </c>
      <c r="F32" s="48" t="s">
        <v>101</v>
      </c>
    </row>
    <row r="33" spans="1:6">
      <c r="A33" s="41">
        <v>29</v>
      </c>
      <c r="B33" s="44" t="s">
        <v>267</v>
      </c>
      <c r="C33" s="45" t="s">
        <v>235</v>
      </c>
      <c r="D33" s="28" t="str">
        <f t="shared" si="0"/>
        <v>uuse_prc_aft</v>
      </c>
      <c r="E33" s="8" t="s">
        <v>102</v>
      </c>
      <c r="F33" s="48" t="s">
        <v>103</v>
      </c>
    </row>
    <row r="34" spans="1:6">
      <c r="A34" s="41">
        <v>30</v>
      </c>
      <c r="B34" s="44" t="s">
        <v>268</v>
      </c>
      <c r="C34" s="45" t="s">
        <v>235</v>
      </c>
      <c r="D34" s="28" t="str">
        <f t="shared" si="0"/>
        <v>brgn_dsc_amt</v>
      </c>
      <c r="E34" s="8" t="s">
        <v>105</v>
      </c>
      <c r="F34" s="48" t="s">
        <v>106</v>
      </c>
    </row>
    <row r="35" spans="1:6">
      <c r="A35" s="41">
        <v>31</v>
      </c>
      <c r="B35" s="44" t="s">
        <v>269</v>
      </c>
      <c r="C35" s="45" t="s">
        <v>235</v>
      </c>
      <c r="D35" s="28" t="str">
        <f t="shared" si="0"/>
        <v>bdl_dsc_amt</v>
      </c>
      <c r="E35" s="8" t="s">
        <v>107</v>
      </c>
      <c r="F35" s="48" t="s">
        <v>108</v>
      </c>
    </row>
    <row r="36" spans="1:6">
      <c r="A36" s="41">
        <v>32</v>
      </c>
      <c r="B36" s="44" t="s">
        <v>270</v>
      </c>
      <c r="C36" s="45" t="s">
        <v>235</v>
      </c>
      <c r="D36" s="28" t="str">
        <f t="shared" si="0"/>
        <v>stldsc_amt</v>
      </c>
      <c r="E36" s="8" t="s">
        <v>109</v>
      </c>
      <c r="F36" s="48" t="s">
        <v>110</v>
      </c>
    </row>
    <row r="37" spans="1:6">
      <c r="A37" s="41">
        <v>33</v>
      </c>
      <c r="B37" s="44" t="s">
        <v>271</v>
      </c>
      <c r="C37" s="45" t="s">
        <v>235</v>
      </c>
      <c r="D37" s="28" t="str">
        <f t="shared" si="0"/>
        <v>stldsc_per</v>
      </c>
      <c r="E37" s="8" t="s">
        <v>112</v>
      </c>
      <c r="F37" s="48" t="s">
        <v>113</v>
      </c>
    </row>
    <row r="38" spans="1:6">
      <c r="A38" s="41">
        <v>34</v>
      </c>
      <c r="B38" s="44" t="s">
        <v>272</v>
      </c>
      <c r="C38" s="45" t="s">
        <v>235</v>
      </c>
      <c r="D38" s="28" t="str">
        <f t="shared" si="0"/>
        <v>nm_stlpdsc_per</v>
      </c>
      <c r="E38" s="8" t="s">
        <v>114</v>
      </c>
      <c r="F38" s="48" t="s">
        <v>115</v>
      </c>
    </row>
    <row r="39" spans="1:6">
      <c r="A39" s="41">
        <v>35</v>
      </c>
      <c r="B39" s="44" t="s">
        <v>273</v>
      </c>
      <c r="C39" s="45" t="s">
        <v>235</v>
      </c>
      <c r="D39" s="28" t="str">
        <f t="shared" si="0"/>
        <v>stlcrdtdsc_per</v>
      </c>
      <c r="E39" s="8" t="s">
        <v>116</v>
      </c>
      <c r="F39" s="48" t="s">
        <v>117</v>
      </c>
    </row>
    <row r="40" spans="1:6">
      <c r="A40" s="41">
        <v>36</v>
      </c>
      <c r="B40" s="44" t="s">
        <v>118</v>
      </c>
      <c r="C40" s="45" t="s">
        <v>235</v>
      </c>
      <c r="D40" s="28" t="str">
        <f t="shared" si="0"/>
        <v>stlpdsc_amt</v>
      </c>
      <c r="E40" s="8" t="s">
        <v>118</v>
      </c>
      <c r="F40" s="48" t="s">
        <v>119</v>
      </c>
    </row>
    <row r="41" spans="1:6">
      <c r="A41" s="41">
        <v>37</v>
      </c>
      <c r="B41" s="44" t="s">
        <v>274</v>
      </c>
      <c r="C41" s="45" t="s">
        <v>235</v>
      </c>
      <c r="D41" s="28" t="str">
        <f t="shared" si="0"/>
        <v>ucls_prg_pdsc_per</v>
      </c>
      <c r="E41" s="8" t="s">
        <v>121</v>
      </c>
      <c r="F41" s="48" t="s">
        <v>122</v>
      </c>
    </row>
    <row r="42" spans="1:6">
      <c r="A42" s="41">
        <v>38</v>
      </c>
      <c r="B42" s="44" t="s">
        <v>275</v>
      </c>
      <c r="C42" s="45" t="s">
        <v>235</v>
      </c>
      <c r="D42" s="28" t="str">
        <f t="shared" si="0"/>
        <v>cls_pdsc_amt</v>
      </c>
      <c r="E42" s="8" t="s">
        <v>123</v>
      </c>
      <c r="F42" s="48" t="s">
        <v>124</v>
      </c>
    </row>
    <row r="43" spans="1:6">
      <c r="A43" s="41">
        <v>39</v>
      </c>
      <c r="B43" s="44" t="s">
        <v>276</v>
      </c>
      <c r="C43" s="45" t="s">
        <v>235</v>
      </c>
      <c r="D43" s="28" t="str">
        <f t="shared" si="0"/>
        <v>item_prc_chg_amt</v>
      </c>
      <c r="E43" s="8" t="s">
        <v>125</v>
      </c>
      <c r="F43" s="48" t="s">
        <v>126</v>
      </c>
    </row>
    <row r="44" spans="1:6">
      <c r="A44" s="41">
        <v>40</v>
      </c>
      <c r="B44" s="44" t="s">
        <v>277</v>
      </c>
      <c r="C44" s="45" t="s">
        <v>235</v>
      </c>
      <c r="D44" s="28" t="str">
        <f t="shared" si="0"/>
        <v>item_dsc_amt</v>
      </c>
      <c r="E44" s="8" t="s">
        <v>128</v>
      </c>
      <c r="F44" s="48" t="s">
        <v>129</v>
      </c>
    </row>
    <row r="45" spans="1:6">
      <c r="A45" s="41">
        <v>41</v>
      </c>
      <c r="B45" s="44" t="s">
        <v>278</v>
      </c>
      <c r="C45" s="45" t="s">
        <v>235</v>
      </c>
      <c r="D45" s="28" t="str">
        <f t="shared" si="0"/>
        <v>item_dsc_per</v>
      </c>
      <c r="E45" s="8" t="s">
        <v>130</v>
      </c>
      <c r="F45" s="48" t="s">
        <v>131</v>
      </c>
    </row>
    <row r="46" spans="1:6">
      <c r="A46" s="41">
        <v>42</v>
      </c>
      <c r="B46" s="44" t="s">
        <v>279</v>
      </c>
      <c r="C46" s="45" t="s">
        <v>235</v>
      </c>
      <c r="D46" s="28" t="str">
        <f t="shared" si="0"/>
        <v>item_pdsc_amt</v>
      </c>
      <c r="E46" s="8" t="s">
        <v>132</v>
      </c>
      <c r="F46" s="48" t="s">
        <v>133</v>
      </c>
    </row>
    <row r="47" spans="1:6">
      <c r="A47" s="41">
        <v>43</v>
      </c>
      <c r="B47" s="44" t="s">
        <v>280</v>
      </c>
      <c r="C47" s="45" t="s">
        <v>235</v>
      </c>
      <c r="D47" s="28" t="str">
        <f t="shared" si="0"/>
        <v>couprn_amt</v>
      </c>
      <c r="E47" s="44" t="s">
        <v>135</v>
      </c>
      <c r="F47" s="68" t="s">
        <v>136</v>
      </c>
    </row>
    <row r="48" spans="1:6">
      <c r="A48" s="41">
        <v>44</v>
      </c>
      <c r="B48" s="44" t="s">
        <v>281</v>
      </c>
      <c r="C48" s="45" t="s">
        <v>235</v>
      </c>
      <c r="D48" s="28" t="str">
        <f t="shared" si="0"/>
        <v>brgn_typ</v>
      </c>
      <c r="E48" s="8" t="s">
        <v>138</v>
      </c>
      <c r="F48" s="48" t="s">
        <v>139</v>
      </c>
    </row>
    <row r="49" spans="1:6">
      <c r="A49" s="41">
        <v>45</v>
      </c>
      <c r="B49" s="44" t="s">
        <v>282</v>
      </c>
      <c r="C49" s="45" t="s">
        <v>238</v>
      </c>
      <c r="D49" s="28" t="s">
        <v>283</v>
      </c>
      <c r="E49" s="8" t="s">
        <v>140</v>
      </c>
      <c r="F49" s="48" t="s">
        <v>141</v>
      </c>
    </row>
    <row r="50" spans="1:6">
      <c r="A50" s="41">
        <v>46</v>
      </c>
      <c r="B50" s="44" t="s">
        <v>284</v>
      </c>
      <c r="C50" s="45" t="s">
        <v>238</v>
      </c>
      <c r="D50" s="28" t="s">
        <v>285</v>
      </c>
      <c r="E50" s="8" t="s">
        <v>142</v>
      </c>
      <c r="F50" s="48" t="s">
        <v>143</v>
      </c>
    </row>
    <row r="51" spans="1:6">
      <c r="A51" s="41">
        <v>47</v>
      </c>
      <c r="B51" s="44" t="s">
        <v>286</v>
      </c>
      <c r="C51" s="45" t="s">
        <v>238</v>
      </c>
      <c r="D51" s="28" t="str">
        <f t="shared" si="0"/>
        <v>mbr_cd</v>
      </c>
      <c r="E51" s="8" t="s">
        <v>144</v>
      </c>
      <c r="F51" s="48" t="s">
        <v>145</v>
      </c>
    </row>
    <row r="52" spans="1:6">
      <c r="A52" s="41">
        <v>48</v>
      </c>
      <c r="B52" s="44" t="s">
        <v>287</v>
      </c>
      <c r="C52" s="45" t="s">
        <v>235</v>
      </c>
      <c r="D52" s="28" t="str">
        <f t="shared" si="0"/>
        <v>mbr_flg</v>
      </c>
      <c r="E52" s="8" t="s">
        <v>146</v>
      </c>
      <c r="F52" s="48" t="s">
        <v>147</v>
      </c>
    </row>
    <row r="53" spans="1:6">
      <c r="A53" s="41">
        <v>49</v>
      </c>
      <c r="B53" s="44" t="s">
        <v>288</v>
      </c>
      <c r="C53" s="45" t="s">
        <v>235</v>
      </c>
      <c r="D53" s="28" t="s">
        <v>289</v>
      </c>
      <c r="E53" s="8" t="s">
        <v>150</v>
      </c>
      <c r="F53" s="48" t="s">
        <v>151</v>
      </c>
    </row>
    <row r="54" spans="1:6">
      <c r="A54" s="41">
        <v>50</v>
      </c>
      <c r="B54" s="44" t="s">
        <v>290</v>
      </c>
      <c r="C54" s="45" t="s">
        <v>235</v>
      </c>
      <c r="D54" s="28" t="s">
        <v>291</v>
      </c>
      <c r="E54" s="8" t="s">
        <v>152</v>
      </c>
      <c r="F54" s="48" t="s">
        <v>153</v>
      </c>
    </row>
    <row r="55" spans="1:6">
      <c r="A55" s="41">
        <v>51</v>
      </c>
      <c r="B55" s="44" t="s">
        <v>292</v>
      </c>
      <c r="C55" s="45" t="s">
        <v>235</v>
      </c>
      <c r="D55" s="28" t="s">
        <v>293</v>
      </c>
      <c r="E55" s="8" t="s">
        <v>154</v>
      </c>
      <c r="F55" s="48" t="s">
        <v>155</v>
      </c>
    </row>
    <row r="56" spans="1:6">
      <c r="A56" s="41">
        <v>52</v>
      </c>
      <c r="B56" s="44" t="s">
        <v>294</v>
      </c>
      <c r="C56" s="45" t="s">
        <v>235</v>
      </c>
      <c r="D56" s="28" t="s">
        <v>295</v>
      </c>
      <c r="E56" s="8" t="s">
        <v>156</v>
      </c>
      <c r="F56" s="48" t="s">
        <v>157</v>
      </c>
    </row>
    <row r="57" spans="1:6">
      <c r="A57" s="41">
        <v>53</v>
      </c>
      <c r="B57" s="44" t="s">
        <v>296</v>
      </c>
      <c r="C57" s="45" t="s">
        <v>238</v>
      </c>
      <c r="D57" s="28" t="s">
        <v>297</v>
      </c>
      <c r="E57" s="44" t="s">
        <v>159</v>
      </c>
      <c r="F57" s="68" t="s">
        <v>160</v>
      </c>
    </row>
    <row r="58" spans="1:6">
      <c r="A58" s="41">
        <v>54</v>
      </c>
      <c r="B58" s="44" t="s">
        <v>298</v>
      </c>
      <c r="C58" s="45" t="s">
        <v>238</v>
      </c>
      <c r="D58" s="28" t="s">
        <v>299</v>
      </c>
      <c r="E58" s="8" t="s">
        <v>162</v>
      </c>
      <c r="F58" s="48" t="s">
        <v>163</v>
      </c>
    </row>
    <row r="59" spans="1:6">
      <c r="A59" s="41">
        <v>55</v>
      </c>
      <c r="B59" s="44" t="s">
        <v>300</v>
      </c>
      <c r="C59" s="45" t="s">
        <v>235</v>
      </c>
      <c r="D59" s="28" t="s">
        <v>301</v>
      </c>
      <c r="E59" s="8" t="s">
        <v>165</v>
      </c>
      <c r="F59" s="48" t="s">
        <v>166</v>
      </c>
    </row>
    <row r="60" spans="1:6">
      <c r="A60" s="7">
        <v>56</v>
      </c>
      <c r="B60" s="38" t="s">
        <v>302</v>
      </c>
      <c r="C60" s="42" t="s">
        <v>235</v>
      </c>
      <c r="D60" s="6" t="str">
        <f t="shared" si="0"/>
        <v>cust_flg</v>
      </c>
      <c r="E60" s="12" t="s">
        <v>168</v>
      </c>
      <c r="F60" s="49" t="s">
        <v>169</v>
      </c>
    </row>
    <row r="61" spans="1:6">
      <c r="C61" s="46"/>
    </row>
    <row r="62" spans="1:6">
      <c r="B62" s="1" t="s">
        <v>314</v>
      </c>
    </row>
  </sheetData>
  <mergeCells count="11">
    <mergeCell ref="A5:A6"/>
    <mergeCell ref="A9:A10"/>
    <mergeCell ref="A1:A2"/>
    <mergeCell ref="B1:D1"/>
    <mergeCell ref="E1:F1"/>
    <mergeCell ref="D9:D10"/>
    <mergeCell ref="D5:D6"/>
    <mergeCell ref="B9:B10"/>
    <mergeCell ref="C9:C10"/>
    <mergeCell ref="B5:B6"/>
    <mergeCell ref="C5:C6"/>
  </mergeCells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E259D7-259A-4BDD-A4CA-E9121B968BE2}"/>
</file>

<file path=customXml/itemProps2.xml><?xml version="1.0" encoding="utf-8"?>
<ds:datastoreItem xmlns:ds="http://schemas.openxmlformats.org/officeDocument/2006/customXml" ds:itemID="{378BD8AF-6E00-45D0-9381-8364D966B216}"/>
</file>

<file path=customXml/itemProps3.xml><?xml version="1.0" encoding="utf-8"?>
<ds:datastoreItem xmlns:ds="http://schemas.openxmlformats.org/officeDocument/2006/customXml" ds:itemID="{8C4E7618-B14B-4820-89DC-299C3FCCFB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Local-Admin</dc:creator>
  <cp:keywords/>
  <dc:description/>
  <cp:lastModifiedBy>内田  文子</cp:lastModifiedBy>
  <cp:revision/>
  <dcterms:created xsi:type="dcterms:W3CDTF">2019-11-22T06:18:15Z</dcterms:created>
  <dcterms:modified xsi:type="dcterms:W3CDTF">2025-03-27T09:50:08Z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